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C:\Users\which\Desktop\Lov1\"/>
    </mc:Choice>
  </mc:AlternateContent>
  <xr:revisionPtr revIDLastSave="0" documentId="13_ncr:1_{0B25E91F-6C37-4E49-9060-B3B92A0258F5}" xr6:coauthVersionLast="47" xr6:coauthVersionMax="47" xr10:uidLastSave="{00000000-0000-0000-0000-000000000000}"/>
  <bookViews>
    <workbookView xWindow="6030" yWindow="3030" windowWidth="19920" windowHeight="11170" tabRatio="620" xr2:uid="{A93B58BB-E203-4A25-8183-1526DF2BF53C}"/>
  </bookViews>
  <sheets>
    <sheet name="현황" sheetId="4" r:id="rId1"/>
    <sheet name="한국전력" sheetId="8" r:id="rId2"/>
    <sheet name="삼성전기" sheetId="5" r:id="rId3"/>
    <sheet name="SK하이닉스" sheetId="6" r:id="rId4"/>
    <sheet name="환율" sheetId="9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4" l="1"/>
  <c r="F16" i="4"/>
  <c r="D24" i="4"/>
  <c r="H14" i="4"/>
  <c r="H15" i="4"/>
  <c r="H13" i="4"/>
  <c r="F15" i="4"/>
  <c r="F14" i="4"/>
  <c r="F13" i="4"/>
  <c r="F17" i="4" l="1"/>
  <c r="G15" i="4" l="1"/>
  <c r="F19" i="4"/>
  <c r="G13" i="4"/>
  <c r="G17" i="4"/>
  <c r="G18" i="4"/>
  <c r="G14" i="4"/>
  <c r="G19" i="4" l="1"/>
  <c r="F20" i="4"/>
</calcChain>
</file>

<file path=xl/sharedStrings.xml><?xml version="1.0" encoding="utf-8"?>
<sst xmlns="http://schemas.openxmlformats.org/spreadsheetml/2006/main" count="43" uniqueCount="40">
  <si>
    <t>수량</t>
    <phoneticPr fontId="1" type="noConversion"/>
  </si>
  <si>
    <t>총액</t>
    <phoneticPr fontId="1" type="noConversion"/>
  </si>
  <si>
    <t>종목명</t>
    <phoneticPr fontId="1" type="noConversion"/>
  </si>
  <si>
    <t>매입단가</t>
    <phoneticPr fontId="1" type="noConversion"/>
  </si>
  <si>
    <t>포트폴리오 현황</t>
    <phoneticPr fontId="1" type="noConversion"/>
  </si>
  <si>
    <t>수익률</t>
    <phoneticPr fontId="1" type="noConversion"/>
  </si>
  <si>
    <t>비중</t>
    <phoneticPr fontId="1" type="noConversion"/>
  </si>
  <si>
    <t>시작금액</t>
    <phoneticPr fontId="1" type="noConversion"/>
  </si>
  <si>
    <t>현재가</t>
    <phoneticPr fontId="1" type="noConversion"/>
  </si>
  <si>
    <t>총 현금</t>
    <phoneticPr fontId="1" type="noConversion"/>
  </si>
  <si>
    <t>총계</t>
    <phoneticPr fontId="1" type="noConversion"/>
  </si>
  <si>
    <t>총 수익률</t>
    <phoneticPr fontId="1" type="noConversion"/>
  </si>
  <si>
    <t>1)이재명 대통령의 중장기 전기 요금 인상 필요성 언급</t>
    <phoneticPr fontId="1" type="noConversion"/>
  </si>
  <si>
    <t>2)안정적 수준을 유지하는 원자재 가격</t>
    <phoneticPr fontId="1" type="noConversion"/>
  </si>
  <si>
    <t>3)하단을 지지하는 안정적 배당수익률</t>
    <phoneticPr fontId="1" type="noConversion"/>
  </si>
  <si>
    <t>25년에 95조~97조원 쯤 매출 찍힐 것 -&gt; 26년부터 100조</t>
    <phoneticPr fontId="1" type="noConversion"/>
  </si>
  <si>
    <t>SMP: System Marginal Price(계통한계가격)</t>
    <phoneticPr fontId="1" type="noConversion"/>
  </si>
  <si>
    <t>IPP: Independent Power Producer(발전사업자)</t>
    <phoneticPr fontId="1" type="noConversion"/>
  </si>
  <si>
    <t>PBR</t>
    <phoneticPr fontId="1" type="noConversion"/>
  </si>
  <si>
    <t>1. ROE랑 COE에 영구성장률로 구하는 법</t>
    <phoneticPr fontId="1" type="noConversion"/>
  </si>
  <si>
    <t>무슨 차이지</t>
    <phoneticPr fontId="1" type="noConversion"/>
  </si>
  <si>
    <t>2. ROE랑 회귀분석 돌려서 추정하는 법</t>
    <phoneticPr fontId="1" type="noConversion"/>
  </si>
  <si>
    <t>전기요금은 생산과 공급에 투입된 모든 비용을 보전하는 총괄원가방식에 따라 산업자원통상부와 협의하여 결정</t>
    <phoneticPr fontId="1" type="noConversion"/>
  </si>
  <si>
    <t>정부의 DC 건설, 에너지고속도로 등에는 전력망 투자가 필수</t>
    <phoneticPr fontId="1" type="noConversion"/>
  </si>
  <si>
    <t>3Q25 매출액 25~27조/OPM 18% 전망</t>
    <phoneticPr fontId="1" type="noConversion"/>
  </si>
  <si>
    <t>환율은 결국 돈의 값</t>
    <phoneticPr fontId="1" type="noConversion"/>
  </si>
  <si>
    <t>달러가 귀해지면 달러 가격이 오르고 상대적으로 원화 가격이 내려감</t>
    <phoneticPr fontId="1" type="noConversion"/>
  </si>
  <si>
    <t>달러 유입: 무역이 기본적 공급원이므로 전달 무역수지의 흑자 규모를 확인할 것</t>
    <phoneticPr fontId="1" type="noConversion"/>
  </si>
  <si>
    <t>달러 유출: (한국인들이 외국 주식의 매수자금 - 매도자금) + 외인들 한국 주식 매도 자금</t>
    <phoneticPr fontId="1" type="noConversion"/>
  </si>
  <si>
    <t>총 주식 매입액</t>
    <phoneticPr fontId="1" type="noConversion"/>
  </si>
  <si>
    <t>총 주식 평가액</t>
    <phoneticPr fontId="1" type="noConversion"/>
  </si>
  <si>
    <t>-</t>
    <phoneticPr fontId="1" type="noConversion"/>
  </si>
  <si>
    <t>두산</t>
    <phoneticPr fontId="1" type="noConversion"/>
  </si>
  <si>
    <t>SK하이닉스</t>
    <phoneticPr fontId="1" type="noConversion"/>
  </si>
  <si>
    <t>7/15 코스피</t>
    <phoneticPr fontId="1" type="noConversion"/>
  </si>
  <si>
    <t>11/28 코스피</t>
    <phoneticPr fontId="1" type="noConversion"/>
  </si>
  <si>
    <t>두산에너빌리티</t>
    <phoneticPr fontId="1" type="noConversion"/>
  </si>
  <si>
    <t>주식 운용현황 (11/28 종가기준)</t>
    <phoneticPr fontId="1" type="noConversion"/>
  </si>
  <si>
    <t>동일기간 코스피 수익률(25/07/15~)</t>
    <phoneticPr fontId="1" type="noConversion"/>
  </si>
  <si>
    <t>현금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</si>
</sst>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0.0%"/>
    <numFmt numFmtId="177" formatCode="0.000%"/>
    <numFmt numFmtId="178" formatCode="mm&quot;월&quot;\ dd&quot;일&quot;"/>
  </numFmts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0"/>
      <name val="KoPubWorld돋움체 Bold"/>
      <family val="3"/>
      <charset val="129"/>
    </font>
    <font>
      <sz val="11"/>
      <color theme="1"/>
      <name val="KoPubWorld돋움체 Light"/>
      <family val="3"/>
      <charset val="129"/>
    </font>
    <font>
      <sz val="10"/>
      <color theme="1"/>
      <name val="맑은 고딕"/>
      <family val="2"/>
      <charset val="129"/>
      <scheme val="minor"/>
    </font>
    <font>
      <sz val="11"/>
      <color theme="1"/>
      <name val="KoPubWorld돋움체 Bold"/>
      <family val="3"/>
      <charset val="129"/>
    </font>
    <font>
      <sz val="11"/>
      <color theme="1"/>
      <name val="KoPubWorld돋움체 Medium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7878FF"/>
        <bgColor indexed="64"/>
      </patternFill>
    </fill>
    <fill>
      <patternFill patternType="solid">
        <fgColor rgb="FFFA78FA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0" fillId="2" borderId="0" xfId="0" applyFill="1">
      <alignment vertical="center"/>
    </xf>
    <xf numFmtId="0" fontId="3" fillId="2" borderId="0" xfId="0" applyFont="1" applyFill="1">
      <alignment vertical="center"/>
    </xf>
    <xf numFmtId="0" fontId="4" fillId="0" borderId="0" xfId="0" applyFont="1">
      <alignment vertical="center"/>
    </xf>
    <xf numFmtId="41" fontId="4" fillId="0" borderId="0" xfId="1" applyFont="1">
      <alignment vertical="center"/>
    </xf>
    <xf numFmtId="9" fontId="4" fillId="0" borderId="0" xfId="2" applyFont="1">
      <alignment vertical="center"/>
    </xf>
    <xf numFmtId="9" fontId="0" fillId="0" borderId="0" xfId="0" applyNumberFormat="1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0" fontId="4" fillId="0" borderId="0" xfId="2" applyNumberFormat="1" applyFont="1" applyAlignment="1">
      <alignment horizontal="center" vertical="center"/>
    </xf>
    <xf numFmtId="41" fontId="4" fillId="0" borderId="0" xfId="1" applyFont="1" applyAlignment="1">
      <alignment horizontal="center" vertical="center"/>
    </xf>
    <xf numFmtId="41" fontId="4" fillId="0" borderId="0" xfId="0" applyNumberFormat="1" applyFont="1" applyAlignment="1">
      <alignment horizontal="center" vertical="center"/>
    </xf>
    <xf numFmtId="41" fontId="4" fillId="0" borderId="1" xfId="0" applyNumberFormat="1" applyFont="1" applyBorder="1" applyAlignment="1">
      <alignment horizontal="center" vertical="center"/>
    </xf>
    <xf numFmtId="10" fontId="4" fillId="0" borderId="1" xfId="2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0" xfId="2" applyNumberFormat="1" applyFont="1">
      <alignment vertical="center"/>
    </xf>
    <xf numFmtId="0" fontId="7" fillId="0" borderId="0" xfId="0" applyFont="1">
      <alignment vertical="center"/>
    </xf>
    <xf numFmtId="10" fontId="4" fillId="0" borderId="0" xfId="2" applyNumberFormat="1" applyFont="1">
      <alignment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77" fontId="6" fillId="0" borderId="2" xfId="2" applyNumberFormat="1" applyFont="1" applyBorder="1" applyAlignment="1">
      <alignment horizontal="center" vertical="center"/>
    </xf>
    <xf numFmtId="178" fontId="0" fillId="0" borderId="0" xfId="0" applyNumberFormat="1">
      <alignment vertical="center"/>
    </xf>
    <xf numFmtId="9" fontId="0" fillId="0" borderId="0" xfId="2" applyFont="1">
      <alignment vertical="center"/>
    </xf>
    <xf numFmtId="0" fontId="6" fillId="0" borderId="2" xfId="0" applyFont="1" applyBorder="1" applyAlignment="1">
      <alignment horizontal="center" vertical="center"/>
    </xf>
  </cellXfs>
  <cellStyles count="5">
    <cellStyle name="백분율" xfId="2" builtinId="5"/>
    <cellStyle name="쉼표 [0]" xfId="1" builtinId="6"/>
    <cellStyle name="쉼표 [0] 2" xfId="4" xr:uid="{3C07B0D3-C332-4B7C-815C-7729DFE33B24}"/>
    <cellStyle name="표준" xfId="0" builtinId="0"/>
    <cellStyle name="표준 2" xfId="3" xr:uid="{A3EBEC81-B433-45B4-BF23-F91575765021}"/>
  </cellStyles>
  <dxfs count="0"/>
  <tableStyles count="0" defaultTableStyle="TableStyleMedium2" defaultPivotStyle="PivotStyleLight16"/>
  <colors>
    <mruColors>
      <color rgb="FFFA78FA"/>
      <color rgb="FFFFF45F"/>
      <color rgb="FF96FA64"/>
      <color rgb="FF7878FF"/>
      <color rgb="FFFF5F5F"/>
      <color rgb="FF96FAFF"/>
      <color rgb="FFFFFF99"/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FA78F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8870-4411-9C4E-98B63F63DBE1}"/>
              </c:ext>
            </c:extLst>
          </c:dPt>
          <c:dPt>
            <c:idx val="1"/>
            <c:bubble3D val="0"/>
            <c:spPr>
              <a:solidFill>
                <a:srgbClr val="7878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870-4411-9C4E-98B63F63DBE1}"/>
              </c:ext>
            </c:extLst>
          </c:dPt>
          <c:dPt>
            <c:idx val="2"/>
            <c:bubble3D val="0"/>
            <c:spPr>
              <a:solidFill>
                <a:srgbClr val="96FA6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8870-4411-9C4E-98B63F63DBE1}"/>
              </c:ext>
            </c:extLst>
          </c:dPt>
          <c:dPt>
            <c:idx val="3"/>
            <c:bubble3D val="0"/>
            <c:spPr>
              <a:solidFill>
                <a:srgbClr val="FFF45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870-4411-9C4E-98B63F63DBE1}"/>
              </c:ext>
            </c:extLst>
          </c:dPt>
          <c:cat>
            <c:strRef>
              <c:f>현황!$B$26:$B$29</c:f>
              <c:strCache>
                <c:ptCount val="4"/>
                <c:pt idx="0">
                  <c:v>두산</c:v>
                </c:pt>
                <c:pt idx="1">
                  <c:v>SK하이닉스</c:v>
                </c:pt>
                <c:pt idx="2">
                  <c:v>두산에너빌리티</c:v>
                </c:pt>
                <c:pt idx="3">
                  <c:v>현금</c:v>
                </c:pt>
              </c:strCache>
            </c:strRef>
          </c:cat>
          <c:val>
            <c:numRef>
              <c:f>현황!$C$26:$C$29</c:f>
              <c:numCache>
                <c:formatCode>0.00%</c:formatCode>
                <c:ptCount val="4"/>
                <c:pt idx="0">
                  <c:v>0.23747151392291962</c:v>
                </c:pt>
                <c:pt idx="1">
                  <c:v>0.4310270629422856</c:v>
                </c:pt>
                <c:pt idx="2">
                  <c:v>0.15533239438108784</c:v>
                </c:pt>
                <c:pt idx="3">
                  <c:v>0.17616902875370694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70-4411-9C4E-98B63F63DB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53975</xdr:colOff>
      <xdr:row>27</xdr:row>
      <xdr:rowOff>31750</xdr:rowOff>
    </xdr:from>
    <xdr:to>
      <xdr:col>9</xdr:col>
      <xdr:colOff>561975</xdr:colOff>
      <xdr:row>39</xdr:row>
      <xdr:rowOff>158750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91139BD1-A6FA-BDD5-FAC3-E2889DC63E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9</xdr:col>
      <xdr:colOff>359329</xdr:colOff>
      <xdr:row>14</xdr:row>
      <xdr:rowOff>12974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19A28DE-EFF4-043E-9CBA-243D86F957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" y="220980"/>
          <a:ext cx="5723809" cy="2885714"/>
        </a:xfrm>
        <a:prstGeom prst="rect">
          <a:avLst/>
        </a:prstGeom>
      </xdr:spPr>
    </xdr:pic>
    <xdr:clientData/>
  </xdr:twoCellAnchor>
  <xdr:twoCellAnchor editAs="oneCell">
    <xdr:from>
      <xdr:col>1</xdr:col>
      <xdr:colOff>205740</xdr:colOff>
      <xdr:row>15</xdr:row>
      <xdr:rowOff>68580</xdr:rowOff>
    </xdr:from>
    <xdr:to>
      <xdr:col>8</xdr:col>
      <xdr:colOff>635629</xdr:colOff>
      <xdr:row>45</xdr:row>
      <xdr:rowOff>20132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8A1D5184-5EA6-1B8B-8B7F-B82952D725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6300" y="3383280"/>
          <a:ext cx="5123809" cy="6580952"/>
        </a:xfrm>
        <a:prstGeom prst="rect">
          <a:avLst/>
        </a:prstGeom>
      </xdr:spPr>
    </xdr:pic>
    <xdr:clientData/>
  </xdr:twoCellAnchor>
  <xdr:twoCellAnchor editAs="oneCell">
    <xdr:from>
      <xdr:col>10</xdr:col>
      <xdr:colOff>121920</xdr:colOff>
      <xdr:row>1</xdr:row>
      <xdr:rowOff>99060</xdr:rowOff>
    </xdr:from>
    <xdr:to>
      <xdr:col>18</xdr:col>
      <xdr:colOff>576488</xdr:colOff>
      <xdr:row>28</xdr:row>
      <xdr:rowOff>189743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AF952467-DB8D-70FC-1713-690F4BFF8F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27520" y="320040"/>
          <a:ext cx="5819048" cy="6057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D3AB6-4C19-43AA-AF6D-1B6B42F03CF5}">
  <sheetPr codeName="Sheet2">
    <tabColor rgb="FFFF33CC"/>
  </sheetPr>
  <dimension ref="A1:H30"/>
  <sheetViews>
    <sheetView tabSelected="1" topLeftCell="A25" zoomScaleNormal="100" workbookViewId="0">
      <selection activeCell="C35" sqref="C35"/>
    </sheetView>
  </sheetViews>
  <sheetFormatPr defaultRowHeight="17" x14ac:dyDescent="0.45"/>
  <cols>
    <col min="2" max="2" width="19" bestFit="1" customWidth="1"/>
    <col min="3" max="3" width="11.5" bestFit="1" customWidth="1"/>
    <col min="4" max="4" width="8.9140625" bestFit="1" customWidth="1"/>
    <col min="5" max="5" width="9.9140625" bestFit="1" customWidth="1"/>
    <col min="6" max="6" width="11.75" bestFit="1" customWidth="1"/>
    <col min="7" max="8" width="11.5" bestFit="1" customWidth="1"/>
  </cols>
  <sheetData>
    <row r="1" spans="1:8" ht="18" x14ac:dyDescent="0.45">
      <c r="A1" s="4" t="s">
        <v>7</v>
      </c>
      <c r="B1" s="4">
        <v>6000000</v>
      </c>
    </row>
    <row r="2" spans="1:8" s="1" customFormat="1" ht="18" x14ac:dyDescent="0.45">
      <c r="B2" s="2" t="s">
        <v>4</v>
      </c>
    </row>
    <row r="4" spans="1:8" ht="18" x14ac:dyDescent="0.45">
      <c r="A4" s="3"/>
      <c r="B4" s="3"/>
    </row>
    <row r="5" spans="1:8" ht="18" x14ac:dyDescent="0.45">
      <c r="B5" s="3"/>
      <c r="C5" s="3"/>
      <c r="D5" s="3"/>
      <c r="E5" s="3"/>
      <c r="F5" s="3"/>
      <c r="G5" s="3"/>
      <c r="H5" s="3"/>
    </row>
    <row r="6" spans="1:8" ht="18" x14ac:dyDescent="0.45">
      <c r="B6" s="3"/>
      <c r="C6" s="18"/>
      <c r="D6" s="5"/>
      <c r="E6" s="5"/>
      <c r="F6" s="5"/>
      <c r="G6" s="3"/>
      <c r="H6" s="3"/>
    </row>
    <row r="7" spans="1:8" ht="18" x14ac:dyDescent="0.45">
      <c r="B7" s="3"/>
      <c r="C7" s="18"/>
      <c r="D7" s="5"/>
      <c r="E7" s="5"/>
      <c r="F7" s="5"/>
      <c r="G7" s="3"/>
      <c r="H7" s="3"/>
    </row>
    <row r="8" spans="1:8" ht="18" x14ac:dyDescent="0.45">
      <c r="B8" s="3"/>
      <c r="C8" s="18"/>
      <c r="D8" s="5"/>
      <c r="E8" s="5"/>
      <c r="F8" s="5"/>
      <c r="G8" s="3"/>
      <c r="H8" s="3"/>
    </row>
    <row r="9" spans="1:8" ht="18" x14ac:dyDescent="0.45">
      <c r="B9" s="3"/>
      <c r="C9" s="18"/>
      <c r="D9" s="5"/>
      <c r="E9" s="5"/>
      <c r="F9" s="5"/>
      <c r="G9" s="3"/>
      <c r="H9" s="3"/>
    </row>
    <row r="10" spans="1:8" ht="18" x14ac:dyDescent="0.45">
      <c r="B10" s="3"/>
      <c r="C10" s="3"/>
      <c r="D10" s="3"/>
      <c r="E10" s="3"/>
      <c r="F10" s="3"/>
      <c r="G10" s="3"/>
      <c r="H10" s="3"/>
    </row>
    <row r="11" spans="1:8" ht="18" x14ac:dyDescent="0.45">
      <c r="B11" s="19" t="s">
        <v>37</v>
      </c>
      <c r="C11" s="19"/>
      <c r="D11" s="19"/>
      <c r="E11" s="19"/>
      <c r="F11" s="19"/>
      <c r="G11" s="19"/>
      <c r="H11" s="19"/>
    </row>
    <row r="12" spans="1:8" ht="18" x14ac:dyDescent="0.45">
      <c r="B12" s="9" t="s">
        <v>2</v>
      </c>
      <c r="C12" s="9" t="s">
        <v>3</v>
      </c>
      <c r="D12" s="9" t="s">
        <v>0</v>
      </c>
      <c r="E12" s="9" t="s">
        <v>8</v>
      </c>
      <c r="F12" s="9" t="s">
        <v>1</v>
      </c>
      <c r="G12" s="9" t="s">
        <v>6</v>
      </c>
      <c r="H12" s="9" t="s">
        <v>5</v>
      </c>
    </row>
    <row r="13" spans="1:8" ht="18" x14ac:dyDescent="0.45">
      <c r="B13" s="7" t="s">
        <v>32</v>
      </c>
      <c r="C13" s="11">
        <v>586000</v>
      </c>
      <c r="D13" s="7">
        <v>2</v>
      </c>
      <c r="E13" s="11">
        <v>876000</v>
      </c>
      <c r="F13" s="11">
        <f>E13*D13</f>
        <v>1752000</v>
      </c>
      <c r="G13" s="10">
        <f>F13/($F$17+$F$18)</f>
        <v>0.23747151392291962</v>
      </c>
      <c r="H13" s="10">
        <f>(E13-C13)/C13</f>
        <v>0.4948805460750853</v>
      </c>
    </row>
    <row r="14" spans="1:8" ht="18" x14ac:dyDescent="0.45">
      <c r="B14" s="7" t="s">
        <v>33</v>
      </c>
      <c r="C14" s="11">
        <v>560000</v>
      </c>
      <c r="D14" s="7">
        <v>6</v>
      </c>
      <c r="E14" s="11">
        <v>530000</v>
      </c>
      <c r="F14" s="11">
        <f t="shared" ref="F14:F15" si="0">E14*D14</f>
        <v>3180000</v>
      </c>
      <c r="G14" s="10">
        <f>F14/($F$17+$F$18)</f>
        <v>0.4310270629422856</v>
      </c>
      <c r="H14" s="10">
        <f t="shared" ref="H14:H15" si="1">(E14-C14)/C14</f>
        <v>-5.3571428571428568E-2</v>
      </c>
    </row>
    <row r="15" spans="1:8" ht="18" x14ac:dyDescent="0.45">
      <c r="B15" s="7" t="s">
        <v>36</v>
      </c>
      <c r="C15" s="11">
        <v>82667</v>
      </c>
      <c r="D15" s="7">
        <v>15</v>
      </c>
      <c r="E15" s="11">
        <v>76400</v>
      </c>
      <c r="F15" s="11">
        <f t="shared" si="0"/>
        <v>1146000</v>
      </c>
      <c r="G15" s="10">
        <f>F15/($F$17+$F$18)</f>
        <v>0.15533239438108784</v>
      </c>
      <c r="H15" s="10">
        <f t="shared" si="1"/>
        <v>-7.5810178184765389E-2</v>
      </c>
    </row>
    <row r="16" spans="1:8" ht="18" x14ac:dyDescent="0.45">
      <c r="B16" s="20" t="s">
        <v>29</v>
      </c>
      <c r="C16" s="20"/>
      <c r="D16" s="20"/>
      <c r="E16" s="20"/>
      <c r="F16" s="12">
        <f>SUM(C13*D13+C15*D15+C14*D14)</f>
        <v>5772005</v>
      </c>
      <c r="G16" s="10" t="s">
        <v>31</v>
      </c>
      <c r="H16" s="8"/>
    </row>
    <row r="17" spans="2:8" ht="18" x14ac:dyDescent="0.45">
      <c r="B17" s="20" t="s">
        <v>30</v>
      </c>
      <c r="C17" s="20"/>
      <c r="D17" s="20"/>
      <c r="E17" s="20"/>
      <c r="F17" s="12">
        <f>SUM(F13:F15)</f>
        <v>6078000</v>
      </c>
      <c r="G17" s="10">
        <f t="shared" ref="G17:G19" si="2">F17/($F$17+$F$18)</f>
        <v>0.82383097124629312</v>
      </c>
      <c r="H17" s="8"/>
    </row>
    <row r="18" spans="2:8" ht="18" x14ac:dyDescent="0.45">
      <c r="B18" s="20" t="s">
        <v>9</v>
      </c>
      <c r="C18" s="20"/>
      <c r="D18" s="20"/>
      <c r="E18" s="20"/>
      <c r="F18" s="12">
        <v>1299727</v>
      </c>
      <c r="G18" s="10">
        <f t="shared" si="2"/>
        <v>0.17616902875370694</v>
      </c>
      <c r="H18" s="8"/>
    </row>
    <row r="19" spans="2:8" ht="18" x14ac:dyDescent="0.45">
      <c r="B19" s="21" t="s">
        <v>10</v>
      </c>
      <c r="C19" s="21"/>
      <c r="D19" s="21"/>
      <c r="E19" s="21"/>
      <c r="F19" s="13">
        <f>F17+F18</f>
        <v>7377727</v>
      </c>
      <c r="G19" s="14">
        <f t="shared" si="2"/>
        <v>1</v>
      </c>
      <c r="H19" s="15"/>
    </row>
    <row r="20" spans="2:8" ht="18" x14ac:dyDescent="0.45">
      <c r="B20" s="22" t="s">
        <v>11</v>
      </c>
      <c r="C20" s="22"/>
      <c r="D20" s="22"/>
      <c r="E20" s="22"/>
      <c r="F20" s="23">
        <f>(F19-B1)/B1</f>
        <v>0.22962116666666665</v>
      </c>
      <c r="G20" s="23"/>
      <c r="H20" s="23"/>
    </row>
    <row r="21" spans="2:8" ht="18" x14ac:dyDescent="0.45">
      <c r="B21" s="26" t="s">
        <v>38</v>
      </c>
      <c r="C21" s="26"/>
      <c r="D21" s="26"/>
      <c r="E21" s="26"/>
      <c r="F21" s="23">
        <f>D24</f>
        <v>0.2212280112462989</v>
      </c>
      <c r="G21" s="23"/>
      <c r="H21" s="23"/>
    </row>
    <row r="23" spans="2:8" x14ac:dyDescent="0.45">
      <c r="B23" t="s">
        <v>34</v>
      </c>
      <c r="C23">
        <v>3215.28</v>
      </c>
    </row>
    <row r="24" spans="2:8" x14ac:dyDescent="0.45">
      <c r="B24" s="24" t="s">
        <v>35</v>
      </c>
      <c r="C24">
        <v>3926.59</v>
      </c>
      <c r="D24" s="25">
        <f>(C24-C23)/C23</f>
        <v>0.2212280112462989</v>
      </c>
    </row>
    <row r="25" spans="2:8" ht="18" x14ac:dyDescent="0.45">
      <c r="E25" s="7"/>
      <c r="F25" s="16"/>
    </row>
    <row r="26" spans="2:8" ht="18" x14ac:dyDescent="0.45">
      <c r="B26" s="7" t="s">
        <v>32</v>
      </c>
      <c r="C26" s="10">
        <v>0.23747151392291962</v>
      </c>
      <c r="D26" s="7"/>
      <c r="E26" s="11"/>
      <c r="F26" s="11"/>
    </row>
    <row r="27" spans="2:8" ht="18" x14ac:dyDescent="0.45">
      <c r="B27" s="7" t="s">
        <v>33</v>
      </c>
      <c r="C27" s="10">
        <v>0.4310270629422856</v>
      </c>
      <c r="D27" s="7"/>
      <c r="E27" s="11"/>
      <c r="F27" s="11"/>
    </row>
    <row r="28" spans="2:8" ht="18" x14ac:dyDescent="0.45">
      <c r="B28" s="7" t="s">
        <v>36</v>
      </c>
      <c r="C28" s="10">
        <v>0.15533239438108784</v>
      </c>
      <c r="D28" s="7"/>
      <c r="E28" s="11"/>
      <c r="F28" s="11"/>
    </row>
    <row r="29" spans="2:8" ht="18" x14ac:dyDescent="0.45">
      <c r="B29" s="7" t="s">
        <v>39</v>
      </c>
      <c r="C29" s="10">
        <v>0.17616902875370694</v>
      </c>
      <c r="E29" s="7"/>
      <c r="F29" s="16"/>
    </row>
    <row r="30" spans="2:8" x14ac:dyDescent="0.45">
      <c r="F30" s="6"/>
    </row>
  </sheetData>
  <mergeCells count="9">
    <mergeCell ref="B21:E21"/>
    <mergeCell ref="F21:H21"/>
    <mergeCell ref="B11:H11"/>
    <mergeCell ref="B17:E17"/>
    <mergeCell ref="B18:E18"/>
    <mergeCell ref="B19:E19"/>
    <mergeCell ref="B20:E20"/>
    <mergeCell ref="F20:H20"/>
    <mergeCell ref="B16:E16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A8B30-2739-413F-9542-F240BA92F95E}">
  <dimension ref="B2:C19"/>
  <sheetViews>
    <sheetView workbookViewId="0">
      <selection activeCell="G17" sqref="G17"/>
    </sheetView>
  </sheetViews>
  <sheetFormatPr defaultColWidth="8.83203125" defaultRowHeight="18" x14ac:dyDescent="0.45"/>
  <cols>
    <col min="1" max="16384" width="8.83203125" style="17"/>
  </cols>
  <sheetData>
    <row r="2" spans="2:2" x14ac:dyDescent="0.45">
      <c r="B2" s="17" t="s">
        <v>12</v>
      </c>
    </row>
    <row r="3" spans="2:2" x14ac:dyDescent="0.45">
      <c r="B3" s="17" t="s">
        <v>22</v>
      </c>
    </row>
    <row r="4" spans="2:2" x14ac:dyDescent="0.45">
      <c r="B4" s="17" t="s">
        <v>23</v>
      </c>
    </row>
    <row r="7" spans="2:2" x14ac:dyDescent="0.45">
      <c r="B7" s="17" t="s">
        <v>13</v>
      </c>
    </row>
    <row r="8" spans="2:2" x14ac:dyDescent="0.45">
      <c r="B8" s="17" t="s">
        <v>14</v>
      </c>
    </row>
    <row r="10" spans="2:2" x14ac:dyDescent="0.45">
      <c r="B10" s="17" t="s">
        <v>15</v>
      </c>
    </row>
    <row r="12" spans="2:2" x14ac:dyDescent="0.45">
      <c r="B12" s="17" t="s">
        <v>17</v>
      </c>
    </row>
    <row r="13" spans="2:2" x14ac:dyDescent="0.45">
      <c r="B13" s="17" t="s">
        <v>16</v>
      </c>
    </row>
    <row r="15" spans="2:2" x14ac:dyDescent="0.45">
      <c r="B15" s="17" t="s">
        <v>24</v>
      </c>
    </row>
    <row r="17" spans="2:3" x14ac:dyDescent="0.45">
      <c r="B17" s="17" t="s">
        <v>18</v>
      </c>
      <c r="C17" s="17" t="s">
        <v>19</v>
      </c>
    </row>
    <row r="18" spans="2:3" x14ac:dyDescent="0.45">
      <c r="C18" s="17" t="s">
        <v>21</v>
      </c>
    </row>
    <row r="19" spans="2:3" x14ac:dyDescent="0.45">
      <c r="C19" s="17" t="s">
        <v>20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2A4C2-0665-427A-AB0B-0DADBEA93475}">
  <dimension ref="A1"/>
  <sheetViews>
    <sheetView topLeftCell="A19" workbookViewId="0">
      <selection activeCell="P33" sqref="P33"/>
    </sheetView>
  </sheetViews>
  <sheetFormatPr defaultRowHeight="17" x14ac:dyDescent="0.45"/>
  <sheetData/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ACA64-4E9E-4271-B9BF-E04DF6708F32}">
  <dimension ref="A1"/>
  <sheetViews>
    <sheetView workbookViewId="0">
      <selection activeCell="G21" sqref="G21"/>
    </sheetView>
  </sheetViews>
  <sheetFormatPr defaultRowHeight="17" x14ac:dyDescent="0.45"/>
  <sheetData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BD344-932E-455B-B54B-409F2BBE2D8D}">
  <dimension ref="B2:B7"/>
  <sheetViews>
    <sheetView workbookViewId="0">
      <selection activeCell="G18" sqref="G18"/>
    </sheetView>
  </sheetViews>
  <sheetFormatPr defaultColWidth="8.83203125" defaultRowHeight="18" x14ac:dyDescent="0.45"/>
  <cols>
    <col min="1" max="16384" width="8.83203125" style="17"/>
  </cols>
  <sheetData>
    <row r="2" spans="2:2" x14ac:dyDescent="0.45">
      <c r="B2" s="17" t="s">
        <v>25</v>
      </c>
    </row>
    <row r="3" spans="2:2" x14ac:dyDescent="0.45">
      <c r="B3" s="17" t="s">
        <v>26</v>
      </c>
    </row>
    <row r="5" spans="2:2" x14ac:dyDescent="0.45">
      <c r="B5" s="17" t="s">
        <v>27</v>
      </c>
    </row>
    <row r="7" spans="2:2" x14ac:dyDescent="0.45">
      <c r="B7" s="17" t="s">
        <v>28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현황</vt:lpstr>
      <vt:lpstr>한국전력</vt:lpstr>
      <vt:lpstr>삼성전기</vt:lpstr>
      <vt:lpstr>SK하이닉스</vt:lpstr>
      <vt:lpstr>환율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채현기</dc:creator>
  <cp:lastModifiedBy>채현기</cp:lastModifiedBy>
  <dcterms:created xsi:type="dcterms:W3CDTF">2025-07-01T14:53:16Z</dcterms:created>
  <dcterms:modified xsi:type="dcterms:W3CDTF">2025-11-28T06:54:39Z</dcterms:modified>
</cp:coreProperties>
</file>