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customProperty2.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customProperty3.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ustomProperty4.bin" ContentType="application/vnd.openxmlformats-officedocument.spreadsheetml.customProperty"/>
  <Override PartName="/xl/drawings/drawing6.xml" ContentType="application/vnd.openxmlformats-officedocument.drawing+xml"/>
  <Override PartName="/xl/customProperty5.bin" ContentType="application/vnd.openxmlformats-officedocument.spreadsheetml.customProperty"/>
  <Override PartName="/xl/drawings/drawing7.xml" ContentType="application/vnd.openxmlformats-officedocument.drawing+xml"/>
  <Override PartName="/xl/drawings/drawing8.xml" ContentType="application/vnd.openxmlformats-officedocument.drawing+xml"/>
  <Override PartName="/xl/customProperty6.bin" ContentType="application/vnd.openxmlformats-officedocument.spreadsheetml.customProperty"/>
  <Override PartName="/xl/drawings/drawing9.xml" ContentType="application/vnd.openxmlformats-officedocument.drawing+xml"/>
  <Override PartName="/xl/drawings/drawing10.xml" ContentType="application/vnd.openxmlformats-officedocument.drawing+xml"/>
  <Override PartName="/xl/comments5.xml" ContentType="application/vnd.openxmlformats-officedocument.spreadsheetml.comments+xml"/>
  <Override PartName="/xl/customProperty7.bin" ContentType="application/vnd.openxmlformats-officedocument.spreadsheetml.customProperty"/>
  <Override PartName="/xl/drawings/drawing11.xml" ContentType="application/vnd.openxmlformats-officedocument.drawing+xml"/>
  <Override PartName="/xl/customProperty8.bin" ContentType="application/vnd.openxmlformats-officedocument.spreadsheetml.customProperty"/>
  <Override PartName="/xl/drawings/drawing12.xml" ContentType="application/vnd.openxmlformats-officedocument.drawing+xml"/>
  <Override PartName="/xl/customProperty9.bin" ContentType="application/vnd.openxmlformats-officedocument.spreadsheetml.customProperty"/>
  <Override PartName="/xl/comments6.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7.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ustomProperty10.bin" ContentType="application/vnd.openxmlformats-officedocument.spreadsheetml.customProperty"/>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66925"/>
  <mc:AlternateContent xmlns:mc="http://schemas.openxmlformats.org/markup-compatibility/2006">
    <mc:Choice Requires="x15">
      <x15ac:absPath xmlns:x15ac="http://schemas.microsoft.com/office/spreadsheetml/2010/11/ac" url="C:\Users\eunse\Desktop\Wall Street Training Asia\Online\"/>
    </mc:Choice>
  </mc:AlternateContent>
  <xr:revisionPtr revIDLastSave="0" documentId="13_ncr:1_{933A345F-7523-425E-A163-01F76F58A8D5}" xr6:coauthVersionLast="47" xr6:coauthVersionMax="47" xr10:uidLastSave="{00000000-0000-0000-0000-000000000000}"/>
  <bookViews>
    <workbookView xWindow="-108" yWindow="-108" windowWidth="23256" windowHeight="12576" tabRatio="807" firstSheet="1" activeTab="1" xr2:uid="{00000000-000D-0000-FFFF-FFFF00000000}"/>
  </bookViews>
  <sheets>
    <sheet name="_CIQHiddenCacheSheet" sheetId="51" state="veryHidden" r:id="rId1"/>
    <sheet name="Cover" sheetId="11" r:id="rId2"/>
    <sheet name="Operations" sheetId="1" r:id="rId3"/>
    <sheet name="Income Statement" sheetId="5" r:id="rId4"/>
    <sheet name="Balance Sheet" sheetId="9" r:id="rId5"/>
    <sheet name="Cash Flow" sheetId="10" r:id="rId6"/>
    <sheet name="Working Capital" sheetId="12" r:id="rId7"/>
    <sheet name="PP&amp;E" sheetId="13" r:id="rId8"/>
    <sheet name="Other LT Items" sheetId="26" r:id="rId9"/>
    <sheet name="Equity" sheetId="28" r:id="rId10"/>
    <sheet name="Shares" sheetId="29" r:id="rId11"/>
    <sheet name="Debt&amp;Interest" sheetId="30" r:id="rId12"/>
    <sheet name="DCF" sheetId="31" r:id="rId13"/>
    <sheet name="SHAK_10K" sheetId="4" r:id="rId14"/>
    <sheet name="Capital IQ&gt;&gt;&gt;&gt;&gt;" sheetId="25" r:id="rId15"/>
    <sheet name="Key Stats" sheetId="14" r:id="rId16"/>
    <sheet name="IS" sheetId="15" r:id="rId17"/>
    <sheet name="BS" sheetId="16" r:id="rId18"/>
    <sheet name="SCF" sheetId="17" r:id="rId19"/>
    <sheet name="Multiples" sheetId="18" r:id="rId20"/>
    <sheet name="Historical Capitalization" sheetId="19" r:id="rId21"/>
    <sheet name="Capital Structure Summary" sheetId="20" r:id="rId22"/>
    <sheet name="Capital Structure Details" sheetId="21" r:id="rId23"/>
    <sheet name="Ratios" sheetId="22" r:id="rId24"/>
    <sheet name="Supplemental" sheetId="23" r:id="rId25"/>
    <sheet name="Segments" sheetId="24" r:id="rId26"/>
    <sheet name="WACC" sheetId="33" r:id="rId27"/>
    <sheet name="Input Tab" sheetId="34" r:id="rId28"/>
    <sheet name="Trading Multiples" sheetId="35" r:id="rId29"/>
    <sheet name="Valuation Chart" sheetId="36" r:id="rId30"/>
    <sheet name="Comparable M&amp;A Transactions" sheetId="38" r:id="rId31"/>
    <sheet name="CR" sheetId="32" state="hidden" r:id="rId32"/>
  </sheets>
  <externalReferences>
    <externalReference r:id="rId33"/>
  </externalReferences>
  <definedNames>
    <definedName name="__FDS_HYPERLINK_TOGGLE_STATE__" hidden="1">"ON"</definedName>
    <definedName name="_Order1" hidden="1">0</definedName>
    <definedName name="Ccy">WACC!$E$1</definedName>
    <definedName name="CIQWBGuid" localSheetId="26" hidden="1">"19ce16bd-0a5e-4cca-be5a-800b10bf9dc8"</definedName>
    <definedName name="CIQWBGuid" hidden="1">"e2734957-fdc8-4b05-a470-5f478324b605"</definedName>
    <definedName name="circ" localSheetId="31">[1]Cover!$K$6</definedName>
    <definedName name="Circ">Cover!$K$6</definedName>
    <definedName name="Conv">WACC!#REF!</definedName>
    <definedName name="Date">WACC!$H$1</definedName>
    <definedName name="Days" localSheetId="31">#REF!</definedName>
    <definedName name="Days">'Working Capital'!$H$30</definedName>
    <definedName name="Fil">WACC!#REF!</definedName>
    <definedName name="GVKey">""</definedName>
    <definedName name="img_1675017080" localSheetId="13">SHAK_10K!#REF!</definedName>
    <definedName name="IQ_ADDIN" hidden="1">"AUTO"</definedName>
    <definedName name="IQ_AVG_PRICE_TARGET" hidden="1">"c82"</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ST_ACT_EPS_PRIMARY" hidden="1">"c2232"</definedName>
    <definedName name="IQ_EST_EPS_SURPRISE" hidden="1">"c1635"</definedName>
    <definedName name="IQ_EST_NUM_BUY_REUT" hidden="1">"c3869"</definedName>
    <definedName name="IQ_EST_NUM_BUY_THOM" hidden="1">"c5165"</definedName>
    <definedName name="IQ_EST_NUM_HOLD_REUT" hidden="1">"c3871"</definedName>
    <definedName name="IQ_EST_NUM_HOLD_THOM" hidden="1">"c5167"</definedName>
    <definedName name="IQ_EST_NUM_OUTPERFORM_REUT" hidden="1">"c3870"</definedName>
    <definedName name="IQ_EST_NUM_OUTPERFORM_THOM" hidden="1">"c5166"</definedName>
    <definedName name="IQ_EST_NUM_SELL_REUT" hidden="1">"c3873"</definedName>
    <definedName name="IQ_EST_NUM_SELL_THOM" hidden="1">"c5169"</definedName>
    <definedName name="IQ_EST_NUM_UNDERPERFORM_REUT" hidden="1">"c3872"</definedName>
    <definedName name="IQ_EST_NUM_UNDERPERFORM_THOM" hidden="1">"c5168"</definedName>
    <definedName name="IQ_EXPENSE_CODE_" hidden="1">"test"</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6" hidden="1">42947.1719328704</definedName>
    <definedName name="IQ_NAMES_REVISION_DATE_" hidden="1">"06/19/2018 03:31:41"</definedName>
    <definedName name="IQ_NAV_ACT_OR_EST" hidden="1">"c2225"</definedName>
    <definedName name="IQ_NTM">6000</definedName>
    <definedName name="IQ_OG_TOTAL_OIL_PRODUCTON" hidden="1">"c2059"</definedName>
    <definedName name="IQ_OPENED55" hidden="1">1</definedName>
    <definedName name="IQ_PRIMARY_EPS_TYPE_THOM" hidden="1">"c5297"</definedName>
    <definedName name="IQ_QTD" hidden="1">750000</definedName>
    <definedName name="IQ_SHAREOUTSTANDING" hidden="1">"c1347"</definedName>
    <definedName name="IQ_TODAY" hidden="1">0</definedName>
    <definedName name="IQ_TOTAL_PENSION_OBLIGATION" hidden="1">"c1292"</definedName>
    <definedName name="IQ_WEEK">50000</definedName>
    <definedName name="IQ_YTD">3000</definedName>
    <definedName name="IQ_YTDMONTH" hidden="1">130000</definedName>
    <definedName name="IQRInput1C10" hidden="1">'Input Tab'!$C$15:$C$24</definedName>
    <definedName name="IQRInput1C11" hidden="1">'Input Tab'!$D$15:$D$24</definedName>
    <definedName name="IQRInput1C14" hidden="1">'Input Tab'!$C$15:$C$24</definedName>
    <definedName name="IQRInput1D10" hidden="1">'Input Tab'!$D$15:$D$24</definedName>
    <definedName name="IQRInputC14" hidden="1">'Input Tab'!$C$15:$C$24</definedName>
    <definedName name="IQRInputC9" hidden="1">'Input Tab'!$C$15:$C$24</definedName>
    <definedName name="IQRInputTabC14" hidden="1">'Input Tab'!$C$15:$C$24</definedName>
    <definedName name="IQRInputTabC15" hidden="1">'Input Tab'!$C$16:$C$25</definedName>
    <definedName name="IQRInputTabC9" hidden="1">'Input Tab'!$C$15:$C$26</definedName>
    <definedName name="IQRWACCAnalysisBB10" hidden="1">WACC!#REF!</definedName>
    <definedName name="IQRWACCAnalysisBC10" hidden="1">WACC!#REF!</definedName>
    <definedName name="IQRWACCAnalysisBF10" hidden="1">WACC!#REF!</definedName>
    <definedName name="IQRWACCAnalysisBH10" hidden="1">WACC!#REF!</definedName>
    <definedName name="IQRWACCAnalysisBJ10" hidden="1">WACC!#REF!</definedName>
    <definedName name="IQRWACCAnalysisBK10" hidden="1">WACC!#REF!</definedName>
    <definedName name="IQRWACCAnalysisBL10" hidden="1">WACC!#REF!</definedName>
    <definedName name="IQRWACCAnalysisBM10" hidden="1">WACC!#REF!</definedName>
    <definedName name="IQRWACCAnalysisBN10" hidden="1">WACC!#REF!</definedName>
    <definedName name="IQRWACCAnalysisBO10" hidden="1">WACC!#REF!</definedName>
    <definedName name="IQRWACCAnalysisBP10" hidden="1">WACC!#REF!</definedName>
    <definedName name="IQRWACCAnalysisBQ10" hidden="1">WACC!#REF!</definedName>
    <definedName name="IQRWACCAnalysisBR10" hidden="1">WACC!#REF!</definedName>
    <definedName name="IQRWACCAnalysisBS10" hidden="1">WACC!#REF!</definedName>
    <definedName name="IQRWACCAnalysisBT10" hidden="1">WACC!#REF!</definedName>
    <definedName name="IQRWACCAnalysisBU10" hidden="1">WACC!#REF!</definedName>
    <definedName name="IQRWACCAnalysisBV10" hidden="1">WACC!#REF!</definedName>
    <definedName name="IQRWACCAnalysisBW10" hidden="1">WACC!#REF!</definedName>
    <definedName name="IQRWACCAnalysisBX10" hidden="1">WACC!#REF!</definedName>
    <definedName name="IQRWACCAnalysisBY10" hidden="1">WACC!#REF!</definedName>
    <definedName name="IQRWACCAnalysisBZ10" hidden="1">WACC!#REF!</definedName>
    <definedName name="IQRWACCAnalysisCA10" hidden="1">WACC!#REF!</definedName>
    <definedName name="IQRWACCAnalysisCB10" hidden="1">WACC!#REF!</definedName>
    <definedName name="IQRWACCAnalysisCC10" hidden="1">WACC!#REF!</definedName>
    <definedName name="IQRWACCAnalysisCD10" hidden="1">WACC!#REF!</definedName>
    <definedName name="List">'Input Tab'!$AD$15:$AD$19</definedName>
    <definedName name="ListOffset" hidden="1">1</definedName>
    <definedName name="o" hidden="1">{#N/A,#N/A,FALSE,"New Depr Sch-150% DB";#N/A,#N/A,FALSE,"Cash Flows RLP";#N/A,#N/A,FALSE,"IRR";#N/A,#N/A,FALSE,"Proforma IS";#N/A,#N/A,FALSE,"Assumptions"}</definedName>
    <definedName name="_xlnm.Print_Area" localSheetId="1">Cover!$A$1:$N$27</definedName>
    <definedName name="_xlnm.Print_Area" localSheetId="28">'Trading Multiples'!$A$2:$I$85</definedName>
    <definedName name="_xlnm.Print_Area" localSheetId="29">'Valuation Chart'!$B$2:$G$45</definedName>
    <definedName name="_xlnm.Print_Area" localSheetId="26">WACC!$A$1:$S$57</definedName>
    <definedName name="_xlnm.Print_Titles" localSheetId="17">BS!$1:$3</definedName>
    <definedName name="_xlnm.Print_Titles" localSheetId="22">'Capital Structure Details'!$1:$3</definedName>
    <definedName name="_xlnm.Print_Titles" localSheetId="21">'Capital Structure Summary'!$1:$3</definedName>
    <definedName name="_xlnm.Print_Titles" localSheetId="30">'Comparable M&amp;A Transactions'!$1:$3</definedName>
    <definedName name="_xlnm.Print_Titles" localSheetId="20">'Historical Capitalization'!$1:$3</definedName>
    <definedName name="_xlnm.Print_Titles" localSheetId="16">IS!$1:$3</definedName>
    <definedName name="_xlnm.Print_Titles" localSheetId="15">'Key Stats'!$1:$3</definedName>
    <definedName name="_xlnm.Print_Titles" localSheetId="19">Multiples!$1:$3</definedName>
    <definedName name="_xlnm.Print_Titles" localSheetId="23">Ratios!$1:$3</definedName>
    <definedName name="_xlnm.Print_Titles" localSheetId="18">SCF!$1:$3</definedName>
    <definedName name="_xlnm.Print_Titles" localSheetId="25">Segments!$1:$3</definedName>
    <definedName name="_xlnm.Print_Titles" localSheetId="24">Supplemental!$1:$3</definedName>
    <definedName name="SPSet">"current"</definedName>
    <definedName name="SPWS_WBID">"D37EBD5C-BA90-4B94-B2F1-78539D014FA9"</definedName>
    <definedName name="wrn.Basic._.Report." hidden="1">{#N/A,#N/A,FALSE,"New Depr Sch-150% DB";#N/A,#N/A,FALSE,"Cash Flows RLP";#N/A,#N/A,FALSE,"IRR";#N/A,#N/A,FALSE,"Proforma IS";#N/A,#N/A,FALSE,"Assumptions"}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_.Report." hidden="1">{#N/A,#N/A,FALSE,"Assumptions";#N/A,#N/A,FALSE,"Proforma IS";#N/A,#N/A,FALSE,"Cash Flows RLP";#N/A,#N/A,FALSE,"IRR";#N/A,#N/A,FALSE,"New Depr Sch-150% DB";#N/A,#N/A,FALSE,"Comments"}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print." hidden="1">{#N/A,#N/A,FALSE,"Japan 2003";#N/A,#N/A,FALSE,"Sheet2"}</definedName>
  </definedNames>
  <calcPr calcId="191029" calcMode="autoNoTable"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35" l="1"/>
  <c r="H22" i="35"/>
  <c r="G22" i="35"/>
  <c r="F22" i="35"/>
  <c r="E22" i="35"/>
  <c r="D22" i="35"/>
  <c r="C22" i="35"/>
  <c r="B22" i="35"/>
  <c r="I23" i="35"/>
  <c r="H23" i="35"/>
  <c r="G23" i="35"/>
  <c r="F23" i="35"/>
  <c r="E23" i="35"/>
  <c r="D23" i="35"/>
  <c r="C23" i="35"/>
  <c r="B23" i="35"/>
  <c r="I24" i="35"/>
  <c r="G24" i="35"/>
  <c r="F24" i="35"/>
  <c r="E24" i="35"/>
  <c r="D24" i="35"/>
  <c r="C24" i="35"/>
  <c r="B24" i="35"/>
  <c r="H24" i="35"/>
  <c r="I25" i="35"/>
  <c r="G25" i="35"/>
  <c r="F25" i="35"/>
  <c r="E25" i="35"/>
  <c r="D25" i="35"/>
  <c r="C25" i="35"/>
  <c r="B25" i="35"/>
  <c r="H25" i="35"/>
  <c r="O19" i="36" l="1" a="1"/>
  <c r="O26" i="36" s="1"/>
  <c r="N19" i="36" a="1"/>
  <c r="N26" i="36" s="1"/>
  <c r="M19" i="36" a="1"/>
  <c r="M26" i="36" s="1"/>
  <c r="L19" i="36" a="1"/>
  <c r="L26" i="36" s="1"/>
  <c r="C5" i="36"/>
  <c r="C4" i="36"/>
  <c r="J1" i="36"/>
  <c r="B5" i="35"/>
  <c r="B4" i="35"/>
  <c r="C1" i="35"/>
  <c r="B9" i="36"/>
  <c r="L19" i="36" l="1"/>
  <c r="L20" i="36"/>
  <c r="L21" i="36"/>
  <c r="M19" i="36"/>
  <c r="M20" i="36"/>
  <c r="N19" i="36"/>
  <c r="L22" i="36"/>
  <c r="M21" i="36"/>
  <c r="N20" i="36"/>
  <c r="O19" i="36"/>
  <c r="L23" i="36"/>
  <c r="M22" i="36"/>
  <c r="N21" i="36"/>
  <c r="O20" i="36"/>
  <c r="L24" i="36"/>
  <c r="M23" i="36"/>
  <c r="N22" i="36"/>
  <c r="O21" i="36"/>
  <c r="L25" i="36"/>
  <c r="M24" i="36"/>
  <c r="N23" i="36"/>
  <c r="O22" i="36"/>
  <c r="M25" i="36"/>
  <c r="N24" i="36"/>
  <c r="O23" i="36"/>
  <c r="N25" i="36"/>
  <c r="O24" i="36"/>
  <c r="O25" i="36"/>
  <c r="F51" i="4" l="1"/>
  <c r="E52" i="4"/>
  <c r="E53" i="4"/>
  <c r="E51" i="4"/>
  <c r="D54" i="4"/>
  <c r="D52" i="4"/>
  <c r="D53" i="4"/>
  <c r="D51" i="4"/>
  <c r="G54" i="4" l="1"/>
  <c r="I54" i="4" s="1"/>
  <c r="J54" i="4" s="1"/>
  <c r="G53" i="4"/>
  <c r="I53" i="4" s="1"/>
  <c r="J53" i="4" s="1"/>
  <c r="G52" i="4"/>
  <c r="I52" i="4" s="1"/>
  <c r="J52" i="4" s="1"/>
  <c r="G51" i="4"/>
  <c r="I51" i="4" s="1"/>
  <c r="J51" i="4" s="1"/>
  <c r="I55" i="4" l="1"/>
  <c r="J55" i="4"/>
  <c r="I57" i="4" s="1"/>
  <c r="I5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Windows 사용자</author>
  </authors>
  <commentList>
    <comment ref="K6" authorId="0" shapeId="0" xr:uid="{00000000-0006-0000-0100-000001000000}">
      <text>
        <r>
          <rPr>
            <b/>
            <sz val="9"/>
            <color indexed="81"/>
            <rFont val="Tahoma"/>
            <family val="2"/>
          </rPr>
          <t>Wall Street Training:</t>
        </r>
        <r>
          <rPr>
            <sz val="9"/>
            <color indexed="81"/>
            <rFont val="Tahoma"/>
            <family val="2"/>
          </rPr>
          <t xml:space="preserve">
0 = Off
1 = On</t>
        </r>
      </text>
    </comment>
    <comment ref="K12" authorId="1" shapeId="0" xr:uid="{00000000-0006-0000-0100-000002000000}">
      <text>
        <r>
          <rPr>
            <b/>
            <sz val="9"/>
            <color indexed="81"/>
            <rFont val="Tahoma"/>
            <family val="2"/>
          </rPr>
          <t>WST:</t>
        </r>
        <r>
          <rPr>
            <sz val="9"/>
            <color indexed="81"/>
            <rFont val="Tahoma"/>
            <family val="2"/>
          </rPr>
          <t xml:space="preserve">
As of 2017/12/31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김성민</author>
    <author>DH</author>
  </authors>
  <commentList>
    <comment ref="B23" authorId="0" shapeId="0" xr:uid="{00000000-0006-0000-0200-000001000000}">
      <text>
        <r>
          <rPr>
            <b/>
            <sz val="9"/>
            <color indexed="81"/>
            <rFont val="Tahoma"/>
            <family val="2"/>
          </rPr>
          <t>WST:</t>
        </r>
        <r>
          <rPr>
            <sz val="9"/>
            <color indexed="81"/>
            <rFont val="Tahoma"/>
            <family val="2"/>
          </rPr>
          <t xml:space="preserve">
Assumed all to be Domestic Compny Operated Stores closed</t>
        </r>
      </text>
    </comment>
    <comment ref="K31" authorId="1" shapeId="0" xr:uid="{00000000-0006-0000-0200-000002000000}">
      <text>
        <r>
          <rPr>
            <b/>
            <sz val="9"/>
            <color indexed="81"/>
            <rFont val="Tahoma"/>
            <family val="2"/>
          </rPr>
          <t>WST:</t>
        </r>
        <r>
          <rPr>
            <sz val="9"/>
            <color indexed="81"/>
            <rFont val="Tahoma"/>
            <family val="2"/>
          </rPr>
          <t xml:space="preserve">
Assume mid-year opening 
</t>
        </r>
      </text>
    </comment>
    <comment ref="K32" authorId="1" shapeId="0" xr:uid="{00000000-0006-0000-0200-000003000000}">
      <text>
        <r>
          <rPr>
            <b/>
            <sz val="9"/>
            <color indexed="81"/>
            <rFont val="Tahoma"/>
            <family val="2"/>
          </rPr>
          <t>WST:</t>
        </r>
        <r>
          <rPr>
            <sz val="9"/>
            <color indexed="81"/>
            <rFont val="Tahoma"/>
            <family val="2"/>
          </rPr>
          <t xml:space="preserve">
Company guidance: $12-13m</t>
        </r>
      </text>
    </comment>
    <comment ref="B39" authorId="0" shapeId="0" xr:uid="{00000000-0006-0000-0200-000004000000}">
      <text>
        <r>
          <rPr>
            <b/>
            <sz val="9"/>
            <color indexed="81"/>
            <rFont val="Tahoma"/>
            <family val="2"/>
          </rPr>
          <t>WST:</t>
        </r>
        <r>
          <rPr>
            <sz val="9"/>
            <color indexed="81"/>
            <rFont val="Tahoma"/>
            <family val="2"/>
          </rPr>
          <t xml:space="preserve">
Per Store Revenue
units in USD '000</t>
        </r>
      </text>
    </comment>
    <comment ref="K40" authorId="1" shapeId="0" xr:uid="{00000000-0006-0000-0200-000005000000}">
      <text>
        <r>
          <rPr>
            <b/>
            <sz val="9"/>
            <color indexed="81"/>
            <rFont val="Tahoma"/>
            <family val="2"/>
          </rPr>
          <t>WST:</t>
        </r>
        <r>
          <rPr>
            <sz val="9"/>
            <color indexed="81"/>
            <rFont val="Tahoma"/>
            <family val="2"/>
          </rPr>
          <t xml:space="preserve">
While we believe that there is still ample room to grow our Shack-base in our hometown of New York City, the majority of our domestic company-operated Shack growth is expected to occur outside of New York City. Because our historical average unit volumes ("AUVs") have been higher, due in large part to our concentration in urban markets, historical domestic company-operated AUVs are not a good measure of expected sales at new Shacks. As we continue to expand outside of our established markets, we continue to expect our company-wide AUV for all domestic company-operated Shacks to decline over time as Shacks of various unit volumes are introduced into the system. For fiscal 2018, </t>
        </r>
        <r>
          <rPr>
            <b/>
            <sz val="9"/>
            <color indexed="81"/>
            <rFont val="Tahoma"/>
            <family val="2"/>
          </rPr>
          <t>we expect domestic company-operated AUV to be between $4.1 to $4.2 million</t>
        </r>
        <r>
          <rPr>
            <sz val="9"/>
            <color indexed="81"/>
            <rFont val="Tahoma"/>
            <family val="2"/>
          </rPr>
          <t>.</t>
        </r>
      </text>
    </comment>
    <comment ref="I49" authorId="1" shapeId="0" xr:uid="{00000000-0006-0000-0200-000006000000}">
      <text>
        <r>
          <rPr>
            <b/>
            <sz val="9"/>
            <color indexed="81"/>
            <rFont val="Tahoma"/>
            <family val="2"/>
          </rPr>
          <t>WST:</t>
        </r>
        <r>
          <rPr>
            <sz val="9"/>
            <color indexed="81"/>
            <rFont val="Tahoma"/>
            <family val="2"/>
          </rPr>
          <t xml:space="preserve">
Mix of 3.1% in price and sales mix and increased guest traffic of 1.1%</t>
        </r>
      </text>
    </comment>
    <comment ref="J49" authorId="1" shapeId="0" xr:uid="{00000000-0006-0000-0200-000007000000}">
      <text>
        <r>
          <rPr>
            <b/>
            <sz val="9"/>
            <color indexed="81"/>
            <rFont val="Tahoma"/>
            <family val="2"/>
          </rPr>
          <t>WST:</t>
        </r>
        <r>
          <rPr>
            <sz val="9"/>
            <color indexed="81"/>
            <rFont val="Tahoma"/>
            <family val="2"/>
          </rPr>
          <t xml:space="preserve">
Decreased guest traffic of 3.2%, partially offset by a combined increase of 2.0% in price and sales mix</t>
        </r>
      </text>
    </comment>
    <comment ref="G52" authorId="1" shapeId="0" xr:uid="{00000000-0006-0000-0200-000008000000}">
      <text>
        <r>
          <rPr>
            <b/>
            <sz val="9"/>
            <color indexed="81"/>
            <rFont val="Tahoma"/>
            <family val="2"/>
          </rPr>
          <t>WST:</t>
        </r>
        <r>
          <rPr>
            <sz val="9"/>
            <color indexed="81"/>
            <rFont val="Tahoma"/>
            <family val="2"/>
          </rPr>
          <t xml:space="preserve">
Shacks in the comparable Shack base contributed $2.3 million of this increase while new domestic company-operated Shacks contributed $31.1 million</t>
        </r>
      </text>
    </comment>
    <comment ref="H53" authorId="1" shapeId="0" xr:uid="{00000000-0006-0000-0200-000009000000}">
      <text>
        <r>
          <rPr>
            <b/>
            <sz val="9"/>
            <color indexed="81"/>
            <rFont val="Tahoma"/>
            <family val="2"/>
          </rPr>
          <t>WST:</t>
        </r>
        <r>
          <rPr>
            <sz val="9"/>
            <color indexed="81"/>
            <rFont val="Tahoma"/>
            <family val="2"/>
          </rPr>
          <t xml:space="preserve">
$63.9 million, offset by the impact of 53rd week in fiscal 2014, which contributed $2.8 million in Shack sales in the prior year</t>
        </r>
      </text>
    </comment>
    <comment ref="I53" authorId="1" shapeId="0" xr:uid="{00000000-0006-0000-0200-00000A000000}">
      <text>
        <r>
          <rPr>
            <b/>
            <sz val="9"/>
            <color indexed="81"/>
            <rFont val="Tahoma"/>
            <family val="2"/>
          </rPr>
          <t>WST:</t>
        </r>
        <r>
          <rPr>
            <sz val="9"/>
            <color indexed="81"/>
            <rFont val="Tahoma"/>
            <family val="2"/>
          </rPr>
          <t xml:space="preserve">
Shacks in the comparable Shack base contributed $5.2 million of this increase while those domestic company-operated Shacks open less than a year contributed $67.3 million. Additionally, we had $3.1 million of incremental sales from our Madison Square Park Shack which was temporarily closed in the prior year for renovations</t>
        </r>
      </text>
    </comment>
    <comment ref="J53" authorId="2" shapeId="0" xr:uid="{00000000-0006-0000-0200-00000B000000}">
      <text>
        <r>
          <rPr>
            <b/>
            <sz val="9"/>
            <color indexed="81"/>
            <rFont val="Tahoma"/>
            <family val="2"/>
          </rPr>
          <t>WST:</t>
        </r>
        <r>
          <rPr>
            <sz val="9"/>
            <color indexed="81"/>
            <rFont val="Tahoma"/>
            <family val="2"/>
          </rPr>
          <t xml:space="preserve">
10K 
53pg
Shacks outside of the comparable Shack base contributed</t>
        </r>
        <r>
          <rPr>
            <b/>
            <sz val="9"/>
            <color indexed="81"/>
            <rFont val="Tahoma"/>
            <family val="2"/>
          </rPr>
          <t xml:space="preserve"> $89.3mm</t>
        </r>
      </text>
    </comment>
    <comment ref="C74" authorId="1" shapeId="0" xr:uid="{00000000-0006-0000-0200-00000C000000}">
      <text>
        <r>
          <rPr>
            <sz val="9"/>
            <color indexed="81"/>
            <rFont val="Tahoma"/>
            <family val="2"/>
          </rPr>
          <t>marketing expenses, utilities and other operating expenses such as non-perishable supplies, credit card fees, property insurance and repairs and maintenance.</t>
        </r>
      </text>
    </comment>
    <comment ref="C89" authorId="1" shapeId="0" xr:uid="{00000000-0006-0000-0200-00000D000000}">
      <text>
        <r>
          <rPr>
            <sz val="9"/>
            <color indexed="81"/>
            <rFont val="Tahoma"/>
            <family val="2"/>
          </rPr>
          <t xml:space="preserve">
incl stock option expense</t>
        </r>
      </text>
    </comment>
    <comment ref="F105" authorId="1" shapeId="0" xr:uid="{00000000-0006-0000-0200-00000E000000}">
      <text>
        <r>
          <rPr>
            <sz val="9"/>
            <color indexed="81"/>
            <rFont val="Tahoma"/>
            <family val="2"/>
          </rPr>
          <t>Manhattan: 30.3%
Other: 21.9%</t>
        </r>
      </text>
    </comment>
    <comment ref="K105" authorId="1" shapeId="0" xr:uid="{00000000-0006-0000-0200-00000F000000}">
      <text>
        <r>
          <rPr>
            <b/>
            <sz val="9"/>
            <color indexed="81"/>
            <rFont val="Tahoma"/>
            <family val="2"/>
          </rPr>
          <t>WST:</t>
        </r>
        <r>
          <rPr>
            <sz val="9"/>
            <color indexed="81"/>
            <rFont val="Tahoma"/>
            <family val="2"/>
          </rPr>
          <t xml:space="preserve">
Guidance 24.5-25.5%</t>
        </r>
      </text>
    </comment>
    <comment ref="B107" authorId="1" shapeId="0" xr:uid="{00000000-0006-0000-0200-000010000000}">
      <text>
        <r>
          <rPr>
            <b/>
            <sz val="9"/>
            <color indexed="81"/>
            <rFont val="Tahoma"/>
            <family val="2"/>
          </rPr>
          <t>WST:</t>
        </r>
        <r>
          <rPr>
            <sz val="9"/>
            <color indexed="81"/>
            <rFont val="Tahoma"/>
            <family val="2"/>
          </rPr>
          <t xml:space="preserve">
Adjusted EBITDA is defined as EBITDA (as defined above) excluding equity-based compensation expense, deferred rent expense, losses on the disposal of property and equipment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사용자</author>
    <author>김성민</author>
  </authors>
  <commentList>
    <comment ref="J24" authorId="0" shapeId="0" xr:uid="{00000000-0006-0000-0300-000001000000}">
      <text>
        <r>
          <rPr>
            <b/>
            <sz val="9"/>
            <color indexed="81"/>
            <rFont val="Tahoma"/>
            <family val="2"/>
          </rPr>
          <t xml:space="preserve">WST:
= </t>
        </r>
        <r>
          <rPr>
            <b/>
            <sz val="9"/>
            <color indexed="81"/>
            <rFont val="돋움"/>
            <family val="3"/>
            <charset val="129"/>
          </rPr>
          <t>미국의</t>
        </r>
        <r>
          <rPr>
            <b/>
            <sz val="9"/>
            <color indexed="81"/>
            <rFont val="Tahoma"/>
            <family val="2"/>
          </rPr>
          <t xml:space="preserve"> </t>
        </r>
        <r>
          <rPr>
            <b/>
            <sz val="9"/>
            <color indexed="81"/>
            <rFont val="돋움"/>
            <family val="3"/>
            <charset val="129"/>
          </rPr>
          <t>세율</t>
        </r>
        <r>
          <rPr>
            <b/>
            <sz val="9"/>
            <color indexed="81"/>
            <rFont val="Tahoma"/>
            <family val="2"/>
          </rPr>
          <t xml:space="preserve"> </t>
        </r>
        <r>
          <rPr>
            <b/>
            <sz val="9"/>
            <color indexed="81"/>
            <rFont val="돋움"/>
            <family val="3"/>
            <charset val="129"/>
          </rPr>
          <t>변화로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이익</t>
        </r>
        <r>
          <rPr>
            <b/>
            <sz val="9"/>
            <color indexed="81"/>
            <rFont val="Tahoma"/>
            <family val="2"/>
          </rPr>
          <t xml:space="preserve"> </t>
        </r>
        <r>
          <rPr>
            <b/>
            <sz val="9"/>
            <color indexed="81"/>
            <rFont val="돋움"/>
            <family val="3"/>
            <charset val="129"/>
          </rPr>
          <t xml:space="preserve">인식
</t>
        </r>
        <r>
          <rPr>
            <sz val="9"/>
            <color indexed="81"/>
            <rFont val="Tahoma"/>
            <family val="2"/>
          </rPr>
          <t xml:space="preserve">
In December 2017, the Tax Cuts and Jobs Act of 2017 (the "TCJA") was enacted into law. The TCJA provides for significant changes to the U.S. Internal Revenue Code of 1986, as amended, including the reduction of the U.S. federal corporate income tax rate from 35% to 21%, among other provisions. As a result of the TCJA, we recognized a $125,859 benefit in other income related to the reduction in liabilities under its tax receivable agreement.
</t>
        </r>
      </text>
    </comment>
    <comment ref="B33" authorId="1" shapeId="0" xr:uid="{00000000-0006-0000-0300-000002000000}">
      <text>
        <r>
          <rPr>
            <b/>
            <sz val="9"/>
            <color indexed="81"/>
            <rFont val="Tahoma"/>
            <family val="2"/>
          </rPr>
          <t>WST:</t>
        </r>
        <r>
          <rPr>
            <sz val="9"/>
            <color indexed="81"/>
            <rFont val="Tahoma"/>
            <family val="2"/>
          </rPr>
          <t xml:space="preserve">
Non-controlling interests hold 27.9% of SSE Holdings &amp; 39.7% of combined Class A/Class B Common Stock 
The SSE Holdings LLC Agreement provides that holders of LLC Interests may, from time to time, require SSE Holdings to redeem all or a portion of their LLC Interests for newly-issued shares of Class A common stock on a one-for-one basis. In connection with any redemption or exchange, we receive a corresponding number of LLC Interests, increasing our total ownership interest in SSE Holdings</t>
        </r>
      </text>
    </comment>
    <comment ref="K33" authorId="1" shapeId="0" xr:uid="{00000000-0006-0000-0300-000003000000}">
      <text>
        <r>
          <rPr>
            <b/>
            <sz val="9"/>
            <color indexed="81"/>
            <rFont val="Tahoma"/>
            <family val="2"/>
          </rPr>
          <t>WST:</t>
        </r>
        <r>
          <rPr>
            <sz val="9"/>
            <color indexed="81"/>
            <rFont val="Tahoma"/>
            <family val="2"/>
          </rPr>
          <t xml:space="preserve">
Assumes the exchange of all outstanding LLC Interests for shares of Class A common stock, resulting in the elimination of the non-controlling interest and recognition of the net income attributable to non-controlling interests.
</t>
        </r>
      </text>
    </comment>
    <comment ref="K36" authorId="1" shapeId="0" xr:uid="{00000000-0006-0000-0300-000004000000}">
      <text>
        <r>
          <rPr>
            <b/>
            <sz val="9"/>
            <color indexed="81"/>
            <rFont val="Tahoma"/>
            <family val="2"/>
          </rPr>
          <t>WST:</t>
        </r>
        <r>
          <rPr>
            <sz val="9"/>
            <color indexed="81"/>
            <rFont val="Tahoma"/>
            <family val="2"/>
          </rPr>
          <t xml:space="preserve">
Assumes the exchange of all outstanding LLC Interests for shares of Class A common stock, resulting in the elimination of the non-controlling interest and recognition of the net income attributable to non-controlling interests.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B29" authorId="0" shapeId="0" xr:uid="{00000000-0006-0000-0400-000001000000}">
      <text>
        <r>
          <rPr>
            <b/>
            <sz val="9"/>
            <color indexed="81"/>
            <rFont val="Tahoma"/>
            <family val="2"/>
          </rPr>
          <t xml:space="preserve">Windows </t>
        </r>
        <r>
          <rPr>
            <b/>
            <sz val="9"/>
            <color indexed="81"/>
            <rFont val="돋움"/>
            <family val="3"/>
            <charset val="129"/>
          </rPr>
          <t>사용자</t>
        </r>
        <r>
          <rPr>
            <b/>
            <sz val="9"/>
            <color indexed="81"/>
            <rFont val="Tahoma"/>
            <family val="2"/>
          </rPr>
          <t>:</t>
        </r>
        <r>
          <rPr>
            <sz val="9"/>
            <color indexed="81"/>
            <rFont val="Tahoma"/>
            <family val="2"/>
          </rPr>
          <t xml:space="preserve">
Deemed landlord financing</t>
        </r>
      </text>
    </comment>
    <comment ref="B30" authorId="0" shapeId="0" xr:uid="{00000000-0006-0000-0400-000002000000}">
      <text>
        <r>
          <rPr>
            <b/>
            <sz val="9"/>
            <color indexed="81"/>
            <rFont val="Tahoma"/>
            <family val="2"/>
          </rPr>
          <t>WST:</t>
        </r>
        <r>
          <rPr>
            <sz val="9"/>
            <color indexed="81"/>
            <rFont val="Tahoma"/>
            <family val="2"/>
          </rPr>
          <t xml:space="preserve">
Deferred rent is simplified to being a financial debt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J16" authorId="0" shapeId="0" xr:uid="{00000000-0006-0000-0A00-000001000000}">
      <text>
        <r>
          <rPr>
            <b/>
            <sz val="9"/>
            <color indexed="81"/>
            <rFont val="Tahoma"/>
            <family val="2"/>
          </rPr>
          <t>WST:</t>
        </r>
        <r>
          <rPr>
            <sz val="9"/>
            <color indexed="81"/>
            <rFont val="Tahoma"/>
            <family val="2"/>
          </rPr>
          <t xml:space="preserve">
</t>
        </r>
        <r>
          <rPr>
            <b/>
            <sz val="9"/>
            <color indexed="81"/>
            <rFont val="Tahoma"/>
            <family val="2"/>
          </rPr>
          <t xml:space="preserve">10,250,007 shares </t>
        </r>
        <r>
          <rPr>
            <sz val="9"/>
            <color indexed="81"/>
            <rFont val="Tahoma"/>
            <family val="2"/>
          </rPr>
          <t>of Class A common stock issuable upon the redemption or exchange of LLC Interests held by the non-controlling interest holders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B98" authorId="0" shapeId="0" xr:uid="{00000000-0006-0000-0D00-000001000000}">
      <text>
        <r>
          <rPr>
            <b/>
            <sz val="9"/>
            <color indexed="81"/>
            <rFont val="Tahoma"/>
            <family val="2"/>
          </rPr>
          <t>WST:</t>
        </r>
        <r>
          <rPr>
            <sz val="9"/>
            <color indexed="81"/>
            <rFont val="Tahoma"/>
            <family val="2"/>
          </rPr>
          <t xml:space="preserve">
Class B shares have no share in economics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Kiel LaFrance</author>
    <author>CapIQ</author>
  </authors>
  <commentList>
    <comment ref="H9" authorId="0" shapeId="0" xr:uid="{00000000-0006-0000-1A00-000001000000}">
      <text>
        <r>
          <rPr>
            <b/>
            <sz val="9"/>
            <color indexed="81"/>
            <rFont val="Tahoma"/>
            <family val="2"/>
          </rPr>
          <t xml:space="preserve">WST:
</t>
        </r>
        <r>
          <rPr>
            <sz val="9"/>
            <color indexed="81"/>
            <rFont val="Tahoma"/>
            <family val="2"/>
          </rPr>
          <t>New tax rate in the U.S.</t>
        </r>
      </text>
    </comment>
    <comment ref="H11" authorId="0" shapeId="0" xr:uid="{00000000-0006-0000-1A00-000002000000}">
      <text>
        <r>
          <rPr>
            <b/>
            <sz val="9"/>
            <color indexed="81"/>
            <rFont val="Tahoma"/>
            <family val="2"/>
          </rPr>
          <t xml:space="preserve">SPCIQ:
</t>
        </r>
        <r>
          <rPr>
            <sz val="9"/>
            <color indexed="81"/>
            <rFont val="Tahoma"/>
            <family val="2"/>
          </rPr>
          <t xml:space="preserve">Average of Last 10 Years of Yearly Price Returns for the Index in Cell Z1.  Please adjust as you see fit.
</t>
        </r>
      </text>
    </comment>
    <comment ref="H12" authorId="1" shapeId="0" xr:uid="{00000000-0006-0000-1A00-000003000000}">
      <text>
        <r>
          <rPr>
            <b/>
            <sz val="9"/>
            <color indexed="81"/>
            <rFont val="Tahoma"/>
            <family val="2"/>
          </rPr>
          <t>SPCIQ:</t>
        </r>
        <r>
          <rPr>
            <sz val="9"/>
            <color indexed="81"/>
            <rFont val="Tahoma"/>
            <family val="2"/>
          </rPr>
          <t xml:space="preserve">
Arbitrary number</t>
        </r>
      </text>
    </comment>
    <comment ref="H17" authorId="1" shapeId="0" xr:uid="{00000000-0006-0000-1A00-000004000000}">
      <text>
        <r>
          <rPr>
            <b/>
            <sz val="9"/>
            <color indexed="81"/>
            <rFont val="Tahoma"/>
            <family val="2"/>
          </rPr>
          <t>SPCIQ:</t>
        </r>
        <r>
          <rPr>
            <sz val="9"/>
            <color indexed="81"/>
            <rFont val="Tahoma"/>
            <family val="2"/>
          </rPr>
          <t xml:space="preserve">
Average of Coupons of 5 Most Recent Issued Bonds.  Please adjust as you see fit.</t>
        </r>
      </text>
    </comment>
    <comment ref="H19" authorId="1" shapeId="0" xr:uid="{00000000-0006-0000-1A00-000005000000}">
      <text>
        <r>
          <rPr>
            <b/>
            <sz val="9"/>
            <color indexed="81"/>
            <rFont val="Tahoma"/>
            <family val="2"/>
          </rPr>
          <t xml:space="preserve">SPCIQ:
</t>
        </r>
        <r>
          <rPr>
            <sz val="9"/>
            <color indexed="81"/>
            <rFont val="Tahoma"/>
            <family val="2"/>
          </rPr>
          <t>Average of Coupons of all Preferred Fixed Income instruments.  Please adjust as you see fit.</t>
        </r>
      </text>
    </comment>
  </commentList>
</comments>
</file>

<file path=xl/sharedStrings.xml><?xml version="1.0" encoding="utf-8"?>
<sst xmlns="http://schemas.openxmlformats.org/spreadsheetml/2006/main" count="3810" uniqueCount="1281">
  <si>
    <t>Domestic Company Operated</t>
    <phoneticPr fontId="1" type="noConversion"/>
  </si>
  <si>
    <t>Domestic Licensed</t>
    <phoneticPr fontId="1" type="noConversion"/>
  </si>
  <si>
    <t>International Licensed</t>
    <phoneticPr fontId="1" type="noConversion"/>
  </si>
  <si>
    <t>Store Count (stores)</t>
    <phoneticPr fontId="1" type="noConversion"/>
  </si>
  <si>
    <t>Company</t>
  </si>
  <si>
    <t>Operated</t>
  </si>
  <si>
    <t>Licensed</t>
  </si>
  <si>
    <t>Total</t>
  </si>
  <si>
    <t>Arizona</t>
  </si>
  <si>
    <t>—</t>
  </si>
  <si>
    <t>California</t>
  </si>
  <si>
    <t>Connecticut</t>
  </si>
  <si>
    <t>Delaware</t>
  </si>
  <si>
    <t>District of Columbia</t>
  </si>
  <si>
    <t>Florida</t>
  </si>
  <si>
    <t>Georgia</t>
  </si>
  <si>
    <t>Illinois</t>
  </si>
  <si>
    <t>Kentucky</t>
  </si>
  <si>
    <t>Maryland</t>
  </si>
  <si>
    <t>Massachusetts</t>
  </si>
  <si>
    <t>Michigan</t>
  </si>
  <si>
    <t>Minnesota</t>
  </si>
  <si>
    <t>Missouri</t>
  </si>
  <si>
    <t>Nevada</t>
  </si>
  <si>
    <t>New Jersey</t>
  </si>
  <si>
    <t>New York</t>
  </si>
  <si>
    <t>Pennsylvania</t>
  </si>
  <si>
    <t>Texas</t>
  </si>
  <si>
    <t>Virginia</t>
  </si>
  <si>
    <t>Wisconsin</t>
  </si>
  <si>
    <t>Domestic</t>
  </si>
  <si>
    <t>Bahrain</t>
  </si>
  <si>
    <t>Japan</t>
  </si>
  <si>
    <t>Korea</t>
  </si>
  <si>
    <t>Kuwait</t>
  </si>
  <si>
    <t>Oman</t>
  </si>
  <si>
    <t>Qatar</t>
  </si>
  <si>
    <t>Russia</t>
  </si>
  <si>
    <t>Saudi Arabia</t>
  </si>
  <si>
    <t>Turkey</t>
  </si>
  <si>
    <t>United Arab Emirates</t>
  </si>
  <si>
    <t>United Kingdom</t>
  </si>
  <si>
    <t>INTERNATIONAL</t>
  </si>
  <si>
    <t>SYSTEM-WIDE</t>
  </si>
  <si>
    <t>(dollar amounts in thousands, except per share amounts)</t>
  </si>
  <si>
    <t>Selected statement of income data:</t>
  </si>
  <si>
    <t>Shack sales</t>
  </si>
  <si>
    <t>$</t>
  </si>
  <si>
    <t>Licensing revenue</t>
  </si>
  <si>
    <t>Shack-level operating expenses</t>
  </si>
  <si>
    <t>General and administrative expenses</t>
  </si>
  <si>
    <t>Pre-opening costs</t>
  </si>
  <si>
    <t>Operating income</t>
  </si>
  <si>
    <t>Net income</t>
  </si>
  <si>
    <t>Net income (loss) attributable to Shake Shack Inc.</t>
  </si>
  <si>
    <t>(320</t>
  </si>
  <si>
    <t>)</t>
  </si>
  <si>
    <t>(8,776</t>
  </si>
  <si>
    <t>Per share data:</t>
  </si>
  <si>
    <t>Earnings (loss) per share—basic</t>
  </si>
  <si>
    <t>(0.01</t>
  </si>
  <si>
    <t>(0.65</t>
  </si>
  <si>
    <t>Earnings (loss) per share—diluted</t>
  </si>
  <si>
    <t>Selected balance sheet data (at period end):</t>
  </si>
  <si>
    <t>Cash and cash equivalents</t>
  </si>
  <si>
    <t>Short-term marketable securities</t>
  </si>
  <si>
    <t>Total current assets</t>
  </si>
  <si>
    <t>Total assets</t>
  </si>
  <si>
    <t>Total current liabilities</t>
  </si>
  <si>
    <t>Total debt</t>
  </si>
  <si>
    <t>Total liabilities</t>
  </si>
  <si>
    <t>Total equity</t>
  </si>
  <si>
    <t>Selected cash flow data:</t>
  </si>
  <si>
    <t>Net cash provided by operating activities</t>
  </si>
  <si>
    <t>Net cash used in investing activities</t>
  </si>
  <si>
    <t>(61,943</t>
  </si>
  <si>
    <t>(114,761</t>
  </si>
  <si>
    <t>(34,514</t>
  </si>
  <si>
    <t>(28,515</t>
  </si>
  <si>
    <t>(16,194</t>
  </si>
  <si>
    <t>Net cash provided by financing activities</t>
  </si>
  <si>
    <t>Licensing Revenue</t>
    <phoneticPr fontId="1" type="noConversion"/>
  </si>
  <si>
    <t>Comp Store Base</t>
    <phoneticPr fontId="1" type="noConversion"/>
  </si>
  <si>
    <t>Royalty Rate</t>
    <phoneticPr fontId="1" type="noConversion"/>
  </si>
  <si>
    <t>General &amp; Admin</t>
    <phoneticPr fontId="1" type="noConversion"/>
  </si>
  <si>
    <t>Store Opening Costs</t>
    <phoneticPr fontId="1" type="noConversion"/>
  </si>
  <si>
    <t>Store-Level EBIT</t>
    <phoneticPr fontId="1" type="noConversion"/>
  </si>
  <si>
    <t>Margin %</t>
    <phoneticPr fontId="1" type="noConversion"/>
  </si>
  <si>
    <t>Current Outlook</t>
  </si>
  <si>
    <t>Total revenue (inclusive of licensing revenue)</t>
  </si>
  <si>
    <t>$444 to $448 million</t>
  </si>
  <si>
    <t>$12 to $13 million</t>
  </si>
  <si>
    <t>Domestic company-operated Shack openings</t>
  </si>
  <si>
    <t>32 to 35</t>
  </si>
  <si>
    <t>Licensed Shack openings, net</t>
  </si>
  <si>
    <t>16 to 18</t>
  </si>
  <si>
    <t>Average annual sales volume for domestic company-operated Shacks</t>
  </si>
  <si>
    <t>$4.1 to $4.2 million</t>
  </si>
  <si>
    <t>Shack-level operating profit margin (%)</t>
  </si>
  <si>
    <t>24.5% to 25.5%</t>
  </si>
  <si>
    <t>$49 to $51 million</t>
  </si>
  <si>
    <t>Depreciation expense</t>
  </si>
  <si>
    <t>$32 million</t>
  </si>
  <si>
    <t>Interest expense</t>
  </si>
  <si>
    <t>$2 to $2.2 million</t>
  </si>
  <si>
    <t>Adjusted pro forma effective tax rate (%)</t>
  </si>
  <si>
    <t>26% to 27%</t>
  </si>
  <si>
    <t>Food &amp; Paper Costs</t>
  </si>
  <si>
    <t>Food &amp; Paper Costs</t>
    <phoneticPr fontId="1" type="noConversion"/>
  </si>
  <si>
    <t>Labor &amp; Related</t>
  </si>
  <si>
    <t>Labor &amp; Related</t>
    <phoneticPr fontId="1" type="noConversion"/>
  </si>
  <si>
    <t>Other</t>
  </si>
  <si>
    <t>Other</t>
    <phoneticPr fontId="1" type="noConversion"/>
  </si>
  <si>
    <t>Occupancy &amp; Related</t>
  </si>
  <si>
    <t>Occupancy &amp; Related</t>
    <phoneticPr fontId="1" type="noConversion"/>
  </si>
  <si>
    <t>Depreciation</t>
  </si>
  <si>
    <t>Depreciation</t>
    <phoneticPr fontId="1" type="noConversion"/>
  </si>
  <si>
    <t xml:space="preserve">Loss on PP&amp;E Disposal </t>
    <phoneticPr fontId="1" type="noConversion"/>
  </si>
  <si>
    <t>(in thousands)</t>
  </si>
  <si>
    <t>Interest expense, net</t>
  </si>
  <si>
    <t>Income tax expense</t>
  </si>
  <si>
    <t>EBITDA</t>
  </si>
  <si>
    <t>Equity-based compensation</t>
  </si>
  <si>
    <t>Deferred compensation</t>
  </si>
  <si>
    <t>Deferred rent</t>
  </si>
  <si>
    <t>Loss on disposal of property and equipment</t>
  </si>
  <si>
    <t>IPO-related expenses</t>
  </si>
  <si>
    <t>Legal settlement</t>
  </si>
  <si>
    <t>Other income related to adjustment of liabilities under tax receivable agreement</t>
  </si>
  <si>
    <t>(1,362</t>
  </si>
  <si>
    <t>(688</t>
  </si>
  <si>
    <t>Other income related to adjustment of liabilities under tax receivable agreement resulting from the enactment of the TCJA</t>
  </si>
  <si>
    <t>(125,859</t>
  </si>
  <si>
    <t>Other non-cash items</t>
  </si>
  <si>
    <t>ADJUSTED EBITDA</t>
  </si>
  <si>
    <t>Less than</t>
  </si>
  <si>
    <t>1 Year</t>
  </si>
  <si>
    <t>Years</t>
  </si>
  <si>
    <t>More Than</t>
  </si>
  <si>
    <t>5 Years</t>
  </si>
  <si>
    <t>Purchase obligations</t>
  </si>
  <si>
    <t>TOTAL</t>
  </si>
  <si>
    <t>Corporate EBIT</t>
    <phoneticPr fontId="1" type="noConversion"/>
  </si>
  <si>
    <t>Corporate Revenue</t>
    <phoneticPr fontId="1" type="noConversion"/>
  </si>
  <si>
    <t>Licensing</t>
    <phoneticPr fontId="1" type="noConversion"/>
  </si>
  <si>
    <t>Store Level Costs</t>
    <phoneticPr fontId="1" type="noConversion"/>
  </si>
  <si>
    <t>Gross Profit</t>
    <phoneticPr fontId="1" type="noConversion"/>
  </si>
  <si>
    <t>SG&amp;A</t>
    <phoneticPr fontId="1" type="noConversion"/>
  </si>
  <si>
    <t>Depreciation</t>
    <phoneticPr fontId="1" type="noConversion"/>
  </si>
  <si>
    <t xml:space="preserve">EBIT </t>
    <phoneticPr fontId="1" type="noConversion"/>
  </si>
  <si>
    <t>Pre-tax Income</t>
    <phoneticPr fontId="1" type="noConversion"/>
  </si>
  <si>
    <t>Income Tax</t>
    <phoneticPr fontId="1" type="noConversion"/>
  </si>
  <si>
    <t>Net Income</t>
    <phoneticPr fontId="1" type="noConversion"/>
  </si>
  <si>
    <t>Cash &amp; Cash Equivalents</t>
    <phoneticPr fontId="1" type="noConversion"/>
  </si>
  <si>
    <t>Accounts Receivable</t>
    <phoneticPr fontId="1" type="noConversion"/>
  </si>
  <si>
    <t>Inventories</t>
    <phoneticPr fontId="1" type="noConversion"/>
  </si>
  <si>
    <t>Prepaid Expenses &amp; Other</t>
    <phoneticPr fontId="1" type="noConversion"/>
  </si>
  <si>
    <t>Total Current Assets</t>
    <phoneticPr fontId="1" type="noConversion"/>
  </si>
  <si>
    <t>PP&amp;E</t>
    <phoneticPr fontId="1" type="noConversion"/>
  </si>
  <si>
    <t>Deferred Income Taxes</t>
    <phoneticPr fontId="1" type="noConversion"/>
  </si>
  <si>
    <t>Total Assets</t>
    <phoneticPr fontId="1" type="noConversion"/>
  </si>
  <si>
    <t>Accounts Payable</t>
    <phoneticPr fontId="1" type="noConversion"/>
  </si>
  <si>
    <t>Accrued Expenses</t>
    <phoneticPr fontId="1" type="noConversion"/>
  </si>
  <si>
    <t xml:space="preserve">Accrued Wages &amp; Related </t>
    <phoneticPr fontId="1" type="noConversion"/>
  </si>
  <si>
    <t>Other Current Liabilities</t>
    <phoneticPr fontId="1" type="noConversion"/>
  </si>
  <si>
    <t>Total Current Liabilities</t>
    <phoneticPr fontId="1" type="noConversion"/>
  </si>
  <si>
    <t>Other Long-term Liabilities</t>
    <phoneticPr fontId="1" type="noConversion"/>
  </si>
  <si>
    <t>Total Liabilites</t>
    <phoneticPr fontId="1" type="noConversion"/>
  </si>
  <si>
    <t>Total Equity</t>
    <phoneticPr fontId="1" type="noConversion"/>
  </si>
  <si>
    <t>Non-Controlling Interests</t>
    <phoneticPr fontId="1" type="noConversion"/>
  </si>
  <si>
    <t>Total Liabilities &amp; Equity</t>
    <phoneticPr fontId="1" type="noConversion"/>
  </si>
  <si>
    <t>Check</t>
    <phoneticPr fontId="1" type="noConversion"/>
  </si>
  <si>
    <t xml:space="preserve">Net Income to Common </t>
    <phoneticPr fontId="1" type="noConversion"/>
  </si>
  <si>
    <t xml:space="preserve">Non-Controlling Interests </t>
    <phoneticPr fontId="1" type="noConversion"/>
  </si>
  <si>
    <t>Operating</t>
  </si>
  <si>
    <t>Amortization</t>
  </si>
  <si>
    <t>Stock-based compensation expense</t>
  </si>
  <si>
    <t>Investing</t>
  </si>
  <si>
    <t>Financing</t>
  </si>
  <si>
    <t>Repurchase of equity</t>
  </si>
  <si>
    <t>Net Change in Cash</t>
  </si>
  <si>
    <t>Avg Unit Volume (% yoy)</t>
    <phoneticPr fontId="1" type="noConversion"/>
  </si>
  <si>
    <t xml:space="preserve"> &lt;&lt; add f/x conversion </t>
    <phoneticPr fontId="1" type="noConversion"/>
  </si>
  <si>
    <t>Avg Unit Volume (Reported)</t>
    <phoneticPr fontId="1" type="noConversion"/>
  </si>
  <si>
    <t>Avg Unit Volume (Implied)</t>
    <phoneticPr fontId="1" type="noConversion"/>
  </si>
  <si>
    <t>Systemwide</t>
    <phoneticPr fontId="1" type="noConversion"/>
  </si>
  <si>
    <t xml:space="preserve">Licensed (total) </t>
    <phoneticPr fontId="1" type="noConversion"/>
  </si>
  <si>
    <t>&lt;&lt;in-line w/ volume</t>
    <phoneticPr fontId="1" type="noConversion"/>
  </si>
  <si>
    <t>&lt;&lt;reduce NYC footage</t>
    <phoneticPr fontId="1" type="noConversion"/>
  </si>
  <si>
    <t>D&amp;A / Existing Store</t>
    <phoneticPr fontId="1" type="noConversion"/>
  </si>
  <si>
    <t>Loss on PP&amp;E Disposal (amount)</t>
    <phoneticPr fontId="1" type="noConversion"/>
  </si>
  <si>
    <t>New Store Openings (net)</t>
    <phoneticPr fontId="1" type="noConversion"/>
  </si>
  <si>
    <t>Closures (implied)</t>
    <phoneticPr fontId="1" type="noConversion"/>
  </si>
  <si>
    <t xml:space="preserve">Tax Rate % </t>
    <phoneticPr fontId="1" type="noConversion"/>
  </si>
  <si>
    <t>Total Stores</t>
    <phoneticPr fontId="1" type="noConversion"/>
  </si>
  <si>
    <t>Net Income Margin %</t>
    <phoneticPr fontId="1" type="noConversion"/>
  </si>
  <si>
    <t>Gross Profit Margin %</t>
    <phoneticPr fontId="1" type="noConversion"/>
  </si>
  <si>
    <t>EBIT Margin %</t>
    <phoneticPr fontId="1" type="noConversion"/>
  </si>
  <si>
    <t>Capital Lease</t>
  </si>
  <si>
    <t>Capital Leases</t>
  </si>
  <si>
    <t>Capital Leases</t>
    <phoneticPr fontId="1" type="noConversion"/>
  </si>
  <si>
    <t>Revolver</t>
  </si>
  <si>
    <t>Revolver</t>
    <phoneticPr fontId="1" type="noConversion"/>
  </si>
  <si>
    <t>Common Equity</t>
    <phoneticPr fontId="1" type="noConversion"/>
  </si>
  <si>
    <t>Other Operating Costs</t>
    <phoneticPr fontId="1" type="noConversion"/>
  </si>
  <si>
    <t>Company name:</t>
  </si>
  <si>
    <t>Circ switch:</t>
  </si>
  <si>
    <t>Latest update:</t>
  </si>
  <si>
    <t>Enterprise value:</t>
  </si>
  <si>
    <t>Created by:</t>
  </si>
  <si>
    <t>Wall Street Training</t>
  </si>
  <si>
    <t>Equity value:</t>
  </si>
  <si>
    <t xml:space="preserve"> </t>
    <phoneticPr fontId="26" type="noConversion"/>
  </si>
  <si>
    <t>Target price per share:</t>
  </si>
  <si>
    <t>No portion of this report may be reproduced, reused, or otherwise distributed in any form without prior written consent.</t>
  </si>
  <si>
    <t xml:space="preserve">For more information, please visit/contatct (주)월스트릿트레이닝아시아 through www.wallstreettraining.co.kr </t>
  </si>
  <si>
    <t>이 파일은 대한민국 및 미국 저작권법의 보호를 받는 저작물 입니다.</t>
  </si>
  <si>
    <t>파일의 원 저자로부터 서면에 의한 허락없이 이 파일의 일부나 전체를 어떠한 형태로도 가공/배포할 수 없습니다.</t>
  </si>
  <si>
    <t>이를 위반시에는 형사/민사상의 법적 책임을 질수 있으며, 특별한 문의가 있는경우 www.wallstreettraining.co.kr에 있는 정보로 연락주시기 바랍니다.</t>
  </si>
  <si>
    <t>Shake Shack - 3 Statement Model with DCF</t>
    <phoneticPr fontId="1" type="noConversion"/>
  </si>
  <si>
    <t>Shake Shack</t>
    <phoneticPr fontId="1" type="noConversion"/>
  </si>
  <si>
    <t>Ticker:</t>
    <phoneticPr fontId="1" type="noConversion"/>
  </si>
  <si>
    <t>SHAK</t>
    <phoneticPr fontId="1" type="noConversion"/>
  </si>
  <si>
    <t>(units in USD '000)</t>
  </si>
  <si>
    <t>(units in USD '000 except per share number)</t>
    <phoneticPr fontId="1" type="noConversion"/>
  </si>
  <si>
    <t>Historical Year Ending December 31,</t>
  </si>
  <si>
    <t>Projected year Ending December 31,</t>
  </si>
  <si>
    <t>Income Statement</t>
  </si>
  <si>
    <t>Income Statement</t>
    <phoneticPr fontId="1" type="noConversion"/>
  </si>
  <si>
    <t>Shake Shack, Inc (SHAK)</t>
    <phoneticPr fontId="1" type="noConversion"/>
  </si>
  <si>
    <t>Balance Sheet</t>
  </si>
  <si>
    <t>Balance Sheet</t>
    <phoneticPr fontId="1" type="noConversion"/>
  </si>
  <si>
    <t>Cash Flow Statement</t>
    <phoneticPr fontId="1" type="noConversion"/>
  </si>
  <si>
    <t>Operations Analysis &amp; Assumptions</t>
    <phoneticPr fontId="1" type="noConversion"/>
  </si>
  <si>
    <t>x</t>
  </si>
  <si>
    <t>x</t>
    <phoneticPr fontId="1" type="noConversion"/>
  </si>
  <si>
    <t>Cash Flow from Operations</t>
    <phoneticPr fontId="1" type="noConversion"/>
  </si>
  <si>
    <t>Cash Flow from Investing</t>
    <phoneticPr fontId="1" type="noConversion"/>
  </si>
  <si>
    <t>Cash Flow Available for Financing</t>
    <phoneticPr fontId="1" type="noConversion"/>
  </si>
  <si>
    <t>Cash Flow from Financing</t>
    <phoneticPr fontId="1" type="noConversion"/>
  </si>
  <si>
    <t>Store</t>
    <phoneticPr fontId="1" type="noConversion"/>
  </si>
  <si>
    <t>System-wide Revenue</t>
    <phoneticPr fontId="1" type="noConversion"/>
  </si>
  <si>
    <t>Licensed Location Revenue</t>
    <phoneticPr fontId="1" type="noConversion"/>
  </si>
  <si>
    <t>Company Operated Stores Revenue</t>
    <phoneticPr fontId="1" type="noConversion"/>
  </si>
  <si>
    <t>Revenue</t>
  </si>
  <si>
    <t>Revenue</t>
    <phoneticPr fontId="1" type="noConversion"/>
  </si>
  <si>
    <t>Operating Expenses</t>
    <phoneticPr fontId="1" type="noConversion"/>
  </si>
  <si>
    <t>Operating Profit</t>
    <phoneticPr fontId="1" type="noConversion"/>
  </si>
  <si>
    <t xml:space="preserve">Store-Level Operating Costs </t>
    <phoneticPr fontId="1" type="noConversion"/>
  </si>
  <si>
    <t>Other Operating Costs</t>
    <phoneticPr fontId="1" type="noConversion"/>
  </si>
  <si>
    <t>Store-Level Operating Costs per Store</t>
    <phoneticPr fontId="1" type="noConversion"/>
  </si>
  <si>
    <t>Other Operating Costs Analysis &amp; Assumptions</t>
    <phoneticPr fontId="1" type="noConversion"/>
  </si>
  <si>
    <t>Store-Level Operating Costs yoy % Changes</t>
    <phoneticPr fontId="1" type="noConversion"/>
  </si>
  <si>
    <t>Increase in Capital Leases</t>
    <phoneticPr fontId="1" type="noConversion"/>
  </si>
  <si>
    <t>Repayment of Capital Leases</t>
    <phoneticPr fontId="1" type="noConversion"/>
  </si>
  <si>
    <t>Working Capital</t>
    <phoneticPr fontId="1" type="noConversion"/>
  </si>
  <si>
    <t>Long-term Debt</t>
    <phoneticPr fontId="1" type="noConversion"/>
  </si>
  <si>
    <t>Store Opening Costs per New Store</t>
    <phoneticPr fontId="1" type="noConversion"/>
  </si>
  <si>
    <t>Total Non-cash Current Assets</t>
    <phoneticPr fontId="1" type="noConversion"/>
  </si>
  <si>
    <t>Total Non-debt Current Liabilities</t>
    <phoneticPr fontId="1" type="noConversion"/>
  </si>
  <si>
    <t>Sales</t>
  </si>
  <si>
    <t>Total Revenue</t>
  </si>
  <si>
    <t>Total Revenue</t>
    <phoneticPr fontId="1" type="noConversion"/>
  </si>
  <si>
    <t>Cost of Goods Sold</t>
    <phoneticPr fontId="1" type="noConversion"/>
  </si>
  <si>
    <t>Working Capital Balances</t>
  </si>
  <si>
    <t>Net Working Capital / (Deficit)</t>
  </si>
  <si>
    <t>(Increase) / Decrease in Net Working Capital</t>
  </si>
  <si>
    <t>Ratios &amp; Assumptions</t>
  </si>
  <si>
    <t>Numbers of days in a period</t>
  </si>
  <si>
    <t>Accrued Expenses (% of COGS)</t>
    <phoneticPr fontId="1" type="noConversion"/>
  </si>
  <si>
    <t>Accrued Wages &amp; Related (% of COGS)</t>
    <phoneticPr fontId="1" type="noConversion"/>
  </si>
  <si>
    <t>Other Current Liabilities (% of COGS)</t>
    <phoneticPr fontId="1" type="noConversion"/>
  </si>
  <si>
    <t>Inventories (Days Outstanding)</t>
    <phoneticPr fontId="1" type="noConversion"/>
  </si>
  <si>
    <t>Accounts Payable (Days Outstanding)</t>
    <phoneticPr fontId="1" type="noConversion"/>
  </si>
  <si>
    <t>x</t>
    <phoneticPr fontId="1" type="noConversion"/>
  </si>
  <si>
    <t>Other Long-term Assets</t>
  </si>
  <si>
    <t>Other Long-term Assets</t>
    <phoneticPr fontId="1" type="noConversion"/>
  </si>
  <si>
    <t>Accounts Receivable (Collection Period in Days)</t>
    <phoneticPr fontId="1" type="noConversion"/>
  </si>
  <si>
    <t>Other Current Assets (% of Revenue)</t>
    <phoneticPr fontId="1" type="noConversion"/>
  </si>
  <si>
    <t xml:space="preserve">Total Revenue </t>
    <phoneticPr fontId="1" type="noConversion"/>
  </si>
  <si>
    <t>PP&amp;E and Depreciation Schedule</t>
    <phoneticPr fontId="1" type="noConversion"/>
  </si>
  <si>
    <t>Capital Expenditure</t>
  </si>
  <si>
    <t>Capital Expenditure</t>
    <phoneticPr fontId="1" type="noConversion"/>
  </si>
  <si>
    <t>Shake Shack Inc. (NYSE:SHAK) &gt; Financials &gt; Key Stats</t>
  </si>
  <si>
    <t>In Thousands of the trading currency, except per share items.</t>
  </si>
  <si>
    <t>Currency:</t>
  </si>
  <si>
    <t>Trading Currency</t>
  </si>
  <si>
    <t> </t>
  </si>
  <si>
    <t>Conversion:</t>
  </si>
  <si>
    <t>Historical</t>
  </si>
  <si>
    <t>Order:</t>
  </si>
  <si>
    <t>Latest on Right</t>
  </si>
  <si>
    <t>Units:</t>
  </si>
  <si>
    <t>Thousands (k)</t>
  </si>
  <si>
    <t>Decimals:</t>
  </si>
  <si>
    <t>Capital IQ (Default)</t>
  </si>
  <si>
    <t>Dilution:</t>
  </si>
  <si>
    <t>Basic</t>
  </si>
  <si>
    <t>Key Financials¹</t>
  </si>
  <si>
    <t xml:space="preserve">For the Fiscal Period Ending
</t>
  </si>
  <si>
    <t>12 months
Dec-26-2012A</t>
  </si>
  <si>
    <t>12 months
Dec-25-2013A</t>
  </si>
  <si>
    <t>12 months
Dec-31-2014A</t>
  </si>
  <si>
    <t>12 months
Dec-30-2015A</t>
  </si>
  <si>
    <t>12 months
Dec-28-2016A</t>
  </si>
  <si>
    <t>12 months
Dec-27-2017A</t>
  </si>
  <si>
    <t>LTM²
12 months
Mar-28-2018A</t>
  </si>
  <si>
    <t>12 months†
Dec-31-2018E</t>
  </si>
  <si>
    <t>Currency</t>
  </si>
  <si>
    <t>USD</t>
  </si>
  <si>
    <t xml:space="preserve">  Growth Over Prior Year</t>
  </si>
  <si>
    <t>NA</t>
  </si>
  <si>
    <t>Gross Profit</t>
  </si>
  <si>
    <t>-</t>
  </si>
  <si>
    <t xml:space="preserve">  Margin %</t>
  </si>
  <si>
    <t>EBIT</t>
  </si>
  <si>
    <t>Earnings from Cont. Ops.</t>
  </si>
  <si>
    <t>Net Income</t>
  </si>
  <si>
    <t>Diluted EPS Excl. Extra Items³</t>
  </si>
  <si>
    <t>NM</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</si>
  <si>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</si>
  <si>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</si>
  <si>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</si>
  <si>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</si>
  <si>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</si>
  <si>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</si>
  <si>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</si>
  <si>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</si>
  <si>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</si>
  <si>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</si>
  <si>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Latest Capitalization (Thousands of USD)</t>
  </si>
  <si>
    <t>Share Price</t>
  </si>
  <si>
    <t>Shares Out.</t>
  </si>
  <si>
    <t>Market Capitalization</t>
  </si>
  <si>
    <t>- Cash &amp; Short Term Investments</t>
  </si>
  <si>
    <t>+ Total Debt</t>
  </si>
  <si>
    <t>+ Pref. Equity</t>
  </si>
  <si>
    <t>+ Total Minority Interest</t>
  </si>
  <si>
    <t>= Total Enterprise Value (TEV)</t>
  </si>
  <si>
    <t>Implied Shares Outstanding</t>
  </si>
  <si>
    <t>Implied Market Capitalization</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</si>
  <si>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</si>
  <si>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</si>
  <si>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</si>
  <si>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*Includes number of shares outstanding + shares held by non-controlling interest holders without accounting for dilutive securities</t>
  </si>
  <si>
    <t>Note: Striped area represents the impact of negative Net Liability on Market Cap.</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</si>
  <si>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</si>
  <si>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</si>
  <si>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</si>
  <si>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</si>
  <si>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</si>
  <si>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Mar-28-2018A</t>
  </si>
  <si>
    <t>12 months
Dec-31-2018E</t>
  </si>
  <si>
    <t>12 months
Dec-31-2019E</t>
  </si>
  <si>
    <t>12 months
Dec-31-2020E</t>
  </si>
  <si>
    <t>TEV/Total Revenue</t>
  </si>
  <si>
    <t>TEV/EBITDA</t>
  </si>
  <si>
    <t>TEV/EBIT</t>
  </si>
  <si>
    <t>P/Diluted EPS Before Extra</t>
  </si>
  <si>
    <t>P/BV</t>
  </si>
  <si>
    <t>Price/Tang BV</t>
  </si>
  <si>
    <t xml:space="preserve">
               </t>
  </si>
  <si>
    <t>Shake Shack Inc. (NYSE:SHAK) &gt; Financials &gt; Income Statement</t>
  </si>
  <si>
    <t>In Thousands of the reported currency, except per share items.</t>
  </si>
  <si>
    <t>Template:</t>
  </si>
  <si>
    <t>Standard</t>
  </si>
  <si>
    <t>Restatement:</t>
  </si>
  <si>
    <t>Latest Filings</t>
  </si>
  <si>
    <t>Period Type:</t>
  </si>
  <si>
    <t>Annual</t>
  </si>
  <si>
    <t>Reported Currency</t>
  </si>
  <si>
    <t>Source:</t>
  </si>
  <si>
    <t>Capital IQ &amp; Proprietary Data</t>
  </si>
  <si>
    <t>12 months
Dec-26-2012</t>
  </si>
  <si>
    <t>Reclassified
12 months
Dec-25-2013</t>
  </si>
  <si>
    <t>12 months
Dec-31-2014</t>
  </si>
  <si>
    <t>Reclassified
12 months
Dec-30-2015</t>
  </si>
  <si>
    <t>12 months
Dec-28-2016</t>
  </si>
  <si>
    <t>12 months
Dec-27-2017</t>
  </si>
  <si>
    <t>LTM
12 months
Mar-28-2018</t>
  </si>
  <si>
    <t>Other Revenue</t>
  </si>
  <si>
    <t xml:space="preserve">  Total Revenue</t>
  </si>
  <si>
    <t>Cost Of Goods Sold</t>
  </si>
  <si>
    <t xml:space="preserve">  Gross Profit</t>
  </si>
  <si>
    <t>Selling General &amp; Admin Exp.</t>
  </si>
  <si>
    <t>Pre-Opening Costs</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</si>
  <si>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</si>
  <si>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</si>
  <si>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</si>
  <si>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</si>
  <si>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</si>
  <si>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</si>
  <si>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</si>
  <si>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</si>
  <si>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</si>
  <si>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</si>
  <si>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</si>
  <si>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Gain (Loss) On Sale Of Invest.</t>
  </si>
  <si>
    <t>Gain (Loss) On Sale Of Assets</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</si>
  <si>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</si>
  <si>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</si>
  <si>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</si>
  <si>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</si>
  <si>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</si>
  <si>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</si>
  <si>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</si>
  <si>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</si>
  <si>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</si>
  <si>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</si>
  <si>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</si>
  <si>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</si>
  <si>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</si>
  <si>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</si>
  <si>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</si>
  <si>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</si>
  <si>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</si>
  <si>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</si>
  <si>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</si>
  <si>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</si>
  <si>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</si>
  <si>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</si>
  <si>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</si>
  <si>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</si>
  <si>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Supplemental Items</t>
  </si>
  <si>
    <t>EBITA</t>
  </si>
  <si>
    <t>EBITDAR</t>
  </si>
  <si>
    <t>As Reported Total Revenue*</t>
  </si>
  <si>
    <t>Effective Tax Rate %</t>
  </si>
  <si>
    <t>Current Domestic Taxes</t>
  </si>
  <si>
    <t>Current Foreign Taxes</t>
  </si>
  <si>
    <t>Total Current Taxes</t>
  </si>
  <si>
    <t>Deferred Domestic Taxes</t>
  </si>
  <si>
    <t>Total Deferred Taxes</t>
  </si>
  <si>
    <t>Normalized Net Income</t>
  </si>
  <si>
    <t>Interest Capitalized</t>
  </si>
  <si>
    <t>Interest on Long Term Debt</t>
  </si>
  <si>
    <t>Filing Date</t>
  </si>
  <si>
    <t>Restatement Type</t>
  </si>
  <si>
    <t>NC</t>
  </si>
  <si>
    <t>RC</t>
  </si>
  <si>
    <t>O</t>
  </si>
  <si>
    <t>Calculation Type</t>
  </si>
  <si>
    <t>REP</t>
  </si>
  <si>
    <t>LTM</t>
  </si>
  <si>
    <t>Supplemental Operating Expense Items</t>
  </si>
  <si>
    <t>Advertising Exp.</t>
  </si>
  <si>
    <t>General and Administrative Exp.</t>
  </si>
  <si>
    <t>Net Rental Exp.</t>
  </si>
  <si>
    <t>Imputed Oper. Lease Interest Exp.</t>
  </si>
  <si>
    <t>Imputed Oper. Lease Depreciation</t>
  </si>
  <si>
    <t>Stock-Based Comp., G&amp;A Exp.</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</si>
  <si>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</si>
  <si>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</si>
  <si>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</si>
  <si>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</si>
  <si>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Shake Shack Inc. (NYSE:SHAK) &gt; Financials &gt; Balance Sheet</t>
  </si>
  <si>
    <t xml:space="preserve">Balance Sheet as of:
</t>
  </si>
  <si>
    <t>Reclassified
Dec-31-2014</t>
  </si>
  <si>
    <t>ASSETS</t>
  </si>
  <si>
    <t>Cash And Equivalents</t>
  </si>
  <si>
    <t>Short Term Investments</t>
  </si>
  <si>
    <t xml:space="preserve">  Total Cash &amp; ST Investments</t>
  </si>
  <si>
    <t>Accounts Receivable</t>
  </si>
  <si>
    <t>Other Receivables</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</si>
  <si>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</si>
  <si>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</si>
  <si>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</si>
  <si>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</si>
  <si>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</si>
  <si>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</si>
  <si>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</si>
  <si>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</si>
  <si>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Other Intangibles</t>
  </si>
  <si>
    <t>Deferred Tax Assets, LT</t>
  </si>
  <si>
    <t>Deferred Charges, LT</t>
  </si>
  <si>
    <t>Other Long-Term Assets</t>
  </si>
  <si>
    <t>Total Assets</t>
  </si>
  <si>
    <t>LIABILITIES</t>
  </si>
  <si>
    <t>Accounts Payable</t>
  </si>
  <si>
    <t>Accrued Exp.</t>
  </si>
  <si>
    <t>Short-term Borrowings</t>
  </si>
  <si>
    <t>Unearned Revenue, Current</t>
  </si>
  <si>
    <t>Other Current Liabilities</t>
  </si>
  <si>
    <t xml:space="preserve">  Total Current Liabilities</t>
  </si>
  <si>
    <t>Long-Term Debt</t>
  </si>
  <si>
    <t>Unearned Revenue, Non-Current</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</si>
  <si>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</si>
  <si>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</si>
  <si>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</si>
  <si>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</si>
  <si>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</si>
  <si>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</si>
  <si>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</si>
  <si>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</si>
  <si>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</si>
  <si>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</si>
  <si>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</si>
  <si>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</si>
  <si>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</si>
  <si>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</si>
  <si>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</si>
  <si>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</si>
  <si>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</si>
  <si>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</si>
  <si>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</si>
  <si>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</si>
  <si>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Inventory Method</t>
  </si>
  <si>
    <t>FIFO</t>
  </si>
  <si>
    <t>Finished Goods Inventory</t>
  </si>
  <si>
    <t>Machinery</t>
  </si>
  <si>
    <t>Construction in Progress</t>
  </si>
  <si>
    <t>Leasehold Improvements</t>
  </si>
  <si>
    <t>Full Time Employees</t>
  </si>
  <si>
    <t>RUP</t>
  </si>
  <si>
    <t>Note: For multiple class companies, total share counts are primary class equivalent, and for foreign companies listed as primary ADRs, total share counts are ADR-equivalent.</t>
  </si>
  <si>
    <t>Shake Shack Inc. (NYSE:SHAK) &gt; Financials &gt; Cash Flow</t>
  </si>
  <si>
    <t>Cash Flow</t>
  </si>
  <si>
    <t>12 months
Dec-25-2013</t>
  </si>
  <si>
    <t>12 months
Dec-30-2015</t>
  </si>
  <si>
    <t>Depreciation &amp; Amort., Total</t>
  </si>
  <si>
    <t>(Gain) Loss From Sale Of Assets</t>
  </si>
  <si>
    <t>(Gain) Loss On Sale Of Invest.</t>
  </si>
  <si>
    <t>Stock-Based Compensation</t>
  </si>
  <si>
    <t>Tax Benefit from Stock Options</t>
  </si>
  <si>
    <t>Other Operating Activities</t>
  </si>
  <si>
    <t>Change in Acc. Receivable</t>
  </si>
  <si>
    <t>Change In Inventories</t>
  </si>
  <si>
    <t>Change in Acc. Payable</t>
  </si>
  <si>
    <t>Change in Other Net Operating Assets</t>
  </si>
  <si>
    <t xml:space="preserve">  Cash from Ops.</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</si>
  <si>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</si>
  <si>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</si>
  <si>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</si>
  <si>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</si>
  <si>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</si>
  <si>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</si>
  <si>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</si>
  <si>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</si>
  <si>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</si>
  <si>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</si>
  <si>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</si>
  <si>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</si>
  <si>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</si>
  <si>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Common Dividends Paid</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</si>
  <si>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</si>
  <si>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</si>
  <si>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</si>
  <si>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</si>
  <si>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</si>
  <si>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</si>
  <si>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</si>
  <si>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</si>
  <si>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</si>
  <si>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</si>
  <si>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</si>
  <si>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Shake Shack Inc. (NYSE:SHAK) &gt; Financials &gt; Multiples</t>
  </si>
  <si>
    <t>View:</t>
  </si>
  <si>
    <t>Data</t>
  </si>
  <si>
    <t>Frequency:</t>
  </si>
  <si>
    <t>Quarterly</t>
  </si>
  <si>
    <t>Multiples Detail
                     In Thousands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</si>
  <si>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</si>
  <si>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</si>
  <si>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</si>
  <si>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</si>
  <si>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</si>
  <si>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</si>
  <si>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</si>
  <si>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</si>
  <si>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</si>
  <si>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</si>
  <si>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</si>
  <si>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</si>
  <si>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</si>
  <si>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</si>
  <si>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</si>
  <si>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</si>
  <si>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</si>
  <si>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</si>
  <si>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</si>
  <si>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</si>
  <si>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</si>
  <si>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Shake Shack Inc. (NYSE:SHAK) &gt; Financials &gt; Historical Capitalization</t>
  </si>
  <si>
    <t>Historical Capitalization</t>
  </si>
  <si>
    <t>Pricing as of*</t>
  </si>
  <si>
    <t>Capitalization Detail</t>
  </si>
  <si>
    <t>Implied Shares Outstanding***</t>
  </si>
  <si>
    <t>Implied Market Capitalization***</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</si>
  <si>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</si>
  <si>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</si>
  <si>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 Includes number of shares outstanding + shares held by non-controlling interest holders without accounting for dilutive securities.</t>
  </si>
  <si>
    <t>Shake Shack Inc. (NYSE:SHAK) &gt; Financials &gt; Capital Structure Summary</t>
  </si>
  <si>
    <t>In Thousands of the reported currency, except ratios and % of Total values.</t>
  </si>
  <si>
    <t>Capital Structure Data</t>
  </si>
  <si>
    <t xml:space="preserve"> For the Fiscal Period Ending
</t>
  </si>
  <si>
    <t xml:space="preserve"> 12 months Dec-26-2012</t>
  </si>
  <si>
    <t xml:space="preserve"> 12 months Dec-25-2013</t>
  </si>
  <si>
    <t xml:space="preserve"> 12 months Dec-31-2014</t>
  </si>
  <si>
    <t xml:space="preserve"> 12 months Dec-30-2015</t>
  </si>
  <si>
    <t xml:space="preserve"> 12 months Dec-28-2016</t>
  </si>
  <si>
    <t xml:space="preserve"> 12 months Dec-27-2017</t>
  </si>
  <si>
    <t xml:space="preserve"> 3 months Mar-28-2018</t>
  </si>
  <si>
    <t xml:space="preserve"> Currency</t>
  </si>
  <si>
    <t xml:space="preserve"> USD</t>
  </si>
  <si>
    <t xml:space="preserve"> Units</t>
  </si>
  <si>
    <t xml:space="preserve"> Thousands</t>
  </si>
  <si>
    <t>% of Total</t>
  </si>
  <si>
    <t>Total Common Equity</t>
  </si>
  <si>
    <t xml:space="preserve">  Total Capital</t>
  </si>
  <si>
    <t>Debt Summary Data</t>
  </si>
  <si>
    <t>Total Revolving Credit</t>
  </si>
  <si>
    <t>Total Senior Bonds and Notes</t>
  </si>
  <si>
    <t>Total Capital Leases</t>
  </si>
  <si>
    <t xml:space="preserve">  Total Principal Due</t>
  </si>
  <si>
    <t xml:space="preserve">  Total Debt Outstanding</t>
  </si>
  <si>
    <t>Available Credit</t>
  </si>
  <si>
    <t>Undrawn Revolving Credit</t>
  </si>
  <si>
    <t xml:space="preserve">  Total Undrawn Credit</t>
  </si>
  <si>
    <t>Additional Totals</t>
  </si>
  <si>
    <t>Total Cash &amp; ST Investments</t>
  </si>
  <si>
    <t>Total Senior Debt</t>
  </si>
  <si>
    <t>Total Convertible Debt</t>
  </si>
  <si>
    <t>Total Short-Term Borrowings</t>
  </si>
  <si>
    <t>Long-Term Debt (Incl. Cap. Leases)</t>
  </si>
  <si>
    <t>Total Bank Debt</t>
  </si>
  <si>
    <t>Total Secured Debt</t>
  </si>
  <si>
    <t>Senior Secured Loans</t>
  </si>
  <si>
    <t>Total Senior Secured Debt</t>
  </si>
  <si>
    <t>Total Unsecured Debt</t>
  </si>
  <si>
    <t>Senior Unsecured Bonds and Notes</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</si>
  <si>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</si>
  <si>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</si>
  <si>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</si>
  <si>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</si>
  <si>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</si>
  <si>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</si>
  <si>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</si>
  <si>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</si>
  <si>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</si>
  <si>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</si>
  <si>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</si>
  <si>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</si>
  <si>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</si>
  <si>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</si>
  <si>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</si>
  <si>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</si>
  <si>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</si>
  <si>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</si>
  <si>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</si>
  <si>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</si>
  <si>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</si>
  <si>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</si>
  <si>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</si>
  <si>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</si>
  <si>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</si>
  <si>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</si>
  <si>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</si>
  <si>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</si>
  <si>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</si>
  <si>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</si>
  <si>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</si>
  <si>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</si>
  <si>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</si>
  <si>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</si>
  <si>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</si>
  <si>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</si>
  <si>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</si>
  <si>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Shake Shack Inc. (NYSE:SHAK) &gt; Financials &gt; Capital Structure Details</t>
  </si>
  <si>
    <t>Principal Due in Thousands of the reported currency.</t>
  </si>
  <si>
    <t>A 2017 filed Feb-26-2018</t>
  </si>
  <si>
    <t>FY 2017 (Dec-27-2017) Capital Structure As Reported Details</t>
  </si>
  <si>
    <t>Description</t>
  </si>
  <si>
    <t>Type</t>
  </si>
  <si>
    <t>Principal Due (USD)</t>
  </si>
  <si>
    <t>Coupon/Base Rate</t>
  </si>
  <si>
    <t>Floating Rate</t>
  </si>
  <si>
    <t>Maturity</t>
  </si>
  <si>
    <t>Seniority</t>
  </si>
  <si>
    <t>Secured</t>
  </si>
  <si>
    <t>Convertible</t>
  </si>
  <si>
    <t>Repayment Currency</t>
  </si>
  <si>
    <t>Deemed Landlord Financing Lease</t>
  </si>
  <si>
    <t>Senior</t>
  </si>
  <si>
    <t>Yes</t>
  </si>
  <si>
    <t>No</t>
  </si>
  <si>
    <t>Revolving Credit Facility</t>
  </si>
  <si>
    <t>Revolving Credit</t>
  </si>
  <si>
    <t>3.300%</t>
  </si>
  <si>
    <t>Benchmark</t>
  </si>
  <si>
    <t>Exchangeable</t>
  </si>
  <si>
    <t>FY 2016 (Dec-28-2016) Capital Structure As Reported Details</t>
  </si>
  <si>
    <t>Shake Shack Inc. (NYSE:SHAK) &gt; Financials &gt; Ratios</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</si>
  <si>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</si>
  <si>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</si>
  <si>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</si>
  <si>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</si>
  <si>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</si>
  <si>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</si>
  <si>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</si>
  <si>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</si>
  <si>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</si>
  <si>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</si>
  <si>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</si>
  <si>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</si>
  <si>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</si>
  <si>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</si>
  <si>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</si>
  <si>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</si>
  <si>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</si>
  <si>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</si>
  <si>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</si>
  <si>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</si>
  <si>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</si>
  <si>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</si>
  <si>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</si>
  <si>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</si>
  <si>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</si>
  <si>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</si>
  <si>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</si>
  <si>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</si>
  <si>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</si>
  <si>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</si>
  <si>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</si>
  <si>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</si>
  <si>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</si>
  <si>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</si>
  <si>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</si>
  <si>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</si>
  <si>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</si>
  <si>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</si>
  <si>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</si>
  <si>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</si>
  <si>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</si>
  <si>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</si>
  <si>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</si>
  <si>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</si>
  <si>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</si>
  <si>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</si>
  <si>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</si>
  <si>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</si>
  <si>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</si>
  <si>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</si>
  <si>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</si>
  <si>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</si>
  <si>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</si>
  <si>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</si>
  <si>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</si>
  <si>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</si>
  <si>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</si>
  <si>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</si>
  <si>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</si>
  <si>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</si>
  <si>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</si>
  <si>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</si>
  <si>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</si>
  <si>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</si>
  <si>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Shake Shack Inc. (NYSE:SHAK) &gt; Financials &gt; Supplemental</t>
  </si>
  <si>
    <t>Supplemental</t>
  </si>
  <si>
    <t>Options Outstanding - Class A</t>
  </si>
  <si>
    <t>Options Out. at the Beginning of the Period</t>
  </si>
  <si>
    <t>Options Granted During the Period</t>
  </si>
  <si>
    <t>Options Exercised During the Period</t>
  </si>
  <si>
    <t>Options Cancelled During the Period</t>
  </si>
  <si>
    <t>Options Out. at the End of the Period</t>
  </si>
  <si>
    <t>W/Avg. Strike Price of Out. at the End of the Period</t>
  </si>
  <si>
    <t>W/Avg. Strike Price of Granted</t>
  </si>
  <si>
    <t>Options Outstanding - All Classes</t>
  </si>
  <si>
    <t>Stock Based Compensation</t>
  </si>
  <si>
    <t>Restr. Stock Comp. Exp., Before Tax</t>
  </si>
  <si>
    <t>Restr. Stock Comp. Exp. Tax Effect</t>
  </si>
  <si>
    <t>Restr. Stock Comp. Exp., After Tax</t>
  </si>
  <si>
    <t>Stock Options Comp. Exp., Before Tax</t>
  </si>
  <si>
    <t>Stock Based Comp. Exp., Before Tax</t>
  </si>
  <si>
    <t>Stock Based Comp. Exp. Tax Effect</t>
  </si>
  <si>
    <t>Stock Based Comp. Exp., After Tax</t>
  </si>
  <si>
    <t>Loss Carry Forward Related Items</t>
  </si>
  <si>
    <t>NOL C/F, After Five Years</t>
  </si>
  <si>
    <t>Total NOL C/F</t>
  </si>
  <si>
    <t>Max. Year for NOL C/F</t>
  </si>
  <si>
    <t>Tax Benefit C/F, After Five Years</t>
  </si>
  <si>
    <t>Total Tax Benefit C/F</t>
  </si>
  <si>
    <t>Capitalized Interest Data</t>
  </si>
  <si>
    <t>Fair Value Measurements</t>
  </si>
  <si>
    <t>Level 1 Assets - Quoted Prices</t>
  </si>
  <si>
    <t>Level 2 Assets - Observable Prices</t>
  </si>
  <si>
    <t>Fair Value of Assets</t>
  </si>
  <si>
    <t>Shake Shack Inc. (NYSE:SHAK) &gt; Financials &gt; Segments</t>
  </si>
  <si>
    <t>In Thousands of the reported currency.</t>
  </si>
  <si>
    <t>View By:</t>
  </si>
  <si>
    <t>Line Items</t>
  </si>
  <si>
    <t>Business Segments</t>
  </si>
  <si>
    <t>Revenues</t>
  </si>
  <si>
    <t>Operates and Licenses Restaurants</t>
  </si>
  <si>
    <t xml:space="preserve">  Total Revenues</t>
  </si>
  <si>
    <t>Operating Profit Before Tax</t>
  </si>
  <si>
    <t xml:space="preserve">  Total Operating Profit Before Tax</t>
  </si>
  <si>
    <t xml:space="preserve">  Total Interest Expense</t>
  </si>
  <si>
    <t>Net Profit Before Tax</t>
  </si>
  <si>
    <t xml:space="preserve">  Total Net Profit Before Tax</t>
  </si>
  <si>
    <t>Tax Expense</t>
  </si>
  <si>
    <t xml:space="preserve">  Total Tax Expense</t>
  </si>
  <si>
    <t>Net Profit After Tax</t>
  </si>
  <si>
    <t xml:space="preserve">  Total Net Profit After Tax</t>
  </si>
  <si>
    <t>Assets</t>
  </si>
  <si>
    <t>Depreciation &amp; Amortization</t>
  </si>
  <si>
    <t xml:space="preserve">  Total Depreciation &amp; Amortization</t>
  </si>
  <si>
    <t xml:space="preserve">  Total Capital Expenditure</t>
  </si>
  <si>
    <t>Geographic Segments</t>
  </si>
  <si>
    <t>United States</t>
  </si>
  <si>
    <t>Other Countries</t>
  </si>
  <si>
    <t>Capex as % of Revenue</t>
    <phoneticPr fontId="1" type="noConversion"/>
  </si>
  <si>
    <t>Depreciation as % of Net PP&amp;E</t>
    <phoneticPr fontId="1" type="noConversion"/>
  </si>
  <si>
    <t>Beginning Net PP&amp;E</t>
    <phoneticPr fontId="1" type="noConversion"/>
  </si>
  <si>
    <t>(Depreciation Expense)</t>
    <phoneticPr fontId="1" type="noConversion"/>
  </si>
  <si>
    <t>(Asset Sales)</t>
    <phoneticPr fontId="1" type="noConversion"/>
  </si>
  <si>
    <t>Ending Net PP&amp;E</t>
    <phoneticPr fontId="1" type="noConversion"/>
  </si>
  <si>
    <t>New Store Openings (gross)</t>
    <phoneticPr fontId="1" type="noConversion"/>
  </si>
  <si>
    <t>New Domestic Company Store Openings (gross)</t>
    <phoneticPr fontId="1" type="noConversion"/>
  </si>
  <si>
    <t>Capex / New Stores Opened</t>
    <phoneticPr fontId="1" type="noConversion"/>
  </si>
  <si>
    <t>G&amp;A as % of Co. Operated Store Rev.</t>
    <phoneticPr fontId="1" type="noConversion"/>
  </si>
  <si>
    <t>Depreciation / Existing Store</t>
    <phoneticPr fontId="1" type="noConversion"/>
  </si>
  <si>
    <t xml:space="preserve">Capex / Depreciation </t>
    <phoneticPr fontId="1" type="noConversion"/>
  </si>
  <si>
    <t>Depreciation Expense</t>
    <phoneticPr fontId="1" type="noConversion"/>
  </si>
  <si>
    <t>Implied Useful Life (Years)</t>
    <phoneticPr fontId="1" type="noConversion"/>
  </si>
  <si>
    <t>Step</t>
    <phoneticPr fontId="1" type="noConversion"/>
  </si>
  <si>
    <t>PP&amp;E BASE Table</t>
    <phoneticPr fontId="1" type="noConversion"/>
  </si>
  <si>
    <t>Capital Expenditures</t>
    <phoneticPr fontId="1" type="noConversion"/>
  </si>
  <si>
    <t>Asset Sales</t>
    <phoneticPr fontId="1" type="noConversion"/>
  </si>
  <si>
    <t>Additions to Intangibles</t>
    <phoneticPr fontId="1" type="noConversion"/>
  </si>
  <si>
    <t>Net Income</t>
    <phoneticPr fontId="1" type="noConversion"/>
  </si>
  <si>
    <t>Stock-based Compensation Expense</t>
    <phoneticPr fontId="1" type="noConversion"/>
  </si>
  <si>
    <t>Change in Working Capital</t>
    <phoneticPr fontId="1" type="noConversion"/>
  </si>
  <si>
    <t>Change in Other LT Assets &amp; Liabilities</t>
    <phoneticPr fontId="1" type="noConversion"/>
  </si>
  <si>
    <t>Issuance/(Repayment) of Revolver</t>
    <phoneticPr fontId="1" type="noConversion"/>
  </si>
  <si>
    <t>Increase in Long-term Debt</t>
    <phoneticPr fontId="1" type="noConversion"/>
  </si>
  <si>
    <t>Repayment of Long-term Debt</t>
    <phoneticPr fontId="1" type="noConversion"/>
  </si>
  <si>
    <t>Repurchase of Equity</t>
    <phoneticPr fontId="1" type="noConversion"/>
  </si>
  <si>
    <t>Dividends Paid Out</t>
    <phoneticPr fontId="1" type="noConversion"/>
  </si>
  <si>
    <t>Proceeds from Options</t>
    <phoneticPr fontId="1" type="noConversion"/>
  </si>
  <si>
    <t>Beginning Cash Balance</t>
    <phoneticPr fontId="1" type="noConversion"/>
  </si>
  <si>
    <t>Ending Cash Balance</t>
    <phoneticPr fontId="1" type="noConversion"/>
  </si>
  <si>
    <t>x</t>
    <phoneticPr fontId="1" type="noConversion"/>
  </si>
  <si>
    <t>Other Long-term Items</t>
    <phoneticPr fontId="1" type="noConversion"/>
  </si>
  <si>
    <t>Deferred Income Taxes</t>
  </si>
  <si>
    <t>Other Long-term Liabilities</t>
  </si>
  <si>
    <t>Goodwill</t>
    <phoneticPr fontId="1" type="noConversion"/>
  </si>
  <si>
    <t>Assets</t>
    <phoneticPr fontId="1" type="noConversion"/>
  </si>
  <si>
    <t>Liabilities</t>
    <phoneticPr fontId="1" type="noConversion"/>
  </si>
  <si>
    <t>Goodwill</t>
    <phoneticPr fontId="1" type="noConversion"/>
  </si>
  <si>
    <t>(Increase)/Decrease in Other LT Assets</t>
    <phoneticPr fontId="1" type="noConversion"/>
  </si>
  <si>
    <t>Increase/(Decrease) in Other LT Liabilities</t>
    <phoneticPr fontId="1" type="noConversion"/>
  </si>
  <si>
    <t>Change in Other Long-term Assets and Liabilities</t>
  </si>
  <si>
    <t>Step</t>
    <phoneticPr fontId="1" type="noConversion"/>
  </si>
  <si>
    <t>Total Other Long-term Assets</t>
    <phoneticPr fontId="1" type="noConversion"/>
  </si>
  <si>
    <t>Equity</t>
    <phoneticPr fontId="1" type="noConversion"/>
  </si>
  <si>
    <t>Beginning equity balance</t>
  </si>
  <si>
    <t>Dividends paid</t>
  </si>
  <si>
    <t>Option proceeds</t>
  </si>
  <si>
    <t>Ending equity balance</t>
  </si>
  <si>
    <t>Share repurchase</t>
  </si>
  <si>
    <t>Projected EPS</t>
  </si>
  <si>
    <t>Assumed P/E Multiple</t>
  </si>
  <si>
    <t>Projected share price</t>
  </si>
  <si>
    <t>$ amount repurchased</t>
  </si>
  <si>
    <t>New shares from exercised options</t>
  </si>
  <si>
    <t>Average strike price per share</t>
  </si>
  <si>
    <t>Dividend</t>
  </si>
  <si>
    <t>Total dividends paid</t>
  </si>
  <si>
    <t>Divident payout ratio</t>
  </si>
  <si>
    <t>Stock Based Compensation</t>
    <phoneticPr fontId="1" type="noConversion"/>
  </si>
  <si>
    <t>Diluted Shares Outstanding (in '000 shares)</t>
    <phoneticPr fontId="1" type="noConversion"/>
  </si>
  <si>
    <t>Diluted Earnings Per Shares (EPS)</t>
    <phoneticPr fontId="1" type="noConversion"/>
  </si>
  <si>
    <t>G&amp;A Excluding SBC</t>
    <phoneticPr fontId="1" type="noConversion"/>
  </si>
  <si>
    <t>Change in Non-Controlling Interest</t>
    <phoneticPr fontId="1" type="noConversion"/>
  </si>
  <si>
    <t>Shares repurchased (in thounsands)</t>
    <phoneticPr fontId="1" type="noConversion"/>
  </si>
  <si>
    <t>New shares issued from options (in thounsands)</t>
    <phoneticPr fontId="1" type="noConversion"/>
  </si>
  <si>
    <t>Beginning balance</t>
  </si>
  <si>
    <t>Shares issued from options</t>
  </si>
  <si>
    <t>Shares repurchsed</t>
  </si>
  <si>
    <t>Ending balance</t>
  </si>
  <si>
    <t>Average basic shares</t>
  </si>
  <si>
    <t>Effects of options (unexercised)</t>
  </si>
  <si>
    <t>Average diluted shares</t>
  </si>
  <si>
    <t>Shares</t>
    <phoneticPr fontId="1" type="noConversion"/>
  </si>
  <si>
    <t>(units in '000 shares)</t>
    <phoneticPr fontId="1" type="noConversion"/>
  </si>
  <si>
    <t>The following table summarizes information about stock options outstanding and exercisable as December 27, 2017:</t>
  </si>
  <si>
    <t>Options Outstanding</t>
  </si>
  <si>
    <t>Options Exercisable</t>
  </si>
  <si>
    <t>Number Outstanding at December 27, 2017</t>
  </si>
  <si>
    <t>Weighted Average Remaining Contractual Life (Years)</t>
  </si>
  <si>
    <t>Weighted Average Exercise Price</t>
  </si>
  <si>
    <t>Number Exercisable at December 27, 2017</t>
  </si>
  <si>
    <t>Exercise Price</t>
  </si>
  <si>
    <t>Exercise Price</t>
    <phoneticPr fontId="1" type="noConversion"/>
  </si>
  <si>
    <t>Current P</t>
    <phoneticPr fontId="1" type="noConversion"/>
  </si>
  <si>
    <t>Share price:</t>
    <phoneticPr fontId="1" type="noConversion"/>
  </si>
  <si>
    <t>Exercisable</t>
    <phoneticPr fontId="1" type="noConversion"/>
  </si>
  <si>
    <t>$ inflow</t>
    <phoneticPr fontId="1" type="noConversion"/>
  </si>
  <si>
    <t>Shares Buyback</t>
    <phoneticPr fontId="1" type="noConversion"/>
  </si>
  <si>
    <t>Gross Issuance</t>
    <phoneticPr fontId="1" type="noConversion"/>
  </si>
  <si>
    <t>Net Issuance</t>
    <phoneticPr fontId="1" type="noConversion"/>
  </si>
  <si>
    <t>A summary of performance stock unit activity for fiscal years 2017 and 2016 is as follows:</t>
  </si>
  <si>
    <t>Performance</t>
  </si>
  <si>
    <t>Stock</t>
  </si>
  <si>
    <t>Units</t>
  </si>
  <si>
    <t>Weighted</t>
  </si>
  <si>
    <t>Grant Date Fair Value</t>
  </si>
  <si>
    <t>Outstanding as of December 30, 2015</t>
  </si>
  <si>
    <t>Granted</t>
  </si>
  <si>
    <t>Vested</t>
  </si>
  <si>
    <t>Forfeited</t>
  </si>
  <si>
    <t>(2,000</t>
  </si>
  <si>
    <t>Expired</t>
  </si>
  <si>
    <t>Outstanding as of December 28, 2016</t>
  </si>
  <si>
    <t>(22,703</t>
  </si>
  <si>
    <t>(11,196</t>
  </si>
  <si>
    <t>Outstanding as of December 27, 2017</t>
  </si>
  <si>
    <t>Represents incremental awards earned based on the achievement of performance conditions.</t>
  </si>
  <si>
    <t>As of February 14, 2018, there were 27,078,149 shares of Class A common stock outstanding and 9,701,815 shares of Class B common stock outstanding.</t>
    <phoneticPr fontId="1" type="noConversion"/>
  </si>
  <si>
    <t>Debt &amp; Interest Expense</t>
    <phoneticPr fontId="1" type="noConversion"/>
  </si>
  <si>
    <t>Cash flow Available for Financing Activities</t>
  </si>
  <si>
    <t>Cash Available for Debt Repayment</t>
  </si>
  <si>
    <t>Excess Cash Available for Revolver</t>
  </si>
  <si>
    <t>Issuance</t>
  </si>
  <si>
    <t>(Repayment)</t>
  </si>
  <si>
    <t>Average balance</t>
  </si>
  <si>
    <t>Interest rate</t>
  </si>
  <si>
    <t>Total Interest Expense</t>
  </si>
  <si>
    <t>Interest (income)</t>
  </si>
  <si>
    <t>Inc/(Dec) in Non-Controlling Interest</t>
    <phoneticPr fontId="1" type="noConversion"/>
  </si>
  <si>
    <t>Capital Lease Increase</t>
    <phoneticPr fontId="1" type="noConversion"/>
  </si>
  <si>
    <t>Capital Lease (Paydown)</t>
    <phoneticPr fontId="1" type="noConversion"/>
  </si>
  <si>
    <t>Long-term Debt Issuance</t>
    <phoneticPr fontId="1" type="noConversion"/>
  </si>
  <si>
    <t>Long-term Debt (Repayment)</t>
    <phoneticPr fontId="1" type="noConversion"/>
  </si>
  <si>
    <t>Repurchase of Equity</t>
    <phoneticPr fontId="1" type="noConversion"/>
  </si>
  <si>
    <t>Dividends Paid</t>
    <phoneticPr fontId="1" type="noConversion"/>
  </si>
  <si>
    <t>Option Proceeds</t>
    <phoneticPr fontId="1" type="noConversion"/>
  </si>
  <si>
    <t>Plus: Beginning Cash Balance</t>
    <phoneticPr fontId="1" type="noConversion"/>
  </si>
  <si>
    <t>Less: Minimum Cash Balance</t>
    <phoneticPr fontId="1" type="noConversion"/>
  </si>
  <si>
    <t>Beginning Balance</t>
    <phoneticPr fontId="1" type="noConversion"/>
  </si>
  <si>
    <t>Issuance/(Repayment) of Revolver - Cash Sweep</t>
    <phoneticPr fontId="1" type="noConversion"/>
  </si>
  <si>
    <t>Ending Balance</t>
    <phoneticPr fontId="1" type="noConversion"/>
  </si>
  <si>
    <t>Capital Lease</t>
    <phoneticPr fontId="1" type="noConversion"/>
  </si>
  <si>
    <t>Revolver Interest Expense</t>
    <phoneticPr fontId="1" type="noConversion"/>
  </si>
  <si>
    <t>Capital Lease Interest Expense</t>
    <phoneticPr fontId="1" type="noConversion"/>
  </si>
  <si>
    <t>Long-term debt Interest Expense</t>
    <phoneticPr fontId="1" type="noConversion"/>
  </si>
  <si>
    <t>Cash Interest (Income)</t>
    <phoneticPr fontId="1" type="noConversion"/>
  </si>
  <si>
    <t>Other Income</t>
    <phoneticPr fontId="1" type="noConversion"/>
  </si>
  <si>
    <t>Interest Expense/(Income)</t>
    <phoneticPr fontId="1" type="noConversion"/>
  </si>
  <si>
    <t>Less: Taxes@</t>
  </si>
  <si>
    <t>Plus: Depreciation</t>
  </si>
  <si>
    <t>Plus: Amortization</t>
  </si>
  <si>
    <t>Unlevered Free Cash Flow yoy Growth Rate</t>
  </si>
  <si>
    <t>NPV of FCF</t>
  </si>
  <si>
    <t>Perpetuity Growth Method</t>
  </si>
  <si>
    <t>EBITDA Multiple Method</t>
  </si>
  <si>
    <t>Cash</t>
  </si>
  <si>
    <t>Debt</t>
  </si>
  <si>
    <t>Tax-effected EBIT ("NOPLAT")</t>
    <phoneticPr fontId="1" type="noConversion"/>
  </si>
  <si>
    <t>Plus: Asset Sale</t>
    <phoneticPr fontId="1" type="noConversion"/>
  </si>
  <si>
    <t>EBITDA</t>
    <phoneticPr fontId="1" type="noConversion"/>
  </si>
  <si>
    <t>NPV of FCF from 2016-2027</t>
    <phoneticPr fontId="1" type="noConversion"/>
  </si>
  <si>
    <t>Assumed exchange of LLC Interests for shares of Class A common stock</t>
    <phoneticPr fontId="1" type="noConversion"/>
  </si>
  <si>
    <t xml:space="preserve">Shack-by-Shack Revenue </t>
    <phoneticPr fontId="1" type="noConversion"/>
  </si>
  <si>
    <t>Shack-by-Shack Unit Volume</t>
    <phoneticPr fontId="1" type="noConversion"/>
  </si>
  <si>
    <t>2014 Shacks</t>
    <phoneticPr fontId="1" type="noConversion"/>
  </si>
  <si>
    <t>2015 Shacks</t>
    <phoneticPr fontId="1" type="noConversion"/>
  </si>
  <si>
    <t>2016 Shacks</t>
    <phoneticPr fontId="1" type="noConversion"/>
  </si>
  <si>
    <t>2017 Shacks</t>
    <phoneticPr fontId="1" type="noConversion"/>
  </si>
  <si>
    <t>2013-Prior Shacks</t>
    <phoneticPr fontId="1" type="noConversion"/>
  </si>
  <si>
    <t>Same Shack Sales (% yoy)  - Actual</t>
    <phoneticPr fontId="1" type="noConversion"/>
  </si>
  <si>
    <t>S&amp;P Capital IQ Consensus GAAP EPS</t>
    <phoneticPr fontId="1" type="noConversion"/>
  </si>
  <si>
    <t>S&amp;P Capital IQ Consensus Adjusted EPS</t>
    <phoneticPr fontId="1" type="noConversion"/>
  </si>
  <si>
    <t>x</t>
    <phoneticPr fontId="1" type="noConversion"/>
  </si>
  <si>
    <t>Operating Leases</t>
    <phoneticPr fontId="1" type="noConversion"/>
  </si>
  <si>
    <t>Key Statistics</t>
    <phoneticPr fontId="1" type="noConversion"/>
  </si>
  <si>
    <t>https://www.sec.gov/cgi-bin/browse-edgar?company=shake+shack&amp;match=&amp;CIK=&amp;filenum=&amp;State=&amp;Country=&amp;SIC=&amp;owner=exclude&amp;Find=Find+Companies&amp;action=getcompany</t>
    <phoneticPr fontId="1" type="noConversion"/>
  </si>
  <si>
    <t>SEC Edgar Shake Shack</t>
    <phoneticPr fontId="1" type="noConversion"/>
  </si>
  <si>
    <t>https://www.sec.gov/Archives/edgar/data/1620533/000162053318000015/shak-20171227_10k.htm</t>
    <phoneticPr fontId="1" type="noConversion"/>
  </si>
  <si>
    <t>https://www.sec.gov/cgi-bin/viewer?action=view&amp;cik=1620533&amp;accession_number=0001620533-18-000015&amp;xbrl_type=v</t>
    <phoneticPr fontId="1" type="noConversion"/>
  </si>
  <si>
    <r>
      <t>In fiscal 2017, 44,476 restricted stock units were granted with a weighted average grant date fair value of $38.98. As of December 27, 2017, there were 44,476 restricted stock units outstanding, of which none were vested. No restricted stock units were granted in fiscal 2016 and 2015. As of December 27, 2017, total unrecognized compensation expense related to unvested restricted stock units was $1,453, which is expected to be recognized over a weighted-average period of</t>
    </r>
    <r>
      <rPr>
        <b/>
        <sz val="10"/>
        <color rgb="FFFF0000"/>
        <rFont val="Arial"/>
        <family val="2"/>
      </rPr>
      <t> </t>
    </r>
    <r>
      <rPr>
        <sz val="10"/>
        <color rgb="FF000000"/>
        <rFont val="Arial"/>
        <family val="2"/>
      </rPr>
      <t>2.5 years.</t>
    </r>
  </si>
  <si>
    <t>Same-Shack sales growth (%)(1)</t>
  </si>
  <si>
    <t>General and administrative expenses(2)</t>
  </si>
  <si>
    <r>
      <t xml:space="preserve">By the end of fiscal 2020, we are targeting:
</t>
    </r>
    <r>
      <rPr>
        <sz val="10"/>
        <color theme="1"/>
        <rFont val="맑은 고딕"/>
        <family val="2"/>
        <charset val="129"/>
      </rPr>
      <t xml:space="preserve">▪
</t>
    </r>
    <r>
      <rPr>
        <sz val="10"/>
        <color theme="1"/>
        <rFont val="Arial"/>
        <family val="2"/>
      </rPr>
      <t xml:space="preserve">At least 200 domestic company-operated Shacks and at least 120 globally licensed Shacks (more than double the system-wide Shack count as of December 27, 2017); and
</t>
    </r>
    <r>
      <rPr>
        <sz val="10"/>
        <color theme="1"/>
        <rFont val="맑은 고딕"/>
        <family val="2"/>
        <charset val="129"/>
      </rPr>
      <t xml:space="preserve">▪
</t>
    </r>
    <r>
      <rPr>
        <sz val="10"/>
        <color theme="1"/>
        <rFont val="Arial"/>
        <family val="2"/>
      </rPr>
      <t xml:space="preserve">Over $700 million in total revenue.
</t>
    </r>
    <phoneticPr fontId="1" type="noConversion"/>
  </si>
  <si>
    <t>Performance achievement(1)</t>
  </si>
  <si>
    <t>2014(1)</t>
  </si>
  <si>
    <t>Non-recurring compensation expenses related to the IPO(2)</t>
  </si>
  <si>
    <t>Executive transition costs(3)</t>
  </si>
  <si>
    <t>Project Concrete(4)</t>
  </si>
  <si>
    <t>Home Office relocation expenses(5)</t>
  </si>
  <si>
    <t>Operating lease obligations(1)</t>
  </si>
  <si>
    <t>Deemed landlord financing obligations(1)</t>
  </si>
  <si>
    <t>Liabilities under tax receivable agreement(2)</t>
  </si>
  <si>
    <t>Deferred compensation(3)</t>
  </si>
  <si>
    <t>x</t>
    <phoneticPr fontId="1" type="noConversion"/>
  </si>
  <si>
    <t>Store Count for FY 2017</t>
    <phoneticPr fontId="1" type="noConversion"/>
  </si>
  <si>
    <t>x</t>
    <phoneticPr fontId="1" type="noConversion"/>
  </si>
  <si>
    <t>Adjusted EBITDA</t>
    <phoneticPr fontId="1" type="noConversion"/>
  </si>
  <si>
    <t>x</t>
    <phoneticPr fontId="1" type="noConversion"/>
  </si>
  <si>
    <t>FY 2018 Guidance</t>
    <phoneticPr fontId="1" type="noConversion"/>
  </si>
  <si>
    <t>Share count</t>
    <phoneticPr fontId="1" type="noConversion"/>
  </si>
  <si>
    <t>Performance Stock Unit</t>
    <phoneticPr fontId="1" type="noConversion"/>
  </si>
  <si>
    <t>Stock Options</t>
    <phoneticPr fontId="1" type="noConversion"/>
  </si>
  <si>
    <t>Shake Shack FY2017 10-K</t>
    <phoneticPr fontId="1" type="noConversion"/>
  </si>
  <si>
    <t>Shake Shack FY2017 10-K Interactive Data</t>
    <phoneticPr fontId="1" type="noConversion"/>
  </si>
  <si>
    <t>Company Published Data &amp; Information</t>
    <phoneticPr fontId="1" type="noConversion"/>
  </si>
  <si>
    <t>Adjusted EBITDA</t>
    <phoneticPr fontId="1" type="noConversion"/>
  </si>
  <si>
    <t>NPV of Terminal Value</t>
    <phoneticPr fontId="1" type="noConversion"/>
  </si>
  <si>
    <t>Enterprise Value</t>
    <phoneticPr fontId="1" type="noConversion"/>
  </si>
  <si>
    <t>Equity Value</t>
    <phoneticPr fontId="1" type="noConversion"/>
  </si>
  <si>
    <t>Diluted Share Count (in '000)</t>
    <phoneticPr fontId="1" type="noConversion"/>
  </si>
  <si>
    <t>Value Per Share</t>
    <phoneticPr fontId="1" type="noConversion"/>
  </si>
  <si>
    <t>EV/EBITDA Exit Multiple</t>
    <phoneticPr fontId="1" type="noConversion"/>
  </si>
  <si>
    <t>Terminal Value</t>
    <phoneticPr fontId="1" type="noConversion"/>
  </si>
  <si>
    <t>Present Value of the Terminal Value</t>
    <phoneticPr fontId="1" type="noConversion"/>
  </si>
  <si>
    <t>Terminal Growth Rate of FCF (after 2027)</t>
    <phoneticPr fontId="1" type="noConversion"/>
  </si>
  <si>
    <t>Terminal Value Calculation</t>
    <phoneticPr fontId="1" type="noConversion"/>
  </si>
  <si>
    <t>Present Value of Respective FCF</t>
    <phoneticPr fontId="1" type="noConversion"/>
  </si>
  <si>
    <t>Year Count</t>
    <phoneticPr fontId="1" type="noConversion"/>
  </si>
  <si>
    <t>Discount Factor</t>
    <phoneticPr fontId="1" type="noConversion"/>
  </si>
  <si>
    <t>Weighted Average Cost of Capital (WACC)</t>
    <phoneticPr fontId="1" type="noConversion"/>
  </si>
  <si>
    <t xml:space="preserve"> +/- Changes in Other Assets &amp; Liabilities</t>
    <phoneticPr fontId="1" type="noConversion"/>
  </si>
  <si>
    <t xml:space="preserve"> +/- Changes in Net Working Capital</t>
    <phoneticPr fontId="1" type="noConversion"/>
  </si>
  <si>
    <t>Less: Additions to Intangibles</t>
    <phoneticPr fontId="1" type="noConversion"/>
  </si>
  <si>
    <t>Less: Capital Expenditures</t>
    <phoneticPr fontId="1" type="noConversion"/>
  </si>
  <si>
    <t>DCF Result Summary</t>
    <phoneticPr fontId="1" type="noConversion"/>
  </si>
  <si>
    <t>Discounted Cash Flow Analysis</t>
    <phoneticPr fontId="1" type="noConversion"/>
  </si>
  <si>
    <t>© 2016 홍성현, (주)월스트릿트레이닝아시아.</t>
  </si>
  <si>
    <t xml:space="preserve">이를 위반시에는 형사/민사상의 법적 책임을 질수 있으며, 특별한 문의가 있는경우 </t>
  </si>
  <si>
    <t>www.wallstreettraining.co.kr에 있는 정보로 연락주시기 바랍니다.</t>
  </si>
  <si>
    <t>&gt;&gt;&gt;&gt;&gt;&gt;&gt;&gt;&gt;&gt;&gt;&gt;&gt;&gt;&gt;&gt;&gt;&gt;&gt;&gt;&gt;&gt;&gt;&gt;&gt;&gt;&gt;&gt;&gt;&gt;&gt;</t>
    <phoneticPr fontId="1" type="noConversion"/>
  </si>
  <si>
    <t>Ticker</t>
  </si>
  <si>
    <t>NYSE:SHAK</t>
    <phoneticPr fontId="66" type="noConversion"/>
  </si>
  <si>
    <t>Date</t>
  </si>
  <si>
    <t>Conversion</t>
  </si>
  <si>
    <t>Index</t>
  </si>
  <si>
    <t>^SPX</t>
  </si>
  <si>
    <t>Filing</t>
  </si>
  <si>
    <t>Latest Fully Reported</t>
  </si>
  <si>
    <t>WACC ANALYSIS</t>
  </si>
  <si>
    <t>ASSUMPTIONS</t>
  </si>
  <si>
    <t>BETA CALCULATION</t>
  </si>
  <si>
    <t>5Yr Avg</t>
  </si>
  <si>
    <t>Levered</t>
  </si>
  <si>
    <t>Mkt. Val.</t>
  </si>
  <si>
    <t>Pref</t>
  </si>
  <si>
    <t>Debt/</t>
  </si>
  <si>
    <t>Pref/</t>
  </si>
  <si>
    <t>Unlevered</t>
  </si>
  <si>
    <t>Capital IQ Inputs:</t>
  </si>
  <si>
    <t>Tax Rate (5 Year Average)</t>
  </si>
  <si>
    <t>Name</t>
  </si>
  <si>
    <t>Tax Rate</t>
  </si>
  <si>
    <t>Beta</t>
  </si>
  <si>
    <t>Equity</t>
  </si>
  <si>
    <t>Beta(2)</t>
  </si>
  <si>
    <t>Risk-Free Rate of Return (Rf)(1)</t>
  </si>
  <si>
    <t>Total Preferred</t>
  </si>
  <si>
    <t>Market Cap</t>
  </si>
  <si>
    <t>Size Premium</t>
  </si>
  <si>
    <t>EBT</t>
  </si>
  <si>
    <t>Taxes</t>
  </si>
  <si>
    <t>Latest FYE</t>
  </si>
  <si>
    <t>Latest FQE</t>
  </si>
  <si>
    <t>Choice for Cost of Debt</t>
  </si>
  <si>
    <t>Corp Yield Curve</t>
  </si>
  <si>
    <t>Today</t>
  </si>
  <si>
    <t>Days Remaining in FY</t>
  </si>
  <si>
    <t>Comparable Corporate Yield Curve Rate</t>
  </si>
  <si>
    <t>Average Unlevered Beta for Comps</t>
  </si>
  <si>
    <t>Beta Selection</t>
  </si>
  <si>
    <t>1 = Bottom-Up Beta</t>
  </si>
  <si>
    <t>Risk Free Rate</t>
  </si>
  <si>
    <t>2 = Regression Beta</t>
  </si>
  <si>
    <t>Choose</t>
  </si>
  <si>
    <t>Then</t>
  </si>
  <si>
    <t>United States Treasury Constant Maturity - 10 Year</t>
  </si>
  <si>
    <t>Corporate Yield Curves</t>
  </si>
  <si>
    <t>Sector</t>
  </si>
  <si>
    <t>Rating</t>
  </si>
  <si>
    <t>Tenor</t>
  </si>
  <si>
    <t>WACC SENSITIVITY ANALYSIS</t>
  </si>
  <si>
    <t>ConsumerDiscretionary</t>
  </si>
  <si>
    <t>5Y</t>
  </si>
  <si>
    <t>D/(D+P+E)</t>
  </si>
  <si>
    <t>Pre-Tax Cost of Debt</t>
  </si>
  <si>
    <t>WACC</t>
  </si>
  <si>
    <t>Market Risk Premium (Rm - Rf)</t>
  </si>
  <si>
    <t>Pre-Tax Cost of Debt Step</t>
  </si>
  <si>
    <t>Adjusted Market Risk Premium</t>
  </si>
  <si>
    <t>D/(D+P+E) Step</t>
  </si>
  <si>
    <r>
      <t>Add: Risk-Free Rate of Return (Rf)</t>
    </r>
    <r>
      <rPr>
        <vertAlign val="superscript"/>
        <sz val="10"/>
        <rFont val="Arial"/>
        <family val="2"/>
      </rPr>
      <t>(1)</t>
    </r>
  </si>
  <si>
    <t>Cost of Equity Step</t>
  </si>
  <si>
    <t>Add: Size Premium</t>
  </si>
  <si>
    <t>E/(D+P+E) Step</t>
  </si>
  <si>
    <t>Cost of Equity</t>
  </si>
  <si>
    <t>Cost of Equity Portion</t>
  </si>
  <si>
    <t>E/(D+P+E)</t>
  </si>
  <si>
    <t>After-Tax Cost of Debt</t>
  </si>
  <si>
    <t>Cost of Debt Portion</t>
  </si>
  <si>
    <t>Cost of Preferred Portion</t>
  </si>
  <si>
    <t>(2) Unlevered Beta = Levered Beta / ( 1 + ((D/E) * (1 - T)) + P/E)</t>
  </si>
  <si>
    <t>(3) Levered Beta = Unlevered Beta * ( 1 + ((D/E) * (1 - T)) + P/E)</t>
  </si>
  <si>
    <t>Source: S&amp;P Capital IQ</t>
  </si>
  <si>
    <t>This model is provided "as is". S&amp;P Capital IQ, Inc. and its affiliates have no liability arising out of your use of this model.</t>
  </si>
  <si>
    <t>1 ~ 3</t>
    <phoneticPr fontId="1" type="noConversion"/>
  </si>
  <si>
    <t>3 ~ 5</t>
    <phoneticPr fontId="1" type="noConversion"/>
  </si>
  <si>
    <t>Subject Ticker</t>
  </si>
  <si>
    <t>NYSE:SHAK</t>
    <phoneticPr fontId="34" type="noConversion"/>
  </si>
  <si>
    <t>Peer List Type</t>
  </si>
  <si>
    <t>Quick Comps</t>
  </si>
  <si>
    <t/>
  </si>
  <si>
    <t>CHP Peer List</t>
  </si>
  <si>
    <t>Sl. No</t>
  </si>
  <si>
    <t>Tickers</t>
  </si>
  <si>
    <t>Manual Override</t>
  </si>
  <si>
    <t>Final Tickers</t>
  </si>
  <si>
    <t>Company Name</t>
  </si>
  <si>
    <t>LastRow</t>
  </si>
  <si>
    <t>IQ280979971</t>
  </si>
  <si>
    <t>NYSE:ZOES</t>
  </si>
  <si>
    <t>Zoe's Kitchen, Inc.</t>
  </si>
  <si>
    <t>NYSE:SHAK</t>
  </si>
  <si>
    <t>Public Peer List</t>
  </si>
  <si>
    <t>IQ280979970</t>
  </si>
  <si>
    <t>NYSE:CMG</t>
  </si>
  <si>
    <t>Chipotle Mexican Grill, Inc.</t>
  </si>
  <si>
    <t>IQ_QUICK_COMP</t>
  </si>
  <si>
    <t>Private Peer List</t>
  </si>
  <si>
    <t>IQ280979972</t>
  </si>
  <si>
    <t>NasdaqGS:NDLS</t>
  </si>
  <si>
    <t>Noodles &amp; Company</t>
  </si>
  <si>
    <t>Mixed Peer List</t>
  </si>
  <si>
    <t>IQ280979973</t>
  </si>
  <si>
    <t>NasdaqGM:HABT</t>
  </si>
  <si>
    <t>The Habit Restaurants, Inc.</t>
  </si>
  <si>
    <t>Competitors Named by Company</t>
  </si>
  <si>
    <t>IQ_COMPETITOR_NAMED_BY_COMPANY</t>
  </si>
  <si>
    <t>NasdaqGS:WEN</t>
  </si>
  <si>
    <t>The Wendy's Company</t>
  </si>
  <si>
    <t>Competitors Named by Competitor</t>
  </si>
  <si>
    <t>IQ_COMPETITOR_NAMED_BY_COMPETITOR</t>
  </si>
  <si>
    <t>CompSet / Watchlist</t>
  </si>
  <si>
    <t>NYSE:MCD</t>
  </si>
  <si>
    <t>McDonald's Corporation</t>
  </si>
  <si>
    <t>Competitors Named by Third Party</t>
  </si>
  <si>
    <t>IQ_COMPETITOR_NAMED_BY_THIRDPARTY</t>
  </si>
  <si>
    <t>TSE:3053</t>
  </si>
  <si>
    <t>Pepper Food Service Co., Ltd.</t>
  </si>
  <si>
    <t>All Competitors</t>
  </si>
  <si>
    <t>IQ_COMPETITOR_ALL</t>
  </si>
  <si>
    <t>NasdaqGS:BOJA</t>
  </si>
  <si>
    <t>Bojangles', Inc.</t>
  </si>
  <si>
    <t>Index / CompSet / Watchlist/ Portfolio ID</t>
  </si>
  <si>
    <t>IQ_CONSTITUENTS</t>
  </si>
  <si>
    <t>NasdaqGS:PBPB</t>
  </si>
  <si>
    <t>Potbelly Corporation</t>
  </si>
  <si>
    <t>NasdaqGS:SONC</t>
  </si>
  <si>
    <t>Sonic Corp.</t>
  </si>
  <si>
    <t>TRADING MULTIPLES</t>
  </si>
  <si>
    <t>Mean</t>
  </si>
  <si>
    <t>Median</t>
  </si>
  <si>
    <t>Company Comp Set</t>
  </si>
  <si>
    <t>TEV/Total Revenues LTM - Latest</t>
  </si>
  <si>
    <t>TEV/EBITDA LTM - Latest</t>
  </si>
  <si>
    <t>TEV/EBIT LTM - Latest</t>
  </si>
  <si>
    <t>P/Diluted EPS Before Extra LTM - Latest</t>
  </si>
  <si>
    <t>P/TangBV LTM - Latest</t>
  </si>
  <si>
    <t xml:space="preserve">NTM TEV/Forward Total Revenue (Capital IQ) </t>
  </si>
  <si>
    <t xml:space="preserve">NTM TEV/Forward EBITDA (Capital IQ) </t>
  </si>
  <si>
    <t xml:space="preserve">NTM Forward P/E (Capital IQ) </t>
  </si>
  <si>
    <t xml:space="preserve">LTM TEV/Total Revenues </t>
  </si>
  <si>
    <t xml:space="preserve">LTM TEV/EBITDA </t>
  </si>
  <si>
    <t xml:space="preserve">LTM TEV/EBIT </t>
  </si>
  <si>
    <t xml:space="preserve">NTM TEV/Forward Total Revenue </t>
  </si>
  <si>
    <t xml:space="preserve">NTM TEV/Forward EBITDA </t>
  </si>
  <si>
    <t xml:space="preserve">LTM P/Diluted EPS Before Extra </t>
  </si>
  <si>
    <t xml:space="preserve">NTM Forward P/E </t>
  </si>
  <si>
    <t xml:space="preserve">LTM P/TangBV </t>
  </si>
  <si>
    <t>High, Low, Mean and Median Values for each Multiple</t>
  </si>
  <si>
    <t>Chart Source:</t>
  </si>
  <si>
    <t>Total Rev LTM</t>
  </si>
  <si>
    <t>EBITDA LTM</t>
  </si>
  <si>
    <t>EBIT  LTM</t>
  </si>
  <si>
    <t>Revenue NTM</t>
  </si>
  <si>
    <t>EBITDA NTM</t>
  </si>
  <si>
    <t>Basic EPS LTM</t>
  </si>
  <si>
    <t>EPS NTM</t>
  </si>
  <si>
    <t>Tangible Book Value/Share LTM</t>
  </si>
  <si>
    <t>Shake Shack Inc. (NYSE:SHAK) &gt; Comparable M&amp;A Transactions</t>
  </si>
  <si>
    <t>Announced Date</t>
  </si>
  <si>
    <t>Transaction ID</t>
  </si>
  <si>
    <t>Target</t>
  </si>
  <si>
    <t>Buyer/Investor</t>
  </si>
  <si>
    <t>Seller</t>
  </si>
  <si>
    <t>Target TEV(USD mm)</t>
  </si>
  <si>
    <t>Size(USD mm)</t>
  </si>
  <si>
    <t>Implied TEV/LTM Revenue</t>
  </si>
  <si>
    <t>Implied TEV/LTM EBITDA</t>
  </si>
  <si>
    <t>IQTR303053972</t>
  </si>
  <si>
    <t>Biglari Holdings Inc.</t>
  </si>
  <si>
    <t>Biglari Capital Corp., Lion Fund II, L.P.</t>
  </si>
  <si>
    <t>1.2x</t>
  </si>
  <si>
    <t>20.2x</t>
  </si>
  <si>
    <t>IQTR212036864</t>
  </si>
  <si>
    <t>J. Alexander's Holdings, Inc.</t>
  </si>
  <si>
    <t>American Blue Ribbon Holdings, LLC</t>
  </si>
  <si>
    <t>Dimensional Fund Advisors L.P., Rutabaga Capital Management LLC, Solidus Company, Andreeff Equity Advisors, L.L.C., Privet Fund Management, LLC</t>
  </si>
  <si>
    <t>0.6x</t>
  </si>
  <si>
    <t>9.0x</t>
  </si>
  <si>
    <t>IQTR112831911</t>
  </si>
  <si>
    <t>Burger King Worldwide, Inc. (nka:Restaurant Brands International Inc.)</t>
  </si>
  <si>
    <t>3G Capital, Inc., 3G Special Situations Fund II, L.P.</t>
  </si>
  <si>
    <t>Goldman Sachs Group, Merchant Banking Division, TPG Capital, L.P., TPG Partners III,L.P., GS Capital Partners 2000, L.P., Bain Capital Fund VII, L.P., Bain Capital Private Equity, LP</t>
  </si>
  <si>
    <t>1.6x</t>
  </si>
  <si>
    <t>IQTR50166754</t>
  </si>
  <si>
    <t>Wendy's/Arby's Group, Inc. (nka:The Wendy's Company)</t>
  </si>
  <si>
    <t>Trian Fund Management, L.P., Trian Partners Master Fund, L.P., Trian Partners, L.P., Trian Partners Parallel Fund I, L.P., Trian Partners Parallel Fund II, L.P.</t>
  </si>
  <si>
    <t>2.1x</t>
  </si>
  <si>
    <t>20.3x</t>
  </si>
  <si>
    <t>Max</t>
  </si>
  <si>
    <t>1.4x</t>
  </si>
  <si>
    <t>14.6x</t>
  </si>
  <si>
    <t>Min</t>
  </si>
  <si>
    <t>Shake Shack Inc.</t>
    <phoneticPr fontId="1" type="noConversion"/>
  </si>
  <si>
    <t>VALUATION CHART - Using Trading Comps</t>
    <phoneticPr fontId="1" type="noConversion"/>
  </si>
  <si>
    <t xml:space="preserve">For more information, please visit/contatct Wall Street Training Asia Inc. through www.wallstreettraining.co.kr </t>
    <phoneticPr fontId="1" type="noConversion"/>
  </si>
  <si>
    <t>New Shack Contribution (Respt. Yr)</t>
    <phoneticPr fontId="1" type="noConversion"/>
  </si>
  <si>
    <t>Existing Shack Sales (Respt. Yr)</t>
    <phoneticPr fontId="1" type="noConversion"/>
  </si>
  <si>
    <t>x</t>
    <phoneticPr fontId="1" type="noConversion"/>
  </si>
  <si>
    <t>Sensitivity Analyses</t>
    <phoneticPr fontId="1" type="noConversion"/>
  </si>
  <si>
    <t>Performance Stock Units</t>
  </si>
  <si>
    <t>Restricted Stock Units</t>
  </si>
  <si>
    <t>Shake Shack Inc. (NYSE:SHAK)</t>
  </si>
  <si>
    <t>(USD in millions)</t>
  </si>
  <si>
    <t>ZOES</t>
  </si>
  <si>
    <t>S&amp;P 500 Market Return (Rm) - Yearly for Last 10 Years</t>
  </si>
  <si>
    <t>CMG</t>
  </si>
  <si>
    <t>NDLS</t>
  </si>
  <si>
    <t>NYSE:SHAK D/(D+P+E)</t>
  </si>
  <si>
    <t>HABT</t>
  </si>
  <si>
    <t>NYSE:SHAK D/E</t>
  </si>
  <si>
    <t>WEN</t>
  </si>
  <si>
    <t>NYSE:SHAK P/E</t>
  </si>
  <si>
    <t>MCD</t>
  </si>
  <si>
    <t>NYSE:SHAK Cost of Debt (Rd) - Average of Last 5 Issued Bonds</t>
  </si>
  <si>
    <t>NYSE:SHAK Cost of Preferred (Rp)</t>
  </si>
  <si>
    <t xml:space="preserve">NYSE:SHAK Levered Beta </t>
  </si>
  <si>
    <t>Multiplied by: NYSE:SHAK Regression Beta</t>
  </si>
  <si>
    <t>Multiplied by: NYSE:SHAK E/(D+P+E)</t>
  </si>
  <si>
    <t>Multiplied by: NYSE:SHAK D/(D+P+E)</t>
  </si>
  <si>
    <t>Multiplied by: NYSE:SHAK P/(D+P+E)</t>
  </si>
  <si>
    <t>U0QuAQAAANTGTwIDAAAAAAAU/BBxL+vVCG5eNIov69UIMUNJUS5IQUJULklRX1BSRUZfRVFVSVRZLjUwMC4yMDE4LTA3LTEwLkxGUi4uVVNELkgBAAAAI9YREAMAAAAAAIIe/FQv69UIVoU0ii/r1QgmQ0lRLk5ZU0U6TUNELklRX0NPTVBBTllfVElDS0VSX05PX0VYQ0gBAAAA4CACAAMAAAADTUNEAKFSM1Qv69UIghA0ii/r1QgtQ0lRQVZHLk5ETFMuSVFfRUZGRUNUX1RBWF9SQVRFLjk5Ni4yMDE4LTA3LTEwAQAAAPmfewACAAAABzQwLjA0NjEAgh78VC/r1QhuXjSKL+vVCB1DSVEuTllTRTpTSEFLLklRX1FVSUNLX0NPTVAuNgEAAACdE6YNAwAAAAhOWVNFOk1DRABOt2twL+vVCIIQNIov69UIL0NJUS5DTUcuSVFfVE9UQUxfREVCVC41MDAuMjAxOC0wNy0xMC5MRlIuLlVTRC5IAQAAAE5nAAACAAAAATABCAAAAAUAAAABMQEAAAAKMTg4NDk2MzMzMAMAAAADMTYwAgAAAAQ0MTczBAAAAAEwBwAAAAk3LzEwLzIwMTgIAAAACTMvMzEvMjAxOAkAAAABMIIe/FQv69UIUqw0ii/r1QgmQ0lRLktSLklRX0ZYX1JBVEVfRkMuU0VQMjAxOS44LzI0LzIwMTcBAAAAxDGUBgIAAAAKMTExNS41NzgzOQCqPkp9LevVCAE/Zn0t69UIKkNJUS5OWVNFOlNIQUsuSVFfRUJULi4yMDE4LTA3LTEwLkxGUi4uVVNELgEAAACdE6YNAgAAAAYxNjAuOTUBCAAAAAUAAAABMQEAAAAKMTg4NzI5MDU0MQMAAAADMTYwAgAAAAMxMzkE</t>
  </si>
  <si>
    <t>TmcAAAMAAAAcQ2hpcG90bGUgTWV4aWNhbiBHcmlsbCwgSW5jLgCCHvxUL+vVCG5eNIov69UIJkNJUS5LUi5JUV9GWF9SQVRFX0ZDLkpVTjIwMTkuOC8yNC8yMDE3AQAAAMQxlAYCAAAACjExMTUuMTY0NjcAqj5KfS3r1QgBP2Z9LevVCCpDSVEuTkFTREFRR1M6V0VOLklRX0NPTVBBTllfVElDS0VSX05PX0VYQ0gBAAAABVwAAAMAAAADV0VOAKFSM1Qv69UIghA0ii/r1QgmQ0lRLktSLklRX0ZYX1JBVEVfRkMuRkVCMjAyMC44LzI0LzIwMTcBAAAAxDGUBgIAAAAKMTExMS4xODA4MwCqPkp9LevVCAE/Zn0t69UII0NJUS5LUi5JUV9GWF9SQVRFLk1BWTIwMTcuOC8yNS8yMDE3AQAAAMhLkwYCAAAACzExMjYuMzA4Njk2AKo+Sn0t69UIB2ZmfS3r1QgjQ0lRLktSLklRX0ZYX1JBVEUuSlVMMjAxNy44LzI1LzIwMTcBAAAAyEuTBgIAAAALMTEzMy45MzgwOTUAqj5KfS3r1QgBP2Z9LevVCDBDSVEuSEFCVC5JUV9UT1RBTF9ERUJULjUwMC4yMDE4LTA3LTEwLkxGUi4uVVNELkgBAAAAI9YREAIAAAAGMTcuMjIxAQgAAAAFAAAAATEBAAAACjE4ODY0NTE1ODIDAAAAAzE2MAIAAAAENDE3MwQAAAABMAcAAAAJNy8xMC8yMDE4CAAAAAkzLzI3LzIwMTgJAAAAATCCHvxUL+vVCFaFNIov69UII0NJUS5LUi5JUV9GWF9SQVRFLkpVTDIwMTQuOC8yNS8yMDE3AQAAAMhLkwYCAAAACzEwMTkuOTM0NzgzAKo+Sn0t69UI+Ixm</t>
  </si>
  <si>
    <t>MjAxNwEAAADIS5MGAgAAAAsxMTQzLjAxNzM5MQCqPkp9LevVCAdmZn0t69UII0NJUS5LUi5JUV9GWF9SQVRFLkZFQjIwMTMuOC8yNS8yMDE3AQAAAMhLkwYCAAAACDEwODcuMDk1AL4XSn0t69UI+IxmfS3r1QgtQ0lRQVZHLkhBQlQuSVFfRUZGRUNUX1RBWF9SQVRFLjk5Ni4yMDE4LTA3LTEwAQAAACPWERACAAAACTM4Ljk0Njg3NQCCHvxUL+vVCHY3NIov69UIMENJUS5IQUJULklRX1BSRUZfRVFVSVRZLjUwMC4yMDE4LTA3LTEwLkxGUi4uVVNELgEAAAAj1hEQAwAAAAAAFPwQcS/r1QhuXjSKL+vVCBhDSVEuXlNQWC5JUV9DT01QQU5ZX05BTUUBAAAAm7goAAMAAAAHUyZQIDUwMABOt2twL+vVCIIQNIov69UIL0NJUS5NQ0QuSVFfUFJFRl9FUVVJVFkuNTAwLjIwMTgtMDctMTAuTEZSLi5VU0QuAQAAAOAgAgADAAAAAAAE4B2LL+vVCATgHYsv69UIGENJUS5IQUJULklRX0NPTVBBTllfTkFNRQEAAAAj1hEQAwAAABtUaGUgSGFiaXQgUmVzdGF1cmFudHMsIEluYy4Agh78VC/r1QhuXjSKL+vVCCNDSVEuS1IuSVFfRlhfUkFURS5BVUcyMDE0LjgvMjUvMjAxNwEAAADIS5MGAgAAAAsxMDI1LjQ5MDQ3NgCqPkp9LevVCPiMZn0t69UIGENJUS5aT0VTLklRX0NPTVBBTllfTkFNRQEAAADUxk8CAwAAABNab2UncyBLaXRjaGVuLCBJbmMuAIIe/FQv69UIdjc0ii/r1QglQ0lRUEMuXlNQWC5JUV9MQVNUU0FMRVBS</t>
  </si>
  <si>
    <t>CCVDSVEuTkRMUy5JUV9NQVJLRVRDQVAuMjAxOC0wNy0xMC5VU0QuAQAAAPmfewACAAAACjQ4OS44MTA0MjYBBgAAAAUAAAABMQEAAAAKMTg4ODc0NzA4MwMAAAADMTYwAgAAAAYxMDAwNTQEAAAAATAHAAAACTcvMTAvMjAxOBT8EHEv69UIdjc0ii/r1QgdQ0lRLk5ZU0U6U0hBSy5JUV9RVUlDS19DT01QLjUBAAAAnROmDQMAAAAMTmFzZGFxR1M6V0VOAE63a3Av69UIghA0ii/r1QgmQ0lRLktSLklRX0ZYX1JBVEVfRkMuT0NUMjAxOS44LzI0LzIwMTcBAAAAxDGUBgIAAAAKMTExMC4yMjYxNACqPkp9LevVCAE/Zn0t69UII0NJUS5LUi5JUV9GWF9SQVRFLkFQUjIwMTcuOC8yNS8yMDE3AQAAAMhLkwYCAAAACDExMzIuNzI1AKo+Sn0t69UIB2ZmfS3r1QgdQ0lRLk5ZU0U6U0hBSy5JUV9RVUlDS19DT01QLjMBAAAAnROmDQMAAAANTmFzZGFxR1M6TkRMUwBOt2twL+vVCIIQNIov69UIJkNJUS5ORExTLklRX01BUktFVENBUC4yMDE4LTA3LTEwLlVTRC5IAQAAAPmfewACAAAACjQ4OS44MTA0MjYBBgAAAAUAAAABMQEAAAAKMTg4ODc0NzA4MwMAAAADMTYwAgAAAAYxMDAwNTQEAAAAATAHAAAACTcvMTAvMjAxOIIe/FQv69UIVoU0ii/r1QgjQ0lRLktSLklRX0ZYX1JBVEUuU0VQMjAxNC44LzI1LzIwMTcBAAAAyEuTBgIAAAALMTAzMS4xMDQ1NDUAvhdKfS3r1Qj4jGZ9LevVCCNDSVEuS1IuSVFfRlhfUkFURS5O</t>
  </si>
  <si>
    <t>T1YyMDE0LjgvMjUvMjAxNwEAAADIS5MGAgAAAAkxMDk1LjQ0MDUAqj5KfS3r1Qj4jGZ9LevVCCNDSVEuS1IuSVFfRlhfUkFURS5ERUMyMDE2LjgvMjUvMjAxNwEAAADIS5MGAgAAAAsxMTgyLjA1NDU0NQCqPkp9LevVCAdmZn0t69UIHUNJUS5OWVNFOlNIQUsuSVFfQ09NUEFOWV9OQU1FAQAAAJ0Tpg0DAAAAEFNoYWtlIFNoYWNrIEluYy4AYicwGi3r1Qj9vj1SL+vVCB5DSVEuTUNELklRX0JFVEFfNVlSLjIwMTgtMDctMTABAAAA4CACAAIAAAARMC42ODE0MzUwMDM5OTcxOTkAgh78VC/r1QhuXjSKL+vVCCNDSVEuS1IuSVFfRlhfUkFURS5KVU4yMDE2LjgvMjUvMjAxNwEAAADIS5MGAgAAAAsxMTcxLjM3MjcyNwCqPkp9LevVCAdmZn0t69UII0NJUS5LUi5JUV9GWF9SQVRFLkFVRzIwMTMuOC8yNS8yMDE3AQAAAMhLkwYCAAAACzExMTYuOTU0NTQ1AKo+Sn0t69UI+IxmfS3r1QgiQ0lRLk5ZU0U6U0hBSy5JUV9DT01QQU5ZX05BTUVfTE9ORwEAAACdE6YNAwAAABxTaGFrZSBTaGFjayBJbmMuIChOWVNFOlNIQUspAE63a3Av69UIe+kzii/r1QglQ0lRLkhBQlQuSVFfTUFSS0VUQ0FQLjIwMTgtMDctMTAuVVNELgEAAAAj1hEQAgAAAAoyMTUuMjk1NTI4AQYAAAAFAAAAATEBAAAACjE4ODY0NTE1ODIDAAAAAzE2MAIAAAAGMTAwMDU0BAAAAAEwBwAAAAk3LzEwLzIwMTgU/BBxL+vVCG5eNIov69UII0NJUS5L</t>
  </si>
  <si>
    <t>Ui5JUV9GWF9SQVRFLk1BUjIwMTMuOC8yNS8yMDE3AQAAAMhLkwYCAAAACzExMDEuNjA0NzYyAKo+Sn0t69UI+IxmfS3r1QgjQ0lRLktSLklRX0ZYX1JBVEUuU0VQMjAxNi44LzI1LzIwMTcBAAAAyEuTBgIAAAALMTEwNy45OTA5MDkAqj5KfS3r1QgHZmZ9LevVCCNDSVEuS1IuSVFfRlhfUkFURS5OT1YyMDE2LjgvMjUvMjAxNwEAAADIS5MGAgAAAAcxMTYxLjM1AKo+Sn0t69UIB2ZmfS3r1QgjQ0lRLktSLklRX0ZYX1JBVEUuREVDMjAxNC44LzI1LzIwMTcBAAAAyEuTBgIAAAALMTEwMy45OTU2NTIAqj5KfS3r1Qj4jGZ9LevVCCNDSVEuS1IuSVFfRlhfUkFURS5KVU4yMDE3LjgvMjUvMjAxNwEAAADIS5MGAgAAAAsxMTI5LjYyMjcyNwCqPkp9LevVCAdmZn0t69UIMENJUS5XRU4uSVFfUFJFRl9FUVVJVFkuNTAwLjIwMTgtMDctMTAuTEZSLi5VU0QuSAEAAAAFXAAAAwAAAAAAgh78VC/r1QhWhTSKL+vVCCZDSVEuS1IuSVFfRlhfUkFURV9GQy5ERUMyMDE4LjgvMjQvMjAxNwEAAADEMZQGAgAAAAoxMDk1Ljg4MzE0AKo+Sn0t69UIB2ZmfS3r1QgjQ0lRLktSLklRX0ZYX1JBVEUuSlVOMjAxNC44LzI1LzIwMTcBAAAAyEuTBgIAAAALMTAxOS43OTUyMzgAqj5KfS3r1Qj4jGZ9LevVCC9DSVEuQ01HLklRX1BSRUZfRVFVSVRZLjUwMC4yMDE4LTA3LTEwLkxGUi4uVVNELgEAAABOZwAAAwAAAAAAFPwQcS/r1Qh2</t>
  </si>
  <si>
    <t>B2ZmfS3r1QgjQ0lRLktSLklRX0ZYX1JBVEUuSkFOMjAxNC44LzI1LzIwMTcBAAAAyEuTBgIAAAAKMTA2NS43NjA4NwCqPkp9LevVCPiMZn0t69UIJkNJUS5LUi5JUV9GWF9SQVRFX0ZDLkpVTDIwMjAuOC8yNC8yMDE3AQAAAMQxlAYCAAAACjExMjEuNTM2NzcAqj5KfS3r1QgBP2Z9LevVCCNDSVEuS1IuSVFfRlhfUkFURS5NQVkyMDE0LjgvMjUvMjAxNwEAAADIS5MGAgAAAAsxMDI1Ljk5MDkwOQCqPkp9LevVCPiMZn0t69UIJkNJUS5aT0VTLklRX01BUktFVENBUC4yMDE4LTA3LTEwLlVTRC5IAQAAANTGTwICAAAACjE5NS42NDAxNTYBBgAAAAUAAAABMQEAAAAKMTg5MDY1MzA5OAMAAAADMTYwAgAAAAYxMDAwNTQEAAAAATAHAAAACTcvMTAvMjAxOIIe/FQv69UIUqw0ii/r1QgwQ0lRLk5ETFMuSVFfVE9UQUxfREVCVC41MDAuMjAxOC0wNy0xMC5MRlIuLlVTRC5IAQAAAPmfewACAAAABjYyLjg3MQEIAAAABQAAAAExAQAAAAoxODg4NzQ3MDgzAwAAAAMxNjACAAAABDQxNzMEAAAAATAHAAAACTcvMTAvMjAxOAgAAAAINC8zLzIwMTgJAAAAATCCHvxUL+vVCFaFNIov69UIJUNJUS5aT0VTLklRX01BUktFVENBUC4yMDE4LTA3LTEwLlVTRC4BAAAA1MZPAgIAAAAKMTk1LjY0MDE1NgEGAAAABQAAAAExAQAAAAoxODkwNjUzMDk4AwAAAAMxNjACAAAABjEwMDA1NAQAAAABMAcAAAAJNy8xMC8yMDE4FPwQcS/r</t>
  </si>
  <si>
    <t>1Qh2NzSKL+vVCCZDSVEuS1IuSVFfRlhfUkFURV9GQy5NQVIyMDIwLjgvMjQvMjAxNwEAAADEMZQGAgAAAAoxMTE1Ljc0MjYzAKo+Sn0t69UIAT9mfS3r1QgmQ0lRLktSLklRX0ZYX1JBVEVfRkMuT0NUMjAxOC44LzI0LzIwMTcBAAAAxDGUBgIAAAAKMTA5MS40MTU3MwCqPkp9LevVCAdmZn0t69UIJkNJUS5LUi5JUV9GWF9SQVRFX0ZDLkFVRzIwMTguOC8yNC8yMDE3AQAAAMQxlAYCAAAACjEwOTIuMDM5MjMAqj5KfS3r1QgBP2Z9LevVCCNDSVEuS1IuSVFfRlhfUkFURS5NQVIyMDE2LjgvMjUvMjAxNwEAAADIS5MGAgAAAAsxMTkwLjUxNzM5MQCqPkp9LevVCAdmZn0t69UIJkNJUS5LUi5JUV9GWF9SQVRFX0ZDLk5PVjIwMTkuOC8yNC8yMDE3AQAAAMQxlAYCAAAACjExMDguOTEzNDEAqj5KfS3r1QgBP2Z9LevVCCNDSVEuS1IuSVFfRlhfUkFURS5OT1YyMDEzLjgvMjUvMjAxNwEAAADIS5MGAgAAAAsxMDYyLjcwOTUyNACqPkp9LevVCPiMZn0t69UII0NJUS5LUi5JUV9GWF9SQVRFLkpBTjIwMTYuOC8yNS8yMDE3AQAAAMhLkwYCAAAACzEyMDAuMzQyODU3AKo+Sn0t69UIB2ZmfS3r1QgjQ0lRLktSLklRX0ZYX1JBVEUuQVVHMjAxNi44LzI1LzIwMTcBAAAAyEuTBgIAAAALMTExMS4xMDg2OTYAqj5KfS3r1QgHZmZ9LevVCCxDSVFBVkcuQ01HLklRX0VGRkVDVF9UQVhfUkFURS45OTYuMjAxOC0wNy0xMAEA</t>
  </si>
  <si>
    <t>Q1QyMDE1LjgvMjUvMjAxNwEAAADIS5MGAgAAAAsxMTQ5LjIxODE4MgCqPkp9LevVCPiMZn0t69UIMUNJUS5ORExTLklRX1BSRUZfRVFVSVRZLjUwMC4yMDE4LTA3LTEwLkxGUi4uVVNELkgBAAAA+Z97AAMAAAAAAIIe/FQv69UIVoU0ii/r1QgjQ0lRLktSLklRX0ZYX1JBVEUuRkVCMjAxNy44LzI1LzIwMTcBAAAAyEuTBgIAAAAGMTE0NC42AKo+Sn0t69UIB2ZmfS3r1QgmQ0lRLktSLklRX0ZYX1JBVEVfRkMuREVDMjAxOS44LzI0LzIwMTcBAAAAxDGUBgIAAAAKMTEwOC42Nzg2OQCqPkp9LevVCAE/Zn0t69UIJ0NJUS5OWVNFOlpPRVMuSVFfQ09NUEFOWV9USUNLRVJfTk9fRVhDSAEAAADUxk8CAwAAAARaT0VTAKFSM1Qv69UIghA0ii/r1QgrQ0lRLk5BU0RBUUdTOk5ETFMuSVFfQ09NUEFOWV9USUNLRVJfTk9fRVhDSAEAAAD5n3sAAwAAAARORExTAKFSM1Qv69UIghA0ii/r1QgjQ0lRLktSLklRX0ZYX1JBVEUuRkVCMjAxNS44LzI1LzIwMTcBAAAAyEuTBgIAAAAHMTEwMC42NgCqPkp9LevVCAdmZn0t69UIL0NJUS5ORExTLklRX1RPVEFMX0RFQlQuNTAwLjIwMTgtMDctMTAuTEZSLi5VU0QuAQAAAPmfewACAAAABjYyLjg3MQEIAAAABQAAAAExAQAAAAoxODg4NzQ3MDgzAwAAAAMxNjACAAAABDQxNzMEAAAAATAHAAAACTcvMTAvMjAxOAgAAAAINC8zLzIwMTgJAAAAATAU/BBxL+vVCG5eNIov69UIJENJ</t>
  </si>
  <si>
    <t>US5NQ0QuSVFfTUFSS0VUQ0FQLjIwMTgtMDctMTAuVVNELgEAAADgIAIAAgAAAA0xMjYxMTUuMTkzNjY3AQYAAAAFAAAAATEBAAAACjE4ODc2NjU1OTYDAAAAAzE2MAIAAAAGMTAwMDU0BAAAAAEwBwAAAAk3LzEwLzIwMTgE4B2LL+vVCATgHYsv69UILkNJUS5DTUcuSVFfVE9UQUxfREVCVC41MDAuMjAxOC0wNy0xMC5MRlIuLlVTRC4BAAAATmcAAAIAAAABMAEIAAAABQAAAAExAQAAAAoxODg0OTYzMzMwAwAAAAMxNjACAAAABDQxNzMEAAAAATAHAAAACTcvMTAvMjAxOAgAAAAJMy8zMS8yMDE4CQAAAAEwFPwQcS/r1Qh2NzSKL+vVCC1DSVFBVkcuWk9FUy5JUV9FRkZFQ1RfVEFYX1JBVEUuOTk2LjIwMTgtMDctMTABAAAA1MZPAgIAAAAIMzcuNTMwMjUAgh78VC/r1QhuXjSKL+vVCCtDSVEuTkFTREFRR006SEFCVC5JUV9DT01QQU5ZX1RJQ0tFUl9OT19FWENIAQAAACPWERADAAAABEhBQlQAoVIzVC/r1QiCEDSKL+vVCA==</t>
  </si>
  <si>
    <t>AwABTAVMT0NBTAFI/////wFQuQAAACNDSVEuS1IuSVFfRlhfUkFURS5ERUMyMDEzLjgvMjUvMjAxNwEAAADIS5MGAgAAAAsxMDU3LjEwOTA5MQCqPkp9LevVCPiMZn0t69UIMENJUS5ORExTLklRX1BSRUZfRVFVSVRZLjUwMC4yMDE4LTA3LTEwLkxGUi4uVVNELgEAAAD5n3sAAwAAAAAAFPwQcS/r1Qh2NzSKL+vVCCRDSVEuQ01HLklRX01BUktFVENBUC4yMDE4LTA3LTEwLlVTRC4BAAAATmcAAAIAAAALMTI2MjQuMDE5MzIBBgAAAAUAAAABMQEAAAAKMTg4NDk2MzMzMAMAAAADMTYwAgAAAAYxMDAwNTQEAAAAATAHAAAACTcvMTAvMjAxOBT8EHEv69UIdjc0ii/r1QgjQ0lRLktSLklRX0ZYX1JBVEUuU0VQMjAxNS44LzI1LzIwMTcBAAAAyEuTBgIAAAALMTE4NS4yNDA5MDkAqj5KfS3r1QgHZmZ9LevVCCtDSVEuTllTRTpTSEFLLklRX0VCVC4uMjAxOC0wNy0xMC5MRlIuLlVTRC5IAQAAAJ0Tpg0CAAAABjE2MC45NQEIAAAABQAAAAExAQAAAAoxODg3MjkwNTQxAwAAAAMxNjACAAAAAzEzOQQAAAABMAcAAAAJNy8xMC8yMDE4CAAAAAkzLzI4LzIwMTgJAAAAATBOt2twL+vVCFRmdLcv69UII0NJUS5LUi5JUV9GWF9SQVRFLk5PVjIwMTUuOC8yNS8yMDE3AQAAAMhLkwYCAAAACzExNTIuOTM4MDk1AKo+Sn0t69UIB2ZmfS3r1QgwQ0lRLlpPRVMuSVFfUFJFRl9FUVVJVFkuNTAwLjIwMTgtMDctMTAuTEZSLi5V</t>
  </si>
  <si>
    <t>AAAAATAHAAAACTcvMTAvMjAxOAgAAAAJMy8yOC8yMDE4CQAAAAEwFPwQcS/r1QhUZnS3L+vVCCZDSVEuS1IuSVFfRlhfUkFURV9GQy5NQVkyMDIwLjgvMjQvMjAxNwEAAADEMZQGAgAAAAoxMTMyLjExMzQyAKo+Sn0t69UIAT9mfS3r1QgvQ0lRLk1DRC5JUV9UT1RBTF9ERUJULjUwMC4yMDE4LTA3LTEwLkxGUi4uVVNELkgBAAAA4CACAAIAAAAFMzA4ODgBCAAAAAUAAAABMQEAAAAKMTg4NzY2NTU5NgMAAAADMTYwAgAAAAQ0MTczBAAAAAEwBwAAAAk3LzEwLzIwMTgIAAAACTMvMzEvMjAxOAkAAAABMIIe/FQv69UIVEQkiy/r1Qg+Q0lRUkFOR0UuTllTRTpTSEFLLklRX0ZJWEVEX0lOQ09NRV9MSVNULjEuNTAwLi4uLi5GSVhFRCBJTkNPTUUDAAAAnROmDQAAAABOt2twL+vVCGw/dLcv69UIF0NJUS5NQ0QuSVFfQ09NUEFOWV9OQU1FAQAAAOAgAgADAAAAFk1jRG9uYWxkJ3MgQ29ycG9yYXRpb24Agh78VC/r1Qh2NzSKL+vVCBhDSVEuTkRMUy5JUV9DT01QQU5ZX05BTUUBAAAA+Z97AAMAAAARTm9vZGxlcyAmIENvbXBhbnkAgh78VC/r1QhuXjSKL+vVCCZDSVEuS1IuSVFfRlhfUkFURV9GQy5BUFIyMDIwLjgvMjQvMjAxNwEAAADEMZQGAgAAAAoxMTI4Ljg0NjM5AKo+Sn0t69UIAT9mfS3r1QgmQ0lRLkhBQlQuSVFfTUFSS0VUQ0FQLjIwMTgtMDctMTAuVVNELkgBAAAAI9YREAIAAAAKMjE1LjI5NTUyOAEG</t>
  </si>
  <si>
    <t>AAAABQAAAAExAQAAAAoxODg2NDUxNTgyAwAAAAMxNjACAAAABjEwMDA1NAQAAAABMAcAAAAJNy8xMC8yMDE4gh78VC/r1QhWhTSKL+vVCDFDSVEuWk9FUy5JUV9QUkVGX0VRVUlUWS41MDAuMjAxOC0wNy0xMC5MRlIuLlVTRC5IAQAAANTGTwIDAAAAAACCHvxUL+vVCFaFNIov69UII0NJUS5LUi5JUV9GWF9SQVRFLkRFQzIwMTUuOC8yNS8yMDE3AQAAAMhLkwYCAAAACzExNzIuMjEzMDQzAKo+Sn0t69UI+IxmfS3r1QgrQ0lRLk5ZU0U6U0hBSy5JUV9NQVJLRVRDQVAuMjAxOC0wNy0xMC5VU0QuSAEAAACdE6YNAgAAAAsxNzcxLjU5MTI3NgEGAAAABQAAAAExAQAAAAoxODg3MjkwMTI1AwAAAAMxNjACAAAABjEwMDA1NAQAAAABMAcAAAAJNy8xMC8yMDE4TrdrcC/r1QhUZnS3L+vVCBxDSVEuTllTRTpTSEFLLklRX1FVSUNLX0NPTVAuAQAAAJ0Tpg0DAAAACU5ZU0U6Wk9FUwAU/BBxL+vVCBT8EHEv69UII0NJUS5LUi5JUV9GWF9SQVRFLkpVTDIwMTMuOC8yNS8yMDE3AQAAAMhLkwYCAAAACzExMjYuNTc4MjYxAKo+Sn0t69UI+IxmfS3r1QgsQ0lRQVZHLk1DRC5JUV9FRkZFQ1RfVEFYX1JBVEUuOTk2LjIwMTgtMDctMTABAAAA4CACAAIAAAAIMzMuODkzODgAgh78VC/r1QhuXjSKL+vVCC9DSVEuTllTRTpTSEFLLklRX1BFUklPRERBVEUuMTAwMC4yMDE4LTA3LTEwLkxGUgEAAACdE6YNBQAAAAoyMDE3LTEy</t>
  </si>
  <si>
    <t>LTI3AE63a3Av69UIVGZ0ty/r1QgjQ0lRLktSLklRX0ZYX1JBVEUuTUFZMjAxMy44LzI1LzIwMTcBAAAAyEuTBgIAAAALMTExMC40OTU2NTIAvhdKfS3r1Qj4jGZ9LevVCCNDSVEuS1IuSVFfRlhfUkFURS5KVU4yMDEzLjgvMjUvMjAxNwEAAADIS5MGAgAAAAcxMTM0LjU0AKo+Sn0t69UI+IxmfS3r1QgjQ0lRLktSLklRX0ZYX1JBVEUuSkFOMjAxNS44LzI1LzIwMTcBAAAAyEuTBgIAAAALMTA4OS42NDA5MDkAqj5KfS3r1QgHZmZ9LevVCCZDSVEuS1IuSVFfRlhfUkFURV9GQy5KQU4yMDE5LjgvMjQvMjAxNwEAAADEMZQGAgAAAAoxMTAxLjYwMjY3AKo+Sn0t69UIAT9mfS3r1QguQ0lRLk5ZU0U6U0hBSy5JUV9JTkNfVEFYLi4yMDE4LTA3LTEwLkxGUi4uVVNELgEAAACdE6YNAgAAAAcxNTAuOTQ5AQgAAAAFAAAAATEBAAAACjE4ODcyOTA1NDEDAAAAAzE2MAIAAAACNzUEAAAAATAHAAAACTcvMTAvMjAxOAgAAAAJMy8yOC8yMDE4CQAAAAEwFPwQcS/r1QhUZnS3L+vVCDBDSVEuQ01HLklRX1BSRUZfRVFVSVRZLjUwMC4yMDE4LTA3LTEwLkxGUi4uVVNELkgBAAAATmcAAAMAAAAAAIIe/FQv69UIUqw0ii/r1QgjQ0lRLktSLklRX0ZYX1JBVEUuU0VQMjAxMy44LzI1LzIwMTcBAAAAyEuTBgIAAAAKMTA4Ni42NzYxOQC+F0p9LevVCPiMZn0t69UIOUNJUS5OWVNFOlNIQUsuSVFfU1BfSVNTVUVSX1JBVElORy4y</t>
  </si>
  <si>
    <t>MDE4LTA3LTEwLkxUX0xDLlJBVElORwEAAACdE6YNAwAAAAAATrdrcC/r1QhUZnS3L+vVCB1DSVEuTllTRTpTSEFLLklRX1FVSUNLX0NPTVAuNAEAAACdE6YNAwAAAA1OYXNkYXFHTTpIQUJUAE63a3Av69UIghA0ii/r1QgdQ0lRLk5ZU0U6U0hBSy5JUV9RVUlDS19DT01QLjIBAAAAnROmDQMAAAAITllTRTpDTUcATrdrcC/r1QiCEDSKL+vVCCVDSVFQQy5eU1BYLklRX0xBU1RTQUxFUFJJQ0UuLTFZLjQwMTc4AQAAAJu4KAACAAAAEDIzLjQ1MzgxNzQxOTA1ODQATrdrcC/r1Qg8tHS3L+vVCC9DSVEuWk9FUy5JUV9UT1RBTF9ERUJULjUwMC4yMDE4LTA3LTEwLkxGUi4uVVNELgEAAADUxk8CAgAAAAY0Ny42MzQBCAAAAAUAAAABMQEAAAAKMTg5MDY1MzA5OAMAAAADMTYwAgAAAAQ0MTczBAAAAAEwBwAAAAk3LzEwLzIwMTgIAAAACTQvMTYvMjAxOAkAAAABMBT8EHEv69UIdjc0ii/r1QgdQ0lRLi5JUV9SQVRFX0xFVkVMLjIwMTgtMDctMTAFAAAAAAAAAAgAAAAUKEludmFsaWQgSWRlbnRpZmllcikU/BBxL+vVCIIQNIov69UIJkNJUS5LUi5JUV9GWF9SQVRFX0ZDLkFQUjIwMTkuOC8yNC8yMDE3AQAAAMQxlAYCAAAACjExMTEuMzM4NTYAqj5KfS3r1QgBP2Z9LevVCCZDSVEuS1IuSVFfRlhfUkFURV9GQy5KVU4yMDIwLjgvMjQvMjAxNwEAAADEMZQGAgAAAAoxMTMyLjIyNjQ0AKo+Sn0t69UIAT9mfS3r1Qge</t>
  </si>
  <si>
    <t>Q0lRLkNNRy5JUV9CRVRBXzVZUi4yMDE4LTA3LTEwAQAAAE5nAAACAAAAETAuNDEzMzAxODc0MzM1OTYxAIIe/FQv69UIdjc0ii/r1QglQ0lRUEMuXlNQWC5JUV9MQVNUU0FMRVBSSUNFLi0xWS4zOTgxMwEAAACbuCgAAgAAABEtMzguNDg1MjU2MzYwNzMzOQBOt2twL+vVCDy0dLcv69UILkNJUS5OWVNFOlNIQUsuSVFfUEVSSU9EREFURS41MDAuMjAxOC0wNy0xMC5MRlIBAAAAnROmDQUAAAAKMjAxOC0wMy0yOABOt2twL+vVCFRmdLcv69UIL0NJUS5XRU4uSVFfVE9UQUxfREVCVC41MDAuMjAxOC0wNy0xMC5MRlIuLlVTRC5IAQAAAAVcAAACAAAACDI4MDguMDIxAQgAAAAFAAAAATEBAAAACjE4ODgwNTUxODADAAAAAzE2MAIAAAAENDE3MwQAAAABMAcAAAAJNy8xMC8yMDE4CAAAAAg0LzEvMjAxOAkAAAABMIIe/FQv69UIVoU0ii/r1QgcQ0lRLklRVDM2MTgzODM5LklRX1JBVEVfTkFNRQEAAAAdHygCAwAAADJVbml0ZWQgU3RhdGVzIFRyZWFzdXJ5IENvbnN0YW50IE1hdHVyaXR5IC0gMTAgWWVhcgBOt2twL+vVCFRmdLcv69UIJUNJUVBDLl5TUFguSVFfTEFTVFNBTEVQUklDRS4tMVkuNDMxMDABAAAAm7goAAIAAAAQMTkuNDIwMTY1MjU4NzMxOQBOt2twL+vVCFCNdLcv69UIJkNJUS5LUi5JUV9GWF9SQVRFX0ZDLk1BUjIwMTkuOC8yNC8yMDE3AQAAAMQxlAYCAAAACTExMDguMjMwOQCqPkp9LevVCAE/</t>
  </si>
  <si>
    <t>Zn0t69UIJUNJUS5DTUcuSVFfTUFSS0VUQ0FQLjIwMTgtMDctMTAuVVNELkgBAAAATmcAAAIAAAALMTI2MjQuMDE5MzIBBgAAAAUAAAABMQEAAAAKMTg4NDk2MzMzMAMAAAADMTYwAgAAAAYxMDAwNTQEAAAAATAHAAAACTcvMTAvMjAxOIIe/FQv69UIVoU0ii/r1QgjQ0lRLktSLklRX0ZYX1JBVEUuSkFOMjAxMy44LzI1LzIwMTcBAAAAyEuTBgIAAAALMTA2NS45ODY5NTcAvhdKfS3r1Qj4jGZ9LevVCCBDSVEuTllTRTpTSEFLLklRX0lORFVTVFJZX1NFQ1RPUgEAAACdE6YNAwAAABZDb25zdW1lciBEaXNjcmV0aW9uYXJ5AE63a3Av69UIVGZ0ty/r1QgRQ0lRLi5JUV9SQVRFX05BTUUFAAAAAAAAAAgAAAAUKEludmFsaWQgSWRlbnRpZmllcikU/BBxL+vVCIIQNIov69UIL0NJUS5XRU4uSVFfUFJFRl9FUVVJVFkuNTAwLjIwMTgtMDctMTAuTEZSLi5VU0QuAQAAAAVcAAADAAAAAAAU/BBxL+vVCG5eNIov69UILENJUS5OWVNFOlNIQUsuSVFfUEVSSU9EREFURS4xMDAwLjIwMTgtMDctMTAuAQAAAJ0Tpg0FAAAACjIwMTctMTItMjcAFPwQcS/r1QhsP3S3L+vVCCVDSVEuTUNELklRX01BUktFVENBUC4yMDE4LTA3LTEwLlVTRC5IAQAAAOAgAgACAAAADTEyNjExNS4xOTM2NjcBBgAAAAUAAAABMQEAAAAKMTg4NzY2NTU5NgMAAAADMTYwAgAAAAYxMDAwNTQEAAAAATAHAAAACTcvMTAvMjAxOIIe/FQv69UIVEQk</t>
  </si>
  <si>
    <t>iy/r1QhCQ0lRLlVTRC5JUV9GVUxMX0NVUlZFX0FOTlVBTC5DT05TVU1FUkRJU0NSRVRJT05BUlkuMC41WS4yMDE4LTA3LTEwAQAAAAAAAAACAAAACTAuMDM4MjYyOQCVeTNUL+vVCFaFNIov69UII0NJUS5LUi5JUV9GWF9SQVRFLk1BWTIwMTUuOC8yNS8yMDE3AQAAAMhLkwYCAAAACzEwODkuMjgwOTUyAKo+Sn0t69UIB2ZmfS3r1QguQ0lRLk1DRC5JUV9UT1RBTF9ERUJULjUwMC4yMDE4LTA3LTEwLkxGUi4uVVNELgEAAADgIAIAAgAAAAUzMDg4OAEIAAAABQAAAAExAQAAAAoxODg3NjY1NTk2AwAAAAMxNjACAAAABDQxNzMEAAAAATAHAAAACTcvMTAvMjAxOAgAAAAJMy8zMS8yMDE4CQAAAAEwBOAdiy/r1QgE4B2LL+vVCCRDSVEuTllTRTpTSEFLLklRX0JFVEFfNVlSLjIwMTgtMDctMTABAAAAnROmDQIAAAAQMS4zNDc2NDIyNjAzNTM5NABOt2twL+vVCFRmdLcv69UIJkNJUS5LUi5JUV9GWF9SQVRFX0ZDLkZFQjIwMTkuOC8yNC8yMDE3AQAAAMQxlAYCAAAACjExMDUuMDkwNjIAqj5KfS3r1QgBP2Z9LevVCCNDSVEuS1IuSVFfRlhfUkFURS5KVUwyMDE2LjgvMjUvMjAxNwEAAADIS5MGAgAAAAsxMTQ0LjMzMzMzMwCqPkp9LevVCAdmZn0t69UIH0NJUS5LUi5JUV9GWF9SQVRFX0ZDLi44LzI0LzIwMTcBAAAARJe+BgMAAAAAAKo+Sn0t69UIqj5KfS3r1QgXQ0lRLkNNRy5JUV9DT01QQU5ZX05BTUUBAAAA</t>
  </si>
  <si>
    <t>fS3r1QgvQ0lRLkhBQlQuSVFfVE9UQUxfREVCVC41MDAuMjAxOC0wNy0xMC5MRlIuLlVTRC4BAAAAI9YREAIAAAAGMTcuMjIxAQgAAAAFAAAAATEBAAAACjE4ODY0NTE1ODIDAAAAAzE2MAIAAAAENDE3MwQAAAABMAcAAAAJNy8xMC8yMDE4CAAAAAkzLzI3LzIwMTgJAAAAATAU/BBxL+vVCHY3NIov69UII0NJUS5LUi5JUV9GWF9SQVRFLk1BUjIwMTUuOC8yNS8yMDE3AQAAAMhLkwYCAAAACzExMTIuNTY4MTgyAKo+Sn0t69UIB2ZmfS3r1QgjQ0lRLktSLklRX0ZYX1JBVEUuTUFZMjAxNi44LzI1LzIwMTcBAAAAyEuTBgIAAAALMTE2OC40NTkwOTEAqj5KfS3r1QgHZmZ9LevVCCtDSVEuTllTRTpTSEFLLklRX1BFUklPRERBVEUuNTAwLjIwMTgtMDctMTAuAQAAAJ0Tpg0FAAAACjIwMTgtMDMtMjgAFPwQcS/r1QhUZnS3L+vVCDBDSVEuTUNELklRX1BSRUZfRVFVSVRZLjUwMC4yMDE4LTA3LTEwLkxGUi4uVVNELkgBAAAA4CACAAMAAAAAAIIe/FQv69UIVEQkiy/r1QgsQ0lRLlVTRC5JUV9GVUxMX0NVUlZFX0FOTlVBTC4uLjVZLjIwMTgtMDctMTABAAAAAAAAAAIAAAAJMC4wMzg3OTU3AKFSM1Qv69UIghA0ii/r1QgjQ0lRLktSLklRX0ZYX1JBVEUuQVVHMjAxNS44LzI1LzIwMTcBAAAAyEuTBgIAAAALMTE3OS42MzMzMzMAqj5KfS3r1QgHZmZ9LevVCCNDSVEuS1IuSVFfRlhfUkFURS5KVUwyMDE1LjgvMjUv</t>
  </si>
  <si>
    <t>SUNFLi0xWS40MTYzOQEAAACbuCgAAgAAABAyOS42MDExODUwNzE2NTkxAE63a3Av69UIUI10ty/r1QgjQ0lRLktSLklRX0ZYX1JBVEUuT0NUMjAxMy44LzI1LzIwMTcBAAAAyEuTBgIAAAALMTA2Ny41MTczOTEAqj5KfS3r1Qj4jGZ9LevVCCZDSVEuS1IuSVFfRlhfUkFURV9GQy5KQU4yMDIwLjgvMjQvMjAxNwEAAADEMZQGAgAAAAkxMTA4LjQ3ODMAqj5KfS3r1QgBP2Z9LevVCCNDSVEuS1IuSVFfRlhfUkFURS5BUFIyMDE2LjgvMjUvMjAxNwEAAADIS5MGAgAAAAsxMTQ3LjU5MDQ3NgCqPkp9LevVCAdmZn0t69UILENJUUFWRy5XRU4uSVFfRUZGRUNUX1RBWF9SQVRFLjk5Ni4yMDE4LTA3LTEwAQAAAAVcAAACAAAACTM1LjE4MTUyNQCCHvxUL+vVCG5eNIov69UII0NJUS5LUi5JUV9GWF9SQVRFLk9DVDIwMTYuOC8yNS8yMDE3AQAAAMhLkwYCAAAACzExMjMuNjg1NzE0AKo+Sn0t69UIB2ZmfS3r1QgmQ0lRLktSLklRX0ZYX1JBVEVfRkMuQVVHMjAxOS44LzI0LzIwMTcBAAAAxDGUBgIAAAAKMTExNi44Mjc2OQCqPkp9LevVCAE/Zn0t69UII0NJUS5LUi5JUV9GWF9SQVRFLkZFQjIwMTQuOC8yNS8yMDE3AQAAAMhLkwYCAAAABjEwNzEuNACqPkp9LevVCPiMZn0t69UIJkNJUS5LUi5JUV9GWF9SQVRFX0ZDLk5PVjIwMTguOC8yNC8yMDE3AQAAAMQxlAYCAAAACjEwOTMuMTE1NDQAqj5KfS3r1QgBP2Z9LevV</t>
  </si>
  <si>
    <t>NzSKL+vVCCpDSVEuTllTRTpTSEFLLklRX01BUktFVENBUC4yMDE4LTA3LTEwLlVTRC4BAAAAnROmDQIAAAALMTc3MS41OTEyNzYBBgAAAAUAAAABMQEAAAAKMTg4NzI5MDEyNQMAAAADMTYwAgAAAAYxMDAwNTQEAAAAATAHAAAACTcvMTAvMjAxOBT8EHEv69UIVGZ0ty/r1QgmQ0lRLktSLklRX0ZYX1JBVEVfRkMuSlVMMjAxOS44LzI0LzIwMTcBAAAAxDGUBgIAAAAKMTExNi45MzU1OQCqPkp9LevVCAE/Zn0t69UII0NJUS5LUi5JUV9GWF9SQVRFLkpVTjIwMTUuOC8yNS8yMDE3AQAAAMhLkwYCAAAACzExMTIuMTk1NDU1AKo+Sn0t69UI+IxmfS3r1QgoQ0lRLklRVDM2MTgzODM5LklRX1JBVEVfTEVWRUwuMjAxOC0wNy0xMAEAAAAdHygCAgAAAAQyLjg3AE63a3Av69UIVoU0ii/r1QglQ0lRUEMuXlNQWC5JUV9MQVNUU0FMRVBSSUNFLi0xWS40MjAwNAEAAACbuCgAAgAAABAxMS4zOTA5NzY1NTI5MjQ2AE63a3Av69UIUI10ty/r1QgdQ0lRLk5ZU0U6U0hBSy5JUV9RVUlDS19DT01QLjEBAAAAnROmDQMAAAAJTllTRTpaT0VTAE63a3Av69UIghA0ii/r1QgvQ0lRUkFOR0UuTllTRTpTSEFLLklRX0JPTkRfTElTVC4xLjUwMC4uLi4uQk9ORFMDAAAAnROmDQAAAABOt2twL+vVCGw/dLcv69UIJUNJUVBDLl5TUFguSVFfTEFTVFNBTEVQUklDRS4tMVkuNDEyNzQBAAAAm7goAAIAAAAQMTMuNDA1MDk5MzU1NDA2</t>
  </si>
  <si>
    <t>OABOt2twL+vVCFCNdLcv69UIHkNJUS4zNjAyLklRX0VWX09WRVJfTFRNX0VCSVREQQUAAAAAAAAACAAAABQoSW52YWxpZCBJZGVudGlmaWVyKU63a3Av69UIYwV6cC/r1QgwQ0lRLlpPRVMuSVFfVE9UQUxfREVCVC41MDAuMjAxOC0wNy0xMC5MRlIuLlVTRC5IAQAAANTGTwICAAAABjQ3LjYzNAEIAAAABQAAAAExAQAAAAoxODkwNjUzMDk4AwAAAAMxNjACAAAABDQxNzMEAAAAATAHAAAACTcvMTAvMjAxOAgAAAAJNC8xNi8yMDE4CQAAAAEwgh78VC/r1QhSrDSKL+vVCCVDSVFQQy5eU1BYLklRX0xBU1RTQUxFUFJJQ0UuLTFZLjQwOTA4AQAAAJu4KAACAAAAFC0wLjAwMjQ3OTQ1MDgwNzg3OTc5AE63a3Av69UIPLR0ty/r1QgXQ0lRLldFTi5JUV9DT01QQU5ZX05BTUUBAAAABVwAAAMAAAATVGhlIFdlbmR5J3MgQ29tcGFueQCCHvxUL+vVCG5eNIov69UIJkNJUS5LUi5JUV9GWF9SQVRFX0ZDLk1BWTIwMTkuOC8yNC8yMDE3AQAAAMQxlAYCAAAACjExMTMuNTQ0NzgAqj5KfS3r1QgBP2Z9LevVCB5DSVEuV0VOLklRX0JFVEFfNVlSLjIwMTgtMDctMTABAAAABVwAAAIAAAARMC41NjA1NzAxMzUxNjI1OTQAgh78VC/r1QhuXjSKL+vVCCVDSVEuV0VOLklRX01BUktFVENBUC4yMDE4LTA3LTEwLlVTRC5IAQAAAAVcAAACAAAACjQxODguNjI3NTEBBgAAAAUAAAABMQEAAAAKMTg4ODA1NTE4MAMAAAADMTYwAgAA</t>
  </si>
  <si>
    <t>AAYxMDAwNTQEAAAAATAHAAAACTcvMTAvMjAxOIIe/FQv69UIVoU0ii/r1QgmQ0lRLktSLklRX0ZYX1JBVEVfRkMuU0VQMjAxOC44LzI0LzIwMTcBAAAAxDGUBgIAAAAKMTA5NC4wNDczOQCqPkp9LevVCAdmZn0t69UIM0NJUS5OWVNFOlNIQUsuSVFfUFJFRl9FUVVJVFkuLjIwMTgtMDctMTAuTEZSLi5VU0QuSAEAAACdE6YNAwAAAAAATrdrcC/r1QhUZnS3L+vVCCNDSVEuS1IuSVFfRlhfUkFURS5BUFIyMDEzLjgvMjUvMjAxNwEAAADIS5MGAgAAAAsxMTIxLjgzMTgxOACqPkp9LevVCPiMZn0t69UIJUNJUVBDLl5TUFguSVFfTEFTVFNBTEVQUklDRS4tMVkuNDIzNjkBAAAAm7goAAIAAAASLTAuNzI2ODY4NjYzMTIxMzI2AE63a3Av69UIUI10ty/r1QgvQ0lRLk5ZU0U6U0hBSy5JUV9JTkNfVEFYLi4yMDE4LTA3LTEwLkxGUi4uVVNELkgBAAAAnROmDQIAAAAHMTUwLjk0OQEIAAAABQAAAAExAQAAAAoxODg3MjkwNTQxAwAAAAMxNjACAAAAAjc1BAAAAAEwBwAAAAk3LzEwLzIwMTgIAAAACTMvMjgvMjAxOAkAAAABME63a3Av69UIVGZ0ty/r1QgfQ0lRLlpPRVMuSVFfQkVUQV81WVIuMjAxOC0wNy0xMAEAAADUxk8CAgAAABEwLjE0Nzk3NDYyODU4Nzg0NgCCHvxUL+vVCG5eNIov69UII0NJUS5LUi5JUV9GWF9SQVRFLk1BUjIwMTcuOC8yNS8yMDE3AQAAAMhLkwYCAAAACzExMzUuMTA4Njk2AKo+Sn0t69UI</t>
  </si>
  <si>
    <t>AABOZwAAAgAAAAgzOC4yOTUzNgCCHvxUL+vVCG5eNIov69UII0NJUS5LUi5JUV9GWF9SQVRFLkFQUjIwMTQuOC8yNS8yMDE3AQAAAMhLkwYCAAAACzEwNDQuNTU4MTgyAKo+Sn0t69UI+IxmfS3r1QgjQ0lRLktSLklRX0ZYX1JBVEUuT0NUMjAxNC44LzI1LzIwMTcBAAAAyEuTBgIAAAALMTA2MC42ODY5NTcAqj5KfS3r1Qj4jGZ9LevVCCVDSVFQQy5eU1BYLklRX0xBU1RTQUxFUFJJQ0UuLTFZLjQwNTQzAQAAAJu4KAACAAAADzEyLjc4MjA3OTAzNDM4OABOt2twL+vVCDy0dLcv69UII0NJUS5LUi5JUV9GWF9SQVRFLk1BUjIwMTQuOC8yNS8yMDE3AQAAAMhLkwYCAAAACzEwNzAuNzM4MDk1AKo+Sn0t69UI+IxmfS3r1QgfQ0lRLkhBQlQuSVFfQkVUQV81WVIuMjAxOC0wNy0xMAEAAAAj1hEQAgAAABEwLjUyMzI4OTkwNzM4MjQ5NgCCHvxUL+vVCG5eNIov69UII0NJUS5LUi5JUV9GWF9SQVRFLkpBTjIwMTcuOC8yNS8yMDE3AQAAAMhLkwYCAAAACzExODYuMDI3MjczAKo+Sn0t69UIB2ZmfS3r1QgcQ0lRLktSLklRX0ZYX1JBVEUuLjgvMjUvMjAxNwEAAABEl74GAwAAAAAAqj5KfS3r1QiqPkp9LevVCCNDSVEuS1IuSVFfRlhfUkFURS5GRUIyMDE2LjgvMjUvMjAxNwEAAADIS5MGAgAAAAsxMjE0LjgzODA5NQCqPkp9LevVCAdmZn0t69UIMkNJUS5OWVNFOlNIQUsuSVFfUFJFRl9FUVVJVFkuLjIwMTgtMDct</t>
  </si>
  <si>
    <t>MTAuTEZSLi5VU0QuAQAAAJ0Tpg0DAAAAAAAU/BBxL+vVCFRmdLcv69UIJENJUS5XRU4uSVFfTUFSS0VUQ0FQLjIwMTgtMDctMTAuVVNELgEAAAAFXAAAAgAAAAo0MTg4LjYyNzUxAQYAAAAFAAAAATEBAAAACjE4ODgwNTUxODADAAAAAzE2MAIAAAAGMTAwMDU0BAAAAAEwBwAAAAk3LzEwLzIwMTgU/BBxL+vVCG5eNIov69UILkNJUS5XRU4uSVFfVE9UQUxfREVCVC41MDAuMjAxOC0wNy0xMC5MRlIuLlVTRC4BAAAABVwAAAIAAAAIMjgwOC4wMjEBCAAAAAUAAAABMQEAAAAKMTg4ODA1NTE4MAMAAAADMTYwAgAAAAQ0MTczBAAAAAEwBwAAAAk3LzEwLzIwMTgIAAAACDQvMS8yMDE4CQAAAAEwFPwQcS/r1QhuXjSKL+vVCB9DSVEuTkRMUy5JUV9CRVRBXzVZUi4yMDE4LTA3LTEwAQAAAPmfewACAAAAES0wLjYyNzcyNzE0MTM4Nzg4AIIe/FQv69UIbl40ii/r1QgmQ0lRLk5ZU0U6Q01HLklRX0NPTVBBTllfVElDS0VSX05PX0VYQ0gBAAAATmcAAAMAAAADQ01HAKFSM1Qv69UIghA0ii/r1QglQ0lRUEMuXlNQWC5JUV9MQVNUU0FMRVBSSUNFLi0xWS40MjczNQEAAACbuCgAAgAAABA5LjUzNTAyMTQ4NzU1ODU3AE63a3Av69UIUI10ty/r1QgjQ0lRLktSLklRX0ZYX1JBVEUuQVBSMjAxNS44LzI1LzIwMTcBAAAAyEuTBgIAAAALMTA4OC42NjM2MzYAqj5KfS3r1QgHZmZ9LevVCCNDSVEuS1IuSVFfRlhfUkFURS5P</t>
  </si>
  <si>
    <t>© 2021 Wall Street Training Asia Inc.</t>
    <phoneticPr fontId="1" type="noConversion"/>
  </si>
  <si>
    <t>© 2021 (주)월스트릿트레이닝아시아.</t>
    <phoneticPr fontId="1" type="noConversion"/>
  </si>
  <si>
    <t>Change in Non-Controlling Interest</t>
  </si>
  <si>
    <t>(1) Interest on United States Treasury Constant Maturity - 10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</si>
</sst>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24" formatCode="\$#,##0_);[Red]\(\$#,##0\)"/>
    <numFmt numFmtId="25" formatCode="\$#,##0.00_);\(\$#,##0.00\)"/>
    <numFmt numFmtId="26" formatCode="\$#,##0.00_);[Red]\(\$#,##0.00\)"/>
    <numFmt numFmtId="176" formatCode="&quot;FY &quot;0000"/>
    <numFmt numFmtId="177" formatCode="#,##0_);\(#,##0\)"/>
    <numFmt numFmtId="178" formatCode="0.0%"/>
    <numFmt numFmtId="179" formatCode="mm&quot;월&quot;\ dd&quot;일&quot;"/>
    <numFmt numFmtId="180" formatCode="&quot;FY &quot;0000&quot;E&quot;"/>
    <numFmt numFmtId="181" formatCode="#,##0.000_);\(#,##0.000\)"/>
    <numFmt numFmtId="182" formatCode="&quot;ON&quot;;;&quot;OFF&quot;"/>
    <numFmt numFmtId="183" formatCode="#,##0.0_);\(#,##0.0\);#,##0.0_);@_)"/>
    <numFmt numFmtId="184" formatCode="0%_);\(0%\);0%_);@_)"/>
    <numFmt numFmtId="185" formatCode="0.0%_);\(0.0%\);0.0%_);@_)"/>
    <numFmt numFmtId="186" formatCode="#,##0.00_);\(#,##0.00\);#,##0.00_);@_)"/>
    <numFmt numFmtId="187" formatCode="#,##0_);\(#,##0\);#,##0_);@_)"/>
    <numFmt numFmtId="188" formatCode="_(* #,##0.0_);_(* \(#,##0.0\)_)\ ;_(* 0_)"/>
    <numFmt numFmtId="189" formatCode="_(* #,##0.0#_);_(* \(#,##0.0#\)_)\ ;_(* 0_)"/>
    <numFmt numFmtId="190" formatCode="_(#,##0.0%_);_(\(#,##0.0%\)_);_(#,##0.0%_)"/>
    <numFmt numFmtId="191" formatCode="_(#,##0.00%_);_(\(#,##0.00%\)_);_(#,##0.00%_)"/>
    <numFmt numFmtId="192" formatCode="_(\$#,##0.0#_);_(\(\$#,##0.0#\)_);_(\$&quot; - &quot;_)"/>
    <numFmt numFmtId="193" formatCode="#,##0.0\x"/>
    <numFmt numFmtId="194" formatCode="#,##0.00\x"/>
    <numFmt numFmtId="195" formatCode="mmm\-dd\-yyyy"/>
    <numFmt numFmtId="196" formatCode="_(* #,##0_);_(* \(#,##0\)_)\ ;_(* 0_)"/>
    <numFmt numFmtId="197" formatCode="_(\ #,##0.0_);_(\ \(#,##0.0\)_);_(\ &quot; - &quot;_)"/>
    <numFmt numFmtId="198" formatCode="###0"/>
    <numFmt numFmtId="199" formatCode="0.0\x_);\(0.0\x\);0.0\x_);@_)"/>
    <numFmt numFmtId="200" formatCode="#,##0.00_);\(#,##0.00\)"/>
    <numFmt numFmtId="201" formatCode="General_)"/>
    <numFmt numFmtId="202" formatCode="&quot;&quot;"/>
    <numFmt numFmtId="203" formatCode="0.000%"/>
    <numFmt numFmtId="204" formatCode="#,##0.0"/>
    <numFmt numFmtId="205" formatCode="_(* #,##0.00_);_(* \(#,##0.00\);_(* &quot;-&quot;??_);_(@_)"/>
    <numFmt numFmtId="206" formatCode="0.000"/>
    <numFmt numFmtId="207" formatCode="#,##0.0_);\(#,##0.0\)"/>
    <numFmt numFmtId="208" formatCode="_(* #,##0_);_(* \(#,##0\);_(* &quot;-&quot;??_);_(@_)"/>
    <numFmt numFmtId="209" formatCode="#,##0;\(#,##0\)"/>
    <numFmt numFmtId="210" formatCode="&quot;$&quot;#.#"/>
    <numFmt numFmtId="211" formatCode="0.00;[Red]0.00"/>
    <numFmt numFmtId="212" formatCode="_([$€-2]* #,##0.00_);_([$€-2]* \(#,##0.00\);_([$€-2]* &quot;-&quot;??_)"/>
    <numFmt numFmtId="213" formatCode="\«#,##0;_(* #,##0;_(* &quot;-&quot;??_);_(@_)"/>
    <numFmt numFmtId="214" formatCode="&quot;$&quot;#,##0.00;\-&quot;$&quot;#,##0.00"/>
    <numFmt numFmtId="215" formatCode="_-* #,##0.0_-;\-* #,##0.0_-;_-* &quot;-&quot;??_-;_-@_-"/>
    <numFmt numFmtId="216" formatCode="#,##0.00;[Red]\(#,##0.00\)"/>
    <numFmt numFmtId="217" formatCode="m/d/yyyy;@"/>
  </numFmts>
  <fonts count="100" x14ac:knownFonts="1">
    <font>
      <sz val="11"/>
      <color theme="1"/>
      <name val="맑은 고딕"/>
      <family val="2"/>
      <charset val="129"/>
      <scheme val="minor"/>
    </font>
    <font>
      <sz val="8"/>
      <name val="맑은 고딕"/>
      <family val="2"/>
      <charset val="129"/>
      <scheme val="minor"/>
    </font>
    <font>
      <sz val="10"/>
      <color theme="1"/>
      <name val="Arial"/>
      <family val="2"/>
    </font>
    <font>
      <b/>
      <sz val="10"/>
      <color theme="1"/>
      <name val="Arial"/>
      <family val="2"/>
    </font>
    <font>
      <sz val="10"/>
      <color rgb="FF0033CC"/>
      <name val="Arial"/>
      <family val="2"/>
    </font>
    <font>
      <i/>
      <sz val="10"/>
      <color theme="1"/>
      <name val="Arial"/>
      <family val="2"/>
    </font>
    <font>
      <sz val="10"/>
      <name val="Arial"/>
      <family val="2"/>
    </font>
    <font>
      <b/>
      <sz val="10"/>
      <color rgb="FF0033CC"/>
      <name val="Arial"/>
      <family val="2"/>
    </font>
    <font>
      <sz val="9"/>
      <color indexed="81"/>
      <name val="Tahoma"/>
      <family val="2"/>
    </font>
    <font>
      <b/>
      <sz val="9"/>
      <color indexed="81"/>
      <name val="Tahoma"/>
      <family val="2"/>
    </font>
    <font>
      <b/>
      <sz val="9"/>
      <color indexed="81"/>
      <name val="돋움"/>
      <family val="3"/>
      <charset val="129"/>
    </font>
    <font>
      <b/>
      <sz val="10"/>
      <name val="Arial"/>
      <family val="2"/>
    </font>
    <font>
      <sz val="10"/>
      <color rgb="FF006600"/>
      <name val="Arial"/>
      <family val="2"/>
    </font>
    <font>
      <b/>
      <sz val="10"/>
      <color rgb="FF006600"/>
      <name val="Arial"/>
      <family val="2"/>
    </font>
    <font>
      <b/>
      <u/>
      <sz val="10"/>
      <color theme="1"/>
      <name val="Arial"/>
      <family val="2"/>
    </font>
    <font>
      <u/>
      <sz val="10"/>
      <color theme="1"/>
      <name val="Arial"/>
      <family val="2"/>
    </font>
    <font>
      <b/>
      <sz val="10"/>
      <color rgb="FF0000FF"/>
      <name val="Arial"/>
      <family val="2"/>
    </font>
    <font>
      <sz val="10"/>
      <color rgb="FF0000FF"/>
      <name val="Arial"/>
      <family val="2"/>
    </font>
    <font>
      <sz val="10"/>
      <color rgb="FF6600CC"/>
      <name val="Arial"/>
      <family val="2"/>
    </font>
    <font>
      <i/>
      <sz val="10"/>
      <name val="Arial"/>
      <family val="2"/>
    </font>
    <font>
      <sz val="11"/>
      <color theme="1"/>
      <name val="맑은 고딕"/>
      <family val="2"/>
      <scheme val="minor"/>
    </font>
    <font>
      <sz val="6"/>
      <color theme="1"/>
      <name val="맑은 고딕"/>
      <family val="2"/>
      <scheme val="minor"/>
    </font>
    <font>
      <b/>
      <sz val="16"/>
      <color theme="1"/>
      <name val="맑은 고딕"/>
      <family val="2"/>
      <scheme val="minor"/>
    </font>
    <font>
      <b/>
      <sz val="15"/>
      <color theme="1"/>
      <name val="맑은 고딕"/>
      <family val="2"/>
      <scheme val="minor"/>
    </font>
    <font>
      <sz val="11"/>
      <color rgb="FF0000FF"/>
      <name val="맑은 고딕"/>
      <family val="2"/>
      <scheme val="minor"/>
    </font>
    <font>
      <sz val="11"/>
      <color rgb="FF008000"/>
      <name val="맑은 고딕"/>
      <family val="2"/>
      <scheme val="minor"/>
    </font>
    <font>
      <sz val="8"/>
      <name val="맑은 고딕"/>
      <family val="3"/>
      <charset val="129"/>
      <scheme val="minor"/>
    </font>
    <font>
      <b/>
      <sz val="11"/>
      <color theme="1"/>
      <name val="맑은 고딕"/>
      <family val="2"/>
      <scheme val="minor"/>
    </font>
    <font>
      <b/>
      <sz val="11"/>
      <color rgb="FF008000"/>
      <name val="맑은 고딕"/>
      <family val="2"/>
      <scheme val="minor"/>
    </font>
    <font>
      <i/>
      <sz val="9"/>
      <color theme="1"/>
      <name val="맑은 고딕"/>
      <family val="2"/>
      <scheme val="minor"/>
    </font>
    <font>
      <i/>
      <sz val="8"/>
      <color theme="1"/>
      <name val="맑은 고딕"/>
      <family val="2"/>
      <scheme val="minor"/>
    </font>
    <font>
      <b/>
      <sz val="14"/>
      <color theme="1"/>
      <name val="Arial"/>
      <family val="2"/>
    </font>
    <font>
      <sz val="10"/>
      <color rgb="FF000000"/>
      <name val="Arial"/>
      <family val="2"/>
    </font>
    <font>
      <b/>
      <sz val="13"/>
      <color indexed="8"/>
      <name val="Verdana"/>
      <family val="2"/>
    </font>
    <font>
      <sz val="8"/>
      <name val="Arial"/>
      <family val="2"/>
    </font>
    <font>
      <i/>
      <sz val="8"/>
      <name val="Arial"/>
      <family val="2"/>
    </font>
    <font>
      <b/>
      <sz val="8"/>
      <name val="Arial"/>
      <family val="2"/>
    </font>
    <font>
      <sz val="8"/>
      <color indexed="8"/>
      <name val="Arial"/>
      <family val="2"/>
    </font>
    <font>
      <b/>
      <sz val="8"/>
      <color indexed="9"/>
      <name val="Verdana"/>
      <family val="2"/>
    </font>
    <font>
      <sz val="1"/>
      <color indexed="9"/>
      <name val="Symbol"/>
      <family val="1"/>
      <charset val="2"/>
    </font>
    <font>
      <b/>
      <sz val="8"/>
      <color indexed="8"/>
      <name val="Arial"/>
      <family val="2"/>
    </font>
    <font>
      <b/>
      <i/>
      <sz val="8"/>
      <color indexed="8"/>
      <name val="Arial"/>
      <family val="2"/>
    </font>
    <font>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u val="singleAccounting"/>
      <sz val="8"/>
      <color indexed="8"/>
      <name val="Arial"/>
      <family val="2"/>
    </font>
    <font>
      <b/>
      <i/>
      <sz val="8"/>
      <name val="Arial"/>
      <family val="2"/>
    </font>
    <font>
      <sz val="10"/>
      <color indexed="8"/>
      <name val="Arial"/>
      <family val="2"/>
    </font>
    <font>
      <b/>
      <sz val="8"/>
      <color indexed="8"/>
      <name val="Verdana"/>
      <family val="2"/>
    </font>
    <font>
      <b/>
      <u val="singleAccounting"/>
      <sz val="8"/>
      <color indexed="8"/>
      <name val="Verdana"/>
      <family val="2"/>
    </font>
    <font>
      <b/>
      <sz val="10"/>
      <color indexed="9"/>
      <name val="Arial"/>
      <family val="2"/>
    </font>
    <font>
      <b/>
      <sz val="12"/>
      <color indexed="8"/>
      <name val="Verdana"/>
      <family val="2"/>
    </font>
    <font>
      <vertAlign val="subscript"/>
      <sz val="8"/>
      <color indexed="8"/>
      <name val="Arial"/>
      <family val="2"/>
    </font>
    <font>
      <vertAlign val="superscript"/>
      <sz val="8"/>
      <color indexed="8"/>
      <name val="Arial"/>
      <family val="2"/>
    </font>
    <font>
      <b/>
      <sz val="11"/>
      <color theme="1"/>
      <name val="맑은 고딕"/>
      <family val="3"/>
      <charset val="129"/>
      <scheme val="minor"/>
    </font>
    <font>
      <b/>
      <sz val="11"/>
      <color rgb="FF0000FF"/>
      <name val="맑은 고딕"/>
      <family val="3"/>
      <charset val="129"/>
      <scheme val="minor"/>
    </font>
    <font>
      <sz val="10"/>
      <color rgb="FF7030A0"/>
      <name val="Arial"/>
      <family val="2"/>
    </font>
    <font>
      <u/>
      <sz val="11"/>
      <color theme="10"/>
      <name val="맑은 고딕"/>
      <family val="2"/>
      <charset val="129"/>
      <scheme val="minor"/>
    </font>
    <font>
      <b/>
      <sz val="10"/>
      <color rgb="FFFF0000"/>
      <name val="Arial"/>
      <family val="2"/>
    </font>
    <font>
      <u/>
      <sz val="10"/>
      <color theme="10"/>
      <name val="Arial"/>
      <family val="2"/>
    </font>
    <font>
      <sz val="10"/>
      <color theme="1"/>
      <name val="맑은 고딕"/>
      <family val="2"/>
      <charset val="129"/>
    </font>
    <font>
      <b/>
      <sz val="10"/>
      <color rgb="FF619F42"/>
      <name val="Arial"/>
      <family val="2"/>
    </font>
    <font>
      <sz val="10"/>
      <color rgb="FF333333"/>
      <name val="Arial"/>
      <family val="2"/>
    </font>
    <font>
      <b/>
      <sz val="12"/>
      <color theme="0"/>
      <name val="Arial"/>
      <family val="2"/>
    </font>
    <font>
      <b/>
      <sz val="25"/>
      <color theme="1"/>
      <name val="맑은 고딕"/>
      <family val="3"/>
      <charset val="129"/>
      <scheme val="minor"/>
    </font>
    <font>
      <sz val="10"/>
      <name val="Times New Roman"/>
      <family val="1"/>
    </font>
    <font>
      <b/>
      <sz val="10"/>
      <color indexed="12"/>
      <name val="Arial"/>
      <family val="2"/>
    </font>
    <font>
      <b/>
      <sz val="10"/>
      <color indexed="8"/>
      <name val="Arial"/>
      <family val="2"/>
    </font>
    <font>
      <sz val="12"/>
      <name val="tms rmn"/>
    </font>
    <font>
      <sz val="10"/>
      <color rgb="FFFFFFFF"/>
      <name val="Arial"/>
      <family val="2"/>
    </font>
    <font>
      <sz val="10"/>
      <name val="MS Sans Serif"/>
      <family val="2"/>
    </font>
    <font>
      <b/>
      <sz val="24"/>
      <color indexed="9"/>
      <name val="Arial"/>
      <family val="2"/>
    </font>
    <font>
      <sz val="10"/>
      <color indexed="9"/>
      <name val="Arial"/>
      <family val="2"/>
    </font>
    <font>
      <b/>
      <sz val="14"/>
      <color indexed="17"/>
      <name val="Arial"/>
      <family val="2"/>
    </font>
    <font>
      <b/>
      <sz val="11"/>
      <color indexed="9"/>
      <name val="Arial"/>
      <family val="2"/>
    </font>
    <font>
      <b/>
      <sz val="10"/>
      <color rgb="FF000000"/>
      <name val="Arial"/>
      <family val="2"/>
    </font>
    <font>
      <sz val="10"/>
      <color indexed="17"/>
      <name val="Arial"/>
      <family val="2"/>
    </font>
    <font>
      <b/>
      <sz val="10"/>
      <color indexed="10"/>
      <name val="Arial"/>
      <family val="2"/>
    </font>
    <font>
      <sz val="10"/>
      <color rgb="FF008000"/>
      <name val="Arial"/>
      <family val="2"/>
    </font>
    <font>
      <b/>
      <sz val="10"/>
      <color rgb="FF008000"/>
      <name val="Arial"/>
      <family val="2"/>
    </font>
    <font>
      <sz val="10"/>
      <color indexed="12"/>
      <name val="Arial"/>
      <family val="2"/>
    </font>
    <font>
      <vertAlign val="superscript"/>
      <sz val="10"/>
      <name val="Arial"/>
      <family val="2"/>
    </font>
    <font>
      <sz val="10"/>
      <name val="Courier New"/>
      <family val="3"/>
    </font>
    <font>
      <b/>
      <i/>
      <strike/>
      <sz val="12"/>
      <color indexed="48"/>
      <name val="Arial"/>
      <family val="2"/>
    </font>
    <font>
      <sz val="8"/>
      <color indexed="9"/>
      <name val="Arial"/>
      <family val="2"/>
    </font>
    <font>
      <i/>
      <strike/>
      <sz val="12"/>
      <color indexed="40"/>
      <name val="Arial"/>
      <family val="2"/>
    </font>
    <font>
      <b/>
      <sz val="12"/>
      <name val="Arial"/>
      <family val="2"/>
    </font>
    <font>
      <b/>
      <sz val="12"/>
      <name val="tms rmn"/>
    </font>
    <font>
      <i/>
      <strike/>
      <sz val="12"/>
      <color indexed="10"/>
      <name val="Arial"/>
      <family val="2"/>
    </font>
    <font>
      <sz val="12"/>
      <color indexed="8"/>
      <name val="Times New Roman"/>
      <family val="1"/>
    </font>
    <font>
      <strike/>
      <sz val="12"/>
      <color indexed="46"/>
      <name val="Arial"/>
      <family val="2"/>
    </font>
    <font>
      <sz val="12"/>
      <color indexed="17"/>
      <name val="Arial"/>
      <family val="2"/>
    </font>
    <font>
      <strike/>
      <sz val="10"/>
      <name val="Arial"/>
      <family val="2"/>
    </font>
    <font>
      <sz val="10"/>
      <color indexed="38"/>
      <name val="Arial"/>
      <family val="2"/>
    </font>
    <font>
      <i/>
      <strike/>
      <sz val="12"/>
      <color indexed="48"/>
      <name val="Arial"/>
      <family val="2"/>
    </font>
    <font>
      <sz val="10"/>
      <color theme="0"/>
      <name val="Arial"/>
      <family val="2"/>
    </font>
    <font>
      <i/>
      <sz val="10"/>
      <color indexed="10"/>
      <name val="Arial"/>
      <family val="2"/>
    </font>
    <font>
      <sz val="8"/>
      <color theme="0"/>
      <name val="Arial"/>
      <family val="2"/>
    </font>
    <font>
      <sz val="8"/>
      <color rgb="FF000000"/>
      <name val="Arial"/>
      <family val="2"/>
    </font>
  </fonts>
  <fills count="20">
    <fill>
      <patternFill patternType="none"/>
    </fill>
    <fill>
      <patternFill patternType="gray125"/>
    </fill>
    <fill>
      <patternFill patternType="solid">
        <fgColor rgb="FFEAEAEA"/>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14999847407452621"/>
        <bgColor indexed="64"/>
      </patternFill>
    </fill>
    <fill>
      <patternFill patternType="solid">
        <fgColor indexed="56"/>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theme="4" tint="-0.249977111117893"/>
        <bgColor indexed="64"/>
      </patternFill>
    </fill>
    <fill>
      <patternFill patternType="solid">
        <fgColor indexed="8"/>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38"/>
        <bgColor indexed="17"/>
      </patternFill>
    </fill>
    <fill>
      <patternFill patternType="solid">
        <fgColor theme="4" tint="0.79998168889431442"/>
        <bgColor indexed="64"/>
      </patternFill>
    </fill>
    <fill>
      <patternFill patternType="solid">
        <fgColor theme="9" tint="0.79998168889431442"/>
        <bgColor indexed="64"/>
      </patternFill>
    </fill>
  </fills>
  <borders count="38">
    <border>
      <left/>
      <right/>
      <top/>
      <bottom/>
      <diagonal/>
    </border>
    <border>
      <left/>
      <right/>
      <top/>
      <bottom style="medium">
        <color rgb="FF000000"/>
      </bottom>
      <diagonal/>
    </border>
    <border>
      <left/>
      <right/>
      <top style="medium">
        <color rgb="FF000000"/>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thick">
        <color rgb="FF000000"/>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9"/>
      </left>
      <right style="medium">
        <color indexed="64"/>
      </right>
      <top style="thin">
        <color indexed="9"/>
      </top>
      <bottom style="thin">
        <color indexed="64"/>
      </bottom>
      <diagonal/>
    </border>
    <border>
      <left style="thin">
        <color indexed="9"/>
      </left>
      <right/>
      <top style="thin">
        <color indexed="9"/>
      </top>
      <bottom style="thin">
        <color indexed="64"/>
      </bottom>
      <diagonal/>
    </border>
    <border>
      <left/>
      <right/>
      <top style="thin">
        <color indexed="9"/>
      </top>
      <bottom style="thin">
        <color indexed="64"/>
      </bottom>
      <diagonal/>
    </border>
    <border>
      <left/>
      <right style="medium">
        <color indexed="64"/>
      </right>
      <top style="thin">
        <color indexed="9"/>
      </top>
      <bottom style="thin">
        <color indexed="64"/>
      </bottom>
      <diagonal/>
    </border>
    <border>
      <left style="thin">
        <color theme="0"/>
      </left>
      <right/>
      <top style="thin">
        <color theme="0"/>
      </top>
      <bottom style="thin">
        <color indexed="64"/>
      </bottom>
      <diagonal/>
    </border>
    <border>
      <left/>
      <right style="medium">
        <color indexed="64"/>
      </right>
      <top style="thin">
        <color theme="0"/>
      </top>
      <bottom style="thin">
        <color indexed="64"/>
      </bottom>
      <diagonal/>
    </border>
    <border>
      <left style="thin">
        <color indexed="9"/>
      </left>
      <right style="medium">
        <color indexed="64"/>
      </right>
      <top style="thin">
        <color indexed="9"/>
      </top>
      <bottom/>
      <diagonal/>
    </border>
    <border>
      <left/>
      <right/>
      <top style="thin">
        <color theme="0"/>
      </top>
      <bottom style="thin">
        <color indexed="64"/>
      </bottom>
      <diagonal/>
    </border>
    <border>
      <left/>
      <right style="thin">
        <color theme="0"/>
      </right>
      <top/>
      <bottom/>
      <diagonal/>
    </border>
    <border>
      <left style="thin">
        <color theme="0"/>
      </left>
      <right style="medium">
        <color indexed="64"/>
      </right>
      <top style="thin">
        <color theme="0"/>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s>
  <cellStyleXfs count="86">
    <xf numFmtId="0" fontId="0" fillId="0" borderId="0">
      <alignment vertical="center"/>
    </xf>
    <xf numFmtId="0" fontId="20" fillId="0" borderId="0"/>
    <xf numFmtId="0" fontId="6" fillId="0" borderId="0"/>
    <xf numFmtId="0" fontId="39" fillId="0" borderId="0" applyAlignment="0"/>
    <xf numFmtId="0" fontId="48" fillId="0" borderId="0" applyAlignment="0"/>
    <xf numFmtId="0" fontId="49" fillId="0" borderId="0" applyAlignment="0"/>
    <xf numFmtId="0" fontId="49" fillId="0" borderId="0" applyAlignment="0"/>
    <xf numFmtId="0" fontId="49" fillId="0" borderId="0" applyAlignment="0"/>
    <xf numFmtId="0" fontId="49" fillId="0" borderId="0" applyAlignment="0"/>
    <xf numFmtId="0" fontId="46" fillId="7" borderId="0" applyAlignment="0"/>
    <xf numFmtId="0" fontId="50" fillId="8" borderId="0" applyAlignment="0"/>
    <xf numFmtId="0" fontId="51" fillId="9" borderId="0" applyAlignment="0"/>
    <xf numFmtId="0" fontId="52" fillId="0" borderId="0" applyAlignment="0"/>
    <xf numFmtId="0" fontId="38" fillId="6" borderId="0" applyAlignment="0"/>
    <xf numFmtId="0" fontId="53" fillId="0" borderId="0" applyAlignment="0"/>
    <xf numFmtId="0" fontId="54" fillId="0" borderId="0" applyAlignment="0"/>
    <xf numFmtId="0" fontId="40" fillId="0" borderId="0" applyAlignment="0"/>
    <xf numFmtId="0" fontId="42" fillId="0" borderId="0" applyAlignment="0"/>
    <xf numFmtId="0" fontId="37" fillId="0" borderId="0" applyAlignment="0"/>
    <xf numFmtId="0" fontId="33" fillId="0" borderId="0" applyAlignment="0"/>
    <xf numFmtId="0" fontId="40" fillId="0" borderId="0" applyAlignment="0">
      <alignment wrapText="1"/>
    </xf>
    <xf numFmtId="0" fontId="58" fillId="0" borderId="0" applyNumberFormat="0" applyFill="0" applyBorder="0" applyAlignment="0" applyProtection="0">
      <alignment vertical="center"/>
    </xf>
    <xf numFmtId="0" fontId="66" fillId="0" borderId="0"/>
    <xf numFmtId="201" fontId="69" fillId="0" borderId="0"/>
    <xf numFmtId="0" fontId="71" fillId="0" borderId="0"/>
    <xf numFmtId="9" fontId="66" fillId="0" borderId="0" applyFont="0" applyFill="0" applyBorder="0" applyAlignment="0" applyProtection="0"/>
    <xf numFmtId="205" fontId="66" fillId="0" borderId="0" applyFont="0" applyFill="0" applyBorder="0" applyAlignment="0" applyProtection="0"/>
    <xf numFmtId="0" fontId="66" fillId="0" borderId="0"/>
    <xf numFmtId="0" fontId="6" fillId="0" borderId="0"/>
    <xf numFmtId="210" fontId="6" fillId="0" borderId="0" applyFill="0" applyBorder="0" applyAlignment="0"/>
    <xf numFmtId="210" fontId="6" fillId="0" borderId="0" applyFill="0" applyBorder="0" applyAlignment="0"/>
    <xf numFmtId="0" fontId="6" fillId="0" borderId="0" applyFill="0" applyBorder="0" applyAlignment="0"/>
    <xf numFmtId="211" fontId="6" fillId="0" borderId="0" applyFill="0" applyBorder="0" applyAlignment="0"/>
    <xf numFmtId="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3" fillId="0" borderId="0" applyNumberFormat="0" applyFill="0" applyBorder="0" applyAlignment="0" applyProtection="0"/>
    <xf numFmtId="210" fontId="6" fillId="0" borderId="0" applyFont="0" applyFill="0" applyBorder="0" applyAlignment="0" applyProtection="0"/>
    <xf numFmtId="210" fontId="6" fillId="0" borderId="0" applyFont="0" applyFill="0" applyBorder="0" applyAlignment="0" applyProtection="0"/>
    <xf numFmtId="0" fontId="84" fillId="0" borderId="0"/>
    <xf numFmtId="0" fontId="85" fillId="0" borderId="0" applyNumberFormat="0" applyAlignment="0"/>
    <xf numFmtId="14" fontId="48" fillId="0" borderId="0" applyFill="0" applyBorder="0" applyAlignment="0"/>
    <xf numFmtId="38" fontId="71" fillId="0" borderId="35">
      <alignment vertical="center"/>
    </xf>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6" fillId="0" borderId="0"/>
    <xf numFmtId="212" fontId="69" fillId="0" borderId="0" applyFont="0" applyFill="0" applyBorder="0" applyAlignment="0" applyProtection="0"/>
    <xf numFmtId="40" fontId="6" fillId="0" borderId="0" applyNumberFormat="0">
      <alignment horizontal="right"/>
    </xf>
    <xf numFmtId="213" fontId="34" fillId="0" borderId="0">
      <alignment horizontal="left"/>
    </xf>
    <xf numFmtId="38" fontId="34" fillId="14" borderId="0" applyNumberFormat="0" applyBorder="0" applyAlignment="0" applyProtection="0"/>
    <xf numFmtId="0" fontId="87" fillId="0" borderId="33" applyNumberFormat="0" applyAlignment="0" applyProtection="0">
      <alignment horizontal="left" vertical="center"/>
    </xf>
    <xf numFmtId="0" fontId="87" fillId="0" borderId="18">
      <alignment horizontal="left" vertical="center"/>
    </xf>
    <xf numFmtId="0" fontId="88" fillId="0" borderId="0">
      <alignment horizontal="centerContinuous" vertical="center"/>
    </xf>
    <xf numFmtId="10" fontId="34" fillId="15" borderId="11" applyNumberFormat="0" applyBorder="0" applyAlignment="0" applyProtection="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6" fillId="14" borderId="0"/>
    <xf numFmtId="214" fontId="6" fillId="0" borderId="0"/>
    <xf numFmtId="0" fontId="89" fillId="0" borderId="0"/>
    <xf numFmtId="0" fontId="90" fillId="16" borderId="0"/>
    <xf numFmtId="0" fontId="6" fillId="0" borderId="0" applyFont="0" applyFill="0" applyBorder="0" applyAlignment="0" applyProtection="0"/>
    <xf numFmtId="215" fontId="6" fillId="0" borderId="0" applyFont="0" applyFill="0" applyBorder="0" applyAlignment="0" applyProtection="0"/>
    <xf numFmtId="10" fontId="6" fillId="0" borderId="0" applyFont="0" applyFill="0" applyBorder="0" applyAlignment="0" applyProtection="0"/>
    <xf numFmtId="0" fontId="91" fillId="0" borderId="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39" fontId="92" fillId="0" borderId="0" applyNumberFormat="0">
      <alignment horizontal="right"/>
    </xf>
    <xf numFmtId="216" fontId="6" fillId="0" borderId="5" applyBorder="0">
      <alignment horizontal="right"/>
    </xf>
    <xf numFmtId="0" fontId="93" fillId="0" borderId="0"/>
    <xf numFmtId="0" fontId="6" fillId="0" borderId="36" applyAlignment="0"/>
    <xf numFmtId="49" fontId="48" fillId="0" borderId="0" applyFill="0" applyBorder="0" applyAlignment="0"/>
    <xf numFmtId="210" fontId="6" fillId="0" borderId="0" applyFill="0" applyBorder="0" applyAlignment="0"/>
    <xf numFmtId="210" fontId="6" fillId="0" borderId="0" applyFill="0" applyBorder="0" applyAlignment="0"/>
    <xf numFmtId="0" fontId="6" fillId="17" borderId="0"/>
    <xf numFmtId="0" fontId="94" fillId="17" borderId="0" applyFill="0"/>
    <xf numFmtId="0" fontId="95" fillId="0" borderId="0"/>
  </cellStyleXfs>
  <cellXfs count="678">
    <xf numFmtId="0" fontId="0" fillId="0" borderId="0" xfId="0">
      <alignment vertical="center"/>
    </xf>
    <xf numFmtId="0" fontId="2" fillId="0" borderId="0" xfId="0" applyFont="1">
      <alignment vertical="center"/>
    </xf>
    <xf numFmtId="0" fontId="3" fillId="0" borderId="0" xfId="0" applyFont="1">
      <alignment vertical="center"/>
    </xf>
    <xf numFmtId="177" fontId="2" fillId="0" borderId="0" xfId="0" applyNumberFormat="1" applyFont="1">
      <alignment vertical="center"/>
    </xf>
    <xf numFmtId="177" fontId="3" fillId="0" borderId="0" xfId="0" applyNumberFormat="1" applyFont="1">
      <alignment vertical="center"/>
    </xf>
    <xf numFmtId="177" fontId="4" fillId="0" borderId="0" xfId="0" applyNumberFormat="1" applyFont="1">
      <alignment vertical="center"/>
    </xf>
    <xf numFmtId="0" fontId="5" fillId="0" borderId="0" xfId="0" applyFont="1">
      <alignment vertical="center"/>
    </xf>
    <xf numFmtId="177" fontId="6" fillId="0" borderId="0" xfId="0" applyNumberFormat="1" applyFont="1">
      <alignment vertical="center"/>
    </xf>
    <xf numFmtId="178" fontId="2" fillId="0" borderId="0" xfId="0" applyNumberFormat="1" applyFont="1">
      <alignment vertical="center"/>
    </xf>
    <xf numFmtId="177" fontId="7" fillId="0" borderId="0" xfId="0" applyNumberFormat="1" applyFont="1">
      <alignment vertical="center"/>
    </xf>
    <xf numFmtId="177" fontId="11" fillId="0" borderId="0" xfId="0" applyNumberFormat="1" applyFont="1">
      <alignment vertical="center"/>
    </xf>
    <xf numFmtId="177" fontId="12" fillId="0" borderId="0" xfId="0" applyNumberFormat="1" applyFont="1">
      <alignment vertical="center"/>
    </xf>
    <xf numFmtId="177" fontId="13" fillId="0" borderId="0" xfId="0" applyNumberFormat="1" applyFont="1">
      <alignment vertical="center"/>
    </xf>
    <xf numFmtId="0" fontId="14" fillId="0" borderId="0" xfId="0" applyFont="1">
      <alignment vertical="center"/>
    </xf>
    <xf numFmtId="0" fontId="15" fillId="0" borderId="0" xfId="0" applyFont="1">
      <alignment vertical="center"/>
    </xf>
    <xf numFmtId="0" fontId="2" fillId="0" borderId="0" xfId="0" applyFont="1" applyFill="1">
      <alignment vertical="center"/>
    </xf>
    <xf numFmtId="177" fontId="4" fillId="0" borderId="0" xfId="0" applyNumberFormat="1" applyFont="1" applyFill="1">
      <alignment vertical="center"/>
    </xf>
    <xf numFmtId="177" fontId="17" fillId="0" borderId="0" xfId="0" applyNumberFormat="1" applyFont="1">
      <alignment vertical="center"/>
    </xf>
    <xf numFmtId="177" fontId="16" fillId="0" borderId="0" xfId="0" applyNumberFormat="1" applyFont="1">
      <alignment vertical="center"/>
    </xf>
    <xf numFmtId="178" fontId="17" fillId="0" borderId="0" xfId="0" applyNumberFormat="1" applyFont="1">
      <alignment vertical="center"/>
    </xf>
    <xf numFmtId="178" fontId="18" fillId="0" borderId="0" xfId="0" applyNumberFormat="1" applyFont="1">
      <alignment vertical="center"/>
    </xf>
    <xf numFmtId="178" fontId="5" fillId="0" borderId="0" xfId="0" applyNumberFormat="1" applyFont="1">
      <alignment vertical="center"/>
    </xf>
    <xf numFmtId="181" fontId="19" fillId="0" borderId="0" xfId="0" applyNumberFormat="1" applyFont="1">
      <alignment vertical="center"/>
    </xf>
    <xf numFmtId="177" fontId="13" fillId="3" borderId="0" xfId="0" applyNumberFormat="1" applyFont="1" applyFill="1">
      <alignment vertical="center"/>
    </xf>
    <xf numFmtId="177" fontId="12" fillId="3" borderId="0" xfId="0" applyNumberFormat="1" applyFont="1" applyFill="1">
      <alignment vertical="center"/>
    </xf>
    <xf numFmtId="177" fontId="4" fillId="3" borderId="0" xfId="0" applyNumberFormat="1" applyFont="1" applyFill="1">
      <alignment vertical="center"/>
    </xf>
    <xf numFmtId="177" fontId="11" fillId="3" borderId="0" xfId="0" applyNumberFormat="1" applyFont="1" applyFill="1">
      <alignment vertical="center"/>
    </xf>
    <xf numFmtId="178" fontId="2" fillId="3" borderId="0" xfId="0" applyNumberFormat="1" applyFont="1" applyFill="1">
      <alignment vertical="center"/>
    </xf>
    <xf numFmtId="177" fontId="7" fillId="3" borderId="0" xfId="0" applyNumberFormat="1" applyFont="1" applyFill="1">
      <alignment vertical="center"/>
    </xf>
    <xf numFmtId="177" fontId="6" fillId="3" borderId="0" xfId="0" applyNumberFormat="1" applyFont="1" applyFill="1">
      <alignment vertical="center"/>
    </xf>
    <xf numFmtId="0" fontId="2" fillId="3" borderId="0" xfId="0" applyFont="1" applyFill="1">
      <alignment vertical="center"/>
    </xf>
    <xf numFmtId="178" fontId="3" fillId="3" borderId="0" xfId="0" applyNumberFormat="1" applyFont="1" applyFill="1">
      <alignment vertical="center"/>
    </xf>
    <xf numFmtId="0" fontId="5" fillId="3" borderId="0" xfId="0" applyFont="1" applyFill="1">
      <alignment vertical="center"/>
    </xf>
    <xf numFmtId="0" fontId="21" fillId="0" borderId="0" xfId="1" applyFont="1" applyAlignment="1">
      <alignment horizontal="center" vertical="center"/>
    </xf>
    <xf numFmtId="0" fontId="22" fillId="0" borderId="4" xfId="1" applyFont="1" applyBorder="1"/>
    <xf numFmtId="0" fontId="20" fillId="0" borderId="4" xfId="1" applyBorder="1"/>
    <xf numFmtId="0" fontId="20" fillId="0" borderId="0" xfId="1"/>
    <xf numFmtId="0" fontId="23" fillId="0" borderId="0" xfId="1" applyFont="1"/>
    <xf numFmtId="0" fontId="24" fillId="4" borderId="0" xfId="1" applyFont="1" applyFill="1" applyAlignment="1">
      <alignment horizontal="right"/>
    </xf>
    <xf numFmtId="182" fontId="24" fillId="4" borderId="3" xfId="1" applyNumberFormat="1" applyFont="1" applyFill="1" applyBorder="1" applyAlignment="1">
      <alignment horizontal="center"/>
    </xf>
    <xf numFmtId="14" fontId="24" fillId="4" borderId="0" xfId="1" applyNumberFormat="1" applyFont="1" applyFill="1" applyAlignment="1">
      <alignment horizontal="right"/>
    </xf>
    <xf numFmtId="0" fontId="27" fillId="0" borderId="0" xfId="1" applyFont="1"/>
    <xf numFmtId="0" fontId="30" fillId="0" borderId="0" xfId="1" applyFont="1"/>
    <xf numFmtId="26" fontId="28" fillId="0" borderId="0" xfId="1" applyNumberFormat="1" applyFont="1" applyBorder="1"/>
    <xf numFmtId="0" fontId="2" fillId="0" borderId="8" xfId="0" applyFont="1" applyBorder="1">
      <alignment vertical="center"/>
    </xf>
    <xf numFmtId="177" fontId="13" fillId="0" borderId="8" xfId="0" applyNumberFormat="1" applyFont="1" applyBorder="1">
      <alignment vertical="center"/>
    </xf>
    <xf numFmtId="177" fontId="12" fillId="0" borderId="8" xfId="0" applyNumberFormat="1" applyFont="1" applyBorder="1">
      <alignment vertical="center"/>
    </xf>
    <xf numFmtId="177" fontId="4" fillId="0" borderId="8" xfId="0" applyNumberFormat="1" applyFont="1" applyBorder="1">
      <alignment vertical="center"/>
    </xf>
    <xf numFmtId="177" fontId="11" fillId="0" borderId="8" xfId="0" applyNumberFormat="1" applyFont="1" applyBorder="1">
      <alignment vertical="center"/>
    </xf>
    <xf numFmtId="178" fontId="5" fillId="0" borderId="8" xfId="0" applyNumberFormat="1" applyFont="1" applyBorder="1">
      <alignment vertical="center"/>
    </xf>
    <xf numFmtId="177" fontId="7" fillId="0" borderId="8" xfId="0" applyNumberFormat="1" applyFont="1" applyBorder="1">
      <alignment vertical="center"/>
    </xf>
    <xf numFmtId="177" fontId="17" fillId="0" borderId="8" xfId="0" applyNumberFormat="1" applyFont="1" applyBorder="1">
      <alignment vertical="center"/>
    </xf>
    <xf numFmtId="178" fontId="2" fillId="0" borderId="8" xfId="0" applyNumberFormat="1" applyFont="1" applyBorder="1">
      <alignment vertical="center"/>
    </xf>
    <xf numFmtId="0" fontId="2" fillId="5" borderId="6" xfId="0" applyFont="1" applyFill="1" applyBorder="1" applyAlignment="1">
      <alignment horizontal="centerContinuous" vertical="center"/>
    </xf>
    <xf numFmtId="0" fontId="2" fillId="5" borderId="7" xfId="0" applyFont="1" applyFill="1" applyBorder="1" applyAlignment="1">
      <alignment horizontal="centerContinuous" vertical="center"/>
    </xf>
    <xf numFmtId="176" fontId="17" fillId="0" borderId="6" xfId="0" applyNumberFormat="1" applyFont="1" applyBorder="1" applyAlignment="1">
      <alignment horizontal="right" vertical="center"/>
    </xf>
    <xf numFmtId="176" fontId="2" fillId="0" borderId="6" xfId="0" applyNumberFormat="1" applyFont="1" applyBorder="1" applyAlignment="1">
      <alignment horizontal="right" vertical="center"/>
    </xf>
    <xf numFmtId="176" fontId="2" fillId="0" borderId="7" xfId="0" applyNumberFormat="1" applyFont="1" applyBorder="1" applyAlignment="1">
      <alignment horizontal="right" vertical="center"/>
    </xf>
    <xf numFmtId="180" fontId="2" fillId="0" borderId="6" xfId="0" applyNumberFormat="1" applyFont="1" applyBorder="1" applyAlignment="1">
      <alignment horizontal="right" vertical="center"/>
    </xf>
    <xf numFmtId="0" fontId="2" fillId="0" borderId="0" xfId="0" applyFont="1" applyAlignment="1">
      <alignment horizontal="center" vertical="center"/>
    </xf>
    <xf numFmtId="0" fontId="2" fillId="0" borderId="4" xfId="0" applyFont="1" applyBorder="1" applyAlignment="1"/>
    <xf numFmtId="0" fontId="5" fillId="0" borderId="4" xfId="0" applyFont="1" applyBorder="1" applyAlignment="1"/>
    <xf numFmtId="0" fontId="2" fillId="0" borderId="0" xfId="0" applyFont="1" applyAlignment="1"/>
    <xf numFmtId="0" fontId="5" fillId="0" borderId="0" xfId="0" applyFont="1" applyAlignment="1"/>
    <xf numFmtId="0" fontId="5" fillId="0" borderId="0" xfId="0" applyFont="1" applyAlignment="1">
      <alignment horizontal="left"/>
    </xf>
    <xf numFmtId="0" fontId="31" fillId="0" borderId="4" xfId="0" applyFont="1" applyBorder="1" applyAlignment="1"/>
    <xf numFmtId="176" fontId="2" fillId="0" borderId="5" xfId="0" applyNumberFormat="1" applyFont="1" applyBorder="1" applyAlignment="1">
      <alignment horizontal="right" vertical="center"/>
    </xf>
    <xf numFmtId="177" fontId="2" fillId="0" borderId="8" xfId="0" applyNumberFormat="1" applyFont="1" applyBorder="1">
      <alignment vertical="center"/>
    </xf>
    <xf numFmtId="177" fontId="6" fillId="0" borderId="8" xfId="0" applyNumberFormat="1" applyFont="1" applyBorder="1">
      <alignment vertical="center"/>
    </xf>
    <xf numFmtId="177" fontId="16" fillId="0" borderId="8" xfId="0" applyNumberFormat="1" applyFont="1" applyBorder="1">
      <alignment vertical="center"/>
    </xf>
    <xf numFmtId="181" fontId="19" fillId="0" borderId="8" xfId="0" applyNumberFormat="1" applyFont="1" applyBorder="1">
      <alignment vertical="center"/>
    </xf>
    <xf numFmtId="177" fontId="3" fillId="0" borderId="8" xfId="0" applyNumberFormat="1" applyFont="1" applyBorder="1">
      <alignment vertical="center"/>
    </xf>
    <xf numFmtId="0" fontId="2" fillId="0" borderId="0" xfId="0" applyFont="1" applyBorder="1">
      <alignment vertical="center"/>
    </xf>
    <xf numFmtId="177" fontId="17" fillId="0" borderId="0" xfId="0" applyNumberFormat="1" applyFont="1" applyBorder="1">
      <alignment vertical="center"/>
    </xf>
    <xf numFmtId="177" fontId="6" fillId="0" borderId="0" xfId="0" applyNumberFormat="1" applyFont="1" applyBorder="1">
      <alignment vertical="center"/>
    </xf>
    <xf numFmtId="183" fontId="32" fillId="0" borderId="0" xfId="0" applyNumberFormat="1" applyFont="1" applyFill="1" applyBorder="1" applyAlignment="1">
      <alignment horizontal="right" vertical="center"/>
    </xf>
    <xf numFmtId="184" fontId="2" fillId="0" borderId="0" xfId="0" applyNumberFormat="1" applyFont="1">
      <alignment vertical="center"/>
    </xf>
    <xf numFmtId="177" fontId="11" fillId="0" borderId="0" xfId="0" applyNumberFormat="1" applyFont="1" applyBorder="1">
      <alignment vertical="center"/>
    </xf>
    <xf numFmtId="185" fontId="2" fillId="0" borderId="0" xfId="0" applyNumberFormat="1" applyFont="1">
      <alignment vertical="center"/>
    </xf>
    <xf numFmtId="178" fontId="2" fillId="0" borderId="0" xfId="0" applyNumberFormat="1" applyFont="1" applyBorder="1">
      <alignment vertical="center"/>
    </xf>
    <xf numFmtId="186" fontId="32" fillId="0" borderId="0" xfId="0" applyNumberFormat="1" applyFont="1" applyFill="1" applyBorder="1" applyAlignment="1">
      <alignment horizontal="right" vertical="center"/>
    </xf>
    <xf numFmtId="187" fontId="32" fillId="0" borderId="0" xfId="0" applyNumberFormat="1" applyFont="1" applyFill="1" applyBorder="1" applyAlignment="1">
      <alignment horizontal="right" vertical="center"/>
    </xf>
    <xf numFmtId="187" fontId="12" fillId="0" borderId="0" xfId="0" applyNumberFormat="1" applyFont="1" applyFill="1" applyBorder="1" applyAlignment="1">
      <alignment horizontal="right" vertical="center"/>
    </xf>
    <xf numFmtId="0" fontId="15" fillId="0" borderId="0" xfId="0" applyFont="1" applyAlignment="1"/>
    <xf numFmtId="0" fontId="3" fillId="0" borderId="0" xfId="0" applyFont="1" applyAlignment="1"/>
    <xf numFmtId="0" fontId="14" fillId="0" borderId="0" xfId="0" applyFont="1" applyAlignment="1"/>
    <xf numFmtId="0" fontId="17" fillId="0" borderId="3" xfId="0" applyFont="1" applyBorder="1" applyAlignment="1">
      <alignment horizontal="center" vertical="center"/>
    </xf>
    <xf numFmtId="185" fontId="32" fillId="0" borderId="0" xfId="0" applyNumberFormat="1" applyFont="1" applyFill="1" applyBorder="1" applyAlignment="1">
      <alignment horizontal="right" vertical="center"/>
    </xf>
    <xf numFmtId="183" fontId="32" fillId="0" borderId="8" xfId="0" applyNumberFormat="1" applyFont="1" applyFill="1" applyBorder="1" applyAlignment="1">
      <alignment horizontal="right" vertical="center"/>
    </xf>
    <xf numFmtId="185" fontId="32" fillId="0" borderId="8" xfId="0" applyNumberFormat="1" applyFont="1" applyFill="1" applyBorder="1" applyAlignment="1">
      <alignment horizontal="right" vertical="center"/>
    </xf>
    <xf numFmtId="187" fontId="12" fillId="0" borderId="8" xfId="0" applyNumberFormat="1" applyFont="1" applyFill="1" applyBorder="1" applyAlignment="1">
      <alignment horizontal="right" vertical="center"/>
    </xf>
    <xf numFmtId="183" fontId="17" fillId="0" borderId="0" xfId="0" applyNumberFormat="1" applyFont="1" applyFill="1" applyBorder="1" applyAlignment="1">
      <alignment horizontal="right" vertical="center"/>
    </xf>
    <xf numFmtId="185" fontId="17" fillId="0" borderId="0" xfId="0" applyNumberFormat="1" applyFont="1" applyFill="1" applyBorder="1" applyAlignment="1">
      <alignment horizontal="right" vertical="center"/>
    </xf>
    <xf numFmtId="0" fontId="2" fillId="0" borderId="6" xfId="0" applyFont="1" applyBorder="1">
      <alignment vertical="center"/>
    </xf>
    <xf numFmtId="177" fontId="12" fillId="0" borderId="6" xfId="0" applyNumberFormat="1" applyFont="1" applyBorder="1">
      <alignment vertical="center"/>
    </xf>
    <xf numFmtId="177" fontId="12" fillId="0" borderId="7" xfId="0" applyNumberFormat="1" applyFont="1" applyBorder="1">
      <alignment vertical="center"/>
    </xf>
    <xf numFmtId="0" fontId="3" fillId="0" borderId="6" xfId="0" applyFont="1" applyBorder="1">
      <alignment vertical="center"/>
    </xf>
    <xf numFmtId="0" fontId="33" fillId="0" borderId="0" xfId="2" applyNumberFormat="1" applyFont="1" applyAlignment="1"/>
    <xf numFmtId="0" fontId="34" fillId="0" borderId="0" xfId="2" applyFont="1"/>
    <xf numFmtId="0" fontId="35" fillId="0" borderId="0" xfId="2" applyFont="1" applyAlignment="1">
      <alignment wrapText="1"/>
    </xf>
    <xf numFmtId="0" fontId="36" fillId="0" borderId="0" xfId="2" applyFont="1"/>
    <xf numFmtId="0" fontId="37" fillId="0" borderId="0" xfId="2" applyNumberFormat="1" applyFont="1" applyAlignment="1">
      <alignment horizontal="left" vertical="top"/>
    </xf>
    <xf numFmtId="49" fontId="34" fillId="0" borderId="0" xfId="2" applyNumberFormat="1" applyFont="1"/>
    <xf numFmtId="0" fontId="38" fillId="6" borderId="0" xfId="2" applyFont="1" applyFill="1" applyAlignment="1"/>
    <xf numFmtId="0" fontId="39" fillId="0" borderId="0" xfId="3" applyFont="1" applyAlignment="1"/>
    <xf numFmtId="0" fontId="40" fillId="7" borderId="0" xfId="2" applyFont="1" applyFill="1" applyAlignment="1">
      <alignment wrapText="1"/>
    </xf>
    <xf numFmtId="0" fontId="40" fillId="7" borderId="0" xfId="2" applyFont="1" applyFill="1" applyAlignment="1">
      <alignment horizontal="right" wrapText="1"/>
    </xf>
    <xf numFmtId="0" fontId="41" fillId="7" borderId="0" xfId="2" applyFont="1" applyFill="1" applyAlignment="1">
      <alignment wrapText="1"/>
    </xf>
    <xf numFmtId="0" fontId="41" fillId="7" borderId="0" xfId="2" applyFont="1" applyFill="1" applyAlignment="1">
      <alignment horizontal="right" wrapText="1"/>
    </xf>
    <xf numFmtId="0" fontId="40" fillId="0" borderId="0" xfId="2" applyFont="1" applyAlignment="1">
      <alignment horizontal="left" vertical="top"/>
    </xf>
    <xf numFmtId="0" fontId="37" fillId="0" borderId="0" xfId="2" applyFont="1" applyAlignment="1">
      <alignment horizontal="left" vertical="top"/>
    </xf>
    <xf numFmtId="188" fontId="40" fillId="0" borderId="0" xfId="2" applyNumberFormat="1" applyFont="1" applyAlignment="1">
      <alignment horizontal="right" vertical="top" wrapText="1"/>
    </xf>
    <xf numFmtId="189" fontId="40" fillId="0" borderId="0" xfId="2" applyNumberFormat="1" applyFont="1" applyAlignment="1">
      <alignment horizontal="right" vertical="top" wrapText="1"/>
    </xf>
    <xf numFmtId="0" fontId="42" fillId="0" borderId="0" xfId="2" applyFont="1" applyAlignment="1">
      <alignment horizontal="left" vertical="top"/>
    </xf>
    <xf numFmtId="49" fontId="42" fillId="0" borderId="0" xfId="2" applyNumberFormat="1" applyFont="1" applyAlignment="1">
      <alignment horizontal="right" vertical="top" wrapText="1"/>
    </xf>
    <xf numFmtId="190" fontId="42" fillId="0" borderId="0" xfId="2" applyNumberFormat="1" applyFont="1" applyAlignment="1">
      <alignment horizontal="right" vertical="top" wrapText="1"/>
    </xf>
    <xf numFmtId="191" fontId="42" fillId="0" borderId="0" xfId="2" applyNumberFormat="1" applyFont="1" applyAlignment="1">
      <alignment horizontal="right" vertical="top" wrapText="1"/>
    </xf>
    <xf numFmtId="49" fontId="37" fillId="0" borderId="0" xfId="2" applyNumberFormat="1" applyFont="1" applyAlignment="1">
      <alignment horizontal="right" vertical="top" wrapText="1"/>
    </xf>
    <xf numFmtId="188" fontId="37" fillId="0" borderId="0" xfId="2" applyNumberFormat="1" applyFont="1" applyAlignment="1">
      <alignment horizontal="right" vertical="top" wrapText="1"/>
    </xf>
    <xf numFmtId="0" fontId="34" fillId="0" borderId="0" xfId="2" applyFont="1" applyAlignment="1">
      <alignment vertical="top" wrapText="1"/>
    </xf>
    <xf numFmtId="192" fontId="37" fillId="0" borderId="0" xfId="2" applyNumberFormat="1" applyFont="1" applyAlignment="1">
      <alignment horizontal="right" vertical="top" wrapText="1"/>
    </xf>
    <xf numFmtId="0" fontId="34" fillId="0" borderId="0" xfId="2" applyFont="1" applyAlignment="1">
      <alignment horizontal="center" vertical="top" wrapText="1"/>
    </xf>
    <xf numFmtId="193" fontId="37" fillId="0" borderId="0" xfId="2" applyNumberFormat="1" applyFont="1" applyAlignment="1">
      <alignment horizontal="right" vertical="top" wrapText="1"/>
    </xf>
    <xf numFmtId="194" fontId="37" fillId="0" borderId="0" xfId="2" applyNumberFormat="1" applyFont="1" applyAlignment="1">
      <alignment horizontal="right" vertical="top" wrapText="1"/>
    </xf>
    <xf numFmtId="0" fontId="37" fillId="0" borderId="0" xfId="2" applyNumberFormat="1" applyFont="1" applyAlignment="1">
      <alignment horizontal="center" vertical="center"/>
    </xf>
    <xf numFmtId="0" fontId="37" fillId="0" borderId="0" xfId="2" applyNumberFormat="1" applyFont="1" applyAlignment="1">
      <alignment horizontal="left" vertical="center"/>
    </xf>
    <xf numFmtId="188" fontId="40" fillId="0" borderId="10" xfId="2" applyNumberFormat="1" applyFont="1" applyBorder="1" applyAlignment="1">
      <alignment horizontal="right" vertical="top" wrapText="1"/>
    </xf>
    <xf numFmtId="188" fontId="43" fillId="0" borderId="10" xfId="2" applyNumberFormat="1" applyFont="1" applyBorder="1" applyAlignment="1">
      <alignment horizontal="right" vertical="top" wrapText="1"/>
    </xf>
    <xf numFmtId="189" fontId="37" fillId="0" borderId="0" xfId="2" applyNumberFormat="1" applyFont="1" applyAlignment="1">
      <alignment horizontal="right" vertical="top" wrapText="1"/>
    </xf>
    <xf numFmtId="190" fontId="37" fillId="0" borderId="0" xfId="2" applyNumberFormat="1" applyFont="1" applyAlignment="1">
      <alignment horizontal="right" vertical="top" wrapText="1"/>
    </xf>
    <xf numFmtId="195" fontId="37" fillId="0" borderId="0" xfId="2" applyNumberFormat="1" applyFont="1" applyAlignment="1">
      <alignment horizontal="right" vertical="top" wrapText="1"/>
    </xf>
    <xf numFmtId="0" fontId="34" fillId="0" borderId="0" xfId="2" applyFont="1" applyAlignment="1">
      <alignment vertical="top"/>
    </xf>
    <xf numFmtId="0" fontId="34" fillId="0" borderId="0" xfId="2" applyFont="1" applyAlignment="1"/>
    <xf numFmtId="188" fontId="44" fillId="0" borderId="0" xfId="2" applyNumberFormat="1" applyFont="1" applyAlignment="1">
      <alignment horizontal="right" vertical="top" wrapText="1"/>
    </xf>
    <xf numFmtId="188" fontId="43" fillId="0" borderId="0" xfId="2" applyNumberFormat="1" applyFont="1" applyAlignment="1">
      <alignment horizontal="right" vertical="top" wrapText="1"/>
    </xf>
    <xf numFmtId="196" fontId="37" fillId="0" borderId="0" xfId="2" applyNumberFormat="1" applyFont="1" applyAlignment="1">
      <alignment horizontal="right" vertical="top" wrapText="1"/>
    </xf>
    <xf numFmtId="0" fontId="37" fillId="0" borderId="0" xfId="2" applyNumberFormat="1" applyFont="1" applyAlignment="1">
      <alignment horizontal="center" vertical="center" wrapText="1"/>
    </xf>
    <xf numFmtId="0" fontId="40" fillId="0" borderId="0" xfId="2" applyNumberFormat="1" applyFont="1" applyAlignment="1">
      <alignment horizontal="left"/>
    </xf>
    <xf numFmtId="0" fontId="40" fillId="0" borderId="0" xfId="2" applyNumberFormat="1" applyFont="1" applyAlignment="1">
      <alignment horizontal="right"/>
    </xf>
    <xf numFmtId="194" fontId="37" fillId="0" borderId="0" xfId="2" applyNumberFormat="1" applyFont="1" applyAlignment="1">
      <alignment horizontal="right"/>
    </xf>
    <xf numFmtId="0" fontId="40" fillId="0" borderId="0" xfId="2" applyFont="1" applyAlignment="1">
      <alignment horizontal="right"/>
    </xf>
    <xf numFmtId="194" fontId="34" fillId="0" borderId="0" xfId="2" applyNumberFormat="1" applyFont="1" applyAlignment="1">
      <alignment horizontal="right"/>
    </xf>
    <xf numFmtId="49" fontId="37" fillId="0" borderId="0" xfId="2" applyNumberFormat="1" applyFont="1" applyAlignment="1">
      <alignment horizontal="right"/>
    </xf>
    <xf numFmtId="49" fontId="34" fillId="0" borderId="0" xfId="2" applyNumberFormat="1" applyFont="1" applyAlignment="1">
      <alignment horizontal="right"/>
    </xf>
    <xf numFmtId="0" fontId="34" fillId="0" borderId="0" xfId="2" applyFont="1" applyAlignment="1">
      <alignment horizontal="left"/>
    </xf>
    <xf numFmtId="0" fontId="34" fillId="0" borderId="0" xfId="2" applyFont="1" applyAlignment="1">
      <alignment horizontal="right" wrapText="1"/>
    </xf>
    <xf numFmtId="0" fontId="34" fillId="0" borderId="0" xfId="2" applyFont="1" applyAlignment="1">
      <alignment wrapText="1"/>
    </xf>
    <xf numFmtId="0" fontId="37" fillId="0" borderId="0" xfId="2" applyFont="1" applyAlignment="1">
      <alignment vertical="top" wrapText="1"/>
    </xf>
    <xf numFmtId="190" fontId="35" fillId="0" borderId="0" xfId="2" applyNumberFormat="1" applyFont="1" applyAlignment="1">
      <alignment horizontal="right"/>
    </xf>
    <xf numFmtId="188" fontId="34" fillId="0" borderId="0" xfId="2" applyNumberFormat="1" applyFont="1" applyAlignment="1">
      <alignment horizontal="right"/>
    </xf>
    <xf numFmtId="190" fontId="41" fillId="0" borderId="0" xfId="2" applyNumberFormat="1" applyFont="1" applyAlignment="1">
      <alignment horizontal="right" vertical="top" wrapText="1"/>
    </xf>
    <xf numFmtId="190" fontId="47" fillId="0" borderId="0" xfId="2" applyNumberFormat="1" applyFont="1" applyAlignment="1">
      <alignment horizontal="right"/>
    </xf>
    <xf numFmtId="188" fontId="36" fillId="0" borderId="0" xfId="2" applyNumberFormat="1" applyFont="1" applyAlignment="1">
      <alignment horizontal="right"/>
    </xf>
    <xf numFmtId="193" fontId="34" fillId="0" borderId="0" xfId="2" applyNumberFormat="1" applyFont="1" applyAlignment="1">
      <alignment horizontal="right"/>
    </xf>
    <xf numFmtId="195" fontId="34" fillId="0" borderId="0" xfId="2" applyNumberFormat="1" applyFont="1" applyAlignment="1">
      <alignment horizontal="right"/>
    </xf>
    <xf numFmtId="197" fontId="37" fillId="0" borderId="0" xfId="2" applyNumberFormat="1" applyFont="1" applyAlignment="1">
      <alignment horizontal="center" vertical="top" wrapText="1"/>
    </xf>
    <xf numFmtId="0" fontId="37" fillId="0" borderId="0" xfId="2" applyFont="1" applyAlignment="1">
      <alignment horizontal="center" vertical="top" wrapText="1"/>
    </xf>
    <xf numFmtId="0" fontId="37" fillId="0" borderId="0" xfId="2" applyNumberFormat="1" applyFont="1" applyAlignment="1">
      <alignment horizontal="center" vertical="top" wrapText="1"/>
    </xf>
    <xf numFmtId="195" fontId="37" fillId="0" borderId="0" xfId="2" applyNumberFormat="1" applyFont="1" applyAlignment="1">
      <alignment horizontal="center" vertical="top" wrapText="1"/>
    </xf>
    <xf numFmtId="198" fontId="37" fillId="0" borderId="0" xfId="2" applyNumberFormat="1" applyFont="1" applyAlignment="1">
      <alignment horizontal="right" vertical="top" wrapText="1"/>
    </xf>
    <xf numFmtId="187" fontId="18" fillId="0" borderId="0" xfId="0" applyNumberFormat="1" applyFont="1" applyFill="1" applyBorder="1" applyAlignment="1">
      <alignment horizontal="right" vertical="center"/>
    </xf>
    <xf numFmtId="187" fontId="13" fillId="0" borderId="0" xfId="0" applyNumberFormat="1" applyFont="1" applyFill="1" applyBorder="1" applyAlignment="1">
      <alignment horizontal="right" vertical="center"/>
    </xf>
    <xf numFmtId="187" fontId="6" fillId="0" borderId="0" xfId="0" applyNumberFormat="1" applyFont="1" applyFill="1" applyBorder="1" applyAlignment="1">
      <alignment horizontal="right" vertical="center"/>
    </xf>
    <xf numFmtId="187" fontId="17" fillId="0" borderId="0" xfId="0" applyNumberFormat="1" applyFont="1" applyFill="1" applyBorder="1" applyAlignment="1">
      <alignment horizontal="right" vertical="center"/>
    </xf>
    <xf numFmtId="187" fontId="11" fillId="0" borderId="0" xfId="0" applyNumberFormat="1" applyFont="1" applyFill="1" applyBorder="1" applyAlignment="1">
      <alignment horizontal="right" vertical="center"/>
    </xf>
    <xf numFmtId="183" fontId="6" fillId="0" borderId="0" xfId="0" applyNumberFormat="1" applyFont="1" applyFill="1" applyBorder="1" applyAlignment="1">
      <alignment horizontal="right" vertical="center"/>
    </xf>
    <xf numFmtId="0" fontId="17" fillId="0" borderId="0" xfId="0" applyFont="1">
      <alignment vertical="center"/>
    </xf>
    <xf numFmtId="187" fontId="13" fillId="0" borderId="8" xfId="0" applyNumberFormat="1" applyFont="1" applyFill="1" applyBorder="1" applyAlignment="1">
      <alignment horizontal="right" vertical="center"/>
    </xf>
    <xf numFmtId="185" fontId="2" fillId="0" borderId="8" xfId="0" applyNumberFormat="1" applyFont="1" applyBorder="1">
      <alignment vertical="center"/>
    </xf>
    <xf numFmtId="187" fontId="6" fillId="0" borderId="8" xfId="0" applyNumberFormat="1" applyFont="1" applyFill="1" applyBorder="1" applyAlignment="1">
      <alignment horizontal="right" vertical="center"/>
    </xf>
    <xf numFmtId="183" fontId="6" fillId="0" borderId="8" xfId="0" applyNumberFormat="1" applyFont="1" applyFill="1" applyBorder="1" applyAlignment="1">
      <alignment horizontal="right" vertical="center"/>
    </xf>
    <xf numFmtId="187" fontId="12" fillId="0" borderId="6" xfId="0" applyNumberFormat="1" applyFont="1" applyFill="1" applyBorder="1" applyAlignment="1">
      <alignment horizontal="right" vertical="center"/>
    </xf>
    <xf numFmtId="187" fontId="12" fillId="0" borderId="7" xfId="0" applyNumberFormat="1" applyFont="1" applyFill="1" applyBorder="1" applyAlignment="1">
      <alignment horizontal="right" vertical="center"/>
    </xf>
    <xf numFmtId="187" fontId="17" fillId="0" borderId="6" xfId="0" applyNumberFormat="1" applyFont="1" applyFill="1" applyBorder="1" applyAlignment="1">
      <alignment horizontal="right" vertical="center"/>
    </xf>
    <xf numFmtId="187" fontId="11" fillId="0" borderId="8" xfId="0" applyNumberFormat="1" applyFont="1" applyFill="1" applyBorder="1" applyAlignment="1">
      <alignment horizontal="right" vertical="center"/>
    </xf>
    <xf numFmtId="187" fontId="17" fillId="0" borderId="12" xfId="0" applyNumberFormat="1" applyFont="1" applyFill="1" applyBorder="1" applyAlignment="1">
      <alignment horizontal="right" vertical="center"/>
    </xf>
    <xf numFmtId="0" fontId="3" fillId="3" borderId="11" xfId="0" applyFont="1" applyFill="1" applyBorder="1" applyAlignment="1">
      <alignment horizontal="right" vertical="center"/>
    </xf>
    <xf numFmtId="0" fontId="2" fillId="0" borderId="13" xfId="0" applyFont="1" applyBorder="1">
      <alignment vertical="center"/>
    </xf>
    <xf numFmtId="186" fontId="32" fillId="0" borderId="8" xfId="0" applyNumberFormat="1" applyFont="1" applyFill="1" applyBorder="1" applyAlignment="1">
      <alignment horizontal="right" vertical="center"/>
    </xf>
    <xf numFmtId="199" fontId="17" fillId="0" borderId="0" xfId="0" applyNumberFormat="1" applyFont="1" applyFill="1" applyBorder="1" applyAlignment="1">
      <alignment horizontal="right" vertical="center"/>
    </xf>
    <xf numFmtId="25" fontId="12" fillId="0" borderId="0" xfId="0" applyNumberFormat="1" applyFont="1" applyFill="1" applyBorder="1" applyAlignment="1">
      <alignment horizontal="right" vertical="center"/>
    </xf>
    <xf numFmtId="199" fontId="6" fillId="0" borderId="0" xfId="0" applyNumberFormat="1" applyFont="1" applyFill="1" applyBorder="1" applyAlignment="1">
      <alignment horizontal="right" vertical="center"/>
    </xf>
    <xf numFmtId="25" fontId="6" fillId="0" borderId="0" xfId="0" applyNumberFormat="1" applyFont="1" applyFill="1" applyBorder="1" applyAlignment="1">
      <alignment horizontal="right" vertical="center"/>
    </xf>
    <xf numFmtId="184" fontId="6" fillId="0" borderId="0" xfId="0" applyNumberFormat="1" applyFont="1" applyFill="1" applyBorder="1" applyAlignment="1">
      <alignment horizontal="right" vertical="center"/>
    </xf>
    <xf numFmtId="185" fontId="6" fillId="0" borderId="0" xfId="0" applyNumberFormat="1" applyFont="1" applyFill="1" applyBorder="1" applyAlignment="1">
      <alignment horizontal="right" vertical="center"/>
    </xf>
    <xf numFmtId="25" fontId="12" fillId="0" borderId="8" xfId="0" applyNumberFormat="1" applyFont="1" applyFill="1" applyBorder="1" applyAlignment="1">
      <alignment horizontal="right" vertical="center"/>
    </xf>
    <xf numFmtId="199" fontId="6" fillId="0" borderId="8" xfId="0" applyNumberFormat="1" applyFont="1" applyFill="1" applyBorder="1" applyAlignment="1">
      <alignment horizontal="right" vertical="center"/>
    </xf>
    <xf numFmtId="187" fontId="17" fillId="0" borderId="8" xfId="0" applyNumberFormat="1" applyFont="1" applyFill="1" applyBorder="1" applyAlignment="1">
      <alignment horizontal="right" vertical="center"/>
    </xf>
    <xf numFmtId="185" fontId="6" fillId="0" borderId="8" xfId="0" applyNumberFormat="1" applyFont="1" applyFill="1" applyBorder="1" applyAlignment="1">
      <alignment horizontal="right" vertical="center"/>
    </xf>
    <xf numFmtId="199" fontId="17" fillId="0" borderId="11" xfId="0" applyNumberFormat="1" applyFont="1" applyFill="1" applyBorder="1" applyAlignment="1">
      <alignment horizontal="right" vertical="center"/>
    </xf>
    <xf numFmtId="0" fontId="2" fillId="0" borderId="6" xfId="0" applyFont="1" applyBorder="1" applyAlignment="1"/>
    <xf numFmtId="187" fontId="13" fillId="0" borderId="9" xfId="0" applyNumberFormat="1" applyFont="1" applyFill="1" applyBorder="1" applyAlignment="1">
      <alignment horizontal="right" vertical="center"/>
    </xf>
    <xf numFmtId="187" fontId="6" fillId="0" borderId="6" xfId="0" applyNumberFormat="1" applyFont="1" applyFill="1" applyBorder="1" applyAlignment="1">
      <alignment horizontal="right" vertical="center"/>
    </xf>
    <xf numFmtId="187" fontId="6" fillId="0" borderId="7" xfId="0" applyNumberFormat="1" applyFont="1" applyFill="1" applyBorder="1" applyAlignment="1">
      <alignment horizontal="right" vertical="center"/>
    </xf>
    <xf numFmtId="186" fontId="6" fillId="0" borderId="0" xfId="0" applyNumberFormat="1" applyFont="1" applyFill="1" applyBorder="1" applyAlignment="1">
      <alignment horizontal="right" vertical="center"/>
    </xf>
    <xf numFmtId="177" fontId="6" fillId="3" borderId="8" xfId="0" applyNumberFormat="1" applyFont="1" applyFill="1" applyBorder="1">
      <alignment vertical="center"/>
    </xf>
    <xf numFmtId="177" fontId="17" fillId="3" borderId="0" xfId="0" applyNumberFormat="1" applyFont="1" applyFill="1">
      <alignment vertical="center"/>
    </xf>
    <xf numFmtId="178" fontId="2" fillId="3" borderId="6" xfId="0" applyNumberFormat="1" applyFont="1" applyFill="1" applyBorder="1">
      <alignment vertical="center"/>
    </xf>
    <xf numFmtId="177" fontId="4" fillId="3" borderId="6" xfId="0" applyNumberFormat="1" applyFont="1" applyFill="1" applyBorder="1">
      <alignment vertical="center"/>
    </xf>
    <xf numFmtId="177" fontId="11" fillId="3" borderId="6" xfId="0" applyNumberFormat="1" applyFont="1" applyFill="1" applyBorder="1">
      <alignment vertical="center"/>
    </xf>
    <xf numFmtId="177" fontId="17" fillId="0" borderId="6" xfId="0" applyNumberFormat="1" applyFont="1" applyBorder="1">
      <alignment vertical="center"/>
    </xf>
    <xf numFmtId="0" fontId="3" fillId="3" borderId="0" xfId="0" applyFont="1" applyFill="1">
      <alignment vertical="center"/>
    </xf>
    <xf numFmtId="187" fontId="18" fillId="0" borderId="6" xfId="0" applyNumberFormat="1" applyFont="1" applyFill="1" applyBorder="1" applyAlignment="1">
      <alignment horizontal="right" vertical="center"/>
    </xf>
    <xf numFmtId="10" fontId="37" fillId="0" borderId="0" xfId="2" applyNumberFormat="1" applyFont="1" applyAlignment="1">
      <alignment horizontal="center" vertical="top" wrapText="1"/>
    </xf>
    <xf numFmtId="185" fontId="12" fillId="0" borderId="8" xfId="0" applyNumberFormat="1" applyFont="1" applyFill="1" applyBorder="1" applyAlignment="1">
      <alignment horizontal="right" vertical="center"/>
    </xf>
    <xf numFmtId="0" fontId="3" fillId="0" borderId="8" xfId="0" applyFont="1" applyBorder="1">
      <alignment vertical="center"/>
    </xf>
    <xf numFmtId="0" fontId="2" fillId="0" borderId="7" xfId="0" applyFont="1" applyBorder="1">
      <alignment vertical="center"/>
    </xf>
    <xf numFmtId="177" fontId="17" fillId="0" borderId="7" xfId="0" applyNumberFormat="1" applyFont="1" applyBorder="1">
      <alignment vertical="center"/>
    </xf>
    <xf numFmtId="0" fontId="5" fillId="0" borderId="6" xfId="0" applyFont="1" applyBorder="1">
      <alignment vertical="center"/>
    </xf>
    <xf numFmtId="178" fontId="5" fillId="0" borderId="6" xfId="0" applyNumberFormat="1" applyFont="1" applyBorder="1">
      <alignment vertical="center"/>
    </xf>
    <xf numFmtId="178" fontId="5" fillId="0" borderId="7" xfId="0" applyNumberFormat="1" applyFont="1" applyBorder="1">
      <alignment vertical="center"/>
    </xf>
    <xf numFmtId="178" fontId="17" fillId="0" borderId="6" xfId="0" applyNumberFormat="1" applyFont="1" applyBorder="1">
      <alignment vertical="center"/>
    </xf>
    <xf numFmtId="187" fontId="2" fillId="0" borderId="0" xfId="0" applyNumberFormat="1" applyFont="1">
      <alignment vertical="center"/>
    </xf>
    <xf numFmtId="0" fontId="2" fillId="0" borderId="9" xfId="0" applyFont="1" applyBorder="1">
      <alignment vertical="center"/>
    </xf>
    <xf numFmtId="178" fontId="17" fillId="0" borderId="11" xfId="0" applyNumberFormat="1" applyFont="1" applyBorder="1" applyAlignment="1">
      <alignment horizontal="center" vertical="center"/>
    </xf>
    <xf numFmtId="0" fontId="2" fillId="0" borderId="16" xfId="0" applyFont="1" applyBorder="1">
      <alignment vertical="center"/>
    </xf>
    <xf numFmtId="178" fontId="17" fillId="0" borderId="11" xfId="0" applyNumberFormat="1" applyFont="1" applyBorder="1" applyAlignment="1">
      <alignment horizontal="right" vertical="center"/>
    </xf>
    <xf numFmtId="0" fontId="3" fillId="0" borderId="15" xfId="0" applyFont="1" applyBorder="1">
      <alignment vertical="center"/>
    </xf>
    <xf numFmtId="187" fontId="11" fillId="0" borderId="7" xfId="0" applyNumberFormat="1" applyFont="1" applyFill="1" applyBorder="1" applyAlignment="1">
      <alignment horizontal="right" vertical="center"/>
    </xf>
    <xf numFmtId="26" fontId="29" fillId="0" borderId="0" xfId="1" applyNumberFormat="1" applyFont="1" applyAlignment="1">
      <alignment horizontal="right"/>
    </xf>
    <xf numFmtId="24" fontId="25" fillId="0" borderId="0" xfId="1" applyNumberFormat="1" applyFont="1" applyBorder="1"/>
    <xf numFmtId="0" fontId="55" fillId="0" borderId="0" xfId="1" applyFont="1"/>
    <xf numFmtId="26" fontId="56" fillId="4" borderId="0" xfId="1" applyNumberFormat="1" applyFont="1" applyFill="1" applyBorder="1"/>
    <xf numFmtId="177" fontId="11" fillId="0" borderId="0" xfId="0" applyNumberFormat="1" applyFont="1" applyFill="1">
      <alignment vertical="center"/>
    </xf>
    <xf numFmtId="177" fontId="4" fillId="0" borderId="8" xfId="0" applyNumberFormat="1" applyFont="1" applyFill="1" applyBorder="1">
      <alignment vertical="center"/>
    </xf>
    <xf numFmtId="177" fontId="6" fillId="0" borderId="0" xfId="0" applyNumberFormat="1" applyFont="1" applyFill="1">
      <alignment vertical="center"/>
    </xf>
    <xf numFmtId="187" fontId="12" fillId="0" borderId="0" xfId="0" quotePrefix="1" applyNumberFormat="1" applyFont="1" applyFill="1" applyBorder="1" applyAlignment="1">
      <alignment horizontal="right" vertical="center"/>
    </xf>
    <xf numFmtId="184" fontId="4" fillId="0" borderId="0" xfId="0" applyNumberFormat="1" applyFont="1">
      <alignment vertical="center"/>
    </xf>
    <xf numFmtId="177" fontId="57" fillId="0" borderId="8" xfId="0" applyNumberFormat="1" applyFont="1" applyBorder="1">
      <alignment vertical="center"/>
    </xf>
    <xf numFmtId="177" fontId="57" fillId="0" borderId="0" xfId="0" applyNumberFormat="1" applyFont="1">
      <alignment vertical="center"/>
    </xf>
    <xf numFmtId="177" fontId="6" fillId="0" borderId="8" xfId="0" applyNumberFormat="1" applyFont="1" applyFill="1" applyBorder="1">
      <alignment vertical="center"/>
    </xf>
    <xf numFmtId="185" fontId="19" fillId="0" borderId="0" xfId="0" applyNumberFormat="1" applyFont="1">
      <alignment vertical="center"/>
    </xf>
    <xf numFmtId="177" fontId="12" fillId="0" borderId="0" xfId="0" applyNumberFormat="1" applyFont="1" applyFill="1">
      <alignment vertical="center"/>
    </xf>
    <xf numFmtId="177" fontId="17" fillId="0" borderId="0" xfId="0" applyNumberFormat="1" applyFont="1" applyFill="1">
      <alignment vertical="center"/>
    </xf>
    <xf numFmtId="178" fontId="2" fillId="0" borderId="0" xfId="0" applyNumberFormat="1" applyFont="1" applyFill="1">
      <alignment vertical="center"/>
    </xf>
    <xf numFmtId="178" fontId="2" fillId="0" borderId="8" xfId="0" applyNumberFormat="1" applyFont="1" applyFill="1" applyBorder="1">
      <alignment vertical="center"/>
    </xf>
    <xf numFmtId="178" fontId="17" fillId="0" borderId="0" xfId="0" applyNumberFormat="1" applyFont="1" applyFill="1">
      <alignment vertical="center"/>
    </xf>
    <xf numFmtId="178" fontId="17" fillId="0" borderId="8" xfId="0" applyNumberFormat="1" applyFont="1" applyFill="1" applyBorder="1">
      <alignment vertical="center"/>
    </xf>
    <xf numFmtId="186" fontId="17" fillId="0" borderId="0" xfId="0" applyNumberFormat="1" applyFont="1" applyFill="1" applyBorder="1" applyAlignment="1">
      <alignment horizontal="right" vertical="center"/>
    </xf>
    <xf numFmtId="0" fontId="2" fillId="0" borderId="1" xfId="0" applyFont="1" applyBorder="1" applyAlignment="1">
      <alignment vertical="center" wrapText="1"/>
    </xf>
    <xf numFmtId="0" fontId="2" fillId="0" borderId="0" xfId="0" applyFont="1" applyAlignment="1">
      <alignment vertical="center" wrapText="1"/>
    </xf>
    <xf numFmtId="0" fontId="32" fillId="0" borderId="0" xfId="0" applyFont="1">
      <alignment vertical="center"/>
    </xf>
    <xf numFmtId="0" fontId="2" fillId="2" borderId="0" xfId="0" applyFont="1" applyFill="1" applyAlignment="1">
      <alignment vertical="center" wrapText="1"/>
    </xf>
    <xf numFmtId="0" fontId="60" fillId="0" borderId="0" xfId="21" applyFont="1">
      <alignment vertical="center"/>
    </xf>
    <xf numFmtId="0" fontId="2" fillId="2" borderId="2" xfId="0" applyFont="1" applyFill="1" applyBorder="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9" fontId="2" fillId="2" borderId="0" xfId="0" applyNumberFormat="1"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left" vertical="center" wrapText="1"/>
    </xf>
    <xf numFmtId="0" fontId="2" fillId="0" borderId="1" xfId="0" applyFont="1" applyBorder="1" applyAlignment="1">
      <alignment horizontal="right" vertical="center" wrapText="1"/>
    </xf>
    <xf numFmtId="0" fontId="62" fillId="0" borderId="0" xfId="0" applyFont="1" applyAlignment="1">
      <alignment vertical="center" wrapText="1"/>
    </xf>
    <xf numFmtId="0" fontId="2" fillId="5" borderId="6" xfId="0" applyFont="1" applyFill="1" applyBorder="1">
      <alignment vertical="center"/>
    </xf>
    <xf numFmtId="0" fontId="2" fillId="5" borderId="6" xfId="0" applyFont="1" applyFill="1" applyBorder="1" applyAlignment="1">
      <alignment horizontal="right" vertical="center"/>
    </xf>
    <xf numFmtId="26" fontId="18" fillId="0" borderId="0" xfId="0" applyNumberFormat="1" applyFont="1">
      <alignment vertical="center"/>
    </xf>
    <xf numFmtId="3" fontId="18" fillId="0" borderId="0" xfId="0" applyNumberFormat="1" applyFont="1">
      <alignment vertical="center"/>
    </xf>
    <xf numFmtId="26" fontId="12" fillId="0" borderId="0" xfId="0" applyNumberFormat="1" applyFont="1">
      <alignment vertical="center"/>
    </xf>
    <xf numFmtId="0" fontId="2" fillId="0" borderId="0" xfId="0" applyFont="1" applyAlignment="1">
      <alignment horizontal="right" vertical="center"/>
    </xf>
    <xf numFmtId="3" fontId="2" fillId="0" borderId="0" xfId="0" applyNumberFormat="1" applyFont="1">
      <alignment vertical="center"/>
    </xf>
    <xf numFmtId="26" fontId="18" fillId="0" borderId="6" xfId="0" applyNumberFormat="1" applyFont="1" applyBorder="1">
      <alignment vertical="center"/>
    </xf>
    <xf numFmtId="0" fontId="18" fillId="0" borderId="6" xfId="0" applyFont="1" applyBorder="1">
      <alignment vertical="center"/>
    </xf>
    <xf numFmtId="0" fontId="2" fillId="0" borderId="6" xfId="0" applyFont="1" applyBorder="1" applyAlignment="1">
      <alignment horizontal="right" vertical="center"/>
    </xf>
    <xf numFmtId="3" fontId="2" fillId="0" borderId="6" xfId="0" applyNumberFormat="1" applyFont="1" applyBorder="1">
      <alignment vertical="center"/>
    </xf>
    <xf numFmtId="187" fontId="32" fillId="0" borderId="6" xfId="0" applyNumberFormat="1" applyFont="1" applyFill="1" applyBorder="1" applyAlignment="1">
      <alignment horizontal="right" vertical="center"/>
    </xf>
    <xf numFmtId="187" fontId="2" fillId="0" borderId="6" xfId="0" applyNumberFormat="1" applyFont="1" applyBorder="1">
      <alignment vertical="center"/>
    </xf>
    <xf numFmtId="0" fontId="3" fillId="0" borderId="0" xfId="0" applyFont="1" applyAlignment="1">
      <alignment horizontal="right" vertical="center"/>
    </xf>
    <xf numFmtId="187" fontId="3" fillId="0" borderId="0" xfId="0" applyNumberFormat="1" applyFont="1">
      <alignment vertical="center"/>
    </xf>
    <xf numFmtId="3" fontId="2" fillId="2" borderId="2" xfId="0" applyNumberFormat="1" applyFont="1" applyFill="1" applyBorder="1" applyAlignment="1">
      <alignment vertical="center" wrapText="1"/>
    </xf>
    <xf numFmtId="3" fontId="2" fillId="2" borderId="14" xfId="0" applyNumberFormat="1" applyFont="1" applyFill="1" applyBorder="1" applyAlignment="1">
      <alignment vertical="center" wrapText="1"/>
    </xf>
    <xf numFmtId="0" fontId="5" fillId="0" borderId="0" xfId="0" applyFont="1" applyAlignment="1">
      <alignment vertical="center" wrapText="1"/>
    </xf>
    <xf numFmtId="3" fontId="17" fillId="0" borderId="0" xfId="0" applyNumberFormat="1" applyFont="1">
      <alignment vertical="center"/>
    </xf>
    <xf numFmtId="0" fontId="63" fillId="2" borderId="0" xfId="0" applyFont="1" applyFill="1" applyAlignment="1">
      <alignment horizontal="left" vertical="center" wrapText="1"/>
    </xf>
    <xf numFmtId="0" fontId="2" fillId="0" borderId="0" xfId="0" applyFont="1" applyAlignment="1">
      <alignment horizontal="left" vertical="center"/>
    </xf>
    <xf numFmtId="0" fontId="32" fillId="0" borderId="0" xfId="0" applyFont="1" applyAlignment="1">
      <alignment horizontal="left" vertical="center"/>
    </xf>
    <xf numFmtId="0" fontId="5" fillId="0" borderId="0" xfId="0" applyFont="1" applyAlignment="1">
      <alignment horizontal="left" vertical="center"/>
    </xf>
    <xf numFmtId="0" fontId="64" fillId="10" borderId="0" xfId="0" applyFont="1" applyFill="1">
      <alignment vertical="center"/>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Border="1" applyAlignment="1">
      <alignment vertical="center" wrapText="1"/>
    </xf>
    <xf numFmtId="0" fontId="2" fillId="2" borderId="0" xfId="0" applyFont="1" applyFill="1" applyBorder="1" applyAlignment="1">
      <alignment horizontal="right" vertical="center" wrapText="1"/>
    </xf>
    <xf numFmtId="0" fontId="2" fillId="2" borderId="0" xfId="0" applyFont="1" applyFill="1" applyBorder="1" applyAlignment="1">
      <alignment horizontal="left" vertical="center" wrapText="1"/>
    </xf>
    <xf numFmtId="0" fontId="2" fillId="0" borderId="1" xfId="0" applyFont="1" applyBorder="1" applyAlignment="1">
      <alignment horizontal="left" vertical="center" wrapText="1"/>
    </xf>
    <xf numFmtId="3" fontId="2" fillId="2" borderId="0" xfId="0" applyNumberFormat="1" applyFont="1" applyFill="1" applyBorder="1" applyAlignment="1">
      <alignment vertical="center" wrapText="1"/>
    </xf>
    <xf numFmtId="3" fontId="2" fillId="0" borderId="0" xfId="0" applyNumberFormat="1" applyFont="1" applyAlignment="1">
      <alignment vertical="center" wrapText="1"/>
    </xf>
    <xf numFmtId="3" fontId="2" fillId="2" borderId="0" xfId="0" applyNumberFormat="1" applyFont="1" applyFill="1" applyAlignment="1">
      <alignment vertical="center" wrapText="1"/>
    </xf>
    <xf numFmtId="200" fontId="6" fillId="0" borderId="0" xfId="0" applyNumberFormat="1" applyFont="1" applyFill="1" applyBorder="1" applyAlignment="1">
      <alignment horizontal="right" vertical="center"/>
    </xf>
    <xf numFmtId="0" fontId="2" fillId="5" borderId="17" xfId="0" applyFont="1" applyFill="1" applyBorder="1">
      <alignment vertical="center"/>
    </xf>
    <xf numFmtId="0" fontId="2" fillId="5" borderId="18" xfId="0" applyFont="1" applyFill="1" applyBorder="1">
      <alignment vertical="center"/>
    </xf>
    <xf numFmtId="187" fontId="6" fillId="5" borderId="5" xfId="0" applyNumberFormat="1" applyFont="1" applyFill="1" applyBorder="1" applyAlignment="1">
      <alignment horizontal="right" vertical="center"/>
    </xf>
    <xf numFmtId="0" fontId="2" fillId="0" borderId="0" xfId="0" applyFont="1" applyFill="1" applyBorder="1">
      <alignment vertical="center"/>
    </xf>
    <xf numFmtId="0" fontId="14" fillId="0" borderId="0" xfId="0" applyFont="1" applyFill="1" applyBorder="1">
      <alignment vertical="center"/>
    </xf>
    <xf numFmtId="0" fontId="6" fillId="0" borderId="0" xfId="0" applyFont="1">
      <alignment vertical="center"/>
    </xf>
    <xf numFmtId="0" fontId="2" fillId="0" borderId="0" xfId="0" applyFont="1" applyFill="1" applyAlignment="1"/>
    <xf numFmtId="187" fontId="6" fillId="0" borderId="0" xfId="0" quotePrefix="1" applyNumberFormat="1" applyFont="1" applyFill="1" applyBorder="1" applyAlignment="1">
      <alignment horizontal="left" vertical="center"/>
    </xf>
    <xf numFmtId="0" fontId="20" fillId="3" borderId="19" xfId="1" applyFill="1" applyBorder="1"/>
    <xf numFmtId="0" fontId="20" fillId="3" borderId="20" xfId="1" applyFill="1" applyBorder="1"/>
    <xf numFmtId="0" fontId="20" fillId="3" borderId="13" xfId="1" applyFill="1" applyBorder="1"/>
    <xf numFmtId="0" fontId="20" fillId="3" borderId="16" xfId="1" applyFill="1" applyBorder="1"/>
    <xf numFmtId="0" fontId="20" fillId="3" borderId="0" xfId="1" applyFill="1" applyBorder="1"/>
    <xf numFmtId="0" fontId="20" fillId="3" borderId="8" xfId="1" applyFill="1" applyBorder="1"/>
    <xf numFmtId="0" fontId="20" fillId="3" borderId="15" xfId="1" applyFill="1" applyBorder="1"/>
    <xf numFmtId="0" fontId="20" fillId="3" borderId="6" xfId="1" applyFill="1" applyBorder="1"/>
    <xf numFmtId="0" fontId="20" fillId="3" borderId="7" xfId="1" applyFill="1" applyBorder="1"/>
    <xf numFmtId="0" fontId="65" fillId="0" borderId="0" xfId="0" applyFont="1" applyAlignment="1"/>
    <xf numFmtId="0" fontId="40" fillId="4" borderId="0" xfId="2" applyFont="1" applyFill="1" applyAlignment="1">
      <alignment wrapText="1"/>
    </xf>
    <xf numFmtId="0" fontId="40" fillId="4" borderId="0" xfId="2" applyFont="1" applyFill="1" applyAlignment="1">
      <alignment horizontal="right" wrapText="1"/>
    </xf>
    <xf numFmtId="0" fontId="41" fillId="4" borderId="0" xfId="2" applyFont="1" applyFill="1" applyAlignment="1">
      <alignment wrapText="1"/>
    </xf>
    <xf numFmtId="0" fontId="41" fillId="4" borderId="0" xfId="2" applyFont="1" applyFill="1" applyAlignment="1">
      <alignment horizontal="right" wrapText="1"/>
    </xf>
    <xf numFmtId="195" fontId="40" fillId="4" borderId="0" xfId="2" applyNumberFormat="1" applyFont="1" applyFill="1" applyAlignment="1">
      <alignment horizontal="right" wrapText="1"/>
    </xf>
    <xf numFmtId="0" fontId="46" fillId="4" borderId="0" xfId="2" applyNumberFormat="1" applyFont="1" applyFill="1" applyAlignment="1">
      <alignment horizontal="right"/>
    </xf>
    <xf numFmtId="0" fontId="40" fillId="4" borderId="0" xfId="2" applyNumberFormat="1" applyFont="1" applyFill="1" applyAlignment="1">
      <alignment horizontal="right"/>
    </xf>
    <xf numFmtId="195" fontId="40" fillId="4" borderId="0" xfId="2" applyNumberFormat="1" applyFont="1" applyFill="1" applyAlignment="1">
      <alignment horizontal="right"/>
    </xf>
    <xf numFmtId="0" fontId="40" fillId="4" borderId="0" xfId="2" applyNumberFormat="1" applyFont="1" applyFill="1" applyAlignment="1">
      <alignment horizontal="left"/>
    </xf>
    <xf numFmtId="0" fontId="45" fillId="4" borderId="0" xfId="2" applyNumberFormat="1" applyFont="1" applyFill="1" applyAlignment="1">
      <alignment horizontal="left"/>
    </xf>
    <xf numFmtId="0" fontId="47" fillId="4" borderId="0" xfId="2" applyFont="1" applyFill="1" applyAlignment="1">
      <alignment horizontal="right" wrapText="1"/>
    </xf>
    <xf numFmtId="0" fontId="36" fillId="4" borderId="0" xfId="2" applyFont="1" applyFill="1" applyAlignment="1">
      <alignment horizontal="right" wrapText="1"/>
    </xf>
    <xf numFmtId="0" fontId="38" fillId="6" borderId="0" xfId="2" applyFont="1" applyFill="1" applyBorder="1" applyAlignment="1"/>
    <xf numFmtId="0" fontId="47" fillId="4" borderId="0" xfId="2" applyFont="1" applyFill="1" applyBorder="1" applyAlignment="1">
      <alignment horizontal="right" wrapText="1"/>
    </xf>
    <xf numFmtId="0" fontId="36" fillId="4" borderId="0" xfId="2" applyFont="1" applyFill="1" applyBorder="1" applyAlignment="1">
      <alignment horizontal="right" wrapText="1"/>
    </xf>
    <xf numFmtId="0" fontId="46" fillId="4" borderId="0" xfId="2" applyNumberFormat="1" applyFont="1" applyFill="1" applyAlignment="1">
      <alignment horizontal="left" wrapText="1"/>
    </xf>
    <xf numFmtId="0" fontId="46" fillId="4" borderId="0" xfId="2" applyNumberFormat="1" applyFont="1" applyFill="1" applyAlignment="1">
      <alignment wrapText="1"/>
    </xf>
    <xf numFmtId="0" fontId="11" fillId="0" borderId="0" xfId="22" applyFont="1"/>
    <xf numFmtId="1" fontId="67" fillId="0" borderId="21" xfId="22" applyNumberFormat="1" applyFont="1" applyBorder="1" applyAlignment="1">
      <alignment horizontal="center"/>
    </xf>
    <xf numFmtId="0" fontId="11" fillId="0" borderId="0" xfId="22" applyFont="1" applyAlignment="1">
      <alignment horizontal="right"/>
    </xf>
    <xf numFmtId="0" fontId="67" fillId="0" borderId="21" xfId="22" applyNumberFormat="1" applyFont="1" applyBorder="1" applyAlignment="1">
      <alignment horizontal="center"/>
    </xf>
    <xf numFmtId="0" fontId="66" fillId="0" borderId="0" xfId="22"/>
    <xf numFmtId="14" fontId="67" fillId="0" borderId="21" xfId="22" applyNumberFormat="1" applyFont="1" applyBorder="1" applyAlignment="1">
      <alignment horizontal="center"/>
    </xf>
    <xf numFmtId="0" fontId="68" fillId="0" borderId="0" xfId="22" applyFont="1"/>
    <xf numFmtId="0" fontId="6" fillId="0" borderId="0" xfId="22" applyFont="1"/>
    <xf numFmtId="0" fontId="48" fillId="0" borderId="0" xfId="22" applyFont="1"/>
    <xf numFmtId="0" fontId="6" fillId="0" borderId="0" xfId="22" applyFont="1" applyBorder="1"/>
    <xf numFmtId="0" fontId="72" fillId="11" borderId="0" xfId="24" applyFont="1" applyFill="1" applyBorder="1" applyAlignment="1"/>
    <xf numFmtId="0" fontId="73" fillId="11" borderId="0" xfId="22" applyFont="1" applyFill="1" applyBorder="1"/>
    <xf numFmtId="0" fontId="48" fillId="0" borderId="0" xfId="22" applyFont="1" applyBorder="1"/>
    <xf numFmtId="0" fontId="74" fillId="0" borderId="0" xfId="22" applyFont="1"/>
    <xf numFmtId="0" fontId="48" fillId="0" borderId="0" xfId="22" applyFont="1" applyBorder="1" applyAlignment="1">
      <alignment horizontal="center"/>
    </xf>
    <xf numFmtId="0" fontId="19" fillId="0" borderId="0" xfId="22" applyFont="1"/>
    <xf numFmtId="0" fontId="6" fillId="0" borderId="0" xfId="22" quotePrefix="1" applyFont="1" applyBorder="1"/>
    <xf numFmtId="203" fontId="48" fillId="0" borderId="0" xfId="25" applyNumberFormat="1" applyFont="1" applyBorder="1"/>
    <xf numFmtId="0" fontId="75" fillId="12" borderId="0" xfId="22" applyFont="1" applyFill="1" applyBorder="1" applyAlignment="1">
      <alignment vertical="center"/>
    </xf>
    <xf numFmtId="0" fontId="51" fillId="12" borderId="0" xfId="22" applyFont="1" applyFill="1" applyBorder="1"/>
    <xf numFmtId="0" fontId="73" fillId="12" borderId="0" xfId="22" applyFont="1" applyFill="1" applyBorder="1"/>
    <xf numFmtId="0" fontId="76" fillId="0" borderId="0" xfId="22" applyFont="1"/>
    <xf numFmtId="0" fontId="77" fillId="0" borderId="0" xfId="22" applyFont="1"/>
    <xf numFmtId="178" fontId="78" fillId="0" borderId="0" xfId="22" applyNumberFormat="1" applyFont="1" applyBorder="1" applyAlignment="1">
      <alignment horizontal="right"/>
    </xf>
    <xf numFmtId="0" fontId="11" fillId="0" borderId="6" xfId="22" applyFont="1" applyBorder="1" applyAlignment="1">
      <alignment horizontal="center"/>
    </xf>
    <xf numFmtId="0" fontId="11" fillId="0" borderId="6" xfId="22" applyFont="1" applyBorder="1" applyAlignment="1">
      <alignment horizontal="left"/>
    </xf>
    <xf numFmtId="0" fontId="11" fillId="0" borderId="6" xfId="22" applyFont="1" applyBorder="1" applyAlignment="1">
      <alignment horizontal="right"/>
    </xf>
    <xf numFmtId="204" fontId="77" fillId="0" borderId="0" xfId="22" applyNumberFormat="1" applyFont="1"/>
    <xf numFmtId="178" fontId="6" fillId="0" borderId="0" xfId="22" applyNumberFormat="1" applyFont="1"/>
    <xf numFmtId="10" fontId="79" fillId="0" borderId="0" xfId="22" applyNumberFormat="1" applyFont="1" applyBorder="1" applyAlignment="1">
      <alignment horizontal="right"/>
    </xf>
    <xf numFmtId="0" fontId="77" fillId="0" borderId="0" xfId="26" applyNumberFormat="1" applyFont="1" applyFill="1" applyBorder="1" applyAlignment="1"/>
    <xf numFmtId="0" fontId="77" fillId="0" borderId="0" xfId="22" applyNumberFormat="1" applyFont="1" applyFill="1" applyAlignment="1">
      <alignment horizontal="left"/>
    </xf>
    <xf numFmtId="185" fontId="79" fillId="0" borderId="0" xfId="22" applyNumberFormat="1" applyFont="1" applyFill="1" applyAlignment="1">
      <alignment horizontal="right"/>
    </xf>
    <xf numFmtId="206" fontId="77" fillId="0" borderId="0" xfId="22" applyNumberFormat="1" applyFont="1" applyFill="1" applyAlignment="1">
      <alignment horizontal="right"/>
    </xf>
    <xf numFmtId="207" fontId="77" fillId="0" borderId="0" xfId="22" applyNumberFormat="1" applyFont="1" applyFill="1" applyAlignment="1">
      <alignment horizontal="right"/>
    </xf>
    <xf numFmtId="178" fontId="6" fillId="0" borderId="0" xfId="25" applyNumberFormat="1" applyFont="1" applyAlignment="1">
      <alignment horizontal="right"/>
    </xf>
    <xf numFmtId="206" fontId="6" fillId="0" borderId="0" xfId="22" applyNumberFormat="1" applyFont="1" applyAlignment="1">
      <alignment horizontal="right"/>
    </xf>
    <xf numFmtId="0" fontId="73" fillId="0" borderId="0" xfId="22" applyFont="1" applyAlignment="1">
      <alignment horizontal="left"/>
    </xf>
    <xf numFmtId="178" fontId="6" fillId="0" borderId="0" xfId="22" applyNumberFormat="1" applyFont="1" applyBorder="1" applyAlignment="1">
      <alignment horizontal="right"/>
    </xf>
    <xf numFmtId="30" fontId="77" fillId="0" borderId="0" xfId="22" applyNumberFormat="1" applyFont="1" applyFill="1"/>
    <xf numFmtId="208" fontId="67" fillId="0" borderId="0" xfId="26" applyNumberFormat="1" applyFont="1" applyFill="1" applyBorder="1"/>
    <xf numFmtId="206" fontId="77" fillId="0" borderId="0" xfId="22" applyNumberFormat="1" applyFont="1"/>
    <xf numFmtId="207" fontId="77" fillId="0" borderId="0" xfId="22" applyNumberFormat="1" applyFont="1"/>
    <xf numFmtId="178" fontId="6" fillId="0" borderId="0" xfId="25" applyNumberFormat="1" applyFont="1"/>
    <xf numFmtId="206" fontId="6" fillId="0" borderId="0" xfId="22" applyNumberFormat="1" applyFont="1"/>
    <xf numFmtId="30" fontId="48" fillId="0" borderId="0" xfId="22" applyNumberFormat="1" applyFont="1"/>
    <xf numFmtId="0" fontId="6" fillId="0" borderId="0" xfId="22" applyFont="1" applyBorder="1" applyAlignment="1">
      <alignment horizontal="left" indent="1"/>
    </xf>
    <xf numFmtId="0" fontId="11" fillId="0" borderId="17" xfId="22" applyNumberFormat="1" applyFont="1" applyBorder="1"/>
    <xf numFmtId="0" fontId="6" fillId="0" borderId="18" xfId="22" applyFont="1" applyBorder="1"/>
    <xf numFmtId="0" fontId="11" fillId="0" borderId="18" xfId="22" applyFont="1" applyBorder="1"/>
    <xf numFmtId="206" fontId="11" fillId="0" borderId="18" xfId="27" applyNumberFormat="1" applyFont="1" applyBorder="1"/>
    <xf numFmtId="178" fontId="11" fillId="0" borderId="18" xfId="25" applyNumberFormat="1" applyFont="1" applyBorder="1"/>
    <xf numFmtId="206" fontId="11" fillId="0" borderId="5" xfId="22" applyNumberFormat="1" applyFont="1" applyBorder="1"/>
    <xf numFmtId="209" fontId="6" fillId="0" borderId="0" xfId="22" applyNumberFormat="1" applyFont="1"/>
    <xf numFmtId="178" fontId="80" fillId="0" borderId="0" xfId="22" applyNumberFormat="1" applyFont="1" applyBorder="1" applyAlignment="1">
      <alignment horizontal="right"/>
    </xf>
    <xf numFmtId="0" fontId="81" fillId="0" borderId="0" xfId="22" applyFont="1" applyAlignment="1">
      <alignment horizontal="center"/>
    </xf>
    <xf numFmtId="0" fontId="6" fillId="0" borderId="6" xfId="22" applyFont="1" applyBorder="1"/>
    <xf numFmtId="178" fontId="78" fillId="0" borderId="6" xfId="22" applyNumberFormat="1" applyFont="1" applyBorder="1" applyAlignment="1">
      <alignment horizontal="right"/>
    </xf>
    <xf numFmtId="0" fontId="6" fillId="0" borderId="0" xfId="22" applyNumberFormat="1" applyFont="1"/>
    <xf numFmtId="0" fontId="81" fillId="0" borderId="11" xfId="22" applyFont="1" applyBorder="1" applyAlignment="1">
      <alignment horizontal="center"/>
    </xf>
    <xf numFmtId="2" fontId="6" fillId="0" borderId="0" xfId="22" applyNumberFormat="1" applyFont="1"/>
    <xf numFmtId="2" fontId="77" fillId="0" borderId="0" xfId="22" applyNumberFormat="1" applyFont="1"/>
    <xf numFmtId="0" fontId="81" fillId="0" borderId="27" xfId="22" applyNumberFormat="1" applyFont="1" applyBorder="1" applyAlignment="1">
      <alignment horizontal="center"/>
    </xf>
    <xf numFmtId="0" fontId="11" fillId="0" borderId="17" xfId="22" applyFont="1" applyFill="1" applyBorder="1"/>
    <xf numFmtId="0" fontId="6" fillId="0" borderId="18" xfId="22" applyFont="1" applyFill="1" applyBorder="1"/>
    <xf numFmtId="37" fontId="82" fillId="0" borderId="18" xfId="22" applyNumberFormat="1" applyFont="1" applyFill="1" applyBorder="1" applyAlignment="1">
      <alignment horizontal="left"/>
    </xf>
    <xf numFmtId="206" fontId="11" fillId="0" borderId="5" xfId="22" applyNumberFormat="1" applyFont="1" applyFill="1" applyBorder="1"/>
    <xf numFmtId="203" fontId="6" fillId="0" borderId="0" xfId="25" applyNumberFormat="1" applyFont="1" applyAlignment="1">
      <alignment horizontal="left"/>
    </xf>
    <xf numFmtId="0" fontId="6" fillId="0" borderId="0" xfId="22" applyFont="1" applyAlignment="1">
      <alignment horizontal="right"/>
    </xf>
    <xf numFmtId="0" fontId="75" fillId="12" borderId="17" xfId="22" applyFont="1" applyFill="1" applyBorder="1" applyAlignment="1">
      <alignment vertical="center"/>
    </xf>
    <xf numFmtId="0" fontId="51" fillId="12" borderId="18" xfId="22" applyFont="1" applyFill="1" applyBorder="1"/>
    <xf numFmtId="0" fontId="73" fillId="12" borderId="18" xfId="22" applyFont="1" applyFill="1" applyBorder="1"/>
    <xf numFmtId="0" fontId="73" fillId="12" borderId="5" xfId="22" applyFont="1" applyFill="1" applyBorder="1"/>
    <xf numFmtId="0" fontId="17" fillId="0" borderId="25" xfId="22" applyFont="1" applyBorder="1"/>
    <xf numFmtId="0" fontId="17" fillId="0" borderId="29" xfId="22" applyFont="1" applyBorder="1" applyAlignment="1"/>
    <xf numFmtId="0" fontId="17" fillId="0" borderId="30" xfId="22" applyFont="1" applyBorder="1" applyAlignment="1">
      <alignment horizontal="right"/>
    </xf>
    <xf numFmtId="0" fontId="17" fillId="0" borderId="0" xfId="22" applyFont="1" applyAlignment="1"/>
    <xf numFmtId="0" fontId="6" fillId="0" borderId="16" xfId="22" applyFont="1" applyBorder="1"/>
    <xf numFmtId="0" fontId="6" fillId="0" borderId="8" xfId="22" applyFont="1" applyBorder="1"/>
    <xf numFmtId="0" fontId="11" fillId="0" borderId="16" xfId="22" applyFont="1" applyBorder="1" applyAlignment="1">
      <alignment horizontal="center"/>
    </xf>
    <xf numFmtId="0" fontId="11" fillId="0" borderId="6" xfId="22" applyFont="1" applyBorder="1" applyAlignment="1">
      <alignment horizontal="centerContinuous"/>
    </xf>
    <xf numFmtId="0" fontId="6" fillId="0" borderId="6" xfId="22" applyFont="1" applyBorder="1" applyAlignment="1">
      <alignment horizontal="centerContinuous"/>
    </xf>
    <xf numFmtId="0" fontId="6" fillId="0" borderId="7" xfId="22" applyFont="1" applyBorder="1" applyAlignment="1">
      <alignment horizontal="centerContinuous"/>
    </xf>
    <xf numFmtId="178" fontId="70" fillId="0" borderId="16" xfId="22" applyNumberFormat="1" applyFont="1" applyBorder="1" applyAlignment="1">
      <alignment horizontal="right"/>
    </xf>
    <xf numFmtId="10" fontId="67" fillId="0" borderId="18" xfId="22" applyNumberFormat="1" applyFont="1" applyBorder="1" applyAlignment="1">
      <alignment horizontal="center"/>
    </xf>
    <xf numFmtId="10" fontId="11" fillId="0" borderId="18" xfId="22" applyNumberFormat="1" applyFont="1" applyBorder="1" applyAlignment="1">
      <alignment horizontal="center"/>
    </xf>
    <xf numFmtId="10" fontId="11" fillId="0" borderId="5" xfId="22" applyNumberFormat="1" applyFont="1" applyBorder="1" applyAlignment="1">
      <alignment horizontal="center"/>
    </xf>
    <xf numFmtId="178" fontId="11" fillId="0" borderId="16" xfId="22" applyNumberFormat="1" applyFont="1" applyBorder="1" applyAlignment="1">
      <alignment horizontal="right"/>
    </xf>
    <xf numFmtId="178" fontId="6" fillId="0" borderId="0" xfId="22" applyNumberFormat="1" applyFont="1" applyBorder="1" applyAlignment="1">
      <alignment horizontal="center"/>
    </xf>
    <xf numFmtId="178" fontId="6" fillId="0" borderId="8" xfId="22" applyNumberFormat="1" applyFont="1" applyBorder="1" applyAlignment="1">
      <alignment horizontal="center"/>
    </xf>
    <xf numFmtId="206" fontId="6" fillId="0" borderId="6" xfId="22" applyNumberFormat="1" applyFont="1" applyBorder="1"/>
    <xf numFmtId="203" fontId="81" fillId="0" borderId="31" xfId="22" applyNumberFormat="1" applyFont="1" applyBorder="1" applyAlignment="1">
      <alignment horizontal="center"/>
    </xf>
    <xf numFmtId="178" fontId="16" fillId="0" borderId="16" xfId="22" applyNumberFormat="1" applyFont="1" applyBorder="1" applyAlignment="1">
      <alignment horizontal="right"/>
    </xf>
    <xf numFmtId="203" fontId="81" fillId="0" borderId="11" xfId="22" applyNumberFormat="1" applyFont="1" applyBorder="1" applyAlignment="1">
      <alignment horizontal="center"/>
    </xf>
    <xf numFmtId="203" fontId="81" fillId="0" borderId="12" xfId="22" applyNumberFormat="1" applyFont="1" applyBorder="1" applyAlignment="1">
      <alignment horizontal="center"/>
    </xf>
    <xf numFmtId="178" fontId="6" fillId="0" borderId="6" xfId="22" applyNumberFormat="1" applyFont="1" applyBorder="1"/>
    <xf numFmtId="178" fontId="11" fillId="0" borderId="0" xfId="22" applyNumberFormat="1" applyFont="1"/>
    <xf numFmtId="0" fontId="6" fillId="0" borderId="15" xfId="22" applyFont="1" applyBorder="1"/>
    <xf numFmtId="205" fontId="6" fillId="0" borderId="6" xfId="26" applyFont="1" applyBorder="1"/>
    <xf numFmtId="0" fontId="6" fillId="0" borderId="7" xfId="22" applyFont="1" applyBorder="1"/>
    <xf numFmtId="0" fontId="6" fillId="0" borderId="16" xfId="22" applyFont="1" applyFill="1" applyBorder="1"/>
    <xf numFmtId="0" fontId="6" fillId="0" borderId="0" xfId="22" applyFont="1" applyFill="1" applyBorder="1"/>
    <xf numFmtId="0" fontId="6" fillId="0" borderId="8" xfId="22" applyFont="1" applyFill="1" applyBorder="1"/>
    <xf numFmtId="0" fontId="11" fillId="0" borderId="16" xfId="22" applyFont="1" applyFill="1" applyBorder="1" applyAlignment="1">
      <alignment horizontal="center"/>
    </xf>
    <xf numFmtId="0" fontId="11" fillId="0" borderId="6" xfId="22" applyFont="1" applyFill="1" applyBorder="1" applyAlignment="1">
      <alignment horizontal="centerContinuous"/>
    </xf>
    <xf numFmtId="0" fontId="6" fillId="0" borderId="6" xfId="22" applyFont="1" applyFill="1" applyBorder="1" applyAlignment="1">
      <alignment horizontal="centerContinuous"/>
    </xf>
    <xf numFmtId="0" fontId="6" fillId="0" borderId="7" xfId="22" applyFont="1" applyFill="1" applyBorder="1" applyAlignment="1">
      <alignment horizontal="centerContinuous"/>
    </xf>
    <xf numFmtId="10" fontId="76" fillId="0" borderId="18" xfId="22" applyNumberFormat="1" applyFont="1" applyFill="1" applyBorder="1" applyAlignment="1">
      <alignment horizontal="centerContinuous"/>
    </xf>
    <xf numFmtId="10" fontId="11" fillId="0" borderId="18" xfId="22" applyNumberFormat="1" applyFont="1" applyFill="1" applyBorder="1" applyAlignment="1">
      <alignment horizontal="centerContinuous"/>
    </xf>
    <xf numFmtId="10" fontId="16" fillId="0" borderId="18" xfId="22" applyNumberFormat="1" applyFont="1" applyFill="1" applyBorder="1" applyAlignment="1">
      <alignment horizontal="centerContinuous"/>
    </xf>
    <xf numFmtId="10" fontId="11" fillId="0" borderId="5" xfId="22" applyNumberFormat="1" applyFont="1" applyFill="1" applyBorder="1" applyAlignment="1">
      <alignment horizontal="centerContinuous"/>
    </xf>
    <xf numFmtId="178" fontId="11" fillId="0" borderId="16" xfId="22" applyNumberFormat="1" applyFont="1" applyFill="1" applyBorder="1" applyAlignment="1">
      <alignment horizontal="right"/>
    </xf>
    <xf numFmtId="178" fontId="6" fillId="0" borderId="0" xfId="22" applyNumberFormat="1" applyFont="1" applyFill="1" applyBorder="1" applyAlignment="1">
      <alignment horizontal="centerContinuous"/>
    </xf>
    <xf numFmtId="178" fontId="6" fillId="0" borderId="8" xfId="22" applyNumberFormat="1" applyFont="1" applyFill="1" applyBorder="1" applyAlignment="1">
      <alignment horizontal="centerContinuous"/>
    </xf>
    <xf numFmtId="178" fontId="6" fillId="0" borderId="0" xfId="22" applyNumberFormat="1" applyFont="1" applyBorder="1"/>
    <xf numFmtId="178" fontId="16" fillId="0" borderId="16" xfId="22" applyNumberFormat="1" applyFont="1" applyFill="1" applyBorder="1" applyAlignment="1">
      <alignment horizontal="right"/>
    </xf>
    <xf numFmtId="178" fontId="6" fillId="0" borderId="18" xfId="22" applyNumberFormat="1" applyFont="1" applyBorder="1"/>
    <xf numFmtId="0" fontId="11" fillId="13" borderId="32" xfId="22" applyFont="1" applyFill="1" applyBorder="1"/>
    <xf numFmtId="0" fontId="6" fillId="13" borderId="33" xfId="22" applyFont="1" applyFill="1" applyBorder="1"/>
    <xf numFmtId="178" fontId="11" fillId="13" borderId="34" xfId="22" applyNumberFormat="1" applyFont="1" applyFill="1" applyBorder="1"/>
    <xf numFmtId="0" fontId="6" fillId="0" borderId="15" xfId="22" applyFont="1" applyFill="1" applyBorder="1"/>
    <xf numFmtId="0" fontId="6" fillId="0" borderId="6" xfId="22" applyFont="1" applyFill="1" applyBorder="1"/>
    <xf numFmtId="0" fontId="6" fillId="0" borderId="7" xfId="22" applyFont="1" applyFill="1" applyBorder="1"/>
    <xf numFmtId="0" fontId="6" fillId="0" borderId="0" xfId="28" applyFont="1"/>
    <xf numFmtId="0" fontId="19" fillId="0" borderId="0" xfId="28" applyFont="1"/>
    <xf numFmtId="0" fontId="73" fillId="0" borderId="0" xfId="22" applyFont="1"/>
    <xf numFmtId="178" fontId="6" fillId="19" borderId="19" xfId="22" applyNumberFormat="1" applyFont="1" applyFill="1" applyBorder="1" applyAlignment="1">
      <alignment horizontal="centerContinuous"/>
    </xf>
    <xf numFmtId="178" fontId="6" fillId="19" borderId="20" xfId="22" applyNumberFormat="1" applyFont="1" applyFill="1" applyBorder="1" applyAlignment="1">
      <alignment horizontal="centerContinuous"/>
    </xf>
    <xf numFmtId="178" fontId="6" fillId="19" borderId="13" xfId="22" applyNumberFormat="1" applyFont="1" applyFill="1" applyBorder="1" applyAlignment="1">
      <alignment horizontal="centerContinuous"/>
    </xf>
    <xf numFmtId="178" fontId="6" fillId="19" borderId="16" xfId="22" applyNumberFormat="1" applyFont="1" applyFill="1" applyBorder="1" applyAlignment="1">
      <alignment horizontal="centerContinuous"/>
    </xf>
    <xf numFmtId="178" fontId="6" fillId="19" borderId="8" xfId="22" applyNumberFormat="1" applyFont="1" applyFill="1" applyBorder="1" applyAlignment="1">
      <alignment horizontal="centerContinuous"/>
    </xf>
    <xf numFmtId="178" fontId="6" fillId="19" borderId="15" xfId="22" applyNumberFormat="1" applyFont="1" applyFill="1" applyBorder="1" applyAlignment="1">
      <alignment horizontal="centerContinuous"/>
    </xf>
    <xf numFmtId="178" fontId="6" fillId="19" borderId="6" xfId="22" applyNumberFormat="1" applyFont="1" applyFill="1" applyBorder="1" applyAlignment="1">
      <alignment horizontal="centerContinuous"/>
    </xf>
    <xf numFmtId="178" fontId="6" fillId="19" borderId="7" xfId="22" applyNumberFormat="1" applyFont="1" applyFill="1" applyBorder="1" applyAlignment="1">
      <alignment horizontal="centerContinuous"/>
    </xf>
    <xf numFmtId="0" fontId="3" fillId="18" borderId="0" xfId="0" applyFont="1" applyFill="1" applyAlignment="1">
      <alignment horizontal="right" vertical="center" wrapText="1"/>
    </xf>
    <xf numFmtId="0" fontId="3" fillId="18" borderId="1" xfId="0" applyFont="1" applyFill="1" applyBorder="1" applyAlignment="1">
      <alignment horizontal="right" vertical="center" wrapText="1"/>
    </xf>
    <xf numFmtId="0" fontId="2" fillId="18" borderId="0" xfId="0" applyFont="1" applyFill="1" applyAlignment="1">
      <alignment vertical="center" wrapText="1"/>
    </xf>
    <xf numFmtId="0" fontId="3" fillId="18" borderId="2" xfId="0" applyFont="1" applyFill="1" applyBorder="1" applyAlignment="1">
      <alignment horizontal="right" vertical="center" wrapText="1"/>
    </xf>
    <xf numFmtId="0" fontId="2" fillId="18" borderId="0" xfId="0" applyFont="1" applyFill="1">
      <alignment vertical="center"/>
    </xf>
    <xf numFmtId="0" fontId="3" fillId="18" borderId="2" xfId="0" applyFont="1" applyFill="1" applyBorder="1" applyAlignment="1">
      <alignment vertical="center" wrapText="1"/>
    </xf>
    <xf numFmtId="0" fontId="3"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3" fillId="18" borderId="1" xfId="0" applyFont="1" applyFill="1" applyBorder="1" applyAlignment="1">
      <alignment vertical="center" wrapText="1"/>
    </xf>
    <xf numFmtId="0" fontId="2" fillId="18" borderId="0" xfId="0" applyFont="1" applyFill="1" applyAlignment="1">
      <alignment horizontal="right" vertical="center" wrapText="1"/>
    </xf>
    <xf numFmtId="0" fontId="2" fillId="18" borderId="6" xfId="0" applyFont="1" applyFill="1" applyBorder="1">
      <alignment vertical="center"/>
    </xf>
    <xf numFmtId="0" fontId="3" fillId="18" borderId="6" xfId="0" applyFont="1" applyFill="1" applyBorder="1">
      <alignment vertical="center"/>
    </xf>
    <xf numFmtId="0" fontId="64" fillId="0" borderId="0" xfId="0" applyFont="1" applyFill="1">
      <alignment vertical="center"/>
    </xf>
    <xf numFmtId="0" fontId="6" fillId="0" borderId="0" xfId="2" applyFont="1" applyFill="1"/>
    <xf numFmtId="202" fontId="96" fillId="0" borderId="0" xfId="2" applyNumberFormat="1" applyFont="1" applyFill="1"/>
    <xf numFmtId="0" fontId="11" fillId="0" borderId="0" xfId="2" applyFont="1" applyBorder="1" applyAlignment="1">
      <alignment horizontal="right"/>
    </xf>
    <xf numFmtId="0" fontId="81" fillId="0" borderId="0" xfId="2" applyFont="1" applyBorder="1" applyAlignment="1">
      <alignment horizontal="center"/>
    </xf>
    <xf numFmtId="0" fontId="6" fillId="0" borderId="0" xfId="2" applyFont="1"/>
    <xf numFmtId="0" fontId="81" fillId="0" borderId="11" xfId="2" applyFont="1" applyBorder="1" applyAlignment="1">
      <alignment horizontal="center"/>
    </xf>
    <xf numFmtId="0" fontId="97" fillId="0" borderId="0" xfId="2" applyFont="1"/>
    <xf numFmtId="14" fontId="81" fillId="0" borderId="11" xfId="2" applyNumberFormat="1" applyFont="1" applyBorder="1" applyAlignment="1">
      <alignment horizontal="center"/>
    </xf>
    <xf numFmtId="217" fontId="81" fillId="0" borderId="0" xfId="2" applyNumberFormat="1" applyFont="1" applyBorder="1" applyAlignment="1">
      <alignment horizontal="center"/>
    </xf>
    <xf numFmtId="0" fontId="6" fillId="0" borderId="0" xfId="2" applyFont="1" applyAlignment="1">
      <alignment horizontal="left"/>
    </xf>
    <xf numFmtId="0" fontId="6" fillId="0" borderId="0" xfId="2" applyFont="1" applyAlignment="1"/>
    <xf numFmtId="0" fontId="6" fillId="0" borderId="0" xfId="2" applyFont="1" applyBorder="1"/>
    <xf numFmtId="0" fontId="98" fillId="0" borderId="0" xfId="2" applyFont="1" applyFill="1" applyAlignment="1">
      <alignment horizontal="center"/>
    </xf>
    <xf numFmtId="0" fontId="72" fillId="11" borderId="0" xfId="2" applyFont="1" applyFill="1" applyAlignment="1">
      <alignment vertical="center"/>
    </xf>
    <xf numFmtId="0" fontId="38" fillId="11" borderId="0" xfId="2" applyFont="1" applyFill="1" applyAlignment="1"/>
    <xf numFmtId="0" fontId="36" fillId="0" borderId="0" xfId="2" applyFont="1" applyAlignment="1"/>
    <xf numFmtId="14" fontId="34" fillId="0" borderId="0" xfId="2" applyNumberFormat="1" applyFont="1" applyAlignment="1">
      <alignment horizontal="left"/>
    </xf>
    <xf numFmtId="0" fontId="51" fillId="12" borderId="0" xfId="2" applyFont="1" applyFill="1" applyAlignment="1"/>
    <xf numFmtId="0" fontId="38" fillId="12" borderId="0" xfId="2" applyFont="1" applyFill="1" applyAlignment="1"/>
    <xf numFmtId="0" fontId="40" fillId="0" borderId="0" xfId="2" applyFont="1" applyFill="1" applyAlignment="1">
      <alignment horizontal="left" vertical="top"/>
    </xf>
    <xf numFmtId="193" fontId="37" fillId="0" borderId="0" xfId="2" applyNumberFormat="1" applyFont="1" applyAlignment="1">
      <alignment horizontal="right" vertical="top"/>
    </xf>
    <xf numFmtId="194" fontId="37" fillId="0" borderId="0" xfId="2" applyNumberFormat="1" applyFont="1" applyAlignment="1">
      <alignment horizontal="right" vertical="top"/>
    </xf>
    <xf numFmtId="0" fontId="37" fillId="0" borderId="0" xfId="2" applyFont="1" applyFill="1" applyAlignment="1">
      <alignment horizontal="left" vertical="top"/>
    </xf>
    <xf numFmtId="0" fontId="40" fillId="0" borderId="19" xfId="2" applyNumberFormat="1" applyFont="1" applyBorder="1" applyAlignment="1">
      <alignment vertical="top"/>
    </xf>
    <xf numFmtId="0" fontId="37" fillId="0" borderId="20" xfId="2" applyNumberFormat="1" applyFont="1" applyBorder="1" applyAlignment="1">
      <alignment vertical="top"/>
    </xf>
    <xf numFmtId="0" fontId="34" fillId="0" borderId="20" xfId="2" applyFont="1" applyBorder="1" applyAlignment="1"/>
    <xf numFmtId="0" fontId="34" fillId="0" borderId="8" xfId="2" applyFont="1" applyBorder="1" applyAlignment="1"/>
    <xf numFmtId="0" fontId="87" fillId="0" borderId="16" xfId="2" applyFont="1" applyBorder="1" applyAlignment="1">
      <alignment horizontal="centerContinuous" vertical="center"/>
    </xf>
    <xf numFmtId="0" fontId="34" fillId="0" borderId="0" xfId="2" applyFont="1" applyBorder="1" applyAlignment="1">
      <alignment horizontal="centerContinuous" vertical="center"/>
    </xf>
    <xf numFmtId="0" fontId="34" fillId="0" borderId="0" xfId="2" applyFont="1" applyAlignment="1">
      <alignment horizontal="centerContinuous" vertical="center"/>
    </xf>
    <xf numFmtId="0" fontId="34" fillId="0" borderId="8" xfId="2" applyFont="1" applyBorder="1" applyAlignment="1">
      <alignment horizontal="centerContinuous" vertical="center"/>
    </xf>
    <xf numFmtId="0" fontId="34" fillId="0" borderId="0" xfId="2" applyFont="1" applyAlignment="1">
      <alignment horizontal="right"/>
    </xf>
    <xf numFmtId="0" fontId="6" fillId="0" borderId="16" xfId="2" applyFont="1" applyBorder="1" applyAlignment="1">
      <alignment horizontal="centerContinuous" vertical="center"/>
    </xf>
    <xf numFmtId="0" fontId="6" fillId="0" borderId="0" xfId="2" applyFont="1" applyBorder="1" applyAlignment="1">
      <alignment horizontal="centerContinuous" vertical="center"/>
    </xf>
    <xf numFmtId="204" fontId="34" fillId="0" borderId="0" xfId="2" applyNumberFormat="1" applyFont="1" applyAlignment="1">
      <alignment horizontal="right"/>
    </xf>
    <xf numFmtId="0" fontId="34" fillId="0" borderId="16" xfId="2" applyFont="1" applyBorder="1" applyAlignment="1"/>
    <xf numFmtId="0" fontId="34" fillId="0" borderId="0" xfId="2" applyFont="1" applyBorder="1" applyAlignment="1"/>
    <xf numFmtId="0" fontId="34" fillId="0" borderId="11" xfId="2" applyFont="1" applyBorder="1" applyAlignment="1"/>
    <xf numFmtId="0" fontId="34" fillId="0" borderId="18" xfId="2" applyFont="1" applyBorder="1" applyAlignment="1">
      <alignment horizontal="right"/>
    </xf>
    <xf numFmtId="0" fontId="34" fillId="0" borderId="5" xfId="2" applyFont="1" applyBorder="1" applyAlignment="1">
      <alignment horizontal="right"/>
    </xf>
    <xf numFmtId="0" fontId="34" fillId="0" borderId="37" xfId="2" applyFont="1" applyBorder="1" applyAlignment="1"/>
    <xf numFmtId="204" fontId="34" fillId="0" borderId="0" xfId="2" applyNumberFormat="1" applyFont="1" applyBorder="1" applyAlignment="1"/>
    <xf numFmtId="204" fontId="34" fillId="0" borderId="6" xfId="2" applyNumberFormat="1" applyFont="1" applyBorder="1" applyAlignment="1"/>
    <xf numFmtId="204" fontId="34" fillId="0" borderId="8" xfId="2" applyNumberFormat="1" applyFont="1" applyBorder="1" applyAlignment="1"/>
    <xf numFmtId="204" fontId="34" fillId="0" borderId="7" xfId="2" applyNumberFormat="1" applyFont="1" applyBorder="1" applyAlignment="1"/>
    <xf numFmtId="0" fontId="34" fillId="0" borderId="12" xfId="2" applyFont="1" applyBorder="1" applyAlignment="1"/>
    <xf numFmtId="0" fontId="34" fillId="0" borderId="15" xfId="2" applyFont="1" applyBorder="1" applyAlignment="1"/>
    <xf numFmtId="0" fontId="34" fillId="0" borderId="6" xfId="2" applyFont="1" applyBorder="1" applyAlignment="1"/>
    <xf numFmtId="0" fontId="34" fillId="0" borderId="7" xfId="2" applyFont="1" applyBorder="1" applyAlignment="1"/>
    <xf numFmtId="195" fontId="37" fillId="0" borderId="0" xfId="2" applyNumberFormat="1" applyFont="1" applyAlignment="1">
      <alignment horizontal="lef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2" applyNumberFormat="1" applyFont="1" applyAlignment="1">
      <alignment horizontal="left" vertical="top" wrapText="1"/>
    </xf>
    <xf numFmtId="0" fontId="46" fillId="4" borderId="0" xfId="2" applyNumberFormat="1" applyFont="1" applyFill="1" applyAlignment="1">
      <alignment horizontal="left" vertical="top" wrapText="1"/>
    </xf>
    <xf numFmtId="0" fontId="46" fillId="4" borderId="0" xfId="2" applyNumberFormat="1" applyFont="1" applyFill="1" applyAlignment="1">
      <alignment horizontal="right" vertical="top" wrapText="1"/>
    </xf>
    <xf numFmtId="195" fontId="37" fillId="0" borderId="6" xfId="2" applyNumberFormat="1" applyFont="1" applyBorder="1" applyAlignment="1">
      <alignment horizontal="left" vertical="top" wrapText="1"/>
    </xf>
    <xf numFmtId="0" fontId="37" fillId="0" borderId="6" xfId="2" applyFont="1" applyBorder="1" applyAlignment="1">
      <alignment horizontal="left" vertical="top" wrapText="1"/>
    </xf>
    <xf numFmtId="0" fontId="37" fillId="0" borderId="6" xfId="2" applyFont="1" applyBorder="1" applyAlignment="1">
      <alignment horizontal="right" vertical="top" wrapText="1"/>
    </xf>
    <xf numFmtId="0" fontId="40" fillId="4" borderId="0" xfId="2" applyFont="1" applyFill="1" applyAlignment="1">
      <alignment horizontal="left" vertical="top" wrapText="1"/>
    </xf>
    <xf numFmtId="0" fontId="40" fillId="4" borderId="0" xfId="2" applyFont="1" applyFill="1" applyAlignment="1">
      <alignment horizontal="right" vertical="top" wrapText="1"/>
    </xf>
    <xf numFmtId="0" fontId="19" fillId="0" borderId="37" xfId="2" applyFont="1" applyBorder="1" applyAlignment="1">
      <alignment horizontal="center"/>
    </xf>
    <xf numFmtId="0" fontId="19" fillId="0" borderId="12" xfId="2" applyFont="1" applyBorder="1" applyAlignment="1">
      <alignment horizontal="center"/>
    </xf>
    <xf numFmtId="0" fontId="38" fillId="6" borderId="11" xfId="2" applyFont="1" applyFill="1" applyBorder="1" applyAlignment="1">
      <alignment horizontal="center"/>
    </xf>
    <xf numFmtId="0" fontId="38" fillId="6" borderId="11" xfId="2" applyFont="1" applyFill="1" applyBorder="1" applyAlignment="1"/>
    <xf numFmtId="0" fontId="79" fillId="0" borderId="37" xfId="2" applyFont="1" applyBorder="1" applyAlignment="1">
      <alignment horizontal="left"/>
    </xf>
    <xf numFmtId="0" fontId="79" fillId="0" borderId="12" xfId="2" applyFont="1" applyBorder="1" applyAlignment="1">
      <alignment horizontal="left"/>
    </xf>
    <xf numFmtId="0" fontId="81" fillId="0" borderId="37" xfId="2" applyFont="1" applyBorder="1" applyAlignment="1">
      <alignment horizontal="left"/>
    </xf>
    <xf numFmtId="0" fontId="81" fillId="0" borderId="12" xfId="2" applyFont="1" applyBorder="1" applyAlignment="1">
      <alignment horizontal="left"/>
    </xf>
    <xf numFmtId="0" fontId="6" fillId="0" borderId="37" xfId="2" applyFont="1" applyBorder="1" applyAlignment="1">
      <alignment horizontal="left"/>
    </xf>
    <xf numFmtId="0" fontId="6" fillId="0" borderId="12" xfId="2" applyFont="1" applyBorder="1" applyAlignment="1">
      <alignment horizontal="left"/>
    </xf>
    <xf numFmtId="0" fontId="77" fillId="0" borderId="16" xfId="2" applyFont="1" applyBorder="1"/>
    <xf numFmtId="0" fontId="6" fillId="0" borderId="8" xfId="2" applyFont="1" applyBorder="1"/>
    <xf numFmtId="0" fontId="77" fillId="0" borderId="15" xfId="2" applyFont="1" applyBorder="1"/>
    <xf numFmtId="0" fontId="6" fillId="0" borderId="6" xfId="2" applyFont="1" applyBorder="1"/>
    <xf numFmtId="0" fontId="6" fillId="0" borderId="7" xfId="2" applyFont="1" applyBorder="1"/>
    <xf numFmtId="0" fontId="38" fillId="6" borderId="17" xfId="2" applyFont="1" applyFill="1" applyBorder="1" applyAlignment="1"/>
    <xf numFmtId="0" fontId="38" fillId="6" borderId="18" xfId="2" applyFont="1" applyFill="1" applyBorder="1" applyAlignment="1"/>
    <xf numFmtId="0" fontId="38" fillId="6" borderId="5" xfId="2" applyFont="1" applyFill="1" applyBorder="1" applyAlignment="1"/>
    <xf numFmtId="0" fontId="40" fillId="5" borderId="19" xfId="2" applyFont="1" applyFill="1" applyBorder="1" applyAlignment="1">
      <alignment horizontal="left" vertical="top"/>
    </xf>
    <xf numFmtId="193" fontId="37" fillId="5" borderId="20" xfId="2" applyNumberFormat="1" applyFont="1" applyFill="1" applyBorder="1" applyAlignment="1">
      <alignment horizontal="right" vertical="top"/>
    </xf>
    <xf numFmtId="0" fontId="40" fillId="5" borderId="16" xfId="2" applyFont="1" applyFill="1" applyBorder="1" applyAlignment="1">
      <alignment horizontal="left" vertical="top"/>
    </xf>
    <xf numFmtId="193" fontId="37" fillId="5" borderId="0" xfId="2" applyNumberFormat="1" applyFont="1" applyFill="1" applyBorder="1" applyAlignment="1">
      <alignment horizontal="right" vertical="top"/>
    </xf>
    <xf numFmtId="0" fontId="40" fillId="5" borderId="15" xfId="2" applyFont="1" applyFill="1" applyBorder="1" applyAlignment="1">
      <alignment horizontal="left" vertical="top"/>
    </xf>
    <xf numFmtId="193" fontId="37" fillId="5" borderId="6" xfId="2" applyNumberFormat="1" applyFont="1" applyFill="1" applyBorder="1" applyAlignment="1">
      <alignment horizontal="right" vertical="top"/>
    </xf>
    <xf numFmtId="193" fontId="37" fillId="5" borderId="13" xfId="2" applyNumberFormat="1" applyFont="1" applyFill="1" applyBorder="1" applyAlignment="1">
      <alignment horizontal="right" vertical="top"/>
    </xf>
    <xf numFmtId="193" fontId="37" fillId="5" borderId="8" xfId="2" applyNumberFormat="1" applyFont="1" applyFill="1" applyBorder="1" applyAlignment="1">
      <alignment horizontal="right" vertical="top"/>
    </xf>
    <xf numFmtId="193" fontId="37" fillId="5" borderId="7" xfId="2" applyNumberFormat="1" applyFont="1" applyFill="1" applyBorder="1" applyAlignment="1">
      <alignment horizontal="right" vertical="top"/>
    </xf>
    <xf numFmtId="0" fontId="36" fillId="19" borderId="31" xfId="2" applyFont="1" applyFill="1" applyBorder="1" applyAlignment="1">
      <alignment horizontal="right"/>
    </xf>
    <xf numFmtId="0" fontId="36" fillId="19" borderId="12" xfId="2" applyFont="1" applyFill="1" applyBorder="1" applyAlignment="1">
      <alignment horizontal="right"/>
    </xf>
    <xf numFmtId="193" fontId="40" fillId="19" borderId="31" xfId="2" applyNumberFormat="1" applyFont="1" applyFill="1" applyBorder="1" applyAlignment="1">
      <alignment horizontal="right" vertical="top"/>
    </xf>
    <xf numFmtId="193" fontId="40" fillId="19" borderId="12" xfId="2" applyNumberFormat="1" applyFont="1" applyFill="1" applyBorder="1" applyAlignment="1">
      <alignment horizontal="right" vertical="top"/>
    </xf>
    <xf numFmtId="0" fontId="38" fillId="5" borderId="0" xfId="2" applyFont="1" applyFill="1" applyAlignment="1"/>
    <xf numFmtId="0" fontId="40" fillId="0" borderId="0" xfId="2" applyFont="1" applyAlignment="1">
      <alignment horizontal="left" vertical="top" wrapText="1"/>
    </xf>
    <xf numFmtId="0" fontId="40" fillId="0" borderId="6" xfId="2" applyFont="1" applyBorder="1" applyAlignment="1">
      <alignment horizontal="left" vertical="top" wrapText="1"/>
    </xf>
    <xf numFmtId="0" fontId="34" fillId="5" borderId="20" xfId="2" applyFont="1" applyFill="1" applyBorder="1" applyAlignment="1">
      <alignment horizontal="right" wrapText="1"/>
    </xf>
    <xf numFmtId="0" fontId="34" fillId="5" borderId="13" xfId="2" applyFont="1" applyFill="1" applyBorder="1" applyAlignment="1">
      <alignment horizontal="right" wrapText="1"/>
    </xf>
    <xf numFmtId="0" fontId="34" fillId="5" borderId="0" xfId="2" applyFont="1" applyFill="1" applyBorder="1" applyAlignment="1">
      <alignment horizontal="right"/>
    </xf>
    <xf numFmtId="0" fontId="34" fillId="5" borderId="6" xfId="2" applyFont="1" applyFill="1" applyBorder="1" applyAlignment="1">
      <alignment horizontal="right"/>
    </xf>
    <xf numFmtId="0" fontId="34" fillId="5" borderId="7" xfId="2" applyFont="1" applyFill="1" applyBorder="1" applyAlignment="1">
      <alignment horizontal="right"/>
    </xf>
    <xf numFmtId="0" fontId="36" fillId="5" borderId="19" xfId="2" applyFont="1" applyFill="1" applyBorder="1" applyAlignment="1">
      <alignment horizontal="left" wrapText="1"/>
    </xf>
    <xf numFmtId="0" fontId="36" fillId="5" borderId="16" xfId="2" applyFont="1" applyFill="1" applyBorder="1" applyAlignment="1">
      <alignment horizontal="left"/>
    </xf>
    <xf numFmtId="0" fontId="36" fillId="5" borderId="15" xfId="2" applyFont="1" applyFill="1" applyBorder="1" applyAlignment="1">
      <alignment horizontal="left"/>
    </xf>
    <xf numFmtId="0" fontId="37" fillId="0" borderId="0" xfId="2" applyFont="1" applyBorder="1" applyAlignment="1">
      <alignment horizontal="right" vertical="top" wrapText="1"/>
    </xf>
    <xf numFmtId="183" fontId="99" fillId="5" borderId="0" xfId="2" applyNumberFormat="1" applyFont="1" applyFill="1" applyBorder="1" applyAlignment="1">
      <alignment horizontal="right"/>
    </xf>
    <xf numFmtId="183" fontId="99" fillId="5" borderId="6" xfId="2" applyNumberFormat="1" applyFont="1" applyFill="1" applyBorder="1" applyAlignment="1">
      <alignment horizontal="right"/>
    </xf>
    <xf numFmtId="183" fontId="99" fillId="5" borderId="20" xfId="2" applyNumberFormat="1" applyFont="1" applyFill="1" applyBorder="1" applyAlignment="1">
      <alignment horizontal="right" wrapText="1"/>
    </xf>
    <xf numFmtId="178" fontId="11" fillId="19" borderId="0" xfId="22" applyNumberFormat="1" applyFont="1" applyFill="1" applyBorder="1" applyAlignment="1">
      <alignment horizontal="centerContinuous"/>
    </xf>
    <xf numFmtId="178" fontId="12" fillId="0" borderId="3" xfId="0" applyNumberFormat="1" applyFont="1" applyBorder="1" applyAlignment="1">
      <alignment horizontal="center" vertical="center"/>
    </xf>
    <xf numFmtId="199" fontId="12" fillId="0" borderId="11" xfId="0" applyNumberFormat="1" applyFont="1" applyFill="1" applyBorder="1" applyAlignment="1">
      <alignment horizontal="right" vertical="center"/>
    </xf>
    <xf numFmtId="26" fontId="76" fillId="0" borderId="0" xfId="0" applyNumberFormat="1" applyFont="1" applyFill="1" applyBorder="1" applyAlignment="1">
      <alignment horizontal="right" vertical="center"/>
    </xf>
    <xf numFmtId="0" fontId="11" fillId="18" borderId="6" xfId="0" applyFont="1" applyFill="1" applyBorder="1">
      <alignment vertical="center"/>
    </xf>
    <xf numFmtId="0" fontId="11" fillId="18" borderId="7" xfId="0" applyFont="1" applyFill="1" applyBorder="1">
      <alignment vertical="center"/>
    </xf>
    <xf numFmtId="0" fontId="6" fillId="0" borderId="6" xfId="0" applyFont="1" applyBorder="1">
      <alignment vertical="center"/>
    </xf>
    <xf numFmtId="177" fontId="4" fillId="3" borderId="8" xfId="0" applyNumberFormat="1" applyFont="1" applyFill="1" applyBorder="1">
      <alignment vertical="center"/>
    </xf>
    <xf numFmtId="177" fontId="11" fillId="3" borderId="8" xfId="0" applyNumberFormat="1" applyFont="1" applyFill="1" applyBorder="1">
      <alignment vertical="center"/>
    </xf>
    <xf numFmtId="177" fontId="4" fillId="3" borderId="7" xfId="0" applyNumberFormat="1" applyFont="1" applyFill="1" applyBorder="1">
      <alignment vertical="center"/>
    </xf>
    <xf numFmtId="177" fontId="11" fillId="3" borderId="7" xfId="0" applyNumberFormat="1" applyFont="1" applyFill="1" applyBorder="1">
      <alignment vertical="center"/>
    </xf>
    <xf numFmtId="177" fontId="7" fillId="3" borderId="8" xfId="0" applyNumberFormat="1" applyFont="1" applyFill="1" applyBorder="1">
      <alignment vertical="center"/>
    </xf>
    <xf numFmtId="177" fontId="6" fillId="3" borderId="6" xfId="0" applyNumberFormat="1" applyFont="1" applyFill="1" applyBorder="1">
      <alignment vertical="center"/>
    </xf>
    <xf numFmtId="177" fontId="6" fillId="0" borderId="6" xfId="0" applyNumberFormat="1" applyFont="1" applyBorder="1">
      <alignment vertical="center"/>
    </xf>
    <xf numFmtId="177" fontId="12" fillId="3" borderId="6" xfId="0" applyNumberFormat="1" applyFont="1" applyFill="1" applyBorder="1">
      <alignment vertical="center"/>
    </xf>
    <xf numFmtId="0" fontId="3" fillId="3" borderId="31" xfId="0" applyFont="1" applyFill="1" applyBorder="1" applyAlignment="1">
      <alignment horizontal="right" vertical="center"/>
    </xf>
    <xf numFmtId="187" fontId="17" fillId="0" borderId="11" xfId="0" applyNumberFormat="1" applyFont="1" applyFill="1" applyBorder="1" applyAlignment="1">
      <alignment horizontal="right" vertical="center"/>
    </xf>
    <xf numFmtId="0" fontId="2" fillId="0" borderId="6" xfId="0" applyFont="1" applyFill="1" applyBorder="1" applyAlignment="1"/>
    <xf numFmtId="0" fontId="2" fillId="0" borderId="6" xfId="0" applyFont="1" applyFill="1" applyBorder="1">
      <alignment vertical="center"/>
    </xf>
    <xf numFmtId="183" fontId="17" fillId="0" borderId="6" xfId="0" applyNumberFormat="1" applyFont="1" applyFill="1" applyBorder="1" applyAlignment="1">
      <alignment horizontal="right" vertical="center"/>
    </xf>
    <xf numFmtId="25" fontId="17" fillId="0" borderId="6" xfId="0" applyNumberFormat="1" applyFont="1" applyFill="1" applyBorder="1" applyAlignment="1">
      <alignment horizontal="right" vertical="center"/>
    </xf>
    <xf numFmtId="0" fontId="2" fillId="18" borderId="0" xfId="0" applyFont="1" applyFill="1" applyAlignment="1">
      <alignment wrapText="1"/>
    </xf>
    <xf numFmtId="0" fontId="2" fillId="18" borderId="1" xfId="0" applyFont="1" applyFill="1" applyBorder="1" applyAlignment="1">
      <alignment wrapText="1"/>
    </xf>
    <xf numFmtId="0" fontId="2" fillId="2" borderId="2" xfId="0" applyFont="1" applyFill="1" applyBorder="1" applyAlignment="1">
      <alignment horizontal="right" vertical="center" wrapText="1"/>
    </xf>
    <xf numFmtId="0" fontId="2" fillId="2" borderId="1" xfId="0" applyFont="1" applyFill="1" applyBorder="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2" fillId="0" borderId="0" xfId="0" applyFont="1" applyAlignment="1">
      <alignment wrapText="1"/>
    </xf>
    <xf numFmtId="0" fontId="2" fillId="2" borderId="0" xfId="0" applyFont="1" applyFill="1" applyAlignment="1">
      <alignment vertical="center" wrapText="1"/>
    </xf>
    <xf numFmtId="3" fontId="2" fillId="2" borderId="0" xfId="0" applyNumberFormat="1" applyFont="1" applyFill="1" applyAlignment="1">
      <alignment horizontal="right" vertical="center" wrapText="1"/>
    </xf>
    <xf numFmtId="0" fontId="2" fillId="2" borderId="14" xfId="0" applyFont="1" applyFill="1" applyBorder="1" applyAlignment="1">
      <alignment horizontal="right" vertical="center" wrapText="1"/>
    </xf>
    <xf numFmtId="0" fontId="2" fillId="2" borderId="2" xfId="0" applyFont="1" applyFill="1" applyBorder="1" applyAlignment="1">
      <alignment wrapText="1"/>
    </xf>
    <xf numFmtId="0" fontId="2" fillId="2" borderId="14" xfId="0" applyFont="1" applyFill="1" applyBorder="1" applyAlignment="1">
      <alignment wrapText="1"/>
    </xf>
    <xf numFmtId="0" fontId="2" fillId="2" borderId="2"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14"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2" fillId="0" borderId="1" xfId="0" applyFont="1" applyBorder="1" applyAlignment="1">
      <alignment wrapText="1"/>
    </xf>
    <xf numFmtId="0" fontId="2" fillId="2" borderId="0" xfId="0" applyFont="1" applyFill="1" applyAlignment="1">
      <alignment horizontal="left" vertical="center" wrapText="1"/>
    </xf>
    <xf numFmtId="0" fontId="2" fillId="0" borderId="1" xfId="0" applyFont="1" applyBorder="1" applyAlignment="1">
      <alignment horizontal="left" vertical="center" wrapText="1"/>
    </xf>
    <xf numFmtId="3" fontId="2" fillId="0" borderId="0" xfId="0" applyNumberFormat="1" applyFont="1" applyAlignment="1">
      <alignment horizontal="right" vertical="center" wrapText="1"/>
    </xf>
    <xf numFmtId="3" fontId="2" fillId="2" borderId="2" xfId="0" applyNumberFormat="1" applyFont="1" applyFill="1" applyBorder="1" applyAlignment="1">
      <alignment horizontal="right" vertical="center" wrapText="1"/>
    </xf>
    <xf numFmtId="0" fontId="2" fillId="2" borderId="0" xfId="0" applyFont="1" applyFill="1" applyBorder="1" applyAlignment="1">
      <alignment horizontal="right" vertical="center" wrapText="1"/>
    </xf>
    <xf numFmtId="0" fontId="2" fillId="2" borderId="0" xfId="0" applyFont="1" applyFill="1" applyBorder="1" applyAlignment="1">
      <alignment wrapText="1"/>
    </xf>
    <xf numFmtId="0" fontId="2" fillId="2" borderId="0" xfId="0" applyFont="1" applyFill="1" applyBorder="1" applyAlignment="1">
      <alignment vertical="center" wrapText="1"/>
    </xf>
    <xf numFmtId="0" fontId="2" fillId="2" borderId="0" xfId="0" applyFont="1" applyFill="1" applyBorder="1" applyAlignment="1">
      <alignment horizontal="left" vertical="center" wrapText="1"/>
    </xf>
    <xf numFmtId="3" fontId="2" fillId="0" borderId="2" xfId="0" applyNumberFormat="1" applyFont="1" applyBorder="1" applyAlignment="1">
      <alignment horizontal="right" vertical="center" wrapText="1"/>
    </xf>
    <xf numFmtId="3" fontId="2" fillId="0" borderId="1" xfId="0" applyNumberFormat="1" applyFont="1" applyBorder="1" applyAlignment="1">
      <alignment horizontal="right" vertical="center" wrapText="1"/>
    </xf>
    <xf numFmtId="0" fontId="2" fillId="0" borderId="2" xfId="0" applyFont="1" applyBorder="1" applyAlignment="1">
      <alignment wrapText="1"/>
    </xf>
    <xf numFmtId="0" fontId="2" fillId="0" borderId="2" xfId="0" applyFont="1" applyBorder="1" applyAlignment="1">
      <alignment vertical="center" wrapText="1"/>
    </xf>
    <xf numFmtId="0" fontId="3" fillId="18" borderId="2" xfId="0" applyFont="1" applyFill="1" applyBorder="1" applyAlignment="1">
      <alignment horizontal="right" vertical="center" wrapText="1"/>
    </xf>
    <xf numFmtId="0" fontId="3" fillId="18" borderId="1" xfId="0" applyFont="1" applyFill="1" applyBorder="1" applyAlignment="1">
      <alignment horizontal="right" vertical="center" wrapText="1"/>
    </xf>
    <xf numFmtId="26" fontId="2" fillId="2" borderId="2" xfId="0" applyNumberFormat="1" applyFont="1" applyFill="1" applyBorder="1" applyAlignment="1">
      <alignment horizontal="left" vertical="center" wrapText="1"/>
    </xf>
    <xf numFmtId="26" fontId="2" fillId="2" borderId="0" xfId="0" applyNumberFormat="1" applyFont="1" applyFill="1" applyBorder="1" applyAlignment="1">
      <alignment horizontal="left" vertical="center" wrapText="1"/>
    </xf>
    <xf numFmtId="3" fontId="2" fillId="2" borderId="0" xfId="0" applyNumberFormat="1" applyFont="1" applyFill="1" applyBorder="1" applyAlignment="1">
      <alignment horizontal="right" vertical="center" wrapText="1"/>
    </xf>
    <xf numFmtId="26" fontId="2" fillId="0" borderId="0" xfId="0" applyNumberFormat="1" applyFont="1" applyAlignment="1">
      <alignment horizontal="left" vertical="center" wrapText="1"/>
    </xf>
    <xf numFmtId="26" fontId="2" fillId="2" borderId="0" xfId="0" applyNumberFormat="1" applyFont="1" applyFill="1" applyAlignment="1">
      <alignment horizontal="left" vertical="center" wrapText="1"/>
    </xf>
    <xf numFmtId="26" fontId="2" fillId="0" borderId="1" xfId="0" applyNumberFormat="1" applyFont="1" applyBorder="1" applyAlignment="1">
      <alignment horizontal="left" vertical="center" wrapText="1"/>
    </xf>
    <xf numFmtId="0" fontId="2" fillId="18" borderId="0" xfId="0" applyFont="1" applyFill="1" applyAlignment="1">
      <alignment vertical="center" wrapText="1"/>
    </xf>
    <xf numFmtId="0" fontId="2" fillId="18" borderId="1" xfId="0" applyFont="1" applyFill="1" applyBorder="1" applyAlignment="1">
      <alignment vertical="center" wrapText="1"/>
    </xf>
    <xf numFmtId="0" fontId="3" fillId="18" borderId="0" xfId="0" applyFont="1" applyFill="1" applyAlignment="1">
      <alignment horizontal="right" vertical="center" wrapText="1"/>
    </xf>
    <xf numFmtId="0" fontId="2" fillId="2" borderId="1" xfId="0" applyFont="1" applyFill="1" applyBorder="1" applyAlignment="1">
      <alignment vertical="center" wrapText="1"/>
    </xf>
    <xf numFmtId="0" fontId="2" fillId="2" borderId="1" xfId="0" applyFont="1" applyFill="1" applyBorder="1" applyAlignment="1">
      <alignment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2" borderId="1" xfId="0" applyFont="1" applyFill="1" applyBorder="1" applyAlignment="1">
      <alignment horizontal="left" vertical="center" wrapText="1"/>
    </xf>
    <xf numFmtId="0" fontId="5" fillId="18" borderId="0" xfId="0" applyFont="1" applyFill="1" applyAlignment="1">
      <alignment horizontal="left" vertical="center" wrapText="1"/>
    </xf>
    <xf numFmtId="0" fontId="5" fillId="18" borderId="1" xfId="0" applyFont="1" applyFill="1" applyBorder="1" applyAlignment="1">
      <alignment horizontal="left" vertical="center" wrapText="1"/>
    </xf>
    <xf numFmtId="3" fontId="2" fillId="2" borderId="1" xfId="0" applyNumberFormat="1" applyFont="1" applyFill="1" applyBorder="1" applyAlignment="1">
      <alignment horizontal="right" vertical="center" wrapText="1"/>
    </xf>
    <xf numFmtId="179" fontId="3" fillId="18" borderId="0" xfId="0" applyNumberFormat="1" applyFont="1" applyFill="1" applyAlignment="1">
      <alignment horizontal="right" vertical="center" wrapText="1"/>
    </xf>
    <xf numFmtId="0" fontId="3" fillId="2" borderId="2"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right" vertical="center" wrapText="1"/>
    </xf>
    <xf numFmtId="0" fontId="63" fillId="0" borderId="0" xfId="0" applyFont="1" applyAlignment="1">
      <alignment horizontal="right" vertical="center" wrapText="1"/>
    </xf>
    <xf numFmtId="0" fontId="63" fillId="0" borderId="1" xfId="0" applyFont="1" applyBorder="1" applyAlignment="1">
      <alignment horizontal="right" vertical="center" wrapText="1"/>
    </xf>
    <xf numFmtId="3" fontId="63" fillId="0" borderId="0" xfId="0" applyNumberFormat="1" applyFont="1" applyAlignment="1">
      <alignment horizontal="right" vertical="center" wrapText="1"/>
    </xf>
    <xf numFmtId="3" fontId="63" fillId="0" borderId="1" xfId="0" applyNumberFormat="1" applyFont="1" applyBorder="1" applyAlignment="1">
      <alignment horizontal="right" vertical="center" wrapText="1"/>
    </xf>
    <xf numFmtId="0" fontId="63" fillId="2" borderId="0" xfId="0" applyFont="1" applyFill="1" applyAlignment="1">
      <alignment horizontal="right" vertical="center" wrapText="1"/>
    </xf>
    <xf numFmtId="0" fontId="63" fillId="0" borderId="0" xfId="0" applyFont="1" applyAlignment="1">
      <alignment horizontal="left" vertical="center" wrapText="1"/>
    </xf>
    <xf numFmtId="0" fontId="3" fillId="2" borderId="0" xfId="0" applyFont="1" applyFill="1" applyAlignment="1">
      <alignment horizontal="left" vertical="center" wrapText="1"/>
    </xf>
    <xf numFmtId="3" fontId="63" fillId="2" borderId="0" xfId="0" applyNumberFormat="1" applyFont="1" applyFill="1" applyAlignment="1">
      <alignment horizontal="right" vertical="center" wrapText="1"/>
    </xf>
    <xf numFmtId="0" fontId="3" fillId="18" borderId="1" xfId="0" applyFont="1" applyFill="1" applyBorder="1" applyAlignment="1">
      <alignment horizontal="center" vertical="center" wrapText="1"/>
    </xf>
    <xf numFmtId="0" fontId="36" fillId="4" borderId="0" xfId="2" applyFont="1" applyFill="1" applyBorder="1" applyAlignment="1">
      <alignment horizontal="center" wrapText="1"/>
    </xf>
    <xf numFmtId="0" fontId="34" fillId="4" borderId="0" xfId="2" applyFont="1" applyFill="1" applyBorder="1"/>
    <xf numFmtId="0" fontId="40" fillId="4" borderId="0" xfId="2" applyFont="1" applyFill="1" applyAlignment="1">
      <alignment horizontal="center" wrapText="1"/>
    </xf>
    <xf numFmtId="0" fontId="37" fillId="4" borderId="0" xfId="2" applyFont="1" applyFill="1" applyAlignment="1">
      <alignment vertical="top" wrapText="1"/>
    </xf>
    <xf numFmtId="0" fontId="34" fillId="4" borderId="0" xfId="2" applyFont="1" applyFill="1"/>
    <xf numFmtId="0" fontId="36" fillId="4" borderId="0" xfId="2" applyFont="1" applyFill="1" applyAlignment="1">
      <alignment horizontal="center" wrapText="1"/>
    </xf>
    <xf numFmtId="1" fontId="67" fillId="0" borderId="22" xfId="22" applyNumberFormat="1" applyFont="1" applyBorder="1" applyAlignment="1">
      <alignment horizontal="center"/>
    </xf>
    <xf numFmtId="1" fontId="67" fillId="0" borderId="23" xfId="22" applyNumberFormat="1" applyFont="1" applyBorder="1" applyAlignment="1">
      <alignment horizontal="center"/>
    </xf>
    <xf numFmtId="1" fontId="67" fillId="0" borderId="24" xfId="22" applyNumberFormat="1" applyFont="1" applyBorder="1" applyAlignment="1">
      <alignment horizontal="center"/>
    </xf>
    <xf numFmtId="178" fontId="16" fillId="0" borderId="25" xfId="22" applyNumberFormat="1" applyFont="1" applyBorder="1" applyAlignment="1">
      <alignment horizontal="right"/>
    </xf>
    <xf numFmtId="178" fontId="16" fillId="0" borderId="26" xfId="22" applyNumberFormat="1" applyFont="1" applyBorder="1" applyAlignment="1">
      <alignment horizontal="right"/>
    </xf>
    <xf numFmtId="0" fontId="81" fillId="0" borderId="25" xfId="22" applyFont="1" applyBorder="1" applyAlignment="1"/>
    <xf numFmtId="0" fontId="81" fillId="0" borderId="28" xfId="22" applyFont="1" applyBorder="1" applyAlignment="1"/>
    <xf numFmtId="0" fontId="81" fillId="0" borderId="26" xfId="22" applyFont="1" applyBorder="1" applyAlignment="1"/>
    <xf numFmtId="0" fontId="17" fillId="0" borderId="25" xfId="22" applyFont="1" applyBorder="1" applyAlignment="1">
      <alignment horizontal="left"/>
    </xf>
    <xf numFmtId="0" fontId="17" fillId="0" borderId="26" xfId="22" applyFont="1" applyBorder="1" applyAlignment="1">
      <alignment horizontal="left"/>
    </xf>
  </cellXfs>
  <cellStyles count="86">
    <cellStyle name="Calc Currency (0)" xfId="29" xr:uid="{00000000-0005-0000-0000-000000000000}"/>
    <cellStyle name="Calc Currency (2)" xfId="30" xr:uid="{00000000-0005-0000-0000-000001000000}"/>
    <cellStyle name="Calc Percent (0)" xfId="31" xr:uid="{00000000-0005-0000-0000-000002000000}"/>
    <cellStyle name="Calc Percent (1)" xfId="32" xr:uid="{00000000-0005-0000-0000-000003000000}"/>
    <cellStyle name="Calc Percent (2)" xfId="33" xr:uid="{00000000-0005-0000-0000-000004000000}"/>
    <cellStyle name="Calc Units (0)" xfId="34" xr:uid="{00000000-0005-0000-0000-000005000000}"/>
    <cellStyle name="Calc Units (1)" xfId="35" xr:uid="{00000000-0005-0000-0000-000006000000}"/>
    <cellStyle name="Calc Units (2)" xfId="36" xr:uid="{00000000-0005-0000-0000-000007000000}"/>
    <cellStyle name="ChartingText" xfId="4" xr:uid="{00000000-0005-0000-0000-000008000000}"/>
    <cellStyle name="CHPAboveAverage" xfId="5" xr:uid="{00000000-0005-0000-0000-000009000000}"/>
    <cellStyle name="CHPBelowAverage" xfId="6" xr:uid="{00000000-0005-0000-0000-00000A000000}"/>
    <cellStyle name="CHPBottom" xfId="7" xr:uid="{00000000-0005-0000-0000-00000B000000}"/>
    <cellStyle name="CHPTop" xfId="8" xr:uid="{00000000-0005-0000-0000-00000C000000}"/>
    <cellStyle name="Code" xfId="37" xr:uid="{00000000-0005-0000-0000-00000D000000}"/>
    <cellStyle name="ColumnHeaderNormal" xfId="9" xr:uid="{00000000-0005-0000-0000-00000E000000}"/>
    <cellStyle name="Comma [00]" xfId="38" xr:uid="{00000000-0005-0000-0000-00000F000000}"/>
    <cellStyle name="Currency [00]" xfId="39" xr:uid="{00000000-0005-0000-0000-000010000000}"/>
    <cellStyle name="DataBases" xfId="40" xr:uid="{00000000-0005-0000-0000-000011000000}"/>
    <cellStyle name="DataToHide" xfId="41" xr:uid="{00000000-0005-0000-0000-000012000000}"/>
    <cellStyle name="Date Short" xfId="42" xr:uid="{00000000-0005-0000-0000-000013000000}"/>
    <cellStyle name="DELTA" xfId="43" xr:uid="{00000000-0005-0000-0000-000014000000}"/>
    <cellStyle name="Enter Currency (0)" xfId="44" xr:uid="{00000000-0005-0000-0000-000015000000}"/>
    <cellStyle name="Enter Currency (2)" xfId="45" xr:uid="{00000000-0005-0000-0000-000016000000}"/>
    <cellStyle name="Enter Units (0)" xfId="46" xr:uid="{00000000-0005-0000-0000-000017000000}"/>
    <cellStyle name="Enter Units (1)" xfId="47" xr:uid="{00000000-0005-0000-0000-000018000000}"/>
    <cellStyle name="Enter Units (2)" xfId="48" xr:uid="{00000000-0005-0000-0000-000019000000}"/>
    <cellStyle name="Entities" xfId="49" xr:uid="{00000000-0005-0000-0000-00001A000000}"/>
    <cellStyle name="Euro" xfId="50" xr:uid="{00000000-0005-0000-0000-00001B000000}"/>
    <cellStyle name="Final_Data" xfId="51" xr:uid="{00000000-0005-0000-0000-00001C000000}"/>
    <cellStyle name="Footnote" xfId="52" xr:uid="{00000000-0005-0000-0000-00001D000000}"/>
    <cellStyle name="Grey" xfId="53" xr:uid="{00000000-0005-0000-0000-00001E000000}"/>
    <cellStyle name="Header1" xfId="54" xr:uid="{00000000-0005-0000-0000-00001F000000}"/>
    <cellStyle name="Header2" xfId="55" xr:uid="{00000000-0005-0000-0000-000020000000}"/>
    <cellStyle name="Heading" xfId="56" xr:uid="{00000000-0005-0000-0000-000021000000}"/>
    <cellStyle name="Input [yellow]" xfId="57" xr:uid="{00000000-0005-0000-0000-000022000000}"/>
    <cellStyle name="Invisible" xfId="3" xr:uid="{00000000-0005-0000-0000-000023000000}"/>
    <cellStyle name="Link Currency (0)" xfId="58" xr:uid="{00000000-0005-0000-0000-000024000000}"/>
    <cellStyle name="Link Currency (2)" xfId="59" xr:uid="{00000000-0005-0000-0000-000025000000}"/>
    <cellStyle name="Link Units (0)" xfId="60" xr:uid="{00000000-0005-0000-0000-000026000000}"/>
    <cellStyle name="Link Units (1)" xfId="61" xr:uid="{00000000-0005-0000-0000-000027000000}"/>
    <cellStyle name="Link Units (2)" xfId="62" xr:uid="{00000000-0005-0000-0000-000028000000}"/>
    <cellStyle name="LookUpText" xfId="63" xr:uid="{00000000-0005-0000-0000-000029000000}"/>
    <cellStyle name="NewColumnHeaderNormal" xfId="10" xr:uid="{00000000-0005-0000-0000-00002A000000}"/>
    <cellStyle name="NewSectionHeaderNormal" xfId="11" xr:uid="{00000000-0005-0000-0000-00002B000000}"/>
    <cellStyle name="NewTitleNormal" xfId="12" xr:uid="{00000000-0005-0000-0000-00002C000000}"/>
    <cellStyle name="Normal - Style1" xfId="64" xr:uid="{00000000-0005-0000-0000-00002D000000}"/>
    <cellStyle name="Normal_Bradford Final" xfId="23" xr:uid="{00000000-0005-0000-0000-00002E000000}"/>
    <cellStyle name="Normal_eps-stock_9zdq01_" xfId="28" xr:uid="{00000000-0005-0000-0000-000030000000}"/>
    <cellStyle name="Normal_VF Corp" xfId="24" xr:uid="{00000000-0005-0000-0000-000031000000}"/>
    <cellStyle name="Normal_WACC Analysis" xfId="27" xr:uid="{00000000-0005-0000-0000-000032000000}"/>
    <cellStyle name="OScommands" xfId="65" xr:uid="{00000000-0005-0000-0000-000033000000}"/>
    <cellStyle name="paint" xfId="66" xr:uid="{00000000-0005-0000-0000-000034000000}"/>
    <cellStyle name="Percent [0]" xfId="67" xr:uid="{00000000-0005-0000-0000-000035000000}"/>
    <cellStyle name="Percent [00]" xfId="68" xr:uid="{00000000-0005-0000-0000-000036000000}"/>
    <cellStyle name="Percent [2]" xfId="69" xr:uid="{00000000-0005-0000-0000-000037000000}"/>
    <cellStyle name="Periods" xfId="70" xr:uid="{00000000-0005-0000-0000-000038000000}"/>
    <cellStyle name="PrePop Currency (0)" xfId="71" xr:uid="{00000000-0005-0000-0000-000039000000}"/>
    <cellStyle name="PrePop Currency (2)" xfId="72" xr:uid="{00000000-0005-0000-0000-00003A000000}"/>
    <cellStyle name="PrePop Units (0)" xfId="73" xr:uid="{00000000-0005-0000-0000-00003B000000}"/>
    <cellStyle name="PrePop Units (1)" xfId="74" xr:uid="{00000000-0005-0000-0000-00003C000000}"/>
    <cellStyle name="PrePop Units (2)" xfId="75" xr:uid="{00000000-0005-0000-0000-00003D000000}"/>
    <cellStyle name="ReadInData" xfId="76" xr:uid="{00000000-0005-0000-0000-00003E000000}"/>
    <cellStyle name="ReportNums" xfId="77" xr:uid="{00000000-0005-0000-0000-00003F000000}"/>
    <cellStyle name="SectionHeaderNormal" xfId="13" xr:uid="{00000000-0005-0000-0000-000040000000}"/>
    <cellStyle name="Strikethru" xfId="78" xr:uid="{00000000-0005-0000-0000-000041000000}"/>
    <cellStyle name="SubScript" xfId="14" xr:uid="{00000000-0005-0000-0000-000042000000}"/>
    <cellStyle name="SuperScript" xfId="15" xr:uid="{00000000-0005-0000-0000-000043000000}"/>
    <cellStyle name="Table" xfId="79" xr:uid="{00000000-0005-0000-0000-000044000000}"/>
    <cellStyle name="Text Indent A" xfId="80" xr:uid="{00000000-0005-0000-0000-000045000000}"/>
    <cellStyle name="Text Indent B" xfId="81" xr:uid="{00000000-0005-0000-0000-000046000000}"/>
    <cellStyle name="Text Indent C" xfId="82" xr:uid="{00000000-0005-0000-0000-000047000000}"/>
    <cellStyle name="TextBold" xfId="16" xr:uid="{00000000-0005-0000-0000-000048000000}"/>
    <cellStyle name="TextItalic" xfId="17" xr:uid="{00000000-0005-0000-0000-000049000000}"/>
    <cellStyle name="TextNormal" xfId="18" xr:uid="{00000000-0005-0000-0000-00004A000000}"/>
    <cellStyle name="TitleNormal" xfId="19" xr:uid="{00000000-0005-0000-0000-00004B000000}"/>
    <cellStyle name="Total" xfId="20" xr:uid="{00000000-0005-0000-0000-00004C000000}"/>
    <cellStyle name="UI Background" xfId="83" xr:uid="{00000000-0005-0000-0000-00004D000000}"/>
    <cellStyle name="UIScreenText" xfId="84" xr:uid="{00000000-0005-0000-0000-00004E000000}"/>
    <cellStyle name="Variables" xfId="85" xr:uid="{00000000-0005-0000-0000-00004F000000}"/>
    <cellStyle name="백분율 2" xfId="25" xr:uid="{00000000-0005-0000-0000-000050000000}"/>
    <cellStyle name="쉼표 2" xfId="26" xr:uid="{00000000-0005-0000-0000-000051000000}"/>
    <cellStyle name="표준" xfId="0" builtinId="0"/>
    <cellStyle name="표준 2" xfId="1" xr:uid="{00000000-0005-0000-0000-000053000000}"/>
    <cellStyle name="표준 3" xfId="2" xr:uid="{00000000-0005-0000-0000-000054000000}"/>
    <cellStyle name="표준 4" xfId="22" xr:uid="{00000000-0005-0000-0000-000055000000}"/>
    <cellStyle name="하이퍼링크" xfId="21" builtinId="8"/>
  </cellStyles>
  <dxfs count="2">
    <dxf>
      <font>
        <color theme="0"/>
      </font>
      <border>
        <left style="thin">
          <color auto="1"/>
        </left>
        <right/>
        <top/>
        <bottom/>
        <vertical/>
        <horizontal/>
      </border>
    </dxf>
    <dxf>
      <font>
        <color theme="0"/>
      </font>
      <border>
        <left style="thin">
          <color auto="1"/>
        </left>
        <right/>
        <top/>
        <bottom/>
        <vertical/>
        <horizontal/>
      </border>
    </dxf>
  </dxfs>
  <tableStyles count="0" defaultTableStyle="TableStyleMedium2" defaultPivotStyle="PivotStyleLight16"/>
  <colors>
    <mruColors>
      <color rgb="FF0000FF"/>
      <color rgb="FF006600"/>
      <color rgb="FFFFFFCC"/>
      <color rgb="FF6600CC"/>
      <color rgb="FF000000"/>
      <color rgb="FF3399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091885596321"/>
          <c:y val="2.6315813626914375E-2"/>
          <c:w val="0.87346740963373271"/>
          <c:h val="0.87970005552827901"/>
        </c:manualLayout>
      </c:layout>
      <c:stockChart>
        <c:ser>
          <c:idx val="0"/>
          <c:order val="0"/>
          <c:tx>
            <c:strRef>
              <c:f>'Valuation Chart'!$L$18</c:f>
              <c:strCache>
                <c:ptCount val="1"/>
                <c:pt idx="0">
                  <c:v>Mean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Chart'!$L$19:$L$26</c:f>
              <c:numCache>
                <c:formatCode>#,##0.0</c:formatCode>
                <c:ptCount val="8"/>
                <c:pt idx="0">
                  <c:v>1007.6304803160001</c:v>
                </c:pt>
                <c:pt idx="1">
                  <c:v>969.02830320000021</c:v>
                </c:pt>
                <c:pt idx="2">
                  <c:v>1366.6305968799998</c:v>
                </c:pt>
                <c:pt idx="3">
                  <c:v>1270.7467035469997</c:v>
                </c:pt>
                <c:pt idx="4">
                  <c:v>945.32305652666673</c:v>
                </c:pt>
                <c:pt idx="5">
                  <c:v>34.538947784104082</c:v>
                </c:pt>
                <c:pt idx="6">
                  <c:v>1431.7861912512458</c:v>
                </c:pt>
                <c:pt idx="7">
                  <c:v>1764.4270809475772</c:v>
                </c:pt>
              </c:numCache>
            </c:numRef>
          </c:val>
          <c:smooth val="0"/>
          <c:extLst>
            <c:ext xmlns:c16="http://schemas.microsoft.com/office/drawing/2014/chart" uri="{C3380CC4-5D6E-409C-BE32-E72D297353CC}">
              <c16:uniqueId val="{00000000-AF89-4EF4-A295-6B360B6E34F0}"/>
            </c:ext>
          </c:extLst>
        </c:ser>
        <c:ser>
          <c:idx val="1"/>
          <c:order val="1"/>
          <c:tx>
            <c:strRef>
              <c:f>'Valuation Chart'!$M$18</c:f>
              <c:strCache>
                <c:ptCount val="1"/>
                <c:pt idx="0">
                  <c:v>High</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Chart'!$M$19:$M$26</c:f>
              <c:numCache>
                <c:formatCode>#,##0.0</c:formatCode>
                <c:ptCount val="8"/>
                <c:pt idx="0">
                  <c:v>2654.0566823099998</c:v>
                </c:pt>
                <c:pt idx="1">
                  <c:v>1656.274602</c:v>
                </c:pt>
                <c:pt idx="2">
                  <c:v>3362.2573480799997</c:v>
                </c:pt>
                <c:pt idx="3">
                  <c:v>3552.2072941379997</c:v>
                </c:pt>
                <c:pt idx="4">
                  <c:v>1518.6372062099999</c:v>
                </c:pt>
                <c:pt idx="5">
                  <c:v>67.544697930866278</c:v>
                </c:pt>
                <c:pt idx="6">
                  <c:v>4635.1075502321655</c:v>
                </c:pt>
                <c:pt idx="7">
                  <c:v>3805.552281353438</c:v>
                </c:pt>
              </c:numCache>
            </c:numRef>
          </c:val>
          <c:smooth val="0"/>
          <c:extLst>
            <c:ext xmlns:c16="http://schemas.microsoft.com/office/drawing/2014/chart" uri="{C3380CC4-5D6E-409C-BE32-E72D297353CC}">
              <c16:uniqueId val="{00000001-AF89-4EF4-A295-6B360B6E34F0}"/>
            </c:ext>
          </c:extLst>
        </c:ser>
        <c:ser>
          <c:idx val="2"/>
          <c:order val="2"/>
          <c:tx>
            <c:strRef>
              <c:f>'Valuation Chart'!$N$18</c:f>
              <c:strCache>
                <c:ptCount val="1"/>
                <c:pt idx="0">
                  <c:v>Low</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Chart'!$N$19:$N$26</c:f>
              <c:numCache>
                <c:formatCode>#,##0.0</c:formatCode>
                <c:ptCount val="8"/>
                <c:pt idx="0">
                  <c:v>276.93780429000003</c:v>
                </c:pt>
                <c:pt idx="1">
                  <c:v>530.278728</c:v>
                </c:pt>
                <c:pt idx="2">
                  <c:v>499.09827270000005</c:v>
                </c:pt>
                <c:pt idx="3">
                  <c:v>306.03262722900001</c:v>
                </c:pt>
                <c:pt idx="4">
                  <c:v>558.62136978000001</c:v>
                </c:pt>
                <c:pt idx="5">
                  <c:v>8.0728421904260514</c:v>
                </c:pt>
                <c:pt idx="6">
                  <c:v>329.45152523231332</c:v>
                </c:pt>
                <c:pt idx="7">
                  <c:v>390.80218839654748</c:v>
                </c:pt>
              </c:numCache>
            </c:numRef>
          </c:val>
          <c:smooth val="0"/>
          <c:extLst>
            <c:ext xmlns:c16="http://schemas.microsoft.com/office/drawing/2014/chart" uri="{C3380CC4-5D6E-409C-BE32-E72D297353CC}">
              <c16:uniqueId val="{00000002-AF89-4EF4-A295-6B360B6E34F0}"/>
            </c:ext>
          </c:extLst>
        </c:ser>
        <c:ser>
          <c:idx val="3"/>
          <c:order val="3"/>
          <c:tx>
            <c:strRef>
              <c:f>'Valuation Chart'!$O$18</c:f>
              <c:strCache>
                <c:ptCount val="1"/>
                <c:pt idx="0">
                  <c:v>Median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Chart'!$O$19:$O$26</c:f>
              <c:numCache>
                <c:formatCode>#,##0.0</c:formatCode>
                <c:ptCount val="8"/>
                <c:pt idx="0">
                  <c:v>645.38539837500002</c:v>
                </c:pt>
                <c:pt idx="1">
                  <c:v>894.0584070000001</c:v>
                </c:pt>
                <c:pt idx="2">
                  <c:v>1205.0067412200001</c:v>
                </c:pt>
                <c:pt idx="3">
                  <c:v>607.29642042600005</c:v>
                </c:pt>
                <c:pt idx="4">
                  <c:v>941.1457895399999</c:v>
                </c:pt>
                <c:pt idx="5">
                  <c:v>22.915485728143153</c:v>
                </c:pt>
                <c:pt idx="6">
                  <c:v>516.84662432666676</c:v>
                </c:pt>
                <c:pt idx="7">
                  <c:v>1142.4418248130326</c:v>
                </c:pt>
              </c:numCache>
            </c:numRef>
          </c:val>
          <c:smooth val="0"/>
          <c:extLst>
            <c:ext xmlns:c16="http://schemas.microsoft.com/office/drawing/2014/chart" uri="{C3380CC4-5D6E-409C-BE32-E72D297353CC}">
              <c16:uniqueId val="{00000003-AF89-4EF4-A295-6B360B6E34F0}"/>
            </c:ext>
          </c:extLst>
        </c:ser>
        <c:dLbls>
          <c:showLegendKey val="0"/>
          <c:showVal val="0"/>
          <c:showCatName val="0"/>
          <c:showSerName val="0"/>
          <c:showPercent val="0"/>
          <c:showBubbleSize val="0"/>
        </c:dLbls>
        <c:hiLowLines>
          <c:spPr>
            <a:ln>
              <a:solidFill>
                <a:schemeClr val="tx2"/>
              </a:solidFill>
            </a:ln>
          </c:spPr>
        </c:hiLowLines>
        <c:upDownBars>
          <c:gapWidth val="150"/>
          <c:upBars>
            <c:spPr>
              <a:solidFill>
                <a:schemeClr val="accent1"/>
              </a:solidFill>
              <a:ln>
                <a:noFill/>
              </a:ln>
            </c:spPr>
          </c:upBars>
          <c:downBars>
            <c:spPr>
              <a:solidFill>
                <a:schemeClr val="accent1"/>
              </a:solidFill>
              <a:ln>
                <a:noFill/>
              </a:ln>
            </c:spPr>
          </c:downBars>
        </c:upDownBars>
        <c:axId val="131919360"/>
        <c:axId val="201544768"/>
      </c:stockChart>
      <c:stockChart>
        <c:ser>
          <c:idx val="4"/>
          <c:order val="4"/>
          <c:tx>
            <c:strRef>
              <c:f>'Valuation Chart'!$P$18</c:f>
              <c:strCache>
                <c:ptCount val="1"/>
              </c:strCache>
            </c:strRef>
          </c:tx>
          <c:spPr>
            <a:ln w="28575">
              <a:solidFill>
                <a:srgbClr val="FFC000"/>
              </a:solid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Chart'!$P$19:$P$26</c:f>
              <c:numCache>
                <c:formatCode>General</c:formatCode>
                <c:ptCount val="8"/>
              </c:numCache>
            </c:numRef>
          </c:val>
          <c:smooth val="0"/>
          <c:extLst>
            <c:ext xmlns:c16="http://schemas.microsoft.com/office/drawing/2014/chart" uri="{C3380CC4-5D6E-409C-BE32-E72D297353CC}">
              <c16:uniqueId val="{00000004-AF89-4EF4-A295-6B360B6E34F0}"/>
            </c:ext>
          </c:extLst>
        </c:ser>
        <c:dLbls>
          <c:showLegendKey val="0"/>
          <c:showVal val="0"/>
          <c:showCatName val="0"/>
          <c:showSerName val="0"/>
          <c:showPercent val="0"/>
          <c:showBubbleSize val="0"/>
        </c:dLbls>
        <c:axId val="132321280"/>
        <c:axId val="201543040"/>
      </c:stockChart>
      <c:catAx>
        <c:axId val="131919360"/>
        <c:scaling>
          <c:orientation val="minMax"/>
        </c:scaling>
        <c:delete val="0"/>
        <c:axPos val="b"/>
        <c:numFmt formatCode="General" sourceLinked="1"/>
        <c:majorTickMark val="out"/>
        <c:minorTickMark val="none"/>
        <c:tickLblPos val="nextTo"/>
        <c:spPr>
          <a:ln w="3175">
            <a:solidFill>
              <a:srgbClr val="5A5A5A"/>
            </a:solidFill>
            <a:prstDash val="solid"/>
          </a:ln>
        </c:spPr>
        <c:crossAx val="201544768"/>
        <c:crosses val="autoZero"/>
        <c:auto val="1"/>
        <c:lblAlgn val="ctr"/>
        <c:lblOffset val="100"/>
        <c:noMultiLvlLbl val="0"/>
      </c:catAx>
      <c:valAx>
        <c:axId val="201544768"/>
        <c:scaling>
          <c:orientation val="minMax"/>
        </c:scaling>
        <c:delete val="0"/>
        <c:axPos val="l"/>
        <c:majorGridlines>
          <c:spPr>
            <a:ln w="3175">
              <a:solidFill>
                <a:srgbClr val="5A5A5A"/>
              </a:solidFill>
              <a:prstDash val="sysDot"/>
            </a:ln>
          </c:spPr>
        </c:majorGridlines>
        <c:title>
          <c:tx>
            <c:rich>
              <a:bodyPr rot="-5400000" vert="horz"/>
              <a:lstStyle/>
              <a:p>
                <a:pPr>
                  <a:defRPr/>
                </a:pPr>
                <a:r>
                  <a:rPr lang="en-US"/>
                  <a:t>Implied</a:t>
                </a:r>
                <a:r>
                  <a:rPr lang="en-US" baseline="0"/>
                  <a:t> Equity Value</a:t>
                </a:r>
                <a:endParaRPr lang="en-US"/>
              </a:p>
            </c:rich>
          </c:tx>
          <c:layout>
            <c:manualLayout>
              <c:xMode val="edge"/>
              <c:yMode val="edge"/>
              <c:x val="8.116556408366964E-3"/>
              <c:y val="0.35342766364730793"/>
            </c:manualLayout>
          </c:layout>
          <c:overlay val="0"/>
          <c:spPr>
            <a:noFill/>
            <a:ln w="25400">
              <a:noFill/>
            </a:ln>
          </c:spPr>
        </c:title>
        <c:numFmt formatCode="#,##0" sourceLinked="0"/>
        <c:majorTickMark val="out"/>
        <c:minorTickMark val="none"/>
        <c:tickLblPos val="nextTo"/>
        <c:spPr>
          <a:ln w="3175">
            <a:solidFill>
              <a:srgbClr val="5A5A5A"/>
            </a:solidFill>
            <a:prstDash val="solid"/>
          </a:ln>
        </c:spPr>
        <c:crossAx val="131919360"/>
        <c:crosses val="autoZero"/>
        <c:crossBetween val="between"/>
      </c:valAx>
      <c:valAx>
        <c:axId val="201543040"/>
        <c:scaling>
          <c:orientation val="minMax"/>
          <c:max val="140000"/>
          <c:min val="0"/>
        </c:scaling>
        <c:delete val="0"/>
        <c:axPos val="r"/>
        <c:numFmt formatCode="0" sourceLinked="0"/>
        <c:majorTickMark val="none"/>
        <c:minorTickMark val="none"/>
        <c:tickLblPos val="none"/>
        <c:crossAx val="132321280"/>
        <c:crosses val="max"/>
        <c:crossBetween val="between"/>
      </c:valAx>
      <c:catAx>
        <c:axId val="132321280"/>
        <c:scaling>
          <c:orientation val="minMax"/>
        </c:scaling>
        <c:delete val="1"/>
        <c:axPos val="t"/>
        <c:numFmt formatCode="General" sourceLinked="1"/>
        <c:majorTickMark val="out"/>
        <c:minorTickMark val="none"/>
        <c:tickLblPos val="none"/>
        <c:crossAx val="201543040"/>
        <c:crosses val="max"/>
        <c:auto val="1"/>
        <c:lblAlgn val="ctr"/>
        <c:lblOffset val="100"/>
        <c:noMultiLvlLbl val="0"/>
      </c:catAx>
      <c:spPr>
        <a:noFill/>
        <a:ln>
          <a:solidFill>
            <a:schemeClr val="tx1"/>
          </a:solidFill>
        </a:ln>
      </c:spPr>
    </c:plotArea>
    <c:plotVisOnly val="1"/>
    <c:dispBlanksAs val="gap"/>
    <c:showDLblsOverMax val="0"/>
  </c:chart>
  <c:spPr>
    <a:noFill/>
    <a:ln>
      <a:noFill/>
    </a:ln>
  </c:spPr>
  <c:printSettings>
    <c:headerFooter/>
    <c:pageMargins b="0.75000000000000178" l="0.70000000000000062" r="0.70000000000000062" t="0.7500000000000017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295275</xdr:colOff>
      <xdr:row>23</xdr:row>
      <xdr:rowOff>166946</xdr:rowOff>
    </xdr:from>
    <xdr:to>
      <xdr:col>12</xdr:col>
      <xdr:colOff>133350</xdr:colOff>
      <xdr:row>25</xdr:row>
      <xdr:rowOff>201056</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543800" y="5091371"/>
          <a:ext cx="1562100" cy="453210"/>
        </a:xfrm>
        <a:prstGeom prst="rect">
          <a:avLst/>
        </a:prstGeom>
      </xdr:spPr>
    </xdr:pic>
    <xdr:clientData/>
  </xdr:twoCellAnchor>
  <xdr:twoCellAnchor editAs="oneCell">
    <xdr:from>
      <xdr:col>1</xdr:col>
      <xdr:colOff>28576</xdr:colOff>
      <xdr:row>23</xdr:row>
      <xdr:rowOff>164796</xdr:rowOff>
    </xdr:from>
    <xdr:to>
      <xdr:col>4</xdr:col>
      <xdr:colOff>209550</xdr:colOff>
      <xdr:row>26</xdr:row>
      <xdr:rowOff>9235</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238126" y="5089221"/>
          <a:ext cx="1771649" cy="4730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4836" y="691356"/>
          <a:ext cx="974912" cy="250003"/>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7" name="Picture 4">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598280</xdr:colOff>
      <xdr:row>5</xdr:row>
      <xdr:rowOff>134535</xdr:rowOff>
    </xdr:to>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0</xdr:col>
      <xdr:colOff>2089692</xdr:colOff>
      <xdr:row>0</xdr:row>
      <xdr:rowOff>942975</xdr:rowOff>
    </xdr:to>
    <xdr:pic>
      <xdr:nvPicPr>
        <xdr:cNvPr id="2" name="Picture 2">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95250"/>
          <a:ext cx="1984917"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69</xdr:row>
      <xdr:rowOff>0</xdr:rowOff>
    </xdr:from>
    <xdr:to>
      <xdr:col>3</xdr:col>
      <xdr:colOff>581025</xdr:colOff>
      <xdr:row>69</xdr:row>
      <xdr:rowOff>1905000</xdr:rowOff>
    </xdr:to>
    <xdr:pic>
      <xdr:nvPicPr>
        <xdr:cNvPr id="3" name="Picture 3">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0915650"/>
          <a:ext cx="5600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xdr:row>
      <xdr:rowOff>0</xdr:rowOff>
    </xdr:from>
    <xdr:to>
      <xdr:col>1</xdr:col>
      <xdr:colOff>762000</xdr:colOff>
      <xdr:row>92</xdr:row>
      <xdr:rowOff>104775</xdr:rowOff>
    </xdr:to>
    <xdr:pic>
      <xdr:nvPicPr>
        <xdr:cNvPr id="3" name="Picture 3">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294447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40</xdr:row>
      <xdr:rowOff>0</xdr:rowOff>
    </xdr:from>
    <xdr:to>
      <xdr:col>1</xdr:col>
      <xdr:colOff>762000</xdr:colOff>
      <xdr:row>42</xdr:row>
      <xdr:rowOff>104775</xdr:rowOff>
    </xdr:to>
    <xdr:pic>
      <xdr:nvPicPr>
        <xdr:cNvPr id="3" name="Picture 3">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8058150"/>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17</xdr:col>
      <xdr:colOff>514350</xdr:colOff>
      <xdr:row>2</xdr:row>
      <xdr:rowOff>19050</xdr:rowOff>
    </xdr:from>
    <xdr:to>
      <xdr:col>18</xdr:col>
      <xdr:colOff>695325</xdr:colOff>
      <xdr:row>3</xdr:row>
      <xdr:rowOff>0</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3" name="Picture 1">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4" name="Picture 1">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95250</xdr:colOff>
      <xdr:row>1</xdr:row>
      <xdr:rowOff>19050</xdr:rowOff>
    </xdr:from>
    <xdr:to>
      <xdr:col>8</xdr:col>
      <xdr:colOff>1010771</xdr:colOff>
      <xdr:row>2</xdr:row>
      <xdr:rowOff>0</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47625</xdr:colOff>
      <xdr:row>10</xdr:row>
      <xdr:rowOff>47625</xdr:rowOff>
    </xdr:from>
    <xdr:to>
      <xdr:col>6</xdr:col>
      <xdr:colOff>466725</xdr:colOff>
      <xdr:row>41</xdr:row>
      <xdr:rowOff>95250</xdr:rowOff>
    </xdr:to>
    <xdr:graphicFrame macro="">
      <xdr:nvGraphicFramePr>
        <xdr:cNvPr id="2" name="Chart 8">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285750</xdr:colOff>
      <xdr:row>1</xdr:row>
      <xdr:rowOff>19050</xdr:rowOff>
    </xdr:from>
    <xdr:to>
      <xdr:col>6</xdr:col>
      <xdr:colOff>582146</xdr:colOff>
      <xdr:row>2</xdr:row>
      <xdr:rowOff>0</xdr:rowOff>
    </xdr:to>
    <xdr:pic>
      <xdr:nvPicPr>
        <xdr:cNvPr id="3" name="Picture 1">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0105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xdr:row>
      <xdr:rowOff>0</xdr:rowOff>
    </xdr:from>
    <xdr:to>
      <xdr:col>0</xdr:col>
      <xdr:colOff>9525</xdr:colOff>
      <xdr:row>16</xdr:row>
      <xdr:rowOff>9525</xdr:rowOff>
    </xdr:to>
    <xdr:pic>
      <xdr:nvPicPr>
        <xdr:cNvPr id="3" name="Picture 3">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H/Google%20&#46300;&#46972;&#51060;&#48652;/9%20Wall%20Street%20Training/111%203SM%20and%20DCF/WST_Modeling%20class_&#49688;&#50629;%20&#51652;&#54665;&#50857;_&#48120;&#47000;&#50640;&#49483;_updated/Wall%20Street%20Training_3%20SM_p125_3SM%20ends%20with%20balance_ready%20for%20DCF%20start%20w%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S"/>
      <sheetName val="BS"/>
      <sheetName val="SCF"/>
      <sheetName val="Working Capital"/>
      <sheetName val="PP&amp;E"/>
      <sheetName val="Intangibles"/>
      <sheetName val="Other LT Items"/>
      <sheetName val="Equity"/>
      <sheetName val="Share"/>
      <sheetName val="Debt&amp;Interest"/>
      <sheetName val="DCF Analysis"/>
      <sheetName val="CR"/>
    </sheetNames>
    <sheetDataSet>
      <sheetData sheetId="0">
        <row r="6">
          <cell r="K6">
            <v>1</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ustomProperty" Target="../customProperty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6.bin"/><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7.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8.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sec.gov/cgi-bin/viewer?action=view&amp;cik=1620533&amp;accession_number=0001620533-18-000015&amp;xbrl_type=v" TargetMode="External"/><Relationship Id="rId2" Type="http://schemas.openxmlformats.org/officeDocument/2006/relationships/hyperlink" Target="https://www.sec.gov/Archives/edgar/data/1620533/000162053318000015/shak-20171227_10k.htm" TargetMode="External"/><Relationship Id="rId1" Type="http://schemas.openxmlformats.org/officeDocument/2006/relationships/hyperlink" Target="https://www.sec.gov/cgi-bin/browse-edgar?company=shake+shack&amp;match=&amp;CIK=&amp;filenum=&amp;State=&amp;Country=&amp;SIC=&amp;owner=exclude&amp;Find=Find+Companies&amp;action=getcompany"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customProperty" Target="../customProperty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5.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
  <sheetViews>
    <sheetView workbookViewId="0"/>
  </sheetViews>
  <sheetFormatPr defaultRowHeight="17.399999999999999" x14ac:dyDescent="0.4"/>
  <sheetData>
    <row r="1" spans="1:26" x14ac:dyDescent="0.4">
      <c r="A1">
        <v>26</v>
      </c>
      <c r="B1" t="s">
        <v>1262</v>
      </c>
      <c r="C1" t="s">
        <v>1252</v>
      </c>
      <c r="D1" t="s">
        <v>1263</v>
      </c>
      <c r="E1" t="s">
        <v>1264</v>
      </c>
      <c r="F1" t="s">
        <v>1265</v>
      </c>
      <c r="G1" t="s">
        <v>1266</v>
      </c>
      <c r="H1" t="s">
        <v>1267</v>
      </c>
      <c r="I1" t="s">
        <v>1268</v>
      </c>
      <c r="J1" t="s">
        <v>1269</v>
      </c>
      <c r="K1" t="s">
        <v>1253</v>
      </c>
      <c r="L1" t="s">
        <v>1270</v>
      </c>
      <c r="M1" t="s">
        <v>1254</v>
      </c>
      <c r="N1" t="s">
        <v>1271</v>
      </c>
      <c r="O1" t="s">
        <v>1255</v>
      </c>
      <c r="P1" t="s">
        <v>1256</v>
      </c>
      <c r="Q1" t="s">
        <v>1257</v>
      </c>
      <c r="R1" t="s">
        <v>1272</v>
      </c>
      <c r="S1" t="s">
        <v>1273</v>
      </c>
      <c r="T1" t="s">
        <v>1274</v>
      </c>
      <c r="U1" t="s">
        <v>1258</v>
      </c>
      <c r="V1" t="s">
        <v>1259</v>
      </c>
      <c r="W1" t="s">
        <v>1275</v>
      </c>
      <c r="X1" t="s">
        <v>1276</v>
      </c>
      <c r="Y1" t="s">
        <v>1260</v>
      </c>
      <c r="Z1" t="s">
        <v>1261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M36"/>
  <sheetViews>
    <sheetView showGridLines="0" tabSelected="1" view="pageBreakPreview" zoomScaleNormal="100" zoomScaleSheetLayoutView="100" workbookViewId="0"/>
  </sheetViews>
  <sheetFormatPr defaultColWidth="9" defaultRowHeight="17.399999999999999" x14ac:dyDescent="0.4"/>
  <cols>
    <col min="1" max="3" width="2.69921875" style="36" customWidth="1"/>
    <col min="4" max="4" width="15.296875" style="36" bestFit="1" customWidth="1"/>
    <col min="5" max="5" width="7.69921875" style="36" customWidth="1"/>
    <col min="6" max="6" width="18.69921875" style="36" customWidth="1"/>
    <col min="7" max="7" width="9.09765625" style="36" customWidth="1"/>
    <col min="8" max="8" width="12.69921875" style="36" customWidth="1"/>
    <col min="9" max="9" width="15.296875" style="36" bestFit="1" customWidth="1"/>
    <col min="10" max="10" width="7.69921875" style="36" customWidth="1"/>
    <col min="11" max="11" width="13.59765625" style="36" customWidth="1"/>
    <col min="12" max="12" width="9" style="36"/>
    <col min="13" max="13" width="2.19921875" style="36" customWidth="1"/>
    <col min="14" max="14" width="2.69921875" style="36" customWidth="1"/>
    <col min="15" max="16384" width="9" style="36"/>
  </cols>
  <sheetData>
    <row r="1" spans="1:13" ht="25.8" thickBot="1" x14ac:dyDescent="0.6">
      <c r="A1" s="33"/>
      <c r="B1" s="34"/>
      <c r="C1" s="35"/>
      <c r="D1" s="35"/>
      <c r="E1" s="35"/>
      <c r="F1" s="35"/>
      <c r="G1" s="35"/>
      <c r="H1" s="35"/>
      <c r="I1" s="35"/>
      <c r="J1" s="35"/>
      <c r="K1" s="35"/>
      <c r="L1" s="34"/>
      <c r="M1" s="35"/>
    </row>
    <row r="2" spans="1:13" ht="24" customHeight="1" x14ac:dyDescent="0.55000000000000004">
      <c r="B2" s="37" t="s">
        <v>219</v>
      </c>
    </row>
    <row r="3" spans="1:13" ht="6.75" customHeight="1" thickBot="1" x14ac:dyDescent="0.6">
      <c r="B3" s="34"/>
      <c r="C3" s="35"/>
      <c r="D3" s="35"/>
      <c r="E3" s="35"/>
      <c r="F3" s="35"/>
      <c r="G3" s="35"/>
      <c r="H3" s="35"/>
      <c r="I3" s="35"/>
      <c r="J3" s="35"/>
      <c r="K3" s="35"/>
      <c r="L3" s="34"/>
      <c r="M3" s="35"/>
    </row>
    <row r="6" spans="1:13" x14ac:dyDescent="0.4">
      <c r="D6" s="36" t="s">
        <v>205</v>
      </c>
      <c r="F6" s="38" t="s">
        <v>220</v>
      </c>
      <c r="I6" s="36" t="s">
        <v>206</v>
      </c>
      <c r="K6" s="39">
        <v>0</v>
      </c>
    </row>
    <row r="7" spans="1:13" x14ac:dyDescent="0.4">
      <c r="D7" s="36" t="s">
        <v>221</v>
      </c>
      <c r="F7" s="38" t="s">
        <v>222</v>
      </c>
    </row>
    <row r="9" spans="1:13" x14ac:dyDescent="0.4">
      <c r="D9" s="36" t="s">
        <v>207</v>
      </c>
      <c r="F9" s="40">
        <v>44407</v>
      </c>
      <c r="I9" s="36" t="s">
        <v>208</v>
      </c>
      <c r="K9" s="220">
        <v>1526428.299517632</v>
      </c>
    </row>
    <row r="10" spans="1:13" x14ac:dyDescent="0.4">
      <c r="D10" s="36" t="s">
        <v>209</v>
      </c>
      <c r="F10" s="38" t="s">
        <v>210</v>
      </c>
      <c r="I10" s="36" t="s">
        <v>211</v>
      </c>
      <c r="K10" s="220">
        <v>1559857.299517632</v>
      </c>
    </row>
    <row r="11" spans="1:13" x14ac:dyDescent="0.4">
      <c r="A11" s="36" t="s">
        <v>212</v>
      </c>
      <c r="I11" s="41" t="s">
        <v>213</v>
      </c>
      <c r="J11" s="41"/>
      <c r="K11" s="43">
        <v>57.605758041941193</v>
      </c>
    </row>
    <row r="12" spans="1:13" x14ac:dyDescent="0.4">
      <c r="I12" s="221" t="s">
        <v>895</v>
      </c>
      <c r="J12" s="221"/>
      <c r="K12" s="222">
        <v>43.2</v>
      </c>
    </row>
    <row r="13" spans="1:13" x14ac:dyDescent="0.4">
      <c r="K13" s="219" t="s">
        <v>224</v>
      </c>
    </row>
    <row r="17" spans="3:6" x14ac:dyDescent="0.4">
      <c r="F17"/>
    </row>
    <row r="29" spans="3:6" x14ac:dyDescent="0.4">
      <c r="C29" s="42" t="s">
        <v>1277</v>
      </c>
    </row>
    <row r="30" spans="3:6" x14ac:dyDescent="0.4">
      <c r="C30" s="42" t="s">
        <v>214</v>
      </c>
    </row>
    <row r="31" spans="3:6" x14ac:dyDescent="0.4">
      <c r="C31" s="42" t="s">
        <v>1226</v>
      </c>
    </row>
    <row r="32" spans="3:6" x14ac:dyDescent="0.4">
      <c r="C32" s="42"/>
    </row>
    <row r="33" spans="3:3" x14ac:dyDescent="0.4">
      <c r="C33" s="42" t="s">
        <v>1278</v>
      </c>
    </row>
    <row r="34" spans="3:3" x14ac:dyDescent="0.4">
      <c r="C34" s="42" t="s">
        <v>216</v>
      </c>
    </row>
    <row r="35" spans="3:3" x14ac:dyDescent="0.4">
      <c r="C35" s="42" t="s">
        <v>217</v>
      </c>
    </row>
    <row r="36" spans="3:3" x14ac:dyDescent="0.4">
      <c r="C36" s="42" t="s">
        <v>218</v>
      </c>
    </row>
  </sheetData>
  <phoneticPr fontId="1" type="noConversion"/>
  <pageMargins left="0.7" right="0.7" top="0.75" bottom="0.75" header="0.3" footer="0.3"/>
  <pageSetup paperSize="9" scale="9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sheetPr>
  <dimension ref="A1:Y113"/>
  <sheetViews>
    <sheetView showGridLines="0" zoomScaleNormal="100" workbookViewId="0">
      <pane ySplit="8" topLeftCell="A9" activePane="bottomLeft" state="frozen"/>
      <selection activeCell="I16" sqref="I16"/>
      <selection pane="bottomLeft"/>
    </sheetView>
  </sheetViews>
  <sheetFormatPr defaultColWidth="8.59765625" defaultRowHeight="13.2" outlineLevelRow="1"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0" ht="8.1" customHeight="1" x14ac:dyDescent="0.4"/>
    <row r="2" spans="1:20" x14ac:dyDescent="0.4">
      <c r="B2" s="2" t="s">
        <v>229</v>
      </c>
    </row>
    <row r="3" spans="1:20" s="60" customFormat="1" ht="18" thickBot="1" x14ac:dyDescent="0.35">
      <c r="A3" s="59"/>
      <c r="B3" s="65" t="s">
        <v>233</v>
      </c>
    </row>
    <row r="4" spans="1:20" s="62" customFormat="1" x14ac:dyDescent="0.25">
      <c r="A4" s="59"/>
      <c r="B4" s="64" t="s">
        <v>223</v>
      </c>
    </row>
    <row r="5" spans="1:20" s="62" customFormat="1" x14ac:dyDescent="0.25">
      <c r="A5" s="59"/>
    </row>
    <row r="6" spans="1:20" s="62" customFormat="1" x14ac:dyDescent="0.25">
      <c r="A6" s="59"/>
    </row>
    <row r="7" spans="1:20" x14ac:dyDescent="0.4">
      <c r="B7" s="6"/>
      <c r="F7" s="53"/>
      <c r="G7" s="53"/>
      <c r="H7" s="53" t="s">
        <v>225</v>
      </c>
      <c r="I7" s="53"/>
      <c r="J7" s="54"/>
      <c r="K7" s="53" t="s">
        <v>226</v>
      </c>
      <c r="L7" s="53"/>
      <c r="M7" s="53"/>
      <c r="N7" s="53"/>
      <c r="O7" s="53"/>
      <c r="P7" s="53"/>
      <c r="Q7" s="53"/>
      <c r="R7" s="53"/>
      <c r="S7" s="53"/>
      <c r="T7" s="53"/>
    </row>
    <row r="8" spans="1:20"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0" x14ac:dyDescent="0.4">
      <c r="J9" s="44"/>
    </row>
    <row r="10" spans="1:20" x14ac:dyDescent="0.4">
      <c r="A10" s="1" t="s">
        <v>235</v>
      </c>
      <c r="B10" s="578" t="s">
        <v>240</v>
      </c>
      <c r="C10" s="578"/>
      <c r="D10" s="578"/>
      <c r="E10" s="578"/>
      <c r="F10" s="578"/>
      <c r="G10" s="578"/>
      <c r="H10" s="578"/>
      <c r="I10" s="578"/>
      <c r="J10" s="579"/>
      <c r="K10" s="578"/>
      <c r="L10" s="578"/>
      <c r="M10" s="578"/>
      <c r="N10" s="578"/>
      <c r="O10" s="578"/>
      <c r="P10" s="578"/>
      <c r="Q10" s="578"/>
      <c r="R10" s="578"/>
      <c r="S10" s="578"/>
      <c r="T10" s="578"/>
    </row>
    <row r="11" spans="1:20" x14ac:dyDescent="0.4">
      <c r="B11" s="1" t="s">
        <v>3</v>
      </c>
      <c r="J11" s="44"/>
    </row>
    <row r="12" spans="1:20" x14ac:dyDescent="0.4">
      <c r="C12" s="1" t="s">
        <v>0</v>
      </c>
      <c r="F12" s="17">
        <v>21</v>
      </c>
      <c r="G12" s="17">
        <v>31</v>
      </c>
      <c r="H12" s="17">
        <v>44</v>
      </c>
      <c r="I12" s="17">
        <v>64</v>
      </c>
      <c r="J12" s="51">
        <v>90</v>
      </c>
      <c r="K12" s="3">
        <v>123</v>
      </c>
      <c r="L12" s="3">
        <v>163</v>
      </c>
      <c r="M12" s="3">
        <v>200</v>
      </c>
      <c r="N12" s="3">
        <v>225</v>
      </c>
      <c r="O12" s="3">
        <v>250</v>
      </c>
      <c r="P12" s="3">
        <v>270</v>
      </c>
      <c r="Q12" s="3">
        <v>290</v>
      </c>
      <c r="R12" s="3">
        <v>305</v>
      </c>
      <c r="S12" s="3">
        <v>315</v>
      </c>
      <c r="T12" s="3">
        <v>320</v>
      </c>
    </row>
    <row r="13" spans="1:20" x14ac:dyDescent="0.4">
      <c r="C13" s="1" t="s">
        <v>1</v>
      </c>
      <c r="F13" s="17">
        <v>4</v>
      </c>
      <c r="G13" s="17">
        <v>5</v>
      </c>
      <c r="H13" s="17">
        <v>5</v>
      </c>
      <c r="I13" s="17">
        <v>7</v>
      </c>
      <c r="J13" s="51">
        <v>10</v>
      </c>
      <c r="K13" s="3">
        <v>13</v>
      </c>
      <c r="L13" s="3">
        <v>16</v>
      </c>
      <c r="M13" s="3">
        <v>19</v>
      </c>
      <c r="N13" s="3">
        <v>22</v>
      </c>
      <c r="O13" s="3">
        <v>24</v>
      </c>
      <c r="P13" s="3">
        <v>26</v>
      </c>
      <c r="Q13" s="3">
        <v>28</v>
      </c>
      <c r="R13" s="3">
        <v>29</v>
      </c>
      <c r="S13" s="3">
        <v>30</v>
      </c>
      <c r="T13" s="3">
        <v>31</v>
      </c>
    </row>
    <row r="14" spans="1:20" x14ac:dyDescent="0.4">
      <c r="C14" s="1" t="s">
        <v>2</v>
      </c>
      <c r="F14" s="17">
        <v>15</v>
      </c>
      <c r="G14" s="17">
        <v>27</v>
      </c>
      <c r="H14" s="17">
        <v>35</v>
      </c>
      <c r="I14" s="17">
        <v>43</v>
      </c>
      <c r="J14" s="51">
        <v>59</v>
      </c>
      <c r="K14" s="3">
        <v>73</v>
      </c>
      <c r="L14" s="3">
        <v>93</v>
      </c>
      <c r="M14" s="3">
        <v>120</v>
      </c>
      <c r="N14" s="3">
        <v>145</v>
      </c>
      <c r="O14" s="3">
        <v>165</v>
      </c>
      <c r="P14" s="3">
        <v>180</v>
      </c>
      <c r="Q14" s="3">
        <v>195</v>
      </c>
      <c r="R14" s="3">
        <v>210</v>
      </c>
      <c r="S14" s="3">
        <v>220</v>
      </c>
      <c r="T14" s="3">
        <v>230</v>
      </c>
    </row>
    <row r="15" spans="1:20" x14ac:dyDescent="0.4">
      <c r="B15" s="2" t="s">
        <v>194</v>
      </c>
      <c r="F15" s="4">
        <v>40</v>
      </c>
      <c r="G15" s="4">
        <v>63</v>
      </c>
      <c r="H15" s="4">
        <v>84</v>
      </c>
      <c r="I15" s="4">
        <v>114</v>
      </c>
      <c r="J15" s="71">
        <v>159</v>
      </c>
      <c r="K15" s="4">
        <v>209</v>
      </c>
      <c r="L15" s="4">
        <v>272</v>
      </c>
      <c r="M15" s="4">
        <v>339</v>
      </c>
      <c r="N15" s="4">
        <v>392</v>
      </c>
      <c r="O15" s="4">
        <v>439</v>
      </c>
      <c r="P15" s="4">
        <v>476</v>
      </c>
      <c r="Q15" s="4">
        <v>513</v>
      </c>
      <c r="R15" s="4">
        <v>544</v>
      </c>
      <c r="S15" s="4">
        <v>565</v>
      </c>
      <c r="T15" s="4">
        <v>581</v>
      </c>
    </row>
    <row r="16" spans="1:20" outlineLevel="1" x14ac:dyDescent="0.4">
      <c r="B16" s="2"/>
      <c r="C16" s="1" t="s">
        <v>82</v>
      </c>
      <c r="F16" s="17">
        <v>8</v>
      </c>
      <c r="G16" s="17">
        <v>13</v>
      </c>
      <c r="H16" s="17">
        <v>21</v>
      </c>
      <c r="I16" s="17">
        <v>29</v>
      </c>
      <c r="J16" s="51">
        <v>43</v>
      </c>
      <c r="K16" s="3">
        <v>64</v>
      </c>
      <c r="L16" s="3">
        <v>90</v>
      </c>
      <c r="M16" s="3">
        <v>123</v>
      </c>
      <c r="N16" s="3">
        <v>163</v>
      </c>
      <c r="O16" s="3">
        <v>200</v>
      </c>
      <c r="P16" s="3">
        <v>225</v>
      </c>
      <c r="Q16" s="3">
        <v>250</v>
      </c>
      <c r="R16" s="3">
        <v>270</v>
      </c>
      <c r="S16" s="3">
        <v>290</v>
      </c>
      <c r="T16" s="3">
        <v>305</v>
      </c>
    </row>
    <row r="17" spans="1:25" x14ac:dyDescent="0.4">
      <c r="B17" s="2"/>
      <c r="F17" s="5"/>
      <c r="G17" s="5"/>
      <c r="H17" s="5"/>
      <c r="I17" s="5"/>
      <c r="J17" s="47"/>
    </row>
    <row r="18" spans="1:25" x14ac:dyDescent="0.4">
      <c r="B18" s="1" t="s">
        <v>191</v>
      </c>
      <c r="F18" s="5"/>
      <c r="G18" s="5"/>
      <c r="H18" s="5"/>
      <c r="I18" s="5"/>
      <c r="J18" s="47"/>
    </row>
    <row r="19" spans="1:25" x14ac:dyDescent="0.4">
      <c r="C19" s="1" t="s">
        <v>0</v>
      </c>
      <c r="F19" s="5"/>
      <c r="G19" s="7">
        <v>10</v>
      </c>
      <c r="H19" s="7">
        <v>13</v>
      </c>
      <c r="I19" s="7">
        <v>20</v>
      </c>
      <c r="J19" s="68">
        <v>26</v>
      </c>
      <c r="K19" s="17">
        <v>33</v>
      </c>
      <c r="L19" s="17">
        <v>40</v>
      </c>
      <c r="M19" s="17">
        <v>37</v>
      </c>
      <c r="N19" s="17">
        <v>25</v>
      </c>
      <c r="O19" s="17">
        <v>25</v>
      </c>
      <c r="P19" s="17">
        <v>20</v>
      </c>
      <c r="Q19" s="17">
        <v>20</v>
      </c>
      <c r="R19" s="17">
        <v>15</v>
      </c>
      <c r="S19" s="17">
        <v>10</v>
      </c>
      <c r="T19" s="17">
        <v>5</v>
      </c>
    </row>
    <row r="20" spans="1:25" x14ac:dyDescent="0.4">
      <c r="B20" s="2"/>
      <c r="C20" s="1" t="s">
        <v>1</v>
      </c>
      <c r="F20" s="5"/>
      <c r="G20" s="7">
        <v>1</v>
      </c>
      <c r="H20" s="7">
        <v>0</v>
      </c>
      <c r="I20" s="7">
        <v>2</v>
      </c>
      <c r="J20" s="68">
        <v>3</v>
      </c>
      <c r="K20" s="17">
        <v>3</v>
      </c>
      <c r="L20" s="17">
        <v>3</v>
      </c>
      <c r="M20" s="17">
        <v>3</v>
      </c>
      <c r="N20" s="17">
        <v>3</v>
      </c>
      <c r="O20" s="17">
        <v>2</v>
      </c>
      <c r="P20" s="17">
        <v>2</v>
      </c>
      <c r="Q20" s="17">
        <v>2</v>
      </c>
      <c r="R20" s="17">
        <v>1</v>
      </c>
      <c r="S20" s="17">
        <v>1</v>
      </c>
      <c r="T20" s="17">
        <v>1</v>
      </c>
    </row>
    <row r="21" spans="1:25" x14ac:dyDescent="0.4">
      <c r="B21" s="2"/>
      <c r="C21" s="1" t="s">
        <v>2</v>
      </c>
      <c r="F21" s="5"/>
      <c r="G21" s="7">
        <v>12</v>
      </c>
      <c r="H21" s="7">
        <v>8</v>
      </c>
      <c r="I21" s="7">
        <v>8</v>
      </c>
      <c r="J21" s="68">
        <v>16</v>
      </c>
      <c r="K21" s="17">
        <v>14</v>
      </c>
      <c r="L21" s="17">
        <v>20</v>
      </c>
      <c r="M21" s="17">
        <v>27</v>
      </c>
      <c r="N21" s="17">
        <v>25</v>
      </c>
      <c r="O21" s="17">
        <v>20</v>
      </c>
      <c r="P21" s="17">
        <v>15</v>
      </c>
      <c r="Q21" s="17">
        <v>15</v>
      </c>
      <c r="R21" s="17">
        <v>15</v>
      </c>
      <c r="S21" s="17">
        <v>10</v>
      </c>
      <c r="T21" s="17">
        <v>10</v>
      </c>
    </row>
    <row r="22" spans="1:25" x14ac:dyDescent="0.4">
      <c r="B22" s="2"/>
      <c r="F22" s="5"/>
      <c r="G22" s="7"/>
      <c r="H22" s="7"/>
      <c r="I22" s="7"/>
      <c r="J22" s="68"/>
      <c r="K22" s="17"/>
      <c r="L22" s="17"/>
      <c r="M22" s="17"/>
      <c r="N22" s="17"/>
      <c r="O22" s="17"/>
      <c r="P22" s="17"/>
      <c r="Q22" s="17"/>
      <c r="R22" s="17"/>
      <c r="S22" s="17"/>
      <c r="T22" s="17"/>
    </row>
    <row r="23" spans="1:25" x14ac:dyDescent="0.4">
      <c r="B23" s="1" t="s">
        <v>192</v>
      </c>
      <c r="F23" s="5"/>
      <c r="G23" s="17">
        <v>0</v>
      </c>
      <c r="H23" s="7">
        <v>0</v>
      </c>
      <c r="I23" s="7">
        <v>-2</v>
      </c>
      <c r="J23" s="68">
        <v>-1</v>
      </c>
      <c r="K23" s="17">
        <v>0</v>
      </c>
      <c r="L23" s="17">
        <v>0</v>
      </c>
      <c r="M23" s="17">
        <v>0</v>
      </c>
      <c r="N23" s="17">
        <v>0</v>
      </c>
      <c r="O23" s="17">
        <v>0</v>
      </c>
      <c r="P23" s="17">
        <v>0</v>
      </c>
      <c r="Q23" s="17">
        <v>0</v>
      </c>
      <c r="R23" s="17">
        <v>0</v>
      </c>
      <c r="S23" s="17">
        <v>0</v>
      </c>
      <c r="T23" s="17">
        <v>0</v>
      </c>
    </row>
    <row r="24" spans="1:25" x14ac:dyDescent="0.4">
      <c r="B24" s="1" t="s">
        <v>817</v>
      </c>
      <c r="F24" s="5"/>
      <c r="G24" s="7">
        <v>10</v>
      </c>
      <c r="H24" s="7">
        <v>13</v>
      </c>
      <c r="I24" s="7">
        <v>22</v>
      </c>
      <c r="J24" s="68">
        <v>27</v>
      </c>
      <c r="K24" s="7">
        <v>33</v>
      </c>
      <c r="L24" s="7">
        <v>40</v>
      </c>
      <c r="M24" s="7">
        <v>37</v>
      </c>
      <c r="N24" s="7">
        <v>25</v>
      </c>
      <c r="O24" s="7">
        <v>25</v>
      </c>
      <c r="P24" s="7">
        <v>20</v>
      </c>
      <c r="Q24" s="7">
        <v>20</v>
      </c>
      <c r="R24" s="7">
        <v>15</v>
      </c>
      <c r="S24" s="7">
        <v>10</v>
      </c>
      <c r="T24" s="7">
        <v>5</v>
      </c>
    </row>
    <row r="25" spans="1:25" x14ac:dyDescent="0.4">
      <c r="J25" s="44"/>
    </row>
    <row r="26" spans="1:25" x14ac:dyDescent="0.4">
      <c r="A26" s="1" t="s">
        <v>235</v>
      </c>
      <c r="B26" s="578" t="s">
        <v>245</v>
      </c>
      <c r="C26" s="578"/>
      <c r="D26" s="578"/>
      <c r="E26" s="578"/>
      <c r="F26" s="578"/>
      <c r="G26" s="578"/>
      <c r="H26" s="578"/>
      <c r="I26" s="578"/>
      <c r="J26" s="579"/>
      <c r="K26" s="578"/>
      <c r="L26" s="578"/>
      <c r="M26" s="578"/>
      <c r="N26" s="578"/>
      <c r="O26" s="578"/>
      <c r="P26" s="578"/>
      <c r="Q26" s="578"/>
      <c r="R26" s="578"/>
      <c r="S26" s="578"/>
      <c r="T26" s="578"/>
    </row>
    <row r="27" spans="1:25" x14ac:dyDescent="0.4">
      <c r="B27" s="2" t="s">
        <v>241</v>
      </c>
      <c r="C27" s="2"/>
      <c r="D27" s="2"/>
      <c r="F27" s="18">
        <v>139903</v>
      </c>
      <c r="G27" s="18">
        <v>217442</v>
      </c>
      <c r="H27" s="18">
        <v>295257</v>
      </c>
      <c r="I27" s="18">
        <v>402791</v>
      </c>
      <c r="J27" s="69">
        <v>532137</v>
      </c>
      <c r="K27" s="4">
        <v>675451.19918258209</v>
      </c>
      <c r="L27" s="4">
        <v>854531.99049159663</v>
      </c>
      <c r="M27" s="4">
        <v>1063939.50650521</v>
      </c>
      <c r="N27" s="4">
        <v>1269105.5502805193</v>
      </c>
      <c r="O27" s="4">
        <v>1439397.3520429335</v>
      </c>
      <c r="P27" s="4">
        <v>1583666.28801398</v>
      </c>
      <c r="Q27" s="4">
        <v>1710906.0438087853</v>
      </c>
      <c r="R27" s="4">
        <v>1827112.4098374331</v>
      </c>
      <c r="S27" s="4">
        <v>1915256.2059236821</v>
      </c>
      <c r="T27" s="4">
        <v>1976836.3796700533</v>
      </c>
    </row>
    <row r="28" spans="1:25" x14ac:dyDescent="0.4">
      <c r="B28" s="1" t="s">
        <v>242</v>
      </c>
      <c r="F28" s="7">
        <v>61316</v>
      </c>
      <c r="G28" s="7">
        <v>105400</v>
      </c>
      <c r="H28" s="7">
        <v>112038</v>
      </c>
      <c r="I28" s="7">
        <v>143441</v>
      </c>
      <c r="J28" s="68">
        <v>185749</v>
      </c>
      <c r="K28" s="7">
        <v>234683.71554621847</v>
      </c>
      <c r="L28" s="7">
        <v>292294.78249159665</v>
      </c>
      <c r="M28" s="7">
        <v>371739.00542521005</v>
      </c>
      <c r="N28" s="7">
        <v>458677.96637142857</v>
      </c>
      <c r="O28" s="7">
        <v>533625.34649747901</v>
      </c>
      <c r="P28" s="7">
        <v>592084.30299579829</v>
      </c>
      <c r="Q28" s="7">
        <v>643048.52148151258</v>
      </c>
      <c r="R28" s="7">
        <v>692513.79236470582</v>
      </c>
      <c r="S28" s="7">
        <v>732985.37763277302</v>
      </c>
      <c r="T28" s="7">
        <v>765962.22488823521</v>
      </c>
    </row>
    <row r="29" spans="1:25" x14ac:dyDescent="0.4">
      <c r="F29" s="7"/>
      <c r="G29" s="7"/>
      <c r="H29" s="7"/>
      <c r="I29" s="7"/>
      <c r="J29" s="68"/>
    </row>
    <row r="30" spans="1:25" x14ac:dyDescent="0.4">
      <c r="B30" s="2" t="s">
        <v>143</v>
      </c>
      <c r="C30" s="2"/>
      <c r="D30" s="2"/>
      <c r="F30" s="10">
        <v>82456</v>
      </c>
      <c r="G30" s="10">
        <v>118530</v>
      </c>
      <c r="H30" s="10">
        <v>190592</v>
      </c>
      <c r="I30" s="10">
        <v>268475</v>
      </c>
      <c r="J30" s="48">
        <v>358810</v>
      </c>
      <c r="K30" s="4">
        <v>456021.92514686787</v>
      </c>
      <c r="L30" s="4">
        <v>581236.36886195373</v>
      </c>
      <c r="M30" s="4">
        <v>716363.53643263865</v>
      </c>
      <c r="N30" s="4">
        <v>840241.65172323375</v>
      </c>
      <c r="O30" s="4">
        <v>940457.65306779055</v>
      </c>
      <c r="P30" s="4">
        <v>1030067.4647129086</v>
      </c>
      <c r="Q30" s="4">
        <v>1109655.6762235709</v>
      </c>
      <c r="R30" s="4">
        <v>1179612.0139764333</v>
      </c>
      <c r="S30" s="4">
        <v>1229914.8778370393</v>
      </c>
      <c r="T30" s="4">
        <v>1260661.6993995535</v>
      </c>
      <c r="W30" s="76"/>
      <c r="X30" s="76"/>
      <c r="Y30" s="76"/>
    </row>
    <row r="31" spans="1:25" x14ac:dyDescent="0.4">
      <c r="B31" s="1" t="s">
        <v>243</v>
      </c>
      <c r="F31" s="17">
        <v>78587</v>
      </c>
      <c r="G31" s="17">
        <v>112042</v>
      </c>
      <c r="H31" s="17">
        <v>183219</v>
      </c>
      <c r="I31" s="17">
        <v>259350</v>
      </c>
      <c r="J31" s="51">
        <v>346388</v>
      </c>
      <c r="K31" s="7">
        <v>440767.48363636364</v>
      </c>
      <c r="L31" s="7">
        <v>562237.20799999998</v>
      </c>
      <c r="M31" s="7">
        <v>692200.50107999996</v>
      </c>
      <c r="N31" s="7">
        <v>810427.58390909084</v>
      </c>
      <c r="O31" s="7">
        <v>905772.00554545445</v>
      </c>
      <c r="P31" s="7">
        <v>991581.98501818173</v>
      </c>
      <c r="Q31" s="7">
        <v>1067857.5223272727</v>
      </c>
      <c r="R31" s="7">
        <v>1134598.6174727273</v>
      </c>
      <c r="S31" s="7">
        <v>1182270.8282909091</v>
      </c>
      <c r="T31" s="7">
        <v>1210874.1547818182</v>
      </c>
    </row>
    <row r="32" spans="1:25" x14ac:dyDescent="0.4">
      <c r="B32" s="1" t="s">
        <v>81</v>
      </c>
      <c r="F32" s="17">
        <v>3869</v>
      </c>
      <c r="G32" s="17">
        <v>6488</v>
      </c>
      <c r="H32" s="17">
        <v>7373</v>
      </c>
      <c r="I32" s="17">
        <v>9125</v>
      </c>
      <c r="J32" s="51">
        <v>12422</v>
      </c>
      <c r="K32" s="7">
        <v>15254.441510504201</v>
      </c>
      <c r="L32" s="7">
        <v>18999.160861953784</v>
      </c>
      <c r="M32" s="7">
        <v>24163.035352638653</v>
      </c>
      <c r="N32" s="7">
        <v>29814.067814142858</v>
      </c>
      <c r="O32" s="7">
        <v>34685.647522336134</v>
      </c>
      <c r="P32" s="7">
        <v>38485.479694726891</v>
      </c>
      <c r="Q32" s="7">
        <v>41798.153896298318</v>
      </c>
      <c r="R32" s="7">
        <v>45013.396503705881</v>
      </c>
      <c r="S32" s="7">
        <v>47644.049546130249</v>
      </c>
      <c r="T32" s="7">
        <v>49787.544617735293</v>
      </c>
    </row>
    <row r="33" spans="2:21" x14ac:dyDescent="0.4">
      <c r="C33" s="1" t="s">
        <v>83</v>
      </c>
      <c r="F33" s="8">
        <v>6.3099354165307583E-2</v>
      </c>
      <c r="G33" s="8">
        <v>6.1555977229601516E-2</v>
      </c>
      <c r="H33" s="8">
        <v>6.5808029418590125E-2</v>
      </c>
      <c r="I33" s="8">
        <v>6.3615005472633351E-2</v>
      </c>
      <c r="J33" s="52">
        <v>6.6875191791072902E-2</v>
      </c>
      <c r="K33" s="19">
        <v>6.5000000000000002E-2</v>
      </c>
      <c r="L33" s="19">
        <v>6.5000000000000002E-2</v>
      </c>
      <c r="M33" s="19">
        <v>6.5000000000000002E-2</v>
      </c>
      <c r="N33" s="19">
        <v>6.5000000000000002E-2</v>
      </c>
      <c r="O33" s="19">
        <v>6.5000000000000002E-2</v>
      </c>
      <c r="P33" s="19">
        <v>6.5000000000000002E-2</v>
      </c>
      <c r="Q33" s="19">
        <v>6.5000000000000002E-2</v>
      </c>
      <c r="R33" s="19">
        <v>6.5000000000000002E-2</v>
      </c>
      <c r="S33" s="19">
        <v>6.5000000000000002E-2</v>
      </c>
      <c r="T33" s="19">
        <v>6.5000000000000002E-2</v>
      </c>
    </row>
    <row r="34" spans="2:21" x14ac:dyDescent="0.4">
      <c r="J34" s="44"/>
    </row>
    <row r="35" spans="2:21" outlineLevel="1" x14ac:dyDescent="0.4">
      <c r="B35" s="1" t="s">
        <v>183</v>
      </c>
      <c r="F35" s="5"/>
      <c r="G35" s="5"/>
      <c r="H35" s="5"/>
      <c r="I35" s="5"/>
      <c r="J35" s="47"/>
    </row>
    <row r="36" spans="2:21" outlineLevel="1" x14ac:dyDescent="0.4">
      <c r="C36" s="1" t="s">
        <v>0</v>
      </c>
      <c r="F36" s="17">
        <v>5017</v>
      </c>
      <c r="G36" s="17">
        <v>4611</v>
      </c>
      <c r="H36" s="17">
        <v>4976</v>
      </c>
      <c r="I36" s="17">
        <v>4981</v>
      </c>
      <c r="J36" s="51">
        <v>4598</v>
      </c>
      <c r="K36" s="7"/>
      <c r="L36" s="7"/>
      <c r="M36" s="7"/>
      <c r="N36" s="7"/>
      <c r="O36" s="7"/>
      <c r="P36" s="7"/>
      <c r="Q36" s="7"/>
      <c r="R36" s="7"/>
      <c r="S36" s="7"/>
      <c r="T36" s="7"/>
    </row>
    <row r="37" spans="2:21" outlineLevel="1" x14ac:dyDescent="0.4">
      <c r="C37" s="1" t="s">
        <v>2</v>
      </c>
      <c r="F37" s="17">
        <v>6077</v>
      </c>
      <c r="G37" s="17">
        <v>4588</v>
      </c>
      <c r="H37" s="17">
        <v>3413</v>
      </c>
      <c r="I37" s="17">
        <v>3334</v>
      </c>
      <c r="J37" s="51">
        <v>3176</v>
      </c>
      <c r="K37" s="7"/>
      <c r="L37" s="7"/>
      <c r="M37" s="7"/>
      <c r="N37" s="7"/>
      <c r="O37" s="7"/>
      <c r="P37" s="7"/>
      <c r="Q37" s="7"/>
      <c r="R37" s="7"/>
      <c r="S37" s="7"/>
      <c r="T37" s="7"/>
    </row>
    <row r="38" spans="2:21" outlineLevel="1" x14ac:dyDescent="0.4">
      <c r="F38" s="5"/>
      <c r="G38" s="5"/>
      <c r="H38" s="5"/>
      <c r="I38" s="5"/>
      <c r="J38" s="47"/>
      <c r="K38" s="7"/>
      <c r="L38" s="7"/>
      <c r="M38" s="7"/>
      <c r="N38" s="7"/>
      <c r="O38" s="7"/>
      <c r="P38" s="7"/>
      <c r="Q38" s="7"/>
      <c r="R38" s="7"/>
      <c r="S38" s="7"/>
      <c r="T38" s="7"/>
    </row>
    <row r="39" spans="2:21" x14ac:dyDescent="0.4">
      <c r="B39" s="1" t="s">
        <v>184</v>
      </c>
      <c r="F39" s="5"/>
      <c r="G39" s="7"/>
      <c r="H39" s="5"/>
      <c r="I39" s="5"/>
      <c r="J39" s="47"/>
      <c r="K39" s="7"/>
      <c r="L39" s="7"/>
      <c r="M39" s="7"/>
      <c r="N39" s="7"/>
      <c r="O39" s="7"/>
      <c r="P39" s="7"/>
      <c r="Q39" s="7"/>
      <c r="R39" s="7"/>
      <c r="S39" s="7"/>
      <c r="T39" s="7"/>
    </row>
    <row r="40" spans="2:21" x14ac:dyDescent="0.4">
      <c r="C40" s="1" t="s">
        <v>0</v>
      </c>
      <c r="F40" s="5"/>
      <c r="G40" s="7">
        <v>4309.3076923076924</v>
      </c>
      <c r="H40" s="7">
        <v>4885.84</v>
      </c>
      <c r="I40" s="7">
        <v>4802.7777777777774</v>
      </c>
      <c r="J40" s="68">
        <v>4498.545454545455</v>
      </c>
      <c r="K40" s="74">
        <v>4138.6618181818185</v>
      </c>
      <c r="L40" s="74">
        <v>3931.7287272727272</v>
      </c>
      <c r="M40" s="74">
        <v>3813.7768654545453</v>
      </c>
      <c r="N40" s="74">
        <v>3813.7768654545453</v>
      </c>
      <c r="O40" s="74">
        <v>3813.7768654545453</v>
      </c>
      <c r="P40" s="74">
        <v>3813.7768654545453</v>
      </c>
      <c r="Q40" s="74">
        <v>3813.7768654545453</v>
      </c>
      <c r="R40" s="74">
        <v>3813.7768654545453</v>
      </c>
      <c r="S40" s="74">
        <v>3813.7768654545453</v>
      </c>
      <c r="T40" s="74">
        <v>3813.7768654545453</v>
      </c>
    </row>
    <row r="41" spans="2:21" x14ac:dyDescent="0.4">
      <c r="C41" s="1" t="s">
        <v>186</v>
      </c>
      <c r="F41" s="5"/>
      <c r="G41" s="7">
        <v>4133.333333333333</v>
      </c>
      <c r="H41" s="7">
        <v>3112.1666666666665</v>
      </c>
      <c r="I41" s="7">
        <v>3187.5777777777776</v>
      </c>
      <c r="J41" s="68">
        <v>3121.8319327731092</v>
      </c>
      <c r="K41" s="7">
        <v>3028.1769747899157</v>
      </c>
      <c r="L41" s="7">
        <v>2997.8952050420166</v>
      </c>
      <c r="M41" s="7">
        <v>2997.8952050420166</v>
      </c>
      <c r="N41" s="7">
        <v>2997.8952050420166</v>
      </c>
      <c r="O41" s="7">
        <v>2997.8952050420166</v>
      </c>
      <c r="P41" s="7">
        <v>2997.8952050420166</v>
      </c>
      <c r="Q41" s="7">
        <v>2997.8952050420166</v>
      </c>
      <c r="R41" s="7">
        <v>2997.8952050420166</v>
      </c>
      <c r="S41" s="7">
        <v>2997.8952050420166</v>
      </c>
      <c r="T41" s="7">
        <v>2997.8952050420166</v>
      </c>
    </row>
    <row r="42" spans="2:21" x14ac:dyDescent="0.4">
      <c r="C42" s="1" t="s">
        <v>185</v>
      </c>
      <c r="F42" s="5"/>
      <c r="G42" s="7">
        <v>4222.174757281553</v>
      </c>
      <c r="H42" s="7">
        <v>4017.1020408163267</v>
      </c>
      <c r="I42" s="7">
        <v>4068.5959595959598</v>
      </c>
      <c r="J42" s="68">
        <v>3898.4395604395604</v>
      </c>
      <c r="K42" s="7">
        <v>3670.93043034012</v>
      </c>
      <c r="L42" s="7">
        <v>3553.1475696116286</v>
      </c>
      <c r="M42" s="7">
        <v>3482.6170425702453</v>
      </c>
      <c r="N42" s="7">
        <v>3472.2450076074401</v>
      </c>
      <c r="O42" s="7">
        <v>3464.2535548566389</v>
      </c>
      <c r="P42" s="7">
        <v>3461.5656568611585</v>
      </c>
      <c r="Q42" s="7">
        <v>3459.8706649318206</v>
      </c>
      <c r="R42" s="7">
        <v>3457.1663383868176</v>
      </c>
      <c r="S42" s="7">
        <v>3454.0238159128621</v>
      </c>
      <c r="T42" s="7">
        <v>3449.9762297906686</v>
      </c>
    </row>
    <row r="43" spans="2:21" x14ac:dyDescent="0.4">
      <c r="F43" s="5"/>
      <c r="G43" s="7"/>
      <c r="H43" s="7"/>
      <c r="I43" s="7"/>
      <c r="J43" s="68"/>
    </row>
    <row r="44" spans="2:21" x14ac:dyDescent="0.4">
      <c r="B44" s="1" t="s">
        <v>181</v>
      </c>
      <c r="F44" s="5"/>
      <c r="G44" s="7"/>
      <c r="H44" s="7"/>
      <c r="I44" s="7"/>
      <c r="J44" s="68"/>
    </row>
    <row r="45" spans="2:21" x14ac:dyDescent="0.4">
      <c r="C45" s="1" t="s">
        <v>0</v>
      </c>
      <c r="F45" s="5"/>
      <c r="G45" s="8"/>
      <c r="H45" s="8">
        <v>0.13378768676032204</v>
      </c>
      <c r="I45" s="8">
        <v>-1.7000602193731784E-2</v>
      </c>
      <c r="J45" s="52">
        <v>-6.334507597665473E-2</v>
      </c>
      <c r="K45" s="19">
        <v>-0.08</v>
      </c>
      <c r="L45" s="19">
        <v>-0.05</v>
      </c>
      <c r="M45" s="19">
        <v>-0.03</v>
      </c>
      <c r="N45" s="19">
        <v>0</v>
      </c>
      <c r="O45" s="19">
        <v>0</v>
      </c>
      <c r="P45" s="19">
        <v>0</v>
      </c>
      <c r="Q45" s="19">
        <v>0</v>
      </c>
      <c r="R45" s="19">
        <v>0</v>
      </c>
      <c r="S45" s="19">
        <v>0</v>
      </c>
      <c r="T45" s="19">
        <v>0</v>
      </c>
    </row>
    <row r="46" spans="2:21" s="15" customFormat="1" x14ac:dyDescent="0.4">
      <c r="C46" s="15" t="s">
        <v>186</v>
      </c>
      <c r="F46" s="16"/>
      <c r="G46" s="234"/>
      <c r="H46" s="234">
        <v>-0.24705645161290324</v>
      </c>
      <c r="I46" s="234">
        <v>2.4231064460272345E-2</v>
      </c>
      <c r="J46" s="235">
        <v>-2.0625644168752788E-2</v>
      </c>
      <c r="K46" s="236">
        <v>-0.03</v>
      </c>
      <c r="L46" s="236">
        <v>-0.01</v>
      </c>
      <c r="M46" s="236">
        <v>0</v>
      </c>
      <c r="N46" s="236">
        <v>0</v>
      </c>
      <c r="O46" s="236">
        <v>0</v>
      </c>
      <c r="P46" s="236">
        <v>0</v>
      </c>
      <c r="Q46" s="236">
        <v>0</v>
      </c>
      <c r="R46" s="236">
        <v>0</v>
      </c>
      <c r="S46" s="236">
        <v>0</v>
      </c>
      <c r="T46" s="236">
        <v>0</v>
      </c>
      <c r="U46" s="15" t="s">
        <v>182</v>
      </c>
    </row>
    <row r="47" spans="2:21" x14ac:dyDescent="0.4">
      <c r="C47" s="15" t="s">
        <v>185</v>
      </c>
      <c r="D47" s="15"/>
      <c r="F47" s="16"/>
      <c r="G47" s="8"/>
      <c r="H47" s="8">
        <v>-4.8570399913352325E-2</v>
      </c>
      <c r="I47" s="8">
        <v>1.2818673326298935E-2</v>
      </c>
      <c r="J47" s="52">
        <v>-4.1821896508322021E-2</v>
      </c>
      <c r="K47" s="8">
        <v>-5.8359024571818185E-2</v>
      </c>
      <c r="L47" s="8">
        <v>-3.208528817517764E-2</v>
      </c>
      <c r="M47" s="8">
        <v>-1.985015416882685E-2</v>
      </c>
      <c r="N47" s="8">
        <v>-2.9782301171852321E-3</v>
      </c>
      <c r="O47" s="8">
        <v>-2.3015232891955284E-3</v>
      </c>
      <c r="P47" s="8">
        <v>-7.7589528390964446E-4</v>
      </c>
      <c r="Q47" s="8">
        <v>-4.8966048816034835E-4</v>
      </c>
      <c r="R47" s="8">
        <v>-7.8162648460045059E-4</v>
      </c>
      <c r="S47" s="8">
        <v>-9.0898793010396606E-4</v>
      </c>
      <c r="T47" s="8">
        <v>-1.1718466165595576E-3</v>
      </c>
    </row>
    <row r="48" spans="2:21" x14ac:dyDescent="0.4">
      <c r="C48" s="15"/>
      <c r="D48" s="15"/>
      <c r="E48" s="15"/>
      <c r="F48" s="225"/>
      <c r="G48" s="225"/>
      <c r="H48" s="225"/>
      <c r="I48" s="225"/>
      <c r="J48" s="230"/>
      <c r="K48" s="225"/>
      <c r="L48" s="225"/>
      <c r="M48" s="225"/>
      <c r="N48" s="225"/>
      <c r="O48" s="225"/>
      <c r="P48" s="225"/>
      <c r="Q48" s="225"/>
      <c r="R48" s="225"/>
      <c r="S48" s="225"/>
      <c r="T48" s="225"/>
    </row>
    <row r="49" spans="2:20" s="15" customFormat="1" hidden="1" outlineLevel="1" x14ac:dyDescent="0.4">
      <c r="B49" s="1" t="s">
        <v>970</v>
      </c>
      <c r="C49" s="1"/>
      <c r="D49" s="1"/>
      <c r="E49" s="5"/>
      <c r="G49" s="236">
        <v>4.1000000000000002E-2</v>
      </c>
      <c r="H49" s="236">
        <v>0.13300000000000001</v>
      </c>
      <c r="I49" s="236">
        <v>4.234099999999974E-2</v>
      </c>
      <c r="J49" s="237">
        <v>-1.2639999999999985E-2</v>
      </c>
      <c r="K49" s="236"/>
      <c r="L49" s="236"/>
      <c r="M49" s="236"/>
      <c r="N49" s="236"/>
      <c r="O49" s="236"/>
      <c r="P49" s="236"/>
      <c r="Q49" s="236"/>
      <c r="R49" s="236"/>
      <c r="S49" s="236"/>
      <c r="T49" s="236"/>
    </row>
    <row r="50" spans="2:20" s="15" customFormat="1" hidden="1" outlineLevel="1" x14ac:dyDescent="0.4">
      <c r="F50" s="16"/>
      <c r="G50" s="236"/>
      <c r="H50" s="236"/>
      <c r="I50" s="236"/>
      <c r="J50" s="237"/>
      <c r="K50" s="236"/>
      <c r="L50" s="236"/>
      <c r="M50" s="236"/>
      <c r="N50" s="236"/>
      <c r="O50" s="236"/>
      <c r="P50" s="236"/>
      <c r="Q50" s="236"/>
      <c r="R50" s="236"/>
      <c r="S50" s="236"/>
      <c r="T50" s="236"/>
    </row>
    <row r="51" spans="2:20" hidden="1" outlineLevel="1" x14ac:dyDescent="0.4">
      <c r="B51" s="1" t="s">
        <v>243</v>
      </c>
      <c r="C51" s="15"/>
      <c r="D51" s="15"/>
      <c r="E51" s="15"/>
      <c r="F51" s="16"/>
      <c r="G51" s="16"/>
      <c r="H51" s="16"/>
      <c r="I51" s="16"/>
      <c r="J51" s="224"/>
      <c r="K51" s="15"/>
      <c r="L51" s="15"/>
      <c r="M51" s="15"/>
      <c r="N51" s="15"/>
    </row>
    <row r="52" spans="2:20" hidden="1" outlineLevel="1" x14ac:dyDescent="0.4">
      <c r="C52" s="15" t="s">
        <v>1228</v>
      </c>
      <c r="D52" s="15"/>
      <c r="E52" s="15"/>
      <c r="F52" s="73">
        <v>57900</v>
      </c>
      <c r="G52" s="73">
        <v>80887</v>
      </c>
      <c r="H52" s="73">
        <v>122142</v>
      </c>
      <c r="I52" s="73">
        <v>188419</v>
      </c>
      <c r="J52" s="51">
        <v>257050</v>
      </c>
      <c r="K52" s="225"/>
      <c r="L52" s="225"/>
      <c r="M52" s="225"/>
      <c r="N52" s="225"/>
      <c r="O52" s="225"/>
      <c r="P52" s="225"/>
      <c r="Q52" s="225"/>
      <c r="R52" s="225"/>
      <c r="S52" s="225"/>
      <c r="T52" s="225"/>
    </row>
    <row r="53" spans="2:20" hidden="1" outlineLevel="1" x14ac:dyDescent="0.4">
      <c r="C53" s="15" t="s">
        <v>1227</v>
      </c>
      <c r="D53" s="15"/>
      <c r="E53" s="15"/>
      <c r="F53" s="225">
        <v>20687</v>
      </c>
      <c r="G53" s="225">
        <v>31155</v>
      </c>
      <c r="H53" s="225">
        <v>61077</v>
      </c>
      <c r="I53" s="225">
        <v>70931</v>
      </c>
      <c r="J53" s="230">
        <v>89338</v>
      </c>
      <c r="K53" s="225"/>
      <c r="L53" s="225"/>
      <c r="M53" s="225"/>
      <c r="N53" s="225"/>
      <c r="O53" s="225"/>
      <c r="P53" s="225"/>
      <c r="Q53" s="225"/>
      <c r="R53" s="225"/>
      <c r="S53" s="225"/>
      <c r="T53" s="225"/>
    </row>
    <row r="54" spans="2:20" s="15" customFormat="1" hidden="1" outlineLevel="1" x14ac:dyDescent="0.4">
      <c r="F54" s="16"/>
      <c r="G54" s="236"/>
      <c r="H54" s="236"/>
      <c r="I54" s="236"/>
      <c r="J54" s="237"/>
      <c r="K54" s="236"/>
      <c r="L54" s="236"/>
      <c r="M54" s="236"/>
      <c r="N54" s="236"/>
      <c r="O54" s="236"/>
      <c r="P54" s="236"/>
      <c r="Q54" s="236"/>
      <c r="R54" s="236"/>
      <c r="S54" s="236"/>
      <c r="T54" s="236"/>
    </row>
    <row r="55" spans="2:20" hidden="1" outlineLevel="1" x14ac:dyDescent="0.4">
      <c r="B55" s="1" t="s">
        <v>963</v>
      </c>
      <c r="F55" s="5"/>
      <c r="G55" s="5"/>
      <c r="H55" s="5"/>
      <c r="I55" s="5"/>
      <c r="J55" s="47"/>
    </row>
    <row r="56" spans="2:20" hidden="1" outlineLevel="1" x14ac:dyDescent="0.4">
      <c r="C56" s="1" t="s">
        <v>969</v>
      </c>
      <c r="F56" s="5"/>
      <c r="G56" s="5"/>
      <c r="H56" s="7">
        <v>92689.672911000001</v>
      </c>
      <c r="I56" s="7">
        <v>96614.246351724621</v>
      </c>
      <c r="J56" s="68">
        <v>95393.042277838817</v>
      </c>
    </row>
    <row r="57" spans="2:20" hidden="1" outlineLevel="1" x14ac:dyDescent="0.4">
      <c r="C57" s="1" t="s">
        <v>965</v>
      </c>
      <c r="F57" s="5"/>
      <c r="G57" s="5"/>
      <c r="H57" s="7">
        <v>29452.327088999999</v>
      </c>
      <c r="I57" s="7">
        <v>30699.368070275341</v>
      </c>
      <c r="J57" s="68">
        <v>30311.32805786706</v>
      </c>
    </row>
    <row r="58" spans="2:20" hidden="1" outlineLevel="1" x14ac:dyDescent="0.4">
      <c r="C58" s="1" t="s">
        <v>966</v>
      </c>
      <c r="F58" s="5"/>
      <c r="G58" s="5"/>
      <c r="H58" s="229">
        <v>61077</v>
      </c>
      <c r="I58" s="7">
        <v>61105.385578000045</v>
      </c>
      <c r="J58" s="68">
        <v>60333.013504294126</v>
      </c>
    </row>
    <row r="59" spans="2:20" hidden="1" outlineLevel="1" x14ac:dyDescent="0.4">
      <c r="C59" s="1" t="s">
        <v>967</v>
      </c>
      <c r="F59" s="5"/>
      <c r="G59" s="5"/>
      <c r="H59" s="5"/>
      <c r="I59" s="229">
        <v>70931</v>
      </c>
      <c r="J59" s="230">
        <v>71012.616160000005</v>
      </c>
    </row>
    <row r="60" spans="2:20" hidden="1" outlineLevel="1" x14ac:dyDescent="0.4">
      <c r="C60" s="1" t="s">
        <v>968</v>
      </c>
      <c r="F60" s="5"/>
      <c r="G60" s="5"/>
      <c r="H60" s="5"/>
      <c r="I60" s="5"/>
      <c r="J60" s="228">
        <v>89338</v>
      </c>
    </row>
    <row r="61" spans="2:20" hidden="1" outlineLevel="1" x14ac:dyDescent="0.4">
      <c r="F61" s="5"/>
      <c r="G61" s="5"/>
      <c r="H61" s="5"/>
      <c r="I61" s="5"/>
      <c r="J61" s="47"/>
    </row>
    <row r="62" spans="2:20" hidden="1" outlineLevel="1" x14ac:dyDescent="0.4">
      <c r="B62" s="1" t="s">
        <v>964</v>
      </c>
      <c r="F62" s="5"/>
      <c r="G62" s="5"/>
      <c r="H62" s="5"/>
      <c r="I62" s="5"/>
      <c r="J62" s="47"/>
    </row>
    <row r="63" spans="2:20" hidden="1" outlineLevel="1" x14ac:dyDescent="0.4">
      <c r="C63" s="1" t="s">
        <v>969</v>
      </c>
      <c r="F63" s="231"/>
      <c r="G63" s="231"/>
      <c r="H63" s="7">
        <v>4413.7939481428575</v>
      </c>
      <c r="I63" s="7">
        <v>4600.6783977011728</v>
      </c>
      <c r="J63" s="68">
        <v>4542.525822754229</v>
      </c>
    </row>
    <row r="64" spans="2:20" hidden="1" outlineLevel="1" x14ac:dyDescent="0.4">
      <c r="C64" s="1" t="s">
        <v>965</v>
      </c>
      <c r="F64" s="231"/>
      <c r="G64" s="231"/>
      <c r="H64" s="7">
        <v>2945.2327089</v>
      </c>
      <c r="I64" s="7">
        <v>3069.9368070275341</v>
      </c>
      <c r="J64" s="68">
        <v>3031.1328057867058</v>
      </c>
    </row>
    <row r="65" spans="1:25" hidden="1" outlineLevel="1" x14ac:dyDescent="0.4">
      <c r="C65" s="1" t="s">
        <v>966</v>
      </c>
      <c r="F65" s="231"/>
      <c r="G65" s="231"/>
      <c r="H65" s="7">
        <v>4698.2307692307695</v>
      </c>
      <c r="I65" s="7">
        <v>4700.4142752307725</v>
      </c>
      <c r="J65" s="68">
        <v>4641.0010387918555</v>
      </c>
    </row>
    <row r="66" spans="1:25" hidden="1" outlineLevel="1" x14ac:dyDescent="0.4">
      <c r="C66" s="1" t="s">
        <v>967</v>
      </c>
      <c r="F66" s="231"/>
      <c r="G66" s="231"/>
      <c r="H66" s="7"/>
      <c r="I66" s="7">
        <v>3546.55</v>
      </c>
      <c r="J66" s="68">
        <v>3550.6308080000003</v>
      </c>
    </row>
    <row r="67" spans="1:25" hidden="1" outlineLevel="1" x14ac:dyDescent="0.4">
      <c r="C67" s="1" t="s">
        <v>968</v>
      </c>
      <c r="F67" s="227"/>
      <c r="G67" s="227"/>
      <c r="H67" s="7"/>
      <c r="I67" s="7"/>
      <c r="J67" s="68">
        <v>3436.0769230769229</v>
      </c>
    </row>
    <row r="68" spans="1:25" hidden="1" outlineLevel="1" x14ac:dyDescent="0.4">
      <c r="F68" s="5"/>
      <c r="G68" s="5"/>
      <c r="H68" s="5"/>
      <c r="I68" s="5"/>
      <c r="J68" s="47"/>
    </row>
    <row r="69" spans="1:25" collapsed="1" x14ac:dyDescent="0.4">
      <c r="A69" s="1" t="s">
        <v>235</v>
      </c>
      <c r="B69" s="578" t="s">
        <v>246</v>
      </c>
      <c r="C69" s="578"/>
      <c r="D69" s="578"/>
      <c r="E69" s="578"/>
      <c r="F69" s="578"/>
      <c r="G69" s="578"/>
      <c r="H69" s="578"/>
      <c r="I69" s="578"/>
      <c r="J69" s="579"/>
      <c r="K69" s="578"/>
      <c r="L69" s="578"/>
      <c r="M69" s="578"/>
      <c r="N69" s="578"/>
      <c r="O69" s="578"/>
      <c r="P69" s="578"/>
      <c r="Q69" s="578"/>
      <c r="R69" s="578"/>
      <c r="S69" s="578"/>
      <c r="T69" s="578"/>
    </row>
    <row r="70" spans="1:25" x14ac:dyDescent="0.4">
      <c r="B70" s="13" t="s">
        <v>248</v>
      </c>
      <c r="F70" s="17">
        <v>58168</v>
      </c>
      <c r="G70" s="17">
        <v>85181</v>
      </c>
      <c r="H70" s="17">
        <v>130345</v>
      </c>
      <c r="I70" s="17">
        <v>186058</v>
      </c>
      <c r="J70" s="51">
        <v>254079</v>
      </c>
      <c r="K70" s="3">
        <v>335068.19766233768</v>
      </c>
      <c r="L70" s="3">
        <v>436523.52844285709</v>
      </c>
      <c r="M70" s="3">
        <v>544456.83749207144</v>
      </c>
      <c r="N70" s="3">
        <v>633375.7149041543</v>
      </c>
      <c r="O70" s="3">
        <v>707890.50489287823</v>
      </c>
      <c r="P70" s="3">
        <v>774953.81588272995</v>
      </c>
      <c r="Q70" s="3">
        <v>834565.64787370921</v>
      </c>
      <c r="R70" s="3">
        <v>886726.00086581591</v>
      </c>
      <c r="S70" s="3">
        <v>923983.39586017793</v>
      </c>
      <c r="T70" s="3">
        <v>946337.83285679505</v>
      </c>
      <c r="W70" s="76"/>
      <c r="X70" s="76"/>
      <c r="Y70" s="76"/>
    </row>
    <row r="71" spans="1:25" x14ac:dyDescent="0.4">
      <c r="C71" s="1" t="s">
        <v>108</v>
      </c>
      <c r="F71" s="17">
        <v>23865</v>
      </c>
      <c r="G71" s="17">
        <v>34925</v>
      </c>
      <c r="H71" s="17">
        <v>54079</v>
      </c>
      <c r="I71" s="17">
        <v>73752</v>
      </c>
      <c r="J71" s="51">
        <v>98337</v>
      </c>
      <c r="K71" s="7">
        <v>125130.63974025975</v>
      </c>
      <c r="L71" s="7">
        <v>159614.99914285715</v>
      </c>
      <c r="M71" s="7">
        <v>196510.62009857144</v>
      </c>
      <c r="N71" s="7">
        <v>230074.41747077924</v>
      </c>
      <c r="O71" s="7">
        <v>257141.99599675328</v>
      </c>
      <c r="P71" s="7">
        <v>281502.81667012989</v>
      </c>
      <c r="Q71" s="7">
        <v>303156.87949090911</v>
      </c>
      <c r="R71" s="7">
        <v>322104.18445909093</v>
      </c>
      <c r="S71" s="7">
        <v>335637.97372207796</v>
      </c>
      <c r="T71" s="7">
        <v>343758.24727987015</v>
      </c>
      <c r="W71" s="76"/>
      <c r="X71" s="76"/>
      <c r="Y71" s="76"/>
    </row>
    <row r="72" spans="1:25" x14ac:dyDescent="0.4">
      <c r="C72" s="1" t="s">
        <v>110</v>
      </c>
      <c r="F72" s="17">
        <v>20096</v>
      </c>
      <c r="G72" s="17">
        <v>29312</v>
      </c>
      <c r="H72" s="17">
        <v>44752</v>
      </c>
      <c r="I72" s="17">
        <v>65540</v>
      </c>
      <c r="J72" s="51">
        <v>91740</v>
      </c>
      <c r="K72" s="7">
        <v>123080.52857142856</v>
      </c>
      <c r="L72" s="7">
        <v>161957.79599999997</v>
      </c>
      <c r="M72" s="7">
        <v>203506.19981999998</v>
      </c>
      <c r="N72" s="7">
        <v>235882.18615499997</v>
      </c>
      <c r="O72" s="7">
        <v>263633.03158499999</v>
      </c>
      <c r="P72" s="7">
        <v>288608.792472</v>
      </c>
      <c r="Q72" s="7">
        <v>310809.46881599998</v>
      </c>
      <c r="R72" s="7">
        <v>330235.06061699998</v>
      </c>
      <c r="S72" s="7">
        <v>344110.48333199997</v>
      </c>
      <c r="T72" s="7">
        <v>352435.73696099996</v>
      </c>
      <c r="W72" s="76"/>
      <c r="X72" s="76"/>
      <c r="Y72" s="76"/>
    </row>
    <row r="73" spans="1:25" x14ac:dyDescent="0.4">
      <c r="C73" s="1" t="s">
        <v>114</v>
      </c>
      <c r="F73" s="17">
        <v>6892</v>
      </c>
      <c r="G73" s="17">
        <v>9735</v>
      </c>
      <c r="H73" s="17">
        <v>15207</v>
      </c>
      <c r="I73" s="17">
        <v>21820</v>
      </c>
      <c r="J73" s="51">
        <v>28197</v>
      </c>
      <c r="K73" s="7">
        <v>37829.754350649353</v>
      </c>
      <c r="L73" s="7">
        <v>49778.983800000002</v>
      </c>
      <c r="M73" s="7">
        <v>62549.207720999999</v>
      </c>
      <c r="N73" s="7">
        <v>72500.218040250009</v>
      </c>
      <c r="O73" s="7">
        <v>81029.655456750013</v>
      </c>
      <c r="P73" s="7">
        <v>88706.149131600003</v>
      </c>
      <c r="Q73" s="7">
        <v>95529.699064800006</v>
      </c>
      <c r="R73" s="7">
        <v>101500.30525635001</v>
      </c>
      <c r="S73" s="7">
        <v>105765.02396460001</v>
      </c>
      <c r="T73" s="7">
        <v>108323.85518955001</v>
      </c>
      <c r="W73" s="76"/>
      <c r="X73" s="76"/>
      <c r="Y73" s="76"/>
    </row>
    <row r="74" spans="1:25" x14ac:dyDescent="0.4">
      <c r="C74" s="1" t="s">
        <v>112</v>
      </c>
      <c r="F74" s="7">
        <v>7315</v>
      </c>
      <c r="G74" s="7">
        <v>11209</v>
      </c>
      <c r="H74" s="7">
        <v>16307</v>
      </c>
      <c r="I74" s="7">
        <v>24946</v>
      </c>
      <c r="J74" s="68">
        <v>35805</v>
      </c>
      <c r="K74" s="7">
        <v>49027.275000000001</v>
      </c>
      <c r="L74" s="7">
        <v>65171.749500000005</v>
      </c>
      <c r="M74" s="7">
        <v>81890.80985250001</v>
      </c>
      <c r="N74" s="7">
        <v>94918.89323812502</v>
      </c>
      <c r="O74" s="7">
        <v>106085.82185437501</v>
      </c>
      <c r="P74" s="7">
        <v>116136.05760900001</v>
      </c>
      <c r="Q74" s="7">
        <v>125069.60050200002</v>
      </c>
      <c r="R74" s="7">
        <v>132886.45053337503</v>
      </c>
      <c r="S74" s="7">
        <v>138469.91484150002</v>
      </c>
      <c r="T74" s="7">
        <v>141819.99342637503</v>
      </c>
      <c r="W74" s="76"/>
      <c r="X74" s="76"/>
      <c r="Y74" s="76"/>
    </row>
    <row r="75" spans="1:25" x14ac:dyDescent="0.4">
      <c r="F75" s="7"/>
      <c r="G75" s="7"/>
      <c r="H75" s="7"/>
      <c r="I75" s="7"/>
      <c r="J75" s="68"/>
      <c r="K75" s="7"/>
      <c r="L75" s="7"/>
      <c r="M75" s="7"/>
      <c r="N75" s="7"/>
      <c r="O75" s="7"/>
      <c r="P75" s="7"/>
      <c r="Q75" s="7"/>
      <c r="R75" s="7"/>
      <c r="S75" s="7"/>
      <c r="T75" s="7"/>
    </row>
    <row r="76" spans="1:25" x14ac:dyDescent="0.4">
      <c r="B76" s="14" t="s">
        <v>250</v>
      </c>
      <c r="F76" s="5"/>
      <c r="G76" s="5"/>
      <c r="H76" s="5"/>
      <c r="I76" s="5"/>
      <c r="J76" s="47"/>
    </row>
    <row r="77" spans="1:25" x14ac:dyDescent="0.4">
      <c r="C77" s="1" t="s">
        <v>107</v>
      </c>
      <c r="F77" s="5"/>
      <c r="G77" s="7">
        <v>1343.2692307692307</v>
      </c>
      <c r="H77" s="7">
        <v>1442.1066666666666</v>
      </c>
      <c r="I77" s="7">
        <v>1365.7777777777778</v>
      </c>
      <c r="J77" s="68">
        <v>1277.1038961038962</v>
      </c>
      <c r="K77" s="7">
        <v>1174.9355844155846</v>
      </c>
      <c r="L77" s="7">
        <v>1116.1888051948054</v>
      </c>
      <c r="M77" s="7">
        <v>1082.7031410389611</v>
      </c>
      <c r="N77" s="7">
        <v>1082.7031410389611</v>
      </c>
      <c r="O77" s="7">
        <v>1082.7031410389611</v>
      </c>
      <c r="P77" s="7">
        <v>1082.7031410389611</v>
      </c>
      <c r="Q77" s="7">
        <v>1082.7031410389611</v>
      </c>
      <c r="R77" s="7">
        <v>1082.7031410389611</v>
      </c>
      <c r="S77" s="7">
        <v>1082.7031410389611</v>
      </c>
      <c r="T77" s="7">
        <v>1082.7031410389611</v>
      </c>
    </row>
    <row r="78" spans="1:25" x14ac:dyDescent="0.4">
      <c r="C78" s="1" t="s">
        <v>109</v>
      </c>
      <c r="F78" s="5"/>
      <c r="G78" s="7">
        <v>1127.3846153846155</v>
      </c>
      <c r="H78" s="7">
        <v>1193.3866666666668</v>
      </c>
      <c r="I78" s="7">
        <v>1213.7037037037037</v>
      </c>
      <c r="J78" s="68">
        <v>1191.4285714285713</v>
      </c>
      <c r="K78" s="7">
        <v>1155.6857142857141</v>
      </c>
      <c r="L78" s="7">
        <v>1132.5719999999999</v>
      </c>
      <c r="M78" s="7">
        <v>1121.2462799999998</v>
      </c>
      <c r="N78" s="7">
        <v>1110.0338171999999</v>
      </c>
      <c r="O78" s="7">
        <v>1110.0338171999999</v>
      </c>
      <c r="P78" s="7">
        <v>1110.0338171999999</v>
      </c>
      <c r="Q78" s="7">
        <v>1110.0338171999999</v>
      </c>
      <c r="R78" s="7">
        <v>1110.0338171999999</v>
      </c>
      <c r="S78" s="7">
        <v>1110.0338171999999</v>
      </c>
      <c r="T78" s="7">
        <v>1110.0338171999999</v>
      </c>
    </row>
    <row r="79" spans="1:25" x14ac:dyDescent="0.4">
      <c r="C79" s="1" t="s">
        <v>113</v>
      </c>
      <c r="F79" s="5"/>
      <c r="G79" s="7">
        <v>374.42307692307691</v>
      </c>
      <c r="H79" s="7">
        <v>405.52</v>
      </c>
      <c r="I79" s="7">
        <v>404.07407407407408</v>
      </c>
      <c r="J79" s="68">
        <v>366.19480519480521</v>
      </c>
      <c r="K79" s="7">
        <v>355.20896103896104</v>
      </c>
      <c r="L79" s="7">
        <v>348.10478181818183</v>
      </c>
      <c r="M79" s="7">
        <v>344.62373400000001</v>
      </c>
      <c r="N79" s="7">
        <v>341.17749666000003</v>
      </c>
      <c r="O79" s="7">
        <v>341.17749666000003</v>
      </c>
      <c r="P79" s="7">
        <v>341.17749666000003</v>
      </c>
      <c r="Q79" s="7">
        <v>341.17749666000003</v>
      </c>
      <c r="R79" s="7">
        <v>341.17749666000003</v>
      </c>
      <c r="S79" s="7">
        <v>341.17749666000003</v>
      </c>
      <c r="T79" s="7">
        <v>341.17749666000003</v>
      </c>
    </row>
    <row r="80" spans="1:25" x14ac:dyDescent="0.4">
      <c r="C80" s="1" t="s">
        <v>111</v>
      </c>
      <c r="F80" s="5"/>
      <c r="G80" s="7">
        <v>431.11538461538464</v>
      </c>
      <c r="H80" s="7">
        <v>434.85333333333335</v>
      </c>
      <c r="I80" s="7">
        <v>461.96296296296299</v>
      </c>
      <c r="J80" s="68">
        <v>465</v>
      </c>
      <c r="K80" s="7">
        <v>460.35</v>
      </c>
      <c r="L80" s="7">
        <v>455.74650000000003</v>
      </c>
      <c r="M80" s="7">
        <v>451.18903500000005</v>
      </c>
      <c r="N80" s="7">
        <v>446.67714465000006</v>
      </c>
      <c r="O80" s="7">
        <v>446.67714465000006</v>
      </c>
      <c r="P80" s="7">
        <v>446.67714465000006</v>
      </c>
      <c r="Q80" s="7">
        <v>446.67714465000006</v>
      </c>
      <c r="R80" s="7">
        <v>446.67714465000006</v>
      </c>
      <c r="S80" s="7">
        <v>446.67714465000006</v>
      </c>
      <c r="T80" s="7">
        <v>446.67714465000006</v>
      </c>
    </row>
    <row r="81" spans="2:21" x14ac:dyDescent="0.4">
      <c r="F81" s="5"/>
      <c r="G81" s="5"/>
      <c r="H81" s="5"/>
      <c r="I81" s="5"/>
      <c r="J81" s="47"/>
    </row>
    <row r="82" spans="2:21" x14ac:dyDescent="0.4">
      <c r="B82" s="14" t="s">
        <v>252</v>
      </c>
      <c r="F82" s="5"/>
      <c r="G82" s="5"/>
      <c r="H82" s="5"/>
      <c r="I82" s="5"/>
      <c r="J82" s="47"/>
    </row>
    <row r="83" spans="2:21" x14ac:dyDescent="0.4">
      <c r="C83" s="1" t="s">
        <v>107</v>
      </c>
      <c r="F83" s="5"/>
      <c r="G83" s="8"/>
      <c r="H83" s="8">
        <v>7.3579766165592808E-2</v>
      </c>
      <c r="I83" s="8">
        <v>-5.2928740053132084E-2</v>
      </c>
      <c r="J83" s="52">
        <v>-6.4925556057999878E-2</v>
      </c>
      <c r="K83" s="20">
        <v>-0.08</v>
      </c>
      <c r="L83" s="20">
        <v>-0.05</v>
      </c>
      <c r="M83" s="20">
        <v>-0.03</v>
      </c>
      <c r="N83" s="20">
        <v>0</v>
      </c>
      <c r="O83" s="20">
        <v>0</v>
      </c>
      <c r="P83" s="20">
        <v>0</v>
      </c>
      <c r="Q83" s="20">
        <v>0</v>
      </c>
      <c r="R83" s="20">
        <v>0</v>
      </c>
      <c r="S83" s="20">
        <v>0</v>
      </c>
      <c r="T83" s="20">
        <v>0</v>
      </c>
      <c r="U83" s="1" t="s">
        <v>187</v>
      </c>
    </row>
    <row r="84" spans="2:21" x14ac:dyDescent="0.4">
      <c r="C84" s="1" t="s">
        <v>109</v>
      </c>
      <c r="F84" s="5"/>
      <c r="G84" s="5"/>
      <c r="H84" s="8">
        <v>5.8544395924308601E-2</v>
      </c>
      <c r="I84" s="8">
        <v>1.7024689151074579E-2</v>
      </c>
      <c r="J84" s="52">
        <v>-1.835302323553778E-2</v>
      </c>
      <c r="K84" s="19">
        <v>-0.03</v>
      </c>
      <c r="L84" s="19">
        <v>-0.02</v>
      </c>
      <c r="M84" s="19">
        <v>-0.01</v>
      </c>
      <c r="N84" s="19">
        <v>-0.01</v>
      </c>
      <c r="O84" s="19">
        <v>0</v>
      </c>
      <c r="P84" s="19">
        <v>0</v>
      </c>
      <c r="Q84" s="19">
        <v>0</v>
      </c>
      <c r="R84" s="19">
        <v>0</v>
      </c>
      <c r="S84" s="19">
        <v>0</v>
      </c>
      <c r="T84" s="19">
        <v>0</v>
      </c>
    </row>
    <row r="85" spans="2:21" x14ac:dyDescent="0.4">
      <c r="C85" s="1" t="s">
        <v>113</v>
      </c>
      <c r="F85" s="5"/>
      <c r="G85" s="5"/>
      <c r="H85" s="8">
        <v>8.3052901900359632E-2</v>
      </c>
      <c r="I85" s="8">
        <v>-3.5656094050253717E-3</v>
      </c>
      <c r="J85" s="52">
        <v>-9.3743378527979759E-2</v>
      </c>
      <c r="K85" s="19">
        <v>-0.03</v>
      </c>
      <c r="L85" s="19">
        <v>-0.02</v>
      </c>
      <c r="M85" s="19">
        <v>-0.01</v>
      </c>
      <c r="N85" s="19">
        <v>-0.01</v>
      </c>
      <c r="O85" s="19">
        <v>0</v>
      </c>
      <c r="P85" s="19">
        <v>0</v>
      </c>
      <c r="Q85" s="19">
        <v>0</v>
      </c>
      <c r="R85" s="19">
        <v>0</v>
      </c>
      <c r="S85" s="19">
        <v>0</v>
      </c>
      <c r="T85" s="19">
        <v>0</v>
      </c>
      <c r="U85" s="1" t="s">
        <v>188</v>
      </c>
    </row>
    <row r="86" spans="2:21" x14ac:dyDescent="0.4">
      <c r="C86" s="1" t="s">
        <v>111</v>
      </c>
      <c r="F86" s="5"/>
      <c r="G86" s="5"/>
      <c r="H86" s="8">
        <v>8.6704136556934319E-3</v>
      </c>
      <c r="I86" s="8">
        <v>6.2342007181646508E-2</v>
      </c>
      <c r="J86" s="52">
        <v>6.5742002725888149E-3</v>
      </c>
      <c r="K86" s="19">
        <v>-0.01</v>
      </c>
      <c r="L86" s="19">
        <v>-0.01</v>
      </c>
      <c r="M86" s="19">
        <v>-0.01</v>
      </c>
      <c r="N86" s="19">
        <v>-0.01</v>
      </c>
      <c r="O86" s="19">
        <v>0</v>
      </c>
      <c r="P86" s="19">
        <v>0</v>
      </c>
      <c r="Q86" s="19">
        <v>0</v>
      </c>
      <c r="R86" s="19">
        <v>0</v>
      </c>
      <c r="S86" s="19">
        <v>0</v>
      </c>
      <c r="T86" s="19">
        <v>0</v>
      </c>
    </row>
    <row r="87" spans="2:21" x14ac:dyDescent="0.4">
      <c r="F87" s="7"/>
      <c r="G87" s="7"/>
      <c r="H87" s="7"/>
      <c r="I87" s="7"/>
      <c r="J87" s="68"/>
      <c r="K87" s="7"/>
      <c r="L87" s="7"/>
      <c r="M87" s="7"/>
      <c r="N87" s="7"/>
      <c r="O87" s="7"/>
      <c r="P87" s="7"/>
      <c r="Q87" s="7"/>
      <c r="R87" s="7"/>
      <c r="S87" s="7"/>
      <c r="T87" s="7"/>
    </row>
    <row r="88" spans="2:21" x14ac:dyDescent="0.4">
      <c r="B88" s="13" t="s">
        <v>249</v>
      </c>
      <c r="F88" s="7"/>
      <c r="G88" s="7"/>
      <c r="H88" s="7"/>
      <c r="I88" s="7"/>
      <c r="J88" s="68"/>
      <c r="K88" s="7"/>
      <c r="L88" s="7"/>
      <c r="M88" s="7"/>
      <c r="N88" s="7"/>
      <c r="O88" s="7"/>
      <c r="P88" s="7"/>
      <c r="Q88" s="7"/>
      <c r="R88" s="7"/>
      <c r="S88" s="7"/>
      <c r="T88" s="7"/>
    </row>
    <row r="89" spans="2:21" s="72" customFormat="1" x14ac:dyDescent="0.4">
      <c r="C89" s="72" t="s">
        <v>84</v>
      </c>
      <c r="F89" s="73">
        <v>12453</v>
      </c>
      <c r="G89" s="73">
        <v>18187</v>
      </c>
      <c r="H89" s="73">
        <v>37825</v>
      </c>
      <c r="I89" s="73">
        <v>30556</v>
      </c>
      <c r="J89" s="51">
        <v>39003</v>
      </c>
      <c r="K89" s="74">
        <v>48275.987498228089</v>
      </c>
      <c r="L89" s="74">
        <v>60030.590156190476</v>
      </c>
      <c r="M89" s="74">
        <v>72607.113880756035</v>
      </c>
      <c r="N89" s="74">
        <v>84047.926719893439</v>
      </c>
      <c r="O89" s="74">
        <v>93274.38868693971</v>
      </c>
      <c r="P89" s="74">
        <v>101578.20445728138</v>
      </c>
      <c r="Q89" s="74">
        <v>108959.37403091841</v>
      </c>
      <c r="R89" s="74">
        <v>115417.89740785082</v>
      </c>
      <c r="S89" s="74">
        <v>120031.12839137396</v>
      </c>
      <c r="T89" s="74">
        <v>122799.06698148785</v>
      </c>
    </row>
    <row r="90" spans="2:21" s="72" customFormat="1" x14ac:dyDescent="0.4">
      <c r="D90" s="1" t="s">
        <v>869</v>
      </c>
      <c r="E90" s="1"/>
      <c r="F90" s="11">
        <v>93</v>
      </c>
      <c r="G90" s="11">
        <v>165</v>
      </c>
      <c r="H90" s="11">
        <v>16681</v>
      </c>
      <c r="I90" s="11">
        <v>5354</v>
      </c>
      <c r="J90" s="46">
        <v>5623</v>
      </c>
      <c r="K90" s="17">
        <v>5623</v>
      </c>
      <c r="L90" s="17">
        <v>5623</v>
      </c>
      <c r="M90" s="17">
        <v>5623</v>
      </c>
      <c r="N90" s="17">
        <v>5623</v>
      </c>
      <c r="O90" s="17">
        <v>5623</v>
      </c>
      <c r="P90" s="17">
        <v>5623</v>
      </c>
      <c r="Q90" s="17">
        <v>5623</v>
      </c>
      <c r="R90" s="17">
        <v>5623</v>
      </c>
      <c r="S90" s="17">
        <v>5623</v>
      </c>
      <c r="T90" s="17">
        <v>5623</v>
      </c>
    </row>
    <row r="91" spans="2:21" s="72" customFormat="1" x14ac:dyDescent="0.4">
      <c r="D91" s="72" t="s">
        <v>872</v>
      </c>
      <c r="F91" s="74">
        <v>12360</v>
      </c>
      <c r="G91" s="74">
        <v>18022</v>
      </c>
      <c r="H91" s="74">
        <v>21144</v>
      </c>
      <c r="I91" s="74">
        <v>25202</v>
      </c>
      <c r="J91" s="68">
        <v>33380</v>
      </c>
      <c r="K91" s="74">
        <v>42652.987498228089</v>
      </c>
      <c r="L91" s="74">
        <v>54407.590156190476</v>
      </c>
      <c r="M91" s="74">
        <v>66984.113880756035</v>
      </c>
      <c r="N91" s="74">
        <v>78424.926719893439</v>
      </c>
      <c r="O91" s="74">
        <v>87651.38868693971</v>
      </c>
      <c r="P91" s="74">
        <v>95955.204457281376</v>
      </c>
      <c r="Q91" s="74">
        <v>103336.37403091841</v>
      </c>
      <c r="R91" s="74">
        <v>109794.89740785082</v>
      </c>
      <c r="S91" s="74">
        <v>114408.12839137396</v>
      </c>
      <c r="T91" s="74">
        <v>117176.06698148785</v>
      </c>
    </row>
    <row r="92" spans="2:21" x14ac:dyDescent="0.4">
      <c r="C92" s="1" t="s">
        <v>85</v>
      </c>
      <c r="F92" s="17">
        <v>2334</v>
      </c>
      <c r="G92" s="17">
        <v>6105</v>
      </c>
      <c r="H92" s="17">
        <v>5430</v>
      </c>
      <c r="I92" s="17">
        <v>9520</v>
      </c>
      <c r="J92" s="51">
        <v>9603</v>
      </c>
      <c r="K92" s="7">
        <v>10747</v>
      </c>
      <c r="L92" s="7">
        <v>11826.666666666668</v>
      </c>
      <c r="M92" s="7">
        <v>9829.6666666666679</v>
      </c>
      <c r="N92" s="7">
        <v>5891.666666666667</v>
      </c>
      <c r="O92" s="7">
        <v>5141.666666666667</v>
      </c>
      <c r="P92" s="7">
        <v>4000</v>
      </c>
      <c r="Q92" s="7">
        <v>4000</v>
      </c>
      <c r="R92" s="7">
        <v>3000</v>
      </c>
      <c r="S92" s="7">
        <v>2000</v>
      </c>
      <c r="T92" s="7">
        <v>1000</v>
      </c>
    </row>
    <row r="93" spans="2:21" x14ac:dyDescent="0.4">
      <c r="C93" s="1" t="s">
        <v>116</v>
      </c>
      <c r="F93" s="17">
        <v>3541</v>
      </c>
      <c r="G93" s="17">
        <v>5809</v>
      </c>
      <c r="H93" s="17">
        <v>10222</v>
      </c>
      <c r="I93" s="17">
        <v>14502</v>
      </c>
      <c r="J93" s="51">
        <v>21704</v>
      </c>
      <c r="K93" s="11">
        <v>29216.938499278502</v>
      </c>
      <c r="L93" s="11">
        <v>36370.25544973545</v>
      </c>
      <c r="M93" s="11">
        <v>42532.247301587304</v>
      </c>
      <c r="N93" s="11">
        <v>45546.708273208278</v>
      </c>
      <c r="O93" s="11">
        <v>46155.144540644549</v>
      </c>
      <c r="P93" s="11">
        <v>45327.737181337186</v>
      </c>
      <c r="Q93" s="11">
        <v>43214.486195286205</v>
      </c>
      <c r="R93" s="11">
        <v>39965.391582491589</v>
      </c>
      <c r="S93" s="11">
        <v>35444.609716209721</v>
      </c>
      <c r="T93" s="11">
        <v>29952.140596440604</v>
      </c>
    </row>
    <row r="94" spans="2:21" x14ac:dyDescent="0.4">
      <c r="C94" s="1" t="s">
        <v>117</v>
      </c>
      <c r="F94" s="17">
        <v>25</v>
      </c>
      <c r="G94" s="17">
        <v>105</v>
      </c>
      <c r="H94" s="17">
        <v>17</v>
      </c>
      <c r="I94" s="17">
        <v>34</v>
      </c>
      <c r="J94" s="51">
        <v>608</v>
      </c>
      <c r="K94" s="3">
        <v>50</v>
      </c>
      <c r="L94" s="3">
        <v>50</v>
      </c>
      <c r="M94" s="3">
        <v>50</v>
      </c>
      <c r="N94" s="3">
        <v>50</v>
      </c>
      <c r="O94" s="3">
        <v>50</v>
      </c>
      <c r="P94" s="3">
        <v>50</v>
      </c>
      <c r="Q94" s="3">
        <v>50</v>
      </c>
      <c r="R94" s="3">
        <v>50</v>
      </c>
      <c r="S94" s="3">
        <v>50</v>
      </c>
      <c r="T94" s="3">
        <v>50</v>
      </c>
    </row>
    <row r="95" spans="2:21" x14ac:dyDescent="0.4">
      <c r="F95" s="5"/>
      <c r="G95" s="5"/>
      <c r="H95" s="5"/>
      <c r="I95" s="5"/>
      <c r="J95" s="47"/>
    </row>
    <row r="96" spans="2:21" x14ac:dyDescent="0.4">
      <c r="B96" s="14" t="s">
        <v>251</v>
      </c>
      <c r="F96" s="5"/>
      <c r="G96" s="5"/>
      <c r="H96" s="5"/>
      <c r="I96" s="5"/>
      <c r="J96" s="47"/>
    </row>
    <row r="97" spans="1:21" x14ac:dyDescent="0.4">
      <c r="C97" s="1" t="s">
        <v>819</v>
      </c>
      <c r="F97" s="79">
        <v>0.15727792128469084</v>
      </c>
      <c r="G97" s="79">
        <v>0.160850395387444</v>
      </c>
      <c r="H97" s="79">
        <v>0.11540287852242398</v>
      </c>
      <c r="I97" s="79">
        <v>9.717370348949296E-2</v>
      </c>
      <c r="J97" s="52">
        <v>9.636592491656755E-2</v>
      </c>
      <c r="K97" s="19">
        <v>9.6769814203030255E-2</v>
      </c>
      <c r="L97" s="19">
        <v>9.6769814203030255E-2</v>
      </c>
      <c r="M97" s="19">
        <v>9.6769814203030255E-2</v>
      </c>
      <c r="N97" s="19">
        <v>9.6769814203030255E-2</v>
      </c>
      <c r="O97" s="19">
        <v>9.6769814203030255E-2</v>
      </c>
      <c r="P97" s="19">
        <v>9.6769814203030255E-2</v>
      </c>
      <c r="Q97" s="19">
        <v>9.6769814203030255E-2</v>
      </c>
      <c r="R97" s="19">
        <v>9.6769814203030255E-2</v>
      </c>
      <c r="S97" s="19">
        <v>9.6769814203030255E-2</v>
      </c>
      <c r="T97" s="19">
        <v>9.6769814203030255E-2</v>
      </c>
      <c r="U97" s="176" t="s">
        <v>824</v>
      </c>
    </row>
    <row r="98" spans="1:21" x14ac:dyDescent="0.4">
      <c r="C98" s="1" t="s">
        <v>257</v>
      </c>
      <c r="F98" s="8"/>
      <c r="G98" s="74">
        <v>610.5</v>
      </c>
      <c r="H98" s="74">
        <v>417.69230769230768</v>
      </c>
      <c r="I98" s="74">
        <v>432.72727272727275</v>
      </c>
      <c r="J98" s="68">
        <v>355.66666666666669</v>
      </c>
      <c r="K98" s="17">
        <v>325.66666666666669</v>
      </c>
      <c r="L98" s="17">
        <v>295.66666666666669</v>
      </c>
      <c r="M98" s="17">
        <v>265.66666666666669</v>
      </c>
      <c r="N98" s="17">
        <v>235.66666666666669</v>
      </c>
      <c r="O98" s="17">
        <v>205.66666666666669</v>
      </c>
      <c r="P98" s="17">
        <v>200</v>
      </c>
      <c r="Q98" s="17">
        <v>200</v>
      </c>
      <c r="R98" s="17">
        <v>200</v>
      </c>
      <c r="S98" s="17">
        <v>200</v>
      </c>
      <c r="T98" s="17">
        <v>200</v>
      </c>
      <c r="U98" s="175">
        <v>-30</v>
      </c>
    </row>
    <row r="99" spans="1:21" x14ac:dyDescent="0.4">
      <c r="C99" s="1" t="s">
        <v>189</v>
      </c>
      <c r="F99" s="8"/>
      <c r="G99" s="29"/>
      <c r="H99" s="29"/>
      <c r="I99" s="29"/>
      <c r="J99" s="195"/>
      <c r="K99" s="196"/>
      <c r="L99" s="196"/>
      <c r="M99" s="196"/>
      <c r="N99" s="196"/>
      <c r="O99" s="196"/>
      <c r="P99" s="196"/>
      <c r="Q99" s="196"/>
      <c r="R99" s="196"/>
      <c r="S99" s="196"/>
      <c r="T99" s="196"/>
    </row>
    <row r="100" spans="1:21" x14ac:dyDescent="0.4">
      <c r="C100" s="1" t="s">
        <v>190</v>
      </c>
      <c r="F100" s="8"/>
      <c r="G100" s="7">
        <v>105</v>
      </c>
      <c r="H100" s="7">
        <v>17</v>
      </c>
      <c r="I100" s="7">
        <v>34</v>
      </c>
      <c r="J100" s="68">
        <v>608</v>
      </c>
      <c r="K100" s="17">
        <v>50</v>
      </c>
      <c r="L100" s="17">
        <v>50</v>
      </c>
      <c r="M100" s="17">
        <v>50</v>
      </c>
      <c r="N100" s="17">
        <v>50</v>
      </c>
      <c r="O100" s="17">
        <v>50</v>
      </c>
      <c r="P100" s="17">
        <v>50</v>
      </c>
      <c r="Q100" s="17">
        <v>50</v>
      </c>
      <c r="R100" s="17">
        <v>50</v>
      </c>
      <c r="S100" s="17">
        <v>50</v>
      </c>
      <c r="T100" s="17">
        <v>50</v>
      </c>
    </row>
    <row r="101" spans="1:21" x14ac:dyDescent="0.4">
      <c r="F101" s="5"/>
      <c r="G101" s="5"/>
      <c r="H101" s="5"/>
      <c r="I101" s="5"/>
      <c r="J101" s="47"/>
    </row>
    <row r="102" spans="1:21" x14ac:dyDescent="0.4">
      <c r="F102" s="5"/>
      <c r="G102" s="5"/>
      <c r="H102" s="5"/>
      <c r="I102" s="5"/>
      <c r="J102" s="47"/>
    </row>
    <row r="103" spans="1:21" x14ac:dyDescent="0.4">
      <c r="A103" s="1" t="s">
        <v>235</v>
      </c>
      <c r="B103" s="578" t="s">
        <v>247</v>
      </c>
      <c r="C103" s="578"/>
      <c r="D103" s="578"/>
      <c r="E103" s="578"/>
      <c r="F103" s="578"/>
      <c r="G103" s="578"/>
      <c r="H103" s="578"/>
      <c r="I103" s="578"/>
      <c r="J103" s="579"/>
      <c r="K103" s="578"/>
      <c r="L103" s="578"/>
      <c r="M103" s="578"/>
      <c r="N103" s="578"/>
      <c r="O103" s="578"/>
      <c r="P103" s="578"/>
      <c r="Q103" s="578"/>
      <c r="R103" s="578"/>
      <c r="S103" s="578"/>
      <c r="T103" s="578"/>
    </row>
    <row r="104" spans="1:21" x14ac:dyDescent="0.4">
      <c r="B104" s="2" t="s">
        <v>86</v>
      </c>
      <c r="F104" s="10">
        <v>20419</v>
      </c>
      <c r="G104" s="10">
        <v>26861</v>
      </c>
      <c r="H104" s="10">
        <v>52874</v>
      </c>
      <c r="I104" s="10">
        <v>73292</v>
      </c>
      <c r="J104" s="48">
        <v>92309</v>
      </c>
      <c r="K104" s="10">
        <v>105699.28597402596</v>
      </c>
      <c r="L104" s="10">
        <v>125713.6795571429</v>
      </c>
      <c r="M104" s="10">
        <v>147743.66358792852</v>
      </c>
      <c r="N104" s="10">
        <v>177051.86900493654</v>
      </c>
      <c r="O104" s="10">
        <v>197881.50065257621</v>
      </c>
      <c r="P104" s="10">
        <v>216628.16913545178</v>
      </c>
      <c r="Q104" s="10">
        <v>233291.87445356348</v>
      </c>
      <c r="R104" s="10">
        <v>247872.61660691141</v>
      </c>
      <c r="S104" s="10">
        <v>258287.43243073113</v>
      </c>
      <c r="T104" s="10">
        <v>264536.3219250231</v>
      </c>
    </row>
    <row r="105" spans="1:21" x14ac:dyDescent="0.4">
      <c r="C105" s="6" t="s">
        <v>87</v>
      </c>
      <c r="F105" s="8">
        <v>0.25982668889256494</v>
      </c>
      <c r="G105" s="8">
        <v>0.23974045447242998</v>
      </c>
      <c r="H105" s="8">
        <v>0.28858360759528212</v>
      </c>
      <c r="I105" s="8">
        <v>0.28259880470406784</v>
      </c>
      <c r="J105" s="52">
        <v>0.26649017864360197</v>
      </c>
      <c r="K105" s="8">
        <v>0.23980735852381668</v>
      </c>
      <c r="L105" s="8">
        <v>0.22359544649194207</v>
      </c>
      <c r="M105" s="8">
        <v>0.21344056145208321</v>
      </c>
      <c r="N105" s="8">
        <v>0.21846722954681316</v>
      </c>
      <c r="O105" s="8">
        <v>0.21846722954681327</v>
      </c>
      <c r="P105" s="8">
        <v>0.21846722954681319</v>
      </c>
      <c r="Q105" s="8">
        <v>0.21846722954681319</v>
      </c>
      <c r="R105" s="8">
        <v>0.21846722954681336</v>
      </c>
      <c r="S105" s="8">
        <v>0.2184672295468133</v>
      </c>
      <c r="T105" s="8">
        <v>0.21846722954681339</v>
      </c>
    </row>
    <row r="106" spans="1:21" x14ac:dyDescent="0.4">
      <c r="F106" s="5"/>
      <c r="G106" s="5"/>
      <c r="H106" s="5"/>
      <c r="I106" s="5"/>
      <c r="J106" s="47"/>
    </row>
    <row r="107" spans="1:21" x14ac:dyDescent="0.4">
      <c r="B107" s="2" t="s">
        <v>1006</v>
      </c>
      <c r="F107" s="18">
        <v>12722</v>
      </c>
      <c r="G107" s="18">
        <v>14862</v>
      </c>
      <c r="H107" s="18">
        <v>37011</v>
      </c>
      <c r="I107" s="18">
        <v>50234</v>
      </c>
      <c r="J107" s="69">
        <v>64664</v>
      </c>
      <c r="K107" s="11">
        <v>61880.739986302098</v>
      </c>
      <c r="L107" s="11">
        <v>72805.583596239478</v>
      </c>
      <c r="M107" s="11">
        <v>89419.9183931445</v>
      </c>
      <c r="N107" s="11">
        <v>116876.34343251934</v>
      </c>
      <c r="O107" s="11">
        <v>134101.09282130594</v>
      </c>
      <c r="P107" s="11">
        <v>149485.44437289727</v>
      </c>
      <c r="Q107" s="11">
        <v>162080.65431894333</v>
      </c>
      <c r="R107" s="11">
        <v>174418.11570276658</v>
      </c>
      <c r="S107" s="11">
        <v>183850.35358548741</v>
      </c>
      <c r="T107" s="11">
        <v>190474.79956127057</v>
      </c>
    </row>
    <row r="108" spans="1:21" s="6" customFormat="1" x14ac:dyDescent="0.4">
      <c r="C108" s="6" t="s">
        <v>87</v>
      </c>
      <c r="F108" s="21">
        <v>0.1542883477248472</v>
      </c>
      <c r="G108" s="21">
        <v>0.12538597823335865</v>
      </c>
      <c r="H108" s="21">
        <v>0.19418968267293485</v>
      </c>
      <c r="I108" s="21">
        <v>0.18710866933606482</v>
      </c>
      <c r="J108" s="49">
        <v>0.18021794264373903</v>
      </c>
      <c r="K108" s="21">
        <v>0.18021794264373903</v>
      </c>
      <c r="L108" s="21">
        <v>0.13569685265982023</v>
      </c>
      <c r="M108" s="21">
        <v>0.12525985553655389</v>
      </c>
      <c r="N108" s="21">
        <v>0.12482477659100236</v>
      </c>
      <c r="O108" s="21">
        <v>0.13909848814661846</v>
      </c>
      <c r="P108" s="21">
        <v>0.14259131432857786</v>
      </c>
      <c r="Q108" s="21">
        <v>0.14512199394100905</v>
      </c>
      <c r="R108" s="21">
        <v>0.14606391675527974</v>
      </c>
      <c r="S108" s="21">
        <v>0.1478605792720005</v>
      </c>
      <c r="T108" s="21">
        <v>0.14948217709896436</v>
      </c>
    </row>
    <row r="109" spans="1:21" x14ac:dyDescent="0.4">
      <c r="J109" s="44"/>
    </row>
    <row r="110" spans="1:21" x14ac:dyDescent="0.4">
      <c r="B110" s="2" t="s">
        <v>142</v>
      </c>
      <c r="F110" s="18">
        <v>5935</v>
      </c>
      <c r="G110" s="18">
        <v>3143</v>
      </c>
      <c r="H110" s="18">
        <v>6753</v>
      </c>
      <c r="I110" s="18">
        <v>27805</v>
      </c>
      <c r="J110" s="69">
        <v>33813</v>
      </c>
      <c r="K110" s="4">
        <v>32663.801487023564</v>
      </c>
      <c r="L110" s="4">
        <v>36435.328146504078</v>
      </c>
      <c r="M110" s="4">
        <v>46887.671091557153</v>
      </c>
      <c r="N110" s="4">
        <v>71329.635159311001</v>
      </c>
      <c r="O110" s="4">
        <v>87945.948280661425</v>
      </c>
      <c r="P110" s="4">
        <v>104157.70719156011</v>
      </c>
      <c r="Q110" s="4">
        <v>118866.16812365717</v>
      </c>
      <c r="R110" s="4">
        <v>134452.72412027488</v>
      </c>
      <c r="S110" s="4">
        <v>148405.74386927771</v>
      </c>
      <c r="T110" s="4">
        <v>160522.65896482993</v>
      </c>
    </row>
    <row r="111" spans="1:21" x14ac:dyDescent="0.4">
      <c r="C111" s="6" t="s">
        <v>87</v>
      </c>
      <c r="F111" s="8">
        <v>7.197778208984186E-2</v>
      </c>
      <c r="G111" s="8">
        <v>2.651649371467139E-2</v>
      </c>
      <c r="H111" s="8">
        <v>3.5431707521826727E-2</v>
      </c>
      <c r="I111" s="8">
        <v>0.10356644007821958</v>
      </c>
      <c r="J111" s="52">
        <v>9.4236503999331117E-2</v>
      </c>
      <c r="K111" s="8">
        <v>7.1627699647344278E-2</v>
      </c>
      <c r="L111" s="8">
        <v>6.2685905594385874E-2</v>
      </c>
      <c r="M111" s="8">
        <v>6.545234187246507E-2</v>
      </c>
      <c r="N111" s="8">
        <v>8.4891810603559784E-2</v>
      </c>
      <c r="O111" s="8">
        <v>9.3513990761604299E-2</v>
      </c>
      <c r="P111" s="8">
        <v>0.10111736440543731</v>
      </c>
      <c r="Q111" s="8">
        <v>0.10711986670332527</v>
      </c>
      <c r="R111" s="8">
        <v>0.11398046351447301</v>
      </c>
      <c r="S111" s="8">
        <v>0.12066342683021117</v>
      </c>
      <c r="T111" s="8">
        <v>0.12733206620085788</v>
      </c>
    </row>
    <row r="112" spans="1:21" x14ac:dyDescent="0.4">
      <c r="J112" s="72"/>
      <c r="K112" s="72"/>
    </row>
    <row r="113" spans="1:11" x14ac:dyDescent="0.4">
      <c r="A113" s="1" t="s">
        <v>235</v>
      </c>
      <c r="J113" s="72"/>
      <c r="K113" s="72"/>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1"/>
  <sheetViews>
    <sheetView showGridLines="0" zoomScaleNormal="100" workbookViewId="0"/>
  </sheetViews>
  <sheetFormatPr defaultColWidth="8.59765625" defaultRowHeight="13.2" outlineLevelRow="1"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0" ht="8.1" customHeight="1" x14ac:dyDescent="0.4"/>
    <row r="2" spans="1:20" x14ac:dyDescent="0.4">
      <c r="B2" s="2" t="s">
        <v>229</v>
      </c>
    </row>
    <row r="3" spans="1:20" s="60" customFormat="1" ht="18" thickBot="1" x14ac:dyDescent="0.35">
      <c r="A3" s="59"/>
      <c r="B3" s="65" t="s">
        <v>228</v>
      </c>
      <c r="R3" s="61"/>
    </row>
    <row r="4" spans="1:20" s="62" customFormat="1" x14ac:dyDescent="0.25">
      <c r="A4" s="59"/>
      <c r="B4" s="64" t="s">
        <v>223</v>
      </c>
      <c r="R4" s="63"/>
    </row>
    <row r="5" spans="1:20" s="62" customFormat="1" x14ac:dyDescent="0.25">
      <c r="A5" s="59"/>
    </row>
    <row r="6" spans="1:20" s="62" customFormat="1" x14ac:dyDescent="0.25">
      <c r="A6" s="59"/>
    </row>
    <row r="7" spans="1:20" x14ac:dyDescent="0.4">
      <c r="B7" s="6"/>
      <c r="F7" s="53"/>
      <c r="G7" s="53"/>
      <c r="H7" s="53" t="s">
        <v>225</v>
      </c>
      <c r="I7" s="53"/>
      <c r="J7" s="54"/>
      <c r="K7" s="53" t="s">
        <v>226</v>
      </c>
      <c r="L7" s="53"/>
      <c r="M7" s="53"/>
      <c r="N7" s="53"/>
      <c r="O7" s="53"/>
      <c r="P7" s="53"/>
      <c r="Q7" s="53"/>
      <c r="R7" s="53"/>
      <c r="S7" s="53"/>
      <c r="T7" s="53"/>
    </row>
    <row r="8" spans="1:20" x14ac:dyDescent="0.4">
      <c r="F8" s="55">
        <v>2013</v>
      </c>
      <c r="G8" s="56">
        <v>2014</v>
      </c>
      <c r="H8" s="56">
        <v>2015</v>
      </c>
      <c r="I8" s="56">
        <v>2016</v>
      </c>
      <c r="J8" s="57">
        <v>2017</v>
      </c>
      <c r="K8" s="58">
        <v>2018</v>
      </c>
      <c r="L8" s="58">
        <v>2019</v>
      </c>
      <c r="M8" s="58">
        <v>2020</v>
      </c>
      <c r="N8" s="58">
        <v>2021</v>
      </c>
      <c r="O8" s="58">
        <v>2022</v>
      </c>
      <c r="P8" s="58">
        <v>2023</v>
      </c>
      <c r="Q8" s="58">
        <v>2024</v>
      </c>
      <c r="R8" s="58">
        <v>2025</v>
      </c>
      <c r="S8" s="58">
        <v>2026</v>
      </c>
      <c r="T8" s="58">
        <v>2027</v>
      </c>
    </row>
    <row r="9" spans="1:20" x14ac:dyDescent="0.4">
      <c r="J9" s="177"/>
    </row>
    <row r="10" spans="1:20" x14ac:dyDescent="0.4">
      <c r="A10" s="1" t="s">
        <v>235</v>
      </c>
      <c r="B10" s="2" t="s">
        <v>279</v>
      </c>
      <c r="F10" s="12">
        <v>82456</v>
      </c>
      <c r="G10" s="12">
        <v>118530</v>
      </c>
      <c r="H10" s="12">
        <v>190592</v>
      </c>
      <c r="I10" s="12">
        <v>268475</v>
      </c>
      <c r="J10" s="45">
        <v>358810</v>
      </c>
      <c r="K10" s="12">
        <v>456021.92514686787</v>
      </c>
      <c r="L10" s="12">
        <v>581236.36886195373</v>
      </c>
      <c r="M10" s="12">
        <v>716363.53643263865</v>
      </c>
      <c r="N10" s="12">
        <v>840241.65172323375</v>
      </c>
      <c r="O10" s="12">
        <v>940457.65306779055</v>
      </c>
      <c r="P10" s="12">
        <v>1030067.4647129086</v>
      </c>
      <c r="Q10" s="12">
        <v>1109655.6762235709</v>
      </c>
      <c r="R10" s="12">
        <v>1179612.0139764333</v>
      </c>
      <c r="S10" s="12">
        <v>1229914.8778370393</v>
      </c>
      <c r="T10" s="12">
        <v>1260661.6993995535</v>
      </c>
    </row>
    <row r="11" spans="1:20" x14ac:dyDescent="0.4">
      <c r="C11" s="1" t="s">
        <v>0</v>
      </c>
      <c r="F11" s="11">
        <v>78587</v>
      </c>
      <c r="G11" s="11">
        <v>112042</v>
      </c>
      <c r="H11" s="11">
        <v>183219</v>
      </c>
      <c r="I11" s="11">
        <v>259350</v>
      </c>
      <c r="J11" s="46">
        <v>346388</v>
      </c>
      <c r="K11" s="11">
        <v>440767.48363636364</v>
      </c>
      <c r="L11" s="11">
        <v>562237.20799999998</v>
      </c>
      <c r="M11" s="11">
        <v>692200.50107999996</v>
      </c>
      <c r="N11" s="11">
        <v>810427.58390909084</v>
      </c>
      <c r="O11" s="11">
        <v>905772.00554545445</v>
      </c>
      <c r="P11" s="11">
        <v>991581.98501818173</v>
      </c>
      <c r="Q11" s="11">
        <v>1067857.5223272727</v>
      </c>
      <c r="R11" s="11">
        <v>1134598.6174727273</v>
      </c>
      <c r="S11" s="11">
        <v>1182270.8282909091</v>
      </c>
      <c r="T11" s="11">
        <v>1210874.1547818182</v>
      </c>
    </row>
    <row r="12" spans="1:20" x14ac:dyDescent="0.4">
      <c r="C12" s="1" t="s">
        <v>144</v>
      </c>
      <c r="F12" s="11">
        <v>3869</v>
      </c>
      <c r="G12" s="11">
        <v>6488</v>
      </c>
      <c r="H12" s="11">
        <v>7373</v>
      </c>
      <c r="I12" s="11">
        <v>9125</v>
      </c>
      <c r="J12" s="46">
        <v>12422</v>
      </c>
      <c r="K12" s="11">
        <v>15254.441510504201</v>
      </c>
      <c r="L12" s="11">
        <v>18999.160861953784</v>
      </c>
      <c r="M12" s="11">
        <v>24163.035352638653</v>
      </c>
      <c r="N12" s="11">
        <v>29814.067814142858</v>
      </c>
      <c r="O12" s="11">
        <v>34685.647522336134</v>
      </c>
      <c r="P12" s="11">
        <v>38485.479694726891</v>
      </c>
      <c r="Q12" s="11">
        <v>41798.153896298318</v>
      </c>
      <c r="R12" s="11">
        <v>45013.396503705881</v>
      </c>
      <c r="S12" s="11">
        <v>47644.049546130249</v>
      </c>
      <c r="T12" s="11">
        <v>49787.544617735293</v>
      </c>
    </row>
    <row r="13" spans="1:20" x14ac:dyDescent="0.4">
      <c r="F13" s="5"/>
      <c r="G13" s="5"/>
      <c r="H13" s="5"/>
      <c r="I13" s="5"/>
      <c r="J13" s="47"/>
      <c r="K13" s="5"/>
      <c r="L13" s="5"/>
      <c r="M13" s="5"/>
      <c r="N13" s="5"/>
      <c r="O13" s="5"/>
      <c r="P13" s="5"/>
      <c r="Q13" s="5"/>
      <c r="R13" s="5"/>
      <c r="S13" s="5"/>
      <c r="T13" s="5"/>
    </row>
    <row r="14" spans="1:20" x14ac:dyDescent="0.4">
      <c r="B14" s="93" t="s">
        <v>145</v>
      </c>
      <c r="C14" s="93"/>
      <c r="D14" s="93"/>
      <c r="E14" s="93"/>
      <c r="F14" s="94">
        <v>58168</v>
      </c>
      <c r="G14" s="94">
        <v>85181</v>
      </c>
      <c r="H14" s="94">
        <v>130345</v>
      </c>
      <c r="I14" s="94">
        <v>186058</v>
      </c>
      <c r="J14" s="95">
        <v>254079</v>
      </c>
      <c r="K14" s="94">
        <v>335068.19766233768</v>
      </c>
      <c r="L14" s="94">
        <v>436523.52844285709</v>
      </c>
      <c r="M14" s="94">
        <v>544456.83749207144</v>
      </c>
      <c r="N14" s="94">
        <v>633375.7149041543</v>
      </c>
      <c r="O14" s="94">
        <v>707890.50489287823</v>
      </c>
      <c r="P14" s="94">
        <v>774953.81588272995</v>
      </c>
      <c r="Q14" s="94">
        <v>834565.64787370921</v>
      </c>
      <c r="R14" s="94">
        <v>886726.00086581591</v>
      </c>
      <c r="S14" s="94">
        <v>923983.39586017793</v>
      </c>
      <c r="T14" s="94">
        <v>946337.83285679505</v>
      </c>
    </row>
    <row r="15" spans="1:20" x14ac:dyDescent="0.4">
      <c r="A15" s="1" t="s">
        <v>235</v>
      </c>
      <c r="B15" s="2" t="s">
        <v>146</v>
      </c>
      <c r="F15" s="10">
        <v>24288</v>
      </c>
      <c r="G15" s="10">
        <v>33349</v>
      </c>
      <c r="H15" s="10">
        <v>60247</v>
      </c>
      <c r="I15" s="10">
        <v>82417</v>
      </c>
      <c r="J15" s="48">
        <v>104731</v>
      </c>
      <c r="K15" s="10">
        <v>120953.72748453019</v>
      </c>
      <c r="L15" s="10">
        <v>144712.84041909664</v>
      </c>
      <c r="M15" s="10">
        <v>171906.69894056721</v>
      </c>
      <c r="N15" s="10">
        <v>206865.93681907945</v>
      </c>
      <c r="O15" s="10">
        <v>232567.14817491232</v>
      </c>
      <c r="P15" s="10">
        <v>255113.64883017866</v>
      </c>
      <c r="Q15" s="10">
        <v>275090.02834986174</v>
      </c>
      <c r="R15" s="10">
        <v>292886.01311061741</v>
      </c>
      <c r="S15" s="10">
        <v>305931.48197686137</v>
      </c>
      <c r="T15" s="10">
        <v>314323.86654275842</v>
      </c>
    </row>
    <row r="16" spans="1:20" s="6" customFormat="1" x14ac:dyDescent="0.4">
      <c r="C16" s="6" t="s">
        <v>196</v>
      </c>
      <c r="F16" s="21">
        <v>0.29455709711846317</v>
      </c>
      <c r="G16" s="21">
        <v>0.281354931241036</v>
      </c>
      <c r="H16" s="21">
        <v>0.31610455842847551</v>
      </c>
      <c r="I16" s="21">
        <v>0.30698202812179903</v>
      </c>
      <c r="J16" s="49">
        <v>0.29188428416153395</v>
      </c>
      <c r="K16" s="21">
        <v>0.26523664941236202</v>
      </c>
      <c r="L16" s="21">
        <v>0.24897416640056569</v>
      </c>
      <c r="M16" s="21">
        <v>0.23997131372240357</v>
      </c>
      <c r="N16" s="21">
        <v>0.24619814596767786</v>
      </c>
      <c r="O16" s="21">
        <v>0.24729146221126908</v>
      </c>
      <c r="P16" s="21">
        <v>0.2476669320890372</v>
      </c>
      <c r="Q16" s="21">
        <v>0.24790575513123156</v>
      </c>
      <c r="R16" s="21">
        <v>0.24829012390549354</v>
      </c>
      <c r="S16" s="21">
        <v>0.24874199628748336</v>
      </c>
      <c r="T16" s="21">
        <v>0.24933244715253047</v>
      </c>
    </row>
    <row r="17" spans="1:20" x14ac:dyDescent="0.4">
      <c r="B17" s="2"/>
      <c r="C17" s="2"/>
      <c r="D17" s="2"/>
      <c r="E17" s="2"/>
      <c r="F17" s="9"/>
      <c r="G17" s="9"/>
      <c r="H17" s="9"/>
      <c r="I17" s="9"/>
      <c r="J17" s="50"/>
    </row>
    <row r="18" spans="1:20" x14ac:dyDescent="0.4">
      <c r="B18" s="1" t="s">
        <v>147</v>
      </c>
      <c r="F18" s="11">
        <v>14787</v>
      </c>
      <c r="G18" s="11">
        <v>24292</v>
      </c>
      <c r="H18" s="11">
        <v>43255</v>
      </c>
      <c r="I18" s="11">
        <v>40076</v>
      </c>
      <c r="J18" s="46">
        <v>48606</v>
      </c>
      <c r="K18" s="11">
        <v>59022.987498228089</v>
      </c>
      <c r="L18" s="11">
        <v>71857.256822857147</v>
      </c>
      <c r="M18" s="11">
        <v>82436.780547422706</v>
      </c>
      <c r="N18" s="11">
        <v>89939.593386560111</v>
      </c>
      <c r="O18" s="11">
        <v>98416.055353606382</v>
      </c>
      <c r="P18" s="11">
        <v>105578.20445728138</v>
      </c>
      <c r="Q18" s="11">
        <v>112959.37403091841</v>
      </c>
      <c r="R18" s="11">
        <v>118417.89740785082</v>
      </c>
      <c r="S18" s="11">
        <v>122031.12839137396</v>
      </c>
      <c r="T18" s="11">
        <v>123799.06698148785</v>
      </c>
    </row>
    <row r="19" spans="1:20" x14ac:dyDescent="0.4">
      <c r="B19" s="1" t="s">
        <v>148</v>
      </c>
      <c r="F19" s="11">
        <v>3541</v>
      </c>
      <c r="G19" s="11">
        <v>5809</v>
      </c>
      <c r="H19" s="11">
        <v>10222</v>
      </c>
      <c r="I19" s="11">
        <v>14502</v>
      </c>
      <c r="J19" s="46">
        <v>21704</v>
      </c>
      <c r="K19" s="11">
        <v>29216.938499278502</v>
      </c>
      <c r="L19" s="11">
        <v>36370.25544973545</v>
      </c>
      <c r="M19" s="11">
        <v>42532.247301587304</v>
      </c>
      <c r="N19" s="11">
        <v>45546.708273208278</v>
      </c>
      <c r="O19" s="11">
        <v>46155.144540644549</v>
      </c>
      <c r="P19" s="11">
        <v>45327.737181337186</v>
      </c>
      <c r="Q19" s="11">
        <v>43214.486195286205</v>
      </c>
      <c r="R19" s="11">
        <v>39965.391582491589</v>
      </c>
      <c r="S19" s="11">
        <v>35444.609716209721</v>
      </c>
      <c r="T19" s="11">
        <v>29952.140596440604</v>
      </c>
    </row>
    <row r="20" spans="1:20" x14ac:dyDescent="0.4">
      <c r="B20" s="93" t="s">
        <v>204</v>
      </c>
      <c r="C20" s="96"/>
      <c r="D20" s="96"/>
      <c r="E20" s="96"/>
      <c r="F20" s="94">
        <v>25</v>
      </c>
      <c r="G20" s="94">
        <v>105</v>
      </c>
      <c r="H20" s="94">
        <v>17</v>
      </c>
      <c r="I20" s="94">
        <v>34</v>
      </c>
      <c r="J20" s="95">
        <v>608</v>
      </c>
      <c r="K20" s="94">
        <v>50</v>
      </c>
      <c r="L20" s="94">
        <v>50</v>
      </c>
      <c r="M20" s="94">
        <v>50</v>
      </c>
      <c r="N20" s="94">
        <v>50</v>
      </c>
      <c r="O20" s="94">
        <v>50</v>
      </c>
      <c r="P20" s="94">
        <v>50</v>
      </c>
      <c r="Q20" s="94">
        <v>50</v>
      </c>
      <c r="R20" s="94">
        <v>50</v>
      </c>
      <c r="S20" s="94">
        <v>50</v>
      </c>
      <c r="T20" s="94">
        <v>50</v>
      </c>
    </row>
    <row r="21" spans="1:20" x14ac:dyDescent="0.4">
      <c r="A21" s="1" t="s">
        <v>235</v>
      </c>
      <c r="B21" s="2" t="s">
        <v>149</v>
      </c>
      <c r="F21" s="10">
        <v>5935</v>
      </c>
      <c r="G21" s="10">
        <v>3143</v>
      </c>
      <c r="H21" s="10">
        <v>6753</v>
      </c>
      <c r="I21" s="10">
        <v>27805</v>
      </c>
      <c r="J21" s="48">
        <v>33813</v>
      </c>
      <c r="K21" s="10">
        <v>32663.801487023593</v>
      </c>
      <c r="L21" s="10">
        <v>36435.328146504035</v>
      </c>
      <c r="M21" s="10">
        <v>46887.671091557189</v>
      </c>
      <c r="N21" s="10">
        <v>71329.635159311059</v>
      </c>
      <c r="O21" s="10">
        <v>87945.948280661396</v>
      </c>
      <c r="P21" s="10">
        <v>104157.7071915601</v>
      </c>
      <c r="Q21" s="10">
        <v>118866.16812365712</v>
      </c>
      <c r="R21" s="10">
        <v>134452.724120275</v>
      </c>
      <c r="S21" s="10">
        <v>148405.74386927768</v>
      </c>
      <c r="T21" s="10">
        <v>160522.65896482996</v>
      </c>
    </row>
    <row r="22" spans="1:20" s="6" customFormat="1" x14ac:dyDescent="0.4">
      <c r="C22" s="6" t="s">
        <v>197</v>
      </c>
      <c r="F22" s="21"/>
      <c r="G22" s="21"/>
      <c r="H22" s="21">
        <v>3.5431707521826727E-2</v>
      </c>
      <c r="I22" s="21">
        <v>0.10356644007821958</v>
      </c>
      <c r="J22" s="49">
        <v>9.4236503999331117E-2</v>
      </c>
      <c r="K22" s="21">
        <v>7.1627699647344334E-2</v>
      </c>
      <c r="L22" s="21">
        <v>6.2685905594385805E-2</v>
      </c>
      <c r="M22" s="21">
        <v>6.5452341872465125E-2</v>
      </c>
      <c r="N22" s="21">
        <v>8.4891810603559853E-2</v>
      </c>
      <c r="O22" s="21">
        <v>9.3513990761604271E-2</v>
      </c>
      <c r="P22" s="21">
        <v>0.1011173644054373</v>
      </c>
      <c r="Q22" s="21">
        <v>0.10711986670332521</v>
      </c>
      <c r="R22" s="21">
        <v>0.11398046351447311</v>
      </c>
      <c r="S22" s="21">
        <v>0.12066342683021115</v>
      </c>
      <c r="T22" s="21">
        <v>0.12733206620085788</v>
      </c>
    </row>
    <row r="23" spans="1:20" x14ac:dyDescent="0.4">
      <c r="J23" s="44"/>
    </row>
    <row r="24" spans="1:20" x14ac:dyDescent="0.4">
      <c r="B24" s="1" t="s">
        <v>947</v>
      </c>
      <c r="F24" s="17">
        <v>0</v>
      </c>
      <c r="G24" s="17">
        <v>0</v>
      </c>
      <c r="H24" s="17">
        <v>7</v>
      </c>
      <c r="I24" s="17">
        <v>1065</v>
      </c>
      <c r="J24" s="51">
        <v>128123</v>
      </c>
      <c r="K24" s="17">
        <v>0</v>
      </c>
      <c r="L24" s="17">
        <v>0</v>
      </c>
      <c r="M24" s="17">
        <v>0</v>
      </c>
      <c r="N24" s="17">
        <v>0</v>
      </c>
      <c r="O24" s="17">
        <v>0</v>
      </c>
      <c r="P24" s="17">
        <v>0</v>
      </c>
      <c r="Q24" s="17">
        <v>0</v>
      </c>
      <c r="R24" s="17">
        <v>0</v>
      </c>
      <c r="S24" s="17">
        <v>0</v>
      </c>
      <c r="T24" s="17">
        <v>0</v>
      </c>
    </row>
    <row r="25" spans="1:20" x14ac:dyDescent="0.4">
      <c r="B25" s="93" t="s">
        <v>948</v>
      </c>
      <c r="C25" s="93"/>
      <c r="D25" s="93"/>
      <c r="E25" s="93"/>
      <c r="F25" s="200">
        <v>52</v>
      </c>
      <c r="G25" s="200">
        <v>363</v>
      </c>
      <c r="H25" s="200">
        <v>332</v>
      </c>
      <c r="I25" s="200">
        <v>374</v>
      </c>
      <c r="J25" s="207">
        <v>1643</v>
      </c>
      <c r="K25" s="94">
        <v>0</v>
      </c>
      <c r="L25" s="94">
        <v>0</v>
      </c>
      <c r="M25" s="94">
        <v>0</v>
      </c>
      <c r="N25" s="94">
        <v>0</v>
      </c>
      <c r="O25" s="94">
        <v>0</v>
      </c>
      <c r="P25" s="94">
        <v>0</v>
      </c>
      <c r="Q25" s="94">
        <v>0</v>
      </c>
      <c r="R25" s="94">
        <v>0</v>
      </c>
      <c r="S25" s="94">
        <v>0</v>
      </c>
      <c r="T25" s="94">
        <v>0</v>
      </c>
    </row>
    <row r="26" spans="1:20" x14ac:dyDescent="0.4">
      <c r="B26" s="2" t="s">
        <v>150</v>
      </c>
      <c r="F26" s="77">
        <v>5883</v>
      </c>
      <c r="G26" s="77">
        <v>2780</v>
      </c>
      <c r="H26" s="77">
        <v>6428</v>
      </c>
      <c r="I26" s="77">
        <v>28496</v>
      </c>
      <c r="J26" s="48">
        <v>160293</v>
      </c>
      <c r="K26" s="77">
        <v>32663.801487023593</v>
      </c>
      <c r="L26" s="77">
        <v>36435.328146504035</v>
      </c>
      <c r="M26" s="77">
        <v>46887.671091557189</v>
      </c>
      <c r="N26" s="77">
        <v>71329.635159311059</v>
      </c>
      <c r="O26" s="77">
        <v>87945.948280661396</v>
      </c>
      <c r="P26" s="77">
        <v>104157.7071915601</v>
      </c>
      <c r="Q26" s="77">
        <v>118866.16812365712</v>
      </c>
      <c r="R26" s="77">
        <v>134452.724120275</v>
      </c>
      <c r="S26" s="77">
        <v>148405.74386927768</v>
      </c>
      <c r="T26" s="77">
        <v>160522.65896482996</v>
      </c>
    </row>
    <row r="27" spans="1:20" x14ac:dyDescent="0.4">
      <c r="F27" s="5"/>
      <c r="G27" s="5"/>
      <c r="H27" s="5"/>
      <c r="I27" s="5"/>
      <c r="J27" s="47"/>
      <c r="K27" s="5"/>
      <c r="L27" s="5"/>
      <c r="M27" s="5"/>
    </row>
    <row r="28" spans="1:20" x14ac:dyDescent="0.4">
      <c r="B28" s="1" t="s">
        <v>151</v>
      </c>
      <c r="F28" s="17">
        <v>460</v>
      </c>
      <c r="G28" s="17">
        <v>662</v>
      </c>
      <c r="H28" s="17">
        <v>3304</v>
      </c>
      <c r="I28" s="17">
        <v>6350</v>
      </c>
      <c r="J28" s="51">
        <v>151409</v>
      </c>
      <c r="K28" s="7">
        <v>6859.3983122749542</v>
      </c>
      <c r="L28" s="7">
        <v>7651.4189107658467</v>
      </c>
      <c r="M28" s="7">
        <v>9846.4109292270095</v>
      </c>
      <c r="N28" s="7">
        <v>14979.223383455323</v>
      </c>
      <c r="O28" s="7">
        <v>18468.649138938894</v>
      </c>
      <c r="P28" s="7">
        <v>21873.118510227621</v>
      </c>
      <c r="Q28" s="7">
        <v>24961.895305967995</v>
      </c>
      <c r="R28" s="7">
        <v>28235.072065257747</v>
      </c>
      <c r="S28" s="7">
        <v>31165.20621254831</v>
      </c>
      <c r="T28" s="7">
        <v>33709.758382614287</v>
      </c>
    </row>
    <row r="29" spans="1:20" s="6" customFormat="1" x14ac:dyDescent="0.4">
      <c r="B29" s="208"/>
      <c r="C29" s="208" t="s">
        <v>193</v>
      </c>
      <c r="D29" s="208"/>
      <c r="E29" s="208"/>
      <c r="F29" s="209">
        <v>7.8191398946115931E-2</v>
      </c>
      <c r="G29" s="209">
        <v>0.2381294964028777</v>
      </c>
      <c r="H29" s="209">
        <v>0.51400124455507157</v>
      </c>
      <c r="I29" s="209">
        <v>0.22283829309376754</v>
      </c>
      <c r="J29" s="210">
        <v>0.9445764942948226</v>
      </c>
      <c r="K29" s="211">
        <v>0.21</v>
      </c>
      <c r="L29" s="211">
        <v>0.21</v>
      </c>
      <c r="M29" s="211">
        <v>0.21</v>
      </c>
      <c r="N29" s="211">
        <v>0.21</v>
      </c>
      <c r="O29" s="211">
        <v>0.21</v>
      </c>
      <c r="P29" s="211">
        <v>0.21</v>
      </c>
      <c r="Q29" s="211">
        <v>0.21</v>
      </c>
      <c r="R29" s="211">
        <v>0.21</v>
      </c>
      <c r="S29" s="211">
        <v>0.21</v>
      </c>
      <c r="T29" s="211">
        <v>0.21</v>
      </c>
    </row>
    <row r="30" spans="1:20" x14ac:dyDescent="0.4">
      <c r="A30" s="1" t="s">
        <v>235</v>
      </c>
      <c r="B30" s="2" t="s">
        <v>152</v>
      </c>
      <c r="F30" s="10">
        <v>5423</v>
      </c>
      <c r="G30" s="10">
        <v>2118</v>
      </c>
      <c r="H30" s="10">
        <v>3124</v>
      </c>
      <c r="I30" s="10">
        <v>22146</v>
      </c>
      <c r="J30" s="48">
        <v>8884</v>
      </c>
      <c r="K30" s="10">
        <v>25804.403174748637</v>
      </c>
      <c r="L30" s="10">
        <v>28783.909235738189</v>
      </c>
      <c r="M30" s="10">
        <v>37041.260162330182</v>
      </c>
      <c r="N30" s="10">
        <v>56350.41177585574</v>
      </c>
      <c r="O30" s="10">
        <v>69477.299141722498</v>
      </c>
      <c r="P30" s="10">
        <v>82284.588681332476</v>
      </c>
      <c r="Q30" s="10">
        <v>93904.272817689125</v>
      </c>
      <c r="R30" s="10">
        <v>106217.65205501726</v>
      </c>
      <c r="S30" s="10">
        <v>117240.53765672937</v>
      </c>
      <c r="T30" s="10">
        <v>126812.90058221566</v>
      </c>
    </row>
    <row r="31" spans="1:20" s="6" customFormat="1" x14ac:dyDescent="0.4">
      <c r="C31" s="6" t="s">
        <v>195</v>
      </c>
      <c r="F31" s="21">
        <v>6.5768409818569906E-2</v>
      </c>
      <c r="G31" s="21">
        <v>1.7868893950898506E-2</v>
      </c>
      <c r="H31" s="21">
        <v>1.6391034251175284E-2</v>
      </c>
      <c r="I31" s="21">
        <v>8.2488127386162582E-2</v>
      </c>
      <c r="J31" s="49">
        <v>2.4759622084111369E-2</v>
      </c>
      <c r="K31" s="21">
        <v>5.6585882721402025E-2</v>
      </c>
      <c r="L31" s="21">
        <v>4.9521865419564784E-2</v>
      </c>
      <c r="M31" s="21">
        <v>5.1707350079247448E-2</v>
      </c>
      <c r="N31" s="21">
        <v>6.7064530376812287E-2</v>
      </c>
      <c r="O31" s="21">
        <v>7.3876052701667361E-2</v>
      </c>
      <c r="P31" s="21">
        <v>7.9882717880295454E-2</v>
      </c>
      <c r="Q31" s="21">
        <v>8.4624694695626917E-2</v>
      </c>
      <c r="R31" s="21">
        <v>9.0044566176433763E-2</v>
      </c>
      <c r="S31" s="21">
        <v>9.5324107195866814E-2</v>
      </c>
      <c r="T31" s="21">
        <v>0.10059233229867773</v>
      </c>
    </row>
    <row r="32" spans="1:20" x14ac:dyDescent="0.4">
      <c r="F32" s="5"/>
      <c r="G32" s="5"/>
      <c r="H32" s="5"/>
      <c r="I32" s="5"/>
      <c r="J32" s="47"/>
      <c r="K32" s="5"/>
      <c r="L32" s="5"/>
      <c r="M32" s="5"/>
    </row>
    <row r="33" spans="1:20" x14ac:dyDescent="0.4">
      <c r="B33" s="1" t="s">
        <v>173</v>
      </c>
      <c r="F33" s="17">
        <v>0</v>
      </c>
      <c r="G33" s="17">
        <v>0</v>
      </c>
      <c r="H33" s="17">
        <v>11900</v>
      </c>
      <c r="I33" s="17">
        <v>9700</v>
      </c>
      <c r="J33" s="51">
        <v>9204</v>
      </c>
      <c r="K33" s="233">
        <v>0</v>
      </c>
      <c r="L33" s="233">
        <v>0</v>
      </c>
      <c r="M33" s="233">
        <v>0</v>
      </c>
      <c r="N33" s="233">
        <v>0</v>
      </c>
      <c r="O33" s="233">
        <v>0</v>
      </c>
      <c r="P33" s="233">
        <v>0</v>
      </c>
      <c r="Q33" s="233">
        <v>0</v>
      </c>
      <c r="R33" s="233">
        <v>0</v>
      </c>
      <c r="S33" s="233">
        <v>0</v>
      </c>
      <c r="T33" s="233">
        <v>0</v>
      </c>
    </row>
    <row r="34" spans="1:20" x14ac:dyDescent="0.4">
      <c r="A34" s="1" t="s">
        <v>235</v>
      </c>
      <c r="B34" s="2" t="s">
        <v>172</v>
      </c>
      <c r="C34" s="6"/>
      <c r="F34" s="10">
        <v>5423</v>
      </c>
      <c r="G34" s="10">
        <v>2118</v>
      </c>
      <c r="H34" s="10">
        <v>-8776</v>
      </c>
      <c r="I34" s="10">
        <v>12446</v>
      </c>
      <c r="J34" s="48">
        <v>-320</v>
      </c>
      <c r="K34" s="223">
        <v>25804.403174748637</v>
      </c>
      <c r="L34" s="223">
        <v>28783.909235738189</v>
      </c>
      <c r="M34" s="223">
        <v>37041.260162330182</v>
      </c>
      <c r="N34" s="223">
        <v>56350.41177585574</v>
      </c>
      <c r="O34" s="223">
        <v>69477.299141722498</v>
      </c>
      <c r="P34" s="223">
        <v>82284.588681332476</v>
      </c>
      <c r="Q34" s="223">
        <v>93904.272817689125</v>
      </c>
      <c r="R34" s="223">
        <v>106217.65205501726</v>
      </c>
      <c r="S34" s="223">
        <v>117240.53765672937</v>
      </c>
      <c r="T34" s="223">
        <v>126812.90058221566</v>
      </c>
    </row>
    <row r="35" spans="1:20" x14ac:dyDescent="0.4">
      <c r="F35" s="5"/>
      <c r="G35" s="5"/>
      <c r="H35" s="5"/>
      <c r="I35" s="5"/>
      <c r="J35" s="47"/>
    </row>
    <row r="36" spans="1:20" x14ac:dyDescent="0.4">
      <c r="B36" s="1" t="s">
        <v>870</v>
      </c>
      <c r="F36" s="5"/>
      <c r="G36" s="5"/>
      <c r="H36" s="11">
        <v>20982.881000000001</v>
      </c>
      <c r="I36" s="11">
        <v>25470.089</v>
      </c>
      <c r="J36" s="46">
        <v>27078.149000000001</v>
      </c>
      <c r="K36" s="11">
        <v>37777.32472592593</v>
      </c>
      <c r="L36" s="11">
        <v>37787.32472592593</v>
      </c>
      <c r="M36" s="11">
        <v>37794.82472592593</v>
      </c>
      <c r="N36" s="11">
        <v>37799.82472592593</v>
      </c>
      <c r="O36" s="11">
        <v>37804.82472592593</v>
      </c>
      <c r="P36" s="11">
        <v>37809.82472592593</v>
      </c>
      <c r="Q36" s="11">
        <v>37814.82472592593</v>
      </c>
      <c r="R36" s="11">
        <v>37819.82472592593</v>
      </c>
      <c r="S36" s="11">
        <v>37824.82472592593</v>
      </c>
      <c r="T36" s="11">
        <v>37829.82472592593</v>
      </c>
    </row>
    <row r="37" spans="1:20" x14ac:dyDescent="0.4">
      <c r="B37" s="1" t="s">
        <v>871</v>
      </c>
      <c r="C37" s="6"/>
      <c r="F37" s="8"/>
      <c r="G37" s="8"/>
      <c r="H37" s="80">
        <v>0.14888327298810872</v>
      </c>
      <c r="I37" s="80">
        <v>0.86949048352363434</v>
      </c>
      <c r="J37" s="178">
        <v>0.3280874183829921</v>
      </c>
      <c r="K37" s="194">
        <v>0.68306592279785017</v>
      </c>
      <c r="L37" s="194">
        <v>0.76173450871449266</v>
      </c>
      <c r="M37" s="194">
        <v>0.980061699741689</v>
      </c>
      <c r="N37" s="194">
        <v>1.4907585467507853</v>
      </c>
      <c r="O37" s="194">
        <v>1.8377892146151416</v>
      </c>
      <c r="P37" s="194">
        <v>2.1762753273201638</v>
      </c>
      <c r="Q37" s="194">
        <v>2.4832661131788387</v>
      </c>
      <c r="R37" s="194">
        <v>2.8085178295975504</v>
      </c>
      <c r="S37" s="194">
        <v>3.0995659201659231</v>
      </c>
      <c r="T37" s="194">
        <v>3.3521937122618208</v>
      </c>
    </row>
    <row r="38" spans="1:20" x14ac:dyDescent="0.4">
      <c r="J38" s="44"/>
    </row>
    <row r="39" spans="1:20" outlineLevel="1" x14ac:dyDescent="0.4">
      <c r="B39" s="1" t="s">
        <v>971</v>
      </c>
      <c r="J39" s="44"/>
      <c r="K39" s="238">
        <v>0.51</v>
      </c>
      <c r="L39" s="238">
        <v>0.82</v>
      </c>
      <c r="M39" s="238">
        <v>1.22</v>
      </c>
      <c r="N39" s="238">
        <v>1.57</v>
      </c>
    </row>
    <row r="40" spans="1:20" outlineLevel="1" x14ac:dyDescent="0.4">
      <c r="B40" s="1" t="s">
        <v>972</v>
      </c>
      <c r="J40" s="44"/>
      <c r="K40" s="238">
        <v>0.54</v>
      </c>
      <c r="L40" s="238">
        <v>0.76</v>
      </c>
      <c r="M40" s="238">
        <v>0.98</v>
      </c>
      <c r="N40" s="238">
        <v>1.57</v>
      </c>
    </row>
    <row r="41" spans="1:20" x14ac:dyDescent="0.4">
      <c r="K41" s="194"/>
      <c r="L41" s="194"/>
      <c r="M41" s="194"/>
      <c r="N41" s="194"/>
    </row>
  </sheetData>
  <phoneticPr fontId="1" type="noConversion"/>
  <pageMargins left="0.7" right="0.7" top="0.75" bottom="0.75" header="0.3" footer="0.3"/>
  <customProperties>
    <customPr name="Guid" r:id="rId1"/>
  </customPropertie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0"/>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231</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4">
      <c r="A10" s="1" t="s">
        <v>1229</v>
      </c>
      <c r="B10" s="1" t="s">
        <v>153</v>
      </c>
      <c r="F10" s="23"/>
      <c r="G10" s="17">
        <v>2677</v>
      </c>
      <c r="H10" s="17">
        <v>70849</v>
      </c>
      <c r="I10" s="17">
        <v>73647</v>
      </c>
      <c r="J10" s="51">
        <v>84543</v>
      </c>
      <c r="K10" s="11">
        <v>72286.229786698386</v>
      </c>
      <c r="L10" s="11">
        <v>60968.991249053448</v>
      </c>
      <c r="M10" s="11">
        <v>72839.581756157408</v>
      </c>
      <c r="N10" s="11">
        <v>131453.65423016262</v>
      </c>
      <c r="O10" s="11">
        <v>204306.49108051602</v>
      </c>
      <c r="P10" s="11">
        <v>299271.17353164463</v>
      </c>
      <c r="Q10" s="11">
        <v>397749.79614715686</v>
      </c>
      <c r="R10" s="11">
        <v>512351.40897012374</v>
      </c>
      <c r="S10" s="11">
        <v>639936.76301238895</v>
      </c>
      <c r="T10" s="11">
        <v>778246.85605317401</v>
      </c>
    </row>
    <row r="11" spans="1:23" x14ac:dyDescent="0.4">
      <c r="B11" s="1" t="s">
        <v>154</v>
      </c>
      <c r="F11" s="24"/>
      <c r="G11" s="17">
        <v>3278</v>
      </c>
      <c r="H11" s="17">
        <v>4217</v>
      </c>
      <c r="I11" s="17">
        <v>6006</v>
      </c>
      <c r="J11" s="51">
        <v>5641</v>
      </c>
      <c r="K11" s="11">
        <v>7496.2508243320735</v>
      </c>
      <c r="L11" s="11">
        <v>9554.5704470458149</v>
      </c>
      <c r="M11" s="11">
        <v>11775.838955057074</v>
      </c>
      <c r="N11" s="11">
        <v>13812.191535176444</v>
      </c>
      <c r="O11" s="11">
        <v>15459.577858648612</v>
      </c>
      <c r="P11" s="11">
        <v>16932.61585829439</v>
      </c>
      <c r="Q11" s="11">
        <v>18240.915225592948</v>
      </c>
      <c r="R11" s="11">
        <v>19390.882421530412</v>
      </c>
      <c r="S11" s="11">
        <v>20217.778813759549</v>
      </c>
      <c r="T11" s="11">
        <v>20723.206017526907</v>
      </c>
    </row>
    <row r="12" spans="1:23" x14ac:dyDescent="0.4">
      <c r="B12" s="1" t="s">
        <v>155</v>
      </c>
      <c r="F12" s="25"/>
      <c r="G12" s="17">
        <v>529</v>
      </c>
      <c r="H12" s="17">
        <v>543</v>
      </c>
      <c r="I12" s="17">
        <v>806</v>
      </c>
      <c r="J12" s="51">
        <v>1258</v>
      </c>
      <c r="K12" s="11">
        <v>1468.7920993417542</v>
      </c>
      <c r="L12" s="11">
        <v>1913.5277959138944</v>
      </c>
      <c r="M12" s="11">
        <v>2386.660109554286</v>
      </c>
      <c r="N12" s="11">
        <v>2776.4414899908134</v>
      </c>
      <c r="O12" s="11">
        <v>3103.0816652838498</v>
      </c>
      <c r="P12" s="11">
        <v>3397.0578230475835</v>
      </c>
      <c r="Q12" s="11">
        <v>3658.369963282013</v>
      </c>
      <c r="R12" s="11">
        <v>3887.0180859871389</v>
      </c>
      <c r="S12" s="11">
        <v>4050.3381736336569</v>
      </c>
      <c r="T12" s="11">
        <v>4148.3302262215675</v>
      </c>
    </row>
    <row r="13" spans="1:23" x14ac:dyDescent="0.4">
      <c r="B13" s="1" t="s">
        <v>156</v>
      </c>
      <c r="F13" s="24"/>
      <c r="G13" s="17">
        <v>1441</v>
      </c>
      <c r="H13" s="17">
        <v>3325</v>
      </c>
      <c r="I13" s="17">
        <v>3485</v>
      </c>
      <c r="J13" s="51">
        <v>1757</v>
      </c>
      <c r="K13" s="11">
        <v>3648.1754011749431</v>
      </c>
      <c r="L13" s="11">
        <v>4649.8909508956303</v>
      </c>
      <c r="M13" s="11">
        <v>5730.908291461109</v>
      </c>
      <c r="N13" s="11">
        <v>6721.9332137858701</v>
      </c>
      <c r="O13" s="11">
        <v>7523.6612245423248</v>
      </c>
      <c r="P13" s="11">
        <v>8240.5397177032683</v>
      </c>
      <c r="Q13" s="11">
        <v>8877.2454097885675</v>
      </c>
      <c r="R13" s="11">
        <v>9436.8961118114676</v>
      </c>
      <c r="S13" s="11">
        <v>9839.3190226963143</v>
      </c>
      <c r="T13" s="11">
        <v>10085.293595196428</v>
      </c>
    </row>
    <row r="14" spans="1:23" x14ac:dyDescent="0.4">
      <c r="B14" s="2"/>
      <c r="C14" s="2" t="s">
        <v>157</v>
      </c>
      <c r="F14" s="26"/>
      <c r="G14" s="10">
        <v>7925</v>
      </c>
      <c r="H14" s="10">
        <v>78934</v>
      </c>
      <c r="I14" s="10">
        <v>83944</v>
      </c>
      <c r="J14" s="48">
        <v>93199</v>
      </c>
      <c r="K14" s="10">
        <v>84899.448111547157</v>
      </c>
      <c r="L14" s="10">
        <v>77086.980442908782</v>
      </c>
      <c r="M14" s="10">
        <v>92732.989112229872</v>
      </c>
      <c r="N14" s="10">
        <v>154764.22046911574</v>
      </c>
      <c r="O14" s="10">
        <v>230392.81182899082</v>
      </c>
      <c r="P14" s="10">
        <v>327841.38693068986</v>
      </c>
      <c r="Q14" s="10">
        <v>428526.32674582041</v>
      </c>
      <c r="R14" s="10">
        <v>545066.20558945287</v>
      </c>
      <c r="S14" s="10">
        <v>674044.19902247854</v>
      </c>
      <c r="T14" s="10">
        <v>813203.68589211896</v>
      </c>
    </row>
    <row r="15" spans="1:23" x14ac:dyDescent="0.4">
      <c r="F15" s="27"/>
      <c r="G15" s="8"/>
      <c r="H15" s="8"/>
      <c r="I15" s="5"/>
      <c r="J15" s="47"/>
      <c r="K15" s="7"/>
      <c r="L15" s="7"/>
      <c r="M15" s="7"/>
      <c r="N15" s="7"/>
      <c r="O15" s="7"/>
      <c r="P15" s="7"/>
      <c r="Q15" s="7"/>
      <c r="R15" s="7"/>
      <c r="S15" s="7"/>
      <c r="T15" s="7"/>
    </row>
    <row r="16" spans="1:23" x14ac:dyDescent="0.4">
      <c r="B16" s="1" t="s">
        <v>158</v>
      </c>
      <c r="C16" s="2"/>
      <c r="D16" s="2"/>
      <c r="E16" s="2"/>
      <c r="F16" s="28"/>
      <c r="G16" s="17">
        <v>70124</v>
      </c>
      <c r="H16" s="17">
        <v>93041</v>
      </c>
      <c r="I16" s="17">
        <v>136264</v>
      </c>
      <c r="J16" s="51">
        <v>187095</v>
      </c>
      <c r="K16" s="11">
        <v>233778.06150072149</v>
      </c>
      <c r="L16" s="11">
        <v>285407.80605098605</v>
      </c>
      <c r="M16" s="11">
        <v>320575.55874939874</v>
      </c>
      <c r="N16" s="11">
        <v>325028.85047619045</v>
      </c>
      <c r="O16" s="11">
        <v>326373.70593554591</v>
      </c>
      <c r="P16" s="11">
        <v>317045.9687542087</v>
      </c>
      <c r="Q16" s="11">
        <v>309831.48255892249</v>
      </c>
      <c r="R16" s="11">
        <v>296866.09097643092</v>
      </c>
      <c r="S16" s="11">
        <v>279421.48126022122</v>
      </c>
      <c r="T16" s="11">
        <v>258469.3406637806</v>
      </c>
    </row>
    <row r="17" spans="1:20" x14ac:dyDescent="0.4">
      <c r="B17" s="1" t="s">
        <v>159</v>
      </c>
      <c r="F17" s="24"/>
      <c r="G17" s="17">
        <v>161</v>
      </c>
      <c r="H17" s="17">
        <v>201957</v>
      </c>
      <c r="I17" s="17">
        <v>313207</v>
      </c>
      <c r="J17" s="51">
        <v>185914</v>
      </c>
      <c r="K17" s="11">
        <v>185914</v>
      </c>
      <c r="L17" s="11">
        <v>185914</v>
      </c>
      <c r="M17" s="11">
        <v>185914</v>
      </c>
      <c r="N17" s="11">
        <v>185914</v>
      </c>
      <c r="O17" s="11">
        <v>185914</v>
      </c>
      <c r="P17" s="11">
        <v>185914</v>
      </c>
      <c r="Q17" s="11">
        <v>185914</v>
      </c>
      <c r="R17" s="11">
        <v>185914</v>
      </c>
      <c r="S17" s="11">
        <v>185914</v>
      </c>
      <c r="T17" s="11">
        <v>185914</v>
      </c>
    </row>
    <row r="18" spans="1:20" x14ac:dyDescent="0.4">
      <c r="B18" s="1" t="s">
        <v>848</v>
      </c>
      <c r="F18" s="24"/>
      <c r="G18" s="17">
        <v>0</v>
      </c>
      <c r="H18" s="17">
        <v>0</v>
      </c>
      <c r="I18" s="17">
        <v>0</v>
      </c>
      <c r="J18" s="51">
        <v>0</v>
      </c>
      <c r="K18" s="11">
        <v>0</v>
      </c>
      <c r="L18" s="11">
        <v>0</v>
      </c>
      <c r="M18" s="11">
        <v>0</v>
      </c>
      <c r="N18" s="11">
        <v>0</v>
      </c>
      <c r="O18" s="11">
        <v>0</v>
      </c>
      <c r="P18" s="11">
        <v>0</v>
      </c>
      <c r="Q18" s="11">
        <v>0</v>
      </c>
      <c r="R18" s="11">
        <v>0</v>
      </c>
      <c r="S18" s="11">
        <v>0</v>
      </c>
      <c r="T18" s="11">
        <v>0</v>
      </c>
    </row>
    <row r="19" spans="1:20" x14ac:dyDescent="0.4">
      <c r="B19" s="93" t="s">
        <v>276</v>
      </c>
      <c r="C19" s="93"/>
      <c r="D19" s="93"/>
      <c r="E19" s="93"/>
      <c r="F19" s="586"/>
      <c r="G19" s="200">
        <v>4752</v>
      </c>
      <c r="H19" s="200">
        <v>5615</v>
      </c>
      <c r="I19" s="200">
        <v>4779</v>
      </c>
      <c r="J19" s="207">
        <v>4398</v>
      </c>
      <c r="K19" s="94">
        <v>3898</v>
      </c>
      <c r="L19" s="94">
        <v>3398</v>
      </c>
      <c r="M19" s="94">
        <v>2898</v>
      </c>
      <c r="N19" s="94">
        <v>2398</v>
      </c>
      <c r="O19" s="94">
        <v>1898</v>
      </c>
      <c r="P19" s="94">
        <v>1398</v>
      </c>
      <c r="Q19" s="94">
        <v>898</v>
      </c>
      <c r="R19" s="94">
        <v>398</v>
      </c>
      <c r="S19" s="94">
        <v>-102</v>
      </c>
      <c r="T19" s="94">
        <v>-602</v>
      </c>
    </row>
    <row r="20" spans="1:20" x14ac:dyDescent="0.4">
      <c r="A20" s="1" t="s">
        <v>1229</v>
      </c>
      <c r="B20" s="2"/>
      <c r="C20" s="2" t="s">
        <v>160</v>
      </c>
      <c r="F20" s="25"/>
      <c r="G20" s="10">
        <v>82962</v>
      </c>
      <c r="H20" s="10">
        <v>379547</v>
      </c>
      <c r="I20" s="10">
        <v>538194</v>
      </c>
      <c r="J20" s="48">
        <v>470606</v>
      </c>
      <c r="K20" s="10">
        <v>508489.50961226865</v>
      </c>
      <c r="L20" s="10">
        <v>551806.78649389488</v>
      </c>
      <c r="M20" s="10">
        <v>602120.54786162858</v>
      </c>
      <c r="N20" s="10">
        <v>668105.07094530622</v>
      </c>
      <c r="O20" s="10">
        <v>744578.51776453666</v>
      </c>
      <c r="P20" s="10">
        <v>832199.35568489856</v>
      </c>
      <c r="Q20" s="10">
        <v>925169.80930474284</v>
      </c>
      <c r="R20" s="10">
        <v>1028244.2965658838</v>
      </c>
      <c r="S20" s="10">
        <v>1139277.6802826999</v>
      </c>
      <c r="T20" s="10">
        <v>1256985.0265558995</v>
      </c>
    </row>
    <row r="21" spans="1:20" x14ac:dyDescent="0.4">
      <c r="B21" s="2"/>
      <c r="F21" s="25"/>
      <c r="G21" s="5"/>
      <c r="H21" s="5"/>
      <c r="I21" s="5"/>
      <c r="J21" s="47"/>
      <c r="K21" s="7"/>
      <c r="L21" s="7"/>
      <c r="M21" s="7"/>
      <c r="N21" s="7"/>
      <c r="O21" s="7"/>
      <c r="P21" s="7"/>
      <c r="Q21" s="7"/>
      <c r="R21" s="7"/>
      <c r="S21" s="7"/>
      <c r="T21" s="7"/>
    </row>
    <row r="22" spans="1:20" x14ac:dyDescent="0.4">
      <c r="B22" s="1" t="s">
        <v>161</v>
      </c>
      <c r="F22" s="27"/>
      <c r="G22" s="17">
        <v>6440</v>
      </c>
      <c r="H22" s="17">
        <v>6786</v>
      </c>
      <c r="I22" s="17">
        <v>6921</v>
      </c>
      <c r="J22" s="51">
        <v>8210</v>
      </c>
      <c r="K22" s="11">
        <v>10097.945682974561</v>
      </c>
      <c r="L22" s="11">
        <v>13155.503596908022</v>
      </c>
      <c r="M22" s="11">
        <v>16408.288253185714</v>
      </c>
      <c r="N22" s="11">
        <v>19088.035243686842</v>
      </c>
      <c r="O22" s="11">
        <v>21333.686448826469</v>
      </c>
      <c r="P22" s="11">
        <v>23354.772533452135</v>
      </c>
      <c r="Q22" s="11">
        <v>25151.293497563842</v>
      </c>
      <c r="R22" s="11">
        <v>26723.249341161576</v>
      </c>
      <c r="S22" s="11">
        <v>27846.07494373139</v>
      </c>
      <c r="T22" s="11">
        <v>28519.770305273276</v>
      </c>
    </row>
    <row r="23" spans="1:20" x14ac:dyDescent="0.4">
      <c r="B23" s="1" t="s">
        <v>162</v>
      </c>
      <c r="F23" s="30"/>
      <c r="G23" s="17">
        <v>5578</v>
      </c>
      <c r="H23" s="17">
        <v>6801</v>
      </c>
      <c r="I23" s="17">
        <v>8538</v>
      </c>
      <c r="J23" s="51">
        <v>11649</v>
      </c>
      <c r="K23" s="11">
        <v>15078.068894805196</v>
      </c>
      <c r="L23" s="11">
        <v>19643.558779928568</v>
      </c>
      <c r="M23" s="11">
        <v>24500.557687143213</v>
      </c>
      <c r="N23" s="11">
        <v>28501.907170686944</v>
      </c>
      <c r="O23" s="11">
        <v>31855.07272017952</v>
      </c>
      <c r="P23" s="11">
        <v>34872.921714722848</v>
      </c>
      <c r="Q23" s="11">
        <v>37555.454154316911</v>
      </c>
      <c r="R23" s="11">
        <v>39902.670038961711</v>
      </c>
      <c r="S23" s="11">
        <v>41579.252813708008</v>
      </c>
      <c r="T23" s="11">
        <v>42585.202478555773</v>
      </c>
    </row>
    <row r="24" spans="1:20" x14ac:dyDescent="0.4">
      <c r="B24" s="1" t="s">
        <v>163</v>
      </c>
      <c r="F24" s="25"/>
      <c r="G24" s="17">
        <v>2410</v>
      </c>
      <c r="H24" s="17">
        <v>5804</v>
      </c>
      <c r="I24" s="17">
        <v>6084</v>
      </c>
      <c r="J24" s="51">
        <v>6228</v>
      </c>
      <c r="K24" s="11">
        <v>8376.7049415584424</v>
      </c>
      <c r="L24" s="11">
        <v>10913.088211071428</v>
      </c>
      <c r="M24" s="11">
        <v>13611.420937301787</v>
      </c>
      <c r="N24" s="11">
        <v>15834.392872603858</v>
      </c>
      <c r="O24" s="11">
        <v>17697.262622321956</v>
      </c>
      <c r="P24" s="11">
        <v>19373.845397068249</v>
      </c>
      <c r="Q24" s="11">
        <v>20864.141196842731</v>
      </c>
      <c r="R24" s="11">
        <v>22168.150021645401</v>
      </c>
      <c r="S24" s="11">
        <v>23099.58489650445</v>
      </c>
      <c r="T24" s="11">
        <v>23658.445821419878</v>
      </c>
    </row>
    <row r="25" spans="1:20" x14ac:dyDescent="0.4">
      <c r="B25" s="1" t="s">
        <v>164</v>
      </c>
      <c r="F25" s="25"/>
      <c r="G25" s="17">
        <v>1749</v>
      </c>
      <c r="H25" s="17">
        <v>4614</v>
      </c>
      <c r="I25" s="17">
        <v>10173</v>
      </c>
      <c r="J25" s="51">
        <v>7937</v>
      </c>
      <c r="K25" s="11">
        <v>11727.386918181821</v>
      </c>
      <c r="L25" s="11">
        <v>15278.323495499999</v>
      </c>
      <c r="M25" s="11">
        <v>19055.989312222504</v>
      </c>
      <c r="N25" s="11">
        <v>22168.150021645404</v>
      </c>
      <c r="O25" s="11">
        <v>24776.16767125074</v>
      </c>
      <c r="P25" s="11">
        <v>27123.383555895551</v>
      </c>
      <c r="Q25" s="11">
        <v>29209.797675579826</v>
      </c>
      <c r="R25" s="11">
        <v>31035.410030303559</v>
      </c>
      <c r="S25" s="11">
        <v>32339.418855106229</v>
      </c>
      <c r="T25" s="11">
        <v>33121.824149987828</v>
      </c>
    </row>
    <row r="26" spans="1:20" x14ac:dyDescent="0.4">
      <c r="B26" s="2"/>
      <c r="C26" s="2" t="s">
        <v>165</v>
      </c>
      <c r="F26" s="25"/>
      <c r="G26" s="10">
        <v>16177</v>
      </c>
      <c r="H26" s="10">
        <v>24005</v>
      </c>
      <c r="I26" s="10">
        <v>31716</v>
      </c>
      <c r="J26" s="48">
        <v>34024</v>
      </c>
      <c r="K26" s="10">
        <v>45280.106437520022</v>
      </c>
      <c r="L26" s="10">
        <v>58990.474083408022</v>
      </c>
      <c r="M26" s="10">
        <v>73576.256189853215</v>
      </c>
      <c r="N26" s="10">
        <v>85592.485308623043</v>
      </c>
      <c r="O26" s="10">
        <v>95662.189462578681</v>
      </c>
      <c r="P26" s="10">
        <v>104724.92320113878</v>
      </c>
      <c r="Q26" s="10">
        <v>112780.68652430331</v>
      </c>
      <c r="R26" s="10">
        <v>119829.47943207226</v>
      </c>
      <c r="S26" s="10">
        <v>124864.33150905007</v>
      </c>
      <c r="T26" s="10">
        <v>127885.24275523677</v>
      </c>
    </row>
    <row r="27" spans="1:20" x14ac:dyDescent="0.4">
      <c r="B27" s="2"/>
      <c r="F27" s="25"/>
      <c r="G27" s="5"/>
      <c r="H27" s="5"/>
      <c r="I27" s="5"/>
      <c r="J27" s="47"/>
      <c r="K27" s="7"/>
      <c r="L27" s="7"/>
      <c r="M27" s="7"/>
      <c r="N27" s="7"/>
      <c r="O27" s="7"/>
      <c r="P27" s="7"/>
      <c r="Q27" s="7"/>
      <c r="R27" s="7"/>
      <c r="S27" s="7"/>
      <c r="T27" s="7"/>
    </row>
    <row r="28" spans="1:20" x14ac:dyDescent="0.4">
      <c r="B28" s="1" t="s">
        <v>202</v>
      </c>
      <c r="F28" s="25"/>
      <c r="G28" s="17">
        <v>32000</v>
      </c>
      <c r="H28" s="17">
        <v>0</v>
      </c>
      <c r="I28" s="17">
        <v>0</v>
      </c>
      <c r="J28" s="51">
        <v>0</v>
      </c>
      <c r="K28" s="11">
        <v>0</v>
      </c>
      <c r="L28" s="11">
        <v>0</v>
      </c>
      <c r="M28" s="11">
        <v>0</v>
      </c>
      <c r="N28" s="11">
        <v>0</v>
      </c>
      <c r="O28" s="11">
        <v>0</v>
      </c>
      <c r="P28" s="11">
        <v>0</v>
      </c>
      <c r="Q28" s="11">
        <v>0</v>
      </c>
      <c r="R28" s="11">
        <v>0</v>
      </c>
      <c r="S28" s="11">
        <v>0</v>
      </c>
      <c r="T28" s="11">
        <v>0</v>
      </c>
    </row>
    <row r="29" spans="1:20" x14ac:dyDescent="0.4">
      <c r="B29" s="1" t="s">
        <v>200</v>
      </c>
      <c r="F29" s="25"/>
      <c r="G29" s="17">
        <v>313</v>
      </c>
      <c r="H29" s="17">
        <v>313</v>
      </c>
      <c r="I29" s="17">
        <v>2007</v>
      </c>
      <c r="J29" s="51">
        <v>14518</v>
      </c>
      <c r="K29" s="11">
        <v>13518</v>
      </c>
      <c r="L29" s="11">
        <v>12518</v>
      </c>
      <c r="M29" s="11">
        <v>11518</v>
      </c>
      <c r="N29" s="11">
        <v>10518</v>
      </c>
      <c r="O29" s="11">
        <v>9518</v>
      </c>
      <c r="P29" s="11">
        <v>8518</v>
      </c>
      <c r="Q29" s="11">
        <v>7518</v>
      </c>
      <c r="R29" s="11">
        <v>6518</v>
      </c>
      <c r="S29" s="11">
        <v>5518</v>
      </c>
      <c r="T29" s="11">
        <v>4518</v>
      </c>
    </row>
    <row r="30" spans="1:20" x14ac:dyDescent="0.4">
      <c r="B30" s="1" t="s">
        <v>256</v>
      </c>
      <c r="F30" s="25"/>
      <c r="G30" s="17">
        <v>17853</v>
      </c>
      <c r="H30" s="17">
        <v>22927</v>
      </c>
      <c r="I30" s="17">
        <v>31107</v>
      </c>
      <c r="J30" s="51">
        <v>36596</v>
      </c>
      <c r="K30" s="11">
        <v>33596</v>
      </c>
      <c r="L30" s="11">
        <v>30596</v>
      </c>
      <c r="M30" s="11">
        <v>27596</v>
      </c>
      <c r="N30" s="11">
        <v>24596</v>
      </c>
      <c r="O30" s="11">
        <v>21596</v>
      </c>
      <c r="P30" s="11">
        <v>18596</v>
      </c>
      <c r="Q30" s="11">
        <v>15596</v>
      </c>
      <c r="R30" s="11">
        <v>12596</v>
      </c>
      <c r="S30" s="11">
        <v>9596</v>
      </c>
      <c r="T30" s="11">
        <v>6596</v>
      </c>
    </row>
    <row r="31" spans="1:20" x14ac:dyDescent="0.4">
      <c r="B31" s="93" t="s">
        <v>166</v>
      </c>
      <c r="C31" s="93"/>
      <c r="D31" s="93"/>
      <c r="E31" s="93"/>
      <c r="F31" s="198"/>
      <c r="G31" s="200">
        <v>4019</v>
      </c>
      <c r="H31" s="200">
        <v>175283</v>
      </c>
      <c r="I31" s="200">
        <v>272011</v>
      </c>
      <c r="J31" s="207">
        <v>160989</v>
      </c>
      <c r="K31" s="94">
        <v>159989</v>
      </c>
      <c r="L31" s="94">
        <v>158989</v>
      </c>
      <c r="M31" s="94">
        <v>157989</v>
      </c>
      <c r="N31" s="94">
        <v>156989</v>
      </c>
      <c r="O31" s="94">
        <v>155989</v>
      </c>
      <c r="P31" s="94">
        <v>154989</v>
      </c>
      <c r="Q31" s="94">
        <v>153989</v>
      </c>
      <c r="R31" s="94">
        <v>152989</v>
      </c>
      <c r="S31" s="94">
        <v>151989</v>
      </c>
      <c r="T31" s="94">
        <v>150989</v>
      </c>
    </row>
    <row r="32" spans="1:20" x14ac:dyDescent="0.4">
      <c r="A32" s="1" t="s">
        <v>1229</v>
      </c>
      <c r="B32" s="2"/>
      <c r="C32" s="2" t="s">
        <v>167</v>
      </c>
      <c r="F32" s="25"/>
      <c r="G32" s="10">
        <v>70362</v>
      </c>
      <c r="H32" s="10">
        <v>222528</v>
      </c>
      <c r="I32" s="10">
        <v>336841</v>
      </c>
      <c r="J32" s="48">
        <v>246127</v>
      </c>
      <c r="K32" s="10">
        <v>252383.10643752001</v>
      </c>
      <c r="L32" s="10">
        <v>261093.47408340801</v>
      </c>
      <c r="M32" s="10">
        <v>270679.25618985319</v>
      </c>
      <c r="N32" s="10">
        <v>277695.48530862306</v>
      </c>
      <c r="O32" s="10">
        <v>282765.18946257868</v>
      </c>
      <c r="P32" s="10">
        <v>286827.92320113879</v>
      </c>
      <c r="Q32" s="10">
        <v>289883.68652430328</v>
      </c>
      <c r="R32" s="10">
        <v>291932.47943207226</v>
      </c>
      <c r="S32" s="10">
        <v>291967.3315090501</v>
      </c>
      <c r="T32" s="10">
        <v>289988.2427552368</v>
      </c>
    </row>
    <row r="33" spans="1:20" x14ac:dyDescent="0.4">
      <c r="F33" s="25"/>
      <c r="G33" s="5"/>
      <c r="H33" s="5"/>
      <c r="I33" s="5"/>
      <c r="J33" s="47"/>
      <c r="K33" s="7"/>
      <c r="L33" s="7"/>
      <c r="M33" s="7"/>
      <c r="N33" s="7"/>
      <c r="O33" s="7"/>
      <c r="P33" s="7"/>
      <c r="Q33" s="7"/>
      <c r="R33" s="7"/>
      <c r="S33" s="7"/>
      <c r="T33" s="7"/>
    </row>
    <row r="34" spans="1:20" x14ac:dyDescent="0.4">
      <c r="B34" s="1" t="s">
        <v>203</v>
      </c>
      <c r="F34" s="25"/>
      <c r="G34" s="7">
        <v>12600</v>
      </c>
      <c r="H34" s="7">
        <v>100615</v>
      </c>
      <c r="I34" s="7">
        <v>152188</v>
      </c>
      <c r="J34" s="68">
        <v>169492</v>
      </c>
      <c r="K34" s="7">
        <v>201119.40317474864</v>
      </c>
      <c r="L34" s="7">
        <v>235726.31241048686</v>
      </c>
      <c r="M34" s="7">
        <v>276454.29167177546</v>
      </c>
      <c r="N34" s="7">
        <v>335422.58563668322</v>
      </c>
      <c r="O34" s="7">
        <v>406826.32830195816</v>
      </c>
      <c r="P34" s="7">
        <v>490384.43248375994</v>
      </c>
      <c r="Q34" s="7">
        <v>580299.12278043979</v>
      </c>
      <c r="R34" s="7">
        <v>681324.81713381177</v>
      </c>
      <c r="S34" s="7">
        <v>792323.34877364989</v>
      </c>
      <c r="T34" s="7">
        <v>912009.78380066308</v>
      </c>
    </row>
    <row r="35" spans="1:20" x14ac:dyDescent="0.4">
      <c r="B35" s="93" t="s">
        <v>169</v>
      </c>
      <c r="C35" s="93"/>
      <c r="D35" s="93"/>
      <c r="E35" s="93"/>
      <c r="F35" s="199"/>
      <c r="G35" s="200"/>
      <c r="H35" s="200">
        <v>56404</v>
      </c>
      <c r="I35" s="200">
        <v>49165</v>
      </c>
      <c r="J35" s="207">
        <v>54987</v>
      </c>
      <c r="K35" s="587">
        <v>54987</v>
      </c>
      <c r="L35" s="587">
        <v>54987</v>
      </c>
      <c r="M35" s="587">
        <v>54987</v>
      </c>
      <c r="N35" s="587">
        <v>54987</v>
      </c>
      <c r="O35" s="587">
        <v>54987</v>
      </c>
      <c r="P35" s="587">
        <v>54987</v>
      </c>
      <c r="Q35" s="587">
        <v>54987</v>
      </c>
      <c r="R35" s="587">
        <v>54987</v>
      </c>
      <c r="S35" s="587">
        <v>54987</v>
      </c>
      <c r="T35" s="587">
        <v>54987</v>
      </c>
    </row>
    <row r="36" spans="1:20" s="2" customFormat="1" x14ac:dyDescent="0.4">
      <c r="A36" s="1" t="s">
        <v>1229</v>
      </c>
      <c r="C36" s="2" t="s">
        <v>168</v>
      </c>
      <c r="F36" s="31"/>
      <c r="G36" s="18">
        <v>12600</v>
      </c>
      <c r="H36" s="18">
        <v>157019</v>
      </c>
      <c r="I36" s="18">
        <v>201353</v>
      </c>
      <c r="J36" s="69">
        <v>224479</v>
      </c>
      <c r="K36" s="12">
        <v>256106.40317474864</v>
      </c>
      <c r="L36" s="12">
        <v>290713.31241048686</v>
      </c>
      <c r="M36" s="12">
        <v>331441.29167177546</v>
      </c>
      <c r="N36" s="12">
        <v>390409.58563668322</v>
      </c>
      <c r="O36" s="12">
        <v>461813.32830195816</v>
      </c>
      <c r="P36" s="12">
        <v>545371.43248375994</v>
      </c>
      <c r="Q36" s="12">
        <v>635286.12278043979</v>
      </c>
      <c r="R36" s="12">
        <v>736311.81713381177</v>
      </c>
      <c r="S36" s="12">
        <v>847310.34877364989</v>
      </c>
      <c r="T36" s="12">
        <v>966996.78380066308</v>
      </c>
    </row>
    <row r="37" spans="1:20" x14ac:dyDescent="0.4">
      <c r="C37" s="2"/>
      <c r="F37" s="27"/>
      <c r="G37" s="17"/>
      <c r="H37" s="17"/>
      <c r="I37" s="17"/>
      <c r="J37" s="51"/>
      <c r="K37" s="7"/>
      <c r="L37" s="7"/>
      <c r="M37" s="7"/>
      <c r="N37" s="7"/>
      <c r="O37" s="7"/>
      <c r="P37" s="7"/>
      <c r="Q37" s="7"/>
      <c r="R37" s="7"/>
      <c r="S37" s="7"/>
      <c r="T37" s="7"/>
    </row>
    <row r="38" spans="1:20" x14ac:dyDescent="0.4">
      <c r="A38" s="1" t="s">
        <v>1229</v>
      </c>
      <c r="B38" s="2"/>
      <c r="C38" s="2" t="s">
        <v>170</v>
      </c>
      <c r="F38" s="27"/>
      <c r="G38" s="10">
        <v>82962</v>
      </c>
      <c r="H38" s="10">
        <v>379547</v>
      </c>
      <c r="I38" s="10">
        <v>538194</v>
      </c>
      <c r="J38" s="48">
        <v>470606</v>
      </c>
      <c r="K38" s="10">
        <v>508489.50961226865</v>
      </c>
      <c r="L38" s="10">
        <v>551806.78649389488</v>
      </c>
      <c r="M38" s="10">
        <v>602120.5478616287</v>
      </c>
      <c r="N38" s="10">
        <v>668105.07094530622</v>
      </c>
      <c r="O38" s="10">
        <v>744578.5177645369</v>
      </c>
      <c r="P38" s="10">
        <v>832199.35568489879</v>
      </c>
      <c r="Q38" s="10">
        <v>925169.80930474307</v>
      </c>
      <c r="R38" s="10">
        <v>1028244.296565884</v>
      </c>
      <c r="S38" s="10">
        <v>1139277.6802826999</v>
      </c>
      <c r="T38" s="10">
        <v>1256985.0265559</v>
      </c>
    </row>
    <row r="39" spans="1:20" s="6" customFormat="1" x14ac:dyDescent="0.4">
      <c r="C39" s="6" t="s">
        <v>171</v>
      </c>
      <c r="F39" s="32"/>
      <c r="G39" s="22">
        <v>0</v>
      </c>
      <c r="H39" s="22">
        <v>0</v>
      </c>
      <c r="I39" s="22">
        <v>0</v>
      </c>
      <c r="J39" s="70">
        <v>0</v>
      </c>
      <c r="K39" s="22">
        <v>0</v>
      </c>
      <c r="L39" s="22">
        <v>0</v>
      </c>
      <c r="M39" s="22">
        <v>0</v>
      </c>
      <c r="N39" s="22">
        <v>0</v>
      </c>
      <c r="O39" s="22">
        <v>0</v>
      </c>
      <c r="P39" s="22">
        <v>0</v>
      </c>
      <c r="Q39" s="22">
        <v>0</v>
      </c>
      <c r="R39" s="22">
        <v>0</v>
      </c>
      <c r="S39" s="22">
        <v>0</v>
      </c>
      <c r="T39" s="22">
        <v>0</v>
      </c>
    </row>
    <row r="40" spans="1:20" x14ac:dyDescent="0.4">
      <c r="B40" s="2"/>
      <c r="F40" s="4"/>
      <c r="G40" s="4"/>
      <c r="H40" s="4"/>
      <c r="I40" s="4"/>
      <c r="J40" s="4"/>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2"/>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0" ht="8.1" customHeight="1" x14ac:dyDescent="0.4"/>
    <row r="2" spans="1:20" x14ac:dyDescent="0.4">
      <c r="B2" s="2" t="s">
        <v>229</v>
      </c>
    </row>
    <row r="3" spans="1:20" s="60" customFormat="1" ht="18" thickBot="1" x14ac:dyDescent="0.35">
      <c r="A3" s="59"/>
      <c r="B3" s="65" t="s">
        <v>232</v>
      </c>
      <c r="R3" s="61"/>
    </row>
    <row r="4" spans="1:20" s="62" customFormat="1" x14ac:dyDescent="0.25">
      <c r="A4" s="59"/>
      <c r="B4" s="64" t="s">
        <v>223</v>
      </c>
      <c r="R4" s="63"/>
    </row>
    <row r="5" spans="1:20" s="62" customFormat="1" x14ac:dyDescent="0.25">
      <c r="A5" s="59"/>
    </row>
    <row r="6" spans="1:20" s="62" customFormat="1" x14ac:dyDescent="0.25">
      <c r="A6" s="59"/>
    </row>
    <row r="7" spans="1:20" x14ac:dyDescent="0.4">
      <c r="B7" s="6"/>
      <c r="F7" s="53"/>
      <c r="G7" s="53"/>
      <c r="H7" s="53" t="s">
        <v>225</v>
      </c>
      <c r="I7" s="53"/>
      <c r="J7" s="54"/>
      <c r="K7" s="53" t="s">
        <v>226</v>
      </c>
      <c r="L7" s="53"/>
      <c r="M7" s="53"/>
      <c r="N7" s="53"/>
      <c r="O7" s="53"/>
      <c r="P7" s="53"/>
      <c r="Q7" s="53"/>
      <c r="R7" s="53"/>
      <c r="S7" s="53"/>
      <c r="T7" s="53"/>
    </row>
    <row r="8" spans="1:20"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0" x14ac:dyDescent="0.4">
      <c r="J9" s="177"/>
    </row>
    <row r="10" spans="1:20" x14ac:dyDescent="0.4">
      <c r="A10" s="1" t="s">
        <v>841</v>
      </c>
      <c r="B10" s="13" t="s">
        <v>174</v>
      </c>
      <c r="F10" s="12"/>
      <c r="G10" s="12"/>
      <c r="H10" s="12"/>
      <c r="I10" s="5"/>
      <c r="J10" s="47"/>
    </row>
    <row r="11" spans="1:20" x14ac:dyDescent="0.4">
      <c r="C11" s="1" t="s">
        <v>829</v>
      </c>
      <c r="F11" s="24"/>
      <c r="G11" s="24"/>
      <c r="H11" s="24"/>
      <c r="I11" s="25"/>
      <c r="J11" s="581"/>
      <c r="K11" s="11">
        <v>25804.403174748637</v>
      </c>
      <c r="L11" s="11">
        <v>28783.909235738189</v>
      </c>
      <c r="M11" s="11">
        <v>37041.260162330182</v>
      </c>
      <c r="N11" s="11">
        <v>56350.41177585574</v>
      </c>
      <c r="O11" s="11">
        <v>69477.299141722498</v>
      </c>
      <c r="P11" s="11">
        <v>82284.588681332476</v>
      </c>
      <c r="Q11" s="11">
        <v>93904.272817689125</v>
      </c>
      <c r="R11" s="11">
        <v>106217.65205501726</v>
      </c>
      <c r="S11" s="11">
        <v>117240.53765672937</v>
      </c>
      <c r="T11" s="11">
        <v>126812.90058221566</v>
      </c>
    </row>
    <row r="12" spans="1:20" x14ac:dyDescent="0.4">
      <c r="C12" s="1" t="s">
        <v>115</v>
      </c>
      <c r="F12" s="24"/>
      <c r="G12" s="24"/>
      <c r="H12" s="24"/>
      <c r="I12" s="25"/>
      <c r="J12" s="581"/>
      <c r="K12" s="11">
        <v>29216.938499278502</v>
      </c>
      <c r="L12" s="11">
        <v>36370.25544973545</v>
      </c>
      <c r="M12" s="11">
        <v>42532.247301587304</v>
      </c>
      <c r="N12" s="11">
        <v>45546.708273208278</v>
      </c>
      <c r="O12" s="11">
        <v>46155.144540644549</v>
      </c>
      <c r="P12" s="11">
        <v>45327.737181337186</v>
      </c>
      <c r="Q12" s="11">
        <v>43214.486195286205</v>
      </c>
      <c r="R12" s="11">
        <v>39965.391582491589</v>
      </c>
      <c r="S12" s="11">
        <v>35444.609716209721</v>
      </c>
      <c r="T12" s="11">
        <v>29952.140596440604</v>
      </c>
    </row>
    <row r="13" spans="1:20" x14ac:dyDescent="0.4">
      <c r="C13" s="1" t="s">
        <v>175</v>
      </c>
      <c r="F13" s="25"/>
      <c r="G13" s="25"/>
      <c r="H13" s="25"/>
      <c r="I13" s="25"/>
      <c r="J13" s="581"/>
      <c r="K13" s="17">
        <v>0</v>
      </c>
      <c r="L13" s="17">
        <v>0</v>
      </c>
      <c r="M13" s="17">
        <v>0</v>
      </c>
      <c r="N13" s="17">
        <v>0</v>
      </c>
      <c r="O13" s="17">
        <v>0</v>
      </c>
      <c r="P13" s="17">
        <v>0</v>
      </c>
      <c r="Q13" s="17">
        <v>0</v>
      </c>
      <c r="R13" s="17">
        <v>0</v>
      </c>
      <c r="S13" s="17">
        <v>0</v>
      </c>
      <c r="T13" s="17">
        <v>0</v>
      </c>
    </row>
    <row r="14" spans="1:20" x14ac:dyDescent="0.4">
      <c r="C14" s="1" t="s">
        <v>830</v>
      </c>
      <c r="F14" s="24"/>
      <c r="G14" s="24"/>
      <c r="H14" s="24"/>
      <c r="I14" s="25"/>
      <c r="J14" s="581"/>
      <c r="K14" s="232">
        <v>5623</v>
      </c>
      <c r="L14" s="232">
        <v>5623</v>
      </c>
      <c r="M14" s="232">
        <v>5623</v>
      </c>
      <c r="N14" s="232">
        <v>5623</v>
      </c>
      <c r="O14" s="232">
        <v>5623</v>
      </c>
      <c r="P14" s="232">
        <v>5623</v>
      </c>
      <c r="Q14" s="232">
        <v>5623</v>
      </c>
      <c r="R14" s="232">
        <v>5623</v>
      </c>
      <c r="S14" s="232">
        <v>5623</v>
      </c>
      <c r="T14" s="232">
        <v>5623</v>
      </c>
    </row>
    <row r="15" spans="1:20" x14ac:dyDescent="0.4">
      <c r="C15" s="1" t="s">
        <v>831</v>
      </c>
      <c r="F15" s="26"/>
      <c r="G15" s="26"/>
      <c r="H15" s="26"/>
      <c r="I15" s="26"/>
      <c r="J15" s="582"/>
      <c r="K15" s="11">
        <v>7298.8881126712513</v>
      </c>
      <c r="L15" s="11">
        <v>10205.59677688143</v>
      </c>
      <c r="M15" s="11">
        <v>10810.363944228069</v>
      </c>
      <c r="N15" s="11">
        <v>8599.0702358891722</v>
      </c>
      <c r="O15" s="11">
        <v>7293.9496444339748</v>
      </c>
      <c r="P15" s="11">
        <v>6578.8410879896401</v>
      </c>
      <c r="Q15" s="11">
        <v>5849.4461235462513</v>
      </c>
      <c r="R15" s="11">
        <v>5110.5268871034496</v>
      </c>
      <c r="S15" s="11">
        <v>3642.2126862173027</v>
      </c>
      <c r="T15" s="11">
        <v>2171.517417331328</v>
      </c>
    </row>
    <row r="16" spans="1:20" x14ac:dyDescent="0.4">
      <c r="C16" s="93" t="s">
        <v>832</v>
      </c>
      <c r="D16" s="93"/>
      <c r="E16" s="93"/>
      <c r="F16" s="197"/>
      <c r="G16" s="197"/>
      <c r="H16" s="197"/>
      <c r="I16" s="198"/>
      <c r="J16" s="583"/>
      <c r="K16" s="94">
        <v>-500</v>
      </c>
      <c r="L16" s="94">
        <v>-500</v>
      </c>
      <c r="M16" s="94">
        <v>-500</v>
      </c>
      <c r="N16" s="94">
        <v>-500</v>
      </c>
      <c r="O16" s="94">
        <v>-500</v>
      </c>
      <c r="P16" s="94">
        <v>-500</v>
      </c>
      <c r="Q16" s="94">
        <v>-500</v>
      </c>
      <c r="R16" s="94">
        <v>-500</v>
      </c>
      <c r="S16" s="94">
        <v>-500</v>
      </c>
      <c r="T16" s="94">
        <v>-500</v>
      </c>
    </row>
    <row r="17" spans="1:20" x14ac:dyDescent="0.4">
      <c r="D17" s="2" t="s">
        <v>236</v>
      </c>
      <c r="E17" s="2"/>
      <c r="F17" s="28"/>
      <c r="G17" s="28"/>
      <c r="H17" s="28"/>
      <c r="I17" s="25"/>
      <c r="J17" s="581"/>
      <c r="K17" s="10">
        <v>67443.229786698386</v>
      </c>
      <c r="L17" s="10">
        <v>80482.761462355062</v>
      </c>
      <c r="M17" s="10">
        <v>95506.871408145555</v>
      </c>
      <c r="N17" s="10">
        <v>115619.19028495319</v>
      </c>
      <c r="O17" s="10">
        <v>128049.39332680102</v>
      </c>
      <c r="P17" s="10">
        <v>139314.1669506593</v>
      </c>
      <c r="Q17" s="10">
        <v>148091.20513652157</v>
      </c>
      <c r="R17" s="10">
        <v>156416.5705246123</v>
      </c>
      <c r="S17" s="10">
        <v>161450.3600591564</v>
      </c>
      <c r="T17" s="10">
        <v>164059.55859598762</v>
      </c>
    </row>
    <row r="18" spans="1:20" x14ac:dyDescent="0.4">
      <c r="F18" s="11"/>
      <c r="G18" s="11"/>
      <c r="H18" s="11"/>
      <c r="I18" s="5"/>
      <c r="J18" s="47"/>
      <c r="K18" s="11"/>
      <c r="L18" s="11"/>
      <c r="M18" s="11"/>
      <c r="N18" s="11"/>
      <c r="O18" s="11"/>
      <c r="P18" s="11"/>
      <c r="Q18" s="11"/>
      <c r="R18" s="11"/>
      <c r="S18" s="11"/>
      <c r="T18" s="11"/>
    </row>
    <row r="19" spans="1:20" x14ac:dyDescent="0.4">
      <c r="A19" s="1" t="s">
        <v>841</v>
      </c>
      <c r="B19" s="13" t="s">
        <v>177</v>
      </c>
      <c r="F19" s="7"/>
      <c r="G19" s="7"/>
      <c r="H19" s="11"/>
      <c r="I19" s="5"/>
      <c r="J19" s="47"/>
      <c r="K19" s="11"/>
      <c r="L19" s="11"/>
      <c r="M19" s="11"/>
      <c r="N19" s="11"/>
      <c r="O19" s="11"/>
      <c r="P19" s="11"/>
      <c r="Q19" s="11"/>
      <c r="R19" s="11"/>
      <c r="S19" s="11"/>
      <c r="T19" s="11"/>
    </row>
    <row r="20" spans="1:20" x14ac:dyDescent="0.4">
      <c r="C20" s="1" t="s">
        <v>826</v>
      </c>
      <c r="E20" s="2"/>
      <c r="F20" s="25"/>
      <c r="G20" s="25"/>
      <c r="H20" s="25"/>
      <c r="I20" s="25"/>
      <c r="J20" s="581"/>
      <c r="K20" s="11">
        <v>-75900</v>
      </c>
      <c r="L20" s="11">
        <v>-88000</v>
      </c>
      <c r="M20" s="11">
        <v>-77700</v>
      </c>
      <c r="N20" s="11">
        <v>-50000</v>
      </c>
      <c r="O20" s="11">
        <v>-47500</v>
      </c>
      <c r="P20" s="11">
        <v>-36000</v>
      </c>
      <c r="Q20" s="11">
        <v>-36000</v>
      </c>
      <c r="R20" s="11">
        <v>-27000</v>
      </c>
      <c r="S20" s="11">
        <v>-18000</v>
      </c>
      <c r="T20" s="11">
        <v>-9000</v>
      </c>
    </row>
    <row r="21" spans="1:20" x14ac:dyDescent="0.4">
      <c r="C21" s="1" t="s">
        <v>827</v>
      </c>
      <c r="F21" s="25"/>
      <c r="G21" s="25"/>
      <c r="H21" s="25"/>
      <c r="I21" s="26"/>
      <c r="J21" s="582"/>
      <c r="K21" s="11">
        <v>0</v>
      </c>
      <c r="L21" s="11">
        <v>0</v>
      </c>
      <c r="M21" s="11">
        <v>0</v>
      </c>
      <c r="N21" s="11">
        <v>0</v>
      </c>
      <c r="O21" s="11">
        <v>0</v>
      </c>
      <c r="P21" s="11">
        <v>0</v>
      </c>
      <c r="Q21" s="11">
        <v>0</v>
      </c>
      <c r="R21" s="11">
        <v>0</v>
      </c>
      <c r="S21" s="11">
        <v>0</v>
      </c>
      <c r="T21" s="11">
        <v>0</v>
      </c>
    </row>
    <row r="22" spans="1:20" x14ac:dyDescent="0.4">
      <c r="C22" s="93" t="s">
        <v>828</v>
      </c>
      <c r="D22" s="93"/>
      <c r="E22" s="93"/>
      <c r="F22" s="198"/>
      <c r="G22" s="198"/>
      <c r="H22" s="199"/>
      <c r="I22" s="198"/>
      <c r="J22" s="583"/>
      <c r="K22" s="200">
        <v>0</v>
      </c>
      <c r="L22" s="200">
        <v>0</v>
      </c>
      <c r="M22" s="200">
        <v>0</v>
      </c>
      <c r="N22" s="200">
        <v>0</v>
      </c>
      <c r="O22" s="200">
        <v>0</v>
      </c>
      <c r="P22" s="200">
        <v>0</v>
      </c>
      <c r="Q22" s="200">
        <v>0</v>
      </c>
      <c r="R22" s="200">
        <v>0</v>
      </c>
      <c r="S22" s="200">
        <v>0</v>
      </c>
      <c r="T22" s="200">
        <v>0</v>
      </c>
    </row>
    <row r="23" spans="1:20" x14ac:dyDescent="0.4">
      <c r="D23" s="2" t="s">
        <v>237</v>
      </c>
      <c r="F23" s="27"/>
      <c r="G23" s="27"/>
      <c r="H23" s="27"/>
      <c r="I23" s="25"/>
      <c r="J23" s="581"/>
      <c r="K23" s="10">
        <v>-75900</v>
      </c>
      <c r="L23" s="10">
        <v>-88000</v>
      </c>
      <c r="M23" s="10">
        <v>-77700</v>
      </c>
      <c r="N23" s="10">
        <v>-50000</v>
      </c>
      <c r="O23" s="10">
        <v>-47500</v>
      </c>
      <c r="P23" s="10">
        <v>-36000</v>
      </c>
      <c r="Q23" s="10">
        <v>-36000</v>
      </c>
      <c r="R23" s="10">
        <v>-27000</v>
      </c>
      <c r="S23" s="10">
        <v>-18000</v>
      </c>
      <c r="T23" s="10">
        <v>-9000</v>
      </c>
    </row>
    <row r="24" spans="1:20" x14ac:dyDescent="0.4">
      <c r="I24" s="5"/>
      <c r="J24" s="47"/>
      <c r="K24" s="11"/>
      <c r="L24" s="11"/>
      <c r="M24" s="11"/>
      <c r="N24" s="11"/>
      <c r="O24" s="11"/>
      <c r="P24" s="11"/>
      <c r="Q24" s="11"/>
      <c r="R24" s="11"/>
      <c r="S24" s="11"/>
      <c r="T24" s="11"/>
    </row>
    <row r="25" spans="1:20" x14ac:dyDescent="0.4">
      <c r="A25" s="1" t="s">
        <v>841</v>
      </c>
      <c r="B25" s="2" t="s">
        <v>238</v>
      </c>
      <c r="F25" s="25"/>
      <c r="G25" s="25"/>
      <c r="H25" s="25"/>
      <c r="I25" s="25"/>
      <c r="J25" s="581"/>
      <c r="K25" s="10">
        <v>-8456.7702133016137</v>
      </c>
      <c r="L25" s="10">
        <v>-7517.2385376449383</v>
      </c>
      <c r="M25" s="10">
        <v>17806.871408145555</v>
      </c>
      <c r="N25" s="10">
        <v>65619.190284953191</v>
      </c>
      <c r="O25" s="10">
        <v>80549.393326801015</v>
      </c>
      <c r="P25" s="10">
        <v>103314.1669506593</v>
      </c>
      <c r="Q25" s="10">
        <v>112091.20513652157</v>
      </c>
      <c r="R25" s="10">
        <v>129416.5705246123</v>
      </c>
      <c r="S25" s="10">
        <v>143450.3600591564</v>
      </c>
      <c r="T25" s="10">
        <v>155059.55859598762</v>
      </c>
    </row>
    <row r="26" spans="1:20" x14ac:dyDescent="0.4">
      <c r="F26" s="5"/>
      <c r="G26" s="5"/>
      <c r="H26" s="5"/>
      <c r="I26" s="5"/>
      <c r="J26" s="47"/>
      <c r="K26" s="11"/>
      <c r="L26" s="11"/>
      <c r="M26" s="11"/>
      <c r="N26" s="11"/>
      <c r="O26" s="11"/>
      <c r="P26" s="11"/>
      <c r="Q26" s="11"/>
      <c r="R26" s="11"/>
      <c r="S26" s="11"/>
      <c r="T26" s="11"/>
    </row>
    <row r="27" spans="1:20" x14ac:dyDescent="0.4">
      <c r="A27" s="1" t="s">
        <v>841</v>
      </c>
      <c r="B27" s="13" t="s">
        <v>178</v>
      </c>
      <c r="F27" s="5"/>
      <c r="G27" s="5"/>
      <c r="H27" s="5"/>
      <c r="I27" s="10"/>
      <c r="J27" s="48"/>
      <c r="K27" s="11"/>
      <c r="L27" s="11"/>
      <c r="M27" s="11"/>
      <c r="N27" s="11"/>
      <c r="O27" s="11"/>
      <c r="P27" s="11"/>
      <c r="Q27" s="11"/>
      <c r="R27" s="11"/>
      <c r="S27" s="11"/>
      <c r="T27" s="11"/>
    </row>
    <row r="28" spans="1:20" x14ac:dyDescent="0.4">
      <c r="C28" s="1" t="s">
        <v>833</v>
      </c>
      <c r="F28" s="25"/>
      <c r="G28" s="29"/>
      <c r="H28" s="26"/>
      <c r="I28" s="25"/>
      <c r="J28" s="581"/>
      <c r="K28" s="11">
        <v>0</v>
      </c>
      <c r="L28" s="11">
        <v>0</v>
      </c>
      <c r="M28" s="11">
        <v>0</v>
      </c>
      <c r="N28" s="11">
        <v>0</v>
      </c>
      <c r="O28" s="11">
        <v>0</v>
      </c>
      <c r="P28" s="11">
        <v>0</v>
      </c>
      <c r="Q28" s="11">
        <v>0</v>
      </c>
      <c r="R28" s="11">
        <v>0</v>
      </c>
      <c r="S28" s="11">
        <v>0</v>
      </c>
      <c r="T28" s="11">
        <v>0</v>
      </c>
    </row>
    <row r="29" spans="1:20" x14ac:dyDescent="0.4">
      <c r="C29" s="1" t="s">
        <v>253</v>
      </c>
      <c r="F29" s="25"/>
      <c r="G29" s="25"/>
      <c r="H29" s="25"/>
      <c r="I29" s="25"/>
      <c r="J29" s="581"/>
      <c r="K29" s="11">
        <v>1000</v>
      </c>
      <c r="L29" s="11">
        <v>1000</v>
      </c>
      <c r="M29" s="11">
        <v>1000</v>
      </c>
      <c r="N29" s="11">
        <v>1000</v>
      </c>
      <c r="O29" s="11">
        <v>1000</v>
      </c>
      <c r="P29" s="11">
        <v>1000</v>
      </c>
      <c r="Q29" s="11">
        <v>1000</v>
      </c>
      <c r="R29" s="11">
        <v>1000</v>
      </c>
      <c r="S29" s="11">
        <v>1000</v>
      </c>
      <c r="T29" s="11">
        <v>1000</v>
      </c>
    </row>
    <row r="30" spans="1:20" x14ac:dyDescent="0.4">
      <c r="C30" s="1" t="s">
        <v>254</v>
      </c>
      <c r="F30" s="25"/>
      <c r="G30" s="25"/>
      <c r="H30" s="25"/>
      <c r="I30" s="25"/>
      <c r="J30" s="581"/>
      <c r="K30" s="11">
        <v>-2000</v>
      </c>
      <c r="L30" s="11">
        <v>-2000</v>
      </c>
      <c r="M30" s="11">
        <v>-2000</v>
      </c>
      <c r="N30" s="11">
        <v>-2000</v>
      </c>
      <c r="O30" s="11">
        <v>-2000</v>
      </c>
      <c r="P30" s="11">
        <v>-2000</v>
      </c>
      <c r="Q30" s="11">
        <v>-2000</v>
      </c>
      <c r="R30" s="11">
        <v>-2000</v>
      </c>
      <c r="S30" s="11">
        <v>-2000</v>
      </c>
      <c r="T30" s="11">
        <v>-2000</v>
      </c>
    </row>
    <row r="31" spans="1:20" x14ac:dyDescent="0.4">
      <c r="C31" s="1" t="s">
        <v>834</v>
      </c>
      <c r="F31" s="25"/>
      <c r="G31" s="25"/>
      <c r="H31" s="25"/>
      <c r="I31" s="25"/>
      <c r="J31" s="581"/>
      <c r="K31" s="11">
        <v>3000</v>
      </c>
      <c r="L31" s="11">
        <v>3000</v>
      </c>
      <c r="M31" s="11">
        <v>3000</v>
      </c>
      <c r="N31" s="11">
        <v>3000</v>
      </c>
      <c r="O31" s="11">
        <v>3000</v>
      </c>
      <c r="P31" s="11">
        <v>3000</v>
      </c>
      <c r="Q31" s="11">
        <v>3000</v>
      </c>
      <c r="R31" s="11">
        <v>3000</v>
      </c>
      <c r="S31" s="11">
        <v>3000</v>
      </c>
      <c r="T31" s="11">
        <v>3000</v>
      </c>
    </row>
    <row r="32" spans="1:20" x14ac:dyDescent="0.4">
      <c r="C32" s="1" t="s">
        <v>835</v>
      </c>
      <c r="F32" s="25"/>
      <c r="G32" s="25"/>
      <c r="H32" s="25"/>
      <c r="I32" s="25"/>
      <c r="J32" s="581"/>
      <c r="K32" s="11">
        <v>-6000</v>
      </c>
      <c r="L32" s="11">
        <v>-6000</v>
      </c>
      <c r="M32" s="11">
        <v>-6000</v>
      </c>
      <c r="N32" s="11">
        <v>-6000</v>
      </c>
      <c r="O32" s="11">
        <v>-6000</v>
      </c>
      <c r="P32" s="11">
        <v>-6000</v>
      </c>
      <c r="Q32" s="11">
        <v>-6000</v>
      </c>
      <c r="R32" s="11">
        <v>-6000</v>
      </c>
      <c r="S32" s="11">
        <v>-6000</v>
      </c>
      <c r="T32" s="11">
        <v>-6000</v>
      </c>
    </row>
    <row r="33" spans="1:20" x14ac:dyDescent="0.4">
      <c r="C33" s="1" t="s">
        <v>836</v>
      </c>
      <c r="F33" s="25"/>
      <c r="G33" s="25"/>
      <c r="H33" s="25"/>
      <c r="I33" s="25"/>
      <c r="J33" s="581"/>
      <c r="K33" s="11">
        <v>0</v>
      </c>
      <c r="L33" s="11">
        <v>0</v>
      </c>
      <c r="M33" s="11">
        <v>-284.21789292508981</v>
      </c>
      <c r="N33" s="11">
        <v>-387.59722215520418</v>
      </c>
      <c r="O33" s="11">
        <v>-422.69151936148256</v>
      </c>
      <c r="P33" s="11">
        <v>-435.25506546403278</v>
      </c>
      <c r="Q33" s="11">
        <v>-422.15523924040258</v>
      </c>
      <c r="R33" s="11">
        <v>-393.19249614365702</v>
      </c>
      <c r="S33" s="11">
        <v>-340.95225121825149</v>
      </c>
      <c r="T33" s="11">
        <v>-268.1754969809457</v>
      </c>
    </row>
    <row r="34" spans="1:20" x14ac:dyDescent="0.4">
      <c r="C34" s="1" t="s">
        <v>837</v>
      </c>
      <c r="F34" s="25"/>
      <c r="G34" s="25"/>
      <c r="H34" s="26"/>
      <c r="I34" s="25"/>
      <c r="J34" s="581"/>
      <c r="K34" s="11">
        <v>0</v>
      </c>
      <c r="L34" s="11">
        <v>0</v>
      </c>
      <c r="M34" s="11">
        <v>-1852.0630081165091</v>
      </c>
      <c r="N34" s="11">
        <v>-2817.5205887927873</v>
      </c>
      <c r="O34" s="11">
        <v>-3473.8649570861253</v>
      </c>
      <c r="P34" s="11">
        <v>-4114.229434066624</v>
      </c>
      <c r="Q34" s="11">
        <v>-9390.4272817689125</v>
      </c>
      <c r="R34" s="11">
        <v>-10621.765205501726</v>
      </c>
      <c r="S34" s="11">
        <v>-11724.053765672938</v>
      </c>
      <c r="T34" s="11">
        <v>-12681.290058221566</v>
      </c>
    </row>
    <row r="35" spans="1:20" x14ac:dyDescent="0.4">
      <c r="C35" s="1" t="s">
        <v>838</v>
      </c>
      <c r="F35" s="25"/>
      <c r="G35" s="25"/>
      <c r="H35" s="27"/>
      <c r="I35" s="26"/>
      <c r="J35" s="582"/>
      <c r="K35" s="11">
        <v>200</v>
      </c>
      <c r="L35" s="11">
        <v>200</v>
      </c>
      <c r="M35" s="11">
        <v>200</v>
      </c>
      <c r="N35" s="11">
        <v>200</v>
      </c>
      <c r="O35" s="11">
        <v>200</v>
      </c>
      <c r="P35" s="11">
        <v>200</v>
      </c>
      <c r="Q35" s="11">
        <v>200</v>
      </c>
      <c r="R35" s="11">
        <v>200</v>
      </c>
      <c r="S35" s="11">
        <v>200</v>
      </c>
      <c r="T35" s="11">
        <v>200</v>
      </c>
    </row>
    <row r="36" spans="1:20" x14ac:dyDescent="0.4">
      <c r="C36" s="580" t="s">
        <v>873</v>
      </c>
      <c r="D36" s="93"/>
      <c r="E36" s="93"/>
      <c r="F36" s="198"/>
      <c r="G36" s="198"/>
      <c r="H36" s="197"/>
      <c r="I36" s="199"/>
      <c r="J36" s="584"/>
      <c r="K36" s="94">
        <v>0</v>
      </c>
      <c r="L36" s="94">
        <v>0</v>
      </c>
      <c r="M36" s="94">
        <v>0</v>
      </c>
      <c r="N36" s="94">
        <v>0</v>
      </c>
      <c r="O36" s="94">
        <v>0</v>
      </c>
      <c r="P36" s="94">
        <v>0</v>
      </c>
      <c r="Q36" s="94">
        <v>0</v>
      </c>
      <c r="R36" s="94">
        <v>0</v>
      </c>
      <c r="S36" s="94">
        <v>0</v>
      </c>
      <c r="T36" s="94">
        <v>0</v>
      </c>
    </row>
    <row r="37" spans="1:20" x14ac:dyDescent="0.4">
      <c r="D37" s="2" t="s">
        <v>239</v>
      </c>
      <c r="F37" s="25"/>
      <c r="G37" s="25"/>
      <c r="H37" s="25"/>
      <c r="I37" s="25"/>
      <c r="J37" s="581"/>
      <c r="K37" s="10">
        <v>-3800</v>
      </c>
      <c r="L37" s="10">
        <v>-3800</v>
      </c>
      <c r="M37" s="10">
        <v>-5936.2809010415986</v>
      </c>
      <c r="N37" s="10">
        <v>-7005.1178109479915</v>
      </c>
      <c r="O37" s="10">
        <v>-7696.5564764476076</v>
      </c>
      <c r="P37" s="10">
        <v>-8349.4844995306557</v>
      </c>
      <c r="Q37" s="10">
        <v>-13612.582521009315</v>
      </c>
      <c r="R37" s="10">
        <v>-14814.957701645384</v>
      </c>
      <c r="S37" s="10">
        <v>-15865.006016891188</v>
      </c>
      <c r="T37" s="10">
        <v>-16749.465555202511</v>
      </c>
    </row>
    <row r="38" spans="1:20" x14ac:dyDescent="0.4">
      <c r="F38" s="10"/>
      <c r="G38" s="10"/>
      <c r="H38" s="10"/>
      <c r="I38" s="5"/>
      <c r="J38" s="47"/>
      <c r="K38" s="11"/>
      <c r="L38" s="11"/>
      <c r="M38" s="11"/>
      <c r="N38" s="11"/>
      <c r="O38" s="11"/>
      <c r="P38" s="11"/>
      <c r="Q38" s="11"/>
      <c r="R38" s="11"/>
      <c r="S38" s="11"/>
      <c r="T38" s="11"/>
    </row>
    <row r="39" spans="1:20" x14ac:dyDescent="0.4">
      <c r="B39" s="2" t="s">
        <v>180</v>
      </c>
      <c r="F39" s="27"/>
      <c r="G39" s="27"/>
      <c r="H39" s="27"/>
      <c r="I39" s="28"/>
      <c r="J39" s="585"/>
      <c r="K39" s="10">
        <v>-12256.770213301614</v>
      </c>
      <c r="L39" s="10">
        <v>-11317.238537644938</v>
      </c>
      <c r="M39" s="10">
        <v>11870.590507103956</v>
      </c>
      <c r="N39" s="10">
        <v>58614.072474005196</v>
      </c>
      <c r="O39" s="10">
        <v>72852.8368503534</v>
      </c>
      <c r="P39" s="10">
        <v>94964.68245112864</v>
      </c>
      <c r="Q39" s="10">
        <v>98478.622615512257</v>
      </c>
      <c r="R39" s="10">
        <v>114601.61282296691</v>
      </c>
      <c r="S39" s="10">
        <v>127585.35404226521</v>
      </c>
      <c r="T39" s="10">
        <v>138310.09304078511</v>
      </c>
    </row>
    <row r="40" spans="1:20" x14ac:dyDescent="0.4">
      <c r="C40" s="93" t="s">
        <v>839</v>
      </c>
      <c r="D40" s="93"/>
      <c r="E40" s="93"/>
      <c r="F40" s="197"/>
      <c r="G40" s="197"/>
      <c r="H40" s="197"/>
      <c r="I40" s="199"/>
      <c r="J40" s="584"/>
      <c r="K40" s="94">
        <v>84543</v>
      </c>
      <c r="L40" s="94">
        <v>72286.229786698386</v>
      </c>
      <c r="M40" s="94">
        <v>60968.991249053448</v>
      </c>
      <c r="N40" s="94">
        <v>72839.581756157408</v>
      </c>
      <c r="O40" s="94">
        <v>131453.65423016262</v>
      </c>
      <c r="P40" s="94">
        <v>204306.49108051602</v>
      </c>
      <c r="Q40" s="94">
        <v>299271.17353164463</v>
      </c>
      <c r="R40" s="94">
        <v>397749.79614715686</v>
      </c>
      <c r="S40" s="94">
        <v>512351.40897012374</v>
      </c>
      <c r="T40" s="94">
        <v>639936.76301238895</v>
      </c>
    </row>
    <row r="41" spans="1:20" s="2" customFormat="1" x14ac:dyDescent="0.4">
      <c r="C41" s="2" t="s">
        <v>840</v>
      </c>
      <c r="F41" s="201"/>
      <c r="G41" s="201"/>
      <c r="H41" s="201"/>
      <c r="I41" s="28"/>
      <c r="J41" s="585"/>
      <c r="K41" s="10">
        <v>72286.229786698386</v>
      </c>
      <c r="L41" s="10">
        <v>60968.991249053448</v>
      </c>
      <c r="M41" s="10">
        <v>72839.581756157408</v>
      </c>
      <c r="N41" s="10">
        <v>131453.65423016262</v>
      </c>
      <c r="O41" s="10">
        <v>204306.49108051602</v>
      </c>
      <c r="P41" s="10">
        <v>299271.17353164463</v>
      </c>
      <c r="Q41" s="10">
        <v>397749.79614715686</v>
      </c>
      <c r="R41" s="10">
        <v>512351.40897012374</v>
      </c>
      <c r="S41" s="10">
        <v>639936.76301238895</v>
      </c>
      <c r="T41" s="10">
        <v>778246.85605317401</v>
      </c>
    </row>
    <row r="42" spans="1:20" x14ac:dyDescent="0.4">
      <c r="A42" s="1" t="s">
        <v>841</v>
      </c>
      <c r="B42" s="2"/>
      <c r="F42" s="4"/>
      <c r="G42" s="4"/>
      <c r="H42" s="4"/>
      <c r="I42" s="4"/>
      <c r="J42" s="4"/>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41"/>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255</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4">
      <c r="A10" s="1" t="s">
        <v>274</v>
      </c>
      <c r="B10" s="1" t="s">
        <v>262</v>
      </c>
      <c r="G10" s="82">
        <v>118530</v>
      </c>
      <c r="H10" s="82">
        <v>190592</v>
      </c>
      <c r="I10" s="82">
        <v>268475</v>
      </c>
      <c r="J10" s="90">
        <v>358810</v>
      </c>
      <c r="K10" s="82">
        <v>456021.92514686787</v>
      </c>
      <c r="L10" s="82">
        <v>581236.36886195373</v>
      </c>
      <c r="M10" s="82">
        <v>716363.53643263865</v>
      </c>
      <c r="N10" s="82">
        <v>840241.65172323375</v>
      </c>
      <c r="O10" s="82">
        <v>940457.65306779055</v>
      </c>
      <c r="P10" s="82">
        <v>1030067.4647129086</v>
      </c>
      <c r="Q10" s="82">
        <v>1109655.6762235709</v>
      </c>
      <c r="R10" s="82">
        <v>1179612.0139764333</v>
      </c>
      <c r="S10" s="82">
        <v>1229914.8778370393</v>
      </c>
      <c r="T10" s="82">
        <v>1260661.6993995535</v>
      </c>
    </row>
    <row r="11" spans="1:23" x14ac:dyDescent="0.4">
      <c r="B11" s="1" t="s">
        <v>263</v>
      </c>
      <c r="G11" s="82">
        <v>85181</v>
      </c>
      <c r="H11" s="82">
        <v>130345</v>
      </c>
      <c r="I11" s="82">
        <v>186058</v>
      </c>
      <c r="J11" s="90">
        <v>254079</v>
      </c>
      <c r="K11" s="82">
        <v>335068.19766233768</v>
      </c>
      <c r="L11" s="82">
        <v>436523.52844285709</v>
      </c>
      <c r="M11" s="82">
        <v>544456.83749207144</v>
      </c>
      <c r="N11" s="82">
        <v>633375.7149041543</v>
      </c>
      <c r="O11" s="82">
        <v>707890.50489287823</v>
      </c>
      <c r="P11" s="82">
        <v>774953.81588272995</v>
      </c>
      <c r="Q11" s="82">
        <v>834565.64787370921</v>
      </c>
      <c r="R11" s="82">
        <v>886726.00086581591</v>
      </c>
      <c r="S11" s="82">
        <v>923983.39586017793</v>
      </c>
      <c r="T11" s="82">
        <v>946337.83285679505</v>
      </c>
    </row>
    <row r="12" spans="1:23" x14ac:dyDescent="0.4">
      <c r="G12" s="82"/>
      <c r="H12" s="82"/>
      <c r="I12" s="82"/>
      <c r="J12" s="90"/>
      <c r="K12" s="82"/>
      <c r="L12" s="82"/>
      <c r="M12" s="82"/>
      <c r="N12" s="82"/>
      <c r="O12" s="82"/>
      <c r="P12" s="82"/>
      <c r="Q12" s="82"/>
      <c r="R12" s="82"/>
      <c r="S12" s="82"/>
      <c r="T12" s="82"/>
    </row>
    <row r="13" spans="1:23" x14ac:dyDescent="0.4">
      <c r="A13" s="1" t="s">
        <v>274</v>
      </c>
      <c r="B13" s="14" t="s">
        <v>264</v>
      </c>
      <c r="G13" s="81"/>
      <c r="I13" s="3"/>
      <c r="J13" s="67"/>
    </row>
    <row r="14" spans="1:23" x14ac:dyDescent="0.4">
      <c r="C14" s="1" t="s">
        <v>154</v>
      </c>
      <c r="F14" s="24"/>
      <c r="G14" s="82">
        <v>3278</v>
      </c>
      <c r="H14" s="82">
        <v>4217</v>
      </c>
      <c r="I14" s="82">
        <v>6006</v>
      </c>
      <c r="J14" s="90">
        <v>5641</v>
      </c>
      <c r="K14" s="7">
        <v>7496.2508243320735</v>
      </c>
      <c r="L14" s="7">
        <v>9554.5704470458149</v>
      </c>
      <c r="M14" s="7">
        <v>11775.838955057074</v>
      </c>
      <c r="N14" s="7">
        <v>13812.191535176444</v>
      </c>
      <c r="O14" s="7">
        <v>15459.577858648612</v>
      </c>
      <c r="P14" s="7">
        <v>16932.61585829439</v>
      </c>
      <c r="Q14" s="7">
        <v>18240.915225592948</v>
      </c>
      <c r="R14" s="7">
        <v>19390.882421530412</v>
      </c>
      <c r="S14" s="7">
        <v>20217.778813759549</v>
      </c>
      <c r="T14" s="7">
        <v>20723.206017526907</v>
      </c>
    </row>
    <row r="15" spans="1:23" x14ac:dyDescent="0.4">
      <c r="C15" s="1" t="s">
        <v>155</v>
      </c>
      <c r="F15" s="25"/>
      <c r="G15" s="82">
        <v>529</v>
      </c>
      <c r="H15" s="82">
        <v>543</v>
      </c>
      <c r="I15" s="82">
        <v>806</v>
      </c>
      <c r="J15" s="90">
        <v>1258</v>
      </c>
      <c r="K15" s="7">
        <v>1468.7920993417542</v>
      </c>
      <c r="L15" s="7">
        <v>1913.5277959138944</v>
      </c>
      <c r="M15" s="7">
        <v>2386.660109554286</v>
      </c>
      <c r="N15" s="7">
        <v>2776.4414899908134</v>
      </c>
      <c r="O15" s="7">
        <v>3103.0816652838498</v>
      </c>
      <c r="P15" s="7">
        <v>3397.0578230475835</v>
      </c>
      <c r="Q15" s="7">
        <v>3658.369963282013</v>
      </c>
      <c r="R15" s="7">
        <v>3887.0180859871389</v>
      </c>
      <c r="S15" s="7">
        <v>4050.3381736336569</v>
      </c>
      <c r="T15" s="7">
        <v>4148.3302262215675</v>
      </c>
    </row>
    <row r="16" spans="1:23" x14ac:dyDescent="0.4">
      <c r="C16" s="93" t="s">
        <v>156</v>
      </c>
      <c r="D16" s="93"/>
      <c r="E16" s="93"/>
      <c r="F16" s="588"/>
      <c r="G16" s="171">
        <v>1441</v>
      </c>
      <c r="H16" s="171">
        <v>3325</v>
      </c>
      <c r="I16" s="171">
        <v>3485</v>
      </c>
      <c r="J16" s="172">
        <v>1757</v>
      </c>
      <c r="K16" s="587">
        <v>3648.1754011749431</v>
      </c>
      <c r="L16" s="587">
        <v>4649.8909508956303</v>
      </c>
      <c r="M16" s="587">
        <v>5730.908291461109</v>
      </c>
      <c r="N16" s="587">
        <v>6721.9332137858701</v>
      </c>
      <c r="O16" s="587">
        <v>7523.6612245423248</v>
      </c>
      <c r="P16" s="587">
        <v>8240.5397177032683</v>
      </c>
      <c r="Q16" s="587">
        <v>8877.2454097885675</v>
      </c>
      <c r="R16" s="587">
        <v>9436.8961118114676</v>
      </c>
      <c r="S16" s="587">
        <v>9839.3190226963143</v>
      </c>
      <c r="T16" s="587">
        <v>10085.293595196428</v>
      </c>
    </row>
    <row r="17" spans="1:20" x14ac:dyDescent="0.4">
      <c r="C17" s="2"/>
      <c r="D17" s="2" t="s">
        <v>258</v>
      </c>
      <c r="F17" s="26"/>
      <c r="G17" s="10">
        <v>5248</v>
      </c>
      <c r="H17" s="10">
        <v>8085</v>
      </c>
      <c r="I17" s="10">
        <v>10297</v>
      </c>
      <c r="J17" s="48">
        <v>8656</v>
      </c>
      <c r="K17" s="10">
        <v>12613.218324848771</v>
      </c>
      <c r="L17" s="10">
        <v>16117.989193855341</v>
      </c>
      <c r="M17" s="10">
        <v>19893.407356072468</v>
      </c>
      <c r="N17" s="10">
        <v>23310.566238953124</v>
      </c>
      <c r="O17" s="10">
        <v>26086.320748474787</v>
      </c>
      <c r="P17" s="10">
        <v>28570.213399045242</v>
      </c>
      <c r="Q17" s="10">
        <v>30776.530598663529</v>
      </c>
      <c r="R17" s="10">
        <v>32714.796619329019</v>
      </c>
      <c r="S17" s="10">
        <v>34107.436010089521</v>
      </c>
      <c r="T17" s="10">
        <v>34956.829838944905</v>
      </c>
    </row>
    <row r="18" spans="1:20" x14ac:dyDescent="0.4">
      <c r="F18" s="27"/>
      <c r="G18" s="8"/>
      <c r="H18" s="8"/>
      <c r="I18" s="5"/>
      <c r="J18" s="47"/>
      <c r="K18" s="7"/>
      <c r="L18" s="7"/>
      <c r="M18" s="7"/>
      <c r="N18" s="7"/>
      <c r="O18" s="7"/>
      <c r="P18" s="7"/>
      <c r="Q18" s="7"/>
      <c r="R18" s="7"/>
      <c r="S18" s="7"/>
      <c r="T18" s="7"/>
    </row>
    <row r="19" spans="1:20" x14ac:dyDescent="0.4">
      <c r="C19" s="1" t="s">
        <v>161</v>
      </c>
      <c r="F19" s="27"/>
      <c r="G19" s="82">
        <v>6440</v>
      </c>
      <c r="H19" s="82">
        <v>6786</v>
      </c>
      <c r="I19" s="82">
        <v>6921</v>
      </c>
      <c r="J19" s="90">
        <v>8210</v>
      </c>
      <c r="K19" s="7">
        <v>10097.945682974561</v>
      </c>
      <c r="L19" s="7">
        <v>13155.503596908022</v>
      </c>
      <c r="M19" s="7">
        <v>16408.288253185714</v>
      </c>
      <c r="N19" s="7">
        <v>19088.035243686842</v>
      </c>
      <c r="O19" s="7">
        <v>21333.686448826469</v>
      </c>
      <c r="P19" s="7">
        <v>23354.772533452135</v>
      </c>
      <c r="Q19" s="7">
        <v>25151.293497563842</v>
      </c>
      <c r="R19" s="7">
        <v>26723.249341161576</v>
      </c>
      <c r="S19" s="7">
        <v>27846.07494373139</v>
      </c>
      <c r="T19" s="7">
        <v>28519.770305273276</v>
      </c>
    </row>
    <row r="20" spans="1:20" x14ac:dyDescent="0.4">
      <c r="C20" s="1" t="s">
        <v>162</v>
      </c>
      <c r="F20" s="30"/>
      <c r="G20" s="82">
        <v>5578</v>
      </c>
      <c r="H20" s="82">
        <v>6801</v>
      </c>
      <c r="I20" s="82">
        <v>8538</v>
      </c>
      <c r="J20" s="90">
        <v>11649</v>
      </c>
      <c r="K20" s="7">
        <v>15078.068894805196</v>
      </c>
      <c r="L20" s="7">
        <v>19643.558779928568</v>
      </c>
      <c r="M20" s="7">
        <v>24500.557687143213</v>
      </c>
      <c r="N20" s="7">
        <v>28501.907170686944</v>
      </c>
      <c r="O20" s="7">
        <v>31855.07272017952</v>
      </c>
      <c r="P20" s="7">
        <v>34872.921714722848</v>
      </c>
      <c r="Q20" s="7">
        <v>37555.454154316911</v>
      </c>
      <c r="R20" s="7">
        <v>39902.670038961711</v>
      </c>
      <c r="S20" s="7">
        <v>41579.252813708008</v>
      </c>
      <c r="T20" s="7">
        <v>42585.202478555773</v>
      </c>
    </row>
    <row r="21" spans="1:20" x14ac:dyDescent="0.4">
      <c r="C21" s="1" t="s">
        <v>163</v>
      </c>
      <c r="F21" s="25"/>
      <c r="G21" s="82">
        <v>2410</v>
      </c>
      <c r="H21" s="82">
        <v>5804</v>
      </c>
      <c r="I21" s="82">
        <v>6084</v>
      </c>
      <c r="J21" s="90">
        <v>6228</v>
      </c>
      <c r="K21" s="7">
        <v>8376.7049415584424</v>
      </c>
      <c r="L21" s="7">
        <v>10913.088211071428</v>
      </c>
      <c r="M21" s="7">
        <v>13611.420937301787</v>
      </c>
      <c r="N21" s="7">
        <v>15834.392872603858</v>
      </c>
      <c r="O21" s="7">
        <v>17697.262622321956</v>
      </c>
      <c r="P21" s="7">
        <v>19373.845397068249</v>
      </c>
      <c r="Q21" s="7">
        <v>20864.141196842731</v>
      </c>
      <c r="R21" s="7">
        <v>22168.150021645401</v>
      </c>
      <c r="S21" s="7">
        <v>23099.58489650445</v>
      </c>
      <c r="T21" s="7">
        <v>23658.445821419878</v>
      </c>
    </row>
    <row r="22" spans="1:20" x14ac:dyDescent="0.4">
      <c r="C22" s="93" t="s">
        <v>164</v>
      </c>
      <c r="D22" s="93"/>
      <c r="E22" s="93"/>
      <c r="F22" s="198"/>
      <c r="G22" s="171">
        <v>1749</v>
      </c>
      <c r="H22" s="171">
        <v>4614</v>
      </c>
      <c r="I22" s="171">
        <v>10173</v>
      </c>
      <c r="J22" s="172">
        <v>7937</v>
      </c>
      <c r="K22" s="587">
        <v>11727.386918181821</v>
      </c>
      <c r="L22" s="587">
        <v>15278.323495499999</v>
      </c>
      <c r="M22" s="587">
        <v>19055.989312222504</v>
      </c>
      <c r="N22" s="587">
        <v>22168.150021645404</v>
      </c>
      <c r="O22" s="587">
        <v>24776.16767125074</v>
      </c>
      <c r="P22" s="587">
        <v>27123.383555895551</v>
      </c>
      <c r="Q22" s="587">
        <v>29209.797675579826</v>
      </c>
      <c r="R22" s="587">
        <v>31035.410030303559</v>
      </c>
      <c r="S22" s="587">
        <v>32339.418855106229</v>
      </c>
      <c r="T22" s="587">
        <v>33121.824149987828</v>
      </c>
    </row>
    <row r="23" spans="1:20" x14ac:dyDescent="0.4">
      <c r="C23" s="2"/>
      <c r="D23" s="2" t="s">
        <v>259</v>
      </c>
      <c r="F23" s="25"/>
      <c r="G23" s="10">
        <v>16177</v>
      </c>
      <c r="H23" s="10">
        <v>24005</v>
      </c>
      <c r="I23" s="10">
        <v>31716</v>
      </c>
      <c r="J23" s="48">
        <v>34024</v>
      </c>
      <c r="K23" s="10">
        <v>45280.106437520022</v>
      </c>
      <c r="L23" s="10">
        <v>58990.474083408022</v>
      </c>
      <c r="M23" s="10">
        <v>73576.256189853215</v>
      </c>
      <c r="N23" s="10">
        <v>85592.485308623043</v>
      </c>
      <c r="O23" s="10">
        <v>95662.189462578681</v>
      </c>
      <c r="P23" s="10">
        <v>104724.92320113878</v>
      </c>
      <c r="Q23" s="10">
        <v>112780.68652430331</v>
      </c>
      <c r="R23" s="10">
        <v>119829.47943207226</v>
      </c>
      <c r="S23" s="10">
        <v>124864.33150905007</v>
      </c>
      <c r="T23" s="10">
        <v>127885.24275523677</v>
      </c>
    </row>
    <row r="24" spans="1:20" x14ac:dyDescent="0.4">
      <c r="J24" s="44"/>
    </row>
    <row r="25" spans="1:20" x14ac:dyDescent="0.25">
      <c r="B25" s="83" t="s">
        <v>265</v>
      </c>
      <c r="C25" s="62"/>
      <c r="D25" s="62"/>
      <c r="G25" s="3">
        <v>-10929</v>
      </c>
      <c r="H25" s="3">
        <v>-15920</v>
      </c>
      <c r="I25" s="3">
        <v>-21419</v>
      </c>
      <c r="J25" s="67">
        <v>-25368</v>
      </c>
      <c r="K25" s="3">
        <v>-32666.888112671251</v>
      </c>
      <c r="L25" s="3">
        <v>-42872.484889552681</v>
      </c>
      <c r="M25" s="3">
        <v>-53682.84883378075</v>
      </c>
      <c r="N25" s="3">
        <v>-62281.919069669922</v>
      </c>
      <c r="O25" s="3">
        <v>-69575.868714103897</v>
      </c>
      <c r="P25" s="3">
        <v>-76154.709802093537</v>
      </c>
      <c r="Q25" s="3">
        <v>-82004.155925639789</v>
      </c>
      <c r="R25" s="3">
        <v>-87114.682812743238</v>
      </c>
      <c r="S25" s="3">
        <v>-90756.895498960541</v>
      </c>
      <c r="T25" s="3">
        <v>-92928.412916291869</v>
      </c>
    </row>
    <row r="26" spans="1:20" x14ac:dyDescent="0.25">
      <c r="B26" s="62"/>
      <c r="C26" s="62"/>
      <c r="D26" s="62"/>
      <c r="J26" s="44"/>
    </row>
    <row r="27" spans="1:20" x14ac:dyDescent="0.25">
      <c r="A27" s="1" t="s">
        <v>274</v>
      </c>
      <c r="B27" s="84" t="s">
        <v>266</v>
      </c>
      <c r="C27" s="84"/>
      <c r="D27" s="84"/>
      <c r="H27" s="4">
        <v>4991</v>
      </c>
      <c r="I27" s="4">
        <v>5499</v>
      </c>
      <c r="J27" s="71">
        <v>3949</v>
      </c>
      <c r="K27" s="4">
        <v>7298.8881126712513</v>
      </c>
      <c r="L27" s="4">
        <v>10205.59677688143</v>
      </c>
      <c r="M27" s="4">
        <v>10810.363944228069</v>
      </c>
      <c r="N27" s="4">
        <v>8599.0702358891722</v>
      </c>
      <c r="O27" s="4">
        <v>7293.9496444339748</v>
      </c>
      <c r="P27" s="4">
        <v>6578.8410879896401</v>
      </c>
      <c r="Q27" s="4">
        <v>5849.4461235462513</v>
      </c>
      <c r="R27" s="4">
        <v>5110.5268871034496</v>
      </c>
      <c r="S27" s="4">
        <v>3642.2126862173027</v>
      </c>
      <c r="T27" s="4">
        <v>2171.517417331328</v>
      </c>
    </row>
    <row r="28" spans="1:20" x14ac:dyDescent="0.25">
      <c r="B28" s="62"/>
      <c r="C28" s="62"/>
      <c r="D28" s="62"/>
      <c r="J28" s="44"/>
    </row>
    <row r="29" spans="1:20" x14ac:dyDescent="0.25">
      <c r="B29" s="85" t="s">
        <v>267</v>
      </c>
      <c r="C29" s="62"/>
      <c r="D29" s="62"/>
      <c r="J29" s="44"/>
    </row>
    <row r="30" spans="1:20" x14ac:dyDescent="0.25">
      <c r="B30" s="62"/>
      <c r="C30" s="62" t="s">
        <v>268</v>
      </c>
      <c r="D30" s="62"/>
      <c r="H30" s="86">
        <v>365</v>
      </c>
      <c r="J30" s="44"/>
    </row>
    <row r="31" spans="1:20" x14ac:dyDescent="0.25">
      <c r="B31" s="62"/>
      <c r="C31" s="62"/>
      <c r="D31" s="62"/>
      <c r="J31" s="44"/>
    </row>
    <row r="32" spans="1:20" x14ac:dyDescent="0.25">
      <c r="B32" s="62"/>
      <c r="C32" s="62" t="s">
        <v>277</v>
      </c>
      <c r="D32" s="62"/>
      <c r="G32" s="75">
        <v>10.094237745718385</v>
      </c>
      <c r="H32" s="75">
        <v>8.0759160930154472</v>
      </c>
      <c r="I32" s="75">
        <v>8.1653412794487377</v>
      </c>
      <c r="J32" s="88">
        <v>5.7383155430450659</v>
      </c>
      <c r="K32" s="91">
        <v>6</v>
      </c>
      <c r="L32" s="91">
        <v>6</v>
      </c>
      <c r="M32" s="91">
        <v>6</v>
      </c>
      <c r="N32" s="91">
        <v>6</v>
      </c>
      <c r="O32" s="91">
        <v>6</v>
      </c>
      <c r="P32" s="91">
        <v>6</v>
      </c>
      <c r="Q32" s="91">
        <v>6</v>
      </c>
      <c r="R32" s="91">
        <v>6</v>
      </c>
      <c r="S32" s="91">
        <v>6</v>
      </c>
      <c r="T32" s="91">
        <v>6</v>
      </c>
    </row>
    <row r="33" spans="1:20" x14ac:dyDescent="0.25">
      <c r="B33" s="62"/>
      <c r="C33" s="62" t="s">
        <v>272</v>
      </c>
      <c r="D33" s="62"/>
      <c r="G33" s="75">
        <v>2.2667613669715077</v>
      </c>
      <c r="H33" s="75">
        <v>1.5205416394951858</v>
      </c>
      <c r="I33" s="75">
        <v>1.5811736125294262</v>
      </c>
      <c r="J33" s="88">
        <v>1.8071938255424496</v>
      </c>
      <c r="K33" s="91">
        <v>1.6</v>
      </c>
      <c r="L33" s="91">
        <v>1.6</v>
      </c>
      <c r="M33" s="91">
        <v>1.6</v>
      </c>
      <c r="N33" s="91">
        <v>1.6</v>
      </c>
      <c r="O33" s="91">
        <v>1.6</v>
      </c>
      <c r="P33" s="91">
        <v>1.6</v>
      </c>
      <c r="Q33" s="91">
        <v>1.6</v>
      </c>
      <c r="R33" s="91">
        <v>1.6</v>
      </c>
      <c r="S33" s="91">
        <v>1.6</v>
      </c>
      <c r="T33" s="91">
        <v>1.6</v>
      </c>
    </row>
    <row r="34" spans="1:20" x14ac:dyDescent="0.25">
      <c r="B34" s="62"/>
      <c r="C34" s="62" t="s">
        <v>278</v>
      </c>
      <c r="D34" s="62"/>
      <c r="G34" s="87">
        <v>1.2157259765460221E-2</v>
      </c>
      <c r="H34" s="87">
        <v>1.7445643049026193E-2</v>
      </c>
      <c r="I34" s="87">
        <v>1.2980724462240432E-2</v>
      </c>
      <c r="J34" s="89">
        <v>4.8967420083052314E-3</v>
      </c>
      <c r="K34" s="92">
        <v>8.0000000000000002E-3</v>
      </c>
      <c r="L34" s="92">
        <v>8.0000000000000002E-3</v>
      </c>
      <c r="M34" s="92">
        <v>8.0000000000000002E-3</v>
      </c>
      <c r="N34" s="92">
        <v>8.0000000000000002E-3</v>
      </c>
      <c r="O34" s="92">
        <v>8.0000000000000002E-3</v>
      </c>
      <c r="P34" s="92">
        <v>8.0000000000000002E-3</v>
      </c>
      <c r="Q34" s="92">
        <v>8.0000000000000002E-3</v>
      </c>
      <c r="R34" s="92">
        <v>8.0000000000000002E-3</v>
      </c>
      <c r="S34" s="92">
        <v>8.0000000000000002E-3</v>
      </c>
      <c r="T34" s="92">
        <v>8.0000000000000002E-3</v>
      </c>
    </row>
    <row r="35" spans="1:20" x14ac:dyDescent="0.25">
      <c r="B35" s="62"/>
      <c r="C35" s="62"/>
      <c r="D35" s="62"/>
      <c r="G35" s="75"/>
      <c r="H35" s="75"/>
      <c r="I35" s="75"/>
      <c r="J35" s="88"/>
      <c r="K35" s="91"/>
      <c r="L35" s="91"/>
      <c r="M35" s="91"/>
      <c r="N35" s="91"/>
      <c r="O35" s="91"/>
      <c r="P35" s="91"/>
      <c r="Q35" s="91"/>
      <c r="R35" s="91"/>
      <c r="S35" s="91"/>
      <c r="T35" s="91"/>
    </row>
    <row r="36" spans="1:20" x14ac:dyDescent="0.25">
      <c r="B36" s="62"/>
      <c r="C36" s="62" t="s">
        <v>273</v>
      </c>
      <c r="D36" s="62"/>
      <c r="G36" s="75">
        <v>27.595355771827048</v>
      </c>
      <c r="H36" s="75">
        <v>19.002570102420499</v>
      </c>
      <c r="I36" s="75">
        <v>13.577298476819058</v>
      </c>
      <c r="J36" s="88">
        <v>11.794166381322345</v>
      </c>
      <c r="K36" s="91">
        <v>11</v>
      </c>
      <c r="L36" s="91">
        <v>11</v>
      </c>
      <c r="M36" s="91">
        <v>11</v>
      </c>
      <c r="N36" s="91">
        <v>11</v>
      </c>
      <c r="O36" s="91">
        <v>11</v>
      </c>
      <c r="P36" s="91">
        <v>11</v>
      </c>
      <c r="Q36" s="91">
        <v>11</v>
      </c>
      <c r="R36" s="91">
        <v>11</v>
      </c>
      <c r="S36" s="91">
        <v>11</v>
      </c>
      <c r="T36" s="91">
        <v>11</v>
      </c>
    </row>
    <row r="37" spans="1:20" x14ac:dyDescent="0.25">
      <c r="B37" s="62"/>
      <c r="C37" s="62" t="s">
        <v>269</v>
      </c>
      <c r="D37" s="62"/>
      <c r="G37" s="87">
        <v>6.5484086826874538E-2</v>
      </c>
      <c r="H37" s="87">
        <v>5.2176915109900648E-2</v>
      </c>
      <c r="I37" s="87">
        <v>4.5888916359414805E-2</v>
      </c>
      <c r="J37" s="89">
        <v>4.5847944930513737E-2</v>
      </c>
      <c r="K37" s="92">
        <v>4.4999999999999998E-2</v>
      </c>
      <c r="L37" s="92">
        <v>4.4999999999999998E-2</v>
      </c>
      <c r="M37" s="92">
        <v>4.4999999999999998E-2</v>
      </c>
      <c r="N37" s="92">
        <v>4.4999999999999998E-2</v>
      </c>
      <c r="O37" s="92">
        <v>4.4999999999999998E-2</v>
      </c>
      <c r="P37" s="92">
        <v>4.4999999999999998E-2</v>
      </c>
      <c r="Q37" s="92">
        <v>4.4999999999999998E-2</v>
      </c>
      <c r="R37" s="92">
        <v>4.4999999999999998E-2</v>
      </c>
      <c r="S37" s="92">
        <v>4.4999999999999998E-2</v>
      </c>
      <c r="T37" s="92">
        <v>4.4999999999999998E-2</v>
      </c>
    </row>
    <row r="38" spans="1:20" x14ac:dyDescent="0.25">
      <c r="B38" s="62"/>
      <c r="C38" s="62" t="s">
        <v>270</v>
      </c>
      <c r="D38" s="62"/>
      <c r="G38" s="87">
        <v>2.8292694380202158E-2</v>
      </c>
      <c r="H38" s="87">
        <v>4.4527983428593348E-2</v>
      </c>
      <c r="I38" s="87">
        <v>3.2699480807060165E-2</v>
      </c>
      <c r="J38" s="89">
        <v>2.4512061209308916E-2</v>
      </c>
      <c r="K38" s="92">
        <v>2.5000000000000001E-2</v>
      </c>
      <c r="L38" s="92">
        <v>2.5000000000000001E-2</v>
      </c>
      <c r="M38" s="92">
        <v>2.5000000000000001E-2</v>
      </c>
      <c r="N38" s="92">
        <v>2.5000000000000001E-2</v>
      </c>
      <c r="O38" s="92">
        <v>2.5000000000000001E-2</v>
      </c>
      <c r="P38" s="92">
        <v>2.5000000000000001E-2</v>
      </c>
      <c r="Q38" s="92">
        <v>2.5000000000000001E-2</v>
      </c>
      <c r="R38" s="92">
        <v>2.5000000000000001E-2</v>
      </c>
      <c r="S38" s="92">
        <v>2.5000000000000001E-2</v>
      </c>
      <c r="T38" s="92">
        <v>2.5000000000000001E-2</v>
      </c>
    </row>
    <row r="39" spans="1:20" x14ac:dyDescent="0.25">
      <c r="B39" s="62"/>
      <c r="C39" s="62" t="s">
        <v>271</v>
      </c>
      <c r="D39" s="62"/>
      <c r="G39" s="87">
        <v>2.0532747913267042E-2</v>
      </c>
      <c r="H39" s="87">
        <v>3.5398365875177411E-2</v>
      </c>
      <c r="I39" s="87">
        <v>5.4676498726203657E-2</v>
      </c>
      <c r="J39" s="89">
        <v>3.1238315641985367E-2</v>
      </c>
      <c r="K39" s="92">
        <v>3.5000000000000003E-2</v>
      </c>
      <c r="L39" s="92">
        <v>3.5000000000000003E-2</v>
      </c>
      <c r="M39" s="92">
        <v>3.5000000000000003E-2</v>
      </c>
      <c r="N39" s="92">
        <v>3.5000000000000003E-2</v>
      </c>
      <c r="O39" s="92">
        <v>3.5000000000000003E-2</v>
      </c>
      <c r="P39" s="92">
        <v>3.5000000000000003E-2</v>
      </c>
      <c r="Q39" s="92">
        <v>3.5000000000000003E-2</v>
      </c>
      <c r="R39" s="92">
        <v>3.5000000000000003E-2</v>
      </c>
      <c r="S39" s="92">
        <v>3.5000000000000003E-2</v>
      </c>
      <c r="T39" s="92">
        <v>3.5000000000000003E-2</v>
      </c>
    </row>
    <row r="40" spans="1:20" x14ac:dyDescent="0.4">
      <c r="A40" s="1" t="s">
        <v>274</v>
      </c>
      <c r="G40" s="75"/>
      <c r="H40" s="75"/>
      <c r="I40" s="75"/>
      <c r="J40" s="75"/>
      <c r="K40" s="75"/>
      <c r="L40" s="75"/>
      <c r="M40" s="75"/>
      <c r="N40" s="75"/>
      <c r="O40" s="75"/>
      <c r="P40" s="75"/>
      <c r="Q40" s="75"/>
      <c r="R40" s="75"/>
      <c r="S40" s="75"/>
      <c r="T40" s="75"/>
    </row>
    <row r="41" spans="1:20" x14ac:dyDescent="0.4">
      <c r="G41" s="75"/>
      <c r="H41" s="75"/>
      <c r="I41" s="75"/>
      <c r="J41" s="75"/>
      <c r="K41" s="75"/>
      <c r="L41" s="75"/>
      <c r="M41" s="75"/>
      <c r="N41" s="75"/>
      <c r="O41" s="75"/>
      <c r="P41" s="75"/>
      <c r="Q41" s="75"/>
      <c r="R41" s="75"/>
      <c r="S41" s="75"/>
      <c r="T41" s="75"/>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3"/>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280</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4">
      <c r="A10" s="1" t="s">
        <v>274</v>
      </c>
      <c r="B10" s="1" t="s">
        <v>262</v>
      </c>
      <c r="F10" s="82">
        <v>82456</v>
      </c>
      <c r="G10" s="82">
        <v>118530</v>
      </c>
      <c r="H10" s="82">
        <v>190592</v>
      </c>
      <c r="I10" s="82">
        <v>268475</v>
      </c>
      <c r="J10" s="90">
        <v>358810</v>
      </c>
      <c r="K10" s="82">
        <v>456021.92514686787</v>
      </c>
      <c r="L10" s="82">
        <v>581236.36886195373</v>
      </c>
      <c r="M10" s="82">
        <v>716363.53643263865</v>
      </c>
      <c r="N10" s="82">
        <v>840241.65172323375</v>
      </c>
      <c r="O10" s="82">
        <v>940457.65306779055</v>
      </c>
      <c r="P10" s="82">
        <v>1030067.4647129086</v>
      </c>
      <c r="Q10" s="82">
        <v>1109655.6762235709</v>
      </c>
      <c r="R10" s="82">
        <v>1179612.0139764333</v>
      </c>
      <c r="S10" s="82">
        <v>1229914.8778370393</v>
      </c>
      <c r="T10" s="82">
        <v>1260661.6993995535</v>
      </c>
    </row>
    <row r="11" spans="1:23" x14ac:dyDescent="0.4">
      <c r="G11" s="82"/>
      <c r="H11" s="82"/>
      <c r="I11" s="82"/>
      <c r="J11" s="90"/>
      <c r="K11" s="82"/>
      <c r="L11" s="82"/>
      <c r="M11" s="82"/>
      <c r="N11" s="82"/>
      <c r="O11" s="82"/>
      <c r="P11" s="82"/>
      <c r="Q11" s="82"/>
      <c r="R11" s="82"/>
      <c r="S11" s="82"/>
      <c r="T11" s="82"/>
    </row>
    <row r="12" spans="1:23" s="2" customFormat="1" x14ac:dyDescent="0.4">
      <c r="A12" s="1" t="s">
        <v>274</v>
      </c>
      <c r="B12" s="2" t="s">
        <v>282</v>
      </c>
      <c r="F12" s="161">
        <v>16194</v>
      </c>
      <c r="G12" s="161">
        <v>28515</v>
      </c>
      <c r="H12" s="161">
        <v>32117</v>
      </c>
      <c r="I12" s="161">
        <v>54433</v>
      </c>
      <c r="J12" s="167">
        <v>61533</v>
      </c>
      <c r="K12" s="164">
        <v>75900</v>
      </c>
      <c r="L12" s="164">
        <v>88000</v>
      </c>
      <c r="M12" s="164">
        <v>77700</v>
      </c>
      <c r="N12" s="164">
        <v>50000</v>
      </c>
      <c r="O12" s="164">
        <v>47500</v>
      </c>
      <c r="P12" s="164">
        <v>36000</v>
      </c>
      <c r="Q12" s="164">
        <v>36000</v>
      </c>
      <c r="R12" s="164">
        <v>27000</v>
      </c>
      <c r="S12" s="164">
        <v>18000</v>
      </c>
      <c r="T12" s="164">
        <v>9000</v>
      </c>
    </row>
    <row r="13" spans="1:23" x14ac:dyDescent="0.4">
      <c r="C13" s="1" t="s">
        <v>810</v>
      </c>
      <c r="F13" s="78">
        <v>0.19639565343941012</v>
      </c>
      <c r="G13" s="78">
        <v>0.24057200708681348</v>
      </c>
      <c r="H13" s="78">
        <v>0.16851179482874412</v>
      </c>
      <c r="I13" s="78">
        <v>0.20274885929788622</v>
      </c>
      <c r="J13" s="168">
        <v>0.17149187592319054</v>
      </c>
      <c r="K13" s="78">
        <v>0.16643936577294041</v>
      </c>
      <c r="L13" s="78">
        <v>0.15140140004023114</v>
      </c>
      <c r="M13" s="78">
        <v>0.10846448213560952</v>
      </c>
      <c r="N13" s="78">
        <v>5.9506690601990583E-2</v>
      </c>
      <c r="O13" s="78">
        <v>5.0507324646733541E-2</v>
      </c>
      <c r="P13" s="78">
        <v>3.4949167149972656E-2</v>
      </c>
      <c r="Q13" s="78">
        <v>3.2442496146657659E-2</v>
      </c>
      <c r="R13" s="78">
        <v>2.2888881835802847E-2</v>
      </c>
      <c r="S13" s="78">
        <v>1.4635159167807835E-2</v>
      </c>
      <c r="T13" s="78">
        <v>7.139107981377282E-3</v>
      </c>
    </row>
    <row r="14" spans="1:23" x14ac:dyDescent="0.4">
      <c r="F14" s="82"/>
      <c r="G14" s="82"/>
      <c r="H14" s="82"/>
      <c r="I14" s="82"/>
      <c r="J14" s="90"/>
      <c r="K14" s="82"/>
      <c r="L14" s="82"/>
      <c r="M14" s="82"/>
      <c r="N14" s="82"/>
      <c r="O14" s="82"/>
      <c r="P14" s="82"/>
      <c r="Q14" s="82"/>
      <c r="R14" s="82"/>
      <c r="S14" s="82"/>
      <c r="T14" s="82"/>
    </row>
    <row r="15" spans="1:23" x14ac:dyDescent="0.4">
      <c r="C15" s="1" t="s">
        <v>816</v>
      </c>
      <c r="F15" s="82"/>
      <c r="G15" s="82">
        <v>10</v>
      </c>
      <c r="H15" s="82">
        <v>13</v>
      </c>
      <c r="I15" s="82">
        <v>22</v>
      </c>
      <c r="J15" s="90">
        <v>27</v>
      </c>
      <c r="K15" s="82">
        <v>33</v>
      </c>
      <c r="L15" s="82">
        <v>40</v>
      </c>
      <c r="M15" s="82">
        <v>37</v>
      </c>
      <c r="N15" s="82">
        <v>25</v>
      </c>
      <c r="O15" s="82">
        <v>25</v>
      </c>
      <c r="P15" s="82">
        <v>20</v>
      </c>
      <c r="Q15" s="82">
        <v>20</v>
      </c>
      <c r="R15" s="82">
        <v>15</v>
      </c>
      <c r="S15" s="82">
        <v>10</v>
      </c>
      <c r="T15" s="82">
        <v>5</v>
      </c>
      <c r="U15" s="176" t="s">
        <v>824</v>
      </c>
    </row>
    <row r="16" spans="1:23" x14ac:dyDescent="0.4">
      <c r="C16" s="1" t="s">
        <v>818</v>
      </c>
      <c r="F16" s="82"/>
      <c r="G16" s="162">
        <v>2851.5</v>
      </c>
      <c r="H16" s="162">
        <v>2470.5384615384614</v>
      </c>
      <c r="I16" s="162">
        <v>2474.2272727272725</v>
      </c>
      <c r="J16" s="169">
        <v>2279</v>
      </c>
      <c r="K16" s="163">
        <v>2300</v>
      </c>
      <c r="L16" s="163">
        <v>2200</v>
      </c>
      <c r="M16" s="163">
        <v>2100</v>
      </c>
      <c r="N16" s="163">
        <v>2000</v>
      </c>
      <c r="O16" s="163">
        <v>1900</v>
      </c>
      <c r="P16" s="163">
        <v>1800</v>
      </c>
      <c r="Q16" s="163">
        <v>1800</v>
      </c>
      <c r="R16" s="163">
        <v>1800</v>
      </c>
      <c r="S16" s="163">
        <v>1800</v>
      </c>
      <c r="T16" s="163">
        <v>1800</v>
      </c>
      <c r="U16" s="175">
        <v>-100</v>
      </c>
    </row>
    <row r="17" spans="1:22" x14ac:dyDescent="0.4">
      <c r="F17" s="82"/>
      <c r="G17" s="82"/>
      <c r="H17" s="82"/>
      <c r="I17" s="82"/>
      <c r="J17" s="90"/>
      <c r="K17" s="82"/>
      <c r="L17" s="82"/>
      <c r="M17" s="82"/>
      <c r="N17" s="82"/>
      <c r="O17" s="82"/>
      <c r="P17" s="82"/>
      <c r="Q17" s="82"/>
      <c r="R17" s="82"/>
      <c r="S17" s="82"/>
      <c r="T17" s="82"/>
    </row>
    <row r="18" spans="1:22" s="2" customFormat="1" x14ac:dyDescent="0.4">
      <c r="A18" s="1" t="s">
        <v>234</v>
      </c>
      <c r="B18" s="2" t="s">
        <v>822</v>
      </c>
      <c r="F18" s="161">
        <v>3541</v>
      </c>
      <c r="G18" s="161">
        <v>5809</v>
      </c>
      <c r="H18" s="161">
        <v>10222</v>
      </c>
      <c r="I18" s="161">
        <v>14502</v>
      </c>
      <c r="J18" s="167">
        <v>21704</v>
      </c>
      <c r="K18" s="164">
        <v>29216.938499278502</v>
      </c>
      <c r="L18" s="164">
        <v>36370.25544973545</v>
      </c>
      <c r="M18" s="164">
        <v>42532.247301587304</v>
      </c>
      <c r="N18" s="164">
        <v>45546.708273208278</v>
      </c>
      <c r="O18" s="164">
        <v>46155.144540644549</v>
      </c>
      <c r="P18" s="164">
        <v>45327.737181337186</v>
      </c>
      <c r="Q18" s="164">
        <v>43214.486195286205</v>
      </c>
      <c r="R18" s="164">
        <v>39965.391582491589</v>
      </c>
      <c r="S18" s="164">
        <v>35444.609716209721</v>
      </c>
      <c r="T18" s="164">
        <v>29952.140596440604</v>
      </c>
    </row>
    <row r="19" spans="1:22" x14ac:dyDescent="0.4">
      <c r="C19" s="1" t="s">
        <v>821</v>
      </c>
      <c r="F19" s="78">
        <v>4.5732843829426715</v>
      </c>
      <c r="G19" s="78">
        <v>4.9087622654501635</v>
      </c>
      <c r="H19" s="78">
        <v>3.141948738016044</v>
      </c>
      <c r="I19" s="78">
        <v>3.7534822783064405</v>
      </c>
      <c r="J19" s="168">
        <v>2.8350995208256542</v>
      </c>
      <c r="K19" s="78">
        <v>2.5978081174341492</v>
      </c>
      <c r="L19" s="78">
        <v>2.4195595799875003</v>
      </c>
      <c r="M19" s="78">
        <v>1.8268491539853393</v>
      </c>
      <c r="N19" s="78">
        <v>1.0977741728354771</v>
      </c>
      <c r="O19" s="78">
        <v>1.0291377152588301</v>
      </c>
      <c r="P19" s="78">
        <v>0.7942156886406917</v>
      </c>
      <c r="Q19" s="78">
        <v>0.83305398651082063</v>
      </c>
      <c r="R19" s="78">
        <v>0.67558452278066539</v>
      </c>
      <c r="S19" s="78">
        <v>0.50783462264413481</v>
      </c>
      <c r="T19" s="78">
        <v>0.30047935876307702</v>
      </c>
      <c r="U19" s="176" t="s">
        <v>824</v>
      </c>
    </row>
    <row r="20" spans="1:22" x14ac:dyDescent="0.4">
      <c r="C20" s="1" t="s">
        <v>820</v>
      </c>
      <c r="F20" s="82"/>
      <c r="G20" s="162">
        <v>223.42307692307693</v>
      </c>
      <c r="H20" s="162">
        <v>272.58666666666664</v>
      </c>
      <c r="I20" s="162">
        <v>268.55555555555554</v>
      </c>
      <c r="J20" s="169">
        <v>281.87012987012986</v>
      </c>
      <c r="K20" s="163">
        <v>274.33745069745072</v>
      </c>
      <c r="L20" s="163">
        <v>254.33745069745072</v>
      </c>
      <c r="M20" s="163">
        <v>234.33745069745072</v>
      </c>
      <c r="N20" s="163">
        <v>214.33745069745072</v>
      </c>
      <c r="O20" s="163">
        <v>194.33745069745072</v>
      </c>
      <c r="P20" s="163">
        <v>174.33745069745072</v>
      </c>
      <c r="Q20" s="163">
        <v>154.33745069745072</v>
      </c>
      <c r="R20" s="163">
        <v>134.33745069745072</v>
      </c>
      <c r="S20" s="163">
        <v>114.33745069745072</v>
      </c>
      <c r="T20" s="163">
        <v>94.33745069745072</v>
      </c>
      <c r="U20" s="175">
        <v>-20</v>
      </c>
    </row>
    <row r="21" spans="1:22" x14ac:dyDescent="0.4">
      <c r="F21" s="82"/>
      <c r="G21" s="162"/>
      <c r="H21" s="162"/>
      <c r="I21" s="162"/>
      <c r="J21" s="169"/>
      <c r="K21" s="163"/>
      <c r="L21" s="163"/>
      <c r="M21" s="163"/>
      <c r="N21" s="163"/>
      <c r="O21" s="163"/>
      <c r="P21" s="163"/>
      <c r="Q21" s="163"/>
      <c r="R21" s="163"/>
      <c r="S21" s="163"/>
      <c r="T21" s="163"/>
      <c r="V21" s="166"/>
    </row>
    <row r="22" spans="1:22" x14ac:dyDescent="0.4">
      <c r="C22" s="1" t="s">
        <v>811</v>
      </c>
      <c r="F22" s="82"/>
      <c r="G22" s="78">
        <v>8.2838970965717865E-2</v>
      </c>
      <c r="H22" s="78">
        <v>0.10986554314764459</v>
      </c>
      <c r="I22" s="78">
        <v>0.10642576175659015</v>
      </c>
      <c r="J22" s="168">
        <v>0.11600523798070499</v>
      </c>
      <c r="K22" s="78">
        <v>0.1249772468456726</v>
      </c>
      <c r="L22" s="78">
        <v>0.1274325883127323</v>
      </c>
      <c r="M22" s="78">
        <v>0.13267464140906554</v>
      </c>
      <c r="N22" s="78">
        <v>0.14013127821262358</v>
      </c>
      <c r="O22" s="78">
        <v>0.14141808516204282</v>
      </c>
      <c r="P22" s="78">
        <v>0.14296897500210046</v>
      </c>
      <c r="Q22" s="78">
        <v>0.1394773889288925</v>
      </c>
      <c r="R22" s="78">
        <v>0.13462430637005476</v>
      </c>
      <c r="S22" s="78">
        <v>0.1268499814557946</v>
      </c>
      <c r="T22" s="78">
        <v>0.11588276009649684</v>
      </c>
    </row>
    <row r="23" spans="1:22" x14ac:dyDescent="0.4">
      <c r="C23" s="1" t="s">
        <v>823</v>
      </c>
      <c r="F23" s="82"/>
      <c r="G23" s="165">
        <v>12.071613014288175</v>
      </c>
      <c r="H23" s="165">
        <v>9.1020348268440614</v>
      </c>
      <c r="I23" s="165">
        <v>9.3962212108674663</v>
      </c>
      <c r="J23" s="170">
        <v>8.6203004054552164</v>
      </c>
      <c r="K23" s="165">
        <v>8.0014564669906996</v>
      </c>
      <c r="L23" s="165">
        <v>7.8472862651577016</v>
      </c>
      <c r="M23" s="165">
        <v>7.5372353705240229</v>
      </c>
      <c r="N23" s="165">
        <v>7.1361655495833194</v>
      </c>
      <c r="O23" s="165">
        <v>7.0712313694118949</v>
      </c>
      <c r="P23" s="165">
        <v>6.9945245112466417</v>
      </c>
      <c r="Q23" s="165">
        <v>7.1696208803407826</v>
      </c>
      <c r="R23" s="165">
        <v>7.4280791260027286</v>
      </c>
      <c r="S23" s="165">
        <v>7.8833279163583141</v>
      </c>
      <c r="T23" s="165">
        <v>8.6294113047297891</v>
      </c>
    </row>
    <row r="24" spans="1:22" x14ac:dyDescent="0.4">
      <c r="F24" s="82"/>
      <c r="G24" s="82"/>
      <c r="H24" s="82"/>
      <c r="I24" s="82"/>
      <c r="J24" s="90"/>
      <c r="K24" s="82"/>
      <c r="L24" s="82"/>
      <c r="M24" s="82"/>
      <c r="N24" s="82"/>
      <c r="O24" s="82"/>
      <c r="P24" s="82"/>
      <c r="Q24" s="82"/>
      <c r="R24" s="82"/>
      <c r="S24" s="82"/>
      <c r="T24" s="82"/>
    </row>
    <row r="25" spans="1:22" x14ac:dyDescent="0.4">
      <c r="A25" s="1" t="s">
        <v>234</v>
      </c>
      <c r="B25" s="13" t="s">
        <v>825</v>
      </c>
      <c r="F25" s="82"/>
      <c r="G25" s="82"/>
      <c r="H25" s="82"/>
      <c r="I25" s="82"/>
      <c r="J25" s="90"/>
      <c r="K25" s="82"/>
      <c r="L25" s="82"/>
      <c r="M25" s="82"/>
      <c r="N25" s="82"/>
      <c r="O25" s="82"/>
      <c r="P25" s="82"/>
      <c r="Q25" s="82"/>
      <c r="R25" s="82"/>
      <c r="S25" s="82"/>
      <c r="T25" s="82"/>
    </row>
    <row r="26" spans="1:22" x14ac:dyDescent="0.4">
      <c r="C26" s="1" t="s">
        <v>812</v>
      </c>
      <c r="F26" s="82"/>
      <c r="G26" s="82"/>
      <c r="H26" s="82"/>
      <c r="I26" s="82"/>
      <c r="J26" s="90"/>
      <c r="K26" s="160">
        <v>187095</v>
      </c>
      <c r="L26" s="160">
        <v>233778.06150072149</v>
      </c>
      <c r="M26" s="160">
        <v>285407.80605098605</v>
      </c>
      <c r="N26" s="160">
        <v>320575.55874939874</v>
      </c>
      <c r="O26" s="160">
        <v>325028.85047619045</v>
      </c>
      <c r="P26" s="160">
        <v>326373.70593554591</v>
      </c>
      <c r="Q26" s="160">
        <v>317045.9687542087</v>
      </c>
      <c r="R26" s="160">
        <v>309831.48255892249</v>
      </c>
      <c r="S26" s="160">
        <v>296866.09097643092</v>
      </c>
      <c r="T26" s="160">
        <v>279421.48126022122</v>
      </c>
    </row>
    <row r="27" spans="1:22" x14ac:dyDescent="0.4">
      <c r="D27" s="1" t="s">
        <v>282</v>
      </c>
      <c r="F27" s="82"/>
      <c r="G27" s="82"/>
      <c r="H27" s="82"/>
      <c r="I27" s="82"/>
      <c r="J27" s="90"/>
      <c r="K27" s="160">
        <v>75900</v>
      </c>
      <c r="L27" s="160">
        <v>88000</v>
      </c>
      <c r="M27" s="160">
        <v>77700</v>
      </c>
      <c r="N27" s="160">
        <v>50000</v>
      </c>
      <c r="O27" s="160">
        <v>47500</v>
      </c>
      <c r="P27" s="160">
        <v>36000</v>
      </c>
      <c r="Q27" s="160">
        <v>36000</v>
      </c>
      <c r="R27" s="160">
        <v>27000</v>
      </c>
      <c r="S27" s="160">
        <v>18000</v>
      </c>
      <c r="T27" s="160">
        <v>9000</v>
      </c>
    </row>
    <row r="28" spans="1:22" x14ac:dyDescent="0.4">
      <c r="D28" s="1" t="s">
        <v>813</v>
      </c>
      <c r="F28" s="82"/>
      <c r="G28" s="82"/>
      <c r="H28" s="82"/>
      <c r="I28" s="82"/>
      <c r="J28" s="90"/>
      <c r="K28" s="160">
        <v>-29216.938499278502</v>
      </c>
      <c r="L28" s="160">
        <v>-36370.25544973545</v>
      </c>
      <c r="M28" s="160">
        <v>-42532.247301587304</v>
      </c>
      <c r="N28" s="160">
        <v>-45546.708273208278</v>
      </c>
      <c r="O28" s="160">
        <v>-46155.144540644549</v>
      </c>
      <c r="P28" s="160">
        <v>-45327.737181337186</v>
      </c>
      <c r="Q28" s="160">
        <v>-43214.486195286205</v>
      </c>
      <c r="R28" s="160">
        <v>-39965.391582491589</v>
      </c>
      <c r="S28" s="160">
        <v>-35444.609716209721</v>
      </c>
      <c r="T28" s="160">
        <v>-29952.140596440604</v>
      </c>
    </row>
    <row r="29" spans="1:22" x14ac:dyDescent="0.4">
      <c r="C29" s="93"/>
      <c r="D29" s="93" t="s">
        <v>814</v>
      </c>
      <c r="E29" s="93"/>
      <c r="F29" s="171"/>
      <c r="G29" s="171"/>
      <c r="H29" s="171"/>
      <c r="I29" s="171"/>
      <c r="J29" s="172"/>
      <c r="K29" s="173">
        <v>0</v>
      </c>
      <c r="L29" s="173">
        <v>0</v>
      </c>
      <c r="M29" s="173">
        <v>0</v>
      </c>
      <c r="N29" s="173">
        <v>0</v>
      </c>
      <c r="O29" s="173">
        <v>0</v>
      </c>
      <c r="P29" s="173">
        <v>0</v>
      </c>
      <c r="Q29" s="173">
        <v>0</v>
      </c>
      <c r="R29" s="173">
        <v>0</v>
      </c>
      <c r="S29" s="173">
        <v>0</v>
      </c>
      <c r="T29" s="173">
        <v>0</v>
      </c>
    </row>
    <row r="30" spans="1:22" s="2" customFormat="1" x14ac:dyDescent="0.4">
      <c r="A30" s="1" t="s">
        <v>234</v>
      </c>
      <c r="C30" s="2" t="s">
        <v>815</v>
      </c>
      <c r="F30" s="161"/>
      <c r="G30" s="161">
        <v>70124</v>
      </c>
      <c r="H30" s="161">
        <v>93041</v>
      </c>
      <c r="I30" s="161">
        <v>136264</v>
      </c>
      <c r="J30" s="167">
        <v>187095</v>
      </c>
      <c r="K30" s="164">
        <v>233778.06150072149</v>
      </c>
      <c r="L30" s="164">
        <v>285407.80605098605</v>
      </c>
      <c r="M30" s="164">
        <v>320575.55874939874</v>
      </c>
      <c r="N30" s="164">
        <v>325028.85047619045</v>
      </c>
      <c r="O30" s="164">
        <v>326373.70593554591</v>
      </c>
      <c r="P30" s="164">
        <v>317045.9687542087</v>
      </c>
      <c r="Q30" s="164">
        <v>309831.48255892249</v>
      </c>
      <c r="R30" s="164">
        <v>296866.09097643092</v>
      </c>
      <c r="S30" s="164">
        <v>279421.48126022122</v>
      </c>
      <c r="T30" s="164">
        <v>258469.3406637806</v>
      </c>
    </row>
    <row r="31" spans="1:22" x14ac:dyDescent="0.4">
      <c r="F31" s="82"/>
      <c r="G31" s="82"/>
      <c r="H31" s="82"/>
      <c r="I31" s="82"/>
      <c r="J31" s="82"/>
      <c r="K31" s="82"/>
      <c r="L31" s="82"/>
      <c r="M31" s="82"/>
      <c r="N31" s="82"/>
      <c r="O31" s="82"/>
      <c r="P31" s="82"/>
      <c r="Q31" s="82"/>
      <c r="R31" s="82"/>
      <c r="S31" s="82"/>
      <c r="T31" s="82"/>
    </row>
    <row r="32" spans="1:22" x14ac:dyDescent="0.4">
      <c r="F32" s="82"/>
      <c r="G32" s="82"/>
      <c r="H32" s="82"/>
      <c r="I32" s="82"/>
      <c r="J32" s="82"/>
      <c r="K32" s="82"/>
      <c r="L32" s="82"/>
      <c r="M32" s="82"/>
      <c r="N32" s="82"/>
      <c r="O32" s="82"/>
      <c r="P32" s="82"/>
      <c r="Q32" s="82"/>
      <c r="R32" s="82"/>
      <c r="S32" s="82"/>
      <c r="T32" s="82"/>
    </row>
    <row r="33" spans="6:20" x14ac:dyDescent="0.4">
      <c r="F33" s="82"/>
      <c r="G33" s="82"/>
      <c r="H33" s="82"/>
      <c r="I33" s="82"/>
      <c r="J33" s="82"/>
      <c r="K33" s="82"/>
      <c r="L33" s="82"/>
      <c r="M33" s="82"/>
      <c r="N33" s="82"/>
      <c r="O33" s="82"/>
      <c r="P33" s="82"/>
      <c r="Q33" s="82"/>
      <c r="R33" s="82"/>
      <c r="S33" s="82"/>
      <c r="T33" s="82"/>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842</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4">
      <c r="B10" s="14" t="s">
        <v>846</v>
      </c>
      <c r="G10" s="82"/>
      <c r="H10" s="82"/>
      <c r="I10" s="82"/>
      <c r="J10" s="90"/>
      <c r="K10" s="82"/>
      <c r="L10" s="82"/>
      <c r="M10" s="82"/>
      <c r="N10" s="82"/>
      <c r="O10" s="82"/>
      <c r="P10" s="82"/>
      <c r="Q10" s="82"/>
      <c r="R10" s="82"/>
      <c r="S10" s="82"/>
      <c r="T10" s="82"/>
    </row>
    <row r="11" spans="1:23" x14ac:dyDescent="0.4">
      <c r="C11" s="1" t="s">
        <v>843</v>
      </c>
      <c r="F11" s="82"/>
      <c r="G11" s="82">
        <v>161</v>
      </c>
      <c r="H11" s="82">
        <v>201957</v>
      </c>
      <c r="I11" s="82">
        <v>313207</v>
      </c>
      <c r="J11" s="90">
        <v>185914</v>
      </c>
      <c r="K11" s="163">
        <v>185914</v>
      </c>
      <c r="L11" s="163">
        <v>185914</v>
      </c>
      <c r="M11" s="163">
        <v>185914</v>
      </c>
      <c r="N11" s="163">
        <v>185914</v>
      </c>
      <c r="O11" s="163">
        <v>185914</v>
      </c>
      <c r="P11" s="163">
        <v>185914</v>
      </c>
      <c r="Q11" s="163">
        <v>185914</v>
      </c>
      <c r="R11" s="163">
        <v>185914</v>
      </c>
      <c r="S11" s="163">
        <v>185914</v>
      </c>
      <c r="T11" s="163">
        <v>185914</v>
      </c>
    </row>
    <row r="12" spans="1:23" x14ac:dyDescent="0.4">
      <c r="C12" s="1" t="s">
        <v>845</v>
      </c>
      <c r="F12" s="82"/>
      <c r="G12" s="82">
        <v>0</v>
      </c>
      <c r="H12" s="82">
        <v>0</v>
      </c>
      <c r="I12" s="82">
        <v>0</v>
      </c>
      <c r="J12" s="90">
        <v>0</v>
      </c>
      <c r="K12" s="163">
        <v>0</v>
      </c>
      <c r="L12" s="163">
        <v>0</v>
      </c>
      <c r="M12" s="163">
        <v>0</v>
      </c>
      <c r="N12" s="163">
        <v>0</v>
      </c>
      <c r="O12" s="163">
        <v>0</v>
      </c>
      <c r="P12" s="163">
        <v>0</v>
      </c>
      <c r="Q12" s="163">
        <v>0</v>
      </c>
      <c r="R12" s="163">
        <v>0</v>
      </c>
      <c r="S12" s="163">
        <v>0</v>
      </c>
      <c r="T12" s="163">
        <v>0</v>
      </c>
      <c r="U12" s="589" t="s">
        <v>852</v>
      </c>
    </row>
    <row r="13" spans="1:23" x14ac:dyDescent="0.4">
      <c r="C13" s="93" t="s">
        <v>275</v>
      </c>
      <c r="D13" s="93"/>
      <c r="E13" s="93"/>
      <c r="F13" s="171"/>
      <c r="G13" s="171">
        <v>4752</v>
      </c>
      <c r="H13" s="171">
        <v>5615</v>
      </c>
      <c r="I13" s="171">
        <v>4779</v>
      </c>
      <c r="J13" s="172">
        <v>4398</v>
      </c>
      <c r="K13" s="173">
        <v>3898</v>
      </c>
      <c r="L13" s="173">
        <v>3398</v>
      </c>
      <c r="M13" s="173">
        <v>2898</v>
      </c>
      <c r="N13" s="173">
        <v>2398</v>
      </c>
      <c r="O13" s="173">
        <v>1898</v>
      </c>
      <c r="P13" s="173">
        <v>1398</v>
      </c>
      <c r="Q13" s="173">
        <v>898</v>
      </c>
      <c r="R13" s="173">
        <v>398</v>
      </c>
      <c r="S13" s="173">
        <v>-102</v>
      </c>
      <c r="T13" s="173">
        <v>-602</v>
      </c>
      <c r="U13" s="590">
        <v>-500</v>
      </c>
    </row>
    <row r="14" spans="1:23" x14ac:dyDescent="0.4">
      <c r="D14" s="1" t="s">
        <v>853</v>
      </c>
      <c r="F14" s="162"/>
      <c r="G14" s="162">
        <v>4913</v>
      </c>
      <c r="H14" s="162">
        <v>207572</v>
      </c>
      <c r="I14" s="162">
        <v>317986</v>
      </c>
      <c r="J14" s="169">
        <v>190312</v>
      </c>
      <c r="K14" s="162">
        <v>189812</v>
      </c>
      <c r="L14" s="162">
        <v>189312</v>
      </c>
      <c r="M14" s="162">
        <v>188812</v>
      </c>
      <c r="N14" s="162">
        <v>188312</v>
      </c>
      <c r="O14" s="162">
        <v>187812</v>
      </c>
      <c r="P14" s="162">
        <v>187312</v>
      </c>
      <c r="Q14" s="162">
        <v>186812</v>
      </c>
      <c r="R14" s="162">
        <v>186312</v>
      </c>
      <c r="S14" s="162">
        <v>185812</v>
      </c>
      <c r="T14" s="162">
        <v>185312</v>
      </c>
    </row>
    <row r="15" spans="1:23" s="2" customFormat="1" x14ac:dyDescent="0.4">
      <c r="F15" s="164"/>
      <c r="G15" s="164"/>
      <c r="H15" s="164"/>
      <c r="I15" s="164"/>
      <c r="J15" s="174"/>
      <c r="K15" s="164"/>
      <c r="L15" s="164"/>
      <c r="M15" s="164"/>
      <c r="N15" s="164"/>
      <c r="O15" s="164"/>
      <c r="P15" s="164"/>
      <c r="Q15" s="164"/>
      <c r="R15" s="164"/>
      <c r="S15" s="164"/>
      <c r="T15" s="164"/>
    </row>
    <row r="16" spans="1:23" x14ac:dyDescent="0.4">
      <c r="D16" s="1" t="s">
        <v>849</v>
      </c>
      <c r="F16" s="82"/>
      <c r="G16" s="162"/>
      <c r="H16" s="162">
        <v>-202659</v>
      </c>
      <c r="I16" s="162">
        <v>-110414</v>
      </c>
      <c r="J16" s="169">
        <v>127674</v>
      </c>
      <c r="K16" s="162">
        <v>500</v>
      </c>
      <c r="L16" s="162">
        <v>500</v>
      </c>
      <c r="M16" s="162">
        <v>500</v>
      </c>
      <c r="N16" s="162">
        <v>500</v>
      </c>
      <c r="O16" s="162">
        <v>500</v>
      </c>
      <c r="P16" s="162">
        <v>500</v>
      </c>
      <c r="Q16" s="162">
        <v>500</v>
      </c>
      <c r="R16" s="162">
        <v>500</v>
      </c>
      <c r="S16" s="162">
        <v>500</v>
      </c>
      <c r="T16" s="162">
        <v>500</v>
      </c>
    </row>
    <row r="17" spans="1:21" x14ac:dyDescent="0.4">
      <c r="F17" s="82"/>
      <c r="G17" s="82"/>
      <c r="H17" s="82"/>
      <c r="I17" s="82"/>
      <c r="J17" s="90"/>
      <c r="K17" s="82"/>
      <c r="L17" s="82"/>
      <c r="M17" s="82"/>
      <c r="N17" s="82"/>
      <c r="O17" s="82"/>
      <c r="P17" s="82"/>
      <c r="Q17" s="82"/>
      <c r="R17" s="82"/>
      <c r="S17" s="82"/>
      <c r="T17" s="82"/>
    </row>
    <row r="18" spans="1:21" x14ac:dyDescent="0.4">
      <c r="B18" s="14" t="s">
        <v>847</v>
      </c>
      <c r="F18" s="82"/>
      <c r="G18" s="82"/>
      <c r="H18" s="82"/>
      <c r="I18" s="82"/>
      <c r="J18" s="90"/>
      <c r="K18" s="82"/>
      <c r="L18" s="82"/>
      <c r="M18" s="82"/>
      <c r="N18" s="82"/>
      <c r="O18" s="82"/>
      <c r="P18" s="82"/>
      <c r="Q18" s="82"/>
      <c r="R18" s="82"/>
      <c r="S18" s="82"/>
      <c r="T18" s="82"/>
      <c r="U18" s="176" t="s">
        <v>852</v>
      </c>
    </row>
    <row r="19" spans="1:21" x14ac:dyDescent="0.4">
      <c r="C19" s="1" t="s">
        <v>844</v>
      </c>
      <c r="F19" s="82"/>
      <c r="G19" s="82">
        <v>4019</v>
      </c>
      <c r="H19" s="82">
        <v>175283</v>
      </c>
      <c r="I19" s="82">
        <v>272011</v>
      </c>
      <c r="J19" s="90">
        <v>160989</v>
      </c>
      <c r="K19" s="163">
        <v>159989</v>
      </c>
      <c r="L19" s="163">
        <v>158989</v>
      </c>
      <c r="M19" s="163">
        <v>157989</v>
      </c>
      <c r="N19" s="163">
        <v>156989</v>
      </c>
      <c r="O19" s="163">
        <v>155989</v>
      </c>
      <c r="P19" s="163">
        <v>154989</v>
      </c>
      <c r="Q19" s="163">
        <v>153989</v>
      </c>
      <c r="R19" s="163">
        <v>152989</v>
      </c>
      <c r="S19" s="163">
        <v>151989</v>
      </c>
      <c r="T19" s="163">
        <v>150989</v>
      </c>
      <c r="U19" s="175">
        <v>-1000</v>
      </c>
    </row>
    <row r="20" spans="1:21" x14ac:dyDescent="0.4">
      <c r="F20" s="82"/>
      <c r="G20" s="82"/>
      <c r="H20" s="82"/>
      <c r="I20" s="82"/>
      <c r="J20" s="90"/>
      <c r="K20" s="82"/>
      <c r="L20" s="82"/>
      <c r="M20" s="82"/>
      <c r="N20" s="82"/>
      <c r="O20" s="82"/>
      <c r="P20" s="82"/>
      <c r="Q20" s="82"/>
      <c r="R20" s="82"/>
      <c r="S20" s="82"/>
      <c r="T20" s="82"/>
    </row>
    <row r="21" spans="1:21" x14ac:dyDescent="0.4">
      <c r="D21" s="1" t="s">
        <v>850</v>
      </c>
      <c r="F21" s="82"/>
      <c r="G21" s="162"/>
      <c r="H21" s="162">
        <v>171264</v>
      </c>
      <c r="I21" s="162">
        <v>96728</v>
      </c>
      <c r="J21" s="169">
        <v>-111022</v>
      </c>
      <c r="K21" s="162">
        <v>-1000</v>
      </c>
      <c r="L21" s="162">
        <v>-1000</v>
      </c>
      <c r="M21" s="162">
        <v>-1000</v>
      </c>
      <c r="N21" s="162">
        <v>-1000</v>
      </c>
      <c r="O21" s="162">
        <v>-1000</v>
      </c>
      <c r="P21" s="162">
        <v>-1000</v>
      </c>
      <c r="Q21" s="162">
        <v>-1000</v>
      </c>
      <c r="R21" s="162">
        <v>-1000</v>
      </c>
      <c r="S21" s="162">
        <v>-1000</v>
      </c>
      <c r="T21" s="162">
        <v>-1000</v>
      </c>
    </row>
    <row r="22" spans="1:21" x14ac:dyDescent="0.4">
      <c r="F22" s="82"/>
      <c r="G22" s="82"/>
      <c r="H22" s="82"/>
      <c r="I22" s="82"/>
      <c r="J22" s="90"/>
      <c r="K22" s="82"/>
      <c r="L22" s="82"/>
      <c r="M22" s="82"/>
      <c r="N22" s="82"/>
      <c r="O22" s="82"/>
      <c r="P22" s="82"/>
      <c r="Q22" s="82"/>
      <c r="R22" s="82"/>
      <c r="S22" s="82"/>
      <c r="T22" s="82"/>
    </row>
    <row r="23" spans="1:21" s="2" customFormat="1" x14ac:dyDescent="0.4">
      <c r="A23" s="2" t="s">
        <v>274</v>
      </c>
      <c r="B23" s="2" t="s">
        <v>851</v>
      </c>
      <c r="F23" s="161"/>
      <c r="G23" s="164"/>
      <c r="H23" s="164">
        <v>-31395</v>
      </c>
      <c r="I23" s="164">
        <v>-13686</v>
      </c>
      <c r="J23" s="174">
        <v>16652</v>
      </c>
      <c r="K23" s="164">
        <v>-500</v>
      </c>
      <c r="L23" s="164">
        <v>-500</v>
      </c>
      <c r="M23" s="164">
        <v>-500</v>
      </c>
      <c r="N23" s="164">
        <v>-500</v>
      </c>
      <c r="O23" s="164">
        <v>-500</v>
      </c>
      <c r="P23" s="164">
        <v>-500</v>
      </c>
      <c r="Q23" s="164">
        <v>-500</v>
      </c>
      <c r="R23" s="164">
        <v>-500</v>
      </c>
      <c r="S23" s="164">
        <v>-500</v>
      </c>
      <c r="T23" s="164">
        <v>-500</v>
      </c>
    </row>
    <row r="24" spans="1:21" x14ac:dyDescent="0.4">
      <c r="F24" s="82"/>
      <c r="G24" s="82"/>
      <c r="H24" s="82"/>
      <c r="I24" s="82"/>
      <c r="J24" s="82"/>
      <c r="K24" s="82"/>
      <c r="L24" s="82"/>
      <c r="M24" s="82"/>
      <c r="N24" s="82"/>
      <c r="O24" s="82"/>
      <c r="P24" s="82"/>
      <c r="Q24" s="82"/>
      <c r="R24" s="82"/>
      <c r="S24" s="82"/>
      <c r="T24" s="82"/>
    </row>
    <row r="25" spans="1:21" x14ac:dyDescent="0.4">
      <c r="J25" s="72"/>
      <c r="K25" s="72"/>
    </row>
  </sheetData>
  <phoneticPr fontId="1" type="noConversion"/>
  <pageMargins left="0.7" right="0.7" top="0.75" bottom="0.75" header="0.3" footer="0.3"/>
  <pageSetup paperSize="9" orientation="portrait" horizontalDpi="4294967292"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5"/>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854</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25">
      <c r="A10" s="1" t="s">
        <v>274</v>
      </c>
      <c r="B10" s="62" t="s">
        <v>855</v>
      </c>
      <c r="C10" s="62"/>
      <c r="F10" s="82"/>
      <c r="G10" s="82"/>
      <c r="H10" s="82"/>
      <c r="I10" s="82"/>
      <c r="J10" s="90"/>
      <c r="K10" s="160">
        <v>224479</v>
      </c>
      <c r="L10" s="160">
        <v>256106.40317474864</v>
      </c>
      <c r="M10" s="160">
        <v>290713.31241048686</v>
      </c>
      <c r="N10" s="160">
        <v>331441.29167177546</v>
      </c>
      <c r="O10" s="160">
        <v>390409.58563668322</v>
      </c>
      <c r="P10" s="160">
        <v>461813.32830195816</v>
      </c>
      <c r="Q10" s="160">
        <v>545371.43248375994</v>
      </c>
      <c r="R10" s="160">
        <v>635286.12278043979</v>
      </c>
      <c r="S10" s="160">
        <v>736311.81713381177</v>
      </c>
      <c r="T10" s="160">
        <v>847310.34877364989</v>
      </c>
    </row>
    <row r="11" spans="1:23" x14ac:dyDescent="0.25">
      <c r="B11" s="62"/>
      <c r="C11" s="62" t="s">
        <v>53</v>
      </c>
      <c r="F11" s="82"/>
      <c r="G11" s="82"/>
      <c r="H11" s="82"/>
      <c r="I11" s="82"/>
      <c r="J11" s="90"/>
      <c r="K11" s="82">
        <v>25804.403174748637</v>
      </c>
      <c r="L11" s="82">
        <v>28783.909235738189</v>
      </c>
      <c r="M11" s="82">
        <v>37041.260162330182</v>
      </c>
      <c r="N11" s="82">
        <v>56350.41177585574</v>
      </c>
      <c r="O11" s="82">
        <v>69477.299141722498</v>
      </c>
      <c r="P11" s="82">
        <v>82284.588681332476</v>
      </c>
      <c r="Q11" s="82">
        <v>93904.272817689125</v>
      </c>
      <c r="R11" s="82">
        <v>106217.65205501726</v>
      </c>
      <c r="S11" s="82">
        <v>117240.53765672937</v>
      </c>
      <c r="T11" s="82">
        <v>126812.90058221566</v>
      </c>
    </row>
    <row r="12" spans="1:23" x14ac:dyDescent="0.25">
      <c r="B12" s="62"/>
      <c r="C12" s="62" t="s">
        <v>176</v>
      </c>
      <c r="F12" s="82"/>
      <c r="G12" s="82">
        <v>165</v>
      </c>
      <c r="H12" s="82">
        <v>16681</v>
      </c>
      <c r="I12" s="82">
        <v>5354</v>
      </c>
      <c r="J12" s="90">
        <v>5623</v>
      </c>
      <c r="K12" s="82">
        <v>5623</v>
      </c>
      <c r="L12" s="82">
        <v>5623</v>
      </c>
      <c r="M12" s="82">
        <v>5623</v>
      </c>
      <c r="N12" s="82">
        <v>5623</v>
      </c>
      <c r="O12" s="82">
        <v>5623</v>
      </c>
      <c r="P12" s="82">
        <v>5623</v>
      </c>
      <c r="Q12" s="82">
        <v>5623</v>
      </c>
      <c r="R12" s="82">
        <v>5623</v>
      </c>
      <c r="S12" s="82">
        <v>5623</v>
      </c>
      <c r="T12" s="82">
        <v>5623</v>
      </c>
    </row>
    <row r="13" spans="1:23" x14ac:dyDescent="0.25">
      <c r="B13" s="62"/>
      <c r="C13" s="62" t="s">
        <v>179</v>
      </c>
      <c r="F13" s="82"/>
      <c r="G13" s="82"/>
      <c r="H13" s="82"/>
      <c r="I13" s="82"/>
      <c r="J13" s="90"/>
      <c r="K13" s="160">
        <v>0</v>
      </c>
      <c r="L13" s="160">
        <v>0</v>
      </c>
      <c r="M13" s="160">
        <v>-284.21789292508981</v>
      </c>
      <c r="N13" s="160">
        <v>-387.59722215520418</v>
      </c>
      <c r="O13" s="160">
        <v>-422.69151936148256</v>
      </c>
      <c r="P13" s="160">
        <v>-435.25506546403278</v>
      </c>
      <c r="Q13" s="160">
        <v>-422.15523924040258</v>
      </c>
      <c r="R13" s="160">
        <v>-393.19249614365702</v>
      </c>
      <c r="S13" s="160">
        <v>-340.95225121825149</v>
      </c>
      <c r="T13" s="160">
        <v>-268.1754969809457</v>
      </c>
    </row>
    <row r="14" spans="1:23" x14ac:dyDescent="0.25">
      <c r="B14" s="62"/>
      <c r="C14" s="62" t="s">
        <v>856</v>
      </c>
      <c r="F14" s="82"/>
      <c r="G14" s="82"/>
      <c r="H14" s="82"/>
      <c r="I14" s="82"/>
      <c r="J14" s="90"/>
      <c r="K14" s="160">
        <v>0</v>
      </c>
      <c r="L14" s="160">
        <v>0</v>
      </c>
      <c r="M14" s="160">
        <v>-1852.0630081165091</v>
      </c>
      <c r="N14" s="160">
        <v>-2817.5205887927873</v>
      </c>
      <c r="O14" s="160">
        <v>-3473.8649570861253</v>
      </c>
      <c r="P14" s="160">
        <v>-4114.229434066624</v>
      </c>
      <c r="Q14" s="160">
        <v>-9390.4272817689125</v>
      </c>
      <c r="R14" s="160">
        <v>-10621.765205501726</v>
      </c>
      <c r="S14" s="160">
        <v>-11724.053765672938</v>
      </c>
      <c r="T14" s="160">
        <v>-12681.290058221566</v>
      </c>
    </row>
    <row r="15" spans="1:23" x14ac:dyDescent="0.25">
      <c r="B15" s="62"/>
      <c r="C15" s="62" t="s">
        <v>857</v>
      </c>
      <c r="F15" s="82"/>
      <c r="G15" s="82"/>
      <c r="H15" s="82"/>
      <c r="I15" s="82"/>
      <c r="J15" s="90"/>
      <c r="K15" s="160">
        <v>200</v>
      </c>
      <c r="L15" s="160">
        <v>200</v>
      </c>
      <c r="M15" s="160">
        <v>200</v>
      </c>
      <c r="N15" s="160">
        <v>200</v>
      </c>
      <c r="O15" s="160">
        <v>200</v>
      </c>
      <c r="P15" s="160">
        <v>200</v>
      </c>
      <c r="Q15" s="160">
        <v>200</v>
      </c>
      <c r="R15" s="160">
        <v>200</v>
      </c>
      <c r="S15" s="160">
        <v>200</v>
      </c>
      <c r="T15" s="160">
        <v>200</v>
      </c>
    </row>
    <row r="16" spans="1:23" x14ac:dyDescent="0.25">
      <c r="B16" s="190"/>
      <c r="C16" s="93" t="s">
        <v>929</v>
      </c>
      <c r="D16" s="93"/>
      <c r="E16" s="93"/>
      <c r="F16" s="171"/>
      <c r="G16" s="171"/>
      <c r="H16" s="171"/>
      <c r="I16" s="171"/>
      <c r="J16" s="172"/>
      <c r="K16" s="171">
        <v>0</v>
      </c>
      <c r="L16" s="171">
        <v>0</v>
      </c>
      <c r="M16" s="171">
        <v>0</v>
      </c>
      <c r="N16" s="171">
        <v>0</v>
      </c>
      <c r="O16" s="171">
        <v>0</v>
      </c>
      <c r="P16" s="171">
        <v>0</v>
      </c>
      <c r="Q16" s="171">
        <v>0</v>
      </c>
      <c r="R16" s="171">
        <v>0</v>
      </c>
      <c r="S16" s="171">
        <v>0</v>
      </c>
      <c r="T16" s="171">
        <v>0</v>
      </c>
    </row>
    <row r="17" spans="1:21" s="2" customFormat="1" x14ac:dyDescent="0.25">
      <c r="A17" s="1" t="s">
        <v>274</v>
      </c>
      <c r="B17" s="84" t="s">
        <v>858</v>
      </c>
      <c r="C17" s="84"/>
      <c r="F17" s="161"/>
      <c r="G17" s="161">
        <v>12600</v>
      </c>
      <c r="H17" s="161">
        <v>157019</v>
      </c>
      <c r="I17" s="161">
        <v>201353</v>
      </c>
      <c r="J17" s="167">
        <v>224479</v>
      </c>
      <c r="K17" s="164">
        <v>256106.40317474864</v>
      </c>
      <c r="L17" s="164">
        <v>290713.31241048686</v>
      </c>
      <c r="M17" s="164">
        <v>331441.29167177546</v>
      </c>
      <c r="N17" s="164">
        <v>390409.58563668322</v>
      </c>
      <c r="O17" s="164">
        <v>461813.32830195816</v>
      </c>
      <c r="P17" s="164">
        <v>545371.43248375994</v>
      </c>
      <c r="Q17" s="164">
        <v>635286.12278043979</v>
      </c>
      <c r="R17" s="164">
        <v>736311.81713381177</v>
      </c>
      <c r="S17" s="164">
        <v>847310.34877364989</v>
      </c>
      <c r="T17" s="164">
        <v>966996.78380066308</v>
      </c>
    </row>
    <row r="18" spans="1:21" x14ac:dyDescent="0.25">
      <c r="B18" s="62"/>
      <c r="C18" s="62"/>
      <c r="F18" s="82"/>
      <c r="G18" s="82"/>
      <c r="H18" s="82"/>
      <c r="I18" s="82"/>
      <c r="J18" s="90"/>
      <c r="K18" s="82"/>
      <c r="L18" s="82"/>
      <c r="M18" s="82"/>
      <c r="N18" s="82"/>
      <c r="O18" s="82"/>
      <c r="P18" s="82"/>
      <c r="Q18" s="82"/>
      <c r="R18" s="82"/>
      <c r="S18" s="82"/>
      <c r="T18" s="82"/>
    </row>
    <row r="19" spans="1:21" x14ac:dyDescent="0.25">
      <c r="A19" s="1" t="s">
        <v>274</v>
      </c>
      <c r="B19" s="83" t="s">
        <v>859</v>
      </c>
      <c r="C19" s="62"/>
      <c r="F19" s="82"/>
      <c r="G19" s="82"/>
      <c r="H19" s="82"/>
      <c r="I19" s="82"/>
      <c r="J19" s="90"/>
      <c r="K19" s="82"/>
      <c r="L19" s="82"/>
      <c r="M19" s="82"/>
      <c r="N19" s="82"/>
      <c r="O19" s="82"/>
      <c r="P19" s="82"/>
      <c r="Q19" s="82"/>
      <c r="R19" s="82"/>
      <c r="S19" s="82"/>
      <c r="T19" s="82"/>
    </row>
    <row r="20" spans="1:21" x14ac:dyDescent="0.25">
      <c r="B20" s="62"/>
      <c r="C20" s="62" t="s">
        <v>860</v>
      </c>
      <c r="F20" s="82"/>
      <c r="G20" s="82"/>
      <c r="H20" s="180">
        <v>0.14888327298810872</v>
      </c>
      <c r="I20" s="180">
        <v>0.86949048352363434</v>
      </c>
      <c r="J20" s="185">
        <v>0.3280874183829921</v>
      </c>
      <c r="K20" s="180">
        <v>0.68306592279785017</v>
      </c>
      <c r="L20" s="180">
        <v>0.76173450871449266</v>
      </c>
      <c r="M20" s="180">
        <v>0.980061699741689</v>
      </c>
      <c r="N20" s="180">
        <v>1.4907585467507853</v>
      </c>
      <c r="O20" s="180">
        <v>1.8377892146151416</v>
      </c>
      <c r="P20" s="180">
        <v>2.1762753273201638</v>
      </c>
      <c r="Q20" s="180">
        <v>2.4832661131788387</v>
      </c>
      <c r="R20" s="180">
        <v>2.8085178295975504</v>
      </c>
      <c r="S20" s="180">
        <v>3.0995659201659231</v>
      </c>
      <c r="T20" s="180">
        <v>3.3521937122618208</v>
      </c>
      <c r="U20" s="176" t="s">
        <v>852</v>
      </c>
    </row>
    <row r="21" spans="1:21" x14ac:dyDescent="0.25">
      <c r="B21" s="62"/>
      <c r="C21" s="62" t="s">
        <v>861</v>
      </c>
      <c r="F21" s="82"/>
      <c r="G21" s="82"/>
      <c r="H21" s="181">
        <v>240.25533078425102</v>
      </c>
      <c r="I21" s="181">
        <v>35.825578991691501</v>
      </c>
      <c r="J21" s="186">
        <v>118.87075765420983</v>
      </c>
      <c r="K21" s="179">
        <v>70</v>
      </c>
      <c r="L21" s="179">
        <v>64</v>
      </c>
      <c r="M21" s="179">
        <v>58</v>
      </c>
      <c r="N21" s="179">
        <v>52</v>
      </c>
      <c r="O21" s="179">
        <v>46</v>
      </c>
      <c r="P21" s="179">
        <v>40</v>
      </c>
      <c r="Q21" s="179">
        <v>34</v>
      </c>
      <c r="R21" s="179">
        <v>28</v>
      </c>
      <c r="S21" s="179">
        <v>22</v>
      </c>
      <c r="T21" s="179">
        <v>16</v>
      </c>
      <c r="U21" s="189">
        <v>-6</v>
      </c>
    </row>
    <row r="22" spans="1:21" x14ac:dyDescent="0.25">
      <c r="B22" s="62"/>
      <c r="C22" s="62" t="s">
        <v>862</v>
      </c>
      <c r="F22" s="82"/>
      <c r="G22" s="82"/>
      <c r="H22" s="180">
        <v>35.770000000000003</v>
      </c>
      <c r="I22" s="180">
        <v>31.15</v>
      </c>
      <c r="J22" s="185">
        <v>39</v>
      </c>
      <c r="K22" s="182">
        <v>47.814614595849513</v>
      </c>
      <c r="L22" s="182">
        <v>48.751008557727531</v>
      </c>
      <c r="M22" s="182">
        <v>56.843578585017958</v>
      </c>
      <c r="N22" s="182">
        <v>77.519444431040839</v>
      </c>
      <c r="O22" s="182">
        <v>84.53830387229651</v>
      </c>
      <c r="P22" s="182">
        <v>87.051013092806556</v>
      </c>
      <c r="Q22" s="182">
        <v>84.43104784808051</v>
      </c>
      <c r="R22" s="182">
        <v>78.638499228731405</v>
      </c>
      <c r="S22" s="182">
        <v>68.190450243650304</v>
      </c>
      <c r="T22" s="182">
        <v>53.635099396189133</v>
      </c>
    </row>
    <row r="23" spans="1:21" s="15" customFormat="1" x14ac:dyDescent="0.25">
      <c r="B23" s="292"/>
      <c r="C23" s="591" t="s">
        <v>874</v>
      </c>
      <c r="D23" s="592"/>
      <c r="E23" s="592"/>
      <c r="F23" s="171"/>
      <c r="G23" s="171"/>
      <c r="H23" s="171"/>
      <c r="I23" s="171"/>
      <c r="J23" s="172"/>
      <c r="K23" s="593">
        <v>0</v>
      </c>
      <c r="L23" s="593">
        <v>0</v>
      </c>
      <c r="M23" s="593">
        <v>5</v>
      </c>
      <c r="N23" s="593">
        <v>5</v>
      </c>
      <c r="O23" s="593">
        <v>5</v>
      </c>
      <c r="P23" s="593">
        <v>5</v>
      </c>
      <c r="Q23" s="593">
        <v>5</v>
      </c>
      <c r="R23" s="593">
        <v>5</v>
      </c>
      <c r="S23" s="593">
        <v>5</v>
      </c>
      <c r="T23" s="593">
        <v>5</v>
      </c>
    </row>
    <row r="24" spans="1:21" x14ac:dyDescent="0.25">
      <c r="B24" s="62"/>
      <c r="C24" s="62" t="s">
        <v>863</v>
      </c>
      <c r="F24" s="82"/>
      <c r="G24" s="82"/>
      <c r="H24" s="82"/>
      <c r="I24" s="82"/>
      <c r="J24" s="90"/>
      <c r="K24" s="162">
        <v>0</v>
      </c>
      <c r="L24" s="162">
        <v>0</v>
      </c>
      <c r="M24" s="162">
        <v>284.21789292508981</v>
      </c>
      <c r="N24" s="162">
        <v>387.59722215520418</v>
      </c>
      <c r="O24" s="162">
        <v>422.69151936148256</v>
      </c>
      <c r="P24" s="162">
        <v>435.25506546403278</v>
      </c>
      <c r="Q24" s="162">
        <v>422.15523924040258</v>
      </c>
      <c r="R24" s="162">
        <v>393.19249614365702</v>
      </c>
      <c r="S24" s="162">
        <v>340.95225121825149</v>
      </c>
      <c r="T24" s="162">
        <v>268.1754969809457</v>
      </c>
    </row>
    <row r="25" spans="1:21" x14ac:dyDescent="0.25">
      <c r="B25" s="62"/>
      <c r="C25" s="62"/>
      <c r="F25" s="82"/>
      <c r="G25" s="82"/>
      <c r="H25" s="82"/>
      <c r="I25" s="82"/>
      <c r="J25" s="90"/>
      <c r="K25" s="82"/>
      <c r="L25" s="82"/>
      <c r="M25" s="82"/>
      <c r="N25" s="82"/>
      <c r="O25" s="82"/>
      <c r="P25" s="82"/>
      <c r="Q25" s="82"/>
      <c r="R25" s="82"/>
      <c r="S25" s="82"/>
      <c r="T25" s="82"/>
    </row>
    <row r="26" spans="1:21" x14ac:dyDescent="0.25">
      <c r="A26" s="1" t="s">
        <v>274</v>
      </c>
      <c r="B26" s="83" t="s">
        <v>866</v>
      </c>
      <c r="C26" s="62"/>
      <c r="F26" s="82"/>
      <c r="G26" s="82"/>
      <c r="H26" s="82"/>
      <c r="I26" s="82"/>
      <c r="J26" s="90"/>
      <c r="K26" s="82"/>
      <c r="L26" s="82"/>
      <c r="M26" s="82"/>
      <c r="N26" s="82"/>
      <c r="O26" s="82"/>
      <c r="P26" s="82"/>
      <c r="Q26" s="82"/>
      <c r="R26" s="82"/>
      <c r="S26" s="82"/>
      <c r="T26" s="82"/>
    </row>
    <row r="27" spans="1:21" x14ac:dyDescent="0.25">
      <c r="B27" s="62"/>
      <c r="C27" s="62" t="s">
        <v>867</v>
      </c>
      <c r="F27" s="163"/>
      <c r="G27" s="163">
        <v>0</v>
      </c>
      <c r="H27" s="163">
        <v>0</v>
      </c>
      <c r="I27" s="163">
        <v>0</v>
      </c>
      <c r="J27" s="187">
        <v>0</v>
      </c>
      <c r="K27" s="162">
        <v>0</v>
      </c>
      <c r="L27" s="162">
        <v>0</v>
      </c>
      <c r="M27" s="162">
        <v>1852.0630081165091</v>
      </c>
      <c r="N27" s="162">
        <v>2817.5205887927873</v>
      </c>
      <c r="O27" s="162">
        <v>3473.8649570861253</v>
      </c>
      <c r="P27" s="162">
        <v>4114.229434066624</v>
      </c>
      <c r="Q27" s="162">
        <v>9390.4272817689125</v>
      </c>
      <c r="R27" s="162">
        <v>10621.765205501726</v>
      </c>
      <c r="S27" s="162">
        <v>11724.053765672938</v>
      </c>
      <c r="T27" s="162">
        <v>12681.290058221566</v>
      </c>
    </row>
    <row r="28" spans="1:21" x14ac:dyDescent="0.25">
      <c r="B28" s="62"/>
      <c r="C28" s="62" t="s">
        <v>53</v>
      </c>
      <c r="F28" s="82"/>
      <c r="G28" s="82">
        <v>2118</v>
      </c>
      <c r="H28" s="82">
        <v>3124</v>
      </c>
      <c r="I28" s="82">
        <v>22146</v>
      </c>
      <c r="J28" s="90">
        <v>8884</v>
      </c>
      <c r="K28" s="82">
        <v>25804.403174748637</v>
      </c>
      <c r="L28" s="82">
        <v>28783.909235738189</v>
      </c>
      <c r="M28" s="82">
        <v>37041.260162330182</v>
      </c>
      <c r="N28" s="82">
        <v>56350.41177585574</v>
      </c>
      <c r="O28" s="82">
        <v>69477.299141722498</v>
      </c>
      <c r="P28" s="82">
        <v>82284.588681332476</v>
      </c>
      <c r="Q28" s="82">
        <v>93904.272817689125</v>
      </c>
      <c r="R28" s="82">
        <v>106217.65205501726</v>
      </c>
      <c r="S28" s="82">
        <v>117240.53765672937</v>
      </c>
      <c r="T28" s="82">
        <v>126812.90058221566</v>
      </c>
    </row>
    <row r="29" spans="1:21" x14ac:dyDescent="0.25">
      <c r="B29" s="62"/>
      <c r="C29" s="62" t="s">
        <v>868</v>
      </c>
      <c r="F29" s="184"/>
      <c r="G29" s="184">
        <v>0</v>
      </c>
      <c r="H29" s="184">
        <v>0</v>
      </c>
      <c r="I29" s="184">
        <v>0</v>
      </c>
      <c r="J29" s="188">
        <v>0</v>
      </c>
      <c r="K29" s="92">
        <v>0</v>
      </c>
      <c r="L29" s="92">
        <v>0</v>
      </c>
      <c r="M29" s="92">
        <v>0.05</v>
      </c>
      <c r="N29" s="92">
        <v>0.05</v>
      </c>
      <c r="O29" s="92">
        <v>0.05</v>
      </c>
      <c r="P29" s="92">
        <v>0.05</v>
      </c>
      <c r="Q29" s="92">
        <v>0.1</v>
      </c>
      <c r="R29" s="92">
        <v>0.1</v>
      </c>
      <c r="S29" s="92">
        <v>0.1</v>
      </c>
      <c r="T29" s="92">
        <v>0.1</v>
      </c>
    </row>
    <row r="30" spans="1:21" x14ac:dyDescent="0.4">
      <c r="F30" s="82"/>
      <c r="G30" s="82"/>
      <c r="H30" s="82"/>
      <c r="I30" s="82"/>
      <c r="J30" s="90"/>
      <c r="K30" s="82"/>
      <c r="L30" s="82"/>
      <c r="M30" s="82"/>
      <c r="N30" s="82"/>
      <c r="O30" s="82"/>
      <c r="P30" s="82"/>
      <c r="Q30" s="82"/>
      <c r="R30" s="82"/>
      <c r="S30" s="82"/>
      <c r="T30" s="82"/>
    </row>
    <row r="31" spans="1:21" x14ac:dyDescent="0.25">
      <c r="A31" s="1" t="s">
        <v>274</v>
      </c>
      <c r="B31" s="83" t="s">
        <v>864</v>
      </c>
      <c r="C31" s="62"/>
      <c r="F31" s="82"/>
      <c r="G31" s="82"/>
      <c r="H31" s="82"/>
      <c r="I31" s="82"/>
      <c r="J31" s="90"/>
      <c r="K31" s="82"/>
      <c r="L31" s="82"/>
      <c r="M31" s="82"/>
      <c r="N31" s="82"/>
      <c r="O31" s="82"/>
      <c r="P31" s="82"/>
      <c r="Q31" s="82"/>
      <c r="R31" s="82"/>
      <c r="S31" s="82"/>
      <c r="T31" s="82"/>
    </row>
    <row r="32" spans="1:21" s="15" customFormat="1" x14ac:dyDescent="0.25">
      <c r="B32" s="292"/>
      <c r="C32" s="292" t="s">
        <v>875</v>
      </c>
      <c r="F32" s="82"/>
      <c r="G32" s="82"/>
      <c r="H32" s="82"/>
      <c r="I32" s="82"/>
      <c r="J32" s="90"/>
      <c r="K32" s="91">
        <v>10</v>
      </c>
      <c r="L32" s="91">
        <v>10</v>
      </c>
      <c r="M32" s="91">
        <v>10</v>
      </c>
      <c r="N32" s="91">
        <v>10</v>
      </c>
      <c r="O32" s="91">
        <v>10</v>
      </c>
      <c r="P32" s="91">
        <v>10</v>
      </c>
      <c r="Q32" s="91">
        <v>10</v>
      </c>
      <c r="R32" s="91">
        <v>10</v>
      </c>
      <c r="S32" s="91">
        <v>10</v>
      </c>
      <c r="T32" s="91">
        <v>10</v>
      </c>
    </row>
    <row r="33" spans="1:20" x14ac:dyDescent="0.25">
      <c r="B33" s="62"/>
      <c r="C33" s="190" t="s">
        <v>865</v>
      </c>
      <c r="D33" s="93"/>
      <c r="E33" s="93"/>
      <c r="F33" s="171"/>
      <c r="G33" s="171"/>
      <c r="H33" s="171"/>
      <c r="I33" s="171"/>
      <c r="J33" s="172"/>
      <c r="K33" s="594">
        <v>20</v>
      </c>
      <c r="L33" s="594">
        <v>20</v>
      </c>
      <c r="M33" s="594">
        <v>20</v>
      </c>
      <c r="N33" s="594">
        <v>20</v>
      </c>
      <c r="O33" s="594">
        <v>20</v>
      </c>
      <c r="P33" s="594">
        <v>20</v>
      </c>
      <c r="Q33" s="594">
        <v>20</v>
      </c>
      <c r="R33" s="594">
        <v>20</v>
      </c>
      <c r="S33" s="594">
        <v>20</v>
      </c>
      <c r="T33" s="594">
        <v>20</v>
      </c>
    </row>
    <row r="34" spans="1:20" x14ac:dyDescent="0.25">
      <c r="B34" s="62"/>
      <c r="C34" s="62" t="s">
        <v>857</v>
      </c>
      <c r="F34" s="82"/>
      <c r="G34" s="82"/>
      <c r="H34" s="82"/>
      <c r="I34" s="82"/>
      <c r="J34" s="90"/>
      <c r="K34" s="162">
        <v>200</v>
      </c>
      <c r="L34" s="162">
        <v>200</v>
      </c>
      <c r="M34" s="162">
        <v>200</v>
      </c>
      <c r="N34" s="162">
        <v>200</v>
      </c>
      <c r="O34" s="162">
        <v>200</v>
      </c>
      <c r="P34" s="162">
        <v>200</v>
      </c>
      <c r="Q34" s="162">
        <v>200</v>
      </c>
      <c r="R34" s="162">
        <v>200</v>
      </c>
      <c r="S34" s="162">
        <v>200</v>
      </c>
      <c r="T34" s="162">
        <v>200</v>
      </c>
    </row>
    <row r="35" spans="1:20" x14ac:dyDescent="0.4">
      <c r="A35" s="1" t="s">
        <v>274</v>
      </c>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7"/>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883</v>
      </c>
      <c r="W3" s="61"/>
    </row>
    <row r="4" spans="1:23" s="62" customFormat="1" x14ac:dyDescent="0.25">
      <c r="A4" s="59"/>
      <c r="B4" s="64" t="s">
        <v>884</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x14ac:dyDescent="0.4">
      <c r="A10" s="1" t="s">
        <v>274</v>
      </c>
      <c r="B10" s="1" t="s">
        <v>876</v>
      </c>
      <c r="F10" s="82"/>
      <c r="G10" s="82"/>
      <c r="H10" s="82"/>
      <c r="I10" s="82"/>
      <c r="J10" s="90"/>
      <c r="K10" s="160">
        <v>27078.149000000001</v>
      </c>
      <c r="L10" s="160">
        <v>27088.149000000001</v>
      </c>
      <c r="M10" s="160">
        <v>27098.149000000001</v>
      </c>
      <c r="N10" s="160">
        <v>27103.149000000001</v>
      </c>
      <c r="O10" s="160">
        <v>27108.149000000001</v>
      </c>
      <c r="P10" s="160">
        <v>27113.149000000001</v>
      </c>
      <c r="Q10" s="160">
        <v>27118.149000000001</v>
      </c>
      <c r="R10" s="160">
        <v>27123.149000000001</v>
      </c>
      <c r="S10" s="160">
        <v>27128.149000000001</v>
      </c>
      <c r="T10" s="160">
        <v>27133.149000000001</v>
      </c>
      <c r="U10" s="82"/>
      <c r="V10" s="82"/>
      <c r="W10" s="82"/>
    </row>
    <row r="11" spans="1:23" x14ac:dyDescent="0.4">
      <c r="C11" s="1" t="s">
        <v>877</v>
      </c>
      <c r="F11" s="82"/>
      <c r="G11" s="82"/>
      <c r="H11" s="82"/>
      <c r="I11" s="82"/>
      <c r="J11" s="90"/>
      <c r="K11" s="82">
        <v>10</v>
      </c>
      <c r="L11" s="82">
        <v>10</v>
      </c>
      <c r="M11" s="82">
        <v>10</v>
      </c>
      <c r="N11" s="82">
        <v>10</v>
      </c>
      <c r="O11" s="82">
        <v>10</v>
      </c>
      <c r="P11" s="82">
        <v>10</v>
      </c>
      <c r="Q11" s="82">
        <v>10</v>
      </c>
      <c r="R11" s="82">
        <v>10</v>
      </c>
      <c r="S11" s="82">
        <v>10</v>
      </c>
      <c r="T11" s="82">
        <v>10</v>
      </c>
      <c r="U11" s="82"/>
      <c r="V11" s="82"/>
      <c r="W11" s="82"/>
    </row>
    <row r="12" spans="1:23" x14ac:dyDescent="0.4">
      <c r="B12" s="93"/>
      <c r="C12" s="93" t="s">
        <v>878</v>
      </c>
      <c r="D12" s="93"/>
      <c r="E12" s="93"/>
      <c r="F12" s="171"/>
      <c r="G12" s="171"/>
      <c r="H12" s="171"/>
      <c r="I12" s="171"/>
      <c r="J12" s="172"/>
      <c r="K12" s="171">
        <v>0</v>
      </c>
      <c r="L12" s="171">
        <v>0</v>
      </c>
      <c r="M12" s="171">
        <v>-5</v>
      </c>
      <c r="N12" s="171">
        <v>-5</v>
      </c>
      <c r="O12" s="171">
        <v>-5</v>
      </c>
      <c r="P12" s="171">
        <v>-5</v>
      </c>
      <c r="Q12" s="171">
        <v>-5</v>
      </c>
      <c r="R12" s="171">
        <v>-5</v>
      </c>
      <c r="S12" s="171">
        <v>-5</v>
      </c>
      <c r="T12" s="171">
        <v>-5</v>
      </c>
      <c r="U12" s="82"/>
      <c r="V12" s="82"/>
      <c r="W12" s="82"/>
    </row>
    <row r="13" spans="1:23" s="2" customFormat="1" x14ac:dyDescent="0.4">
      <c r="B13" s="2" t="s">
        <v>879</v>
      </c>
      <c r="F13" s="161"/>
      <c r="G13" s="161"/>
      <c r="H13" s="161"/>
      <c r="I13" s="161"/>
      <c r="J13" s="191">
        <v>27078.149000000001</v>
      </c>
      <c r="K13" s="164">
        <v>27088.149000000001</v>
      </c>
      <c r="L13" s="164">
        <v>27098.149000000001</v>
      </c>
      <c r="M13" s="164">
        <v>27103.149000000001</v>
      </c>
      <c r="N13" s="164">
        <v>27108.149000000001</v>
      </c>
      <c r="O13" s="164">
        <v>27113.149000000001</v>
      </c>
      <c r="P13" s="164">
        <v>27118.149000000001</v>
      </c>
      <c r="Q13" s="164">
        <v>27123.149000000001</v>
      </c>
      <c r="R13" s="164">
        <v>27128.149000000001</v>
      </c>
      <c r="S13" s="164">
        <v>27133.149000000001</v>
      </c>
      <c r="T13" s="164">
        <v>27138.149000000001</v>
      </c>
      <c r="U13" s="161"/>
      <c r="V13" s="161"/>
      <c r="W13" s="161"/>
    </row>
    <row r="14" spans="1:23" x14ac:dyDescent="0.4">
      <c r="F14" s="82"/>
      <c r="G14" s="82"/>
      <c r="H14" s="82"/>
      <c r="I14" s="82"/>
      <c r="J14" s="90"/>
      <c r="K14" s="82"/>
      <c r="L14" s="82"/>
      <c r="M14" s="82"/>
      <c r="N14" s="82"/>
      <c r="O14" s="82"/>
      <c r="P14" s="82"/>
      <c r="Q14" s="82"/>
      <c r="R14" s="82"/>
      <c r="S14" s="82"/>
      <c r="T14" s="82"/>
      <c r="U14" s="82"/>
      <c r="V14" s="82"/>
      <c r="W14" s="82"/>
    </row>
    <row r="15" spans="1:23" x14ac:dyDescent="0.4">
      <c r="B15" s="1" t="s">
        <v>880</v>
      </c>
      <c r="F15" s="82"/>
      <c r="G15" s="82"/>
      <c r="H15" s="82"/>
      <c r="I15" s="82"/>
      <c r="J15" s="169">
        <v>27078.149000000001</v>
      </c>
      <c r="K15" s="162">
        <v>27083.149000000001</v>
      </c>
      <c r="L15" s="162">
        <v>27093.149000000001</v>
      </c>
      <c r="M15" s="162">
        <v>27100.649000000001</v>
      </c>
      <c r="N15" s="162">
        <v>27105.649000000001</v>
      </c>
      <c r="O15" s="162">
        <v>27110.649000000001</v>
      </c>
      <c r="P15" s="162">
        <v>27115.649000000001</v>
      </c>
      <c r="Q15" s="162">
        <v>27120.649000000001</v>
      </c>
      <c r="R15" s="162">
        <v>27125.649000000001</v>
      </c>
      <c r="S15" s="162">
        <v>27130.649000000001</v>
      </c>
      <c r="T15" s="162">
        <v>27135.649000000001</v>
      </c>
      <c r="U15" s="82"/>
      <c r="V15" s="82"/>
      <c r="W15" s="82"/>
    </row>
    <row r="16" spans="1:23" x14ac:dyDescent="0.4">
      <c r="C16" s="1" t="s">
        <v>962</v>
      </c>
      <c r="F16" s="82"/>
      <c r="G16" s="82"/>
      <c r="H16" s="82"/>
      <c r="I16" s="82"/>
      <c r="J16" s="187">
        <v>10250</v>
      </c>
      <c r="K16" s="163">
        <v>10250</v>
      </c>
      <c r="L16" s="163">
        <v>10250</v>
      </c>
      <c r="M16" s="163">
        <v>10250</v>
      </c>
      <c r="N16" s="163">
        <v>10250</v>
      </c>
      <c r="O16" s="163">
        <v>10250</v>
      </c>
      <c r="P16" s="163">
        <v>10250</v>
      </c>
      <c r="Q16" s="163">
        <v>10250</v>
      </c>
      <c r="R16" s="163">
        <v>10250</v>
      </c>
      <c r="S16" s="163">
        <v>10250</v>
      </c>
      <c r="T16" s="163">
        <v>10250</v>
      </c>
      <c r="U16" s="82"/>
      <c r="V16" s="82"/>
      <c r="W16" s="82"/>
    </row>
    <row r="17" spans="2:23" x14ac:dyDescent="0.4">
      <c r="C17" s="1" t="s">
        <v>881</v>
      </c>
      <c r="F17" s="82"/>
      <c r="G17" s="82"/>
      <c r="H17" s="162"/>
      <c r="I17" s="162"/>
      <c r="J17" s="90">
        <v>274.85772592592593</v>
      </c>
      <c r="K17" s="163">
        <v>274.85772592592593</v>
      </c>
      <c r="L17" s="163">
        <v>274.85772592592593</v>
      </c>
      <c r="M17" s="163">
        <v>274.85772592592593</v>
      </c>
      <c r="N17" s="163">
        <v>274.85772592592593</v>
      </c>
      <c r="O17" s="163">
        <v>274.85772592592593</v>
      </c>
      <c r="P17" s="163">
        <v>274.85772592592593</v>
      </c>
      <c r="Q17" s="163">
        <v>274.85772592592593</v>
      </c>
      <c r="R17" s="163">
        <v>274.85772592592593</v>
      </c>
      <c r="S17" s="163">
        <v>274.85772592592593</v>
      </c>
      <c r="T17" s="163">
        <v>274.85772592592593</v>
      </c>
      <c r="U17" s="82"/>
      <c r="V17" s="82"/>
      <c r="W17" s="82"/>
    </row>
    <row r="18" spans="2:23" x14ac:dyDescent="0.4">
      <c r="C18" s="1" t="s">
        <v>1232</v>
      </c>
      <c r="F18" s="82"/>
      <c r="G18" s="82"/>
      <c r="H18" s="162"/>
      <c r="I18" s="162"/>
      <c r="J18" s="90">
        <v>44.475999999999999</v>
      </c>
      <c r="K18" s="163">
        <v>44.475999999999999</v>
      </c>
      <c r="L18" s="163">
        <v>44.475999999999999</v>
      </c>
      <c r="M18" s="163">
        <v>44.475999999999999</v>
      </c>
      <c r="N18" s="163">
        <v>44.475999999999999</v>
      </c>
      <c r="O18" s="163">
        <v>44.475999999999999</v>
      </c>
      <c r="P18" s="163">
        <v>44.475999999999999</v>
      </c>
      <c r="Q18" s="163">
        <v>44.475999999999999</v>
      </c>
      <c r="R18" s="163">
        <v>44.475999999999999</v>
      </c>
      <c r="S18" s="163">
        <v>44.475999999999999</v>
      </c>
      <c r="T18" s="163">
        <v>44.475999999999999</v>
      </c>
      <c r="U18" s="82"/>
      <c r="V18" s="82"/>
      <c r="W18" s="82"/>
    </row>
    <row r="19" spans="2:23" x14ac:dyDescent="0.4">
      <c r="B19" s="93"/>
      <c r="C19" s="93" t="s">
        <v>1231</v>
      </c>
      <c r="D19" s="93"/>
      <c r="E19" s="93"/>
      <c r="F19" s="171"/>
      <c r="G19" s="171"/>
      <c r="H19" s="192"/>
      <c r="I19" s="192"/>
      <c r="J19" s="172">
        <v>124.842</v>
      </c>
      <c r="K19" s="173">
        <v>124.842</v>
      </c>
      <c r="L19" s="173">
        <v>124.842</v>
      </c>
      <c r="M19" s="173">
        <v>124.842</v>
      </c>
      <c r="N19" s="173">
        <v>124.842</v>
      </c>
      <c r="O19" s="173">
        <v>124.842</v>
      </c>
      <c r="P19" s="173">
        <v>124.842</v>
      </c>
      <c r="Q19" s="173">
        <v>124.842</v>
      </c>
      <c r="R19" s="173">
        <v>124.842</v>
      </c>
      <c r="S19" s="173">
        <v>124.842</v>
      </c>
      <c r="T19" s="173">
        <v>124.842</v>
      </c>
      <c r="U19" s="82"/>
      <c r="V19" s="82"/>
      <c r="W19" s="82"/>
    </row>
    <row r="20" spans="2:23" x14ac:dyDescent="0.4">
      <c r="B20" s="1" t="s">
        <v>882</v>
      </c>
      <c r="F20" s="82"/>
      <c r="G20" s="82"/>
      <c r="H20" s="82">
        <v>20982.881000000001</v>
      </c>
      <c r="I20" s="82">
        <v>25470.089</v>
      </c>
      <c r="J20" s="169">
        <v>37772.32472592593</v>
      </c>
      <c r="K20" s="162">
        <v>37777.32472592593</v>
      </c>
      <c r="L20" s="162">
        <v>37787.32472592593</v>
      </c>
      <c r="M20" s="162">
        <v>37794.82472592593</v>
      </c>
      <c r="N20" s="162">
        <v>37799.82472592593</v>
      </c>
      <c r="O20" s="162">
        <v>37804.82472592593</v>
      </c>
      <c r="P20" s="162">
        <v>37809.82472592593</v>
      </c>
      <c r="Q20" s="162">
        <v>37814.82472592593</v>
      </c>
      <c r="R20" s="162">
        <v>37819.82472592593</v>
      </c>
      <c r="S20" s="162">
        <v>37824.82472592593</v>
      </c>
      <c r="T20" s="162">
        <v>37829.82472592593</v>
      </c>
      <c r="U20" s="82"/>
      <c r="V20" s="82"/>
      <c r="W20" s="82"/>
    </row>
    <row r="21" spans="2:23" x14ac:dyDescent="0.4">
      <c r="F21" s="82"/>
      <c r="G21" s="82"/>
      <c r="H21" s="82"/>
      <c r="I21" s="82"/>
      <c r="J21" s="82"/>
      <c r="K21" s="82"/>
      <c r="L21" s="82"/>
      <c r="M21" s="82"/>
      <c r="N21" s="82"/>
      <c r="O21" s="82"/>
      <c r="P21" s="82"/>
      <c r="Q21" s="82"/>
      <c r="R21" s="82"/>
      <c r="S21" s="82"/>
      <c r="T21" s="82"/>
      <c r="U21" s="82"/>
      <c r="V21" s="82"/>
      <c r="W21" s="82"/>
    </row>
    <row r="22" spans="2:23" x14ac:dyDescent="0.4">
      <c r="C22" s="293"/>
      <c r="F22" s="82"/>
      <c r="G22" s="82"/>
      <c r="H22" s="82"/>
      <c r="I22" s="226"/>
      <c r="J22" s="82"/>
      <c r="K22" s="226"/>
      <c r="L22" s="82"/>
      <c r="M22" s="82"/>
      <c r="N22" s="82"/>
      <c r="O22" s="82"/>
      <c r="P22" s="82"/>
      <c r="Q22" s="82"/>
      <c r="R22" s="82"/>
      <c r="S22" s="82"/>
      <c r="T22" s="82"/>
      <c r="U22" s="82"/>
      <c r="V22" s="82"/>
      <c r="W22" s="82"/>
    </row>
    <row r="23" spans="2:23" x14ac:dyDescent="0.4">
      <c r="F23" s="82"/>
      <c r="G23" s="82"/>
      <c r="H23" s="82"/>
      <c r="I23" s="82"/>
      <c r="J23" s="82"/>
      <c r="K23" s="82"/>
      <c r="L23" s="82"/>
      <c r="M23" s="82"/>
      <c r="N23" s="82"/>
      <c r="O23" s="82"/>
      <c r="P23" s="82"/>
      <c r="Q23" s="82"/>
      <c r="R23" s="82"/>
      <c r="S23" s="82"/>
      <c r="T23" s="82"/>
      <c r="U23" s="82"/>
      <c r="V23" s="82"/>
      <c r="W23" s="82"/>
    </row>
    <row r="24" spans="2:23" x14ac:dyDescent="0.4">
      <c r="F24" s="82"/>
      <c r="G24" s="82"/>
      <c r="H24" s="82"/>
      <c r="I24" s="82"/>
      <c r="J24" s="82"/>
      <c r="K24" s="82"/>
      <c r="L24" s="82"/>
      <c r="M24" s="82"/>
      <c r="N24" s="82"/>
      <c r="O24" s="82"/>
      <c r="P24" s="82"/>
      <c r="Q24" s="82"/>
      <c r="R24" s="82"/>
      <c r="S24" s="82"/>
      <c r="T24" s="82"/>
      <c r="U24" s="82"/>
      <c r="V24" s="82"/>
      <c r="W24" s="82"/>
    </row>
    <row r="25" spans="2:23" x14ac:dyDescent="0.4">
      <c r="F25" s="82"/>
      <c r="G25" s="82"/>
      <c r="H25" s="82"/>
      <c r="I25" s="82"/>
      <c r="J25" s="82"/>
      <c r="K25" s="82"/>
      <c r="L25" s="82"/>
      <c r="M25" s="82"/>
      <c r="N25" s="82"/>
      <c r="O25" s="82"/>
      <c r="P25" s="82"/>
      <c r="Q25" s="82"/>
      <c r="R25" s="82"/>
      <c r="S25" s="82"/>
      <c r="T25" s="82"/>
      <c r="U25" s="82"/>
      <c r="V25" s="82"/>
      <c r="W25" s="82"/>
    </row>
    <row r="26" spans="2:23" x14ac:dyDescent="0.4">
      <c r="F26" s="82"/>
      <c r="G26" s="82"/>
      <c r="H26" s="82"/>
      <c r="I26" s="82"/>
      <c r="J26" s="82"/>
      <c r="K26" s="82"/>
      <c r="L26" s="82"/>
      <c r="M26" s="82"/>
      <c r="N26" s="82"/>
      <c r="O26" s="82"/>
      <c r="P26" s="82"/>
      <c r="Q26" s="82"/>
      <c r="R26" s="82"/>
      <c r="S26" s="82"/>
      <c r="T26" s="82"/>
      <c r="U26" s="82"/>
      <c r="V26" s="82"/>
      <c r="W26" s="82"/>
    </row>
    <row r="27" spans="2:23" x14ac:dyDescent="0.4">
      <c r="F27" s="82"/>
      <c r="G27" s="82"/>
      <c r="H27" s="82"/>
      <c r="I27" s="82"/>
      <c r="J27" s="82"/>
      <c r="K27" s="82"/>
      <c r="L27" s="82"/>
      <c r="M27" s="82"/>
      <c r="N27" s="82"/>
      <c r="O27" s="82"/>
      <c r="P27" s="82"/>
      <c r="Q27" s="82"/>
      <c r="R27" s="82"/>
      <c r="S27" s="82"/>
      <c r="T27" s="82"/>
      <c r="U27" s="82"/>
      <c r="V27" s="82"/>
      <c r="W27" s="82"/>
    </row>
    <row r="28" spans="2:23" x14ac:dyDescent="0.4">
      <c r="F28" s="82"/>
      <c r="G28" s="82"/>
      <c r="H28" s="82"/>
      <c r="I28" s="82"/>
      <c r="J28" s="82"/>
      <c r="K28" s="82"/>
      <c r="L28" s="82"/>
      <c r="M28" s="82"/>
      <c r="N28" s="82"/>
      <c r="O28" s="82"/>
      <c r="P28" s="82"/>
      <c r="Q28" s="82"/>
      <c r="R28" s="82"/>
      <c r="S28" s="82"/>
      <c r="T28" s="82"/>
      <c r="U28" s="82"/>
      <c r="V28" s="82"/>
      <c r="W28" s="82"/>
    </row>
    <row r="29" spans="2:23" x14ac:dyDescent="0.4">
      <c r="F29" s="82"/>
      <c r="G29" s="82"/>
      <c r="H29" s="82"/>
      <c r="I29" s="82"/>
      <c r="J29" s="82"/>
      <c r="K29" s="82"/>
      <c r="L29" s="82"/>
      <c r="M29" s="82"/>
      <c r="N29" s="82"/>
      <c r="O29" s="82"/>
      <c r="P29" s="82"/>
      <c r="Q29" s="82"/>
      <c r="R29" s="82"/>
      <c r="S29" s="82"/>
      <c r="T29" s="82"/>
      <c r="U29" s="82"/>
      <c r="V29" s="82"/>
      <c r="W29" s="82"/>
    </row>
    <row r="30" spans="2:23" x14ac:dyDescent="0.4">
      <c r="F30" s="82"/>
      <c r="G30" s="82"/>
      <c r="H30" s="82"/>
      <c r="I30" s="82"/>
      <c r="J30" s="82"/>
      <c r="K30" s="82"/>
      <c r="L30" s="82"/>
      <c r="M30" s="82"/>
      <c r="N30" s="82"/>
      <c r="O30" s="82"/>
      <c r="P30" s="82"/>
      <c r="Q30" s="82"/>
      <c r="R30" s="82"/>
      <c r="S30" s="82"/>
      <c r="T30" s="82"/>
      <c r="U30" s="82"/>
      <c r="V30" s="82"/>
      <c r="W30" s="82"/>
    </row>
    <row r="31" spans="2:23" x14ac:dyDescent="0.4">
      <c r="F31" s="82"/>
      <c r="G31" s="82"/>
      <c r="H31" s="82"/>
      <c r="I31" s="82"/>
      <c r="J31" s="82"/>
      <c r="K31" s="82"/>
      <c r="L31" s="82"/>
      <c r="M31" s="82"/>
      <c r="N31" s="82"/>
      <c r="O31" s="82"/>
      <c r="P31" s="82"/>
      <c r="Q31" s="82"/>
      <c r="R31" s="82"/>
      <c r="S31" s="82"/>
      <c r="T31" s="82"/>
      <c r="U31" s="82"/>
      <c r="V31" s="82"/>
      <c r="W31" s="82"/>
    </row>
    <row r="32" spans="2:23" x14ac:dyDescent="0.4">
      <c r="F32" s="82"/>
      <c r="G32" s="82"/>
      <c r="H32" s="82"/>
      <c r="I32" s="82"/>
      <c r="J32" s="82"/>
      <c r="K32" s="82"/>
      <c r="L32" s="82"/>
      <c r="M32" s="82"/>
      <c r="N32" s="82"/>
      <c r="O32" s="82"/>
      <c r="P32" s="82"/>
      <c r="Q32" s="82"/>
      <c r="R32" s="82"/>
      <c r="S32" s="82"/>
      <c r="T32" s="82"/>
      <c r="U32" s="82"/>
      <c r="V32" s="82"/>
      <c r="W32" s="82"/>
    </row>
    <row r="33" spans="6:23" x14ac:dyDescent="0.4">
      <c r="F33" s="82"/>
      <c r="G33" s="82"/>
      <c r="H33" s="82"/>
      <c r="I33" s="82"/>
      <c r="J33" s="82"/>
      <c r="K33" s="82"/>
      <c r="L33" s="82"/>
      <c r="M33" s="82"/>
      <c r="N33" s="82"/>
      <c r="O33" s="82"/>
      <c r="P33" s="82"/>
      <c r="Q33" s="82"/>
      <c r="R33" s="82"/>
      <c r="S33" s="82"/>
      <c r="T33" s="82"/>
      <c r="U33" s="82"/>
      <c r="V33" s="82"/>
      <c r="W33" s="82"/>
    </row>
    <row r="34" spans="6:23" x14ac:dyDescent="0.4">
      <c r="F34" s="82"/>
      <c r="G34" s="82"/>
      <c r="H34" s="82"/>
      <c r="I34" s="82"/>
      <c r="J34" s="82"/>
      <c r="K34" s="82"/>
      <c r="L34" s="82"/>
      <c r="M34" s="82"/>
      <c r="N34" s="82"/>
      <c r="O34" s="82"/>
      <c r="P34" s="82"/>
      <c r="Q34" s="82"/>
      <c r="R34" s="82"/>
      <c r="S34" s="82"/>
      <c r="T34" s="82"/>
      <c r="U34" s="82"/>
      <c r="V34" s="82"/>
      <c r="W34" s="82"/>
    </row>
    <row r="35" spans="6:23" x14ac:dyDescent="0.4">
      <c r="F35" s="82"/>
      <c r="G35" s="82"/>
      <c r="H35" s="82"/>
      <c r="I35" s="82"/>
      <c r="J35" s="82"/>
      <c r="K35" s="82"/>
      <c r="L35" s="82"/>
      <c r="M35" s="82"/>
      <c r="N35" s="82"/>
      <c r="O35" s="82"/>
      <c r="P35" s="82"/>
      <c r="Q35" s="82"/>
      <c r="R35" s="82"/>
      <c r="S35" s="82"/>
      <c r="T35" s="82"/>
      <c r="U35" s="82"/>
      <c r="V35" s="82"/>
      <c r="W35" s="82"/>
    </row>
    <row r="36" spans="6:23" x14ac:dyDescent="0.4">
      <c r="F36" s="82"/>
      <c r="G36" s="82"/>
      <c r="H36" s="82"/>
      <c r="I36" s="82"/>
      <c r="J36" s="82"/>
      <c r="K36" s="82"/>
      <c r="L36" s="82"/>
      <c r="M36" s="82"/>
      <c r="N36" s="82"/>
      <c r="O36" s="82"/>
      <c r="P36" s="82"/>
      <c r="Q36" s="82"/>
      <c r="R36" s="82"/>
      <c r="S36" s="82"/>
      <c r="T36" s="82"/>
      <c r="U36" s="82"/>
      <c r="V36" s="82"/>
      <c r="W36" s="82"/>
    </row>
    <row r="37" spans="6:23" x14ac:dyDescent="0.4">
      <c r="F37" s="82"/>
      <c r="G37" s="82"/>
      <c r="H37" s="82"/>
      <c r="I37" s="82"/>
      <c r="J37" s="82"/>
      <c r="K37" s="82"/>
      <c r="L37" s="82"/>
      <c r="M37" s="82"/>
      <c r="N37" s="82"/>
      <c r="O37" s="82"/>
      <c r="P37" s="82"/>
      <c r="Q37" s="82"/>
      <c r="R37" s="82"/>
      <c r="S37" s="82"/>
      <c r="T37" s="82"/>
      <c r="U37" s="82"/>
      <c r="V37" s="82"/>
      <c r="W37" s="82"/>
    </row>
  </sheetData>
  <phoneticPr fontId="1" type="noConversion"/>
  <pageMargins left="0.7" right="0.7" top="0.75" bottom="0.75" header="0.3" footer="0.3"/>
  <pageSetup paperSize="9" orientation="portrait" horizontalDpi="4294967292"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60"/>
  <sheetViews>
    <sheetView showGridLines="0"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60" customFormat="1" ht="18" thickBot="1" x14ac:dyDescent="0.35">
      <c r="A3" s="59"/>
      <c r="B3" s="65" t="s">
        <v>919</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I9" s="3"/>
      <c r="J9" s="67"/>
    </row>
    <row r="10" spans="1:23" s="2" customFormat="1" x14ac:dyDescent="0.4">
      <c r="B10" s="2" t="s">
        <v>920</v>
      </c>
      <c r="F10" s="161"/>
      <c r="G10" s="161"/>
      <c r="H10" s="161"/>
      <c r="I10" s="161"/>
      <c r="J10" s="167"/>
      <c r="K10" s="161">
        <v>-8456.7702133016137</v>
      </c>
      <c r="L10" s="161">
        <v>-7517.2385376449383</v>
      </c>
      <c r="M10" s="161">
        <v>17806.871408145555</v>
      </c>
      <c r="N10" s="161">
        <v>65619.190284953191</v>
      </c>
      <c r="O10" s="161">
        <v>80549.393326801015</v>
      </c>
      <c r="P10" s="161">
        <v>103314.1669506593</v>
      </c>
      <c r="Q10" s="161">
        <v>112091.20513652157</v>
      </c>
      <c r="R10" s="161">
        <v>129416.5705246123</v>
      </c>
      <c r="S10" s="161">
        <v>143450.3600591564</v>
      </c>
      <c r="T10" s="161">
        <v>155059.55859598762</v>
      </c>
      <c r="U10" s="161"/>
      <c r="V10" s="161"/>
      <c r="W10" s="161"/>
    </row>
    <row r="11" spans="1:23" x14ac:dyDescent="0.4">
      <c r="C11" s="1" t="s">
        <v>934</v>
      </c>
      <c r="F11" s="82"/>
      <c r="G11" s="82"/>
      <c r="H11" s="82"/>
      <c r="I11" s="82"/>
      <c r="J11" s="90"/>
      <c r="K11" s="82">
        <v>0</v>
      </c>
      <c r="L11" s="82">
        <v>0</v>
      </c>
      <c r="M11" s="82">
        <v>-284.21789292508981</v>
      </c>
      <c r="N11" s="82">
        <v>-387.59722215520418</v>
      </c>
      <c r="O11" s="82">
        <v>-422.69151936148256</v>
      </c>
      <c r="P11" s="82">
        <v>-435.25506546403278</v>
      </c>
      <c r="Q11" s="82">
        <v>-422.15523924040258</v>
      </c>
      <c r="R11" s="82">
        <v>-393.19249614365702</v>
      </c>
      <c r="S11" s="82">
        <v>-340.95225121825149</v>
      </c>
      <c r="T11" s="82">
        <v>-268.1754969809457</v>
      </c>
      <c r="U11" s="82"/>
      <c r="V11" s="82"/>
      <c r="W11" s="82"/>
    </row>
    <row r="12" spans="1:23" x14ac:dyDescent="0.4">
      <c r="C12" s="1" t="s">
        <v>935</v>
      </c>
      <c r="F12" s="82"/>
      <c r="G12" s="82"/>
      <c r="H12" s="82"/>
      <c r="I12" s="82"/>
      <c r="J12" s="90"/>
      <c r="K12" s="82">
        <v>0</v>
      </c>
      <c r="L12" s="82">
        <v>0</v>
      </c>
      <c r="M12" s="82">
        <v>-1852.0630081165091</v>
      </c>
      <c r="N12" s="82">
        <v>-2817.5205887927873</v>
      </c>
      <c r="O12" s="82">
        <v>-3473.8649570861253</v>
      </c>
      <c r="P12" s="82">
        <v>-4114.229434066624</v>
      </c>
      <c r="Q12" s="82">
        <v>-9390.4272817689125</v>
      </c>
      <c r="R12" s="82">
        <v>-10621.765205501726</v>
      </c>
      <c r="S12" s="82">
        <v>-11724.053765672938</v>
      </c>
      <c r="T12" s="82">
        <v>-12681.290058221566</v>
      </c>
      <c r="U12" s="82"/>
      <c r="V12" s="82"/>
      <c r="W12" s="82"/>
    </row>
    <row r="13" spans="1:23" x14ac:dyDescent="0.4">
      <c r="C13" s="1" t="s">
        <v>936</v>
      </c>
      <c r="F13" s="82"/>
      <c r="G13" s="82"/>
      <c r="H13" s="82"/>
      <c r="I13" s="82"/>
      <c r="J13" s="90"/>
      <c r="K13" s="82">
        <v>200</v>
      </c>
      <c r="L13" s="82">
        <v>200</v>
      </c>
      <c r="M13" s="82">
        <v>200</v>
      </c>
      <c r="N13" s="82">
        <v>200</v>
      </c>
      <c r="O13" s="82">
        <v>200</v>
      </c>
      <c r="P13" s="82">
        <v>200</v>
      </c>
      <c r="Q13" s="82">
        <v>200</v>
      </c>
      <c r="R13" s="82">
        <v>200</v>
      </c>
      <c r="S13" s="82">
        <v>200</v>
      </c>
      <c r="T13" s="82">
        <v>200</v>
      </c>
      <c r="U13" s="82"/>
      <c r="V13" s="82"/>
      <c r="W13" s="82"/>
    </row>
    <row r="14" spans="1:23" x14ac:dyDescent="0.4">
      <c r="C14" s="291" t="s">
        <v>1279</v>
      </c>
      <c r="F14" s="82"/>
      <c r="G14" s="82"/>
      <c r="H14" s="82"/>
      <c r="I14" s="82"/>
      <c r="J14" s="90"/>
      <c r="K14" s="82">
        <v>0</v>
      </c>
      <c r="L14" s="82">
        <v>0</v>
      </c>
      <c r="M14" s="82">
        <v>0</v>
      </c>
      <c r="N14" s="82">
        <v>0</v>
      </c>
      <c r="O14" s="82">
        <v>0</v>
      </c>
      <c r="P14" s="82">
        <v>0</v>
      </c>
      <c r="Q14" s="82">
        <v>0</v>
      </c>
      <c r="R14" s="82">
        <v>0</v>
      </c>
      <c r="S14" s="82">
        <v>0</v>
      </c>
      <c r="T14" s="82">
        <v>0</v>
      </c>
      <c r="U14" s="82"/>
      <c r="V14" s="82"/>
      <c r="W14" s="82"/>
    </row>
    <row r="15" spans="1:23" x14ac:dyDescent="0.4">
      <c r="C15" s="1" t="s">
        <v>937</v>
      </c>
      <c r="F15" s="82"/>
      <c r="G15" s="82"/>
      <c r="H15" s="82"/>
      <c r="I15" s="82"/>
      <c r="J15" s="90"/>
      <c r="K15" s="82">
        <v>84543</v>
      </c>
      <c r="L15" s="82">
        <v>72286.229786698386</v>
      </c>
      <c r="M15" s="82">
        <v>60968.991249053448</v>
      </c>
      <c r="N15" s="82">
        <v>72839.581756157408</v>
      </c>
      <c r="O15" s="82">
        <v>131453.65423016262</v>
      </c>
      <c r="P15" s="82">
        <v>204306.49108051602</v>
      </c>
      <c r="Q15" s="82">
        <v>299271.17353164463</v>
      </c>
      <c r="R15" s="82">
        <v>397749.79614715686</v>
      </c>
      <c r="S15" s="82">
        <v>512351.40897012374</v>
      </c>
      <c r="T15" s="82">
        <v>639936.76301238895</v>
      </c>
      <c r="U15" s="82"/>
      <c r="V15" s="82"/>
      <c r="W15" s="82"/>
    </row>
    <row r="16" spans="1:23" x14ac:dyDescent="0.4">
      <c r="B16" s="93"/>
      <c r="C16" s="93" t="s">
        <v>938</v>
      </c>
      <c r="D16" s="93"/>
      <c r="E16" s="93"/>
      <c r="F16" s="171"/>
      <c r="G16" s="171"/>
      <c r="H16" s="171"/>
      <c r="I16" s="171"/>
      <c r="J16" s="172"/>
      <c r="K16" s="173">
        <v>-30000</v>
      </c>
      <c r="L16" s="173">
        <v>-30000</v>
      </c>
      <c r="M16" s="173">
        <v>-30000</v>
      </c>
      <c r="N16" s="173">
        <v>-30000</v>
      </c>
      <c r="O16" s="173">
        <v>-30000</v>
      </c>
      <c r="P16" s="173">
        <v>-30000</v>
      </c>
      <c r="Q16" s="173">
        <v>-30000</v>
      </c>
      <c r="R16" s="173">
        <v>-30000</v>
      </c>
      <c r="S16" s="173">
        <v>-30000</v>
      </c>
      <c r="T16" s="173">
        <v>-30000</v>
      </c>
      <c r="U16" s="82"/>
      <c r="V16" s="82"/>
      <c r="W16" s="82"/>
    </row>
    <row r="17" spans="1:23" s="2" customFormat="1" x14ac:dyDescent="0.4">
      <c r="A17" s="1" t="s">
        <v>274</v>
      </c>
      <c r="B17" s="2" t="s">
        <v>921</v>
      </c>
      <c r="F17" s="161"/>
      <c r="G17" s="161"/>
      <c r="H17" s="161"/>
      <c r="I17" s="161"/>
      <c r="J17" s="167"/>
      <c r="K17" s="164">
        <v>46286.229786698386</v>
      </c>
      <c r="L17" s="164">
        <v>34968.991249053448</v>
      </c>
      <c r="M17" s="164">
        <v>46839.581756157408</v>
      </c>
      <c r="N17" s="164">
        <v>105453.65423016262</v>
      </c>
      <c r="O17" s="164">
        <v>178306.49108051602</v>
      </c>
      <c r="P17" s="164">
        <v>273271.17353164463</v>
      </c>
      <c r="Q17" s="164">
        <v>371749.79614715686</v>
      </c>
      <c r="R17" s="164">
        <v>486351.40897012374</v>
      </c>
      <c r="S17" s="164">
        <v>613936.76301238895</v>
      </c>
      <c r="T17" s="164">
        <v>752246.85605317401</v>
      </c>
      <c r="U17" s="161"/>
      <c r="V17" s="161"/>
      <c r="W17" s="161"/>
    </row>
    <row r="18" spans="1:23" x14ac:dyDescent="0.4">
      <c r="F18" s="82"/>
      <c r="G18" s="82"/>
      <c r="H18" s="82"/>
      <c r="I18" s="82"/>
      <c r="J18" s="90"/>
      <c r="K18" s="162"/>
      <c r="L18" s="162"/>
      <c r="M18" s="162"/>
      <c r="N18" s="162"/>
      <c r="O18" s="162"/>
      <c r="P18" s="162"/>
      <c r="Q18" s="162"/>
      <c r="R18" s="162"/>
      <c r="S18" s="162"/>
      <c r="T18" s="162"/>
      <c r="U18" s="82"/>
      <c r="V18" s="82"/>
      <c r="W18" s="82"/>
    </row>
    <row r="19" spans="1:23" x14ac:dyDescent="0.4">
      <c r="C19" s="1" t="s">
        <v>930</v>
      </c>
      <c r="F19" s="82"/>
      <c r="G19" s="82"/>
      <c r="H19" s="82"/>
      <c r="I19" s="82"/>
      <c r="J19" s="90"/>
      <c r="K19" s="160">
        <v>1000</v>
      </c>
      <c r="L19" s="160">
        <v>1000</v>
      </c>
      <c r="M19" s="160">
        <v>1000</v>
      </c>
      <c r="N19" s="160">
        <v>1000</v>
      </c>
      <c r="O19" s="160">
        <v>1000</v>
      </c>
      <c r="P19" s="160">
        <v>1000</v>
      </c>
      <c r="Q19" s="160">
        <v>1000</v>
      </c>
      <c r="R19" s="160">
        <v>1000</v>
      </c>
      <c r="S19" s="160">
        <v>1000</v>
      </c>
      <c r="T19" s="160">
        <v>1000</v>
      </c>
      <c r="U19" s="82"/>
      <c r="V19" s="82"/>
      <c r="W19" s="82"/>
    </row>
    <row r="20" spans="1:23" x14ac:dyDescent="0.4">
      <c r="C20" s="1" t="s">
        <v>931</v>
      </c>
      <c r="F20" s="82"/>
      <c r="G20" s="82"/>
      <c r="H20" s="82"/>
      <c r="I20" s="82"/>
      <c r="J20" s="90"/>
      <c r="K20" s="160">
        <v>-2000</v>
      </c>
      <c r="L20" s="160">
        <v>-2000</v>
      </c>
      <c r="M20" s="160">
        <v>-2000</v>
      </c>
      <c r="N20" s="160">
        <v>-2000</v>
      </c>
      <c r="O20" s="160">
        <v>-2000</v>
      </c>
      <c r="P20" s="160">
        <v>-2000</v>
      </c>
      <c r="Q20" s="160">
        <v>-2000</v>
      </c>
      <c r="R20" s="160">
        <v>-2000</v>
      </c>
      <c r="S20" s="160">
        <v>-2000</v>
      </c>
      <c r="T20" s="160">
        <v>-2000</v>
      </c>
      <c r="U20" s="82"/>
      <c r="V20" s="82"/>
      <c r="W20" s="82"/>
    </row>
    <row r="21" spans="1:23" x14ac:dyDescent="0.4">
      <c r="C21" s="1" t="s">
        <v>932</v>
      </c>
      <c r="F21" s="82"/>
      <c r="G21" s="82"/>
      <c r="H21" s="82"/>
      <c r="I21" s="82"/>
      <c r="J21" s="90"/>
      <c r="K21" s="160">
        <v>3000</v>
      </c>
      <c r="L21" s="160">
        <v>3000</v>
      </c>
      <c r="M21" s="160">
        <v>3000</v>
      </c>
      <c r="N21" s="160">
        <v>3000</v>
      </c>
      <c r="O21" s="160">
        <v>3000</v>
      </c>
      <c r="P21" s="160">
        <v>3000</v>
      </c>
      <c r="Q21" s="160">
        <v>3000</v>
      </c>
      <c r="R21" s="160">
        <v>3000</v>
      </c>
      <c r="S21" s="160">
        <v>3000</v>
      </c>
      <c r="T21" s="160">
        <v>3000</v>
      </c>
      <c r="U21" s="82"/>
      <c r="V21" s="82"/>
      <c r="W21" s="82"/>
    </row>
    <row r="22" spans="1:23" x14ac:dyDescent="0.4">
      <c r="B22" s="93"/>
      <c r="C22" s="93" t="s">
        <v>933</v>
      </c>
      <c r="D22" s="93"/>
      <c r="E22" s="93"/>
      <c r="F22" s="171"/>
      <c r="G22" s="171"/>
      <c r="H22" s="171"/>
      <c r="I22" s="171"/>
      <c r="J22" s="172"/>
      <c r="K22" s="202">
        <v>-6000</v>
      </c>
      <c r="L22" s="202">
        <v>-6000</v>
      </c>
      <c r="M22" s="202">
        <v>-6000</v>
      </c>
      <c r="N22" s="202">
        <v>-6000</v>
      </c>
      <c r="O22" s="202">
        <v>-6000</v>
      </c>
      <c r="P22" s="202">
        <v>-6000</v>
      </c>
      <c r="Q22" s="202">
        <v>-6000</v>
      </c>
      <c r="R22" s="202">
        <v>-6000</v>
      </c>
      <c r="S22" s="202">
        <v>-6000</v>
      </c>
      <c r="T22" s="202">
        <v>-6000</v>
      </c>
      <c r="U22" s="82"/>
      <c r="V22" s="82"/>
      <c r="W22" s="82"/>
    </row>
    <row r="23" spans="1:23" s="2" customFormat="1" x14ac:dyDescent="0.4">
      <c r="B23" s="2" t="s">
        <v>922</v>
      </c>
      <c r="F23" s="161"/>
      <c r="G23" s="161"/>
      <c r="H23" s="161"/>
      <c r="I23" s="161"/>
      <c r="J23" s="167"/>
      <c r="K23" s="164">
        <v>42286.229786698386</v>
      </c>
      <c r="L23" s="164">
        <v>30968.991249053448</v>
      </c>
      <c r="M23" s="164">
        <v>42839.581756157408</v>
      </c>
      <c r="N23" s="164">
        <v>101453.65423016262</v>
      </c>
      <c r="O23" s="164">
        <v>174306.49108051602</v>
      </c>
      <c r="P23" s="164">
        <v>269271.17353164463</v>
      </c>
      <c r="Q23" s="164">
        <v>367749.79614715686</v>
      </c>
      <c r="R23" s="164">
        <v>482351.40897012374</v>
      </c>
      <c r="S23" s="164">
        <v>609936.76301238895</v>
      </c>
      <c r="T23" s="164">
        <v>748246.85605317401</v>
      </c>
      <c r="U23" s="161"/>
      <c r="V23" s="161"/>
      <c r="W23" s="161"/>
    </row>
    <row r="24" spans="1:23" x14ac:dyDescent="0.4">
      <c r="F24" s="82"/>
      <c r="G24" s="82"/>
      <c r="H24" s="82"/>
      <c r="I24" s="82"/>
      <c r="J24" s="90"/>
      <c r="K24" s="82"/>
      <c r="L24" s="82"/>
      <c r="M24" s="82"/>
      <c r="N24" s="82"/>
      <c r="O24" s="82"/>
      <c r="P24" s="82"/>
      <c r="Q24" s="82"/>
      <c r="R24" s="82"/>
      <c r="S24" s="82"/>
      <c r="T24" s="82"/>
      <c r="U24" s="82"/>
      <c r="V24" s="82"/>
      <c r="W24" s="82"/>
    </row>
    <row r="25" spans="1:23" x14ac:dyDescent="0.4">
      <c r="A25" s="1" t="s">
        <v>274</v>
      </c>
      <c r="B25" s="13" t="s">
        <v>201</v>
      </c>
      <c r="F25" s="82"/>
      <c r="G25" s="82"/>
      <c r="H25" s="82"/>
      <c r="I25" s="82"/>
      <c r="J25" s="90"/>
      <c r="K25" s="82"/>
      <c r="L25" s="82"/>
      <c r="M25" s="82"/>
      <c r="N25" s="82"/>
      <c r="O25" s="82"/>
      <c r="P25" s="82"/>
      <c r="Q25" s="82"/>
      <c r="R25" s="82"/>
      <c r="S25" s="82"/>
      <c r="T25" s="82"/>
      <c r="U25" s="82"/>
      <c r="V25" s="82"/>
      <c r="W25" s="82"/>
    </row>
    <row r="26" spans="1:23" x14ac:dyDescent="0.4">
      <c r="C26" s="1" t="s">
        <v>939</v>
      </c>
      <c r="F26" s="82"/>
      <c r="G26" s="82"/>
      <c r="H26" s="82"/>
      <c r="I26" s="82"/>
      <c r="J26" s="90"/>
      <c r="K26" s="160">
        <v>0</v>
      </c>
      <c r="L26" s="160">
        <v>0</v>
      </c>
      <c r="M26" s="160">
        <v>0</v>
      </c>
      <c r="N26" s="160">
        <v>0</v>
      </c>
      <c r="O26" s="160">
        <v>0</v>
      </c>
      <c r="P26" s="160">
        <v>0</v>
      </c>
      <c r="Q26" s="160">
        <v>0</v>
      </c>
      <c r="R26" s="160">
        <v>0</v>
      </c>
      <c r="S26" s="160">
        <v>0</v>
      </c>
      <c r="T26" s="160">
        <v>0</v>
      </c>
      <c r="U26" s="82"/>
      <c r="V26" s="82"/>
      <c r="W26" s="82"/>
    </row>
    <row r="27" spans="1:23" x14ac:dyDescent="0.4">
      <c r="C27" s="93" t="s">
        <v>940</v>
      </c>
      <c r="D27" s="93"/>
      <c r="E27" s="93"/>
      <c r="F27" s="171"/>
      <c r="G27" s="171"/>
      <c r="H27" s="171"/>
      <c r="I27" s="171"/>
      <c r="J27" s="172"/>
      <c r="K27" s="192">
        <v>0</v>
      </c>
      <c r="L27" s="192">
        <v>0</v>
      </c>
      <c r="M27" s="192">
        <v>0</v>
      </c>
      <c r="N27" s="192">
        <v>0</v>
      </c>
      <c r="O27" s="192">
        <v>0</v>
      </c>
      <c r="P27" s="192">
        <v>0</v>
      </c>
      <c r="Q27" s="192">
        <v>0</v>
      </c>
      <c r="R27" s="192">
        <v>0</v>
      </c>
      <c r="S27" s="192">
        <v>0</v>
      </c>
      <c r="T27" s="192">
        <v>0</v>
      </c>
      <c r="U27" s="82"/>
      <c r="V27" s="82"/>
      <c r="W27" s="82"/>
    </row>
    <row r="28" spans="1:23" x14ac:dyDescent="0.4">
      <c r="C28" s="1" t="s">
        <v>941</v>
      </c>
      <c r="F28" s="82"/>
      <c r="G28" s="82">
        <v>32000</v>
      </c>
      <c r="H28" s="82">
        <v>0</v>
      </c>
      <c r="I28" s="82">
        <v>0</v>
      </c>
      <c r="J28" s="90">
        <v>0</v>
      </c>
      <c r="K28" s="162">
        <v>0</v>
      </c>
      <c r="L28" s="162">
        <v>0</v>
      </c>
      <c r="M28" s="162">
        <v>0</v>
      </c>
      <c r="N28" s="162">
        <v>0</v>
      </c>
      <c r="O28" s="162">
        <v>0</v>
      </c>
      <c r="P28" s="162">
        <v>0</v>
      </c>
      <c r="Q28" s="162">
        <v>0</v>
      </c>
      <c r="R28" s="162">
        <v>0</v>
      </c>
      <c r="S28" s="162">
        <v>0</v>
      </c>
      <c r="T28" s="162">
        <v>0</v>
      </c>
    </row>
    <row r="29" spans="1:23" x14ac:dyDescent="0.4">
      <c r="F29" s="82"/>
      <c r="G29" s="82"/>
      <c r="H29" s="82"/>
      <c r="I29" s="82"/>
      <c r="J29" s="90"/>
      <c r="K29" s="82"/>
      <c r="L29" s="82"/>
      <c r="M29" s="82"/>
      <c r="N29" s="82"/>
      <c r="O29" s="82"/>
      <c r="P29" s="82"/>
      <c r="Q29" s="82"/>
      <c r="R29" s="82"/>
      <c r="S29" s="82"/>
      <c r="T29" s="82"/>
    </row>
    <row r="30" spans="1:23" x14ac:dyDescent="0.4">
      <c r="A30" s="1" t="s">
        <v>274</v>
      </c>
      <c r="B30" s="13" t="s">
        <v>942</v>
      </c>
      <c r="F30" s="82"/>
      <c r="G30" s="82"/>
      <c r="H30" s="82"/>
      <c r="I30" s="82"/>
      <c r="J30" s="90"/>
      <c r="K30" s="82"/>
      <c r="L30" s="82"/>
      <c r="M30" s="82"/>
      <c r="N30" s="82"/>
      <c r="O30" s="82"/>
      <c r="P30" s="82"/>
      <c r="Q30" s="82"/>
      <c r="R30" s="82"/>
      <c r="S30" s="82"/>
      <c r="T30" s="82"/>
    </row>
    <row r="31" spans="1:23" x14ac:dyDescent="0.4">
      <c r="C31" s="1" t="s">
        <v>939</v>
      </c>
      <c r="F31" s="82"/>
      <c r="G31" s="82"/>
      <c r="H31" s="82"/>
      <c r="I31" s="82"/>
      <c r="J31" s="90"/>
      <c r="K31" s="160">
        <v>14518</v>
      </c>
      <c r="L31" s="160">
        <v>13518</v>
      </c>
      <c r="M31" s="160">
        <v>12518</v>
      </c>
      <c r="N31" s="160">
        <v>11518</v>
      </c>
      <c r="O31" s="160">
        <v>10518</v>
      </c>
      <c r="P31" s="160">
        <v>9518</v>
      </c>
      <c r="Q31" s="160">
        <v>8518</v>
      </c>
      <c r="R31" s="160">
        <v>7518</v>
      </c>
      <c r="S31" s="160">
        <v>6518</v>
      </c>
      <c r="T31" s="160">
        <v>5518</v>
      </c>
    </row>
    <row r="32" spans="1:23" x14ac:dyDescent="0.4">
      <c r="C32" s="1" t="s">
        <v>923</v>
      </c>
      <c r="F32" s="82"/>
      <c r="G32" s="82"/>
      <c r="H32" s="82"/>
      <c r="I32" s="82"/>
      <c r="J32" s="90"/>
      <c r="K32" s="163">
        <v>1000</v>
      </c>
      <c r="L32" s="163">
        <v>1000</v>
      </c>
      <c r="M32" s="163">
        <v>1000</v>
      </c>
      <c r="N32" s="163">
        <v>1000</v>
      </c>
      <c r="O32" s="163">
        <v>1000</v>
      </c>
      <c r="P32" s="163">
        <v>1000</v>
      </c>
      <c r="Q32" s="163">
        <v>1000</v>
      </c>
      <c r="R32" s="163">
        <v>1000</v>
      </c>
      <c r="S32" s="163">
        <v>1000</v>
      </c>
      <c r="T32" s="163">
        <v>1000</v>
      </c>
    </row>
    <row r="33" spans="1:20" x14ac:dyDescent="0.4">
      <c r="C33" s="93" t="s">
        <v>924</v>
      </c>
      <c r="D33" s="93"/>
      <c r="E33" s="93"/>
      <c r="F33" s="171"/>
      <c r="G33" s="171"/>
      <c r="H33" s="171"/>
      <c r="I33" s="171"/>
      <c r="J33" s="206"/>
      <c r="K33" s="173">
        <v>-2000</v>
      </c>
      <c r="L33" s="173">
        <v>-2000</v>
      </c>
      <c r="M33" s="173">
        <v>-2000</v>
      </c>
      <c r="N33" s="173">
        <v>-2000</v>
      </c>
      <c r="O33" s="173">
        <v>-2000</v>
      </c>
      <c r="P33" s="173">
        <v>-2000</v>
      </c>
      <c r="Q33" s="173">
        <v>-2000</v>
      </c>
      <c r="R33" s="173">
        <v>-2000</v>
      </c>
      <c r="S33" s="173">
        <v>-2000</v>
      </c>
      <c r="T33" s="173">
        <v>-2000</v>
      </c>
    </row>
    <row r="34" spans="1:20" x14ac:dyDescent="0.4">
      <c r="C34" s="1" t="s">
        <v>941</v>
      </c>
      <c r="F34" s="82"/>
      <c r="G34" s="82">
        <v>313</v>
      </c>
      <c r="H34" s="82">
        <v>313</v>
      </c>
      <c r="I34" s="82">
        <v>2007</v>
      </c>
      <c r="J34" s="90">
        <v>14518</v>
      </c>
      <c r="K34" s="162">
        <v>13518</v>
      </c>
      <c r="L34" s="162">
        <v>12518</v>
      </c>
      <c r="M34" s="162">
        <v>11518</v>
      </c>
      <c r="N34" s="162">
        <v>10518</v>
      </c>
      <c r="O34" s="162">
        <v>9518</v>
      </c>
      <c r="P34" s="162">
        <v>8518</v>
      </c>
      <c r="Q34" s="162">
        <v>7518</v>
      </c>
      <c r="R34" s="162">
        <v>6518</v>
      </c>
      <c r="S34" s="162">
        <v>5518</v>
      </c>
      <c r="T34" s="162">
        <v>4518</v>
      </c>
    </row>
    <row r="35" spans="1:20" x14ac:dyDescent="0.4">
      <c r="F35" s="82"/>
      <c r="G35" s="82"/>
      <c r="H35" s="82"/>
      <c r="I35" s="82"/>
      <c r="J35" s="44"/>
      <c r="K35" s="82"/>
      <c r="L35" s="82"/>
      <c r="M35" s="82"/>
      <c r="N35" s="82"/>
      <c r="O35" s="82"/>
      <c r="P35" s="82"/>
      <c r="Q35" s="82"/>
      <c r="R35" s="82"/>
      <c r="S35" s="82"/>
      <c r="T35" s="82"/>
    </row>
    <row r="36" spans="1:20" x14ac:dyDescent="0.4">
      <c r="A36" s="1" t="s">
        <v>274</v>
      </c>
      <c r="B36" s="13" t="s">
        <v>256</v>
      </c>
      <c r="F36" s="82"/>
      <c r="G36" s="82"/>
      <c r="H36" s="82"/>
      <c r="I36" s="82"/>
      <c r="J36" s="90"/>
      <c r="K36" s="82"/>
      <c r="L36" s="82"/>
      <c r="M36" s="82"/>
      <c r="N36" s="82"/>
      <c r="O36" s="82"/>
      <c r="P36" s="82"/>
      <c r="Q36" s="82"/>
      <c r="R36" s="82"/>
      <c r="S36" s="82"/>
      <c r="T36" s="82"/>
    </row>
    <row r="37" spans="1:20" x14ac:dyDescent="0.4">
      <c r="C37" s="1" t="s">
        <v>939</v>
      </c>
      <c r="F37" s="82"/>
      <c r="G37" s="82"/>
      <c r="H37" s="82"/>
      <c r="I37" s="82"/>
      <c r="J37" s="90"/>
      <c r="K37" s="160">
        <v>36596</v>
      </c>
      <c r="L37" s="160">
        <v>33596</v>
      </c>
      <c r="M37" s="160">
        <v>30596</v>
      </c>
      <c r="N37" s="160">
        <v>27596</v>
      </c>
      <c r="O37" s="160">
        <v>24596</v>
      </c>
      <c r="P37" s="160">
        <v>21596</v>
      </c>
      <c r="Q37" s="160">
        <v>18596</v>
      </c>
      <c r="R37" s="160">
        <v>15596</v>
      </c>
      <c r="S37" s="160">
        <v>12596</v>
      </c>
      <c r="T37" s="160">
        <v>9596</v>
      </c>
    </row>
    <row r="38" spans="1:20" x14ac:dyDescent="0.4">
      <c r="C38" s="1" t="s">
        <v>923</v>
      </c>
      <c r="F38" s="82"/>
      <c r="G38" s="82"/>
      <c r="H38" s="82"/>
      <c r="I38" s="82"/>
      <c r="J38" s="90"/>
      <c r="K38" s="163">
        <v>3000</v>
      </c>
      <c r="L38" s="163">
        <v>3000</v>
      </c>
      <c r="M38" s="163">
        <v>3000</v>
      </c>
      <c r="N38" s="163">
        <v>3000</v>
      </c>
      <c r="O38" s="163">
        <v>3000</v>
      </c>
      <c r="P38" s="163">
        <v>3000</v>
      </c>
      <c r="Q38" s="163">
        <v>3000</v>
      </c>
      <c r="R38" s="163">
        <v>3000</v>
      </c>
      <c r="S38" s="163">
        <v>3000</v>
      </c>
      <c r="T38" s="163">
        <v>3000</v>
      </c>
    </row>
    <row r="39" spans="1:20" x14ac:dyDescent="0.4">
      <c r="C39" s="93" t="s">
        <v>924</v>
      </c>
      <c r="D39" s="93"/>
      <c r="E39" s="93"/>
      <c r="F39" s="171"/>
      <c r="G39" s="171"/>
      <c r="H39" s="171"/>
      <c r="I39" s="171"/>
      <c r="J39" s="172"/>
      <c r="K39" s="173">
        <v>-6000</v>
      </c>
      <c r="L39" s="173">
        <v>-6000</v>
      </c>
      <c r="M39" s="173">
        <v>-6000</v>
      </c>
      <c r="N39" s="173">
        <v>-6000</v>
      </c>
      <c r="O39" s="173">
        <v>-6000</v>
      </c>
      <c r="P39" s="173">
        <v>-6000</v>
      </c>
      <c r="Q39" s="173">
        <v>-6000</v>
      </c>
      <c r="R39" s="173">
        <v>-6000</v>
      </c>
      <c r="S39" s="173">
        <v>-6000</v>
      </c>
      <c r="T39" s="173">
        <v>-6000</v>
      </c>
    </row>
    <row r="40" spans="1:20" x14ac:dyDescent="0.4">
      <c r="C40" s="1" t="s">
        <v>941</v>
      </c>
      <c r="F40" s="82"/>
      <c r="G40" s="82">
        <v>17853</v>
      </c>
      <c r="H40" s="82">
        <v>22927</v>
      </c>
      <c r="I40" s="82">
        <v>31107</v>
      </c>
      <c r="J40" s="90">
        <v>36596</v>
      </c>
      <c r="K40" s="162">
        <v>33596</v>
      </c>
      <c r="L40" s="162">
        <v>30596</v>
      </c>
      <c r="M40" s="162">
        <v>27596</v>
      </c>
      <c r="N40" s="162">
        <v>24596</v>
      </c>
      <c r="O40" s="162">
        <v>21596</v>
      </c>
      <c r="P40" s="162">
        <v>18596</v>
      </c>
      <c r="Q40" s="162">
        <v>15596</v>
      </c>
      <c r="R40" s="162">
        <v>12596</v>
      </c>
      <c r="S40" s="162">
        <v>9596</v>
      </c>
      <c r="T40" s="162">
        <v>6596</v>
      </c>
    </row>
    <row r="41" spans="1:20" x14ac:dyDescent="0.4">
      <c r="F41" s="82"/>
      <c r="G41" s="82"/>
      <c r="H41" s="82"/>
      <c r="I41" s="82"/>
      <c r="J41" s="90"/>
      <c r="K41" s="82"/>
      <c r="L41" s="82"/>
      <c r="M41" s="82"/>
      <c r="N41" s="82"/>
      <c r="O41" s="82"/>
      <c r="P41" s="82"/>
      <c r="Q41" s="82"/>
      <c r="R41" s="82"/>
      <c r="S41" s="82"/>
      <c r="T41" s="82"/>
    </row>
    <row r="42" spans="1:20" x14ac:dyDescent="0.4">
      <c r="J42" s="44"/>
    </row>
    <row r="43" spans="1:20" x14ac:dyDescent="0.4">
      <c r="B43" s="14" t="s">
        <v>943</v>
      </c>
      <c r="H43" s="1" t="s">
        <v>925</v>
      </c>
      <c r="J43" s="44"/>
      <c r="K43" s="162">
        <v>0</v>
      </c>
      <c r="L43" s="162">
        <v>0</v>
      </c>
      <c r="M43" s="162">
        <v>0</v>
      </c>
      <c r="N43" s="162">
        <v>0</v>
      </c>
      <c r="O43" s="162">
        <v>0</v>
      </c>
      <c r="P43" s="162">
        <v>0</v>
      </c>
      <c r="Q43" s="162">
        <v>0</v>
      </c>
      <c r="R43" s="162">
        <v>0</v>
      </c>
      <c r="S43" s="162">
        <v>0</v>
      </c>
      <c r="T43" s="162">
        <v>0</v>
      </c>
    </row>
    <row r="44" spans="1:20" x14ac:dyDescent="0.4">
      <c r="H44" s="1" t="s">
        <v>926</v>
      </c>
      <c r="J44" s="204">
        <v>3.3000000000000002E-2</v>
      </c>
      <c r="K44" s="92">
        <v>3.3000000000000002E-2</v>
      </c>
      <c r="L44" s="92">
        <v>3.3000000000000002E-2</v>
      </c>
      <c r="M44" s="92">
        <v>3.3000000000000002E-2</v>
      </c>
      <c r="N44" s="92">
        <v>3.3000000000000002E-2</v>
      </c>
      <c r="O44" s="92">
        <v>3.3000000000000002E-2</v>
      </c>
      <c r="P44" s="92">
        <v>3.3000000000000002E-2</v>
      </c>
      <c r="Q44" s="92">
        <v>3.3000000000000002E-2</v>
      </c>
      <c r="R44" s="92">
        <v>3.3000000000000002E-2</v>
      </c>
      <c r="S44" s="92">
        <v>3.3000000000000002E-2</v>
      </c>
      <c r="T44" s="92">
        <v>3.3000000000000002E-2</v>
      </c>
    </row>
    <row r="45" spans="1:20" x14ac:dyDescent="0.4">
      <c r="H45" s="1" t="s">
        <v>103</v>
      </c>
      <c r="J45" s="44"/>
      <c r="K45" s="162">
        <v>0</v>
      </c>
      <c r="L45" s="162">
        <v>0</v>
      </c>
      <c r="M45" s="162">
        <v>0</v>
      </c>
      <c r="N45" s="162">
        <v>0</v>
      </c>
      <c r="O45" s="162">
        <v>0</v>
      </c>
      <c r="P45" s="162">
        <v>0</v>
      </c>
      <c r="Q45" s="162">
        <v>0</v>
      </c>
      <c r="R45" s="162">
        <v>0</v>
      </c>
      <c r="S45" s="162">
        <v>0</v>
      </c>
      <c r="T45" s="162">
        <v>0</v>
      </c>
    </row>
    <row r="46" spans="1:20" x14ac:dyDescent="0.4">
      <c r="J46" s="44"/>
      <c r="K46" s="82"/>
      <c r="L46" s="82"/>
      <c r="M46" s="82"/>
      <c r="N46" s="82"/>
      <c r="O46" s="82"/>
      <c r="P46" s="82"/>
      <c r="Q46" s="82"/>
      <c r="R46" s="82"/>
      <c r="S46" s="82"/>
      <c r="T46" s="82"/>
    </row>
    <row r="47" spans="1:20" x14ac:dyDescent="0.4">
      <c r="B47" s="14" t="s">
        <v>944</v>
      </c>
      <c r="H47" s="1" t="s">
        <v>925</v>
      </c>
      <c r="J47" s="44"/>
      <c r="K47" s="162">
        <v>14018</v>
      </c>
      <c r="L47" s="162">
        <v>13018</v>
      </c>
      <c r="M47" s="162">
        <v>12018</v>
      </c>
      <c r="N47" s="162">
        <v>11018</v>
      </c>
      <c r="O47" s="162">
        <v>10018</v>
      </c>
      <c r="P47" s="162">
        <v>9018</v>
      </c>
      <c r="Q47" s="162">
        <v>8018</v>
      </c>
      <c r="R47" s="162">
        <v>7018</v>
      </c>
      <c r="S47" s="162">
        <v>6018</v>
      </c>
      <c r="T47" s="162">
        <v>5018</v>
      </c>
    </row>
    <row r="48" spans="1:20" x14ac:dyDescent="0.4">
      <c r="H48" s="1" t="s">
        <v>926</v>
      </c>
      <c r="J48" s="44"/>
      <c r="K48" s="92">
        <v>0.05</v>
      </c>
      <c r="L48" s="92">
        <v>0.05</v>
      </c>
      <c r="M48" s="92">
        <v>0.05</v>
      </c>
      <c r="N48" s="92">
        <v>0.05</v>
      </c>
      <c r="O48" s="92">
        <v>0.05</v>
      </c>
      <c r="P48" s="92">
        <v>0.05</v>
      </c>
      <c r="Q48" s="92">
        <v>0.05</v>
      </c>
      <c r="R48" s="92">
        <v>0.05</v>
      </c>
      <c r="S48" s="92">
        <v>0.05</v>
      </c>
      <c r="T48" s="92">
        <v>0.05</v>
      </c>
    </row>
    <row r="49" spans="1:20" x14ac:dyDescent="0.4">
      <c r="H49" s="1" t="s">
        <v>103</v>
      </c>
      <c r="J49" s="44"/>
      <c r="K49" s="162">
        <v>700.90000000000009</v>
      </c>
      <c r="L49" s="162">
        <v>650.90000000000009</v>
      </c>
      <c r="M49" s="162">
        <v>600.9</v>
      </c>
      <c r="N49" s="162">
        <v>550.9</v>
      </c>
      <c r="O49" s="162">
        <v>500.90000000000003</v>
      </c>
      <c r="P49" s="162">
        <v>450.90000000000003</v>
      </c>
      <c r="Q49" s="162">
        <v>400.90000000000003</v>
      </c>
      <c r="R49" s="162">
        <v>350.90000000000003</v>
      </c>
      <c r="S49" s="162">
        <v>300.90000000000003</v>
      </c>
      <c r="T49" s="162">
        <v>250.9</v>
      </c>
    </row>
    <row r="50" spans="1:20" x14ac:dyDescent="0.4">
      <c r="J50" s="44"/>
      <c r="K50" s="82"/>
      <c r="L50" s="82"/>
      <c r="M50" s="82"/>
      <c r="N50" s="82"/>
      <c r="O50" s="82"/>
      <c r="P50" s="82"/>
      <c r="Q50" s="82"/>
      <c r="R50" s="82"/>
      <c r="S50" s="82"/>
      <c r="T50" s="82"/>
    </row>
    <row r="51" spans="1:20" x14ac:dyDescent="0.4">
      <c r="B51" s="14" t="s">
        <v>945</v>
      </c>
      <c r="H51" s="1" t="s">
        <v>925</v>
      </c>
      <c r="J51" s="44"/>
      <c r="K51" s="162">
        <v>35096</v>
      </c>
      <c r="L51" s="162">
        <v>32096</v>
      </c>
      <c r="M51" s="162">
        <v>29096</v>
      </c>
      <c r="N51" s="162">
        <v>26096</v>
      </c>
      <c r="O51" s="162">
        <v>23096</v>
      </c>
      <c r="P51" s="162">
        <v>20096</v>
      </c>
      <c r="Q51" s="162">
        <v>17096</v>
      </c>
      <c r="R51" s="162">
        <v>14096</v>
      </c>
      <c r="S51" s="162">
        <v>11096</v>
      </c>
      <c r="T51" s="162">
        <v>8096</v>
      </c>
    </row>
    <row r="52" spans="1:20" x14ac:dyDescent="0.4">
      <c r="H52" s="1" t="s">
        <v>926</v>
      </c>
      <c r="J52" s="44"/>
      <c r="K52" s="92">
        <v>7.0000000000000007E-2</v>
      </c>
      <c r="L52" s="92">
        <v>7.0000000000000007E-2</v>
      </c>
      <c r="M52" s="92">
        <v>7.0000000000000007E-2</v>
      </c>
      <c r="N52" s="92">
        <v>7.0000000000000007E-2</v>
      </c>
      <c r="O52" s="92">
        <v>7.0000000000000007E-2</v>
      </c>
      <c r="P52" s="92">
        <v>7.0000000000000007E-2</v>
      </c>
      <c r="Q52" s="92">
        <v>7.0000000000000007E-2</v>
      </c>
      <c r="R52" s="92">
        <v>7.0000000000000007E-2</v>
      </c>
      <c r="S52" s="92">
        <v>7.0000000000000007E-2</v>
      </c>
      <c r="T52" s="92">
        <v>7.0000000000000007E-2</v>
      </c>
    </row>
    <row r="53" spans="1:20" x14ac:dyDescent="0.4">
      <c r="H53" s="1" t="s">
        <v>103</v>
      </c>
      <c r="J53" s="44"/>
      <c r="K53" s="162">
        <v>2456.7200000000003</v>
      </c>
      <c r="L53" s="162">
        <v>2246.7200000000003</v>
      </c>
      <c r="M53" s="162">
        <v>2036.7200000000003</v>
      </c>
      <c r="N53" s="162">
        <v>1826.7200000000003</v>
      </c>
      <c r="O53" s="162">
        <v>1616.7200000000003</v>
      </c>
      <c r="P53" s="162">
        <v>1406.72</v>
      </c>
      <c r="Q53" s="162">
        <v>1196.72</v>
      </c>
      <c r="R53" s="162">
        <v>986.72000000000014</v>
      </c>
      <c r="S53" s="162">
        <v>776.72</v>
      </c>
      <c r="T53" s="162">
        <v>566.72</v>
      </c>
    </row>
    <row r="54" spans="1:20" x14ac:dyDescent="0.4">
      <c r="J54" s="44"/>
      <c r="K54" s="82"/>
      <c r="L54" s="82"/>
      <c r="M54" s="82"/>
      <c r="N54" s="82"/>
      <c r="O54" s="82"/>
      <c r="P54" s="82"/>
      <c r="Q54" s="82"/>
      <c r="R54" s="82"/>
      <c r="S54" s="82"/>
      <c r="T54" s="82"/>
    </row>
    <row r="55" spans="1:20" s="2" customFormat="1" x14ac:dyDescent="0.4">
      <c r="A55" s="1" t="s">
        <v>274</v>
      </c>
      <c r="H55" s="2" t="s">
        <v>927</v>
      </c>
      <c r="J55" s="205"/>
      <c r="K55" s="164">
        <v>3157.6200000000003</v>
      </c>
      <c r="L55" s="164">
        <v>2897.6200000000003</v>
      </c>
      <c r="M55" s="164">
        <v>2637.6200000000003</v>
      </c>
      <c r="N55" s="164">
        <v>2377.6200000000003</v>
      </c>
      <c r="O55" s="164">
        <v>2117.6200000000003</v>
      </c>
      <c r="P55" s="164">
        <v>1857.6200000000001</v>
      </c>
      <c r="Q55" s="164">
        <v>1597.6200000000001</v>
      </c>
      <c r="R55" s="164">
        <v>1337.6200000000001</v>
      </c>
      <c r="S55" s="164">
        <v>1077.6200000000001</v>
      </c>
      <c r="T55" s="164">
        <v>817.62</v>
      </c>
    </row>
    <row r="56" spans="1:20" x14ac:dyDescent="0.4">
      <c r="J56" s="44"/>
      <c r="K56" s="82"/>
      <c r="L56" s="82"/>
      <c r="M56" s="82"/>
      <c r="N56" s="82"/>
      <c r="O56" s="82"/>
      <c r="P56" s="82"/>
      <c r="Q56" s="82"/>
      <c r="R56" s="82"/>
      <c r="S56" s="82"/>
      <c r="T56" s="82"/>
    </row>
    <row r="57" spans="1:20" x14ac:dyDescent="0.4">
      <c r="B57" s="14" t="s">
        <v>946</v>
      </c>
      <c r="H57" s="1" t="s">
        <v>925</v>
      </c>
      <c r="J57" s="44"/>
      <c r="K57" s="82">
        <v>78414.614893349193</v>
      </c>
      <c r="L57" s="82">
        <v>66627.610517875917</v>
      </c>
      <c r="M57" s="82">
        <v>66904.286502605421</v>
      </c>
      <c r="N57" s="82">
        <v>102146.61799316001</v>
      </c>
      <c r="O57" s="82">
        <v>167880.07265533932</v>
      </c>
      <c r="P57" s="82">
        <v>251788.83230608032</v>
      </c>
      <c r="Q57" s="82">
        <v>348510.48483940074</v>
      </c>
      <c r="R57" s="82">
        <v>455050.6025586403</v>
      </c>
      <c r="S57" s="82">
        <v>576144.0859912564</v>
      </c>
      <c r="T57" s="82">
        <v>709091.80953278148</v>
      </c>
    </row>
    <row r="58" spans="1:20" x14ac:dyDescent="0.4">
      <c r="H58" s="1" t="s">
        <v>926</v>
      </c>
      <c r="J58" s="44"/>
      <c r="K58" s="92">
        <v>2.5000000000000001E-2</v>
      </c>
      <c r="L58" s="92">
        <v>2.5000000000000001E-2</v>
      </c>
      <c r="M58" s="92">
        <v>2.5000000000000001E-2</v>
      </c>
      <c r="N58" s="92">
        <v>2.5000000000000001E-2</v>
      </c>
      <c r="O58" s="92">
        <v>2.5000000000000001E-2</v>
      </c>
      <c r="P58" s="92">
        <v>2.5000000000000001E-2</v>
      </c>
      <c r="Q58" s="92">
        <v>2.5000000000000001E-2</v>
      </c>
      <c r="R58" s="92">
        <v>2.5000000000000001E-2</v>
      </c>
      <c r="S58" s="92">
        <v>2.5000000000000001E-2</v>
      </c>
      <c r="T58" s="92">
        <v>2.5000000000000001E-2</v>
      </c>
    </row>
    <row r="59" spans="1:20" s="2" customFormat="1" x14ac:dyDescent="0.4">
      <c r="A59" s="1" t="s">
        <v>274</v>
      </c>
      <c r="H59" s="2" t="s">
        <v>928</v>
      </c>
      <c r="J59" s="205"/>
      <c r="K59" s="164">
        <v>-1960.36537233373</v>
      </c>
      <c r="L59" s="164">
        <v>-1665.690262946898</v>
      </c>
      <c r="M59" s="164">
        <v>-1672.6071625651357</v>
      </c>
      <c r="N59" s="164">
        <v>-2553.6654498290004</v>
      </c>
      <c r="O59" s="164">
        <v>-4197.0018163834829</v>
      </c>
      <c r="P59" s="164">
        <v>-6294.7208076520083</v>
      </c>
      <c r="Q59" s="164">
        <v>-8712.7621209850186</v>
      </c>
      <c r="R59" s="164">
        <v>-11376.265063966008</v>
      </c>
      <c r="S59" s="164">
        <v>-14403.602149781411</v>
      </c>
      <c r="T59" s="164">
        <v>-17727.295238319537</v>
      </c>
    </row>
    <row r="60" spans="1:20" x14ac:dyDescent="0.4">
      <c r="K60" s="82"/>
      <c r="L60" s="82"/>
      <c r="M60" s="82"/>
      <c r="N60" s="82"/>
      <c r="O60" s="82"/>
      <c r="P60" s="82"/>
      <c r="Q60" s="82"/>
      <c r="R60" s="82"/>
      <c r="S60" s="82"/>
      <c r="T60" s="82"/>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79"/>
  <sheetViews>
    <sheetView showGridLines="0" zoomScaleNormal="100" workbookViewId="0"/>
  </sheetViews>
  <sheetFormatPr defaultColWidth="8.59765625" defaultRowHeight="13.2" outlineLevelRow="1"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22" width="5.296875" style="1" customWidth="1"/>
    <col min="23" max="23" width="5.5" style="1" customWidth="1"/>
    <col min="24" max="28" width="9.59765625" style="1" customWidth="1"/>
    <col min="29" max="16384" width="8.59765625" style="1"/>
  </cols>
  <sheetData>
    <row r="1" spans="1:23" ht="8.1" customHeight="1" x14ac:dyDescent="0.4"/>
    <row r="2" spans="1:23" x14ac:dyDescent="0.4">
      <c r="B2" s="2" t="s">
        <v>229</v>
      </c>
    </row>
    <row r="3" spans="1:23" s="60" customFormat="1" ht="18" thickBot="1" x14ac:dyDescent="0.35">
      <c r="A3" s="59"/>
      <c r="B3" s="65" t="s">
        <v>1026</v>
      </c>
      <c r="W3" s="61"/>
    </row>
    <row r="4" spans="1:23" s="62" customFormat="1" x14ac:dyDescent="0.25">
      <c r="A4" s="59"/>
      <c r="B4" s="64" t="s">
        <v>223</v>
      </c>
      <c r="W4" s="63"/>
    </row>
    <row r="5" spans="1:23" s="62" customFormat="1" x14ac:dyDescent="0.25">
      <c r="A5" s="59"/>
    </row>
    <row r="6" spans="1:23" s="62" customFormat="1" x14ac:dyDescent="0.25">
      <c r="A6" s="59"/>
    </row>
    <row r="7" spans="1:23" x14ac:dyDescent="0.4">
      <c r="B7" s="6"/>
      <c r="F7" s="53"/>
      <c r="G7" s="53"/>
      <c r="H7" s="53" t="s">
        <v>225</v>
      </c>
      <c r="I7" s="53"/>
      <c r="J7" s="54"/>
      <c r="K7" s="53" t="s">
        <v>226</v>
      </c>
      <c r="L7" s="53"/>
      <c r="M7" s="53"/>
      <c r="N7" s="53"/>
      <c r="O7" s="53"/>
      <c r="P7" s="53"/>
      <c r="Q7" s="53"/>
      <c r="R7" s="53"/>
      <c r="S7" s="53"/>
      <c r="T7" s="53"/>
    </row>
    <row r="8" spans="1:23" x14ac:dyDescent="0.4">
      <c r="F8" s="55">
        <v>2013</v>
      </c>
      <c r="G8" s="56">
        <v>2014</v>
      </c>
      <c r="H8" s="56">
        <v>2015</v>
      </c>
      <c r="I8" s="56">
        <v>2016</v>
      </c>
      <c r="J8" s="66">
        <v>2017</v>
      </c>
      <c r="K8" s="58">
        <v>2018</v>
      </c>
      <c r="L8" s="58">
        <v>2019</v>
      </c>
      <c r="M8" s="58">
        <v>2020</v>
      </c>
      <c r="N8" s="58">
        <v>2021</v>
      </c>
      <c r="O8" s="58">
        <v>2022</v>
      </c>
      <c r="P8" s="58">
        <v>2023</v>
      </c>
      <c r="Q8" s="58">
        <v>2024</v>
      </c>
      <c r="R8" s="58">
        <v>2025</v>
      </c>
      <c r="S8" s="58">
        <v>2026</v>
      </c>
      <c r="T8" s="58">
        <v>2027</v>
      </c>
    </row>
    <row r="9" spans="1:23" x14ac:dyDescent="0.4">
      <c r="J9" s="213"/>
    </row>
    <row r="10" spans="1:23" x14ac:dyDescent="0.4">
      <c r="A10" s="1" t="s">
        <v>234</v>
      </c>
      <c r="B10" s="1" t="s">
        <v>260</v>
      </c>
      <c r="G10" s="82"/>
      <c r="H10" s="82">
        <v>190592</v>
      </c>
      <c r="I10" s="82">
        <v>268475</v>
      </c>
      <c r="J10" s="90">
        <v>358810</v>
      </c>
      <c r="K10" s="82">
        <v>456021.92514686787</v>
      </c>
      <c r="L10" s="82">
        <v>581236.36886195373</v>
      </c>
      <c r="M10" s="82">
        <v>716363.53643263865</v>
      </c>
      <c r="N10" s="82">
        <v>840241.65172323375</v>
      </c>
      <c r="O10" s="82">
        <v>940457.65306779055</v>
      </c>
      <c r="P10" s="82">
        <v>1030067.4647129086</v>
      </c>
      <c r="Q10" s="82">
        <v>1109655.6762235709</v>
      </c>
      <c r="R10" s="82">
        <v>1179612.0139764333</v>
      </c>
      <c r="S10" s="82">
        <v>1229914.8778370393</v>
      </c>
      <c r="T10" s="82">
        <v>1260661.6993995535</v>
      </c>
    </row>
    <row r="11" spans="1:23" x14ac:dyDescent="0.4">
      <c r="J11" s="44"/>
    </row>
    <row r="12" spans="1:23" outlineLevel="1" x14ac:dyDescent="0.4">
      <c r="B12" s="1" t="s">
        <v>960</v>
      </c>
      <c r="J12" s="44"/>
      <c r="K12" s="212">
        <v>61880.739986302098</v>
      </c>
      <c r="L12" s="212">
        <v>72805.583596239478</v>
      </c>
      <c r="M12" s="212">
        <v>89419.9183931445</v>
      </c>
      <c r="N12" s="212">
        <v>116876.34343251934</v>
      </c>
      <c r="O12" s="212">
        <v>134101.09282130594</v>
      </c>
      <c r="P12" s="212">
        <v>149485.44437289727</v>
      </c>
      <c r="Q12" s="212">
        <v>162080.65431894333</v>
      </c>
      <c r="R12" s="212">
        <v>174418.11570276658</v>
      </c>
      <c r="S12" s="212">
        <v>183850.35358548741</v>
      </c>
      <c r="T12" s="212">
        <v>190474.79956127057</v>
      </c>
    </row>
    <row r="13" spans="1:23" x14ac:dyDescent="0.4">
      <c r="A13" s="1" t="s">
        <v>234</v>
      </c>
      <c r="B13" s="1" t="s">
        <v>315</v>
      </c>
      <c r="G13" s="82"/>
      <c r="H13" s="82">
        <v>6753</v>
      </c>
      <c r="I13" s="82">
        <v>27805</v>
      </c>
      <c r="J13" s="90">
        <v>33813</v>
      </c>
      <c r="K13" s="82">
        <v>32663.801487023593</v>
      </c>
      <c r="L13" s="82">
        <v>36435.328146504035</v>
      </c>
      <c r="M13" s="82">
        <v>46887.671091557189</v>
      </c>
      <c r="N13" s="82">
        <v>71329.635159311059</v>
      </c>
      <c r="O13" s="82">
        <v>87945.948280661396</v>
      </c>
      <c r="P13" s="82">
        <v>104157.7071915601</v>
      </c>
      <c r="Q13" s="82">
        <v>118866.16812365712</v>
      </c>
      <c r="R13" s="82">
        <v>134452.724120275</v>
      </c>
      <c r="S13" s="82">
        <v>148405.74386927768</v>
      </c>
      <c r="T13" s="82">
        <v>160522.65896482996</v>
      </c>
    </row>
    <row r="14" spans="1:23" x14ac:dyDescent="0.4">
      <c r="B14" s="93"/>
      <c r="C14" s="93" t="s">
        <v>949</v>
      </c>
      <c r="D14" s="93"/>
      <c r="E14" s="214">
        <v>0.21</v>
      </c>
      <c r="F14" s="93"/>
      <c r="G14" s="192"/>
      <c r="H14" s="93"/>
      <c r="I14" s="192">
        <v>5839.05</v>
      </c>
      <c r="J14" s="193">
        <v>7100.73</v>
      </c>
      <c r="K14" s="192">
        <v>6859.3983122749542</v>
      </c>
      <c r="L14" s="192">
        <v>7651.4189107658467</v>
      </c>
      <c r="M14" s="192">
        <v>9846.4109292270095</v>
      </c>
      <c r="N14" s="192">
        <v>14979.223383455323</v>
      </c>
      <c r="O14" s="192">
        <v>18468.649138938894</v>
      </c>
      <c r="P14" s="192">
        <v>21873.118510227621</v>
      </c>
      <c r="Q14" s="192">
        <v>24961.895305967995</v>
      </c>
      <c r="R14" s="192">
        <v>28235.072065257747</v>
      </c>
      <c r="S14" s="192">
        <v>31165.20621254831</v>
      </c>
      <c r="T14" s="192">
        <v>33709.758382614287</v>
      </c>
    </row>
    <row r="15" spans="1:23" x14ac:dyDescent="0.4">
      <c r="C15" s="2" t="s">
        <v>958</v>
      </c>
      <c r="D15" s="2"/>
      <c r="E15" s="2"/>
      <c r="F15" s="2"/>
      <c r="G15" s="164"/>
      <c r="H15" s="164"/>
      <c r="I15" s="164">
        <v>21965.95</v>
      </c>
      <c r="J15" s="174">
        <v>26712.27</v>
      </c>
      <c r="K15" s="164">
        <v>25804.403174748637</v>
      </c>
      <c r="L15" s="164">
        <v>28783.909235738189</v>
      </c>
      <c r="M15" s="164">
        <v>37041.260162330182</v>
      </c>
      <c r="N15" s="164">
        <v>56350.41177585574</v>
      </c>
      <c r="O15" s="164">
        <v>69477.299141722498</v>
      </c>
      <c r="P15" s="164">
        <v>82284.588681332476</v>
      </c>
      <c r="Q15" s="164">
        <v>93904.272817689125</v>
      </c>
      <c r="R15" s="164">
        <v>106217.65205501726</v>
      </c>
      <c r="S15" s="164">
        <v>117240.53765672937</v>
      </c>
      <c r="T15" s="164">
        <v>126812.90058221566</v>
      </c>
    </row>
    <row r="16" spans="1:23" x14ac:dyDescent="0.4">
      <c r="G16" s="162"/>
      <c r="H16" s="162"/>
      <c r="I16" s="162"/>
      <c r="J16" s="169"/>
      <c r="K16" s="162"/>
      <c r="L16" s="162"/>
      <c r="M16" s="162"/>
      <c r="N16" s="162"/>
      <c r="O16" s="162"/>
      <c r="P16" s="162"/>
      <c r="Q16" s="162"/>
      <c r="R16" s="162"/>
      <c r="S16" s="162"/>
      <c r="T16" s="162"/>
    </row>
    <row r="17" spans="1:20" x14ac:dyDescent="0.4">
      <c r="C17" s="1" t="s">
        <v>950</v>
      </c>
      <c r="F17" s="162"/>
      <c r="G17" s="82"/>
      <c r="H17" s="82"/>
      <c r="I17" s="82"/>
      <c r="J17" s="90"/>
      <c r="K17" s="82">
        <v>29216.938499278502</v>
      </c>
      <c r="L17" s="82">
        <v>36370.25544973545</v>
      </c>
      <c r="M17" s="82">
        <v>42532.247301587304</v>
      </c>
      <c r="N17" s="82">
        <v>45546.708273208278</v>
      </c>
      <c r="O17" s="82">
        <v>46155.144540644549</v>
      </c>
      <c r="P17" s="82">
        <v>45327.737181337186</v>
      </c>
      <c r="Q17" s="82">
        <v>43214.486195286205</v>
      </c>
      <c r="R17" s="82">
        <v>39965.391582491589</v>
      </c>
      <c r="S17" s="82">
        <v>35444.609716209721</v>
      </c>
      <c r="T17" s="82">
        <v>29952.140596440604</v>
      </c>
    </row>
    <row r="18" spans="1:20" x14ac:dyDescent="0.4">
      <c r="C18" s="1" t="s">
        <v>951</v>
      </c>
      <c r="G18" s="82"/>
      <c r="H18" s="82"/>
      <c r="I18" s="82"/>
      <c r="J18" s="90"/>
      <c r="K18" s="82">
        <v>0</v>
      </c>
      <c r="L18" s="82">
        <v>0</v>
      </c>
      <c r="M18" s="82">
        <v>0</v>
      </c>
      <c r="N18" s="82">
        <v>0</v>
      </c>
      <c r="O18" s="82">
        <v>0</v>
      </c>
      <c r="P18" s="82">
        <v>0</v>
      </c>
      <c r="Q18" s="82">
        <v>0</v>
      </c>
      <c r="R18" s="82">
        <v>0</v>
      </c>
      <c r="S18" s="82">
        <v>0</v>
      </c>
      <c r="T18" s="82">
        <v>0</v>
      </c>
    </row>
    <row r="19" spans="1:20" x14ac:dyDescent="0.4">
      <c r="C19" s="1" t="s">
        <v>1024</v>
      </c>
      <c r="G19" s="162"/>
      <c r="H19" s="162"/>
      <c r="I19" s="162"/>
      <c r="J19" s="169"/>
      <c r="K19" s="82">
        <v>-75900</v>
      </c>
      <c r="L19" s="82">
        <v>-88000</v>
      </c>
      <c r="M19" s="82">
        <v>-77700</v>
      </c>
      <c r="N19" s="82">
        <v>-50000</v>
      </c>
      <c r="O19" s="82">
        <v>-47500</v>
      </c>
      <c r="P19" s="82">
        <v>-36000</v>
      </c>
      <c r="Q19" s="82">
        <v>-36000</v>
      </c>
      <c r="R19" s="82">
        <v>-27000</v>
      </c>
      <c r="S19" s="82">
        <v>-18000</v>
      </c>
      <c r="T19" s="82">
        <v>-9000</v>
      </c>
    </row>
    <row r="20" spans="1:20" x14ac:dyDescent="0.4">
      <c r="C20" s="1" t="s">
        <v>959</v>
      </c>
      <c r="G20" s="162"/>
      <c r="H20" s="162"/>
      <c r="I20" s="162"/>
      <c r="J20" s="169"/>
      <c r="K20" s="82">
        <v>0</v>
      </c>
      <c r="L20" s="82">
        <v>0</v>
      </c>
      <c r="M20" s="82">
        <v>0</v>
      </c>
      <c r="N20" s="82">
        <v>0</v>
      </c>
      <c r="O20" s="82">
        <v>0</v>
      </c>
      <c r="P20" s="82">
        <v>0</v>
      </c>
      <c r="Q20" s="82">
        <v>0</v>
      </c>
      <c r="R20" s="82">
        <v>0</v>
      </c>
      <c r="S20" s="82">
        <v>0</v>
      </c>
      <c r="T20" s="82">
        <v>0</v>
      </c>
    </row>
    <row r="21" spans="1:20" x14ac:dyDescent="0.4">
      <c r="C21" s="1" t="s">
        <v>1023</v>
      </c>
      <c r="G21" s="162"/>
      <c r="H21" s="162"/>
      <c r="I21" s="162"/>
      <c r="J21" s="169"/>
      <c r="K21" s="82">
        <v>0</v>
      </c>
      <c r="L21" s="82">
        <v>0</v>
      </c>
      <c r="M21" s="82">
        <v>0</v>
      </c>
      <c r="N21" s="82">
        <v>0</v>
      </c>
      <c r="O21" s="82">
        <v>0</v>
      </c>
      <c r="P21" s="82">
        <v>0</v>
      </c>
      <c r="Q21" s="82">
        <v>0</v>
      </c>
      <c r="R21" s="82">
        <v>0</v>
      </c>
      <c r="S21" s="82">
        <v>0</v>
      </c>
      <c r="T21" s="82">
        <v>0</v>
      </c>
    </row>
    <row r="22" spans="1:20" x14ac:dyDescent="0.4">
      <c r="C22" s="1" t="s">
        <v>1022</v>
      </c>
      <c r="G22" s="162"/>
      <c r="H22" s="162"/>
      <c r="I22" s="162"/>
      <c r="J22" s="169"/>
      <c r="K22" s="82">
        <v>7298.8881126712513</v>
      </c>
      <c r="L22" s="82">
        <v>10205.59677688143</v>
      </c>
      <c r="M22" s="82">
        <v>10810.363944228069</v>
      </c>
      <c r="N22" s="82">
        <v>8599.0702358891722</v>
      </c>
      <c r="O22" s="82">
        <v>7293.9496444339748</v>
      </c>
      <c r="P22" s="82">
        <v>6578.8410879896401</v>
      </c>
      <c r="Q22" s="82">
        <v>5849.4461235462513</v>
      </c>
      <c r="R22" s="82">
        <v>5110.5268871034496</v>
      </c>
      <c r="S22" s="82">
        <v>3642.2126862173027</v>
      </c>
      <c r="T22" s="82">
        <v>2171.517417331328</v>
      </c>
    </row>
    <row r="23" spans="1:20" x14ac:dyDescent="0.4">
      <c r="B23" s="93"/>
      <c r="C23" s="93" t="s">
        <v>1021</v>
      </c>
      <c r="D23" s="93"/>
      <c r="E23" s="93"/>
      <c r="F23" s="93"/>
      <c r="G23" s="192"/>
      <c r="H23" s="192"/>
      <c r="I23" s="192"/>
      <c r="J23" s="193"/>
      <c r="K23" s="171">
        <v>-500</v>
      </c>
      <c r="L23" s="171">
        <v>-500</v>
      </c>
      <c r="M23" s="171">
        <v>-500</v>
      </c>
      <c r="N23" s="171">
        <v>-500</v>
      </c>
      <c r="O23" s="171">
        <v>-500</v>
      </c>
      <c r="P23" s="171">
        <v>-500</v>
      </c>
      <c r="Q23" s="171">
        <v>-500</v>
      </c>
      <c r="R23" s="171">
        <v>-500</v>
      </c>
      <c r="S23" s="171">
        <v>-500</v>
      </c>
      <c r="T23" s="171">
        <v>-500</v>
      </c>
    </row>
    <row r="24" spans="1:20" x14ac:dyDescent="0.4">
      <c r="A24" s="1" t="s">
        <v>234</v>
      </c>
      <c r="B24" s="2" t="s">
        <v>552</v>
      </c>
      <c r="C24" s="2"/>
      <c r="D24" s="2"/>
      <c r="E24" s="2"/>
      <c r="F24" s="2"/>
      <c r="G24" s="164"/>
      <c r="H24" s="164"/>
      <c r="I24" s="164"/>
      <c r="J24" s="174"/>
      <c r="K24" s="164">
        <v>-14079.770213301614</v>
      </c>
      <c r="L24" s="164">
        <v>-13140.238537644931</v>
      </c>
      <c r="M24" s="164">
        <v>12183.871408145555</v>
      </c>
      <c r="N24" s="164">
        <v>59996.190284953191</v>
      </c>
      <c r="O24" s="164">
        <v>74926.393326801015</v>
      </c>
      <c r="P24" s="164">
        <v>97691.166950659303</v>
      </c>
      <c r="Q24" s="164">
        <v>106468.20513652157</v>
      </c>
      <c r="R24" s="164">
        <v>123793.5705246123</v>
      </c>
      <c r="S24" s="164">
        <v>137827.3600591564</v>
      </c>
      <c r="T24" s="164">
        <v>149436.55859598762</v>
      </c>
    </row>
    <row r="25" spans="1:20" x14ac:dyDescent="0.4">
      <c r="C25" s="1" t="s">
        <v>952</v>
      </c>
      <c r="G25" s="162"/>
      <c r="H25" s="162"/>
      <c r="I25" s="162"/>
      <c r="J25" s="162"/>
      <c r="K25" s="162"/>
      <c r="L25" s="183"/>
      <c r="M25" s="183"/>
      <c r="N25" s="183">
        <v>3.9242304252195739</v>
      </c>
      <c r="O25" s="183">
        <v>0.24885251831718813</v>
      </c>
      <c r="P25" s="183">
        <v>0.30382849905195397</v>
      </c>
      <c r="Q25" s="183">
        <v>8.9844747072120423E-2</v>
      </c>
      <c r="R25" s="183">
        <v>0.16272806858981825</v>
      </c>
      <c r="S25" s="183">
        <v>0.1133644459487817</v>
      </c>
      <c r="T25" s="183">
        <v>8.4229999993096216E-2</v>
      </c>
    </row>
    <row r="26" spans="1:20" x14ac:dyDescent="0.4">
      <c r="G26" s="162"/>
      <c r="H26" s="162"/>
      <c r="I26" s="162"/>
      <c r="J26" s="162"/>
      <c r="K26" s="162"/>
      <c r="L26" s="162"/>
      <c r="M26" s="162"/>
      <c r="N26" s="162"/>
      <c r="O26" s="162"/>
      <c r="P26" s="162"/>
      <c r="Q26" s="162"/>
      <c r="R26" s="162"/>
      <c r="S26" s="162"/>
      <c r="T26" s="162"/>
    </row>
    <row r="27" spans="1:20" x14ac:dyDescent="0.4">
      <c r="B27" s="1" t="s">
        <v>1020</v>
      </c>
      <c r="G27" s="162"/>
      <c r="H27" s="575">
        <v>8.1839638913479396E-2</v>
      </c>
      <c r="I27" s="162"/>
      <c r="J27" s="162"/>
      <c r="K27" s="162"/>
      <c r="L27" s="162"/>
      <c r="M27" s="162"/>
      <c r="N27" s="162"/>
      <c r="O27" s="162"/>
      <c r="P27" s="162"/>
      <c r="Q27" s="162"/>
      <c r="R27" s="162"/>
      <c r="S27" s="162"/>
      <c r="T27" s="162"/>
    </row>
    <row r="28" spans="1:20" x14ac:dyDescent="0.4">
      <c r="B28" s="1" t="s">
        <v>1018</v>
      </c>
      <c r="G28" s="162"/>
      <c r="H28" s="162"/>
      <c r="I28" s="162"/>
      <c r="J28" s="162"/>
      <c r="K28" s="163">
        <v>1</v>
      </c>
      <c r="L28" s="162">
        <v>2</v>
      </c>
      <c r="M28" s="162">
        <v>3</v>
      </c>
      <c r="N28" s="162">
        <v>4</v>
      </c>
      <c r="O28" s="162">
        <v>5</v>
      </c>
      <c r="P28" s="162">
        <v>6</v>
      </c>
      <c r="Q28" s="162">
        <v>7</v>
      </c>
      <c r="R28" s="162">
        <v>8</v>
      </c>
      <c r="S28" s="162">
        <v>9</v>
      </c>
      <c r="T28" s="162">
        <v>10</v>
      </c>
    </row>
    <row r="29" spans="1:20" x14ac:dyDescent="0.4">
      <c r="B29" s="1" t="s">
        <v>1019</v>
      </c>
      <c r="G29" s="162"/>
      <c r="H29" s="162"/>
      <c r="I29" s="162"/>
      <c r="J29" s="162"/>
      <c r="K29" s="285">
        <v>1.0818396389134795</v>
      </c>
      <c r="L29" s="285">
        <v>1.1703770043244477</v>
      </c>
      <c r="M29" s="285">
        <v>1.2661602357510002</v>
      </c>
      <c r="N29" s="285">
        <v>1.3697823322514682</v>
      </c>
      <c r="O29" s="285">
        <v>1.481884823712992</v>
      </c>
      <c r="P29" s="285">
        <v>1.6031617425970286</v>
      </c>
      <c r="Q29" s="285">
        <v>1.7343639207310739</v>
      </c>
      <c r="R29" s="285">
        <v>1.8763036377482716</v>
      </c>
      <c r="S29" s="285">
        <v>2.0298596499536381</v>
      </c>
      <c r="T29" s="285">
        <v>2.1959826307508856</v>
      </c>
    </row>
    <row r="30" spans="1:20" x14ac:dyDescent="0.4">
      <c r="G30" s="162"/>
      <c r="H30" s="162"/>
      <c r="I30" s="162"/>
      <c r="J30" s="162"/>
      <c r="K30" s="162"/>
      <c r="L30" s="162"/>
      <c r="M30" s="162"/>
      <c r="N30" s="162"/>
      <c r="O30" s="162"/>
      <c r="P30" s="162"/>
      <c r="Q30" s="162"/>
      <c r="R30" s="162"/>
      <c r="S30" s="162"/>
      <c r="T30" s="162"/>
    </row>
    <row r="31" spans="1:20" x14ac:dyDescent="0.4">
      <c r="B31" s="1" t="s">
        <v>1017</v>
      </c>
      <c r="G31" s="162"/>
      <c r="H31" s="162"/>
      <c r="I31" s="162"/>
      <c r="J31" s="162"/>
      <c r="K31" s="162">
        <v>-13014.655506099134</v>
      </c>
      <c r="L31" s="162">
        <v>-11227.355364205569</v>
      </c>
      <c r="M31" s="162">
        <v>9622.6931348218422</v>
      </c>
      <c r="N31" s="162">
        <v>43799.798604745716</v>
      </c>
      <c r="O31" s="162">
        <v>50561.549809968623</v>
      </c>
      <c r="P31" s="162">
        <v>60936.563264293785</v>
      </c>
      <c r="Q31" s="162">
        <v>61387.465377879169</v>
      </c>
      <c r="R31" s="162">
        <v>65977.365301692538</v>
      </c>
      <c r="S31" s="162">
        <v>67899.945723983619</v>
      </c>
      <c r="T31" s="162">
        <v>68049.972938488077</v>
      </c>
    </row>
    <row r="32" spans="1:20" x14ac:dyDescent="0.4">
      <c r="A32" s="1" t="s">
        <v>234</v>
      </c>
      <c r="B32" s="2" t="s">
        <v>953</v>
      </c>
      <c r="C32" s="2"/>
      <c r="D32" s="2"/>
      <c r="E32" s="2"/>
      <c r="F32" s="2"/>
      <c r="G32" s="164"/>
      <c r="H32" s="164"/>
      <c r="I32" s="164"/>
      <c r="J32" s="164">
        <v>403993.34328556864</v>
      </c>
      <c r="L32" s="162"/>
      <c r="M32" s="162"/>
      <c r="N32" s="162"/>
      <c r="O32" s="162"/>
      <c r="P32" s="162"/>
      <c r="Q32" s="162"/>
      <c r="R32" s="162"/>
      <c r="S32" s="162"/>
      <c r="T32" s="162"/>
    </row>
    <row r="33" spans="1:20" x14ac:dyDescent="0.4">
      <c r="G33" s="162"/>
      <c r="H33" s="162"/>
      <c r="I33" s="162"/>
      <c r="J33" s="162"/>
      <c r="K33" s="162"/>
      <c r="L33" s="162"/>
      <c r="M33" s="162"/>
      <c r="N33" s="162"/>
      <c r="O33" s="162"/>
      <c r="P33" s="162"/>
      <c r="Q33" s="162"/>
      <c r="R33" s="162"/>
      <c r="S33" s="162"/>
      <c r="T33" s="162"/>
    </row>
    <row r="34" spans="1:20" x14ac:dyDescent="0.4">
      <c r="A34" s="1" t="s">
        <v>234</v>
      </c>
      <c r="B34" s="1" t="s">
        <v>1016</v>
      </c>
    </row>
    <row r="36" spans="1:20" x14ac:dyDescent="0.4">
      <c r="E36" s="286" t="s">
        <v>954</v>
      </c>
      <c r="F36" s="287"/>
      <c r="G36" s="287"/>
      <c r="H36" s="287"/>
      <c r="I36" s="287"/>
      <c r="J36" s="288"/>
      <c r="L36" s="286" t="s">
        <v>955</v>
      </c>
      <c r="M36" s="287"/>
      <c r="N36" s="287"/>
      <c r="O36" s="288"/>
      <c r="Q36" s="162"/>
    </row>
    <row r="37" spans="1:20" x14ac:dyDescent="0.4">
      <c r="E37" s="215"/>
      <c r="F37" s="72"/>
      <c r="G37" s="72"/>
      <c r="H37" s="72"/>
      <c r="I37" s="72"/>
      <c r="J37" s="169"/>
      <c r="L37" s="215"/>
      <c r="M37" s="72"/>
      <c r="N37" s="72"/>
      <c r="O37" s="169"/>
      <c r="Q37" s="162"/>
    </row>
    <row r="38" spans="1:20" x14ac:dyDescent="0.4">
      <c r="E38" s="215" t="s">
        <v>1015</v>
      </c>
      <c r="F38" s="72"/>
      <c r="G38" s="72"/>
      <c r="H38" s="72"/>
      <c r="I38" s="72"/>
      <c r="J38" s="216">
        <v>0.02</v>
      </c>
      <c r="L38" s="215" t="s">
        <v>1012</v>
      </c>
      <c r="M38" s="72"/>
      <c r="N38" s="72"/>
      <c r="O38" s="576">
        <v>13.395479999999999</v>
      </c>
      <c r="Q38" s="162"/>
    </row>
    <row r="39" spans="1:20" x14ac:dyDescent="0.4">
      <c r="E39" s="215" t="s">
        <v>1013</v>
      </c>
      <c r="F39" s="72"/>
      <c r="G39" s="72"/>
      <c r="H39" s="72"/>
      <c r="I39" s="72"/>
      <c r="J39" s="169">
        <v>2464847.6680332418</v>
      </c>
      <c r="L39" s="215" t="s">
        <v>1013</v>
      </c>
      <c r="M39" s="72"/>
      <c r="N39" s="72"/>
      <c r="O39" s="169">
        <v>2551501.3680270086</v>
      </c>
      <c r="Q39" s="162"/>
    </row>
    <row r="40" spans="1:20" x14ac:dyDescent="0.4">
      <c r="E40" s="217" t="s">
        <v>1014</v>
      </c>
      <c r="F40" s="96"/>
      <c r="G40" s="96"/>
      <c r="H40" s="96"/>
      <c r="I40" s="96"/>
      <c r="J40" s="218">
        <v>1122434.9562320635</v>
      </c>
      <c r="K40" s="2"/>
      <c r="L40" s="217" t="s">
        <v>1014</v>
      </c>
      <c r="M40" s="96"/>
      <c r="N40" s="96"/>
      <c r="O40" s="218">
        <v>1161895.0588669083</v>
      </c>
      <c r="Q40" s="162"/>
    </row>
    <row r="41" spans="1:20" x14ac:dyDescent="0.4">
      <c r="H41" s="162"/>
      <c r="I41" s="162"/>
      <c r="J41" s="162"/>
      <c r="O41" s="162"/>
      <c r="P41" s="162"/>
      <c r="Q41" s="162"/>
    </row>
    <row r="43" spans="1:20" x14ac:dyDescent="0.4">
      <c r="A43" s="1" t="s">
        <v>234</v>
      </c>
      <c r="B43" s="290" t="s">
        <v>1025</v>
      </c>
      <c r="C43" s="289"/>
      <c r="D43" s="289"/>
      <c r="E43" s="289"/>
      <c r="F43" s="289"/>
      <c r="G43" s="289"/>
      <c r="H43" s="289"/>
      <c r="I43" s="289"/>
      <c r="J43" s="162"/>
      <c r="K43" s="162"/>
    </row>
    <row r="44" spans="1:20" x14ac:dyDescent="0.4">
      <c r="J44" s="162"/>
      <c r="K44" s="162"/>
    </row>
    <row r="45" spans="1:20" x14ac:dyDescent="0.4">
      <c r="C45" s="1" t="s">
        <v>961</v>
      </c>
      <c r="G45" s="162"/>
      <c r="H45" s="162"/>
      <c r="I45" s="162"/>
      <c r="J45" s="160">
        <v>403993.34328556864</v>
      </c>
      <c r="K45" s="162"/>
      <c r="L45" s="162"/>
      <c r="M45" s="162"/>
      <c r="N45" s="162"/>
      <c r="O45" s="160">
        <v>403993.34328556864</v>
      </c>
      <c r="P45" s="162"/>
      <c r="Q45" s="162"/>
      <c r="R45" s="162"/>
    </row>
    <row r="46" spans="1:20" x14ac:dyDescent="0.4">
      <c r="C46" s="93" t="s">
        <v>1007</v>
      </c>
      <c r="D46" s="93"/>
      <c r="E46" s="93"/>
      <c r="F46" s="93"/>
      <c r="G46" s="192"/>
      <c r="H46" s="192"/>
      <c r="I46" s="192"/>
      <c r="J46" s="202">
        <v>1122434.9562320635</v>
      </c>
      <c r="K46" s="192"/>
      <c r="L46" s="192"/>
      <c r="M46" s="192"/>
      <c r="N46" s="192"/>
      <c r="O46" s="202">
        <v>1161895.0588669083</v>
      </c>
      <c r="P46" s="162"/>
      <c r="Q46" s="162"/>
      <c r="R46" s="162"/>
    </row>
    <row r="47" spans="1:20" x14ac:dyDescent="0.4">
      <c r="C47" s="2" t="s">
        <v>1008</v>
      </c>
      <c r="D47" s="2"/>
      <c r="E47" s="2"/>
      <c r="F47" s="2"/>
      <c r="G47" s="164"/>
      <c r="H47" s="164"/>
      <c r="I47" s="164"/>
      <c r="J47" s="164">
        <v>1526428.299517632</v>
      </c>
      <c r="K47" s="164"/>
      <c r="L47" s="164"/>
      <c r="M47" s="164"/>
      <c r="N47" s="164"/>
      <c r="O47" s="164">
        <v>1565888.4021524768</v>
      </c>
      <c r="P47" s="162"/>
      <c r="Q47" s="162"/>
      <c r="R47" s="162"/>
    </row>
    <row r="48" spans="1:20" x14ac:dyDescent="0.4">
      <c r="G48" s="162"/>
      <c r="H48" s="162"/>
      <c r="I48" s="162"/>
      <c r="J48" s="162"/>
      <c r="K48" s="162"/>
      <c r="L48" s="162"/>
      <c r="M48" s="162"/>
      <c r="N48" s="162"/>
      <c r="O48" s="162"/>
      <c r="P48" s="162"/>
      <c r="Q48" s="162"/>
      <c r="R48" s="162"/>
    </row>
    <row r="49" spans="1:18" x14ac:dyDescent="0.4">
      <c r="C49" s="1" t="s">
        <v>956</v>
      </c>
      <c r="G49" s="162"/>
      <c r="H49" s="162"/>
      <c r="I49" s="162"/>
      <c r="J49" s="82">
        <v>84543</v>
      </c>
      <c r="K49" s="162"/>
      <c r="L49" s="162"/>
      <c r="M49" s="162"/>
      <c r="N49" s="162"/>
      <c r="O49" s="82">
        <v>84543</v>
      </c>
      <c r="P49" s="162"/>
      <c r="Q49" s="162"/>
      <c r="R49" s="162"/>
    </row>
    <row r="50" spans="1:18" x14ac:dyDescent="0.4">
      <c r="C50" s="93" t="s">
        <v>957</v>
      </c>
      <c r="D50" s="93"/>
      <c r="E50" s="93"/>
      <c r="F50" s="93"/>
      <c r="G50" s="192"/>
      <c r="H50" s="192"/>
      <c r="I50" s="192"/>
      <c r="J50" s="171">
        <v>51114</v>
      </c>
      <c r="K50" s="192"/>
      <c r="L50" s="192"/>
      <c r="M50" s="192"/>
      <c r="N50" s="192"/>
      <c r="O50" s="171">
        <v>246684</v>
      </c>
      <c r="P50" s="162"/>
      <c r="Q50" s="162"/>
      <c r="R50" s="162"/>
    </row>
    <row r="51" spans="1:18" x14ac:dyDescent="0.4">
      <c r="C51" s="2" t="s">
        <v>1009</v>
      </c>
      <c r="D51" s="2"/>
      <c r="E51" s="2"/>
      <c r="F51" s="2"/>
      <c r="G51" s="164"/>
      <c r="H51" s="164"/>
      <c r="I51" s="164"/>
      <c r="J51" s="164">
        <v>1559857.299517632</v>
      </c>
      <c r="K51" s="164"/>
      <c r="L51" s="164"/>
      <c r="M51" s="164"/>
      <c r="N51" s="164"/>
      <c r="O51" s="164">
        <v>1403747.4021524768</v>
      </c>
      <c r="P51" s="162"/>
      <c r="Q51" s="162"/>
      <c r="R51" s="162"/>
    </row>
    <row r="52" spans="1:18" x14ac:dyDescent="0.4">
      <c r="G52" s="162"/>
      <c r="H52" s="162"/>
      <c r="I52" s="162"/>
      <c r="J52" s="162"/>
      <c r="K52" s="162"/>
      <c r="L52" s="162"/>
      <c r="M52" s="162"/>
      <c r="N52" s="162"/>
      <c r="O52" s="162"/>
      <c r="P52" s="162"/>
      <c r="Q52" s="162"/>
      <c r="R52" s="162"/>
    </row>
    <row r="53" spans="1:18" x14ac:dyDescent="0.4">
      <c r="C53" s="1" t="s">
        <v>1010</v>
      </c>
      <c r="G53" s="162"/>
      <c r="H53" s="162"/>
      <c r="I53" s="162"/>
      <c r="J53" s="82">
        <v>27078.149000000001</v>
      </c>
      <c r="K53" s="162"/>
      <c r="L53" s="162"/>
      <c r="M53" s="162"/>
      <c r="N53" s="162"/>
      <c r="O53" s="82">
        <v>27078.149000000001</v>
      </c>
      <c r="P53" s="162"/>
      <c r="Q53" s="162"/>
      <c r="R53" s="162"/>
    </row>
    <row r="54" spans="1:18" x14ac:dyDescent="0.4">
      <c r="G54" s="162"/>
      <c r="H54" s="162"/>
      <c r="I54" s="162"/>
      <c r="J54" s="162"/>
      <c r="K54" s="162"/>
      <c r="L54" s="162"/>
      <c r="M54" s="162"/>
      <c r="N54" s="162"/>
      <c r="O54" s="162"/>
      <c r="P54" s="162"/>
      <c r="Q54" s="162"/>
      <c r="R54" s="162"/>
    </row>
    <row r="55" spans="1:18" x14ac:dyDescent="0.4">
      <c r="A55" s="1" t="s">
        <v>234</v>
      </c>
      <c r="C55" s="2" t="s">
        <v>1011</v>
      </c>
      <c r="D55" s="2"/>
      <c r="E55" s="2"/>
      <c r="F55" s="2"/>
      <c r="G55" s="164"/>
      <c r="H55" s="164"/>
      <c r="I55" s="164"/>
      <c r="J55" s="577">
        <v>57.605758041941193</v>
      </c>
      <c r="K55" s="162"/>
      <c r="L55" s="162"/>
      <c r="M55" s="162"/>
      <c r="N55" s="162"/>
      <c r="O55" s="577">
        <v>51.840596717023629</v>
      </c>
      <c r="P55" s="162"/>
      <c r="Q55" s="162"/>
      <c r="R55" s="162"/>
    </row>
    <row r="56" spans="1:18" x14ac:dyDescent="0.4">
      <c r="G56" s="162"/>
      <c r="H56" s="162"/>
      <c r="I56" s="162"/>
      <c r="J56" s="162"/>
      <c r="K56" s="162"/>
      <c r="L56" s="162"/>
      <c r="M56" s="162"/>
      <c r="N56" s="162"/>
      <c r="O56" s="162"/>
      <c r="P56" s="162"/>
      <c r="Q56" s="162"/>
      <c r="R56" s="162"/>
    </row>
    <row r="57" spans="1:18" x14ac:dyDescent="0.4">
      <c r="G57" s="162"/>
      <c r="H57" s="162"/>
      <c r="I57" s="162"/>
      <c r="J57" s="162"/>
      <c r="K57" s="162"/>
      <c r="L57" s="162"/>
      <c r="M57" s="162"/>
      <c r="N57" s="162"/>
      <c r="O57" s="162"/>
      <c r="P57" s="162"/>
      <c r="Q57" s="162"/>
      <c r="R57" s="162"/>
    </row>
    <row r="58" spans="1:18" x14ac:dyDescent="0.4">
      <c r="G58" s="162"/>
      <c r="H58" s="162"/>
      <c r="I58" s="162"/>
      <c r="J58" s="162"/>
      <c r="K58" s="162"/>
      <c r="L58" s="162"/>
      <c r="M58" s="162"/>
      <c r="N58" s="162"/>
      <c r="O58" s="162"/>
      <c r="P58" s="162"/>
      <c r="Q58" s="162"/>
      <c r="R58" s="162"/>
    </row>
    <row r="60" spans="1:18" x14ac:dyDescent="0.4">
      <c r="B60" s="13" t="s">
        <v>1230</v>
      </c>
    </row>
    <row r="61" spans="1:18" ht="15" customHeight="1" x14ac:dyDescent="0.4"/>
    <row r="62" spans="1:18" ht="15" customHeight="1" x14ac:dyDescent="0.4"/>
    <row r="63" spans="1:18" ht="15" customHeight="1" x14ac:dyDescent="0.4"/>
    <row r="64" spans="1:18" ht="15" customHeight="1" x14ac:dyDescent="0.4"/>
    <row r="65" spans="9:9" ht="15" customHeight="1" x14ac:dyDescent="0.4"/>
    <row r="66" spans="9:9" ht="15" customHeight="1" x14ac:dyDescent="0.4"/>
    <row r="67" spans="9:9" ht="15" customHeight="1" x14ac:dyDescent="0.4"/>
    <row r="68" spans="9:9" ht="15" customHeight="1" x14ac:dyDescent="0.4"/>
    <row r="71" spans="9:9" ht="15" customHeight="1" x14ac:dyDescent="0.4"/>
    <row r="72" spans="9:9" ht="15" customHeight="1" x14ac:dyDescent="0.4"/>
    <row r="73" spans="9:9" ht="15" customHeight="1" x14ac:dyDescent="0.4"/>
    <row r="74" spans="9:9" ht="15" customHeight="1" x14ac:dyDescent="0.4"/>
    <row r="75" spans="9:9" ht="15" customHeight="1" x14ac:dyDescent="0.4"/>
    <row r="76" spans="9:9" ht="15" customHeight="1" x14ac:dyDescent="0.4"/>
    <row r="77" spans="9:9" ht="15" customHeight="1" x14ac:dyDescent="0.4"/>
    <row r="78" spans="9:9" ht="15" customHeight="1" x14ac:dyDescent="0.4"/>
    <row r="79" spans="9:9" x14ac:dyDescent="0.4">
      <c r="I79" s="181"/>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A2:W303"/>
  <sheetViews>
    <sheetView workbookViewId="0">
      <pane ySplit="4" topLeftCell="A5" activePane="bottomLeft" state="frozen"/>
      <selection pane="bottomLeft"/>
    </sheetView>
  </sheetViews>
  <sheetFormatPr defaultColWidth="9" defaultRowHeight="13.2" x14ac:dyDescent="0.4"/>
  <cols>
    <col min="1" max="1" width="2.59765625" style="1" customWidth="1"/>
    <col min="2" max="2" width="25.796875" style="1" customWidth="1"/>
    <col min="3" max="3" width="16.09765625" style="1" customWidth="1"/>
    <col min="4" max="4" width="12.59765625" style="1" customWidth="1"/>
    <col min="5" max="21" width="10.59765625" style="1" customWidth="1"/>
    <col min="22" max="16384" width="9" style="1"/>
  </cols>
  <sheetData>
    <row r="2" spans="1:23" x14ac:dyDescent="0.4">
      <c r="B2" s="2" t="s">
        <v>229</v>
      </c>
    </row>
    <row r="3" spans="1:23" s="60" customFormat="1" ht="18" thickBot="1" x14ac:dyDescent="0.35">
      <c r="A3" s="59"/>
      <c r="B3" s="65" t="s">
        <v>1005</v>
      </c>
      <c r="W3" s="61"/>
    </row>
    <row r="4" spans="1:23" s="62" customFormat="1" x14ac:dyDescent="0.25">
      <c r="A4" s="59"/>
      <c r="B4" s="64"/>
      <c r="W4" s="63"/>
    </row>
    <row r="5" spans="1:23" x14ac:dyDescent="0.4">
      <c r="A5" s="1" t="s">
        <v>973</v>
      </c>
      <c r="B5" s="466" t="s">
        <v>977</v>
      </c>
      <c r="C5" s="465"/>
      <c r="D5" s="465"/>
      <c r="E5" s="465"/>
      <c r="F5" s="465"/>
      <c r="G5" s="465"/>
    </row>
    <row r="6" spans="1:23" x14ac:dyDescent="0.4">
      <c r="B6" s="243" t="s">
        <v>976</v>
      </c>
    </row>
    <row r="8" spans="1:23" x14ac:dyDescent="0.4">
      <c r="B8" s="466" t="s">
        <v>1003</v>
      </c>
      <c r="C8" s="465"/>
      <c r="D8" s="465"/>
      <c r="E8" s="465"/>
      <c r="F8" s="465"/>
      <c r="G8" s="465"/>
    </row>
    <row r="9" spans="1:23" x14ac:dyDescent="0.4">
      <c r="B9" s="243" t="s">
        <v>978</v>
      </c>
    </row>
    <row r="10" spans="1:23" x14ac:dyDescent="0.4">
      <c r="B10" s="243"/>
    </row>
    <row r="11" spans="1:23" x14ac:dyDescent="0.4">
      <c r="B11" s="466" t="s">
        <v>1004</v>
      </c>
      <c r="C11" s="465"/>
      <c r="D11" s="465"/>
      <c r="E11" s="465"/>
      <c r="F11" s="465"/>
      <c r="G11" s="465"/>
    </row>
    <row r="12" spans="1:23" x14ac:dyDescent="0.4">
      <c r="B12" s="243" t="s">
        <v>979</v>
      </c>
    </row>
    <row r="16" spans="1:23" s="275" customFormat="1" ht="15.6" x14ac:dyDescent="0.4">
      <c r="A16" s="275" t="s">
        <v>998</v>
      </c>
      <c r="B16" s="275" t="s">
        <v>999</v>
      </c>
    </row>
    <row r="17" spans="2:3" s="467" customFormat="1" ht="15.6" x14ac:dyDescent="0.4"/>
    <row r="18" spans="2:3" ht="13.8" thickBot="1" x14ac:dyDescent="0.45">
      <c r="B18" s="462"/>
      <c r="C18" s="456" t="s">
        <v>88</v>
      </c>
    </row>
    <row r="19" spans="2:3" ht="26.4" x14ac:dyDescent="0.4">
      <c r="B19" s="242" t="s">
        <v>89</v>
      </c>
      <c r="C19" s="244" t="s">
        <v>90</v>
      </c>
    </row>
    <row r="20" spans="2:3" x14ac:dyDescent="0.4">
      <c r="B20" s="245" t="s">
        <v>48</v>
      </c>
      <c r="C20" s="246" t="s">
        <v>91</v>
      </c>
    </row>
    <row r="21" spans="2:3" x14ac:dyDescent="0.4">
      <c r="B21" s="242" t="s">
        <v>981</v>
      </c>
      <c r="C21" s="247">
        <v>0</v>
      </c>
    </row>
    <row r="22" spans="2:3" ht="26.4" x14ac:dyDescent="0.4">
      <c r="B22" s="240" t="s">
        <v>92</v>
      </c>
      <c r="C22" s="246" t="s">
        <v>93</v>
      </c>
    </row>
    <row r="23" spans="2:3" x14ac:dyDescent="0.4">
      <c r="B23" s="242" t="s">
        <v>94</v>
      </c>
      <c r="C23" s="248" t="s">
        <v>95</v>
      </c>
    </row>
    <row r="24" spans="2:3" ht="39.6" x14ac:dyDescent="0.4">
      <c r="B24" s="245" t="s">
        <v>96</v>
      </c>
      <c r="C24" s="246" t="s">
        <v>97</v>
      </c>
    </row>
    <row r="25" spans="2:3" ht="26.4" x14ac:dyDescent="0.4">
      <c r="B25" s="242" t="s">
        <v>98</v>
      </c>
      <c r="C25" s="248" t="s">
        <v>99</v>
      </c>
    </row>
    <row r="26" spans="2:3" ht="26.4" x14ac:dyDescent="0.4">
      <c r="B26" s="240" t="s">
        <v>982</v>
      </c>
      <c r="C26" s="246" t="s">
        <v>100</v>
      </c>
    </row>
    <row r="27" spans="2:3" x14ac:dyDescent="0.4">
      <c r="B27" s="242" t="s">
        <v>101</v>
      </c>
      <c r="C27" s="248" t="s">
        <v>102</v>
      </c>
    </row>
    <row r="28" spans="2:3" x14ac:dyDescent="0.4">
      <c r="B28" s="245" t="s">
        <v>51</v>
      </c>
      <c r="C28" s="246" t="s">
        <v>91</v>
      </c>
    </row>
    <row r="29" spans="2:3" x14ac:dyDescent="0.4">
      <c r="B29" s="249" t="s">
        <v>103</v>
      </c>
      <c r="C29" s="248" t="s">
        <v>104</v>
      </c>
    </row>
    <row r="30" spans="2:3" ht="27" thickBot="1" x14ac:dyDescent="0.45">
      <c r="B30" s="239" t="s">
        <v>105</v>
      </c>
      <c r="C30" s="250" t="s">
        <v>106</v>
      </c>
    </row>
    <row r="32" spans="2:3" ht="15.6" x14ac:dyDescent="0.4">
      <c r="B32" s="272" t="s">
        <v>983</v>
      </c>
    </row>
    <row r="35" spans="1:21" s="275" customFormat="1" ht="15.6" x14ac:dyDescent="0.4">
      <c r="A35" s="275" t="s">
        <v>973</v>
      </c>
      <c r="B35" s="275" t="s">
        <v>1002</v>
      </c>
    </row>
    <row r="36" spans="1:21" x14ac:dyDescent="0.4">
      <c r="B36" s="273" t="s">
        <v>885</v>
      </c>
      <c r="C36" s="240"/>
      <c r="D36" s="240"/>
      <c r="E36" s="240"/>
      <c r="F36" s="240"/>
      <c r="G36" s="240"/>
      <c r="H36" s="240"/>
      <c r="I36" s="240"/>
      <c r="J36" s="240"/>
      <c r="K36" s="240"/>
      <c r="L36" s="240"/>
      <c r="M36" s="240"/>
      <c r="N36" s="240"/>
      <c r="O36" s="240"/>
      <c r="P36" s="240"/>
      <c r="Q36" s="240"/>
      <c r="R36" s="240"/>
      <c r="S36" s="240"/>
      <c r="T36" s="240"/>
      <c r="U36" s="240"/>
    </row>
    <row r="37" spans="1:21" x14ac:dyDescent="0.4">
      <c r="B37" s="240"/>
      <c r="C37" s="240"/>
      <c r="D37" s="240"/>
      <c r="E37" s="240"/>
      <c r="F37" s="240"/>
      <c r="G37" s="240"/>
      <c r="H37" s="240"/>
      <c r="I37" s="240"/>
      <c r="J37" s="240"/>
      <c r="K37" s="240"/>
      <c r="L37" s="240"/>
      <c r="M37" s="240"/>
      <c r="N37" s="240"/>
      <c r="O37" s="240"/>
      <c r="P37" s="240"/>
      <c r="Q37" s="240"/>
      <c r="R37" s="240"/>
      <c r="S37" s="240"/>
      <c r="T37" s="240"/>
      <c r="U37" s="240"/>
    </row>
    <row r="38" spans="1:21" ht="13.8" thickBot="1" x14ac:dyDescent="0.45">
      <c r="B38" s="457"/>
      <c r="C38" s="457"/>
      <c r="D38" s="661" t="s">
        <v>886</v>
      </c>
      <c r="E38" s="661"/>
      <c r="F38" s="661"/>
      <c r="G38" s="661"/>
      <c r="H38" s="457"/>
      <c r="I38" s="661" t="s">
        <v>887</v>
      </c>
      <c r="J38" s="661"/>
      <c r="K38" s="661"/>
      <c r="L38" s="661"/>
      <c r="M38" s="240"/>
      <c r="N38" s="240"/>
      <c r="O38" s="240"/>
      <c r="P38" s="240"/>
      <c r="Q38" s="240"/>
      <c r="R38" s="240"/>
    </row>
    <row r="39" spans="1:21" ht="66" x14ac:dyDescent="0.4">
      <c r="B39" s="457"/>
      <c r="C39" s="457"/>
      <c r="D39" s="629" t="s">
        <v>888</v>
      </c>
      <c r="E39" s="458" t="s">
        <v>889</v>
      </c>
      <c r="F39" s="458" t="s">
        <v>890</v>
      </c>
      <c r="G39" s="458"/>
      <c r="H39" s="459"/>
      <c r="I39" s="460" t="s">
        <v>891</v>
      </c>
      <c r="J39" s="460" t="s">
        <v>889</v>
      </c>
      <c r="K39" s="460" t="s">
        <v>890</v>
      </c>
      <c r="L39" s="460"/>
      <c r="M39" s="240"/>
      <c r="N39" s="240"/>
      <c r="O39" s="240"/>
      <c r="P39" s="240"/>
      <c r="Q39" s="240"/>
      <c r="R39" s="240"/>
    </row>
    <row r="40" spans="1:21" ht="13.8" thickBot="1" x14ac:dyDescent="0.45">
      <c r="B40" s="461" t="s">
        <v>892</v>
      </c>
      <c r="C40" s="462"/>
      <c r="D40" s="630"/>
      <c r="E40" s="456"/>
      <c r="F40" s="456"/>
      <c r="G40" s="456"/>
      <c r="H40" s="463"/>
      <c r="I40" s="463"/>
      <c r="J40" s="463"/>
      <c r="K40" s="463"/>
      <c r="L40" s="463"/>
      <c r="M40" s="240"/>
      <c r="N40" s="240"/>
      <c r="O40" s="240"/>
      <c r="P40" s="240"/>
      <c r="Q40" s="240"/>
      <c r="R40" s="240"/>
    </row>
    <row r="41" spans="1:21" x14ac:dyDescent="0.4">
      <c r="B41" s="631">
        <v>21</v>
      </c>
      <c r="C41" s="612"/>
      <c r="D41" s="620">
        <v>1700665</v>
      </c>
      <c r="E41" s="244">
        <v>7.1</v>
      </c>
      <c r="F41" s="277" t="s">
        <v>47</v>
      </c>
      <c r="G41" s="244">
        <v>21</v>
      </c>
      <c r="I41" s="267">
        <v>529720</v>
      </c>
      <c r="J41" s="276">
        <v>7.1</v>
      </c>
      <c r="K41" s="276" t="s">
        <v>47</v>
      </c>
      <c r="L41" s="276">
        <v>21</v>
      </c>
      <c r="M41" s="240"/>
      <c r="N41" s="240"/>
      <c r="O41" s="240"/>
      <c r="P41" s="240"/>
      <c r="Q41" s="240"/>
      <c r="R41" s="240"/>
    </row>
    <row r="42" spans="1:21" x14ac:dyDescent="0.4">
      <c r="B42" s="632"/>
      <c r="C42" s="623"/>
      <c r="D42" s="633"/>
      <c r="E42" s="279"/>
      <c r="F42" s="280"/>
      <c r="G42" s="279"/>
      <c r="I42" s="282"/>
      <c r="J42" s="278"/>
      <c r="K42" s="278"/>
      <c r="L42" s="278"/>
      <c r="M42" s="240"/>
      <c r="N42" s="240"/>
      <c r="O42" s="240"/>
      <c r="P42" s="240"/>
      <c r="Q42" s="240"/>
      <c r="R42" s="240"/>
    </row>
    <row r="43" spans="1:21" x14ac:dyDescent="0.4">
      <c r="B43" s="634">
        <v>34.619999999999997</v>
      </c>
      <c r="C43" s="601"/>
      <c r="D43" s="619">
        <v>12418</v>
      </c>
      <c r="E43" s="246">
        <v>8.4</v>
      </c>
      <c r="F43" s="245" t="s">
        <v>47</v>
      </c>
      <c r="G43" s="246">
        <v>34.619999999999997</v>
      </c>
      <c r="I43" s="283">
        <v>12418</v>
      </c>
      <c r="J43" s="240">
        <v>8.4</v>
      </c>
      <c r="K43" s="240" t="s">
        <v>47</v>
      </c>
      <c r="L43" s="240">
        <v>34.619999999999997</v>
      </c>
      <c r="M43" s="240"/>
      <c r="N43" s="240"/>
      <c r="O43" s="240"/>
      <c r="P43" s="240"/>
      <c r="Q43" s="240"/>
      <c r="R43" s="240"/>
    </row>
    <row r="44" spans="1:21" x14ac:dyDescent="0.4">
      <c r="B44" s="634"/>
      <c r="C44" s="601"/>
      <c r="D44" s="619"/>
      <c r="E44" s="246"/>
      <c r="F44" s="245"/>
      <c r="G44" s="246"/>
      <c r="I44" s="283"/>
      <c r="J44" s="240"/>
      <c r="K44" s="240"/>
      <c r="L44" s="240"/>
      <c r="M44" s="240"/>
      <c r="N44" s="240"/>
      <c r="O44" s="240"/>
      <c r="P44" s="240"/>
      <c r="Q44" s="240"/>
      <c r="R44" s="240"/>
    </row>
    <row r="45" spans="1:21" x14ac:dyDescent="0.4">
      <c r="B45" s="635">
        <v>36.409999999999997</v>
      </c>
      <c r="C45" s="605"/>
      <c r="D45" s="606">
        <v>1108</v>
      </c>
      <c r="E45" s="248">
        <v>8.9</v>
      </c>
      <c r="F45" s="249" t="s">
        <v>47</v>
      </c>
      <c r="G45" s="248">
        <v>36.409999999999997</v>
      </c>
      <c r="I45" s="284">
        <v>1108</v>
      </c>
      <c r="J45" s="242">
        <v>8.9</v>
      </c>
      <c r="K45" s="242" t="s">
        <v>47</v>
      </c>
      <c r="L45" s="242">
        <v>36.409999999999997</v>
      </c>
      <c r="M45" s="240"/>
      <c r="N45" s="240"/>
      <c r="O45" s="240"/>
      <c r="P45" s="240"/>
      <c r="Q45" s="240"/>
      <c r="R45" s="240"/>
    </row>
    <row r="46" spans="1:21" x14ac:dyDescent="0.4">
      <c r="B46" s="635"/>
      <c r="C46" s="605"/>
      <c r="D46" s="606"/>
      <c r="E46" s="248"/>
      <c r="F46" s="249"/>
      <c r="G46" s="248"/>
      <c r="I46" s="284"/>
      <c r="J46" s="242"/>
      <c r="K46" s="242"/>
      <c r="L46" s="242"/>
      <c r="M46" s="240"/>
      <c r="N46" s="240"/>
      <c r="O46" s="240"/>
      <c r="P46" s="240"/>
      <c r="Q46" s="240"/>
      <c r="R46" s="240"/>
    </row>
    <row r="47" spans="1:21" x14ac:dyDescent="0.4">
      <c r="B47" s="634">
        <v>38.909999999999997</v>
      </c>
      <c r="C47" s="601"/>
      <c r="D47" s="619">
        <v>5150</v>
      </c>
      <c r="E47" s="246">
        <v>9.5</v>
      </c>
      <c r="F47" s="245" t="s">
        <v>47</v>
      </c>
      <c r="G47" s="246">
        <v>38.909999999999997</v>
      </c>
      <c r="I47" s="240" t="s">
        <v>9</v>
      </c>
      <c r="J47" s="240" t="s">
        <v>9</v>
      </c>
      <c r="K47" s="240" t="s">
        <v>47</v>
      </c>
      <c r="L47" s="240" t="s">
        <v>9</v>
      </c>
      <c r="M47" s="240"/>
      <c r="N47" s="240"/>
      <c r="O47" s="240"/>
      <c r="P47" s="240"/>
      <c r="Q47" s="240"/>
      <c r="R47" s="240"/>
    </row>
    <row r="48" spans="1:21" ht="13.8" thickBot="1" x14ac:dyDescent="0.45">
      <c r="B48" s="636"/>
      <c r="C48" s="614"/>
      <c r="D48" s="626"/>
      <c r="E48" s="250"/>
      <c r="F48" s="281"/>
      <c r="G48" s="250"/>
      <c r="I48" s="239"/>
      <c r="J48" s="239"/>
      <c r="K48" s="239"/>
      <c r="L48" s="239"/>
      <c r="M48" s="240"/>
      <c r="N48" s="240"/>
      <c r="O48" s="240"/>
      <c r="P48" s="240"/>
      <c r="Q48" s="240"/>
      <c r="R48" s="240"/>
    </row>
    <row r="49" spans="1:18" x14ac:dyDescent="0.4">
      <c r="B49" s="251"/>
      <c r="M49" s="240"/>
      <c r="N49" s="240"/>
      <c r="O49" s="240"/>
      <c r="P49" s="240"/>
      <c r="Q49" s="240"/>
      <c r="R49" s="240"/>
    </row>
    <row r="50" spans="1:18" x14ac:dyDescent="0.4">
      <c r="C50" s="252"/>
      <c r="D50" s="253" t="s">
        <v>893</v>
      </c>
      <c r="E50" s="253" t="s">
        <v>883</v>
      </c>
      <c r="F50" s="253" t="s">
        <v>894</v>
      </c>
      <c r="G50" s="253" t="s">
        <v>896</v>
      </c>
      <c r="H50" s="252"/>
      <c r="I50" s="253" t="s">
        <v>883</v>
      </c>
      <c r="J50" s="253" t="s">
        <v>897</v>
      </c>
    </row>
    <row r="51" spans="1:18" x14ac:dyDescent="0.4">
      <c r="D51" s="254">
        <f>+B41</f>
        <v>21</v>
      </c>
      <c r="E51" s="255">
        <f>+I41</f>
        <v>529720</v>
      </c>
      <c r="F51" s="256">
        <f>+Cover!K12</f>
        <v>43.2</v>
      </c>
      <c r="G51" s="257">
        <f>+IF(D51&lt;$F$51,1,0)</f>
        <v>1</v>
      </c>
      <c r="I51" s="258">
        <f>+E51*G51</f>
        <v>529720</v>
      </c>
      <c r="J51" s="81">
        <f>+D51*I51</f>
        <v>11124120</v>
      </c>
    </row>
    <row r="52" spans="1:18" x14ac:dyDescent="0.4">
      <c r="D52" s="254">
        <f>+B43</f>
        <v>34.619999999999997</v>
      </c>
      <c r="E52" s="255">
        <f>+I43</f>
        <v>12418</v>
      </c>
      <c r="G52" s="257">
        <f>+IF(D52&lt;$F$51,1,0)</f>
        <v>1</v>
      </c>
      <c r="I52" s="258">
        <f>+E52*G52</f>
        <v>12418</v>
      </c>
      <c r="J52" s="81">
        <f>+D52*I52</f>
        <v>429911.16</v>
      </c>
    </row>
    <row r="53" spans="1:18" x14ac:dyDescent="0.4">
      <c r="D53" s="254">
        <f>+B45</f>
        <v>36.409999999999997</v>
      </c>
      <c r="E53" s="255">
        <f>+I45</f>
        <v>1108</v>
      </c>
      <c r="G53" s="257">
        <f>+IF(D53&lt;$F$51,1,0)</f>
        <v>1</v>
      </c>
      <c r="I53" s="258">
        <f>+E53*G53</f>
        <v>1108</v>
      </c>
      <c r="J53" s="81">
        <f>+D53*I53</f>
        <v>40342.28</v>
      </c>
    </row>
    <row r="54" spans="1:18" x14ac:dyDescent="0.4">
      <c r="C54" s="93"/>
      <c r="D54" s="259">
        <f>+B47</f>
        <v>38.909999999999997</v>
      </c>
      <c r="E54" s="260">
        <v>0</v>
      </c>
      <c r="F54" s="93"/>
      <c r="G54" s="261">
        <f>+IF(D54&lt;$F$51,1,0)</f>
        <v>1</v>
      </c>
      <c r="H54" s="93"/>
      <c r="I54" s="262">
        <f>+E54*G54</f>
        <v>0</v>
      </c>
      <c r="J54" s="263">
        <f>+D54*I54</f>
        <v>0</v>
      </c>
    </row>
    <row r="55" spans="1:18" x14ac:dyDescent="0.4">
      <c r="E55" s="258"/>
      <c r="H55" s="257" t="s">
        <v>899</v>
      </c>
      <c r="I55" s="212">
        <f>+SUM(I51:I54)</f>
        <v>543246</v>
      </c>
      <c r="J55" s="212">
        <f>+SUM(J51:J54)</f>
        <v>11594373.439999999</v>
      </c>
    </row>
    <row r="56" spans="1:18" x14ac:dyDescent="0.4">
      <c r="E56" s="258"/>
    </row>
    <row r="57" spans="1:18" x14ac:dyDescent="0.4">
      <c r="G57" s="93"/>
      <c r="H57" s="261" t="s">
        <v>898</v>
      </c>
      <c r="I57" s="264">
        <f>-J55/F51</f>
        <v>-268388.27407407406</v>
      </c>
      <c r="J57" s="93"/>
    </row>
    <row r="58" spans="1:18" x14ac:dyDescent="0.4">
      <c r="H58" s="265" t="s">
        <v>900</v>
      </c>
      <c r="I58" s="266">
        <f>+I55+I57</f>
        <v>274857.72592592594</v>
      </c>
    </row>
    <row r="60" spans="1:18" s="275" customFormat="1" ht="15.6" x14ac:dyDescent="0.4">
      <c r="A60" s="275" t="s">
        <v>973</v>
      </c>
      <c r="B60" s="275" t="s">
        <v>1001</v>
      </c>
    </row>
    <row r="61" spans="1:18" x14ac:dyDescent="0.4">
      <c r="B61" s="273" t="s">
        <v>901</v>
      </c>
    </row>
    <row r="62" spans="1:18" x14ac:dyDescent="0.4">
      <c r="B62" s="240"/>
      <c r="C62" s="240"/>
      <c r="D62" s="240"/>
      <c r="E62" s="240"/>
      <c r="F62" s="240"/>
      <c r="G62" s="240"/>
      <c r="H62" s="240"/>
      <c r="I62" s="240"/>
    </row>
    <row r="63" spans="1:18" x14ac:dyDescent="0.4">
      <c r="B63" s="637"/>
      <c r="C63" s="637"/>
      <c r="D63" s="455" t="s">
        <v>902</v>
      </c>
      <c r="E63" s="595"/>
      <c r="F63" s="637"/>
      <c r="G63" s="639" t="s">
        <v>905</v>
      </c>
      <c r="H63" s="639"/>
      <c r="I63" s="595"/>
    </row>
    <row r="64" spans="1:18" x14ac:dyDescent="0.4">
      <c r="B64" s="637"/>
      <c r="C64" s="637"/>
      <c r="D64" s="455" t="s">
        <v>903</v>
      </c>
      <c r="E64" s="595"/>
      <c r="F64" s="637"/>
      <c r="G64" s="639" t="s">
        <v>563</v>
      </c>
      <c r="H64" s="639"/>
      <c r="I64" s="595"/>
    </row>
    <row r="65" spans="2:9" ht="13.8" thickBot="1" x14ac:dyDescent="0.45">
      <c r="B65" s="638"/>
      <c r="C65" s="638"/>
      <c r="D65" s="456" t="s">
        <v>904</v>
      </c>
      <c r="E65" s="596"/>
      <c r="F65" s="638"/>
      <c r="G65" s="630" t="s">
        <v>906</v>
      </c>
      <c r="H65" s="630"/>
      <c r="I65" s="596"/>
    </row>
    <row r="66" spans="2:9" x14ac:dyDescent="0.4">
      <c r="B66" s="610" t="s">
        <v>907</v>
      </c>
      <c r="C66" s="610"/>
      <c r="D66" s="597" t="s">
        <v>9</v>
      </c>
      <c r="E66" s="608"/>
      <c r="F66" s="612"/>
      <c r="G66" s="610" t="s">
        <v>47</v>
      </c>
      <c r="H66" s="597" t="s">
        <v>9</v>
      </c>
      <c r="I66" s="608"/>
    </row>
    <row r="67" spans="2:9" x14ac:dyDescent="0.4">
      <c r="B67" s="617"/>
      <c r="C67" s="617"/>
      <c r="D67" s="621"/>
      <c r="E67" s="622"/>
      <c r="F67" s="623"/>
      <c r="G67" s="624"/>
      <c r="H67" s="621"/>
      <c r="I67" s="622"/>
    </row>
    <row r="68" spans="2:9" x14ac:dyDescent="0.4">
      <c r="B68" s="601"/>
      <c r="C68" s="602" t="s">
        <v>908</v>
      </c>
      <c r="D68" s="619">
        <v>63600</v>
      </c>
      <c r="E68" s="604"/>
      <c r="F68" s="601"/>
      <c r="G68" s="603">
        <v>38.409999999999997</v>
      </c>
      <c r="H68" s="603"/>
      <c r="I68" s="604"/>
    </row>
    <row r="69" spans="2:9" x14ac:dyDescent="0.4">
      <c r="B69" s="601"/>
      <c r="C69" s="602"/>
      <c r="D69" s="619"/>
      <c r="E69" s="604"/>
      <c r="F69" s="601"/>
      <c r="G69" s="603"/>
      <c r="H69" s="603"/>
      <c r="I69" s="604"/>
    </row>
    <row r="70" spans="2:9" x14ac:dyDescent="0.4">
      <c r="B70" s="605"/>
      <c r="C70" s="605" t="s">
        <v>984</v>
      </c>
      <c r="D70" s="599" t="s">
        <v>9</v>
      </c>
      <c r="E70" s="600"/>
      <c r="F70" s="605"/>
      <c r="G70" s="599" t="s">
        <v>9</v>
      </c>
      <c r="H70" s="599"/>
      <c r="I70" s="600"/>
    </row>
    <row r="71" spans="2:9" x14ac:dyDescent="0.4">
      <c r="B71" s="605"/>
      <c r="C71" s="605"/>
      <c r="D71" s="599"/>
      <c r="E71" s="600"/>
      <c r="F71" s="605"/>
      <c r="G71" s="599"/>
      <c r="H71" s="599"/>
      <c r="I71" s="600"/>
    </row>
    <row r="72" spans="2:9" x14ac:dyDescent="0.4">
      <c r="B72" s="601"/>
      <c r="C72" s="602" t="s">
        <v>909</v>
      </c>
      <c r="D72" s="603" t="s">
        <v>9</v>
      </c>
      <c r="E72" s="604"/>
      <c r="F72" s="601"/>
      <c r="G72" s="603" t="s">
        <v>9</v>
      </c>
      <c r="H72" s="603"/>
      <c r="I72" s="604"/>
    </row>
    <row r="73" spans="2:9" x14ac:dyDescent="0.4">
      <c r="B73" s="601"/>
      <c r="C73" s="602"/>
      <c r="D73" s="603"/>
      <c r="E73" s="604"/>
      <c r="F73" s="601"/>
      <c r="G73" s="603"/>
      <c r="H73" s="603"/>
      <c r="I73" s="604"/>
    </row>
    <row r="74" spans="2:9" x14ac:dyDescent="0.4">
      <c r="B74" s="605"/>
      <c r="C74" s="617" t="s">
        <v>910</v>
      </c>
      <c r="D74" s="599" t="s">
        <v>911</v>
      </c>
      <c r="E74" s="617" t="s">
        <v>56</v>
      </c>
      <c r="F74" s="605"/>
      <c r="G74" s="599">
        <v>38.43</v>
      </c>
      <c r="H74" s="599"/>
      <c r="I74" s="600"/>
    </row>
    <row r="75" spans="2:9" x14ac:dyDescent="0.4">
      <c r="B75" s="605"/>
      <c r="C75" s="617"/>
      <c r="D75" s="599"/>
      <c r="E75" s="617"/>
      <c r="F75" s="605"/>
      <c r="G75" s="599"/>
      <c r="H75" s="599"/>
      <c r="I75" s="600"/>
    </row>
    <row r="76" spans="2:9" x14ac:dyDescent="0.4">
      <c r="B76" s="601"/>
      <c r="C76" s="602" t="s">
        <v>912</v>
      </c>
      <c r="D76" s="603" t="s">
        <v>9</v>
      </c>
      <c r="E76" s="604"/>
      <c r="F76" s="601"/>
      <c r="G76" s="603" t="s">
        <v>9</v>
      </c>
      <c r="H76" s="603"/>
      <c r="I76" s="604"/>
    </row>
    <row r="77" spans="2:9" ht="13.8" thickBot="1" x14ac:dyDescent="0.45">
      <c r="B77" s="614"/>
      <c r="C77" s="618"/>
      <c r="D77" s="615"/>
      <c r="E77" s="616"/>
      <c r="F77" s="614"/>
      <c r="G77" s="615"/>
      <c r="H77" s="615"/>
      <c r="I77" s="616"/>
    </row>
    <row r="78" spans="2:9" x14ac:dyDescent="0.4">
      <c r="B78" s="610" t="s">
        <v>913</v>
      </c>
      <c r="C78" s="610"/>
      <c r="D78" s="620">
        <v>61600</v>
      </c>
      <c r="E78" s="608"/>
      <c r="F78" s="612"/>
      <c r="G78" s="610" t="s">
        <v>47</v>
      </c>
      <c r="H78" s="597">
        <v>38.409999999999997</v>
      </c>
      <c r="I78" s="608"/>
    </row>
    <row r="79" spans="2:9" x14ac:dyDescent="0.4">
      <c r="B79" s="617"/>
      <c r="C79" s="617"/>
      <c r="D79" s="606"/>
      <c r="E79" s="600"/>
      <c r="F79" s="605"/>
      <c r="G79" s="617"/>
      <c r="H79" s="599"/>
      <c r="I79" s="600"/>
    </row>
    <row r="80" spans="2:9" x14ac:dyDescent="0.4">
      <c r="B80" s="601"/>
      <c r="C80" s="602" t="s">
        <v>908</v>
      </c>
      <c r="D80" s="619">
        <v>87596</v>
      </c>
      <c r="E80" s="604"/>
      <c r="F80" s="601"/>
      <c r="G80" s="603">
        <v>37.9</v>
      </c>
      <c r="H80" s="603"/>
      <c r="I80" s="604"/>
    </row>
    <row r="81" spans="1:9" x14ac:dyDescent="0.4">
      <c r="B81" s="601"/>
      <c r="C81" s="602"/>
      <c r="D81" s="619"/>
      <c r="E81" s="604"/>
      <c r="F81" s="601"/>
      <c r="G81" s="603"/>
      <c r="H81" s="603"/>
      <c r="I81" s="604"/>
    </row>
    <row r="82" spans="1:9" x14ac:dyDescent="0.4">
      <c r="B82" s="605"/>
      <c r="C82" s="605" t="s">
        <v>984</v>
      </c>
      <c r="D82" s="606">
        <v>9545</v>
      </c>
      <c r="E82" s="600"/>
      <c r="F82" s="605"/>
      <c r="G82" s="599">
        <v>38.4</v>
      </c>
      <c r="H82" s="599"/>
      <c r="I82" s="600"/>
    </row>
    <row r="83" spans="1:9" x14ac:dyDescent="0.4">
      <c r="B83" s="605"/>
      <c r="C83" s="605"/>
      <c r="D83" s="606"/>
      <c r="E83" s="600"/>
      <c r="F83" s="605"/>
      <c r="G83" s="599"/>
      <c r="H83" s="599"/>
      <c r="I83" s="600"/>
    </row>
    <row r="84" spans="1:9" x14ac:dyDescent="0.4">
      <c r="B84" s="601"/>
      <c r="C84" s="602" t="s">
        <v>909</v>
      </c>
      <c r="D84" s="603" t="s">
        <v>914</v>
      </c>
      <c r="E84" s="602" t="s">
        <v>56</v>
      </c>
      <c r="F84" s="601"/>
      <c r="G84" s="603">
        <v>38.4</v>
      </c>
      <c r="H84" s="603"/>
      <c r="I84" s="604"/>
    </row>
    <row r="85" spans="1:9" x14ac:dyDescent="0.4">
      <c r="B85" s="601"/>
      <c r="C85" s="602"/>
      <c r="D85" s="603"/>
      <c r="E85" s="602"/>
      <c r="F85" s="601"/>
      <c r="G85" s="603"/>
      <c r="H85" s="603"/>
      <c r="I85" s="604"/>
    </row>
    <row r="86" spans="1:9" x14ac:dyDescent="0.4">
      <c r="B86" s="605"/>
      <c r="C86" s="617" t="s">
        <v>910</v>
      </c>
      <c r="D86" s="599" t="s">
        <v>915</v>
      </c>
      <c r="E86" s="617" t="s">
        <v>56</v>
      </c>
      <c r="F86" s="605"/>
      <c r="G86" s="599">
        <v>38.28</v>
      </c>
      <c r="H86" s="599"/>
      <c r="I86" s="600"/>
    </row>
    <row r="87" spans="1:9" x14ac:dyDescent="0.4">
      <c r="B87" s="605"/>
      <c r="C87" s="617"/>
      <c r="D87" s="599"/>
      <c r="E87" s="617"/>
      <c r="F87" s="605"/>
      <c r="G87" s="599"/>
      <c r="H87" s="599"/>
      <c r="I87" s="600"/>
    </row>
    <row r="88" spans="1:9" x14ac:dyDescent="0.4">
      <c r="B88" s="601"/>
      <c r="C88" s="601" t="s">
        <v>912</v>
      </c>
      <c r="D88" s="603" t="s">
        <v>9</v>
      </c>
      <c r="E88" s="604"/>
      <c r="F88" s="601"/>
      <c r="G88" s="603" t="s">
        <v>9</v>
      </c>
      <c r="H88" s="603"/>
      <c r="I88" s="604"/>
    </row>
    <row r="89" spans="1:9" ht="13.8" thickBot="1" x14ac:dyDescent="0.45">
      <c r="B89" s="614"/>
      <c r="C89" s="614"/>
      <c r="D89" s="615"/>
      <c r="E89" s="616"/>
      <c r="F89" s="614"/>
      <c r="G89" s="615"/>
      <c r="H89" s="615"/>
      <c r="I89" s="616"/>
    </row>
    <row r="90" spans="1:9" x14ac:dyDescent="0.4">
      <c r="B90" s="610" t="s">
        <v>916</v>
      </c>
      <c r="C90" s="610"/>
      <c r="D90" s="267">
        <v>124842</v>
      </c>
      <c r="E90" s="608"/>
      <c r="F90" s="612"/>
      <c r="G90" s="610" t="s">
        <v>47</v>
      </c>
      <c r="H90" s="597">
        <v>38.06</v>
      </c>
      <c r="I90" s="608"/>
    </row>
    <row r="91" spans="1:9" ht="13.8" thickBot="1" x14ac:dyDescent="0.45">
      <c r="B91" s="611"/>
      <c r="C91" s="611"/>
      <c r="D91" s="268"/>
      <c r="E91" s="609"/>
      <c r="F91" s="613"/>
      <c r="G91" s="611"/>
      <c r="H91" s="607"/>
      <c r="I91" s="609"/>
    </row>
    <row r="92" spans="1:9" ht="13.8" thickTop="1" x14ac:dyDescent="0.4">
      <c r="B92" s="240"/>
      <c r="C92" s="240"/>
    </row>
    <row r="93" spans="1:9" x14ac:dyDescent="0.4">
      <c r="B93" s="269">
        <v>-1</v>
      </c>
      <c r="C93" s="274" t="s">
        <v>917</v>
      </c>
    </row>
    <row r="95" spans="1:9" s="275" customFormat="1" ht="15.6" x14ac:dyDescent="0.4">
      <c r="A95" s="275" t="s">
        <v>973</v>
      </c>
      <c r="B95" s="275" t="s">
        <v>1000</v>
      </c>
    </row>
    <row r="96" spans="1:9" x14ac:dyDescent="0.4">
      <c r="B96" s="241" t="s">
        <v>980</v>
      </c>
    </row>
    <row r="97" spans="1:23" x14ac:dyDescent="0.4">
      <c r="I97" s="270">
        <v>44476</v>
      </c>
    </row>
    <row r="98" spans="1:23" x14ac:dyDescent="0.4">
      <c r="B98" s="241" t="s">
        <v>918</v>
      </c>
    </row>
    <row r="99" spans="1:23" x14ac:dyDescent="0.4">
      <c r="B99" s="270">
        <v>27078149</v>
      </c>
    </row>
    <row r="102" spans="1:23" s="275" customFormat="1" ht="15.6" x14ac:dyDescent="0.4">
      <c r="A102" s="275" t="s">
        <v>996</v>
      </c>
      <c r="B102" s="275" t="s">
        <v>997</v>
      </c>
    </row>
    <row r="103" spans="1:23" s="467" customFormat="1" ht="15.6" x14ac:dyDescent="0.4"/>
    <row r="104" spans="1:23" x14ac:dyDescent="0.4">
      <c r="B104" s="646" t="s">
        <v>118</v>
      </c>
      <c r="C104" s="646"/>
      <c r="D104" s="646"/>
      <c r="E104" s="639">
        <v>2017</v>
      </c>
      <c r="F104" s="639"/>
      <c r="G104" s="595"/>
      <c r="H104" s="637"/>
      <c r="I104" s="639">
        <v>2016</v>
      </c>
      <c r="J104" s="639"/>
      <c r="K104" s="595"/>
      <c r="L104" s="637"/>
      <c r="M104" s="639">
        <v>2015</v>
      </c>
      <c r="N104" s="639"/>
      <c r="O104" s="595"/>
      <c r="P104" s="637"/>
      <c r="Q104" s="639" t="s">
        <v>985</v>
      </c>
      <c r="R104" s="639"/>
      <c r="S104" s="595"/>
      <c r="T104" s="637"/>
      <c r="U104" s="639">
        <v>2013</v>
      </c>
      <c r="V104" s="639"/>
      <c r="W104" s="595"/>
    </row>
    <row r="105" spans="1:23" ht="13.8" thickBot="1" x14ac:dyDescent="0.45">
      <c r="B105" s="647"/>
      <c r="C105" s="647"/>
      <c r="D105" s="647"/>
      <c r="E105" s="630"/>
      <c r="F105" s="630"/>
      <c r="G105" s="596"/>
      <c r="H105" s="638"/>
      <c r="I105" s="630"/>
      <c r="J105" s="630"/>
      <c r="K105" s="596"/>
      <c r="L105" s="638"/>
      <c r="M105" s="630"/>
      <c r="N105" s="630"/>
      <c r="O105" s="596"/>
      <c r="P105" s="638"/>
      <c r="Q105" s="630"/>
      <c r="R105" s="630"/>
      <c r="S105" s="596"/>
      <c r="T105" s="638"/>
      <c r="U105" s="630"/>
      <c r="V105" s="630"/>
      <c r="W105" s="596"/>
    </row>
    <row r="106" spans="1:23" x14ac:dyDescent="0.4">
      <c r="B106" s="610" t="s">
        <v>53</v>
      </c>
      <c r="C106" s="610"/>
      <c r="D106" s="610"/>
      <c r="E106" s="610" t="s">
        <v>47</v>
      </c>
      <c r="F106" s="620">
        <v>8884</v>
      </c>
      <c r="G106" s="608"/>
      <c r="H106" s="612"/>
      <c r="I106" s="610" t="s">
        <v>47</v>
      </c>
      <c r="J106" s="620">
        <v>22146</v>
      </c>
      <c r="K106" s="608"/>
      <c r="L106" s="612"/>
      <c r="M106" s="610" t="s">
        <v>47</v>
      </c>
      <c r="N106" s="620">
        <v>3124</v>
      </c>
      <c r="O106" s="608"/>
      <c r="P106" s="612"/>
      <c r="Q106" s="610" t="s">
        <v>47</v>
      </c>
      <c r="R106" s="620">
        <v>2118</v>
      </c>
      <c r="S106" s="608"/>
      <c r="T106" s="612"/>
      <c r="U106" s="610" t="s">
        <v>47</v>
      </c>
      <c r="V106" s="620">
        <v>5423</v>
      </c>
      <c r="W106" s="608"/>
    </row>
    <row r="107" spans="1:23" x14ac:dyDescent="0.4">
      <c r="B107" s="617"/>
      <c r="C107" s="617"/>
      <c r="D107" s="617"/>
      <c r="E107" s="624"/>
      <c r="F107" s="633"/>
      <c r="G107" s="622"/>
      <c r="H107" s="623"/>
      <c r="I107" s="624"/>
      <c r="J107" s="633"/>
      <c r="K107" s="622"/>
      <c r="L107" s="623"/>
      <c r="M107" s="624"/>
      <c r="N107" s="633"/>
      <c r="O107" s="622"/>
      <c r="P107" s="623"/>
      <c r="Q107" s="624"/>
      <c r="R107" s="633"/>
      <c r="S107" s="622"/>
      <c r="T107" s="623"/>
      <c r="U107" s="624"/>
      <c r="V107" s="633"/>
      <c r="W107" s="622"/>
    </row>
    <row r="108" spans="1:23" x14ac:dyDescent="0.4">
      <c r="B108" s="602" t="s">
        <v>101</v>
      </c>
      <c r="C108" s="602"/>
      <c r="D108" s="602"/>
      <c r="E108" s="619">
        <v>21704</v>
      </c>
      <c r="F108" s="619"/>
      <c r="G108" s="604"/>
      <c r="H108" s="601"/>
      <c r="I108" s="619">
        <v>14502</v>
      </c>
      <c r="J108" s="619"/>
      <c r="K108" s="604"/>
      <c r="L108" s="601"/>
      <c r="M108" s="619">
        <v>10222</v>
      </c>
      <c r="N108" s="619"/>
      <c r="O108" s="604"/>
      <c r="P108" s="601"/>
      <c r="Q108" s="619">
        <v>5809</v>
      </c>
      <c r="R108" s="619"/>
      <c r="S108" s="604"/>
      <c r="T108" s="601"/>
      <c r="U108" s="619">
        <v>3541</v>
      </c>
      <c r="V108" s="619"/>
      <c r="W108" s="604"/>
    </row>
    <row r="109" spans="1:23" x14ac:dyDescent="0.4">
      <c r="B109" s="602"/>
      <c r="C109" s="602"/>
      <c r="D109" s="602"/>
      <c r="E109" s="619"/>
      <c r="F109" s="619"/>
      <c r="G109" s="604"/>
      <c r="H109" s="601"/>
      <c r="I109" s="619"/>
      <c r="J109" s="619"/>
      <c r="K109" s="604"/>
      <c r="L109" s="601"/>
      <c r="M109" s="619"/>
      <c r="N109" s="619"/>
      <c r="O109" s="604"/>
      <c r="P109" s="601"/>
      <c r="Q109" s="619"/>
      <c r="R109" s="619"/>
      <c r="S109" s="604"/>
      <c r="T109" s="601"/>
      <c r="U109" s="619"/>
      <c r="V109" s="619"/>
      <c r="W109" s="604"/>
    </row>
    <row r="110" spans="1:23" x14ac:dyDescent="0.4">
      <c r="B110" s="617" t="s">
        <v>119</v>
      </c>
      <c r="C110" s="617"/>
      <c r="D110" s="617"/>
      <c r="E110" s="606">
        <v>1565</v>
      </c>
      <c r="F110" s="606"/>
      <c r="G110" s="600"/>
      <c r="H110" s="605"/>
      <c r="I110" s="599">
        <v>285</v>
      </c>
      <c r="J110" s="599"/>
      <c r="K110" s="600"/>
      <c r="L110" s="605"/>
      <c r="M110" s="599">
        <v>325</v>
      </c>
      <c r="N110" s="599"/>
      <c r="O110" s="600"/>
      <c r="P110" s="605"/>
      <c r="Q110" s="599">
        <v>363</v>
      </c>
      <c r="R110" s="599"/>
      <c r="S110" s="600"/>
      <c r="T110" s="605"/>
      <c r="U110" s="599">
        <v>52</v>
      </c>
      <c r="V110" s="599"/>
      <c r="W110" s="600"/>
    </row>
    <row r="111" spans="1:23" x14ac:dyDescent="0.4">
      <c r="B111" s="617"/>
      <c r="C111" s="617"/>
      <c r="D111" s="617"/>
      <c r="E111" s="606"/>
      <c r="F111" s="606"/>
      <c r="G111" s="600"/>
      <c r="H111" s="605"/>
      <c r="I111" s="599"/>
      <c r="J111" s="599"/>
      <c r="K111" s="600"/>
      <c r="L111" s="605"/>
      <c r="M111" s="599"/>
      <c r="N111" s="599"/>
      <c r="O111" s="600"/>
      <c r="P111" s="605"/>
      <c r="Q111" s="599"/>
      <c r="R111" s="599"/>
      <c r="S111" s="600"/>
      <c r="T111" s="605"/>
      <c r="U111" s="599"/>
      <c r="V111" s="599"/>
      <c r="W111" s="600"/>
    </row>
    <row r="112" spans="1:23" x14ac:dyDescent="0.4">
      <c r="B112" s="602" t="s">
        <v>120</v>
      </c>
      <c r="C112" s="602"/>
      <c r="D112" s="602"/>
      <c r="E112" s="619">
        <v>151409</v>
      </c>
      <c r="F112" s="619"/>
      <c r="G112" s="604"/>
      <c r="H112" s="601"/>
      <c r="I112" s="619">
        <v>6350</v>
      </c>
      <c r="J112" s="619"/>
      <c r="K112" s="604"/>
      <c r="L112" s="601"/>
      <c r="M112" s="619">
        <v>3304</v>
      </c>
      <c r="N112" s="619"/>
      <c r="O112" s="604"/>
      <c r="P112" s="601"/>
      <c r="Q112" s="603">
        <v>662</v>
      </c>
      <c r="R112" s="603"/>
      <c r="S112" s="604"/>
      <c r="T112" s="601"/>
      <c r="U112" s="603">
        <v>460</v>
      </c>
      <c r="V112" s="603"/>
      <c r="W112" s="604"/>
    </row>
    <row r="113" spans="2:23" ht="13.8" thickBot="1" x14ac:dyDescent="0.45">
      <c r="B113" s="618"/>
      <c r="C113" s="618"/>
      <c r="D113" s="618"/>
      <c r="E113" s="626"/>
      <c r="F113" s="626"/>
      <c r="G113" s="616"/>
      <c r="H113" s="614"/>
      <c r="I113" s="626"/>
      <c r="J113" s="626"/>
      <c r="K113" s="616"/>
      <c r="L113" s="614"/>
      <c r="M113" s="626"/>
      <c r="N113" s="626"/>
      <c r="O113" s="616"/>
      <c r="P113" s="614"/>
      <c r="Q113" s="615"/>
      <c r="R113" s="615"/>
      <c r="S113" s="616"/>
      <c r="T113" s="614"/>
      <c r="U113" s="615"/>
      <c r="V113" s="615"/>
      <c r="W113" s="616"/>
    </row>
    <row r="114" spans="2:23" x14ac:dyDescent="0.4">
      <c r="B114" s="610" t="s">
        <v>121</v>
      </c>
      <c r="C114" s="610"/>
      <c r="D114" s="610"/>
      <c r="E114" s="620">
        <v>183562</v>
      </c>
      <c r="F114" s="620"/>
      <c r="G114" s="608"/>
      <c r="H114" s="612"/>
      <c r="I114" s="620">
        <v>43283</v>
      </c>
      <c r="J114" s="620"/>
      <c r="K114" s="608"/>
      <c r="L114" s="612"/>
      <c r="M114" s="620">
        <v>16975</v>
      </c>
      <c r="N114" s="620"/>
      <c r="O114" s="608"/>
      <c r="P114" s="612"/>
      <c r="Q114" s="620">
        <v>8952</v>
      </c>
      <c r="R114" s="620"/>
      <c r="S114" s="608"/>
      <c r="T114" s="612"/>
      <c r="U114" s="620">
        <v>9476</v>
      </c>
      <c r="V114" s="620"/>
      <c r="W114" s="608"/>
    </row>
    <row r="115" spans="2:23" x14ac:dyDescent="0.4">
      <c r="B115" s="624"/>
      <c r="C115" s="624"/>
      <c r="D115" s="624"/>
      <c r="E115" s="633"/>
      <c r="F115" s="633"/>
      <c r="G115" s="622"/>
      <c r="H115" s="623"/>
      <c r="I115" s="633"/>
      <c r="J115" s="633"/>
      <c r="K115" s="622"/>
      <c r="L115" s="623"/>
      <c r="M115" s="633"/>
      <c r="N115" s="633"/>
      <c r="O115" s="622"/>
      <c r="P115" s="623"/>
      <c r="Q115" s="633"/>
      <c r="R115" s="633"/>
      <c r="S115" s="622"/>
      <c r="T115" s="623"/>
      <c r="U115" s="633"/>
      <c r="V115" s="633"/>
      <c r="W115" s="622"/>
    </row>
    <row r="116" spans="2:23" x14ac:dyDescent="0.4">
      <c r="B116" s="240"/>
      <c r="C116" s="601"/>
      <c r="D116" s="601"/>
      <c r="E116" s="601"/>
      <c r="F116" s="601"/>
      <c r="G116" s="601"/>
      <c r="H116" s="240"/>
      <c r="I116" s="601"/>
      <c r="J116" s="601"/>
      <c r="K116" s="601"/>
      <c r="L116" s="240"/>
      <c r="M116" s="601"/>
      <c r="N116" s="601"/>
      <c r="O116" s="601"/>
      <c r="P116" s="240"/>
      <c r="Q116" s="601"/>
      <c r="R116" s="601"/>
      <c r="S116" s="601"/>
      <c r="T116" s="240"/>
      <c r="U116" s="601"/>
      <c r="V116" s="601"/>
      <c r="W116" s="601"/>
    </row>
    <row r="117" spans="2:23" x14ac:dyDescent="0.4">
      <c r="B117" s="617" t="s">
        <v>122</v>
      </c>
      <c r="C117" s="617"/>
      <c r="D117" s="617"/>
      <c r="E117" s="606">
        <v>5623</v>
      </c>
      <c r="F117" s="606"/>
      <c r="G117" s="600"/>
      <c r="H117" s="605"/>
      <c r="I117" s="606">
        <v>5354</v>
      </c>
      <c r="J117" s="606"/>
      <c r="K117" s="600"/>
      <c r="L117" s="605"/>
      <c r="M117" s="606">
        <v>4314</v>
      </c>
      <c r="N117" s="606"/>
      <c r="O117" s="600"/>
      <c r="P117" s="605"/>
      <c r="Q117" s="599">
        <v>165</v>
      </c>
      <c r="R117" s="599"/>
      <c r="S117" s="600"/>
      <c r="T117" s="605"/>
      <c r="U117" s="599">
        <v>93</v>
      </c>
      <c r="V117" s="599"/>
      <c r="W117" s="600"/>
    </row>
    <row r="118" spans="2:23" x14ac:dyDescent="0.4">
      <c r="B118" s="617"/>
      <c r="C118" s="617"/>
      <c r="D118" s="617"/>
      <c r="E118" s="606"/>
      <c r="F118" s="606"/>
      <c r="G118" s="600"/>
      <c r="H118" s="605"/>
      <c r="I118" s="606"/>
      <c r="J118" s="606"/>
      <c r="K118" s="600"/>
      <c r="L118" s="605"/>
      <c r="M118" s="606"/>
      <c r="N118" s="606"/>
      <c r="O118" s="600"/>
      <c r="P118" s="605"/>
      <c r="Q118" s="599"/>
      <c r="R118" s="599"/>
      <c r="S118" s="600"/>
      <c r="T118" s="605"/>
      <c r="U118" s="599"/>
      <c r="V118" s="599"/>
      <c r="W118" s="600"/>
    </row>
    <row r="119" spans="2:23" x14ac:dyDescent="0.4">
      <c r="B119" s="602" t="s">
        <v>123</v>
      </c>
      <c r="C119" s="602"/>
      <c r="D119" s="602"/>
      <c r="E119" s="603" t="s">
        <v>9</v>
      </c>
      <c r="F119" s="603"/>
      <c r="G119" s="604"/>
      <c r="H119" s="601"/>
      <c r="I119" s="603" t="s">
        <v>9</v>
      </c>
      <c r="J119" s="603"/>
      <c r="K119" s="604"/>
      <c r="L119" s="601"/>
      <c r="M119" s="603" t="s">
        <v>9</v>
      </c>
      <c r="N119" s="603"/>
      <c r="O119" s="604"/>
      <c r="P119" s="601"/>
      <c r="Q119" s="603" t="s">
        <v>9</v>
      </c>
      <c r="R119" s="603"/>
      <c r="S119" s="604"/>
      <c r="T119" s="601"/>
      <c r="U119" s="619">
        <v>2054</v>
      </c>
      <c r="V119" s="619"/>
      <c r="W119" s="604"/>
    </row>
    <row r="120" spans="2:23" x14ac:dyDescent="0.4">
      <c r="B120" s="602"/>
      <c r="C120" s="602"/>
      <c r="D120" s="602"/>
      <c r="E120" s="603"/>
      <c r="F120" s="603"/>
      <c r="G120" s="604"/>
      <c r="H120" s="601"/>
      <c r="I120" s="603"/>
      <c r="J120" s="603"/>
      <c r="K120" s="604"/>
      <c r="L120" s="601"/>
      <c r="M120" s="603"/>
      <c r="N120" s="603"/>
      <c r="O120" s="604"/>
      <c r="P120" s="601"/>
      <c r="Q120" s="603"/>
      <c r="R120" s="603"/>
      <c r="S120" s="604"/>
      <c r="T120" s="601"/>
      <c r="U120" s="619"/>
      <c r="V120" s="619"/>
      <c r="W120" s="604"/>
    </row>
    <row r="121" spans="2:23" x14ac:dyDescent="0.4">
      <c r="B121" s="617" t="s">
        <v>124</v>
      </c>
      <c r="C121" s="617"/>
      <c r="D121" s="617"/>
      <c r="E121" s="599">
        <v>983</v>
      </c>
      <c r="F121" s="599"/>
      <c r="G121" s="600"/>
      <c r="H121" s="605"/>
      <c r="I121" s="606">
        <v>2251</v>
      </c>
      <c r="J121" s="606"/>
      <c r="K121" s="600"/>
      <c r="L121" s="605"/>
      <c r="M121" s="606">
        <v>1482</v>
      </c>
      <c r="N121" s="606"/>
      <c r="O121" s="600"/>
      <c r="P121" s="605"/>
      <c r="Q121" s="606">
        <v>2830</v>
      </c>
      <c r="R121" s="606"/>
      <c r="S121" s="600"/>
      <c r="T121" s="605"/>
      <c r="U121" s="599">
        <v>975</v>
      </c>
      <c r="V121" s="599"/>
      <c r="W121" s="600"/>
    </row>
    <row r="122" spans="2:23" x14ac:dyDescent="0.4">
      <c r="B122" s="617"/>
      <c r="C122" s="617"/>
      <c r="D122" s="617"/>
      <c r="E122" s="599"/>
      <c r="F122" s="599"/>
      <c r="G122" s="600"/>
      <c r="H122" s="605"/>
      <c r="I122" s="606"/>
      <c r="J122" s="606"/>
      <c r="K122" s="600"/>
      <c r="L122" s="605"/>
      <c r="M122" s="606"/>
      <c r="N122" s="606"/>
      <c r="O122" s="600"/>
      <c r="P122" s="605"/>
      <c r="Q122" s="606"/>
      <c r="R122" s="606"/>
      <c r="S122" s="600"/>
      <c r="T122" s="605"/>
      <c r="U122" s="599"/>
      <c r="V122" s="599"/>
      <c r="W122" s="600"/>
    </row>
    <row r="123" spans="2:23" x14ac:dyDescent="0.4">
      <c r="B123" s="602" t="s">
        <v>125</v>
      </c>
      <c r="C123" s="602"/>
      <c r="D123" s="602"/>
      <c r="E123" s="603">
        <v>608</v>
      </c>
      <c r="F123" s="603"/>
      <c r="G123" s="604"/>
      <c r="H123" s="601"/>
      <c r="I123" s="603">
        <v>34</v>
      </c>
      <c r="J123" s="603"/>
      <c r="K123" s="604"/>
      <c r="L123" s="601"/>
      <c r="M123" s="603">
        <v>17</v>
      </c>
      <c r="N123" s="603"/>
      <c r="O123" s="604"/>
      <c r="P123" s="601"/>
      <c r="Q123" s="603">
        <v>105</v>
      </c>
      <c r="R123" s="603"/>
      <c r="S123" s="604"/>
      <c r="T123" s="601"/>
      <c r="U123" s="603">
        <v>25</v>
      </c>
      <c r="V123" s="603"/>
      <c r="W123" s="604"/>
    </row>
    <row r="124" spans="2:23" x14ac:dyDescent="0.4">
      <c r="B124" s="602"/>
      <c r="C124" s="602"/>
      <c r="D124" s="602"/>
      <c r="E124" s="603"/>
      <c r="F124" s="603"/>
      <c r="G124" s="604"/>
      <c r="H124" s="601"/>
      <c r="I124" s="603"/>
      <c r="J124" s="603"/>
      <c r="K124" s="604"/>
      <c r="L124" s="601"/>
      <c r="M124" s="603"/>
      <c r="N124" s="603"/>
      <c r="O124" s="604"/>
      <c r="P124" s="601"/>
      <c r="Q124" s="603"/>
      <c r="R124" s="603"/>
      <c r="S124" s="604"/>
      <c r="T124" s="601"/>
      <c r="U124" s="603"/>
      <c r="V124" s="603"/>
      <c r="W124" s="604"/>
    </row>
    <row r="125" spans="2:23" x14ac:dyDescent="0.4">
      <c r="B125" s="605" t="s">
        <v>986</v>
      </c>
      <c r="C125" s="605"/>
      <c r="D125" s="605"/>
      <c r="E125" s="599" t="s">
        <v>9</v>
      </c>
      <c r="F125" s="599"/>
      <c r="G125" s="600"/>
      <c r="H125" s="605"/>
      <c r="I125" s="599" t="s">
        <v>9</v>
      </c>
      <c r="J125" s="599"/>
      <c r="K125" s="600"/>
      <c r="L125" s="605"/>
      <c r="M125" s="606">
        <v>12818</v>
      </c>
      <c r="N125" s="606"/>
      <c r="O125" s="600"/>
      <c r="P125" s="605"/>
      <c r="Q125" s="599" t="s">
        <v>9</v>
      </c>
      <c r="R125" s="599"/>
      <c r="S125" s="600"/>
      <c r="T125" s="605"/>
      <c r="U125" s="599" t="s">
        <v>9</v>
      </c>
      <c r="V125" s="599"/>
      <c r="W125" s="600"/>
    </row>
    <row r="126" spans="2:23" x14ac:dyDescent="0.4">
      <c r="B126" s="605"/>
      <c r="C126" s="605"/>
      <c r="D126" s="605"/>
      <c r="E126" s="599"/>
      <c r="F126" s="599"/>
      <c r="G126" s="600"/>
      <c r="H126" s="605"/>
      <c r="I126" s="599"/>
      <c r="J126" s="599"/>
      <c r="K126" s="600"/>
      <c r="L126" s="605"/>
      <c r="M126" s="606"/>
      <c r="N126" s="606"/>
      <c r="O126" s="600"/>
      <c r="P126" s="605"/>
      <c r="Q126" s="599"/>
      <c r="R126" s="599"/>
      <c r="S126" s="600"/>
      <c r="T126" s="605"/>
      <c r="U126" s="599"/>
      <c r="V126" s="599"/>
      <c r="W126" s="600"/>
    </row>
    <row r="127" spans="2:23" x14ac:dyDescent="0.4">
      <c r="B127" s="602" t="s">
        <v>126</v>
      </c>
      <c r="C127" s="602"/>
      <c r="D127" s="602"/>
      <c r="E127" s="603" t="s">
        <v>9</v>
      </c>
      <c r="F127" s="603"/>
      <c r="G127" s="604"/>
      <c r="H127" s="601"/>
      <c r="I127" s="603" t="s">
        <v>9</v>
      </c>
      <c r="J127" s="603"/>
      <c r="K127" s="604"/>
      <c r="L127" s="601"/>
      <c r="M127" s="603">
        <v>635</v>
      </c>
      <c r="N127" s="603"/>
      <c r="O127" s="604"/>
      <c r="P127" s="601"/>
      <c r="Q127" s="619">
        <v>2675</v>
      </c>
      <c r="R127" s="619"/>
      <c r="S127" s="604"/>
      <c r="T127" s="601"/>
      <c r="U127" s="603" t="s">
        <v>9</v>
      </c>
      <c r="V127" s="603"/>
      <c r="W127" s="604"/>
    </row>
    <row r="128" spans="2:23" x14ac:dyDescent="0.4">
      <c r="B128" s="602"/>
      <c r="C128" s="602"/>
      <c r="D128" s="602"/>
      <c r="E128" s="603"/>
      <c r="F128" s="603"/>
      <c r="G128" s="604"/>
      <c r="H128" s="601"/>
      <c r="I128" s="603"/>
      <c r="J128" s="603"/>
      <c r="K128" s="604"/>
      <c r="L128" s="601"/>
      <c r="M128" s="603"/>
      <c r="N128" s="603"/>
      <c r="O128" s="604"/>
      <c r="P128" s="601"/>
      <c r="Q128" s="619"/>
      <c r="R128" s="619"/>
      <c r="S128" s="604"/>
      <c r="T128" s="601"/>
      <c r="U128" s="603"/>
      <c r="V128" s="603"/>
      <c r="W128" s="604"/>
    </row>
    <row r="129" spans="2:23" x14ac:dyDescent="0.4">
      <c r="B129" s="617" t="s">
        <v>127</v>
      </c>
      <c r="C129" s="617"/>
      <c r="D129" s="617"/>
      <c r="E129" s="599" t="s">
        <v>9</v>
      </c>
      <c r="F129" s="599"/>
      <c r="G129" s="600"/>
      <c r="H129" s="605"/>
      <c r="I129" s="599" t="s">
        <v>9</v>
      </c>
      <c r="J129" s="599"/>
      <c r="K129" s="600"/>
      <c r="L129" s="605"/>
      <c r="M129" s="599">
        <v>770</v>
      </c>
      <c r="N129" s="599"/>
      <c r="O129" s="600"/>
      <c r="P129" s="605"/>
      <c r="Q129" s="599" t="s">
        <v>9</v>
      </c>
      <c r="R129" s="599"/>
      <c r="S129" s="600"/>
      <c r="T129" s="605"/>
      <c r="U129" s="599" t="s">
        <v>9</v>
      </c>
      <c r="V129" s="599"/>
      <c r="W129" s="600"/>
    </row>
    <row r="130" spans="2:23" x14ac:dyDescent="0.4">
      <c r="B130" s="617"/>
      <c r="C130" s="617"/>
      <c r="D130" s="617"/>
      <c r="E130" s="599"/>
      <c r="F130" s="599"/>
      <c r="G130" s="600"/>
      <c r="H130" s="605"/>
      <c r="I130" s="599"/>
      <c r="J130" s="599"/>
      <c r="K130" s="600"/>
      <c r="L130" s="605"/>
      <c r="M130" s="599"/>
      <c r="N130" s="599"/>
      <c r="O130" s="600"/>
      <c r="P130" s="605"/>
      <c r="Q130" s="599"/>
      <c r="R130" s="599"/>
      <c r="S130" s="600"/>
      <c r="T130" s="605"/>
      <c r="U130" s="599"/>
      <c r="V130" s="599"/>
      <c r="W130" s="600"/>
    </row>
    <row r="131" spans="2:23" x14ac:dyDescent="0.4">
      <c r="B131" s="601" t="s">
        <v>987</v>
      </c>
      <c r="C131" s="601"/>
      <c r="D131" s="601"/>
      <c r="E131" s="603">
        <v>664</v>
      </c>
      <c r="F131" s="603"/>
      <c r="G131" s="604"/>
      <c r="H131" s="601"/>
      <c r="I131" s="603" t="s">
        <v>9</v>
      </c>
      <c r="J131" s="603"/>
      <c r="K131" s="604"/>
      <c r="L131" s="601"/>
      <c r="M131" s="603" t="s">
        <v>9</v>
      </c>
      <c r="N131" s="603"/>
      <c r="O131" s="604"/>
      <c r="P131" s="601"/>
      <c r="Q131" s="603" t="s">
        <v>9</v>
      </c>
      <c r="R131" s="603"/>
      <c r="S131" s="604"/>
      <c r="T131" s="601"/>
      <c r="U131" s="603" t="s">
        <v>9</v>
      </c>
      <c r="V131" s="603"/>
      <c r="W131" s="604"/>
    </row>
    <row r="132" spans="2:23" x14ac:dyDescent="0.4">
      <c r="B132" s="601"/>
      <c r="C132" s="601"/>
      <c r="D132" s="601"/>
      <c r="E132" s="603"/>
      <c r="F132" s="603"/>
      <c r="G132" s="604"/>
      <c r="H132" s="601"/>
      <c r="I132" s="603"/>
      <c r="J132" s="603"/>
      <c r="K132" s="604"/>
      <c r="L132" s="601"/>
      <c r="M132" s="603"/>
      <c r="N132" s="603"/>
      <c r="O132" s="604"/>
      <c r="P132" s="601"/>
      <c r="Q132" s="603"/>
      <c r="R132" s="603"/>
      <c r="S132" s="604"/>
      <c r="T132" s="601"/>
      <c r="U132" s="603"/>
      <c r="V132" s="603"/>
      <c r="W132" s="604"/>
    </row>
    <row r="133" spans="2:23" x14ac:dyDescent="0.4">
      <c r="B133" s="605" t="s">
        <v>988</v>
      </c>
      <c r="C133" s="605"/>
      <c r="D133" s="605"/>
      <c r="E133" s="599">
        <v>181</v>
      </c>
      <c r="F133" s="599"/>
      <c r="G133" s="600"/>
      <c r="H133" s="605"/>
      <c r="I133" s="599" t="s">
        <v>9</v>
      </c>
      <c r="J133" s="599"/>
      <c r="K133" s="600"/>
      <c r="L133" s="605"/>
      <c r="M133" s="599" t="s">
        <v>9</v>
      </c>
      <c r="N133" s="599"/>
      <c r="O133" s="600"/>
      <c r="P133" s="605"/>
      <c r="Q133" s="599" t="s">
        <v>9</v>
      </c>
      <c r="R133" s="599"/>
      <c r="S133" s="600"/>
      <c r="T133" s="605"/>
      <c r="U133" s="599" t="s">
        <v>9</v>
      </c>
      <c r="V133" s="599"/>
      <c r="W133" s="600"/>
    </row>
    <row r="134" spans="2:23" x14ac:dyDescent="0.4">
      <c r="B134" s="605"/>
      <c r="C134" s="605"/>
      <c r="D134" s="605"/>
      <c r="E134" s="599"/>
      <c r="F134" s="599"/>
      <c r="G134" s="600"/>
      <c r="H134" s="605"/>
      <c r="I134" s="599"/>
      <c r="J134" s="599"/>
      <c r="K134" s="600"/>
      <c r="L134" s="605"/>
      <c r="M134" s="599"/>
      <c r="N134" s="599"/>
      <c r="O134" s="600"/>
      <c r="P134" s="605"/>
      <c r="Q134" s="599"/>
      <c r="R134" s="599"/>
      <c r="S134" s="600"/>
      <c r="T134" s="605"/>
      <c r="U134" s="599"/>
      <c r="V134" s="599"/>
      <c r="W134" s="600"/>
    </row>
    <row r="135" spans="2:23" x14ac:dyDescent="0.4">
      <c r="B135" s="601" t="s">
        <v>989</v>
      </c>
      <c r="C135" s="601"/>
      <c r="D135" s="601"/>
      <c r="E135" s="603">
        <v>264</v>
      </c>
      <c r="F135" s="603"/>
      <c r="G135" s="604"/>
      <c r="H135" s="601"/>
      <c r="I135" s="603" t="s">
        <v>9</v>
      </c>
      <c r="J135" s="603"/>
      <c r="K135" s="604"/>
      <c r="L135" s="601"/>
      <c r="M135" s="603" t="s">
        <v>9</v>
      </c>
      <c r="N135" s="603"/>
      <c r="O135" s="604"/>
      <c r="P135" s="601"/>
      <c r="Q135" s="603" t="s">
        <v>9</v>
      </c>
      <c r="R135" s="603"/>
      <c r="S135" s="604"/>
      <c r="T135" s="601"/>
      <c r="U135" s="603" t="s">
        <v>9</v>
      </c>
      <c r="V135" s="603"/>
      <c r="W135" s="604"/>
    </row>
    <row r="136" spans="2:23" x14ac:dyDescent="0.4">
      <c r="B136" s="601"/>
      <c r="C136" s="601"/>
      <c r="D136" s="601"/>
      <c r="E136" s="603"/>
      <c r="F136" s="603"/>
      <c r="G136" s="604"/>
      <c r="H136" s="601"/>
      <c r="I136" s="603"/>
      <c r="J136" s="603"/>
      <c r="K136" s="604"/>
      <c r="L136" s="601"/>
      <c r="M136" s="603"/>
      <c r="N136" s="603"/>
      <c r="O136" s="604"/>
      <c r="P136" s="601"/>
      <c r="Q136" s="603"/>
      <c r="R136" s="603"/>
      <c r="S136" s="604"/>
      <c r="T136" s="601"/>
      <c r="U136" s="603"/>
      <c r="V136" s="603"/>
      <c r="W136" s="604"/>
    </row>
    <row r="137" spans="2:23" x14ac:dyDescent="0.4">
      <c r="B137" s="617" t="s">
        <v>128</v>
      </c>
      <c r="C137" s="617"/>
      <c r="D137" s="617"/>
      <c r="E137" s="599" t="s">
        <v>129</v>
      </c>
      <c r="F137" s="599"/>
      <c r="G137" s="617" t="s">
        <v>56</v>
      </c>
      <c r="H137" s="605"/>
      <c r="I137" s="599" t="s">
        <v>130</v>
      </c>
      <c r="J137" s="599"/>
      <c r="K137" s="617" t="s">
        <v>56</v>
      </c>
      <c r="L137" s="605"/>
      <c r="M137" s="599" t="s">
        <v>9</v>
      </c>
      <c r="N137" s="599"/>
      <c r="O137" s="600"/>
      <c r="P137" s="605"/>
      <c r="Q137" s="599" t="s">
        <v>9</v>
      </c>
      <c r="R137" s="599"/>
      <c r="S137" s="600"/>
      <c r="T137" s="605"/>
      <c r="U137" s="599" t="s">
        <v>9</v>
      </c>
      <c r="V137" s="599"/>
      <c r="W137" s="600"/>
    </row>
    <row r="138" spans="2:23" x14ac:dyDescent="0.4">
      <c r="B138" s="617"/>
      <c r="C138" s="617"/>
      <c r="D138" s="617"/>
      <c r="E138" s="599"/>
      <c r="F138" s="599"/>
      <c r="G138" s="617"/>
      <c r="H138" s="605"/>
      <c r="I138" s="599"/>
      <c r="J138" s="599"/>
      <c r="K138" s="617"/>
      <c r="L138" s="605"/>
      <c r="M138" s="599"/>
      <c r="N138" s="599"/>
      <c r="O138" s="600"/>
      <c r="P138" s="605"/>
      <c r="Q138" s="599"/>
      <c r="R138" s="599"/>
      <c r="S138" s="600"/>
      <c r="T138" s="605"/>
      <c r="U138" s="599"/>
      <c r="V138" s="599"/>
      <c r="W138" s="600"/>
    </row>
    <row r="139" spans="2:23" x14ac:dyDescent="0.4">
      <c r="B139" s="602" t="s">
        <v>131</v>
      </c>
      <c r="C139" s="602"/>
      <c r="D139" s="602"/>
      <c r="E139" s="603" t="s">
        <v>132</v>
      </c>
      <c r="F139" s="603"/>
      <c r="G139" s="602" t="s">
        <v>56</v>
      </c>
      <c r="H139" s="601"/>
      <c r="I139" s="603" t="s">
        <v>9</v>
      </c>
      <c r="J139" s="603"/>
      <c r="K139" s="604"/>
      <c r="L139" s="601"/>
      <c r="M139" s="603" t="s">
        <v>9</v>
      </c>
      <c r="N139" s="603"/>
      <c r="O139" s="604"/>
      <c r="P139" s="601"/>
      <c r="Q139" s="603" t="s">
        <v>9</v>
      </c>
      <c r="R139" s="603"/>
      <c r="S139" s="604"/>
      <c r="T139" s="601"/>
      <c r="U139" s="603" t="s">
        <v>9</v>
      </c>
      <c r="V139" s="603"/>
      <c r="W139" s="604"/>
    </row>
    <row r="140" spans="2:23" x14ac:dyDescent="0.4">
      <c r="B140" s="602"/>
      <c r="C140" s="602"/>
      <c r="D140" s="602"/>
      <c r="E140" s="603"/>
      <c r="F140" s="603"/>
      <c r="G140" s="602"/>
      <c r="H140" s="601"/>
      <c r="I140" s="603"/>
      <c r="J140" s="603"/>
      <c r="K140" s="604"/>
      <c r="L140" s="601"/>
      <c r="M140" s="603"/>
      <c r="N140" s="603"/>
      <c r="O140" s="604"/>
      <c r="P140" s="601"/>
      <c r="Q140" s="603"/>
      <c r="R140" s="603"/>
      <c r="S140" s="604"/>
      <c r="T140" s="601"/>
      <c r="U140" s="603"/>
      <c r="V140" s="603"/>
      <c r="W140" s="604"/>
    </row>
    <row r="141" spans="2:23" x14ac:dyDescent="0.4">
      <c r="B141" s="617" t="s">
        <v>133</v>
      </c>
      <c r="C141" s="617"/>
      <c r="D141" s="617"/>
      <c r="E141" s="599" t="s">
        <v>9</v>
      </c>
      <c r="F141" s="599"/>
      <c r="G141" s="600"/>
      <c r="H141" s="605"/>
      <c r="I141" s="599" t="s">
        <v>9</v>
      </c>
      <c r="J141" s="599"/>
      <c r="K141" s="600"/>
      <c r="L141" s="605"/>
      <c r="M141" s="599" t="s">
        <v>9</v>
      </c>
      <c r="N141" s="599"/>
      <c r="O141" s="600"/>
      <c r="P141" s="605"/>
      <c r="Q141" s="599">
        <v>135</v>
      </c>
      <c r="R141" s="599"/>
      <c r="S141" s="600"/>
      <c r="T141" s="605"/>
      <c r="U141" s="599">
        <v>99</v>
      </c>
      <c r="V141" s="599"/>
      <c r="W141" s="600"/>
    </row>
    <row r="142" spans="2:23" ht="13.8" thickBot="1" x14ac:dyDescent="0.45">
      <c r="B142" s="645"/>
      <c r="C142" s="645"/>
      <c r="D142" s="645"/>
      <c r="E142" s="598"/>
      <c r="F142" s="598"/>
      <c r="G142" s="641"/>
      <c r="H142" s="640"/>
      <c r="I142" s="598"/>
      <c r="J142" s="598"/>
      <c r="K142" s="641"/>
      <c r="L142" s="640"/>
      <c r="M142" s="598"/>
      <c r="N142" s="598"/>
      <c r="O142" s="641"/>
      <c r="P142" s="640"/>
      <c r="Q142" s="598"/>
      <c r="R142" s="598"/>
      <c r="S142" s="641"/>
      <c r="T142" s="640"/>
      <c r="U142" s="598"/>
      <c r="V142" s="598"/>
      <c r="W142" s="641"/>
    </row>
    <row r="143" spans="2:23" x14ac:dyDescent="0.4">
      <c r="B143" s="642" t="s">
        <v>134</v>
      </c>
      <c r="C143" s="642"/>
      <c r="D143" s="642"/>
      <c r="E143" s="644" t="s">
        <v>47</v>
      </c>
      <c r="F143" s="625">
        <v>64664</v>
      </c>
      <c r="G143" s="627"/>
      <c r="H143" s="628"/>
      <c r="I143" s="644" t="s">
        <v>47</v>
      </c>
      <c r="J143" s="625">
        <v>50234</v>
      </c>
      <c r="K143" s="627"/>
      <c r="L143" s="628"/>
      <c r="M143" s="644" t="s">
        <v>47</v>
      </c>
      <c r="N143" s="625">
        <v>37011</v>
      </c>
      <c r="O143" s="627"/>
      <c r="P143" s="628"/>
      <c r="Q143" s="644" t="s">
        <v>47</v>
      </c>
      <c r="R143" s="625">
        <v>14862</v>
      </c>
      <c r="S143" s="627"/>
      <c r="T143" s="628"/>
      <c r="U143" s="644" t="s">
        <v>47</v>
      </c>
      <c r="V143" s="625">
        <v>12722</v>
      </c>
      <c r="W143" s="627"/>
    </row>
    <row r="144" spans="2:23" ht="13.8" thickBot="1" x14ac:dyDescent="0.45">
      <c r="B144" s="643"/>
      <c r="C144" s="643"/>
      <c r="D144" s="643"/>
      <c r="E144" s="618"/>
      <c r="F144" s="626"/>
      <c r="G144" s="616"/>
      <c r="H144" s="614"/>
      <c r="I144" s="618"/>
      <c r="J144" s="626"/>
      <c r="K144" s="616"/>
      <c r="L144" s="614"/>
      <c r="M144" s="618"/>
      <c r="N144" s="626"/>
      <c r="O144" s="616"/>
      <c r="P144" s="614"/>
      <c r="Q144" s="618"/>
      <c r="R144" s="626"/>
      <c r="S144" s="616"/>
      <c r="T144" s="614"/>
      <c r="U144" s="618"/>
      <c r="V144" s="626"/>
      <c r="W144" s="616"/>
    </row>
    <row r="150" spans="1:21" s="275" customFormat="1" ht="15.6" x14ac:dyDescent="0.4">
      <c r="A150" s="275" t="s">
        <v>973</v>
      </c>
      <c r="B150" s="275" t="s">
        <v>974</v>
      </c>
    </row>
    <row r="151" spans="1:21" s="467" customFormat="1" ht="15.6" x14ac:dyDescent="0.4"/>
    <row r="152" spans="1:21" x14ac:dyDescent="0.4">
      <c r="B152" s="639" t="s">
        <v>135</v>
      </c>
      <c r="C152" s="639"/>
      <c r="D152" s="595"/>
      <c r="E152" s="637"/>
      <c r="F152" s="649" t="s">
        <v>1105</v>
      </c>
      <c r="G152" s="649"/>
      <c r="H152" s="595"/>
      <c r="I152" s="637"/>
      <c r="J152" s="649" t="s">
        <v>1106</v>
      </c>
      <c r="K152" s="649"/>
      <c r="L152" s="595"/>
      <c r="M152" s="637"/>
      <c r="N152" s="639" t="s">
        <v>138</v>
      </c>
      <c r="O152" s="639"/>
      <c r="P152" s="595"/>
      <c r="Q152" s="459"/>
      <c r="R152" s="459"/>
      <c r="S152" s="459"/>
      <c r="T152" s="459"/>
      <c r="U152" s="459"/>
    </row>
    <row r="153" spans="1:21" ht="13.8" thickBot="1" x14ac:dyDescent="0.45">
      <c r="B153" s="630" t="s">
        <v>136</v>
      </c>
      <c r="C153" s="630"/>
      <c r="D153" s="596"/>
      <c r="E153" s="638"/>
      <c r="F153" s="630" t="s">
        <v>137</v>
      </c>
      <c r="G153" s="630"/>
      <c r="H153" s="596"/>
      <c r="I153" s="638"/>
      <c r="J153" s="630" t="s">
        <v>137</v>
      </c>
      <c r="K153" s="630"/>
      <c r="L153" s="596"/>
      <c r="M153" s="638"/>
      <c r="N153" s="630" t="s">
        <v>139</v>
      </c>
      <c r="O153" s="630"/>
      <c r="P153" s="596"/>
      <c r="Q153" s="459"/>
      <c r="R153" s="459"/>
      <c r="S153" s="459"/>
      <c r="T153" s="459"/>
      <c r="U153" s="459"/>
    </row>
    <row r="154" spans="1:21" x14ac:dyDescent="0.4">
      <c r="B154" s="612" t="s">
        <v>990</v>
      </c>
      <c r="C154" s="610" t="s">
        <v>47</v>
      </c>
      <c r="D154" s="620">
        <v>271811</v>
      </c>
      <c r="E154" s="608"/>
      <c r="F154" s="612"/>
      <c r="G154" s="610" t="s">
        <v>47</v>
      </c>
      <c r="H154" s="620">
        <v>24123</v>
      </c>
      <c r="I154" s="608"/>
      <c r="J154" s="612"/>
      <c r="K154" s="610" t="s">
        <v>47</v>
      </c>
      <c r="L154" s="620">
        <v>51862</v>
      </c>
      <c r="M154" s="608"/>
      <c r="N154" s="612"/>
      <c r="O154" s="610" t="s">
        <v>47</v>
      </c>
      <c r="P154" s="620">
        <v>52582</v>
      </c>
      <c r="Q154" s="608"/>
      <c r="R154" s="612"/>
      <c r="S154" s="610" t="s">
        <v>47</v>
      </c>
      <c r="T154" s="620">
        <v>143244</v>
      </c>
      <c r="U154" s="608"/>
    </row>
    <row r="155" spans="1:21" x14ac:dyDescent="0.4">
      <c r="B155" s="623"/>
      <c r="C155" s="624"/>
      <c r="D155" s="633"/>
      <c r="E155" s="622"/>
      <c r="F155" s="623"/>
      <c r="G155" s="624"/>
      <c r="H155" s="633"/>
      <c r="I155" s="622"/>
      <c r="J155" s="623"/>
      <c r="K155" s="624"/>
      <c r="L155" s="633"/>
      <c r="M155" s="622"/>
      <c r="N155" s="623"/>
      <c r="O155" s="624"/>
      <c r="P155" s="633"/>
      <c r="Q155" s="622"/>
      <c r="R155" s="623"/>
      <c r="S155" s="624"/>
      <c r="T155" s="633"/>
      <c r="U155" s="622"/>
    </row>
    <row r="156" spans="1:21" x14ac:dyDescent="0.4">
      <c r="B156" s="601" t="s">
        <v>991</v>
      </c>
      <c r="C156" s="619">
        <v>49989</v>
      </c>
      <c r="D156" s="619"/>
      <c r="E156" s="604"/>
      <c r="F156" s="601"/>
      <c r="G156" s="619">
        <v>3679</v>
      </c>
      <c r="H156" s="619"/>
      <c r="I156" s="604"/>
      <c r="J156" s="601"/>
      <c r="K156" s="619">
        <v>9309</v>
      </c>
      <c r="L156" s="619"/>
      <c r="M156" s="604"/>
      <c r="N156" s="601"/>
      <c r="O156" s="619">
        <v>9563</v>
      </c>
      <c r="P156" s="619"/>
      <c r="Q156" s="604"/>
      <c r="R156" s="601"/>
      <c r="S156" s="619">
        <v>27438</v>
      </c>
      <c r="T156" s="619"/>
      <c r="U156" s="604"/>
    </row>
    <row r="157" spans="1:21" x14ac:dyDescent="0.4">
      <c r="B157" s="601"/>
      <c r="C157" s="619"/>
      <c r="D157" s="619"/>
      <c r="E157" s="604"/>
      <c r="F157" s="601"/>
      <c r="G157" s="619"/>
      <c r="H157" s="619"/>
      <c r="I157" s="604"/>
      <c r="J157" s="601"/>
      <c r="K157" s="619"/>
      <c r="L157" s="619"/>
      <c r="M157" s="604"/>
      <c r="N157" s="601"/>
      <c r="O157" s="619"/>
      <c r="P157" s="619"/>
      <c r="Q157" s="604"/>
      <c r="R157" s="601"/>
      <c r="S157" s="619"/>
      <c r="T157" s="619"/>
      <c r="U157" s="604"/>
    </row>
    <row r="158" spans="1:21" x14ac:dyDescent="0.4">
      <c r="B158" s="605" t="s">
        <v>992</v>
      </c>
      <c r="C158" s="606">
        <v>159373</v>
      </c>
      <c r="D158" s="606"/>
      <c r="E158" s="600"/>
      <c r="F158" s="605"/>
      <c r="G158" s="599">
        <v>937</v>
      </c>
      <c r="H158" s="599"/>
      <c r="I158" s="600"/>
      <c r="J158" s="605"/>
      <c r="K158" s="606">
        <v>17008</v>
      </c>
      <c r="L158" s="606"/>
      <c r="M158" s="600"/>
      <c r="N158" s="605"/>
      <c r="O158" s="606">
        <v>17714</v>
      </c>
      <c r="P158" s="606"/>
      <c r="Q158" s="600"/>
      <c r="R158" s="605"/>
      <c r="S158" s="606">
        <v>123714</v>
      </c>
      <c r="T158" s="606"/>
      <c r="U158" s="600"/>
    </row>
    <row r="159" spans="1:21" x14ac:dyDescent="0.4">
      <c r="B159" s="605"/>
      <c r="C159" s="606"/>
      <c r="D159" s="606"/>
      <c r="E159" s="600"/>
      <c r="F159" s="605"/>
      <c r="G159" s="599"/>
      <c r="H159" s="599"/>
      <c r="I159" s="600"/>
      <c r="J159" s="605"/>
      <c r="K159" s="606"/>
      <c r="L159" s="606"/>
      <c r="M159" s="600"/>
      <c r="N159" s="605"/>
      <c r="O159" s="606"/>
      <c r="P159" s="606"/>
      <c r="Q159" s="600"/>
      <c r="R159" s="605"/>
      <c r="S159" s="606"/>
      <c r="T159" s="606"/>
      <c r="U159" s="600"/>
    </row>
    <row r="160" spans="1:21" x14ac:dyDescent="0.4">
      <c r="B160" s="602" t="s">
        <v>140</v>
      </c>
      <c r="C160" s="619">
        <v>167063</v>
      </c>
      <c r="D160" s="619"/>
      <c r="E160" s="604"/>
      <c r="F160" s="601"/>
      <c r="G160" s="619">
        <v>82561</v>
      </c>
      <c r="H160" s="619"/>
      <c r="I160" s="604"/>
      <c r="J160" s="601"/>
      <c r="K160" s="619">
        <v>11468</v>
      </c>
      <c r="L160" s="619"/>
      <c r="M160" s="604"/>
      <c r="N160" s="601"/>
      <c r="O160" s="619">
        <v>13504</v>
      </c>
      <c r="P160" s="619"/>
      <c r="Q160" s="604"/>
      <c r="R160" s="601"/>
      <c r="S160" s="619">
        <v>59530</v>
      </c>
      <c r="T160" s="619"/>
      <c r="U160" s="604"/>
    </row>
    <row r="161" spans="1:21" x14ac:dyDescent="0.4">
      <c r="B161" s="602"/>
      <c r="C161" s="619"/>
      <c r="D161" s="619"/>
      <c r="E161" s="604"/>
      <c r="F161" s="601"/>
      <c r="G161" s="619"/>
      <c r="H161" s="619"/>
      <c r="I161" s="604"/>
      <c r="J161" s="601"/>
      <c r="K161" s="619"/>
      <c r="L161" s="619"/>
      <c r="M161" s="604"/>
      <c r="N161" s="601"/>
      <c r="O161" s="619"/>
      <c r="P161" s="619"/>
      <c r="Q161" s="604"/>
      <c r="R161" s="601"/>
      <c r="S161" s="619"/>
      <c r="T161" s="619"/>
      <c r="U161" s="604"/>
    </row>
    <row r="162" spans="1:21" x14ac:dyDescent="0.4">
      <c r="B162" s="605" t="s">
        <v>993</v>
      </c>
      <c r="C162" s="606">
        <v>2450</v>
      </c>
      <c r="D162" s="606"/>
      <c r="E162" s="600"/>
      <c r="F162" s="605"/>
      <c r="G162" s="606">
        <v>2450</v>
      </c>
      <c r="H162" s="606"/>
      <c r="I162" s="600"/>
      <c r="J162" s="605"/>
      <c r="K162" s="599" t="s">
        <v>9</v>
      </c>
      <c r="L162" s="599"/>
      <c r="M162" s="600"/>
      <c r="N162" s="605"/>
      <c r="O162" s="599" t="s">
        <v>9</v>
      </c>
      <c r="P162" s="599"/>
      <c r="Q162" s="600"/>
      <c r="R162" s="605"/>
      <c r="S162" s="599" t="s">
        <v>9</v>
      </c>
      <c r="T162" s="599"/>
      <c r="U162" s="600"/>
    </row>
    <row r="163" spans="1:21" ht="13.8" thickBot="1" x14ac:dyDescent="0.45">
      <c r="B163" s="640"/>
      <c r="C163" s="648"/>
      <c r="D163" s="648"/>
      <c r="E163" s="641"/>
      <c r="F163" s="640"/>
      <c r="G163" s="648"/>
      <c r="H163" s="648"/>
      <c r="I163" s="641"/>
      <c r="J163" s="640"/>
      <c r="K163" s="598"/>
      <c r="L163" s="598"/>
      <c r="M163" s="641"/>
      <c r="N163" s="640"/>
      <c r="O163" s="598"/>
      <c r="P163" s="598"/>
      <c r="Q163" s="641"/>
      <c r="R163" s="640"/>
      <c r="S163" s="598"/>
      <c r="T163" s="598"/>
      <c r="U163" s="600"/>
    </row>
    <row r="164" spans="1:21" x14ac:dyDescent="0.4">
      <c r="B164" s="642" t="s">
        <v>141</v>
      </c>
      <c r="C164" s="644" t="s">
        <v>47</v>
      </c>
      <c r="D164" s="625">
        <v>650686</v>
      </c>
      <c r="E164" s="627"/>
      <c r="F164" s="628"/>
      <c r="G164" s="644" t="s">
        <v>47</v>
      </c>
      <c r="H164" s="625">
        <v>113750</v>
      </c>
      <c r="I164" s="627"/>
      <c r="J164" s="628"/>
      <c r="K164" s="644" t="s">
        <v>47</v>
      </c>
      <c r="L164" s="625">
        <v>89647</v>
      </c>
      <c r="M164" s="627"/>
      <c r="N164" s="628"/>
      <c r="O164" s="644" t="s">
        <v>47</v>
      </c>
      <c r="P164" s="625">
        <v>93363</v>
      </c>
      <c r="Q164" s="627"/>
      <c r="R164" s="628"/>
      <c r="S164" s="644" t="s">
        <v>47</v>
      </c>
      <c r="T164" s="625">
        <v>353926</v>
      </c>
    </row>
    <row r="165" spans="1:21" ht="13.8" thickBot="1" x14ac:dyDescent="0.45">
      <c r="B165" s="643"/>
      <c r="C165" s="618"/>
      <c r="D165" s="626"/>
      <c r="E165" s="616"/>
      <c r="F165" s="614"/>
      <c r="G165" s="618"/>
      <c r="H165" s="626"/>
      <c r="I165" s="616"/>
      <c r="J165" s="614"/>
      <c r="K165" s="618"/>
      <c r="L165" s="626"/>
      <c r="M165" s="616"/>
      <c r="N165" s="614"/>
      <c r="O165" s="618"/>
      <c r="P165" s="626"/>
      <c r="Q165" s="616"/>
      <c r="R165" s="614"/>
      <c r="S165" s="618"/>
      <c r="T165" s="626"/>
    </row>
    <row r="170" spans="1:21" s="275" customFormat="1" ht="15.6" x14ac:dyDescent="0.4">
      <c r="A170" s="275" t="s">
        <v>994</v>
      </c>
      <c r="B170" s="275" t="s">
        <v>995</v>
      </c>
    </row>
    <row r="171" spans="1:21" s="467" customFormat="1" ht="15.6" x14ac:dyDescent="0.4"/>
    <row r="172" spans="1:21" x14ac:dyDescent="0.4">
      <c r="B172" s="464"/>
      <c r="C172" s="595"/>
      <c r="D172" s="637"/>
      <c r="E172" s="639" t="s">
        <v>6</v>
      </c>
      <c r="F172" s="595"/>
      <c r="G172" s="637"/>
      <c r="H172" s="639" t="s">
        <v>7</v>
      </c>
      <c r="I172" s="595"/>
      <c r="J172" s="595"/>
    </row>
    <row r="173" spans="1:21" x14ac:dyDescent="0.4">
      <c r="B173" s="455" t="s">
        <v>4</v>
      </c>
      <c r="C173" s="595"/>
      <c r="D173" s="637"/>
      <c r="E173" s="639"/>
      <c r="F173" s="595"/>
      <c r="G173" s="637"/>
      <c r="H173" s="639"/>
      <c r="I173" s="595"/>
      <c r="J173" s="595"/>
    </row>
    <row r="174" spans="1:21" ht="13.8" thickBot="1" x14ac:dyDescent="0.45">
      <c r="B174" s="456" t="s">
        <v>5</v>
      </c>
      <c r="C174" s="596"/>
      <c r="D174" s="638"/>
      <c r="E174" s="630"/>
      <c r="F174" s="596"/>
      <c r="G174" s="638"/>
      <c r="H174" s="630"/>
      <c r="I174" s="596"/>
      <c r="J174" s="596"/>
    </row>
    <row r="175" spans="1:21" x14ac:dyDescent="0.4">
      <c r="B175" s="610" t="s">
        <v>8</v>
      </c>
      <c r="C175" s="597">
        <v>3</v>
      </c>
      <c r="D175" s="608"/>
      <c r="E175" s="612"/>
      <c r="F175" s="597" t="s">
        <v>9</v>
      </c>
      <c r="G175" s="608"/>
      <c r="H175" s="612"/>
      <c r="I175" s="597">
        <v>3</v>
      </c>
      <c r="J175" s="600"/>
    </row>
    <row r="176" spans="1:21" x14ac:dyDescent="0.4">
      <c r="B176" s="624"/>
      <c r="C176" s="621"/>
      <c r="D176" s="622"/>
      <c r="E176" s="623"/>
      <c r="F176" s="621"/>
      <c r="G176" s="622"/>
      <c r="H176" s="605"/>
      <c r="I176" s="599"/>
      <c r="J176" s="600"/>
    </row>
    <row r="177" spans="2:10" x14ac:dyDescent="0.4">
      <c r="B177" s="602" t="s">
        <v>10</v>
      </c>
      <c r="C177" s="603">
        <v>7</v>
      </c>
      <c r="D177" s="604"/>
      <c r="E177" s="601"/>
      <c r="F177" s="603">
        <v>1</v>
      </c>
      <c r="G177" s="604"/>
      <c r="H177" s="601"/>
      <c r="I177" s="603">
        <v>8</v>
      </c>
      <c r="J177" s="604"/>
    </row>
    <row r="178" spans="2:10" x14ac:dyDescent="0.4">
      <c r="B178" s="602"/>
      <c r="C178" s="603"/>
      <c r="D178" s="604"/>
      <c r="E178" s="601"/>
      <c r="F178" s="603"/>
      <c r="G178" s="604"/>
      <c r="H178" s="601"/>
      <c r="I178" s="603"/>
      <c r="J178" s="604"/>
    </row>
    <row r="179" spans="2:10" x14ac:dyDescent="0.4">
      <c r="B179" s="617" t="s">
        <v>11</v>
      </c>
      <c r="C179" s="599">
        <v>3</v>
      </c>
      <c r="D179" s="600"/>
      <c r="E179" s="605"/>
      <c r="F179" s="599" t="s">
        <v>9</v>
      </c>
      <c r="G179" s="600"/>
      <c r="H179" s="605"/>
      <c r="I179" s="599">
        <v>3</v>
      </c>
      <c r="J179" s="600"/>
    </row>
    <row r="180" spans="2:10" x14ac:dyDescent="0.4">
      <c r="B180" s="617"/>
      <c r="C180" s="599"/>
      <c r="D180" s="600"/>
      <c r="E180" s="605"/>
      <c r="F180" s="599"/>
      <c r="G180" s="600"/>
      <c r="H180" s="605"/>
      <c r="I180" s="599"/>
      <c r="J180" s="600"/>
    </row>
    <row r="181" spans="2:10" x14ac:dyDescent="0.4">
      <c r="B181" s="602" t="s">
        <v>12</v>
      </c>
      <c r="C181" s="603">
        <v>1</v>
      </c>
      <c r="D181" s="604"/>
      <c r="E181" s="601"/>
      <c r="F181" s="603" t="s">
        <v>9</v>
      </c>
      <c r="G181" s="604"/>
      <c r="H181" s="601"/>
      <c r="I181" s="603">
        <v>1</v>
      </c>
      <c r="J181" s="604"/>
    </row>
    <row r="182" spans="2:10" x14ac:dyDescent="0.4">
      <c r="B182" s="602"/>
      <c r="C182" s="603"/>
      <c r="D182" s="604"/>
      <c r="E182" s="601"/>
      <c r="F182" s="603"/>
      <c r="G182" s="604"/>
      <c r="H182" s="601"/>
      <c r="I182" s="603"/>
      <c r="J182" s="604"/>
    </row>
    <row r="183" spans="2:10" x14ac:dyDescent="0.4">
      <c r="B183" s="617" t="s">
        <v>13</v>
      </c>
      <c r="C183" s="599">
        <v>6</v>
      </c>
      <c r="D183" s="600"/>
      <c r="E183" s="605"/>
      <c r="F183" s="599">
        <v>1</v>
      </c>
      <c r="G183" s="600"/>
      <c r="H183" s="605"/>
      <c r="I183" s="599">
        <v>7</v>
      </c>
      <c r="J183" s="600"/>
    </row>
    <row r="184" spans="2:10" x14ac:dyDescent="0.4">
      <c r="B184" s="617"/>
      <c r="C184" s="599"/>
      <c r="D184" s="600"/>
      <c r="E184" s="605"/>
      <c r="F184" s="599"/>
      <c r="G184" s="600"/>
      <c r="H184" s="605"/>
      <c r="I184" s="599"/>
      <c r="J184" s="600"/>
    </row>
    <row r="185" spans="2:10" x14ac:dyDescent="0.4">
      <c r="B185" s="602" t="s">
        <v>14</v>
      </c>
      <c r="C185" s="603">
        <v>6</v>
      </c>
      <c r="D185" s="604"/>
      <c r="E185" s="601"/>
      <c r="F185" s="603" t="s">
        <v>9</v>
      </c>
      <c r="G185" s="604"/>
      <c r="H185" s="601"/>
      <c r="I185" s="603">
        <v>6</v>
      </c>
      <c r="J185" s="604"/>
    </row>
    <row r="186" spans="2:10" x14ac:dyDescent="0.4">
      <c r="B186" s="602"/>
      <c r="C186" s="603"/>
      <c r="D186" s="604"/>
      <c r="E186" s="601"/>
      <c r="F186" s="603"/>
      <c r="G186" s="604"/>
      <c r="H186" s="601"/>
      <c r="I186" s="603"/>
      <c r="J186" s="604"/>
    </row>
    <row r="187" spans="2:10" x14ac:dyDescent="0.4">
      <c r="B187" s="617" t="s">
        <v>15</v>
      </c>
      <c r="C187" s="599">
        <v>2</v>
      </c>
      <c r="D187" s="600"/>
      <c r="E187" s="605"/>
      <c r="F187" s="599" t="s">
        <v>9</v>
      </c>
      <c r="G187" s="600"/>
      <c r="H187" s="605"/>
      <c r="I187" s="599">
        <v>2</v>
      </c>
      <c r="J187" s="600"/>
    </row>
    <row r="188" spans="2:10" x14ac:dyDescent="0.4">
      <c r="B188" s="617"/>
      <c r="C188" s="599"/>
      <c r="D188" s="600"/>
      <c r="E188" s="605"/>
      <c r="F188" s="599"/>
      <c r="G188" s="600"/>
      <c r="H188" s="605"/>
      <c r="I188" s="599"/>
      <c r="J188" s="600"/>
    </row>
    <row r="189" spans="2:10" x14ac:dyDescent="0.4">
      <c r="B189" s="602" t="s">
        <v>16</v>
      </c>
      <c r="C189" s="603">
        <v>4</v>
      </c>
      <c r="D189" s="604"/>
      <c r="E189" s="601"/>
      <c r="F189" s="603" t="s">
        <v>9</v>
      </c>
      <c r="G189" s="604"/>
      <c r="H189" s="601"/>
      <c r="I189" s="603">
        <v>4</v>
      </c>
      <c r="J189" s="604"/>
    </row>
    <row r="190" spans="2:10" x14ac:dyDescent="0.4">
      <c r="B190" s="602"/>
      <c r="C190" s="603"/>
      <c r="D190" s="604"/>
      <c r="E190" s="601"/>
      <c r="F190" s="603"/>
      <c r="G190" s="604"/>
      <c r="H190" s="601"/>
      <c r="I190" s="603"/>
      <c r="J190" s="604"/>
    </row>
    <row r="191" spans="2:10" x14ac:dyDescent="0.4">
      <c r="B191" s="617" t="s">
        <v>17</v>
      </c>
      <c r="C191" s="599">
        <v>1</v>
      </c>
      <c r="D191" s="600"/>
      <c r="E191" s="605"/>
      <c r="F191" s="599" t="s">
        <v>9</v>
      </c>
      <c r="G191" s="600"/>
      <c r="H191" s="605"/>
      <c r="I191" s="599">
        <v>1</v>
      </c>
      <c r="J191" s="600"/>
    </row>
    <row r="192" spans="2:10" x14ac:dyDescent="0.4">
      <c r="B192" s="617"/>
      <c r="C192" s="599"/>
      <c r="D192" s="600"/>
      <c r="E192" s="605"/>
      <c r="F192" s="599"/>
      <c r="G192" s="600"/>
      <c r="H192" s="605"/>
      <c r="I192" s="599"/>
      <c r="J192" s="600"/>
    </row>
    <row r="193" spans="2:10" x14ac:dyDescent="0.4">
      <c r="B193" s="602" t="s">
        <v>18</v>
      </c>
      <c r="C193" s="603">
        <v>3</v>
      </c>
      <c r="D193" s="604"/>
      <c r="E193" s="601"/>
      <c r="F193" s="603">
        <v>1</v>
      </c>
      <c r="G193" s="604"/>
      <c r="H193" s="601"/>
      <c r="I193" s="603">
        <v>4</v>
      </c>
      <c r="J193" s="604"/>
    </row>
    <row r="194" spans="2:10" x14ac:dyDescent="0.4">
      <c r="B194" s="602"/>
      <c r="C194" s="603"/>
      <c r="D194" s="604"/>
      <c r="E194" s="601"/>
      <c r="F194" s="603"/>
      <c r="G194" s="604"/>
      <c r="H194" s="601"/>
      <c r="I194" s="603"/>
      <c r="J194" s="604"/>
    </row>
    <row r="195" spans="2:10" x14ac:dyDescent="0.4">
      <c r="B195" s="617" t="s">
        <v>19</v>
      </c>
      <c r="C195" s="599">
        <v>5</v>
      </c>
      <c r="D195" s="600"/>
      <c r="E195" s="605"/>
      <c r="F195" s="599" t="s">
        <v>9</v>
      </c>
      <c r="G195" s="600"/>
      <c r="H195" s="605"/>
      <c r="I195" s="599">
        <v>5</v>
      </c>
      <c r="J195" s="600"/>
    </row>
    <row r="196" spans="2:10" x14ac:dyDescent="0.4">
      <c r="B196" s="617"/>
      <c r="C196" s="599"/>
      <c r="D196" s="600"/>
      <c r="E196" s="605"/>
      <c r="F196" s="599"/>
      <c r="G196" s="600"/>
      <c r="H196" s="605"/>
      <c r="I196" s="599"/>
      <c r="J196" s="600"/>
    </row>
    <row r="197" spans="2:10" x14ac:dyDescent="0.4">
      <c r="B197" s="602" t="s">
        <v>20</v>
      </c>
      <c r="C197" s="603">
        <v>2</v>
      </c>
      <c r="D197" s="604"/>
      <c r="E197" s="601"/>
      <c r="F197" s="603" t="s">
        <v>9</v>
      </c>
      <c r="G197" s="604"/>
      <c r="H197" s="601"/>
      <c r="I197" s="603">
        <v>2</v>
      </c>
      <c r="J197" s="604"/>
    </row>
    <row r="198" spans="2:10" x14ac:dyDescent="0.4">
      <c r="B198" s="602"/>
      <c r="C198" s="603"/>
      <c r="D198" s="604"/>
      <c r="E198" s="601"/>
      <c r="F198" s="603"/>
      <c r="G198" s="604"/>
      <c r="H198" s="601"/>
      <c r="I198" s="603"/>
      <c r="J198" s="604"/>
    </row>
    <row r="199" spans="2:10" x14ac:dyDescent="0.4">
      <c r="B199" s="617" t="s">
        <v>21</v>
      </c>
      <c r="C199" s="599">
        <v>1</v>
      </c>
      <c r="D199" s="600"/>
      <c r="E199" s="605"/>
      <c r="F199" s="599" t="s">
        <v>9</v>
      </c>
      <c r="G199" s="600"/>
      <c r="H199" s="605"/>
      <c r="I199" s="599">
        <v>1</v>
      </c>
      <c r="J199" s="600"/>
    </row>
    <row r="200" spans="2:10" x14ac:dyDescent="0.4">
      <c r="B200" s="617"/>
      <c r="C200" s="599"/>
      <c r="D200" s="600"/>
      <c r="E200" s="605"/>
      <c r="F200" s="599"/>
      <c r="G200" s="600"/>
      <c r="H200" s="605"/>
      <c r="I200" s="599"/>
      <c r="J200" s="600"/>
    </row>
    <row r="201" spans="2:10" x14ac:dyDescent="0.4">
      <c r="B201" s="602" t="s">
        <v>22</v>
      </c>
      <c r="C201" s="603">
        <v>1</v>
      </c>
      <c r="D201" s="604"/>
      <c r="E201" s="601"/>
      <c r="F201" s="603" t="s">
        <v>9</v>
      </c>
      <c r="G201" s="604"/>
      <c r="H201" s="601"/>
      <c r="I201" s="603">
        <v>1</v>
      </c>
      <c r="J201" s="604"/>
    </row>
    <row r="202" spans="2:10" x14ac:dyDescent="0.4">
      <c r="B202" s="602"/>
      <c r="C202" s="603"/>
      <c r="D202" s="604"/>
      <c r="E202" s="601"/>
      <c r="F202" s="603"/>
      <c r="G202" s="604"/>
      <c r="H202" s="601"/>
      <c r="I202" s="603"/>
      <c r="J202" s="604"/>
    </row>
    <row r="203" spans="2:10" x14ac:dyDescent="0.4">
      <c r="B203" s="617" t="s">
        <v>23</v>
      </c>
      <c r="C203" s="599">
        <v>4</v>
      </c>
      <c r="D203" s="600"/>
      <c r="E203" s="605"/>
      <c r="F203" s="599">
        <v>1</v>
      </c>
      <c r="G203" s="600"/>
      <c r="H203" s="605"/>
      <c r="I203" s="599">
        <v>5</v>
      </c>
      <c r="J203" s="600"/>
    </row>
    <row r="204" spans="2:10" x14ac:dyDescent="0.4">
      <c r="B204" s="617"/>
      <c r="C204" s="599"/>
      <c r="D204" s="600"/>
      <c r="E204" s="605"/>
      <c r="F204" s="599"/>
      <c r="G204" s="600"/>
      <c r="H204" s="605"/>
      <c r="I204" s="599"/>
      <c r="J204" s="600"/>
    </row>
    <row r="205" spans="2:10" x14ac:dyDescent="0.4">
      <c r="B205" s="602" t="s">
        <v>24</v>
      </c>
      <c r="C205" s="603">
        <v>4</v>
      </c>
      <c r="D205" s="604"/>
      <c r="E205" s="601"/>
      <c r="F205" s="603" t="s">
        <v>9</v>
      </c>
      <c r="G205" s="604"/>
      <c r="H205" s="601"/>
      <c r="I205" s="603">
        <v>4</v>
      </c>
      <c r="J205" s="604"/>
    </row>
    <row r="206" spans="2:10" x14ac:dyDescent="0.4">
      <c r="B206" s="602"/>
      <c r="C206" s="603"/>
      <c r="D206" s="604"/>
      <c r="E206" s="601"/>
      <c r="F206" s="603"/>
      <c r="G206" s="604"/>
      <c r="H206" s="601"/>
      <c r="I206" s="603"/>
      <c r="J206" s="604"/>
    </row>
    <row r="207" spans="2:10" x14ac:dyDescent="0.4">
      <c r="B207" s="617" t="s">
        <v>25</v>
      </c>
      <c r="C207" s="599">
        <v>23</v>
      </c>
      <c r="D207" s="600"/>
      <c r="E207" s="605"/>
      <c r="F207" s="599">
        <v>4</v>
      </c>
      <c r="G207" s="600"/>
      <c r="H207" s="605"/>
      <c r="I207" s="599">
        <v>27</v>
      </c>
      <c r="J207" s="600"/>
    </row>
    <row r="208" spans="2:10" x14ac:dyDescent="0.4">
      <c r="B208" s="617"/>
      <c r="C208" s="599"/>
      <c r="D208" s="600"/>
      <c r="E208" s="605"/>
      <c r="F208" s="599"/>
      <c r="G208" s="600"/>
      <c r="H208" s="605"/>
      <c r="I208" s="599"/>
      <c r="J208" s="600"/>
    </row>
    <row r="209" spans="2:10" x14ac:dyDescent="0.4">
      <c r="B209" s="602" t="s">
        <v>26</v>
      </c>
      <c r="C209" s="603">
        <v>4</v>
      </c>
      <c r="D209" s="604"/>
      <c r="E209" s="601"/>
      <c r="F209" s="603">
        <v>1</v>
      </c>
      <c r="G209" s="604"/>
      <c r="H209" s="601"/>
      <c r="I209" s="603">
        <v>5</v>
      </c>
      <c r="J209" s="604"/>
    </row>
    <row r="210" spans="2:10" x14ac:dyDescent="0.4">
      <c r="B210" s="602"/>
      <c r="C210" s="603"/>
      <c r="D210" s="604"/>
      <c r="E210" s="601"/>
      <c r="F210" s="603"/>
      <c r="G210" s="604"/>
      <c r="H210" s="601"/>
      <c r="I210" s="603"/>
      <c r="J210" s="604"/>
    </row>
    <row r="211" spans="2:10" x14ac:dyDescent="0.4">
      <c r="B211" s="617" t="s">
        <v>27</v>
      </c>
      <c r="C211" s="599">
        <v>7</v>
      </c>
      <c r="D211" s="600"/>
      <c r="E211" s="605"/>
      <c r="F211" s="599">
        <v>1</v>
      </c>
      <c r="G211" s="600"/>
      <c r="H211" s="605"/>
      <c r="I211" s="599">
        <v>8</v>
      </c>
      <c r="J211" s="600"/>
    </row>
    <row r="212" spans="2:10" x14ac:dyDescent="0.4">
      <c r="B212" s="617"/>
      <c r="C212" s="599"/>
      <c r="D212" s="600"/>
      <c r="E212" s="605"/>
      <c r="F212" s="599"/>
      <c r="G212" s="600"/>
      <c r="H212" s="605"/>
      <c r="I212" s="599"/>
      <c r="J212" s="600"/>
    </row>
    <row r="213" spans="2:10" x14ac:dyDescent="0.4">
      <c r="B213" s="602" t="s">
        <v>28</v>
      </c>
      <c r="C213" s="603">
        <v>2</v>
      </c>
      <c r="D213" s="604"/>
      <c r="E213" s="601"/>
      <c r="F213" s="603" t="s">
        <v>9</v>
      </c>
      <c r="G213" s="604"/>
      <c r="H213" s="601"/>
      <c r="I213" s="603">
        <v>2</v>
      </c>
      <c r="J213" s="604"/>
    </row>
    <row r="214" spans="2:10" x14ac:dyDescent="0.4">
      <c r="B214" s="602"/>
      <c r="C214" s="603"/>
      <c r="D214" s="604"/>
      <c r="E214" s="601"/>
      <c r="F214" s="603"/>
      <c r="G214" s="604"/>
      <c r="H214" s="601"/>
      <c r="I214" s="603"/>
      <c r="J214" s="604"/>
    </row>
    <row r="215" spans="2:10" x14ac:dyDescent="0.4">
      <c r="B215" s="617" t="s">
        <v>29</v>
      </c>
      <c r="C215" s="599">
        <v>1</v>
      </c>
      <c r="D215" s="600"/>
      <c r="E215" s="605"/>
      <c r="F215" s="599" t="s">
        <v>9</v>
      </c>
      <c r="G215" s="600"/>
      <c r="H215" s="605"/>
      <c r="I215" s="599">
        <v>1</v>
      </c>
      <c r="J215" s="600"/>
    </row>
    <row r="216" spans="2:10" ht="13.8" thickBot="1" x14ac:dyDescent="0.45">
      <c r="B216" s="645"/>
      <c r="C216" s="598"/>
      <c r="D216" s="641"/>
      <c r="E216" s="640"/>
      <c r="F216" s="598"/>
      <c r="G216" s="641"/>
      <c r="H216" s="640"/>
      <c r="I216" s="598"/>
      <c r="J216" s="641"/>
    </row>
    <row r="217" spans="2:10" x14ac:dyDescent="0.4">
      <c r="B217" s="642" t="s">
        <v>30</v>
      </c>
      <c r="C217" s="652">
        <v>90</v>
      </c>
      <c r="D217" s="627"/>
      <c r="E217" s="628"/>
      <c r="F217" s="652">
        <v>10</v>
      </c>
      <c r="G217" s="627"/>
      <c r="H217" s="628"/>
      <c r="I217" s="652">
        <v>100</v>
      </c>
      <c r="J217" s="627"/>
    </row>
    <row r="218" spans="2:10" ht="13.8" thickBot="1" x14ac:dyDescent="0.45">
      <c r="B218" s="643"/>
      <c r="C218" s="615"/>
      <c r="D218" s="616"/>
      <c r="E218" s="614"/>
      <c r="F218" s="615"/>
      <c r="G218" s="616"/>
      <c r="H218" s="614"/>
      <c r="I218" s="615"/>
      <c r="J218" s="616"/>
    </row>
    <row r="219" spans="2:10" x14ac:dyDescent="0.4">
      <c r="B219" s="610" t="s">
        <v>31</v>
      </c>
      <c r="C219" s="597" t="s">
        <v>9</v>
      </c>
      <c r="D219" s="608"/>
      <c r="E219" s="612"/>
      <c r="F219" s="597">
        <v>2</v>
      </c>
      <c r="G219" s="608"/>
      <c r="H219" s="612"/>
      <c r="I219" s="597">
        <v>2</v>
      </c>
      <c r="J219" s="608"/>
    </row>
    <row r="220" spans="2:10" x14ac:dyDescent="0.4">
      <c r="B220" s="617"/>
      <c r="C220" s="621"/>
      <c r="D220" s="622"/>
      <c r="E220" s="623"/>
      <c r="F220" s="621"/>
      <c r="G220" s="622"/>
      <c r="H220" s="605"/>
      <c r="I220" s="599"/>
      <c r="J220" s="600"/>
    </row>
    <row r="221" spans="2:10" x14ac:dyDescent="0.4">
      <c r="B221" s="602" t="s">
        <v>32</v>
      </c>
      <c r="C221" s="603" t="s">
        <v>9</v>
      </c>
      <c r="D221" s="604"/>
      <c r="E221" s="601"/>
      <c r="F221" s="603">
        <v>6</v>
      </c>
      <c r="G221" s="604"/>
      <c r="H221" s="601"/>
      <c r="I221" s="603">
        <v>6</v>
      </c>
      <c r="J221" s="604"/>
    </row>
    <row r="222" spans="2:10" x14ac:dyDescent="0.4">
      <c r="B222" s="602"/>
      <c r="C222" s="603"/>
      <c r="D222" s="604"/>
      <c r="E222" s="601"/>
      <c r="F222" s="603"/>
      <c r="G222" s="604"/>
      <c r="H222" s="601"/>
      <c r="I222" s="603"/>
      <c r="J222" s="604"/>
    </row>
    <row r="223" spans="2:10" x14ac:dyDescent="0.4">
      <c r="B223" s="617" t="s">
        <v>33</v>
      </c>
      <c r="C223" s="599" t="s">
        <v>9</v>
      </c>
      <c r="D223" s="600"/>
      <c r="E223" s="605"/>
      <c r="F223" s="599">
        <v>5</v>
      </c>
      <c r="G223" s="600"/>
      <c r="H223" s="605"/>
      <c r="I223" s="599">
        <v>5</v>
      </c>
      <c r="J223" s="600"/>
    </row>
    <row r="224" spans="2:10" x14ac:dyDescent="0.4">
      <c r="B224" s="617"/>
      <c r="C224" s="599"/>
      <c r="D224" s="600"/>
      <c r="E224" s="605"/>
      <c r="F224" s="599"/>
      <c r="G224" s="600"/>
      <c r="H224" s="605"/>
      <c r="I224" s="599"/>
      <c r="J224" s="600"/>
    </row>
    <row r="225" spans="2:10" x14ac:dyDescent="0.4">
      <c r="B225" s="602" t="s">
        <v>34</v>
      </c>
      <c r="C225" s="603" t="s">
        <v>9</v>
      </c>
      <c r="D225" s="604"/>
      <c r="E225" s="601"/>
      <c r="F225" s="603">
        <v>8</v>
      </c>
      <c r="G225" s="604"/>
      <c r="H225" s="601"/>
      <c r="I225" s="603">
        <v>8</v>
      </c>
      <c r="J225" s="604"/>
    </row>
    <row r="226" spans="2:10" x14ac:dyDescent="0.4">
      <c r="B226" s="602"/>
      <c r="C226" s="603"/>
      <c r="D226" s="604"/>
      <c r="E226" s="601"/>
      <c r="F226" s="603"/>
      <c r="G226" s="604"/>
      <c r="H226" s="601"/>
      <c r="I226" s="603"/>
      <c r="J226" s="604"/>
    </row>
    <row r="227" spans="2:10" x14ac:dyDescent="0.4">
      <c r="B227" s="617" t="s">
        <v>35</v>
      </c>
      <c r="C227" s="599" t="s">
        <v>9</v>
      </c>
      <c r="D227" s="600"/>
      <c r="E227" s="605"/>
      <c r="F227" s="599">
        <v>1</v>
      </c>
      <c r="G227" s="600"/>
      <c r="H227" s="605"/>
      <c r="I227" s="599">
        <v>1</v>
      </c>
      <c r="J227" s="600"/>
    </row>
    <row r="228" spans="2:10" x14ac:dyDescent="0.4">
      <c r="B228" s="617"/>
      <c r="C228" s="599"/>
      <c r="D228" s="600"/>
      <c r="E228" s="605"/>
      <c r="F228" s="599"/>
      <c r="G228" s="600"/>
      <c r="H228" s="605"/>
      <c r="I228" s="599"/>
      <c r="J228" s="600"/>
    </row>
    <row r="229" spans="2:10" x14ac:dyDescent="0.4">
      <c r="B229" s="602" t="s">
        <v>36</v>
      </c>
      <c r="C229" s="603" t="s">
        <v>9</v>
      </c>
      <c r="D229" s="604"/>
      <c r="E229" s="601"/>
      <c r="F229" s="603">
        <v>4</v>
      </c>
      <c r="G229" s="604"/>
      <c r="H229" s="601"/>
      <c r="I229" s="603">
        <v>4</v>
      </c>
      <c r="J229" s="604"/>
    </row>
    <row r="230" spans="2:10" x14ac:dyDescent="0.4">
      <c r="B230" s="602"/>
      <c r="C230" s="603"/>
      <c r="D230" s="604"/>
      <c r="E230" s="601"/>
      <c r="F230" s="603"/>
      <c r="G230" s="604"/>
      <c r="H230" s="601"/>
      <c r="I230" s="603"/>
      <c r="J230" s="604"/>
    </row>
    <row r="231" spans="2:10" x14ac:dyDescent="0.4">
      <c r="B231" s="617" t="s">
        <v>37</v>
      </c>
      <c r="C231" s="599" t="s">
        <v>9</v>
      </c>
      <c r="D231" s="600"/>
      <c r="E231" s="605"/>
      <c r="F231" s="599">
        <v>3</v>
      </c>
      <c r="G231" s="600"/>
      <c r="H231" s="605"/>
      <c r="I231" s="599">
        <v>3</v>
      </c>
      <c r="J231" s="600"/>
    </row>
    <row r="232" spans="2:10" x14ac:dyDescent="0.4">
      <c r="B232" s="617"/>
      <c r="C232" s="599"/>
      <c r="D232" s="600"/>
      <c r="E232" s="605"/>
      <c r="F232" s="599"/>
      <c r="G232" s="600"/>
      <c r="H232" s="605"/>
      <c r="I232" s="599"/>
      <c r="J232" s="600"/>
    </row>
    <row r="233" spans="2:10" x14ac:dyDescent="0.4">
      <c r="B233" s="602" t="s">
        <v>38</v>
      </c>
      <c r="C233" s="603" t="s">
        <v>9</v>
      </c>
      <c r="D233" s="604"/>
      <c r="E233" s="601"/>
      <c r="F233" s="603">
        <v>7</v>
      </c>
      <c r="G233" s="604"/>
      <c r="H233" s="601"/>
      <c r="I233" s="603">
        <v>7</v>
      </c>
      <c r="J233" s="604"/>
    </row>
    <row r="234" spans="2:10" x14ac:dyDescent="0.4">
      <c r="B234" s="602"/>
      <c r="C234" s="603"/>
      <c r="D234" s="604"/>
      <c r="E234" s="601"/>
      <c r="F234" s="603"/>
      <c r="G234" s="604"/>
      <c r="H234" s="601"/>
      <c r="I234" s="603"/>
      <c r="J234" s="604"/>
    </row>
    <row r="235" spans="2:10" x14ac:dyDescent="0.4">
      <c r="B235" s="617" t="s">
        <v>39</v>
      </c>
      <c r="C235" s="599" t="s">
        <v>9</v>
      </c>
      <c r="D235" s="600"/>
      <c r="E235" s="605"/>
      <c r="F235" s="599">
        <v>3</v>
      </c>
      <c r="G235" s="600"/>
      <c r="H235" s="605"/>
      <c r="I235" s="599">
        <v>3</v>
      </c>
      <c r="J235" s="600"/>
    </row>
    <row r="236" spans="2:10" x14ac:dyDescent="0.4">
      <c r="B236" s="617"/>
      <c r="C236" s="599"/>
      <c r="D236" s="600"/>
      <c r="E236" s="605"/>
      <c r="F236" s="599"/>
      <c r="G236" s="600"/>
      <c r="H236" s="605"/>
      <c r="I236" s="599"/>
      <c r="J236" s="600"/>
    </row>
    <row r="237" spans="2:10" x14ac:dyDescent="0.4">
      <c r="B237" s="602" t="s">
        <v>40</v>
      </c>
      <c r="C237" s="603" t="s">
        <v>9</v>
      </c>
      <c r="D237" s="604"/>
      <c r="E237" s="601"/>
      <c r="F237" s="603">
        <v>12</v>
      </c>
      <c r="G237" s="604"/>
      <c r="H237" s="601"/>
      <c r="I237" s="603">
        <v>12</v>
      </c>
      <c r="J237" s="604"/>
    </row>
    <row r="238" spans="2:10" x14ac:dyDescent="0.4">
      <c r="B238" s="602"/>
      <c r="C238" s="603"/>
      <c r="D238" s="604"/>
      <c r="E238" s="601"/>
      <c r="F238" s="603"/>
      <c r="G238" s="604"/>
      <c r="H238" s="601"/>
      <c r="I238" s="603"/>
      <c r="J238" s="604"/>
    </row>
    <row r="239" spans="2:10" x14ac:dyDescent="0.4">
      <c r="B239" s="617" t="s">
        <v>41</v>
      </c>
      <c r="C239" s="599" t="s">
        <v>9</v>
      </c>
      <c r="D239" s="600"/>
      <c r="E239" s="605"/>
      <c r="F239" s="599">
        <v>8</v>
      </c>
      <c r="G239" s="600"/>
      <c r="H239" s="605"/>
      <c r="I239" s="599">
        <v>8</v>
      </c>
      <c r="J239" s="600"/>
    </row>
    <row r="240" spans="2:10" ht="13.8" thickBot="1" x14ac:dyDescent="0.45">
      <c r="B240" s="645"/>
      <c r="C240" s="598"/>
      <c r="D240" s="641"/>
      <c r="E240" s="640"/>
      <c r="F240" s="598"/>
      <c r="G240" s="641"/>
      <c r="H240" s="640"/>
      <c r="I240" s="598"/>
      <c r="J240" s="641"/>
    </row>
    <row r="241" spans="1:23" x14ac:dyDescent="0.4">
      <c r="B241" s="642" t="s">
        <v>42</v>
      </c>
      <c r="C241" s="652" t="s">
        <v>9</v>
      </c>
      <c r="D241" s="627"/>
      <c r="E241" s="628"/>
      <c r="F241" s="652">
        <v>59</v>
      </c>
      <c r="G241" s="627"/>
      <c r="H241" s="628"/>
      <c r="I241" s="652">
        <v>59</v>
      </c>
      <c r="J241" s="627"/>
    </row>
    <row r="242" spans="1:23" ht="13.8" thickBot="1" x14ac:dyDescent="0.45">
      <c r="B242" s="643"/>
      <c r="C242" s="615"/>
      <c r="D242" s="616"/>
      <c r="E242" s="614"/>
      <c r="F242" s="615"/>
      <c r="G242" s="616"/>
      <c r="H242" s="614"/>
      <c r="I242" s="615"/>
      <c r="J242" s="616"/>
    </row>
    <row r="243" spans="1:23" x14ac:dyDescent="0.4">
      <c r="B243" s="650" t="s">
        <v>43</v>
      </c>
      <c r="C243" s="597">
        <v>90</v>
      </c>
      <c r="D243" s="608"/>
      <c r="E243" s="612"/>
      <c r="F243" s="597">
        <v>69</v>
      </c>
      <c r="G243" s="608"/>
      <c r="H243" s="612"/>
      <c r="I243" s="597">
        <v>15</v>
      </c>
      <c r="J243" s="597"/>
    </row>
    <row r="244" spans="1:23" ht="13.8" thickBot="1" x14ac:dyDescent="0.45">
      <c r="B244" s="651"/>
      <c r="C244" s="598"/>
      <c r="D244" s="641"/>
      <c r="E244" s="640"/>
      <c r="F244" s="598"/>
      <c r="G244" s="641"/>
      <c r="H244" s="640"/>
      <c r="I244" s="598"/>
      <c r="J244" s="598"/>
    </row>
    <row r="250" spans="1:23" s="275" customFormat="1" ht="15.6" x14ac:dyDescent="0.4">
      <c r="A250" s="275" t="s">
        <v>973</v>
      </c>
      <c r="B250" s="275" t="s">
        <v>975</v>
      </c>
    </row>
    <row r="251" spans="1:23" s="467" customFormat="1" ht="15.6" x14ac:dyDescent="0.4"/>
    <row r="252" spans="1:23" x14ac:dyDescent="0.4">
      <c r="B252" s="646" t="s">
        <v>44</v>
      </c>
      <c r="C252" s="646"/>
      <c r="D252" s="646"/>
      <c r="E252" s="639">
        <v>2017</v>
      </c>
      <c r="F252" s="639"/>
      <c r="G252" s="595"/>
      <c r="H252" s="637"/>
      <c r="I252" s="639">
        <v>2016</v>
      </c>
      <c r="J252" s="639"/>
      <c r="K252" s="595"/>
      <c r="L252" s="637"/>
      <c r="M252" s="639">
        <v>2015</v>
      </c>
      <c r="N252" s="639"/>
      <c r="O252" s="595"/>
      <c r="P252" s="637"/>
      <c r="Q252" s="639" t="s">
        <v>985</v>
      </c>
      <c r="R252" s="639"/>
      <c r="S252" s="595"/>
      <c r="T252" s="637"/>
      <c r="U252" s="639">
        <v>2013</v>
      </c>
      <c r="V252" s="639"/>
      <c r="W252" s="595"/>
    </row>
    <row r="253" spans="1:23" ht="13.8" thickBot="1" x14ac:dyDescent="0.45">
      <c r="B253" s="647"/>
      <c r="C253" s="647"/>
      <c r="D253" s="647"/>
      <c r="E253" s="630"/>
      <c r="F253" s="630"/>
      <c r="G253" s="596"/>
      <c r="H253" s="638"/>
      <c r="I253" s="630"/>
      <c r="J253" s="630"/>
      <c r="K253" s="596"/>
      <c r="L253" s="638"/>
      <c r="M253" s="630"/>
      <c r="N253" s="630"/>
      <c r="O253" s="596"/>
      <c r="P253" s="638"/>
      <c r="Q253" s="630"/>
      <c r="R253" s="630"/>
      <c r="S253" s="596"/>
      <c r="T253" s="638"/>
      <c r="U253" s="630"/>
      <c r="V253" s="630"/>
      <c r="W253" s="596"/>
    </row>
    <row r="254" spans="1:23" x14ac:dyDescent="0.4">
      <c r="B254" s="650" t="s">
        <v>45</v>
      </c>
      <c r="C254" s="650"/>
      <c r="D254" s="650"/>
      <c r="E254" s="612"/>
      <c r="F254" s="612"/>
      <c r="G254" s="612"/>
      <c r="H254" s="242"/>
      <c r="I254" s="612"/>
      <c r="J254" s="612"/>
      <c r="K254" s="612"/>
      <c r="L254" s="242"/>
      <c r="M254" s="612"/>
      <c r="N254" s="612"/>
      <c r="O254" s="612"/>
      <c r="P254" s="242"/>
      <c r="Q254" s="612"/>
      <c r="R254" s="612"/>
      <c r="S254" s="612"/>
      <c r="T254" s="242"/>
      <c r="U254" s="612"/>
      <c r="V254" s="612"/>
      <c r="W254" s="612"/>
    </row>
    <row r="255" spans="1:23" x14ac:dyDescent="0.4">
      <c r="B255" s="602" t="s">
        <v>46</v>
      </c>
      <c r="C255" s="602"/>
      <c r="D255" s="602"/>
      <c r="E255" s="602" t="s">
        <v>47</v>
      </c>
      <c r="F255" s="619">
        <v>346388</v>
      </c>
      <c r="G255" s="604"/>
      <c r="H255" s="601"/>
      <c r="I255" s="602" t="s">
        <v>47</v>
      </c>
      <c r="J255" s="619">
        <v>259350</v>
      </c>
      <c r="K255" s="604"/>
      <c r="L255" s="601"/>
      <c r="M255" s="602" t="s">
        <v>47</v>
      </c>
      <c r="N255" s="619">
        <v>183219</v>
      </c>
      <c r="O255" s="604"/>
      <c r="P255" s="601"/>
      <c r="Q255" s="602" t="s">
        <v>47</v>
      </c>
      <c r="R255" s="619">
        <v>112042</v>
      </c>
      <c r="S255" s="604"/>
      <c r="T255" s="601"/>
      <c r="U255" s="602" t="s">
        <v>47</v>
      </c>
      <c r="V255" s="619">
        <v>78587</v>
      </c>
      <c r="W255" s="604"/>
    </row>
    <row r="256" spans="1:23" x14ac:dyDescent="0.4">
      <c r="B256" s="602"/>
      <c r="C256" s="602"/>
      <c r="D256" s="602"/>
      <c r="E256" s="602"/>
      <c r="F256" s="619"/>
      <c r="G256" s="604"/>
      <c r="H256" s="601"/>
      <c r="I256" s="602"/>
      <c r="J256" s="619"/>
      <c r="K256" s="604"/>
      <c r="L256" s="601"/>
      <c r="M256" s="602"/>
      <c r="N256" s="619"/>
      <c r="O256" s="604"/>
      <c r="P256" s="601"/>
      <c r="Q256" s="602"/>
      <c r="R256" s="619"/>
      <c r="S256" s="604"/>
      <c r="T256" s="601"/>
      <c r="U256" s="602"/>
      <c r="V256" s="619"/>
      <c r="W256" s="604"/>
    </row>
    <row r="257" spans="2:23" x14ac:dyDescent="0.4">
      <c r="B257" s="617" t="s">
        <v>48</v>
      </c>
      <c r="C257" s="617"/>
      <c r="D257" s="617"/>
      <c r="E257" s="606">
        <v>12422</v>
      </c>
      <c r="F257" s="606"/>
      <c r="G257" s="600"/>
      <c r="H257" s="605"/>
      <c r="I257" s="606">
        <v>9125</v>
      </c>
      <c r="J257" s="606"/>
      <c r="K257" s="600"/>
      <c r="L257" s="605"/>
      <c r="M257" s="606">
        <v>7373</v>
      </c>
      <c r="N257" s="606"/>
      <c r="O257" s="600"/>
      <c r="P257" s="605"/>
      <c r="Q257" s="606">
        <v>6488</v>
      </c>
      <c r="R257" s="606"/>
      <c r="S257" s="600"/>
      <c r="T257" s="605"/>
      <c r="U257" s="606">
        <v>3869</v>
      </c>
      <c r="V257" s="606"/>
      <c r="W257" s="600"/>
    </row>
    <row r="258" spans="2:23" x14ac:dyDescent="0.4">
      <c r="B258" s="617"/>
      <c r="C258" s="617"/>
      <c r="D258" s="617"/>
      <c r="E258" s="606"/>
      <c r="F258" s="606"/>
      <c r="G258" s="600"/>
      <c r="H258" s="605"/>
      <c r="I258" s="606"/>
      <c r="J258" s="606"/>
      <c r="K258" s="600"/>
      <c r="L258" s="605"/>
      <c r="M258" s="606"/>
      <c r="N258" s="606"/>
      <c r="O258" s="600"/>
      <c r="P258" s="605"/>
      <c r="Q258" s="606"/>
      <c r="R258" s="606"/>
      <c r="S258" s="600"/>
      <c r="T258" s="605"/>
      <c r="U258" s="606"/>
      <c r="V258" s="606"/>
      <c r="W258" s="600"/>
    </row>
    <row r="259" spans="2:23" x14ac:dyDescent="0.4">
      <c r="B259" s="602" t="s">
        <v>49</v>
      </c>
      <c r="C259" s="602"/>
      <c r="D259" s="602"/>
      <c r="E259" s="619">
        <v>254079</v>
      </c>
      <c r="F259" s="619"/>
      <c r="G259" s="604"/>
      <c r="H259" s="601"/>
      <c r="I259" s="619">
        <v>186058</v>
      </c>
      <c r="J259" s="619"/>
      <c r="K259" s="604"/>
      <c r="L259" s="601"/>
      <c r="M259" s="619">
        <v>130345</v>
      </c>
      <c r="N259" s="619"/>
      <c r="O259" s="604"/>
      <c r="P259" s="601"/>
      <c r="Q259" s="619">
        <v>85181</v>
      </c>
      <c r="R259" s="619"/>
      <c r="S259" s="604"/>
      <c r="T259" s="601"/>
      <c r="U259" s="619">
        <v>58168</v>
      </c>
      <c r="V259" s="619"/>
      <c r="W259" s="604"/>
    </row>
    <row r="260" spans="2:23" x14ac:dyDescent="0.4">
      <c r="B260" s="602"/>
      <c r="C260" s="602"/>
      <c r="D260" s="602"/>
      <c r="E260" s="619"/>
      <c r="F260" s="619"/>
      <c r="G260" s="604"/>
      <c r="H260" s="601"/>
      <c r="I260" s="619"/>
      <c r="J260" s="619"/>
      <c r="K260" s="604"/>
      <c r="L260" s="601"/>
      <c r="M260" s="619"/>
      <c r="N260" s="619"/>
      <c r="O260" s="604"/>
      <c r="P260" s="601"/>
      <c r="Q260" s="619"/>
      <c r="R260" s="619"/>
      <c r="S260" s="604"/>
      <c r="T260" s="601"/>
      <c r="U260" s="619"/>
      <c r="V260" s="619"/>
      <c r="W260" s="604"/>
    </row>
    <row r="261" spans="2:23" x14ac:dyDescent="0.4">
      <c r="B261" s="617" t="s">
        <v>50</v>
      </c>
      <c r="C261" s="617"/>
      <c r="D261" s="617"/>
      <c r="E261" s="606">
        <v>39003</v>
      </c>
      <c r="F261" s="606"/>
      <c r="G261" s="600"/>
      <c r="H261" s="605"/>
      <c r="I261" s="606">
        <v>30556</v>
      </c>
      <c r="J261" s="606"/>
      <c r="K261" s="600"/>
      <c r="L261" s="605"/>
      <c r="M261" s="606">
        <v>37825</v>
      </c>
      <c r="N261" s="606"/>
      <c r="O261" s="600"/>
      <c r="P261" s="605"/>
      <c r="Q261" s="606">
        <v>18187</v>
      </c>
      <c r="R261" s="606"/>
      <c r="S261" s="600"/>
      <c r="T261" s="605"/>
      <c r="U261" s="606">
        <v>12453</v>
      </c>
      <c r="V261" s="606"/>
      <c r="W261" s="600"/>
    </row>
    <row r="262" spans="2:23" x14ac:dyDescent="0.4">
      <c r="B262" s="617"/>
      <c r="C262" s="617"/>
      <c r="D262" s="617"/>
      <c r="E262" s="606"/>
      <c r="F262" s="606"/>
      <c r="G262" s="600"/>
      <c r="H262" s="605"/>
      <c r="I262" s="606"/>
      <c r="J262" s="606"/>
      <c r="K262" s="600"/>
      <c r="L262" s="605"/>
      <c r="M262" s="606"/>
      <c r="N262" s="606"/>
      <c r="O262" s="600"/>
      <c r="P262" s="605"/>
      <c r="Q262" s="606"/>
      <c r="R262" s="606"/>
      <c r="S262" s="600"/>
      <c r="T262" s="605"/>
      <c r="U262" s="606"/>
      <c r="V262" s="606"/>
      <c r="W262" s="600"/>
    </row>
    <row r="263" spans="2:23" x14ac:dyDescent="0.4">
      <c r="B263" s="602" t="s">
        <v>51</v>
      </c>
      <c r="C263" s="602"/>
      <c r="D263" s="602"/>
      <c r="E263" s="619">
        <v>9603</v>
      </c>
      <c r="F263" s="619"/>
      <c r="G263" s="604"/>
      <c r="H263" s="601"/>
      <c r="I263" s="619">
        <v>9520</v>
      </c>
      <c r="J263" s="619"/>
      <c r="K263" s="604"/>
      <c r="L263" s="601"/>
      <c r="M263" s="619">
        <v>5430</v>
      </c>
      <c r="N263" s="619"/>
      <c r="O263" s="604"/>
      <c r="P263" s="601"/>
      <c r="Q263" s="619">
        <v>6105</v>
      </c>
      <c r="R263" s="619"/>
      <c r="S263" s="604"/>
      <c r="T263" s="601"/>
      <c r="U263" s="619">
        <v>2334</v>
      </c>
      <c r="V263" s="619"/>
      <c r="W263" s="604"/>
    </row>
    <row r="264" spans="2:23" x14ac:dyDescent="0.4">
      <c r="B264" s="602"/>
      <c r="C264" s="602"/>
      <c r="D264" s="602"/>
      <c r="E264" s="619"/>
      <c r="F264" s="619"/>
      <c r="G264" s="604"/>
      <c r="H264" s="601"/>
      <c r="I264" s="619"/>
      <c r="J264" s="619"/>
      <c r="K264" s="604"/>
      <c r="L264" s="601"/>
      <c r="M264" s="619"/>
      <c r="N264" s="619"/>
      <c r="O264" s="604"/>
      <c r="P264" s="601"/>
      <c r="Q264" s="619"/>
      <c r="R264" s="619"/>
      <c r="S264" s="604"/>
      <c r="T264" s="601"/>
      <c r="U264" s="619"/>
      <c r="V264" s="619"/>
      <c r="W264" s="604"/>
    </row>
    <row r="265" spans="2:23" x14ac:dyDescent="0.4">
      <c r="B265" s="617" t="s">
        <v>52</v>
      </c>
      <c r="C265" s="617"/>
      <c r="D265" s="617"/>
      <c r="E265" s="606">
        <v>33813</v>
      </c>
      <c r="F265" s="606"/>
      <c r="G265" s="600"/>
      <c r="H265" s="605"/>
      <c r="I265" s="606">
        <v>27805</v>
      </c>
      <c r="J265" s="606"/>
      <c r="K265" s="600"/>
      <c r="L265" s="605"/>
      <c r="M265" s="606">
        <v>6753</v>
      </c>
      <c r="N265" s="606"/>
      <c r="O265" s="600"/>
      <c r="P265" s="605"/>
      <c r="Q265" s="606">
        <v>3143</v>
      </c>
      <c r="R265" s="606"/>
      <c r="S265" s="600"/>
      <c r="T265" s="605"/>
      <c r="U265" s="606">
        <v>5935</v>
      </c>
      <c r="V265" s="606"/>
      <c r="W265" s="600"/>
    </row>
    <row r="266" spans="2:23" x14ac:dyDescent="0.4">
      <c r="B266" s="617"/>
      <c r="C266" s="617"/>
      <c r="D266" s="617"/>
      <c r="E266" s="606"/>
      <c r="F266" s="606"/>
      <c r="G266" s="600"/>
      <c r="H266" s="605"/>
      <c r="I266" s="606"/>
      <c r="J266" s="606"/>
      <c r="K266" s="600"/>
      <c r="L266" s="605"/>
      <c r="M266" s="606"/>
      <c r="N266" s="606"/>
      <c r="O266" s="600"/>
      <c r="P266" s="605"/>
      <c r="Q266" s="606"/>
      <c r="R266" s="606"/>
      <c r="S266" s="600"/>
      <c r="T266" s="605"/>
      <c r="U266" s="606"/>
      <c r="V266" s="606"/>
      <c r="W266" s="600"/>
    </row>
    <row r="267" spans="2:23" x14ac:dyDescent="0.4">
      <c r="B267" s="602" t="s">
        <v>53</v>
      </c>
      <c r="C267" s="602"/>
      <c r="D267" s="602"/>
      <c r="E267" s="619">
        <v>8884</v>
      </c>
      <c r="F267" s="619"/>
      <c r="G267" s="604"/>
      <c r="H267" s="601"/>
      <c r="I267" s="619">
        <v>22146</v>
      </c>
      <c r="J267" s="619"/>
      <c r="K267" s="604"/>
      <c r="L267" s="601"/>
      <c r="M267" s="619">
        <v>3124</v>
      </c>
      <c r="N267" s="619"/>
      <c r="O267" s="604"/>
      <c r="P267" s="601"/>
      <c r="Q267" s="619">
        <v>2118</v>
      </c>
      <c r="R267" s="619"/>
      <c r="S267" s="604"/>
      <c r="T267" s="601"/>
      <c r="U267" s="619">
        <v>5423</v>
      </c>
      <c r="V267" s="619"/>
      <c r="W267" s="604"/>
    </row>
    <row r="268" spans="2:23" x14ac:dyDescent="0.4">
      <c r="B268" s="602"/>
      <c r="C268" s="602"/>
      <c r="D268" s="602"/>
      <c r="E268" s="619"/>
      <c r="F268" s="619"/>
      <c r="G268" s="604"/>
      <c r="H268" s="601"/>
      <c r="I268" s="619"/>
      <c r="J268" s="619"/>
      <c r="K268" s="604"/>
      <c r="L268" s="601"/>
      <c r="M268" s="619"/>
      <c r="N268" s="619"/>
      <c r="O268" s="604"/>
      <c r="P268" s="601"/>
      <c r="Q268" s="619"/>
      <c r="R268" s="619"/>
      <c r="S268" s="604"/>
      <c r="T268" s="601"/>
      <c r="U268" s="619"/>
      <c r="V268" s="619"/>
      <c r="W268" s="604"/>
    </row>
    <row r="269" spans="2:23" x14ac:dyDescent="0.4">
      <c r="B269" s="617" t="s">
        <v>54</v>
      </c>
      <c r="C269" s="617"/>
      <c r="D269" s="617"/>
      <c r="E269" s="599" t="s">
        <v>55</v>
      </c>
      <c r="F269" s="599"/>
      <c r="G269" s="617" t="s">
        <v>56</v>
      </c>
      <c r="H269" s="605"/>
      <c r="I269" s="606">
        <v>12446</v>
      </c>
      <c r="J269" s="606"/>
      <c r="K269" s="600"/>
      <c r="L269" s="605"/>
      <c r="M269" s="599" t="s">
        <v>57</v>
      </c>
      <c r="N269" s="599"/>
      <c r="O269" s="617" t="s">
        <v>56</v>
      </c>
      <c r="P269" s="605"/>
      <c r="Q269" s="606">
        <v>2118</v>
      </c>
      <c r="R269" s="606"/>
      <c r="S269" s="600"/>
      <c r="T269" s="605"/>
      <c r="U269" s="606">
        <v>5423</v>
      </c>
      <c r="V269" s="606"/>
      <c r="W269" s="600"/>
    </row>
    <row r="270" spans="2:23" x14ac:dyDescent="0.4">
      <c r="B270" s="617"/>
      <c r="C270" s="617"/>
      <c r="D270" s="617"/>
      <c r="E270" s="599"/>
      <c r="F270" s="599"/>
      <c r="G270" s="617"/>
      <c r="H270" s="605"/>
      <c r="I270" s="606"/>
      <c r="J270" s="606"/>
      <c r="K270" s="600"/>
      <c r="L270" s="605"/>
      <c r="M270" s="599"/>
      <c r="N270" s="599"/>
      <c r="O270" s="617"/>
      <c r="P270" s="605"/>
      <c r="Q270" s="606"/>
      <c r="R270" s="606"/>
      <c r="S270" s="600"/>
      <c r="T270" s="605"/>
      <c r="U270" s="606"/>
      <c r="V270" s="606"/>
      <c r="W270" s="600"/>
    </row>
    <row r="271" spans="2:23" x14ac:dyDescent="0.4">
      <c r="B271" s="601"/>
      <c r="C271" s="601"/>
      <c r="D271" s="601"/>
      <c r="E271" s="601"/>
      <c r="F271" s="601"/>
      <c r="G271" s="601"/>
      <c r="H271" s="240"/>
      <c r="I271" s="601"/>
      <c r="J271" s="601"/>
      <c r="K271" s="601"/>
      <c r="L271" s="240"/>
      <c r="M271" s="601"/>
      <c r="N271" s="601"/>
      <c r="O271" s="601"/>
      <c r="P271" s="240"/>
      <c r="Q271" s="601"/>
      <c r="R271" s="601"/>
      <c r="S271" s="601"/>
      <c r="T271" s="240"/>
      <c r="U271" s="601"/>
      <c r="V271" s="601"/>
      <c r="W271" s="601"/>
    </row>
    <row r="272" spans="2:23" x14ac:dyDescent="0.4">
      <c r="B272" s="659" t="s">
        <v>58</v>
      </c>
      <c r="C272" s="659"/>
      <c r="D272" s="659"/>
      <c r="E272" s="605"/>
      <c r="F272" s="605"/>
      <c r="G272" s="605"/>
      <c r="H272" s="242"/>
      <c r="I272" s="605"/>
      <c r="J272" s="605"/>
      <c r="K272" s="605"/>
      <c r="L272" s="242"/>
      <c r="M272" s="605"/>
      <c r="N272" s="605"/>
      <c r="O272" s="605"/>
      <c r="P272" s="242"/>
      <c r="Q272" s="605"/>
      <c r="R272" s="605"/>
      <c r="S272" s="605"/>
      <c r="T272" s="242"/>
      <c r="U272" s="605"/>
      <c r="V272" s="605"/>
      <c r="W272" s="605"/>
    </row>
    <row r="273" spans="2:23" x14ac:dyDescent="0.4">
      <c r="B273" s="602" t="s">
        <v>59</v>
      </c>
      <c r="C273" s="602"/>
      <c r="D273" s="602"/>
      <c r="E273" s="602" t="s">
        <v>47</v>
      </c>
      <c r="F273" s="603" t="s">
        <v>60</v>
      </c>
      <c r="G273" s="602" t="s">
        <v>56</v>
      </c>
      <c r="H273" s="601"/>
      <c r="I273" s="602" t="s">
        <v>47</v>
      </c>
      <c r="J273" s="603">
        <v>0.54</v>
      </c>
      <c r="K273" s="604"/>
      <c r="L273" s="601"/>
      <c r="M273" s="602" t="s">
        <v>47</v>
      </c>
      <c r="N273" s="603" t="s">
        <v>61</v>
      </c>
      <c r="O273" s="602" t="s">
        <v>56</v>
      </c>
      <c r="P273" s="601"/>
      <c r="Q273" s="602" t="s">
        <v>47</v>
      </c>
      <c r="R273" s="603">
        <v>7.0000000000000007E-2</v>
      </c>
      <c r="S273" s="604"/>
      <c r="T273" s="601"/>
      <c r="U273" s="602" t="s">
        <v>47</v>
      </c>
      <c r="V273" s="603">
        <v>0.18</v>
      </c>
      <c r="W273" s="604"/>
    </row>
    <row r="274" spans="2:23" x14ac:dyDescent="0.4">
      <c r="B274" s="602"/>
      <c r="C274" s="602"/>
      <c r="D274" s="602"/>
      <c r="E274" s="602"/>
      <c r="F274" s="603"/>
      <c r="G274" s="602"/>
      <c r="H274" s="601"/>
      <c r="I274" s="602"/>
      <c r="J274" s="603"/>
      <c r="K274" s="604"/>
      <c r="L274" s="601"/>
      <c r="M274" s="602"/>
      <c r="N274" s="603"/>
      <c r="O274" s="602"/>
      <c r="P274" s="601"/>
      <c r="Q274" s="602"/>
      <c r="R274" s="603"/>
      <c r="S274" s="604"/>
      <c r="T274" s="601"/>
      <c r="U274" s="602"/>
      <c r="V274" s="603"/>
      <c r="W274" s="604"/>
    </row>
    <row r="275" spans="2:23" x14ac:dyDescent="0.4">
      <c r="B275" s="617" t="s">
        <v>62</v>
      </c>
      <c r="C275" s="617"/>
      <c r="D275" s="617"/>
      <c r="E275" s="617" t="s">
        <v>47</v>
      </c>
      <c r="F275" s="599" t="s">
        <v>60</v>
      </c>
      <c r="G275" s="617" t="s">
        <v>56</v>
      </c>
      <c r="H275" s="605"/>
      <c r="I275" s="617" t="s">
        <v>47</v>
      </c>
      <c r="J275" s="599">
        <v>0.53</v>
      </c>
      <c r="K275" s="600"/>
      <c r="L275" s="605"/>
      <c r="M275" s="617" t="s">
        <v>47</v>
      </c>
      <c r="N275" s="599" t="s">
        <v>61</v>
      </c>
      <c r="O275" s="617" t="s">
        <v>56</v>
      </c>
      <c r="P275" s="605"/>
      <c r="Q275" s="617" t="s">
        <v>47</v>
      </c>
      <c r="R275" s="599">
        <v>7.0000000000000007E-2</v>
      </c>
      <c r="S275" s="600"/>
      <c r="T275" s="605"/>
      <c r="U275" s="617" t="s">
        <v>47</v>
      </c>
      <c r="V275" s="599">
        <v>0.18</v>
      </c>
      <c r="W275" s="600"/>
    </row>
    <row r="276" spans="2:23" x14ac:dyDescent="0.4">
      <c r="B276" s="617"/>
      <c r="C276" s="617"/>
      <c r="D276" s="617"/>
      <c r="E276" s="617"/>
      <c r="F276" s="599"/>
      <c r="G276" s="617"/>
      <c r="H276" s="605"/>
      <c r="I276" s="617"/>
      <c r="J276" s="599"/>
      <c r="K276" s="600"/>
      <c r="L276" s="605"/>
      <c r="M276" s="617"/>
      <c r="N276" s="599"/>
      <c r="O276" s="617"/>
      <c r="P276" s="605"/>
      <c r="Q276" s="617"/>
      <c r="R276" s="599"/>
      <c r="S276" s="600"/>
      <c r="T276" s="605"/>
      <c r="U276" s="617"/>
      <c r="V276" s="599"/>
      <c r="W276" s="600"/>
    </row>
    <row r="277" spans="2:23" x14ac:dyDescent="0.4">
      <c r="B277" s="601"/>
      <c r="C277" s="601"/>
      <c r="D277" s="601"/>
      <c r="E277" s="601"/>
      <c r="F277" s="601"/>
      <c r="G277" s="601"/>
      <c r="H277" s="240"/>
      <c r="I277" s="601"/>
      <c r="J277" s="601"/>
      <c r="K277" s="601"/>
      <c r="L277" s="240"/>
      <c r="M277" s="601"/>
      <c r="N277" s="601"/>
      <c r="O277" s="601"/>
      <c r="P277" s="240"/>
      <c r="Q277" s="601"/>
      <c r="R277" s="601"/>
      <c r="S277" s="601"/>
      <c r="T277" s="240"/>
      <c r="U277" s="601"/>
      <c r="V277" s="601"/>
      <c r="W277" s="601"/>
    </row>
    <row r="278" spans="2:23" x14ac:dyDescent="0.4">
      <c r="B278" s="659" t="s">
        <v>63</v>
      </c>
      <c r="C278" s="659"/>
      <c r="D278" s="659"/>
      <c r="E278" s="605"/>
      <c r="F278" s="605"/>
      <c r="G278" s="605"/>
      <c r="H278" s="242"/>
      <c r="I278" s="605"/>
      <c r="J278" s="605"/>
      <c r="K278" s="605"/>
      <c r="L278" s="242"/>
      <c r="M278" s="605"/>
      <c r="N278" s="605"/>
      <c r="O278" s="605"/>
      <c r="P278" s="242"/>
      <c r="Q278" s="605"/>
      <c r="R278" s="605"/>
      <c r="S278" s="605"/>
      <c r="T278" s="242"/>
      <c r="U278" s="605"/>
      <c r="V278" s="605"/>
      <c r="W278" s="605"/>
    </row>
    <row r="279" spans="2:23" x14ac:dyDescent="0.4">
      <c r="B279" s="602" t="s">
        <v>64</v>
      </c>
      <c r="C279" s="602"/>
      <c r="D279" s="602"/>
      <c r="E279" s="658" t="s">
        <v>47</v>
      </c>
      <c r="F279" s="655">
        <v>21507</v>
      </c>
      <c r="G279" s="604"/>
      <c r="H279" s="601"/>
      <c r="I279" s="658" t="s">
        <v>47</v>
      </c>
      <c r="J279" s="655">
        <v>11607</v>
      </c>
      <c r="K279" s="604"/>
      <c r="L279" s="601"/>
      <c r="M279" s="658" t="s">
        <v>47</v>
      </c>
      <c r="N279" s="655">
        <v>70849</v>
      </c>
      <c r="O279" s="604"/>
      <c r="P279" s="601"/>
      <c r="Q279" s="658" t="s">
        <v>47</v>
      </c>
      <c r="R279" s="655">
        <v>2677</v>
      </c>
      <c r="S279" s="604"/>
      <c r="T279" s="601"/>
      <c r="U279" s="658" t="s">
        <v>47</v>
      </c>
      <c r="V279" s="655">
        <v>13076</v>
      </c>
      <c r="W279" s="604"/>
    </row>
    <row r="280" spans="2:23" x14ac:dyDescent="0.4">
      <c r="B280" s="602"/>
      <c r="C280" s="602"/>
      <c r="D280" s="602"/>
      <c r="E280" s="658"/>
      <c r="F280" s="655"/>
      <c r="G280" s="604"/>
      <c r="H280" s="601"/>
      <c r="I280" s="658"/>
      <c r="J280" s="655"/>
      <c r="K280" s="604"/>
      <c r="L280" s="601"/>
      <c r="M280" s="658"/>
      <c r="N280" s="655"/>
      <c r="O280" s="604"/>
      <c r="P280" s="601"/>
      <c r="Q280" s="658"/>
      <c r="R280" s="655"/>
      <c r="S280" s="604"/>
      <c r="T280" s="601"/>
      <c r="U280" s="658"/>
      <c r="V280" s="655"/>
      <c r="W280" s="604"/>
    </row>
    <row r="281" spans="2:23" x14ac:dyDescent="0.4">
      <c r="B281" s="617" t="s">
        <v>65</v>
      </c>
      <c r="C281" s="617"/>
      <c r="D281" s="617"/>
      <c r="E281" s="660">
        <v>63036</v>
      </c>
      <c r="F281" s="660"/>
      <c r="G281" s="600"/>
      <c r="H281" s="605"/>
      <c r="I281" s="660">
        <v>62040</v>
      </c>
      <c r="J281" s="660"/>
      <c r="K281" s="600"/>
      <c r="L281" s="605"/>
      <c r="M281" s="657">
        <v>275</v>
      </c>
      <c r="N281" s="657"/>
      <c r="O281" s="600"/>
      <c r="P281" s="605"/>
      <c r="Q281" s="657" t="s">
        <v>9</v>
      </c>
      <c r="R281" s="657"/>
      <c r="S281" s="600"/>
      <c r="T281" s="605"/>
      <c r="U281" s="657" t="s">
        <v>9</v>
      </c>
      <c r="V281" s="657"/>
      <c r="W281" s="600"/>
    </row>
    <row r="282" spans="2:23" x14ac:dyDescent="0.4">
      <c r="B282" s="617"/>
      <c r="C282" s="617"/>
      <c r="D282" s="617"/>
      <c r="E282" s="660"/>
      <c r="F282" s="660"/>
      <c r="G282" s="600"/>
      <c r="H282" s="605"/>
      <c r="I282" s="660"/>
      <c r="J282" s="660"/>
      <c r="K282" s="600"/>
      <c r="L282" s="605"/>
      <c r="M282" s="657"/>
      <c r="N282" s="657"/>
      <c r="O282" s="600"/>
      <c r="P282" s="605"/>
      <c r="Q282" s="657"/>
      <c r="R282" s="657"/>
      <c r="S282" s="600"/>
      <c r="T282" s="605"/>
      <c r="U282" s="657"/>
      <c r="V282" s="657"/>
      <c r="W282" s="600"/>
    </row>
    <row r="283" spans="2:23" x14ac:dyDescent="0.4">
      <c r="B283" s="602" t="s">
        <v>66</v>
      </c>
      <c r="C283" s="602"/>
      <c r="D283" s="602"/>
      <c r="E283" s="655">
        <v>93199</v>
      </c>
      <c r="F283" s="655"/>
      <c r="G283" s="604"/>
      <c r="H283" s="601"/>
      <c r="I283" s="655">
        <v>83944</v>
      </c>
      <c r="J283" s="655"/>
      <c r="K283" s="604"/>
      <c r="L283" s="601"/>
      <c r="M283" s="655">
        <v>78934</v>
      </c>
      <c r="N283" s="655"/>
      <c r="O283" s="604"/>
      <c r="P283" s="601"/>
      <c r="Q283" s="655">
        <v>7925</v>
      </c>
      <c r="R283" s="655"/>
      <c r="S283" s="604"/>
      <c r="T283" s="601"/>
      <c r="U283" s="655">
        <v>15207</v>
      </c>
      <c r="V283" s="655"/>
      <c r="W283" s="604"/>
    </row>
    <row r="284" spans="2:23" x14ac:dyDescent="0.4">
      <c r="B284" s="602"/>
      <c r="C284" s="602"/>
      <c r="D284" s="602"/>
      <c r="E284" s="655"/>
      <c r="F284" s="655"/>
      <c r="G284" s="604"/>
      <c r="H284" s="601"/>
      <c r="I284" s="655"/>
      <c r="J284" s="655"/>
      <c r="K284" s="604"/>
      <c r="L284" s="601"/>
      <c r="M284" s="655"/>
      <c r="N284" s="655"/>
      <c r="O284" s="604"/>
      <c r="P284" s="601"/>
      <c r="Q284" s="655"/>
      <c r="R284" s="655"/>
      <c r="S284" s="604"/>
      <c r="T284" s="601"/>
      <c r="U284" s="655"/>
      <c r="V284" s="655"/>
      <c r="W284" s="604"/>
    </row>
    <row r="285" spans="2:23" x14ac:dyDescent="0.4">
      <c r="B285" s="617" t="s">
        <v>67</v>
      </c>
      <c r="C285" s="617"/>
      <c r="D285" s="617"/>
      <c r="E285" s="660">
        <v>470606</v>
      </c>
      <c r="F285" s="660"/>
      <c r="G285" s="600"/>
      <c r="H285" s="605"/>
      <c r="I285" s="660">
        <v>538194</v>
      </c>
      <c r="J285" s="660"/>
      <c r="K285" s="600"/>
      <c r="L285" s="605"/>
      <c r="M285" s="660">
        <v>379547</v>
      </c>
      <c r="N285" s="660"/>
      <c r="O285" s="600"/>
      <c r="P285" s="605"/>
      <c r="Q285" s="660">
        <v>82962</v>
      </c>
      <c r="R285" s="660"/>
      <c r="S285" s="600"/>
      <c r="T285" s="605"/>
      <c r="U285" s="660">
        <v>55219</v>
      </c>
      <c r="V285" s="660"/>
      <c r="W285" s="600"/>
    </row>
    <row r="286" spans="2:23" x14ac:dyDescent="0.4">
      <c r="B286" s="617"/>
      <c r="C286" s="617"/>
      <c r="D286" s="617"/>
      <c r="E286" s="660"/>
      <c r="F286" s="660"/>
      <c r="G286" s="600"/>
      <c r="H286" s="605"/>
      <c r="I286" s="660"/>
      <c r="J286" s="660"/>
      <c r="K286" s="600"/>
      <c r="L286" s="605"/>
      <c r="M286" s="660"/>
      <c r="N286" s="660"/>
      <c r="O286" s="600"/>
      <c r="P286" s="605"/>
      <c r="Q286" s="660"/>
      <c r="R286" s="660"/>
      <c r="S286" s="600"/>
      <c r="T286" s="605"/>
      <c r="U286" s="660"/>
      <c r="V286" s="660"/>
      <c r="W286" s="600"/>
    </row>
    <row r="287" spans="2:23" x14ac:dyDescent="0.4">
      <c r="B287" s="602" t="s">
        <v>68</v>
      </c>
      <c r="C287" s="602"/>
      <c r="D287" s="602"/>
      <c r="E287" s="655">
        <v>34024</v>
      </c>
      <c r="F287" s="655"/>
      <c r="G287" s="604"/>
      <c r="H287" s="601"/>
      <c r="I287" s="655">
        <v>31716</v>
      </c>
      <c r="J287" s="655"/>
      <c r="K287" s="604"/>
      <c r="L287" s="601"/>
      <c r="M287" s="655">
        <v>24005</v>
      </c>
      <c r="N287" s="655"/>
      <c r="O287" s="604"/>
      <c r="P287" s="601"/>
      <c r="Q287" s="655">
        <v>48177</v>
      </c>
      <c r="R287" s="655"/>
      <c r="S287" s="604"/>
      <c r="T287" s="601"/>
      <c r="U287" s="655">
        <v>7205</v>
      </c>
      <c r="V287" s="655"/>
      <c r="W287" s="604"/>
    </row>
    <row r="288" spans="2:23" x14ac:dyDescent="0.4">
      <c r="B288" s="602"/>
      <c r="C288" s="602"/>
      <c r="D288" s="602"/>
      <c r="E288" s="655"/>
      <c r="F288" s="655"/>
      <c r="G288" s="604"/>
      <c r="H288" s="601"/>
      <c r="I288" s="655"/>
      <c r="J288" s="655"/>
      <c r="K288" s="604"/>
      <c r="L288" s="601"/>
      <c r="M288" s="655"/>
      <c r="N288" s="655"/>
      <c r="O288" s="604"/>
      <c r="P288" s="601"/>
      <c r="Q288" s="655"/>
      <c r="R288" s="655"/>
      <c r="S288" s="604"/>
      <c r="T288" s="601"/>
      <c r="U288" s="655"/>
      <c r="V288" s="655"/>
      <c r="W288" s="604"/>
    </row>
    <row r="289" spans="1:23" x14ac:dyDescent="0.4">
      <c r="B289" s="617" t="s">
        <v>69</v>
      </c>
      <c r="C289" s="617"/>
      <c r="D289" s="617"/>
      <c r="E289" s="660">
        <v>14518</v>
      </c>
      <c r="F289" s="660"/>
      <c r="G289" s="600"/>
      <c r="H289" s="605"/>
      <c r="I289" s="660">
        <v>2007</v>
      </c>
      <c r="J289" s="660"/>
      <c r="K289" s="600"/>
      <c r="L289" s="605"/>
      <c r="M289" s="657">
        <v>313</v>
      </c>
      <c r="N289" s="657"/>
      <c r="O289" s="600"/>
      <c r="P289" s="605"/>
      <c r="Q289" s="660">
        <v>32313</v>
      </c>
      <c r="R289" s="660"/>
      <c r="S289" s="600"/>
      <c r="T289" s="605"/>
      <c r="U289" s="657">
        <v>313</v>
      </c>
      <c r="V289" s="657"/>
      <c r="W289" s="600"/>
    </row>
    <row r="290" spans="1:23" x14ac:dyDescent="0.4">
      <c r="B290" s="617"/>
      <c r="C290" s="617"/>
      <c r="D290" s="617"/>
      <c r="E290" s="660"/>
      <c r="F290" s="660"/>
      <c r="G290" s="600"/>
      <c r="H290" s="605"/>
      <c r="I290" s="660"/>
      <c r="J290" s="660"/>
      <c r="K290" s="600"/>
      <c r="L290" s="605"/>
      <c r="M290" s="657"/>
      <c r="N290" s="657"/>
      <c r="O290" s="600"/>
      <c r="P290" s="605"/>
      <c r="Q290" s="660"/>
      <c r="R290" s="660"/>
      <c r="S290" s="600"/>
      <c r="T290" s="605"/>
      <c r="U290" s="657"/>
      <c r="V290" s="657"/>
      <c r="W290" s="600"/>
    </row>
    <row r="291" spans="1:23" x14ac:dyDescent="0.4">
      <c r="B291" s="602" t="s">
        <v>70</v>
      </c>
      <c r="C291" s="602"/>
      <c r="D291" s="602"/>
      <c r="E291" s="655">
        <v>246127</v>
      </c>
      <c r="F291" s="655"/>
      <c r="G291" s="604"/>
      <c r="H291" s="601"/>
      <c r="I291" s="655">
        <v>336841</v>
      </c>
      <c r="J291" s="655"/>
      <c r="K291" s="604"/>
      <c r="L291" s="601"/>
      <c r="M291" s="655">
        <v>222528</v>
      </c>
      <c r="N291" s="655"/>
      <c r="O291" s="604"/>
      <c r="P291" s="601"/>
      <c r="Q291" s="655">
        <v>70362</v>
      </c>
      <c r="R291" s="655"/>
      <c r="S291" s="604"/>
      <c r="T291" s="601"/>
      <c r="U291" s="655">
        <v>17832</v>
      </c>
      <c r="V291" s="655"/>
      <c r="W291" s="604"/>
    </row>
    <row r="292" spans="1:23" x14ac:dyDescent="0.4">
      <c r="B292" s="602"/>
      <c r="C292" s="602"/>
      <c r="D292" s="602"/>
      <c r="E292" s="655"/>
      <c r="F292" s="655"/>
      <c r="G292" s="604"/>
      <c r="H292" s="601"/>
      <c r="I292" s="655"/>
      <c r="J292" s="655"/>
      <c r="K292" s="604"/>
      <c r="L292" s="601"/>
      <c r="M292" s="655"/>
      <c r="N292" s="655"/>
      <c r="O292" s="604"/>
      <c r="P292" s="601"/>
      <c r="Q292" s="655"/>
      <c r="R292" s="655"/>
      <c r="S292" s="604"/>
      <c r="T292" s="601"/>
      <c r="U292" s="655"/>
      <c r="V292" s="655"/>
      <c r="W292" s="604"/>
    </row>
    <row r="293" spans="1:23" x14ac:dyDescent="0.4">
      <c r="B293" s="617" t="s">
        <v>71</v>
      </c>
      <c r="C293" s="617"/>
      <c r="D293" s="617"/>
      <c r="E293" s="660">
        <v>224479</v>
      </c>
      <c r="F293" s="660"/>
      <c r="G293" s="600"/>
      <c r="H293" s="605"/>
      <c r="I293" s="660">
        <v>201353</v>
      </c>
      <c r="J293" s="660"/>
      <c r="K293" s="600"/>
      <c r="L293" s="605"/>
      <c r="M293" s="660">
        <v>157019</v>
      </c>
      <c r="N293" s="660"/>
      <c r="O293" s="600"/>
      <c r="P293" s="605"/>
      <c r="Q293" s="660">
        <v>12600</v>
      </c>
      <c r="R293" s="660"/>
      <c r="S293" s="600"/>
      <c r="T293" s="605"/>
      <c r="U293" s="660">
        <v>37387</v>
      </c>
      <c r="V293" s="660"/>
      <c r="W293" s="600"/>
    </row>
    <row r="294" spans="1:23" x14ac:dyDescent="0.4">
      <c r="B294" s="617"/>
      <c r="C294" s="617"/>
      <c r="D294" s="617"/>
      <c r="E294" s="660"/>
      <c r="F294" s="660"/>
      <c r="G294" s="600"/>
      <c r="H294" s="605"/>
      <c r="I294" s="660"/>
      <c r="J294" s="660"/>
      <c r="K294" s="600"/>
      <c r="L294" s="605"/>
      <c r="M294" s="660"/>
      <c r="N294" s="660"/>
      <c r="O294" s="600"/>
      <c r="P294" s="605"/>
      <c r="Q294" s="660"/>
      <c r="R294" s="660"/>
      <c r="S294" s="600"/>
      <c r="T294" s="605"/>
      <c r="U294" s="660"/>
      <c r="V294" s="660"/>
      <c r="W294" s="600"/>
    </row>
    <row r="295" spans="1:23" x14ac:dyDescent="0.4">
      <c r="B295" s="601"/>
      <c r="C295" s="601"/>
      <c r="D295" s="601"/>
      <c r="E295" s="601"/>
      <c r="F295" s="601"/>
      <c r="G295" s="601"/>
      <c r="H295" s="240"/>
      <c r="I295" s="601"/>
      <c r="J295" s="601"/>
      <c r="K295" s="601"/>
      <c r="L295" s="240"/>
      <c r="M295" s="601"/>
      <c r="N295" s="601"/>
      <c r="O295" s="601"/>
      <c r="P295" s="240"/>
      <c r="Q295" s="601"/>
      <c r="R295" s="601"/>
      <c r="S295" s="601"/>
      <c r="T295" s="240"/>
      <c r="U295" s="601"/>
      <c r="V295" s="601"/>
      <c r="W295" s="601"/>
    </row>
    <row r="296" spans="1:23" x14ac:dyDescent="0.4">
      <c r="B296" s="659" t="s">
        <v>72</v>
      </c>
      <c r="C296" s="659"/>
      <c r="D296" s="659"/>
      <c r="E296" s="605"/>
      <c r="F296" s="605"/>
      <c r="G296" s="605"/>
      <c r="H296" s="242"/>
      <c r="I296" s="605"/>
      <c r="J296" s="605"/>
      <c r="K296" s="605"/>
      <c r="L296" s="242"/>
      <c r="M296" s="605"/>
      <c r="N296" s="605"/>
      <c r="O296" s="605"/>
      <c r="P296" s="242"/>
      <c r="Q296" s="605"/>
      <c r="R296" s="605"/>
      <c r="S296" s="605"/>
      <c r="T296" s="242"/>
      <c r="U296" s="605"/>
      <c r="V296" s="605"/>
      <c r="W296" s="605"/>
    </row>
    <row r="297" spans="1:23" x14ac:dyDescent="0.4">
      <c r="B297" s="602" t="s">
        <v>73</v>
      </c>
      <c r="C297" s="602"/>
      <c r="D297" s="602"/>
      <c r="E297" s="658" t="s">
        <v>47</v>
      </c>
      <c r="F297" s="655">
        <v>70878</v>
      </c>
      <c r="G297" s="604"/>
      <c r="H297" s="601"/>
      <c r="I297" s="658" t="s">
        <v>47</v>
      </c>
      <c r="J297" s="655">
        <v>54285</v>
      </c>
      <c r="K297" s="604"/>
      <c r="L297" s="601"/>
      <c r="M297" s="658" t="s">
        <v>47</v>
      </c>
      <c r="N297" s="655">
        <v>41258</v>
      </c>
      <c r="O297" s="604"/>
      <c r="P297" s="601"/>
      <c r="Q297" s="658" t="s">
        <v>47</v>
      </c>
      <c r="R297" s="655">
        <v>13584</v>
      </c>
      <c r="S297" s="604"/>
      <c r="T297" s="601"/>
      <c r="U297" s="658" t="s">
        <v>47</v>
      </c>
      <c r="V297" s="655">
        <v>12924</v>
      </c>
      <c r="W297" s="604"/>
    </row>
    <row r="298" spans="1:23" x14ac:dyDescent="0.4">
      <c r="B298" s="602"/>
      <c r="C298" s="602"/>
      <c r="D298" s="602"/>
      <c r="E298" s="658"/>
      <c r="F298" s="655"/>
      <c r="G298" s="604"/>
      <c r="H298" s="601"/>
      <c r="I298" s="658"/>
      <c r="J298" s="655"/>
      <c r="K298" s="604"/>
      <c r="L298" s="601"/>
      <c r="M298" s="658"/>
      <c r="N298" s="655"/>
      <c r="O298" s="604"/>
      <c r="P298" s="601"/>
      <c r="Q298" s="658"/>
      <c r="R298" s="655"/>
      <c r="S298" s="604"/>
      <c r="T298" s="601"/>
      <c r="U298" s="658"/>
      <c r="V298" s="655"/>
      <c r="W298" s="604"/>
    </row>
    <row r="299" spans="1:23" x14ac:dyDescent="0.4">
      <c r="B299" s="617" t="s">
        <v>74</v>
      </c>
      <c r="C299" s="617"/>
      <c r="D299" s="617"/>
      <c r="E299" s="657" t="s">
        <v>75</v>
      </c>
      <c r="F299" s="657"/>
      <c r="G299" s="271" t="s">
        <v>56</v>
      </c>
      <c r="H299" s="242"/>
      <c r="I299" s="657" t="s">
        <v>76</v>
      </c>
      <c r="J299" s="657"/>
      <c r="K299" s="271" t="s">
        <v>56</v>
      </c>
      <c r="L299" s="242"/>
      <c r="M299" s="657" t="s">
        <v>77</v>
      </c>
      <c r="N299" s="657"/>
      <c r="O299" s="271" t="s">
        <v>56</v>
      </c>
      <c r="P299" s="242"/>
      <c r="Q299" s="657" t="s">
        <v>78</v>
      </c>
      <c r="R299" s="657"/>
      <c r="S299" s="271" t="s">
        <v>56</v>
      </c>
      <c r="T299" s="242"/>
      <c r="U299" s="657" t="s">
        <v>79</v>
      </c>
      <c r="V299" s="657"/>
      <c r="W299" s="271" t="s">
        <v>56</v>
      </c>
    </row>
    <row r="300" spans="1:23" x14ac:dyDescent="0.4">
      <c r="B300" s="602" t="s">
        <v>80</v>
      </c>
      <c r="C300" s="602"/>
      <c r="D300" s="602"/>
      <c r="E300" s="653">
        <v>965</v>
      </c>
      <c r="F300" s="653"/>
      <c r="G300" s="604"/>
      <c r="H300" s="601"/>
      <c r="I300" s="655">
        <v>1234</v>
      </c>
      <c r="J300" s="655"/>
      <c r="K300" s="604"/>
      <c r="L300" s="601"/>
      <c r="M300" s="655">
        <v>61428</v>
      </c>
      <c r="N300" s="655"/>
      <c r="O300" s="604"/>
      <c r="P300" s="601"/>
      <c r="Q300" s="655">
        <v>4532</v>
      </c>
      <c r="R300" s="655"/>
      <c r="S300" s="604"/>
      <c r="T300" s="601"/>
      <c r="U300" s="653">
        <v>313</v>
      </c>
      <c r="V300" s="653"/>
      <c r="W300" s="604"/>
    </row>
    <row r="301" spans="1:23" ht="13.8" thickBot="1" x14ac:dyDescent="0.45">
      <c r="B301" s="618"/>
      <c r="C301" s="618"/>
      <c r="D301" s="618"/>
      <c r="E301" s="654"/>
      <c r="F301" s="654"/>
      <c r="G301" s="616"/>
      <c r="H301" s="614"/>
      <c r="I301" s="656"/>
      <c r="J301" s="656"/>
      <c r="K301" s="616"/>
      <c r="L301" s="614"/>
      <c r="M301" s="656"/>
      <c r="N301" s="656"/>
      <c r="O301" s="616"/>
      <c r="P301" s="614"/>
      <c r="Q301" s="656"/>
      <c r="R301" s="656"/>
      <c r="S301" s="616"/>
      <c r="T301" s="614"/>
      <c r="U301" s="654"/>
      <c r="V301" s="654"/>
      <c r="W301" s="616"/>
    </row>
    <row r="303" spans="1:23" x14ac:dyDescent="0.4">
      <c r="A303" s="1" t="s">
        <v>973</v>
      </c>
    </row>
  </sheetData>
  <mergeCells count="1254">
    <mergeCell ref="B255:D256"/>
    <mergeCell ref="D38:G38"/>
    <mergeCell ref="I38:L38"/>
    <mergeCell ref="K252:K253"/>
    <mergeCell ref="F255:F256"/>
    <mergeCell ref="G255:G256"/>
    <mergeCell ref="H255:H256"/>
    <mergeCell ref="I255:I256"/>
    <mergeCell ref="T252:T253"/>
    <mergeCell ref="U252:V253"/>
    <mergeCell ref="W252:W253"/>
    <mergeCell ref="B254:D254"/>
    <mergeCell ref="E254:G254"/>
    <mergeCell ref="I254:K254"/>
    <mergeCell ref="M254:O254"/>
    <mergeCell ref="Q254:S254"/>
    <mergeCell ref="U254:W254"/>
    <mergeCell ref="L252:L253"/>
    <mergeCell ref="M252:N253"/>
    <mergeCell ref="O252:O253"/>
    <mergeCell ref="P252:P253"/>
    <mergeCell ref="Q252:R253"/>
    <mergeCell ref="S252:S253"/>
    <mergeCell ref="B252:D253"/>
    <mergeCell ref="E252:F253"/>
    <mergeCell ref="G252:G253"/>
    <mergeCell ref="H252:H253"/>
    <mergeCell ref="I252:J253"/>
    <mergeCell ref="V255:V256"/>
    <mergeCell ref="W255:W256"/>
    <mergeCell ref="I177:I178"/>
    <mergeCell ref="J177:J178"/>
    <mergeCell ref="E257:F258"/>
    <mergeCell ref="G257:G258"/>
    <mergeCell ref="H257:H258"/>
    <mergeCell ref="I257:J258"/>
    <mergeCell ref="K257:K258"/>
    <mergeCell ref="L257:L258"/>
    <mergeCell ref="M257:N258"/>
    <mergeCell ref="P255:P256"/>
    <mergeCell ref="Q255:Q256"/>
    <mergeCell ref="R255:R256"/>
    <mergeCell ref="S255:S256"/>
    <mergeCell ref="T255:T256"/>
    <mergeCell ref="U255:U256"/>
    <mergeCell ref="J255:J256"/>
    <mergeCell ref="K255:K256"/>
    <mergeCell ref="L255:L256"/>
    <mergeCell ref="M255:M256"/>
    <mergeCell ref="N255:N256"/>
    <mergeCell ref="O255:O256"/>
    <mergeCell ref="B259:D260"/>
    <mergeCell ref="E259:F260"/>
    <mergeCell ref="G259:G260"/>
    <mergeCell ref="H259:H260"/>
    <mergeCell ref="I259:J260"/>
    <mergeCell ref="K259:K260"/>
    <mergeCell ref="L259:L260"/>
    <mergeCell ref="M259:N260"/>
    <mergeCell ref="O259:O260"/>
    <mergeCell ref="K261:K262"/>
    <mergeCell ref="U263:V264"/>
    <mergeCell ref="W263:W264"/>
    <mergeCell ref="E255:E256"/>
    <mergeCell ref="P259:P260"/>
    <mergeCell ref="Q259:R260"/>
    <mergeCell ref="S259:S260"/>
    <mergeCell ref="T259:T260"/>
    <mergeCell ref="U259:V260"/>
    <mergeCell ref="W259:W260"/>
    <mergeCell ref="W257:W258"/>
    <mergeCell ref="O257:O258"/>
    <mergeCell ref="P257:P258"/>
    <mergeCell ref="Q257:R258"/>
    <mergeCell ref="S257:S258"/>
    <mergeCell ref="T257:T258"/>
    <mergeCell ref="U257:V258"/>
    <mergeCell ref="O263:O264"/>
    <mergeCell ref="P263:P264"/>
    <mergeCell ref="Q263:R264"/>
    <mergeCell ref="S263:S264"/>
    <mergeCell ref="T263:T264"/>
    <mergeCell ref="B257:D258"/>
    <mergeCell ref="M263:N264"/>
    <mergeCell ref="T261:T262"/>
    <mergeCell ref="U261:V262"/>
    <mergeCell ref="W261:W262"/>
    <mergeCell ref="B263:D264"/>
    <mergeCell ref="E263:F264"/>
    <mergeCell ref="G263:G264"/>
    <mergeCell ref="H263:H264"/>
    <mergeCell ref="I263:J264"/>
    <mergeCell ref="K263:K264"/>
    <mergeCell ref="L263:L264"/>
    <mergeCell ref="L261:L262"/>
    <mergeCell ref="M261:N262"/>
    <mergeCell ref="O261:O262"/>
    <mergeCell ref="P261:P262"/>
    <mergeCell ref="Q261:R262"/>
    <mergeCell ref="S261:S262"/>
    <mergeCell ref="B261:D262"/>
    <mergeCell ref="E261:F262"/>
    <mergeCell ref="G261:G262"/>
    <mergeCell ref="H261:H262"/>
    <mergeCell ref="I261:J262"/>
    <mergeCell ref="P267:P268"/>
    <mergeCell ref="Q267:R268"/>
    <mergeCell ref="S267:S268"/>
    <mergeCell ref="T267:T268"/>
    <mergeCell ref="U267:V268"/>
    <mergeCell ref="W267:W268"/>
    <mergeCell ref="W265:W266"/>
    <mergeCell ref="B267:D268"/>
    <mergeCell ref="E267:F268"/>
    <mergeCell ref="G267:G268"/>
    <mergeCell ref="H267:H268"/>
    <mergeCell ref="I267:J268"/>
    <mergeCell ref="K267:K268"/>
    <mergeCell ref="L267:L268"/>
    <mergeCell ref="M267:N268"/>
    <mergeCell ref="O267:O268"/>
    <mergeCell ref="O265:O266"/>
    <mergeCell ref="P265:P266"/>
    <mergeCell ref="Q265:R266"/>
    <mergeCell ref="S265:S266"/>
    <mergeCell ref="T265:T266"/>
    <mergeCell ref="U265:V266"/>
    <mergeCell ref="B265:D266"/>
    <mergeCell ref="E265:F266"/>
    <mergeCell ref="G265:G266"/>
    <mergeCell ref="H265:H266"/>
    <mergeCell ref="I265:J266"/>
    <mergeCell ref="K265:K266"/>
    <mergeCell ref="L265:L266"/>
    <mergeCell ref="M265:N266"/>
    <mergeCell ref="T269:T270"/>
    <mergeCell ref="U269:V270"/>
    <mergeCell ref="W269:W270"/>
    <mergeCell ref="B271:D271"/>
    <mergeCell ref="E271:G271"/>
    <mergeCell ref="I271:K271"/>
    <mergeCell ref="M271:O271"/>
    <mergeCell ref="Q271:S271"/>
    <mergeCell ref="U271:W271"/>
    <mergeCell ref="L269:L270"/>
    <mergeCell ref="M269:N270"/>
    <mergeCell ref="O269:O270"/>
    <mergeCell ref="P269:P270"/>
    <mergeCell ref="Q269:R270"/>
    <mergeCell ref="S269:S270"/>
    <mergeCell ref="B269:D270"/>
    <mergeCell ref="E269:F270"/>
    <mergeCell ref="G269:G270"/>
    <mergeCell ref="H269:H270"/>
    <mergeCell ref="I269:J270"/>
    <mergeCell ref="K269:K270"/>
    <mergeCell ref="B272:D272"/>
    <mergeCell ref="E272:G272"/>
    <mergeCell ref="I272:K272"/>
    <mergeCell ref="B273:D274"/>
    <mergeCell ref="E273:E274"/>
    <mergeCell ref="M272:O272"/>
    <mergeCell ref="Q272:S272"/>
    <mergeCell ref="V273:V274"/>
    <mergeCell ref="W273:W274"/>
    <mergeCell ref="B275:D276"/>
    <mergeCell ref="E275:E276"/>
    <mergeCell ref="F275:F276"/>
    <mergeCell ref="G275:G276"/>
    <mergeCell ref="H275:H276"/>
    <mergeCell ref="I275:I276"/>
    <mergeCell ref="J275:J276"/>
    <mergeCell ref="K275:K276"/>
    <mergeCell ref="P273:P274"/>
    <mergeCell ref="Q273:Q274"/>
    <mergeCell ref="R273:R274"/>
    <mergeCell ref="S273:S274"/>
    <mergeCell ref="T273:T274"/>
    <mergeCell ref="U273:U274"/>
    <mergeCell ref="J273:J274"/>
    <mergeCell ref="K273:K274"/>
    <mergeCell ref="L273:L274"/>
    <mergeCell ref="M273:M274"/>
    <mergeCell ref="N273:N274"/>
    <mergeCell ref="U272:W272"/>
    <mergeCell ref="O273:O274"/>
    <mergeCell ref="F273:F274"/>
    <mergeCell ref="G273:G274"/>
    <mergeCell ref="U278:W278"/>
    <mergeCell ref="B277:D277"/>
    <mergeCell ref="E277:G277"/>
    <mergeCell ref="I277:K277"/>
    <mergeCell ref="M277:O277"/>
    <mergeCell ref="Q277:S277"/>
    <mergeCell ref="U277:W277"/>
    <mergeCell ref="R275:R276"/>
    <mergeCell ref="S275:S276"/>
    <mergeCell ref="T275:T276"/>
    <mergeCell ref="U275:U276"/>
    <mergeCell ref="V275:V276"/>
    <mergeCell ref="W275:W276"/>
    <mergeCell ref="L275:L276"/>
    <mergeCell ref="M275:M276"/>
    <mergeCell ref="N275:N276"/>
    <mergeCell ref="O275:O276"/>
    <mergeCell ref="P275:P276"/>
    <mergeCell ref="Q275:Q276"/>
    <mergeCell ref="H273:H274"/>
    <mergeCell ref="I273:I274"/>
    <mergeCell ref="B278:D278"/>
    <mergeCell ref="E278:G278"/>
    <mergeCell ref="I278:K278"/>
    <mergeCell ref="M278:O278"/>
    <mergeCell ref="Q278:S278"/>
    <mergeCell ref="V279:V280"/>
    <mergeCell ref="W279:W280"/>
    <mergeCell ref="B281:D282"/>
    <mergeCell ref="E281:F282"/>
    <mergeCell ref="G281:G282"/>
    <mergeCell ref="H281:H282"/>
    <mergeCell ref="I281:J282"/>
    <mergeCell ref="K281:K282"/>
    <mergeCell ref="L281:L282"/>
    <mergeCell ref="M281:N282"/>
    <mergeCell ref="P279:P280"/>
    <mergeCell ref="Q279:Q280"/>
    <mergeCell ref="R279:R280"/>
    <mergeCell ref="S279:S280"/>
    <mergeCell ref="T279:T280"/>
    <mergeCell ref="U279:U280"/>
    <mergeCell ref="J279:J280"/>
    <mergeCell ref="K279:K280"/>
    <mergeCell ref="L279:L280"/>
    <mergeCell ref="M279:M280"/>
    <mergeCell ref="N279:N280"/>
    <mergeCell ref="O279:O280"/>
    <mergeCell ref="B279:D280"/>
    <mergeCell ref="E279:E280"/>
    <mergeCell ref="W281:W282"/>
    <mergeCell ref="G283:G284"/>
    <mergeCell ref="H283:H284"/>
    <mergeCell ref="I283:J284"/>
    <mergeCell ref="K283:K284"/>
    <mergeCell ref="L283:L284"/>
    <mergeCell ref="M283:N284"/>
    <mergeCell ref="O283:O284"/>
    <mergeCell ref="O281:O282"/>
    <mergeCell ref="P281:P282"/>
    <mergeCell ref="Q281:R282"/>
    <mergeCell ref="S281:S282"/>
    <mergeCell ref="T281:T282"/>
    <mergeCell ref="U281:V282"/>
    <mergeCell ref="F279:F280"/>
    <mergeCell ref="G279:G280"/>
    <mergeCell ref="H279:H280"/>
    <mergeCell ref="I279:I280"/>
    <mergeCell ref="P283:P284"/>
    <mergeCell ref="Q283:R284"/>
    <mergeCell ref="S283:S284"/>
    <mergeCell ref="T283:T284"/>
    <mergeCell ref="U283:V284"/>
    <mergeCell ref="W283:W284"/>
    <mergeCell ref="O287:O288"/>
    <mergeCell ref="P287:P288"/>
    <mergeCell ref="Q287:R288"/>
    <mergeCell ref="S287:S288"/>
    <mergeCell ref="T287:T288"/>
    <mergeCell ref="B289:D290"/>
    <mergeCell ref="E289:F290"/>
    <mergeCell ref="L289:L290"/>
    <mergeCell ref="M289:N290"/>
    <mergeCell ref="M287:N288"/>
    <mergeCell ref="T285:T286"/>
    <mergeCell ref="U285:V286"/>
    <mergeCell ref="W285:W286"/>
    <mergeCell ref="B287:D288"/>
    <mergeCell ref="E287:F288"/>
    <mergeCell ref="G287:G288"/>
    <mergeCell ref="H287:H288"/>
    <mergeCell ref="I287:J288"/>
    <mergeCell ref="K287:K288"/>
    <mergeCell ref="L287:L288"/>
    <mergeCell ref="L285:L286"/>
    <mergeCell ref="B285:D286"/>
    <mergeCell ref="E285:F286"/>
    <mergeCell ref="G285:G286"/>
    <mergeCell ref="P285:P286"/>
    <mergeCell ref="Q285:R286"/>
    <mergeCell ref="S285:S286"/>
    <mergeCell ref="U287:V288"/>
    <mergeCell ref="W287:W288"/>
    <mergeCell ref="B283:D284"/>
    <mergeCell ref="E283:F284"/>
    <mergeCell ref="B291:D292"/>
    <mergeCell ref="E291:F292"/>
    <mergeCell ref="G291:G292"/>
    <mergeCell ref="H291:H292"/>
    <mergeCell ref="I291:J292"/>
    <mergeCell ref="K291:K292"/>
    <mergeCell ref="L291:L292"/>
    <mergeCell ref="M291:N292"/>
    <mergeCell ref="O291:O292"/>
    <mergeCell ref="G289:G290"/>
    <mergeCell ref="H289:H290"/>
    <mergeCell ref="I289:J290"/>
    <mergeCell ref="K289:K290"/>
    <mergeCell ref="H285:H286"/>
    <mergeCell ref="I285:J286"/>
    <mergeCell ref="K285:K286"/>
    <mergeCell ref="W293:W294"/>
    <mergeCell ref="P291:P292"/>
    <mergeCell ref="Q291:R292"/>
    <mergeCell ref="S291:S292"/>
    <mergeCell ref="T291:T292"/>
    <mergeCell ref="U291:V292"/>
    <mergeCell ref="W291:W292"/>
    <mergeCell ref="W289:W290"/>
    <mergeCell ref="O289:O290"/>
    <mergeCell ref="P289:P290"/>
    <mergeCell ref="Q289:R290"/>
    <mergeCell ref="S289:S290"/>
    <mergeCell ref="T289:T290"/>
    <mergeCell ref="U289:V290"/>
    <mergeCell ref="M285:N286"/>
    <mergeCell ref="O285:O286"/>
    <mergeCell ref="B296:D296"/>
    <mergeCell ref="E296:G296"/>
    <mergeCell ref="I296:K296"/>
    <mergeCell ref="M296:O296"/>
    <mergeCell ref="B300:D301"/>
    <mergeCell ref="E300:F301"/>
    <mergeCell ref="G300:G301"/>
    <mergeCell ref="H300:H301"/>
    <mergeCell ref="I300:J301"/>
    <mergeCell ref="K300:K301"/>
    <mergeCell ref="B295:D295"/>
    <mergeCell ref="E295:G295"/>
    <mergeCell ref="I295:K295"/>
    <mergeCell ref="M295:O295"/>
    <mergeCell ref="Q295:S295"/>
    <mergeCell ref="U295:W295"/>
    <mergeCell ref="L293:L294"/>
    <mergeCell ref="M293:N294"/>
    <mergeCell ref="O293:O294"/>
    <mergeCell ref="P293:P294"/>
    <mergeCell ref="Q293:R294"/>
    <mergeCell ref="S293:S294"/>
    <mergeCell ref="B293:D294"/>
    <mergeCell ref="E293:F294"/>
    <mergeCell ref="G293:G294"/>
    <mergeCell ref="H293:H294"/>
    <mergeCell ref="I293:J294"/>
    <mergeCell ref="K293:K294"/>
    <mergeCell ref="Q296:S296"/>
    <mergeCell ref="U296:W296"/>
    <mergeCell ref="T293:T294"/>
    <mergeCell ref="U293:V294"/>
    <mergeCell ref="V297:V298"/>
    <mergeCell ref="W297:W298"/>
    <mergeCell ref="B299:D299"/>
    <mergeCell ref="E299:F299"/>
    <mergeCell ref="I299:J299"/>
    <mergeCell ref="M299:N299"/>
    <mergeCell ref="Q299:R299"/>
    <mergeCell ref="U299:V299"/>
    <mergeCell ref="P297:P298"/>
    <mergeCell ref="Q297:Q298"/>
    <mergeCell ref="R297:R298"/>
    <mergeCell ref="S297:S298"/>
    <mergeCell ref="T297:T298"/>
    <mergeCell ref="U297:U298"/>
    <mergeCell ref="J297:J298"/>
    <mergeCell ref="K297:K298"/>
    <mergeCell ref="L297:L298"/>
    <mergeCell ref="M297:M298"/>
    <mergeCell ref="N297:N298"/>
    <mergeCell ref="O297:O298"/>
    <mergeCell ref="B297:D298"/>
    <mergeCell ref="E297:E298"/>
    <mergeCell ref="F297:F298"/>
    <mergeCell ref="G297:G298"/>
    <mergeCell ref="H297:H298"/>
    <mergeCell ref="I297:I298"/>
    <mergeCell ref="T300:T301"/>
    <mergeCell ref="U300:V301"/>
    <mergeCell ref="W300:W301"/>
    <mergeCell ref="L300:L301"/>
    <mergeCell ref="M300:N301"/>
    <mergeCell ref="O300:O301"/>
    <mergeCell ref="P300:P301"/>
    <mergeCell ref="Q300:R301"/>
    <mergeCell ref="S300:S301"/>
    <mergeCell ref="I172:I174"/>
    <mergeCell ref="B175:B176"/>
    <mergeCell ref="C175:C176"/>
    <mergeCell ref="D175:D176"/>
    <mergeCell ref="E175:E176"/>
    <mergeCell ref="F175:F176"/>
    <mergeCell ref="G175:G176"/>
    <mergeCell ref="H175:H176"/>
    <mergeCell ref="I175:I176"/>
    <mergeCell ref="C172:C174"/>
    <mergeCell ref="D172:D174"/>
    <mergeCell ref="E172:E174"/>
    <mergeCell ref="F172:F174"/>
    <mergeCell ref="G172:G174"/>
    <mergeCell ref="H172:H174"/>
    <mergeCell ref="J175:J176"/>
    <mergeCell ref="B177:B178"/>
    <mergeCell ref="C177:C178"/>
    <mergeCell ref="D177:D178"/>
    <mergeCell ref="E177:E178"/>
    <mergeCell ref="F177:F178"/>
    <mergeCell ref="G177:G178"/>
    <mergeCell ref="H177:H178"/>
    <mergeCell ref="I179:I180"/>
    <mergeCell ref="J179:J180"/>
    <mergeCell ref="B181:B182"/>
    <mergeCell ref="C181:C182"/>
    <mergeCell ref="D181:D182"/>
    <mergeCell ref="E181:E182"/>
    <mergeCell ref="F181:F182"/>
    <mergeCell ref="G181:G182"/>
    <mergeCell ref="H181:H182"/>
    <mergeCell ref="B179:B180"/>
    <mergeCell ref="C179:C180"/>
    <mergeCell ref="D179:D180"/>
    <mergeCell ref="E179:E180"/>
    <mergeCell ref="F179:F180"/>
    <mergeCell ref="G179:G180"/>
    <mergeCell ref="I181:I182"/>
    <mergeCell ref="J181:J182"/>
    <mergeCell ref="H179:H180"/>
    <mergeCell ref="B183:B184"/>
    <mergeCell ref="C183:C184"/>
    <mergeCell ref="D183:D184"/>
    <mergeCell ref="E183:E184"/>
    <mergeCell ref="F183:F184"/>
    <mergeCell ref="G183:G184"/>
    <mergeCell ref="H183:H184"/>
    <mergeCell ref="I183:I184"/>
    <mergeCell ref="J183:J184"/>
    <mergeCell ref="B185:B186"/>
    <mergeCell ref="C185:C186"/>
    <mergeCell ref="D185:D186"/>
    <mergeCell ref="E185:E186"/>
    <mergeCell ref="F185:F186"/>
    <mergeCell ref="G185:G186"/>
    <mergeCell ref="H185:H186"/>
    <mergeCell ref="I185:I186"/>
    <mergeCell ref="J185:J186"/>
    <mergeCell ref="H187:H188"/>
    <mergeCell ref="I187:I188"/>
    <mergeCell ref="J187:J188"/>
    <mergeCell ref="B189:B190"/>
    <mergeCell ref="C189:C190"/>
    <mergeCell ref="D189:D190"/>
    <mergeCell ref="E189:E190"/>
    <mergeCell ref="F189:F190"/>
    <mergeCell ref="G189:G190"/>
    <mergeCell ref="H189:H190"/>
    <mergeCell ref="B187:B188"/>
    <mergeCell ref="C187:C188"/>
    <mergeCell ref="D187:D188"/>
    <mergeCell ref="E187:E188"/>
    <mergeCell ref="F187:F188"/>
    <mergeCell ref="G187:G188"/>
    <mergeCell ref="I189:I190"/>
    <mergeCell ref="J189:J190"/>
    <mergeCell ref="B191:B192"/>
    <mergeCell ref="C191:C192"/>
    <mergeCell ref="D191:D192"/>
    <mergeCell ref="E191:E192"/>
    <mergeCell ref="F191:F192"/>
    <mergeCell ref="G191:G192"/>
    <mergeCell ref="H191:H192"/>
    <mergeCell ref="I191:I192"/>
    <mergeCell ref="J191:J192"/>
    <mergeCell ref="B193:B194"/>
    <mergeCell ref="C193:C194"/>
    <mergeCell ref="D193:D194"/>
    <mergeCell ref="E193:E194"/>
    <mergeCell ref="F193:F194"/>
    <mergeCell ref="G193:G194"/>
    <mergeCell ref="H193:H194"/>
    <mergeCell ref="I193:I194"/>
    <mergeCell ref="J193:J194"/>
    <mergeCell ref="H195:H196"/>
    <mergeCell ref="I195:I196"/>
    <mergeCell ref="J195:J196"/>
    <mergeCell ref="B197:B198"/>
    <mergeCell ref="C197:C198"/>
    <mergeCell ref="D197:D198"/>
    <mergeCell ref="E197:E198"/>
    <mergeCell ref="F197:F198"/>
    <mergeCell ref="G197:G198"/>
    <mergeCell ref="H197:H198"/>
    <mergeCell ref="B195:B196"/>
    <mergeCell ref="C195:C196"/>
    <mergeCell ref="D195:D196"/>
    <mergeCell ref="E195:E196"/>
    <mergeCell ref="F195:F196"/>
    <mergeCell ref="G195:G196"/>
    <mergeCell ref="I197:I198"/>
    <mergeCell ref="J197:J198"/>
    <mergeCell ref="B199:B200"/>
    <mergeCell ref="C199:C200"/>
    <mergeCell ref="D199:D200"/>
    <mergeCell ref="E199:E200"/>
    <mergeCell ref="F199:F200"/>
    <mergeCell ref="G199:G200"/>
    <mergeCell ref="H199:H200"/>
    <mergeCell ref="I199:I200"/>
    <mergeCell ref="J199:J200"/>
    <mergeCell ref="B201:B202"/>
    <mergeCell ref="C201:C202"/>
    <mergeCell ref="D201:D202"/>
    <mergeCell ref="E201:E202"/>
    <mergeCell ref="F201:F202"/>
    <mergeCell ref="G201:G202"/>
    <mergeCell ref="H201:H202"/>
    <mergeCell ref="I201:I202"/>
    <mergeCell ref="J201:J202"/>
    <mergeCell ref="H203:H204"/>
    <mergeCell ref="I203:I204"/>
    <mergeCell ref="J203:J204"/>
    <mergeCell ref="B205:B206"/>
    <mergeCell ref="C205:C206"/>
    <mergeCell ref="D205:D206"/>
    <mergeCell ref="E205:E206"/>
    <mergeCell ref="F205:F206"/>
    <mergeCell ref="G205:G206"/>
    <mergeCell ref="H205:H206"/>
    <mergeCell ref="B203:B204"/>
    <mergeCell ref="C203:C204"/>
    <mergeCell ref="D203:D204"/>
    <mergeCell ref="E203:E204"/>
    <mergeCell ref="F203:F204"/>
    <mergeCell ref="G203:G204"/>
    <mergeCell ref="I205:I206"/>
    <mergeCell ref="J205:J206"/>
    <mergeCell ref="B207:B208"/>
    <mergeCell ref="C207:C208"/>
    <mergeCell ref="D207:D208"/>
    <mergeCell ref="E207:E208"/>
    <mergeCell ref="F207:F208"/>
    <mergeCell ref="G207:G208"/>
    <mergeCell ref="H207:H208"/>
    <mergeCell ref="I207:I208"/>
    <mergeCell ref="J207:J208"/>
    <mergeCell ref="B209:B210"/>
    <mergeCell ref="C209:C210"/>
    <mergeCell ref="D209:D210"/>
    <mergeCell ref="E209:E210"/>
    <mergeCell ref="F209:F210"/>
    <mergeCell ref="G209:G210"/>
    <mergeCell ref="H209:H210"/>
    <mergeCell ref="I209:I210"/>
    <mergeCell ref="J209:J210"/>
    <mergeCell ref="H211:H212"/>
    <mergeCell ref="I211:I212"/>
    <mergeCell ref="J211:J212"/>
    <mergeCell ref="B213:B214"/>
    <mergeCell ref="C213:C214"/>
    <mergeCell ref="D213:D214"/>
    <mergeCell ref="E213:E214"/>
    <mergeCell ref="F213:F214"/>
    <mergeCell ref="G213:G214"/>
    <mergeCell ref="H213:H214"/>
    <mergeCell ref="B211:B212"/>
    <mergeCell ref="C211:C212"/>
    <mergeCell ref="D211:D212"/>
    <mergeCell ref="E211:E212"/>
    <mergeCell ref="F211:F212"/>
    <mergeCell ref="G211:G212"/>
    <mergeCell ref="I213:I214"/>
    <mergeCell ref="J213:J214"/>
    <mergeCell ref="B215:B216"/>
    <mergeCell ref="C215:C216"/>
    <mergeCell ref="D215:D216"/>
    <mergeCell ref="E215:E216"/>
    <mergeCell ref="F215:F216"/>
    <mergeCell ref="G215:G216"/>
    <mergeCell ref="H215:H216"/>
    <mergeCell ref="I215:I216"/>
    <mergeCell ref="J215:J216"/>
    <mergeCell ref="B217:B218"/>
    <mergeCell ref="C217:C218"/>
    <mergeCell ref="D217:D218"/>
    <mergeCell ref="E217:E218"/>
    <mergeCell ref="F217:F218"/>
    <mergeCell ref="G217:G218"/>
    <mergeCell ref="H217:H218"/>
    <mergeCell ref="I217:I218"/>
    <mergeCell ref="J217:J218"/>
    <mergeCell ref="H219:H220"/>
    <mergeCell ref="I219:I220"/>
    <mergeCell ref="J219:J220"/>
    <mergeCell ref="B221:B222"/>
    <mergeCell ref="C221:C222"/>
    <mergeCell ref="D221:D222"/>
    <mergeCell ref="E221:E222"/>
    <mergeCell ref="F221:F222"/>
    <mergeCell ref="G221:G222"/>
    <mergeCell ref="H221:H222"/>
    <mergeCell ref="B219:B220"/>
    <mergeCell ref="C219:C220"/>
    <mergeCell ref="D219:D220"/>
    <mergeCell ref="E219:E220"/>
    <mergeCell ref="F219:F220"/>
    <mergeCell ref="G219:G220"/>
    <mergeCell ref="I221:I222"/>
    <mergeCell ref="J221:J222"/>
    <mergeCell ref="B223:B224"/>
    <mergeCell ref="C223:C224"/>
    <mergeCell ref="D223:D224"/>
    <mergeCell ref="E223:E224"/>
    <mergeCell ref="F223:F224"/>
    <mergeCell ref="G223:G224"/>
    <mergeCell ref="H223:H224"/>
    <mergeCell ref="I223:I224"/>
    <mergeCell ref="J223:J224"/>
    <mergeCell ref="B225:B226"/>
    <mergeCell ref="C225:C226"/>
    <mergeCell ref="D225:D226"/>
    <mergeCell ref="E225:E226"/>
    <mergeCell ref="F225:F226"/>
    <mergeCell ref="G225:G226"/>
    <mergeCell ref="H225:H226"/>
    <mergeCell ref="I225:I226"/>
    <mergeCell ref="J225:J226"/>
    <mergeCell ref="H227:H228"/>
    <mergeCell ref="I227:I228"/>
    <mergeCell ref="J227:J228"/>
    <mergeCell ref="B229:B230"/>
    <mergeCell ref="C229:C230"/>
    <mergeCell ref="D229:D230"/>
    <mergeCell ref="E229:E230"/>
    <mergeCell ref="F229:F230"/>
    <mergeCell ref="G229:G230"/>
    <mergeCell ref="H229:H230"/>
    <mergeCell ref="B227:B228"/>
    <mergeCell ref="C227:C228"/>
    <mergeCell ref="D227:D228"/>
    <mergeCell ref="E227:E228"/>
    <mergeCell ref="F227:F228"/>
    <mergeCell ref="G227:G228"/>
    <mergeCell ref="I229:I230"/>
    <mergeCell ref="J229:J230"/>
    <mergeCell ref="B231:B232"/>
    <mergeCell ref="C231:C232"/>
    <mergeCell ref="D231:D232"/>
    <mergeCell ref="E231:E232"/>
    <mergeCell ref="F231:F232"/>
    <mergeCell ref="G231:G232"/>
    <mergeCell ref="H231:H232"/>
    <mergeCell ref="I231:I232"/>
    <mergeCell ref="J231:J232"/>
    <mergeCell ref="B233:B234"/>
    <mergeCell ref="C233:C234"/>
    <mergeCell ref="D233:D234"/>
    <mergeCell ref="E233:E234"/>
    <mergeCell ref="F233:F234"/>
    <mergeCell ref="G233:G234"/>
    <mergeCell ref="H233:H234"/>
    <mergeCell ref="I233:I234"/>
    <mergeCell ref="J233:J234"/>
    <mergeCell ref="D237:D238"/>
    <mergeCell ref="E237:E238"/>
    <mergeCell ref="F237:F238"/>
    <mergeCell ref="G237:G238"/>
    <mergeCell ref="H237:H238"/>
    <mergeCell ref="B235:B236"/>
    <mergeCell ref="C235:C236"/>
    <mergeCell ref="D235:D236"/>
    <mergeCell ref="E235:E236"/>
    <mergeCell ref="F235:F236"/>
    <mergeCell ref="G235:G236"/>
    <mergeCell ref="I237:I238"/>
    <mergeCell ref="J237:J238"/>
    <mergeCell ref="H243:H244"/>
    <mergeCell ref="I243:I244"/>
    <mergeCell ref="B243:B244"/>
    <mergeCell ref="C243:C244"/>
    <mergeCell ref="D243:D244"/>
    <mergeCell ref="E243:E244"/>
    <mergeCell ref="F243:F244"/>
    <mergeCell ref="G243:G244"/>
    <mergeCell ref="H235:H236"/>
    <mergeCell ref="I235:I236"/>
    <mergeCell ref="J239:J240"/>
    <mergeCell ref="B241:B242"/>
    <mergeCell ref="C241:C242"/>
    <mergeCell ref="D241:D242"/>
    <mergeCell ref="E241:E242"/>
    <mergeCell ref="F241:F242"/>
    <mergeCell ref="G241:G242"/>
    <mergeCell ref="H241:H242"/>
    <mergeCell ref="I241:I242"/>
    <mergeCell ref="J241:J242"/>
    <mergeCell ref="B239:B240"/>
    <mergeCell ref="C239:C240"/>
    <mergeCell ref="D239:D240"/>
    <mergeCell ref="E239:E240"/>
    <mergeCell ref="F239:F240"/>
    <mergeCell ref="G239:G240"/>
    <mergeCell ref="H239:H240"/>
    <mergeCell ref="I239:I240"/>
    <mergeCell ref="K154:K155"/>
    <mergeCell ref="L154:L155"/>
    <mergeCell ref="M154:M155"/>
    <mergeCell ref="N154:N155"/>
    <mergeCell ref="N152:O152"/>
    <mergeCell ref="N153:O153"/>
    <mergeCell ref="B154:B155"/>
    <mergeCell ref="C154:C155"/>
    <mergeCell ref="D154:D155"/>
    <mergeCell ref="E154:E155"/>
    <mergeCell ref="F154:F155"/>
    <mergeCell ref="G154:G155"/>
    <mergeCell ref="G158:H159"/>
    <mergeCell ref="I158:I159"/>
    <mergeCell ref="M160:M161"/>
    <mergeCell ref="N160:N161"/>
    <mergeCell ref="O160:P161"/>
    <mergeCell ref="J235:J236"/>
    <mergeCell ref="B237:B238"/>
    <mergeCell ref="C237:C238"/>
    <mergeCell ref="P152:P153"/>
    <mergeCell ref="J152:K152"/>
    <mergeCell ref="J153:K153"/>
    <mergeCell ref="L152:L153"/>
    <mergeCell ref="M152:M153"/>
    <mergeCell ref="H154:H155"/>
    <mergeCell ref="H152:H153"/>
    <mergeCell ref="I152:I153"/>
    <mergeCell ref="B152:C152"/>
    <mergeCell ref="B153:C153"/>
    <mergeCell ref="D152:D153"/>
    <mergeCell ref="E152:E153"/>
    <mergeCell ref="F152:G152"/>
    <mergeCell ref="F153:G153"/>
    <mergeCell ref="U154:U155"/>
    <mergeCell ref="B156:B157"/>
    <mergeCell ref="C156:D157"/>
    <mergeCell ref="E156:E157"/>
    <mergeCell ref="F156:F157"/>
    <mergeCell ref="G156:H157"/>
    <mergeCell ref="I156:I157"/>
    <mergeCell ref="J156:J157"/>
    <mergeCell ref="K156:L157"/>
    <mergeCell ref="M156:M157"/>
    <mergeCell ref="O154:O155"/>
    <mergeCell ref="P154:P155"/>
    <mergeCell ref="Q154:Q155"/>
    <mergeCell ref="R154:R155"/>
    <mergeCell ref="S154:S155"/>
    <mergeCell ref="T154:T155"/>
    <mergeCell ref="I154:I155"/>
    <mergeCell ref="J154:J155"/>
    <mergeCell ref="S160:T161"/>
    <mergeCell ref="U160:U161"/>
    <mergeCell ref="N156:N157"/>
    <mergeCell ref="O156:P157"/>
    <mergeCell ref="Q156:Q157"/>
    <mergeCell ref="R156:R157"/>
    <mergeCell ref="S156:T157"/>
    <mergeCell ref="U156:U157"/>
    <mergeCell ref="I162:I163"/>
    <mergeCell ref="J162:J163"/>
    <mergeCell ref="K162:L163"/>
    <mergeCell ref="K160:L161"/>
    <mergeCell ref="R158:R159"/>
    <mergeCell ref="S158:T159"/>
    <mergeCell ref="U158:U159"/>
    <mergeCell ref="B160:B161"/>
    <mergeCell ref="C160:D161"/>
    <mergeCell ref="E160:E161"/>
    <mergeCell ref="F160:F161"/>
    <mergeCell ref="G160:H161"/>
    <mergeCell ref="I160:I161"/>
    <mergeCell ref="J160:J161"/>
    <mergeCell ref="J158:J159"/>
    <mergeCell ref="K158:L159"/>
    <mergeCell ref="M158:M159"/>
    <mergeCell ref="N158:N159"/>
    <mergeCell ref="O158:P159"/>
    <mergeCell ref="Q158:Q159"/>
    <mergeCell ref="B158:B159"/>
    <mergeCell ref="C158:D159"/>
    <mergeCell ref="E158:E159"/>
    <mergeCell ref="F158:F159"/>
    <mergeCell ref="U162:U163"/>
    <mergeCell ref="B164:B165"/>
    <mergeCell ref="C164:C165"/>
    <mergeCell ref="D164:D165"/>
    <mergeCell ref="E164:E165"/>
    <mergeCell ref="F164:F165"/>
    <mergeCell ref="G164:G165"/>
    <mergeCell ref="H164:H165"/>
    <mergeCell ref="I164:I165"/>
    <mergeCell ref="J164:J165"/>
    <mergeCell ref="M162:M163"/>
    <mergeCell ref="N162:N163"/>
    <mergeCell ref="O162:P163"/>
    <mergeCell ref="Q162:Q163"/>
    <mergeCell ref="R162:R163"/>
    <mergeCell ref="S162:T163"/>
    <mergeCell ref="Q164:Q165"/>
    <mergeCell ref="R164:R165"/>
    <mergeCell ref="S164:S165"/>
    <mergeCell ref="B162:B163"/>
    <mergeCell ref="C162:D163"/>
    <mergeCell ref="E162:E163"/>
    <mergeCell ref="F162:F163"/>
    <mergeCell ref="G162:H163"/>
    <mergeCell ref="T164:T165"/>
    <mergeCell ref="K164:K165"/>
    <mergeCell ref="L164:L165"/>
    <mergeCell ref="M164:M165"/>
    <mergeCell ref="N164:N165"/>
    <mergeCell ref="O164:O165"/>
    <mergeCell ref="P164:P165"/>
    <mergeCell ref="Q160:Q161"/>
    <mergeCell ref="R160:R161"/>
    <mergeCell ref="W104:W105"/>
    <mergeCell ref="B104:D105"/>
    <mergeCell ref="E104:F105"/>
    <mergeCell ref="G104:G105"/>
    <mergeCell ref="H104:H105"/>
    <mergeCell ref="I104:J105"/>
    <mergeCell ref="K104:K105"/>
    <mergeCell ref="L104:L105"/>
    <mergeCell ref="M104:N105"/>
    <mergeCell ref="O104:O105"/>
    <mergeCell ref="G106:G107"/>
    <mergeCell ref="H106:H107"/>
    <mergeCell ref="I106:I107"/>
    <mergeCell ref="P104:P105"/>
    <mergeCell ref="Q104:R105"/>
    <mergeCell ref="S104:S105"/>
    <mergeCell ref="T104:T105"/>
    <mergeCell ref="U104:V105"/>
    <mergeCell ref="V106:V107"/>
    <mergeCell ref="W106:W107"/>
    <mergeCell ref="B108:D109"/>
    <mergeCell ref="E108:F109"/>
    <mergeCell ref="G108:G109"/>
    <mergeCell ref="H108:H109"/>
    <mergeCell ref="I108:J109"/>
    <mergeCell ref="K108:K109"/>
    <mergeCell ref="L108:L109"/>
    <mergeCell ref="M108:N109"/>
    <mergeCell ref="P106:P107"/>
    <mergeCell ref="Q106:Q107"/>
    <mergeCell ref="R106:R107"/>
    <mergeCell ref="S106:S107"/>
    <mergeCell ref="T106:T107"/>
    <mergeCell ref="U106:U107"/>
    <mergeCell ref="J106:J107"/>
    <mergeCell ref="K106:K107"/>
    <mergeCell ref="L106:L107"/>
    <mergeCell ref="M106:M107"/>
    <mergeCell ref="N106:N107"/>
    <mergeCell ref="O106:O107"/>
    <mergeCell ref="B106:D107"/>
    <mergeCell ref="E106:E107"/>
    <mergeCell ref="F106:F107"/>
    <mergeCell ref="P110:P111"/>
    <mergeCell ref="Q110:R111"/>
    <mergeCell ref="S110:S111"/>
    <mergeCell ref="T110:T111"/>
    <mergeCell ref="U110:V111"/>
    <mergeCell ref="K114:K115"/>
    <mergeCell ref="L114:L115"/>
    <mergeCell ref="L112:L113"/>
    <mergeCell ref="M112:N113"/>
    <mergeCell ref="B112:D113"/>
    <mergeCell ref="E112:F113"/>
    <mergeCell ref="G112:G113"/>
    <mergeCell ref="H112:H113"/>
    <mergeCell ref="I112:J113"/>
    <mergeCell ref="K112:K113"/>
    <mergeCell ref="M114:N115"/>
    <mergeCell ref="O114:O115"/>
    <mergeCell ref="W110:W111"/>
    <mergeCell ref="W108:W109"/>
    <mergeCell ref="B110:D111"/>
    <mergeCell ref="E110:F111"/>
    <mergeCell ref="G110:G111"/>
    <mergeCell ref="H110:H111"/>
    <mergeCell ref="I110:J111"/>
    <mergeCell ref="K110:K111"/>
    <mergeCell ref="L110:L111"/>
    <mergeCell ref="M110:N111"/>
    <mergeCell ref="O110:O111"/>
    <mergeCell ref="O108:O109"/>
    <mergeCell ref="P108:P109"/>
    <mergeCell ref="Q108:R109"/>
    <mergeCell ref="S108:S109"/>
    <mergeCell ref="T108:T109"/>
    <mergeCell ref="U108:V109"/>
    <mergeCell ref="P114:P115"/>
    <mergeCell ref="Q114:R115"/>
    <mergeCell ref="S114:S115"/>
    <mergeCell ref="T114:T115"/>
    <mergeCell ref="T112:T113"/>
    <mergeCell ref="U112:V113"/>
    <mergeCell ref="W112:W113"/>
    <mergeCell ref="O112:O113"/>
    <mergeCell ref="P112:P113"/>
    <mergeCell ref="Q112:R113"/>
    <mergeCell ref="S112:S113"/>
    <mergeCell ref="U114:V115"/>
    <mergeCell ref="W114:W115"/>
    <mergeCell ref="K117:K118"/>
    <mergeCell ref="U119:V120"/>
    <mergeCell ref="W119:W120"/>
    <mergeCell ref="C116:D116"/>
    <mergeCell ref="E116:G116"/>
    <mergeCell ref="I116:K116"/>
    <mergeCell ref="M116:O116"/>
    <mergeCell ref="Q116:S116"/>
    <mergeCell ref="U116:W116"/>
    <mergeCell ref="O119:O120"/>
    <mergeCell ref="P119:P120"/>
    <mergeCell ref="Q119:R120"/>
    <mergeCell ref="S119:S120"/>
    <mergeCell ref="T119:T120"/>
    <mergeCell ref="B114:D115"/>
    <mergeCell ref="E114:F115"/>
    <mergeCell ref="G114:G115"/>
    <mergeCell ref="H114:H115"/>
    <mergeCell ref="I114:J115"/>
    <mergeCell ref="M119:N120"/>
    <mergeCell ref="T117:T118"/>
    <mergeCell ref="U117:V118"/>
    <mergeCell ref="W117:W118"/>
    <mergeCell ref="B119:D120"/>
    <mergeCell ref="E119:F120"/>
    <mergeCell ref="G119:G120"/>
    <mergeCell ref="H119:H120"/>
    <mergeCell ref="I119:J120"/>
    <mergeCell ref="K119:K120"/>
    <mergeCell ref="L119:L120"/>
    <mergeCell ref="L117:L118"/>
    <mergeCell ref="M117:N118"/>
    <mergeCell ref="O117:O118"/>
    <mergeCell ref="P117:P118"/>
    <mergeCell ref="Q117:R118"/>
    <mergeCell ref="S117:S118"/>
    <mergeCell ref="B117:D118"/>
    <mergeCell ref="E117:F118"/>
    <mergeCell ref="G117:G118"/>
    <mergeCell ref="H117:H118"/>
    <mergeCell ref="I117:J118"/>
    <mergeCell ref="P123:P124"/>
    <mergeCell ref="Q123:R124"/>
    <mergeCell ref="S123:S124"/>
    <mergeCell ref="T123:T124"/>
    <mergeCell ref="U123:V124"/>
    <mergeCell ref="W123:W124"/>
    <mergeCell ref="W121:W122"/>
    <mergeCell ref="B123:D124"/>
    <mergeCell ref="E123:F124"/>
    <mergeCell ref="G123:G124"/>
    <mergeCell ref="H123:H124"/>
    <mergeCell ref="I123:J124"/>
    <mergeCell ref="K123:K124"/>
    <mergeCell ref="L123:L124"/>
    <mergeCell ref="M123:N124"/>
    <mergeCell ref="O123:O124"/>
    <mergeCell ref="O121:O122"/>
    <mergeCell ref="P121:P122"/>
    <mergeCell ref="Q121:R122"/>
    <mergeCell ref="S121:S122"/>
    <mergeCell ref="T121:T122"/>
    <mergeCell ref="U121:V122"/>
    <mergeCell ref="B121:D122"/>
    <mergeCell ref="E121:F122"/>
    <mergeCell ref="G121:G122"/>
    <mergeCell ref="H121:H122"/>
    <mergeCell ref="I121:J122"/>
    <mergeCell ref="K121:K122"/>
    <mergeCell ref="L121:L122"/>
    <mergeCell ref="M121:N122"/>
    <mergeCell ref="B127:D128"/>
    <mergeCell ref="E127:F128"/>
    <mergeCell ref="G127:G128"/>
    <mergeCell ref="H127:H128"/>
    <mergeCell ref="I127:J128"/>
    <mergeCell ref="K127:K128"/>
    <mergeCell ref="L127:L128"/>
    <mergeCell ref="L125:L126"/>
    <mergeCell ref="M125:N126"/>
    <mergeCell ref="B125:D126"/>
    <mergeCell ref="E125:F126"/>
    <mergeCell ref="G125:G126"/>
    <mergeCell ref="H125:H126"/>
    <mergeCell ref="I125:J126"/>
    <mergeCell ref="K125:K126"/>
    <mergeCell ref="H129:H130"/>
    <mergeCell ref="I129:J130"/>
    <mergeCell ref="K129:K130"/>
    <mergeCell ref="L129:L130"/>
    <mergeCell ref="M129:N130"/>
    <mergeCell ref="M127:N128"/>
    <mergeCell ref="B129:D130"/>
    <mergeCell ref="E129:F130"/>
    <mergeCell ref="G129:G130"/>
    <mergeCell ref="T125:T126"/>
    <mergeCell ref="U125:V126"/>
    <mergeCell ref="W125:W126"/>
    <mergeCell ref="O125:O126"/>
    <mergeCell ref="P125:P126"/>
    <mergeCell ref="Q125:R126"/>
    <mergeCell ref="S125:S126"/>
    <mergeCell ref="U127:V128"/>
    <mergeCell ref="W127:W128"/>
    <mergeCell ref="O127:O128"/>
    <mergeCell ref="P127:P128"/>
    <mergeCell ref="Q127:R128"/>
    <mergeCell ref="S127:S128"/>
    <mergeCell ref="T127:T128"/>
    <mergeCell ref="W129:W130"/>
    <mergeCell ref="O129:O130"/>
    <mergeCell ref="P129:P130"/>
    <mergeCell ref="Q129:R130"/>
    <mergeCell ref="S129:S130"/>
    <mergeCell ref="T129:T130"/>
    <mergeCell ref="U129:V130"/>
    <mergeCell ref="W135:W136"/>
    <mergeCell ref="U131:V132"/>
    <mergeCell ref="W131:W132"/>
    <mergeCell ref="W133:W134"/>
    <mergeCell ref="T135:T136"/>
    <mergeCell ref="B131:D132"/>
    <mergeCell ref="E131:F132"/>
    <mergeCell ref="G131:G132"/>
    <mergeCell ref="H131:H132"/>
    <mergeCell ref="I131:J132"/>
    <mergeCell ref="K131:K132"/>
    <mergeCell ref="L131:L132"/>
    <mergeCell ref="M131:N132"/>
    <mergeCell ref="O131:O132"/>
    <mergeCell ref="M135:N136"/>
    <mergeCell ref="T133:T134"/>
    <mergeCell ref="U133:V134"/>
    <mergeCell ref="B135:D136"/>
    <mergeCell ref="E135:F136"/>
    <mergeCell ref="G135:G136"/>
    <mergeCell ref="H135:H136"/>
    <mergeCell ref="I135:J136"/>
    <mergeCell ref="K135:K136"/>
    <mergeCell ref="L135:L136"/>
    <mergeCell ref="L133:L134"/>
    <mergeCell ref="M133:N134"/>
    <mergeCell ref="P133:P134"/>
    <mergeCell ref="Q133:R134"/>
    <mergeCell ref="S133:S134"/>
    <mergeCell ref="B133:D134"/>
    <mergeCell ref="E133:F134"/>
    <mergeCell ref="G133:G134"/>
    <mergeCell ref="H133:H134"/>
    <mergeCell ref="I133:J134"/>
    <mergeCell ref="O135:O136"/>
    <mergeCell ref="P135:P136"/>
    <mergeCell ref="Q135:R136"/>
    <mergeCell ref="S135:S136"/>
    <mergeCell ref="P139:P140"/>
    <mergeCell ref="Q139:R140"/>
    <mergeCell ref="S139:S140"/>
    <mergeCell ref="T139:T140"/>
    <mergeCell ref="P131:P132"/>
    <mergeCell ref="Q131:R132"/>
    <mergeCell ref="S131:S132"/>
    <mergeCell ref="T131:T132"/>
    <mergeCell ref="K133:K134"/>
    <mergeCell ref="U139:V140"/>
    <mergeCell ref="U135:V136"/>
    <mergeCell ref="W139:W140"/>
    <mergeCell ref="W137:W138"/>
    <mergeCell ref="B139:D140"/>
    <mergeCell ref="E139:F140"/>
    <mergeCell ref="G139:G140"/>
    <mergeCell ref="H139:H140"/>
    <mergeCell ref="I139:J140"/>
    <mergeCell ref="K139:K140"/>
    <mergeCell ref="L139:L140"/>
    <mergeCell ref="M139:N140"/>
    <mergeCell ref="O139:O140"/>
    <mergeCell ref="O137:O138"/>
    <mergeCell ref="P137:P138"/>
    <mergeCell ref="Q137:R138"/>
    <mergeCell ref="S137:S138"/>
    <mergeCell ref="T137:T138"/>
    <mergeCell ref="U137:V138"/>
    <mergeCell ref="B137:D138"/>
    <mergeCell ref="E137:F138"/>
    <mergeCell ref="G137:G138"/>
    <mergeCell ref="H137:H138"/>
    <mergeCell ref="I137:J138"/>
    <mergeCell ref="K137:K138"/>
    <mergeCell ref="L137:L138"/>
    <mergeCell ref="M137:N138"/>
    <mergeCell ref="T141:T142"/>
    <mergeCell ref="U141:V142"/>
    <mergeCell ref="W141:W142"/>
    <mergeCell ref="B143:D144"/>
    <mergeCell ref="E143:E144"/>
    <mergeCell ref="F143:F144"/>
    <mergeCell ref="G143:G144"/>
    <mergeCell ref="H143:H144"/>
    <mergeCell ref="I143:I144"/>
    <mergeCell ref="J143:J144"/>
    <mergeCell ref="L141:L142"/>
    <mergeCell ref="M141:N142"/>
    <mergeCell ref="O141:O142"/>
    <mergeCell ref="P141:P142"/>
    <mergeCell ref="Q141:R142"/>
    <mergeCell ref="S141:S142"/>
    <mergeCell ref="B141:D142"/>
    <mergeCell ref="E141:F142"/>
    <mergeCell ref="G141:G142"/>
    <mergeCell ref="H141:H142"/>
    <mergeCell ref="I141:J142"/>
    <mergeCell ref="K141:K142"/>
    <mergeCell ref="W143:W144"/>
    <mergeCell ref="Q143:Q144"/>
    <mergeCell ref="R143:R144"/>
    <mergeCell ref="S143:S144"/>
    <mergeCell ref="T143:T144"/>
    <mergeCell ref="U143:U144"/>
    <mergeCell ref="V143:V144"/>
    <mergeCell ref="K143:K144"/>
    <mergeCell ref="L143:L144"/>
    <mergeCell ref="M143:M144"/>
    <mergeCell ref="N143:N144"/>
    <mergeCell ref="O143:O144"/>
    <mergeCell ref="P143:P144"/>
    <mergeCell ref="D39:D40"/>
    <mergeCell ref="B41:B42"/>
    <mergeCell ref="C41:C42"/>
    <mergeCell ref="D41:D42"/>
    <mergeCell ref="B43:B44"/>
    <mergeCell ref="C43:C44"/>
    <mergeCell ref="D43:D44"/>
    <mergeCell ref="B45:B46"/>
    <mergeCell ref="C45:C46"/>
    <mergeCell ref="D45:D46"/>
    <mergeCell ref="B47:B48"/>
    <mergeCell ref="C47:C48"/>
    <mergeCell ref="D47:D48"/>
    <mergeCell ref="B63:B65"/>
    <mergeCell ref="C63:C65"/>
    <mergeCell ref="E63:E65"/>
    <mergeCell ref="F63:F65"/>
    <mergeCell ref="G63:H63"/>
    <mergeCell ref="G64:H64"/>
    <mergeCell ref="G65:H65"/>
    <mergeCell ref="I63:I65"/>
    <mergeCell ref="H66:H67"/>
    <mergeCell ref="I66:I67"/>
    <mergeCell ref="B68:B69"/>
    <mergeCell ref="C68:C69"/>
    <mergeCell ref="D68:D69"/>
    <mergeCell ref="E68:E69"/>
    <mergeCell ref="F68:F69"/>
    <mergeCell ref="O133:O134"/>
    <mergeCell ref="G68:H69"/>
    <mergeCell ref="I68:I69"/>
    <mergeCell ref="B66:C67"/>
    <mergeCell ref="D66:D67"/>
    <mergeCell ref="E66:E67"/>
    <mergeCell ref="F66:F67"/>
    <mergeCell ref="G66:G67"/>
    <mergeCell ref="G70:H71"/>
    <mergeCell ref="I70:I71"/>
    <mergeCell ref="B72:B73"/>
    <mergeCell ref="C72:C73"/>
    <mergeCell ref="D72:D73"/>
    <mergeCell ref="E72:E73"/>
    <mergeCell ref="F72:F73"/>
    <mergeCell ref="G72:H73"/>
    <mergeCell ref="I72:I73"/>
    <mergeCell ref="B70:B71"/>
    <mergeCell ref="C70:C71"/>
    <mergeCell ref="D70:D71"/>
    <mergeCell ref="E70:E71"/>
    <mergeCell ref="F70:F71"/>
    <mergeCell ref="C86:C87"/>
    <mergeCell ref="D86:D87"/>
    <mergeCell ref="G74:H75"/>
    <mergeCell ref="I74:I75"/>
    <mergeCell ref="B76:B77"/>
    <mergeCell ref="C76:C77"/>
    <mergeCell ref="D76:D77"/>
    <mergeCell ref="E76:E77"/>
    <mergeCell ref="F76:F77"/>
    <mergeCell ref="G76:H77"/>
    <mergeCell ref="I76:I77"/>
    <mergeCell ref="B74:B75"/>
    <mergeCell ref="C74:C75"/>
    <mergeCell ref="D74:D75"/>
    <mergeCell ref="E74:E75"/>
    <mergeCell ref="F74:F75"/>
    <mergeCell ref="H78:H79"/>
    <mergeCell ref="I78:I79"/>
    <mergeCell ref="B80:B81"/>
    <mergeCell ref="C80:C81"/>
    <mergeCell ref="D80:D81"/>
    <mergeCell ref="E80:E81"/>
    <mergeCell ref="F80:F81"/>
    <mergeCell ref="G80:H81"/>
    <mergeCell ref="I80:I81"/>
    <mergeCell ref="B78:C79"/>
    <mergeCell ref="D78:D79"/>
    <mergeCell ref="E78:E79"/>
    <mergeCell ref="F78:F79"/>
    <mergeCell ref="G78:G79"/>
    <mergeCell ref="E86:E87"/>
    <mergeCell ref="F86:F87"/>
    <mergeCell ref="J172:J174"/>
    <mergeCell ref="J243:J244"/>
    <mergeCell ref="G82:H83"/>
    <mergeCell ref="I82:I83"/>
    <mergeCell ref="B84:B85"/>
    <mergeCell ref="C84:C85"/>
    <mergeCell ref="D84:D85"/>
    <mergeCell ref="E84:E85"/>
    <mergeCell ref="F84:F85"/>
    <mergeCell ref="G84:H85"/>
    <mergeCell ref="I84:I85"/>
    <mergeCell ref="B82:B83"/>
    <mergeCell ref="C82:C83"/>
    <mergeCell ref="D82:D83"/>
    <mergeCell ref="E82:E83"/>
    <mergeCell ref="F82:F83"/>
    <mergeCell ref="H90:H91"/>
    <mergeCell ref="I90:I91"/>
    <mergeCell ref="B90:C91"/>
    <mergeCell ref="E90:E91"/>
    <mergeCell ref="F90:F91"/>
    <mergeCell ref="G90:G91"/>
    <mergeCell ref="G86:H87"/>
    <mergeCell ref="I86:I87"/>
    <mergeCell ref="B88:B89"/>
    <mergeCell ref="C88:C89"/>
    <mergeCell ref="D88:D89"/>
    <mergeCell ref="E88:E89"/>
    <mergeCell ref="F88:F89"/>
    <mergeCell ref="G88:H89"/>
    <mergeCell ref="I88:I89"/>
    <mergeCell ref="B86:B87"/>
  </mergeCells>
  <phoneticPr fontId="1" type="noConversion"/>
  <hyperlinks>
    <hyperlink ref="B6" r:id="rId1" xr:uid="{00000000-0004-0000-0D00-000000000000}"/>
    <hyperlink ref="B9" r:id="rId2" xr:uid="{00000000-0004-0000-0D00-000001000000}"/>
    <hyperlink ref="B12" r:id="rId3" xr:uid="{00000000-0004-0000-0D00-000002000000}"/>
  </hyperlinks>
  <pageMargins left="0.7" right="0.7" top="0.75" bottom="0.75" header="0.3" footer="0.3"/>
  <customProperties>
    <customPr name="Guid" r:id="rId4"/>
  </customProperties>
  <legacy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99FF"/>
  </sheetPr>
  <dimension ref="A1"/>
  <sheetViews>
    <sheetView workbookViewId="0"/>
  </sheetViews>
  <sheetFormatPr defaultRowHeight="17.399999999999999" x14ac:dyDescent="0.4"/>
  <cols>
    <col min="1" max="1" width="96" customWidth="1"/>
  </cols>
  <sheetData>
    <row r="1" spans="1:1" ht="109.5" customHeight="1" x14ac:dyDescent="0.8">
      <c r="A1" s="303" t="s">
        <v>1030</v>
      </c>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99FF"/>
    <outlinePr summaryBelow="0" summaryRight="0"/>
    <pageSetUpPr autoPageBreaks="0"/>
  </sheetPr>
  <dimension ref="A5:IU92"/>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5" width="13" style="98" customWidth="1"/>
    <col min="266" max="512" width="9" style="98"/>
    <col min="513" max="513" width="40.09765625" style="98" customWidth="1"/>
    <col min="514" max="521" width="13" style="98" customWidth="1"/>
    <col min="522" max="768" width="9" style="98"/>
    <col min="769" max="769" width="40.09765625" style="98" customWidth="1"/>
    <col min="770" max="777" width="13" style="98" customWidth="1"/>
    <col min="778" max="1024" width="9" style="98"/>
    <col min="1025" max="1025" width="40.09765625" style="98" customWidth="1"/>
    <col min="1026" max="1033" width="13" style="98" customWidth="1"/>
    <col min="1034" max="1280" width="9" style="98"/>
    <col min="1281" max="1281" width="40.09765625" style="98" customWidth="1"/>
    <col min="1282" max="1289" width="13" style="98" customWidth="1"/>
    <col min="1290" max="1536" width="9" style="98"/>
    <col min="1537" max="1537" width="40.09765625" style="98" customWidth="1"/>
    <col min="1538" max="1545" width="13" style="98" customWidth="1"/>
    <col min="1546" max="1792" width="9" style="98"/>
    <col min="1793" max="1793" width="40.09765625" style="98" customWidth="1"/>
    <col min="1794" max="1801" width="13" style="98" customWidth="1"/>
    <col min="1802" max="2048" width="9" style="98"/>
    <col min="2049" max="2049" width="40.09765625" style="98" customWidth="1"/>
    <col min="2050" max="2057" width="13" style="98" customWidth="1"/>
    <col min="2058" max="2304" width="9" style="98"/>
    <col min="2305" max="2305" width="40.09765625" style="98" customWidth="1"/>
    <col min="2306" max="2313" width="13" style="98" customWidth="1"/>
    <col min="2314" max="2560" width="9" style="98"/>
    <col min="2561" max="2561" width="40.09765625" style="98" customWidth="1"/>
    <col min="2562" max="2569" width="13" style="98" customWidth="1"/>
    <col min="2570" max="2816" width="9" style="98"/>
    <col min="2817" max="2817" width="40.09765625" style="98" customWidth="1"/>
    <col min="2818" max="2825" width="13" style="98" customWidth="1"/>
    <col min="2826" max="3072" width="9" style="98"/>
    <col min="3073" max="3073" width="40.09765625" style="98" customWidth="1"/>
    <col min="3074" max="3081" width="13" style="98" customWidth="1"/>
    <col min="3082" max="3328" width="9" style="98"/>
    <col min="3329" max="3329" width="40.09765625" style="98" customWidth="1"/>
    <col min="3330" max="3337" width="13" style="98" customWidth="1"/>
    <col min="3338" max="3584" width="9" style="98"/>
    <col min="3585" max="3585" width="40.09765625" style="98" customWidth="1"/>
    <col min="3586" max="3593" width="13" style="98" customWidth="1"/>
    <col min="3594" max="3840" width="9" style="98"/>
    <col min="3841" max="3841" width="40.09765625" style="98" customWidth="1"/>
    <col min="3842" max="3849" width="13" style="98" customWidth="1"/>
    <col min="3850" max="4096" width="9" style="98"/>
    <col min="4097" max="4097" width="40.09765625" style="98" customWidth="1"/>
    <col min="4098" max="4105" width="13" style="98" customWidth="1"/>
    <col min="4106" max="4352" width="9" style="98"/>
    <col min="4353" max="4353" width="40.09765625" style="98" customWidth="1"/>
    <col min="4354" max="4361" width="13" style="98" customWidth="1"/>
    <col min="4362" max="4608" width="9" style="98"/>
    <col min="4609" max="4609" width="40.09765625" style="98" customWidth="1"/>
    <col min="4610" max="4617" width="13" style="98" customWidth="1"/>
    <col min="4618" max="4864" width="9" style="98"/>
    <col min="4865" max="4865" width="40.09765625" style="98" customWidth="1"/>
    <col min="4866" max="4873" width="13" style="98" customWidth="1"/>
    <col min="4874" max="5120" width="9" style="98"/>
    <col min="5121" max="5121" width="40.09765625" style="98" customWidth="1"/>
    <col min="5122" max="5129" width="13" style="98" customWidth="1"/>
    <col min="5130" max="5376" width="9" style="98"/>
    <col min="5377" max="5377" width="40.09765625" style="98" customWidth="1"/>
    <col min="5378" max="5385" width="13" style="98" customWidth="1"/>
    <col min="5386" max="5632" width="9" style="98"/>
    <col min="5633" max="5633" width="40.09765625" style="98" customWidth="1"/>
    <col min="5634" max="5641" width="13" style="98" customWidth="1"/>
    <col min="5642" max="5888" width="9" style="98"/>
    <col min="5889" max="5889" width="40.09765625" style="98" customWidth="1"/>
    <col min="5890" max="5897" width="13" style="98" customWidth="1"/>
    <col min="5898" max="6144" width="9" style="98"/>
    <col min="6145" max="6145" width="40.09765625" style="98" customWidth="1"/>
    <col min="6146" max="6153" width="13" style="98" customWidth="1"/>
    <col min="6154" max="6400" width="9" style="98"/>
    <col min="6401" max="6401" width="40.09765625" style="98" customWidth="1"/>
    <col min="6402" max="6409" width="13" style="98" customWidth="1"/>
    <col min="6410" max="6656" width="9" style="98"/>
    <col min="6657" max="6657" width="40.09765625" style="98" customWidth="1"/>
    <col min="6658" max="6665" width="13" style="98" customWidth="1"/>
    <col min="6666" max="6912" width="9" style="98"/>
    <col min="6913" max="6913" width="40.09765625" style="98" customWidth="1"/>
    <col min="6914" max="6921" width="13" style="98" customWidth="1"/>
    <col min="6922" max="7168" width="9" style="98"/>
    <col min="7169" max="7169" width="40.09765625" style="98" customWidth="1"/>
    <col min="7170" max="7177" width="13" style="98" customWidth="1"/>
    <col min="7178" max="7424" width="9" style="98"/>
    <col min="7425" max="7425" width="40.09765625" style="98" customWidth="1"/>
    <col min="7426" max="7433" width="13" style="98" customWidth="1"/>
    <col min="7434" max="7680" width="9" style="98"/>
    <col min="7681" max="7681" width="40.09765625" style="98" customWidth="1"/>
    <col min="7682" max="7689" width="13" style="98" customWidth="1"/>
    <col min="7690" max="7936" width="9" style="98"/>
    <col min="7937" max="7937" width="40.09765625" style="98" customWidth="1"/>
    <col min="7938" max="7945" width="13" style="98" customWidth="1"/>
    <col min="7946" max="8192" width="9" style="98"/>
    <col min="8193" max="8193" width="40.09765625" style="98" customWidth="1"/>
    <col min="8194" max="8201" width="13" style="98" customWidth="1"/>
    <col min="8202" max="8448" width="9" style="98"/>
    <col min="8449" max="8449" width="40.09765625" style="98" customWidth="1"/>
    <col min="8450" max="8457" width="13" style="98" customWidth="1"/>
    <col min="8458" max="8704" width="9" style="98"/>
    <col min="8705" max="8705" width="40.09765625" style="98" customWidth="1"/>
    <col min="8706" max="8713" width="13" style="98" customWidth="1"/>
    <col min="8714" max="8960" width="9" style="98"/>
    <col min="8961" max="8961" width="40.09765625" style="98" customWidth="1"/>
    <col min="8962" max="8969" width="13" style="98" customWidth="1"/>
    <col min="8970" max="9216" width="9" style="98"/>
    <col min="9217" max="9217" width="40.09765625" style="98" customWidth="1"/>
    <col min="9218" max="9225" width="13" style="98" customWidth="1"/>
    <col min="9226" max="9472" width="9" style="98"/>
    <col min="9473" max="9473" width="40.09765625" style="98" customWidth="1"/>
    <col min="9474" max="9481" width="13" style="98" customWidth="1"/>
    <col min="9482" max="9728" width="9" style="98"/>
    <col min="9729" max="9729" width="40.09765625" style="98" customWidth="1"/>
    <col min="9730" max="9737" width="13" style="98" customWidth="1"/>
    <col min="9738" max="9984" width="9" style="98"/>
    <col min="9985" max="9985" width="40.09765625" style="98" customWidth="1"/>
    <col min="9986" max="9993" width="13" style="98" customWidth="1"/>
    <col min="9994" max="10240" width="9" style="98"/>
    <col min="10241" max="10241" width="40.09765625" style="98" customWidth="1"/>
    <col min="10242" max="10249" width="13" style="98" customWidth="1"/>
    <col min="10250" max="10496" width="9" style="98"/>
    <col min="10497" max="10497" width="40.09765625" style="98" customWidth="1"/>
    <col min="10498" max="10505" width="13" style="98" customWidth="1"/>
    <col min="10506" max="10752" width="9" style="98"/>
    <col min="10753" max="10753" width="40.09765625" style="98" customWidth="1"/>
    <col min="10754" max="10761" width="13" style="98" customWidth="1"/>
    <col min="10762" max="11008" width="9" style="98"/>
    <col min="11009" max="11009" width="40.09765625" style="98" customWidth="1"/>
    <col min="11010" max="11017" width="13" style="98" customWidth="1"/>
    <col min="11018" max="11264" width="9" style="98"/>
    <col min="11265" max="11265" width="40.09765625" style="98" customWidth="1"/>
    <col min="11266" max="11273" width="13" style="98" customWidth="1"/>
    <col min="11274" max="11520" width="9" style="98"/>
    <col min="11521" max="11521" width="40.09765625" style="98" customWidth="1"/>
    <col min="11522" max="11529" width="13" style="98" customWidth="1"/>
    <col min="11530" max="11776" width="9" style="98"/>
    <col min="11777" max="11777" width="40.09765625" style="98" customWidth="1"/>
    <col min="11778" max="11785" width="13" style="98" customWidth="1"/>
    <col min="11786" max="12032" width="9" style="98"/>
    <col min="12033" max="12033" width="40.09765625" style="98" customWidth="1"/>
    <col min="12034" max="12041" width="13" style="98" customWidth="1"/>
    <col min="12042" max="12288" width="9" style="98"/>
    <col min="12289" max="12289" width="40.09765625" style="98" customWidth="1"/>
    <col min="12290" max="12297" width="13" style="98" customWidth="1"/>
    <col min="12298" max="12544" width="9" style="98"/>
    <col min="12545" max="12545" width="40.09765625" style="98" customWidth="1"/>
    <col min="12546" max="12553" width="13" style="98" customWidth="1"/>
    <col min="12554" max="12800" width="9" style="98"/>
    <col min="12801" max="12801" width="40.09765625" style="98" customWidth="1"/>
    <col min="12802" max="12809" width="13" style="98" customWidth="1"/>
    <col min="12810" max="13056" width="9" style="98"/>
    <col min="13057" max="13057" width="40.09765625" style="98" customWidth="1"/>
    <col min="13058" max="13065" width="13" style="98" customWidth="1"/>
    <col min="13066" max="13312" width="9" style="98"/>
    <col min="13313" max="13313" width="40.09765625" style="98" customWidth="1"/>
    <col min="13314" max="13321" width="13" style="98" customWidth="1"/>
    <col min="13322" max="13568" width="9" style="98"/>
    <col min="13569" max="13569" width="40.09765625" style="98" customWidth="1"/>
    <col min="13570" max="13577" width="13" style="98" customWidth="1"/>
    <col min="13578" max="13824" width="9" style="98"/>
    <col min="13825" max="13825" width="40.09765625" style="98" customWidth="1"/>
    <col min="13826" max="13833" width="13" style="98" customWidth="1"/>
    <col min="13834" max="14080" width="9" style="98"/>
    <col min="14081" max="14081" width="40.09765625" style="98" customWidth="1"/>
    <col min="14082" max="14089" width="13" style="98" customWidth="1"/>
    <col min="14090" max="14336" width="9" style="98"/>
    <col min="14337" max="14337" width="40.09765625" style="98" customWidth="1"/>
    <col min="14338" max="14345" width="13" style="98" customWidth="1"/>
    <col min="14346" max="14592" width="9" style="98"/>
    <col min="14593" max="14593" width="40.09765625" style="98" customWidth="1"/>
    <col min="14594" max="14601" width="13" style="98" customWidth="1"/>
    <col min="14602" max="14848" width="9" style="98"/>
    <col min="14849" max="14849" width="40.09765625" style="98" customWidth="1"/>
    <col min="14850" max="14857" width="13" style="98" customWidth="1"/>
    <col min="14858" max="15104" width="9" style="98"/>
    <col min="15105" max="15105" width="40.09765625" style="98" customWidth="1"/>
    <col min="15106" max="15113" width="13" style="98" customWidth="1"/>
    <col min="15114" max="15360" width="9" style="98"/>
    <col min="15361" max="15361" width="40.09765625" style="98" customWidth="1"/>
    <col min="15362" max="15369" width="13" style="98" customWidth="1"/>
    <col min="15370" max="15616" width="9" style="98"/>
    <col min="15617" max="15617" width="40.09765625" style="98" customWidth="1"/>
    <col min="15618" max="15625" width="13" style="98" customWidth="1"/>
    <col min="15626" max="15872" width="9" style="98"/>
    <col min="15873" max="15873" width="40.09765625" style="98" customWidth="1"/>
    <col min="15874" max="15881" width="13" style="98" customWidth="1"/>
    <col min="15882" max="16128" width="9" style="98"/>
    <col min="16129" max="16129" width="40.09765625" style="98" customWidth="1"/>
    <col min="16130" max="16137" width="13" style="98" customWidth="1"/>
    <col min="16138" max="16384" width="9" style="98"/>
  </cols>
  <sheetData>
    <row r="5" spans="1:255" ht="16.2" x14ac:dyDescent="0.25">
      <c r="A5" s="97" t="s">
        <v>283</v>
      </c>
    </row>
    <row r="7" spans="1:255" ht="20.399999999999999" x14ac:dyDescent="0.2">
      <c r="A7" s="99" t="s">
        <v>284</v>
      </c>
      <c r="B7" s="100" t="s">
        <v>285</v>
      </c>
      <c r="C7" s="98" t="s">
        <v>286</v>
      </c>
      <c r="D7" s="101" t="s">
        <v>287</v>
      </c>
      <c r="E7" s="100" t="s">
        <v>288</v>
      </c>
      <c r="F7" s="98" t="s">
        <v>289</v>
      </c>
    </row>
    <row r="8" spans="1:255" x14ac:dyDescent="0.2">
      <c r="A8" s="101"/>
      <c r="B8" s="100" t="s">
        <v>290</v>
      </c>
      <c r="C8" s="98" t="s">
        <v>291</v>
      </c>
      <c r="D8" s="101" t="s">
        <v>287</v>
      </c>
      <c r="E8" s="100" t="s">
        <v>292</v>
      </c>
      <c r="F8" s="98" t="s">
        <v>293</v>
      </c>
    </row>
    <row r="9" spans="1:255" x14ac:dyDescent="0.2">
      <c r="A9" s="101"/>
      <c r="B9" s="100" t="s">
        <v>294</v>
      </c>
      <c r="C9" s="102" t="s">
        <v>295</v>
      </c>
      <c r="D9" s="101" t="s">
        <v>287</v>
      </c>
      <c r="E9" s="100" t="s">
        <v>296</v>
      </c>
      <c r="F9" s="98" t="s">
        <v>297</v>
      </c>
    </row>
    <row r="12" spans="1:255" x14ac:dyDescent="0.2">
      <c r="A12" s="103" t="s">
        <v>298</v>
      </c>
      <c r="B12" s="103"/>
      <c r="C12" s="103"/>
      <c r="D12" s="103"/>
      <c r="E12" s="103"/>
      <c r="F12" s="103"/>
      <c r="G12" s="103"/>
      <c r="H12" s="103"/>
      <c r="I12" s="103"/>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row>
    <row r="13" spans="1:255" ht="30.6" x14ac:dyDescent="0.2">
      <c r="A13" s="304" t="s">
        <v>299</v>
      </c>
      <c r="B13" s="305" t="s">
        <v>300</v>
      </c>
      <c r="C13" s="305" t="s">
        <v>301</v>
      </c>
      <c r="D13" s="305" t="s">
        <v>302</v>
      </c>
      <c r="E13" s="305" t="s">
        <v>303</v>
      </c>
      <c r="F13" s="305" t="s">
        <v>304</v>
      </c>
      <c r="G13" s="305" t="s">
        <v>305</v>
      </c>
      <c r="H13" s="305" t="s">
        <v>306</v>
      </c>
      <c r="I13" s="305" t="s">
        <v>307</v>
      </c>
    </row>
    <row r="14" spans="1:255" x14ac:dyDescent="0.2">
      <c r="A14" s="306" t="s">
        <v>308</v>
      </c>
      <c r="B14" s="307" t="s">
        <v>309</v>
      </c>
      <c r="C14" s="307" t="s">
        <v>309</v>
      </c>
      <c r="D14" s="307" t="s">
        <v>309</v>
      </c>
      <c r="E14" s="307" t="s">
        <v>309</v>
      </c>
      <c r="F14" s="307" t="s">
        <v>309</v>
      </c>
      <c r="G14" s="307" t="s">
        <v>309</v>
      </c>
      <c r="H14" s="307" t="s">
        <v>309</v>
      </c>
      <c r="I14" s="307" t="s">
        <v>309</v>
      </c>
    </row>
    <row r="15" spans="1:255" x14ac:dyDescent="0.2">
      <c r="A15" s="109"/>
      <c r="B15" s="110"/>
      <c r="C15" s="110"/>
      <c r="D15" s="110"/>
      <c r="E15" s="110"/>
      <c r="F15" s="110"/>
      <c r="G15" s="110"/>
      <c r="H15" s="110"/>
      <c r="I15" s="110"/>
    </row>
    <row r="16" spans="1:255" x14ac:dyDescent="0.2">
      <c r="A16" s="109" t="s">
        <v>261</v>
      </c>
      <c r="B16" s="111">
        <v>57038</v>
      </c>
      <c r="C16" s="111">
        <v>82456</v>
      </c>
      <c r="D16" s="111">
        <v>118530</v>
      </c>
      <c r="E16" s="111">
        <v>190592</v>
      </c>
      <c r="F16" s="111">
        <v>268475</v>
      </c>
      <c r="G16" s="111">
        <v>358810</v>
      </c>
      <c r="H16" s="111">
        <v>381177</v>
      </c>
      <c r="I16" s="112">
        <v>452403.1</v>
      </c>
    </row>
    <row r="17" spans="1:9" x14ac:dyDescent="0.2">
      <c r="A17" s="113" t="s">
        <v>310</v>
      </c>
      <c r="B17" s="114" t="s">
        <v>311</v>
      </c>
      <c r="C17" s="115">
        <v>0.44563199999999997</v>
      </c>
      <c r="D17" s="115">
        <v>0.43749300000000002</v>
      </c>
      <c r="E17" s="115">
        <v>0.60796399999999995</v>
      </c>
      <c r="F17" s="115">
        <v>0.40863699999999997</v>
      </c>
      <c r="G17" s="115">
        <v>0.336474</v>
      </c>
      <c r="H17" s="115">
        <v>0.30962099999999998</v>
      </c>
      <c r="I17" s="116">
        <v>0.26084306457500001</v>
      </c>
    </row>
    <row r="18" spans="1:9" x14ac:dyDescent="0.2">
      <c r="A18" s="110"/>
      <c r="B18" s="110"/>
      <c r="C18" s="110"/>
      <c r="D18" s="110"/>
      <c r="E18" s="110"/>
      <c r="F18" s="110"/>
      <c r="G18" s="110"/>
      <c r="H18" s="110"/>
      <c r="I18" s="110"/>
    </row>
    <row r="19" spans="1:9" x14ac:dyDescent="0.2">
      <c r="A19" s="109" t="s">
        <v>312</v>
      </c>
      <c r="B19" s="111">
        <v>20775</v>
      </c>
      <c r="C19" s="111">
        <v>31603</v>
      </c>
      <c r="D19" s="111">
        <v>44540</v>
      </c>
      <c r="E19" s="111">
        <v>76554</v>
      </c>
      <c r="F19" s="111">
        <v>107363</v>
      </c>
      <c r="G19" s="111">
        <v>140536</v>
      </c>
      <c r="H19" s="111">
        <v>150895</v>
      </c>
      <c r="I19" s="111" t="s">
        <v>313</v>
      </c>
    </row>
    <row r="20" spans="1:9" x14ac:dyDescent="0.2">
      <c r="A20" s="113" t="s">
        <v>314</v>
      </c>
      <c r="B20" s="115">
        <v>0.36423</v>
      </c>
      <c r="C20" s="115">
        <v>0.38327099999999997</v>
      </c>
      <c r="D20" s="115">
        <v>0.37576900000000002</v>
      </c>
      <c r="E20" s="115">
        <v>0.40166400000000002</v>
      </c>
      <c r="F20" s="115">
        <v>0.399899</v>
      </c>
      <c r="G20" s="115">
        <v>0.39167200000000002</v>
      </c>
      <c r="H20" s="115">
        <v>0.39586500000000002</v>
      </c>
      <c r="I20" s="116">
        <v>0.2535</v>
      </c>
    </row>
    <row r="21" spans="1:9" x14ac:dyDescent="0.2">
      <c r="A21" s="110"/>
      <c r="B21" s="110"/>
      <c r="C21" s="110"/>
      <c r="D21" s="110"/>
      <c r="E21" s="110"/>
      <c r="F21" s="110"/>
      <c r="G21" s="110"/>
      <c r="H21" s="110"/>
      <c r="I21" s="110"/>
    </row>
    <row r="22" spans="1:9" x14ac:dyDescent="0.2">
      <c r="A22" s="109" t="s">
        <v>121</v>
      </c>
      <c r="B22" s="111">
        <v>6848</v>
      </c>
      <c r="C22" s="111">
        <v>11555</v>
      </c>
      <c r="D22" s="111">
        <v>9057</v>
      </c>
      <c r="E22" s="111">
        <v>30580</v>
      </c>
      <c r="F22" s="111">
        <v>42341</v>
      </c>
      <c r="G22" s="111">
        <v>56789</v>
      </c>
      <c r="H22" s="111">
        <v>60600</v>
      </c>
      <c r="I22" s="112">
        <v>63724.59</v>
      </c>
    </row>
    <row r="23" spans="1:9" x14ac:dyDescent="0.2">
      <c r="A23" s="113" t="s">
        <v>314</v>
      </c>
      <c r="B23" s="115">
        <v>0.12006</v>
      </c>
      <c r="C23" s="115">
        <v>0.14013500000000001</v>
      </c>
      <c r="D23" s="115">
        <v>7.6411000000000007E-2</v>
      </c>
      <c r="E23" s="115">
        <v>0.16044700000000001</v>
      </c>
      <c r="F23" s="115">
        <v>0.15770899999999999</v>
      </c>
      <c r="G23" s="115">
        <v>0.15826999999999999</v>
      </c>
      <c r="H23" s="115">
        <v>0.15898100000000001</v>
      </c>
      <c r="I23" s="116">
        <v>0.14085798704700001</v>
      </c>
    </row>
    <row r="24" spans="1:9" x14ac:dyDescent="0.2">
      <c r="A24" s="110"/>
      <c r="B24" s="110"/>
      <c r="C24" s="110"/>
      <c r="D24" s="110"/>
      <c r="E24" s="110"/>
      <c r="F24" s="110"/>
      <c r="G24" s="110"/>
      <c r="H24" s="110"/>
      <c r="I24" s="110"/>
    </row>
    <row r="25" spans="1:9" x14ac:dyDescent="0.2">
      <c r="A25" s="109" t="s">
        <v>315</v>
      </c>
      <c r="B25" s="111">
        <v>4686</v>
      </c>
      <c r="C25" s="111">
        <v>8014</v>
      </c>
      <c r="D25" s="111">
        <v>3248</v>
      </c>
      <c r="E25" s="111">
        <v>20358</v>
      </c>
      <c r="F25" s="111">
        <v>27839</v>
      </c>
      <c r="G25" s="111">
        <v>35085</v>
      </c>
      <c r="H25" s="111">
        <v>37146</v>
      </c>
      <c r="I25" s="112">
        <v>28796.41</v>
      </c>
    </row>
    <row r="26" spans="1:9" x14ac:dyDescent="0.2">
      <c r="A26" s="113" t="s">
        <v>314</v>
      </c>
      <c r="B26" s="115">
        <v>8.2155000000000006E-2</v>
      </c>
      <c r="C26" s="115">
        <v>9.7191E-2</v>
      </c>
      <c r="D26" s="115">
        <v>2.7401999999999999E-2</v>
      </c>
      <c r="E26" s="115">
        <v>0.10681400000000001</v>
      </c>
      <c r="F26" s="115">
        <v>0.10369299999999999</v>
      </c>
      <c r="G26" s="115">
        <v>9.7781000000000007E-2</v>
      </c>
      <c r="H26" s="115">
        <v>9.7449999999999995E-2</v>
      </c>
      <c r="I26" s="116">
        <v>6.3652105831999997E-2</v>
      </c>
    </row>
    <row r="27" spans="1:9" x14ac:dyDescent="0.2">
      <c r="A27" s="110"/>
      <c r="B27" s="110"/>
      <c r="C27" s="110"/>
      <c r="D27" s="110"/>
      <c r="E27" s="110"/>
      <c r="F27" s="110"/>
      <c r="G27" s="110"/>
      <c r="H27" s="110"/>
      <c r="I27" s="110"/>
    </row>
    <row r="28" spans="1:9" x14ac:dyDescent="0.2">
      <c r="A28" s="109" t="s">
        <v>316</v>
      </c>
      <c r="B28" s="111">
        <v>4133</v>
      </c>
      <c r="C28" s="111">
        <v>5423</v>
      </c>
      <c r="D28" s="111">
        <v>2118</v>
      </c>
      <c r="E28" s="111">
        <v>3124</v>
      </c>
      <c r="F28" s="111">
        <v>22146</v>
      </c>
      <c r="G28" s="111">
        <v>8884</v>
      </c>
      <c r="H28" s="111">
        <v>10001</v>
      </c>
      <c r="I28" s="111" t="s">
        <v>313</v>
      </c>
    </row>
    <row r="29" spans="1:9" x14ac:dyDescent="0.2">
      <c r="A29" s="113" t="s">
        <v>314</v>
      </c>
      <c r="B29" s="115">
        <v>7.2459999999999997E-2</v>
      </c>
      <c r="C29" s="115">
        <v>6.5767999999999993E-2</v>
      </c>
      <c r="D29" s="115">
        <v>1.7867999999999998E-2</v>
      </c>
      <c r="E29" s="115">
        <v>1.6390999999999999E-2</v>
      </c>
      <c r="F29" s="115">
        <v>8.2488000000000006E-2</v>
      </c>
      <c r="G29" s="115">
        <v>2.4759E-2</v>
      </c>
      <c r="H29" s="115">
        <v>2.6237E-2</v>
      </c>
      <c r="I29" s="114" t="s">
        <v>313</v>
      </c>
    </row>
    <row r="30" spans="1:9" x14ac:dyDescent="0.2">
      <c r="A30" s="110"/>
      <c r="B30" s="110"/>
      <c r="C30" s="110"/>
      <c r="D30" s="110"/>
      <c r="E30" s="110"/>
      <c r="F30" s="110"/>
      <c r="G30" s="110"/>
      <c r="H30" s="110"/>
      <c r="I30" s="110"/>
    </row>
    <row r="31" spans="1:9" x14ac:dyDescent="0.2">
      <c r="A31" s="109" t="s">
        <v>317</v>
      </c>
      <c r="B31" s="111">
        <v>4133</v>
      </c>
      <c r="C31" s="111">
        <v>5423</v>
      </c>
      <c r="D31" s="111">
        <v>2118</v>
      </c>
      <c r="E31" s="111">
        <v>-8776</v>
      </c>
      <c r="F31" s="111">
        <v>12446</v>
      </c>
      <c r="G31" s="111">
        <v>-320</v>
      </c>
      <c r="H31" s="111">
        <v>921</v>
      </c>
      <c r="I31" s="112">
        <v>20156.63</v>
      </c>
    </row>
    <row r="32" spans="1:9" x14ac:dyDescent="0.2">
      <c r="A32" s="113" t="s">
        <v>314</v>
      </c>
      <c r="B32" s="115">
        <v>7.2459999999999997E-2</v>
      </c>
      <c r="C32" s="115">
        <v>6.5767999999999993E-2</v>
      </c>
      <c r="D32" s="115">
        <v>1.7867999999999998E-2</v>
      </c>
      <c r="E32" s="115">
        <v>-4.6045999999999997E-2</v>
      </c>
      <c r="F32" s="115">
        <v>4.6358000000000003E-2</v>
      </c>
      <c r="G32" s="115">
        <v>-8.9099999999999997E-4</v>
      </c>
      <c r="H32" s="115">
        <v>2.4160000000000002E-3</v>
      </c>
      <c r="I32" s="116">
        <v>4.4554579753999998E-2</v>
      </c>
    </row>
    <row r="33" spans="1:255" x14ac:dyDescent="0.2">
      <c r="A33" s="110"/>
      <c r="B33" s="110"/>
      <c r="C33" s="110"/>
      <c r="D33" s="110"/>
      <c r="E33" s="110"/>
      <c r="F33" s="110"/>
      <c r="G33" s="110"/>
      <c r="H33" s="110"/>
      <c r="I33" s="110"/>
    </row>
    <row r="34" spans="1:255" x14ac:dyDescent="0.2">
      <c r="A34" s="109" t="s">
        <v>318</v>
      </c>
      <c r="B34" s="112" t="s">
        <v>311</v>
      </c>
      <c r="C34" s="112">
        <v>0.18</v>
      </c>
      <c r="D34" s="112">
        <v>7.0314000000000002E-2</v>
      </c>
      <c r="E34" s="112">
        <v>-0.65</v>
      </c>
      <c r="F34" s="112">
        <v>0.53</v>
      </c>
      <c r="G34" s="112">
        <v>-0.01</v>
      </c>
      <c r="H34" s="112">
        <v>3.5028999999999998E-2</v>
      </c>
      <c r="I34" s="112">
        <v>0.54317000000000004</v>
      </c>
    </row>
    <row r="35" spans="1:255" x14ac:dyDescent="0.2">
      <c r="A35" s="113" t="s">
        <v>310</v>
      </c>
      <c r="B35" s="114" t="s">
        <v>311</v>
      </c>
      <c r="C35" s="114" t="s">
        <v>311</v>
      </c>
      <c r="D35" s="115">
        <v>-0.60936699999999999</v>
      </c>
      <c r="E35" s="115" t="s">
        <v>319</v>
      </c>
      <c r="F35" s="115" t="s">
        <v>319</v>
      </c>
      <c r="G35" s="115" t="s">
        <v>319</v>
      </c>
      <c r="H35" s="115">
        <v>-0.93489</v>
      </c>
      <c r="I35" s="116">
        <v>-4.7070175439000002E-2</v>
      </c>
    </row>
    <row r="36" spans="1:255" x14ac:dyDescent="0.2">
      <c r="A36" s="110"/>
      <c r="B36" s="110"/>
      <c r="C36" s="110"/>
      <c r="D36" s="110"/>
      <c r="E36" s="110"/>
      <c r="F36" s="110"/>
      <c r="G36" s="110"/>
      <c r="H36" s="110"/>
      <c r="I36" s="110"/>
    </row>
    <row r="37" spans="1:255" x14ac:dyDescent="0.2">
      <c r="A37" s="110"/>
      <c r="B37" s="110" t="s">
        <v>320</v>
      </c>
      <c r="C37" s="110" t="s">
        <v>320</v>
      </c>
      <c r="D37" s="110" t="s">
        <v>320</v>
      </c>
      <c r="E37" s="110" t="s">
        <v>320</v>
      </c>
      <c r="F37" s="110" t="s">
        <v>320</v>
      </c>
      <c r="G37" s="110" t="s">
        <v>320</v>
      </c>
      <c r="H37" s="110" t="s">
        <v>320</v>
      </c>
      <c r="I37" s="110" t="s">
        <v>320</v>
      </c>
    </row>
    <row r="38" spans="1:255" x14ac:dyDescent="0.2">
      <c r="A38" s="110" t="s">
        <v>308</v>
      </c>
      <c r="B38" s="117" t="s">
        <v>309</v>
      </c>
      <c r="C38" s="117" t="s">
        <v>309</v>
      </c>
      <c r="D38" s="117" t="s">
        <v>309</v>
      </c>
      <c r="E38" s="117" t="s">
        <v>309</v>
      </c>
      <c r="F38" s="117" t="s">
        <v>309</v>
      </c>
      <c r="G38" s="117" t="s">
        <v>309</v>
      </c>
      <c r="H38" s="117" t="s">
        <v>309</v>
      </c>
      <c r="I38" s="117" t="s">
        <v>309</v>
      </c>
    </row>
    <row r="39" spans="1:255" x14ac:dyDescent="0.2">
      <c r="A39" s="110" t="s">
        <v>321</v>
      </c>
      <c r="B39" s="118">
        <v>1</v>
      </c>
      <c r="C39" s="118">
        <v>1</v>
      </c>
      <c r="D39" s="118">
        <v>1</v>
      </c>
      <c r="E39" s="118">
        <v>1</v>
      </c>
      <c r="F39" s="118">
        <v>1</v>
      </c>
      <c r="G39" s="118">
        <v>1</v>
      </c>
      <c r="H39" s="118">
        <v>1</v>
      </c>
      <c r="I39" s="118">
        <v>1</v>
      </c>
    </row>
    <row r="40" spans="1:255" x14ac:dyDescent="0.2">
      <c r="A40" s="110" t="s">
        <v>322</v>
      </c>
      <c r="B40" s="117" t="s">
        <v>323</v>
      </c>
      <c r="C40" s="117" t="s">
        <v>323</v>
      </c>
      <c r="D40" s="117" t="s">
        <v>323</v>
      </c>
      <c r="E40" s="117" t="s">
        <v>323</v>
      </c>
      <c r="F40" s="117" t="s">
        <v>323</v>
      </c>
      <c r="G40" s="117" t="s">
        <v>323</v>
      </c>
      <c r="H40" s="117" t="s">
        <v>323</v>
      </c>
      <c r="I40" s="117" t="s">
        <v>324</v>
      </c>
    </row>
    <row r="41" spans="1:255" x14ac:dyDescent="0.2">
      <c r="A41" s="119"/>
      <c r="B41" s="119"/>
      <c r="C41" s="119"/>
      <c r="D41" s="119"/>
      <c r="E41" s="119"/>
      <c r="F41" s="119"/>
      <c r="G41" s="119"/>
      <c r="H41" s="119"/>
      <c r="I41" s="119"/>
    </row>
    <row r="42" spans="1:255" x14ac:dyDescent="0.2">
      <c r="A42" s="98" t="s">
        <v>325</v>
      </c>
    </row>
    <row r="43" spans="1:255" x14ac:dyDescent="0.2">
      <c r="A43" s="98" t="s">
        <v>326</v>
      </c>
    </row>
    <row r="44" spans="1:255" x14ac:dyDescent="0.2">
      <c r="A44" s="98" t="s">
        <v>327</v>
      </c>
    </row>
    <row r="45" spans="1:255" x14ac:dyDescent="0.2">
      <c r="A45" s="98" t="s">
        <v>328</v>
      </c>
    </row>
    <row r="46" spans="1:255" x14ac:dyDescent="0.2">
      <c r="A46" s="98" t="s">
        <v>329</v>
      </c>
    </row>
    <row r="48" spans="1:255" x14ac:dyDescent="0.2">
      <c r="A48" s="103" t="s">
        <v>330</v>
      </c>
      <c r="B48" s="103"/>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c r="CH48" s="104"/>
      <c r="CI48" s="104"/>
      <c r="CJ48" s="104"/>
      <c r="CK48" s="104"/>
      <c r="CL48" s="104"/>
      <c r="CM48" s="104"/>
      <c r="CN48" s="104"/>
      <c r="CO48" s="104"/>
      <c r="CP48" s="104"/>
      <c r="CQ48" s="104"/>
      <c r="CR48" s="104"/>
      <c r="CS48" s="104"/>
      <c r="CT48" s="104"/>
      <c r="CU48" s="104"/>
      <c r="CV48" s="104"/>
      <c r="CW48" s="104"/>
      <c r="CX48" s="104"/>
      <c r="CY48" s="104"/>
      <c r="CZ48" s="104"/>
      <c r="DA48" s="104"/>
      <c r="DB48" s="104"/>
      <c r="DC48" s="104"/>
      <c r="DD48" s="104"/>
      <c r="DE48" s="104"/>
      <c r="DF48" s="104"/>
      <c r="DG48" s="104"/>
      <c r="DH48" s="104"/>
      <c r="DI48" s="104"/>
      <c r="DJ48" s="104"/>
      <c r="DK48" s="104"/>
      <c r="DL48" s="104"/>
      <c r="DM48" s="104"/>
      <c r="DN48" s="104"/>
      <c r="DO48" s="104"/>
      <c r="DP48" s="104"/>
      <c r="DQ48" s="104"/>
      <c r="DR48" s="104"/>
      <c r="DS48" s="104"/>
      <c r="DT48" s="104"/>
      <c r="DU48" s="104"/>
      <c r="DV48" s="104"/>
      <c r="DW48" s="104"/>
      <c r="DX48" s="104"/>
      <c r="DY48" s="104"/>
      <c r="DZ48" s="104"/>
      <c r="EA48" s="104"/>
      <c r="EB48" s="104"/>
      <c r="EC48" s="104"/>
      <c r="ED48" s="104"/>
      <c r="EE48" s="104"/>
      <c r="EF48" s="104"/>
      <c r="EG48" s="104"/>
      <c r="EH48" s="104"/>
      <c r="EI48" s="104"/>
      <c r="EJ48" s="104"/>
      <c r="EK48" s="104"/>
      <c r="EL48" s="104"/>
      <c r="EM48" s="104"/>
      <c r="EN48" s="104"/>
      <c r="EO48" s="104"/>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4"/>
      <c r="FP48" s="104"/>
      <c r="FQ48" s="104"/>
      <c r="FR48" s="104"/>
      <c r="FS48" s="104"/>
      <c r="FT48" s="104"/>
      <c r="FU48" s="104"/>
      <c r="FV48" s="104"/>
      <c r="FW48" s="104"/>
      <c r="FX48" s="104"/>
      <c r="FY48" s="104"/>
      <c r="FZ48" s="104"/>
      <c r="GA48" s="104"/>
      <c r="GB48" s="104"/>
      <c r="GC48" s="104"/>
      <c r="GD48" s="104"/>
      <c r="GE48" s="104"/>
      <c r="GF48" s="104"/>
      <c r="GG48" s="104"/>
      <c r="GH48" s="104"/>
      <c r="GI48" s="104"/>
      <c r="GJ48" s="104"/>
      <c r="GK48" s="104"/>
      <c r="GL48" s="104"/>
      <c r="GM48" s="104"/>
      <c r="GN48" s="104"/>
      <c r="GO48" s="104"/>
      <c r="GP48" s="104"/>
      <c r="GQ48" s="104"/>
      <c r="GR48" s="104"/>
      <c r="GS48" s="104"/>
      <c r="GT48" s="104"/>
      <c r="GU48" s="104"/>
      <c r="GV48" s="104"/>
      <c r="GW48" s="104"/>
      <c r="GX48" s="104"/>
      <c r="GY48" s="104"/>
      <c r="GZ48" s="104"/>
      <c r="HA48" s="104"/>
      <c r="HB48" s="104"/>
      <c r="HC48" s="104"/>
      <c r="HD48" s="104"/>
      <c r="HE48" s="104"/>
      <c r="HF48" s="104"/>
      <c r="HG48" s="104"/>
      <c r="HH48" s="104"/>
      <c r="HI48" s="104"/>
      <c r="HJ48" s="104"/>
      <c r="HK48" s="104"/>
      <c r="HL48" s="104"/>
      <c r="HM48" s="104"/>
      <c r="HN48" s="104"/>
      <c r="HO48" s="104"/>
      <c r="HP48" s="104"/>
      <c r="HQ48" s="104"/>
      <c r="HR48" s="104"/>
      <c r="HS48" s="104"/>
      <c r="HT48" s="104"/>
      <c r="HU48" s="104"/>
      <c r="HV48" s="104"/>
      <c r="HW48" s="104"/>
      <c r="HX48" s="104"/>
      <c r="HY48" s="104"/>
      <c r="HZ48" s="104"/>
      <c r="IA48" s="104"/>
      <c r="IB48" s="104"/>
      <c r="IC48" s="104"/>
      <c r="ID48" s="104"/>
      <c r="IE48" s="104"/>
      <c r="IF48" s="104"/>
      <c r="IG48" s="104"/>
      <c r="IH48" s="104"/>
      <c r="II48" s="104"/>
      <c r="IJ48" s="104"/>
      <c r="IK48" s="104"/>
      <c r="IL48" s="104"/>
      <c r="IM48" s="104"/>
      <c r="IN48" s="104"/>
      <c r="IO48" s="104"/>
      <c r="IP48" s="104"/>
      <c r="IQ48" s="104"/>
      <c r="IR48" s="104"/>
      <c r="IS48" s="104"/>
      <c r="IT48" s="104"/>
      <c r="IU48" s="104"/>
    </row>
    <row r="49" spans="1:2" x14ac:dyDescent="0.2">
      <c r="A49" s="306" t="s">
        <v>308</v>
      </c>
      <c r="B49" s="307" t="s">
        <v>309</v>
      </c>
    </row>
    <row r="50" spans="1:2" x14ac:dyDescent="0.2">
      <c r="A50" s="110" t="s">
        <v>331</v>
      </c>
      <c r="B50" s="120">
        <v>65.260000000000005</v>
      </c>
    </row>
    <row r="51" spans="1:2" x14ac:dyDescent="0.2">
      <c r="A51" s="110" t="s">
        <v>332</v>
      </c>
      <c r="B51" s="118">
        <v>27811.48</v>
      </c>
    </row>
    <row r="52" spans="1:2" x14ac:dyDescent="0.2">
      <c r="A52" s="110"/>
      <c r="B52" s="110"/>
    </row>
    <row r="53" spans="1:2" x14ac:dyDescent="0.2">
      <c r="A53" s="109" t="s">
        <v>333</v>
      </c>
      <c r="B53" s="111">
        <v>1814977.1839999999</v>
      </c>
    </row>
    <row r="54" spans="1:2" x14ac:dyDescent="0.2">
      <c r="A54" s="110" t="s">
        <v>334</v>
      </c>
      <c r="B54" s="118">
        <v>87752</v>
      </c>
    </row>
    <row r="55" spans="1:2" x14ac:dyDescent="0.2">
      <c r="A55" s="110" t="s">
        <v>335</v>
      </c>
      <c r="B55" s="118">
        <v>17030</v>
      </c>
    </row>
    <row r="56" spans="1:2" x14ac:dyDescent="0.2">
      <c r="A56" s="110" t="s">
        <v>336</v>
      </c>
      <c r="B56" s="118" t="s">
        <v>313</v>
      </c>
    </row>
    <row r="57" spans="1:2" x14ac:dyDescent="0.2">
      <c r="A57" s="110" t="s">
        <v>337</v>
      </c>
      <c r="B57" s="118">
        <v>50991</v>
      </c>
    </row>
    <row r="58" spans="1:2" x14ac:dyDescent="0.2">
      <c r="A58" s="109" t="s">
        <v>338</v>
      </c>
      <c r="B58" s="111">
        <v>1795246.1839999999</v>
      </c>
    </row>
    <row r="59" spans="1:2" x14ac:dyDescent="0.2">
      <c r="A59" s="110"/>
      <c r="B59" s="110"/>
    </row>
    <row r="60" spans="1:2" x14ac:dyDescent="0.2">
      <c r="A60" s="109" t="s">
        <v>339</v>
      </c>
      <c r="B60" s="111">
        <v>36981.716</v>
      </c>
    </row>
    <row r="61" spans="1:2" x14ac:dyDescent="0.2">
      <c r="A61" s="109" t="s">
        <v>340</v>
      </c>
      <c r="B61" s="111">
        <v>2413426.7850000001</v>
      </c>
    </row>
    <row r="62" spans="1:2" x14ac:dyDescent="0.2">
      <c r="A62" s="110" t="s">
        <v>341</v>
      </c>
      <c r="B62" s="118">
        <v>182142</v>
      </c>
    </row>
    <row r="63" spans="1:2" x14ac:dyDescent="0.2">
      <c r="A63" s="110" t="s">
        <v>336</v>
      </c>
      <c r="B63" s="118" t="s">
        <v>313</v>
      </c>
    </row>
    <row r="64" spans="1:2" x14ac:dyDescent="0.2">
      <c r="A64" s="110" t="s">
        <v>337</v>
      </c>
      <c r="B64" s="118">
        <v>50991</v>
      </c>
    </row>
    <row r="65" spans="1:255" x14ac:dyDescent="0.2">
      <c r="A65" s="110" t="s">
        <v>335</v>
      </c>
      <c r="B65" s="118">
        <v>17030</v>
      </c>
    </row>
    <row r="66" spans="1:255" x14ac:dyDescent="0.2">
      <c r="A66" s="109" t="s">
        <v>342</v>
      </c>
      <c r="B66" s="111">
        <v>250163</v>
      </c>
    </row>
    <row r="67" spans="1:255" x14ac:dyDescent="0.2">
      <c r="A67" s="110"/>
      <c r="B67" s="110"/>
    </row>
    <row r="68" spans="1:255" ht="81.599999999999994" x14ac:dyDescent="0.2">
      <c r="A68" s="119" t="s">
        <v>343</v>
      </c>
      <c r="B68" s="119"/>
    </row>
    <row r="69" spans="1:255" x14ac:dyDescent="0.2">
      <c r="A69" s="98" t="s">
        <v>344</v>
      </c>
    </row>
    <row r="70" spans="1:255" ht="200.1" customHeight="1" x14ac:dyDescent="0.2">
      <c r="A70" s="121"/>
    </row>
    <row r="71" spans="1:255" x14ac:dyDescent="0.2">
      <c r="A71" s="98" t="s">
        <v>345</v>
      </c>
    </row>
    <row r="72" spans="1:255" x14ac:dyDescent="0.2">
      <c r="A72" s="98" t="s">
        <v>346</v>
      </c>
    </row>
    <row r="73" spans="1:255" x14ac:dyDescent="0.2">
      <c r="A73" s="98" t="s">
        <v>347</v>
      </c>
    </row>
    <row r="74" spans="1:255" x14ac:dyDescent="0.2">
      <c r="A74" s="98" t="s">
        <v>348</v>
      </c>
    </row>
    <row r="75" spans="1:255" x14ac:dyDescent="0.2">
      <c r="A75" s="98" t="s">
        <v>349</v>
      </c>
    </row>
    <row r="77" spans="1:255" x14ac:dyDescent="0.2">
      <c r="A77" s="103" t="s">
        <v>350</v>
      </c>
      <c r="B77" s="103"/>
      <c r="C77" s="103"/>
      <c r="D77" s="103"/>
      <c r="E77" s="103"/>
      <c r="F77" s="103"/>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c r="CM77" s="104"/>
      <c r="CN77" s="104"/>
      <c r="CO77" s="104"/>
      <c r="CP77" s="104"/>
      <c r="CQ77" s="104"/>
      <c r="CR77" s="104"/>
      <c r="CS77" s="104"/>
      <c r="CT77" s="104"/>
      <c r="CU77" s="104"/>
      <c r="CV77" s="104"/>
      <c r="CW77" s="104"/>
      <c r="CX77" s="104"/>
      <c r="CY77" s="104"/>
      <c r="CZ77" s="104"/>
      <c r="DA77" s="104"/>
      <c r="DB77" s="104"/>
      <c r="DC77" s="104"/>
      <c r="DD77" s="104"/>
      <c r="DE77" s="104"/>
      <c r="DF77" s="104"/>
      <c r="DG77" s="104"/>
      <c r="DH77" s="104"/>
      <c r="DI77" s="104"/>
      <c r="DJ77" s="104"/>
      <c r="DK77" s="104"/>
      <c r="DL77" s="104"/>
      <c r="DM77" s="104"/>
      <c r="DN77" s="104"/>
      <c r="DO77" s="104"/>
      <c r="DP77" s="104"/>
      <c r="DQ77" s="104"/>
      <c r="DR77" s="104"/>
      <c r="DS77" s="104"/>
      <c r="DT77" s="104"/>
      <c r="DU77" s="104"/>
      <c r="DV77" s="104"/>
      <c r="DW77" s="104"/>
      <c r="DX77" s="104"/>
      <c r="DY77" s="104"/>
      <c r="DZ77" s="104"/>
      <c r="EA77" s="104"/>
      <c r="EB77" s="104"/>
      <c r="EC77" s="104"/>
      <c r="ED77" s="104"/>
      <c r="EE77" s="104"/>
      <c r="EF77" s="104"/>
      <c r="EG77" s="104"/>
      <c r="EH77" s="104"/>
      <c r="EI77" s="104"/>
      <c r="EJ77" s="104"/>
      <c r="EK77" s="104"/>
      <c r="EL77" s="104"/>
      <c r="EM77" s="104"/>
      <c r="EN77" s="104"/>
      <c r="EO77" s="104"/>
      <c r="EP77" s="104"/>
      <c r="EQ77" s="104"/>
      <c r="ER77" s="104"/>
      <c r="ES77" s="104"/>
      <c r="ET77" s="104"/>
      <c r="EU77" s="104"/>
      <c r="EV77" s="104"/>
      <c r="EW77" s="104"/>
      <c r="EX77" s="104"/>
      <c r="EY77" s="104"/>
      <c r="EZ77" s="104"/>
      <c r="FA77" s="104"/>
      <c r="FB77" s="104"/>
      <c r="FC77" s="104"/>
      <c r="FD77" s="104"/>
      <c r="FE77" s="104"/>
      <c r="FF77" s="104"/>
      <c r="FG77" s="104"/>
      <c r="FH77" s="104"/>
      <c r="FI77" s="104"/>
      <c r="FJ77" s="104"/>
      <c r="FK77" s="104"/>
      <c r="FL77" s="104"/>
      <c r="FM77" s="104"/>
      <c r="FN77" s="104"/>
      <c r="FO77" s="104"/>
      <c r="FP77" s="104"/>
      <c r="FQ77" s="104"/>
      <c r="FR77" s="104"/>
      <c r="FS77" s="104"/>
      <c r="FT77" s="104"/>
      <c r="FU77" s="104"/>
      <c r="FV77" s="104"/>
      <c r="FW77" s="104"/>
      <c r="FX77" s="104"/>
      <c r="FY77" s="104"/>
      <c r="FZ77" s="104"/>
      <c r="GA77" s="104"/>
      <c r="GB77" s="104"/>
      <c r="GC77" s="104"/>
      <c r="GD77" s="104"/>
      <c r="GE77" s="104"/>
      <c r="GF77" s="104"/>
      <c r="GG77" s="104"/>
      <c r="GH77" s="104"/>
      <c r="GI77" s="104"/>
      <c r="GJ77" s="104"/>
      <c r="GK77" s="104"/>
      <c r="GL77" s="104"/>
      <c r="GM77" s="104"/>
      <c r="GN77" s="104"/>
      <c r="GO77" s="104"/>
      <c r="GP77" s="104"/>
      <c r="GQ77" s="104"/>
      <c r="GR77" s="104"/>
      <c r="GS77" s="104"/>
      <c r="GT77" s="104"/>
      <c r="GU77" s="104"/>
      <c r="GV77" s="104"/>
      <c r="GW77" s="104"/>
      <c r="GX77" s="104"/>
      <c r="GY77" s="104"/>
      <c r="GZ77" s="104"/>
      <c r="HA77" s="104"/>
      <c r="HB77" s="104"/>
      <c r="HC77" s="104"/>
      <c r="HD77" s="104"/>
      <c r="HE77" s="104"/>
      <c r="HF77" s="104"/>
      <c r="HG77" s="104"/>
      <c r="HH77" s="104"/>
      <c r="HI77" s="104"/>
      <c r="HJ77" s="104"/>
      <c r="HK77" s="104"/>
      <c r="HL77" s="104"/>
      <c r="HM77" s="104"/>
      <c r="HN77" s="104"/>
      <c r="HO77" s="104"/>
      <c r="HP77" s="104"/>
      <c r="HQ77" s="104"/>
      <c r="HR77" s="104"/>
      <c r="HS77" s="104"/>
      <c r="HT77" s="104"/>
      <c r="HU77" s="104"/>
      <c r="HV77" s="104"/>
      <c r="HW77" s="104"/>
      <c r="HX77" s="104"/>
      <c r="HY77" s="104"/>
      <c r="HZ77" s="104"/>
      <c r="IA77" s="104"/>
      <c r="IB77" s="104"/>
      <c r="IC77" s="104"/>
      <c r="ID77" s="104"/>
      <c r="IE77" s="104"/>
      <c r="IF77" s="104"/>
      <c r="IG77" s="104"/>
      <c r="IH77" s="104"/>
      <c r="II77" s="104"/>
      <c r="IJ77" s="104"/>
      <c r="IK77" s="104"/>
      <c r="IL77" s="104"/>
      <c r="IM77" s="104"/>
      <c r="IN77" s="104"/>
      <c r="IO77" s="104"/>
      <c r="IP77" s="104"/>
      <c r="IQ77" s="104"/>
      <c r="IR77" s="104"/>
      <c r="IS77" s="104"/>
      <c r="IT77" s="104"/>
      <c r="IU77" s="104"/>
    </row>
    <row r="78" spans="1:255" ht="30.6" x14ac:dyDescent="0.2">
      <c r="A78" s="105" t="s">
        <v>299</v>
      </c>
      <c r="B78" s="106" t="s">
        <v>305</v>
      </c>
      <c r="C78" s="106" t="s">
        <v>351</v>
      </c>
      <c r="D78" s="106" t="s">
        <v>352</v>
      </c>
      <c r="E78" s="106" t="s">
        <v>353</v>
      </c>
      <c r="F78" s="106" t="s">
        <v>354</v>
      </c>
    </row>
    <row r="79" spans="1:255" x14ac:dyDescent="0.2">
      <c r="A79" s="109" t="s">
        <v>355</v>
      </c>
      <c r="B79" s="122">
        <v>5.016413</v>
      </c>
      <c r="C79" s="122">
        <v>4.7097439999999997</v>
      </c>
      <c r="D79" s="123">
        <v>3.9682446583590001</v>
      </c>
      <c r="E79" s="123">
        <v>3.0784030937570002</v>
      </c>
      <c r="F79" s="123">
        <v>2.495006030346</v>
      </c>
    </row>
    <row r="80" spans="1:255" x14ac:dyDescent="0.2">
      <c r="A80" s="110"/>
      <c r="B80" s="110"/>
      <c r="C80" s="110"/>
      <c r="D80" s="110"/>
      <c r="E80" s="110"/>
      <c r="F80" s="110"/>
    </row>
    <row r="81" spans="1:6" x14ac:dyDescent="0.2">
      <c r="A81" s="109" t="s">
        <v>356</v>
      </c>
      <c r="B81" s="122">
        <v>31.695208000000001</v>
      </c>
      <c r="C81" s="122">
        <v>29.624524000000001</v>
      </c>
      <c r="D81" s="123">
        <v>28.171953479810998</v>
      </c>
      <c r="E81" s="123">
        <v>21.256001599369</v>
      </c>
      <c r="F81" s="123">
        <v>16.575428307576999</v>
      </c>
    </row>
    <row r="82" spans="1:6" x14ac:dyDescent="0.2">
      <c r="A82" s="110"/>
      <c r="B82" s="110"/>
      <c r="C82" s="110"/>
      <c r="D82" s="110"/>
      <c r="E82" s="110"/>
      <c r="F82" s="110"/>
    </row>
    <row r="83" spans="1:6" x14ac:dyDescent="0.2">
      <c r="A83" s="109" t="s">
        <v>357</v>
      </c>
      <c r="B83" s="122">
        <v>51.302242</v>
      </c>
      <c r="C83" s="122">
        <v>48.329461000000002</v>
      </c>
      <c r="D83" s="123">
        <v>62.342708170914001</v>
      </c>
      <c r="E83" s="123">
        <v>44.707488386363003</v>
      </c>
      <c r="F83" s="123">
        <v>34.712742334707997</v>
      </c>
    </row>
    <row r="84" spans="1:6" x14ac:dyDescent="0.2">
      <c r="A84" s="110"/>
      <c r="B84" s="110"/>
      <c r="C84" s="110"/>
      <c r="D84" s="110"/>
      <c r="E84" s="110"/>
      <c r="F84" s="110"/>
    </row>
    <row r="85" spans="1:6" x14ac:dyDescent="0.2">
      <c r="A85" s="109" t="s">
        <v>358</v>
      </c>
      <c r="B85" s="117" t="s">
        <v>319</v>
      </c>
      <c r="C85" s="117" t="s">
        <v>319</v>
      </c>
      <c r="D85" s="123">
        <v>120.14654712152701</v>
      </c>
      <c r="E85" s="123">
        <v>85.995150748471005</v>
      </c>
      <c r="F85" s="123">
        <v>66.712327366775</v>
      </c>
    </row>
    <row r="86" spans="1:6" x14ac:dyDescent="0.2">
      <c r="A86" s="110"/>
      <c r="B86" s="110"/>
      <c r="C86" s="110"/>
      <c r="D86" s="110"/>
      <c r="E86" s="110"/>
      <c r="F86" s="110"/>
    </row>
    <row r="87" spans="1:6" x14ac:dyDescent="0.2">
      <c r="A87" s="109" t="s">
        <v>359</v>
      </c>
      <c r="B87" s="122">
        <v>10.213953</v>
      </c>
      <c r="C87" s="122">
        <v>9.8987280000000002</v>
      </c>
      <c r="D87" s="123">
        <v>12.647286821705</v>
      </c>
      <c r="E87" s="123">
        <v>10.813587406793999</v>
      </c>
      <c r="F87" s="123">
        <v>8.8910081743870002</v>
      </c>
    </row>
    <row r="88" spans="1:6" x14ac:dyDescent="0.2">
      <c r="A88" s="110"/>
      <c r="B88" s="110"/>
      <c r="C88" s="110"/>
      <c r="D88" s="110"/>
      <c r="E88" s="110"/>
      <c r="F88" s="110"/>
    </row>
    <row r="89" spans="1:6" x14ac:dyDescent="0.2">
      <c r="A89" s="109" t="s">
        <v>360</v>
      </c>
      <c r="B89" s="122">
        <v>10.268113</v>
      </c>
      <c r="C89" s="122">
        <v>9.8987280000000002</v>
      </c>
      <c r="D89" s="117" t="s">
        <v>313</v>
      </c>
      <c r="E89" s="117" t="s">
        <v>313</v>
      </c>
      <c r="F89" s="117" t="s">
        <v>313</v>
      </c>
    </row>
    <row r="90" spans="1:6" x14ac:dyDescent="0.2">
      <c r="A90" s="110"/>
      <c r="B90" s="110"/>
      <c r="C90" s="110"/>
      <c r="D90" s="110"/>
      <c r="E90" s="110"/>
      <c r="F90" s="110"/>
    </row>
    <row r="91" spans="1:6" x14ac:dyDescent="0.2">
      <c r="A91" s="119"/>
      <c r="B91" s="119"/>
      <c r="C91" s="119"/>
      <c r="D91" s="119"/>
      <c r="E91" s="119"/>
      <c r="F91" s="119"/>
    </row>
    <row r="92" spans="1:6" x14ac:dyDescent="0.2">
      <c r="A92" s="12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399FF"/>
    <outlinePr summaryBelow="0" summaryRight="0"/>
    <pageSetUpPr autoPageBreaks="0"/>
  </sheetPr>
  <dimension ref="A5:IU112"/>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4" width="13" style="98" customWidth="1"/>
    <col min="265" max="512" width="9" style="98"/>
    <col min="513" max="513" width="40.09765625" style="98" customWidth="1"/>
    <col min="514" max="520" width="13" style="98" customWidth="1"/>
    <col min="521" max="768" width="9" style="98"/>
    <col min="769" max="769" width="40.09765625" style="98" customWidth="1"/>
    <col min="770" max="776" width="13" style="98" customWidth="1"/>
    <col min="777" max="1024" width="9" style="98"/>
    <col min="1025" max="1025" width="40.09765625" style="98" customWidth="1"/>
    <col min="1026" max="1032" width="13" style="98" customWidth="1"/>
    <col min="1033" max="1280" width="9" style="98"/>
    <col min="1281" max="1281" width="40.09765625" style="98" customWidth="1"/>
    <col min="1282" max="1288" width="13" style="98" customWidth="1"/>
    <col min="1289" max="1536" width="9" style="98"/>
    <col min="1537" max="1537" width="40.09765625" style="98" customWidth="1"/>
    <col min="1538" max="1544" width="13" style="98" customWidth="1"/>
    <col min="1545" max="1792" width="9" style="98"/>
    <col min="1793" max="1793" width="40.09765625" style="98" customWidth="1"/>
    <col min="1794" max="1800" width="13" style="98" customWidth="1"/>
    <col min="1801" max="2048" width="9" style="98"/>
    <col min="2049" max="2049" width="40.09765625" style="98" customWidth="1"/>
    <col min="2050" max="2056" width="13" style="98" customWidth="1"/>
    <col min="2057" max="2304" width="9" style="98"/>
    <col min="2305" max="2305" width="40.09765625" style="98" customWidth="1"/>
    <col min="2306" max="2312" width="13" style="98" customWidth="1"/>
    <col min="2313" max="2560" width="9" style="98"/>
    <col min="2561" max="2561" width="40.09765625" style="98" customWidth="1"/>
    <col min="2562" max="2568" width="13" style="98" customWidth="1"/>
    <col min="2569" max="2816" width="9" style="98"/>
    <col min="2817" max="2817" width="40.09765625" style="98" customWidth="1"/>
    <col min="2818" max="2824" width="13" style="98" customWidth="1"/>
    <col min="2825" max="3072" width="9" style="98"/>
    <col min="3073" max="3073" width="40.09765625" style="98" customWidth="1"/>
    <col min="3074" max="3080" width="13" style="98" customWidth="1"/>
    <col min="3081" max="3328" width="9" style="98"/>
    <col min="3329" max="3329" width="40.09765625" style="98" customWidth="1"/>
    <col min="3330" max="3336" width="13" style="98" customWidth="1"/>
    <col min="3337" max="3584" width="9" style="98"/>
    <col min="3585" max="3585" width="40.09765625" style="98" customWidth="1"/>
    <col min="3586" max="3592" width="13" style="98" customWidth="1"/>
    <col min="3593" max="3840" width="9" style="98"/>
    <col min="3841" max="3841" width="40.09765625" style="98" customWidth="1"/>
    <col min="3842" max="3848" width="13" style="98" customWidth="1"/>
    <col min="3849" max="4096" width="9" style="98"/>
    <col min="4097" max="4097" width="40.09765625" style="98" customWidth="1"/>
    <col min="4098" max="4104" width="13" style="98" customWidth="1"/>
    <col min="4105" max="4352" width="9" style="98"/>
    <col min="4353" max="4353" width="40.09765625" style="98" customWidth="1"/>
    <col min="4354" max="4360" width="13" style="98" customWidth="1"/>
    <col min="4361" max="4608" width="9" style="98"/>
    <col min="4609" max="4609" width="40.09765625" style="98" customWidth="1"/>
    <col min="4610" max="4616" width="13" style="98" customWidth="1"/>
    <col min="4617" max="4864" width="9" style="98"/>
    <col min="4865" max="4865" width="40.09765625" style="98" customWidth="1"/>
    <col min="4866" max="4872" width="13" style="98" customWidth="1"/>
    <col min="4873" max="5120" width="9" style="98"/>
    <col min="5121" max="5121" width="40.09765625" style="98" customWidth="1"/>
    <col min="5122" max="5128" width="13" style="98" customWidth="1"/>
    <col min="5129" max="5376" width="9" style="98"/>
    <col min="5377" max="5377" width="40.09765625" style="98" customWidth="1"/>
    <col min="5378" max="5384" width="13" style="98" customWidth="1"/>
    <col min="5385" max="5632" width="9" style="98"/>
    <col min="5633" max="5633" width="40.09765625" style="98" customWidth="1"/>
    <col min="5634" max="5640" width="13" style="98" customWidth="1"/>
    <col min="5641" max="5888" width="9" style="98"/>
    <col min="5889" max="5889" width="40.09765625" style="98" customWidth="1"/>
    <col min="5890" max="5896" width="13" style="98" customWidth="1"/>
    <col min="5897" max="6144" width="9" style="98"/>
    <col min="6145" max="6145" width="40.09765625" style="98" customWidth="1"/>
    <col min="6146" max="6152" width="13" style="98" customWidth="1"/>
    <col min="6153" max="6400" width="9" style="98"/>
    <col min="6401" max="6401" width="40.09765625" style="98" customWidth="1"/>
    <col min="6402" max="6408" width="13" style="98" customWidth="1"/>
    <col min="6409" max="6656" width="9" style="98"/>
    <col min="6657" max="6657" width="40.09765625" style="98" customWidth="1"/>
    <col min="6658" max="6664" width="13" style="98" customWidth="1"/>
    <col min="6665" max="6912" width="9" style="98"/>
    <col min="6913" max="6913" width="40.09765625" style="98" customWidth="1"/>
    <col min="6914" max="6920" width="13" style="98" customWidth="1"/>
    <col min="6921" max="7168" width="9" style="98"/>
    <col min="7169" max="7169" width="40.09765625" style="98" customWidth="1"/>
    <col min="7170" max="7176" width="13" style="98" customWidth="1"/>
    <col min="7177" max="7424" width="9" style="98"/>
    <col min="7425" max="7425" width="40.09765625" style="98" customWidth="1"/>
    <col min="7426" max="7432" width="13" style="98" customWidth="1"/>
    <col min="7433" max="7680" width="9" style="98"/>
    <col min="7681" max="7681" width="40.09765625" style="98" customWidth="1"/>
    <col min="7682" max="7688" width="13" style="98" customWidth="1"/>
    <col min="7689" max="7936" width="9" style="98"/>
    <col min="7937" max="7937" width="40.09765625" style="98" customWidth="1"/>
    <col min="7938" max="7944" width="13" style="98" customWidth="1"/>
    <col min="7945" max="8192" width="9" style="98"/>
    <col min="8193" max="8193" width="40.09765625" style="98" customWidth="1"/>
    <col min="8194" max="8200" width="13" style="98" customWidth="1"/>
    <col min="8201" max="8448" width="9" style="98"/>
    <col min="8449" max="8449" width="40.09765625" style="98" customWidth="1"/>
    <col min="8450" max="8456" width="13" style="98" customWidth="1"/>
    <col min="8457" max="8704" width="9" style="98"/>
    <col min="8705" max="8705" width="40.09765625" style="98" customWidth="1"/>
    <col min="8706" max="8712" width="13" style="98" customWidth="1"/>
    <col min="8713" max="8960" width="9" style="98"/>
    <col min="8961" max="8961" width="40.09765625" style="98" customWidth="1"/>
    <col min="8962" max="8968" width="13" style="98" customWidth="1"/>
    <col min="8969" max="9216" width="9" style="98"/>
    <col min="9217" max="9217" width="40.09765625" style="98" customWidth="1"/>
    <col min="9218" max="9224" width="13" style="98" customWidth="1"/>
    <col min="9225" max="9472" width="9" style="98"/>
    <col min="9473" max="9473" width="40.09765625" style="98" customWidth="1"/>
    <col min="9474" max="9480" width="13" style="98" customWidth="1"/>
    <col min="9481" max="9728" width="9" style="98"/>
    <col min="9729" max="9729" width="40.09765625" style="98" customWidth="1"/>
    <col min="9730" max="9736" width="13" style="98" customWidth="1"/>
    <col min="9737" max="9984" width="9" style="98"/>
    <col min="9985" max="9985" width="40.09765625" style="98" customWidth="1"/>
    <col min="9986" max="9992" width="13" style="98" customWidth="1"/>
    <col min="9993" max="10240" width="9" style="98"/>
    <col min="10241" max="10241" width="40.09765625" style="98" customWidth="1"/>
    <col min="10242" max="10248" width="13" style="98" customWidth="1"/>
    <col min="10249" max="10496" width="9" style="98"/>
    <col min="10497" max="10497" width="40.09765625" style="98" customWidth="1"/>
    <col min="10498" max="10504" width="13" style="98" customWidth="1"/>
    <col min="10505" max="10752" width="9" style="98"/>
    <col min="10753" max="10753" width="40.09765625" style="98" customWidth="1"/>
    <col min="10754" max="10760" width="13" style="98" customWidth="1"/>
    <col min="10761" max="11008" width="9" style="98"/>
    <col min="11009" max="11009" width="40.09765625" style="98" customWidth="1"/>
    <col min="11010" max="11016" width="13" style="98" customWidth="1"/>
    <col min="11017" max="11264" width="9" style="98"/>
    <col min="11265" max="11265" width="40.09765625" style="98" customWidth="1"/>
    <col min="11266" max="11272" width="13" style="98" customWidth="1"/>
    <col min="11273" max="11520" width="9" style="98"/>
    <col min="11521" max="11521" width="40.09765625" style="98" customWidth="1"/>
    <col min="11522" max="11528" width="13" style="98" customWidth="1"/>
    <col min="11529" max="11776" width="9" style="98"/>
    <col min="11777" max="11777" width="40.09765625" style="98" customWidth="1"/>
    <col min="11778" max="11784" width="13" style="98" customWidth="1"/>
    <col min="11785" max="12032" width="9" style="98"/>
    <col min="12033" max="12033" width="40.09765625" style="98" customWidth="1"/>
    <col min="12034" max="12040" width="13" style="98" customWidth="1"/>
    <col min="12041" max="12288" width="9" style="98"/>
    <col min="12289" max="12289" width="40.09765625" style="98" customWidth="1"/>
    <col min="12290" max="12296" width="13" style="98" customWidth="1"/>
    <col min="12297" max="12544" width="9" style="98"/>
    <col min="12545" max="12545" width="40.09765625" style="98" customWidth="1"/>
    <col min="12546" max="12552" width="13" style="98" customWidth="1"/>
    <col min="12553" max="12800" width="9" style="98"/>
    <col min="12801" max="12801" width="40.09765625" style="98" customWidth="1"/>
    <col min="12802" max="12808" width="13" style="98" customWidth="1"/>
    <col min="12809" max="13056" width="9" style="98"/>
    <col min="13057" max="13057" width="40.09765625" style="98" customWidth="1"/>
    <col min="13058" max="13064" width="13" style="98" customWidth="1"/>
    <col min="13065" max="13312" width="9" style="98"/>
    <col min="13313" max="13313" width="40.09765625" style="98" customWidth="1"/>
    <col min="13314" max="13320" width="13" style="98" customWidth="1"/>
    <col min="13321" max="13568" width="9" style="98"/>
    <col min="13569" max="13569" width="40.09765625" style="98" customWidth="1"/>
    <col min="13570" max="13576" width="13" style="98" customWidth="1"/>
    <col min="13577" max="13824" width="9" style="98"/>
    <col min="13825" max="13825" width="40.09765625" style="98" customWidth="1"/>
    <col min="13826" max="13832" width="13" style="98" customWidth="1"/>
    <col min="13833" max="14080" width="9" style="98"/>
    <col min="14081" max="14081" width="40.09765625" style="98" customWidth="1"/>
    <col min="14082" max="14088" width="13" style="98" customWidth="1"/>
    <col min="14089" max="14336" width="9" style="98"/>
    <col min="14337" max="14337" width="40.09765625" style="98" customWidth="1"/>
    <col min="14338" max="14344" width="13" style="98" customWidth="1"/>
    <col min="14345" max="14592" width="9" style="98"/>
    <col min="14593" max="14593" width="40.09765625" style="98" customWidth="1"/>
    <col min="14594" max="14600" width="13" style="98" customWidth="1"/>
    <col min="14601" max="14848" width="9" style="98"/>
    <col min="14849" max="14849" width="40.09765625" style="98" customWidth="1"/>
    <col min="14850" max="14856" width="13" style="98" customWidth="1"/>
    <col min="14857" max="15104" width="9" style="98"/>
    <col min="15105" max="15105" width="40.09765625" style="98" customWidth="1"/>
    <col min="15106" max="15112" width="13" style="98" customWidth="1"/>
    <col min="15113" max="15360" width="9" style="98"/>
    <col min="15361" max="15361" width="40.09765625" style="98" customWidth="1"/>
    <col min="15362" max="15368" width="13" style="98" customWidth="1"/>
    <col min="15369" max="15616" width="9" style="98"/>
    <col min="15617" max="15617" width="40.09765625" style="98" customWidth="1"/>
    <col min="15618" max="15624" width="13" style="98" customWidth="1"/>
    <col min="15625" max="15872" width="9" style="98"/>
    <col min="15873" max="15873" width="40.09765625" style="98" customWidth="1"/>
    <col min="15874" max="15880" width="13" style="98" customWidth="1"/>
    <col min="15881" max="16128" width="9" style="98"/>
    <col min="16129" max="16129" width="40.09765625" style="98" customWidth="1"/>
    <col min="16130" max="16136" width="13" style="98" customWidth="1"/>
    <col min="16137" max="16384" width="9" style="98"/>
  </cols>
  <sheetData>
    <row r="5" spans="1:255" ht="16.2" x14ac:dyDescent="0.25">
      <c r="A5" s="97" t="s">
        <v>362</v>
      </c>
    </row>
    <row r="7" spans="1:255" ht="20.399999999999999" x14ac:dyDescent="0.2">
      <c r="A7" s="99" t="s">
        <v>363</v>
      </c>
      <c r="B7" s="100" t="s">
        <v>364</v>
      </c>
      <c r="C7" s="98" t="s">
        <v>365</v>
      </c>
      <c r="D7" s="101" t="s">
        <v>287</v>
      </c>
      <c r="E7" s="100" t="s">
        <v>366</v>
      </c>
      <c r="F7" s="98" t="s">
        <v>367</v>
      </c>
    </row>
    <row r="8" spans="1:255" x14ac:dyDescent="0.2">
      <c r="A8" s="101"/>
      <c r="B8" s="100" t="s">
        <v>368</v>
      </c>
      <c r="C8" s="98" t="s">
        <v>369</v>
      </c>
      <c r="D8" s="101" t="s">
        <v>287</v>
      </c>
      <c r="E8" s="100" t="s">
        <v>290</v>
      </c>
      <c r="F8" s="98" t="s">
        <v>291</v>
      </c>
    </row>
    <row r="9" spans="1:255" x14ac:dyDescent="0.2">
      <c r="A9" s="101"/>
      <c r="B9" s="100" t="s">
        <v>285</v>
      </c>
      <c r="C9" s="98" t="s">
        <v>370</v>
      </c>
      <c r="D9" s="101" t="s">
        <v>287</v>
      </c>
      <c r="E9" s="100" t="s">
        <v>288</v>
      </c>
      <c r="F9" s="98" t="s">
        <v>289</v>
      </c>
    </row>
    <row r="10" spans="1:255" x14ac:dyDescent="0.2">
      <c r="A10" s="101"/>
      <c r="B10" s="100" t="s">
        <v>292</v>
      </c>
      <c r="C10" s="98" t="s">
        <v>293</v>
      </c>
      <c r="D10" s="101" t="s">
        <v>287</v>
      </c>
      <c r="E10" s="100" t="s">
        <v>294</v>
      </c>
      <c r="F10" s="102" t="s">
        <v>295</v>
      </c>
    </row>
    <row r="11" spans="1:255" x14ac:dyDescent="0.2">
      <c r="A11" s="101"/>
      <c r="B11" s="100" t="s">
        <v>371</v>
      </c>
      <c r="C11" s="98" t="s">
        <v>372</v>
      </c>
      <c r="D11" s="101" t="s">
        <v>287</v>
      </c>
      <c r="E11" s="125"/>
      <c r="F11" s="125"/>
    </row>
    <row r="14" spans="1:255" x14ac:dyDescent="0.2">
      <c r="A14" s="103" t="s">
        <v>227</v>
      </c>
      <c r="B14" s="103"/>
      <c r="C14" s="103"/>
      <c r="D14" s="103"/>
      <c r="E14" s="103"/>
      <c r="F14" s="103"/>
      <c r="G14" s="103"/>
      <c r="H14" s="103"/>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c r="CI14" s="104"/>
      <c r="CJ14" s="104"/>
      <c r="CK14" s="104"/>
      <c r="CL14" s="104"/>
      <c r="CM14" s="104"/>
      <c r="CN14" s="104"/>
      <c r="CO14" s="104"/>
      <c r="CP14" s="104"/>
      <c r="CQ14" s="104"/>
      <c r="CR14" s="104"/>
      <c r="CS14" s="104"/>
      <c r="CT14" s="104"/>
      <c r="CU14" s="104"/>
      <c r="CV14" s="104"/>
      <c r="CW14" s="104"/>
      <c r="CX14" s="104"/>
      <c r="CY14" s="104"/>
      <c r="CZ14" s="104"/>
      <c r="DA14" s="104"/>
      <c r="DB14" s="104"/>
      <c r="DC14" s="104"/>
      <c r="DD14" s="104"/>
      <c r="DE14" s="104"/>
      <c r="DF14" s="104"/>
      <c r="DG14" s="104"/>
      <c r="DH14" s="104"/>
      <c r="DI14" s="104"/>
      <c r="DJ14" s="104"/>
      <c r="DK14" s="104"/>
      <c r="DL14" s="104"/>
      <c r="DM14" s="104"/>
      <c r="DN14" s="104"/>
      <c r="DO14" s="104"/>
      <c r="DP14" s="104"/>
      <c r="DQ14" s="104"/>
      <c r="DR14" s="104"/>
      <c r="DS14" s="104"/>
      <c r="DT14" s="104"/>
      <c r="DU14" s="104"/>
      <c r="DV14" s="104"/>
      <c r="DW14" s="104"/>
      <c r="DX14" s="104"/>
      <c r="DY14" s="104"/>
      <c r="DZ14" s="104"/>
      <c r="EA14" s="104"/>
      <c r="EB14" s="104"/>
      <c r="EC14" s="104"/>
      <c r="ED14" s="104"/>
      <c r="EE14" s="104"/>
      <c r="EF14" s="104"/>
      <c r="EG14" s="104"/>
      <c r="EH14" s="104"/>
      <c r="EI14" s="104"/>
      <c r="EJ14" s="104"/>
      <c r="EK14" s="104"/>
      <c r="EL14" s="104"/>
      <c r="EM14" s="104"/>
      <c r="EN14" s="104"/>
      <c r="EO14" s="104"/>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104"/>
      <c r="GQ14" s="104"/>
      <c r="GR14" s="104"/>
      <c r="GS14" s="104"/>
      <c r="GT14" s="104"/>
      <c r="GU14" s="104"/>
      <c r="GV14" s="104"/>
      <c r="GW14" s="104"/>
      <c r="GX14" s="104"/>
      <c r="GY14" s="104"/>
      <c r="GZ14" s="104"/>
      <c r="HA14" s="104"/>
      <c r="HB14" s="104"/>
      <c r="HC14" s="104"/>
      <c r="HD14" s="104"/>
      <c r="HE14" s="104"/>
      <c r="HF14" s="104"/>
      <c r="HG14" s="104"/>
      <c r="HH14" s="104"/>
      <c r="HI14" s="104"/>
      <c r="HJ14" s="104"/>
      <c r="HK14" s="104"/>
      <c r="HL14" s="104"/>
      <c r="HM14" s="104"/>
      <c r="HN14" s="104"/>
      <c r="HO14" s="104"/>
      <c r="HP14" s="104"/>
      <c r="HQ14" s="104"/>
      <c r="HR14" s="104"/>
      <c r="HS14" s="104"/>
      <c r="HT14" s="104"/>
      <c r="HU14" s="104"/>
      <c r="HV14" s="104"/>
      <c r="HW14" s="104"/>
      <c r="HX14" s="104"/>
      <c r="HY14" s="104"/>
      <c r="HZ14" s="104"/>
      <c r="IA14" s="104"/>
      <c r="IB14" s="104"/>
      <c r="IC14" s="104"/>
      <c r="ID14" s="104"/>
      <c r="IE14" s="104"/>
      <c r="IF14" s="104"/>
      <c r="IG14" s="104"/>
      <c r="IH14" s="104"/>
      <c r="II14" s="104"/>
      <c r="IJ14" s="104"/>
      <c r="IK14" s="104"/>
      <c r="IL14" s="104"/>
      <c r="IM14" s="104"/>
      <c r="IN14" s="104"/>
      <c r="IO14" s="104"/>
      <c r="IP14" s="104"/>
      <c r="IQ14" s="104"/>
      <c r="IR14" s="104"/>
      <c r="IS14" s="104"/>
      <c r="IT14" s="104"/>
      <c r="IU14" s="104"/>
    </row>
    <row r="15" spans="1:255" ht="30.6" x14ac:dyDescent="0.2">
      <c r="A15" s="304" t="s">
        <v>299</v>
      </c>
      <c r="B15" s="305" t="s">
        <v>373</v>
      </c>
      <c r="C15" s="305" t="s">
        <v>374</v>
      </c>
      <c r="D15" s="305" t="s">
        <v>375</v>
      </c>
      <c r="E15" s="305" t="s">
        <v>376</v>
      </c>
      <c r="F15" s="305" t="s">
        <v>377</v>
      </c>
      <c r="G15" s="305" t="s">
        <v>378</v>
      </c>
      <c r="H15" s="305" t="s">
        <v>379</v>
      </c>
    </row>
    <row r="16" spans="1:255" x14ac:dyDescent="0.2">
      <c r="A16" s="306" t="s">
        <v>308</v>
      </c>
      <c r="B16" s="307" t="s">
        <v>309</v>
      </c>
      <c r="C16" s="307" t="s">
        <v>309</v>
      </c>
      <c r="D16" s="307" t="s">
        <v>309</v>
      </c>
      <c r="E16" s="307" t="s">
        <v>309</v>
      </c>
      <c r="F16" s="307" t="s">
        <v>309</v>
      </c>
      <c r="G16" s="307" t="s">
        <v>309</v>
      </c>
      <c r="H16" s="307" t="s">
        <v>309</v>
      </c>
    </row>
    <row r="17" spans="1:8" x14ac:dyDescent="0.2">
      <c r="A17" s="109" t="s">
        <v>320</v>
      </c>
      <c r="B17" s="110"/>
      <c r="C17" s="110"/>
      <c r="D17" s="110"/>
      <c r="E17" s="110"/>
      <c r="F17" s="110"/>
      <c r="G17" s="110"/>
      <c r="H17" s="110"/>
    </row>
    <row r="18" spans="1:8" x14ac:dyDescent="0.2">
      <c r="A18" s="110" t="s">
        <v>244</v>
      </c>
      <c r="B18" s="118">
        <v>57038</v>
      </c>
      <c r="C18" s="118">
        <v>82456</v>
      </c>
      <c r="D18" s="118">
        <v>118530</v>
      </c>
      <c r="E18" s="118">
        <v>190592</v>
      </c>
      <c r="F18" s="118">
        <v>268475</v>
      </c>
      <c r="G18" s="118">
        <v>358810</v>
      </c>
      <c r="H18" s="118">
        <v>381177</v>
      </c>
    </row>
    <row r="19" spans="1:8" x14ac:dyDescent="0.2">
      <c r="A19" s="110" t="s">
        <v>380</v>
      </c>
      <c r="B19" s="118" t="s">
        <v>313</v>
      </c>
      <c r="C19" s="118" t="s">
        <v>313</v>
      </c>
      <c r="D19" s="118" t="s">
        <v>313</v>
      </c>
      <c r="E19" s="118" t="s">
        <v>313</v>
      </c>
      <c r="F19" s="118" t="s">
        <v>313</v>
      </c>
      <c r="G19" s="118" t="s">
        <v>313</v>
      </c>
      <c r="H19" s="118" t="s">
        <v>313</v>
      </c>
    </row>
    <row r="20" spans="1:8" x14ac:dyDescent="0.2">
      <c r="A20" s="109" t="s">
        <v>381</v>
      </c>
      <c r="B20" s="126">
        <v>57038</v>
      </c>
      <c r="C20" s="126">
        <v>82456</v>
      </c>
      <c r="D20" s="126">
        <v>118530</v>
      </c>
      <c r="E20" s="126">
        <v>190592</v>
      </c>
      <c r="F20" s="126">
        <v>268475</v>
      </c>
      <c r="G20" s="126">
        <v>358810</v>
      </c>
      <c r="H20" s="126">
        <v>381177</v>
      </c>
    </row>
    <row r="21" spans="1:8" x14ac:dyDescent="0.2">
      <c r="A21" s="110"/>
      <c r="B21" s="110"/>
      <c r="C21" s="110"/>
      <c r="D21" s="110"/>
      <c r="E21" s="110"/>
      <c r="F21" s="110"/>
      <c r="G21" s="110"/>
      <c r="H21" s="110"/>
    </row>
    <row r="22" spans="1:8" x14ac:dyDescent="0.2">
      <c r="A22" s="110" t="s">
        <v>382</v>
      </c>
      <c r="B22" s="118">
        <v>36263</v>
      </c>
      <c r="C22" s="118">
        <v>50853</v>
      </c>
      <c r="D22" s="118">
        <v>73990</v>
      </c>
      <c r="E22" s="118">
        <v>114038</v>
      </c>
      <c r="F22" s="118">
        <v>161112</v>
      </c>
      <c r="G22" s="118">
        <v>218274</v>
      </c>
      <c r="H22" s="118">
        <v>230282</v>
      </c>
    </row>
    <row r="23" spans="1:8" x14ac:dyDescent="0.2">
      <c r="A23" s="109" t="s">
        <v>383</v>
      </c>
      <c r="B23" s="126">
        <v>20775</v>
      </c>
      <c r="C23" s="126">
        <v>31603</v>
      </c>
      <c r="D23" s="126">
        <v>44540</v>
      </c>
      <c r="E23" s="126">
        <v>76554</v>
      </c>
      <c r="F23" s="126">
        <v>107363</v>
      </c>
      <c r="G23" s="126">
        <v>140536</v>
      </c>
      <c r="H23" s="126">
        <v>150895</v>
      </c>
    </row>
    <row r="24" spans="1:8" x14ac:dyDescent="0.2">
      <c r="A24" s="110"/>
      <c r="B24" s="110"/>
      <c r="C24" s="110"/>
      <c r="D24" s="110"/>
      <c r="E24" s="110"/>
      <c r="F24" s="110"/>
      <c r="G24" s="110"/>
      <c r="H24" s="110"/>
    </row>
    <row r="25" spans="1:8" x14ac:dyDescent="0.2">
      <c r="A25" s="110" t="s">
        <v>384</v>
      </c>
      <c r="B25" s="118">
        <v>6988</v>
      </c>
      <c r="C25" s="118">
        <v>10399</v>
      </c>
      <c r="D25" s="118">
        <v>18187</v>
      </c>
      <c r="E25" s="118">
        <v>24237</v>
      </c>
      <c r="F25" s="118">
        <v>30556</v>
      </c>
      <c r="G25" s="118">
        <v>38339</v>
      </c>
      <c r="H25" s="118">
        <v>42179</v>
      </c>
    </row>
    <row r="26" spans="1:8" x14ac:dyDescent="0.2">
      <c r="A26" s="110" t="s">
        <v>385</v>
      </c>
      <c r="B26" s="118">
        <v>1858</v>
      </c>
      <c r="C26" s="118">
        <v>2334</v>
      </c>
      <c r="D26" s="118">
        <v>6105</v>
      </c>
      <c r="E26" s="118">
        <v>5430</v>
      </c>
      <c r="F26" s="118">
        <v>9520</v>
      </c>
      <c r="G26" s="118">
        <v>9603</v>
      </c>
      <c r="H26" s="118">
        <v>9217</v>
      </c>
    </row>
    <row r="27" spans="1:8" x14ac:dyDescent="0.2">
      <c r="A27" s="110" t="s">
        <v>386</v>
      </c>
      <c r="B27" s="118" t="s">
        <v>313</v>
      </c>
      <c r="C27" s="118" t="s">
        <v>313</v>
      </c>
      <c r="D27" s="118" t="s">
        <v>313</v>
      </c>
      <c r="E27" s="118" t="s">
        <v>313</v>
      </c>
      <c r="F27" s="118" t="s">
        <v>313</v>
      </c>
      <c r="G27" s="118" t="s">
        <v>313</v>
      </c>
      <c r="H27" s="118" t="s">
        <v>313</v>
      </c>
    </row>
    <row r="28" spans="1:8" x14ac:dyDescent="0.2">
      <c r="A28" s="110" t="s">
        <v>387</v>
      </c>
      <c r="B28" s="118">
        <v>2162</v>
      </c>
      <c r="C28" s="118">
        <v>3541</v>
      </c>
      <c r="D28" s="118">
        <v>5809</v>
      </c>
      <c r="E28" s="118">
        <v>10222</v>
      </c>
      <c r="F28" s="118">
        <v>14502</v>
      </c>
      <c r="G28" s="118">
        <v>21704</v>
      </c>
      <c r="H28" s="118">
        <v>23454</v>
      </c>
    </row>
    <row r="29" spans="1:8" x14ac:dyDescent="0.2">
      <c r="A29" s="110" t="s">
        <v>388</v>
      </c>
      <c r="B29" s="118">
        <v>5081</v>
      </c>
      <c r="C29" s="118">
        <v>7315</v>
      </c>
      <c r="D29" s="118">
        <v>11191</v>
      </c>
      <c r="E29" s="118">
        <v>16307</v>
      </c>
      <c r="F29" s="118">
        <v>24946</v>
      </c>
      <c r="G29" s="118">
        <v>35805</v>
      </c>
      <c r="H29" s="118">
        <v>38899</v>
      </c>
    </row>
    <row r="30" spans="1:8" x14ac:dyDescent="0.2">
      <c r="A30" s="110"/>
      <c r="B30" s="110"/>
      <c r="C30" s="110"/>
      <c r="D30" s="110"/>
      <c r="E30" s="110"/>
      <c r="F30" s="110"/>
      <c r="G30" s="110"/>
      <c r="H30" s="110"/>
    </row>
    <row r="31" spans="1:8" x14ac:dyDescent="0.2">
      <c r="A31" s="109" t="s">
        <v>389</v>
      </c>
      <c r="B31" s="126">
        <v>16089</v>
      </c>
      <c r="C31" s="126">
        <v>23589</v>
      </c>
      <c r="D31" s="126">
        <v>41292</v>
      </c>
      <c r="E31" s="126">
        <v>56196</v>
      </c>
      <c r="F31" s="126">
        <v>79524</v>
      </c>
      <c r="G31" s="126">
        <v>105451</v>
      </c>
      <c r="H31" s="126">
        <v>113749</v>
      </c>
    </row>
    <row r="32" spans="1:8" x14ac:dyDescent="0.2">
      <c r="A32" s="110"/>
      <c r="B32" s="110"/>
      <c r="C32" s="110"/>
      <c r="D32" s="110"/>
      <c r="E32" s="110"/>
      <c r="F32" s="110"/>
      <c r="G32" s="110"/>
      <c r="H32" s="110"/>
    </row>
    <row r="33" spans="1:8" x14ac:dyDescent="0.2">
      <c r="A33" s="109" t="s">
        <v>390</v>
      </c>
      <c r="B33" s="111">
        <v>4686</v>
      </c>
      <c r="C33" s="111">
        <v>8014</v>
      </c>
      <c r="D33" s="111">
        <v>3248</v>
      </c>
      <c r="E33" s="111">
        <v>20358</v>
      </c>
      <c r="F33" s="111">
        <v>27839</v>
      </c>
      <c r="G33" s="111">
        <v>35085</v>
      </c>
      <c r="H33" s="111">
        <v>37146</v>
      </c>
    </row>
    <row r="34" spans="1:8" x14ac:dyDescent="0.2">
      <c r="A34" s="110"/>
      <c r="B34" s="110"/>
      <c r="C34" s="110"/>
      <c r="D34" s="110"/>
      <c r="E34" s="110"/>
      <c r="F34" s="110"/>
      <c r="G34" s="110"/>
      <c r="H34" s="110"/>
    </row>
    <row r="35" spans="1:8" x14ac:dyDescent="0.2">
      <c r="A35" s="110" t="s">
        <v>391</v>
      </c>
      <c r="B35" s="118">
        <v>-156</v>
      </c>
      <c r="C35" s="118">
        <v>-52</v>
      </c>
      <c r="D35" s="118">
        <v>-365</v>
      </c>
      <c r="E35" s="118">
        <v>-332</v>
      </c>
      <c r="F35" s="118">
        <v>-374</v>
      </c>
      <c r="G35" s="118">
        <v>-1643</v>
      </c>
      <c r="H35" s="118">
        <v>-1905</v>
      </c>
    </row>
    <row r="36" spans="1:8" x14ac:dyDescent="0.2">
      <c r="A36" s="110" t="s">
        <v>392</v>
      </c>
      <c r="B36" s="118" t="s">
        <v>313</v>
      </c>
      <c r="C36" s="118" t="s">
        <v>313</v>
      </c>
      <c r="D36" s="118" t="s">
        <v>313</v>
      </c>
      <c r="E36" s="118">
        <v>7</v>
      </c>
      <c r="F36" s="118">
        <v>384</v>
      </c>
      <c r="G36" s="118">
        <v>907</v>
      </c>
      <c r="H36" s="118">
        <v>991</v>
      </c>
    </row>
    <row r="37" spans="1:8" x14ac:dyDescent="0.2">
      <c r="A37" s="109" t="s">
        <v>393</v>
      </c>
      <c r="B37" s="126">
        <v>-156</v>
      </c>
      <c r="C37" s="126">
        <v>-52</v>
      </c>
      <c r="D37" s="126">
        <v>-365</v>
      </c>
      <c r="E37" s="126">
        <v>-325</v>
      </c>
      <c r="F37" s="126">
        <v>10</v>
      </c>
      <c r="G37" s="126">
        <v>-736</v>
      </c>
      <c r="H37" s="126">
        <v>-914</v>
      </c>
    </row>
    <row r="38" spans="1:8" x14ac:dyDescent="0.2">
      <c r="A38" s="110"/>
      <c r="B38" s="110"/>
      <c r="C38" s="110"/>
      <c r="D38" s="110"/>
      <c r="E38" s="110"/>
      <c r="F38" s="110"/>
      <c r="G38" s="110"/>
      <c r="H38" s="110"/>
    </row>
    <row r="39" spans="1:8" x14ac:dyDescent="0.2">
      <c r="A39" s="110" t="s">
        <v>394</v>
      </c>
      <c r="B39" s="118" t="s">
        <v>313</v>
      </c>
      <c r="C39" s="118" t="s">
        <v>313</v>
      </c>
      <c r="D39" s="118">
        <v>2</v>
      </c>
      <c r="E39" s="118" t="s">
        <v>313</v>
      </c>
      <c r="F39" s="118" t="s">
        <v>313</v>
      </c>
      <c r="G39" s="118" t="s">
        <v>313</v>
      </c>
      <c r="H39" s="118" t="s">
        <v>313</v>
      </c>
    </row>
    <row r="40" spans="1:8" x14ac:dyDescent="0.2">
      <c r="A40" s="109" t="s">
        <v>395</v>
      </c>
      <c r="B40" s="126">
        <v>4530</v>
      </c>
      <c r="C40" s="126">
        <v>7962</v>
      </c>
      <c r="D40" s="126">
        <v>2885</v>
      </c>
      <c r="E40" s="126">
        <v>20033</v>
      </c>
      <c r="F40" s="126">
        <v>27849</v>
      </c>
      <c r="G40" s="126">
        <v>34349</v>
      </c>
      <c r="H40" s="126">
        <v>36232</v>
      </c>
    </row>
    <row r="41" spans="1:8" x14ac:dyDescent="0.2">
      <c r="A41" s="110"/>
      <c r="B41" s="110"/>
      <c r="C41" s="110"/>
      <c r="D41" s="110"/>
      <c r="E41" s="110"/>
      <c r="F41" s="110"/>
      <c r="G41" s="110"/>
      <c r="H41" s="110"/>
    </row>
    <row r="42" spans="1:8" x14ac:dyDescent="0.2">
      <c r="A42" s="110" t="s">
        <v>396</v>
      </c>
      <c r="B42" s="118" t="s">
        <v>313</v>
      </c>
      <c r="C42" s="118" t="s">
        <v>313</v>
      </c>
      <c r="D42" s="118" t="s">
        <v>313</v>
      </c>
      <c r="E42" s="118" t="s">
        <v>313</v>
      </c>
      <c r="F42" s="118" t="s">
        <v>313</v>
      </c>
      <c r="G42" s="118" t="s">
        <v>313</v>
      </c>
      <c r="H42" s="118" t="s">
        <v>313</v>
      </c>
    </row>
    <row r="43" spans="1:8" x14ac:dyDescent="0.2">
      <c r="A43" s="110" t="s">
        <v>397</v>
      </c>
      <c r="B43" s="118" t="s">
        <v>313</v>
      </c>
      <c r="C43" s="118" t="s">
        <v>313</v>
      </c>
      <c r="D43" s="118" t="s">
        <v>313</v>
      </c>
      <c r="E43" s="118" t="s">
        <v>313</v>
      </c>
      <c r="F43" s="118">
        <v>-7</v>
      </c>
      <c r="G43" s="118">
        <v>-5</v>
      </c>
      <c r="H43" s="118">
        <v>-56</v>
      </c>
    </row>
    <row r="44" spans="1:8" x14ac:dyDescent="0.2">
      <c r="A44" s="110" t="s">
        <v>398</v>
      </c>
      <c r="B44" s="118" t="s">
        <v>313</v>
      </c>
      <c r="C44" s="118">
        <v>-25</v>
      </c>
      <c r="D44" s="118">
        <v>-105</v>
      </c>
      <c r="E44" s="118">
        <v>-17</v>
      </c>
      <c r="F44" s="118">
        <v>-34</v>
      </c>
      <c r="G44" s="118">
        <v>-608</v>
      </c>
      <c r="H44" s="118">
        <v>-785</v>
      </c>
    </row>
    <row r="45" spans="1:8" x14ac:dyDescent="0.2">
      <c r="A45" s="110" t="s">
        <v>399</v>
      </c>
      <c r="B45" s="118" t="s">
        <v>313</v>
      </c>
      <c r="C45" s="118" t="s">
        <v>313</v>
      </c>
      <c r="D45" s="118" t="s">
        <v>313</v>
      </c>
      <c r="E45" s="118">
        <v>-770</v>
      </c>
      <c r="F45" s="118" t="s">
        <v>313</v>
      </c>
      <c r="G45" s="118" t="s">
        <v>313</v>
      </c>
      <c r="H45" s="118" t="s">
        <v>313</v>
      </c>
    </row>
    <row r="46" spans="1:8" x14ac:dyDescent="0.2">
      <c r="A46" s="110" t="s">
        <v>400</v>
      </c>
      <c r="B46" s="118" t="s">
        <v>313</v>
      </c>
      <c r="C46" s="118">
        <v>-2054</v>
      </c>
      <c r="D46" s="118" t="s">
        <v>313</v>
      </c>
      <c r="E46" s="118">
        <v>-12818</v>
      </c>
      <c r="F46" s="118">
        <v>688</v>
      </c>
      <c r="G46" s="118">
        <v>126557</v>
      </c>
      <c r="H46" s="118">
        <v>125559</v>
      </c>
    </row>
    <row r="47" spans="1:8" x14ac:dyDescent="0.2">
      <c r="A47" s="109" t="s">
        <v>401</v>
      </c>
      <c r="B47" s="126">
        <v>4530</v>
      </c>
      <c r="C47" s="126">
        <v>5883</v>
      </c>
      <c r="D47" s="126">
        <v>2780</v>
      </c>
      <c r="E47" s="126">
        <v>6428</v>
      </c>
      <c r="F47" s="126">
        <v>28496</v>
      </c>
      <c r="G47" s="126">
        <v>160293</v>
      </c>
      <c r="H47" s="126">
        <v>160950</v>
      </c>
    </row>
    <row r="48" spans="1:8" x14ac:dyDescent="0.2">
      <c r="A48" s="110"/>
      <c r="B48" s="110"/>
      <c r="C48" s="110"/>
      <c r="D48" s="110"/>
      <c r="E48" s="110"/>
      <c r="F48" s="110"/>
      <c r="G48" s="110"/>
      <c r="H48" s="110"/>
    </row>
    <row r="49" spans="1:8" x14ac:dyDescent="0.2">
      <c r="A49" s="110" t="s">
        <v>402</v>
      </c>
      <c r="B49" s="118">
        <v>397</v>
      </c>
      <c r="C49" s="118">
        <v>460</v>
      </c>
      <c r="D49" s="118">
        <v>662</v>
      </c>
      <c r="E49" s="118">
        <v>3304</v>
      </c>
      <c r="F49" s="118">
        <v>6350</v>
      </c>
      <c r="G49" s="118">
        <v>151409</v>
      </c>
      <c r="H49" s="118">
        <v>150949</v>
      </c>
    </row>
    <row r="50" spans="1:8" x14ac:dyDescent="0.2">
      <c r="A50" s="109" t="s">
        <v>403</v>
      </c>
      <c r="B50" s="126">
        <v>4133</v>
      </c>
      <c r="C50" s="126">
        <v>5423</v>
      </c>
      <c r="D50" s="126">
        <v>2118</v>
      </c>
      <c r="E50" s="126">
        <v>3124</v>
      </c>
      <c r="F50" s="126">
        <v>22146</v>
      </c>
      <c r="G50" s="126">
        <v>8884</v>
      </c>
      <c r="H50" s="126">
        <v>10001</v>
      </c>
    </row>
    <row r="51" spans="1:8" x14ac:dyDescent="0.2">
      <c r="A51" s="110"/>
      <c r="B51" s="110"/>
      <c r="C51" s="110"/>
      <c r="D51" s="110"/>
      <c r="E51" s="110"/>
      <c r="F51" s="110"/>
      <c r="G51" s="110"/>
      <c r="H51" s="110"/>
    </row>
    <row r="52" spans="1:8" x14ac:dyDescent="0.2">
      <c r="A52" s="110" t="s">
        <v>404</v>
      </c>
      <c r="B52" s="118" t="s">
        <v>313</v>
      </c>
      <c r="C52" s="118" t="s">
        <v>313</v>
      </c>
      <c r="D52" s="118" t="s">
        <v>313</v>
      </c>
      <c r="E52" s="118" t="s">
        <v>313</v>
      </c>
      <c r="F52" s="118" t="s">
        <v>313</v>
      </c>
      <c r="G52" s="118" t="s">
        <v>313</v>
      </c>
      <c r="H52" s="118" t="s">
        <v>313</v>
      </c>
    </row>
    <row r="53" spans="1:8" x14ac:dyDescent="0.2">
      <c r="A53" s="110" t="s">
        <v>405</v>
      </c>
      <c r="B53" s="118" t="s">
        <v>313</v>
      </c>
      <c r="C53" s="118" t="s">
        <v>313</v>
      </c>
      <c r="D53" s="118" t="s">
        <v>313</v>
      </c>
      <c r="E53" s="118" t="s">
        <v>313</v>
      </c>
      <c r="F53" s="118" t="s">
        <v>313</v>
      </c>
      <c r="G53" s="118" t="s">
        <v>313</v>
      </c>
      <c r="H53" s="118" t="s">
        <v>313</v>
      </c>
    </row>
    <row r="54" spans="1:8" x14ac:dyDescent="0.2">
      <c r="A54" s="109" t="s">
        <v>406</v>
      </c>
      <c r="B54" s="126">
        <v>4133</v>
      </c>
      <c r="C54" s="126">
        <v>5423</v>
      </c>
      <c r="D54" s="126">
        <v>2118</v>
      </c>
      <c r="E54" s="126">
        <v>3124</v>
      </c>
      <c r="F54" s="126">
        <v>22146</v>
      </c>
      <c r="G54" s="126">
        <v>8884</v>
      </c>
      <c r="H54" s="126">
        <v>10001</v>
      </c>
    </row>
    <row r="55" spans="1:8" x14ac:dyDescent="0.2">
      <c r="A55" s="110"/>
      <c r="B55" s="110"/>
      <c r="C55" s="110"/>
      <c r="D55" s="110"/>
      <c r="E55" s="110"/>
      <c r="F55" s="110"/>
      <c r="G55" s="110"/>
      <c r="H55" s="110"/>
    </row>
    <row r="56" spans="1:8" x14ac:dyDescent="0.2">
      <c r="A56" s="110" t="s">
        <v>407</v>
      </c>
      <c r="B56" s="118" t="s">
        <v>313</v>
      </c>
      <c r="C56" s="118" t="s">
        <v>313</v>
      </c>
      <c r="D56" s="118" t="s">
        <v>313</v>
      </c>
      <c r="E56" s="118">
        <v>-11900</v>
      </c>
      <c r="F56" s="118">
        <v>-9700</v>
      </c>
      <c r="G56" s="118">
        <v>-9204</v>
      </c>
      <c r="H56" s="118">
        <v>-9080</v>
      </c>
    </row>
    <row r="57" spans="1:8" x14ac:dyDescent="0.2">
      <c r="A57" s="109" t="s">
        <v>408</v>
      </c>
      <c r="B57" s="127">
        <v>4133</v>
      </c>
      <c r="C57" s="127">
        <v>5423</v>
      </c>
      <c r="D57" s="127">
        <v>2118</v>
      </c>
      <c r="E57" s="127">
        <v>-8776</v>
      </c>
      <c r="F57" s="127">
        <v>12446</v>
      </c>
      <c r="G57" s="127">
        <v>-320</v>
      </c>
      <c r="H57" s="127">
        <v>921</v>
      </c>
    </row>
    <row r="58" spans="1:8" x14ac:dyDescent="0.2">
      <c r="A58" s="110"/>
      <c r="B58" s="110"/>
      <c r="C58" s="110"/>
      <c r="D58" s="110"/>
      <c r="E58" s="110"/>
      <c r="F58" s="110"/>
      <c r="G58" s="110"/>
      <c r="H58" s="110"/>
    </row>
    <row r="59" spans="1:8" x14ac:dyDescent="0.2">
      <c r="A59" s="110" t="s">
        <v>409</v>
      </c>
      <c r="B59" s="118" t="s">
        <v>313</v>
      </c>
      <c r="C59" s="118" t="s">
        <v>313</v>
      </c>
      <c r="D59" s="118" t="s">
        <v>313</v>
      </c>
      <c r="E59" s="118" t="s">
        <v>313</v>
      </c>
      <c r="F59" s="118" t="s">
        <v>313</v>
      </c>
      <c r="G59" s="118" t="s">
        <v>313</v>
      </c>
      <c r="H59" s="118" t="s">
        <v>313</v>
      </c>
    </row>
    <row r="60" spans="1:8" x14ac:dyDescent="0.2">
      <c r="A60" s="110"/>
      <c r="B60" s="110"/>
      <c r="C60" s="110"/>
      <c r="D60" s="110"/>
      <c r="E60" s="110"/>
      <c r="F60" s="110"/>
      <c r="G60" s="110"/>
      <c r="H60" s="110"/>
    </row>
    <row r="61" spans="1:8" x14ac:dyDescent="0.2">
      <c r="A61" s="109" t="s">
        <v>410</v>
      </c>
      <c r="B61" s="111">
        <v>4133</v>
      </c>
      <c r="C61" s="111">
        <v>5423</v>
      </c>
      <c r="D61" s="111">
        <v>2118</v>
      </c>
      <c r="E61" s="111">
        <v>-8776</v>
      </c>
      <c r="F61" s="111">
        <v>12446</v>
      </c>
      <c r="G61" s="111">
        <v>-320</v>
      </c>
      <c r="H61" s="111">
        <v>921</v>
      </c>
    </row>
    <row r="62" spans="1:8" x14ac:dyDescent="0.2">
      <c r="A62" s="109" t="s">
        <v>411</v>
      </c>
      <c r="B62" s="111">
        <v>4133</v>
      </c>
      <c r="C62" s="111">
        <v>5423</v>
      </c>
      <c r="D62" s="111">
        <v>2118</v>
      </c>
      <c r="E62" s="111">
        <v>-8776</v>
      </c>
      <c r="F62" s="111">
        <v>12446</v>
      </c>
      <c r="G62" s="111">
        <v>-320</v>
      </c>
      <c r="H62" s="111">
        <v>921</v>
      </c>
    </row>
    <row r="63" spans="1:8" x14ac:dyDescent="0.2">
      <c r="A63" s="110"/>
      <c r="B63" s="110"/>
      <c r="C63" s="110"/>
      <c r="D63" s="110"/>
      <c r="E63" s="110"/>
      <c r="F63" s="110"/>
      <c r="G63" s="110"/>
      <c r="H63" s="110"/>
    </row>
    <row r="64" spans="1:8" x14ac:dyDescent="0.2">
      <c r="A64" s="109" t="s">
        <v>412</v>
      </c>
      <c r="B64" s="110"/>
      <c r="C64" s="110"/>
      <c r="D64" s="110"/>
      <c r="E64" s="110"/>
      <c r="F64" s="110"/>
      <c r="G64" s="110"/>
      <c r="H64" s="110"/>
    </row>
    <row r="65" spans="1:8" x14ac:dyDescent="0.2">
      <c r="A65" s="110" t="s">
        <v>413</v>
      </c>
      <c r="B65" s="128" t="s">
        <v>311</v>
      </c>
      <c r="C65" s="120">
        <v>0.18</v>
      </c>
      <c r="D65" s="120">
        <v>7.0000000000000007E-2</v>
      </c>
      <c r="E65" s="120">
        <v>-0.65</v>
      </c>
      <c r="F65" s="120">
        <v>0.54</v>
      </c>
      <c r="G65" s="120">
        <v>-0.01</v>
      </c>
      <c r="H65" s="120">
        <v>0.04</v>
      </c>
    </row>
    <row r="66" spans="1:8" x14ac:dyDescent="0.2">
      <c r="A66" s="110" t="s">
        <v>414</v>
      </c>
      <c r="B66" s="128" t="s">
        <v>311</v>
      </c>
      <c r="C66" s="128">
        <v>0.18116499999999999</v>
      </c>
      <c r="D66" s="128">
        <v>7.0653999999999995E-2</v>
      </c>
      <c r="E66" s="128">
        <v>-0.65</v>
      </c>
      <c r="F66" s="128">
        <v>0.54216699999999995</v>
      </c>
      <c r="G66" s="128">
        <v>-0.01</v>
      </c>
      <c r="H66" s="128">
        <v>3.5028999999999998E-2</v>
      </c>
    </row>
    <row r="67" spans="1:8" x14ac:dyDescent="0.2">
      <c r="A67" s="110" t="s">
        <v>415</v>
      </c>
      <c r="B67" s="118" t="s">
        <v>311</v>
      </c>
      <c r="C67" s="118">
        <v>29934</v>
      </c>
      <c r="D67" s="118">
        <v>29977</v>
      </c>
      <c r="E67" s="118">
        <v>13588</v>
      </c>
      <c r="F67" s="118">
        <v>22956</v>
      </c>
      <c r="G67" s="118">
        <v>25876</v>
      </c>
      <c r="H67" s="118">
        <v>26291.75</v>
      </c>
    </row>
    <row r="68" spans="1:8" x14ac:dyDescent="0.2">
      <c r="A68" s="110"/>
      <c r="B68" s="110"/>
      <c r="C68" s="110"/>
      <c r="D68" s="110"/>
      <c r="E68" s="110"/>
      <c r="F68" s="110"/>
      <c r="G68" s="110"/>
      <c r="H68" s="110"/>
    </row>
    <row r="69" spans="1:8" x14ac:dyDescent="0.2">
      <c r="A69" s="110" t="s">
        <v>416</v>
      </c>
      <c r="B69" s="128" t="s">
        <v>311</v>
      </c>
      <c r="C69" s="120">
        <v>0.18</v>
      </c>
      <c r="D69" s="120">
        <v>7.0000000000000007E-2</v>
      </c>
      <c r="E69" s="120">
        <v>-0.65</v>
      </c>
      <c r="F69" s="120">
        <v>0.53</v>
      </c>
      <c r="G69" s="120">
        <v>-0.01</v>
      </c>
      <c r="H69" s="120">
        <v>0.04</v>
      </c>
    </row>
    <row r="70" spans="1:8" x14ac:dyDescent="0.2">
      <c r="A70" s="110" t="s">
        <v>417</v>
      </c>
      <c r="B70" s="128" t="s">
        <v>311</v>
      </c>
      <c r="C70" s="128">
        <v>0.18</v>
      </c>
      <c r="D70" s="128">
        <v>7.0314000000000002E-2</v>
      </c>
      <c r="E70" s="128">
        <v>-0.65</v>
      </c>
      <c r="F70" s="128">
        <v>0.53</v>
      </c>
      <c r="G70" s="128">
        <v>-0.01</v>
      </c>
      <c r="H70" s="128">
        <v>3.5028999999999998E-2</v>
      </c>
    </row>
    <row r="71" spans="1:8" x14ac:dyDescent="0.2">
      <c r="A71" s="110" t="s">
        <v>418</v>
      </c>
      <c r="B71" s="118" t="s">
        <v>311</v>
      </c>
      <c r="C71" s="118">
        <v>30018</v>
      </c>
      <c r="D71" s="118">
        <v>30122</v>
      </c>
      <c r="E71" s="118">
        <v>13588</v>
      </c>
      <c r="F71" s="118">
        <v>23449</v>
      </c>
      <c r="G71" s="118">
        <v>25876</v>
      </c>
      <c r="H71" s="118">
        <v>26342.75</v>
      </c>
    </row>
    <row r="72" spans="1:8" x14ac:dyDescent="0.2">
      <c r="A72" s="110"/>
      <c r="B72" s="110"/>
      <c r="C72" s="110"/>
      <c r="D72" s="110"/>
      <c r="E72" s="110"/>
      <c r="F72" s="110"/>
      <c r="G72" s="110"/>
      <c r="H72" s="110"/>
    </row>
    <row r="73" spans="1:8" x14ac:dyDescent="0.2">
      <c r="A73" s="110" t="s">
        <v>419</v>
      </c>
      <c r="B73" s="128" t="s">
        <v>311</v>
      </c>
      <c r="C73" s="120">
        <v>0.17</v>
      </c>
      <c r="D73" s="120">
        <v>0.06</v>
      </c>
      <c r="E73" s="120">
        <v>0.05</v>
      </c>
      <c r="F73" s="120">
        <v>0.34</v>
      </c>
      <c r="G73" s="120">
        <v>0.47</v>
      </c>
      <c r="H73" s="120">
        <v>0.52</v>
      </c>
    </row>
    <row r="74" spans="1:8" x14ac:dyDescent="0.2">
      <c r="A74" s="110" t="s">
        <v>420</v>
      </c>
      <c r="B74" s="128" t="s">
        <v>311</v>
      </c>
      <c r="C74" s="128">
        <v>0.16577500000000001</v>
      </c>
      <c r="D74" s="128">
        <v>5.9859999999999997E-2</v>
      </c>
      <c r="E74" s="128">
        <v>4.5673999999999999E-2</v>
      </c>
      <c r="F74" s="128">
        <v>0.32861200000000002</v>
      </c>
      <c r="G74" s="128">
        <v>0.47395700000000002</v>
      </c>
      <c r="H74" s="128">
        <v>0.51494200000000001</v>
      </c>
    </row>
    <row r="75" spans="1:8" x14ac:dyDescent="0.2">
      <c r="A75" s="110"/>
      <c r="B75" s="110"/>
      <c r="C75" s="110"/>
      <c r="D75" s="110"/>
      <c r="E75" s="110"/>
      <c r="F75" s="110"/>
      <c r="G75" s="110"/>
      <c r="H75" s="110"/>
    </row>
    <row r="76" spans="1:8" x14ac:dyDescent="0.2">
      <c r="A76" s="110" t="s">
        <v>421</v>
      </c>
      <c r="B76" s="128" t="s">
        <v>311</v>
      </c>
      <c r="C76" s="128" t="s">
        <v>311</v>
      </c>
      <c r="D76" s="128" t="s">
        <v>311</v>
      </c>
      <c r="E76" s="128" t="s">
        <v>311</v>
      </c>
      <c r="F76" s="128" t="s">
        <v>311</v>
      </c>
      <c r="G76" s="128" t="s">
        <v>311</v>
      </c>
      <c r="H76" s="128" t="s">
        <v>311</v>
      </c>
    </row>
    <row r="77" spans="1:8" x14ac:dyDescent="0.2">
      <c r="A77" s="110" t="s">
        <v>422</v>
      </c>
      <c r="B77" s="117" t="s">
        <v>311</v>
      </c>
      <c r="C77" s="117" t="s">
        <v>311</v>
      </c>
      <c r="D77" s="129">
        <v>12.780925</v>
      </c>
      <c r="E77" s="117" t="s">
        <v>311</v>
      </c>
      <c r="F77" s="117" t="s">
        <v>311</v>
      </c>
      <c r="G77" s="117" t="s">
        <v>311</v>
      </c>
      <c r="H77" s="117" t="s">
        <v>311</v>
      </c>
    </row>
    <row r="78" spans="1:8" x14ac:dyDescent="0.2">
      <c r="A78" s="110"/>
      <c r="B78" s="110"/>
      <c r="C78" s="110"/>
      <c r="D78" s="110"/>
      <c r="E78" s="110"/>
      <c r="F78" s="110"/>
      <c r="G78" s="110"/>
      <c r="H78" s="110"/>
    </row>
    <row r="79" spans="1:8" x14ac:dyDescent="0.2">
      <c r="A79" s="109" t="s">
        <v>423</v>
      </c>
      <c r="B79" s="110"/>
      <c r="C79" s="110"/>
      <c r="D79" s="110"/>
      <c r="E79" s="110"/>
      <c r="F79" s="110"/>
      <c r="G79" s="110"/>
      <c r="H79" s="110"/>
    </row>
    <row r="80" spans="1:8" x14ac:dyDescent="0.2">
      <c r="A80" s="110" t="s">
        <v>121</v>
      </c>
      <c r="B80" s="118">
        <v>6848</v>
      </c>
      <c r="C80" s="118">
        <v>11555</v>
      </c>
      <c r="D80" s="118">
        <v>9057</v>
      </c>
      <c r="E80" s="118">
        <v>30580</v>
      </c>
      <c r="F80" s="118">
        <v>42341</v>
      </c>
      <c r="G80" s="118">
        <v>56789</v>
      </c>
      <c r="H80" s="118">
        <v>60600</v>
      </c>
    </row>
    <row r="81" spans="1:8" x14ac:dyDescent="0.2">
      <c r="A81" s="110" t="s">
        <v>424</v>
      </c>
      <c r="B81" s="118">
        <v>4686</v>
      </c>
      <c r="C81" s="118">
        <v>8014</v>
      </c>
      <c r="D81" s="118">
        <v>3248</v>
      </c>
      <c r="E81" s="118">
        <v>20358</v>
      </c>
      <c r="F81" s="118">
        <v>27839</v>
      </c>
      <c r="G81" s="118">
        <v>35085</v>
      </c>
      <c r="H81" s="118">
        <v>37146</v>
      </c>
    </row>
    <row r="82" spans="1:8" x14ac:dyDescent="0.2">
      <c r="A82" s="110" t="s">
        <v>315</v>
      </c>
      <c r="B82" s="118">
        <v>4686</v>
      </c>
      <c r="C82" s="118">
        <v>8014</v>
      </c>
      <c r="D82" s="118">
        <v>3248</v>
      </c>
      <c r="E82" s="118">
        <v>20358</v>
      </c>
      <c r="F82" s="118">
        <v>27839</v>
      </c>
      <c r="G82" s="118">
        <v>35085</v>
      </c>
      <c r="H82" s="118">
        <v>37146</v>
      </c>
    </row>
    <row r="83" spans="1:8" x14ac:dyDescent="0.2">
      <c r="A83" s="110" t="s">
        <v>425</v>
      </c>
      <c r="B83" s="118">
        <v>11722</v>
      </c>
      <c r="C83" s="118">
        <v>18663</v>
      </c>
      <c r="D83" s="118">
        <v>20267</v>
      </c>
      <c r="E83" s="118">
        <v>45817</v>
      </c>
      <c r="F83" s="118">
        <v>64165</v>
      </c>
      <c r="G83" s="118">
        <v>82950</v>
      </c>
      <c r="H83" s="118" t="s">
        <v>311</v>
      </c>
    </row>
    <row r="84" spans="1:8" x14ac:dyDescent="0.2">
      <c r="A84" s="110" t="s">
        <v>426</v>
      </c>
      <c r="B84" s="118">
        <v>57038</v>
      </c>
      <c r="C84" s="118">
        <v>82456</v>
      </c>
      <c r="D84" s="118">
        <v>118530</v>
      </c>
      <c r="E84" s="118">
        <v>190592</v>
      </c>
      <c r="F84" s="118">
        <v>268475</v>
      </c>
      <c r="G84" s="118">
        <v>358810</v>
      </c>
      <c r="H84" s="118">
        <v>381177</v>
      </c>
    </row>
    <row r="85" spans="1:8" x14ac:dyDescent="0.2">
      <c r="A85" s="110" t="s">
        <v>427</v>
      </c>
      <c r="B85" s="129">
        <v>8.7637000000000007E-2</v>
      </c>
      <c r="C85" s="129">
        <v>7.8190999999999997E-2</v>
      </c>
      <c r="D85" s="129">
        <v>0.23812900000000001</v>
      </c>
      <c r="E85" s="129">
        <v>0.51400100000000004</v>
      </c>
      <c r="F85" s="129">
        <v>0.22283800000000001</v>
      </c>
      <c r="G85" s="129">
        <v>0.94457599999999997</v>
      </c>
      <c r="H85" s="129">
        <v>0.93786199999999997</v>
      </c>
    </row>
    <row r="86" spans="1:8" x14ac:dyDescent="0.2">
      <c r="A86" s="110" t="s">
        <v>428</v>
      </c>
      <c r="B86" s="118">
        <v>308</v>
      </c>
      <c r="C86" s="118">
        <v>266</v>
      </c>
      <c r="D86" s="118">
        <v>194</v>
      </c>
      <c r="E86" s="118">
        <v>3605</v>
      </c>
      <c r="F86" s="118">
        <v>6206</v>
      </c>
      <c r="G86" s="118">
        <v>4133</v>
      </c>
      <c r="H86" s="118">
        <v>4133</v>
      </c>
    </row>
    <row r="87" spans="1:8" x14ac:dyDescent="0.2">
      <c r="A87" s="110" t="s">
        <v>429</v>
      </c>
      <c r="B87" s="118">
        <v>123</v>
      </c>
      <c r="C87" s="118">
        <v>187</v>
      </c>
      <c r="D87" s="118">
        <v>561</v>
      </c>
      <c r="E87" s="118">
        <v>433</v>
      </c>
      <c r="F87" s="118">
        <v>667</v>
      </c>
      <c r="G87" s="118">
        <v>942</v>
      </c>
      <c r="H87" s="118">
        <v>942</v>
      </c>
    </row>
    <row r="88" spans="1:8" x14ac:dyDescent="0.2">
      <c r="A88" s="110" t="s">
        <v>430</v>
      </c>
      <c r="B88" s="118">
        <v>431</v>
      </c>
      <c r="C88" s="118">
        <v>453</v>
      </c>
      <c r="D88" s="118">
        <v>755</v>
      </c>
      <c r="E88" s="118">
        <v>4038</v>
      </c>
      <c r="F88" s="118">
        <v>6873</v>
      </c>
      <c r="G88" s="118">
        <v>5075</v>
      </c>
      <c r="H88" s="118">
        <v>5075</v>
      </c>
    </row>
    <row r="89" spans="1:8" x14ac:dyDescent="0.2">
      <c r="A89" s="110" t="s">
        <v>431</v>
      </c>
      <c r="B89" s="118">
        <v>-34</v>
      </c>
      <c r="C89" s="118">
        <v>7</v>
      </c>
      <c r="D89" s="118">
        <v>-93</v>
      </c>
      <c r="E89" s="118">
        <v>-734</v>
      </c>
      <c r="F89" s="118">
        <v>-523</v>
      </c>
      <c r="G89" s="118">
        <v>146334</v>
      </c>
      <c r="H89" s="118">
        <v>146334</v>
      </c>
    </row>
    <row r="90" spans="1:8" x14ac:dyDescent="0.2">
      <c r="A90" s="110" t="s">
        <v>432</v>
      </c>
      <c r="B90" s="118">
        <v>-34</v>
      </c>
      <c r="C90" s="118">
        <v>7</v>
      </c>
      <c r="D90" s="118">
        <v>-93</v>
      </c>
      <c r="E90" s="118">
        <v>-734</v>
      </c>
      <c r="F90" s="118">
        <v>-523</v>
      </c>
      <c r="G90" s="118">
        <v>146334</v>
      </c>
      <c r="H90" s="118">
        <v>146334</v>
      </c>
    </row>
    <row r="91" spans="1:8" x14ac:dyDescent="0.2">
      <c r="A91" s="110"/>
      <c r="B91" s="110"/>
      <c r="C91" s="110"/>
      <c r="D91" s="110"/>
      <c r="E91" s="110"/>
      <c r="F91" s="110"/>
      <c r="G91" s="110"/>
      <c r="H91" s="110"/>
    </row>
    <row r="92" spans="1:8" x14ac:dyDescent="0.2">
      <c r="A92" s="110" t="s">
        <v>433</v>
      </c>
      <c r="B92" s="118">
        <v>2831.25</v>
      </c>
      <c r="C92" s="118">
        <v>4976.25</v>
      </c>
      <c r="D92" s="118">
        <v>1803.125</v>
      </c>
      <c r="E92" s="118">
        <v>620.625</v>
      </c>
      <c r="F92" s="118">
        <v>7705.625</v>
      </c>
      <c r="G92" s="118">
        <v>12264.125</v>
      </c>
      <c r="H92" s="118">
        <v>13565</v>
      </c>
    </row>
    <row r="93" spans="1:8" x14ac:dyDescent="0.2">
      <c r="A93" s="110" t="s">
        <v>434</v>
      </c>
      <c r="B93" s="118" t="s">
        <v>311</v>
      </c>
      <c r="C93" s="118" t="s">
        <v>311</v>
      </c>
      <c r="D93" s="118" t="s">
        <v>311</v>
      </c>
      <c r="E93" s="118">
        <v>108</v>
      </c>
      <c r="F93" s="118" t="s">
        <v>311</v>
      </c>
      <c r="G93" s="118">
        <v>164</v>
      </c>
      <c r="H93" s="118" t="s">
        <v>311</v>
      </c>
    </row>
    <row r="94" spans="1:8" x14ac:dyDescent="0.2">
      <c r="A94" s="110" t="s">
        <v>435</v>
      </c>
      <c r="B94" s="118" t="s">
        <v>311</v>
      </c>
      <c r="C94" s="118" t="s">
        <v>311</v>
      </c>
      <c r="D94" s="118">
        <v>365</v>
      </c>
      <c r="E94" s="118">
        <v>440</v>
      </c>
      <c r="F94" s="118">
        <v>374</v>
      </c>
      <c r="G94" s="118">
        <v>1806</v>
      </c>
      <c r="H94" s="118" t="s">
        <v>311</v>
      </c>
    </row>
    <row r="95" spans="1:8" x14ac:dyDescent="0.2">
      <c r="A95" s="110" t="s">
        <v>436</v>
      </c>
      <c r="B95" s="130">
        <v>42090</v>
      </c>
      <c r="C95" s="130">
        <v>42459</v>
      </c>
      <c r="D95" s="130">
        <v>42807</v>
      </c>
      <c r="E95" s="130">
        <v>43157</v>
      </c>
      <c r="F95" s="130">
        <v>43157</v>
      </c>
      <c r="G95" s="130">
        <v>43157</v>
      </c>
      <c r="H95" s="130">
        <v>43227</v>
      </c>
    </row>
    <row r="96" spans="1:8" x14ac:dyDescent="0.2">
      <c r="A96" s="110" t="s">
        <v>437</v>
      </c>
      <c r="B96" s="117" t="s">
        <v>438</v>
      </c>
      <c r="C96" s="117" t="s">
        <v>439</v>
      </c>
      <c r="D96" s="117" t="s">
        <v>438</v>
      </c>
      <c r="E96" s="117" t="s">
        <v>439</v>
      </c>
      <c r="F96" s="117" t="s">
        <v>438</v>
      </c>
      <c r="G96" s="117" t="s">
        <v>440</v>
      </c>
      <c r="H96" s="117" t="s">
        <v>440</v>
      </c>
    </row>
    <row r="97" spans="1:8" x14ac:dyDescent="0.2">
      <c r="A97" s="110" t="s">
        <v>441</v>
      </c>
      <c r="B97" s="117" t="s">
        <v>442</v>
      </c>
      <c r="C97" s="117" t="s">
        <v>442</v>
      </c>
      <c r="D97" s="117" t="s">
        <v>442</v>
      </c>
      <c r="E97" s="117" t="s">
        <v>442</v>
      </c>
      <c r="F97" s="117" t="s">
        <v>442</v>
      </c>
      <c r="G97" s="117" t="s">
        <v>442</v>
      </c>
      <c r="H97" s="117" t="s">
        <v>443</v>
      </c>
    </row>
    <row r="98" spans="1:8" x14ac:dyDescent="0.2">
      <c r="A98" s="110"/>
      <c r="B98" s="110"/>
      <c r="C98" s="110"/>
      <c r="D98" s="110"/>
      <c r="E98" s="110"/>
      <c r="F98" s="110"/>
      <c r="G98" s="110"/>
      <c r="H98" s="110"/>
    </row>
    <row r="99" spans="1:8" x14ac:dyDescent="0.2">
      <c r="A99" s="109" t="s">
        <v>444</v>
      </c>
      <c r="B99" s="110"/>
      <c r="C99" s="110"/>
      <c r="D99" s="110"/>
      <c r="E99" s="110"/>
      <c r="F99" s="110"/>
      <c r="G99" s="110"/>
      <c r="H99" s="110"/>
    </row>
    <row r="100" spans="1:8" x14ac:dyDescent="0.2">
      <c r="A100" s="110" t="s">
        <v>445</v>
      </c>
      <c r="B100" s="118">
        <v>564</v>
      </c>
      <c r="C100" s="118">
        <v>794</v>
      </c>
      <c r="D100" s="118">
        <v>87</v>
      </c>
      <c r="E100" s="118">
        <v>149</v>
      </c>
      <c r="F100" s="118">
        <v>147</v>
      </c>
      <c r="G100" s="118">
        <v>357</v>
      </c>
      <c r="H100" s="118" t="s">
        <v>311</v>
      </c>
    </row>
    <row r="101" spans="1:8" x14ac:dyDescent="0.2">
      <c r="A101" s="110" t="s">
        <v>446</v>
      </c>
      <c r="B101" s="118">
        <v>6928</v>
      </c>
      <c r="C101" s="118">
        <v>10163</v>
      </c>
      <c r="D101" s="118">
        <v>18149</v>
      </c>
      <c r="E101" s="118">
        <v>24237</v>
      </c>
      <c r="F101" s="118">
        <v>30556</v>
      </c>
      <c r="G101" s="118">
        <v>38339</v>
      </c>
      <c r="H101" s="118">
        <v>40680</v>
      </c>
    </row>
    <row r="102" spans="1:8" x14ac:dyDescent="0.2">
      <c r="A102" s="110" t="s">
        <v>447</v>
      </c>
      <c r="B102" s="118">
        <v>4874</v>
      </c>
      <c r="C102" s="118">
        <v>7108</v>
      </c>
      <c r="D102" s="118">
        <v>11210</v>
      </c>
      <c r="E102" s="118">
        <v>15237</v>
      </c>
      <c r="F102" s="118">
        <v>21824</v>
      </c>
      <c r="G102" s="118">
        <v>26161</v>
      </c>
      <c r="H102" s="118" t="s">
        <v>311</v>
      </c>
    </row>
    <row r="103" spans="1:8" x14ac:dyDescent="0.2">
      <c r="A103" s="110" t="s">
        <v>448</v>
      </c>
      <c r="B103" s="118" t="s">
        <v>313</v>
      </c>
      <c r="C103" s="118" t="s">
        <v>313</v>
      </c>
      <c r="D103" s="118">
        <v>2006.5</v>
      </c>
      <c r="E103" s="118">
        <v>3287.779</v>
      </c>
      <c r="F103" s="118">
        <v>56290.73</v>
      </c>
      <c r="G103" s="118">
        <v>45770.866999999998</v>
      </c>
      <c r="H103" s="118" t="s">
        <v>313</v>
      </c>
    </row>
    <row r="104" spans="1:8" x14ac:dyDescent="0.2">
      <c r="A104" s="110" t="s">
        <v>449</v>
      </c>
      <c r="B104" s="118" t="s">
        <v>313</v>
      </c>
      <c r="C104" s="118" t="s">
        <v>313</v>
      </c>
      <c r="D104" s="118">
        <v>9203.5</v>
      </c>
      <c r="E104" s="118">
        <v>11949.221</v>
      </c>
      <c r="F104" s="118">
        <v>-34466.699999999997</v>
      </c>
      <c r="G104" s="118">
        <v>-19609.900000000001</v>
      </c>
      <c r="H104" s="118" t="s">
        <v>313</v>
      </c>
    </row>
    <row r="105" spans="1:8" x14ac:dyDescent="0.2">
      <c r="A105" s="110"/>
      <c r="B105" s="110"/>
      <c r="C105" s="110"/>
      <c r="D105" s="110"/>
      <c r="E105" s="110"/>
      <c r="F105" s="110"/>
      <c r="G105" s="110"/>
      <c r="H105" s="110"/>
    </row>
    <row r="106" spans="1:8" x14ac:dyDescent="0.2">
      <c r="A106" s="110" t="s">
        <v>450</v>
      </c>
      <c r="B106" s="118">
        <v>450</v>
      </c>
      <c r="C106" s="118">
        <v>93</v>
      </c>
      <c r="D106" s="118" t="s">
        <v>313</v>
      </c>
      <c r="E106" s="118">
        <v>12367</v>
      </c>
      <c r="F106" s="118" t="s">
        <v>313</v>
      </c>
      <c r="G106" s="118" t="s">
        <v>313</v>
      </c>
      <c r="H106" s="118" t="s">
        <v>313</v>
      </c>
    </row>
    <row r="107" spans="1:8" x14ac:dyDescent="0.2">
      <c r="A107" s="110" t="s">
        <v>451</v>
      </c>
      <c r="B107" s="118" t="s">
        <v>313</v>
      </c>
      <c r="C107" s="118" t="s">
        <v>313</v>
      </c>
      <c r="D107" s="118">
        <v>165</v>
      </c>
      <c r="E107" s="118">
        <v>4314</v>
      </c>
      <c r="F107" s="118">
        <v>5354</v>
      </c>
      <c r="G107" s="118">
        <v>5623</v>
      </c>
      <c r="H107" s="118">
        <v>5811</v>
      </c>
    </row>
    <row r="108" spans="1:8" x14ac:dyDescent="0.2">
      <c r="A108" s="109" t="s">
        <v>452</v>
      </c>
      <c r="B108" s="111">
        <v>450</v>
      </c>
      <c r="C108" s="111">
        <v>93</v>
      </c>
      <c r="D108" s="111">
        <v>165</v>
      </c>
      <c r="E108" s="111">
        <v>16681</v>
      </c>
      <c r="F108" s="111">
        <v>5354</v>
      </c>
      <c r="G108" s="111">
        <v>5623</v>
      </c>
      <c r="H108" s="111">
        <v>5811</v>
      </c>
    </row>
    <row r="109" spans="1:8" x14ac:dyDescent="0.2">
      <c r="A109" s="110"/>
      <c r="B109" s="110"/>
      <c r="C109" s="110"/>
      <c r="D109" s="110"/>
      <c r="E109" s="110"/>
      <c r="F109" s="110"/>
      <c r="G109" s="110"/>
      <c r="H109" s="110"/>
    </row>
    <row r="110" spans="1:8" x14ac:dyDescent="0.2">
      <c r="A110" s="131" t="s">
        <v>453</v>
      </c>
      <c r="B110" s="119"/>
      <c r="C110" s="119"/>
      <c r="D110" s="119"/>
      <c r="E110" s="119"/>
      <c r="F110" s="119"/>
      <c r="G110" s="119"/>
      <c r="H110" s="119"/>
    </row>
    <row r="111" spans="1:8" x14ac:dyDescent="0.2">
      <c r="A111" s="132" t="s">
        <v>454</v>
      </c>
    </row>
    <row r="112" spans="1:8" x14ac:dyDescent="0.2">
      <c r="A112" s="12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399FF"/>
    <outlinePr summaryBelow="0" summaryRight="0"/>
    <pageSetUpPr autoPageBreaks="0"/>
  </sheetPr>
  <dimension ref="A5:IU90"/>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4" width="13" style="98" customWidth="1"/>
    <col min="265" max="512" width="9" style="98"/>
    <col min="513" max="513" width="40.09765625" style="98" customWidth="1"/>
    <col min="514" max="520" width="13" style="98" customWidth="1"/>
    <col min="521" max="768" width="9" style="98"/>
    <col min="769" max="769" width="40.09765625" style="98" customWidth="1"/>
    <col min="770" max="776" width="13" style="98" customWidth="1"/>
    <col min="777" max="1024" width="9" style="98"/>
    <col min="1025" max="1025" width="40.09765625" style="98" customWidth="1"/>
    <col min="1026" max="1032" width="13" style="98" customWidth="1"/>
    <col min="1033" max="1280" width="9" style="98"/>
    <col min="1281" max="1281" width="40.09765625" style="98" customWidth="1"/>
    <col min="1282" max="1288" width="13" style="98" customWidth="1"/>
    <col min="1289" max="1536" width="9" style="98"/>
    <col min="1537" max="1537" width="40.09765625" style="98" customWidth="1"/>
    <col min="1538" max="1544" width="13" style="98" customWidth="1"/>
    <col min="1545" max="1792" width="9" style="98"/>
    <col min="1793" max="1793" width="40.09765625" style="98" customWidth="1"/>
    <col min="1794" max="1800" width="13" style="98" customWidth="1"/>
    <col min="1801" max="2048" width="9" style="98"/>
    <col min="2049" max="2049" width="40.09765625" style="98" customWidth="1"/>
    <col min="2050" max="2056" width="13" style="98" customWidth="1"/>
    <col min="2057" max="2304" width="9" style="98"/>
    <col min="2305" max="2305" width="40.09765625" style="98" customWidth="1"/>
    <col min="2306" max="2312" width="13" style="98" customWidth="1"/>
    <col min="2313" max="2560" width="9" style="98"/>
    <col min="2561" max="2561" width="40.09765625" style="98" customWidth="1"/>
    <col min="2562" max="2568" width="13" style="98" customWidth="1"/>
    <col min="2569" max="2816" width="9" style="98"/>
    <col min="2817" max="2817" width="40.09765625" style="98" customWidth="1"/>
    <col min="2818" max="2824" width="13" style="98" customWidth="1"/>
    <col min="2825" max="3072" width="9" style="98"/>
    <col min="3073" max="3073" width="40.09765625" style="98" customWidth="1"/>
    <col min="3074" max="3080" width="13" style="98" customWidth="1"/>
    <col min="3081" max="3328" width="9" style="98"/>
    <col min="3329" max="3329" width="40.09765625" style="98" customWidth="1"/>
    <col min="3330" max="3336" width="13" style="98" customWidth="1"/>
    <col min="3337" max="3584" width="9" style="98"/>
    <col min="3585" max="3585" width="40.09765625" style="98" customWidth="1"/>
    <col min="3586" max="3592" width="13" style="98" customWidth="1"/>
    <col min="3593" max="3840" width="9" style="98"/>
    <col min="3841" max="3841" width="40.09765625" style="98" customWidth="1"/>
    <col min="3842" max="3848" width="13" style="98" customWidth="1"/>
    <col min="3849" max="4096" width="9" style="98"/>
    <col min="4097" max="4097" width="40.09765625" style="98" customWidth="1"/>
    <col min="4098" max="4104" width="13" style="98" customWidth="1"/>
    <col min="4105" max="4352" width="9" style="98"/>
    <col min="4353" max="4353" width="40.09765625" style="98" customWidth="1"/>
    <col min="4354" max="4360" width="13" style="98" customWidth="1"/>
    <col min="4361" max="4608" width="9" style="98"/>
    <col min="4609" max="4609" width="40.09765625" style="98" customWidth="1"/>
    <col min="4610" max="4616" width="13" style="98" customWidth="1"/>
    <col min="4617" max="4864" width="9" style="98"/>
    <col min="4865" max="4865" width="40.09765625" style="98" customWidth="1"/>
    <col min="4866" max="4872" width="13" style="98" customWidth="1"/>
    <col min="4873" max="5120" width="9" style="98"/>
    <col min="5121" max="5121" width="40.09765625" style="98" customWidth="1"/>
    <col min="5122" max="5128" width="13" style="98" customWidth="1"/>
    <col min="5129" max="5376" width="9" style="98"/>
    <col min="5377" max="5377" width="40.09765625" style="98" customWidth="1"/>
    <col min="5378" max="5384" width="13" style="98" customWidth="1"/>
    <col min="5385" max="5632" width="9" style="98"/>
    <col min="5633" max="5633" width="40.09765625" style="98" customWidth="1"/>
    <col min="5634" max="5640" width="13" style="98" customWidth="1"/>
    <col min="5641" max="5888" width="9" style="98"/>
    <col min="5889" max="5889" width="40.09765625" style="98" customWidth="1"/>
    <col min="5890" max="5896" width="13" style="98" customWidth="1"/>
    <col min="5897" max="6144" width="9" style="98"/>
    <col min="6145" max="6145" width="40.09765625" style="98" customWidth="1"/>
    <col min="6146" max="6152" width="13" style="98" customWidth="1"/>
    <col min="6153" max="6400" width="9" style="98"/>
    <col min="6401" max="6401" width="40.09765625" style="98" customWidth="1"/>
    <col min="6402" max="6408" width="13" style="98" customWidth="1"/>
    <col min="6409" max="6656" width="9" style="98"/>
    <col min="6657" max="6657" width="40.09765625" style="98" customWidth="1"/>
    <col min="6658" max="6664" width="13" style="98" customWidth="1"/>
    <col min="6665" max="6912" width="9" style="98"/>
    <col min="6913" max="6913" width="40.09765625" style="98" customWidth="1"/>
    <col min="6914" max="6920" width="13" style="98" customWidth="1"/>
    <col min="6921" max="7168" width="9" style="98"/>
    <col min="7169" max="7169" width="40.09765625" style="98" customWidth="1"/>
    <col min="7170" max="7176" width="13" style="98" customWidth="1"/>
    <col min="7177" max="7424" width="9" style="98"/>
    <col min="7425" max="7425" width="40.09765625" style="98" customWidth="1"/>
    <col min="7426" max="7432" width="13" style="98" customWidth="1"/>
    <col min="7433" max="7680" width="9" style="98"/>
    <col min="7681" max="7681" width="40.09765625" style="98" customWidth="1"/>
    <col min="7682" max="7688" width="13" style="98" customWidth="1"/>
    <col min="7689" max="7936" width="9" style="98"/>
    <col min="7937" max="7937" width="40.09765625" style="98" customWidth="1"/>
    <col min="7938" max="7944" width="13" style="98" customWidth="1"/>
    <col min="7945" max="8192" width="9" style="98"/>
    <col min="8193" max="8193" width="40.09765625" style="98" customWidth="1"/>
    <col min="8194" max="8200" width="13" style="98" customWidth="1"/>
    <col min="8201" max="8448" width="9" style="98"/>
    <col min="8449" max="8449" width="40.09765625" style="98" customWidth="1"/>
    <col min="8450" max="8456" width="13" style="98" customWidth="1"/>
    <col min="8457" max="8704" width="9" style="98"/>
    <col min="8705" max="8705" width="40.09765625" style="98" customWidth="1"/>
    <col min="8706" max="8712" width="13" style="98" customWidth="1"/>
    <col min="8713" max="8960" width="9" style="98"/>
    <col min="8961" max="8961" width="40.09765625" style="98" customWidth="1"/>
    <col min="8962" max="8968" width="13" style="98" customWidth="1"/>
    <col min="8969" max="9216" width="9" style="98"/>
    <col min="9217" max="9217" width="40.09765625" style="98" customWidth="1"/>
    <col min="9218" max="9224" width="13" style="98" customWidth="1"/>
    <col min="9225" max="9472" width="9" style="98"/>
    <col min="9473" max="9473" width="40.09765625" style="98" customWidth="1"/>
    <col min="9474" max="9480" width="13" style="98" customWidth="1"/>
    <col min="9481" max="9728" width="9" style="98"/>
    <col min="9729" max="9729" width="40.09765625" style="98" customWidth="1"/>
    <col min="9730" max="9736" width="13" style="98" customWidth="1"/>
    <col min="9737" max="9984" width="9" style="98"/>
    <col min="9985" max="9985" width="40.09765625" style="98" customWidth="1"/>
    <col min="9986" max="9992" width="13" style="98" customWidth="1"/>
    <col min="9993" max="10240" width="9" style="98"/>
    <col min="10241" max="10241" width="40.09765625" style="98" customWidth="1"/>
    <col min="10242" max="10248" width="13" style="98" customWidth="1"/>
    <col min="10249" max="10496" width="9" style="98"/>
    <col min="10497" max="10497" width="40.09765625" style="98" customWidth="1"/>
    <col min="10498" max="10504" width="13" style="98" customWidth="1"/>
    <col min="10505" max="10752" width="9" style="98"/>
    <col min="10753" max="10753" width="40.09765625" style="98" customWidth="1"/>
    <col min="10754" max="10760" width="13" style="98" customWidth="1"/>
    <col min="10761" max="11008" width="9" style="98"/>
    <col min="11009" max="11009" width="40.09765625" style="98" customWidth="1"/>
    <col min="11010" max="11016" width="13" style="98" customWidth="1"/>
    <col min="11017" max="11264" width="9" style="98"/>
    <col min="11265" max="11265" width="40.09765625" style="98" customWidth="1"/>
    <col min="11266" max="11272" width="13" style="98" customWidth="1"/>
    <col min="11273" max="11520" width="9" style="98"/>
    <col min="11521" max="11521" width="40.09765625" style="98" customWidth="1"/>
    <col min="11522" max="11528" width="13" style="98" customWidth="1"/>
    <col min="11529" max="11776" width="9" style="98"/>
    <col min="11777" max="11777" width="40.09765625" style="98" customWidth="1"/>
    <col min="11778" max="11784" width="13" style="98" customWidth="1"/>
    <col min="11785" max="12032" width="9" style="98"/>
    <col min="12033" max="12033" width="40.09765625" style="98" customWidth="1"/>
    <col min="12034" max="12040" width="13" style="98" customWidth="1"/>
    <col min="12041" max="12288" width="9" style="98"/>
    <col min="12289" max="12289" width="40.09765625" style="98" customWidth="1"/>
    <col min="12290" max="12296" width="13" style="98" customWidth="1"/>
    <col min="12297" max="12544" width="9" style="98"/>
    <col min="12545" max="12545" width="40.09765625" style="98" customWidth="1"/>
    <col min="12546" max="12552" width="13" style="98" customWidth="1"/>
    <col min="12553" max="12800" width="9" style="98"/>
    <col min="12801" max="12801" width="40.09765625" style="98" customWidth="1"/>
    <col min="12802" max="12808" width="13" style="98" customWidth="1"/>
    <col min="12809" max="13056" width="9" style="98"/>
    <col min="13057" max="13057" width="40.09765625" style="98" customWidth="1"/>
    <col min="13058" max="13064" width="13" style="98" customWidth="1"/>
    <col min="13065" max="13312" width="9" style="98"/>
    <col min="13313" max="13313" width="40.09765625" style="98" customWidth="1"/>
    <col min="13314" max="13320" width="13" style="98" customWidth="1"/>
    <col min="13321" max="13568" width="9" style="98"/>
    <col min="13569" max="13569" width="40.09765625" style="98" customWidth="1"/>
    <col min="13570" max="13576" width="13" style="98" customWidth="1"/>
    <col min="13577" max="13824" width="9" style="98"/>
    <col min="13825" max="13825" width="40.09765625" style="98" customWidth="1"/>
    <col min="13826" max="13832" width="13" style="98" customWidth="1"/>
    <col min="13833" max="14080" width="9" style="98"/>
    <col min="14081" max="14081" width="40.09765625" style="98" customWidth="1"/>
    <col min="14082" max="14088" width="13" style="98" customWidth="1"/>
    <col min="14089" max="14336" width="9" style="98"/>
    <col min="14337" max="14337" width="40.09765625" style="98" customWidth="1"/>
    <col min="14338" max="14344" width="13" style="98" customWidth="1"/>
    <col min="14345" max="14592" width="9" style="98"/>
    <col min="14593" max="14593" width="40.09765625" style="98" customWidth="1"/>
    <col min="14594" max="14600" width="13" style="98" customWidth="1"/>
    <col min="14601" max="14848" width="9" style="98"/>
    <col min="14849" max="14849" width="40.09765625" style="98" customWidth="1"/>
    <col min="14850" max="14856" width="13" style="98" customWidth="1"/>
    <col min="14857" max="15104" width="9" style="98"/>
    <col min="15105" max="15105" width="40.09765625" style="98" customWidth="1"/>
    <col min="15106" max="15112" width="13" style="98" customWidth="1"/>
    <col min="15113" max="15360" width="9" style="98"/>
    <col min="15361" max="15361" width="40.09765625" style="98" customWidth="1"/>
    <col min="15362" max="15368" width="13" style="98" customWidth="1"/>
    <col min="15369" max="15616" width="9" style="98"/>
    <col min="15617" max="15617" width="40.09765625" style="98" customWidth="1"/>
    <col min="15618" max="15624" width="13" style="98" customWidth="1"/>
    <col min="15625" max="15872" width="9" style="98"/>
    <col min="15873" max="15873" width="40.09765625" style="98" customWidth="1"/>
    <col min="15874" max="15880" width="13" style="98" customWidth="1"/>
    <col min="15881" max="16128" width="9" style="98"/>
    <col min="16129" max="16129" width="40.09765625" style="98" customWidth="1"/>
    <col min="16130" max="16136" width="13" style="98" customWidth="1"/>
    <col min="16137" max="16384" width="9" style="98"/>
  </cols>
  <sheetData>
    <row r="5" spans="1:255" ht="16.2" x14ac:dyDescent="0.25">
      <c r="A5" s="97" t="s">
        <v>455</v>
      </c>
    </row>
    <row r="7" spans="1:255" ht="20.399999999999999" x14ac:dyDescent="0.2">
      <c r="A7" s="99" t="s">
        <v>363</v>
      </c>
      <c r="B7" s="100" t="s">
        <v>364</v>
      </c>
      <c r="C7" s="98" t="s">
        <v>365</v>
      </c>
      <c r="D7" s="101" t="s">
        <v>287</v>
      </c>
      <c r="E7" s="100" t="s">
        <v>366</v>
      </c>
      <c r="F7" s="98" t="s">
        <v>367</v>
      </c>
    </row>
    <row r="8" spans="1:255" x14ac:dyDescent="0.2">
      <c r="A8" s="101"/>
      <c r="B8" s="100" t="s">
        <v>368</v>
      </c>
      <c r="C8" s="98" t="s">
        <v>369</v>
      </c>
      <c r="D8" s="101" t="s">
        <v>287</v>
      </c>
      <c r="E8" s="100" t="s">
        <v>290</v>
      </c>
      <c r="F8" s="98" t="s">
        <v>291</v>
      </c>
    </row>
    <row r="9" spans="1:255" x14ac:dyDescent="0.2">
      <c r="A9" s="101"/>
      <c r="B9" s="100" t="s">
        <v>285</v>
      </c>
      <c r="C9" s="98" t="s">
        <v>370</v>
      </c>
      <c r="D9" s="101" t="s">
        <v>287</v>
      </c>
      <c r="E9" s="100" t="s">
        <v>288</v>
      </c>
      <c r="F9" s="98" t="s">
        <v>289</v>
      </c>
    </row>
    <row r="10" spans="1:255" x14ac:dyDescent="0.2">
      <c r="A10" s="101"/>
      <c r="B10" s="100" t="s">
        <v>292</v>
      </c>
      <c r="C10" s="98" t="s">
        <v>293</v>
      </c>
      <c r="D10" s="101" t="s">
        <v>287</v>
      </c>
      <c r="E10" s="100" t="s">
        <v>294</v>
      </c>
      <c r="F10" s="102" t="s">
        <v>295</v>
      </c>
    </row>
    <row r="11" spans="1:255" x14ac:dyDescent="0.2">
      <c r="A11" s="101"/>
      <c r="B11" s="100" t="s">
        <v>371</v>
      </c>
      <c r="C11" s="98" t="s">
        <v>372</v>
      </c>
      <c r="D11" s="101" t="s">
        <v>287</v>
      </c>
      <c r="E11" s="125"/>
      <c r="F11" s="125"/>
    </row>
    <row r="14" spans="1:255" x14ac:dyDescent="0.2">
      <c r="A14" s="103" t="s">
        <v>230</v>
      </c>
      <c r="B14" s="103"/>
      <c r="C14" s="103"/>
      <c r="D14" s="103"/>
      <c r="E14" s="103"/>
      <c r="F14" s="103"/>
      <c r="G14" s="103"/>
      <c r="H14" s="103"/>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c r="CI14" s="104"/>
      <c r="CJ14" s="104"/>
      <c r="CK14" s="104"/>
      <c r="CL14" s="104"/>
      <c r="CM14" s="104"/>
      <c r="CN14" s="104"/>
      <c r="CO14" s="104"/>
      <c r="CP14" s="104"/>
      <c r="CQ14" s="104"/>
      <c r="CR14" s="104"/>
      <c r="CS14" s="104"/>
      <c r="CT14" s="104"/>
      <c r="CU14" s="104"/>
      <c r="CV14" s="104"/>
      <c r="CW14" s="104"/>
      <c r="CX14" s="104"/>
      <c r="CY14" s="104"/>
      <c r="CZ14" s="104"/>
      <c r="DA14" s="104"/>
      <c r="DB14" s="104"/>
      <c r="DC14" s="104"/>
      <c r="DD14" s="104"/>
      <c r="DE14" s="104"/>
      <c r="DF14" s="104"/>
      <c r="DG14" s="104"/>
      <c r="DH14" s="104"/>
      <c r="DI14" s="104"/>
      <c r="DJ14" s="104"/>
      <c r="DK14" s="104"/>
      <c r="DL14" s="104"/>
      <c r="DM14" s="104"/>
      <c r="DN14" s="104"/>
      <c r="DO14" s="104"/>
      <c r="DP14" s="104"/>
      <c r="DQ14" s="104"/>
      <c r="DR14" s="104"/>
      <c r="DS14" s="104"/>
      <c r="DT14" s="104"/>
      <c r="DU14" s="104"/>
      <c r="DV14" s="104"/>
      <c r="DW14" s="104"/>
      <c r="DX14" s="104"/>
      <c r="DY14" s="104"/>
      <c r="DZ14" s="104"/>
      <c r="EA14" s="104"/>
      <c r="EB14" s="104"/>
      <c r="EC14" s="104"/>
      <c r="ED14" s="104"/>
      <c r="EE14" s="104"/>
      <c r="EF14" s="104"/>
      <c r="EG14" s="104"/>
      <c r="EH14" s="104"/>
      <c r="EI14" s="104"/>
      <c r="EJ14" s="104"/>
      <c r="EK14" s="104"/>
      <c r="EL14" s="104"/>
      <c r="EM14" s="104"/>
      <c r="EN14" s="104"/>
      <c r="EO14" s="104"/>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104"/>
      <c r="GQ14" s="104"/>
      <c r="GR14" s="104"/>
      <c r="GS14" s="104"/>
      <c r="GT14" s="104"/>
      <c r="GU14" s="104"/>
      <c r="GV14" s="104"/>
      <c r="GW14" s="104"/>
      <c r="GX14" s="104"/>
      <c r="GY14" s="104"/>
      <c r="GZ14" s="104"/>
      <c r="HA14" s="104"/>
      <c r="HB14" s="104"/>
      <c r="HC14" s="104"/>
      <c r="HD14" s="104"/>
      <c r="HE14" s="104"/>
      <c r="HF14" s="104"/>
      <c r="HG14" s="104"/>
      <c r="HH14" s="104"/>
      <c r="HI14" s="104"/>
      <c r="HJ14" s="104"/>
      <c r="HK14" s="104"/>
      <c r="HL14" s="104"/>
      <c r="HM14" s="104"/>
      <c r="HN14" s="104"/>
      <c r="HO14" s="104"/>
      <c r="HP14" s="104"/>
      <c r="HQ14" s="104"/>
      <c r="HR14" s="104"/>
      <c r="HS14" s="104"/>
      <c r="HT14" s="104"/>
      <c r="HU14" s="104"/>
      <c r="HV14" s="104"/>
      <c r="HW14" s="104"/>
      <c r="HX14" s="104"/>
      <c r="HY14" s="104"/>
      <c r="HZ14" s="104"/>
      <c r="IA14" s="104"/>
      <c r="IB14" s="104"/>
      <c r="IC14" s="104"/>
      <c r="ID14" s="104"/>
      <c r="IE14" s="104"/>
      <c r="IF14" s="104"/>
      <c r="IG14" s="104"/>
      <c r="IH14" s="104"/>
      <c r="II14" s="104"/>
      <c r="IJ14" s="104"/>
      <c r="IK14" s="104"/>
      <c r="IL14" s="104"/>
      <c r="IM14" s="104"/>
      <c r="IN14" s="104"/>
      <c r="IO14" s="104"/>
      <c r="IP14" s="104"/>
      <c r="IQ14" s="104"/>
      <c r="IR14" s="104"/>
      <c r="IS14" s="104"/>
      <c r="IT14" s="104"/>
      <c r="IU14" s="104"/>
    </row>
    <row r="15" spans="1:255" ht="20.399999999999999" x14ac:dyDescent="0.2">
      <c r="A15" s="304" t="s">
        <v>456</v>
      </c>
      <c r="B15" s="308">
        <v>41269</v>
      </c>
      <c r="C15" s="308">
        <v>41633</v>
      </c>
      <c r="D15" s="305" t="s">
        <v>457</v>
      </c>
      <c r="E15" s="308">
        <v>42368</v>
      </c>
      <c r="F15" s="308">
        <v>42732</v>
      </c>
      <c r="G15" s="308">
        <v>43096</v>
      </c>
      <c r="H15" s="308">
        <v>43187</v>
      </c>
    </row>
    <row r="16" spans="1:255" x14ac:dyDescent="0.2">
      <c r="A16" s="306" t="s">
        <v>308</v>
      </c>
      <c r="B16" s="307" t="s">
        <v>309</v>
      </c>
      <c r="C16" s="307" t="s">
        <v>309</v>
      </c>
      <c r="D16" s="307" t="s">
        <v>309</v>
      </c>
      <c r="E16" s="307" t="s">
        <v>309</v>
      </c>
      <c r="F16" s="307" t="s">
        <v>309</v>
      </c>
      <c r="G16" s="307" t="s">
        <v>309</v>
      </c>
      <c r="H16" s="307" t="s">
        <v>309</v>
      </c>
    </row>
    <row r="17" spans="1:8" x14ac:dyDescent="0.2">
      <c r="A17" s="109" t="s">
        <v>458</v>
      </c>
      <c r="B17" s="110"/>
      <c r="C17" s="110"/>
      <c r="D17" s="110"/>
      <c r="E17" s="110"/>
      <c r="F17" s="110"/>
      <c r="G17" s="110"/>
      <c r="H17" s="110"/>
    </row>
    <row r="18" spans="1:8" x14ac:dyDescent="0.2">
      <c r="A18" s="110" t="s">
        <v>459</v>
      </c>
      <c r="B18" s="118">
        <v>16033</v>
      </c>
      <c r="C18" s="118">
        <v>13076</v>
      </c>
      <c r="D18" s="118">
        <v>2677</v>
      </c>
      <c r="E18" s="118">
        <v>70849</v>
      </c>
      <c r="F18" s="118">
        <v>11607</v>
      </c>
      <c r="G18" s="118">
        <v>21507</v>
      </c>
      <c r="H18" s="118">
        <v>26624</v>
      </c>
    </row>
    <row r="19" spans="1:8" x14ac:dyDescent="0.2">
      <c r="A19" s="110" t="s">
        <v>460</v>
      </c>
      <c r="B19" s="118" t="s">
        <v>313</v>
      </c>
      <c r="C19" s="118" t="s">
        <v>313</v>
      </c>
      <c r="D19" s="118" t="s">
        <v>313</v>
      </c>
      <c r="E19" s="118">
        <v>275</v>
      </c>
      <c r="F19" s="118">
        <v>62040</v>
      </c>
      <c r="G19" s="118">
        <v>63036</v>
      </c>
      <c r="H19" s="118">
        <v>61128</v>
      </c>
    </row>
    <row r="20" spans="1:8" x14ac:dyDescent="0.2">
      <c r="A20" s="109" t="s">
        <v>461</v>
      </c>
      <c r="B20" s="126">
        <v>16033</v>
      </c>
      <c r="C20" s="126">
        <v>13076</v>
      </c>
      <c r="D20" s="126">
        <v>2677</v>
      </c>
      <c r="E20" s="126">
        <v>71124</v>
      </c>
      <c r="F20" s="126">
        <v>73647</v>
      </c>
      <c r="G20" s="126">
        <v>84543</v>
      </c>
      <c r="H20" s="126">
        <v>87752</v>
      </c>
    </row>
    <row r="21" spans="1:8" x14ac:dyDescent="0.2">
      <c r="A21" s="110"/>
      <c r="B21" s="110"/>
      <c r="C21" s="110"/>
      <c r="D21" s="110"/>
      <c r="E21" s="110"/>
      <c r="F21" s="110"/>
      <c r="G21" s="110"/>
      <c r="H21" s="110"/>
    </row>
    <row r="22" spans="1:8" x14ac:dyDescent="0.2">
      <c r="A22" s="110" t="s">
        <v>462</v>
      </c>
      <c r="B22" s="118">
        <v>1553</v>
      </c>
      <c r="C22" s="118">
        <v>1107</v>
      </c>
      <c r="D22" s="118">
        <v>1482</v>
      </c>
      <c r="E22" s="118">
        <v>2692</v>
      </c>
      <c r="F22" s="118">
        <v>2878</v>
      </c>
      <c r="G22" s="118">
        <v>3458</v>
      </c>
      <c r="H22" s="118">
        <v>5057</v>
      </c>
    </row>
    <row r="23" spans="1:8" x14ac:dyDescent="0.2">
      <c r="A23" s="110" t="s">
        <v>463</v>
      </c>
      <c r="B23" s="118" t="s">
        <v>313</v>
      </c>
      <c r="C23" s="118">
        <v>420</v>
      </c>
      <c r="D23" s="118">
        <v>1796</v>
      </c>
      <c r="E23" s="118">
        <v>1525</v>
      </c>
      <c r="F23" s="118">
        <v>3139</v>
      </c>
      <c r="G23" s="118">
        <v>2201</v>
      </c>
      <c r="H23" s="118" t="s">
        <v>313</v>
      </c>
    </row>
    <row r="24" spans="1:8" x14ac:dyDescent="0.2">
      <c r="A24" s="109" t="s">
        <v>464</v>
      </c>
      <c r="B24" s="126">
        <v>1553</v>
      </c>
      <c r="C24" s="126">
        <v>1527</v>
      </c>
      <c r="D24" s="126">
        <v>3278</v>
      </c>
      <c r="E24" s="126">
        <v>4217</v>
      </c>
      <c r="F24" s="126">
        <v>6017</v>
      </c>
      <c r="G24" s="126">
        <v>5659</v>
      </c>
      <c r="H24" s="126">
        <v>5057</v>
      </c>
    </row>
    <row r="25" spans="1:8" x14ac:dyDescent="0.2">
      <c r="A25" s="110"/>
      <c r="B25" s="110"/>
      <c r="C25" s="110"/>
      <c r="D25" s="110"/>
      <c r="E25" s="110"/>
      <c r="F25" s="110"/>
      <c r="G25" s="110"/>
      <c r="H25" s="110"/>
    </row>
    <row r="26" spans="1:8" x14ac:dyDescent="0.2">
      <c r="A26" s="110" t="s">
        <v>465</v>
      </c>
      <c r="B26" s="118">
        <v>243</v>
      </c>
      <c r="C26" s="118">
        <v>331</v>
      </c>
      <c r="D26" s="118">
        <v>529</v>
      </c>
      <c r="E26" s="118">
        <v>543</v>
      </c>
      <c r="F26" s="118">
        <v>806</v>
      </c>
      <c r="G26" s="118">
        <v>1258</v>
      </c>
      <c r="H26" s="118">
        <v>1175</v>
      </c>
    </row>
    <row r="27" spans="1:8" x14ac:dyDescent="0.2">
      <c r="A27" s="110" t="s">
        <v>466</v>
      </c>
      <c r="B27" s="118">
        <v>155</v>
      </c>
      <c r="C27" s="118">
        <v>273</v>
      </c>
      <c r="D27" s="118">
        <v>1441</v>
      </c>
      <c r="E27" s="118">
        <v>3050</v>
      </c>
      <c r="F27" s="118">
        <v>3474</v>
      </c>
      <c r="G27" s="118">
        <v>1739</v>
      </c>
      <c r="H27" s="118">
        <v>1665</v>
      </c>
    </row>
    <row r="28" spans="1:8" x14ac:dyDescent="0.2">
      <c r="A28" s="110" t="s">
        <v>467</v>
      </c>
      <c r="B28" s="118" t="s">
        <v>313</v>
      </c>
      <c r="C28" s="118" t="s">
        <v>313</v>
      </c>
      <c r="D28" s="118" t="s">
        <v>313</v>
      </c>
      <c r="E28" s="118" t="s">
        <v>313</v>
      </c>
      <c r="F28" s="118" t="s">
        <v>313</v>
      </c>
      <c r="G28" s="118" t="s">
        <v>313</v>
      </c>
      <c r="H28" s="118" t="s">
        <v>313</v>
      </c>
    </row>
    <row r="29" spans="1:8" x14ac:dyDescent="0.2">
      <c r="A29" s="109" t="s">
        <v>468</v>
      </c>
      <c r="B29" s="126">
        <v>17984</v>
      </c>
      <c r="C29" s="126">
        <v>15207</v>
      </c>
      <c r="D29" s="126">
        <v>7925</v>
      </c>
      <c r="E29" s="126">
        <v>78934</v>
      </c>
      <c r="F29" s="126">
        <v>83944</v>
      </c>
      <c r="G29" s="126">
        <v>93199</v>
      </c>
      <c r="H29" s="126">
        <v>95649</v>
      </c>
    </row>
    <row r="30" spans="1:8" x14ac:dyDescent="0.2">
      <c r="A30" s="110"/>
      <c r="B30" s="110"/>
      <c r="C30" s="110"/>
      <c r="D30" s="110"/>
      <c r="E30" s="110"/>
      <c r="F30" s="110"/>
      <c r="G30" s="110"/>
      <c r="H30" s="110"/>
    </row>
    <row r="31" spans="1:8" x14ac:dyDescent="0.2">
      <c r="A31" s="110" t="s">
        <v>469</v>
      </c>
      <c r="B31" s="118">
        <v>29891</v>
      </c>
      <c r="C31" s="118">
        <v>46271</v>
      </c>
      <c r="D31" s="118">
        <v>83467</v>
      </c>
      <c r="E31" s="118">
        <v>116560</v>
      </c>
      <c r="F31" s="118">
        <v>173385</v>
      </c>
      <c r="G31" s="118">
        <v>245350</v>
      </c>
      <c r="H31" s="118">
        <v>263819</v>
      </c>
    </row>
    <row r="32" spans="1:8" x14ac:dyDescent="0.2">
      <c r="A32" s="110" t="s">
        <v>470</v>
      </c>
      <c r="B32" s="118">
        <v>-4816</v>
      </c>
      <c r="C32" s="118">
        <v>-8333</v>
      </c>
      <c r="D32" s="118">
        <v>-13343</v>
      </c>
      <c r="E32" s="118">
        <v>-23519</v>
      </c>
      <c r="F32" s="118">
        <v>-37121</v>
      </c>
      <c r="G32" s="118">
        <v>-58255</v>
      </c>
      <c r="H32" s="118">
        <v>-63941</v>
      </c>
    </row>
    <row r="33" spans="1:8" x14ac:dyDescent="0.2">
      <c r="A33" s="109" t="s">
        <v>471</v>
      </c>
      <c r="B33" s="126">
        <v>25075</v>
      </c>
      <c r="C33" s="126">
        <v>37938</v>
      </c>
      <c r="D33" s="126">
        <v>70124</v>
      </c>
      <c r="E33" s="126">
        <v>93041</v>
      </c>
      <c r="F33" s="126">
        <v>136264</v>
      </c>
      <c r="G33" s="126">
        <v>187095</v>
      </c>
      <c r="H33" s="126">
        <v>199878</v>
      </c>
    </row>
    <row r="34" spans="1:8" x14ac:dyDescent="0.2">
      <c r="A34" s="110"/>
      <c r="B34" s="110"/>
      <c r="C34" s="110"/>
      <c r="D34" s="110"/>
      <c r="E34" s="110"/>
      <c r="F34" s="110"/>
      <c r="G34" s="110"/>
      <c r="H34" s="110"/>
    </row>
    <row r="35" spans="1:8" x14ac:dyDescent="0.2">
      <c r="A35" s="110" t="s">
        <v>472</v>
      </c>
      <c r="B35" s="118" t="s">
        <v>313</v>
      </c>
      <c r="C35" s="118" t="s">
        <v>313</v>
      </c>
      <c r="D35" s="118">
        <v>701</v>
      </c>
      <c r="E35" s="118">
        <v>701</v>
      </c>
      <c r="F35" s="118">
        <v>701</v>
      </c>
      <c r="G35" s="118">
        <v>894</v>
      </c>
      <c r="H35" s="118" t="s">
        <v>313</v>
      </c>
    </row>
    <row r="36" spans="1:8" x14ac:dyDescent="0.2">
      <c r="A36" s="110" t="s">
        <v>473</v>
      </c>
      <c r="B36" s="118">
        <v>74</v>
      </c>
      <c r="C36" s="118">
        <v>67</v>
      </c>
      <c r="D36" s="118">
        <v>161</v>
      </c>
      <c r="E36" s="118">
        <v>201957</v>
      </c>
      <c r="F36" s="118">
        <v>313207</v>
      </c>
      <c r="G36" s="118">
        <v>185914</v>
      </c>
      <c r="H36" s="118">
        <v>200622</v>
      </c>
    </row>
    <row r="37" spans="1:8" x14ac:dyDescent="0.2">
      <c r="A37" s="110" t="s">
        <v>474</v>
      </c>
      <c r="B37" s="118">
        <v>246</v>
      </c>
      <c r="C37" s="118" t="s">
        <v>313</v>
      </c>
      <c r="D37" s="118" t="s">
        <v>313</v>
      </c>
      <c r="E37" s="118" t="s">
        <v>313</v>
      </c>
      <c r="F37" s="118" t="s">
        <v>313</v>
      </c>
      <c r="G37" s="118" t="s">
        <v>313</v>
      </c>
      <c r="H37" s="118" t="s">
        <v>313</v>
      </c>
    </row>
    <row r="38" spans="1:8" x14ac:dyDescent="0.2">
      <c r="A38" s="110" t="s">
        <v>475</v>
      </c>
      <c r="B38" s="118">
        <v>689</v>
      </c>
      <c r="C38" s="118">
        <v>2007</v>
      </c>
      <c r="D38" s="118">
        <v>4051</v>
      </c>
      <c r="E38" s="118">
        <v>4914</v>
      </c>
      <c r="F38" s="118">
        <v>4078</v>
      </c>
      <c r="G38" s="118">
        <v>3504</v>
      </c>
      <c r="H38" s="118">
        <v>4145</v>
      </c>
    </row>
    <row r="39" spans="1:8" x14ac:dyDescent="0.2">
      <c r="A39" s="109" t="s">
        <v>476</v>
      </c>
      <c r="B39" s="127">
        <v>44068</v>
      </c>
      <c r="C39" s="127">
        <v>55219</v>
      </c>
      <c r="D39" s="127">
        <v>82962</v>
      </c>
      <c r="E39" s="127">
        <v>379547</v>
      </c>
      <c r="F39" s="127">
        <v>538194</v>
      </c>
      <c r="G39" s="127">
        <v>470606</v>
      </c>
      <c r="H39" s="127">
        <v>500294</v>
      </c>
    </row>
    <row r="40" spans="1:8" x14ac:dyDescent="0.2">
      <c r="A40" s="110"/>
      <c r="B40" s="110"/>
      <c r="C40" s="110"/>
      <c r="D40" s="110"/>
      <c r="E40" s="110"/>
      <c r="F40" s="110"/>
      <c r="G40" s="110"/>
      <c r="H40" s="110"/>
    </row>
    <row r="41" spans="1:8" x14ac:dyDescent="0.2">
      <c r="A41" s="109" t="s">
        <v>477</v>
      </c>
      <c r="B41" s="110"/>
      <c r="C41" s="110"/>
      <c r="D41" s="110"/>
      <c r="E41" s="110"/>
      <c r="F41" s="110"/>
      <c r="G41" s="110"/>
      <c r="H41" s="110"/>
    </row>
    <row r="42" spans="1:8" x14ac:dyDescent="0.2">
      <c r="A42" s="110" t="s">
        <v>478</v>
      </c>
      <c r="B42" s="118">
        <v>1174</v>
      </c>
      <c r="C42" s="118">
        <v>2393</v>
      </c>
      <c r="D42" s="118">
        <v>6440</v>
      </c>
      <c r="E42" s="118">
        <v>6786</v>
      </c>
      <c r="F42" s="118">
        <v>6921</v>
      </c>
      <c r="G42" s="118">
        <v>8210</v>
      </c>
      <c r="H42" s="118">
        <v>6738</v>
      </c>
    </row>
    <row r="43" spans="1:8" x14ac:dyDescent="0.2">
      <c r="A43" s="110" t="s">
        <v>479</v>
      </c>
      <c r="B43" s="118">
        <v>3531</v>
      </c>
      <c r="C43" s="118">
        <v>3483</v>
      </c>
      <c r="D43" s="118">
        <v>8724</v>
      </c>
      <c r="E43" s="118">
        <v>13678</v>
      </c>
      <c r="F43" s="118">
        <v>15946</v>
      </c>
      <c r="G43" s="118">
        <v>19690</v>
      </c>
      <c r="H43" s="118">
        <v>21757</v>
      </c>
    </row>
    <row r="44" spans="1:8" x14ac:dyDescent="0.2">
      <c r="A44" s="110" t="s">
        <v>480</v>
      </c>
      <c r="B44" s="118" t="s">
        <v>313</v>
      </c>
      <c r="C44" s="118" t="s">
        <v>313</v>
      </c>
      <c r="D44" s="118">
        <v>32000</v>
      </c>
      <c r="E44" s="118" t="s">
        <v>313</v>
      </c>
      <c r="F44" s="118" t="s">
        <v>313</v>
      </c>
      <c r="G44" s="118" t="s">
        <v>313</v>
      </c>
      <c r="H44" s="118" t="s">
        <v>313</v>
      </c>
    </row>
    <row r="45" spans="1:8" x14ac:dyDescent="0.2">
      <c r="A45" s="110" t="s">
        <v>481</v>
      </c>
      <c r="B45" s="118">
        <v>628</v>
      </c>
      <c r="C45" s="118" t="s">
        <v>313</v>
      </c>
      <c r="D45" s="118">
        <v>625</v>
      </c>
      <c r="E45" s="118">
        <v>833</v>
      </c>
      <c r="F45" s="118">
        <v>1153</v>
      </c>
      <c r="G45" s="118">
        <v>1472</v>
      </c>
      <c r="H45" s="118">
        <v>1310</v>
      </c>
    </row>
    <row r="46" spans="1:8" x14ac:dyDescent="0.2">
      <c r="A46" s="110" t="s">
        <v>482</v>
      </c>
      <c r="B46" s="118">
        <v>234</v>
      </c>
      <c r="C46" s="118">
        <v>1329</v>
      </c>
      <c r="D46" s="118">
        <v>388</v>
      </c>
      <c r="E46" s="118">
        <v>2708</v>
      </c>
      <c r="F46" s="118">
        <v>7696</v>
      </c>
      <c r="G46" s="118">
        <v>4652</v>
      </c>
      <c r="H46" s="118">
        <v>3652</v>
      </c>
    </row>
    <row r="47" spans="1:8" x14ac:dyDescent="0.2">
      <c r="A47" s="109" t="s">
        <v>483</v>
      </c>
      <c r="B47" s="126">
        <v>5567</v>
      </c>
      <c r="C47" s="126">
        <v>7205</v>
      </c>
      <c r="D47" s="126">
        <v>48177</v>
      </c>
      <c r="E47" s="126">
        <v>24005</v>
      </c>
      <c r="F47" s="126">
        <v>31716</v>
      </c>
      <c r="G47" s="126">
        <v>34024</v>
      </c>
      <c r="H47" s="126">
        <v>33457</v>
      </c>
    </row>
    <row r="48" spans="1:8" x14ac:dyDescent="0.2">
      <c r="A48" s="110"/>
      <c r="B48" s="110"/>
      <c r="C48" s="110"/>
      <c r="D48" s="110"/>
      <c r="E48" s="110"/>
      <c r="F48" s="110"/>
      <c r="G48" s="110"/>
      <c r="H48" s="110"/>
    </row>
    <row r="49" spans="1:8" x14ac:dyDescent="0.2">
      <c r="A49" s="110" t="s">
        <v>484</v>
      </c>
      <c r="B49" s="118" t="s">
        <v>313</v>
      </c>
      <c r="C49" s="118">
        <v>313</v>
      </c>
      <c r="D49" s="118">
        <v>313</v>
      </c>
      <c r="E49" s="118">
        <v>313</v>
      </c>
      <c r="F49" s="118" t="s">
        <v>313</v>
      </c>
      <c r="G49" s="118" t="s">
        <v>313</v>
      </c>
      <c r="H49" s="118" t="s">
        <v>313</v>
      </c>
    </row>
    <row r="50" spans="1:8" x14ac:dyDescent="0.2">
      <c r="A50" s="110" t="s">
        <v>199</v>
      </c>
      <c r="B50" s="118" t="s">
        <v>313</v>
      </c>
      <c r="C50" s="118" t="s">
        <v>313</v>
      </c>
      <c r="D50" s="118" t="s">
        <v>313</v>
      </c>
      <c r="E50" s="118" t="s">
        <v>313</v>
      </c>
      <c r="F50" s="118">
        <v>2007</v>
      </c>
      <c r="G50" s="118">
        <v>14518</v>
      </c>
      <c r="H50" s="118">
        <v>17030</v>
      </c>
    </row>
    <row r="51" spans="1:8" x14ac:dyDescent="0.2">
      <c r="A51" s="110" t="s">
        <v>485</v>
      </c>
      <c r="B51" s="118">
        <v>1725</v>
      </c>
      <c r="C51" s="118" t="s">
        <v>313</v>
      </c>
      <c r="D51" s="118" t="s">
        <v>313</v>
      </c>
      <c r="E51" s="118" t="s">
        <v>313</v>
      </c>
      <c r="F51" s="118" t="s">
        <v>313</v>
      </c>
      <c r="G51" s="118" t="s">
        <v>313</v>
      </c>
      <c r="H51" s="118" t="s">
        <v>313</v>
      </c>
    </row>
    <row r="52" spans="1:8" x14ac:dyDescent="0.2">
      <c r="A52" s="110" t="s">
        <v>486</v>
      </c>
      <c r="B52" s="118">
        <v>4905</v>
      </c>
      <c r="C52" s="118">
        <v>10314</v>
      </c>
      <c r="D52" s="118">
        <v>21872</v>
      </c>
      <c r="E52" s="118">
        <v>198210</v>
      </c>
      <c r="F52" s="118">
        <v>303118</v>
      </c>
      <c r="G52" s="118">
        <v>197585</v>
      </c>
      <c r="H52" s="118">
        <v>216674</v>
      </c>
    </row>
    <row r="53" spans="1:8" x14ac:dyDescent="0.2">
      <c r="A53" s="109" t="s">
        <v>487</v>
      </c>
      <c r="B53" s="126">
        <v>12197</v>
      </c>
      <c r="C53" s="126">
        <v>17832</v>
      </c>
      <c r="D53" s="126">
        <v>70362</v>
      </c>
      <c r="E53" s="126">
        <v>222528</v>
      </c>
      <c r="F53" s="126">
        <v>336841</v>
      </c>
      <c r="G53" s="126">
        <v>246127</v>
      </c>
      <c r="H53" s="126">
        <v>267161</v>
      </c>
    </row>
    <row r="54" spans="1:8" x14ac:dyDescent="0.2">
      <c r="A54" s="110"/>
      <c r="B54" s="110"/>
      <c r="C54" s="110"/>
      <c r="D54" s="110"/>
      <c r="E54" s="110"/>
      <c r="F54" s="110"/>
      <c r="G54" s="110"/>
      <c r="H54" s="110"/>
    </row>
    <row r="55" spans="1:8" x14ac:dyDescent="0.2">
      <c r="A55" s="110" t="s">
        <v>488</v>
      </c>
      <c r="B55" s="118">
        <v>31871</v>
      </c>
      <c r="C55" s="118">
        <v>37387</v>
      </c>
      <c r="D55" s="118">
        <v>12600</v>
      </c>
      <c r="E55" s="118">
        <v>36</v>
      </c>
      <c r="F55" s="118">
        <v>36</v>
      </c>
      <c r="G55" s="118">
        <v>37</v>
      </c>
      <c r="H55" s="118">
        <v>37</v>
      </c>
    </row>
    <row r="56" spans="1:8" x14ac:dyDescent="0.2">
      <c r="A56" s="110" t="s">
        <v>489</v>
      </c>
      <c r="B56" s="118" t="s">
        <v>313</v>
      </c>
      <c r="C56" s="118" t="s">
        <v>313</v>
      </c>
      <c r="D56" s="118" t="s">
        <v>313</v>
      </c>
      <c r="E56" s="118">
        <v>96311</v>
      </c>
      <c r="F56" s="118">
        <v>135448</v>
      </c>
      <c r="G56" s="118">
        <v>153105</v>
      </c>
      <c r="H56" s="118">
        <v>163372</v>
      </c>
    </row>
    <row r="57" spans="1:8" x14ac:dyDescent="0.2">
      <c r="A57" s="110" t="s">
        <v>490</v>
      </c>
      <c r="B57" s="118" t="s">
        <v>313</v>
      </c>
      <c r="C57" s="118" t="s">
        <v>313</v>
      </c>
      <c r="D57" s="118" t="s">
        <v>313</v>
      </c>
      <c r="E57" s="118">
        <v>4273</v>
      </c>
      <c r="F57" s="118">
        <v>16719</v>
      </c>
      <c r="G57" s="118">
        <v>16399</v>
      </c>
      <c r="H57" s="118">
        <v>18733</v>
      </c>
    </row>
    <row r="58" spans="1:8" x14ac:dyDescent="0.2">
      <c r="A58" s="110" t="s">
        <v>491</v>
      </c>
      <c r="B58" s="118" t="s">
        <v>313</v>
      </c>
      <c r="C58" s="118" t="s">
        <v>313</v>
      </c>
      <c r="D58" s="118" t="s">
        <v>313</v>
      </c>
      <c r="E58" s="118" t="s">
        <v>313</v>
      </c>
      <c r="F58" s="118" t="s">
        <v>313</v>
      </c>
      <c r="G58" s="118" t="s">
        <v>313</v>
      </c>
      <c r="H58" s="118" t="s">
        <v>313</v>
      </c>
    </row>
    <row r="59" spans="1:8" x14ac:dyDescent="0.2">
      <c r="A59" s="110" t="s">
        <v>492</v>
      </c>
      <c r="B59" s="118" t="s">
        <v>313</v>
      </c>
      <c r="C59" s="118" t="s">
        <v>313</v>
      </c>
      <c r="D59" s="118" t="s">
        <v>313</v>
      </c>
      <c r="E59" s="118">
        <v>-5</v>
      </c>
      <c r="F59" s="118">
        <v>-15</v>
      </c>
      <c r="G59" s="118">
        <v>-49</v>
      </c>
      <c r="H59" s="118" t="s">
        <v>313</v>
      </c>
    </row>
    <row r="60" spans="1:8" x14ac:dyDescent="0.2">
      <c r="A60" s="109" t="s">
        <v>493</v>
      </c>
      <c r="B60" s="126">
        <v>31871</v>
      </c>
      <c r="C60" s="126">
        <v>37387</v>
      </c>
      <c r="D60" s="126">
        <v>12600</v>
      </c>
      <c r="E60" s="126">
        <v>100615</v>
      </c>
      <c r="F60" s="126">
        <v>152188</v>
      </c>
      <c r="G60" s="126">
        <v>169492</v>
      </c>
      <c r="H60" s="126">
        <v>182142</v>
      </c>
    </row>
    <row r="61" spans="1:8" x14ac:dyDescent="0.2">
      <c r="A61" s="110"/>
      <c r="B61" s="110"/>
      <c r="C61" s="110"/>
      <c r="D61" s="110"/>
      <c r="E61" s="110"/>
      <c r="F61" s="110"/>
      <c r="G61" s="110"/>
      <c r="H61" s="110"/>
    </row>
    <row r="62" spans="1:8" x14ac:dyDescent="0.2">
      <c r="A62" s="110" t="s">
        <v>494</v>
      </c>
      <c r="B62" s="118" t="s">
        <v>313</v>
      </c>
      <c r="C62" s="118" t="s">
        <v>313</v>
      </c>
      <c r="D62" s="118" t="s">
        <v>313</v>
      </c>
      <c r="E62" s="118">
        <v>56404</v>
      </c>
      <c r="F62" s="118">
        <v>49165</v>
      </c>
      <c r="G62" s="118">
        <v>54987</v>
      </c>
      <c r="H62" s="118">
        <v>50991</v>
      </c>
    </row>
    <row r="63" spans="1:8" x14ac:dyDescent="0.2">
      <c r="A63" s="110"/>
      <c r="B63" s="110"/>
      <c r="C63" s="110"/>
      <c r="D63" s="110"/>
      <c r="E63" s="110"/>
      <c r="F63" s="110"/>
      <c r="G63" s="110"/>
      <c r="H63" s="110"/>
    </row>
    <row r="64" spans="1:8" x14ac:dyDescent="0.2">
      <c r="A64" s="109" t="s">
        <v>495</v>
      </c>
      <c r="B64" s="133">
        <v>31871</v>
      </c>
      <c r="C64" s="133">
        <v>37387</v>
      </c>
      <c r="D64" s="133">
        <v>12600</v>
      </c>
      <c r="E64" s="133">
        <v>157019</v>
      </c>
      <c r="F64" s="133">
        <v>201353</v>
      </c>
      <c r="G64" s="133">
        <v>224479</v>
      </c>
      <c r="H64" s="133">
        <v>233133</v>
      </c>
    </row>
    <row r="65" spans="1:8" x14ac:dyDescent="0.2">
      <c r="A65" s="110"/>
      <c r="B65" s="110"/>
      <c r="C65" s="110"/>
      <c r="D65" s="110"/>
      <c r="E65" s="110"/>
      <c r="F65" s="110"/>
      <c r="G65" s="110"/>
      <c r="H65" s="110"/>
    </row>
    <row r="66" spans="1:8" x14ac:dyDescent="0.2">
      <c r="A66" s="109" t="s">
        <v>496</v>
      </c>
      <c r="B66" s="134">
        <v>44068</v>
      </c>
      <c r="C66" s="134">
        <v>55219</v>
      </c>
      <c r="D66" s="134">
        <v>82962</v>
      </c>
      <c r="E66" s="134">
        <v>379547</v>
      </c>
      <c r="F66" s="134">
        <v>538194</v>
      </c>
      <c r="G66" s="134">
        <v>470606</v>
      </c>
      <c r="H66" s="134">
        <v>500294</v>
      </c>
    </row>
    <row r="67" spans="1:8" x14ac:dyDescent="0.2">
      <c r="A67" s="110"/>
      <c r="B67" s="110"/>
      <c r="C67" s="110"/>
      <c r="D67" s="110"/>
      <c r="E67" s="110"/>
      <c r="F67" s="110"/>
      <c r="G67" s="110"/>
      <c r="H67" s="110"/>
    </row>
    <row r="68" spans="1:8" x14ac:dyDescent="0.2">
      <c r="A68" s="109" t="s">
        <v>423</v>
      </c>
      <c r="B68" s="110"/>
      <c r="C68" s="110"/>
      <c r="D68" s="110"/>
      <c r="E68" s="110"/>
      <c r="F68" s="110"/>
      <c r="G68" s="110"/>
      <c r="H68" s="110"/>
    </row>
    <row r="69" spans="1:8" x14ac:dyDescent="0.2">
      <c r="A69" s="110" t="s">
        <v>497</v>
      </c>
      <c r="B69" s="118" t="s">
        <v>311</v>
      </c>
      <c r="C69" s="118">
        <v>29934</v>
      </c>
      <c r="D69" s="118">
        <v>12058.147000000001</v>
      </c>
      <c r="E69" s="118">
        <v>20982.881000000001</v>
      </c>
      <c r="F69" s="118">
        <v>25151.383999999998</v>
      </c>
      <c r="G69" s="118">
        <v>27078.149000000001</v>
      </c>
      <c r="H69" s="118">
        <v>27647.588</v>
      </c>
    </row>
    <row r="70" spans="1:8" x14ac:dyDescent="0.2">
      <c r="A70" s="110" t="s">
        <v>498</v>
      </c>
      <c r="B70" s="118" t="s">
        <v>311</v>
      </c>
      <c r="C70" s="118">
        <v>29934</v>
      </c>
      <c r="D70" s="118">
        <v>12058.147000000001</v>
      </c>
      <c r="E70" s="118">
        <v>19789.258999999998</v>
      </c>
      <c r="F70" s="118">
        <v>25151.383999999998</v>
      </c>
      <c r="G70" s="118">
        <v>26527.476999999999</v>
      </c>
      <c r="H70" s="118">
        <v>27627.553</v>
      </c>
    </row>
    <row r="71" spans="1:8" x14ac:dyDescent="0.2">
      <c r="A71" s="110" t="s">
        <v>499</v>
      </c>
      <c r="B71" s="128" t="s">
        <v>311</v>
      </c>
      <c r="C71" s="128" t="s">
        <v>311</v>
      </c>
      <c r="D71" s="120">
        <v>1.04</v>
      </c>
      <c r="E71" s="120">
        <v>5.08</v>
      </c>
      <c r="F71" s="120">
        <v>6.05</v>
      </c>
      <c r="G71" s="120">
        <v>6.39</v>
      </c>
      <c r="H71" s="120">
        <v>6.59</v>
      </c>
    </row>
    <row r="72" spans="1:8" x14ac:dyDescent="0.2">
      <c r="A72" s="110" t="s">
        <v>500</v>
      </c>
      <c r="B72" s="118">
        <v>31871</v>
      </c>
      <c r="C72" s="118">
        <v>37387</v>
      </c>
      <c r="D72" s="118">
        <v>11899</v>
      </c>
      <c r="E72" s="118">
        <v>99914</v>
      </c>
      <c r="F72" s="118">
        <v>151487</v>
      </c>
      <c r="G72" s="118">
        <v>168598</v>
      </c>
      <c r="H72" s="118">
        <v>182142</v>
      </c>
    </row>
    <row r="73" spans="1:8" x14ac:dyDescent="0.2">
      <c r="A73" s="110" t="s">
        <v>501</v>
      </c>
      <c r="B73" s="128" t="s">
        <v>311</v>
      </c>
      <c r="C73" s="128" t="s">
        <v>311</v>
      </c>
      <c r="D73" s="120">
        <v>0.99</v>
      </c>
      <c r="E73" s="120">
        <v>5.05</v>
      </c>
      <c r="F73" s="120">
        <v>6.02</v>
      </c>
      <c r="G73" s="120">
        <v>6.36</v>
      </c>
      <c r="H73" s="120">
        <v>6.59</v>
      </c>
    </row>
    <row r="74" spans="1:8" x14ac:dyDescent="0.2">
      <c r="A74" s="110" t="s">
        <v>502</v>
      </c>
      <c r="B74" s="118">
        <v>0</v>
      </c>
      <c r="C74" s="118">
        <v>313</v>
      </c>
      <c r="D74" s="118">
        <v>32313</v>
      </c>
      <c r="E74" s="118">
        <v>313</v>
      </c>
      <c r="F74" s="118">
        <v>2007</v>
      </c>
      <c r="G74" s="118">
        <v>14518</v>
      </c>
      <c r="H74" s="118">
        <v>17030</v>
      </c>
    </row>
    <row r="75" spans="1:8" x14ac:dyDescent="0.2">
      <c r="A75" s="110" t="s">
        <v>503</v>
      </c>
      <c r="B75" s="118">
        <v>-16033</v>
      </c>
      <c r="C75" s="118">
        <v>-12763</v>
      </c>
      <c r="D75" s="118">
        <v>29636</v>
      </c>
      <c r="E75" s="118">
        <v>-70811</v>
      </c>
      <c r="F75" s="118">
        <v>-71640</v>
      </c>
      <c r="G75" s="118">
        <v>-70025</v>
      </c>
      <c r="H75" s="118">
        <v>-70722</v>
      </c>
    </row>
    <row r="76" spans="1:8" x14ac:dyDescent="0.2">
      <c r="A76" s="110" t="s">
        <v>504</v>
      </c>
      <c r="B76" s="118">
        <v>38992</v>
      </c>
      <c r="C76" s="118">
        <v>56864</v>
      </c>
      <c r="D76" s="118">
        <v>89680</v>
      </c>
      <c r="E76" s="118">
        <v>121896</v>
      </c>
      <c r="F76" s="118">
        <v>174592</v>
      </c>
      <c r="G76" s="118">
        <v>209288</v>
      </c>
      <c r="H76" s="118" t="s">
        <v>311</v>
      </c>
    </row>
    <row r="77" spans="1:8" x14ac:dyDescent="0.2">
      <c r="A77" s="110" t="s">
        <v>505</v>
      </c>
      <c r="B77" s="118" t="s">
        <v>311</v>
      </c>
      <c r="C77" s="118" t="s">
        <v>311</v>
      </c>
      <c r="D77" s="118" t="s">
        <v>311</v>
      </c>
      <c r="E77" s="118">
        <v>56404</v>
      </c>
      <c r="F77" s="118">
        <v>49165</v>
      </c>
      <c r="G77" s="118">
        <v>54987</v>
      </c>
      <c r="H77" s="118">
        <v>50991</v>
      </c>
    </row>
    <row r="78" spans="1:8" x14ac:dyDescent="0.2">
      <c r="A78" s="110" t="s">
        <v>506</v>
      </c>
      <c r="B78" s="117" t="s">
        <v>311</v>
      </c>
      <c r="C78" s="117" t="s">
        <v>507</v>
      </c>
      <c r="D78" s="117" t="s">
        <v>507</v>
      </c>
      <c r="E78" s="117" t="s">
        <v>507</v>
      </c>
      <c r="F78" s="117" t="s">
        <v>507</v>
      </c>
      <c r="G78" s="117" t="s">
        <v>507</v>
      </c>
      <c r="H78" s="117" t="s">
        <v>311</v>
      </c>
    </row>
    <row r="79" spans="1:8" x14ac:dyDescent="0.2">
      <c r="A79" s="110" t="s">
        <v>508</v>
      </c>
      <c r="B79" s="118">
        <v>243</v>
      </c>
      <c r="C79" s="118">
        <v>331</v>
      </c>
      <c r="D79" s="118">
        <v>529</v>
      </c>
      <c r="E79" s="118">
        <v>543</v>
      </c>
      <c r="F79" s="118">
        <v>806</v>
      </c>
      <c r="G79" s="118">
        <v>1258</v>
      </c>
      <c r="H79" s="118">
        <v>1175</v>
      </c>
    </row>
    <row r="80" spans="1:8" x14ac:dyDescent="0.2">
      <c r="A80" s="110" t="s">
        <v>509</v>
      </c>
      <c r="B80" s="118">
        <v>7372</v>
      </c>
      <c r="C80" s="118">
        <v>11591</v>
      </c>
      <c r="D80" s="118">
        <v>18886</v>
      </c>
      <c r="E80" s="118">
        <v>27065</v>
      </c>
      <c r="F80" s="118">
        <v>39246</v>
      </c>
      <c r="G80" s="118">
        <v>54457</v>
      </c>
      <c r="H80" s="118">
        <v>56588</v>
      </c>
    </row>
    <row r="81" spans="1:8" x14ac:dyDescent="0.2">
      <c r="A81" s="110" t="s">
        <v>510</v>
      </c>
      <c r="B81" s="118">
        <v>1663</v>
      </c>
      <c r="C81" s="118">
        <v>2277</v>
      </c>
      <c r="D81" s="118">
        <v>6309</v>
      </c>
      <c r="E81" s="118">
        <v>6591</v>
      </c>
      <c r="F81" s="118">
        <v>13510</v>
      </c>
      <c r="G81" s="118">
        <v>16458</v>
      </c>
      <c r="H81" s="118">
        <v>22860</v>
      </c>
    </row>
    <row r="82" spans="1:8" x14ac:dyDescent="0.2">
      <c r="A82" s="110" t="s">
        <v>511</v>
      </c>
      <c r="B82" s="118">
        <v>20856</v>
      </c>
      <c r="C82" s="118">
        <v>32403</v>
      </c>
      <c r="D82" s="118">
        <v>58272</v>
      </c>
      <c r="E82" s="118">
        <v>82904</v>
      </c>
      <c r="F82" s="118">
        <v>120629</v>
      </c>
      <c r="G82" s="118">
        <v>166963</v>
      </c>
      <c r="H82" s="118">
        <v>173422</v>
      </c>
    </row>
    <row r="83" spans="1:8" x14ac:dyDescent="0.2">
      <c r="A83" s="110" t="s">
        <v>512</v>
      </c>
      <c r="B83" s="135" t="s">
        <v>311</v>
      </c>
      <c r="C83" s="135">
        <v>1590</v>
      </c>
      <c r="D83" s="135">
        <v>1680</v>
      </c>
      <c r="E83" s="135">
        <v>2215</v>
      </c>
      <c r="F83" s="135">
        <v>3521</v>
      </c>
      <c r="G83" s="135">
        <v>4440</v>
      </c>
      <c r="H83" s="135" t="s">
        <v>311</v>
      </c>
    </row>
    <row r="84" spans="1:8" x14ac:dyDescent="0.2">
      <c r="A84" s="110" t="s">
        <v>436</v>
      </c>
      <c r="B84" s="130">
        <v>42090</v>
      </c>
      <c r="C84" s="130">
        <v>42459</v>
      </c>
      <c r="D84" s="130">
        <v>42807</v>
      </c>
      <c r="E84" s="130">
        <v>43157</v>
      </c>
      <c r="F84" s="130">
        <v>43157</v>
      </c>
      <c r="G84" s="130">
        <v>43157</v>
      </c>
      <c r="H84" s="130">
        <v>43227</v>
      </c>
    </row>
    <row r="85" spans="1:8" x14ac:dyDescent="0.2">
      <c r="A85" s="110" t="s">
        <v>437</v>
      </c>
      <c r="B85" s="117" t="s">
        <v>438</v>
      </c>
      <c r="C85" s="117" t="s">
        <v>438</v>
      </c>
      <c r="D85" s="117" t="s">
        <v>439</v>
      </c>
      <c r="E85" s="117" t="s">
        <v>438</v>
      </c>
      <c r="F85" s="117" t="s">
        <v>438</v>
      </c>
      <c r="G85" s="117" t="s">
        <v>440</v>
      </c>
      <c r="H85" s="117" t="s">
        <v>440</v>
      </c>
    </row>
    <row r="86" spans="1:8" x14ac:dyDescent="0.2">
      <c r="A86" s="110" t="s">
        <v>441</v>
      </c>
      <c r="B86" s="117" t="s">
        <v>513</v>
      </c>
      <c r="C86" s="117" t="s">
        <v>513</v>
      </c>
      <c r="D86" s="117" t="s">
        <v>513</v>
      </c>
      <c r="E86" s="117" t="s">
        <v>513</v>
      </c>
      <c r="F86" s="117" t="s">
        <v>442</v>
      </c>
      <c r="G86" s="117" t="s">
        <v>442</v>
      </c>
      <c r="H86" s="117" t="s">
        <v>442</v>
      </c>
    </row>
    <row r="87" spans="1:8" x14ac:dyDescent="0.2">
      <c r="A87" s="110"/>
      <c r="B87" s="110"/>
      <c r="C87" s="110"/>
      <c r="D87" s="110"/>
      <c r="E87" s="110"/>
      <c r="F87" s="110"/>
      <c r="G87" s="110"/>
      <c r="H87" s="110"/>
    </row>
    <row r="88" spans="1:8" x14ac:dyDescent="0.2">
      <c r="A88" s="119"/>
      <c r="B88" s="119"/>
      <c r="C88" s="119"/>
      <c r="D88" s="119"/>
      <c r="E88" s="119"/>
      <c r="F88" s="119"/>
      <c r="G88" s="119"/>
      <c r="H88" s="119"/>
    </row>
    <row r="89" spans="1:8" x14ac:dyDescent="0.2">
      <c r="A89" s="132" t="s">
        <v>514</v>
      </c>
    </row>
    <row r="90" spans="1:8" x14ac:dyDescent="0.2">
      <c r="A90" s="12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399FF"/>
    <outlinePr summaryBelow="0" summaryRight="0"/>
    <pageSetUpPr autoPageBreaks="0"/>
  </sheetPr>
  <dimension ref="A5:IU70"/>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4" width="13" style="98" customWidth="1"/>
    <col min="265" max="512" width="9" style="98"/>
    <col min="513" max="513" width="40.09765625" style="98" customWidth="1"/>
    <col min="514" max="520" width="13" style="98" customWidth="1"/>
    <col min="521" max="768" width="9" style="98"/>
    <col min="769" max="769" width="40.09765625" style="98" customWidth="1"/>
    <col min="770" max="776" width="13" style="98" customWidth="1"/>
    <col min="777" max="1024" width="9" style="98"/>
    <col min="1025" max="1025" width="40.09765625" style="98" customWidth="1"/>
    <col min="1026" max="1032" width="13" style="98" customWidth="1"/>
    <col min="1033" max="1280" width="9" style="98"/>
    <col min="1281" max="1281" width="40.09765625" style="98" customWidth="1"/>
    <col min="1282" max="1288" width="13" style="98" customWidth="1"/>
    <col min="1289" max="1536" width="9" style="98"/>
    <col min="1537" max="1537" width="40.09765625" style="98" customWidth="1"/>
    <col min="1538" max="1544" width="13" style="98" customWidth="1"/>
    <col min="1545" max="1792" width="9" style="98"/>
    <col min="1793" max="1793" width="40.09765625" style="98" customWidth="1"/>
    <col min="1794" max="1800" width="13" style="98" customWidth="1"/>
    <col min="1801" max="2048" width="9" style="98"/>
    <col min="2049" max="2049" width="40.09765625" style="98" customWidth="1"/>
    <col min="2050" max="2056" width="13" style="98" customWidth="1"/>
    <col min="2057" max="2304" width="9" style="98"/>
    <col min="2305" max="2305" width="40.09765625" style="98" customWidth="1"/>
    <col min="2306" max="2312" width="13" style="98" customWidth="1"/>
    <col min="2313" max="2560" width="9" style="98"/>
    <col min="2561" max="2561" width="40.09765625" style="98" customWidth="1"/>
    <col min="2562" max="2568" width="13" style="98" customWidth="1"/>
    <col min="2569" max="2816" width="9" style="98"/>
    <col min="2817" max="2817" width="40.09765625" style="98" customWidth="1"/>
    <col min="2818" max="2824" width="13" style="98" customWidth="1"/>
    <col min="2825" max="3072" width="9" style="98"/>
    <col min="3073" max="3073" width="40.09765625" style="98" customWidth="1"/>
    <col min="3074" max="3080" width="13" style="98" customWidth="1"/>
    <col min="3081" max="3328" width="9" style="98"/>
    <col min="3329" max="3329" width="40.09765625" style="98" customWidth="1"/>
    <col min="3330" max="3336" width="13" style="98" customWidth="1"/>
    <col min="3337" max="3584" width="9" style="98"/>
    <col min="3585" max="3585" width="40.09765625" style="98" customWidth="1"/>
    <col min="3586" max="3592" width="13" style="98" customWidth="1"/>
    <col min="3593" max="3840" width="9" style="98"/>
    <col min="3841" max="3841" width="40.09765625" style="98" customWidth="1"/>
    <col min="3842" max="3848" width="13" style="98" customWidth="1"/>
    <col min="3849" max="4096" width="9" style="98"/>
    <col min="4097" max="4097" width="40.09765625" style="98" customWidth="1"/>
    <col min="4098" max="4104" width="13" style="98" customWidth="1"/>
    <col min="4105" max="4352" width="9" style="98"/>
    <col min="4353" max="4353" width="40.09765625" style="98" customWidth="1"/>
    <col min="4354" max="4360" width="13" style="98" customWidth="1"/>
    <col min="4361" max="4608" width="9" style="98"/>
    <col min="4609" max="4609" width="40.09765625" style="98" customWidth="1"/>
    <col min="4610" max="4616" width="13" style="98" customWidth="1"/>
    <col min="4617" max="4864" width="9" style="98"/>
    <col min="4865" max="4865" width="40.09765625" style="98" customWidth="1"/>
    <col min="4866" max="4872" width="13" style="98" customWidth="1"/>
    <col min="4873" max="5120" width="9" style="98"/>
    <col min="5121" max="5121" width="40.09765625" style="98" customWidth="1"/>
    <col min="5122" max="5128" width="13" style="98" customWidth="1"/>
    <col min="5129" max="5376" width="9" style="98"/>
    <col min="5377" max="5377" width="40.09765625" style="98" customWidth="1"/>
    <col min="5378" max="5384" width="13" style="98" customWidth="1"/>
    <col min="5385" max="5632" width="9" style="98"/>
    <col min="5633" max="5633" width="40.09765625" style="98" customWidth="1"/>
    <col min="5634" max="5640" width="13" style="98" customWidth="1"/>
    <col min="5641" max="5888" width="9" style="98"/>
    <col min="5889" max="5889" width="40.09765625" style="98" customWidth="1"/>
    <col min="5890" max="5896" width="13" style="98" customWidth="1"/>
    <col min="5897" max="6144" width="9" style="98"/>
    <col min="6145" max="6145" width="40.09765625" style="98" customWidth="1"/>
    <col min="6146" max="6152" width="13" style="98" customWidth="1"/>
    <col min="6153" max="6400" width="9" style="98"/>
    <col min="6401" max="6401" width="40.09765625" style="98" customWidth="1"/>
    <col min="6402" max="6408" width="13" style="98" customWidth="1"/>
    <col min="6409" max="6656" width="9" style="98"/>
    <col min="6657" max="6657" width="40.09765625" style="98" customWidth="1"/>
    <col min="6658" max="6664" width="13" style="98" customWidth="1"/>
    <col min="6665" max="6912" width="9" style="98"/>
    <col min="6913" max="6913" width="40.09765625" style="98" customWidth="1"/>
    <col min="6914" max="6920" width="13" style="98" customWidth="1"/>
    <col min="6921" max="7168" width="9" style="98"/>
    <col min="7169" max="7169" width="40.09765625" style="98" customWidth="1"/>
    <col min="7170" max="7176" width="13" style="98" customWidth="1"/>
    <col min="7177" max="7424" width="9" style="98"/>
    <col min="7425" max="7425" width="40.09765625" style="98" customWidth="1"/>
    <col min="7426" max="7432" width="13" style="98" customWidth="1"/>
    <col min="7433" max="7680" width="9" style="98"/>
    <col min="7681" max="7681" width="40.09765625" style="98" customWidth="1"/>
    <col min="7682" max="7688" width="13" style="98" customWidth="1"/>
    <col min="7689" max="7936" width="9" style="98"/>
    <col min="7937" max="7937" width="40.09765625" style="98" customWidth="1"/>
    <col min="7938" max="7944" width="13" style="98" customWidth="1"/>
    <col min="7945" max="8192" width="9" style="98"/>
    <col min="8193" max="8193" width="40.09765625" style="98" customWidth="1"/>
    <col min="8194" max="8200" width="13" style="98" customWidth="1"/>
    <col min="8201" max="8448" width="9" style="98"/>
    <col min="8449" max="8449" width="40.09765625" style="98" customWidth="1"/>
    <col min="8450" max="8456" width="13" style="98" customWidth="1"/>
    <col min="8457" max="8704" width="9" style="98"/>
    <col min="8705" max="8705" width="40.09765625" style="98" customWidth="1"/>
    <col min="8706" max="8712" width="13" style="98" customWidth="1"/>
    <col min="8713" max="8960" width="9" style="98"/>
    <col min="8961" max="8961" width="40.09765625" style="98" customWidth="1"/>
    <col min="8962" max="8968" width="13" style="98" customWidth="1"/>
    <col min="8969" max="9216" width="9" style="98"/>
    <col min="9217" max="9217" width="40.09765625" style="98" customWidth="1"/>
    <col min="9218" max="9224" width="13" style="98" customWidth="1"/>
    <col min="9225" max="9472" width="9" style="98"/>
    <col min="9473" max="9473" width="40.09765625" style="98" customWidth="1"/>
    <col min="9474" max="9480" width="13" style="98" customWidth="1"/>
    <col min="9481" max="9728" width="9" style="98"/>
    <col min="9729" max="9729" width="40.09765625" style="98" customWidth="1"/>
    <col min="9730" max="9736" width="13" style="98" customWidth="1"/>
    <col min="9737" max="9984" width="9" style="98"/>
    <col min="9985" max="9985" width="40.09765625" style="98" customWidth="1"/>
    <col min="9986" max="9992" width="13" style="98" customWidth="1"/>
    <col min="9993" max="10240" width="9" style="98"/>
    <col min="10241" max="10241" width="40.09765625" style="98" customWidth="1"/>
    <col min="10242" max="10248" width="13" style="98" customWidth="1"/>
    <col min="10249" max="10496" width="9" style="98"/>
    <col min="10497" max="10497" width="40.09765625" style="98" customWidth="1"/>
    <col min="10498" max="10504" width="13" style="98" customWidth="1"/>
    <col min="10505" max="10752" width="9" style="98"/>
    <col min="10753" max="10753" width="40.09765625" style="98" customWidth="1"/>
    <col min="10754" max="10760" width="13" style="98" customWidth="1"/>
    <col min="10761" max="11008" width="9" style="98"/>
    <col min="11009" max="11009" width="40.09765625" style="98" customWidth="1"/>
    <col min="11010" max="11016" width="13" style="98" customWidth="1"/>
    <col min="11017" max="11264" width="9" style="98"/>
    <col min="11265" max="11265" width="40.09765625" style="98" customWidth="1"/>
    <col min="11266" max="11272" width="13" style="98" customWidth="1"/>
    <col min="11273" max="11520" width="9" style="98"/>
    <col min="11521" max="11521" width="40.09765625" style="98" customWidth="1"/>
    <col min="11522" max="11528" width="13" style="98" customWidth="1"/>
    <col min="11529" max="11776" width="9" style="98"/>
    <col min="11777" max="11777" width="40.09765625" style="98" customWidth="1"/>
    <col min="11778" max="11784" width="13" style="98" customWidth="1"/>
    <col min="11785" max="12032" width="9" style="98"/>
    <col min="12033" max="12033" width="40.09765625" style="98" customWidth="1"/>
    <col min="12034" max="12040" width="13" style="98" customWidth="1"/>
    <col min="12041" max="12288" width="9" style="98"/>
    <col min="12289" max="12289" width="40.09765625" style="98" customWidth="1"/>
    <col min="12290" max="12296" width="13" style="98" customWidth="1"/>
    <col min="12297" max="12544" width="9" style="98"/>
    <col min="12545" max="12545" width="40.09765625" style="98" customWidth="1"/>
    <col min="12546" max="12552" width="13" style="98" customWidth="1"/>
    <col min="12553" max="12800" width="9" style="98"/>
    <col min="12801" max="12801" width="40.09765625" style="98" customWidth="1"/>
    <col min="12802" max="12808" width="13" style="98" customWidth="1"/>
    <col min="12809" max="13056" width="9" style="98"/>
    <col min="13057" max="13057" width="40.09765625" style="98" customWidth="1"/>
    <col min="13058" max="13064" width="13" style="98" customWidth="1"/>
    <col min="13065" max="13312" width="9" style="98"/>
    <col min="13313" max="13313" width="40.09765625" style="98" customWidth="1"/>
    <col min="13314" max="13320" width="13" style="98" customWidth="1"/>
    <col min="13321" max="13568" width="9" style="98"/>
    <col min="13569" max="13569" width="40.09765625" style="98" customWidth="1"/>
    <col min="13570" max="13576" width="13" style="98" customWidth="1"/>
    <col min="13577" max="13824" width="9" style="98"/>
    <col min="13825" max="13825" width="40.09765625" style="98" customWidth="1"/>
    <col min="13826" max="13832" width="13" style="98" customWidth="1"/>
    <col min="13833" max="14080" width="9" style="98"/>
    <col min="14081" max="14081" width="40.09765625" style="98" customWidth="1"/>
    <col min="14082" max="14088" width="13" style="98" customWidth="1"/>
    <col min="14089" max="14336" width="9" style="98"/>
    <col min="14337" max="14337" width="40.09765625" style="98" customWidth="1"/>
    <col min="14338" max="14344" width="13" style="98" customWidth="1"/>
    <col min="14345" max="14592" width="9" style="98"/>
    <col min="14593" max="14593" width="40.09765625" style="98" customWidth="1"/>
    <col min="14594" max="14600" width="13" style="98" customWidth="1"/>
    <col min="14601" max="14848" width="9" style="98"/>
    <col min="14849" max="14849" width="40.09765625" style="98" customWidth="1"/>
    <col min="14850" max="14856" width="13" style="98" customWidth="1"/>
    <col min="14857" max="15104" width="9" style="98"/>
    <col min="15105" max="15105" width="40.09765625" style="98" customWidth="1"/>
    <col min="15106" max="15112" width="13" style="98" customWidth="1"/>
    <col min="15113" max="15360" width="9" style="98"/>
    <col min="15361" max="15361" width="40.09765625" style="98" customWidth="1"/>
    <col min="15362" max="15368" width="13" style="98" customWidth="1"/>
    <col min="15369" max="15616" width="9" style="98"/>
    <col min="15617" max="15617" width="40.09765625" style="98" customWidth="1"/>
    <col min="15618" max="15624" width="13" style="98" customWidth="1"/>
    <col min="15625" max="15872" width="9" style="98"/>
    <col min="15873" max="15873" width="40.09765625" style="98" customWidth="1"/>
    <col min="15874" max="15880" width="13" style="98" customWidth="1"/>
    <col min="15881" max="16128" width="9" style="98"/>
    <col min="16129" max="16129" width="40.09765625" style="98" customWidth="1"/>
    <col min="16130" max="16136" width="13" style="98" customWidth="1"/>
    <col min="16137" max="16384" width="9" style="98"/>
  </cols>
  <sheetData>
    <row r="5" spans="1:255" ht="16.2" x14ac:dyDescent="0.25">
      <c r="A5" s="97" t="s">
        <v>515</v>
      </c>
    </row>
    <row r="7" spans="1:255" ht="20.399999999999999" x14ac:dyDescent="0.2">
      <c r="A7" s="99" t="s">
        <v>363</v>
      </c>
      <c r="B7" s="100" t="s">
        <v>364</v>
      </c>
      <c r="C7" s="98" t="s">
        <v>365</v>
      </c>
      <c r="D7" s="101" t="s">
        <v>287</v>
      </c>
      <c r="E7" s="100" t="s">
        <v>366</v>
      </c>
      <c r="F7" s="98" t="s">
        <v>367</v>
      </c>
    </row>
    <row r="8" spans="1:255" x14ac:dyDescent="0.2">
      <c r="A8" s="101"/>
      <c r="B8" s="100" t="s">
        <v>368</v>
      </c>
      <c r="C8" s="98" t="s">
        <v>369</v>
      </c>
      <c r="D8" s="101" t="s">
        <v>287</v>
      </c>
      <c r="E8" s="100" t="s">
        <v>290</v>
      </c>
      <c r="F8" s="98" t="s">
        <v>291</v>
      </c>
    </row>
    <row r="9" spans="1:255" x14ac:dyDescent="0.2">
      <c r="A9" s="101"/>
      <c r="B9" s="100" t="s">
        <v>285</v>
      </c>
      <c r="C9" s="98" t="s">
        <v>370</v>
      </c>
      <c r="D9" s="101" t="s">
        <v>287</v>
      </c>
      <c r="E9" s="100" t="s">
        <v>288</v>
      </c>
      <c r="F9" s="98" t="s">
        <v>289</v>
      </c>
    </row>
    <row r="10" spans="1:255" x14ac:dyDescent="0.2">
      <c r="A10" s="101"/>
      <c r="B10" s="100" t="s">
        <v>292</v>
      </c>
      <c r="C10" s="98" t="s">
        <v>293</v>
      </c>
      <c r="D10" s="101" t="s">
        <v>287</v>
      </c>
      <c r="E10" s="100" t="s">
        <v>294</v>
      </c>
      <c r="F10" s="102" t="s">
        <v>295</v>
      </c>
    </row>
    <row r="11" spans="1:255" x14ac:dyDescent="0.2">
      <c r="A11" s="101"/>
      <c r="B11" s="100" t="s">
        <v>371</v>
      </c>
      <c r="C11" s="98" t="s">
        <v>372</v>
      </c>
      <c r="D11" s="101" t="s">
        <v>287</v>
      </c>
      <c r="E11" s="125"/>
      <c r="F11" s="125"/>
    </row>
    <row r="14" spans="1:255" x14ac:dyDescent="0.2">
      <c r="A14" s="103" t="s">
        <v>516</v>
      </c>
      <c r="B14" s="103"/>
      <c r="C14" s="103"/>
      <c r="D14" s="103"/>
      <c r="E14" s="103"/>
      <c r="F14" s="103"/>
      <c r="G14" s="103"/>
      <c r="H14" s="103"/>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c r="CI14" s="104"/>
      <c r="CJ14" s="104"/>
      <c r="CK14" s="104"/>
      <c r="CL14" s="104"/>
      <c r="CM14" s="104"/>
      <c r="CN14" s="104"/>
      <c r="CO14" s="104"/>
      <c r="CP14" s="104"/>
      <c r="CQ14" s="104"/>
      <c r="CR14" s="104"/>
      <c r="CS14" s="104"/>
      <c r="CT14" s="104"/>
      <c r="CU14" s="104"/>
      <c r="CV14" s="104"/>
      <c r="CW14" s="104"/>
      <c r="CX14" s="104"/>
      <c r="CY14" s="104"/>
      <c r="CZ14" s="104"/>
      <c r="DA14" s="104"/>
      <c r="DB14" s="104"/>
      <c r="DC14" s="104"/>
      <c r="DD14" s="104"/>
      <c r="DE14" s="104"/>
      <c r="DF14" s="104"/>
      <c r="DG14" s="104"/>
      <c r="DH14" s="104"/>
      <c r="DI14" s="104"/>
      <c r="DJ14" s="104"/>
      <c r="DK14" s="104"/>
      <c r="DL14" s="104"/>
      <c r="DM14" s="104"/>
      <c r="DN14" s="104"/>
      <c r="DO14" s="104"/>
      <c r="DP14" s="104"/>
      <c r="DQ14" s="104"/>
      <c r="DR14" s="104"/>
      <c r="DS14" s="104"/>
      <c r="DT14" s="104"/>
      <c r="DU14" s="104"/>
      <c r="DV14" s="104"/>
      <c r="DW14" s="104"/>
      <c r="DX14" s="104"/>
      <c r="DY14" s="104"/>
      <c r="DZ14" s="104"/>
      <c r="EA14" s="104"/>
      <c r="EB14" s="104"/>
      <c r="EC14" s="104"/>
      <c r="ED14" s="104"/>
      <c r="EE14" s="104"/>
      <c r="EF14" s="104"/>
      <c r="EG14" s="104"/>
      <c r="EH14" s="104"/>
      <c r="EI14" s="104"/>
      <c r="EJ14" s="104"/>
      <c r="EK14" s="104"/>
      <c r="EL14" s="104"/>
      <c r="EM14" s="104"/>
      <c r="EN14" s="104"/>
      <c r="EO14" s="104"/>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104"/>
      <c r="GQ14" s="104"/>
      <c r="GR14" s="104"/>
      <c r="GS14" s="104"/>
      <c r="GT14" s="104"/>
      <c r="GU14" s="104"/>
      <c r="GV14" s="104"/>
      <c r="GW14" s="104"/>
      <c r="GX14" s="104"/>
      <c r="GY14" s="104"/>
      <c r="GZ14" s="104"/>
      <c r="HA14" s="104"/>
      <c r="HB14" s="104"/>
      <c r="HC14" s="104"/>
      <c r="HD14" s="104"/>
      <c r="HE14" s="104"/>
      <c r="HF14" s="104"/>
      <c r="HG14" s="104"/>
      <c r="HH14" s="104"/>
      <c r="HI14" s="104"/>
      <c r="HJ14" s="104"/>
      <c r="HK14" s="104"/>
      <c r="HL14" s="104"/>
      <c r="HM14" s="104"/>
      <c r="HN14" s="104"/>
      <c r="HO14" s="104"/>
      <c r="HP14" s="104"/>
      <c r="HQ14" s="104"/>
      <c r="HR14" s="104"/>
      <c r="HS14" s="104"/>
      <c r="HT14" s="104"/>
      <c r="HU14" s="104"/>
      <c r="HV14" s="104"/>
      <c r="HW14" s="104"/>
      <c r="HX14" s="104"/>
      <c r="HY14" s="104"/>
      <c r="HZ14" s="104"/>
      <c r="IA14" s="104"/>
      <c r="IB14" s="104"/>
      <c r="IC14" s="104"/>
      <c r="ID14" s="104"/>
      <c r="IE14" s="104"/>
      <c r="IF14" s="104"/>
      <c r="IG14" s="104"/>
      <c r="IH14" s="104"/>
      <c r="II14" s="104"/>
      <c r="IJ14" s="104"/>
      <c r="IK14" s="104"/>
      <c r="IL14" s="104"/>
      <c r="IM14" s="104"/>
      <c r="IN14" s="104"/>
      <c r="IO14" s="104"/>
      <c r="IP14" s="104"/>
      <c r="IQ14" s="104"/>
      <c r="IR14" s="104"/>
      <c r="IS14" s="104"/>
      <c r="IT14" s="104"/>
      <c r="IU14" s="104"/>
    </row>
    <row r="15" spans="1:255" ht="30.6" x14ac:dyDescent="0.2">
      <c r="A15" s="304" t="s">
        <v>299</v>
      </c>
      <c r="B15" s="305" t="s">
        <v>373</v>
      </c>
      <c r="C15" s="305" t="s">
        <v>517</v>
      </c>
      <c r="D15" s="305" t="s">
        <v>375</v>
      </c>
      <c r="E15" s="305" t="s">
        <v>518</v>
      </c>
      <c r="F15" s="305" t="s">
        <v>377</v>
      </c>
      <c r="G15" s="305" t="s">
        <v>378</v>
      </c>
      <c r="H15" s="305" t="s">
        <v>379</v>
      </c>
    </row>
    <row r="16" spans="1:255" x14ac:dyDescent="0.2">
      <c r="A16" s="306" t="s">
        <v>308</v>
      </c>
      <c r="B16" s="307" t="s">
        <v>309</v>
      </c>
      <c r="C16" s="307" t="s">
        <v>309</v>
      </c>
      <c r="D16" s="307" t="s">
        <v>309</v>
      </c>
      <c r="E16" s="307" t="s">
        <v>309</v>
      </c>
      <c r="F16" s="307" t="s">
        <v>309</v>
      </c>
      <c r="G16" s="307" t="s">
        <v>309</v>
      </c>
      <c r="H16" s="307" t="s">
        <v>309</v>
      </c>
    </row>
    <row r="17" spans="1:8" x14ac:dyDescent="0.2">
      <c r="A17" s="109" t="s">
        <v>320</v>
      </c>
      <c r="B17" s="110"/>
      <c r="C17" s="110"/>
      <c r="D17" s="110"/>
      <c r="E17" s="110"/>
      <c r="F17" s="110"/>
      <c r="G17" s="110"/>
      <c r="H17" s="110"/>
    </row>
    <row r="18" spans="1:8" x14ac:dyDescent="0.2">
      <c r="A18" s="109" t="s">
        <v>317</v>
      </c>
      <c r="B18" s="111">
        <v>4133</v>
      </c>
      <c r="C18" s="111">
        <v>5423</v>
      </c>
      <c r="D18" s="111">
        <v>2118</v>
      </c>
      <c r="E18" s="111">
        <v>-8776</v>
      </c>
      <c r="F18" s="111">
        <v>12446</v>
      </c>
      <c r="G18" s="111">
        <v>-320</v>
      </c>
      <c r="H18" s="111">
        <v>921</v>
      </c>
    </row>
    <row r="19" spans="1:8" x14ac:dyDescent="0.2">
      <c r="A19" s="110" t="s">
        <v>387</v>
      </c>
      <c r="B19" s="118">
        <v>2162</v>
      </c>
      <c r="C19" s="118">
        <v>3541</v>
      </c>
      <c r="D19" s="118">
        <v>5809</v>
      </c>
      <c r="E19" s="118">
        <v>10222</v>
      </c>
      <c r="F19" s="118">
        <v>14502</v>
      </c>
      <c r="G19" s="118">
        <v>21704</v>
      </c>
      <c r="H19" s="118">
        <v>23454</v>
      </c>
    </row>
    <row r="20" spans="1:8" x14ac:dyDescent="0.2">
      <c r="A20" s="109" t="s">
        <v>519</v>
      </c>
      <c r="B20" s="126">
        <v>2162</v>
      </c>
      <c r="C20" s="126">
        <v>3541</v>
      </c>
      <c r="D20" s="126">
        <v>5809</v>
      </c>
      <c r="E20" s="126">
        <v>10222</v>
      </c>
      <c r="F20" s="126">
        <v>14502</v>
      </c>
      <c r="G20" s="126">
        <v>21704</v>
      </c>
      <c r="H20" s="126">
        <v>23454</v>
      </c>
    </row>
    <row r="21" spans="1:8" x14ac:dyDescent="0.2">
      <c r="A21" s="110"/>
      <c r="B21" s="110"/>
      <c r="C21" s="110"/>
      <c r="D21" s="110"/>
      <c r="E21" s="110"/>
      <c r="F21" s="110"/>
      <c r="G21" s="110"/>
      <c r="H21" s="110"/>
    </row>
    <row r="22" spans="1:8" x14ac:dyDescent="0.2">
      <c r="A22" s="110" t="s">
        <v>520</v>
      </c>
      <c r="B22" s="118" t="s">
        <v>313</v>
      </c>
      <c r="C22" s="118">
        <v>25</v>
      </c>
      <c r="D22" s="118">
        <v>105</v>
      </c>
      <c r="E22" s="118">
        <v>17</v>
      </c>
      <c r="F22" s="118">
        <v>34</v>
      </c>
      <c r="G22" s="118">
        <v>608</v>
      </c>
      <c r="H22" s="118">
        <v>1457</v>
      </c>
    </row>
    <row r="23" spans="1:8" x14ac:dyDescent="0.2">
      <c r="A23" s="110" t="s">
        <v>521</v>
      </c>
      <c r="B23" s="118" t="s">
        <v>313</v>
      </c>
      <c r="C23" s="118" t="s">
        <v>313</v>
      </c>
      <c r="D23" s="118" t="s">
        <v>313</v>
      </c>
      <c r="E23" s="118" t="s">
        <v>313</v>
      </c>
      <c r="F23" s="118">
        <v>18</v>
      </c>
      <c r="G23" s="118">
        <v>5</v>
      </c>
      <c r="H23" s="118">
        <v>56</v>
      </c>
    </row>
    <row r="24" spans="1:8" x14ac:dyDescent="0.2">
      <c r="A24" s="110" t="s">
        <v>522</v>
      </c>
      <c r="B24" s="118">
        <v>450</v>
      </c>
      <c r="C24" s="118">
        <v>93</v>
      </c>
      <c r="D24" s="118">
        <v>165</v>
      </c>
      <c r="E24" s="118">
        <v>16681</v>
      </c>
      <c r="F24" s="118">
        <v>5354</v>
      </c>
      <c r="G24" s="118">
        <v>5623</v>
      </c>
      <c r="H24" s="118">
        <v>5811</v>
      </c>
    </row>
    <row r="25" spans="1:8" x14ac:dyDescent="0.2">
      <c r="A25" s="110" t="s">
        <v>523</v>
      </c>
      <c r="B25" s="118" t="s">
        <v>313</v>
      </c>
      <c r="C25" s="118" t="s">
        <v>313</v>
      </c>
      <c r="D25" s="118" t="s">
        <v>313</v>
      </c>
      <c r="E25" s="118" t="s">
        <v>313</v>
      </c>
      <c r="F25" s="118">
        <v>-33</v>
      </c>
      <c r="G25" s="118" t="s">
        <v>313</v>
      </c>
      <c r="H25" s="118" t="s">
        <v>313</v>
      </c>
    </row>
    <row r="26" spans="1:8" x14ac:dyDescent="0.2">
      <c r="A26" s="110" t="s">
        <v>524</v>
      </c>
      <c r="B26" s="118">
        <v>62</v>
      </c>
      <c r="C26" s="118">
        <v>44</v>
      </c>
      <c r="D26" s="118">
        <v>99</v>
      </c>
      <c r="E26" s="118">
        <v>11439</v>
      </c>
      <c r="F26" s="118">
        <v>8793</v>
      </c>
      <c r="G26" s="118">
        <v>28634</v>
      </c>
      <c r="H26" s="118">
        <v>29215</v>
      </c>
    </row>
    <row r="27" spans="1:8" x14ac:dyDescent="0.2">
      <c r="A27" s="110" t="s">
        <v>525</v>
      </c>
      <c r="B27" s="118">
        <v>-1076</v>
      </c>
      <c r="C27" s="118">
        <v>26</v>
      </c>
      <c r="D27" s="118">
        <v>-1751</v>
      </c>
      <c r="E27" s="118">
        <v>775</v>
      </c>
      <c r="F27" s="118">
        <v>2974</v>
      </c>
      <c r="G27" s="118">
        <v>6421</v>
      </c>
      <c r="H27" s="118">
        <v>7220</v>
      </c>
    </row>
    <row r="28" spans="1:8" x14ac:dyDescent="0.2">
      <c r="A28" s="110" t="s">
        <v>526</v>
      </c>
      <c r="B28" s="118">
        <v>-35</v>
      </c>
      <c r="C28" s="118">
        <v>-88</v>
      </c>
      <c r="D28" s="118">
        <v>-198</v>
      </c>
      <c r="E28" s="118">
        <v>-14</v>
      </c>
      <c r="F28" s="118">
        <v>-263</v>
      </c>
      <c r="G28" s="118">
        <v>-452</v>
      </c>
      <c r="H28" s="118">
        <v>-272</v>
      </c>
    </row>
    <row r="29" spans="1:8" x14ac:dyDescent="0.2">
      <c r="A29" s="110" t="s">
        <v>527</v>
      </c>
      <c r="B29" s="118">
        <v>-210</v>
      </c>
      <c r="C29" s="118">
        <v>1219</v>
      </c>
      <c r="D29" s="118">
        <v>1210</v>
      </c>
      <c r="E29" s="118">
        <v>201</v>
      </c>
      <c r="F29" s="118">
        <v>839</v>
      </c>
      <c r="G29" s="118">
        <v>1235</v>
      </c>
      <c r="H29" s="118">
        <v>835</v>
      </c>
    </row>
    <row r="30" spans="1:8" x14ac:dyDescent="0.2">
      <c r="A30" s="110" t="s">
        <v>528</v>
      </c>
      <c r="B30" s="118">
        <v>6192</v>
      </c>
      <c r="C30" s="118">
        <v>2641</v>
      </c>
      <c r="D30" s="118">
        <v>6027</v>
      </c>
      <c r="E30" s="118">
        <v>10713</v>
      </c>
      <c r="F30" s="118">
        <v>9621</v>
      </c>
      <c r="G30" s="118">
        <v>7420</v>
      </c>
      <c r="H30" s="118">
        <v>11635</v>
      </c>
    </row>
    <row r="31" spans="1:8" x14ac:dyDescent="0.2">
      <c r="A31" s="109" t="s">
        <v>529</v>
      </c>
      <c r="B31" s="126">
        <v>11678</v>
      </c>
      <c r="C31" s="126">
        <v>12924</v>
      </c>
      <c r="D31" s="126">
        <v>13584</v>
      </c>
      <c r="E31" s="126">
        <v>41258</v>
      </c>
      <c r="F31" s="126">
        <v>54285</v>
      </c>
      <c r="G31" s="126">
        <v>70878</v>
      </c>
      <c r="H31" s="126">
        <v>80332</v>
      </c>
    </row>
    <row r="32" spans="1:8" x14ac:dyDescent="0.2">
      <c r="A32" s="110"/>
      <c r="B32" s="110"/>
      <c r="C32" s="110"/>
      <c r="D32" s="110"/>
      <c r="E32" s="110"/>
      <c r="F32" s="110"/>
      <c r="G32" s="110"/>
      <c r="H32" s="110"/>
    </row>
    <row r="33" spans="1:8" x14ac:dyDescent="0.2">
      <c r="A33" s="110" t="s">
        <v>281</v>
      </c>
      <c r="B33" s="118">
        <v>-11036</v>
      </c>
      <c r="C33" s="118">
        <v>-16194</v>
      </c>
      <c r="D33" s="118">
        <v>-28515</v>
      </c>
      <c r="E33" s="118">
        <v>-32117</v>
      </c>
      <c r="F33" s="118">
        <v>-54433</v>
      </c>
      <c r="G33" s="118">
        <v>-61533</v>
      </c>
      <c r="H33" s="118">
        <v>-66119</v>
      </c>
    </row>
    <row r="34" spans="1:8" x14ac:dyDescent="0.2">
      <c r="A34" s="110" t="s">
        <v>530</v>
      </c>
      <c r="B34" s="118" t="s">
        <v>313</v>
      </c>
      <c r="C34" s="118" t="s">
        <v>313</v>
      </c>
      <c r="D34" s="118" t="s">
        <v>313</v>
      </c>
      <c r="E34" s="118" t="s">
        <v>313</v>
      </c>
      <c r="F34" s="118" t="s">
        <v>313</v>
      </c>
      <c r="G34" s="118" t="s">
        <v>313</v>
      </c>
      <c r="H34" s="118" t="s">
        <v>313</v>
      </c>
    </row>
    <row r="35" spans="1:8" x14ac:dyDescent="0.2">
      <c r="A35" s="110" t="s">
        <v>531</v>
      </c>
      <c r="B35" s="118" t="s">
        <v>313</v>
      </c>
      <c r="C35" s="118" t="s">
        <v>313</v>
      </c>
      <c r="D35" s="118" t="s">
        <v>313</v>
      </c>
      <c r="E35" s="118" t="s">
        <v>313</v>
      </c>
      <c r="F35" s="118" t="s">
        <v>313</v>
      </c>
      <c r="G35" s="118" t="s">
        <v>313</v>
      </c>
      <c r="H35" s="118" t="s">
        <v>313</v>
      </c>
    </row>
    <row r="36" spans="1:8" x14ac:dyDescent="0.2">
      <c r="A36" s="110" t="s">
        <v>532</v>
      </c>
      <c r="B36" s="118" t="s">
        <v>313</v>
      </c>
      <c r="C36" s="118" t="s">
        <v>313</v>
      </c>
      <c r="D36" s="118" t="s">
        <v>313</v>
      </c>
      <c r="E36" s="118">
        <v>-2397</v>
      </c>
      <c r="F36" s="118">
        <v>-60328</v>
      </c>
      <c r="G36" s="118">
        <v>-410</v>
      </c>
      <c r="H36" s="118">
        <v>-3373</v>
      </c>
    </row>
    <row r="37" spans="1:8" x14ac:dyDescent="0.2">
      <c r="A37" s="110" t="s">
        <v>533</v>
      </c>
      <c r="B37" s="118" t="s">
        <v>313</v>
      </c>
      <c r="C37" s="118" t="s">
        <v>313</v>
      </c>
      <c r="D37" s="118" t="s">
        <v>313</v>
      </c>
      <c r="E37" s="118" t="s">
        <v>313</v>
      </c>
      <c r="F37" s="118" t="s">
        <v>313</v>
      </c>
      <c r="G37" s="118" t="s">
        <v>313</v>
      </c>
      <c r="H37" s="118" t="s">
        <v>313</v>
      </c>
    </row>
    <row r="38" spans="1:8" x14ac:dyDescent="0.2">
      <c r="A38" s="110" t="s">
        <v>534</v>
      </c>
      <c r="B38" s="118" t="s">
        <v>313</v>
      </c>
      <c r="C38" s="118" t="s">
        <v>313</v>
      </c>
      <c r="D38" s="118" t="s">
        <v>313</v>
      </c>
      <c r="E38" s="118" t="s">
        <v>313</v>
      </c>
      <c r="F38" s="118" t="s">
        <v>313</v>
      </c>
      <c r="G38" s="118" t="s">
        <v>313</v>
      </c>
      <c r="H38" s="118" t="s">
        <v>313</v>
      </c>
    </row>
    <row r="39" spans="1:8" x14ac:dyDescent="0.2">
      <c r="A39" s="109" t="s">
        <v>535</v>
      </c>
      <c r="B39" s="126">
        <v>-11036</v>
      </c>
      <c r="C39" s="126">
        <v>-16194</v>
      </c>
      <c r="D39" s="126">
        <v>-28515</v>
      </c>
      <c r="E39" s="126">
        <v>-34514</v>
      </c>
      <c r="F39" s="126">
        <v>-114761</v>
      </c>
      <c r="G39" s="126">
        <v>-61943</v>
      </c>
      <c r="H39" s="126">
        <v>-69492</v>
      </c>
    </row>
    <row r="40" spans="1:8" x14ac:dyDescent="0.2">
      <c r="A40" s="110"/>
      <c r="B40" s="110"/>
      <c r="C40" s="110"/>
      <c r="D40" s="110"/>
      <c r="E40" s="110"/>
      <c r="F40" s="110"/>
      <c r="G40" s="110"/>
      <c r="H40" s="110"/>
    </row>
    <row r="41" spans="1:8" x14ac:dyDescent="0.2">
      <c r="A41" s="110" t="s">
        <v>536</v>
      </c>
      <c r="B41" s="118" t="s">
        <v>313</v>
      </c>
      <c r="C41" s="118" t="s">
        <v>313</v>
      </c>
      <c r="D41" s="118">
        <v>32000</v>
      </c>
      <c r="E41" s="118">
        <v>4000</v>
      </c>
      <c r="F41" s="118" t="s">
        <v>313</v>
      </c>
      <c r="G41" s="118" t="s">
        <v>313</v>
      </c>
      <c r="H41" s="118" t="s">
        <v>313</v>
      </c>
    </row>
    <row r="42" spans="1:8" x14ac:dyDescent="0.2">
      <c r="A42" s="110" t="s">
        <v>537</v>
      </c>
      <c r="B42" s="118" t="s">
        <v>313</v>
      </c>
      <c r="C42" s="118">
        <v>313</v>
      </c>
      <c r="D42" s="118" t="s">
        <v>313</v>
      </c>
      <c r="E42" s="118" t="s">
        <v>313</v>
      </c>
      <c r="F42" s="118">
        <v>65</v>
      </c>
      <c r="G42" s="118">
        <v>1183</v>
      </c>
      <c r="H42" s="118" t="s">
        <v>313</v>
      </c>
    </row>
    <row r="43" spans="1:8" x14ac:dyDescent="0.2">
      <c r="A43" s="109" t="s">
        <v>538</v>
      </c>
      <c r="B43" s="126" t="s">
        <v>313</v>
      </c>
      <c r="C43" s="126">
        <v>313</v>
      </c>
      <c r="D43" s="126">
        <v>32000</v>
      </c>
      <c r="E43" s="126">
        <v>4000</v>
      </c>
      <c r="F43" s="126">
        <v>65</v>
      </c>
      <c r="G43" s="126">
        <v>1183</v>
      </c>
      <c r="H43" s="126">
        <v>1411</v>
      </c>
    </row>
    <row r="44" spans="1:8" x14ac:dyDescent="0.2">
      <c r="A44" s="110" t="s">
        <v>539</v>
      </c>
      <c r="B44" s="118">
        <v>-1925</v>
      </c>
      <c r="C44" s="118" t="s">
        <v>313</v>
      </c>
      <c r="D44" s="118" t="s">
        <v>313</v>
      </c>
      <c r="E44" s="118">
        <v>-36000</v>
      </c>
      <c r="F44" s="118" t="s">
        <v>313</v>
      </c>
      <c r="G44" s="118" t="s">
        <v>313</v>
      </c>
      <c r="H44" s="118" t="s">
        <v>313</v>
      </c>
    </row>
    <row r="45" spans="1:8" x14ac:dyDescent="0.2">
      <c r="A45" s="110" t="s">
        <v>540</v>
      </c>
      <c r="B45" s="118" t="s">
        <v>313</v>
      </c>
      <c r="C45" s="118" t="s">
        <v>313</v>
      </c>
      <c r="D45" s="118" t="s">
        <v>313</v>
      </c>
      <c r="E45" s="118" t="s">
        <v>313</v>
      </c>
      <c r="F45" s="118">
        <v>-313</v>
      </c>
      <c r="G45" s="118">
        <v>-266</v>
      </c>
      <c r="H45" s="118" t="s">
        <v>313</v>
      </c>
    </row>
    <row r="46" spans="1:8" x14ac:dyDescent="0.2">
      <c r="A46" s="109" t="s">
        <v>541</v>
      </c>
      <c r="B46" s="126">
        <v>-1925</v>
      </c>
      <c r="C46" s="126" t="s">
        <v>313</v>
      </c>
      <c r="D46" s="126" t="s">
        <v>313</v>
      </c>
      <c r="E46" s="126">
        <v>-36000</v>
      </c>
      <c r="F46" s="126">
        <v>-313</v>
      </c>
      <c r="G46" s="126">
        <v>-266</v>
      </c>
      <c r="H46" s="126">
        <v>-309</v>
      </c>
    </row>
    <row r="47" spans="1:8" x14ac:dyDescent="0.2">
      <c r="A47" s="110"/>
      <c r="B47" s="110"/>
      <c r="C47" s="110"/>
      <c r="D47" s="110"/>
      <c r="E47" s="110"/>
      <c r="F47" s="110"/>
      <c r="G47" s="110"/>
      <c r="H47" s="110"/>
    </row>
    <row r="48" spans="1:8" x14ac:dyDescent="0.2">
      <c r="A48" s="110" t="s">
        <v>542</v>
      </c>
      <c r="B48" s="118" t="s">
        <v>313</v>
      </c>
      <c r="C48" s="118" t="s">
        <v>313</v>
      </c>
      <c r="D48" s="118" t="s">
        <v>313</v>
      </c>
      <c r="E48" s="118">
        <v>109292</v>
      </c>
      <c r="F48" s="118">
        <v>3194</v>
      </c>
      <c r="G48" s="118">
        <v>7585</v>
      </c>
      <c r="H48" s="118">
        <v>4765</v>
      </c>
    </row>
    <row r="49" spans="1:8" x14ac:dyDescent="0.2">
      <c r="A49" s="110"/>
      <c r="B49" s="110"/>
      <c r="C49" s="110"/>
      <c r="D49" s="110"/>
      <c r="E49" s="110"/>
      <c r="F49" s="110"/>
      <c r="G49" s="110"/>
      <c r="H49" s="110"/>
    </row>
    <row r="50" spans="1:8" x14ac:dyDescent="0.2">
      <c r="A50" s="110" t="s">
        <v>543</v>
      </c>
      <c r="B50" s="118" t="s">
        <v>313</v>
      </c>
      <c r="C50" s="118" t="s">
        <v>313</v>
      </c>
      <c r="D50" s="118">
        <v>-27070</v>
      </c>
      <c r="E50" s="118" t="s">
        <v>313</v>
      </c>
      <c r="F50" s="118" t="s">
        <v>313</v>
      </c>
      <c r="G50" s="118" t="s">
        <v>313</v>
      </c>
      <c r="H50" s="118" t="s">
        <v>313</v>
      </c>
    </row>
    <row r="51" spans="1:8" x14ac:dyDescent="0.2">
      <c r="A51" s="109" t="s">
        <v>544</v>
      </c>
      <c r="B51" s="126" t="s">
        <v>313</v>
      </c>
      <c r="C51" s="126" t="s">
        <v>313</v>
      </c>
      <c r="D51" s="126">
        <v>-27070</v>
      </c>
      <c r="E51" s="126" t="s">
        <v>313</v>
      </c>
      <c r="F51" s="126" t="s">
        <v>313</v>
      </c>
      <c r="G51" s="126" t="s">
        <v>313</v>
      </c>
      <c r="H51" s="126" t="s">
        <v>313</v>
      </c>
    </row>
    <row r="52" spans="1:8" x14ac:dyDescent="0.2">
      <c r="A52" s="110"/>
      <c r="B52" s="110"/>
      <c r="C52" s="110"/>
      <c r="D52" s="110"/>
      <c r="E52" s="110"/>
      <c r="F52" s="110"/>
      <c r="G52" s="110"/>
      <c r="H52" s="110"/>
    </row>
    <row r="53" spans="1:8" x14ac:dyDescent="0.2">
      <c r="A53" s="110" t="s">
        <v>545</v>
      </c>
      <c r="B53" s="118" t="s">
        <v>313</v>
      </c>
      <c r="C53" s="118" t="s">
        <v>313</v>
      </c>
      <c r="D53" s="118" t="s">
        <v>313</v>
      </c>
      <c r="E53" s="118">
        <v>-11125</v>
      </c>
      <c r="F53" s="118" t="s">
        <v>313</v>
      </c>
      <c r="G53" s="118" t="s">
        <v>313</v>
      </c>
      <c r="H53" s="118" t="s">
        <v>313</v>
      </c>
    </row>
    <row r="54" spans="1:8" x14ac:dyDescent="0.2">
      <c r="A54" s="110" t="s">
        <v>546</v>
      </c>
      <c r="B54" s="118">
        <v>-246</v>
      </c>
      <c r="C54" s="118" t="s">
        <v>313</v>
      </c>
      <c r="D54" s="118">
        <v>-398</v>
      </c>
      <c r="E54" s="118">
        <v>-4739</v>
      </c>
      <c r="F54" s="118">
        <v>-1712</v>
      </c>
      <c r="G54" s="118">
        <v>-7537</v>
      </c>
      <c r="H54" s="118">
        <v>-5794</v>
      </c>
    </row>
    <row r="55" spans="1:8" x14ac:dyDescent="0.2">
      <c r="A55" s="109" t="s">
        <v>547</v>
      </c>
      <c r="B55" s="126">
        <v>-2171</v>
      </c>
      <c r="C55" s="126">
        <v>313</v>
      </c>
      <c r="D55" s="126">
        <v>4532</v>
      </c>
      <c r="E55" s="126">
        <v>61428</v>
      </c>
      <c r="F55" s="126">
        <v>1234</v>
      </c>
      <c r="G55" s="126">
        <v>965</v>
      </c>
      <c r="H55" s="126">
        <v>73</v>
      </c>
    </row>
    <row r="56" spans="1:8" x14ac:dyDescent="0.2">
      <c r="A56" s="110"/>
      <c r="B56" s="110"/>
      <c r="C56" s="110"/>
      <c r="D56" s="110"/>
      <c r="E56" s="110"/>
      <c r="F56" s="110"/>
      <c r="G56" s="110"/>
      <c r="H56" s="110"/>
    </row>
    <row r="57" spans="1:8" x14ac:dyDescent="0.2">
      <c r="A57" s="109" t="s">
        <v>548</v>
      </c>
      <c r="B57" s="127">
        <v>-1529</v>
      </c>
      <c r="C57" s="127">
        <v>-2957</v>
      </c>
      <c r="D57" s="127">
        <v>-10399</v>
      </c>
      <c r="E57" s="127">
        <v>68172</v>
      </c>
      <c r="F57" s="127">
        <v>-59242</v>
      </c>
      <c r="G57" s="127">
        <v>9900</v>
      </c>
      <c r="H57" s="127">
        <v>10913</v>
      </c>
    </row>
    <row r="58" spans="1:8" x14ac:dyDescent="0.2">
      <c r="A58" s="110"/>
      <c r="B58" s="110"/>
      <c r="C58" s="110"/>
      <c r="D58" s="110"/>
      <c r="E58" s="110"/>
      <c r="F58" s="110"/>
      <c r="G58" s="110"/>
      <c r="H58" s="110"/>
    </row>
    <row r="59" spans="1:8" x14ac:dyDescent="0.2">
      <c r="A59" s="109" t="s">
        <v>423</v>
      </c>
      <c r="B59" s="110"/>
      <c r="C59" s="110"/>
      <c r="D59" s="110"/>
      <c r="E59" s="110"/>
      <c r="F59" s="110"/>
      <c r="G59" s="110"/>
      <c r="H59" s="110"/>
    </row>
    <row r="60" spans="1:8" x14ac:dyDescent="0.2">
      <c r="A60" s="110" t="s">
        <v>549</v>
      </c>
      <c r="B60" s="118">
        <v>59</v>
      </c>
      <c r="C60" s="118">
        <v>19</v>
      </c>
      <c r="D60" s="118">
        <v>123</v>
      </c>
      <c r="E60" s="118">
        <v>92</v>
      </c>
      <c r="F60" s="118">
        <v>54</v>
      </c>
      <c r="G60" s="118">
        <v>1106</v>
      </c>
      <c r="H60" s="118">
        <v>1650</v>
      </c>
    </row>
    <row r="61" spans="1:8" x14ac:dyDescent="0.2">
      <c r="A61" s="110" t="s">
        <v>550</v>
      </c>
      <c r="B61" s="118">
        <v>198</v>
      </c>
      <c r="C61" s="118">
        <v>639</v>
      </c>
      <c r="D61" s="118">
        <v>836</v>
      </c>
      <c r="E61" s="118">
        <v>416</v>
      </c>
      <c r="F61" s="118">
        <v>1823</v>
      </c>
      <c r="G61" s="118">
        <v>2261</v>
      </c>
      <c r="H61" s="118">
        <v>2022</v>
      </c>
    </row>
    <row r="62" spans="1:8" x14ac:dyDescent="0.2">
      <c r="A62" s="110" t="s">
        <v>551</v>
      </c>
      <c r="B62" s="118" t="s">
        <v>311</v>
      </c>
      <c r="C62" s="118">
        <v>-6125.8</v>
      </c>
      <c r="D62" s="118">
        <v>-14884.1</v>
      </c>
      <c r="E62" s="118">
        <v>12568.25</v>
      </c>
      <c r="F62" s="118">
        <v>-12187.4</v>
      </c>
      <c r="G62" s="118">
        <v>-9355.7999999999993</v>
      </c>
      <c r="H62" s="118">
        <v>-7835.4</v>
      </c>
    </row>
    <row r="63" spans="1:8" x14ac:dyDescent="0.2">
      <c r="A63" s="110" t="s">
        <v>552</v>
      </c>
      <c r="B63" s="118" t="s">
        <v>311</v>
      </c>
      <c r="C63" s="118">
        <v>-6093.3</v>
      </c>
      <c r="D63" s="118">
        <v>-14656</v>
      </c>
      <c r="E63" s="118">
        <v>12775.75</v>
      </c>
      <c r="F63" s="118">
        <v>-11953.6</v>
      </c>
      <c r="G63" s="118">
        <v>-8328.9</v>
      </c>
      <c r="H63" s="118">
        <v>-6644.8</v>
      </c>
    </row>
    <row r="64" spans="1:8" x14ac:dyDescent="0.2">
      <c r="A64" s="110" t="s">
        <v>553</v>
      </c>
      <c r="B64" s="118" t="s">
        <v>311</v>
      </c>
      <c r="C64" s="118">
        <v>-1458</v>
      </c>
      <c r="D64" s="118">
        <v>-5855</v>
      </c>
      <c r="E64" s="118">
        <v>-5266</v>
      </c>
      <c r="F64" s="118">
        <v>-5224</v>
      </c>
      <c r="G64" s="118">
        <v>-3949</v>
      </c>
      <c r="H64" s="118">
        <v>-6993</v>
      </c>
    </row>
    <row r="65" spans="1:8" x14ac:dyDescent="0.2">
      <c r="A65" s="110" t="s">
        <v>554</v>
      </c>
      <c r="B65" s="118">
        <v>-1925</v>
      </c>
      <c r="C65" s="118">
        <v>313</v>
      </c>
      <c r="D65" s="118">
        <v>32000</v>
      </c>
      <c r="E65" s="118">
        <v>-32000</v>
      </c>
      <c r="F65" s="118">
        <v>-248</v>
      </c>
      <c r="G65" s="118">
        <v>917</v>
      </c>
      <c r="H65" s="118">
        <v>1102</v>
      </c>
    </row>
    <row r="66" spans="1:8" x14ac:dyDescent="0.2">
      <c r="A66" s="110" t="s">
        <v>436</v>
      </c>
      <c r="B66" s="130">
        <v>42090</v>
      </c>
      <c r="C66" s="130">
        <v>42459</v>
      </c>
      <c r="D66" s="130">
        <v>42807</v>
      </c>
      <c r="E66" s="130">
        <v>43157</v>
      </c>
      <c r="F66" s="130">
        <v>43157</v>
      </c>
      <c r="G66" s="130">
        <v>43157</v>
      </c>
      <c r="H66" s="130">
        <v>43227</v>
      </c>
    </row>
    <row r="67" spans="1:8" x14ac:dyDescent="0.2">
      <c r="A67" s="110" t="s">
        <v>437</v>
      </c>
      <c r="B67" s="117" t="s">
        <v>438</v>
      </c>
      <c r="C67" s="117" t="s">
        <v>438</v>
      </c>
      <c r="D67" s="117" t="s">
        <v>438</v>
      </c>
      <c r="E67" s="117" t="s">
        <v>438</v>
      </c>
      <c r="F67" s="117" t="s">
        <v>438</v>
      </c>
      <c r="G67" s="117" t="s">
        <v>440</v>
      </c>
      <c r="H67" s="117" t="s">
        <v>440</v>
      </c>
    </row>
    <row r="68" spans="1:8" x14ac:dyDescent="0.2">
      <c r="A68" s="110" t="s">
        <v>441</v>
      </c>
      <c r="B68" s="117" t="s">
        <v>442</v>
      </c>
      <c r="C68" s="117" t="s">
        <v>442</v>
      </c>
      <c r="D68" s="117" t="s">
        <v>442</v>
      </c>
      <c r="E68" s="117" t="s">
        <v>442</v>
      </c>
      <c r="F68" s="117" t="s">
        <v>442</v>
      </c>
      <c r="G68" s="117" t="s">
        <v>442</v>
      </c>
      <c r="H68" s="117" t="s">
        <v>443</v>
      </c>
    </row>
    <row r="69" spans="1:8" x14ac:dyDescent="0.2">
      <c r="A69" s="110"/>
      <c r="B69" s="110"/>
      <c r="C69" s="110"/>
      <c r="D69" s="110"/>
      <c r="E69" s="110"/>
      <c r="F69" s="110"/>
      <c r="G69" s="110"/>
      <c r="H69" s="110"/>
    </row>
    <row r="70" spans="1:8" ht="61.2" x14ac:dyDescent="0.2">
      <c r="A70" s="136" t="s">
        <v>361</v>
      </c>
      <c r="B70" s="119"/>
      <c r="C70" s="119"/>
      <c r="D70" s="119"/>
      <c r="E70" s="119"/>
      <c r="F70" s="119"/>
      <c r="G70" s="119"/>
      <c r="H70" s="11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399FF"/>
    <outlinePr summaryBelow="0" summaryRight="0"/>
    <pageSetUpPr autoPageBreaks="0"/>
  </sheetPr>
  <dimension ref="A5:IU91"/>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73" width="13" style="98" customWidth="1"/>
    <col min="274" max="512" width="9" style="98"/>
    <col min="513" max="513" width="40.09765625" style="98" customWidth="1"/>
    <col min="514" max="529" width="13" style="98" customWidth="1"/>
    <col min="530" max="768" width="9" style="98"/>
    <col min="769" max="769" width="40.09765625" style="98" customWidth="1"/>
    <col min="770" max="785" width="13" style="98" customWidth="1"/>
    <col min="786" max="1024" width="9" style="98"/>
    <col min="1025" max="1025" width="40.09765625" style="98" customWidth="1"/>
    <col min="1026" max="1041" width="13" style="98" customWidth="1"/>
    <col min="1042" max="1280" width="9" style="98"/>
    <col min="1281" max="1281" width="40.09765625" style="98" customWidth="1"/>
    <col min="1282" max="1297" width="13" style="98" customWidth="1"/>
    <col min="1298" max="1536" width="9" style="98"/>
    <col min="1537" max="1537" width="40.09765625" style="98" customWidth="1"/>
    <col min="1538" max="1553" width="13" style="98" customWidth="1"/>
    <col min="1554" max="1792" width="9" style="98"/>
    <col min="1793" max="1793" width="40.09765625" style="98" customWidth="1"/>
    <col min="1794" max="1809" width="13" style="98" customWidth="1"/>
    <col min="1810" max="2048" width="9" style="98"/>
    <col min="2049" max="2049" width="40.09765625" style="98" customWidth="1"/>
    <col min="2050" max="2065" width="13" style="98" customWidth="1"/>
    <col min="2066" max="2304" width="9" style="98"/>
    <col min="2305" max="2305" width="40.09765625" style="98" customWidth="1"/>
    <col min="2306" max="2321" width="13" style="98" customWidth="1"/>
    <col min="2322" max="2560" width="9" style="98"/>
    <col min="2561" max="2561" width="40.09765625" style="98" customWidth="1"/>
    <col min="2562" max="2577" width="13" style="98" customWidth="1"/>
    <col min="2578" max="2816" width="9" style="98"/>
    <col min="2817" max="2817" width="40.09765625" style="98" customWidth="1"/>
    <col min="2818" max="2833" width="13" style="98" customWidth="1"/>
    <col min="2834" max="3072" width="9" style="98"/>
    <col min="3073" max="3073" width="40.09765625" style="98" customWidth="1"/>
    <col min="3074" max="3089" width="13" style="98" customWidth="1"/>
    <col min="3090" max="3328" width="9" style="98"/>
    <col min="3329" max="3329" width="40.09765625" style="98" customWidth="1"/>
    <col min="3330" max="3345" width="13" style="98" customWidth="1"/>
    <col min="3346" max="3584" width="9" style="98"/>
    <col min="3585" max="3585" width="40.09765625" style="98" customWidth="1"/>
    <col min="3586" max="3601" width="13" style="98" customWidth="1"/>
    <col min="3602" max="3840" width="9" style="98"/>
    <col min="3841" max="3841" width="40.09765625" style="98" customWidth="1"/>
    <col min="3842" max="3857" width="13" style="98" customWidth="1"/>
    <col min="3858" max="4096" width="9" style="98"/>
    <col min="4097" max="4097" width="40.09765625" style="98" customWidth="1"/>
    <col min="4098" max="4113" width="13" style="98" customWidth="1"/>
    <col min="4114" max="4352" width="9" style="98"/>
    <col min="4353" max="4353" width="40.09765625" style="98" customWidth="1"/>
    <col min="4354" max="4369" width="13" style="98" customWidth="1"/>
    <col min="4370" max="4608" width="9" style="98"/>
    <col min="4609" max="4609" width="40.09765625" style="98" customWidth="1"/>
    <col min="4610" max="4625" width="13" style="98" customWidth="1"/>
    <col min="4626" max="4864" width="9" style="98"/>
    <col min="4865" max="4865" width="40.09765625" style="98" customWidth="1"/>
    <col min="4866" max="4881" width="13" style="98" customWidth="1"/>
    <col min="4882" max="5120" width="9" style="98"/>
    <col min="5121" max="5121" width="40.09765625" style="98" customWidth="1"/>
    <col min="5122" max="5137" width="13" style="98" customWidth="1"/>
    <col min="5138" max="5376" width="9" style="98"/>
    <col min="5377" max="5377" width="40.09765625" style="98" customWidth="1"/>
    <col min="5378" max="5393" width="13" style="98" customWidth="1"/>
    <col min="5394" max="5632" width="9" style="98"/>
    <col min="5633" max="5633" width="40.09765625" style="98" customWidth="1"/>
    <col min="5634" max="5649" width="13" style="98" customWidth="1"/>
    <col min="5650" max="5888" width="9" style="98"/>
    <col min="5889" max="5889" width="40.09765625" style="98" customWidth="1"/>
    <col min="5890" max="5905" width="13" style="98" customWidth="1"/>
    <col min="5906" max="6144" width="9" style="98"/>
    <col min="6145" max="6145" width="40.09765625" style="98" customWidth="1"/>
    <col min="6146" max="6161" width="13" style="98" customWidth="1"/>
    <col min="6162" max="6400" width="9" style="98"/>
    <col min="6401" max="6401" width="40.09765625" style="98" customWidth="1"/>
    <col min="6402" max="6417" width="13" style="98" customWidth="1"/>
    <col min="6418" max="6656" width="9" style="98"/>
    <col min="6657" max="6657" width="40.09765625" style="98" customWidth="1"/>
    <col min="6658" max="6673" width="13" style="98" customWidth="1"/>
    <col min="6674" max="6912" width="9" style="98"/>
    <col min="6913" max="6913" width="40.09765625" style="98" customWidth="1"/>
    <col min="6914" max="6929" width="13" style="98" customWidth="1"/>
    <col min="6930" max="7168" width="9" style="98"/>
    <col min="7169" max="7169" width="40.09765625" style="98" customWidth="1"/>
    <col min="7170" max="7185" width="13" style="98" customWidth="1"/>
    <col min="7186" max="7424" width="9" style="98"/>
    <col min="7425" max="7425" width="40.09765625" style="98" customWidth="1"/>
    <col min="7426" max="7441" width="13" style="98" customWidth="1"/>
    <col min="7442" max="7680" width="9" style="98"/>
    <col min="7681" max="7681" width="40.09765625" style="98" customWidth="1"/>
    <col min="7682" max="7697" width="13" style="98" customWidth="1"/>
    <col min="7698" max="7936" width="9" style="98"/>
    <col min="7937" max="7937" width="40.09765625" style="98" customWidth="1"/>
    <col min="7938" max="7953" width="13" style="98" customWidth="1"/>
    <col min="7954" max="8192" width="9" style="98"/>
    <col min="8193" max="8193" width="40.09765625" style="98" customWidth="1"/>
    <col min="8194" max="8209" width="13" style="98" customWidth="1"/>
    <col min="8210" max="8448" width="9" style="98"/>
    <col min="8449" max="8449" width="40.09765625" style="98" customWidth="1"/>
    <col min="8450" max="8465" width="13" style="98" customWidth="1"/>
    <col min="8466" max="8704" width="9" style="98"/>
    <col min="8705" max="8705" width="40.09765625" style="98" customWidth="1"/>
    <col min="8706" max="8721" width="13" style="98" customWidth="1"/>
    <col min="8722" max="8960" width="9" style="98"/>
    <col min="8961" max="8961" width="40.09765625" style="98" customWidth="1"/>
    <col min="8962" max="8977" width="13" style="98" customWidth="1"/>
    <col min="8978" max="9216" width="9" style="98"/>
    <col min="9217" max="9217" width="40.09765625" style="98" customWidth="1"/>
    <col min="9218" max="9233" width="13" style="98" customWidth="1"/>
    <col min="9234" max="9472" width="9" style="98"/>
    <col min="9473" max="9473" width="40.09765625" style="98" customWidth="1"/>
    <col min="9474" max="9489" width="13" style="98" customWidth="1"/>
    <col min="9490" max="9728" width="9" style="98"/>
    <col min="9729" max="9729" width="40.09765625" style="98" customWidth="1"/>
    <col min="9730" max="9745" width="13" style="98" customWidth="1"/>
    <col min="9746" max="9984" width="9" style="98"/>
    <col min="9985" max="9985" width="40.09765625" style="98" customWidth="1"/>
    <col min="9986" max="10001" width="13" style="98" customWidth="1"/>
    <col min="10002" max="10240" width="9" style="98"/>
    <col min="10241" max="10241" width="40.09765625" style="98" customWidth="1"/>
    <col min="10242" max="10257" width="13" style="98" customWidth="1"/>
    <col min="10258" max="10496" width="9" style="98"/>
    <col min="10497" max="10497" width="40.09765625" style="98" customWidth="1"/>
    <col min="10498" max="10513" width="13" style="98" customWidth="1"/>
    <col min="10514" max="10752" width="9" style="98"/>
    <col min="10753" max="10753" width="40.09765625" style="98" customWidth="1"/>
    <col min="10754" max="10769" width="13" style="98" customWidth="1"/>
    <col min="10770" max="11008" width="9" style="98"/>
    <col min="11009" max="11009" width="40.09765625" style="98" customWidth="1"/>
    <col min="11010" max="11025" width="13" style="98" customWidth="1"/>
    <col min="11026" max="11264" width="9" style="98"/>
    <col min="11265" max="11265" width="40.09765625" style="98" customWidth="1"/>
    <col min="11266" max="11281" width="13" style="98" customWidth="1"/>
    <col min="11282" max="11520" width="9" style="98"/>
    <col min="11521" max="11521" width="40.09765625" style="98" customWidth="1"/>
    <col min="11522" max="11537" width="13" style="98" customWidth="1"/>
    <col min="11538" max="11776" width="9" style="98"/>
    <col min="11777" max="11777" width="40.09765625" style="98" customWidth="1"/>
    <col min="11778" max="11793" width="13" style="98" customWidth="1"/>
    <col min="11794" max="12032" width="9" style="98"/>
    <col min="12033" max="12033" width="40.09765625" style="98" customWidth="1"/>
    <col min="12034" max="12049" width="13" style="98" customWidth="1"/>
    <col min="12050" max="12288" width="9" style="98"/>
    <col min="12289" max="12289" width="40.09765625" style="98" customWidth="1"/>
    <col min="12290" max="12305" width="13" style="98" customWidth="1"/>
    <col min="12306" max="12544" width="9" style="98"/>
    <col min="12545" max="12545" width="40.09765625" style="98" customWidth="1"/>
    <col min="12546" max="12561" width="13" style="98" customWidth="1"/>
    <col min="12562" max="12800" width="9" style="98"/>
    <col min="12801" max="12801" width="40.09765625" style="98" customWidth="1"/>
    <col min="12802" max="12817" width="13" style="98" customWidth="1"/>
    <col min="12818" max="13056" width="9" style="98"/>
    <col min="13057" max="13057" width="40.09765625" style="98" customWidth="1"/>
    <col min="13058" max="13073" width="13" style="98" customWidth="1"/>
    <col min="13074" max="13312" width="9" style="98"/>
    <col min="13313" max="13313" width="40.09765625" style="98" customWidth="1"/>
    <col min="13314" max="13329" width="13" style="98" customWidth="1"/>
    <col min="13330" max="13568" width="9" style="98"/>
    <col min="13569" max="13569" width="40.09765625" style="98" customWidth="1"/>
    <col min="13570" max="13585" width="13" style="98" customWidth="1"/>
    <col min="13586" max="13824" width="9" style="98"/>
    <col min="13825" max="13825" width="40.09765625" style="98" customWidth="1"/>
    <col min="13826" max="13841" width="13" style="98" customWidth="1"/>
    <col min="13842" max="14080" width="9" style="98"/>
    <col min="14081" max="14081" width="40.09765625" style="98" customWidth="1"/>
    <col min="14082" max="14097" width="13" style="98" customWidth="1"/>
    <col min="14098" max="14336" width="9" style="98"/>
    <col min="14337" max="14337" width="40.09765625" style="98" customWidth="1"/>
    <col min="14338" max="14353" width="13" style="98" customWidth="1"/>
    <col min="14354" max="14592" width="9" style="98"/>
    <col min="14593" max="14593" width="40.09765625" style="98" customWidth="1"/>
    <col min="14594" max="14609" width="13" style="98" customWidth="1"/>
    <col min="14610" max="14848" width="9" style="98"/>
    <col min="14849" max="14849" width="40.09765625" style="98" customWidth="1"/>
    <col min="14850" max="14865" width="13" style="98" customWidth="1"/>
    <col min="14866" max="15104" width="9" style="98"/>
    <col min="15105" max="15105" width="40.09765625" style="98" customWidth="1"/>
    <col min="15106" max="15121" width="13" style="98" customWidth="1"/>
    <col min="15122" max="15360" width="9" style="98"/>
    <col min="15361" max="15361" width="40.09765625" style="98" customWidth="1"/>
    <col min="15362" max="15377" width="13" style="98" customWidth="1"/>
    <col min="15378" max="15616" width="9" style="98"/>
    <col min="15617" max="15617" width="40.09765625" style="98" customWidth="1"/>
    <col min="15618" max="15633" width="13" style="98" customWidth="1"/>
    <col min="15634" max="15872" width="9" style="98"/>
    <col min="15873" max="15873" width="40.09765625" style="98" customWidth="1"/>
    <col min="15874" max="15889" width="13" style="98" customWidth="1"/>
    <col min="15890" max="16128" width="9" style="98"/>
    <col min="16129" max="16129" width="40.09765625" style="98" customWidth="1"/>
    <col min="16130" max="16145" width="13" style="98" customWidth="1"/>
    <col min="16146" max="16384" width="9" style="98"/>
  </cols>
  <sheetData>
    <row r="5" spans="1:255" ht="16.2" x14ac:dyDescent="0.25">
      <c r="A5" s="97" t="s">
        <v>555</v>
      </c>
    </row>
    <row r="7" spans="1:255" x14ac:dyDescent="0.2">
      <c r="A7" s="101"/>
      <c r="B7" s="100" t="s">
        <v>556</v>
      </c>
      <c r="C7" s="98" t="s">
        <v>557</v>
      </c>
      <c r="D7" s="101" t="s">
        <v>287</v>
      </c>
      <c r="E7" s="100" t="s">
        <v>558</v>
      </c>
      <c r="F7" s="98" t="s">
        <v>559</v>
      </c>
    </row>
    <row r="8" spans="1:255" x14ac:dyDescent="0.2">
      <c r="A8" s="101"/>
      <c r="B8" s="100" t="s">
        <v>290</v>
      </c>
      <c r="C8" s="98" t="s">
        <v>291</v>
      </c>
      <c r="D8" s="101" t="s">
        <v>287</v>
      </c>
      <c r="E8" s="100" t="s">
        <v>294</v>
      </c>
      <c r="F8" s="102" t="s">
        <v>295</v>
      </c>
    </row>
    <row r="9" spans="1:255" x14ac:dyDescent="0.2">
      <c r="A9" s="101"/>
      <c r="B9" s="100" t="s">
        <v>296</v>
      </c>
      <c r="C9" s="98" t="s">
        <v>297</v>
      </c>
      <c r="D9" s="101" t="s">
        <v>287</v>
      </c>
      <c r="E9" s="125"/>
      <c r="F9" s="125"/>
    </row>
    <row r="12" spans="1:255" x14ac:dyDescent="0.2">
      <c r="A12" s="103" t="s">
        <v>560</v>
      </c>
      <c r="B12" s="103"/>
      <c r="C12" s="103"/>
      <c r="D12" s="103"/>
      <c r="E12" s="103"/>
      <c r="F12" s="103"/>
      <c r="G12" s="103"/>
      <c r="H12" s="103"/>
      <c r="I12" s="103"/>
      <c r="J12" s="103"/>
      <c r="K12" s="103"/>
      <c r="L12" s="103"/>
      <c r="M12" s="103"/>
      <c r="N12" s="103"/>
      <c r="O12" s="103"/>
      <c r="P12" s="103"/>
      <c r="Q12" s="103"/>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row>
    <row r="13" spans="1:255" ht="12" x14ac:dyDescent="0.35">
      <c r="A13" s="313"/>
      <c r="B13" s="309"/>
      <c r="C13" s="309"/>
      <c r="D13" s="309"/>
      <c r="E13" s="309"/>
      <c r="F13" s="309"/>
      <c r="G13" s="309"/>
      <c r="H13" s="309"/>
      <c r="I13" s="309"/>
      <c r="J13" s="309"/>
      <c r="K13" s="309"/>
      <c r="L13" s="309"/>
      <c r="M13" s="309"/>
      <c r="N13" s="309"/>
      <c r="O13" s="309"/>
      <c r="P13" s="309"/>
      <c r="Q13" s="309"/>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4"/>
      <c r="DA13" s="104"/>
      <c r="DB13" s="104"/>
      <c r="DC13" s="104"/>
      <c r="DD13" s="104"/>
      <c r="DE13" s="104"/>
      <c r="DF13" s="104"/>
      <c r="DG13" s="104"/>
      <c r="DH13" s="104"/>
      <c r="DI13" s="104"/>
      <c r="DJ13" s="104"/>
      <c r="DK13" s="104"/>
      <c r="DL13" s="104"/>
      <c r="DM13" s="104"/>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104"/>
      <c r="GQ13" s="104"/>
      <c r="GR13" s="104"/>
      <c r="GS13" s="104"/>
      <c r="GT13" s="104"/>
      <c r="GU13" s="104"/>
      <c r="GV13" s="104"/>
      <c r="GW13" s="104"/>
      <c r="GX13" s="104"/>
      <c r="GY13" s="104"/>
      <c r="GZ13" s="104"/>
      <c r="HA13" s="104"/>
      <c r="HB13" s="104"/>
      <c r="HC13" s="104"/>
      <c r="HD13" s="104"/>
      <c r="HE13" s="104"/>
      <c r="HF13" s="104"/>
      <c r="HG13" s="104"/>
      <c r="HH13" s="104"/>
      <c r="HI13" s="104"/>
      <c r="HJ13" s="104"/>
      <c r="HK13" s="104"/>
      <c r="HL13" s="104"/>
      <c r="HM13" s="104"/>
      <c r="HN13" s="104"/>
      <c r="HO13" s="104"/>
      <c r="HP13" s="104"/>
      <c r="HQ13" s="104"/>
      <c r="HR13" s="104"/>
      <c r="HS13" s="104"/>
      <c r="HT13" s="104"/>
      <c r="HU13" s="104"/>
      <c r="HV13" s="104"/>
      <c r="HW13" s="104"/>
      <c r="HX13" s="104"/>
      <c r="HY13" s="104"/>
      <c r="HZ13" s="104"/>
      <c r="IA13" s="104"/>
      <c r="IB13" s="104"/>
      <c r="IC13" s="104"/>
      <c r="ID13" s="104"/>
      <c r="IE13" s="104"/>
      <c r="IF13" s="104"/>
      <c r="IG13" s="104"/>
      <c r="IH13" s="104"/>
      <c r="II13" s="104"/>
      <c r="IJ13" s="104"/>
      <c r="IK13" s="104"/>
      <c r="IL13" s="104"/>
      <c r="IM13" s="104"/>
      <c r="IN13" s="104"/>
      <c r="IO13" s="104"/>
      <c r="IP13" s="104"/>
      <c r="IQ13" s="104"/>
      <c r="IR13" s="104"/>
      <c r="IS13" s="104"/>
      <c r="IT13" s="104"/>
      <c r="IU13" s="104"/>
    </row>
    <row r="14" spans="1:255" x14ac:dyDescent="0.2">
      <c r="A14" s="312" t="s">
        <v>561</v>
      </c>
      <c r="B14" s="310"/>
      <c r="C14" s="311">
        <v>42094</v>
      </c>
      <c r="D14" s="311">
        <v>42185</v>
      </c>
      <c r="E14" s="311">
        <v>42277</v>
      </c>
      <c r="F14" s="311">
        <v>42369</v>
      </c>
      <c r="G14" s="311">
        <v>42460</v>
      </c>
      <c r="H14" s="311">
        <v>42551</v>
      </c>
      <c r="I14" s="311">
        <v>42643</v>
      </c>
      <c r="J14" s="311">
        <v>42734</v>
      </c>
      <c r="K14" s="311">
        <v>42825</v>
      </c>
      <c r="L14" s="311">
        <v>42916</v>
      </c>
      <c r="M14" s="311">
        <v>43007</v>
      </c>
      <c r="N14" s="311">
        <v>43098</v>
      </c>
      <c r="O14" s="311">
        <v>43188</v>
      </c>
      <c r="P14" s="311">
        <v>43280</v>
      </c>
      <c r="Q14" s="311">
        <v>43286</v>
      </c>
    </row>
    <row r="15" spans="1:255" x14ac:dyDescent="0.2">
      <c r="A15" s="137" t="s">
        <v>562</v>
      </c>
      <c r="B15" s="138" t="s">
        <v>563</v>
      </c>
      <c r="C15" s="139">
        <v>4.5920168809523814</v>
      </c>
      <c r="D15" s="139">
        <v>6.4147763968253972</v>
      </c>
      <c r="E15" s="139">
        <v>4.6529702500000001</v>
      </c>
      <c r="F15" s="139">
        <v>3.8995765312500001</v>
      </c>
      <c r="G15" s="139">
        <v>3.5788120819672131</v>
      </c>
      <c r="H15" s="139">
        <v>3.900206796875</v>
      </c>
      <c r="I15" s="139">
        <v>3.891455390625</v>
      </c>
      <c r="J15" s="139">
        <v>3.5294063968253968</v>
      </c>
      <c r="K15" s="139">
        <v>3.3175419354838711</v>
      </c>
      <c r="L15" s="139">
        <v>3.179590984126984</v>
      </c>
      <c r="M15" s="139">
        <v>2.7095606984126985</v>
      </c>
      <c r="N15" s="139">
        <v>3.0098017777777777</v>
      </c>
      <c r="O15" s="139">
        <v>3.1255770983606559</v>
      </c>
      <c r="P15" s="139">
        <v>4.0317017812499998</v>
      </c>
      <c r="Q15" s="139">
        <v>4.7077980000000004</v>
      </c>
    </row>
    <row r="16" spans="1:255" x14ac:dyDescent="0.2">
      <c r="A16" s="140"/>
      <c r="B16" s="140" t="s">
        <v>564</v>
      </c>
      <c r="C16" s="141">
        <v>5.3416540000000001</v>
      </c>
      <c r="D16" s="141">
        <v>8.2215539999999994</v>
      </c>
      <c r="E16" s="141">
        <v>6.0704969999999996</v>
      </c>
      <c r="F16" s="141">
        <v>4.5834840000000003</v>
      </c>
      <c r="G16" s="141">
        <v>4.407273</v>
      </c>
      <c r="H16" s="141">
        <v>4.2008080000000003</v>
      </c>
      <c r="I16" s="141">
        <v>4.4270360000000002</v>
      </c>
      <c r="J16" s="141">
        <v>3.7857789999999998</v>
      </c>
      <c r="K16" s="141">
        <v>3.8920300000000001</v>
      </c>
      <c r="L16" s="141">
        <v>3.4222329999999999</v>
      </c>
      <c r="M16" s="141">
        <v>3.0894569999999999</v>
      </c>
      <c r="N16" s="141">
        <v>3.560216</v>
      </c>
      <c r="O16" s="141">
        <v>3.605442</v>
      </c>
      <c r="P16" s="141">
        <v>4.9986740000000003</v>
      </c>
      <c r="Q16" s="141">
        <v>4.7301729999999997</v>
      </c>
    </row>
    <row r="17" spans="1:17" x14ac:dyDescent="0.2">
      <c r="A17" s="140"/>
      <c r="B17" s="140" t="s">
        <v>565</v>
      </c>
      <c r="C17" s="141">
        <v>4.1121460000000001</v>
      </c>
      <c r="D17" s="141">
        <v>5.0329680000000003</v>
      </c>
      <c r="E17" s="141">
        <v>3.8946209999999999</v>
      </c>
      <c r="F17" s="141">
        <v>3.2054420000000001</v>
      </c>
      <c r="G17" s="141">
        <v>2.8027769999999999</v>
      </c>
      <c r="H17" s="141">
        <v>3.4415740000000001</v>
      </c>
      <c r="I17" s="141">
        <v>3.5492530000000002</v>
      </c>
      <c r="J17" s="141">
        <v>3.1606640000000001</v>
      </c>
      <c r="K17" s="141">
        <v>2.8200660000000002</v>
      </c>
      <c r="L17" s="141">
        <v>2.8463470000000002</v>
      </c>
      <c r="M17" s="141">
        <v>2.4442940000000002</v>
      </c>
      <c r="N17" s="141">
        <v>2.640984</v>
      </c>
      <c r="O17" s="141">
        <v>2.660946</v>
      </c>
      <c r="P17" s="141">
        <v>3.0325959999999998</v>
      </c>
      <c r="Q17" s="141">
        <v>4.6834769999999999</v>
      </c>
    </row>
    <row r="18" spans="1:17" x14ac:dyDescent="0.2">
      <c r="A18" s="140"/>
      <c r="B18" s="140" t="s">
        <v>566</v>
      </c>
      <c r="C18" s="141">
        <v>5.3416540000000001</v>
      </c>
      <c r="D18" s="141">
        <v>5.0329680000000003</v>
      </c>
      <c r="E18" s="141">
        <v>4.3137619999999997</v>
      </c>
      <c r="F18" s="141">
        <v>3.5637470000000002</v>
      </c>
      <c r="G18" s="141">
        <v>4.034529</v>
      </c>
      <c r="H18" s="141">
        <v>3.8718439999999998</v>
      </c>
      <c r="I18" s="141">
        <v>3.609934</v>
      </c>
      <c r="J18" s="141">
        <v>3.521668</v>
      </c>
      <c r="K18" s="141">
        <v>3.0849160000000002</v>
      </c>
      <c r="L18" s="141">
        <v>3.035469</v>
      </c>
      <c r="M18" s="141">
        <v>2.6748609999999999</v>
      </c>
      <c r="N18" s="141">
        <v>3.3028940000000002</v>
      </c>
      <c r="O18" s="141">
        <v>3.099761</v>
      </c>
      <c r="P18" s="141">
        <v>4.7768689999999996</v>
      </c>
      <c r="Q18" s="141">
        <v>4.7097439999999997</v>
      </c>
    </row>
    <row r="19" spans="1:17" x14ac:dyDescent="0.2">
      <c r="A19" s="137"/>
      <c r="B19" s="138"/>
      <c r="C19" s="138"/>
      <c r="D19" s="138"/>
      <c r="E19" s="138"/>
      <c r="F19" s="138"/>
      <c r="G19" s="138"/>
      <c r="H19" s="138"/>
      <c r="I19" s="138"/>
      <c r="J19" s="138"/>
      <c r="K19" s="138"/>
      <c r="L19" s="138"/>
      <c r="M19" s="138"/>
      <c r="N19" s="138"/>
      <c r="O19" s="138"/>
      <c r="P19" s="138"/>
      <c r="Q19" s="138"/>
    </row>
    <row r="20" spans="1:17" x14ac:dyDescent="0.2">
      <c r="A20" s="137" t="s">
        <v>567</v>
      </c>
      <c r="B20" s="138" t="s">
        <v>563</v>
      </c>
      <c r="C20" s="139">
        <v>3.282823</v>
      </c>
      <c r="D20" s="139">
        <v>4.6550700000000003</v>
      </c>
      <c r="E20" s="139">
        <v>3.4296199999999999</v>
      </c>
      <c r="F20" s="139">
        <v>2.9931610000000002</v>
      </c>
      <c r="G20" s="139">
        <v>2.7770700000000001</v>
      </c>
      <c r="H20" s="139">
        <v>3.0618409999999998</v>
      </c>
      <c r="I20" s="139">
        <v>2.9847950000000001</v>
      </c>
      <c r="J20" s="139">
        <v>2.6455380000000002</v>
      </c>
      <c r="K20" s="139">
        <v>2.4777749999999998</v>
      </c>
      <c r="L20" s="139">
        <v>2.431864</v>
      </c>
      <c r="M20" s="139">
        <v>2.1420409999999999</v>
      </c>
      <c r="N20" s="139">
        <v>2.3870290000000001</v>
      </c>
      <c r="O20" s="139">
        <v>2.4716809999999998</v>
      </c>
      <c r="P20" s="139">
        <v>3.187265</v>
      </c>
      <c r="Q20" s="139">
        <v>3.7036280000000001</v>
      </c>
    </row>
    <row r="21" spans="1:17" x14ac:dyDescent="0.2">
      <c r="A21" s="140"/>
      <c r="B21" s="140" t="s">
        <v>564</v>
      </c>
      <c r="C21" s="141">
        <v>3.843232</v>
      </c>
      <c r="D21" s="141">
        <v>5.9143749999999997</v>
      </c>
      <c r="E21" s="141">
        <v>4.4289709999999998</v>
      </c>
      <c r="F21" s="141">
        <v>3.4036849999999998</v>
      </c>
      <c r="G21" s="141">
        <v>3.3989539999999998</v>
      </c>
      <c r="H21" s="141">
        <v>3.303067</v>
      </c>
      <c r="I21" s="141">
        <v>3.4258579999999998</v>
      </c>
      <c r="J21" s="141">
        <v>2.810505</v>
      </c>
      <c r="K21" s="141">
        <v>2.9061659999999998</v>
      </c>
      <c r="L21" s="141">
        <v>2.6397680000000001</v>
      </c>
      <c r="M21" s="141">
        <v>2.3851140000000002</v>
      </c>
      <c r="N21" s="141">
        <v>2.809796</v>
      </c>
      <c r="O21" s="141">
        <v>2.8315709999999998</v>
      </c>
      <c r="P21" s="141">
        <v>3.9324599999999998</v>
      </c>
      <c r="Q21" s="141">
        <v>3.721231</v>
      </c>
    </row>
    <row r="22" spans="1:17" x14ac:dyDescent="0.2">
      <c r="A22" s="140"/>
      <c r="B22" s="140" t="s">
        <v>565</v>
      </c>
      <c r="C22" s="141">
        <v>2.9156620000000002</v>
      </c>
      <c r="D22" s="141">
        <v>3.6733509999999998</v>
      </c>
      <c r="E22" s="141">
        <v>2.8888729999999998</v>
      </c>
      <c r="F22" s="141">
        <v>2.5167709999999999</v>
      </c>
      <c r="G22" s="141">
        <v>2.1602600000000001</v>
      </c>
      <c r="H22" s="141">
        <v>2.7398530000000001</v>
      </c>
      <c r="I22" s="141">
        <v>2.692183</v>
      </c>
      <c r="J22" s="141">
        <v>2.4676100000000001</v>
      </c>
      <c r="K22" s="141">
        <v>2.1224880000000002</v>
      </c>
      <c r="L22" s="141">
        <v>2.1905860000000001</v>
      </c>
      <c r="M22" s="141">
        <v>1.9606209999999999</v>
      </c>
      <c r="N22" s="141">
        <v>2.1183900000000002</v>
      </c>
      <c r="O22" s="141">
        <v>2.1231149999999999</v>
      </c>
      <c r="P22" s="141">
        <v>2.422784</v>
      </c>
      <c r="Q22" s="141">
        <v>3.6844950000000001</v>
      </c>
    </row>
    <row r="23" spans="1:17" x14ac:dyDescent="0.2">
      <c r="A23" s="140"/>
      <c r="B23" s="140" t="s">
        <v>566</v>
      </c>
      <c r="C23" s="141">
        <v>3.843232</v>
      </c>
      <c r="D23" s="141">
        <v>3.6733509999999998</v>
      </c>
      <c r="E23" s="141">
        <v>3.2033900000000002</v>
      </c>
      <c r="F23" s="141">
        <v>2.7831489999999999</v>
      </c>
      <c r="G23" s="141">
        <v>3.1734749999999998</v>
      </c>
      <c r="H23" s="141">
        <v>3.0306129999999998</v>
      </c>
      <c r="I23" s="141">
        <v>2.7357209999999998</v>
      </c>
      <c r="J23" s="141">
        <v>2.6182319999999999</v>
      </c>
      <c r="K23" s="141">
        <v>2.3229069999999998</v>
      </c>
      <c r="L23" s="141">
        <v>2.3434339999999998</v>
      </c>
      <c r="M23" s="141">
        <v>2.1455630000000001</v>
      </c>
      <c r="N23" s="141">
        <v>2.6016759999999999</v>
      </c>
      <c r="O23" s="141">
        <v>2.4763269999999999</v>
      </c>
      <c r="P23" s="141">
        <v>3.7579660000000001</v>
      </c>
      <c r="Q23" s="141">
        <v>3.7051590000000001</v>
      </c>
    </row>
    <row r="24" spans="1:17" x14ac:dyDescent="0.2">
      <c r="A24" s="137"/>
      <c r="B24" s="138"/>
      <c r="C24" s="138"/>
      <c r="D24" s="138"/>
      <c r="E24" s="138"/>
      <c r="F24" s="138"/>
      <c r="G24" s="138"/>
      <c r="H24" s="138"/>
      <c r="I24" s="138"/>
      <c r="J24" s="138"/>
      <c r="K24" s="138"/>
      <c r="L24" s="138"/>
      <c r="M24" s="138"/>
      <c r="N24" s="138"/>
      <c r="O24" s="138"/>
      <c r="P24" s="138"/>
      <c r="Q24" s="138"/>
    </row>
    <row r="25" spans="1:17" x14ac:dyDescent="0.2">
      <c r="A25" s="137" t="s">
        <v>568</v>
      </c>
      <c r="B25" s="138" t="s">
        <v>563</v>
      </c>
      <c r="C25" s="139">
        <v>68.171591880952377</v>
      </c>
      <c r="D25" s="139">
        <v>81.731589761904758</v>
      </c>
      <c r="E25" s="139">
        <v>50.497726562499999</v>
      </c>
      <c r="F25" s="139">
        <v>32.647252281249997</v>
      </c>
      <c r="G25" s="139">
        <v>30.209721639344263</v>
      </c>
      <c r="H25" s="139">
        <v>39.541643484375001</v>
      </c>
      <c r="I25" s="139">
        <v>35.781850468750001</v>
      </c>
      <c r="J25" s="139">
        <v>31.373138523809523</v>
      </c>
      <c r="K25" s="139">
        <v>26.808762693548388</v>
      </c>
      <c r="L25" s="139">
        <v>20.46276107936508</v>
      </c>
      <c r="M25" s="139">
        <v>17.363571793650795</v>
      </c>
      <c r="N25" s="139">
        <v>18.894772269841269</v>
      </c>
      <c r="O25" s="139">
        <v>19.661783147540984</v>
      </c>
      <c r="P25" s="139">
        <v>25.418745734375001</v>
      </c>
      <c r="Q25" s="139">
        <v>29.612285666666665</v>
      </c>
    </row>
    <row r="26" spans="1:17" x14ac:dyDescent="0.2">
      <c r="A26" s="140"/>
      <c r="B26" s="140" t="s">
        <v>564</v>
      </c>
      <c r="C26" s="141">
        <v>75.912814999999995</v>
      </c>
      <c r="D26" s="141">
        <v>107.596431</v>
      </c>
      <c r="E26" s="141">
        <v>75.306764000000001</v>
      </c>
      <c r="F26" s="141">
        <v>63.408794999999998</v>
      </c>
      <c r="G26" s="141">
        <v>46.934615000000001</v>
      </c>
      <c r="H26" s="141">
        <v>45.076034</v>
      </c>
      <c r="I26" s="141">
        <v>42.569035999999997</v>
      </c>
      <c r="J26" s="141">
        <v>33.779165999999996</v>
      </c>
      <c r="K26" s="141">
        <v>34.727209999999999</v>
      </c>
      <c r="L26" s="141">
        <v>22.179290999999999</v>
      </c>
      <c r="M26" s="141">
        <v>20.022587000000001</v>
      </c>
      <c r="N26" s="141">
        <v>22.205991999999998</v>
      </c>
      <c r="O26" s="141">
        <v>22.48808</v>
      </c>
      <c r="P26" s="141">
        <v>31.441908000000002</v>
      </c>
      <c r="Q26" s="141">
        <v>29.753025999999998</v>
      </c>
    </row>
    <row r="27" spans="1:17" x14ac:dyDescent="0.2">
      <c r="A27" s="140"/>
      <c r="B27" s="140" t="s">
        <v>565</v>
      </c>
      <c r="C27" s="141">
        <v>59.476699000000004</v>
      </c>
      <c r="D27" s="141">
        <v>62.435834999999997</v>
      </c>
      <c r="E27" s="141">
        <v>37.549666999999999</v>
      </c>
      <c r="F27" s="141">
        <v>23.241188999999999</v>
      </c>
      <c r="G27" s="141">
        <v>20.321650999999999</v>
      </c>
      <c r="H27" s="141">
        <v>33.961824</v>
      </c>
      <c r="I27" s="141">
        <v>23.889054000000002</v>
      </c>
      <c r="J27" s="141">
        <v>19.265884</v>
      </c>
      <c r="K27" s="141">
        <v>17.948705</v>
      </c>
      <c r="L27" s="141">
        <v>18.919899999999998</v>
      </c>
      <c r="M27" s="141">
        <v>15.546426</v>
      </c>
      <c r="N27" s="141">
        <v>16.797433999999999</v>
      </c>
      <c r="O27" s="141">
        <v>17.285882999999998</v>
      </c>
      <c r="P27" s="141">
        <v>19.160854</v>
      </c>
      <c r="Q27" s="141">
        <v>29.459306999999999</v>
      </c>
    </row>
    <row r="28" spans="1:17" x14ac:dyDescent="0.2">
      <c r="A28" s="140"/>
      <c r="B28" s="140" t="s">
        <v>566</v>
      </c>
      <c r="C28" s="141">
        <v>69.906840000000003</v>
      </c>
      <c r="D28" s="141">
        <v>62.435834999999997</v>
      </c>
      <c r="E28" s="141">
        <v>41.590772000000001</v>
      </c>
      <c r="F28" s="141">
        <v>25.839096999999999</v>
      </c>
      <c r="G28" s="141">
        <v>43.291809000000001</v>
      </c>
      <c r="H28" s="141">
        <v>37.230474999999998</v>
      </c>
      <c r="I28" s="141">
        <v>32.268376000000004</v>
      </c>
      <c r="J28" s="141">
        <v>31.422601</v>
      </c>
      <c r="K28" s="141">
        <v>19.560780000000001</v>
      </c>
      <c r="L28" s="141">
        <v>19.672695999999998</v>
      </c>
      <c r="M28" s="141">
        <v>17.012899000000001</v>
      </c>
      <c r="N28" s="141">
        <v>20.601009999999999</v>
      </c>
      <c r="O28" s="141">
        <v>19.585224</v>
      </c>
      <c r="P28" s="141">
        <v>30.046744</v>
      </c>
      <c r="Q28" s="141">
        <v>29.624524000000001</v>
      </c>
    </row>
    <row r="29" spans="1:17" x14ac:dyDescent="0.2">
      <c r="A29" s="137"/>
      <c r="B29" s="138"/>
      <c r="C29" s="138"/>
      <c r="D29" s="138"/>
      <c r="E29" s="138"/>
      <c r="F29" s="138"/>
      <c r="G29" s="138"/>
      <c r="H29" s="138"/>
      <c r="I29" s="138"/>
      <c r="J29" s="138"/>
      <c r="K29" s="138"/>
      <c r="L29" s="138"/>
      <c r="M29" s="138"/>
      <c r="N29" s="138"/>
      <c r="O29" s="138"/>
      <c r="P29" s="138"/>
      <c r="Q29" s="138"/>
    </row>
    <row r="30" spans="1:17" x14ac:dyDescent="0.2">
      <c r="A30" s="137" t="s">
        <v>569</v>
      </c>
      <c r="B30" s="138" t="s">
        <v>563</v>
      </c>
      <c r="C30" s="139">
        <v>44.680719000000003</v>
      </c>
      <c r="D30" s="139">
        <v>50.854472999999999</v>
      </c>
      <c r="E30" s="139">
        <v>27.714753000000002</v>
      </c>
      <c r="F30" s="139">
        <v>18.505282000000001</v>
      </c>
      <c r="G30" s="139">
        <v>16.007642000000001</v>
      </c>
      <c r="H30" s="139">
        <v>17.091266999999998</v>
      </c>
      <c r="I30" s="139">
        <v>17.064819</v>
      </c>
      <c r="J30" s="139">
        <v>16.205421999999999</v>
      </c>
      <c r="K30" s="139">
        <v>15.314615</v>
      </c>
      <c r="L30" s="139">
        <v>15.340441999999999</v>
      </c>
      <c r="M30" s="139">
        <v>13.502986</v>
      </c>
      <c r="N30" s="139">
        <v>15.349637</v>
      </c>
      <c r="O30" s="139">
        <v>16.947151000000002</v>
      </c>
      <c r="P30" s="139">
        <v>22.820651999999999</v>
      </c>
      <c r="Q30" s="139">
        <v>26.088412999999999</v>
      </c>
    </row>
    <row r="31" spans="1:17" x14ac:dyDescent="0.2">
      <c r="A31" s="140"/>
      <c r="B31" s="140" t="s">
        <v>564</v>
      </c>
      <c r="C31" s="141">
        <v>53.117953</v>
      </c>
      <c r="D31" s="141">
        <v>70.176033000000004</v>
      </c>
      <c r="E31" s="141">
        <v>44.689005999999999</v>
      </c>
      <c r="F31" s="141">
        <v>21.711974000000001</v>
      </c>
      <c r="G31" s="141">
        <v>19.586760999999999</v>
      </c>
      <c r="H31" s="141">
        <v>19.577387000000002</v>
      </c>
      <c r="I31" s="141">
        <v>18.507376000000001</v>
      </c>
      <c r="J31" s="141">
        <v>17.301015</v>
      </c>
      <c r="K31" s="141">
        <v>18.042113000000001</v>
      </c>
      <c r="L31" s="141">
        <v>16.774000000000001</v>
      </c>
      <c r="M31" s="141">
        <v>15.236243999999999</v>
      </c>
      <c r="N31" s="141">
        <v>18.232993</v>
      </c>
      <c r="O31" s="141">
        <v>18.637584</v>
      </c>
      <c r="P31" s="141">
        <v>27.700310000000002</v>
      </c>
      <c r="Q31" s="141">
        <v>26.212405</v>
      </c>
    </row>
    <row r="32" spans="1:17" x14ac:dyDescent="0.2">
      <c r="A32" s="140"/>
      <c r="B32" s="140" t="s">
        <v>565</v>
      </c>
      <c r="C32" s="141">
        <v>37.136916999999997</v>
      </c>
      <c r="D32" s="141">
        <v>37.05106</v>
      </c>
      <c r="E32" s="141">
        <v>17.859625000000001</v>
      </c>
      <c r="F32" s="141">
        <v>15.20392</v>
      </c>
      <c r="G32" s="141">
        <v>12.044181999999999</v>
      </c>
      <c r="H32" s="141">
        <v>14.632726999999999</v>
      </c>
      <c r="I32" s="141">
        <v>15.500358</v>
      </c>
      <c r="J32" s="141">
        <v>14.724729999999999</v>
      </c>
      <c r="K32" s="141">
        <v>12.949983</v>
      </c>
      <c r="L32" s="141">
        <v>13.183291000000001</v>
      </c>
      <c r="M32" s="141">
        <v>12.239779</v>
      </c>
      <c r="N32" s="141">
        <v>13.266446</v>
      </c>
      <c r="O32" s="141">
        <v>15.084662</v>
      </c>
      <c r="P32" s="141">
        <v>17.718349</v>
      </c>
      <c r="Q32" s="141">
        <v>25.953638999999999</v>
      </c>
    </row>
    <row r="33" spans="1:17" x14ac:dyDescent="0.2">
      <c r="A33" s="140"/>
      <c r="B33" s="140" t="s">
        <v>566</v>
      </c>
      <c r="C33" s="141">
        <v>45.594307000000001</v>
      </c>
      <c r="D33" s="141">
        <v>37.05106</v>
      </c>
      <c r="E33" s="141">
        <v>20.4343</v>
      </c>
      <c r="F33" s="141">
        <v>17.002105</v>
      </c>
      <c r="G33" s="141">
        <v>18.732610000000001</v>
      </c>
      <c r="H33" s="141">
        <v>16.277923999999999</v>
      </c>
      <c r="I33" s="141">
        <v>16.662061000000001</v>
      </c>
      <c r="J33" s="141">
        <v>16.09403</v>
      </c>
      <c r="K33" s="141">
        <v>14.402863999999999</v>
      </c>
      <c r="L33" s="141">
        <v>14.925387000000001</v>
      </c>
      <c r="M33" s="141">
        <v>13.436617999999999</v>
      </c>
      <c r="N33" s="141">
        <v>17.068031000000001</v>
      </c>
      <c r="O33" s="141">
        <v>17.741876999999999</v>
      </c>
      <c r="P33" s="141">
        <v>26.471170999999998</v>
      </c>
      <c r="Q33" s="141">
        <v>26.099195000000002</v>
      </c>
    </row>
    <row r="34" spans="1:17" x14ac:dyDescent="0.2">
      <c r="A34" s="137"/>
      <c r="B34" s="138"/>
      <c r="C34" s="138"/>
      <c r="D34" s="138"/>
      <c r="E34" s="138"/>
      <c r="F34" s="138"/>
      <c r="G34" s="138"/>
      <c r="H34" s="138"/>
      <c r="I34" s="138"/>
      <c r="J34" s="138"/>
      <c r="K34" s="138"/>
      <c r="L34" s="138"/>
      <c r="M34" s="138"/>
      <c r="N34" s="138"/>
      <c r="O34" s="138"/>
      <c r="P34" s="138"/>
      <c r="Q34" s="138"/>
    </row>
    <row r="35" spans="1:17" x14ac:dyDescent="0.2">
      <c r="A35" s="137" t="s">
        <v>570</v>
      </c>
      <c r="B35" s="138" t="s">
        <v>563</v>
      </c>
      <c r="C35" s="139">
        <v>239.00043053846153</v>
      </c>
      <c r="D35" s="139">
        <v>224.53680756451612</v>
      </c>
      <c r="E35" s="139">
        <v>119.51354628125</v>
      </c>
      <c r="F35" s="139">
        <v>57.583150888888888</v>
      </c>
      <c r="G35" s="139">
        <v>57.882572803278691</v>
      </c>
      <c r="H35" s="139">
        <v>87.369021578125</v>
      </c>
      <c r="I35" s="139">
        <v>71.182186718750003</v>
      </c>
      <c r="J35" s="139">
        <v>60.052131000000003</v>
      </c>
      <c r="K35" s="139">
        <v>48.463105338709674</v>
      </c>
      <c r="L35" s="139">
        <v>31.658970968253968</v>
      </c>
      <c r="M35" s="139">
        <v>27.178493476190475</v>
      </c>
      <c r="N35" s="139">
        <v>29.852132920634922</v>
      </c>
      <c r="O35" s="139">
        <v>31.4540838852459</v>
      </c>
      <c r="P35" s="139">
        <v>41.363487531250001</v>
      </c>
      <c r="Q35" s="139">
        <v>48.309495666666663</v>
      </c>
    </row>
    <row r="36" spans="1:17" x14ac:dyDescent="0.2">
      <c r="A36" s="140"/>
      <c r="B36" s="140" t="s">
        <v>564</v>
      </c>
      <c r="C36" s="141">
        <v>299.48391299999997</v>
      </c>
      <c r="D36" s="141">
        <v>289.97035</v>
      </c>
      <c r="E36" s="141">
        <v>206.584509</v>
      </c>
      <c r="F36" s="141">
        <v>87.883651999999998</v>
      </c>
      <c r="G36" s="141">
        <v>114.172881</v>
      </c>
      <c r="H36" s="141">
        <v>106.18574599999999</v>
      </c>
      <c r="I36" s="141">
        <v>88.220586999999995</v>
      </c>
      <c r="J36" s="141">
        <v>64.640158</v>
      </c>
      <c r="K36" s="141">
        <v>66.454342999999994</v>
      </c>
      <c r="L36" s="141">
        <v>34.626711999999998</v>
      </c>
      <c r="M36" s="141">
        <v>31.259625</v>
      </c>
      <c r="N36" s="141">
        <v>35.200333999999998</v>
      </c>
      <c r="O36" s="141">
        <v>35.647492</v>
      </c>
      <c r="P36" s="141">
        <v>51.294342</v>
      </c>
      <c r="Q36" s="141">
        <v>48.539099</v>
      </c>
    </row>
    <row r="37" spans="1:17" x14ac:dyDescent="0.2">
      <c r="A37" s="140"/>
      <c r="B37" s="140" t="s">
        <v>565</v>
      </c>
      <c r="C37" s="141">
        <v>158.77541199999999</v>
      </c>
      <c r="D37" s="141">
        <v>171.276466</v>
      </c>
      <c r="E37" s="141">
        <v>74.675416999999996</v>
      </c>
      <c r="F37" s="141">
        <v>37.188378999999998</v>
      </c>
      <c r="G37" s="141">
        <v>32.516806000000003</v>
      </c>
      <c r="H37" s="141">
        <v>68.582609000000005</v>
      </c>
      <c r="I37" s="141">
        <v>34.772542999999999</v>
      </c>
      <c r="J37" s="141">
        <v>28.573143000000002</v>
      </c>
      <c r="K37" s="141">
        <v>27.196285</v>
      </c>
      <c r="L37" s="141">
        <v>28.799803000000001</v>
      </c>
      <c r="M37" s="141">
        <v>24.381430000000002</v>
      </c>
      <c r="N37" s="141">
        <v>26.343382999999999</v>
      </c>
      <c r="O37" s="141">
        <v>27.738130000000002</v>
      </c>
      <c r="P37" s="141">
        <v>31.013988000000001</v>
      </c>
      <c r="Q37" s="141">
        <v>48.059927000000002</v>
      </c>
    </row>
    <row r="38" spans="1:17" x14ac:dyDescent="0.2">
      <c r="A38" s="140"/>
      <c r="B38" s="140" t="s">
        <v>566</v>
      </c>
      <c r="C38" s="141">
        <v>194.934192</v>
      </c>
      <c r="D38" s="141">
        <v>171.276466</v>
      </c>
      <c r="E38" s="141">
        <v>82.712005000000005</v>
      </c>
      <c r="F38" s="141">
        <v>41.345306999999998</v>
      </c>
      <c r="G38" s="141">
        <v>101.982641</v>
      </c>
      <c r="H38" s="141">
        <v>77.156889000000007</v>
      </c>
      <c r="I38" s="141">
        <v>62.117981999999998</v>
      </c>
      <c r="J38" s="141">
        <v>60.130609999999997</v>
      </c>
      <c r="K38" s="141">
        <v>29.750457000000001</v>
      </c>
      <c r="L38" s="141">
        <v>30.713369</v>
      </c>
      <c r="M38" s="141">
        <v>26.681297000000001</v>
      </c>
      <c r="N38" s="141">
        <v>32.65616</v>
      </c>
      <c r="O38" s="141">
        <v>31.700879</v>
      </c>
      <c r="P38" s="141">
        <v>49.018272000000003</v>
      </c>
      <c r="Q38" s="141">
        <v>48.329461000000002</v>
      </c>
    </row>
    <row r="39" spans="1:17" x14ac:dyDescent="0.2">
      <c r="A39" s="137"/>
      <c r="B39" s="138"/>
      <c r="C39" s="138"/>
      <c r="D39" s="138"/>
      <c r="E39" s="138"/>
      <c r="F39" s="138"/>
      <c r="G39" s="138"/>
      <c r="H39" s="138"/>
      <c r="I39" s="138"/>
      <c r="J39" s="138"/>
      <c r="K39" s="138"/>
      <c r="L39" s="138"/>
      <c r="M39" s="138"/>
      <c r="N39" s="138"/>
      <c r="O39" s="138"/>
      <c r="P39" s="138"/>
      <c r="Q39" s="138"/>
    </row>
    <row r="40" spans="1:17" x14ac:dyDescent="0.2">
      <c r="A40" s="137" t="s">
        <v>571</v>
      </c>
      <c r="B40" s="138" t="s">
        <v>563</v>
      </c>
      <c r="C40" s="139">
        <v>206.90286800000001</v>
      </c>
      <c r="D40" s="139">
        <v>160.71916899999999</v>
      </c>
      <c r="E40" s="139">
        <v>50.014569000000002</v>
      </c>
      <c r="F40" s="139">
        <v>27.974848000000001</v>
      </c>
      <c r="G40" s="139">
        <v>25.819448000000001</v>
      </c>
      <c r="H40" s="139">
        <v>28.952670000000001</v>
      </c>
      <c r="I40" s="139">
        <v>27.372298000000001</v>
      </c>
      <c r="J40" s="139">
        <v>24.736699000000002</v>
      </c>
      <c r="K40" s="139">
        <v>25.023586999999999</v>
      </c>
      <c r="L40" s="139">
        <v>27.07057</v>
      </c>
      <c r="M40" s="139">
        <v>24.130115</v>
      </c>
      <c r="N40" s="139">
        <v>27.477397</v>
      </c>
      <c r="O40" s="139">
        <v>35.364778999999999</v>
      </c>
      <c r="P40" s="139">
        <v>51.922721000000003</v>
      </c>
      <c r="Q40" s="139">
        <v>58.601424000000002</v>
      </c>
    </row>
    <row r="41" spans="1:17" x14ac:dyDescent="0.2">
      <c r="A41" s="140"/>
      <c r="B41" s="140" t="s">
        <v>564</v>
      </c>
      <c r="C41" s="141">
        <v>265.589766</v>
      </c>
      <c r="D41" s="141">
        <v>294.89218099999999</v>
      </c>
      <c r="E41" s="141">
        <v>89.263633999999996</v>
      </c>
      <c r="F41" s="141">
        <v>34.188530999999998</v>
      </c>
      <c r="G41" s="141">
        <v>31.623795999999999</v>
      </c>
      <c r="H41" s="141">
        <v>32.625658999999999</v>
      </c>
      <c r="I41" s="141">
        <v>31.771771000000001</v>
      </c>
      <c r="J41" s="141">
        <v>26.776600999999999</v>
      </c>
      <c r="K41" s="141">
        <v>28.054917</v>
      </c>
      <c r="L41" s="141">
        <v>29.631066000000001</v>
      </c>
      <c r="M41" s="141">
        <v>27.009599000000001</v>
      </c>
      <c r="N41" s="141">
        <v>32.607244000000001</v>
      </c>
      <c r="O41" s="141">
        <v>43.279175000000002</v>
      </c>
      <c r="P41" s="141">
        <v>62.222166999999999</v>
      </c>
      <c r="Q41" s="141">
        <v>58.879942999999997</v>
      </c>
    </row>
    <row r="42" spans="1:17" x14ac:dyDescent="0.2">
      <c r="A42" s="140"/>
      <c r="B42" s="140" t="s">
        <v>565</v>
      </c>
      <c r="C42" s="141">
        <v>163.17376999999999</v>
      </c>
      <c r="D42" s="141">
        <v>73.475835000000004</v>
      </c>
      <c r="E42" s="141">
        <v>28.303329999999999</v>
      </c>
      <c r="F42" s="141">
        <v>22.435779</v>
      </c>
      <c r="G42" s="141">
        <v>19.516552999999998</v>
      </c>
      <c r="H42" s="141">
        <v>25.242522999999998</v>
      </c>
      <c r="I42" s="141">
        <v>24.567678000000001</v>
      </c>
      <c r="J42" s="141">
        <v>21.970841</v>
      </c>
      <c r="K42" s="141">
        <v>22.970473999999999</v>
      </c>
      <c r="L42" s="141">
        <v>23.579131</v>
      </c>
      <c r="M42" s="141">
        <v>22.018304000000001</v>
      </c>
      <c r="N42" s="141">
        <v>23.925798</v>
      </c>
      <c r="O42" s="141">
        <v>27.477712</v>
      </c>
      <c r="P42" s="141">
        <v>41.477739999999997</v>
      </c>
      <c r="Q42" s="141">
        <v>58.298687000000001</v>
      </c>
    </row>
    <row r="43" spans="1:17" x14ac:dyDescent="0.2">
      <c r="A43" s="140"/>
      <c r="B43" s="140" t="s">
        <v>566</v>
      </c>
      <c r="C43" s="141">
        <v>200.33421100000001</v>
      </c>
      <c r="D43" s="141">
        <v>73.475835000000004</v>
      </c>
      <c r="E43" s="141">
        <v>32.176654999999997</v>
      </c>
      <c r="F43" s="141">
        <v>25.034635999999999</v>
      </c>
      <c r="G43" s="141">
        <v>31.385408999999999</v>
      </c>
      <c r="H43" s="141">
        <v>27.409924</v>
      </c>
      <c r="I43" s="141">
        <v>24.945035000000001</v>
      </c>
      <c r="J43" s="141">
        <v>24.908560999999999</v>
      </c>
      <c r="K43" s="141">
        <v>25.294433999999999</v>
      </c>
      <c r="L43" s="141">
        <v>26.408947999999999</v>
      </c>
      <c r="M43" s="141">
        <v>24.232700000000001</v>
      </c>
      <c r="N43" s="141">
        <v>30.798359999999999</v>
      </c>
      <c r="O43" s="141">
        <v>42.401713000000001</v>
      </c>
      <c r="P43" s="141">
        <v>59.461199999999998</v>
      </c>
      <c r="Q43" s="141">
        <v>58.625644000000001</v>
      </c>
    </row>
    <row r="44" spans="1:17" x14ac:dyDescent="0.2">
      <c r="A44" s="137"/>
      <c r="B44" s="138"/>
      <c r="C44" s="138"/>
      <c r="D44" s="138"/>
      <c r="E44" s="138"/>
      <c r="F44" s="138"/>
      <c r="G44" s="138"/>
      <c r="H44" s="138"/>
      <c r="I44" s="138"/>
      <c r="J44" s="138"/>
      <c r="K44" s="138"/>
      <c r="L44" s="138"/>
      <c r="M44" s="138"/>
      <c r="N44" s="138"/>
      <c r="O44" s="138"/>
      <c r="P44" s="138"/>
      <c r="Q44" s="138"/>
    </row>
    <row r="45" spans="1:17" x14ac:dyDescent="0.2">
      <c r="A45" s="137" t="s">
        <v>572</v>
      </c>
      <c r="B45" s="138" t="s">
        <v>563</v>
      </c>
      <c r="C45" s="139">
        <v>282.13624133333332</v>
      </c>
      <c r="D45" s="139">
        <v>281.96002342857145</v>
      </c>
      <c r="E45" s="142" t="s">
        <v>319</v>
      </c>
      <c r="F45" s="142" t="s">
        <v>319</v>
      </c>
      <c r="G45" s="142" t="s">
        <v>319</v>
      </c>
      <c r="H45" s="139">
        <v>108.01605822857142</v>
      </c>
      <c r="I45" s="139">
        <v>99.896446453124994</v>
      </c>
      <c r="J45" s="139">
        <v>80.801179555555549</v>
      </c>
      <c r="K45" s="139">
        <v>72.16845501612903</v>
      </c>
      <c r="L45" s="139">
        <v>66.836142428571435</v>
      </c>
      <c r="M45" s="139">
        <v>58.430773126984128</v>
      </c>
      <c r="N45" s="139">
        <v>64.264724253968254</v>
      </c>
      <c r="O45" s="139">
        <v>69.255478419354844</v>
      </c>
      <c r="P45" s="142" t="s">
        <v>319</v>
      </c>
      <c r="Q45" s="142" t="s">
        <v>319</v>
      </c>
    </row>
    <row r="46" spans="1:17" x14ac:dyDescent="0.2">
      <c r="A46" s="140"/>
      <c r="B46" s="140" t="s">
        <v>564</v>
      </c>
      <c r="C46" s="141">
        <v>284.94488899999999</v>
      </c>
      <c r="D46" s="141">
        <v>287.392967</v>
      </c>
      <c r="E46" s="143" t="s">
        <v>319</v>
      </c>
      <c r="F46" s="143" t="s">
        <v>319</v>
      </c>
      <c r="G46" s="143" t="s">
        <v>319</v>
      </c>
      <c r="H46" s="141">
        <v>114.51817</v>
      </c>
      <c r="I46" s="141">
        <v>124.098658</v>
      </c>
      <c r="J46" s="141">
        <v>85.000444000000002</v>
      </c>
      <c r="K46" s="141">
        <v>86.620672999999996</v>
      </c>
      <c r="L46" s="141">
        <v>72.956609999999998</v>
      </c>
      <c r="M46" s="141">
        <v>65.967646000000002</v>
      </c>
      <c r="N46" s="141">
        <v>75.350988999999998</v>
      </c>
      <c r="O46" s="141">
        <v>76.290851000000004</v>
      </c>
      <c r="P46" s="143" t="s">
        <v>319</v>
      </c>
      <c r="Q46" s="143" t="s">
        <v>319</v>
      </c>
    </row>
    <row r="47" spans="1:17" x14ac:dyDescent="0.2">
      <c r="A47" s="140"/>
      <c r="B47" s="140" t="s">
        <v>565</v>
      </c>
      <c r="C47" s="141">
        <v>278.96702399999998</v>
      </c>
      <c r="D47" s="141">
        <v>274.64018900000002</v>
      </c>
      <c r="E47" s="143" t="s">
        <v>319</v>
      </c>
      <c r="F47" s="143" t="s">
        <v>319</v>
      </c>
      <c r="G47" s="143" t="s">
        <v>319</v>
      </c>
      <c r="H47" s="141">
        <v>99.863902999999993</v>
      </c>
      <c r="I47" s="141">
        <v>84.136869000000004</v>
      </c>
      <c r="J47" s="141">
        <v>73.029241999999996</v>
      </c>
      <c r="K47" s="141">
        <v>57.962263999999998</v>
      </c>
      <c r="L47" s="141">
        <v>61.226415000000003</v>
      </c>
      <c r="M47" s="141">
        <v>53.334262000000003</v>
      </c>
      <c r="N47" s="141">
        <v>57.203611000000002</v>
      </c>
      <c r="O47" s="141">
        <v>61.917447000000003</v>
      </c>
      <c r="P47" s="143" t="s">
        <v>319</v>
      </c>
      <c r="Q47" s="143" t="s">
        <v>319</v>
      </c>
    </row>
    <row r="48" spans="1:17" x14ac:dyDescent="0.2">
      <c r="A48" s="140"/>
      <c r="B48" s="140" t="s">
        <v>566</v>
      </c>
      <c r="C48" s="141">
        <v>284.94488899999999</v>
      </c>
      <c r="D48" s="143" t="s">
        <v>319</v>
      </c>
      <c r="E48" s="143" t="s">
        <v>319</v>
      </c>
      <c r="F48" s="143" t="s">
        <v>319</v>
      </c>
      <c r="G48" s="143" t="s">
        <v>319</v>
      </c>
      <c r="H48" s="141">
        <v>108.728093</v>
      </c>
      <c r="I48" s="141">
        <v>85.543261999999999</v>
      </c>
      <c r="J48" s="141">
        <v>78.584383000000003</v>
      </c>
      <c r="K48" s="141">
        <v>63.018867</v>
      </c>
      <c r="L48" s="141">
        <v>64.833798000000002</v>
      </c>
      <c r="M48" s="141">
        <v>57.918219999999998</v>
      </c>
      <c r="N48" s="141">
        <v>70.003500000000003</v>
      </c>
      <c r="O48" s="143" t="s">
        <v>319</v>
      </c>
      <c r="P48" s="143" t="s">
        <v>319</v>
      </c>
      <c r="Q48" s="143" t="s">
        <v>319</v>
      </c>
    </row>
    <row r="49" spans="1:17" x14ac:dyDescent="0.2">
      <c r="A49" s="137"/>
      <c r="B49" s="138"/>
      <c r="C49" s="138"/>
      <c r="D49" s="138"/>
      <c r="E49" s="138"/>
      <c r="F49" s="138"/>
      <c r="G49" s="138"/>
      <c r="H49" s="138"/>
      <c r="I49" s="138"/>
      <c r="J49" s="138"/>
      <c r="K49" s="138"/>
      <c r="L49" s="138"/>
      <c r="M49" s="138"/>
      <c r="N49" s="138"/>
      <c r="O49" s="138"/>
      <c r="P49" s="138"/>
      <c r="Q49" s="138"/>
    </row>
    <row r="50" spans="1:17" x14ac:dyDescent="0.2">
      <c r="A50" s="137" t="s">
        <v>573</v>
      </c>
      <c r="B50" s="138" t="s">
        <v>563</v>
      </c>
      <c r="C50" s="142" t="s">
        <v>319</v>
      </c>
      <c r="D50" s="142" t="s">
        <v>319</v>
      </c>
      <c r="E50" s="139">
        <v>184.67867200000001</v>
      </c>
      <c r="F50" s="139">
        <v>134.04883000000001</v>
      </c>
      <c r="G50" s="139">
        <v>94.346648999999999</v>
      </c>
      <c r="H50" s="139">
        <v>87.055930000000004</v>
      </c>
      <c r="I50" s="139">
        <v>75.400746999999996</v>
      </c>
      <c r="J50" s="139">
        <v>66.011460999999997</v>
      </c>
      <c r="K50" s="139">
        <v>65.602058999999997</v>
      </c>
      <c r="L50" s="139">
        <v>71.202832000000001</v>
      </c>
      <c r="M50" s="139">
        <v>63.191910999999998</v>
      </c>
      <c r="N50" s="139">
        <v>73.031588999999997</v>
      </c>
      <c r="O50" s="139">
        <v>78.518067000000002</v>
      </c>
      <c r="P50" s="139">
        <v>101.61298600000001</v>
      </c>
      <c r="Q50" s="139">
        <v>113.33101600000001</v>
      </c>
    </row>
    <row r="51" spans="1:17" x14ac:dyDescent="0.2">
      <c r="A51" s="140"/>
      <c r="B51" s="140" t="s">
        <v>564</v>
      </c>
      <c r="C51" s="143" t="s">
        <v>319</v>
      </c>
      <c r="D51" s="143" t="s">
        <v>319</v>
      </c>
      <c r="E51" s="141">
        <v>262.179732</v>
      </c>
      <c r="F51" s="141">
        <v>180.772006</v>
      </c>
      <c r="G51" s="141">
        <v>109.17836699999999</v>
      </c>
      <c r="H51" s="141">
        <v>102.14767999999999</v>
      </c>
      <c r="I51" s="141">
        <v>90.07799</v>
      </c>
      <c r="J51" s="141">
        <v>71.122696000000005</v>
      </c>
      <c r="K51" s="141">
        <v>73.245451000000003</v>
      </c>
      <c r="L51" s="141">
        <v>77.969804999999994</v>
      </c>
      <c r="M51" s="141">
        <v>70.753589000000005</v>
      </c>
      <c r="N51" s="141">
        <v>84.869501999999997</v>
      </c>
      <c r="O51" s="141">
        <v>86.848077000000004</v>
      </c>
      <c r="P51" s="141">
        <v>120.25712300000001</v>
      </c>
      <c r="Q51" s="141">
        <v>113.863794</v>
      </c>
    </row>
    <row r="52" spans="1:17" x14ac:dyDescent="0.2">
      <c r="A52" s="140"/>
      <c r="B52" s="140" t="s">
        <v>565</v>
      </c>
      <c r="C52" s="143" t="s">
        <v>319</v>
      </c>
      <c r="D52" s="143" t="s">
        <v>319</v>
      </c>
      <c r="E52" s="141">
        <v>160.14983899999999</v>
      </c>
      <c r="F52" s="141">
        <v>102.303777</v>
      </c>
      <c r="G52" s="141">
        <v>83.560209</v>
      </c>
      <c r="H52" s="141">
        <v>72.929381000000006</v>
      </c>
      <c r="I52" s="141">
        <v>66.110895999999997</v>
      </c>
      <c r="J52" s="141">
        <v>60.759956000000003</v>
      </c>
      <c r="K52" s="141">
        <v>60.440317</v>
      </c>
      <c r="L52" s="141">
        <v>62.727272999999997</v>
      </c>
      <c r="M52" s="141">
        <v>58.020477999999997</v>
      </c>
      <c r="N52" s="141">
        <v>62.502380000000002</v>
      </c>
      <c r="O52" s="141">
        <v>67.401657999999998</v>
      </c>
      <c r="P52" s="141">
        <v>83.290740999999997</v>
      </c>
      <c r="Q52" s="141">
        <v>112.75191100000001</v>
      </c>
    </row>
    <row r="53" spans="1:17" x14ac:dyDescent="0.2">
      <c r="A53" s="140"/>
      <c r="B53" s="140" t="s">
        <v>566</v>
      </c>
      <c r="C53" s="143" t="s">
        <v>319</v>
      </c>
      <c r="D53" s="143" t="s">
        <v>319</v>
      </c>
      <c r="E53" s="141">
        <v>170.99567099999999</v>
      </c>
      <c r="F53" s="141">
        <v>106.0809</v>
      </c>
      <c r="G53" s="141">
        <v>99.197277999999997</v>
      </c>
      <c r="H53" s="141">
        <v>78.869884999999996</v>
      </c>
      <c r="I53" s="141">
        <v>67.215975</v>
      </c>
      <c r="J53" s="141">
        <v>65.863084000000001</v>
      </c>
      <c r="K53" s="141">
        <v>66.305362000000002</v>
      </c>
      <c r="L53" s="141">
        <v>69.537480000000002</v>
      </c>
      <c r="M53" s="141">
        <v>63.235014</v>
      </c>
      <c r="N53" s="141">
        <v>79.484820999999997</v>
      </c>
      <c r="O53" s="141">
        <v>85.110298</v>
      </c>
      <c r="P53" s="141">
        <v>114.975678</v>
      </c>
      <c r="Q53" s="141">
        <v>113.37734500000001</v>
      </c>
    </row>
    <row r="54" spans="1:17" x14ac:dyDescent="0.2">
      <c r="A54" s="137"/>
      <c r="B54" s="138"/>
      <c r="C54" s="138"/>
      <c r="D54" s="138"/>
      <c r="E54" s="138"/>
      <c r="F54" s="138"/>
      <c r="G54" s="138"/>
      <c r="H54" s="138"/>
      <c r="I54" s="138"/>
      <c r="J54" s="138"/>
      <c r="K54" s="138"/>
      <c r="L54" s="138"/>
      <c r="M54" s="138"/>
      <c r="N54" s="138"/>
      <c r="O54" s="138"/>
      <c r="P54" s="138"/>
      <c r="Q54" s="138"/>
    </row>
    <row r="55" spans="1:17" x14ac:dyDescent="0.2">
      <c r="A55" s="137" t="s">
        <v>574</v>
      </c>
      <c r="B55" s="138" t="s">
        <v>563</v>
      </c>
      <c r="C55" s="142" t="s">
        <v>319</v>
      </c>
      <c r="D55" s="142" t="s">
        <v>319</v>
      </c>
      <c r="E55" s="142" t="s">
        <v>319</v>
      </c>
      <c r="F55" s="142" t="s">
        <v>319</v>
      </c>
      <c r="G55" s="142" t="s">
        <v>319</v>
      </c>
      <c r="H55" s="142" t="s">
        <v>319</v>
      </c>
      <c r="I55" s="139">
        <v>172.579058</v>
      </c>
      <c r="J55" s="139">
        <v>101.415425</v>
      </c>
      <c r="K55" s="139">
        <v>93.539789782608693</v>
      </c>
      <c r="L55" s="139">
        <v>100.02531542857143</v>
      </c>
      <c r="M55" s="139">
        <v>82.597563873015872</v>
      </c>
      <c r="N55" s="139">
        <v>86.30991898412698</v>
      </c>
      <c r="O55" s="139">
        <v>88.887638737704918</v>
      </c>
      <c r="P55" s="139">
        <v>110.45309065625</v>
      </c>
      <c r="Q55" s="139">
        <v>126.680933</v>
      </c>
    </row>
    <row r="56" spans="1:17" x14ac:dyDescent="0.2">
      <c r="A56" s="140"/>
      <c r="B56" s="140" t="s">
        <v>564</v>
      </c>
      <c r="C56" s="143" t="s">
        <v>319</v>
      </c>
      <c r="D56" s="143" t="s">
        <v>319</v>
      </c>
      <c r="E56" s="143" t="s">
        <v>319</v>
      </c>
      <c r="F56" s="143" t="s">
        <v>319</v>
      </c>
      <c r="G56" s="143" t="s">
        <v>319</v>
      </c>
      <c r="H56" s="143" t="s">
        <v>319</v>
      </c>
      <c r="I56" s="141">
        <v>172.579058</v>
      </c>
      <c r="J56" s="141">
        <v>101.415425</v>
      </c>
      <c r="K56" s="141">
        <v>104.16336200000001</v>
      </c>
      <c r="L56" s="141">
        <v>108.070751</v>
      </c>
      <c r="M56" s="141">
        <v>97.717985999999996</v>
      </c>
      <c r="N56" s="141">
        <v>100.08415599999999</v>
      </c>
      <c r="O56" s="141">
        <v>101.33251799999999</v>
      </c>
      <c r="P56" s="141">
        <v>134.42290499999999</v>
      </c>
      <c r="Q56" s="141">
        <v>127.27646900000001</v>
      </c>
    </row>
    <row r="57" spans="1:17" x14ac:dyDescent="0.2">
      <c r="A57" s="140"/>
      <c r="B57" s="140" t="s">
        <v>565</v>
      </c>
      <c r="C57" s="143" t="s">
        <v>319</v>
      </c>
      <c r="D57" s="143" t="s">
        <v>319</v>
      </c>
      <c r="E57" s="143" t="s">
        <v>319</v>
      </c>
      <c r="F57" s="143" t="s">
        <v>319</v>
      </c>
      <c r="G57" s="143" t="s">
        <v>319</v>
      </c>
      <c r="H57" s="143" t="s">
        <v>319</v>
      </c>
      <c r="I57" s="141">
        <v>172.579058</v>
      </c>
      <c r="J57" s="141">
        <v>101.415425</v>
      </c>
      <c r="K57" s="141">
        <v>88.543272000000002</v>
      </c>
      <c r="L57" s="141">
        <v>91.211527000000004</v>
      </c>
      <c r="M57" s="141">
        <v>73.140998999999994</v>
      </c>
      <c r="N57" s="141">
        <v>77.269272999999998</v>
      </c>
      <c r="O57" s="141">
        <v>81.083304999999996</v>
      </c>
      <c r="P57" s="141">
        <v>85.957164000000006</v>
      </c>
      <c r="Q57" s="141">
        <v>126.03361099999999</v>
      </c>
    </row>
    <row r="58" spans="1:17" x14ac:dyDescent="0.2">
      <c r="A58" s="140"/>
      <c r="B58" s="140" t="s">
        <v>566</v>
      </c>
      <c r="C58" s="143" t="s">
        <v>319</v>
      </c>
      <c r="D58" s="143" t="s">
        <v>319</v>
      </c>
      <c r="E58" s="143" t="s">
        <v>319</v>
      </c>
      <c r="F58" s="143" t="s">
        <v>319</v>
      </c>
      <c r="G58" s="143" t="s">
        <v>319</v>
      </c>
      <c r="H58" s="143" t="s">
        <v>319</v>
      </c>
      <c r="I58" s="143" t="s">
        <v>319</v>
      </c>
      <c r="J58" s="143" t="s">
        <v>319</v>
      </c>
      <c r="K58" s="141">
        <v>96.267751000000004</v>
      </c>
      <c r="L58" s="141">
        <v>96.038415000000001</v>
      </c>
      <c r="M58" s="141">
        <v>79.427301</v>
      </c>
      <c r="N58" s="141">
        <v>92.981409999999997</v>
      </c>
      <c r="O58" s="141">
        <v>87.834971999999993</v>
      </c>
      <c r="P58" s="141">
        <v>128.519328</v>
      </c>
      <c r="Q58" s="141">
        <v>126.732719</v>
      </c>
    </row>
    <row r="59" spans="1:17" x14ac:dyDescent="0.2">
      <c r="A59" s="137"/>
      <c r="B59" s="138"/>
      <c r="C59" s="138"/>
      <c r="D59" s="138"/>
      <c r="E59" s="138"/>
      <c r="F59" s="138"/>
      <c r="G59" s="138"/>
      <c r="H59" s="138"/>
      <c r="I59" s="138"/>
      <c r="J59" s="138"/>
      <c r="K59" s="138"/>
      <c r="L59" s="138"/>
      <c r="M59" s="138"/>
      <c r="N59" s="138"/>
      <c r="O59" s="138"/>
      <c r="P59" s="138"/>
      <c r="Q59" s="138"/>
    </row>
    <row r="60" spans="1:17" x14ac:dyDescent="0.2">
      <c r="A60" s="137" t="s">
        <v>359</v>
      </c>
      <c r="B60" s="138" t="s">
        <v>563</v>
      </c>
      <c r="C60" s="139">
        <v>17.476413047619047</v>
      </c>
      <c r="D60" s="139">
        <v>33.469235111111111</v>
      </c>
      <c r="E60" s="139">
        <v>5.8961510625000004</v>
      </c>
      <c r="F60" s="139">
        <v>4.9232515781249999</v>
      </c>
      <c r="G60" s="139">
        <v>4.2660061475409838</v>
      </c>
      <c r="H60" s="139">
        <v>7.0483578437499999</v>
      </c>
      <c r="I60" s="139">
        <v>6.8971724375000001</v>
      </c>
      <c r="J60" s="139">
        <v>6.1870537936507937</v>
      </c>
      <c r="K60" s="139">
        <v>5.9095897419354841</v>
      </c>
      <c r="L60" s="139">
        <v>5.7791227936507941</v>
      </c>
      <c r="M60" s="139">
        <v>5.0993396031746032</v>
      </c>
      <c r="N60" s="139">
        <v>5.8031140793650797</v>
      </c>
      <c r="O60" s="139">
        <v>6.2861893442622954</v>
      </c>
      <c r="P60" s="139">
        <v>8.4918022187499993</v>
      </c>
      <c r="Q60" s="139">
        <v>9.8946833333333331</v>
      </c>
    </row>
    <row r="61" spans="1:17" x14ac:dyDescent="0.2">
      <c r="A61" s="140"/>
      <c r="B61" s="140" t="s">
        <v>564</v>
      </c>
      <c r="C61" s="141">
        <v>47.897669999999998</v>
      </c>
      <c r="D61" s="141">
        <v>74.990238000000005</v>
      </c>
      <c r="E61" s="141">
        <v>7.8397430000000004</v>
      </c>
      <c r="F61" s="141">
        <v>5.78918</v>
      </c>
      <c r="G61" s="141">
        <v>7.3402099999999999</v>
      </c>
      <c r="H61" s="141">
        <v>7.5585279999999999</v>
      </c>
      <c r="I61" s="141">
        <v>7.9598930000000001</v>
      </c>
      <c r="J61" s="141">
        <v>6.6298440000000003</v>
      </c>
      <c r="K61" s="141">
        <v>6.8111290000000002</v>
      </c>
      <c r="L61" s="141">
        <v>6.2631319999999997</v>
      </c>
      <c r="M61" s="141">
        <v>5.6631479999999996</v>
      </c>
      <c r="N61" s="141">
        <v>6.8798690000000002</v>
      </c>
      <c r="O61" s="141">
        <v>6.9656830000000003</v>
      </c>
      <c r="P61" s="141">
        <v>10.499385999999999</v>
      </c>
      <c r="Q61" s="141">
        <v>9.9411989999999992</v>
      </c>
    </row>
    <row r="62" spans="1:17" x14ac:dyDescent="0.2">
      <c r="A62" s="140"/>
      <c r="B62" s="140" t="s">
        <v>565</v>
      </c>
      <c r="C62" s="141">
        <v>13.307511</v>
      </c>
      <c r="D62" s="141">
        <v>6.5954959999999998</v>
      </c>
      <c r="E62" s="141">
        <v>4.8121530000000003</v>
      </c>
      <c r="F62" s="141">
        <v>4.4226599999999996</v>
      </c>
      <c r="G62" s="141">
        <v>3.6965520000000001</v>
      </c>
      <c r="H62" s="141">
        <v>6.4054359999999999</v>
      </c>
      <c r="I62" s="141">
        <v>6.1961329999999997</v>
      </c>
      <c r="J62" s="141">
        <v>5.7055300000000004</v>
      </c>
      <c r="K62" s="141">
        <v>5.0769479999999998</v>
      </c>
      <c r="L62" s="141">
        <v>5.362857</v>
      </c>
      <c r="M62" s="141">
        <v>4.697165</v>
      </c>
      <c r="N62" s="141">
        <v>5.0379399999999999</v>
      </c>
      <c r="O62" s="141">
        <v>5.5172109999999996</v>
      </c>
      <c r="P62" s="141">
        <v>6.3762860000000003</v>
      </c>
      <c r="Q62" s="141">
        <v>9.8441229999999997</v>
      </c>
    </row>
    <row r="63" spans="1:17" x14ac:dyDescent="0.2">
      <c r="A63" s="140"/>
      <c r="B63" s="140" t="s">
        <v>566</v>
      </c>
      <c r="C63" s="141">
        <v>47.897669999999998</v>
      </c>
      <c r="D63" s="141">
        <v>6.5954959999999998</v>
      </c>
      <c r="E63" s="141">
        <v>5.0812220000000003</v>
      </c>
      <c r="F63" s="141">
        <v>4.5859480000000001</v>
      </c>
      <c r="G63" s="141">
        <v>7.3402099999999999</v>
      </c>
      <c r="H63" s="141">
        <v>6.9739990000000001</v>
      </c>
      <c r="I63" s="141">
        <v>6.2997050000000003</v>
      </c>
      <c r="J63" s="141">
        <v>6.1792220000000002</v>
      </c>
      <c r="K63" s="141">
        <v>5.5198590000000003</v>
      </c>
      <c r="L63" s="141">
        <v>5.5658099999999999</v>
      </c>
      <c r="M63" s="141">
        <v>5.1008760000000004</v>
      </c>
      <c r="N63" s="141">
        <v>6.3916199999999996</v>
      </c>
      <c r="O63" s="141">
        <v>6.5155810000000001</v>
      </c>
      <c r="P63" s="141">
        <v>10.038275000000001</v>
      </c>
      <c r="Q63" s="141">
        <v>9.8987280000000002</v>
      </c>
    </row>
    <row r="64" spans="1:17" x14ac:dyDescent="0.2">
      <c r="A64" s="137"/>
      <c r="B64" s="138"/>
      <c r="C64" s="138"/>
      <c r="D64" s="138"/>
      <c r="E64" s="138"/>
      <c r="F64" s="138"/>
      <c r="G64" s="138"/>
      <c r="H64" s="138"/>
      <c r="I64" s="138"/>
      <c r="J64" s="138"/>
      <c r="K64" s="138"/>
      <c r="L64" s="138"/>
      <c r="M64" s="138"/>
      <c r="N64" s="138"/>
      <c r="O64" s="138"/>
      <c r="P64" s="138"/>
      <c r="Q64" s="138"/>
    </row>
    <row r="65" spans="1:17" x14ac:dyDescent="0.2">
      <c r="A65" s="137" t="s">
        <v>575</v>
      </c>
      <c r="B65" s="138" t="s">
        <v>563</v>
      </c>
      <c r="C65" s="139">
        <v>17.476413047619047</v>
      </c>
      <c r="D65" s="139">
        <v>33.469235111111111</v>
      </c>
      <c r="E65" s="139">
        <v>5.8961510625000004</v>
      </c>
      <c r="F65" s="139">
        <v>4.9232515781249999</v>
      </c>
      <c r="G65" s="139">
        <v>4.2676595737704917</v>
      </c>
      <c r="H65" s="139">
        <v>7.0727339843749997</v>
      </c>
      <c r="I65" s="139">
        <v>6.8971724375000001</v>
      </c>
      <c r="J65" s="139">
        <v>6.1870537936507937</v>
      </c>
      <c r="K65" s="139">
        <v>5.9155446612903226</v>
      </c>
      <c r="L65" s="139">
        <v>5.788458603174603</v>
      </c>
      <c r="M65" s="139">
        <v>5.0993396031746032</v>
      </c>
      <c r="N65" s="139">
        <v>5.8031140793650797</v>
      </c>
      <c r="O65" s="139">
        <v>6.2995176393442627</v>
      </c>
      <c r="P65" s="139">
        <v>8.5062359999999995</v>
      </c>
      <c r="Q65" s="139">
        <v>9.8946833333333331</v>
      </c>
    </row>
    <row r="66" spans="1:17" x14ac:dyDescent="0.2">
      <c r="A66" s="140"/>
      <c r="B66" s="140" t="s">
        <v>564</v>
      </c>
      <c r="C66" s="141">
        <v>47.897669999999998</v>
      </c>
      <c r="D66" s="141">
        <v>74.990238000000005</v>
      </c>
      <c r="E66" s="141">
        <v>7.8397430000000004</v>
      </c>
      <c r="F66" s="141">
        <v>5.78918</v>
      </c>
      <c r="G66" s="141">
        <v>7.3917089999999996</v>
      </c>
      <c r="H66" s="141">
        <v>7.6115579999999996</v>
      </c>
      <c r="I66" s="141">
        <v>7.9598930000000001</v>
      </c>
      <c r="J66" s="141">
        <v>6.6298440000000003</v>
      </c>
      <c r="K66" s="141">
        <v>6.8111290000000002</v>
      </c>
      <c r="L66" s="141">
        <v>6.2631319999999997</v>
      </c>
      <c r="M66" s="141">
        <v>5.6631479999999996</v>
      </c>
      <c r="N66" s="141">
        <v>6.8798690000000002</v>
      </c>
      <c r="O66" s="141">
        <v>6.9656830000000003</v>
      </c>
      <c r="P66" s="141">
        <v>10.499385999999999</v>
      </c>
      <c r="Q66" s="141">
        <v>9.9411989999999992</v>
      </c>
    </row>
    <row r="67" spans="1:17" x14ac:dyDescent="0.2">
      <c r="A67" s="140"/>
      <c r="B67" s="140" t="s">
        <v>565</v>
      </c>
      <c r="C67" s="141">
        <v>13.307511</v>
      </c>
      <c r="D67" s="141">
        <v>6.5954959999999998</v>
      </c>
      <c r="E67" s="141">
        <v>4.8121530000000003</v>
      </c>
      <c r="F67" s="141">
        <v>4.4226599999999996</v>
      </c>
      <c r="G67" s="141">
        <v>3.6965520000000001</v>
      </c>
      <c r="H67" s="141">
        <v>6.4054359999999999</v>
      </c>
      <c r="I67" s="141">
        <v>6.1961329999999997</v>
      </c>
      <c r="J67" s="141">
        <v>5.7055300000000004</v>
      </c>
      <c r="K67" s="141">
        <v>5.100441</v>
      </c>
      <c r="L67" s="141">
        <v>5.3876730000000004</v>
      </c>
      <c r="M67" s="141">
        <v>4.697165</v>
      </c>
      <c r="N67" s="141">
        <v>5.0379399999999999</v>
      </c>
      <c r="O67" s="141">
        <v>5.5172109999999996</v>
      </c>
      <c r="P67" s="141">
        <v>6.4100970000000004</v>
      </c>
      <c r="Q67" s="141">
        <v>9.8441229999999997</v>
      </c>
    </row>
    <row r="68" spans="1:17" x14ac:dyDescent="0.2">
      <c r="A68" s="140"/>
      <c r="B68" s="140" t="s">
        <v>566</v>
      </c>
      <c r="C68" s="141">
        <v>47.897669999999998</v>
      </c>
      <c r="D68" s="141">
        <v>6.5954959999999998</v>
      </c>
      <c r="E68" s="141">
        <v>5.0812220000000003</v>
      </c>
      <c r="F68" s="141">
        <v>4.5859480000000001</v>
      </c>
      <c r="G68" s="141">
        <v>7.3917089999999996</v>
      </c>
      <c r="H68" s="141">
        <v>6.9739990000000001</v>
      </c>
      <c r="I68" s="141">
        <v>6.2997050000000003</v>
      </c>
      <c r="J68" s="141">
        <v>6.1792220000000002</v>
      </c>
      <c r="K68" s="141">
        <v>5.545401</v>
      </c>
      <c r="L68" s="141">
        <v>5.5658099999999999</v>
      </c>
      <c r="M68" s="141">
        <v>5.1008760000000004</v>
      </c>
      <c r="N68" s="141">
        <v>6.3916199999999996</v>
      </c>
      <c r="O68" s="141">
        <v>6.5501310000000004</v>
      </c>
      <c r="P68" s="141">
        <v>10.038275000000001</v>
      </c>
      <c r="Q68" s="141">
        <v>9.8987280000000002</v>
      </c>
    </row>
    <row r="69" spans="1:17" x14ac:dyDescent="0.2">
      <c r="A69" s="137"/>
      <c r="B69" s="138"/>
      <c r="C69" s="138"/>
      <c r="D69" s="138"/>
      <c r="E69" s="138"/>
      <c r="F69" s="138"/>
      <c r="G69" s="138"/>
      <c r="H69" s="138"/>
      <c r="I69" s="138"/>
      <c r="J69" s="138"/>
      <c r="K69" s="138"/>
      <c r="L69" s="138"/>
      <c r="M69" s="138"/>
      <c r="N69" s="138"/>
      <c r="O69" s="138"/>
      <c r="P69" s="138"/>
      <c r="Q69" s="138"/>
    </row>
    <row r="70" spans="1:17" x14ac:dyDescent="0.2">
      <c r="A70" s="137" t="s">
        <v>576</v>
      </c>
      <c r="B70" s="138" t="s">
        <v>563</v>
      </c>
      <c r="C70" s="142" t="s">
        <v>313</v>
      </c>
      <c r="D70" s="142" t="s">
        <v>313</v>
      </c>
      <c r="E70" s="142" t="s">
        <v>313</v>
      </c>
      <c r="F70" s="142" t="s">
        <v>313</v>
      </c>
      <c r="G70" s="142" t="s">
        <v>313</v>
      </c>
      <c r="H70" s="139">
        <v>29.350753999999998</v>
      </c>
      <c r="I70" s="139">
        <v>28.887022000000002</v>
      </c>
      <c r="J70" s="139">
        <v>26.019428000000001</v>
      </c>
      <c r="K70" s="139">
        <v>25.035399999999999</v>
      </c>
      <c r="L70" s="142" t="s">
        <v>313</v>
      </c>
      <c r="M70" s="142" t="s">
        <v>313</v>
      </c>
      <c r="N70" s="142" t="s">
        <v>313</v>
      </c>
      <c r="O70" s="142" t="s">
        <v>313</v>
      </c>
      <c r="P70" s="142" t="s">
        <v>313</v>
      </c>
      <c r="Q70" s="142" t="s">
        <v>313</v>
      </c>
    </row>
    <row r="71" spans="1:17" x14ac:dyDescent="0.2">
      <c r="A71" s="140"/>
      <c r="B71" s="140" t="s">
        <v>564</v>
      </c>
      <c r="C71" s="143" t="s">
        <v>313</v>
      </c>
      <c r="D71" s="143" t="s">
        <v>313</v>
      </c>
      <c r="E71" s="143" t="s">
        <v>313</v>
      </c>
      <c r="F71" s="143" t="s">
        <v>313</v>
      </c>
      <c r="G71" s="143" t="s">
        <v>313</v>
      </c>
      <c r="H71" s="141">
        <v>30.089068999999999</v>
      </c>
      <c r="I71" s="141">
        <v>33.804878000000002</v>
      </c>
      <c r="J71" s="141">
        <v>28.131868000000001</v>
      </c>
      <c r="K71" s="141">
        <v>28.901098999999999</v>
      </c>
      <c r="L71" s="143" t="s">
        <v>313</v>
      </c>
      <c r="M71" s="143" t="s">
        <v>313</v>
      </c>
      <c r="N71" s="143" t="s">
        <v>313</v>
      </c>
      <c r="O71" s="143" t="s">
        <v>313</v>
      </c>
      <c r="P71" s="143" t="s">
        <v>313</v>
      </c>
      <c r="Q71" s="143" t="s">
        <v>313</v>
      </c>
    </row>
    <row r="72" spans="1:17" x14ac:dyDescent="0.2">
      <c r="A72" s="140"/>
      <c r="B72" s="140" t="s">
        <v>565</v>
      </c>
      <c r="C72" s="143" t="s">
        <v>313</v>
      </c>
      <c r="D72" s="143" t="s">
        <v>313</v>
      </c>
      <c r="E72" s="143" t="s">
        <v>313</v>
      </c>
      <c r="F72" s="143" t="s">
        <v>313</v>
      </c>
      <c r="G72" s="143" t="s">
        <v>313</v>
      </c>
      <c r="H72" s="141">
        <v>27.40081</v>
      </c>
      <c r="I72" s="141">
        <v>25.735849000000002</v>
      </c>
      <c r="J72" s="141">
        <v>23.787879</v>
      </c>
      <c r="K72" s="141">
        <v>21.787234000000002</v>
      </c>
      <c r="L72" s="143" t="s">
        <v>313</v>
      </c>
      <c r="M72" s="143" t="s">
        <v>313</v>
      </c>
      <c r="N72" s="143" t="s">
        <v>313</v>
      </c>
      <c r="O72" s="143" t="s">
        <v>313</v>
      </c>
      <c r="P72" s="143" t="s">
        <v>313</v>
      </c>
      <c r="Q72" s="143" t="s">
        <v>313</v>
      </c>
    </row>
    <row r="73" spans="1:17" x14ac:dyDescent="0.2">
      <c r="A73" s="140"/>
      <c r="B73" s="140" t="s">
        <v>566</v>
      </c>
      <c r="C73" s="143" t="s">
        <v>313</v>
      </c>
      <c r="D73" s="143" t="s">
        <v>313</v>
      </c>
      <c r="E73" s="143" t="s">
        <v>313</v>
      </c>
      <c r="F73" s="143" t="s">
        <v>313</v>
      </c>
      <c r="G73" s="143" t="s">
        <v>313</v>
      </c>
      <c r="H73" s="141">
        <v>29.497976000000001</v>
      </c>
      <c r="I73" s="141">
        <v>26.166038</v>
      </c>
      <c r="J73" s="141">
        <v>26.21978</v>
      </c>
      <c r="K73" s="141">
        <v>23.687943000000001</v>
      </c>
      <c r="L73" s="143" t="s">
        <v>313</v>
      </c>
      <c r="M73" s="143" t="s">
        <v>313</v>
      </c>
      <c r="N73" s="143" t="s">
        <v>313</v>
      </c>
      <c r="O73" s="143" t="s">
        <v>313</v>
      </c>
      <c r="P73" s="143" t="s">
        <v>313</v>
      </c>
      <c r="Q73" s="143" t="s">
        <v>313</v>
      </c>
    </row>
    <row r="74" spans="1:17" x14ac:dyDescent="0.2">
      <c r="A74" s="137"/>
      <c r="B74" s="138"/>
      <c r="C74" s="138"/>
      <c r="D74" s="138"/>
      <c r="E74" s="138"/>
      <c r="F74" s="138"/>
      <c r="G74" s="138"/>
      <c r="H74" s="138"/>
      <c r="I74" s="138"/>
      <c r="J74" s="138"/>
      <c r="K74" s="138"/>
      <c r="L74" s="138"/>
      <c r="M74" s="138"/>
      <c r="N74" s="138"/>
      <c r="O74" s="138"/>
      <c r="P74" s="138"/>
      <c r="Q74" s="138"/>
    </row>
    <row r="75" spans="1:17" x14ac:dyDescent="0.2">
      <c r="A75" s="137" t="s">
        <v>577</v>
      </c>
      <c r="B75" s="138" t="s">
        <v>563</v>
      </c>
      <c r="C75" s="142" t="s">
        <v>319</v>
      </c>
      <c r="D75" s="142" t="s">
        <v>313</v>
      </c>
      <c r="E75" s="142" t="s">
        <v>319</v>
      </c>
      <c r="F75" s="142" t="s">
        <v>319</v>
      </c>
      <c r="G75" s="139">
        <v>167.655058</v>
      </c>
      <c r="H75" s="139">
        <v>168.94387524137932</v>
      </c>
      <c r="I75" s="142" t="s">
        <v>319</v>
      </c>
      <c r="J75" s="142" t="s">
        <v>319</v>
      </c>
      <c r="K75" s="142" t="s">
        <v>319</v>
      </c>
      <c r="L75" s="142" t="s">
        <v>319</v>
      </c>
      <c r="M75" s="142" t="s">
        <v>319</v>
      </c>
      <c r="N75" s="142" t="s">
        <v>319</v>
      </c>
      <c r="O75" s="142" t="s">
        <v>319</v>
      </c>
      <c r="P75" s="142" t="s">
        <v>319</v>
      </c>
      <c r="Q75" s="142" t="s">
        <v>319</v>
      </c>
    </row>
    <row r="76" spans="1:17" x14ac:dyDescent="0.2">
      <c r="A76" s="140"/>
      <c r="B76" s="140" t="s">
        <v>564</v>
      </c>
      <c r="C76" s="143" t="s">
        <v>319</v>
      </c>
      <c r="D76" s="143" t="s">
        <v>313</v>
      </c>
      <c r="E76" s="143" t="s">
        <v>319</v>
      </c>
      <c r="F76" s="143" t="s">
        <v>319</v>
      </c>
      <c r="G76" s="141">
        <v>171.27722800000001</v>
      </c>
      <c r="H76" s="141">
        <v>178.33623499999999</v>
      </c>
      <c r="I76" s="143" t="s">
        <v>319</v>
      </c>
      <c r="J76" s="143" t="s">
        <v>319</v>
      </c>
      <c r="K76" s="143" t="s">
        <v>319</v>
      </c>
      <c r="L76" s="143" t="s">
        <v>319</v>
      </c>
      <c r="M76" s="143" t="s">
        <v>319</v>
      </c>
      <c r="N76" s="143" t="s">
        <v>319</v>
      </c>
      <c r="O76" s="143" t="s">
        <v>319</v>
      </c>
      <c r="P76" s="143" t="s">
        <v>319</v>
      </c>
      <c r="Q76" s="143" t="s">
        <v>319</v>
      </c>
    </row>
    <row r="77" spans="1:17" x14ac:dyDescent="0.2">
      <c r="A77" s="140"/>
      <c r="B77" s="140" t="s">
        <v>565</v>
      </c>
      <c r="C77" s="143" t="s">
        <v>319</v>
      </c>
      <c r="D77" s="143" t="s">
        <v>313</v>
      </c>
      <c r="E77" s="143" t="s">
        <v>319</v>
      </c>
      <c r="F77" s="143" t="s">
        <v>319</v>
      </c>
      <c r="G77" s="141">
        <v>164.03288800000001</v>
      </c>
      <c r="H77" s="141">
        <v>158.78526299999999</v>
      </c>
      <c r="I77" s="143" t="s">
        <v>319</v>
      </c>
      <c r="J77" s="143" t="s">
        <v>319</v>
      </c>
      <c r="K77" s="143" t="s">
        <v>319</v>
      </c>
      <c r="L77" s="143" t="s">
        <v>319</v>
      </c>
      <c r="M77" s="143" t="s">
        <v>319</v>
      </c>
      <c r="N77" s="143" t="s">
        <v>319</v>
      </c>
      <c r="O77" s="143" t="s">
        <v>319</v>
      </c>
      <c r="P77" s="143" t="s">
        <v>319</v>
      </c>
      <c r="Q77" s="143" t="s">
        <v>319</v>
      </c>
    </row>
    <row r="78" spans="1:17" x14ac:dyDescent="0.2">
      <c r="A78" s="140"/>
      <c r="B78" s="140" t="s">
        <v>566</v>
      </c>
      <c r="C78" s="143" t="s">
        <v>319</v>
      </c>
      <c r="D78" s="143" t="s">
        <v>313</v>
      </c>
      <c r="E78" s="143" t="s">
        <v>319</v>
      </c>
      <c r="F78" s="143" t="s">
        <v>319</v>
      </c>
      <c r="G78" s="141">
        <v>171.27722800000001</v>
      </c>
      <c r="H78" s="143" t="s">
        <v>319</v>
      </c>
      <c r="I78" s="143" t="s">
        <v>319</v>
      </c>
      <c r="J78" s="143" t="s">
        <v>319</v>
      </c>
      <c r="K78" s="143" t="s">
        <v>319</v>
      </c>
      <c r="L78" s="143" t="s">
        <v>319</v>
      </c>
      <c r="M78" s="143" t="s">
        <v>319</v>
      </c>
      <c r="N78" s="143" t="s">
        <v>319</v>
      </c>
      <c r="O78" s="143" t="s">
        <v>319</v>
      </c>
      <c r="P78" s="143" t="s">
        <v>319</v>
      </c>
      <c r="Q78" s="143" t="s">
        <v>319</v>
      </c>
    </row>
    <row r="79" spans="1:17" x14ac:dyDescent="0.2">
      <c r="A79" s="137"/>
      <c r="B79" s="138"/>
      <c r="C79" s="138"/>
      <c r="D79" s="138"/>
      <c r="E79" s="138"/>
      <c r="F79" s="138"/>
      <c r="G79" s="138"/>
      <c r="H79" s="138"/>
      <c r="I79" s="138"/>
      <c r="J79" s="138"/>
      <c r="K79" s="138"/>
      <c r="L79" s="138"/>
      <c r="M79" s="138"/>
      <c r="N79" s="138"/>
      <c r="O79" s="138"/>
      <c r="P79" s="138"/>
      <c r="Q79" s="138"/>
    </row>
    <row r="80" spans="1:17" x14ac:dyDescent="0.2">
      <c r="A80" s="137" t="s">
        <v>578</v>
      </c>
      <c r="B80" s="138" t="s">
        <v>563</v>
      </c>
      <c r="C80" s="142" t="s">
        <v>319</v>
      </c>
      <c r="D80" s="142" t="s">
        <v>313</v>
      </c>
      <c r="E80" s="142" t="s">
        <v>319</v>
      </c>
      <c r="F80" s="142" t="s">
        <v>319</v>
      </c>
      <c r="G80" s="139">
        <v>178.89694249999999</v>
      </c>
      <c r="H80" s="139">
        <v>180.2468352413793</v>
      </c>
      <c r="I80" s="142" t="s">
        <v>319</v>
      </c>
      <c r="J80" s="142" t="s">
        <v>319</v>
      </c>
      <c r="K80" s="142" t="s">
        <v>319</v>
      </c>
      <c r="L80" s="142" t="s">
        <v>319</v>
      </c>
      <c r="M80" s="142" t="s">
        <v>319</v>
      </c>
      <c r="N80" s="142" t="s">
        <v>319</v>
      </c>
      <c r="O80" s="142" t="s">
        <v>319</v>
      </c>
      <c r="P80" s="142" t="s">
        <v>319</v>
      </c>
      <c r="Q80" s="142" t="s">
        <v>319</v>
      </c>
    </row>
    <row r="81" spans="1:17" x14ac:dyDescent="0.2">
      <c r="A81" s="140"/>
      <c r="B81" s="140" t="s">
        <v>564</v>
      </c>
      <c r="C81" s="143" t="s">
        <v>319</v>
      </c>
      <c r="D81" s="143" t="s">
        <v>313</v>
      </c>
      <c r="E81" s="143" t="s">
        <v>319</v>
      </c>
      <c r="F81" s="143" t="s">
        <v>319</v>
      </c>
      <c r="G81" s="141">
        <v>182.69076200000001</v>
      </c>
      <c r="H81" s="141">
        <v>190.08428499999999</v>
      </c>
      <c r="I81" s="143" t="s">
        <v>319</v>
      </c>
      <c r="J81" s="143" t="s">
        <v>319</v>
      </c>
      <c r="K81" s="143" t="s">
        <v>319</v>
      </c>
      <c r="L81" s="143" t="s">
        <v>319</v>
      </c>
      <c r="M81" s="143" t="s">
        <v>319</v>
      </c>
      <c r="N81" s="143" t="s">
        <v>319</v>
      </c>
      <c r="O81" s="143" t="s">
        <v>319</v>
      </c>
      <c r="P81" s="143" t="s">
        <v>319</v>
      </c>
      <c r="Q81" s="143" t="s">
        <v>319</v>
      </c>
    </row>
    <row r="82" spans="1:17" x14ac:dyDescent="0.2">
      <c r="A82" s="140"/>
      <c r="B82" s="140" t="s">
        <v>565</v>
      </c>
      <c r="C82" s="143" t="s">
        <v>319</v>
      </c>
      <c r="D82" s="143" t="s">
        <v>313</v>
      </c>
      <c r="E82" s="143" t="s">
        <v>319</v>
      </c>
      <c r="F82" s="143" t="s">
        <v>319</v>
      </c>
      <c r="G82" s="141">
        <v>175.10312300000001</v>
      </c>
      <c r="H82" s="141">
        <v>169.606821</v>
      </c>
      <c r="I82" s="143" t="s">
        <v>319</v>
      </c>
      <c r="J82" s="143" t="s">
        <v>319</v>
      </c>
      <c r="K82" s="143" t="s">
        <v>319</v>
      </c>
      <c r="L82" s="143" t="s">
        <v>319</v>
      </c>
      <c r="M82" s="143" t="s">
        <v>319</v>
      </c>
      <c r="N82" s="143" t="s">
        <v>319</v>
      </c>
      <c r="O82" s="143" t="s">
        <v>319</v>
      </c>
      <c r="P82" s="143" t="s">
        <v>319</v>
      </c>
      <c r="Q82" s="143" t="s">
        <v>319</v>
      </c>
    </row>
    <row r="83" spans="1:17" x14ac:dyDescent="0.2">
      <c r="A83" s="140"/>
      <c r="B83" s="140" t="s">
        <v>566</v>
      </c>
      <c r="C83" s="143" t="s">
        <v>319</v>
      </c>
      <c r="D83" s="143" t="s">
        <v>313</v>
      </c>
      <c r="E83" s="143" t="s">
        <v>319</v>
      </c>
      <c r="F83" s="143" t="s">
        <v>319</v>
      </c>
      <c r="G83" s="141">
        <v>182.69076200000001</v>
      </c>
      <c r="H83" s="143" t="s">
        <v>319</v>
      </c>
      <c r="I83" s="143" t="s">
        <v>319</v>
      </c>
      <c r="J83" s="143" t="s">
        <v>319</v>
      </c>
      <c r="K83" s="143" t="s">
        <v>319</v>
      </c>
      <c r="L83" s="143" t="s">
        <v>319</v>
      </c>
      <c r="M83" s="143" t="s">
        <v>319</v>
      </c>
      <c r="N83" s="143" t="s">
        <v>319</v>
      </c>
      <c r="O83" s="143" t="s">
        <v>319</v>
      </c>
      <c r="P83" s="143" t="s">
        <v>319</v>
      </c>
      <c r="Q83" s="143" t="s">
        <v>319</v>
      </c>
    </row>
    <row r="84" spans="1:17" x14ac:dyDescent="0.2">
      <c r="A84" s="137"/>
      <c r="B84" s="138"/>
      <c r="C84" s="138"/>
      <c r="D84" s="138"/>
      <c r="E84" s="138"/>
      <c r="F84" s="138"/>
      <c r="G84" s="138"/>
      <c r="H84" s="138"/>
      <c r="I84" s="138"/>
      <c r="J84" s="138"/>
      <c r="K84" s="138"/>
      <c r="L84" s="138"/>
      <c r="M84" s="138"/>
      <c r="N84" s="138"/>
      <c r="O84" s="138"/>
      <c r="P84" s="138"/>
      <c r="Q84" s="138"/>
    </row>
    <row r="85" spans="1:17" x14ac:dyDescent="0.2">
      <c r="A85" s="144" t="s">
        <v>579</v>
      </c>
    </row>
    <row r="87" spans="1:17" x14ac:dyDescent="0.2">
      <c r="A87" s="144" t="s">
        <v>580</v>
      </c>
    </row>
    <row r="91" spans="1:17" ht="25.05" customHeight="1" x14ac:dyDescent="0.2">
      <c r="A91" s="145"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399FF"/>
    <outlinePr summaryBelow="0" summaryRight="0"/>
    <pageSetUpPr autoPageBreaks="0"/>
  </sheetPr>
  <dimension ref="A5:IU41"/>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73" width="13" style="98" customWidth="1"/>
    <col min="274" max="512" width="9" style="98"/>
    <col min="513" max="513" width="40.09765625" style="98" customWidth="1"/>
    <col min="514" max="529" width="13" style="98" customWidth="1"/>
    <col min="530" max="768" width="9" style="98"/>
    <col min="769" max="769" width="40.09765625" style="98" customWidth="1"/>
    <col min="770" max="785" width="13" style="98" customWidth="1"/>
    <col min="786" max="1024" width="9" style="98"/>
    <col min="1025" max="1025" width="40.09765625" style="98" customWidth="1"/>
    <col min="1026" max="1041" width="13" style="98" customWidth="1"/>
    <col min="1042" max="1280" width="9" style="98"/>
    <col min="1281" max="1281" width="40.09765625" style="98" customWidth="1"/>
    <col min="1282" max="1297" width="13" style="98" customWidth="1"/>
    <col min="1298" max="1536" width="9" style="98"/>
    <col min="1537" max="1537" width="40.09765625" style="98" customWidth="1"/>
    <col min="1538" max="1553" width="13" style="98" customWidth="1"/>
    <col min="1554" max="1792" width="9" style="98"/>
    <col min="1793" max="1793" width="40.09765625" style="98" customWidth="1"/>
    <col min="1794" max="1809" width="13" style="98" customWidth="1"/>
    <col min="1810" max="2048" width="9" style="98"/>
    <col min="2049" max="2049" width="40.09765625" style="98" customWidth="1"/>
    <col min="2050" max="2065" width="13" style="98" customWidth="1"/>
    <col min="2066" max="2304" width="9" style="98"/>
    <col min="2305" max="2305" width="40.09765625" style="98" customWidth="1"/>
    <col min="2306" max="2321" width="13" style="98" customWidth="1"/>
    <col min="2322" max="2560" width="9" style="98"/>
    <col min="2561" max="2561" width="40.09765625" style="98" customWidth="1"/>
    <col min="2562" max="2577" width="13" style="98" customWidth="1"/>
    <col min="2578" max="2816" width="9" style="98"/>
    <col min="2817" max="2817" width="40.09765625" style="98" customWidth="1"/>
    <col min="2818" max="2833" width="13" style="98" customWidth="1"/>
    <col min="2834" max="3072" width="9" style="98"/>
    <col min="3073" max="3073" width="40.09765625" style="98" customWidth="1"/>
    <col min="3074" max="3089" width="13" style="98" customWidth="1"/>
    <col min="3090" max="3328" width="9" style="98"/>
    <col min="3329" max="3329" width="40.09765625" style="98" customWidth="1"/>
    <col min="3330" max="3345" width="13" style="98" customWidth="1"/>
    <col min="3346" max="3584" width="9" style="98"/>
    <col min="3585" max="3585" width="40.09765625" style="98" customWidth="1"/>
    <col min="3586" max="3601" width="13" style="98" customWidth="1"/>
    <col min="3602" max="3840" width="9" style="98"/>
    <col min="3841" max="3841" width="40.09765625" style="98" customWidth="1"/>
    <col min="3842" max="3857" width="13" style="98" customWidth="1"/>
    <col min="3858" max="4096" width="9" style="98"/>
    <col min="4097" max="4097" width="40.09765625" style="98" customWidth="1"/>
    <col min="4098" max="4113" width="13" style="98" customWidth="1"/>
    <col min="4114" max="4352" width="9" style="98"/>
    <col min="4353" max="4353" width="40.09765625" style="98" customWidth="1"/>
    <col min="4354" max="4369" width="13" style="98" customWidth="1"/>
    <col min="4370" max="4608" width="9" style="98"/>
    <col min="4609" max="4609" width="40.09765625" style="98" customWidth="1"/>
    <col min="4610" max="4625" width="13" style="98" customWidth="1"/>
    <col min="4626" max="4864" width="9" style="98"/>
    <col min="4865" max="4865" width="40.09765625" style="98" customWidth="1"/>
    <col min="4866" max="4881" width="13" style="98" customWidth="1"/>
    <col min="4882" max="5120" width="9" style="98"/>
    <col min="5121" max="5121" width="40.09765625" style="98" customWidth="1"/>
    <col min="5122" max="5137" width="13" style="98" customWidth="1"/>
    <col min="5138" max="5376" width="9" style="98"/>
    <col min="5377" max="5377" width="40.09765625" style="98" customWidth="1"/>
    <col min="5378" max="5393" width="13" style="98" customWidth="1"/>
    <col min="5394" max="5632" width="9" style="98"/>
    <col min="5633" max="5633" width="40.09765625" style="98" customWidth="1"/>
    <col min="5634" max="5649" width="13" style="98" customWidth="1"/>
    <col min="5650" max="5888" width="9" style="98"/>
    <col min="5889" max="5889" width="40.09765625" style="98" customWidth="1"/>
    <col min="5890" max="5905" width="13" style="98" customWidth="1"/>
    <col min="5906" max="6144" width="9" style="98"/>
    <col min="6145" max="6145" width="40.09765625" style="98" customWidth="1"/>
    <col min="6146" max="6161" width="13" style="98" customWidth="1"/>
    <col min="6162" max="6400" width="9" style="98"/>
    <col min="6401" max="6401" width="40.09765625" style="98" customWidth="1"/>
    <col min="6402" max="6417" width="13" style="98" customWidth="1"/>
    <col min="6418" max="6656" width="9" style="98"/>
    <col min="6657" max="6657" width="40.09765625" style="98" customWidth="1"/>
    <col min="6658" max="6673" width="13" style="98" customWidth="1"/>
    <col min="6674" max="6912" width="9" style="98"/>
    <col min="6913" max="6913" width="40.09765625" style="98" customWidth="1"/>
    <col min="6914" max="6929" width="13" style="98" customWidth="1"/>
    <col min="6930" max="7168" width="9" style="98"/>
    <col min="7169" max="7169" width="40.09765625" style="98" customWidth="1"/>
    <col min="7170" max="7185" width="13" style="98" customWidth="1"/>
    <col min="7186" max="7424" width="9" style="98"/>
    <col min="7425" max="7425" width="40.09765625" style="98" customWidth="1"/>
    <col min="7426" max="7441" width="13" style="98" customWidth="1"/>
    <col min="7442" max="7680" width="9" style="98"/>
    <col min="7681" max="7681" width="40.09765625" style="98" customWidth="1"/>
    <col min="7682" max="7697" width="13" style="98" customWidth="1"/>
    <col min="7698" max="7936" width="9" style="98"/>
    <col min="7937" max="7937" width="40.09765625" style="98" customWidth="1"/>
    <col min="7938" max="7953" width="13" style="98" customWidth="1"/>
    <col min="7954" max="8192" width="9" style="98"/>
    <col min="8193" max="8193" width="40.09765625" style="98" customWidth="1"/>
    <col min="8194" max="8209" width="13" style="98" customWidth="1"/>
    <col min="8210" max="8448" width="9" style="98"/>
    <col min="8449" max="8449" width="40.09765625" style="98" customWidth="1"/>
    <col min="8450" max="8465" width="13" style="98" customWidth="1"/>
    <col min="8466" max="8704" width="9" style="98"/>
    <col min="8705" max="8705" width="40.09765625" style="98" customWidth="1"/>
    <col min="8706" max="8721" width="13" style="98" customWidth="1"/>
    <col min="8722" max="8960" width="9" style="98"/>
    <col min="8961" max="8961" width="40.09765625" style="98" customWidth="1"/>
    <col min="8962" max="8977" width="13" style="98" customWidth="1"/>
    <col min="8978" max="9216" width="9" style="98"/>
    <col min="9217" max="9217" width="40.09765625" style="98" customWidth="1"/>
    <col min="9218" max="9233" width="13" style="98" customWidth="1"/>
    <col min="9234" max="9472" width="9" style="98"/>
    <col min="9473" max="9473" width="40.09765625" style="98" customWidth="1"/>
    <col min="9474" max="9489" width="13" style="98" customWidth="1"/>
    <col min="9490" max="9728" width="9" style="98"/>
    <col min="9729" max="9729" width="40.09765625" style="98" customWidth="1"/>
    <col min="9730" max="9745" width="13" style="98" customWidth="1"/>
    <col min="9746" max="9984" width="9" style="98"/>
    <col min="9985" max="9985" width="40.09765625" style="98" customWidth="1"/>
    <col min="9986" max="10001" width="13" style="98" customWidth="1"/>
    <col min="10002" max="10240" width="9" style="98"/>
    <col min="10241" max="10241" width="40.09765625" style="98" customWidth="1"/>
    <col min="10242" max="10257" width="13" style="98" customWidth="1"/>
    <col min="10258" max="10496" width="9" style="98"/>
    <col min="10497" max="10497" width="40.09765625" style="98" customWidth="1"/>
    <col min="10498" max="10513" width="13" style="98" customWidth="1"/>
    <col min="10514" max="10752" width="9" style="98"/>
    <col min="10753" max="10753" width="40.09765625" style="98" customWidth="1"/>
    <col min="10754" max="10769" width="13" style="98" customWidth="1"/>
    <col min="10770" max="11008" width="9" style="98"/>
    <col min="11009" max="11009" width="40.09765625" style="98" customWidth="1"/>
    <col min="11010" max="11025" width="13" style="98" customWidth="1"/>
    <col min="11026" max="11264" width="9" style="98"/>
    <col min="11265" max="11265" width="40.09765625" style="98" customWidth="1"/>
    <col min="11266" max="11281" width="13" style="98" customWidth="1"/>
    <col min="11282" max="11520" width="9" style="98"/>
    <col min="11521" max="11521" width="40.09765625" style="98" customWidth="1"/>
    <col min="11522" max="11537" width="13" style="98" customWidth="1"/>
    <col min="11538" max="11776" width="9" style="98"/>
    <col min="11777" max="11777" width="40.09765625" style="98" customWidth="1"/>
    <col min="11778" max="11793" width="13" style="98" customWidth="1"/>
    <col min="11794" max="12032" width="9" style="98"/>
    <col min="12033" max="12033" width="40.09765625" style="98" customWidth="1"/>
    <col min="12034" max="12049" width="13" style="98" customWidth="1"/>
    <col min="12050" max="12288" width="9" style="98"/>
    <col min="12289" max="12289" width="40.09765625" style="98" customWidth="1"/>
    <col min="12290" max="12305" width="13" style="98" customWidth="1"/>
    <col min="12306" max="12544" width="9" style="98"/>
    <col min="12545" max="12545" width="40.09765625" style="98" customWidth="1"/>
    <col min="12546" max="12561" width="13" style="98" customWidth="1"/>
    <col min="12562" max="12800" width="9" style="98"/>
    <col min="12801" max="12801" width="40.09765625" style="98" customWidth="1"/>
    <col min="12802" max="12817" width="13" style="98" customWidth="1"/>
    <col min="12818" max="13056" width="9" style="98"/>
    <col min="13057" max="13057" width="40.09765625" style="98" customWidth="1"/>
    <col min="13058" max="13073" width="13" style="98" customWidth="1"/>
    <col min="13074" max="13312" width="9" style="98"/>
    <col min="13313" max="13313" width="40.09765625" style="98" customWidth="1"/>
    <col min="13314" max="13329" width="13" style="98" customWidth="1"/>
    <col min="13330" max="13568" width="9" style="98"/>
    <col min="13569" max="13569" width="40.09765625" style="98" customWidth="1"/>
    <col min="13570" max="13585" width="13" style="98" customWidth="1"/>
    <col min="13586" max="13824" width="9" style="98"/>
    <col min="13825" max="13825" width="40.09765625" style="98" customWidth="1"/>
    <col min="13826" max="13841" width="13" style="98" customWidth="1"/>
    <col min="13842" max="14080" width="9" style="98"/>
    <col min="14081" max="14081" width="40.09765625" style="98" customWidth="1"/>
    <col min="14082" max="14097" width="13" style="98" customWidth="1"/>
    <col min="14098" max="14336" width="9" style="98"/>
    <col min="14337" max="14337" width="40.09765625" style="98" customWidth="1"/>
    <col min="14338" max="14353" width="13" style="98" customWidth="1"/>
    <col min="14354" max="14592" width="9" style="98"/>
    <col min="14593" max="14593" width="40.09765625" style="98" customWidth="1"/>
    <col min="14594" max="14609" width="13" style="98" customWidth="1"/>
    <col min="14610" max="14848" width="9" style="98"/>
    <col min="14849" max="14849" width="40.09765625" style="98" customWidth="1"/>
    <col min="14850" max="14865" width="13" style="98" customWidth="1"/>
    <col min="14866" max="15104" width="9" style="98"/>
    <col min="15105" max="15105" width="40.09765625" style="98" customWidth="1"/>
    <col min="15106" max="15121" width="13" style="98" customWidth="1"/>
    <col min="15122" max="15360" width="9" style="98"/>
    <col min="15361" max="15361" width="40.09765625" style="98" customWidth="1"/>
    <col min="15362" max="15377" width="13" style="98" customWidth="1"/>
    <col min="15378" max="15616" width="9" style="98"/>
    <col min="15617" max="15617" width="40.09765625" style="98" customWidth="1"/>
    <col min="15618" max="15633" width="13" style="98" customWidth="1"/>
    <col min="15634" max="15872" width="9" style="98"/>
    <col min="15873" max="15873" width="40.09765625" style="98" customWidth="1"/>
    <col min="15874" max="15889" width="13" style="98" customWidth="1"/>
    <col min="15890" max="16128" width="9" style="98"/>
    <col min="16129" max="16129" width="40.09765625" style="98" customWidth="1"/>
    <col min="16130" max="16145" width="13" style="98" customWidth="1"/>
    <col min="16146" max="16384" width="9" style="98"/>
  </cols>
  <sheetData>
    <row r="5" spans="1:255" ht="16.2" x14ac:dyDescent="0.25">
      <c r="A5" s="97" t="s">
        <v>582</v>
      </c>
    </row>
    <row r="7" spans="1:255" ht="20.399999999999999" x14ac:dyDescent="0.2">
      <c r="A7" s="99" t="s">
        <v>284</v>
      </c>
      <c r="B7" s="100" t="s">
        <v>558</v>
      </c>
      <c r="C7" s="98" t="s">
        <v>559</v>
      </c>
      <c r="D7" s="101" t="s">
        <v>287</v>
      </c>
      <c r="E7" s="100" t="s">
        <v>290</v>
      </c>
      <c r="F7" s="98" t="s">
        <v>291</v>
      </c>
    </row>
    <row r="8" spans="1:255" x14ac:dyDescent="0.2">
      <c r="A8" s="101"/>
      <c r="B8" s="100" t="s">
        <v>285</v>
      </c>
      <c r="C8" s="98" t="s">
        <v>286</v>
      </c>
      <c r="D8" s="101" t="s">
        <v>287</v>
      </c>
      <c r="E8" s="100" t="s">
        <v>288</v>
      </c>
      <c r="F8" s="98" t="s">
        <v>289</v>
      </c>
    </row>
    <row r="9" spans="1:255" x14ac:dyDescent="0.2">
      <c r="A9" s="101"/>
      <c r="B9" s="100" t="s">
        <v>292</v>
      </c>
      <c r="C9" s="98" t="s">
        <v>293</v>
      </c>
      <c r="D9" s="101" t="s">
        <v>287</v>
      </c>
      <c r="E9" s="100" t="s">
        <v>294</v>
      </c>
      <c r="F9" s="102" t="s">
        <v>295</v>
      </c>
    </row>
    <row r="10" spans="1:255" x14ac:dyDescent="0.2">
      <c r="A10" s="101"/>
      <c r="B10" s="100" t="s">
        <v>296</v>
      </c>
      <c r="C10" s="98" t="s">
        <v>297</v>
      </c>
      <c r="D10" s="101" t="s">
        <v>287</v>
      </c>
      <c r="E10" s="125"/>
      <c r="F10" s="125"/>
    </row>
    <row r="13" spans="1:255" x14ac:dyDescent="0.2">
      <c r="A13" s="103" t="s">
        <v>583</v>
      </c>
      <c r="B13" s="103"/>
      <c r="C13" s="103"/>
      <c r="D13" s="103"/>
      <c r="E13" s="103"/>
      <c r="F13" s="103"/>
      <c r="G13" s="103"/>
      <c r="H13" s="103"/>
      <c r="I13" s="103"/>
      <c r="J13" s="103"/>
      <c r="K13" s="103"/>
      <c r="L13" s="103"/>
      <c r="M13" s="103"/>
      <c r="N13" s="103"/>
      <c r="O13" s="103"/>
      <c r="P13" s="103"/>
      <c r="Q13" s="103"/>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4"/>
      <c r="DA13" s="104"/>
      <c r="DB13" s="104"/>
      <c r="DC13" s="104"/>
      <c r="DD13" s="104"/>
      <c r="DE13" s="104"/>
      <c r="DF13" s="104"/>
      <c r="DG13" s="104"/>
      <c r="DH13" s="104"/>
      <c r="DI13" s="104"/>
      <c r="DJ13" s="104"/>
      <c r="DK13" s="104"/>
      <c r="DL13" s="104"/>
      <c r="DM13" s="104"/>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104"/>
      <c r="GQ13" s="104"/>
      <c r="GR13" s="104"/>
      <c r="GS13" s="104"/>
      <c r="GT13" s="104"/>
      <c r="GU13" s="104"/>
      <c r="GV13" s="104"/>
      <c r="GW13" s="104"/>
      <c r="GX13" s="104"/>
      <c r="GY13" s="104"/>
      <c r="GZ13" s="104"/>
      <c r="HA13" s="104"/>
      <c r="HB13" s="104"/>
      <c r="HC13" s="104"/>
      <c r="HD13" s="104"/>
      <c r="HE13" s="104"/>
      <c r="HF13" s="104"/>
      <c r="HG13" s="104"/>
      <c r="HH13" s="104"/>
      <c r="HI13" s="104"/>
      <c r="HJ13" s="104"/>
      <c r="HK13" s="104"/>
      <c r="HL13" s="104"/>
      <c r="HM13" s="104"/>
      <c r="HN13" s="104"/>
      <c r="HO13" s="104"/>
      <c r="HP13" s="104"/>
      <c r="HQ13" s="104"/>
      <c r="HR13" s="104"/>
      <c r="HS13" s="104"/>
      <c r="HT13" s="104"/>
      <c r="HU13" s="104"/>
      <c r="HV13" s="104"/>
      <c r="HW13" s="104"/>
      <c r="HX13" s="104"/>
      <c r="HY13" s="104"/>
      <c r="HZ13" s="104"/>
      <c r="IA13" s="104"/>
      <c r="IB13" s="104"/>
      <c r="IC13" s="104"/>
      <c r="ID13" s="104"/>
      <c r="IE13" s="104"/>
      <c r="IF13" s="104"/>
      <c r="IG13" s="104"/>
      <c r="IH13" s="104"/>
      <c r="II13" s="104"/>
      <c r="IJ13" s="104"/>
      <c r="IK13" s="104"/>
      <c r="IL13" s="104"/>
      <c r="IM13" s="104"/>
      <c r="IN13" s="104"/>
      <c r="IO13" s="104"/>
      <c r="IP13" s="104"/>
      <c r="IQ13" s="104"/>
      <c r="IR13" s="104"/>
      <c r="IS13" s="104"/>
      <c r="IT13" s="104"/>
      <c r="IU13" s="104"/>
    </row>
    <row r="14" spans="1:255" ht="20.399999999999999" x14ac:dyDescent="0.2">
      <c r="A14" s="304" t="s">
        <v>456</v>
      </c>
      <c r="B14" s="308">
        <v>41633</v>
      </c>
      <c r="C14" s="308">
        <v>41906</v>
      </c>
      <c r="D14" s="308">
        <v>42004</v>
      </c>
      <c r="E14" s="308">
        <v>42095</v>
      </c>
      <c r="F14" s="308">
        <v>42186</v>
      </c>
      <c r="G14" s="308">
        <v>42277</v>
      </c>
      <c r="H14" s="308">
        <v>42368</v>
      </c>
      <c r="I14" s="308">
        <v>42459</v>
      </c>
      <c r="J14" s="308">
        <v>42550</v>
      </c>
      <c r="K14" s="308">
        <v>42641</v>
      </c>
      <c r="L14" s="308">
        <v>42732</v>
      </c>
      <c r="M14" s="308">
        <v>42823</v>
      </c>
      <c r="N14" s="308">
        <v>42914</v>
      </c>
      <c r="O14" s="308">
        <v>43005</v>
      </c>
      <c r="P14" s="308">
        <v>43096</v>
      </c>
      <c r="Q14" s="308">
        <v>43187</v>
      </c>
    </row>
    <row r="15" spans="1:255" x14ac:dyDescent="0.2">
      <c r="A15" s="304" t="s">
        <v>584</v>
      </c>
      <c r="B15" s="305"/>
      <c r="C15" s="305"/>
      <c r="D15" s="308">
        <v>42090</v>
      </c>
      <c r="E15" s="308">
        <v>42139</v>
      </c>
      <c r="F15" s="308">
        <v>42226</v>
      </c>
      <c r="G15" s="308">
        <v>42314</v>
      </c>
      <c r="H15" s="308">
        <v>42459</v>
      </c>
      <c r="I15" s="308">
        <v>42506</v>
      </c>
      <c r="J15" s="308">
        <v>42593</v>
      </c>
      <c r="K15" s="308">
        <v>42684</v>
      </c>
      <c r="L15" s="308">
        <v>42807</v>
      </c>
      <c r="M15" s="308">
        <v>42860</v>
      </c>
      <c r="N15" s="308">
        <v>42951</v>
      </c>
      <c r="O15" s="308">
        <v>43041</v>
      </c>
      <c r="P15" s="308">
        <v>43157</v>
      </c>
      <c r="Q15" s="308">
        <v>43227</v>
      </c>
    </row>
    <row r="16" spans="1:255" x14ac:dyDescent="0.2">
      <c r="A16" s="306" t="s">
        <v>308</v>
      </c>
      <c r="B16" s="307" t="s">
        <v>309</v>
      </c>
      <c r="C16" s="307" t="s">
        <v>309</v>
      </c>
      <c r="D16" s="307" t="s">
        <v>309</v>
      </c>
      <c r="E16" s="307" t="s">
        <v>309</v>
      </c>
      <c r="F16" s="307" t="s">
        <v>309</v>
      </c>
      <c r="G16" s="307" t="s">
        <v>309</v>
      </c>
      <c r="H16" s="307" t="s">
        <v>309</v>
      </c>
      <c r="I16" s="307" t="s">
        <v>309</v>
      </c>
      <c r="J16" s="307" t="s">
        <v>309</v>
      </c>
      <c r="K16" s="307" t="s">
        <v>309</v>
      </c>
      <c r="L16" s="307" t="s">
        <v>309</v>
      </c>
      <c r="M16" s="307" t="s">
        <v>309</v>
      </c>
      <c r="N16" s="307" t="s">
        <v>309</v>
      </c>
      <c r="O16" s="307" t="s">
        <v>309</v>
      </c>
      <c r="P16" s="307" t="s">
        <v>309</v>
      </c>
      <c r="Q16" s="307" t="s">
        <v>309</v>
      </c>
    </row>
    <row r="17" spans="1:17" x14ac:dyDescent="0.2">
      <c r="A17" s="109" t="s">
        <v>585</v>
      </c>
      <c r="B17" s="110"/>
      <c r="C17" s="110"/>
      <c r="D17" s="110"/>
      <c r="E17" s="110"/>
      <c r="F17" s="110"/>
      <c r="G17" s="110"/>
      <c r="H17" s="110"/>
      <c r="I17" s="110"/>
      <c r="J17" s="110"/>
      <c r="K17" s="110"/>
      <c r="L17" s="110"/>
      <c r="M17" s="110"/>
      <c r="N17" s="110"/>
      <c r="O17" s="110"/>
      <c r="P17" s="110"/>
      <c r="Q17" s="110"/>
    </row>
    <row r="18" spans="1:17" x14ac:dyDescent="0.2">
      <c r="A18" s="110" t="s">
        <v>331</v>
      </c>
      <c r="B18" s="128" t="s">
        <v>313</v>
      </c>
      <c r="C18" s="128" t="s">
        <v>313</v>
      </c>
      <c r="D18" s="120">
        <v>49</v>
      </c>
      <c r="E18" s="120">
        <v>69.39</v>
      </c>
      <c r="F18" s="120">
        <v>70.64</v>
      </c>
      <c r="G18" s="120">
        <v>49.99</v>
      </c>
      <c r="H18" s="120">
        <v>35.770000000000003</v>
      </c>
      <c r="I18" s="120">
        <v>35.75</v>
      </c>
      <c r="J18" s="120">
        <v>38.340000000000003</v>
      </c>
      <c r="K18" s="120">
        <v>36.81</v>
      </c>
      <c r="L18" s="120">
        <v>31.15</v>
      </c>
      <c r="M18" s="120">
        <v>36.17</v>
      </c>
      <c r="N18" s="120">
        <v>31.35</v>
      </c>
      <c r="O18" s="120">
        <v>35.9</v>
      </c>
      <c r="P18" s="120">
        <v>39</v>
      </c>
      <c r="Q18" s="120">
        <v>57.1</v>
      </c>
    </row>
    <row r="19" spans="1:17" x14ac:dyDescent="0.2">
      <c r="A19" s="110" t="s">
        <v>332</v>
      </c>
      <c r="B19" s="118" t="s">
        <v>313</v>
      </c>
      <c r="C19" s="118" t="s">
        <v>313</v>
      </c>
      <c r="D19" s="118">
        <v>12058.147000000001</v>
      </c>
      <c r="E19" s="118">
        <v>12058.147000000001</v>
      </c>
      <c r="F19" s="118">
        <v>12058.147000000001</v>
      </c>
      <c r="G19" s="118">
        <v>15213.42</v>
      </c>
      <c r="H19" s="118">
        <v>20982.881000000001</v>
      </c>
      <c r="I19" s="118">
        <v>22313.896000000001</v>
      </c>
      <c r="J19" s="118">
        <v>23953.851999999999</v>
      </c>
      <c r="K19" s="118">
        <v>24921.901999999998</v>
      </c>
      <c r="L19" s="118">
        <v>25470.089</v>
      </c>
      <c r="M19" s="118">
        <v>25757.063999999998</v>
      </c>
      <c r="N19" s="118">
        <v>25964.866000000002</v>
      </c>
      <c r="O19" s="118">
        <v>26195.741000000002</v>
      </c>
      <c r="P19" s="118">
        <v>27078.149000000001</v>
      </c>
      <c r="Q19" s="118">
        <v>27647.588</v>
      </c>
    </row>
    <row r="20" spans="1:17" x14ac:dyDescent="0.2">
      <c r="A20" s="110"/>
      <c r="B20" s="110"/>
      <c r="C20" s="110"/>
      <c r="D20" s="110"/>
      <c r="E20" s="110"/>
      <c r="F20" s="110"/>
      <c r="G20" s="110"/>
      <c r="H20" s="110"/>
      <c r="I20" s="110"/>
      <c r="J20" s="110"/>
      <c r="K20" s="110"/>
      <c r="L20" s="110"/>
      <c r="M20" s="110"/>
      <c r="N20" s="110"/>
      <c r="O20" s="110"/>
      <c r="P20" s="110"/>
      <c r="Q20" s="110"/>
    </row>
    <row r="21" spans="1:17" x14ac:dyDescent="0.2">
      <c r="A21" s="109" t="s">
        <v>333</v>
      </c>
      <c r="B21" s="111" t="s">
        <v>313</v>
      </c>
      <c r="C21" s="111" t="s">
        <v>313</v>
      </c>
      <c r="D21" s="111">
        <v>590849.20299999998</v>
      </c>
      <c r="E21" s="111">
        <v>836714.82</v>
      </c>
      <c r="F21" s="111">
        <v>851787.50399999996</v>
      </c>
      <c r="G21" s="111">
        <v>760518.86499999999</v>
      </c>
      <c r="H21" s="111">
        <v>750557.65300000005</v>
      </c>
      <c r="I21" s="111">
        <v>797721.78200000001</v>
      </c>
      <c r="J21" s="111">
        <v>918390.68500000006</v>
      </c>
      <c r="K21" s="111">
        <v>917375.21200000006</v>
      </c>
      <c r="L21" s="111">
        <v>793393.272</v>
      </c>
      <c r="M21" s="111">
        <v>931633.00399999996</v>
      </c>
      <c r="N21" s="111">
        <v>813998.549</v>
      </c>
      <c r="O21" s="111">
        <v>940427.10100000002</v>
      </c>
      <c r="P21" s="111">
        <v>1056047.811</v>
      </c>
      <c r="Q21" s="111">
        <v>1578677.274</v>
      </c>
    </row>
    <row r="22" spans="1:17" x14ac:dyDescent="0.2">
      <c r="A22" s="110" t="s">
        <v>334</v>
      </c>
      <c r="B22" s="118">
        <v>13076</v>
      </c>
      <c r="C22" s="118">
        <v>6107</v>
      </c>
      <c r="D22" s="118">
        <v>2677</v>
      </c>
      <c r="E22" s="118">
        <v>60834</v>
      </c>
      <c r="F22" s="118">
        <v>64919</v>
      </c>
      <c r="G22" s="118">
        <v>69821</v>
      </c>
      <c r="H22" s="118">
        <v>70849</v>
      </c>
      <c r="I22" s="118">
        <v>65855</v>
      </c>
      <c r="J22" s="118">
        <v>68371</v>
      </c>
      <c r="K22" s="118">
        <v>73575</v>
      </c>
      <c r="L22" s="118">
        <v>73647</v>
      </c>
      <c r="M22" s="118">
        <v>73551</v>
      </c>
      <c r="N22" s="118">
        <v>85542</v>
      </c>
      <c r="O22" s="118">
        <v>90186</v>
      </c>
      <c r="P22" s="118">
        <v>84543</v>
      </c>
      <c r="Q22" s="118">
        <v>87752</v>
      </c>
    </row>
    <row r="23" spans="1:17" x14ac:dyDescent="0.2">
      <c r="A23" s="110" t="s">
        <v>335</v>
      </c>
      <c r="B23" s="118">
        <v>313</v>
      </c>
      <c r="C23" s="118">
        <v>5313</v>
      </c>
      <c r="D23" s="118">
        <v>32313</v>
      </c>
      <c r="E23" s="118">
        <v>313</v>
      </c>
      <c r="F23" s="118">
        <v>313</v>
      </c>
      <c r="G23" s="118">
        <v>313</v>
      </c>
      <c r="H23" s="118">
        <v>313</v>
      </c>
      <c r="I23" s="118">
        <v>313</v>
      </c>
      <c r="J23" s="118">
        <v>0</v>
      </c>
      <c r="K23" s="118">
        <v>0</v>
      </c>
      <c r="L23" s="118">
        <v>2007</v>
      </c>
      <c r="M23" s="118">
        <v>8016</v>
      </c>
      <c r="N23" s="118">
        <v>11166</v>
      </c>
      <c r="O23" s="118">
        <v>13162</v>
      </c>
      <c r="P23" s="118">
        <v>14518</v>
      </c>
      <c r="Q23" s="118">
        <v>17030</v>
      </c>
    </row>
    <row r="24" spans="1:17" x14ac:dyDescent="0.2">
      <c r="A24" s="110" t="s">
        <v>336</v>
      </c>
      <c r="B24" s="118" t="s">
        <v>313</v>
      </c>
      <c r="C24" s="118" t="s">
        <v>313</v>
      </c>
      <c r="D24" s="118" t="s">
        <v>313</v>
      </c>
      <c r="E24" s="118" t="s">
        <v>313</v>
      </c>
      <c r="F24" s="118" t="s">
        <v>313</v>
      </c>
      <c r="G24" s="118" t="s">
        <v>313</v>
      </c>
      <c r="H24" s="118" t="s">
        <v>313</v>
      </c>
      <c r="I24" s="118" t="s">
        <v>313</v>
      </c>
      <c r="J24" s="118" t="s">
        <v>313</v>
      </c>
      <c r="K24" s="118" t="s">
        <v>313</v>
      </c>
      <c r="L24" s="118" t="s">
        <v>313</v>
      </c>
      <c r="M24" s="118" t="s">
        <v>313</v>
      </c>
      <c r="N24" s="118" t="s">
        <v>313</v>
      </c>
      <c r="O24" s="118" t="s">
        <v>313</v>
      </c>
      <c r="P24" s="118" t="s">
        <v>313</v>
      </c>
      <c r="Q24" s="118" t="s">
        <v>313</v>
      </c>
    </row>
    <row r="25" spans="1:17" x14ac:dyDescent="0.2">
      <c r="A25" s="110" t="s">
        <v>337</v>
      </c>
      <c r="B25" s="118" t="s">
        <v>313</v>
      </c>
      <c r="C25" s="118" t="s">
        <v>313</v>
      </c>
      <c r="D25" s="118" t="s">
        <v>313</v>
      </c>
      <c r="E25" s="118">
        <v>-1157</v>
      </c>
      <c r="F25" s="118">
        <v>2870</v>
      </c>
      <c r="G25" s="118">
        <v>6758</v>
      </c>
      <c r="H25" s="118">
        <v>56404</v>
      </c>
      <c r="I25" s="118">
        <v>54063</v>
      </c>
      <c r="J25" s="118">
        <v>50155</v>
      </c>
      <c r="K25" s="118">
        <v>48952</v>
      </c>
      <c r="L25" s="118">
        <v>49165</v>
      </c>
      <c r="M25" s="118">
        <v>50527</v>
      </c>
      <c r="N25" s="118">
        <v>52011</v>
      </c>
      <c r="O25" s="118">
        <v>54959</v>
      </c>
      <c r="P25" s="118">
        <v>54987</v>
      </c>
      <c r="Q25" s="118">
        <v>50991</v>
      </c>
    </row>
    <row r="26" spans="1:17" x14ac:dyDescent="0.2">
      <c r="A26" s="109" t="s">
        <v>338</v>
      </c>
      <c r="B26" s="126" t="s">
        <v>313</v>
      </c>
      <c r="C26" s="126" t="s">
        <v>313</v>
      </c>
      <c r="D26" s="126">
        <v>620485.20299999998</v>
      </c>
      <c r="E26" s="126">
        <v>775036.82</v>
      </c>
      <c r="F26" s="126">
        <v>790051.50399999996</v>
      </c>
      <c r="G26" s="126">
        <v>697768.86499999999</v>
      </c>
      <c r="H26" s="126">
        <v>736425.65300000005</v>
      </c>
      <c r="I26" s="126">
        <v>786242.78200000001</v>
      </c>
      <c r="J26" s="126">
        <v>900174.68500000006</v>
      </c>
      <c r="K26" s="126">
        <v>892752.21200000006</v>
      </c>
      <c r="L26" s="126">
        <v>770918.272</v>
      </c>
      <c r="M26" s="126">
        <v>916625.00399999996</v>
      </c>
      <c r="N26" s="126">
        <v>791633.549</v>
      </c>
      <c r="O26" s="126">
        <v>918362.10100000002</v>
      </c>
      <c r="P26" s="126">
        <v>1041009.811</v>
      </c>
      <c r="Q26" s="126">
        <v>1558946.274</v>
      </c>
    </row>
    <row r="27" spans="1:17" x14ac:dyDescent="0.2">
      <c r="A27" s="110"/>
      <c r="B27" s="110"/>
      <c r="C27" s="110"/>
      <c r="D27" s="110"/>
      <c r="E27" s="110"/>
      <c r="F27" s="110"/>
      <c r="G27" s="110"/>
      <c r="H27" s="110"/>
      <c r="I27" s="110"/>
      <c r="J27" s="110"/>
      <c r="K27" s="110"/>
      <c r="L27" s="110"/>
      <c r="M27" s="110"/>
      <c r="N27" s="110"/>
      <c r="O27" s="110"/>
      <c r="P27" s="110"/>
      <c r="Q27" s="110"/>
    </row>
    <row r="28" spans="1:17" x14ac:dyDescent="0.2">
      <c r="A28" s="110" t="s">
        <v>586</v>
      </c>
      <c r="B28" s="118" t="s">
        <v>313</v>
      </c>
      <c r="C28" s="118" t="s">
        <v>313</v>
      </c>
      <c r="D28" s="118">
        <v>36250</v>
      </c>
      <c r="E28" s="118">
        <v>36250</v>
      </c>
      <c r="F28" s="118">
        <v>36250</v>
      </c>
      <c r="G28" s="118">
        <v>39405.273000000001</v>
      </c>
      <c r="H28" s="118">
        <v>37443.622000000003</v>
      </c>
      <c r="I28" s="118">
        <v>36896.781999999999</v>
      </c>
      <c r="J28" s="118">
        <v>36937.447999999997</v>
      </c>
      <c r="K28" s="118">
        <v>36675.980000000003</v>
      </c>
      <c r="L28" s="118">
        <v>36723.680999999997</v>
      </c>
      <c r="M28" s="118">
        <v>36636.656000000003</v>
      </c>
      <c r="N28" s="118">
        <v>36735.858</v>
      </c>
      <c r="O28" s="118">
        <v>36730.533000000003</v>
      </c>
      <c r="P28" s="118">
        <v>36779.964</v>
      </c>
      <c r="Q28" s="118">
        <v>36852.824000000001</v>
      </c>
    </row>
    <row r="29" spans="1:17" x14ac:dyDescent="0.2">
      <c r="A29" s="109" t="s">
        <v>587</v>
      </c>
      <c r="B29" s="111" t="s">
        <v>313</v>
      </c>
      <c r="C29" s="111" t="s">
        <v>313</v>
      </c>
      <c r="D29" s="111">
        <v>1776250</v>
      </c>
      <c r="E29" s="111">
        <v>2515387.5</v>
      </c>
      <c r="F29" s="111">
        <v>2560700</v>
      </c>
      <c r="G29" s="111">
        <v>1969869.5959999999</v>
      </c>
      <c r="H29" s="111">
        <v>1339358.3589999999</v>
      </c>
      <c r="I29" s="111">
        <v>1319059.9569999999</v>
      </c>
      <c r="J29" s="111">
        <v>1416181.7560000001</v>
      </c>
      <c r="K29" s="111">
        <v>1350042.8230000001</v>
      </c>
      <c r="L29" s="111">
        <v>1143942.6629999999</v>
      </c>
      <c r="M29" s="111">
        <v>1325147.8470000001</v>
      </c>
      <c r="N29" s="111">
        <v>1151669.148</v>
      </c>
      <c r="O29" s="111">
        <v>1318626.1340000001</v>
      </c>
      <c r="P29" s="111">
        <v>1434418.5959999999</v>
      </c>
      <c r="Q29" s="111">
        <v>2104296.25</v>
      </c>
    </row>
    <row r="30" spans="1:17" x14ac:dyDescent="0.2">
      <c r="A30" s="110" t="s">
        <v>341</v>
      </c>
      <c r="B30" s="118">
        <v>37387</v>
      </c>
      <c r="C30" s="118">
        <v>35837</v>
      </c>
      <c r="D30" s="118">
        <v>12600</v>
      </c>
      <c r="E30" s="118">
        <v>110188</v>
      </c>
      <c r="F30" s="118">
        <v>112484</v>
      </c>
      <c r="G30" s="118">
        <v>131369</v>
      </c>
      <c r="H30" s="118">
        <v>100615</v>
      </c>
      <c r="I30" s="118">
        <v>113355</v>
      </c>
      <c r="J30" s="118">
        <v>128474</v>
      </c>
      <c r="K30" s="118">
        <v>142470</v>
      </c>
      <c r="L30" s="118">
        <v>152188</v>
      </c>
      <c r="M30" s="118">
        <v>160944</v>
      </c>
      <c r="N30" s="118">
        <v>168987</v>
      </c>
      <c r="O30" s="118">
        <v>176819</v>
      </c>
      <c r="P30" s="118">
        <v>169492</v>
      </c>
      <c r="Q30" s="118">
        <v>182142</v>
      </c>
    </row>
    <row r="31" spans="1:17" x14ac:dyDescent="0.2">
      <c r="A31" s="110" t="s">
        <v>336</v>
      </c>
      <c r="B31" s="118" t="s">
        <v>313</v>
      </c>
      <c r="C31" s="118" t="s">
        <v>313</v>
      </c>
      <c r="D31" s="118" t="s">
        <v>313</v>
      </c>
      <c r="E31" s="118" t="s">
        <v>313</v>
      </c>
      <c r="F31" s="118" t="s">
        <v>313</v>
      </c>
      <c r="G31" s="118" t="s">
        <v>313</v>
      </c>
      <c r="H31" s="118" t="s">
        <v>313</v>
      </c>
      <c r="I31" s="118" t="s">
        <v>313</v>
      </c>
      <c r="J31" s="118" t="s">
        <v>313</v>
      </c>
      <c r="K31" s="118" t="s">
        <v>313</v>
      </c>
      <c r="L31" s="118" t="s">
        <v>313</v>
      </c>
      <c r="M31" s="118" t="s">
        <v>313</v>
      </c>
      <c r="N31" s="118" t="s">
        <v>313</v>
      </c>
      <c r="O31" s="118" t="s">
        <v>313</v>
      </c>
      <c r="P31" s="118" t="s">
        <v>313</v>
      </c>
      <c r="Q31" s="118" t="s">
        <v>313</v>
      </c>
    </row>
    <row r="32" spans="1:17" x14ac:dyDescent="0.2">
      <c r="A32" s="110" t="s">
        <v>337</v>
      </c>
      <c r="B32" s="118" t="s">
        <v>313</v>
      </c>
      <c r="C32" s="118" t="s">
        <v>313</v>
      </c>
      <c r="D32" s="118" t="s">
        <v>313</v>
      </c>
      <c r="E32" s="118">
        <v>-1157</v>
      </c>
      <c r="F32" s="118">
        <v>2870</v>
      </c>
      <c r="G32" s="118">
        <v>6758</v>
      </c>
      <c r="H32" s="118">
        <v>56404</v>
      </c>
      <c r="I32" s="118">
        <v>54063</v>
      </c>
      <c r="J32" s="118">
        <v>50155</v>
      </c>
      <c r="K32" s="118">
        <v>48952</v>
      </c>
      <c r="L32" s="118">
        <v>49165</v>
      </c>
      <c r="M32" s="118">
        <v>50527</v>
      </c>
      <c r="N32" s="118">
        <v>52011</v>
      </c>
      <c r="O32" s="118">
        <v>54959</v>
      </c>
      <c r="P32" s="118">
        <v>54987</v>
      </c>
      <c r="Q32" s="118">
        <v>50991</v>
      </c>
    </row>
    <row r="33" spans="1:17" x14ac:dyDescent="0.2">
      <c r="A33" s="110" t="s">
        <v>335</v>
      </c>
      <c r="B33" s="118">
        <v>313</v>
      </c>
      <c r="C33" s="118">
        <v>5313</v>
      </c>
      <c r="D33" s="118">
        <v>32313</v>
      </c>
      <c r="E33" s="118">
        <v>313</v>
      </c>
      <c r="F33" s="118">
        <v>313</v>
      </c>
      <c r="G33" s="118">
        <v>313</v>
      </c>
      <c r="H33" s="118">
        <v>313</v>
      </c>
      <c r="I33" s="118">
        <v>313</v>
      </c>
      <c r="J33" s="118">
        <v>0</v>
      </c>
      <c r="K33" s="118">
        <v>0</v>
      </c>
      <c r="L33" s="118">
        <v>2007</v>
      </c>
      <c r="M33" s="118">
        <v>8016</v>
      </c>
      <c r="N33" s="118">
        <v>11166</v>
      </c>
      <c r="O33" s="118">
        <v>13162</v>
      </c>
      <c r="P33" s="118">
        <v>14518</v>
      </c>
      <c r="Q33" s="118">
        <v>17030</v>
      </c>
    </row>
    <row r="34" spans="1:17" x14ac:dyDescent="0.2">
      <c r="A34" s="109" t="s">
        <v>342</v>
      </c>
      <c r="B34" s="126">
        <v>37700</v>
      </c>
      <c r="C34" s="126">
        <v>41150</v>
      </c>
      <c r="D34" s="126">
        <v>44913</v>
      </c>
      <c r="E34" s="126">
        <v>109344</v>
      </c>
      <c r="F34" s="126">
        <v>115667</v>
      </c>
      <c r="G34" s="126">
        <v>138440</v>
      </c>
      <c r="H34" s="126">
        <v>157332</v>
      </c>
      <c r="I34" s="126">
        <v>167731</v>
      </c>
      <c r="J34" s="126">
        <v>178629</v>
      </c>
      <c r="K34" s="126">
        <v>191422</v>
      </c>
      <c r="L34" s="126">
        <v>203360</v>
      </c>
      <c r="M34" s="126">
        <v>219487</v>
      </c>
      <c r="N34" s="126">
        <v>232164</v>
      </c>
      <c r="O34" s="126">
        <v>244940</v>
      </c>
      <c r="P34" s="126">
        <v>238997</v>
      </c>
      <c r="Q34" s="126">
        <v>250163</v>
      </c>
    </row>
    <row r="35" spans="1:17" x14ac:dyDescent="0.2">
      <c r="A35" s="110"/>
      <c r="B35" s="110"/>
      <c r="C35" s="110"/>
      <c r="D35" s="110"/>
      <c r="E35" s="110"/>
      <c r="F35" s="110"/>
      <c r="G35" s="110"/>
      <c r="H35" s="110"/>
      <c r="I35" s="110"/>
      <c r="J35" s="110"/>
      <c r="K35" s="110"/>
      <c r="L35" s="110"/>
      <c r="M35" s="110"/>
      <c r="N35" s="110"/>
      <c r="O35" s="110"/>
      <c r="P35" s="110"/>
      <c r="Q35" s="110"/>
    </row>
    <row r="36" spans="1:17" x14ac:dyDescent="0.2">
      <c r="A36" s="119"/>
      <c r="B36" s="119"/>
      <c r="C36" s="119"/>
      <c r="D36" s="119"/>
      <c r="E36" s="119"/>
      <c r="F36" s="119"/>
      <c r="G36" s="119"/>
      <c r="H36" s="119"/>
      <c r="I36" s="119"/>
      <c r="J36" s="119"/>
      <c r="K36" s="119"/>
      <c r="L36" s="119"/>
      <c r="M36" s="119"/>
      <c r="N36" s="119"/>
      <c r="O36" s="119"/>
      <c r="P36" s="119"/>
      <c r="Q36" s="119"/>
    </row>
    <row r="37" spans="1:17" ht="112.2" x14ac:dyDescent="0.2">
      <c r="A37" s="146" t="s">
        <v>588</v>
      </c>
    </row>
    <row r="38" spans="1:17" ht="81.599999999999994" x14ac:dyDescent="0.2">
      <c r="A38" s="146" t="s">
        <v>589</v>
      </c>
    </row>
    <row r="39" spans="1:17" ht="30.6" x14ac:dyDescent="0.2">
      <c r="A39" s="146" t="s">
        <v>590</v>
      </c>
    </row>
    <row r="41" spans="1:17" ht="25.05" customHeight="1" x14ac:dyDescent="0.2">
      <c r="A41" s="145"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399FF"/>
    <outlinePr summaryBelow="0" summaryRight="0"/>
    <pageSetUpPr autoPageBreaks="0"/>
  </sheetPr>
  <dimension ref="A5:IU98"/>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71" width="13" style="98" customWidth="1"/>
    <col min="272" max="512" width="9" style="98"/>
    <col min="513" max="513" width="40.09765625" style="98" customWidth="1"/>
    <col min="514" max="527" width="13" style="98" customWidth="1"/>
    <col min="528" max="768" width="9" style="98"/>
    <col min="769" max="769" width="40.09765625" style="98" customWidth="1"/>
    <col min="770" max="783" width="13" style="98" customWidth="1"/>
    <col min="784" max="1024" width="9" style="98"/>
    <col min="1025" max="1025" width="40.09765625" style="98" customWidth="1"/>
    <col min="1026" max="1039" width="13" style="98" customWidth="1"/>
    <col min="1040" max="1280" width="9" style="98"/>
    <col min="1281" max="1281" width="40.09765625" style="98" customWidth="1"/>
    <col min="1282" max="1295" width="13" style="98" customWidth="1"/>
    <col min="1296" max="1536" width="9" style="98"/>
    <col min="1537" max="1537" width="40.09765625" style="98" customWidth="1"/>
    <col min="1538" max="1551" width="13" style="98" customWidth="1"/>
    <col min="1552" max="1792" width="9" style="98"/>
    <col min="1793" max="1793" width="40.09765625" style="98" customWidth="1"/>
    <col min="1794" max="1807" width="13" style="98" customWidth="1"/>
    <col min="1808" max="2048" width="9" style="98"/>
    <col min="2049" max="2049" width="40.09765625" style="98" customWidth="1"/>
    <col min="2050" max="2063" width="13" style="98" customWidth="1"/>
    <col min="2064" max="2304" width="9" style="98"/>
    <col min="2305" max="2305" width="40.09765625" style="98" customWidth="1"/>
    <col min="2306" max="2319" width="13" style="98" customWidth="1"/>
    <col min="2320" max="2560" width="9" style="98"/>
    <col min="2561" max="2561" width="40.09765625" style="98" customWidth="1"/>
    <col min="2562" max="2575" width="13" style="98" customWidth="1"/>
    <col min="2576" max="2816" width="9" style="98"/>
    <col min="2817" max="2817" width="40.09765625" style="98" customWidth="1"/>
    <col min="2818" max="2831" width="13" style="98" customWidth="1"/>
    <col min="2832" max="3072" width="9" style="98"/>
    <col min="3073" max="3073" width="40.09765625" style="98" customWidth="1"/>
    <col min="3074" max="3087" width="13" style="98" customWidth="1"/>
    <col min="3088" max="3328" width="9" style="98"/>
    <col min="3329" max="3329" width="40.09765625" style="98" customWidth="1"/>
    <col min="3330" max="3343" width="13" style="98" customWidth="1"/>
    <col min="3344" max="3584" width="9" style="98"/>
    <col min="3585" max="3585" width="40.09765625" style="98" customWidth="1"/>
    <col min="3586" max="3599" width="13" style="98" customWidth="1"/>
    <col min="3600" max="3840" width="9" style="98"/>
    <col min="3841" max="3841" width="40.09765625" style="98" customWidth="1"/>
    <col min="3842" max="3855" width="13" style="98" customWidth="1"/>
    <col min="3856" max="4096" width="9" style="98"/>
    <col min="4097" max="4097" width="40.09765625" style="98" customWidth="1"/>
    <col min="4098" max="4111" width="13" style="98" customWidth="1"/>
    <col min="4112" max="4352" width="9" style="98"/>
    <col min="4353" max="4353" width="40.09765625" style="98" customWidth="1"/>
    <col min="4354" max="4367" width="13" style="98" customWidth="1"/>
    <col min="4368" max="4608" width="9" style="98"/>
    <col min="4609" max="4609" width="40.09765625" style="98" customWidth="1"/>
    <col min="4610" max="4623" width="13" style="98" customWidth="1"/>
    <col min="4624" max="4864" width="9" style="98"/>
    <col min="4865" max="4865" width="40.09765625" style="98" customWidth="1"/>
    <col min="4866" max="4879" width="13" style="98" customWidth="1"/>
    <col min="4880" max="5120" width="9" style="98"/>
    <col min="5121" max="5121" width="40.09765625" style="98" customWidth="1"/>
    <col min="5122" max="5135" width="13" style="98" customWidth="1"/>
    <col min="5136" max="5376" width="9" style="98"/>
    <col min="5377" max="5377" width="40.09765625" style="98" customWidth="1"/>
    <col min="5378" max="5391" width="13" style="98" customWidth="1"/>
    <col min="5392" max="5632" width="9" style="98"/>
    <col min="5633" max="5633" width="40.09765625" style="98" customWidth="1"/>
    <col min="5634" max="5647" width="13" style="98" customWidth="1"/>
    <col min="5648" max="5888" width="9" style="98"/>
    <col min="5889" max="5889" width="40.09765625" style="98" customWidth="1"/>
    <col min="5890" max="5903" width="13" style="98" customWidth="1"/>
    <col min="5904" max="6144" width="9" style="98"/>
    <col min="6145" max="6145" width="40.09765625" style="98" customWidth="1"/>
    <col min="6146" max="6159" width="13" style="98" customWidth="1"/>
    <col min="6160" max="6400" width="9" style="98"/>
    <col min="6401" max="6401" width="40.09765625" style="98" customWidth="1"/>
    <col min="6402" max="6415" width="13" style="98" customWidth="1"/>
    <col min="6416" max="6656" width="9" style="98"/>
    <col min="6657" max="6657" width="40.09765625" style="98" customWidth="1"/>
    <col min="6658" max="6671" width="13" style="98" customWidth="1"/>
    <col min="6672" max="6912" width="9" style="98"/>
    <col min="6913" max="6913" width="40.09765625" style="98" customWidth="1"/>
    <col min="6914" max="6927" width="13" style="98" customWidth="1"/>
    <col min="6928" max="7168" width="9" style="98"/>
    <col min="7169" max="7169" width="40.09765625" style="98" customWidth="1"/>
    <col min="7170" max="7183" width="13" style="98" customWidth="1"/>
    <col min="7184" max="7424" width="9" style="98"/>
    <col min="7425" max="7425" width="40.09765625" style="98" customWidth="1"/>
    <col min="7426" max="7439" width="13" style="98" customWidth="1"/>
    <col min="7440" max="7680" width="9" style="98"/>
    <col min="7681" max="7681" width="40.09765625" style="98" customWidth="1"/>
    <col min="7682" max="7695" width="13" style="98" customWidth="1"/>
    <col min="7696" max="7936" width="9" style="98"/>
    <col min="7937" max="7937" width="40.09765625" style="98" customWidth="1"/>
    <col min="7938" max="7951" width="13" style="98" customWidth="1"/>
    <col min="7952" max="8192" width="9" style="98"/>
    <col min="8193" max="8193" width="40.09765625" style="98" customWidth="1"/>
    <col min="8194" max="8207" width="13" style="98" customWidth="1"/>
    <col min="8208" max="8448" width="9" style="98"/>
    <col min="8449" max="8449" width="40.09765625" style="98" customWidth="1"/>
    <col min="8450" max="8463" width="13" style="98" customWidth="1"/>
    <col min="8464" max="8704" width="9" style="98"/>
    <col min="8705" max="8705" width="40.09765625" style="98" customWidth="1"/>
    <col min="8706" max="8719" width="13" style="98" customWidth="1"/>
    <col min="8720" max="8960" width="9" style="98"/>
    <col min="8961" max="8961" width="40.09765625" style="98" customWidth="1"/>
    <col min="8962" max="8975" width="13" style="98" customWidth="1"/>
    <col min="8976" max="9216" width="9" style="98"/>
    <col min="9217" max="9217" width="40.09765625" style="98" customWidth="1"/>
    <col min="9218" max="9231" width="13" style="98" customWidth="1"/>
    <col min="9232" max="9472" width="9" style="98"/>
    <col min="9473" max="9473" width="40.09765625" style="98" customWidth="1"/>
    <col min="9474" max="9487" width="13" style="98" customWidth="1"/>
    <col min="9488" max="9728" width="9" style="98"/>
    <col min="9729" max="9729" width="40.09765625" style="98" customWidth="1"/>
    <col min="9730" max="9743" width="13" style="98" customWidth="1"/>
    <col min="9744" max="9984" width="9" style="98"/>
    <col min="9985" max="9985" width="40.09765625" style="98" customWidth="1"/>
    <col min="9986" max="9999" width="13" style="98" customWidth="1"/>
    <col min="10000" max="10240" width="9" style="98"/>
    <col min="10241" max="10241" width="40.09765625" style="98" customWidth="1"/>
    <col min="10242" max="10255" width="13" style="98" customWidth="1"/>
    <col min="10256" max="10496" width="9" style="98"/>
    <col min="10497" max="10497" width="40.09765625" style="98" customWidth="1"/>
    <col min="10498" max="10511" width="13" style="98" customWidth="1"/>
    <col min="10512" max="10752" width="9" style="98"/>
    <col min="10753" max="10753" width="40.09765625" style="98" customWidth="1"/>
    <col min="10754" max="10767" width="13" style="98" customWidth="1"/>
    <col min="10768" max="11008" width="9" style="98"/>
    <col min="11009" max="11009" width="40.09765625" style="98" customWidth="1"/>
    <col min="11010" max="11023" width="13" style="98" customWidth="1"/>
    <col min="11024" max="11264" width="9" style="98"/>
    <col min="11265" max="11265" width="40.09765625" style="98" customWidth="1"/>
    <col min="11266" max="11279" width="13" style="98" customWidth="1"/>
    <col min="11280" max="11520" width="9" style="98"/>
    <col min="11521" max="11521" width="40.09765625" style="98" customWidth="1"/>
    <col min="11522" max="11535" width="13" style="98" customWidth="1"/>
    <col min="11536" max="11776" width="9" style="98"/>
    <col min="11777" max="11777" width="40.09765625" style="98" customWidth="1"/>
    <col min="11778" max="11791" width="13" style="98" customWidth="1"/>
    <col min="11792" max="12032" width="9" style="98"/>
    <col min="12033" max="12033" width="40.09765625" style="98" customWidth="1"/>
    <col min="12034" max="12047" width="13" style="98" customWidth="1"/>
    <col min="12048" max="12288" width="9" style="98"/>
    <col min="12289" max="12289" width="40.09765625" style="98" customWidth="1"/>
    <col min="12290" max="12303" width="13" style="98" customWidth="1"/>
    <col min="12304" max="12544" width="9" style="98"/>
    <col min="12545" max="12545" width="40.09765625" style="98" customWidth="1"/>
    <col min="12546" max="12559" width="13" style="98" customWidth="1"/>
    <col min="12560" max="12800" width="9" style="98"/>
    <col min="12801" max="12801" width="40.09765625" style="98" customWidth="1"/>
    <col min="12802" max="12815" width="13" style="98" customWidth="1"/>
    <col min="12816" max="13056" width="9" style="98"/>
    <col min="13057" max="13057" width="40.09765625" style="98" customWidth="1"/>
    <col min="13058" max="13071" width="13" style="98" customWidth="1"/>
    <col min="13072" max="13312" width="9" style="98"/>
    <col min="13313" max="13313" width="40.09765625" style="98" customWidth="1"/>
    <col min="13314" max="13327" width="13" style="98" customWidth="1"/>
    <col min="13328" max="13568" width="9" style="98"/>
    <col min="13569" max="13569" width="40.09765625" style="98" customWidth="1"/>
    <col min="13570" max="13583" width="13" style="98" customWidth="1"/>
    <col min="13584" max="13824" width="9" style="98"/>
    <col min="13825" max="13825" width="40.09765625" style="98" customWidth="1"/>
    <col min="13826" max="13839" width="13" style="98" customWidth="1"/>
    <col min="13840" max="14080" width="9" style="98"/>
    <col min="14081" max="14081" width="40.09765625" style="98" customWidth="1"/>
    <col min="14082" max="14095" width="13" style="98" customWidth="1"/>
    <col min="14096" max="14336" width="9" style="98"/>
    <col min="14337" max="14337" width="40.09765625" style="98" customWidth="1"/>
    <col min="14338" max="14351" width="13" style="98" customWidth="1"/>
    <col min="14352" max="14592" width="9" style="98"/>
    <col min="14593" max="14593" width="40.09765625" style="98" customWidth="1"/>
    <col min="14594" max="14607" width="13" style="98" customWidth="1"/>
    <col min="14608" max="14848" width="9" style="98"/>
    <col min="14849" max="14849" width="40.09765625" style="98" customWidth="1"/>
    <col min="14850" max="14863" width="13" style="98" customWidth="1"/>
    <col min="14864" max="15104" width="9" style="98"/>
    <col min="15105" max="15105" width="40.09765625" style="98" customWidth="1"/>
    <col min="15106" max="15119" width="13" style="98" customWidth="1"/>
    <col min="15120" max="15360" width="9" style="98"/>
    <col min="15361" max="15361" width="40.09765625" style="98" customWidth="1"/>
    <col min="15362" max="15375" width="13" style="98" customWidth="1"/>
    <col min="15376" max="15616" width="9" style="98"/>
    <col min="15617" max="15617" width="40.09765625" style="98" customWidth="1"/>
    <col min="15618" max="15631" width="13" style="98" customWidth="1"/>
    <col min="15632" max="15872" width="9" style="98"/>
    <col min="15873" max="15873" width="40.09765625" style="98" customWidth="1"/>
    <col min="15874" max="15887" width="13" style="98" customWidth="1"/>
    <col min="15888" max="16128" width="9" style="98"/>
    <col min="16129" max="16129" width="40.09765625" style="98" customWidth="1"/>
    <col min="16130" max="16143" width="13" style="98" customWidth="1"/>
    <col min="16144" max="16384" width="9" style="98"/>
  </cols>
  <sheetData>
    <row r="5" spans="1:255" ht="16.2" x14ac:dyDescent="0.25">
      <c r="A5" s="97" t="s">
        <v>591</v>
      </c>
    </row>
    <row r="7" spans="1:255" ht="20.399999999999999" x14ac:dyDescent="0.2">
      <c r="A7" s="99" t="s">
        <v>592</v>
      </c>
      <c r="B7" s="100" t="s">
        <v>366</v>
      </c>
      <c r="C7" s="98" t="s">
        <v>367</v>
      </c>
      <c r="D7" s="101" t="s">
        <v>287</v>
      </c>
      <c r="E7" s="100" t="s">
        <v>368</v>
      </c>
      <c r="F7" s="98" t="s">
        <v>369</v>
      </c>
    </row>
    <row r="8" spans="1:255" x14ac:dyDescent="0.2">
      <c r="A8" s="101"/>
      <c r="B8" s="100" t="s">
        <v>285</v>
      </c>
      <c r="C8" s="98" t="s">
        <v>370</v>
      </c>
      <c r="D8" s="101" t="s">
        <v>287</v>
      </c>
      <c r="E8" s="100" t="s">
        <v>288</v>
      </c>
      <c r="F8" s="98" t="s">
        <v>289</v>
      </c>
    </row>
    <row r="9" spans="1:255" x14ac:dyDescent="0.2">
      <c r="A9" s="101"/>
      <c r="B9" s="100" t="s">
        <v>292</v>
      </c>
      <c r="C9" s="98" t="s">
        <v>293</v>
      </c>
      <c r="D9" s="101" t="s">
        <v>287</v>
      </c>
      <c r="E9" s="100" t="s">
        <v>294</v>
      </c>
      <c r="F9" s="102" t="s">
        <v>295</v>
      </c>
    </row>
    <row r="10" spans="1:255" x14ac:dyDescent="0.2">
      <c r="A10" s="101"/>
      <c r="B10" s="100" t="s">
        <v>290</v>
      </c>
      <c r="C10" s="98" t="s">
        <v>291</v>
      </c>
      <c r="D10" s="101" t="s">
        <v>287</v>
      </c>
      <c r="E10" s="125"/>
      <c r="F10" s="125"/>
    </row>
    <row r="13" spans="1:255" x14ac:dyDescent="0.2">
      <c r="A13" s="103" t="s">
        <v>593</v>
      </c>
      <c r="B13" s="103"/>
      <c r="C13" s="103"/>
      <c r="D13" s="103"/>
      <c r="E13" s="103"/>
      <c r="F13" s="103"/>
      <c r="G13" s="103"/>
      <c r="H13" s="103"/>
      <c r="I13" s="103"/>
      <c r="J13" s="103"/>
      <c r="K13" s="103"/>
      <c r="L13" s="103"/>
      <c r="M13" s="103"/>
      <c r="N13" s="316"/>
      <c r="O13" s="316"/>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4"/>
      <c r="DA13" s="104"/>
      <c r="DB13" s="104"/>
      <c r="DC13" s="104"/>
      <c r="DD13" s="104"/>
      <c r="DE13" s="104"/>
      <c r="DF13" s="104"/>
      <c r="DG13" s="104"/>
      <c r="DH13" s="104"/>
      <c r="DI13" s="104"/>
      <c r="DJ13" s="104"/>
      <c r="DK13" s="104"/>
      <c r="DL13" s="104"/>
      <c r="DM13" s="104"/>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104"/>
      <c r="GQ13" s="104"/>
      <c r="GR13" s="104"/>
      <c r="GS13" s="104"/>
      <c r="GT13" s="104"/>
      <c r="GU13" s="104"/>
      <c r="GV13" s="104"/>
      <c r="GW13" s="104"/>
      <c r="GX13" s="104"/>
      <c r="GY13" s="104"/>
      <c r="GZ13" s="104"/>
      <c r="HA13" s="104"/>
      <c r="HB13" s="104"/>
      <c r="HC13" s="104"/>
      <c r="HD13" s="104"/>
      <c r="HE13" s="104"/>
      <c r="HF13" s="104"/>
      <c r="HG13" s="104"/>
      <c r="HH13" s="104"/>
      <c r="HI13" s="104"/>
      <c r="HJ13" s="104"/>
      <c r="HK13" s="104"/>
      <c r="HL13" s="104"/>
      <c r="HM13" s="104"/>
      <c r="HN13" s="104"/>
      <c r="HO13" s="104"/>
      <c r="HP13" s="104"/>
      <c r="HQ13" s="104"/>
      <c r="HR13" s="104"/>
      <c r="HS13" s="104"/>
      <c r="HT13" s="104"/>
      <c r="HU13" s="104"/>
      <c r="HV13" s="104"/>
      <c r="HW13" s="104"/>
      <c r="HX13" s="104"/>
      <c r="HY13" s="104"/>
      <c r="HZ13" s="104"/>
      <c r="IA13" s="104"/>
      <c r="IB13" s="104"/>
      <c r="IC13" s="104"/>
      <c r="ID13" s="104"/>
      <c r="IE13" s="104"/>
      <c r="IF13" s="104"/>
      <c r="IG13" s="104"/>
      <c r="IH13" s="104"/>
      <c r="II13" s="104"/>
      <c r="IJ13" s="104"/>
      <c r="IK13" s="104"/>
      <c r="IL13" s="104"/>
      <c r="IM13" s="104"/>
      <c r="IN13" s="104"/>
      <c r="IO13" s="104"/>
      <c r="IP13" s="104"/>
      <c r="IQ13" s="104"/>
      <c r="IR13" s="104"/>
      <c r="IS13" s="104"/>
      <c r="IT13" s="104"/>
      <c r="IU13" s="104"/>
    </row>
    <row r="14" spans="1:255" ht="20.399999999999999" x14ac:dyDescent="0.2">
      <c r="A14" s="304" t="s">
        <v>594</v>
      </c>
      <c r="B14" s="664" t="s">
        <v>595</v>
      </c>
      <c r="C14" s="665"/>
      <c r="D14" s="664" t="s">
        <v>596</v>
      </c>
      <c r="E14" s="665"/>
      <c r="F14" s="664" t="s">
        <v>597</v>
      </c>
      <c r="G14" s="665"/>
      <c r="H14" s="664" t="s">
        <v>598</v>
      </c>
      <c r="I14" s="666"/>
      <c r="J14" s="667" t="s">
        <v>599</v>
      </c>
      <c r="K14" s="666"/>
      <c r="L14" s="667" t="s">
        <v>600</v>
      </c>
      <c r="M14" s="666"/>
      <c r="N14" s="662" t="s">
        <v>601</v>
      </c>
      <c r="O14" s="663"/>
    </row>
    <row r="15" spans="1:255" x14ac:dyDescent="0.2">
      <c r="A15" s="306" t="s">
        <v>602</v>
      </c>
      <c r="B15" s="307" t="s">
        <v>603</v>
      </c>
      <c r="C15" s="307"/>
      <c r="D15" s="307" t="s">
        <v>603</v>
      </c>
      <c r="E15" s="307"/>
      <c r="F15" s="307" t="s">
        <v>603</v>
      </c>
      <c r="G15" s="307"/>
      <c r="H15" s="307" t="s">
        <v>603</v>
      </c>
      <c r="I15" s="314"/>
      <c r="J15" s="314" t="s">
        <v>603</v>
      </c>
      <c r="K15" s="314"/>
      <c r="L15" s="314" t="s">
        <v>603</v>
      </c>
      <c r="M15" s="314"/>
      <c r="N15" s="317" t="s">
        <v>603</v>
      </c>
      <c r="O15" s="317"/>
    </row>
    <row r="16" spans="1:255" x14ac:dyDescent="0.2">
      <c r="A16" s="304" t="s">
        <v>604</v>
      </c>
      <c r="B16" s="305" t="s">
        <v>605</v>
      </c>
      <c r="C16" s="305" t="s">
        <v>606</v>
      </c>
      <c r="D16" s="305" t="s">
        <v>605</v>
      </c>
      <c r="E16" s="305" t="s">
        <v>606</v>
      </c>
      <c r="F16" s="305" t="s">
        <v>605</v>
      </c>
      <c r="G16" s="305" t="s">
        <v>606</v>
      </c>
      <c r="H16" s="305" t="s">
        <v>605</v>
      </c>
      <c r="I16" s="315" t="s">
        <v>606</v>
      </c>
      <c r="J16" s="315" t="s">
        <v>605</v>
      </c>
      <c r="K16" s="315" t="s">
        <v>606</v>
      </c>
      <c r="L16" s="315" t="s">
        <v>605</v>
      </c>
      <c r="M16" s="315" t="s">
        <v>606</v>
      </c>
      <c r="N16" s="318" t="s">
        <v>605</v>
      </c>
      <c r="O16" s="318" t="s">
        <v>606</v>
      </c>
    </row>
    <row r="17" spans="1:255" x14ac:dyDescent="0.2">
      <c r="A17" s="109" t="s">
        <v>320</v>
      </c>
      <c r="B17" s="110"/>
      <c r="C17" s="147"/>
      <c r="D17" s="110"/>
      <c r="E17" s="147"/>
      <c r="F17" s="110"/>
      <c r="G17" s="147"/>
      <c r="H17" s="110"/>
      <c r="J17" s="144"/>
      <c r="L17" s="144"/>
      <c r="N17" s="144"/>
    </row>
    <row r="18" spans="1:255" x14ac:dyDescent="0.2">
      <c r="A18" s="110" t="s">
        <v>502</v>
      </c>
      <c r="B18" s="118">
        <v>0</v>
      </c>
      <c r="C18" s="115">
        <v>0</v>
      </c>
      <c r="D18" s="118">
        <v>313</v>
      </c>
      <c r="E18" s="115">
        <v>8.3023872680000003E-3</v>
      </c>
      <c r="F18" s="118">
        <v>32313</v>
      </c>
      <c r="G18" s="115">
        <v>0.71945761806200004</v>
      </c>
      <c r="H18" s="118">
        <v>313</v>
      </c>
      <c r="I18" s="148">
        <v>1.9894236390000002E-3</v>
      </c>
      <c r="J18" s="149">
        <v>2007</v>
      </c>
      <c r="K18" s="148">
        <v>9.8691974820000004E-3</v>
      </c>
      <c r="L18" s="149">
        <v>14518</v>
      </c>
      <c r="M18" s="148">
        <v>6.0745532370999999E-2</v>
      </c>
      <c r="N18" s="149">
        <v>17030</v>
      </c>
      <c r="O18" s="148">
        <v>6.8075614699000003E-2</v>
      </c>
    </row>
    <row r="19" spans="1:255" x14ac:dyDescent="0.2">
      <c r="A19" s="110" t="s">
        <v>607</v>
      </c>
      <c r="B19" s="118">
        <v>31871</v>
      </c>
      <c r="C19" s="115">
        <v>1</v>
      </c>
      <c r="D19" s="118">
        <v>37387</v>
      </c>
      <c r="E19" s="115">
        <v>0.99169761273199997</v>
      </c>
      <c r="F19" s="118">
        <v>12600</v>
      </c>
      <c r="G19" s="115">
        <v>0.28054238193800002</v>
      </c>
      <c r="H19" s="118">
        <v>100615</v>
      </c>
      <c r="I19" s="148">
        <v>0.63950753819899997</v>
      </c>
      <c r="J19" s="149">
        <v>152188</v>
      </c>
      <c r="K19" s="148">
        <v>0.74836742722299998</v>
      </c>
      <c r="L19" s="149">
        <v>169492</v>
      </c>
      <c r="M19" s="148">
        <v>0.70918044996399998</v>
      </c>
      <c r="N19" s="149">
        <v>182142</v>
      </c>
      <c r="O19" s="148">
        <v>0.72809328317900002</v>
      </c>
    </row>
    <row r="20" spans="1:255" x14ac:dyDescent="0.2">
      <c r="A20" s="110" t="s">
        <v>505</v>
      </c>
      <c r="B20" s="118" t="s">
        <v>313</v>
      </c>
      <c r="C20" s="115" t="s">
        <v>313</v>
      </c>
      <c r="D20" s="118" t="s">
        <v>313</v>
      </c>
      <c r="E20" s="115" t="s">
        <v>313</v>
      </c>
      <c r="F20" s="118" t="s">
        <v>313</v>
      </c>
      <c r="G20" s="115" t="s">
        <v>313</v>
      </c>
      <c r="H20" s="118">
        <v>56404</v>
      </c>
      <c r="I20" s="148">
        <v>0.35850303816099999</v>
      </c>
      <c r="J20" s="149">
        <v>49165</v>
      </c>
      <c r="K20" s="148">
        <v>0.241763375295</v>
      </c>
      <c r="L20" s="149">
        <v>54987</v>
      </c>
      <c r="M20" s="148">
        <v>0.23007401766499999</v>
      </c>
      <c r="N20" s="149">
        <v>50991</v>
      </c>
      <c r="O20" s="148">
        <v>0.203831102121</v>
      </c>
    </row>
    <row r="21" spans="1:255" x14ac:dyDescent="0.2">
      <c r="A21" s="109" t="s">
        <v>608</v>
      </c>
      <c r="B21" s="111">
        <v>31871</v>
      </c>
      <c r="C21" s="150">
        <v>1</v>
      </c>
      <c r="D21" s="111">
        <v>37700</v>
      </c>
      <c r="E21" s="150">
        <v>1</v>
      </c>
      <c r="F21" s="111">
        <v>44913</v>
      </c>
      <c r="G21" s="150">
        <v>1</v>
      </c>
      <c r="H21" s="111">
        <v>157332</v>
      </c>
      <c r="I21" s="151">
        <v>1</v>
      </c>
      <c r="J21" s="152">
        <v>203360</v>
      </c>
      <c r="K21" s="151">
        <v>1</v>
      </c>
      <c r="L21" s="152">
        <v>238997</v>
      </c>
      <c r="M21" s="151">
        <v>1</v>
      </c>
      <c r="N21" s="152">
        <v>250163</v>
      </c>
      <c r="O21" s="151">
        <v>1</v>
      </c>
    </row>
    <row r="22" spans="1:255" x14ac:dyDescent="0.2">
      <c r="A22" s="110"/>
      <c r="B22" s="110"/>
      <c r="C22" s="147"/>
      <c r="D22" s="110"/>
      <c r="E22" s="147"/>
      <c r="F22" s="110"/>
      <c r="G22" s="147"/>
      <c r="H22" s="110"/>
      <c r="J22" s="144"/>
      <c r="L22" s="144"/>
      <c r="N22" s="144"/>
    </row>
    <row r="23" spans="1:255" x14ac:dyDescent="0.2">
      <c r="A23" s="119"/>
      <c r="B23" s="119"/>
      <c r="C23" s="119"/>
      <c r="D23" s="119"/>
      <c r="E23" s="119"/>
      <c r="F23" s="119"/>
      <c r="G23" s="119"/>
      <c r="H23" s="119"/>
    </row>
    <row r="25" spans="1:255" x14ac:dyDescent="0.2">
      <c r="A25" s="103" t="s">
        <v>609</v>
      </c>
      <c r="B25" s="103"/>
      <c r="C25" s="103"/>
      <c r="D25" s="103"/>
      <c r="E25" s="103"/>
      <c r="F25" s="103"/>
      <c r="G25" s="103"/>
      <c r="H25" s="103"/>
      <c r="I25" s="103"/>
      <c r="J25" s="103"/>
      <c r="K25" s="103"/>
      <c r="L25" s="103"/>
      <c r="M25" s="103"/>
      <c r="N25" s="316"/>
      <c r="O25" s="316"/>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104"/>
      <c r="CG25" s="104"/>
      <c r="CH25" s="104"/>
      <c r="CI25" s="104"/>
      <c r="CJ25" s="104"/>
      <c r="CK25" s="104"/>
      <c r="CL25" s="104"/>
      <c r="CM25" s="104"/>
      <c r="CN25" s="104"/>
      <c r="CO25" s="104"/>
      <c r="CP25" s="104"/>
      <c r="CQ25" s="104"/>
      <c r="CR25" s="104"/>
      <c r="CS25" s="104"/>
      <c r="CT25" s="104"/>
      <c r="CU25" s="104"/>
      <c r="CV25" s="104"/>
      <c r="CW25" s="104"/>
      <c r="CX25" s="104"/>
      <c r="CY25" s="104"/>
      <c r="CZ25" s="104"/>
      <c r="DA25" s="104"/>
      <c r="DB25" s="104"/>
      <c r="DC25" s="104"/>
      <c r="DD25" s="104"/>
      <c r="DE25" s="104"/>
      <c r="DF25" s="104"/>
      <c r="DG25" s="104"/>
      <c r="DH25" s="104"/>
      <c r="DI25" s="104"/>
      <c r="DJ25" s="104"/>
      <c r="DK25" s="104"/>
      <c r="DL25" s="104"/>
      <c r="DM25" s="104"/>
      <c r="DN25" s="104"/>
      <c r="DO25" s="104"/>
      <c r="DP25" s="104"/>
      <c r="DQ25" s="104"/>
      <c r="DR25" s="104"/>
      <c r="DS25" s="104"/>
      <c r="DT25" s="104"/>
      <c r="DU25" s="104"/>
      <c r="DV25" s="104"/>
      <c r="DW25" s="104"/>
      <c r="DX25" s="104"/>
      <c r="DY25" s="104"/>
      <c r="DZ25" s="104"/>
      <c r="EA25" s="104"/>
      <c r="EB25" s="104"/>
      <c r="EC25" s="104"/>
      <c r="ED25" s="104"/>
      <c r="EE25" s="104"/>
      <c r="EF25" s="104"/>
      <c r="EG25" s="104"/>
      <c r="EH25" s="104"/>
      <c r="EI25" s="104"/>
      <c r="EJ25" s="104"/>
      <c r="EK25" s="104"/>
      <c r="EL25" s="104"/>
      <c r="EM25" s="104"/>
      <c r="EN25" s="104"/>
      <c r="EO25" s="104"/>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4"/>
      <c r="FR25" s="104"/>
      <c r="FS25" s="104"/>
      <c r="FT25" s="104"/>
      <c r="FU25" s="104"/>
      <c r="FV25" s="104"/>
      <c r="FW25" s="104"/>
      <c r="FX25" s="104"/>
      <c r="FY25" s="104"/>
      <c r="FZ25" s="104"/>
      <c r="GA25" s="104"/>
      <c r="GB25" s="104"/>
      <c r="GC25" s="104"/>
      <c r="GD25" s="104"/>
      <c r="GE25" s="104"/>
      <c r="GF25" s="104"/>
      <c r="GG25" s="104"/>
      <c r="GH25" s="104"/>
      <c r="GI25" s="104"/>
      <c r="GJ25" s="104"/>
      <c r="GK25" s="104"/>
      <c r="GL25" s="104"/>
      <c r="GM25" s="104"/>
      <c r="GN25" s="104"/>
      <c r="GO25" s="104"/>
      <c r="GP25" s="104"/>
      <c r="GQ25" s="104"/>
      <c r="GR25" s="104"/>
      <c r="GS25" s="104"/>
      <c r="GT25" s="104"/>
      <c r="GU25" s="104"/>
      <c r="GV25" s="104"/>
      <c r="GW25" s="104"/>
      <c r="GX25" s="104"/>
      <c r="GY25" s="104"/>
      <c r="GZ25" s="104"/>
      <c r="HA25" s="104"/>
      <c r="HB25" s="104"/>
      <c r="HC25" s="104"/>
      <c r="HD25" s="104"/>
      <c r="HE25" s="104"/>
      <c r="HF25" s="104"/>
      <c r="HG25" s="104"/>
      <c r="HH25" s="104"/>
      <c r="HI25" s="104"/>
      <c r="HJ25" s="104"/>
      <c r="HK25" s="104"/>
      <c r="HL25" s="104"/>
      <c r="HM25" s="104"/>
      <c r="HN25" s="104"/>
      <c r="HO25" s="104"/>
      <c r="HP25" s="104"/>
      <c r="HQ25" s="104"/>
      <c r="HR25" s="104"/>
      <c r="HS25" s="104"/>
      <c r="HT25" s="104"/>
      <c r="HU25" s="104"/>
      <c r="HV25" s="104"/>
      <c r="HW25" s="104"/>
      <c r="HX25" s="104"/>
      <c r="HY25" s="104"/>
      <c r="HZ25" s="104"/>
      <c r="IA25" s="104"/>
      <c r="IB25" s="104"/>
      <c r="IC25" s="104"/>
      <c r="ID25" s="104"/>
      <c r="IE25" s="104"/>
      <c r="IF25" s="104"/>
      <c r="IG25" s="104"/>
      <c r="IH25" s="104"/>
      <c r="II25" s="104"/>
      <c r="IJ25" s="104"/>
      <c r="IK25" s="104"/>
      <c r="IL25" s="104"/>
      <c r="IM25" s="104"/>
      <c r="IN25" s="104"/>
      <c r="IO25" s="104"/>
      <c r="IP25" s="104"/>
      <c r="IQ25" s="104"/>
      <c r="IR25" s="104"/>
      <c r="IS25" s="104"/>
      <c r="IT25" s="104"/>
      <c r="IU25" s="104"/>
    </row>
    <row r="26" spans="1:255" ht="20.399999999999999" x14ac:dyDescent="0.2">
      <c r="A26" s="304" t="s">
        <v>594</v>
      </c>
      <c r="B26" s="664" t="s">
        <v>595</v>
      </c>
      <c r="C26" s="665"/>
      <c r="D26" s="664" t="s">
        <v>596</v>
      </c>
      <c r="E26" s="665"/>
      <c r="F26" s="664" t="s">
        <v>597</v>
      </c>
      <c r="G26" s="665"/>
      <c r="H26" s="664" t="s">
        <v>598</v>
      </c>
      <c r="I26" s="666"/>
      <c r="J26" s="667" t="s">
        <v>599</v>
      </c>
      <c r="K26" s="666"/>
      <c r="L26" s="667" t="s">
        <v>600</v>
      </c>
      <c r="M26" s="666"/>
      <c r="N26" s="662" t="s">
        <v>601</v>
      </c>
      <c r="O26" s="663"/>
    </row>
    <row r="27" spans="1:255" x14ac:dyDescent="0.2">
      <c r="A27" s="306" t="s">
        <v>602</v>
      </c>
      <c r="B27" s="307" t="s">
        <v>603</v>
      </c>
      <c r="C27" s="307"/>
      <c r="D27" s="307" t="s">
        <v>603</v>
      </c>
      <c r="E27" s="307"/>
      <c r="F27" s="307" t="s">
        <v>603</v>
      </c>
      <c r="G27" s="307"/>
      <c r="H27" s="307" t="s">
        <v>603</v>
      </c>
      <c r="I27" s="314"/>
      <c r="J27" s="314" t="s">
        <v>603</v>
      </c>
      <c r="K27" s="314"/>
      <c r="L27" s="314" t="s">
        <v>603</v>
      </c>
      <c r="M27" s="314"/>
      <c r="N27" s="317" t="s">
        <v>603</v>
      </c>
      <c r="O27" s="317"/>
    </row>
    <row r="28" spans="1:255" x14ac:dyDescent="0.2">
      <c r="A28" s="304" t="s">
        <v>604</v>
      </c>
      <c r="B28" s="305" t="s">
        <v>605</v>
      </c>
      <c r="C28" s="305" t="s">
        <v>606</v>
      </c>
      <c r="D28" s="305" t="s">
        <v>605</v>
      </c>
      <c r="E28" s="305" t="s">
        <v>606</v>
      </c>
      <c r="F28" s="305" t="s">
        <v>605</v>
      </c>
      <c r="G28" s="305" t="s">
        <v>606</v>
      </c>
      <c r="H28" s="305" t="s">
        <v>605</v>
      </c>
      <c r="I28" s="315" t="s">
        <v>606</v>
      </c>
      <c r="J28" s="315" t="s">
        <v>605</v>
      </c>
      <c r="K28" s="315" t="s">
        <v>606</v>
      </c>
      <c r="L28" s="315" t="s">
        <v>605</v>
      </c>
      <c r="M28" s="315" t="s">
        <v>606</v>
      </c>
      <c r="N28" s="318" t="s">
        <v>605</v>
      </c>
      <c r="O28" s="318" t="s">
        <v>606</v>
      </c>
    </row>
    <row r="29" spans="1:255" x14ac:dyDescent="0.2">
      <c r="A29" s="109" t="s">
        <v>320</v>
      </c>
      <c r="B29" s="110"/>
      <c r="C29" s="147"/>
      <c r="D29" s="110"/>
      <c r="E29" s="147"/>
      <c r="F29" s="110"/>
      <c r="G29" s="147"/>
      <c r="H29" s="110"/>
      <c r="J29" s="144"/>
      <c r="L29" s="144"/>
      <c r="N29" s="144"/>
    </row>
    <row r="30" spans="1:255" x14ac:dyDescent="0.2">
      <c r="A30" s="110" t="s">
        <v>610</v>
      </c>
      <c r="B30" s="118">
        <v>0</v>
      </c>
      <c r="C30" s="115" t="s">
        <v>313</v>
      </c>
      <c r="D30" s="118">
        <v>0</v>
      </c>
      <c r="E30" s="115">
        <v>0</v>
      </c>
      <c r="F30" s="118">
        <v>32000</v>
      </c>
      <c r="G30" s="115">
        <v>0.990313</v>
      </c>
      <c r="H30" s="118">
        <v>0</v>
      </c>
      <c r="I30" s="148">
        <v>0</v>
      </c>
      <c r="J30" s="149">
        <v>0</v>
      </c>
      <c r="K30" s="148">
        <v>0</v>
      </c>
      <c r="L30" s="149">
        <v>0</v>
      </c>
      <c r="M30" s="148">
        <v>0</v>
      </c>
      <c r="N30" s="149">
        <v>0</v>
      </c>
      <c r="O30" s="148">
        <v>0</v>
      </c>
    </row>
    <row r="31" spans="1:255" x14ac:dyDescent="0.2">
      <c r="A31" s="110" t="s">
        <v>611</v>
      </c>
      <c r="B31" s="118" t="s">
        <v>313</v>
      </c>
      <c r="C31" s="115" t="s">
        <v>313</v>
      </c>
      <c r="D31" s="118">
        <v>313</v>
      </c>
      <c r="E31" s="115">
        <v>1</v>
      </c>
      <c r="F31" s="118">
        <v>313</v>
      </c>
      <c r="G31" s="115">
        <v>9.6860000000000002E-3</v>
      </c>
      <c r="H31" s="118">
        <v>313</v>
      </c>
      <c r="I31" s="148">
        <v>1</v>
      </c>
      <c r="J31" s="149" t="s">
        <v>313</v>
      </c>
      <c r="K31" s="148" t="s">
        <v>313</v>
      </c>
      <c r="L31" s="149" t="s">
        <v>313</v>
      </c>
      <c r="M31" s="148" t="s">
        <v>313</v>
      </c>
      <c r="N31" s="149" t="s">
        <v>313</v>
      </c>
      <c r="O31" s="148" t="s">
        <v>313</v>
      </c>
    </row>
    <row r="32" spans="1:255" x14ac:dyDescent="0.2">
      <c r="A32" s="110" t="s">
        <v>612</v>
      </c>
      <c r="B32" s="118" t="s">
        <v>313</v>
      </c>
      <c r="C32" s="115" t="s">
        <v>313</v>
      </c>
      <c r="D32" s="118" t="s">
        <v>313</v>
      </c>
      <c r="E32" s="115" t="s">
        <v>313</v>
      </c>
      <c r="F32" s="118" t="s">
        <v>313</v>
      </c>
      <c r="G32" s="115" t="s">
        <v>313</v>
      </c>
      <c r="H32" s="118" t="s">
        <v>313</v>
      </c>
      <c r="I32" s="148" t="s">
        <v>313</v>
      </c>
      <c r="J32" s="149">
        <v>2007</v>
      </c>
      <c r="K32" s="148">
        <v>1</v>
      </c>
      <c r="L32" s="149">
        <v>14518</v>
      </c>
      <c r="M32" s="148">
        <v>1</v>
      </c>
      <c r="N32" s="149">
        <v>17030</v>
      </c>
      <c r="O32" s="148">
        <v>1</v>
      </c>
    </row>
    <row r="33" spans="1:15" x14ac:dyDescent="0.2">
      <c r="A33" s="109" t="s">
        <v>613</v>
      </c>
      <c r="B33" s="111">
        <v>0</v>
      </c>
      <c r="C33" s="150" t="s">
        <v>313</v>
      </c>
      <c r="D33" s="111">
        <v>313</v>
      </c>
      <c r="E33" s="150">
        <v>1</v>
      </c>
      <c r="F33" s="111">
        <v>32313</v>
      </c>
      <c r="G33" s="150">
        <v>1</v>
      </c>
      <c r="H33" s="111">
        <v>313</v>
      </c>
      <c r="I33" s="151">
        <v>1</v>
      </c>
      <c r="J33" s="152">
        <v>2007</v>
      </c>
      <c r="K33" s="151">
        <v>1</v>
      </c>
      <c r="L33" s="152">
        <v>14518</v>
      </c>
      <c r="M33" s="151">
        <v>1</v>
      </c>
      <c r="N33" s="152">
        <v>17030</v>
      </c>
      <c r="O33" s="151">
        <v>1</v>
      </c>
    </row>
    <row r="34" spans="1:15" x14ac:dyDescent="0.2">
      <c r="A34" s="110"/>
      <c r="B34" s="110"/>
      <c r="C34" s="147"/>
      <c r="D34" s="110"/>
      <c r="E34" s="147"/>
      <c r="F34" s="110"/>
      <c r="G34" s="147"/>
      <c r="H34" s="110"/>
      <c r="J34" s="144"/>
      <c r="L34" s="144"/>
      <c r="N34" s="144"/>
    </row>
    <row r="35" spans="1:15" x14ac:dyDescent="0.2">
      <c r="A35" s="109" t="s">
        <v>614</v>
      </c>
      <c r="B35" s="111">
        <v>0</v>
      </c>
      <c r="C35" s="150">
        <v>1</v>
      </c>
      <c r="D35" s="111">
        <v>313</v>
      </c>
      <c r="E35" s="150">
        <v>1</v>
      </c>
      <c r="F35" s="111">
        <v>32313</v>
      </c>
      <c r="G35" s="150">
        <v>1</v>
      </c>
      <c r="H35" s="111">
        <v>313</v>
      </c>
      <c r="I35" s="151">
        <v>1</v>
      </c>
      <c r="J35" s="152">
        <v>2007</v>
      </c>
      <c r="K35" s="151">
        <v>1</v>
      </c>
      <c r="L35" s="152">
        <v>14518</v>
      </c>
      <c r="M35" s="151">
        <v>1</v>
      </c>
      <c r="N35" s="152">
        <v>17030</v>
      </c>
      <c r="O35" s="151">
        <v>1</v>
      </c>
    </row>
    <row r="36" spans="1:15" x14ac:dyDescent="0.2">
      <c r="A36" s="110"/>
      <c r="B36" s="110"/>
      <c r="C36" s="147"/>
      <c r="D36" s="110"/>
      <c r="E36" s="147"/>
      <c r="F36" s="110"/>
      <c r="G36" s="147"/>
      <c r="H36" s="110"/>
      <c r="J36" s="144"/>
      <c r="L36" s="144"/>
      <c r="N36" s="144"/>
    </row>
    <row r="37" spans="1:15" x14ac:dyDescent="0.2">
      <c r="A37" s="109" t="s">
        <v>615</v>
      </c>
      <c r="B37" s="110"/>
      <c r="C37" s="147"/>
      <c r="D37" s="110"/>
      <c r="E37" s="147"/>
      <c r="F37" s="110"/>
      <c r="G37" s="147"/>
      <c r="H37" s="110"/>
      <c r="J37" s="144"/>
      <c r="L37" s="144"/>
      <c r="N37" s="144"/>
    </row>
    <row r="38" spans="1:15" x14ac:dyDescent="0.2">
      <c r="A38" s="110" t="s">
        <v>616</v>
      </c>
      <c r="B38" s="118" t="s">
        <v>313</v>
      </c>
      <c r="C38" s="115" t="s">
        <v>313</v>
      </c>
      <c r="D38" s="118" t="s">
        <v>313</v>
      </c>
      <c r="E38" s="115" t="s">
        <v>313</v>
      </c>
      <c r="F38" s="118" t="s">
        <v>313</v>
      </c>
      <c r="G38" s="115" t="s">
        <v>313</v>
      </c>
      <c r="H38" s="118" t="s">
        <v>313</v>
      </c>
      <c r="I38" s="148" t="s">
        <v>313</v>
      </c>
      <c r="J38" s="149" t="s">
        <v>313</v>
      </c>
      <c r="K38" s="148" t="s">
        <v>313</v>
      </c>
      <c r="L38" s="149">
        <v>19317</v>
      </c>
      <c r="M38" s="148" t="s">
        <v>313</v>
      </c>
      <c r="N38" s="149">
        <v>19317</v>
      </c>
      <c r="O38" s="148" t="s">
        <v>313</v>
      </c>
    </row>
    <row r="39" spans="1:15" x14ac:dyDescent="0.2">
      <c r="A39" s="109" t="s">
        <v>617</v>
      </c>
      <c r="B39" s="111" t="s">
        <v>313</v>
      </c>
      <c r="C39" s="150" t="s">
        <v>313</v>
      </c>
      <c r="D39" s="111" t="s">
        <v>313</v>
      </c>
      <c r="E39" s="150" t="s">
        <v>313</v>
      </c>
      <c r="F39" s="111" t="s">
        <v>313</v>
      </c>
      <c r="G39" s="150" t="s">
        <v>313</v>
      </c>
      <c r="H39" s="111" t="s">
        <v>313</v>
      </c>
      <c r="I39" s="151" t="s">
        <v>313</v>
      </c>
      <c r="J39" s="152" t="s">
        <v>313</v>
      </c>
      <c r="K39" s="151" t="s">
        <v>313</v>
      </c>
      <c r="L39" s="152">
        <v>19317</v>
      </c>
      <c r="M39" s="151" t="s">
        <v>313</v>
      </c>
      <c r="N39" s="152">
        <v>19317</v>
      </c>
      <c r="O39" s="151" t="s">
        <v>313</v>
      </c>
    </row>
    <row r="40" spans="1:15" x14ac:dyDescent="0.2">
      <c r="A40" s="110"/>
      <c r="B40" s="110"/>
      <c r="C40" s="147"/>
      <c r="D40" s="110"/>
      <c r="E40" s="147"/>
      <c r="F40" s="110"/>
      <c r="G40" s="147"/>
      <c r="H40" s="110"/>
      <c r="J40" s="144"/>
      <c r="L40" s="144"/>
      <c r="N40" s="144"/>
    </row>
    <row r="41" spans="1:15" x14ac:dyDescent="0.2">
      <c r="A41" s="109" t="s">
        <v>618</v>
      </c>
      <c r="B41" s="110"/>
      <c r="C41" s="147"/>
      <c r="D41" s="110"/>
      <c r="E41" s="147"/>
      <c r="F41" s="110"/>
      <c r="G41" s="147"/>
      <c r="H41" s="110"/>
      <c r="J41" s="144"/>
      <c r="L41" s="144"/>
      <c r="N41" s="144"/>
    </row>
    <row r="42" spans="1:15" x14ac:dyDescent="0.2">
      <c r="A42" s="110" t="s">
        <v>619</v>
      </c>
      <c r="B42" s="118">
        <v>16033</v>
      </c>
      <c r="C42" s="115" t="s">
        <v>313</v>
      </c>
      <c r="D42" s="118">
        <v>13076</v>
      </c>
      <c r="E42" s="115" t="s">
        <v>313</v>
      </c>
      <c r="F42" s="118">
        <v>2677</v>
      </c>
      <c r="G42" s="115" t="s">
        <v>313</v>
      </c>
      <c r="H42" s="118">
        <v>71124</v>
      </c>
      <c r="I42" s="148" t="s">
        <v>313</v>
      </c>
      <c r="J42" s="149">
        <v>73647</v>
      </c>
      <c r="K42" s="148" t="s">
        <v>313</v>
      </c>
      <c r="L42" s="149">
        <v>84543</v>
      </c>
      <c r="M42" s="148" t="s">
        <v>313</v>
      </c>
      <c r="N42" s="149">
        <v>87752</v>
      </c>
      <c r="O42" s="148" t="s">
        <v>313</v>
      </c>
    </row>
    <row r="43" spans="1:15" x14ac:dyDescent="0.2">
      <c r="A43" s="110" t="s">
        <v>503</v>
      </c>
      <c r="B43" s="118">
        <v>-16033</v>
      </c>
      <c r="C43" s="115" t="s">
        <v>313</v>
      </c>
      <c r="D43" s="118">
        <v>-12763</v>
      </c>
      <c r="E43" s="115" t="s">
        <v>313</v>
      </c>
      <c r="F43" s="118">
        <v>29636</v>
      </c>
      <c r="G43" s="115" t="s">
        <v>313</v>
      </c>
      <c r="H43" s="118">
        <v>-70811</v>
      </c>
      <c r="I43" s="148" t="s">
        <v>313</v>
      </c>
      <c r="J43" s="149">
        <v>-71640</v>
      </c>
      <c r="K43" s="148" t="s">
        <v>313</v>
      </c>
      <c r="L43" s="149">
        <v>-70025</v>
      </c>
      <c r="M43" s="148" t="s">
        <v>313</v>
      </c>
      <c r="N43" s="149">
        <v>-70722</v>
      </c>
      <c r="O43" s="148" t="s">
        <v>313</v>
      </c>
    </row>
    <row r="44" spans="1:15" x14ac:dyDescent="0.2">
      <c r="A44" s="110" t="s">
        <v>620</v>
      </c>
      <c r="B44" s="118">
        <v>0</v>
      </c>
      <c r="C44" s="115" t="s">
        <v>313</v>
      </c>
      <c r="D44" s="118">
        <v>313</v>
      </c>
      <c r="E44" s="115">
        <v>1</v>
      </c>
      <c r="F44" s="118">
        <v>32313</v>
      </c>
      <c r="G44" s="115">
        <v>1</v>
      </c>
      <c r="H44" s="118">
        <v>313</v>
      </c>
      <c r="I44" s="148">
        <v>1</v>
      </c>
      <c r="J44" s="149">
        <v>2007</v>
      </c>
      <c r="K44" s="148">
        <v>1</v>
      </c>
      <c r="L44" s="149">
        <v>14518</v>
      </c>
      <c r="M44" s="148">
        <v>1</v>
      </c>
      <c r="N44" s="149">
        <v>17030</v>
      </c>
      <c r="O44" s="148">
        <v>1</v>
      </c>
    </row>
    <row r="45" spans="1:15" x14ac:dyDescent="0.2">
      <c r="A45" s="110" t="s">
        <v>621</v>
      </c>
      <c r="B45" s="118">
        <v>0</v>
      </c>
      <c r="C45" s="115" t="s">
        <v>313</v>
      </c>
      <c r="D45" s="118">
        <v>0</v>
      </c>
      <c r="E45" s="115">
        <v>0</v>
      </c>
      <c r="F45" s="118">
        <v>32000</v>
      </c>
      <c r="G45" s="115">
        <v>0.990313</v>
      </c>
      <c r="H45" s="118">
        <v>0</v>
      </c>
      <c r="I45" s="148">
        <v>0</v>
      </c>
      <c r="J45" s="149">
        <v>0</v>
      </c>
      <c r="K45" s="148">
        <v>0</v>
      </c>
      <c r="L45" s="149">
        <v>0</v>
      </c>
      <c r="M45" s="148">
        <v>0</v>
      </c>
      <c r="N45" s="149">
        <v>0</v>
      </c>
      <c r="O45" s="148">
        <v>0</v>
      </c>
    </row>
    <row r="46" spans="1:15" x14ac:dyDescent="0.2">
      <c r="A46" s="110" t="s">
        <v>622</v>
      </c>
      <c r="B46" s="118" t="s">
        <v>313</v>
      </c>
      <c r="C46" s="115" t="s">
        <v>313</v>
      </c>
      <c r="D46" s="118" t="s">
        <v>313</v>
      </c>
      <c r="E46" s="115" t="s">
        <v>313</v>
      </c>
      <c r="F46" s="118">
        <v>32000</v>
      </c>
      <c r="G46" s="115">
        <v>0.990313</v>
      </c>
      <c r="H46" s="118" t="s">
        <v>313</v>
      </c>
      <c r="I46" s="148" t="s">
        <v>313</v>
      </c>
      <c r="J46" s="149" t="s">
        <v>313</v>
      </c>
      <c r="K46" s="148" t="s">
        <v>313</v>
      </c>
      <c r="L46" s="149" t="s">
        <v>313</v>
      </c>
      <c r="M46" s="148" t="s">
        <v>313</v>
      </c>
      <c r="N46" s="149" t="s">
        <v>313</v>
      </c>
      <c r="O46" s="148" t="s">
        <v>313</v>
      </c>
    </row>
    <row r="47" spans="1:15" x14ac:dyDescent="0.2">
      <c r="A47" s="110" t="s">
        <v>623</v>
      </c>
      <c r="B47" s="118" t="s">
        <v>313</v>
      </c>
      <c r="C47" s="115" t="s">
        <v>313</v>
      </c>
      <c r="D47" s="118">
        <v>313</v>
      </c>
      <c r="E47" s="115">
        <v>1</v>
      </c>
      <c r="F47" s="118">
        <v>313</v>
      </c>
      <c r="G47" s="115">
        <v>9.6860000000000002E-3</v>
      </c>
      <c r="H47" s="118">
        <v>313</v>
      </c>
      <c r="I47" s="148">
        <v>1</v>
      </c>
      <c r="J47" s="149">
        <v>2007</v>
      </c>
      <c r="K47" s="148">
        <v>1</v>
      </c>
      <c r="L47" s="149">
        <v>14518</v>
      </c>
      <c r="M47" s="148">
        <v>1</v>
      </c>
      <c r="N47" s="149">
        <v>17030</v>
      </c>
      <c r="O47" s="148">
        <v>1</v>
      </c>
    </row>
    <row r="48" spans="1:15" x14ac:dyDescent="0.2">
      <c r="A48" s="110" t="s">
        <v>624</v>
      </c>
      <c r="B48" s="118">
        <v>0</v>
      </c>
      <c r="C48" s="115" t="s">
        <v>313</v>
      </c>
      <c r="D48" s="118">
        <v>0</v>
      </c>
      <c r="E48" s="115">
        <v>0</v>
      </c>
      <c r="F48" s="118">
        <v>32000</v>
      </c>
      <c r="G48" s="115">
        <v>0.990313</v>
      </c>
      <c r="H48" s="118">
        <v>0</v>
      </c>
      <c r="I48" s="148">
        <v>0</v>
      </c>
      <c r="J48" s="149">
        <v>0</v>
      </c>
      <c r="K48" s="148">
        <v>0</v>
      </c>
      <c r="L48" s="149">
        <v>0</v>
      </c>
      <c r="M48" s="148">
        <v>0</v>
      </c>
      <c r="N48" s="149">
        <v>0</v>
      </c>
      <c r="O48" s="148">
        <v>0</v>
      </c>
    </row>
    <row r="49" spans="1:15" x14ac:dyDescent="0.2">
      <c r="A49" s="110" t="s">
        <v>625</v>
      </c>
      <c r="B49" s="118">
        <v>0</v>
      </c>
      <c r="C49" s="115" t="s">
        <v>313</v>
      </c>
      <c r="D49" s="118">
        <v>0</v>
      </c>
      <c r="E49" s="115">
        <v>0</v>
      </c>
      <c r="F49" s="118">
        <v>32000</v>
      </c>
      <c r="G49" s="115">
        <v>0.990313</v>
      </c>
      <c r="H49" s="118">
        <v>0</v>
      </c>
      <c r="I49" s="148">
        <v>0</v>
      </c>
      <c r="J49" s="149">
        <v>2007</v>
      </c>
      <c r="K49" s="148">
        <v>1</v>
      </c>
      <c r="L49" s="149">
        <v>14518</v>
      </c>
      <c r="M49" s="148">
        <v>1</v>
      </c>
      <c r="N49" s="149">
        <v>17030</v>
      </c>
      <c r="O49" s="148">
        <v>1</v>
      </c>
    </row>
    <row r="50" spans="1:15" x14ac:dyDescent="0.2">
      <c r="A50" s="110" t="s">
        <v>626</v>
      </c>
      <c r="B50" s="118">
        <v>0</v>
      </c>
      <c r="C50" s="115" t="s">
        <v>313</v>
      </c>
      <c r="D50" s="118">
        <v>0</v>
      </c>
      <c r="E50" s="115">
        <v>0</v>
      </c>
      <c r="F50" s="118">
        <v>32000</v>
      </c>
      <c r="G50" s="115">
        <v>0.990313</v>
      </c>
      <c r="H50" s="118">
        <v>0</v>
      </c>
      <c r="I50" s="148">
        <v>0</v>
      </c>
      <c r="J50" s="149">
        <v>0</v>
      </c>
      <c r="K50" s="148">
        <v>0</v>
      </c>
      <c r="L50" s="149">
        <v>0</v>
      </c>
      <c r="M50" s="148">
        <v>0</v>
      </c>
      <c r="N50" s="149">
        <v>0</v>
      </c>
      <c r="O50" s="148">
        <v>0</v>
      </c>
    </row>
    <row r="51" spans="1:15" x14ac:dyDescent="0.2">
      <c r="A51" s="110" t="s">
        <v>627</v>
      </c>
      <c r="B51" s="118">
        <v>0</v>
      </c>
      <c r="C51" s="115" t="s">
        <v>313</v>
      </c>
      <c r="D51" s="118">
        <v>0</v>
      </c>
      <c r="E51" s="115">
        <v>0</v>
      </c>
      <c r="F51" s="118">
        <v>32000</v>
      </c>
      <c r="G51" s="115">
        <v>0.990313</v>
      </c>
      <c r="H51" s="118">
        <v>0</v>
      </c>
      <c r="I51" s="148">
        <v>0</v>
      </c>
      <c r="J51" s="149">
        <v>2007</v>
      </c>
      <c r="K51" s="148">
        <v>1</v>
      </c>
      <c r="L51" s="149">
        <v>14518</v>
      </c>
      <c r="M51" s="148">
        <v>1</v>
      </c>
      <c r="N51" s="149">
        <v>17030</v>
      </c>
      <c r="O51" s="148">
        <v>1</v>
      </c>
    </row>
    <row r="52" spans="1:15" x14ac:dyDescent="0.2">
      <c r="A52" s="110" t="s">
        <v>628</v>
      </c>
      <c r="B52" s="118" t="s">
        <v>313</v>
      </c>
      <c r="C52" s="115" t="s">
        <v>313</v>
      </c>
      <c r="D52" s="118">
        <v>313</v>
      </c>
      <c r="E52" s="115">
        <v>1</v>
      </c>
      <c r="F52" s="118">
        <v>313</v>
      </c>
      <c r="G52" s="115">
        <v>9.6860000000000002E-3</v>
      </c>
      <c r="H52" s="118">
        <v>313</v>
      </c>
      <c r="I52" s="148">
        <v>1</v>
      </c>
      <c r="J52" s="149" t="s">
        <v>313</v>
      </c>
      <c r="K52" s="148" t="s">
        <v>313</v>
      </c>
      <c r="L52" s="149" t="s">
        <v>313</v>
      </c>
      <c r="M52" s="148" t="s">
        <v>313</v>
      </c>
      <c r="N52" s="149" t="s">
        <v>313</v>
      </c>
      <c r="O52" s="148" t="s">
        <v>313</v>
      </c>
    </row>
    <row r="53" spans="1:15" x14ac:dyDescent="0.2">
      <c r="A53" s="110" t="s">
        <v>629</v>
      </c>
      <c r="B53" s="118" t="s">
        <v>313</v>
      </c>
      <c r="C53" s="115" t="s">
        <v>313</v>
      </c>
      <c r="D53" s="118">
        <v>313</v>
      </c>
      <c r="E53" s="115">
        <v>1</v>
      </c>
      <c r="F53" s="118">
        <v>313</v>
      </c>
      <c r="G53" s="115">
        <v>9.6860000000000002E-3</v>
      </c>
      <c r="H53" s="118">
        <v>313</v>
      </c>
      <c r="I53" s="148">
        <v>1</v>
      </c>
      <c r="J53" s="149" t="s">
        <v>313</v>
      </c>
      <c r="K53" s="148" t="s">
        <v>313</v>
      </c>
      <c r="L53" s="149" t="s">
        <v>313</v>
      </c>
      <c r="M53" s="148" t="s">
        <v>313</v>
      </c>
      <c r="N53" s="149" t="s">
        <v>313</v>
      </c>
      <c r="O53" s="148" t="s">
        <v>313</v>
      </c>
    </row>
    <row r="54" spans="1:15" x14ac:dyDescent="0.2">
      <c r="A54" s="110" t="s">
        <v>630</v>
      </c>
      <c r="B54" s="118" t="s">
        <v>313</v>
      </c>
      <c r="C54" s="115" t="s">
        <v>313</v>
      </c>
      <c r="D54" s="118">
        <v>313</v>
      </c>
      <c r="E54" s="115">
        <v>1</v>
      </c>
      <c r="F54" s="118">
        <v>313</v>
      </c>
      <c r="G54" s="115">
        <v>9.6860000000000002E-3</v>
      </c>
      <c r="H54" s="118">
        <v>313</v>
      </c>
      <c r="I54" s="148">
        <v>1</v>
      </c>
      <c r="J54" s="149" t="s">
        <v>313</v>
      </c>
      <c r="K54" s="148" t="s">
        <v>313</v>
      </c>
      <c r="L54" s="149" t="s">
        <v>313</v>
      </c>
      <c r="M54" s="148" t="s">
        <v>313</v>
      </c>
      <c r="N54" s="149" t="s">
        <v>313</v>
      </c>
      <c r="O54" s="148" t="s">
        <v>313</v>
      </c>
    </row>
    <row r="55" spans="1:15" x14ac:dyDescent="0.2">
      <c r="A55" s="110" t="s">
        <v>631</v>
      </c>
      <c r="B55" s="118">
        <v>0</v>
      </c>
      <c r="C55" s="115" t="s">
        <v>313</v>
      </c>
      <c r="D55" s="118">
        <v>0</v>
      </c>
      <c r="E55" s="115">
        <v>0</v>
      </c>
      <c r="F55" s="118">
        <v>32000</v>
      </c>
      <c r="G55" s="115">
        <v>0.990313</v>
      </c>
      <c r="H55" s="118">
        <v>0</v>
      </c>
      <c r="I55" s="148">
        <v>0</v>
      </c>
      <c r="J55" s="149">
        <v>0</v>
      </c>
      <c r="K55" s="148">
        <v>0</v>
      </c>
      <c r="L55" s="149">
        <v>0</v>
      </c>
      <c r="M55" s="148">
        <v>0</v>
      </c>
      <c r="N55" s="149">
        <v>0</v>
      </c>
      <c r="O55" s="148">
        <v>0</v>
      </c>
    </row>
    <row r="56" spans="1:15" x14ac:dyDescent="0.2">
      <c r="A56" s="110"/>
      <c r="B56" s="110"/>
      <c r="C56" s="147"/>
      <c r="D56" s="110"/>
      <c r="E56" s="147"/>
      <c r="F56" s="110"/>
      <c r="G56" s="147"/>
      <c r="H56" s="110"/>
      <c r="J56" s="144"/>
      <c r="L56" s="144"/>
      <c r="N56" s="144"/>
    </row>
    <row r="57" spans="1:15" x14ac:dyDescent="0.2">
      <c r="A57" s="109" t="s">
        <v>632</v>
      </c>
      <c r="B57" s="110"/>
      <c r="C57" s="147"/>
      <c r="D57" s="110"/>
      <c r="E57" s="147"/>
      <c r="F57" s="110"/>
      <c r="G57" s="147"/>
      <c r="H57" s="110"/>
      <c r="J57" s="144"/>
      <c r="L57" s="144"/>
      <c r="N57" s="144"/>
    </row>
    <row r="58" spans="1:15" x14ac:dyDescent="0.2">
      <c r="A58" s="110" t="s">
        <v>633</v>
      </c>
      <c r="B58" s="117" t="s">
        <v>319</v>
      </c>
      <c r="C58" s="115" t="s">
        <v>313</v>
      </c>
      <c r="D58" s="117" t="s">
        <v>319</v>
      </c>
      <c r="E58" s="115" t="s">
        <v>313</v>
      </c>
      <c r="F58" s="122">
        <v>3.2721650000000002</v>
      </c>
      <c r="G58" s="115" t="s">
        <v>313</v>
      </c>
      <c r="H58" s="117" t="s">
        <v>319</v>
      </c>
      <c r="I58" s="148" t="s">
        <v>313</v>
      </c>
      <c r="J58" s="143" t="s">
        <v>319</v>
      </c>
      <c r="K58" s="148" t="s">
        <v>313</v>
      </c>
      <c r="L58" s="143" t="s">
        <v>319</v>
      </c>
      <c r="M58" s="148" t="s">
        <v>313</v>
      </c>
      <c r="N58" s="143" t="s">
        <v>319</v>
      </c>
      <c r="O58" s="148" t="s">
        <v>313</v>
      </c>
    </row>
    <row r="59" spans="1:15" x14ac:dyDescent="0.2">
      <c r="A59" s="110" t="s">
        <v>634</v>
      </c>
      <c r="B59" s="117" t="s">
        <v>313</v>
      </c>
      <c r="C59" s="115" t="s">
        <v>313</v>
      </c>
      <c r="D59" s="122">
        <v>2.7087E-2</v>
      </c>
      <c r="E59" s="115" t="s">
        <v>313</v>
      </c>
      <c r="F59" s="122">
        <v>3.5677370000000002</v>
      </c>
      <c r="G59" s="115" t="s">
        <v>313</v>
      </c>
      <c r="H59" s="122">
        <v>1.0234999999999999E-2</v>
      </c>
      <c r="I59" s="148" t="s">
        <v>313</v>
      </c>
      <c r="J59" s="153">
        <v>4.7399999999999998E-2</v>
      </c>
      <c r="K59" s="148" t="s">
        <v>313</v>
      </c>
      <c r="L59" s="153">
        <v>0.25564799999999999</v>
      </c>
      <c r="M59" s="148" t="s">
        <v>313</v>
      </c>
      <c r="N59" s="153">
        <v>0.29982399999999998</v>
      </c>
      <c r="O59" s="148" t="s">
        <v>313</v>
      </c>
    </row>
    <row r="60" spans="1:15" x14ac:dyDescent="0.2">
      <c r="A60" s="110" t="s">
        <v>635</v>
      </c>
      <c r="B60" s="122" t="s">
        <v>319</v>
      </c>
      <c r="C60" s="115" t="s">
        <v>313</v>
      </c>
      <c r="D60" s="122">
        <v>2.7087E-2</v>
      </c>
      <c r="E60" s="115" t="s">
        <v>313</v>
      </c>
      <c r="F60" s="122">
        <v>3.5677370000000002</v>
      </c>
      <c r="G60" s="115" t="s">
        <v>313</v>
      </c>
      <c r="H60" s="122">
        <v>1.0234999999999999E-2</v>
      </c>
      <c r="I60" s="148" t="s">
        <v>313</v>
      </c>
      <c r="J60" s="153">
        <v>4.7399999999999998E-2</v>
      </c>
      <c r="K60" s="148" t="s">
        <v>313</v>
      </c>
      <c r="L60" s="153">
        <v>0.25564799999999999</v>
      </c>
      <c r="M60" s="148" t="s">
        <v>313</v>
      </c>
      <c r="N60" s="153">
        <v>0.29982399999999998</v>
      </c>
      <c r="O60" s="148" t="s">
        <v>313</v>
      </c>
    </row>
    <row r="61" spans="1:15" x14ac:dyDescent="0.2">
      <c r="A61" s="110" t="s">
        <v>636</v>
      </c>
      <c r="B61" s="122" t="s">
        <v>319</v>
      </c>
      <c r="C61" s="115" t="s">
        <v>313</v>
      </c>
      <c r="D61" s="122" t="s">
        <v>319</v>
      </c>
      <c r="E61" s="115" t="s">
        <v>313</v>
      </c>
      <c r="F61" s="122">
        <v>3.5331779999999999</v>
      </c>
      <c r="G61" s="115" t="s">
        <v>313</v>
      </c>
      <c r="H61" s="122" t="s">
        <v>319</v>
      </c>
      <c r="I61" s="148" t="s">
        <v>313</v>
      </c>
      <c r="J61" s="153">
        <v>4.7399999999999998E-2</v>
      </c>
      <c r="K61" s="148" t="s">
        <v>313</v>
      </c>
      <c r="L61" s="153">
        <v>0.25564799999999999</v>
      </c>
      <c r="M61" s="148" t="s">
        <v>313</v>
      </c>
      <c r="N61" s="153">
        <v>0.29982399999999998</v>
      </c>
      <c r="O61" s="148" t="s">
        <v>313</v>
      </c>
    </row>
    <row r="62" spans="1:15" x14ac:dyDescent="0.2">
      <c r="A62" s="110" t="s">
        <v>637</v>
      </c>
      <c r="B62" s="117" t="s">
        <v>319</v>
      </c>
      <c r="C62" s="115" t="s">
        <v>313</v>
      </c>
      <c r="D62" s="117" t="s">
        <v>319</v>
      </c>
      <c r="E62" s="115" t="s">
        <v>313</v>
      </c>
      <c r="F62" s="117" t="s">
        <v>319</v>
      </c>
      <c r="G62" s="115" t="s">
        <v>313</v>
      </c>
      <c r="H62" s="117" t="s">
        <v>319</v>
      </c>
      <c r="I62" s="148" t="s">
        <v>313</v>
      </c>
      <c r="J62" s="143" t="s">
        <v>319</v>
      </c>
      <c r="K62" s="148" t="s">
        <v>313</v>
      </c>
      <c r="L62" s="143" t="s">
        <v>319</v>
      </c>
      <c r="M62" s="148" t="s">
        <v>313</v>
      </c>
      <c r="N62" s="143" t="s">
        <v>319</v>
      </c>
      <c r="O62" s="148" t="s">
        <v>313</v>
      </c>
    </row>
    <row r="63" spans="1:15" x14ac:dyDescent="0.2">
      <c r="A63" s="110" t="s">
        <v>638</v>
      </c>
      <c r="B63" s="117" t="s">
        <v>313</v>
      </c>
      <c r="C63" s="115" t="s">
        <v>313</v>
      </c>
      <c r="D63" s="117" t="s">
        <v>319</v>
      </c>
      <c r="E63" s="115" t="s">
        <v>313</v>
      </c>
      <c r="F63" s="117" t="s">
        <v>319</v>
      </c>
      <c r="G63" s="115" t="s">
        <v>313</v>
      </c>
      <c r="H63" s="117" t="s">
        <v>319</v>
      </c>
      <c r="I63" s="148" t="s">
        <v>313</v>
      </c>
      <c r="J63" s="143" t="s">
        <v>319</v>
      </c>
      <c r="K63" s="148" t="s">
        <v>313</v>
      </c>
      <c r="L63" s="143" t="s">
        <v>319</v>
      </c>
      <c r="M63" s="148" t="s">
        <v>313</v>
      </c>
      <c r="N63" s="143" t="s">
        <v>319</v>
      </c>
      <c r="O63" s="148" t="s">
        <v>313</v>
      </c>
    </row>
    <row r="64" spans="1:15" x14ac:dyDescent="0.2">
      <c r="A64" s="110" t="s">
        <v>639</v>
      </c>
      <c r="B64" s="117" t="s">
        <v>319</v>
      </c>
      <c r="C64" s="115" t="s">
        <v>313</v>
      </c>
      <c r="D64" s="117" t="s">
        <v>319</v>
      </c>
      <c r="E64" s="115" t="s">
        <v>313</v>
      </c>
      <c r="F64" s="117" t="s">
        <v>319</v>
      </c>
      <c r="G64" s="115" t="s">
        <v>313</v>
      </c>
      <c r="H64" s="117" t="s">
        <v>319</v>
      </c>
      <c r="I64" s="148" t="s">
        <v>313</v>
      </c>
      <c r="J64" s="143" t="s">
        <v>319</v>
      </c>
      <c r="K64" s="148" t="s">
        <v>313</v>
      </c>
      <c r="L64" s="143" t="s">
        <v>319</v>
      </c>
      <c r="M64" s="148" t="s">
        <v>313</v>
      </c>
      <c r="N64" s="143" t="s">
        <v>319</v>
      </c>
      <c r="O64" s="148" t="s">
        <v>313</v>
      </c>
    </row>
    <row r="65" spans="1:15" x14ac:dyDescent="0.2">
      <c r="A65" s="110" t="s">
        <v>640</v>
      </c>
      <c r="B65" s="122" t="s">
        <v>319</v>
      </c>
      <c r="C65" s="115" t="s">
        <v>313</v>
      </c>
      <c r="D65" s="122" t="s">
        <v>319</v>
      </c>
      <c r="E65" s="115" t="s">
        <v>313</v>
      </c>
      <c r="F65" s="122" t="s">
        <v>319</v>
      </c>
      <c r="G65" s="115" t="s">
        <v>313</v>
      </c>
      <c r="H65" s="122" t="s">
        <v>319</v>
      </c>
      <c r="I65" s="148" t="s">
        <v>313</v>
      </c>
      <c r="J65" s="153" t="s">
        <v>319</v>
      </c>
      <c r="K65" s="148" t="s">
        <v>313</v>
      </c>
      <c r="L65" s="153" t="s">
        <v>319</v>
      </c>
      <c r="M65" s="148" t="s">
        <v>313</v>
      </c>
      <c r="N65" s="153" t="s">
        <v>319</v>
      </c>
      <c r="O65" s="148" t="s">
        <v>313</v>
      </c>
    </row>
    <row r="66" spans="1:15" x14ac:dyDescent="0.2">
      <c r="A66" s="110"/>
      <c r="B66" s="110"/>
      <c r="C66" s="147"/>
      <c r="D66" s="110"/>
      <c r="E66" s="147"/>
      <c r="F66" s="110"/>
      <c r="G66" s="147"/>
      <c r="H66" s="110"/>
      <c r="J66" s="144"/>
      <c r="L66" s="144"/>
      <c r="N66" s="144"/>
    </row>
    <row r="67" spans="1:15" x14ac:dyDescent="0.2">
      <c r="A67" s="109" t="s">
        <v>641</v>
      </c>
      <c r="B67" s="110"/>
      <c r="C67" s="147"/>
      <c r="D67" s="110"/>
      <c r="E67" s="147"/>
      <c r="F67" s="110"/>
      <c r="G67" s="147"/>
      <c r="H67" s="110"/>
      <c r="J67" s="144"/>
      <c r="L67" s="144"/>
      <c r="N67" s="144"/>
    </row>
    <row r="68" spans="1:15" x14ac:dyDescent="0.2">
      <c r="A68" s="110" t="s">
        <v>642</v>
      </c>
      <c r="B68" s="118" t="s">
        <v>313</v>
      </c>
      <c r="C68" s="115" t="s">
        <v>313</v>
      </c>
      <c r="D68" s="118" t="s">
        <v>313</v>
      </c>
      <c r="E68" s="115" t="s">
        <v>313</v>
      </c>
      <c r="F68" s="118">
        <v>313</v>
      </c>
      <c r="G68" s="115">
        <v>9.6865038840000008E-3</v>
      </c>
      <c r="H68" s="118">
        <v>313</v>
      </c>
      <c r="I68" s="148">
        <v>1</v>
      </c>
      <c r="J68" s="149" t="s">
        <v>313</v>
      </c>
      <c r="K68" s="148" t="s">
        <v>313</v>
      </c>
      <c r="L68" s="149" t="s">
        <v>313</v>
      </c>
      <c r="M68" s="148" t="s">
        <v>313</v>
      </c>
      <c r="N68" s="149" t="s">
        <v>313</v>
      </c>
      <c r="O68" s="148" t="s">
        <v>313</v>
      </c>
    </row>
    <row r="69" spans="1:15" x14ac:dyDescent="0.2">
      <c r="A69" s="110"/>
      <c r="B69" s="110"/>
      <c r="C69" s="147"/>
      <c r="D69" s="110"/>
      <c r="E69" s="147"/>
      <c r="F69" s="110"/>
      <c r="G69" s="147"/>
      <c r="H69" s="110"/>
      <c r="J69" s="144"/>
      <c r="L69" s="144"/>
      <c r="N69" s="144"/>
    </row>
    <row r="70" spans="1:15" x14ac:dyDescent="0.2">
      <c r="A70" s="110" t="s">
        <v>643</v>
      </c>
      <c r="B70" s="118" t="s">
        <v>313</v>
      </c>
      <c r="C70" s="115" t="s">
        <v>313</v>
      </c>
      <c r="D70" s="118" t="s">
        <v>313</v>
      </c>
      <c r="E70" s="115" t="s">
        <v>313</v>
      </c>
      <c r="F70" s="118" t="s">
        <v>313</v>
      </c>
      <c r="G70" s="115" t="s">
        <v>313</v>
      </c>
      <c r="H70" s="118" t="s">
        <v>313</v>
      </c>
      <c r="I70" s="148" t="s">
        <v>313</v>
      </c>
      <c r="J70" s="149">
        <v>67.498999999999995</v>
      </c>
      <c r="K70" s="148" t="s">
        <v>313</v>
      </c>
      <c r="L70" s="149">
        <v>1068.47</v>
      </c>
      <c r="M70" s="148" t="s">
        <v>313</v>
      </c>
      <c r="N70" s="149" t="s">
        <v>313</v>
      </c>
      <c r="O70" s="148" t="s">
        <v>313</v>
      </c>
    </row>
    <row r="71" spans="1:15" x14ac:dyDescent="0.2">
      <c r="A71" s="110" t="s">
        <v>644</v>
      </c>
      <c r="B71" s="118" t="s">
        <v>313</v>
      </c>
      <c r="C71" s="115" t="s">
        <v>313</v>
      </c>
      <c r="D71" s="118" t="s">
        <v>313</v>
      </c>
      <c r="E71" s="115" t="s">
        <v>313</v>
      </c>
      <c r="F71" s="118" t="s">
        <v>313</v>
      </c>
      <c r="G71" s="115" t="s">
        <v>313</v>
      </c>
      <c r="H71" s="118" t="s">
        <v>313</v>
      </c>
      <c r="I71" s="148" t="s">
        <v>313</v>
      </c>
      <c r="J71" s="149">
        <v>163.67500000000001</v>
      </c>
      <c r="K71" s="148" t="s">
        <v>313</v>
      </c>
      <c r="L71" s="149">
        <v>1340.0160000000001</v>
      </c>
      <c r="M71" s="148" t="s">
        <v>313</v>
      </c>
      <c r="N71" s="149" t="s">
        <v>313</v>
      </c>
      <c r="O71" s="148" t="s">
        <v>313</v>
      </c>
    </row>
    <row r="72" spans="1:15" x14ac:dyDescent="0.2">
      <c r="A72" s="110" t="s">
        <v>645</v>
      </c>
      <c r="B72" s="118" t="s">
        <v>313</v>
      </c>
      <c r="C72" s="115" t="s">
        <v>313</v>
      </c>
      <c r="D72" s="118" t="s">
        <v>313</v>
      </c>
      <c r="E72" s="115" t="s">
        <v>313</v>
      </c>
      <c r="F72" s="118" t="s">
        <v>313</v>
      </c>
      <c r="G72" s="115" t="s">
        <v>313</v>
      </c>
      <c r="H72" s="118" t="s">
        <v>313</v>
      </c>
      <c r="I72" s="148" t="s">
        <v>313</v>
      </c>
      <c r="J72" s="149">
        <v>178.01300000000001</v>
      </c>
      <c r="K72" s="148" t="s">
        <v>313</v>
      </c>
      <c r="L72" s="149">
        <v>1363.54</v>
      </c>
      <c r="M72" s="148" t="s">
        <v>313</v>
      </c>
      <c r="N72" s="149" t="s">
        <v>313</v>
      </c>
      <c r="O72" s="148" t="s">
        <v>313</v>
      </c>
    </row>
    <row r="73" spans="1:15" x14ac:dyDescent="0.2">
      <c r="A73" s="110" t="s">
        <v>646</v>
      </c>
      <c r="B73" s="118" t="s">
        <v>313</v>
      </c>
      <c r="C73" s="115" t="s">
        <v>313</v>
      </c>
      <c r="D73" s="118" t="s">
        <v>313</v>
      </c>
      <c r="E73" s="115" t="s">
        <v>313</v>
      </c>
      <c r="F73" s="118" t="s">
        <v>313</v>
      </c>
      <c r="G73" s="115" t="s">
        <v>313</v>
      </c>
      <c r="H73" s="118" t="s">
        <v>313</v>
      </c>
      <c r="I73" s="148" t="s">
        <v>313</v>
      </c>
      <c r="J73" s="149">
        <v>181.101</v>
      </c>
      <c r="K73" s="148" t="s">
        <v>313</v>
      </c>
      <c r="L73" s="149">
        <v>1378.6420000000001</v>
      </c>
      <c r="M73" s="148" t="s">
        <v>313</v>
      </c>
      <c r="N73" s="149" t="s">
        <v>313</v>
      </c>
      <c r="O73" s="148" t="s">
        <v>313</v>
      </c>
    </row>
    <row r="74" spans="1:15" x14ac:dyDescent="0.2">
      <c r="A74" s="110" t="s">
        <v>647</v>
      </c>
      <c r="B74" s="118" t="s">
        <v>313</v>
      </c>
      <c r="C74" s="115" t="s">
        <v>313</v>
      </c>
      <c r="D74" s="118" t="s">
        <v>313</v>
      </c>
      <c r="E74" s="115" t="s">
        <v>313</v>
      </c>
      <c r="F74" s="118" t="s">
        <v>313</v>
      </c>
      <c r="G74" s="115" t="s">
        <v>313</v>
      </c>
      <c r="H74" s="118" t="s">
        <v>313</v>
      </c>
      <c r="I74" s="148" t="s">
        <v>313</v>
      </c>
      <c r="J74" s="149">
        <v>184.18899999999999</v>
      </c>
      <c r="K74" s="148" t="s">
        <v>313</v>
      </c>
      <c r="L74" s="149">
        <v>1398.681</v>
      </c>
      <c r="M74" s="148" t="s">
        <v>313</v>
      </c>
      <c r="N74" s="149" t="s">
        <v>313</v>
      </c>
      <c r="O74" s="148" t="s">
        <v>313</v>
      </c>
    </row>
    <row r="75" spans="1:15" x14ac:dyDescent="0.2">
      <c r="A75" s="110" t="s">
        <v>648</v>
      </c>
      <c r="B75" s="118" t="s">
        <v>313</v>
      </c>
      <c r="C75" s="115" t="s">
        <v>313</v>
      </c>
      <c r="D75" s="118" t="s">
        <v>313</v>
      </c>
      <c r="E75" s="115" t="s">
        <v>313</v>
      </c>
      <c r="F75" s="118" t="s">
        <v>313</v>
      </c>
      <c r="G75" s="115" t="s">
        <v>313</v>
      </c>
      <c r="H75" s="118" t="s">
        <v>313</v>
      </c>
      <c r="I75" s="148" t="s">
        <v>313</v>
      </c>
      <c r="J75" s="149">
        <v>774.47699999999998</v>
      </c>
      <c r="K75" s="148" t="s">
        <v>313</v>
      </c>
      <c r="L75" s="149">
        <v>6549.3490000000002</v>
      </c>
      <c r="M75" s="148" t="s">
        <v>313</v>
      </c>
      <c r="N75" s="149" t="s">
        <v>313</v>
      </c>
      <c r="O75" s="148" t="s">
        <v>313</v>
      </c>
    </row>
    <row r="76" spans="1:15" x14ac:dyDescent="0.2">
      <c r="A76" s="110" t="s">
        <v>649</v>
      </c>
      <c r="B76" s="118" t="s">
        <v>313</v>
      </c>
      <c r="C76" s="115" t="s">
        <v>313</v>
      </c>
      <c r="D76" s="118" t="s">
        <v>313</v>
      </c>
      <c r="E76" s="115" t="s">
        <v>313</v>
      </c>
      <c r="F76" s="118" t="s">
        <v>313</v>
      </c>
      <c r="G76" s="115" t="s">
        <v>313</v>
      </c>
      <c r="H76" s="118" t="s">
        <v>313</v>
      </c>
      <c r="I76" s="148" t="s">
        <v>313</v>
      </c>
      <c r="J76" s="149">
        <v>1232.5229999999999</v>
      </c>
      <c r="K76" s="148" t="s">
        <v>313</v>
      </c>
      <c r="L76" s="149">
        <v>7968.6509999999998</v>
      </c>
      <c r="M76" s="148" t="s">
        <v>313</v>
      </c>
      <c r="N76" s="149">
        <v>17030</v>
      </c>
      <c r="O76" s="148" t="s">
        <v>313</v>
      </c>
    </row>
    <row r="77" spans="1:15" x14ac:dyDescent="0.2">
      <c r="A77" s="110" t="s">
        <v>650</v>
      </c>
      <c r="B77" s="118" t="s">
        <v>313</v>
      </c>
      <c r="C77" s="115" t="s">
        <v>313</v>
      </c>
      <c r="D77" s="118" t="s">
        <v>313</v>
      </c>
      <c r="E77" s="115" t="s">
        <v>313</v>
      </c>
      <c r="F77" s="118" t="s">
        <v>313</v>
      </c>
      <c r="G77" s="115" t="s">
        <v>313</v>
      </c>
      <c r="H77" s="118" t="s">
        <v>313</v>
      </c>
      <c r="I77" s="148" t="s">
        <v>313</v>
      </c>
      <c r="J77" s="149" t="s">
        <v>313</v>
      </c>
      <c r="K77" s="148" t="s">
        <v>313</v>
      </c>
      <c r="L77" s="149">
        <v>3679</v>
      </c>
      <c r="M77" s="148" t="s">
        <v>313</v>
      </c>
      <c r="N77" s="149" t="s">
        <v>313</v>
      </c>
      <c r="O77" s="148" t="s">
        <v>313</v>
      </c>
    </row>
    <row r="78" spans="1:15" x14ac:dyDescent="0.2">
      <c r="A78" s="110"/>
      <c r="B78" s="110"/>
      <c r="C78" s="147"/>
      <c r="D78" s="110"/>
      <c r="E78" s="147"/>
      <c r="F78" s="110"/>
      <c r="G78" s="147"/>
      <c r="H78" s="110"/>
      <c r="J78" s="144"/>
      <c r="L78" s="144"/>
      <c r="N78" s="144"/>
    </row>
    <row r="79" spans="1:15" x14ac:dyDescent="0.2">
      <c r="A79" s="110" t="s">
        <v>651</v>
      </c>
      <c r="B79" s="118" t="s">
        <v>313</v>
      </c>
      <c r="C79" s="115" t="s">
        <v>313</v>
      </c>
      <c r="D79" s="118">
        <v>6464</v>
      </c>
      <c r="E79" s="115" t="s">
        <v>313</v>
      </c>
      <c r="F79" s="118">
        <v>10690</v>
      </c>
      <c r="G79" s="115" t="s">
        <v>313</v>
      </c>
      <c r="H79" s="118">
        <v>14199</v>
      </c>
      <c r="I79" s="148" t="s">
        <v>313</v>
      </c>
      <c r="J79" s="149">
        <v>20688</v>
      </c>
      <c r="K79" s="148" t="s">
        <v>313</v>
      </c>
      <c r="L79" s="149">
        <v>24123</v>
      </c>
      <c r="M79" s="148" t="s">
        <v>313</v>
      </c>
      <c r="N79" s="149" t="s">
        <v>313</v>
      </c>
      <c r="O79" s="148" t="s">
        <v>313</v>
      </c>
    </row>
    <row r="80" spans="1:15" x14ac:dyDescent="0.2">
      <c r="A80" s="110" t="s">
        <v>652</v>
      </c>
      <c r="B80" s="118" t="s">
        <v>313</v>
      </c>
      <c r="C80" s="115" t="s">
        <v>313</v>
      </c>
      <c r="D80" s="118">
        <v>10349</v>
      </c>
      <c r="E80" s="115" t="s">
        <v>313</v>
      </c>
      <c r="F80" s="118">
        <v>13152</v>
      </c>
      <c r="G80" s="115" t="s">
        <v>313</v>
      </c>
      <c r="H80" s="118">
        <v>15664</v>
      </c>
      <c r="I80" s="148" t="s">
        <v>313</v>
      </c>
      <c r="J80" s="149">
        <v>21872</v>
      </c>
      <c r="K80" s="148" t="s">
        <v>313</v>
      </c>
      <c r="L80" s="149">
        <v>26045</v>
      </c>
      <c r="M80" s="148" t="s">
        <v>313</v>
      </c>
      <c r="N80" s="149" t="s">
        <v>313</v>
      </c>
      <c r="O80" s="148" t="s">
        <v>313</v>
      </c>
    </row>
    <row r="81" spans="1:15" x14ac:dyDescent="0.2">
      <c r="A81" s="110" t="s">
        <v>653</v>
      </c>
      <c r="B81" s="118" t="s">
        <v>313</v>
      </c>
      <c r="C81" s="115" t="s">
        <v>313</v>
      </c>
      <c r="D81" s="118">
        <v>12729</v>
      </c>
      <c r="E81" s="115" t="s">
        <v>313</v>
      </c>
      <c r="F81" s="118">
        <v>14059</v>
      </c>
      <c r="G81" s="115" t="s">
        <v>313</v>
      </c>
      <c r="H81" s="118">
        <v>16329</v>
      </c>
      <c r="I81" s="148" t="s">
        <v>313</v>
      </c>
      <c r="J81" s="149">
        <v>22173</v>
      </c>
      <c r="K81" s="148" t="s">
        <v>313</v>
      </c>
      <c r="L81" s="149">
        <v>25817</v>
      </c>
      <c r="M81" s="148" t="s">
        <v>313</v>
      </c>
      <c r="N81" s="149" t="s">
        <v>313</v>
      </c>
      <c r="O81" s="148" t="s">
        <v>313</v>
      </c>
    </row>
    <row r="82" spans="1:15" x14ac:dyDescent="0.2">
      <c r="A82" s="110" t="s">
        <v>654</v>
      </c>
      <c r="B82" s="118" t="s">
        <v>313</v>
      </c>
      <c r="C82" s="115" t="s">
        <v>313</v>
      </c>
      <c r="D82" s="118">
        <v>13595</v>
      </c>
      <c r="E82" s="115" t="s">
        <v>313</v>
      </c>
      <c r="F82" s="118">
        <v>14440</v>
      </c>
      <c r="G82" s="115" t="s">
        <v>313</v>
      </c>
      <c r="H82" s="118">
        <v>16507</v>
      </c>
      <c r="I82" s="148" t="s">
        <v>313</v>
      </c>
      <c r="J82" s="149">
        <v>21766</v>
      </c>
      <c r="K82" s="148" t="s">
        <v>313</v>
      </c>
      <c r="L82" s="149">
        <v>26076</v>
      </c>
      <c r="M82" s="148" t="s">
        <v>313</v>
      </c>
      <c r="N82" s="149" t="s">
        <v>313</v>
      </c>
      <c r="O82" s="148" t="s">
        <v>313</v>
      </c>
    </row>
    <row r="83" spans="1:15" x14ac:dyDescent="0.2">
      <c r="A83" s="110" t="s">
        <v>655</v>
      </c>
      <c r="B83" s="118" t="s">
        <v>313</v>
      </c>
      <c r="C83" s="115" t="s">
        <v>313</v>
      </c>
      <c r="D83" s="118">
        <v>13973</v>
      </c>
      <c r="E83" s="115" t="s">
        <v>313</v>
      </c>
      <c r="F83" s="118">
        <v>14603</v>
      </c>
      <c r="G83" s="115" t="s">
        <v>313</v>
      </c>
      <c r="H83" s="118">
        <v>15982</v>
      </c>
      <c r="I83" s="148" t="s">
        <v>313</v>
      </c>
      <c r="J83" s="149">
        <v>21965</v>
      </c>
      <c r="K83" s="148" t="s">
        <v>313</v>
      </c>
      <c r="L83" s="149">
        <v>26506</v>
      </c>
      <c r="M83" s="148" t="s">
        <v>313</v>
      </c>
      <c r="N83" s="149" t="s">
        <v>313</v>
      </c>
      <c r="O83" s="148" t="s">
        <v>313</v>
      </c>
    </row>
    <row r="84" spans="1:15" x14ac:dyDescent="0.2">
      <c r="A84" s="110" t="s">
        <v>656</v>
      </c>
      <c r="B84" s="118" t="s">
        <v>313</v>
      </c>
      <c r="C84" s="115" t="s">
        <v>313</v>
      </c>
      <c r="D84" s="118">
        <v>57110</v>
      </c>
      <c r="E84" s="115" t="s">
        <v>313</v>
      </c>
      <c r="F84" s="118">
        <v>66944</v>
      </c>
      <c r="G84" s="115" t="s">
        <v>313</v>
      </c>
      <c r="H84" s="118">
        <v>78681</v>
      </c>
      <c r="I84" s="148" t="s">
        <v>313</v>
      </c>
      <c r="J84" s="149">
        <v>108464</v>
      </c>
      <c r="K84" s="148" t="s">
        <v>313</v>
      </c>
      <c r="L84" s="149">
        <v>128567</v>
      </c>
      <c r="M84" s="148" t="s">
        <v>313</v>
      </c>
      <c r="N84" s="149" t="s">
        <v>313</v>
      </c>
      <c r="O84" s="148" t="s">
        <v>313</v>
      </c>
    </row>
    <row r="85" spans="1:15" x14ac:dyDescent="0.2">
      <c r="A85" s="110" t="s">
        <v>657</v>
      </c>
      <c r="B85" s="118" t="s">
        <v>313</v>
      </c>
      <c r="C85" s="115" t="s">
        <v>313</v>
      </c>
      <c r="D85" s="118">
        <v>109105</v>
      </c>
      <c r="E85" s="115" t="s">
        <v>313</v>
      </c>
      <c r="F85" s="118">
        <v>99093</v>
      </c>
      <c r="G85" s="115" t="s">
        <v>313</v>
      </c>
      <c r="H85" s="118">
        <v>97415</v>
      </c>
      <c r="I85" s="148" t="s">
        <v>313</v>
      </c>
      <c r="J85" s="149">
        <v>123372</v>
      </c>
      <c r="K85" s="148" t="s">
        <v>313</v>
      </c>
      <c r="L85" s="149">
        <v>143244</v>
      </c>
      <c r="M85" s="148" t="s">
        <v>313</v>
      </c>
      <c r="N85" s="149" t="s">
        <v>313</v>
      </c>
      <c r="O85" s="148" t="s">
        <v>313</v>
      </c>
    </row>
    <row r="86" spans="1:15" x14ac:dyDescent="0.2">
      <c r="A86" s="110"/>
      <c r="B86" s="110"/>
      <c r="C86" s="147"/>
      <c r="D86" s="110"/>
      <c r="E86" s="147"/>
      <c r="F86" s="110"/>
      <c r="G86" s="147"/>
      <c r="H86" s="110"/>
      <c r="J86" s="144"/>
      <c r="L86" s="144"/>
      <c r="N86" s="144"/>
    </row>
    <row r="87" spans="1:15" x14ac:dyDescent="0.2">
      <c r="A87" s="110" t="s">
        <v>658</v>
      </c>
      <c r="B87" s="118" t="s">
        <v>313</v>
      </c>
      <c r="C87" s="115" t="s">
        <v>313</v>
      </c>
      <c r="D87" s="118" t="s">
        <v>313</v>
      </c>
      <c r="E87" s="115" t="s">
        <v>313</v>
      </c>
      <c r="F87" s="118">
        <v>42785</v>
      </c>
      <c r="G87" s="115" t="s">
        <v>313</v>
      </c>
      <c r="H87" s="118">
        <v>20888</v>
      </c>
      <c r="I87" s="148" t="s">
        <v>313</v>
      </c>
      <c r="J87" s="149">
        <v>37072</v>
      </c>
      <c r="K87" s="148" t="s">
        <v>313</v>
      </c>
      <c r="L87" s="149">
        <v>85948</v>
      </c>
      <c r="M87" s="148" t="s">
        <v>313</v>
      </c>
      <c r="N87" s="149" t="s">
        <v>313</v>
      </c>
      <c r="O87" s="148" t="s">
        <v>313</v>
      </c>
    </row>
    <row r="88" spans="1:15" x14ac:dyDescent="0.2">
      <c r="A88" s="110" t="s">
        <v>659</v>
      </c>
      <c r="B88" s="118" t="s">
        <v>313</v>
      </c>
      <c r="C88" s="115" t="s">
        <v>313</v>
      </c>
      <c r="D88" s="118" t="s">
        <v>313</v>
      </c>
      <c r="E88" s="115" t="s">
        <v>313</v>
      </c>
      <c r="F88" s="118">
        <v>891</v>
      </c>
      <c r="G88" s="115" t="s">
        <v>313</v>
      </c>
      <c r="H88" s="118">
        <v>13740</v>
      </c>
      <c r="I88" s="148" t="s">
        <v>313</v>
      </c>
      <c r="J88" s="149">
        <v>30780</v>
      </c>
      <c r="K88" s="148" t="s">
        <v>313</v>
      </c>
      <c r="L88" s="149">
        <v>14238</v>
      </c>
      <c r="M88" s="148" t="s">
        <v>313</v>
      </c>
      <c r="N88" s="149" t="s">
        <v>313</v>
      </c>
      <c r="O88" s="148" t="s">
        <v>313</v>
      </c>
    </row>
    <row r="89" spans="1:15" x14ac:dyDescent="0.2">
      <c r="A89" s="110" t="s">
        <v>660</v>
      </c>
      <c r="B89" s="118" t="s">
        <v>313</v>
      </c>
      <c r="C89" s="115" t="s">
        <v>313</v>
      </c>
      <c r="D89" s="118" t="s">
        <v>313</v>
      </c>
      <c r="E89" s="115" t="s">
        <v>313</v>
      </c>
      <c r="F89" s="118">
        <v>891</v>
      </c>
      <c r="G89" s="115" t="s">
        <v>313</v>
      </c>
      <c r="H89" s="118">
        <v>13740</v>
      </c>
      <c r="I89" s="148" t="s">
        <v>313</v>
      </c>
      <c r="J89" s="149">
        <v>30780</v>
      </c>
      <c r="K89" s="148" t="s">
        <v>313</v>
      </c>
      <c r="L89" s="149">
        <v>14238</v>
      </c>
      <c r="M89" s="148" t="s">
        <v>313</v>
      </c>
      <c r="N89" s="149" t="s">
        <v>313</v>
      </c>
      <c r="O89" s="148" t="s">
        <v>313</v>
      </c>
    </row>
    <row r="90" spans="1:15" x14ac:dyDescent="0.2">
      <c r="A90" s="110" t="s">
        <v>661</v>
      </c>
      <c r="B90" s="118" t="s">
        <v>313</v>
      </c>
      <c r="C90" s="115" t="s">
        <v>313</v>
      </c>
      <c r="D90" s="118">
        <v>1225</v>
      </c>
      <c r="E90" s="115" t="s">
        <v>313</v>
      </c>
      <c r="F90" s="118">
        <v>1225</v>
      </c>
      <c r="G90" s="115" t="s">
        <v>313</v>
      </c>
      <c r="H90" s="118">
        <v>12849</v>
      </c>
      <c r="I90" s="148" t="s">
        <v>313</v>
      </c>
      <c r="J90" s="149">
        <v>15824.5</v>
      </c>
      <c r="K90" s="148" t="s">
        <v>313</v>
      </c>
      <c r="L90" s="149">
        <v>15609</v>
      </c>
      <c r="M90" s="148" t="s">
        <v>313</v>
      </c>
      <c r="N90" s="149" t="s">
        <v>313</v>
      </c>
      <c r="O90" s="148" t="s">
        <v>313</v>
      </c>
    </row>
    <row r="91" spans="1:15" x14ac:dyDescent="0.2">
      <c r="A91" s="110" t="s">
        <v>662</v>
      </c>
      <c r="B91" s="118" t="s">
        <v>313</v>
      </c>
      <c r="C91" s="115" t="s">
        <v>313</v>
      </c>
      <c r="D91" s="118">
        <v>1225</v>
      </c>
      <c r="E91" s="115" t="s">
        <v>313</v>
      </c>
      <c r="F91" s="118">
        <v>1225</v>
      </c>
      <c r="G91" s="115" t="s">
        <v>313</v>
      </c>
      <c r="H91" s="118">
        <v>12849</v>
      </c>
      <c r="I91" s="148" t="s">
        <v>313</v>
      </c>
      <c r="J91" s="149">
        <v>15824.5</v>
      </c>
      <c r="K91" s="148" t="s">
        <v>313</v>
      </c>
      <c r="L91" s="149">
        <v>15609</v>
      </c>
      <c r="M91" s="148" t="s">
        <v>313</v>
      </c>
      <c r="N91" s="149" t="s">
        <v>313</v>
      </c>
      <c r="O91" s="148" t="s">
        <v>313</v>
      </c>
    </row>
    <row r="92" spans="1:15" x14ac:dyDescent="0.2">
      <c r="A92" s="110" t="s">
        <v>663</v>
      </c>
      <c r="B92" s="118" t="s">
        <v>313</v>
      </c>
      <c r="C92" s="115" t="s">
        <v>313</v>
      </c>
      <c r="D92" s="118">
        <v>2450</v>
      </c>
      <c r="E92" s="115" t="s">
        <v>313</v>
      </c>
      <c r="F92" s="118">
        <v>47017</v>
      </c>
      <c r="G92" s="115" t="s">
        <v>313</v>
      </c>
      <c r="H92" s="118">
        <v>74066</v>
      </c>
      <c r="I92" s="148" t="s">
        <v>313</v>
      </c>
      <c r="J92" s="149">
        <v>130281</v>
      </c>
      <c r="K92" s="148" t="s">
        <v>313</v>
      </c>
      <c r="L92" s="149">
        <v>145642</v>
      </c>
      <c r="M92" s="148" t="s">
        <v>313</v>
      </c>
      <c r="N92" s="149" t="s">
        <v>313</v>
      </c>
      <c r="O92" s="148" t="s">
        <v>313</v>
      </c>
    </row>
    <row r="93" spans="1:15" x14ac:dyDescent="0.2">
      <c r="A93" s="110" t="s">
        <v>664</v>
      </c>
      <c r="B93" s="118" t="s">
        <v>313</v>
      </c>
      <c r="C93" s="115" t="s">
        <v>313</v>
      </c>
      <c r="D93" s="118" t="s">
        <v>313</v>
      </c>
      <c r="E93" s="115" t="s">
        <v>313</v>
      </c>
      <c r="F93" s="118" t="s">
        <v>313</v>
      </c>
      <c r="G93" s="115" t="s">
        <v>313</v>
      </c>
      <c r="H93" s="118">
        <v>175157</v>
      </c>
      <c r="I93" s="148" t="s">
        <v>313</v>
      </c>
      <c r="J93" s="149">
        <v>234837</v>
      </c>
      <c r="K93" s="148" t="s">
        <v>313</v>
      </c>
      <c r="L93" s="149">
        <v>183244</v>
      </c>
      <c r="M93" s="148" t="s">
        <v>313</v>
      </c>
      <c r="N93" s="149" t="s">
        <v>313</v>
      </c>
      <c r="O93" s="148" t="s">
        <v>313</v>
      </c>
    </row>
    <row r="94" spans="1:15" x14ac:dyDescent="0.2">
      <c r="A94" s="110" t="s">
        <v>665</v>
      </c>
      <c r="B94" s="118" t="s">
        <v>313</v>
      </c>
      <c r="C94" s="115" t="s">
        <v>313</v>
      </c>
      <c r="D94" s="118">
        <v>2450</v>
      </c>
      <c r="E94" s="115" t="s">
        <v>313</v>
      </c>
      <c r="F94" s="118">
        <v>47017</v>
      </c>
      <c r="G94" s="115" t="s">
        <v>313</v>
      </c>
      <c r="H94" s="118">
        <v>249223</v>
      </c>
      <c r="I94" s="148" t="s">
        <v>313</v>
      </c>
      <c r="J94" s="149">
        <v>365118</v>
      </c>
      <c r="K94" s="148" t="s">
        <v>313</v>
      </c>
      <c r="L94" s="149">
        <v>328886</v>
      </c>
      <c r="M94" s="148" t="s">
        <v>313</v>
      </c>
      <c r="N94" s="149" t="s">
        <v>313</v>
      </c>
      <c r="O94" s="148" t="s">
        <v>313</v>
      </c>
    </row>
    <row r="95" spans="1:15" x14ac:dyDescent="0.2">
      <c r="A95" s="110"/>
      <c r="B95" s="110"/>
      <c r="C95" s="147"/>
      <c r="D95" s="110"/>
      <c r="E95" s="147"/>
      <c r="F95" s="110"/>
      <c r="G95" s="147"/>
      <c r="H95" s="110"/>
      <c r="J95" s="144"/>
      <c r="L95" s="144"/>
      <c r="N95" s="144"/>
    </row>
    <row r="96" spans="1:15" x14ac:dyDescent="0.2">
      <c r="A96" s="109" t="s">
        <v>666</v>
      </c>
      <c r="B96" s="110"/>
      <c r="C96" s="147"/>
      <c r="D96" s="110"/>
      <c r="E96" s="147"/>
      <c r="F96" s="110"/>
      <c r="G96" s="147"/>
      <c r="H96" s="110"/>
      <c r="J96" s="144"/>
      <c r="L96" s="144"/>
      <c r="N96" s="144"/>
    </row>
    <row r="97" spans="1:15" x14ac:dyDescent="0.2">
      <c r="A97" s="110" t="s">
        <v>436</v>
      </c>
      <c r="B97" s="130">
        <v>42090</v>
      </c>
      <c r="C97" s="115" t="s">
        <v>313</v>
      </c>
      <c r="D97" s="130">
        <v>42459</v>
      </c>
      <c r="E97" s="115" t="s">
        <v>313</v>
      </c>
      <c r="F97" s="130">
        <v>42807</v>
      </c>
      <c r="G97" s="115" t="s">
        <v>313</v>
      </c>
      <c r="H97" s="130">
        <v>43157</v>
      </c>
      <c r="I97" s="148" t="s">
        <v>313</v>
      </c>
      <c r="J97" s="154">
        <v>43157</v>
      </c>
      <c r="K97" s="148" t="s">
        <v>313</v>
      </c>
      <c r="L97" s="154">
        <v>43157</v>
      </c>
      <c r="M97" s="148" t="s">
        <v>313</v>
      </c>
      <c r="N97" s="154">
        <v>43227</v>
      </c>
      <c r="O97" s="148" t="s">
        <v>313</v>
      </c>
    </row>
    <row r="98" spans="1:15" ht="61.2" x14ac:dyDescent="0.2">
      <c r="A98" s="136" t="s">
        <v>361</v>
      </c>
      <c r="B98" s="119"/>
      <c r="C98" s="119"/>
      <c r="D98" s="119"/>
      <c r="E98" s="119"/>
      <c r="F98" s="119"/>
      <c r="G98" s="119"/>
      <c r="H98" s="119"/>
    </row>
  </sheetData>
  <mergeCells count="14">
    <mergeCell ref="N14:O14"/>
    <mergeCell ref="B26:C26"/>
    <mergeCell ref="D26:E26"/>
    <mergeCell ref="F26:G26"/>
    <mergeCell ref="H26:I26"/>
    <mergeCell ref="J26:K26"/>
    <mergeCell ref="L26:M26"/>
    <mergeCell ref="N26:O26"/>
    <mergeCell ref="B14:C14"/>
    <mergeCell ref="D14:E14"/>
    <mergeCell ref="F14:G14"/>
    <mergeCell ref="H14:I14"/>
    <mergeCell ref="J14:K14"/>
    <mergeCell ref="L14:M14"/>
  </mergeCells>
  <phoneticPr fontId="1" type="noConversion"/>
  <pageMargins left="0.2" right="0.2" top="0.5" bottom="0.5" header="0.5" footer="0.5"/>
  <pageSetup fitToWidth="0" fitToHeight="0"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399FF"/>
    <outlinePr summaryBelow="0" summaryRight="0"/>
    <pageSetUpPr autoPageBreaks="0"/>
  </sheetPr>
  <dimension ref="A5:IU25"/>
  <sheetViews>
    <sheetView workbookViewId="0"/>
  </sheetViews>
  <sheetFormatPr defaultRowHeight="10.199999999999999" x14ac:dyDescent="0.2"/>
  <cols>
    <col min="1" max="1" width="30.59765625" style="98" customWidth="1"/>
    <col min="2" max="25" width="11.59765625" style="98" customWidth="1"/>
    <col min="26" max="256" width="9" style="98"/>
    <col min="257" max="257" width="18.19921875" style="98" customWidth="1"/>
    <col min="258" max="258" width="20" style="98" customWidth="1"/>
    <col min="259" max="259" width="13.796875" style="98" customWidth="1"/>
    <col min="260" max="260" width="11.19921875" style="98" customWidth="1"/>
    <col min="261" max="261" width="17.296875" style="98" customWidth="1"/>
    <col min="262" max="263" width="13.796875" style="98" customWidth="1"/>
    <col min="264" max="264" width="9.5" style="98" customWidth="1"/>
    <col min="265" max="265" width="14.69921875" style="98" customWidth="1"/>
    <col min="266" max="266" width="6.796875" style="98" customWidth="1"/>
    <col min="267" max="512" width="9" style="98"/>
    <col min="513" max="513" width="18.19921875" style="98" customWidth="1"/>
    <col min="514" max="514" width="20" style="98" customWidth="1"/>
    <col min="515" max="515" width="13.796875" style="98" customWidth="1"/>
    <col min="516" max="516" width="11.19921875" style="98" customWidth="1"/>
    <col min="517" max="517" width="17.296875" style="98" customWidth="1"/>
    <col min="518" max="519" width="13.796875" style="98" customWidth="1"/>
    <col min="520" max="520" width="9.5" style="98" customWidth="1"/>
    <col min="521" max="521" width="14.69921875" style="98" customWidth="1"/>
    <col min="522" max="522" width="6.796875" style="98" customWidth="1"/>
    <col min="523" max="768" width="9" style="98"/>
    <col min="769" max="769" width="18.19921875" style="98" customWidth="1"/>
    <col min="770" max="770" width="20" style="98" customWidth="1"/>
    <col min="771" max="771" width="13.796875" style="98" customWidth="1"/>
    <col min="772" max="772" width="11.19921875" style="98" customWidth="1"/>
    <col min="773" max="773" width="17.296875" style="98" customWidth="1"/>
    <col min="774" max="775" width="13.796875" style="98" customWidth="1"/>
    <col min="776" max="776" width="9.5" style="98" customWidth="1"/>
    <col min="777" max="777" width="14.69921875" style="98" customWidth="1"/>
    <col min="778" max="778" width="6.796875" style="98" customWidth="1"/>
    <col min="779" max="1024" width="9" style="98"/>
    <col min="1025" max="1025" width="18.19921875" style="98" customWidth="1"/>
    <col min="1026" max="1026" width="20" style="98" customWidth="1"/>
    <col min="1027" max="1027" width="13.796875" style="98" customWidth="1"/>
    <col min="1028" max="1028" width="11.19921875" style="98" customWidth="1"/>
    <col min="1029" max="1029" width="17.296875" style="98" customWidth="1"/>
    <col min="1030" max="1031" width="13.796875" style="98" customWidth="1"/>
    <col min="1032" max="1032" width="9.5" style="98" customWidth="1"/>
    <col min="1033" max="1033" width="14.69921875" style="98" customWidth="1"/>
    <col min="1034" max="1034" width="6.796875" style="98" customWidth="1"/>
    <col min="1035" max="1280" width="9" style="98"/>
    <col min="1281" max="1281" width="18.19921875" style="98" customWidth="1"/>
    <col min="1282" max="1282" width="20" style="98" customWidth="1"/>
    <col min="1283" max="1283" width="13.796875" style="98" customWidth="1"/>
    <col min="1284" max="1284" width="11.19921875" style="98" customWidth="1"/>
    <col min="1285" max="1285" width="17.296875" style="98" customWidth="1"/>
    <col min="1286" max="1287" width="13.796875" style="98" customWidth="1"/>
    <col min="1288" max="1288" width="9.5" style="98" customWidth="1"/>
    <col min="1289" max="1289" width="14.69921875" style="98" customWidth="1"/>
    <col min="1290" max="1290" width="6.796875" style="98" customWidth="1"/>
    <col min="1291" max="1536" width="9" style="98"/>
    <col min="1537" max="1537" width="18.19921875" style="98" customWidth="1"/>
    <col min="1538" max="1538" width="20" style="98" customWidth="1"/>
    <col min="1539" max="1539" width="13.796875" style="98" customWidth="1"/>
    <col min="1540" max="1540" width="11.19921875" style="98" customWidth="1"/>
    <col min="1541" max="1541" width="17.296875" style="98" customWidth="1"/>
    <col min="1542" max="1543" width="13.796875" style="98" customWidth="1"/>
    <col min="1544" max="1544" width="9.5" style="98" customWidth="1"/>
    <col min="1545" max="1545" width="14.69921875" style="98" customWidth="1"/>
    <col min="1546" max="1546" width="6.796875" style="98" customWidth="1"/>
    <col min="1547" max="1792" width="9" style="98"/>
    <col min="1793" max="1793" width="18.19921875" style="98" customWidth="1"/>
    <col min="1794" max="1794" width="20" style="98" customWidth="1"/>
    <col min="1795" max="1795" width="13.796875" style="98" customWidth="1"/>
    <col min="1796" max="1796" width="11.19921875" style="98" customWidth="1"/>
    <col min="1797" max="1797" width="17.296875" style="98" customWidth="1"/>
    <col min="1798" max="1799" width="13.796875" style="98" customWidth="1"/>
    <col min="1800" max="1800" width="9.5" style="98" customWidth="1"/>
    <col min="1801" max="1801" width="14.69921875" style="98" customWidth="1"/>
    <col min="1802" max="1802" width="6.796875" style="98" customWidth="1"/>
    <col min="1803" max="2048" width="9" style="98"/>
    <col min="2049" max="2049" width="18.19921875" style="98" customWidth="1"/>
    <col min="2050" max="2050" width="20" style="98" customWidth="1"/>
    <col min="2051" max="2051" width="13.796875" style="98" customWidth="1"/>
    <col min="2052" max="2052" width="11.19921875" style="98" customWidth="1"/>
    <col min="2053" max="2053" width="17.296875" style="98" customWidth="1"/>
    <col min="2054" max="2055" width="13.796875" style="98" customWidth="1"/>
    <col min="2056" max="2056" width="9.5" style="98" customWidth="1"/>
    <col min="2057" max="2057" width="14.69921875" style="98" customWidth="1"/>
    <col min="2058" max="2058" width="6.796875" style="98" customWidth="1"/>
    <col min="2059" max="2304" width="9" style="98"/>
    <col min="2305" max="2305" width="18.19921875" style="98" customWidth="1"/>
    <col min="2306" max="2306" width="20" style="98" customWidth="1"/>
    <col min="2307" max="2307" width="13.796875" style="98" customWidth="1"/>
    <col min="2308" max="2308" width="11.19921875" style="98" customWidth="1"/>
    <col min="2309" max="2309" width="17.296875" style="98" customWidth="1"/>
    <col min="2310" max="2311" width="13.796875" style="98" customWidth="1"/>
    <col min="2312" max="2312" width="9.5" style="98" customWidth="1"/>
    <col min="2313" max="2313" width="14.69921875" style="98" customWidth="1"/>
    <col min="2314" max="2314" width="6.796875" style="98" customWidth="1"/>
    <col min="2315" max="2560" width="9" style="98"/>
    <col min="2561" max="2561" width="18.19921875" style="98" customWidth="1"/>
    <col min="2562" max="2562" width="20" style="98" customWidth="1"/>
    <col min="2563" max="2563" width="13.796875" style="98" customWidth="1"/>
    <col min="2564" max="2564" width="11.19921875" style="98" customWidth="1"/>
    <col min="2565" max="2565" width="17.296875" style="98" customWidth="1"/>
    <col min="2566" max="2567" width="13.796875" style="98" customWidth="1"/>
    <col min="2568" max="2568" width="9.5" style="98" customWidth="1"/>
    <col min="2569" max="2569" width="14.69921875" style="98" customWidth="1"/>
    <col min="2570" max="2570" width="6.796875" style="98" customWidth="1"/>
    <col min="2571" max="2816" width="9" style="98"/>
    <col min="2817" max="2817" width="18.19921875" style="98" customWidth="1"/>
    <col min="2818" max="2818" width="20" style="98" customWidth="1"/>
    <col min="2819" max="2819" width="13.796875" style="98" customWidth="1"/>
    <col min="2820" max="2820" width="11.19921875" style="98" customWidth="1"/>
    <col min="2821" max="2821" width="17.296875" style="98" customWidth="1"/>
    <col min="2822" max="2823" width="13.796875" style="98" customWidth="1"/>
    <col min="2824" max="2824" width="9.5" style="98" customWidth="1"/>
    <col min="2825" max="2825" width="14.69921875" style="98" customWidth="1"/>
    <col min="2826" max="2826" width="6.796875" style="98" customWidth="1"/>
    <col min="2827" max="3072" width="9" style="98"/>
    <col min="3073" max="3073" width="18.19921875" style="98" customWidth="1"/>
    <col min="3074" max="3074" width="20" style="98" customWidth="1"/>
    <col min="3075" max="3075" width="13.796875" style="98" customWidth="1"/>
    <col min="3076" max="3076" width="11.19921875" style="98" customWidth="1"/>
    <col min="3077" max="3077" width="17.296875" style="98" customWidth="1"/>
    <col min="3078" max="3079" width="13.796875" style="98" customWidth="1"/>
    <col min="3080" max="3080" width="9.5" style="98" customWidth="1"/>
    <col min="3081" max="3081" width="14.69921875" style="98" customWidth="1"/>
    <col min="3082" max="3082" width="6.796875" style="98" customWidth="1"/>
    <col min="3083" max="3328" width="9" style="98"/>
    <col min="3329" max="3329" width="18.19921875" style="98" customWidth="1"/>
    <col min="3330" max="3330" width="20" style="98" customWidth="1"/>
    <col min="3331" max="3331" width="13.796875" style="98" customWidth="1"/>
    <col min="3332" max="3332" width="11.19921875" style="98" customWidth="1"/>
    <col min="3333" max="3333" width="17.296875" style="98" customWidth="1"/>
    <col min="3334" max="3335" width="13.796875" style="98" customWidth="1"/>
    <col min="3336" max="3336" width="9.5" style="98" customWidth="1"/>
    <col min="3337" max="3337" width="14.69921875" style="98" customWidth="1"/>
    <col min="3338" max="3338" width="6.796875" style="98" customWidth="1"/>
    <col min="3339" max="3584" width="9" style="98"/>
    <col min="3585" max="3585" width="18.19921875" style="98" customWidth="1"/>
    <col min="3586" max="3586" width="20" style="98" customWidth="1"/>
    <col min="3587" max="3587" width="13.796875" style="98" customWidth="1"/>
    <col min="3588" max="3588" width="11.19921875" style="98" customWidth="1"/>
    <col min="3589" max="3589" width="17.296875" style="98" customWidth="1"/>
    <col min="3590" max="3591" width="13.796875" style="98" customWidth="1"/>
    <col min="3592" max="3592" width="9.5" style="98" customWidth="1"/>
    <col min="3593" max="3593" width="14.69921875" style="98" customWidth="1"/>
    <col min="3594" max="3594" width="6.796875" style="98" customWidth="1"/>
    <col min="3595" max="3840" width="9" style="98"/>
    <col min="3841" max="3841" width="18.19921875" style="98" customWidth="1"/>
    <col min="3842" max="3842" width="20" style="98" customWidth="1"/>
    <col min="3843" max="3843" width="13.796875" style="98" customWidth="1"/>
    <col min="3844" max="3844" width="11.19921875" style="98" customWidth="1"/>
    <col min="3845" max="3845" width="17.296875" style="98" customWidth="1"/>
    <col min="3846" max="3847" width="13.796875" style="98" customWidth="1"/>
    <col min="3848" max="3848" width="9.5" style="98" customWidth="1"/>
    <col min="3849" max="3849" width="14.69921875" style="98" customWidth="1"/>
    <col min="3850" max="3850" width="6.796875" style="98" customWidth="1"/>
    <col min="3851" max="4096" width="9" style="98"/>
    <col min="4097" max="4097" width="18.19921875" style="98" customWidth="1"/>
    <col min="4098" max="4098" width="20" style="98" customWidth="1"/>
    <col min="4099" max="4099" width="13.796875" style="98" customWidth="1"/>
    <col min="4100" max="4100" width="11.19921875" style="98" customWidth="1"/>
    <col min="4101" max="4101" width="17.296875" style="98" customWidth="1"/>
    <col min="4102" max="4103" width="13.796875" style="98" customWidth="1"/>
    <col min="4104" max="4104" width="9.5" style="98" customWidth="1"/>
    <col min="4105" max="4105" width="14.69921875" style="98" customWidth="1"/>
    <col min="4106" max="4106" width="6.796875" style="98" customWidth="1"/>
    <col min="4107" max="4352" width="9" style="98"/>
    <col min="4353" max="4353" width="18.19921875" style="98" customWidth="1"/>
    <col min="4354" max="4354" width="20" style="98" customWidth="1"/>
    <col min="4355" max="4355" width="13.796875" style="98" customWidth="1"/>
    <col min="4356" max="4356" width="11.19921875" style="98" customWidth="1"/>
    <col min="4357" max="4357" width="17.296875" style="98" customWidth="1"/>
    <col min="4358" max="4359" width="13.796875" style="98" customWidth="1"/>
    <col min="4360" max="4360" width="9.5" style="98" customWidth="1"/>
    <col min="4361" max="4361" width="14.69921875" style="98" customWidth="1"/>
    <col min="4362" max="4362" width="6.796875" style="98" customWidth="1"/>
    <col min="4363" max="4608" width="9" style="98"/>
    <col min="4609" max="4609" width="18.19921875" style="98" customWidth="1"/>
    <col min="4610" max="4610" width="20" style="98" customWidth="1"/>
    <col min="4611" max="4611" width="13.796875" style="98" customWidth="1"/>
    <col min="4612" max="4612" width="11.19921875" style="98" customWidth="1"/>
    <col min="4613" max="4613" width="17.296875" style="98" customWidth="1"/>
    <col min="4614" max="4615" width="13.796875" style="98" customWidth="1"/>
    <col min="4616" max="4616" width="9.5" style="98" customWidth="1"/>
    <col min="4617" max="4617" width="14.69921875" style="98" customWidth="1"/>
    <col min="4618" max="4618" width="6.796875" style="98" customWidth="1"/>
    <col min="4619" max="4864" width="9" style="98"/>
    <col min="4865" max="4865" width="18.19921875" style="98" customWidth="1"/>
    <col min="4866" max="4866" width="20" style="98" customWidth="1"/>
    <col min="4867" max="4867" width="13.796875" style="98" customWidth="1"/>
    <col min="4868" max="4868" width="11.19921875" style="98" customWidth="1"/>
    <col min="4869" max="4869" width="17.296875" style="98" customWidth="1"/>
    <col min="4870" max="4871" width="13.796875" style="98" customWidth="1"/>
    <col min="4872" max="4872" width="9.5" style="98" customWidth="1"/>
    <col min="4873" max="4873" width="14.69921875" style="98" customWidth="1"/>
    <col min="4874" max="4874" width="6.796875" style="98" customWidth="1"/>
    <col min="4875" max="5120" width="9" style="98"/>
    <col min="5121" max="5121" width="18.19921875" style="98" customWidth="1"/>
    <col min="5122" max="5122" width="20" style="98" customWidth="1"/>
    <col min="5123" max="5123" width="13.796875" style="98" customWidth="1"/>
    <col min="5124" max="5124" width="11.19921875" style="98" customWidth="1"/>
    <col min="5125" max="5125" width="17.296875" style="98" customWidth="1"/>
    <col min="5126" max="5127" width="13.796875" style="98" customWidth="1"/>
    <col min="5128" max="5128" width="9.5" style="98" customWidth="1"/>
    <col min="5129" max="5129" width="14.69921875" style="98" customWidth="1"/>
    <col min="5130" max="5130" width="6.796875" style="98" customWidth="1"/>
    <col min="5131" max="5376" width="9" style="98"/>
    <col min="5377" max="5377" width="18.19921875" style="98" customWidth="1"/>
    <col min="5378" max="5378" width="20" style="98" customWidth="1"/>
    <col min="5379" max="5379" width="13.796875" style="98" customWidth="1"/>
    <col min="5380" max="5380" width="11.19921875" style="98" customWidth="1"/>
    <col min="5381" max="5381" width="17.296875" style="98" customWidth="1"/>
    <col min="5382" max="5383" width="13.796875" style="98" customWidth="1"/>
    <col min="5384" max="5384" width="9.5" style="98" customWidth="1"/>
    <col min="5385" max="5385" width="14.69921875" style="98" customWidth="1"/>
    <col min="5386" max="5386" width="6.796875" style="98" customWidth="1"/>
    <col min="5387" max="5632" width="9" style="98"/>
    <col min="5633" max="5633" width="18.19921875" style="98" customWidth="1"/>
    <col min="5634" max="5634" width="20" style="98" customWidth="1"/>
    <col min="5635" max="5635" width="13.796875" style="98" customWidth="1"/>
    <col min="5636" max="5636" width="11.19921875" style="98" customWidth="1"/>
    <col min="5637" max="5637" width="17.296875" style="98" customWidth="1"/>
    <col min="5638" max="5639" width="13.796875" style="98" customWidth="1"/>
    <col min="5640" max="5640" width="9.5" style="98" customWidth="1"/>
    <col min="5641" max="5641" width="14.69921875" style="98" customWidth="1"/>
    <col min="5642" max="5642" width="6.796875" style="98" customWidth="1"/>
    <col min="5643" max="5888" width="9" style="98"/>
    <col min="5889" max="5889" width="18.19921875" style="98" customWidth="1"/>
    <col min="5890" max="5890" width="20" style="98" customWidth="1"/>
    <col min="5891" max="5891" width="13.796875" style="98" customWidth="1"/>
    <col min="5892" max="5892" width="11.19921875" style="98" customWidth="1"/>
    <col min="5893" max="5893" width="17.296875" style="98" customWidth="1"/>
    <col min="5894" max="5895" width="13.796875" style="98" customWidth="1"/>
    <col min="5896" max="5896" width="9.5" style="98" customWidth="1"/>
    <col min="5897" max="5897" width="14.69921875" style="98" customWidth="1"/>
    <col min="5898" max="5898" width="6.796875" style="98" customWidth="1"/>
    <col min="5899" max="6144" width="9" style="98"/>
    <col min="6145" max="6145" width="18.19921875" style="98" customWidth="1"/>
    <col min="6146" max="6146" width="20" style="98" customWidth="1"/>
    <col min="6147" max="6147" width="13.796875" style="98" customWidth="1"/>
    <col min="6148" max="6148" width="11.19921875" style="98" customWidth="1"/>
    <col min="6149" max="6149" width="17.296875" style="98" customWidth="1"/>
    <col min="6150" max="6151" width="13.796875" style="98" customWidth="1"/>
    <col min="6152" max="6152" width="9.5" style="98" customWidth="1"/>
    <col min="6153" max="6153" width="14.69921875" style="98" customWidth="1"/>
    <col min="6154" max="6154" width="6.796875" style="98" customWidth="1"/>
    <col min="6155" max="6400" width="9" style="98"/>
    <col min="6401" max="6401" width="18.19921875" style="98" customWidth="1"/>
    <col min="6402" max="6402" width="20" style="98" customWidth="1"/>
    <col min="6403" max="6403" width="13.796875" style="98" customWidth="1"/>
    <col min="6404" max="6404" width="11.19921875" style="98" customWidth="1"/>
    <col min="6405" max="6405" width="17.296875" style="98" customWidth="1"/>
    <col min="6406" max="6407" width="13.796875" style="98" customWidth="1"/>
    <col min="6408" max="6408" width="9.5" style="98" customWidth="1"/>
    <col min="6409" max="6409" width="14.69921875" style="98" customWidth="1"/>
    <col min="6410" max="6410" width="6.796875" style="98" customWidth="1"/>
    <col min="6411" max="6656" width="9" style="98"/>
    <col min="6657" max="6657" width="18.19921875" style="98" customWidth="1"/>
    <col min="6658" max="6658" width="20" style="98" customWidth="1"/>
    <col min="6659" max="6659" width="13.796875" style="98" customWidth="1"/>
    <col min="6660" max="6660" width="11.19921875" style="98" customWidth="1"/>
    <col min="6661" max="6661" width="17.296875" style="98" customWidth="1"/>
    <col min="6662" max="6663" width="13.796875" style="98" customWidth="1"/>
    <col min="6664" max="6664" width="9.5" style="98" customWidth="1"/>
    <col min="6665" max="6665" width="14.69921875" style="98" customWidth="1"/>
    <col min="6666" max="6666" width="6.796875" style="98" customWidth="1"/>
    <col min="6667" max="6912" width="9" style="98"/>
    <col min="6913" max="6913" width="18.19921875" style="98" customWidth="1"/>
    <col min="6914" max="6914" width="20" style="98" customWidth="1"/>
    <col min="6915" max="6915" width="13.796875" style="98" customWidth="1"/>
    <col min="6916" max="6916" width="11.19921875" style="98" customWidth="1"/>
    <col min="6917" max="6917" width="17.296875" style="98" customWidth="1"/>
    <col min="6918" max="6919" width="13.796875" style="98" customWidth="1"/>
    <col min="6920" max="6920" width="9.5" style="98" customWidth="1"/>
    <col min="6921" max="6921" width="14.69921875" style="98" customWidth="1"/>
    <col min="6922" max="6922" width="6.796875" style="98" customWidth="1"/>
    <col min="6923" max="7168" width="9" style="98"/>
    <col min="7169" max="7169" width="18.19921875" style="98" customWidth="1"/>
    <col min="7170" max="7170" width="20" style="98" customWidth="1"/>
    <col min="7171" max="7171" width="13.796875" style="98" customWidth="1"/>
    <col min="7172" max="7172" width="11.19921875" style="98" customWidth="1"/>
    <col min="7173" max="7173" width="17.296875" style="98" customWidth="1"/>
    <col min="7174" max="7175" width="13.796875" style="98" customWidth="1"/>
    <col min="7176" max="7176" width="9.5" style="98" customWidth="1"/>
    <col min="7177" max="7177" width="14.69921875" style="98" customWidth="1"/>
    <col min="7178" max="7178" width="6.796875" style="98" customWidth="1"/>
    <col min="7179" max="7424" width="9" style="98"/>
    <col min="7425" max="7425" width="18.19921875" style="98" customWidth="1"/>
    <col min="7426" max="7426" width="20" style="98" customWidth="1"/>
    <col min="7427" max="7427" width="13.796875" style="98" customWidth="1"/>
    <col min="7428" max="7428" width="11.19921875" style="98" customWidth="1"/>
    <col min="7429" max="7429" width="17.296875" style="98" customWidth="1"/>
    <col min="7430" max="7431" width="13.796875" style="98" customWidth="1"/>
    <col min="7432" max="7432" width="9.5" style="98" customWidth="1"/>
    <col min="7433" max="7433" width="14.69921875" style="98" customWidth="1"/>
    <col min="7434" max="7434" width="6.796875" style="98" customWidth="1"/>
    <col min="7435" max="7680" width="9" style="98"/>
    <col min="7681" max="7681" width="18.19921875" style="98" customWidth="1"/>
    <col min="7682" max="7682" width="20" style="98" customWidth="1"/>
    <col min="7683" max="7683" width="13.796875" style="98" customWidth="1"/>
    <col min="7684" max="7684" width="11.19921875" style="98" customWidth="1"/>
    <col min="7685" max="7685" width="17.296875" style="98" customWidth="1"/>
    <col min="7686" max="7687" width="13.796875" style="98" customWidth="1"/>
    <col min="7688" max="7688" width="9.5" style="98" customWidth="1"/>
    <col min="7689" max="7689" width="14.69921875" style="98" customWidth="1"/>
    <col min="7690" max="7690" width="6.796875" style="98" customWidth="1"/>
    <col min="7691" max="7936" width="9" style="98"/>
    <col min="7937" max="7937" width="18.19921875" style="98" customWidth="1"/>
    <col min="7938" max="7938" width="20" style="98" customWidth="1"/>
    <col min="7939" max="7939" width="13.796875" style="98" customWidth="1"/>
    <col min="7940" max="7940" width="11.19921875" style="98" customWidth="1"/>
    <col min="7941" max="7941" width="17.296875" style="98" customWidth="1"/>
    <col min="7942" max="7943" width="13.796875" style="98" customWidth="1"/>
    <col min="7944" max="7944" width="9.5" style="98" customWidth="1"/>
    <col min="7945" max="7945" width="14.69921875" style="98" customWidth="1"/>
    <col min="7946" max="7946" width="6.796875" style="98" customWidth="1"/>
    <col min="7947" max="8192" width="9" style="98"/>
    <col min="8193" max="8193" width="18.19921875" style="98" customWidth="1"/>
    <col min="8194" max="8194" width="20" style="98" customWidth="1"/>
    <col min="8195" max="8195" width="13.796875" style="98" customWidth="1"/>
    <col min="8196" max="8196" width="11.19921875" style="98" customWidth="1"/>
    <col min="8197" max="8197" width="17.296875" style="98" customWidth="1"/>
    <col min="8198" max="8199" width="13.796875" style="98" customWidth="1"/>
    <col min="8200" max="8200" width="9.5" style="98" customWidth="1"/>
    <col min="8201" max="8201" width="14.69921875" style="98" customWidth="1"/>
    <col min="8202" max="8202" width="6.796875" style="98" customWidth="1"/>
    <col min="8203" max="8448" width="9" style="98"/>
    <col min="8449" max="8449" width="18.19921875" style="98" customWidth="1"/>
    <col min="8450" max="8450" width="20" style="98" customWidth="1"/>
    <col min="8451" max="8451" width="13.796875" style="98" customWidth="1"/>
    <col min="8452" max="8452" width="11.19921875" style="98" customWidth="1"/>
    <col min="8453" max="8453" width="17.296875" style="98" customWidth="1"/>
    <col min="8454" max="8455" width="13.796875" style="98" customWidth="1"/>
    <col min="8456" max="8456" width="9.5" style="98" customWidth="1"/>
    <col min="8457" max="8457" width="14.69921875" style="98" customWidth="1"/>
    <col min="8458" max="8458" width="6.796875" style="98" customWidth="1"/>
    <col min="8459" max="8704" width="9" style="98"/>
    <col min="8705" max="8705" width="18.19921875" style="98" customWidth="1"/>
    <col min="8706" max="8706" width="20" style="98" customWidth="1"/>
    <col min="8707" max="8707" width="13.796875" style="98" customWidth="1"/>
    <col min="8708" max="8708" width="11.19921875" style="98" customWidth="1"/>
    <col min="8709" max="8709" width="17.296875" style="98" customWidth="1"/>
    <col min="8710" max="8711" width="13.796875" style="98" customWidth="1"/>
    <col min="8712" max="8712" width="9.5" style="98" customWidth="1"/>
    <col min="8713" max="8713" width="14.69921875" style="98" customWidth="1"/>
    <col min="8714" max="8714" width="6.796875" style="98" customWidth="1"/>
    <col min="8715" max="8960" width="9" style="98"/>
    <col min="8961" max="8961" width="18.19921875" style="98" customWidth="1"/>
    <col min="8962" max="8962" width="20" style="98" customWidth="1"/>
    <col min="8963" max="8963" width="13.796875" style="98" customWidth="1"/>
    <col min="8964" max="8964" width="11.19921875" style="98" customWidth="1"/>
    <col min="8965" max="8965" width="17.296875" style="98" customWidth="1"/>
    <col min="8966" max="8967" width="13.796875" style="98" customWidth="1"/>
    <col min="8968" max="8968" width="9.5" style="98" customWidth="1"/>
    <col min="8969" max="8969" width="14.69921875" style="98" customWidth="1"/>
    <col min="8970" max="8970" width="6.796875" style="98" customWidth="1"/>
    <col min="8971" max="9216" width="9" style="98"/>
    <col min="9217" max="9217" width="18.19921875" style="98" customWidth="1"/>
    <col min="9218" max="9218" width="20" style="98" customWidth="1"/>
    <col min="9219" max="9219" width="13.796875" style="98" customWidth="1"/>
    <col min="9220" max="9220" width="11.19921875" style="98" customWidth="1"/>
    <col min="9221" max="9221" width="17.296875" style="98" customWidth="1"/>
    <col min="9222" max="9223" width="13.796875" style="98" customWidth="1"/>
    <col min="9224" max="9224" width="9.5" style="98" customWidth="1"/>
    <col min="9225" max="9225" width="14.69921875" style="98" customWidth="1"/>
    <col min="9226" max="9226" width="6.796875" style="98" customWidth="1"/>
    <col min="9227" max="9472" width="9" style="98"/>
    <col min="9473" max="9473" width="18.19921875" style="98" customWidth="1"/>
    <col min="9474" max="9474" width="20" style="98" customWidth="1"/>
    <col min="9475" max="9475" width="13.796875" style="98" customWidth="1"/>
    <col min="9476" max="9476" width="11.19921875" style="98" customWidth="1"/>
    <col min="9477" max="9477" width="17.296875" style="98" customWidth="1"/>
    <col min="9478" max="9479" width="13.796875" style="98" customWidth="1"/>
    <col min="9480" max="9480" width="9.5" style="98" customWidth="1"/>
    <col min="9481" max="9481" width="14.69921875" style="98" customWidth="1"/>
    <col min="9482" max="9482" width="6.796875" style="98" customWidth="1"/>
    <col min="9483" max="9728" width="9" style="98"/>
    <col min="9729" max="9729" width="18.19921875" style="98" customWidth="1"/>
    <col min="9730" max="9730" width="20" style="98" customWidth="1"/>
    <col min="9731" max="9731" width="13.796875" style="98" customWidth="1"/>
    <col min="9732" max="9732" width="11.19921875" style="98" customWidth="1"/>
    <col min="9733" max="9733" width="17.296875" style="98" customWidth="1"/>
    <col min="9734" max="9735" width="13.796875" style="98" customWidth="1"/>
    <col min="9736" max="9736" width="9.5" style="98" customWidth="1"/>
    <col min="9737" max="9737" width="14.69921875" style="98" customWidth="1"/>
    <col min="9738" max="9738" width="6.796875" style="98" customWidth="1"/>
    <col min="9739" max="9984" width="9" style="98"/>
    <col min="9985" max="9985" width="18.19921875" style="98" customWidth="1"/>
    <col min="9986" max="9986" width="20" style="98" customWidth="1"/>
    <col min="9987" max="9987" width="13.796875" style="98" customWidth="1"/>
    <col min="9988" max="9988" width="11.19921875" style="98" customWidth="1"/>
    <col min="9989" max="9989" width="17.296875" style="98" customWidth="1"/>
    <col min="9990" max="9991" width="13.796875" style="98" customWidth="1"/>
    <col min="9992" max="9992" width="9.5" style="98" customWidth="1"/>
    <col min="9993" max="9993" width="14.69921875" style="98" customWidth="1"/>
    <col min="9994" max="9994" width="6.796875" style="98" customWidth="1"/>
    <col min="9995" max="10240" width="9" style="98"/>
    <col min="10241" max="10241" width="18.19921875" style="98" customWidth="1"/>
    <col min="10242" max="10242" width="20" style="98" customWidth="1"/>
    <col min="10243" max="10243" width="13.796875" style="98" customWidth="1"/>
    <col min="10244" max="10244" width="11.19921875" style="98" customWidth="1"/>
    <col min="10245" max="10245" width="17.296875" style="98" customWidth="1"/>
    <col min="10246" max="10247" width="13.796875" style="98" customWidth="1"/>
    <col min="10248" max="10248" width="9.5" style="98" customWidth="1"/>
    <col min="10249" max="10249" width="14.69921875" style="98" customWidth="1"/>
    <col min="10250" max="10250" width="6.796875" style="98" customWidth="1"/>
    <col min="10251" max="10496" width="9" style="98"/>
    <col min="10497" max="10497" width="18.19921875" style="98" customWidth="1"/>
    <col min="10498" max="10498" width="20" style="98" customWidth="1"/>
    <col min="10499" max="10499" width="13.796875" style="98" customWidth="1"/>
    <col min="10500" max="10500" width="11.19921875" style="98" customWidth="1"/>
    <col min="10501" max="10501" width="17.296875" style="98" customWidth="1"/>
    <col min="10502" max="10503" width="13.796875" style="98" customWidth="1"/>
    <col min="10504" max="10504" width="9.5" style="98" customWidth="1"/>
    <col min="10505" max="10505" width="14.69921875" style="98" customWidth="1"/>
    <col min="10506" max="10506" width="6.796875" style="98" customWidth="1"/>
    <col min="10507" max="10752" width="9" style="98"/>
    <col min="10753" max="10753" width="18.19921875" style="98" customWidth="1"/>
    <col min="10754" max="10754" width="20" style="98" customWidth="1"/>
    <col min="10755" max="10755" width="13.796875" style="98" customWidth="1"/>
    <col min="10756" max="10756" width="11.19921875" style="98" customWidth="1"/>
    <col min="10757" max="10757" width="17.296875" style="98" customWidth="1"/>
    <col min="10758" max="10759" width="13.796875" style="98" customWidth="1"/>
    <col min="10760" max="10760" width="9.5" style="98" customWidth="1"/>
    <col min="10761" max="10761" width="14.69921875" style="98" customWidth="1"/>
    <col min="10762" max="10762" width="6.796875" style="98" customWidth="1"/>
    <col min="10763" max="11008" width="9" style="98"/>
    <col min="11009" max="11009" width="18.19921875" style="98" customWidth="1"/>
    <col min="11010" max="11010" width="20" style="98" customWidth="1"/>
    <col min="11011" max="11011" width="13.796875" style="98" customWidth="1"/>
    <col min="11012" max="11012" width="11.19921875" style="98" customWidth="1"/>
    <col min="11013" max="11013" width="17.296875" style="98" customWidth="1"/>
    <col min="11014" max="11015" width="13.796875" style="98" customWidth="1"/>
    <col min="11016" max="11016" width="9.5" style="98" customWidth="1"/>
    <col min="11017" max="11017" width="14.69921875" style="98" customWidth="1"/>
    <col min="11018" max="11018" width="6.796875" style="98" customWidth="1"/>
    <col min="11019" max="11264" width="9" style="98"/>
    <col min="11265" max="11265" width="18.19921875" style="98" customWidth="1"/>
    <col min="11266" max="11266" width="20" style="98" customWidth="1"/>
    <col min="11267" max="11267" width="13.796875" style="98" customWidth="1"/>
    <col min="11268" max="11268" width="11.19921875" style="98" customWidth="1"/>
    <col min="11269" max="11269" width="17.296875" style="98" customWidth="1"/>
    <col min="11270" max="11271" width="13.796875" style="98" customWidth="1"/>
    <col min="11272" max="11272" width="9.5" style="98" customWidth="1"/>
    <col min="11273" max="11273" width="14.69921875" style="98" customWidth="1"/>
    <col min="11274" max="11274" width="6.796875" style="98" customWidth="1"/>
    <col min="11275" max="11520" width="9" style="98"/>
    <col min="11521" max="11521" width="18.19921875" style="98" customWidth="1"/>
    <col min="11522" max="11522" width="20" style="98" customWidth="1"/>
    <col min="11523" max="11523" width="13.796875" style="98" customWidth="1"/>
    <col min="11524" max="11524" width="11.19921875" style="98" customWidth="1"/>
    <col min="11525" max="11525" width="17.296875" style="98" customWidth="1"/>
    <col min="11526" max="11527" width="13.796875" style="98" customWidth="1"/>
    <col min="11528" max="11528" width="9.5" style="98" customWidth="1"/>
    <col min="11529" max="11529" width="14.69921875" style="98" customWidth="1"/>
    <col min="11530" max="11530" width="6.796875" style="98" customWidth="1"/>
    <col min="11531" max="11776" width="9" style="98"/>
    <col min="11777" max="11777" width="18.19921875" style="98" customWidth="1"/>
    <col min="11778" max="11778" width="20" style="98" customWidth="1"/>
    <col min="11779" max="11779" width="13.796875" style="98" customWidth="1"/>
    <col min="11780" max="11780" width="11.19921875" style="98" customWidth="1"/>
    <col min="11781" max="11781" width="17.296875" style="98" customWidth="1"/>
    <col min="11782" max="11783" width="13.796875" style="98" customWidth="1"/>
    <col min="11784" max="11784" width="9.5" style="98" customWidth="1"/>
    <col min="11785" max="11785" width="14.69921875" style="98" customWidth="1"/>
    <col min="11786" max="11786" width="6.796875" style="98" customWidth="1"/>
    <col min="11787" max="12032" width="9" style="98"/>
    <col min="12033" max="12033" width="18.19921875" style="98" customWidth="1"/>
    <col min="12034" max="12034" width="20" style="98" customWidth="1"/>
    <col min="12035" max="12035" width="13.796875" style="98" customWidth="1"/>
    <col min="12036" max="12036" width="11.19921875" style="98" customWidth="1"/>
    <col min="12037" max="12037" width="17.296875" style="98" customWidth="1"/>
    <col min="12038" max="12039" width="13.796875" style="98" customWidth="1"/>
    <col min="12040" max="12040" width="9.5" style="98" customWidth="1"/>
    <col min="12041" max="12041" width="14.69921875" style="98" customWidth="1"/>
    <col min="12042" max="12042" width="6.796875" style="98" customWidth="1"/>
    <col min="12043" max="12288" width="9" style="98"/>
    <col min="12289" max="12289" width="18.19921875" style="98" customWidth="1"/>
    <col min="12290" max="12290" width="20" style="98" customWidth="1"/>
    <col min="12291" max="12291" width="13.796875" style="98" customWidth="1"/>
    <col min="12292" max="12292" width="11.19921875" style="98" customWidth="1"/>
    <col min="12293" max="12293" width="17.296875" style="98" customWidth="1"/>
    <col min="12294" max="12295" width="13.796875" style="98" customWidth="1"/>
    <col min="12296" max="12296" width="9.5" style="98" customWidth="1"/>
    <col min="12297" max="12297" width="14.69921875" style="98" customWidth="1"/>
    <col min="12298" max="12298" width="6.796875" style="98" customWidth="1"/>
    <col min="12299" max="12544" width="9" style="98"/>
    <col min="12545" max="12545" width="18.19921875" style="98" customWidth="1"/>
    <col min="12546" max="12546" width="20" style="98" customWidth="1"/>
    <col min="12547" max="12547" width="13.796875" style="98" customWidth="1"/>
    <col min="12548" max="12548" width="11.19921875" style="98" customWidth="1"/>
    <col min="12549" max="12549" width="17.296875" style="98" customWidth="1"/>
    <col min="12550" max="12551" width="13.796875" style="98" customWidth="1"/>
    <col min="12552" max="12552" width="9.5" style="98" customWidth="1"/>
    <col min="12553" max="12553" width="14.69921875" style="98" customWidth="1"/>
    <col min="12554" max="12554" width="6.796875" style="98" customWidth="1"/>
    <col min="12555" max="12800" width="9" style="98"/>
    <col min="12801" max="12801" width="18.19921875" style="98" customWidth="1"/>
    <col min="12802" max="12802" width="20" style="98" customWidth="1"/>
    <col min="12803" max="12803" width="13.796875" style="98" customWidth="1"/>
    <col min="12804" max="12804" width="11.19921875" style="98" customWidth="1"/>
    <col min="12805" max="12805" width="17.296875" style="98" customWidth="1"/>
    <col min="12806" max="12807" width="13.796875" style="98" customWidth="1"/>
    <col min="12808" max="12808" width="9.5" style="98" customWidth="1"/>
    <col min="12809" max="12809" width="14.69921875" style="98" customWidth="1"/>
    <col min="12810" max="12810" width="6.796875" style="98" customWidth="1"/>
    <col min="12811" max="13056" width="9" style="98"/>
    <col min="13057" max="13057" width="18.19921875" style="98" customWidth="1"/>
    <col min="13058" max="13058" width="20" style="98" customWidth="1"/>
    <col min="13059" max="13059" width="13.796875" style="98" customWidth="1"/>
    <col min="13060" max="13060" width="11.19921875" style="98" customWidth="1"/>
    <col min="13061" max="13061" width="17.296875" style="98" customWidth="1"/>
    <col min="13062" max="13063" width="13.796875" style="98" customWidth="1"/>
    <col min="13064" max="13064" width="9.5" style="98" customWidth="1"/>
    <col min="13065" max="13065" width="14.69921875" style="98" customWidth="1"/>
    <col min="13066" max="13066" width="6.796875" style="98" customWidth="1"/>
    <col min="13067" max="13312" width="9" style="98"/>
    <col min="13313" max="13313" width="18.19921875" style="98" customWidth="1"/>
    <col min="13314" max="13314" width="20" style="98" customWidth="1"/>
    <col min="13315" max="13315" width="13.796875" style="98" customWidth="1"/>
    <col min="13316" max="13316" width="11.19921875" style="98" customWidth="1"/>
    <col min="13317" max="13317" width="17.296875" style="98" customWidth="1"/>
    <col min="13318" max="13319" width="13.796875" style="98" customWidth="1"/>
    <col min="13320" max="13320" width="9.5" style="98" customWidth="1"/>
    <col min="13321" max="13321" width="14.69921875" style="98" customWidth="1"/>
    <col min="13322" max="13322" width="6.796875" style="98" customWidth="1"/>
    <col min="13323" max="13568" width="9" style="98"/>
    <col min="13569" max="13569" width="18.19921875" style="98" customWidth="1"/>
    <col min="13570" max="13570" width="20" style="98" customWidth="1"/>
    <col min="13571" max="13571" width="13.796875" style="98" customWidth="1"/>
    <col min="13572" max="13572" width="11.19921875" style="98" customWidth="1"/>
    <col min="13573" max="13573" width="17.296875" style="98" customWidth="1"/>
    <col min="13574" max="13575" width="13.796875" style="98" customWidth="1"/>
    <col min="13576" max="13576" width="9.5" style="98" customWidth="1"/>
    <col min="13577" max="13577" width="14.69921875" style="98" customWidth="1"/>
    <col min="13578" max="13578" width="6.796875" style="98" customWidth="1"/>
    <col min="13579" max="13824" width="9" style="98"/>
    <col min="13825" max="13825" width="18.19921875" style="98" customWidth="1"/>
    <col min="13826" max="13826" width="20" style="98" customWidth="1"/>
    <col min="13827" max="13827" width="13.796875" style="98" customWidth="1"/>
    <col min="13828" max="13828" width="11.19921875" style="98" customWidth="1"/>
    <col min="13829" max="13829" width="17.296875" style="98" customWidth="1"/>
    <col min="13830" max="13831" width="13.796875" style="98" customWidth="1"/>
    <col min="13832" max="13832" width="9.5" style="98" customWidth="1"/>
    <col min="13833" max="13833" width="14.69921875" style="98" customWidth="1"/>
    <col min="13834" max="13834" width="6.796875" style="98" customWidth="1"/>
    <col min="13835" max="14080" width="9" style="98"/>
    <col min="14081" max="14081" width="18.19921875" style="98" customWidth="1"/>
    <col min="14082" max="14082" width="20" style="98" customWidth="1"/>
    <col min="14083" max="14083" width="13.796875" style="98" customWidth="1"/>
    <col min="14084" max="14084" width="11.19921875" style="98" customWidth="1"/>
    <col min="14085" max="14085" width="17.296875" style="98" customWidth="1"/>
    <col min="14086" max="14087" width="13.796875" style="98" customWidth="1"/>
    <col min="14088" max="14088" width="9.5" style="98" customWidth="1"/>
    <col min="14089" max="14089" width="14.69921875" style="98" customWidth="1"/>
    <col min="14090" max="14090" width="6.796875" style="98" customWidth="1"/>
    <col min="14091" max="14336" width="9" style="98"/>
    <col min="14337" max="14337" width="18.19921875" style="98" customWidth="1"/>
    <col min="14338" max="14338" width="20" style="98" customWidth="1"/>
    <col min="14339" max="14339" width="13.796875" style="98" customWidth="1"/>
    <col min="14340" max="14340" width="11.19921875" style="98" customWidth="1"/>
    <col min="14341" max="14341" width="17.296875" style="98" customWidth="1"/>
    <col min="14342" max="14343" width="13.796875" style="98" customWidth="1"/>
    <col min="14344" max="14344" width="9.5" style="98" customWidth="1"/>
    <col min="14345" max="14345" width="14.69921875" style="98" customWidth="1"/>
    <col min="14346" max="14346" width="6.796875" style="98" customWidth="1"/>
    <col min="14347" max="14592" width="9" style="98"/>
    <col min="14593" max="14593" width="18.19921875" style="98" customWidth="1"/>
    <col min="14594" max="14594" width="20" style="98" customWidth="1"/>
    <col min="14595" max="14595" width="13.796875" style="98" customWidth="1"/>
    <col min="14596" max="14596" width="11.19921875" style="98" customWidth="1"/>
    <col min="14597" max="14597" width="17.296875" style="98" customWidth="1"/>
    <col min="14598" max="14599" width="13.796875" style="98" customWidth="1"/>
    <col min="14600" max="14600" width="9.5" style="98" customWidth="1"/>
    <col min="14601" max="14601" width="14.69921875" style="98" customWidth="1"/>
    <col min="14602" max="14602" width="6.796875" style="98" customWidth="1"/>
    <col min="14603" max="14848" width="9" style="98"/>
    <col min="14849" max="14849" width="18.19921875" style="98" customWidth="1"/>
    <col min="14850" max="14850" width="20" style="98" customWidth="1"/>
    <col min="14851" max="14851" width="13.796875" style="98" customWidth="1"/>
    <col min="14852" max="14852" width="11.19921875" style="98" customWidth="1"/>
    <col min="14853" max="14853" width="17.296875" style="98" customWidth="1"/>
    <col min="14854" max="14855" width="13.796875" style="98" customWidth="1"/>
    <col min="14856" max="14856" width="9.5" style="98" customWidth="1"/>
    <col min="14857" max="14857" width="14.69921875" style="98" customWidth="1"/>
    <col min="14858" max="14858" width="6.796875" style="98" customWidth="1"/>
    <col min="14859" max="15104" width="9" style="98"/>
    <col min="15105" max="15105" width="18.19921875" style="98" customWidth="1"/>
    <col min="15106" max="15106" width="20" style="98" customWidth="1"/>
    <col min="15107" max="15107" width="13.796875" style="98" customWidth="1"/>
    <col min="15108" max="15108" width="11.19921875" style="98" customWidth="1"/>
    <col min="15109" max="15109" width="17.296875" style="98" customWidth="1"/>
    <col min="15110" max="15111" width="13.796875" style="98" customWidth="1"/>
    <col min="15112" max="15112" width="9.5" style="98" customWidth="1"/>
    <col min="15113" max="15113" width="14.69921875" style="98" customWidth="1"/>
    <col min="15114" max="15114" width="6.796875" style="98" customWidth="1"/>
    <col min="15115" max="15360" width="9" style="98"/>
    <col min="15361" max="15361" width="18.19921875" style="98" customWidth="1"/>
    <col min="15362" max="15362" width="20" style="98" customWidth="1"/>
    <col min="15363" max="15363" width="13.796875" style="98" customWidth="1"/>
    <col min="15364" max="15364" width="11.19921875" style="98" customWidth="1"/>
    <col min="15365" max="15365" width="17.296875" style="98" customWidth="1"/>
    <col min="15366" max="15367" width="13.796875" style="98" customWidth="1"/>
    <col min="15368" max="15368" width="9.5" style="98" customWidth="1"/>
    <col min="15369" max="15369" width="14.69921875" style="98" customWidth="1"/>
    <col min="15370" max="15370" width="6.796875" style="98" customWidth="1"/>
    <col min="15371" max="15616" width="9" style="98"/>
    <col min="15617" max="15617" width="18.19921875" style="98" customWidth="1"/>
    <col min="15618" max="15618" width="20" style="98" customWidth="1"/>
    <col min="15619" max="15619" width="13.796875" style="98" customWidth="1"/>
    <col min="15620" max="15620" width="11.19921875" style="98" customWidth="1"/>
    <col min="15621" max="15621" width="17.296875" style="98" customWidth="1"/>
    <col min="15622" max="15623" width="13.796875" style="98" customWidth="1"/>
    <col min="15624" max="15624" width="9.5" style="98" customWidth="1"/>
    <col min="15625" max="15625" width="14.69921875" style="98" customWidth="1"/>
    <col min="15626" max="15626" width="6.796875" style="98" customWidth="1"/>
    <col min="15627" max="15872" width="9" style="98"/>
    <col min="15873" max="15873" width="18.19921875" style="98" customWidth="1"/>
    <col min="15874" max="15874" width="20" style="98" customWidth="1"/>
    <col min="15875" max="15875" width="13.796875" style="98" customWidth="1"/>
    <col min="15876" max="15876" width="11.19921875" style="98" customWidth="1"/>
    <col min="15877" max="15877" width="17.296875" style="98" customWidth="1"/>
    <col min="15878" max="15879" width="13.796875" style="98" customWidth="1"/>
    <col min="15880" max="15880" width="9.5" style="98" customWidth="1"/>
    <col min="15881" max="15881" width="14.69921875" style="98" customWidth="1"/>
    <col min="15882" max="15882" width="6.796875" style="98" customWidth="1"/>
    <col min="15883" max="16128" width="9" style="98"/>
    <col min="16129" max="16129" width="18.19921875" style="98" customWidth="1"/>
    <col min="16130" max="16130" width="20" style="98" customWidth="1"/>
    <col min="16131" max="16131" width="13.796875" style="98" customWidth="1"/>
    <col min="16132" max="16132" width="11.19921875" style="98" customWidth="1"/>
    <col min="16133" max="16133" width="17.296875" style="98" customWidth="1"/>
    <col min="16134" max="16135" width="13.796875" style="98" customWidth="1"/>
    <col min="16136" max="16136" width="9.5" style="98" customWidth="1"/>
    <col min="16137" max="16137" width="14.69921875" style="98" customWidth="1"/>
    <col min="16138" max="16138" width="6.796875" style="98" customWidth="1"/>
    <col min="16139" max="16384" width="9" style="98"/>
  </cols>
  <sheetData>
    <row r="5" spans="1:255" ht="16.2" x14ac:dyDescent="0.25">
      <c r="A5" s="97" t="s">
        <v>667</v>
      </c>
    </row>
    <row r="7" spans="1:255" ht="20.399999999999999" x14ac:dyDescent="0.2">
      <c r="A7" s="99" t="s">
        <v>668</v>
      </c>
      <c r="B7" s="100" t="s">
        <v>368</v>
      </c>
      <c r="C7" s="98" t="s">
        <v>369</v>
      </c>
      <c r="D7" s="101" t="s">
        <v>287</v>
      </c>
      <c r="E7" s="100" t="s">
        <v>371</v>
      </c>
      <c r="F7" s="98" t="s">
        <v>669</v>
      </c>
    </row>
    <row r="8" spans="1:255" x14ac:dyDescent="0.2">
      <c r="A8" s="101"/>
      <c r="B8" s="100" t="s">
        <v>285</v>
      </c>
      <c r="C8" s="98" t="s">
        <v>370</v>
      </c>
      <c r="D8" s="101" t="s">
        <v>287</v>
      </c>
      <c r="E8" s="100" t="s">
        <v>288</v>
      </c>
      <c r="F8" s="98" t="s">
        <v>289</v>
      </c>
    </row>
    <row r="9" spans="1:255" x14ac:dyDescent="0.2">
      <c r="A9" s="101"/>
      <c r="B9" s="100" t="s">
        <v>292</v>
      </c>
      <c r="C9" s="98" t="s">
        <v>293</v>
      </c>
      <c r="D9" s="101" t="s">
        <v>287</v>
      </c>
      <c r="E9" s="100" t="s">
        <v>294</v>
      </c>
      <c r="F9" s="102" t="s">
        <v>295</v>
      </c>
    </row>
    <row r="12" spans="1:255" x14ac:dyDescent="0.2">
      <c r="A12" s="103" t="s">
        <v>670</v>
      </c>
      <c r="B12" s="103"/>
      <c r="C12" s="103"/>
      <c r="D12" s="103"/>
      <c r="E12" s="103"/>
      <c r="F12" s="103"/>
      <c r="G12" s="103"/>
      <c r="H12" s="103"/>
      <c r="I12" s="103"/>
      <c r="J12" s="103"/>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row>
    <row r="13" spans="1:255" ht="24" x14ac:dyDescent="0.35">
      <c r="A13" s="319" t="s">
        <v>671</v>
      </c>
      <c r="B13" s="319" t="s">
        <v>672</v>
      </c>
      <c r="C13" s="320" t="s">
        <v>673</v>
      </c>
      <c r="D13" s="320" t="s">
        <v>674</v>
      </c>
      <c r="E13" s="320" t="s">
        <v>675</v>
      </c>
      <c r="F13" s="320" t="s">
        <v>676</v>
      </c>
      <c r="G13" s="320" t="s">
        <v>677</v>
      </c>
      <c r="H13" s="320" t="s">
        <v>678</v>
      </c>
      <c r="I13" s="320" t="s">
        <v>679</v>
      </c>
      <c r="J13" s="320" t="s">
        <v>680</v>
      </c>
    </row>
    <row r="14" spans="1:255" x14ac:dyDescent="0.2">
      <c r="A14" s="147" t="s">
        <v>681</v>
      </c>
      <c r="B14" s="147" t="s">
        <v>198</v>
      </c>
      <c r="C14" s="155">
        <v>14518</v>
      </c>
      <c r="D14" s="156" t="s">
        <v>311</v>
      </c>
      <c r="E14" s="156" t="s">
        <v>311</v>
      </c>
      <c r="F14" s="156" t="s">
        <v>313</v>
      </c>
      <c r="G14" s="156" t="s">
        <v>682</v>
      </c>
      <c r="H14" s="156" t="s">
        <v>683</v>
      </c>
      <c r="I14" s="156" t="s">
        <v>684</v>
      </c>
      <c r="J14" s="156" t="s">
        <v>309</v>
      </c>
    </row>
    <row r="15" spans="1:255" x14ac:dyDescent="0.2">
      <c r="A15" s="147" t="s">
        <v>685</v>
      </c>
      <c r="B15" s="147" t="s">
        <v>686</v>
      </c>
      <c r="C15" s="157" t="s">
        <v>313</v>
      </c>
      <c r="D15" s="203">
        <v>3.3000000000000002E-2</v>
      </c>
      <c r="E15" s="156" t="s">
        <v>688</v>
      </c>
      <c r="F15" s="158">
        <v>43865</v>
      </c>
      <c r="G15" s="156" t="s">
        <v>682</v>
      </c>
      <c r="H15" s="156" t="s">
        <v>683</v>
      </c>
      <c r="I15" s="156" t="s">
        <v>689</v>
      </c>
      <c r="J15" s="156" t="s">
        <v>309</v>
      </c>
    </row>
    <row r="16" spans="1:255" x14ac:dyDescent="0.2">
      <c r="A16" s="146"/>
      <c r="B16" s="146"/>
      <c r="C16" s="146"/>
      <c r="D16" s="146"/>
      <c r="E16" s="146"/>
      <c r="F16" s="146"/>
      <c r="G16" s="146"/>
      <c r="H16" s="146"/>
      <c r="I16" s="146"/>
      <c r="J16" s="146"/>
    </row>
    <row r="20" spans="1:255" x14ac:dyDescent="0.2">
      <c r="A20" s="103" t="s">
        <v>690</v>
      </c>
      <c r="B20" s="103"/>
      <c r="C20" s="103"/>
      <c r="D20" s="103"/>
      <c r="E20" s="103"/>
      <c r="F20" s="103"/>
      <c r="G20" s="103"/>
      <c r="H20" s="103"/>
      <c r="I20" s="103"/>
      <c r="J20" s="103"/>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c r="CI20" s="104"/>
      <c r="CJ20" s="104"/>
      <c r="CK20" s="104"/>
      <c r="CL20" s="104"/>
      <c r="CM20" s="104"/>
      <c r="CN20" s="104"/>
      <c r="CO20" s="104"/>
      <c r="CP20" s="104"/>
      <c r="CQ20" s="104"/>
      <c r="CR20" s="104"/>
      <c r="CS20" s="104"/>
      <c r="CT20" s="104"/>
      <c r="CU20" s="104"/>
      <c r="CV20" s="104"/>
      <c r="CW20" s="104"/>
      <c r="CX20" s="104"/>
      <c r="CY20" s="104"/>
      <c r="CZ20" s="104"/>
      <c r="DA20" s="104"/>
      <c r="DB20" s="104"/>
      <c r="DC20" s="104"/>
      <c r="DD20" s="104"/>
      <c r="DE20" s="104"/>
      <c r="DF20" s="104"/>
      <c r="DG20" s="104"/>
      <c r="DH20" s="104"/>
      <c r="DI20" s="104"/>
      <c r="DJ20" s="104"/>
      <c r="DK20" s="104"/>
      <c r="DL20" s="104"/>
      <c r="DM20" s="104"/>
      <c r="DN20" s="104"/>
      <c r="DO20" s="104"/>
      <c r="DP20" s="104"/>
      <c r="DQ20" s="104"/>
      <c r="DR20" s="104"/>
      <c r="DS20" s="104"/>
      <c r="DT20" s="104"/>
      <c r="DU20" s="104"/>
      <c r="DV20" s="104"/>
      <c r="DW20" s="104"/>
      <c r="DX20" s="104"/>
      <c r="DY20" s="104"/>
      <c r="DZ20" s="104"/>
      <c r="EA20" s="104"/>
      <c r="EB20" s="104"/>
      <c r="EC20" s="104"/>
      <c r="ED20" s="104"/>
      <c r="EE20" s="104"/>
      <c r="EF20" s="104"/>
      <c r="EG20" s="104"/>
      <c r="EH20" s="104"/>
      <c r="EI20" s="104"/>
      <c r="EJ20" s="104"/>
      <c r="EK20" s="104"/>
      <c r="EL20" s="104"/>
      <c r="EM20" s="104"/>
      <c r="EN20" s="104"/>
      <c r="EO20" s="104"/>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4"/>
      <c r="FR20" s="104"/>
      <c r="FS20" s="104"/>
      <c r="FT20" s="104"/>
      <c r="FU20" s="104"/>
      <c r="FV20" s="104"/>
      <c r="FW20" s="104"/>
      <c r="FX20" s="104"/>
      <c r="FY20" s="104"/>
      <c r="FZ20" s="104"/>
      <c r="GA20" s="104"/>
      <c r="GB20" s="104"/>
      <c r="GC20" s="104"/>
      <c r="GD20" s="104"/>
      <c r="GE20" s="104"/>
      <c r="GF20" s="104"/>
      <c r="GG20" s="104"/>
      <c r="GH20" s="104"/>
      <c r="GI20" s="104"/>
      <c r="GJ20" s="104"/>
      <c r="GK20" s="104"/>
      <c r="GL20" s="104"/>
      <c r="GM20" s="104"/>
      <c r="GN20" s="104"/>
      <c r="GO20" s="104"/>
      <c r="GP20" s="104"/>
      <c r="GQ20" s="104"/>
      <c r="GR20" s="104"/>
      <c r="GS20" s="104"/>
      <c r="GT20" s="104"/>
      <c r="GU20" s="104"/>
      <c r="GV20" s="104"/>
      <c r="GW20" s="104"/>
      <c r="GX20" s="104"/>
      <c r="GY20" s="104"/>
      <c r="GZ20" s="104"/>
      <c r="HA20" s="104"/>
      <c r="HB20" s="104"/>
      <c r="HC20" s="104"/>
      <c r="HD20" s="104"/>
      <c r="HE20" s="104"/>
      <c r="HF20" s="104"/>
      <c r="HG20" s="104"/>
      <c r="HH20" s="104"/>
      <c r="HI20" s="104"/>
      <c r="HJ20" s="104"/>
      <c r="HK20" s="104"/>
      <c r="HL20" s="104"/>
      <c r="HM20" s="104"/>
      <c r="HN20" s="104"/>
      <c r="HO20" s="104"/>
      <c r="HP20" s="104"/>
      <c r="HQ20" s="104"/>
      <c r="HR20" s="104"/>
      <c r="HS20" s="104"/>
      <c r="HT20" s="104"/>
      <c r="HU20" s="104"/>
      <c r="HV20" s="104"/>
      <c r="HW20" s="104"/>
      <c r="HX20" s="104"/>
      <c r="HY20" s="104"/>
      <c r="HZ20" s="104"/>
      <c r="IA20" s="104"/>
      <c r="IB20" s="104"/>
      <c r="IC20" s="104"/>
      <c r="ID20" s="104"/>
      <c r="IE20" s="104"/>
      <c r="IF20" s="104"/>
      <c r="IG20" s="104"/>
      <c r="IH20" s="104"/>
      <c r="II20" s="104"/>
      <c r="IJ20" s="104"/>
      <c r="IK20" s="104"/>
      <c r="IL20" s="104"/>
      <c r="IM20" s="104"/>
      <c r="IN20" s="104"/>
      <c r="IO20" s="104"/>
      <c r="IP20" s="104"/>
      <c r="IQ20" s="104"/>
      <c r="IR20" s="104"/>
      <c r="IS20" s="104"/>
      <c r="IT20" s="104"/>
      <c r="IU20" s="104"/>
    </row>
    <row r="21" spans="1:255" ht="24" x14ac:dyDescent="0.35">
      <c r="A21" s="319" t="s">
        <v>671</v>
      </c>
      <c r="B21" s="319" t="s">
        <v>672</v>
      </c>
      <c r="C21" s="320" t="s">
        <v>673</v>
      </c>
      <c r="D21" s="320" t="s">
        <v>674</v>
      </c>
      <c r="E21" s="320" t="s">
        <v>675</v>
      </c>
      <c r="F21" s="320" t="s">
        <v>676</v>
      </c>
      <c r="G21" s="320" t="s">
        <v>677</v>
      </c>
      <c r="H21" s="320" t="s">
        <v>678</v>
      </c>
      <c r="I21" s="320" t="s">
        <v>679</v>
      </c>
      <c r="J21" s="320" t="s">
        <v>680</v>
      </c>
    </row>
    <row r="22" spans="1:255" x14ac:dyDescent="0.2">
      <c r="A22" s="147" t="s">
        <v>681</v>
      </c>
      <c r="B22" s="147" t="s">
        <v>198</v>
      </c>
      <c r="C22" s="155">
        <v>2007</v>
      </c>
      <c r="D22" s="156" t="s">
        <v>311</v>
      </c>
      <c r="E22" s="156" t="s">
        <v>311</v>
      </c>
      <c r="F22" s="156" t="s">
        <v>313</v>
      </c>
      <c r="G22" s="156" t="s">
        <v>682</v>
      </c>
      <c r="H22" s="156" t="s">
        <v>683</v>
      </c>
      <c r="I22" s="156" t="s">
        <v>684</v>
      </c>
      <c r="J22" s="156" t="s">
        <v>309</v>
      </c>
    </row>
    <row r="23" spans="1:255" x14ac:dyDescent="0.2">
      <c r="A23" s="147" t="s">
        <v>685</v>
      </c>
      <c r="B23" s="147" t="s">
        <v>686</v>
      </c>
      <c r="C23" s="157" t="s">
        <v>313</v>
      </c>
      <c r="D23" s="156" t="s">
        <v>687</v>
      </c>
      <c r="E23" s="156" t="s">
        <v>688</v>
      </c>
      <c r="F23" s="158">
        <v>43865</v>
      </c>
      <c r="G23" s="156" t="s">
        <v>682</v>
      </c>
      <c r="H23" s="156" t="s">
        <v>683</v>
      </c>
      <c r="I23" s="156" t="s">
        <v>689</v>
      </c>
      <c r="J23" s="156" t="s">
        <v>309</v>
      </c>
    </row>
    <row r="24" spans="1:255" x14ac:dyDescent="0.2">
      <c r="A24" s="146"/>
      <c r="B24" s="146"/>
      <c r="C24" s="146"/>
      <c r="D24" s="146"/>
      <c r="E24" s="146"/>
      <c r="F24" s="146"/>
      <c r="G24" s="146"/>
      <c r="H24" s="146"/>
      <c r="I24" s="146"/>
      <c r="J24" s="146"/>
    </row>
    <row r="25" spans="1:255" x14ac:dyDescent="0.2">
      <c r="A25" s="12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399FF"/>
    <outlinePr summaryBelow="0" summaryRight="0"/>
    <pageSetUpPr autoPageBreaks="0"/>
  </sheetPr>
  <dimension ref="A5:IU161"/>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4" width="13" style="98" customWidth="1"/>
    <col min="265" max="512" width="9" style="98"/>
    <col min="513" max="513" width="40.09765625" style="98" customWidth="1"/>
    <col min="514" max="520" width="13" style="98" customWidth="1"/>
    <col min="521" max="768" width="9" style="98"/>
    <col min="769" max="769" width="40.09765625" style="98" customWidth="1"/>
    <col min="770" max="776" width="13" style="98" customWidth="1"/>
    <col min="777" max="1024" width="9" style="98"/>
    <col min="1025" max="1025" width="40.09765625" style="98" customWidth="1"/>
    <col min="1026" max="1032" width="13" style="98" customWidth="1"/>
    <col min="1033" max="1280" width="9" style="98"/>
    <col min="1281" max="1281" width="40.09765625" style="98" customWidth="1"/>
    <col min="1282" max="1288" width="13" style="98" customWidth="1"/>
    <col min="1289" max="1536" width="9" style="98"/>
    <col min="1537" max="1537" width="40.09765625" style="98" customWidth="1"/>
    <col min="1538" max="1544" width="13" style="98" customWidth="1"/>
    <col min="1545" max="1792" width="9" style="98"/>
    <col min="1793" max="1793" width="40.09765625" style="98" customWidth="1"/>
    <col min="1794" max="1800" width="13" style="98" customWidth="1"/>
    <col min="1801" max="2048" width="9" style="98"/>
    <col min="2049" max="2049" width="40.09765625" style="98" customWidth="1"/>
    <col min="2050" max="2056" width="13" style="98" customWidth="1"/>
    <col min="2057" max="2304" width="9" style="98"/>
    <col min="2305" max="2305" width="40.09765625" style="98" customWidth="1"/>
    <col min="2306" max="2312" width="13" style="98" customWidth="1"/>
    <col min="2313" max="2560" width="9" style="98"/>
    <col min="2561" max="2561" width="40.09765625" style="98" customWidth="1"/>
    <col min="2562" max="2568" width="13" style="98" customWidth="1"/>
    <col min="2569" max="2816" width="9" style="98"/>
    <col min="2817" max="2817" width="40.09765625" style="98" customWidth="1"/>
    <col min="2818" max="2824" width="13" style="98" customWidth="1"/>
    <col min="2825" max="3072" width="9" style="98"/>
    <col min="3073" max="3073" width="40.09765625" style="98" customWidth="1"/>
    <col min="3074" max="3080" width="13" style="98" customWidth="1"/>
    <col min="3081" max="3328" width="9" style="98"/>
    <col min="3329" max="3329" width="40.09765625" style="98" customWidth="1"/>
    <col min="3330" max="3336" width="13" style="98" customWidth="1"/>
    <col min="3337" max="3584" width="9" style="98"/>
    <col min="3585" max="3585" width="40.09765625" style="98" customWidth="1"/>
    <col min="3586" max="3592" width="13" style="98" customWidth="1"/>
    <col min="3593" max="3840" width="9" style="98"/>
    <col min="3841" max="3841" width="40.09765625" style="98" customWidth="1"/>
    <col min="3842" max="3848" width="13" style="98" customWidth="1"/>
    <col min="3849" max="4096" width="9" style="98"/>
    <col min="4097" max="4097" width="40.09765625" style="98" customWidth="1"/>
    <col min="4098" max="4104" width="13" style="98" customWidth="1"/>
    <col min="4105" max="4352" width="9" style="98"/>
    <col min="4353" max="4353" width="40.09765625" style="98" customWidth="1"/>
    <col min="4354" max="4360" width="13" style="98" customWidth="1"/>
    <col min="4361" max="4608" width="9" style="98"/>
    <col min="4609" max="4609" width="40.09765625" style="98" customWidth="1"/>
    <col min="4610" max="4616" width="13" style="98" customWidth="1"/>
    <col min="4617" max="4864" width="9" style="98"/>
    <col min="4865" max="4865" width="40.09765625" style="98" customWidth="1"/>
    <col min="4866" max="4872" width="13" style="98" customWidth="1"/>
    <col min="4873" max="5120" width="9" style="98"/>
    <col min="5121" max="5121" width="40.09765625" style="98" customWidth="1"/>
    <col min="5122" max="5128" width="13" style="98" customWidth="1"/>
    <col min="5129" max="5376" width="9" style="98"/>
    <col min="5377" max="5377" width="40.09765625" style="98" customWidth="1"/>
    <col min="5378" max="5384" width="13" style="98" customWidth="1"/>
    <col min="5385" max="5632" width="9" style="98"/>
    <col min="5633" max="5633" width="40.09765625" style="98" customWidth="1"/>
    <col min="5634" max="5640" width="13" style="98" customWidth="1"/>
    <col min="5641" max="5888" width="9" style="98"/>
    <col min="5889" max="5889" width="40.09765625" style="98" customWidth="1"/>
    <col min="5890" max="5896" width="13" style="98" customWidth="1"/>
    <col min="5897" max="6144" width="9" style="98"/>
    <col min="6145" max="6145" width="40.09765625" style="98" customWidth="1"/>
    <col min="6146" max="6152" width="13" style="98" customWidth="1"/>
    <col min="6153" max="6400" width="9" style="98"/>
    <col min="6401" max="6401" width="40.09765625" style="98" customWidth="1"/>
    <col min="6402" max="6408" width="13" style="98" customWidth="1"/>
    <col min="6409" max="6656" width="9" style="98"/>
    <col min="6657" max="6657" width="40.09765625" style="98" customWidth="1"/>
    <col min="6658" max="6664" width="13" style="98" customWidth="1"/>
    <col min="6665" max="6912" width="9" style="98"/>
    <col min="6913" max="6913" width="40.09765625" style="98" customWidth="1"/>
    <col min="6914" max="6920" width="13" style="98" customWidth="1"/>
    <col min="6921" max="7168" width="9" style="98"/>
    <col min="7169" max="7169" width="40.09765625" style="98" customWidth="1"/>
    <col min="7170" max="7176" width="13" style="98" customWidth="1"/>
    <col min="7177" max="7424" width="9" style="98"/>
    <col min="7425" max="7425" width="40.09765625" style="98" customWidth="1"/>
    <col min="7426" max="7432" width="13" style="98" customWidth="1"/>
    <col min="7433" max="7680" width="9" style="98"/>
    <col min="7681" max="7681" width="40.09765625" style="98" customWidth="1"/>
    <col min="7682" max="7688" width="13" style="98" customWidth="1"/>
    <col min="7689" max="7936" width="9" style="98"/>
    <col min="7937" max="7937" width="40.09765625" style="98" customWidth="1"/>
    <col min="7938" max="7944" width="13" style="98" customWidth="1"/>
    <col min="7945" max="8192" width="9" style="98"/>
    <col min="8193" max="8193" width="40.09765625" style="98" customWidth="1"/>
    <col min="8194" max="8200" width="13" style="98" customWidth="1"/>
    <col min="8201" max="8448" width="9" style="98"/>
    <col min="8449" max="8449" width="40.09765625" style="98" customWidth="1"/>
    <col min="8450" max="8456" width="13" style="98" customWidth="1"/>
    <col min="8457" max="8704" width="9" style="98"/>
    <col min="8705" max="8705" width="40.09765625" style="98" customWidth="1"/>
    <col min="8706" max="8712" width="13" style="98" customWidth="1"/>
    <col min="8713" max="8960" width="9" style="98"/>
    <col min="8961" max="8961" width="40.09765625" style="98" customWidth="1"/>
    <col min="8962" max="8968" width="13" style="98" customWidth="1"/>
    <col min="8969" max="9216" width="9" style="98"/>
    <col min="9217" max="9217" width="40.09765625" style="98" customWidth="1"/>
    <col min="9218" max="9224" width="13" style="98" customWidth="1"/>
    <col min="9225" max="9472" width="9" style="98"/>
    <col min="9473" max="9473" width="40.09765625" style="98" customWidth="1"/>
    <col min="9474" max="9480" width="13" style="98" customWidth="1"/>
    <col min="9481" max="9728" width="9" style="98"/>
    <col min="9729" max="9729" width="40.09765625" style="98" customWidth="1"/>
    <col min="9730" max="9736" width="13" style="98" customWidth="1"/>
    <col min="9737" max="9984" width="9" style="98"/>
    <col min="9985" max="9985" width="40.09765625" style="98" customWidth="1"/>
    <col min="9986" max="9992" width="13" style="98" customWidth="1"/>
    <col min="9993" max="10240" width="9" style="98"/>
    <col min="10241" max="10241" width="40.09765625" style="98" customWidth="1"/>
    <col min="10242" max="10248" width="13" style="98" customWidth="1"/>
    <col min="10249" max="10496" width="9" style="98"/>
    <col min="10497" max="10497" width="40.09765625" style="98" customWidth="1"/>
    <col min="10498" max="10504" width="13" style="98" customWidth="1"/>
    <col min="10505" max="10752" width="9" style="98"/>
    <col min="10753" max="10753" width="40.09765625" style="98" customWidth="1"/>
    <col min="10754" max="10760" width="13" style="98" customWidth="1"/>
    <col min="10761" max="11008" width="9" style="98"/>
    <col min="11009" max="11009" width="40.09765625" style="98" customWidth="1"/>
    <col min="11010" max="11016" width="13" style="98" customWidth="1"/>
    <col min="11017" max="11264" width="9" style="98"/>
    <col min="11265" max="11265" width="40.09765625" style="98" customWidth="1"/>
    <col min="11266" max="11272" width="13" style="98" customWidth="1"/>
    <col min="11273" max="11520" width="9" style="98"/>
    <col min="11521" max="11521" width="40.09765625" style="98" customWidth="1"/>
    <col min="11522" max="11528" width="13" style="98" customWidth="1"/>
    <col min="11529" max="11776" width="9" style="98"/>
    <col min="11777" max="11777" width="40.09765625" style="98" customWidth="1"/>
    <col min="11778" max="11784" width="13" style="98" customWidth="1"/>
    <col min="11785" max="12032" width="9" style="98"/>
    <col min="12033" max="12033" width="40.09765625" style="98" customWidth="1"/>
    <col min="12034" max="12040" width="13" style="98" customWidth="1"/>
    <col min="12041" max="12288" width="9" style="98"/>
    <col min="12289" max="12289" width="40.09765625" style="98" customWidth="1"/>
    <col min="12290" max="12296" width="13" style="98" customWidth="1"/>
    <col min="12297" max="12544" width="9" style="98"/>
    <col min="12545" max="12545" width="40.09765625" style="98" customWidth="1"/>
    <col min="12546" max="12552" width="13" style="98" customWidth="1"/>
    <col min="12553" max="12800" width="9" style="98"/>
    <col min="12801" max="12801" width="40.09765625" style="98" customWidth="1"/>
    <col min="12802" max="12808" width="13" style="98" customWidth="1"/>
    <col min="12809" max="13056" width="9" style="98"/>
    <col min="13057" max="13057" width="40.09765625" style="98" customWidth="1"/>
    <col min="13058" max="13064" width="13" style="98" customWidth="1"/>
    <col min="13065" max="13312" width="9" style="98"/>
    <col min="13313" max="13313" width="40.09765625" style="98" customWidth="1"/>
    <col min="13314" max="13320" width="13" style="98" customWidth="1"/>
    <col min="13321" max="13568" width="9" style="98"/>
    <col min="13569" max="13569" width="40.09765625" style="98" customWidth="1"/>
    <col min="13570" max="13576" width="13" style="98" customWidth="1"/>
    <col min="13577" max="13824" width="9" style="98"/>
    <col min="13825" max="13825" width="40.09765625" style="98" customWidth="1"/>
    <col min="13826" max="13832" width="13" style="98" customWidth="1"/>
    <col min="13833" max="14080" width="9" style="98"/>
    <col min="14081" max="14081" width="40.09765625" style="98" customWidth="1"/>
    <col min="14082" max="14088" width="13" style="98" customWidth="1"/>
    <col min="14089" max="14336" width="9" style="98"/>
    <col min="14337" max="14337" width="40.09765625" style="98" customWidth="1"/>
    <col min="14338" max="14344" width="13" style="98" customWidth="1"/>
    <col min="14345" max="14592" width="9" style="98"/>
    <col min="14593" max="14593" width="40.09765625" style="98" customWidth="1"/>
    <col min="14594" max="14600" width="13" style="98" customWidth="1"/>
    <col min="14601" max="14848" width="9" style="98"/>
    <col min="14849" max="14849" width="40.09765625" style="98" customWidth="1"/>
    <col min="14850" max="14856" width="13" style="98" customWidth="1"/>
    <col min="14857" max="15104" width="9" style="98"/>
    <col min="15105" max="15105" width="40.09765625" style="98" customWidth="1"/>
    <col min="15106" max="15112" width="13" style="98" customWidth="1"/>
    <col min="15113" max="15360" width="9" style="98"/>
    <col min="15361" max="15361" width="40.09765625" style="98" customWidth="1"/>
    <col min="15362" max="15368" width="13" style="98" customWidth="1"/>
    <col min="15369" max="15616" width="9" style="98"/>
    <col min="15617" max="15617" width="40.09765625" style="98" customWidth="1"/>
    <col min="15618" max="15624" width="13" style="98" customWidth="1"/>
    <col min="15625" max="15872" width="9" style="98"/>
    <col min="15873" max="15873" width="40.09765625" style="98" customWidth="1"/>
    <col min="15874" max="15880" width="13" style="98" customWidth="1"/>
    <col min="15881" max="16128" width="9" style="98"/>
    <col min="16129" max="16129" width="40.09765625" style="98" customWidth="1"/>
    <col min="16130" max="16136" width="13" style="98" customWidth="1"/>
    <col min="16137" max="16384" width="9" style="98"/>
  </cols>
  <sheetData>
    <row r="5" spans="1:255" ht="16.2" x14ac:dyDescent="0.25">
      <c r="A5" s="97" t="s">
        <v>691</v>
      </c>
    </row>
    <row r="7" spans="1:255" x14ac:dyDescent="0.2">
      <c r="A7" s="101"/>
      <c r="B7" s="100" t="s">
        <v>366</v>
      </c>
      <c r="C7" s="98" t="s">
        <v>367</v>
      </c>
      <c r="D7" s="101" t="s">
        <v>287</v>
      </c>
      <c r="E7" s="100" t="s">
        <v>368</v>
      </c>
      <c r="F7" s="98" t="s">
        <v>369</v>
      </c>
    </row>
    <row r="8" spans="1:255" x14ac:dyDescent="0.2">
      <c r="A8" s="101"/>
      <c r="B8" s="100" t="s">
        <v>290</v>
      </c>
      <c r="C8" s="98" t="s">
        <v>291</v>
      </c>
      <c r="D8" s="101" t="s">
        <v>287</v>
      </c>
      <c r="E8" s="100" t="s">
        <v>294</v>
      </c>
      <c r="F8" s="102" t="s">
        <v>295</v>
      </c>
    </row>
    <row r="9" spans="1:255" x14ac:dyDescent="0.2">
      <c r="A9" s="101"/>
      <c r="B9" s="100" t="s">
        <v>371</v>
      </c>
      <c r="C9" s="98" t="s">
        <v>372</v>
      </c>
      <c r="D9" s="101" t="s">
        <v>287</v>
      </c>
      <c r="E9" s="125"/>
      <c r="F9" s="125"/>
    </row>
    <row r="12" spans="1:255" x14ac:dyDescent="0.2">
      <c r="A12" s="103" t="s">
        <v>692</v>
      </c>
      <c r="B12" s="103"/>
      <c r="C12" s="103"/>
      <c r="D12" s="103"/>
      <c r="E12" s="103"/>
      <c r="F12" s="103"/>
      <c r="G12" s="103"/>
      <c r="H12" s="103"/>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c r="CI12" s="104"/>
      <c r="CJ12" s="104"/>
      <c r="CK12" s="104"/>
      <c r="CL12" s="104"/>
      <c r="CM12" s="104"/>
      <c r="CN12" s="104"/>
      <c r="CO12" s="104"/>
      <c r="CP12" s="104"/>
      <c r="CQ12" s="104"/>
      <c r="CR12" s="104"/>
      <c r="CS12" s="104"/>
      <c r="CT12" s="104"/>
      <c r="CU12" s="104"/>
      <c r="CV12" s="104"/>
      <c r="CW12" s="104"/>
      <c r="CX12" s="104"/>
      <c r="CY12" s="104"/>
      <c r="CZ12" s="104"/>
      <c r="DA12" s="104"/>
      <c r="DB12" s="104"/>
      <c r="DC12" s="104"/>
      <c r="DD12" s="104"/>
      <c r="DE12" s="104"/>
      <c r="DF12" s="104"/>
      <c r="DG12" s="104"/>
      <c r="DH12" s="104"/>
      <c r="DI12" s="104"/>
      <c r="DJ12" s="104"/>
      <c r="DK12" s="104"/>
      <c r="DL12" s="104"/>
      <c r="DM12" s="104"/>
      <c r="DN12" s="104"/>
      <c r="DO12" s="104"/>
      <c r="DP12" s="104"/>
      <c r="DQ12" s="104"/>
      <c r="DR12" s="104"/>
      <c r="DS12" s="104"/>
      <c r="DT12" s="104"/>
      <c r="DU12" s="104"/>
      <c r="DV12" s="104"/>
      <c r="DW12" s="104"/>
      <c r="DX12" s="104"/>
      <c r="DY12" s="104"/>
      <c r="DZ12" s="104"/>
      <c r="EA12" s="104"/>
      <c r="EB12" s="104"/>
      <c r="EC12" s="104"/>
      <c r="ED12" s="104"/>
      <c r="EE12" s="104"/>
      <c r="EF12" s="104"/>
      <c r="EG12" s="104"/>
      <c r="EH12" s="104"/>
      <c r="EI12" s="104"/>
      <c r="EJ12" s="104"/>
      <c r="EK12" s="104"/>
      <c r="EL12" s="104"/>
      <c r="EM12" s="104"/>
      <c r="EN12" s="104"/>
      <c r="EO12" s="104"/>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4"/>
      <c r="FR12" s="104"/>
      <c r="FS12" s="104"/>
      <c r="FT12" s="104"/>
      <c r="FU12" s="104"/>
      <c r="FV12" s="104"/>
      <c r="FW12" s="104"/>
      <c r="FX12" s="104"/>
      <c r="FY12" s="104"/>
      <c r="FZ12" s="104"/>
      <c r="GA12" s="104"/>
      <c r="GB12" s="104"/>
      <c r="GC12" s="104"/>
      <c r="GD12" s="104"/>
      <c r="GE12" s="104"/>
      <c r="GF12" s="104"/>
      <c r="GG12" s="104"/>
      <c r="GH12" s="104"/>
      <c r="GI12" s="104"/>
      <c r="GJ12" s="104"/>
      <c r="GK12" s="104"/>
      <c r="GL12" s="104"/>
      <c r="GM12" s="104"/>
      <c r="GN12" s="104"/>
      <c r="GO12" s="104"/>
      <c r="GP12" s="104"/>
      <c r="GQ12" s="104"/>
      <c r="GR12" s="104"/>
      <c r="GS12" s="104"/>
      <c r="GT12" s="104"/>
      <c r="GU12" s="104"/>
      <c r="GV12" s="104"/>
      <c r="GW12" s="104"/>
      <c r="GX12" s="104"/>
      <c r="GY12" s="104"/>
      <c r="GZ12" s="104"/>
      <c r="HA12" s="104"/>
      <c r="HB12" s="104"/>
      <c r="HC12" s="104"/>
      <c r="HD12" s="104"/>
      <c r="HE12" s="104"/>
      <c r="HF12" s="104"/>
      <c r="HG12" s="104"/>
      <c r="HH12" s="104"/>
      <c r="HI12" s="104"/>
      <c r="HJ12" s="104"/>
      <c r="HK12" s="104"/>
      <c r="HL12" s="104"/>
      <c r="HM12" s="104"/>
      <c r="HN12" s="104"/>
      <c r="HO12" s="104"/>
      <c r="HP12" s="104"/>
      <c r="HQ12" s="104"/>
      <c r="HR12" s="104"/>
      <c r="HS12" s="104"/>
      <c r="HT12" s="104"/>
      <c r="HU12" s="104"/>
      <c r="HV12" s="104"/>
      <c r="HW12" s="104"/>
      <c r="HX12" s="104"/>
      <c r="HY12" s="104"/>
      <c r="HZ12" s="104"/>
      <c r="IA12" s="104"/>
      <c r="IB12" s="104"/>
      <c r="IC12" s="104"/>
      <c r="ID12" s="104"/>
      <c r="IE12" s="104"/>
      <c r="IF12" s="104"/>
      <c r="IG12" s="104"/>
      <c r="IH12" s="104"/>
      <c r="II12" s="104"/>
      <c r="IJ12" s="104"/>
      <c r="IK12" s="104"/>
      <c r="IL12" s="104"/>
      <c r="IM12" s="104"/>
      <c r="IN12" s="104"/>
      <c r="IO12" s="104"/>
      <c r="IP12" s="104"/>
      <c r="IQ12" s="104"/>
      <c r="IR12" s="104"/>
      <c r="IS12" s="104"/>
      <c r="IT12" s="104"/>
      <c r="IU12" s="104"/>
    </row>
    <row r="13" spans="1:255" ht="30.6" x14ac:dyDescent="0.2">
      <c r="A13" s="304" t="s">
        <v>299</v>
      </c>
      <c r="B13" s="305" t="s">
        <v>373</v>
      </c>
      <c r="C13" s="305" t="s">
        <v>517</v>
      </c>
      <c r="D13" s="305" t="s">
        <v>375</v>
      </c>
      <c r="E13" s="305" t="s">
        <v>518</v>
      </c>
      <c r="F13" s="305" t="s">
        <v>377</v>
      </c>
      <c r="G13" s="305" t="s">
        <v>378</v>
      </c>
      <c r="H13" s="305" t="s">
        <v>379</v>
      </c>
    </row>
    <row r="14" spans="1:255" x14ac:dyDescent="0.2">
      <c r="A14" s="109" t="s">
        <v>693</v>
      </c>
      <c r="B14" s="110"/>
      <c r="C14" s="110"/>
      <c r="D14" s="110"/>
      <c r="E14" s="110"/>
      <c r="F14" s="110"/>
      <c r="G14" s="110"/>
      <c r="H14" s="110"/>
    </row>
    <row r="15" spans="1:255" x14ac:dyDescent="0.2">
      <c r="A15" s="110" t="s">
        <v>694</v>
      </c>
      <c r="B15" s="117" t="s">
        <v>311</v>
      </c>
      <c r="C15" s="129">
        <v>0.100894</v>
      </c>
      <c r="D15" s="129">
        <v>2.9381000000000001E-2</v>
      </c>
      <c r="E15" s="129">
        <v>5.5019999999999999E-2</v>
      </c>
      <c r="F15" s="129">
        <v>3.7916999999999999E-2</v>
      </c>
      <c r="G15" s="129">
        <v>4.3472999999999998E-2</v>
      </c>
      <c r="H15" s="129">
        <v>4.3980999999999999E-2</v>
      </c>
    </row>
    <row r="16" spans="1:255" x14ac:dyDescent="0.2">
      <c r="A16" s="110" t="s">
        <v>695</v>
      </c>
      <c r="B16" s="117" t="s">
        <v>311</v>
      </c>
      <c r="C16" s="129">
        <v>0.14398900000000001</v>
      </c>
      <c r="D16" s="129">
        <v>4.9144E-2</v>
      </c>
      <c r="E16" s="129">
        <v>0.12582499999999999</v>
      </c>
      <c r="F16" s="129">
        <v>9.6476999999999993E-2</v>
      </c>
      <c r="G16" s="129">
        <v>9.9141999999999994E-2</v>
      </c>
      <c r="H16" s="129">
        <v>9.8865999999999996E-2</v>
      </c>
    </row>
    <row r="17" spans="1:8" x14ac:dyDescent="0.2">
      <c r="A17" s="110" t="s">
        <v>696</v>
      </c>
      <c r="B17" s="117" t="s">
        <v>311</v>
      </c>
      <c r="C17" s="129">
        <v>0.15660199999999999</v>
      </c>
      <c r="D17" s="129">
        <v>8.4741999999999998E-2</v>
      </c>
      <c r="E17" s="129">
        <v>3.6835E-2</v>
      </c>
      <c r="F17" s="129">
        <v>0.12359199999999999</v>
      </c>
      <c r="G17" s="129">
        <v>4.1724999999999998E-2</v>
      </c>
      <c r="H17" s="129">
        <v>4.4988E-2</v>
      </c>
    </row>
    <row r="18" spans="1:8" x14ac:dyDescent="0.2">
      <c r="A18" s="110" t="s">
        <v>697</v>
      </c>
      <c r="B18" s="117" t="s">
        <v>311</v>
      </c>
      <c r="C18" s="129">
        <v>0.15660199999999999</v>
      </c>
      <c r="D18" s="129">
        <v>8.4741999999999998E-2</v>
      </c>
      <c r="E18" s="129">
        <v>-0.155032</v>
      </c>
      <c r="F18" s="129">
        <v>9.8463999999999996E-2</v>
      </c>
      <c r="G18" s="129">
        <v>-1.9889999999999999E-3</v>
      </c>
      <c r="H18" s="129">
        <v>5.3680000000000004E-3</v>
      </c>
    </row>
    <row r="19" spans="1:8" x14ac:dyDescent="0.2">
      <c r="A19" s="110"/>
      <c r="B19" s="110"/>
      <c r="C19" s="110"/>
      <c r="D19" s="110"/>
      <c r="E19" s="110"/>
      <c r="F19" s="110"/>
      <c r="G19" s="110"/>
      <c r="H19" s="110"/>
    </row>
    <row r="20" spans="1:8" x14ac:dyDescent="0.2">
      <c r="A20" s="109" t="s">
        <v>698</v>
      </c>
      <c r="B20" s="110"/>
      <c r="C20" s="110"/>
      <c r="D20" s="110"/>
      <c r="E20" s="110"/>
      <c r="F20" s="110"/>
      <c r="G20" s="110"/>
      <c r="H20" s="110"/>
    </row>
    <row r="21" spans="1:8" x14ac:dyDescent="0.2">
      <c r="A21" s="110" t="s">
        <v>699</v>
      </c>
      <c r="B21" s="129">
        <v>0.36423</v>
      </c>
      <c r="C21" s="129">
        <v>0.38327099999999997</v>
      </c>
      <c r="D21" s="129">
        <v>0.37576900000000002</v>
      </c>
      <c r="E21" s="129">
        <v>0.40166400000000002</v>
      </c>
      <c r="F21" s="129">
        <v>0.399899</v>
      </c>
      <c r="G21" s="129">
        <v>0.39167200000000002</v>
      </c>
      <c r="H21" s="129">
        <v>0.39586500000000002</v>
      </c>
    </row>
    <row r="22" spans="1:8" x14ac:dyDescent="0.2">
      <c r="A22" s="110" t="s">
        <v>700</v>
      </c>
      <c r="B22" s="129">
        <v>0.122514</v>
      </c>
      <c r="C22" s="129">
        <v>0.126115</v>
      </c>
      <c r="D22" s="129">
        <v>0.15343699999999999</v>
      </c>
      <c r="E22" s="129">
        <v>0.127166</v>
      </c>
      <c r="F22" s="129">
        <v>0.113813</v>
      </c>
      <c r="G22" s="129">
        <v>0.10685</v>
      </c>
      <c r="H22" s="129">
        <v>0.110654</v>
      </c>
    </row>
    <row r="23" spans="1:8" x14ac:dyDescent="0.2">
      <c r="A23" s="110" t="s">
        <v>701</v>
      </c>
      <c r="B23" s="129">
        <v>0.12006</v>
      </c>
      <c r="C23" s="129">
        <v>0.14013500000000001</v>
      </c>
      <c r="D23" s="129">
        <v>7.6411000000000007E-2</v>
      </c>
      <c r="E23" s="129">
        <v>0.16044700000000001</v>
      </c>
      <c r="F23" s="129">
        <v>0.15770899999999999</v>
      </c>
      <c r="G23" s="129">
        <v>0.15826999999999999</v>
      </c>
      <c r="H23" s="129">
        <v>0.15898100000000001</v>
      </c>
    </row>
    <row r="24" spans="1:8" x14ac:dyDescent="0.2">
      <c r="A24" s="110" t="s">
        <v>702</v>
      </c>
      <c r="B24" s="129">
        <v>8.2155000000000006E-2</v>
      </c>
      <c r="C24" s="129">
        <v>9.7191E-2</v>
      </c>
      <c r="D24" s="129">
        <v>2.7401999999999999E-2</v>
      </c>
      <c r="E24" s="129">
        <v>0.10681400000000001</v>
      </c>
      <c r="F24" s="129">
        <v>0.10369299999999999</v>
      </c>
      <c r="G24" s="129">
        <v>9.7781000000000007E-2</v>
      </c>
      <c r="H24" s="129">
        <v>9.7449999999999995E-2</v>
      </c>
    </row>
    <row r="25" spans="1:8" x14ac:dyDescent="0.2">
      <c r="A25" s="110" t="s">
        <v>703</v>
      </c>
      <c r="B25" s="129">
        <v>8.2155000000000006E-2</v>
      </c>
      <c r="C25" s="129">
        <v>9.7191E-2</v>
      </c>
      <c r="D25" s="129">
        <v>2.7401999999999999E-2</v>
      </c>
      <c r="E25" s="129">
        <v>0.10681400000000001</v>
      </c>
      <c r="F25" s="129">
        <v>0.10369299999999999</v>
      </c>
      <c r="G25" s="129">
        <v>9.7781000000000007E-2</v>
      </c>
      <c r="H25" s="129">
        <v>9.7449999999999995E-2</v>
      </c>
    </row>
    <row r="26" spans="1:8" x14ac:dyDescent="0.2">
      <c r="A26" s="110" t="s">
        <v>704</v>
      </c>
      <c r="B26" s="129">
        <v>7.2459999999999997E-2</v>
      </c>
      <c r="C26" s="129">
        <v>6.5767999999999993E-2</v>
      </c>
      <c r="D26" s="129">
        <v>1.7867999999999998E-2</v>
      </c>
      <c r="E26" s="129">
        <v>1.6390999999999999E-2</v>
      </c>
      <c r="F26" s="129">
        <v>8.2488000000000006E-2</v>
      </c>
      <c r="G26" s="129">
        <v>2.4759E-2</v>
      </c>
      <c r="H26" s="129">
        <v>2.6237E-2</v>
      </c>
    </row>
    <row r="27" spans="1:8" x14ac:dyDescent="0.2">
      <c r="A27" s="110" t="s">
        <v>705</v>
      </c>
      <c r="B27" s="129">
        <v>7.2459999999999997E-2</v>
      </c>
      <c r="C27" s="129">
        <v>6.5767999999999993E-2</v>
      </c>
      <c r="D27" s="129">
        <v>1.7867999999999998E-2</v>
      </c>
      <c r="E27" s="129">
        <v>-4.6045999999999997E-2</v>
      </c>
      <c r="F27" s="129">
        <v>4.6358000000000003E-2</v>
      </c>
      <c r="G27" s="129">
        <v>-8.9099999999999997E-4</v>
      </c>
      <c r="H27" s="129">
        <v>2.4160000000000002E-3</v>
      </c>
    </row>
    <row r="28" spans="1:8" x14ac:dyDescent="0.2">
      <c r="A28" s="110" t="s">
        <v>706</v>
      </c>
      <c r="B28" s="129">
        <v>7.2459999999999997E-2</v>
      </c>
      <c r="C28" s="129">
        <v>6.5767999999999993E-2</v>
      </c>
      <c r="D28" s="129">
        <v>1.7867999999999998E-2</v>
      </c>
      <c r="E28" s="129">
        <v>-4.6045999999999997E-2</v>
      </c>
      <c r="F28" s="129">
        <v>4.6358000000000003E-2</v>
      </c>
      <c r="G28" s="129">
        <v>-8.9099999999999997E-4</v>
      </c>
      <c r="H28" s="129">
        <v>2.4160000000000002E-3</v>
      </c>
    </row>
    <row r="29" spans="1:8" x14ac:dyDescent="0.2">
      <c r="A29" s="110" t="s">
        <v>707</v>
      </c>
      <c r="B29" s="129">
        <v>4.9637000000000001E-2</v>
      </c>
      <c r="C29" s="129">
        <v>6.0350000000000001E-2</v>
      </c>
      <c r="D29" s="129">
        <v>1.5212E-2</v>
      </c>
      <c r="E29" s="129">
        <v>3.2560000000000002E-3</v>
      </c>
      <c r="F29" s="129">
        <v>2.8701000000000001E-2</v>
      </c>
      <c r="G29" s="129">
        <v>3.4179000000000001E-2</v>
      </c>
      <c r="H29" s="129">
        <v>3.5587000000000001E-2</v>
      </c>
    </row>
    <row r="30" spans="1:8" x14ac:dyDescent="0.2">
      <c r="A30" s="110" t="s">
        <v>708</v>
      </c>
      <c r="B30" s="117" t="s">
        <v>311</v>
      </c>
      <c r="C30" s="129">
        <v>-7.4290999999999996E-2</v>
      </c>
      <c r="D30" s="129">
        <v>-0.12557199999999999</v>
      </c>
      <c r="E30" s="129">
        <v>6.5943000000000002E-2</v>
      </c>
      <c r="F30" s="129">
        <v>-4.5393999999999997E-2</v>
      </c>
      <c r="G30" s="129">
        <v>-2.6074E-2</v>
      </c>
      <c r="H30" s="129">
        <v>-2.0555E-2</v>
      </c>
    </row>
    <row r="31" spans="1:8" x14ac:dyDescent="0.2">
      <c r="A31" s="110" t="s">
        <v>709</v>
      </c>
      <c r="B31" s="117" t="s">
        <v>311</v>
      </c>
      <c r="C31" s="129">
        <v>-7.3896000000000003E-2</v>
      </c>
      <c r="D31" s="129">
        <v>-0.12364799999999999</v>
      </c>
      <c r="E31" s="129">
        <v>6.7030999999999993E-2</v>
      </c>
      <c r="F31" s="129">
        <v>-4.4524000000000001E-2</v>
      </c>
      <c r="G31" s="129">
        <v>-2.3212E-2</v>
      </c>
      <c r="H31" s="129">
        <v>-1.7432E-2</v>
      </c>
    </row>
    <row r="32" spans="1:8" x14ac:dyDescent="0.2">
      <c r="A32" s="110"/>
      <c r="B32" s="110"/>
      <c r="C32" s="110"/>
      <c r="D32" s="110"/>
      <c r="E32" s="110"/>
      <c r="F32" s="110"/>
      <c r="G32" s="110"/>
      <c r="H32" s="110"/>
    </row>
    <row r="33" spans="1:8" x14ac:dyDescent="0.2">
      <c r="A33" s="109" t="s">
        <v>710</v>
      </c>
      <c r="B33" s="110"/>
      <c r="C33" s="110"/>
      <c r="D33" s="110"/>
      <c r="E33" s="110"/>
      <c r="F33" s="110"/>
      <c r="G33" s="110"/>
      <c r="H33" s="110"/>
    </row>
    <row r="34" spans="1:8" x14ac:dyDescent="0.2">
      <c r="A34" s="110" t="s">
        <v>711</v>
      </c>
      <c r="B34" s="117" t="s">
        <v>311</v>
      </c>
      <c r="C34" s="122">
        <v>1.660962</v>
      </c>
      <c r="D34" s="122">
        <v>1.7155750000000001</v>
      </c>
      <c r="E34" s="122">
        <v>0.82416500000000004</v>
      </c>
      <c r="F34" s="122">
        <v>0.58507699999999996</v>
      </c>
      <c r="G34" s="122">
        <v>0.71135999999999999</v>
      </c>
      <c r="H34" s="122">
        <v>0.72211599999999998</v>
      </c>
    </row>
    <row r="35" spans="1:8" x14ac:dyDescent="0.2">
      <c r="A35" s="110" t="s">
        <v>712</v>
      </c>
      <c r="B35" s="117" t="s">
        <v>311</v>
      </c>
      <c r="C35" s="122">
        <v>2.6171099999999998</v>
      </c>
      <c r="D35" s="122">
        <v>2.19374</v>
      </c>
      <c r="E35" s="122">
        <v>2.3361869999999998</v>
      </c>
      <c r="F35" s="122">
        <v>2.3416410000000001</v>
      </c>
      <c r="G35" s="122">
        <v>2.2192669999999999</v>
      </c>
      <c r="H35" s="122">
        <v>2.215713</v>
      </c>
    </row>
    <row r="36" spans="1:8" x14ac:dyDescent="0.2">
      <c r="A36" s="110" t="s">
        <v>713</v>
      </c>
      <c r="B36" s="117" t="s">
        <v>311</v>
      </c>
      <c r="C36" s="122">
        <v>61.996991999999999</v>
      </c>
      <c r="D36" s="122">
        <v>91.564310000000006</v>
      </c>
      <c r="E36" s="122">
        <v>91.323430000000002</v>
      </c>
      <c r="F36" s="122">
        <v>96.400358999999995</v>
      </c>
      <c r="G36" s="122">
        <v>113.260732</v>
      </c>
      <c r="H36" s="122">
        <v>75.294222000000005</v>
      </c>
    </row>
    <row r="37" spans="1:8" x14ac:dyDescent="0.2">
      <c r="A37" s="110" t="s">
        <v>714</v>
      </c>
      <c r="B37" s="117" t="s">
        <v>311</v>
      </c>
      <c r="C37" s="122">
        <v>177.188153</v>
      </c>
      <c r="D37" s="122">
        <v>172.06976700000001</v>
      </c>
      <c r="E37" s="122">
        <v>212.757462</v>
      </c>
      <c r="F37" s="122">
        <v>238.861378</v>
      </c>
      <c r="G37" s="122">
        <v>211.50581299999999</v>
      </c>
      <c r="H37" s="122">
        <v>221.638113</v>
      </c>
    </row>
    <row r="38" spans="1:8" x14ac:dyDescent="0.2">
      <c r="A38" s="110"/>
      <c r="B38" s="110"/>
      <c r="C38" s="110"/>
      <c r="D38" s="110"/>
      <c r="E38" s="110"/>
      <c r="F38" s="110"/>
      <c r="G38" s="110"/>
      <c r="H38" s="110"/>
    </row>
    <row r="39" spans="1:8" x14ac:dyDescent="0.2">
      <c r="A39" s="109" t="s">
        <v>715</v>
      </c>
      <c r="B39" s="110"/>
      <c r="C39" s="110"/>
      <c r="D39" s="110"/>
      <c r="E39" s="110"/>
      <c r="F39" s="110"/>
      <c r="G39" s="110"/>
      <c r="H39" s="110"/>
    </row>
    <row r="40" spans="1:8" x14ac:dyDescent="0.2">
      <c r="A40" s="110" t="s">
        <v>716</v>
      </c>
      <c r="B40" s="122">
        <v>3.2304650000000001</v>
      </c>
      <c r="C40" s="122">
        <v>2.110617</v>
      </c>
      <c r="D40" s="122">
        <v>0.164497</v>
      </c>
      <c r="E40" s="122">
        <v>3.2882310000000001</v>
      </c>
      <c r="F40" s="122">
        <v>2.6467390000000002</v>
      </c>
      <c r="G40" s="122">
        <v>2.7392129999999999</v>
      </c>
      <c r="H40" s="122">
        <v>2.8588629999999999</v>
      </c>
    </row>
    <row r="41" spans="1:8" x14ac:dyDescent="0.2">
      <c r="A41" s="110" t="s">
        <v>717</v>
      </c>
      <c r="B41" s="122">
        <v>3.1589719999999999</v>
      </c>
      <c r="C41" s="122">
        <v>2.026786</v>
      </c>
      <c r="D41" s="122">
        <v>0.12360599999999999</v>
      </c>
      <c r="E41" s="122">
        <v>3.1385540000000001</v>
      </c>
      <c r="F41" s="122">
        <v>2.5117919999999998</v>
      </c>
      <c r="G41" s="122">
        <v>2.6511279999999999</v>
      </c>
      <c r="H41" s="122">
        <v>2.7739780000000001</v>
      </c>
    </row>
    <row r="42" spans="1:8" x14ac:dyDescent="0.2">
      <c r="A42" s="110" t="s">
        <v>718</v>
      </c>
      <c r="B42" s="122">
        <v>2.097718</v>
      </c>
      <c r="C42" s="122">
        <v>1.7937540000000001</v>
      </c>
      <c r="D42" s="122">
        <v>0.28195999999999999</v>
      </c>
      <c r="E42" s="122">
        <v>1.7187250000000001</v>
      </c>
      <c r="F42" s="122">
        <v>1.7115959999999999</v>
      </c>
      <c r="G42" s="122">
        <v>2.0831759999999999</v>
      </c>
      <c r="H42" s="122">
        <v>2.401052</v>
      </c>
    </row>
    <row r="43" spans="1:8" x14ac:dyDescent="0.2">
      <c r="A43" s="110" t="s">
        <v>719</v>
      </c>
      <c r="B43" s="118" t="s">
        <v>311</v>
      </c>
      <c r="C43" s="118">
        <v>5.8709559999999996</v>
      </c>
      <c r="D43" s="118">
        <v>4.0516909999999999</v>
      </c>
      <c r="E43" s="118">
        <v>3.9857999999999998</v>
      </c>
      <c r="F43" s="118">
        <v>3.7757719999999999</v>
      </c>
      <c r="G43" s="118">
        <v>3.2137560000000001</v>
      </c>
      <c r="H43" s="118">
        <v>4.8342840000000002</v>
      </c>
    </row>
    <row r="44" spans="1:8" x14ac:dyDescent="0.2">
      <c r="A44" s="110" t="s">
        <v>720</v>
      </c>
      <c r="B44" s="118" t="s">
        <v>311</v>
      </c>
      <c r="C44" s="118">
        <v>2.054052</v>
      </c>
      <c r="D44" s="118">
        <v>2.1558809999999999</v>
      </c>
      <c r="E44" s="118">
        <v>1.7108000000000001</v>
      </c>
      <c r="F44" s="118">
        <v>1.5237039999999999</v>
      </c>
      <c r="G44" s="118">
        <v>1.7209920000000001</v>
      </c>
      <c r="H44" s="118">
        <v>1.642004</v>
      </c>
    </row>
    <row r="45" spans="1:8" x14ac:dyDescent="0.2">
      <c r="A45" s="110" t="s">
        <v>721</v>
      </c>
      <c r="B45" s="118" t="s">
        <v>311</v>
      </c>
      <c r="C45" s="118">
        <v>12.744004</v>
      </c>
      <c r="D45" s="118">
        <v>22.086001</v>
      </c>
      <c r="E45" s="118">
        <v>21.105447999999999</v>
      </c>
      <c r="F45" s="118">
        <v>15.458716000000001</v>
      </c>
      <c r="G45" s="118">
        <v>12.590032000000001</v>
      </c>
      <c r="H45" s="118">
        <v>9.7890519999999999</v>
      </c>
    </row>
    <row r="46" spans="1:8" x14ac:dyDescent="0.2">
      <c r="A46" s="110" t="s">
        <v>722</v>
      </c>
      <c r="B46" s="118" t="s">
        <v>311</v>
      </c>
      <c r="C46" s="118">
        <v>-4.8</v>
      </c>
      <c r="D46" s="118">
        <v>-15.9</v>
      </c>
      <c r="E46" s="118">
        <v>-15.4</v>
      </c>
      <c r="F46" s="118">
        <v>-10.199999999999999</v>
      </c>
      <c r="G46" s="118">
        <v>-7.7</v>
      </c>
      <c r="H46" s="118">
        <v>-3.3</v>
      </c>
    </row>
    <row r="47" spans="1:8" x14ac:dyDescent="0.2">
      <c r="A47" s="110"/>
      <c r="B47" s="110"/>
      <c r="C47" s="110"/>
      <c r="D47" s="110"/>
      <c r="E47" s="110"/>
      <c r="F47" s="110"/>
      <c r="G47" s="110"/>
      <c r="H47" s="110"/>
    </row>
    <row r="48" spans="1:8" x14ac:dyDescent="0.2">
      <c r="A48" s="109" t="s">
        <v>723</v>
      </c>
      <c r="B48" s="110"/>
      <c r="C48" s="110"/>
      <c r="D48" s="110"/>
      <c r="E48" s="110"/>
      <c r="F48" s="110"/>
      <c r="G48" s="110"/>
      <c r="H48" s="110"/>
    </row>
    <row r="49" spans="1:8" x14ac:dyDescent="0.2">
      <c r="A49" s="110" t="s">
        <v>724</v>
      </c>
      <c r="B49" s="117" t="s">
        <v>311</v>
      </c>
      <c r="C49" s="129">
        <v>8.371E-3</v>
      </c>
      <c r="D49" s="129">
        <v>2.5645229999999999</v>
      </c>
      <c r="E49" s="129">
        <v>1.993E-3</v>
      </c>
      <c r="F49" s="129">
        <v>9.9670000000000002E-3</v>
      </c>
      <c r="G49" s="129">
        <v>6.4673999999999995E-2</v>
      </c>
      <c r="H49" s="129">
        <v>7.3048000000000002E-2</v>
      </c>
    </row>
    <row r="50" spans="1:8" x14ac:dyDescent="0.2">
      <c r="A50" s="110" t="s">
        <v>725</v>
      </c>
      <c r="B50" s="117" t="s">
        <v>311</v>
      </c>
      <c r="C50" s="129">
        <v>8.3020000000000004E-3</v>
      </c>
      <c r="D50" s="129">
        <v>0.71945700000000001</v>
      </c>
      <c r="E50" s="129">
        <v>1.9889999999999999E-3</v>
      </c>
      <c r="F50" s="129">
        <v>9.8689999999999993E-3</v>
      </c>
      <c r="G50" s="129">
        <v>6.0745E-2</v>
      </c>
      <c r="H50" s="129">
        <v>6.8074999999999997E-2</v>
      </c>
    </row>
    <row r="51" spans="1:8" x14ac:dyDescent="0.2">
      <c r="A51" s="110" t="s">
        <v>726</v>
      </c>
      <c r="B51" s="117" t="s">
        <v>311</v>
      </c>
      <c r="C51" s="129">
        <v>8.371E-3</v>
      </c>
      <c r="D51" s="129">
        <v>2.4840999999999998E-2</v>
      </c>
      <c r="E51" s="129">
        <v>1.993E-3</v>
      </c>
      <c r="F51" s="129">
        <v>9.9670000000000002E-3</v>
      </c>
      <c r="G51" s="129">
        <v>6.4673999999999995E-2</v>
      </c>
      <c r="H51" s="129">
        <v>7.3048000000000002E-2</v>
      </c>
    </row>
    <row r="52" spans="1:8" x14ac:dyDescent="0.2">
      <c r="A52" s="110" t="s">
        <v>727</v>
      </c>
      <c r="B52" s="117" t="s">
        <v>311</v>
      </c>
      <c r="C52" s="129">
        <v>8.3020000000000004E-3</v>
      </c>
      <c r="D52" s="129">
        <v>6.9690000000000004E-3</v>
      </c>
      <c r="E52" s="129">
        <v>1.9889999999999999E-3</v>
      </c>
      <c r="F52" s="129">
        <v>9.8689999999999993E-3</v>
      </c>
      <c r="G52" s="129">
        <v>6.0745E-2</v>
      </c>
      <c r="H52" s="129">
        <v>6.8074999999999997E-2</v>
      </c>
    </row>
    <row r="53" spans="1:8" x14ac:dyDescent="0.2">
      <c r="A53" s="110" t="s">
        <v>728</v>
      </c>
      <c r="B53" s="129">
        <v>0.27677600000000002</v>
      </c>
      <c r="C53" s="129">
        <v>0.322932</v>
      </c>
      <c r="D53" s="129">
        <v>0.84812299999999996</v>
      </c>
      <c r="E53" s="129">
        <v>0.58629799999999999</v>
      </c>
      <c r="F53" s="129">
        <v>0.62587199999999998</v>
      </c>
      <c r="G53" s="129">
        <v>0.52300000000000002</v>
      </c>
      <c r="H53" s="129">
        <v>0.53400800000000004</v>
      </c>
    </row>
    <row r="54" spans="1:8" x14ac:dyDescent="0.2">
      <c r="A54" s="110"/>
      <c r="B54" s="110"/>
      <c r="C54" s="110"/>
      <c r="D54" s="110"/>
      <c r="E54" s="110"/>
      <c r="F54" s="110"/>
      <c r="G54" s="110"/>
      <c r="H54" s="110"/>
    </row>
    <row r="55" spans="1:8" x14ac:dyDescent="0.2">
      <c r="A55" s="110" t="s">
        <v>729</v>
      </c>
      <c r="B55" s="122">
        <v>30.038461000000002</v>
      </c>
      <c r="C55" s="122">
        <v>154.11538400000001</v>
      </c>
      <c r="D55" s="122">
        <v>8.8986300000000007</v>
      </c>
      <c r="E55" s="122">
        <v>61.319277</v>
      </c>
      <c r="F55" s="122">
        <v>74.435828000000001</v>
      </c>
      <c r="G55" s="122">
        <v>21.354230000000001</v>
      </c>
      <c r="H55" s="122">
        <v>19.499212</v>
      </c>
    </row>
    <row r="56" spans="1:8" x14ac:dyDescent="0.2">
      <c r="A56" s="110" t="s">
        <v>730</v>
      </c>
      <c r="B56" s="122">
        <v>43.897435000000002</v>
      </c>
      <c r="C56" s="122">
        <v>222.21153799999999</v>
      </c>
      <c r="D56" s="122">
        <v>24.813697999999999</v>
      </c>
      <c r="E56" s="122">
        <v>92.108433000000005</v>
      </c>
      <c r="F56" s="122">
        <v>113.211229</v>
      </c>
      <c r="G56" s="122">
        <v>34.564211</v>
      </c>
      <c r="H56" s="122">
        <v>31.811022999999999</v>
      </c>
    </row>
    <row r="57" spans="1:8" x14ac:dyDescent="0.2">
      <c r="A57" s="110" t="s">
        <v>731</v>
      </c>
      <c r="B57" s="117" t="s">
        <v>319</v>
      </c>
      <c r="C57" s="117" t="s">
        <v>319</v>
      </c>
      <c r="D57" s="117" t="s">
        <v>319</v>
      </c>
      <c r="E57" s="117" t="s">
        <v>319</v>
      </c>
      <c r="F57" s="117" t="s">
        <v>319</v>
      </c>
      <c r="G57" s="117" t="s">
        <v>319</v>
      </c>
      <c r="H57" s="117" t="s">
        <v>319</v>
      </c>
    </row>
    <row r="58" spans="1:8" x14ac:dyDescent="0.2">
      <c r="A58" s="110" t="s">
        <v>732</v>
      </c>
      <c r="B58" s="117" t="s">
        <v>311</v>
      </c>
      <c r="C58" s="122">
        <v>2.7087E-2</v>
      </c>
      <c r="D58" s="122">
        <v>3.5677370000000002</v>
      </c>
      <c r="E58" s="122">
        <v>1.0234999999999999E-2</v>
      </c>
      <c r="F58" s="122">
        <v>4.7399999999999998E-2</v>
      </c>
      <c r="G58" s="122">
        <v>0.25564799999999999</v>
      </c>
      <c r="H58" s="122">
        <v>0.28102300000000002</v>
      </c>
    </row>
    <row r="59" spans="1:8" x14ac:dyDescent="0.2">
      <c r="A59" s="110" t="s">
        <v>733</v>
      </c>
      <c r="B59" s="117" t="s">
        <v>319</v>
      </c>
      <c r="C59" s="117" t="s">
        <v>319</v>
      </c>
      <c r="D59" s="122">
        <v>3.2721650000000002</v>
      </c>
      <c r="E59" s="117" t="s">
        <v>319</v>
      </c>
      <c r="F59" s="117" t="s">
        <v>319</v>
      </c>
      <c r="G59" s="117" t="s">
        <v>319</v>
      </c>
      <c r="H59" s="117" t="s">
        <v>319</v>
      </c>
    </row>
    <row r="60" spans="1:8" x14ac:dyDescent="0.2">
      <c r="A60" s="110" t="s">
        <v>734</v>
      </c>
      <c r="B60" s="117" t="s">
        <v>311</v>
      </c>
      <c r="C60" s="117" t="s">
        <v>319</v>
      </c>
      <c r="D60" s="117" t="s">
        <v>319</v>
      </c>
      <c r="E60" s="117" t="s">
        <v>319</v>
      </c>
      <c r="F60" s="117" t="s">
        <v>319</v>
      </c>
      <c r="G60" s="117" t="s">
        <v>319</v>
      </c>
      <c r="H60" s="117" t="s">
        <v>319</v>
      </c>
    </row>
    <row r="61" spans="1:8" x14ac:dyDescent="0.2">
      <c r="A61" s="110" t="s">
        <v>735</v>
      </c>
      <c r="B61" s="117" t="s">
        <v>319</v>
      </c>
      <c r="C61" s="117" t="s">
        <v>319</v>
      </c>
      <c r="D61" s="117" t="s">
        <v>319</v>
      </c>
      <c r="E61" s="117" t="s">
        <v>319</v>
      </c>
      <c r="F61" s="117" t="s">
        <v>319</v>
      </c>
      <c r="G61" s="117" t="s">
        <v>319</v>
      </c>
      <c r="H61" s="117" t="s">
        <v>319</v>
      </c>
    </row>
    <row r="62" spans="1:8" x14ac:dyDescent="0.2">
      <c r="A62" s="110"/>
      <c r="B62" s="110"/>
      <c r="C62" s="110"/>
      <c r="D62" s="110"/>
      <c r="E62" s="110"/>
      <c r="F62" s="110"/>
      <c r="G62" s="110"/>
      <c r="H62" s="110"/>
    </row>
    <row r="63" spans="1:8" x14ac:dyDescent="0.2">
      <c r="A63" s="110" t="s">
        <v>736</v>
      </c>
      <c r="B63" s="128" t="s">
        <v>311</v>
      </c>
      <c r="C63" s="128" t="s">
        <v>311</v>
      </c>
      <c r="D63" s="128" t="s">
        <v>311</v>
      </c>
      <c r="E63" s="128">
        <v>2.7822460000000002</v>
      </c>
      <c r="F63" s="128">
        <v>2.2590819999999998</v>
      </c>
      <c r="G63" s="128">
        <v>3.4266960000000002</v>
      </c>
      <c r="H63" s="128">
        <v>3.3838460000000001</v>
      </c>
    </row>
    <row r="64" spans="1:8" x14ac:dyDescent="0.2">
      <c r="A64" s="110"/>
      <c r="B64" s="110"/>
      <c r="C64" s="110"/>
      <c r="D64" s="110"/>
      <c r="E64" s="110"/>
      <c r="F64" s="110"/>
      <c r="G64" s="110"/>
      <c r="H64" s="110"/>
    </row>
    <row r="65" spans="1:8" x14ac:dyDescent="0.2">
      <c r="A65" s="109" t="s">
        <v>737</v>
      </c>
      <c r="B65" s="110"/>
      <c r="C65" s="110"/>
      <c r="D65" s="110"/>
      <c r="E65" s="110"/>
      <c r="F65" s="110"/>
      <c r="G65" s="110"/>
      <c r="H65" s="110"/>
    </row>
    <row r="66" spans="1:8" x14ac:dyDescent="0.2">
      <c r="A66" s="110" t="s">
        <v>381</v>
      </c>
      <c r="B66" s="117" t="s">
        <v>311</v>
      </c>
      <c r="C66" s="129">
        <v>0.44563199999999997</v>
      </c>
      <c r="D66" s="129">
        <v>0.43749300000000002</v>
      </c>
      <c r="E66" s="129">
        <v>0.60796399999999995</v>
      </c>
      <c r="F66" s="129">
        <v>0.40863699999999997</v>
      </c>
      <c r="G66" s="129">
        <v>0.336474</v>
      </c>
      <c r="H66" s="129">
        <v>0.30962099999999998</v>
      </c>
    </row>
    <row r="67" spans="1:8" x14ac:dyDescent="0.2">
      <c r="A67" s="110" t="s">
        <v>383</v>
      </c>
      <c r="B67" s="117" t="s">
        <v>311</v>
      </c>
      <c r="C67" s="129">
        <v>0.52120299999999997</v>
      </c>
      <c r="D67" s="129">
        <v>0.40935899999999997</v>
      </c>
      <c r="E67" s="129">
        <v>0.71876899999999999</v>
      </c>
      <c r="F67" s="129">
        <v>0.402447</v>
      </c>
      <c r="G67" s="129">
        <v>0.308979</v>
      </c>
      <c r="H67" s="129">
        <v>0.24882000000000001</v>
      </c>
    </row>
    <row r="68" spans="1:8" x14ac:dyDescent="0.2">
      <c r="A68" s="110" t="s">
        <v>738</v>
      </c>
      <c r="B68" s="117" t="s">
        <v>311</v>
      </c>
      <c r="C68" s="129">
        <v>0.68735299999999999</v>
      </c>
      <c r="D68" s="129">
        <v>-0.21618399999999999</v>
      </c>
      <c r="E68" s="129">
        <v>2.3763930000000002</v>
      </c>
      <c r="F68" s="129">
        <v>0.38459700000000002</v>
      </c>
      <c r="G68" s="129">
        <v>0.341229</v>
      </c>
      <c r="H68" s="129">
        <v>0.34936499999999998</v>
      </c>
    </row>
    <row r="69" spans="1:8" x14ac:dyDescent="0.2">
      <c r="A69" s="110" t="s">
        <v>739</v>
      </c>
      <c r="B69" s="117" t="s">
        <v>311</v>
      </c>
      <c r="C69" s="129">
        <v>0.71020000000000005</v>
      </c>
      <c r="D69" s="129">
        <v>-0.59470999999999996</v>
      </c>
      <c r="E69" s="129">
        <v>5.2678570000000002</v>
      </c>
      <c r="F69" s="129">
        <v>0.36747200000000002</v>
      </c>
      <c r="G69" s="129">
        <v>0.26028200000000001</v>
      </c>
      <c r="H69" s="129">
        <v>0.29131600000000002</v>
      </c>
    </row>
    <row r="70" spans="1:8" x14ac:dyDescent="0.2">
      <c r="A70" s="110" t="s">
        <v>740</v>
      </c>
      <c r="B70" s="117" t="s">
        <v>311</v>
      </c>
      <c r="C70" s="129">
        <v>0.71020000000000005</v>
      </c>
      <c r="D70" s="129">
        <v>-0.59470999999999996</v>
      </c>
      <c r="E70" s="129">
        <v>5.2678570000000002</v>
      </c>
      <c r="F70" s="129">
        <v>0.36747200000000002</v>
      </c>
      <c r="G70" s="129">
        <v>0.26028200000000001</v>
      </c>
      <c r="H70" s="129">
        <v>0.29131600000000002</v>
      </c>
    </row>
    <row r="71" spans="1:8" x14ac:dyDescent="0.2">
      <c r="A71" s="110" t="s">
        <v>403</v>
      </c>
      <c r="B71" s="117" t="s">
        <v>311</v>
      </c>
      <c r="C71" s="129">
        <v>0.31212099999999998</v>
      </c>
      <c r="D71" s="129">
        <v>-0.60944200000000004</v>
      </c>
      <c r="E71" s="129">
        <v>0.47497600000000001</v>
      </c>
      <c r="F71" s="129">
        <v>6.0889879999999996</v>
      </c>
      <c r="G71" s="129">
        <v>-0.59884499999999996</v>
      </c>
      <c r="H71" s="129">
        <v>-0.55859199999999998</v>
      </c>
    </row>
    <row r="72" spans="1:8" x14ac:dyDescent="0.2">
      <c r="A72" s="110" t="s">
        <v>408</v>
      </c>
      <c r="B72" s="117" t="s">
        <v>311</v>
      </c>
      <c r="C72" s="129">
        <v>0.31212099999999998</v>
      </c>
      <c r="D72" s="129">
        <v>-0.60944200000000004</v>
      </c>
      <c r="E72" s="129" t="s">
        <v>319</v>
      </c>
      <c r="F72" s="129" t="s">
        <v>319</v>
      </c>
      <c r="G72" s="129" t="s">
        <v>319</v>
      </c>
      <c r="H72" s="129">
        <v>-0.93049599999999999</v>
      </c>
    </row>
    <row r="73" spans="1:8" x14ac:dyDescent="0.2">
      <c r="A73" s="110" t="s">
        <v>741</v>
      </c>
      <c r="B73" s="117" t="s">
        <v>311</v>
      </c>
      <c r="C73" s="129">
        <v>0.75761500000000004</v>
      </c>
      <c r="D73" s="129">
        <v>-0.63765400000000005</v>
      </c>
      <c r="E73" s="129">
        <v>-0.655806</v>
      </c>
      <c r="F73" s="129">
        <v>11.415910999999999</v>
      </c>
      <c r="G73" s="129">
        <v>0.59157999999999999</v>
      </c>
      <c r="H73" s="129">
        <v>0.58592299999999997</v>
      </c>
    </row>
    <row r="74" spans="1:8" x14ac:dyDescent="0.2">
      <c r="A74" s="110" t="s">
        <v>742</v>
      </c>
      <c r="B74" s="117" t="s">
        <v>311</v>
      </c>
      <c r="C74" s="117" t="s">
        <v>311</v>
      </c>
      <c r="D74" s="129">
        <v>-0.60936699999999999</v>
      </c>
      <c r="E74" s="129" t="s">
        <v>319</v>
      </c>
      <c r="F74" s="129" t="s">
        <v>319</v>
      </c>
      <c r="G74" s="129" t="s">
        <v>319</v>
      </c>
      <c r="H74" s="129">
        <v>-0.93489</v>
      </c>
    </row>
    <row r="75" spans="1:8" x14ac:dyDescent="0.2">
      <c r="A75" s="110"/>
      <c r="B75" s="110"/>
      <c r="C75" s="110"/>
      <c r="D75" s="110"/>
      <c r="E75" s="110"/>
      <c r="F75" s="110"/>
      <c r="G75" s="110"/>
      <c r="H75" s="110"/>
    </row>
    <row r="76" spans="1:8" x14ac:dyDescent="0.2">
      <c r="A76" s="110" t="s">
        <v>743</v>
      </c>
      <c r="B76" s="117" t="s">
        <v>311</v>
      </c>
      <c r="C76" s="129">
        <v>-0.28718700000000003</v>
      </c>
      <c r="D76" s="129">
        <v>0.33875300000000003</v>
      </c>
      <c r="E76" s="129">
        <v>0.81646399999999997</v>
      </c>
      <c r="F76" s="129">
        <v>6.9093000000000002E-2</v>
      </c>
      <c r="G76" s="129">
        <v>0.20152800000000001</v>
      </c>
      <c r="H76" s="129">
        <v>-2.1710000000000002E-3</v>
      </c>
    </row>
    <row r="77" spans="1:8" x14ac:dyDescent="0.2">
      <c r="A77" s="110" t="s">
        <v>744</v>
      </c>
      <c r="B77" s="117" t="s">
        <v>311</v>
      </c>
      <c r="C77" s="129">
        <v>0.36213899999999999</v>
      </c>
      <c r="D77" s="129">
        <v>0.59818700000000002</v>
      </c>
      <c r="E77" s="129">
        <v>2.6464999999999999E-2</v>
      </c>
      <c r="F77" s="129">
        <v>0.484346</v>
      </c>
      <c r="G77" s="129">
        <v>0.56079400000000001</v>
      </c>
      <c r="H77" s="129">
        <v>0.30121799999999999</v>
      </c>
    </row>
    <row r="78" spans="1:8" x14ac:dyDescent="0.2">
      <c r="A78" s="110" t="s">
        <v>745</v>
      </c>
      <c r="B78" s="117" t="s">
        <v>311</v>
      </c>
      <c r="C78" s="129">
        <v>0.51298100000000002</v>
      </c>
      <c r="D78" s="129">
        <v>0.84838400000000003</v>
      </c>
      <c r="E78" s="129">
        <v>0.32680599999999999</v>
      </c>
      <c r="F78" s="129">
        <v>0.46455800000000003</v>
      </c>
      <c r="G78" s="129">
        <v>0.373033</v>
      </c>
      <c r="H78" s="129">
        <v>0.38622200000000001</v>
      </c>
    </row>
    <row r="79" spans="1:8" x14ac:dyDescent="0.2">
      <c r="A79" s="110" t="s">
        <v>746</v>
      </c>
      <c r="B79" s="117" t="s">
        <v>311</v>
      </c>
      <c r="C79" s="129">
        <v>0.25303999999999999</v>
      </c>
      <c r="D79" s="129">
        <v>0.502417</v>
      </c>
      <c r="E79" s="129">
        <v>3.5749490000000002</v>
      </c>
      <c r="F79" s="129">
        <v>0.41798999999999997</v>
      </c>
      <c r="G79" s="129">
        <v>-0.125583</v>
      </c>
      <c r="H79" s="129">
        <v>-9.9264000000000005E-2</v>
      </c>
    </row>
    <row r="80" spans="1:8" x14ac:dyDescent="0.2">
      <c r="A80" s="110"/>
      <c r="B80" s="110"/>
      <c r="C80" s="110"/>
      <c r="D80" s="110"/>
      <c r="E80" s="110"/>
      <c r="F80" s="110"/>
      <c r="G80" s="110"/>
      <c r="H80" s="110"/>
    </row>
    <row r="81" spans="1:8" x14ac:dyDescent="0.2">
      <c r="A81" s="110" t="s">
        <v>747</v>
      </c>
      <c r="B81" s="117" t="s">
        <v>311</v>
      </c>
      <c r="C81" s="129">
        <v>0.173072</v>
      </c>
      <c r="D81" s="129">
        <v>-0.68173499999999998</v>
      </c>
      <c r="E81" s="129">
        <v>7.3968400000000001</v>
      </c>
      <c r="F81" s="129">
        <v>0.51617299999999999</v>
      </c>
      <c r="G81" s="129">
        <v>0.112953</v>
      </c>
      <c r="H81" s="129">
        <v>0.13170999999999999</v>
      </c>
    </row>
    <row r="82" spans="1:8" x14ac:dyDescent="0.2">
      <c r="A82" s="110" t="s">
        <v>748</v>
      </c>
      <c r="B82" s="117" t="s">
        <v>311</v>
      </c>
      <c r="C82" s="129">
        <v>0.173072</v>
      </c>
      <c r="D82" s="129">
        <v>-0.66298500000000005</v>
      </c>
      <c r="E82" s="129">
        <v>6.9853170000000002</v>
      </c>
      <c r="F82" s="129">
        <v>0.51257699999999995</v>
      </c>
      <c r="G82" s="129">
        <v>0.113701</v>
      </c>
      <c r="H82" s="129">
        <v>0.13170999999999999</v>
      </c>
    </row>
    <row r="83" spans="1:8" x14ac:dyDescent="0.2">
      <c r="A83" s="110" t="s">
        <v>529</v>
      </c>
      <c r="B83" s="117" t="s">
        <v>311</v>
      </c>
      <c r="C83" s="129">
        <v>0.106696</v>
      </c>
      <c r="D83" s="129">
        <v>5.1067000000000001E-2</v>
      </c>
      <c r="E83" s="129">
        <v>2.0372490000000001</v>
      </c>
      <c r="F83" s="129">
        <v>0.31574400000000002</v>
      </c>
      <c r="G83" s="129">
        <v>0.30566399999999999</v>
      </c>
      <c r="H83" s="129">
        <v>0.44778800000000002</v>
      </c>
    </row>
    <row r="84" spans="1:8" x14ac:dyDescent="0.2">
      <c r="A84" s="110" t="s">
        <v>749</v>
      </c>
      <c r="B84" s="117" t="s">
        <v>311</v>
      </c>
      <c r="C84" s="129">
        <v>0.46737899999999999</v>
      </c>
      <c r="D84" s="129">
        <v>0.76083699999999999</v>
      </c>
      <c r="E84" s="129">
        <v>0.12631899999999999</v>
      </c>
      <c r="F84" s="129">
        <v>0.69483399999999995</v>
      </c>
      <c r="G84" s="129">
        <v>0.130435</v>
      </c>
      <c r="H84" s="129">
        <v>0.23732600000000001</v>
      </c>
    </row>
    <row r="85" spans="1:8" x14ac:dyDescent="0.2">
      <c r="A85" s="110" t="s">
        <v>750</v>
      </c>
      <c r="B85" s="117" t="s">
        <v>311</v>
      </c>
      <c r="C85" s="117" t="s">
        <v>311</v>
      </c>
      <c r="D85" s="129" t="s">
        <v>319</v>
      </c>
      <c r="E85" s="129" t="s">
        <v>319</v>
      </c>
      <c r="F85" s="129" t="s">
        <v>319</v>
      </c>
      <c r="G85" s="129" t="s">
        <v>319</v>
      </c>
      <c r="H85" s="129" t="s">
        <v>319</v>
      </c>
    </row>
    <row r="86" spans="1:8" x14ac:dyDescent="0.2">
      <c r="A86" s="110" t="s">
        <v>751</v>
      </c>
      <c r="B86" s="117" t="s">
        <v>311</v>
      </c>
      <c r="C86" s="117" t="s">
        <v>311</v>
      </c>
      <c r="D86" s="129" t="s">
        <v>319</v>
      </c>
      <c r="E86" s="129" t="s">
        <v>319</v>
      </c>
      <c r="F86" s="129" t="s">
        <v>319</v>
      </c>
      <c r="G86" s="129" t="s">
        <v>319</v>
      </c>
      <c r="H86" s="129" t="s">
        <v>319</v>
      </c>
    </row>
    <row r="87" spans="1:8" x14ac:dyDescent="0.2">
      <c r="A87" s="110" t="s">
        <v>752</v>
      </c>
      <c r="B87" s="117" t="s">
        <v>311</v>
      </c>
      <c r="C87" s="117" t="s">
        <v>311</v>
      </c>
      <c r="D87" s="117" t="s">
        <v>311</v>
      </c>
      <c r="E87" s="117" t="s">
        <v>311</v>
      </c>
      <c r="F87" s="117" t="s">
        <v>311</v>
      </c>
      <c r="G87" s="117" t="s">
        <v>311</v>
      </c>
      <c r="H87" s="117" t="s">
        <v>311</v>
      </c>
    </row>
    <row r="88" spans="1:8" x14ac:dyDescent="0.2">
      <c r="A88" s="110"/>
      <c r="B88" s="110"/>
      <c r="C88" s="110"/>
      <c r="D88" s="110"/>
      <c r="E88" s="110"/>
      <c r="F88" s="110"/>
      <c r="G88" s="110"/>
      <c r="H88" s="110"/>
    </row>
    <row r="89" spans="1:8" x14ac:dyDescent="0.2">
      <c r="A89" s="109" t="s">
        <v>753</v>
      </c>
      <c r="B89" s="110"/>
      <c r="C89" s="110"/>
      <c r="D89" s="110"/>
      <c r="E89" s="110"/>
      <c r="F89" s="110"/>
      <c r="G89" s="110"/>
      <c r="H89" s="110"/>
    </row>
    <row r="90" spans="1:8" x14ac:dyDescent="0.2">
      <c r="A90" s="110" t="s">
        <v>381</v>
      </c>
      <c r="B90" s="117" t="s">
        <v>311</v>
      </c>
      <c r="C90" s="117" t="s">
        <v>311</v>
      </c>
      <c r="D90" s="129">
        <v>0.44155699999999998</v>
      </c>
      <c r="E90" s="129">
        <v>0.52034100000000005</v>
      </c>
      <c r="F90" s="129">
        <v>0.50500400000000001</v>
      </c>
      <c r="G90" s="129">
        <v>0.372081</v>
      </c>
      <c r="H90" s="129">
        <v>0.35716199999999998</v>
      </c>
    </row>
    <row r="91" spans="1:8" x14ac:dyDescent="0.2">
      <c r="A91" s="110" t="s">
        <v>383</v>
      </c>
      <c r="B91" s="117" t="s">
        <v>311</v>
      </c>
      <c r="C91" s="117" t="s">
        <v>311</v>
      </c>
      <c r="D91" s="129">
        <v>0.46421400000000002</v>
      </c>
      <c r="E91" s="129">
        <v>0.55639499999999997</v>
      </c>
      <c r="F91" s="129">
        <v>0.55257299999999998</v>
      </c>
      <c r="G91" s="129">
        <v>0.354908</v>
      </c>
      <c r="H91" s="129">
        <v>0.342831</v>
      </c>
    </row>
    <row r="92" spans="1:8" x14ac:dyDescent="0.2">
      <c r="A92" s="110" t="s">
        <v>738</v>
      </c>
      <c r="B92" s="117" t="s">
        <v>311</v>
      </c>
      <c r="C92" s="117" t="s">
        <v>311</v>
      </c>
      <c r="D92" s="129">
        <v>0.150033</v>
      </c>
      <c r="E92" s="129">
        <v>0.62679799999999997</v>
      </c>
      <c r="F92" s="129">
        <v>1.1621630000000001</v>
      </c>
      <c r="G92" s="129">
        <v>0.36274099999999998</v>
      </c>
      <c r="H92" s="129">
        <v>0.32842199999999999</v>
      </c>
    </row>
    <row r="93" spans="1:8" x14ac:dyDescent="0.2">
      <c r="A93" s="110" t="s">
        <v>739</v>
      </c>
      <c r="B93" s="117" t="s">
        <v>311</v>
      </c>
      <c r="C93" s="117" t="s">
        <v>311</v>
      </c>
      <c r="D93" s="129">
        <v>-0.16745699999999999</v>
      </c>
      <c r="E93" s="129">
        <v>0.59383300000000006</v>
      </c>
      <c r="F93" s="129">
        <v>1.927648</v>
      </c>
      <c r="G93" s="129">
        <v>0.31278400000000001</v>
      </c>
      <c r="H93" s="129">
        <v>0.26527200000000001</v>
      </c>
    </row>
    <row r="94" spans="1:8" x14ac:dyDescent="0.2">
      <c r="A94" s="110" t="s">
        <v>740</v>
      </c>
      <c r="B94" s="117" t="s">
        <v>311</v>
      </c>
      <c r="C94" s="117" t="s">
        <v>311</v>
      </c>
      <c r="D94" s="129">
        <v>-0.16745699999999999</v>
      </c>
      <c r="E94" s="129">
        <v>0.59383300000000006</v>
      </c>
      <c r="F94" s="129">
        <v>1.927648</v>
      </c>
      <c r="G94" s="129">
        <v>0.31278400000000001</v>
      </c>
      <c r="H94" s="129">
        <v>0.26527200000000001</v>
      </c>
    </row>
    <row r="95" spans="1:8" x14ac:dyDescent="0.2">
      <c r="A95" s="110" t="s">
        <v>403</v>
      </c>
      <c r="B95" s="117" t="s">
        <v>311</v>
      </c>
      <c r="C95" s="117" t="s">
        <v>311</v>
      </c>
      <c r="D95" s="129">
        <v>-0.28413699999999997</v>
      </c>
      <c r="E95" s="129">
        <v>-0.241011</v>
      </c>
      <c r="F95" s="129">
        <v>2.2335880000000001</v>
      </c>
      <c r="G95" s="129">
        <v>0.68635400000000002</v>
      </c>
      <c r="H95" s="129">
        <v>-0.249059</v>
      </c>
    </row>
    <row r="96" spans="1:8" x14ac:dyDescent="0.2">
      <c r="A96" s="110" t="s">
        <v>408</v>
      </c>
      <c r="B96" s="117" t="s">
        <v>311</v>
      </c>
      <c r="C96" s="117" t="s">
        <v>311</v>
      </c>
      <c r="D96" s="129">
        <v>-0.28413699999999997</v>
      </c>
      <c r="E96" s="129" t="s">
        <v>319</v>
      </c>
      <c r="F96" s="129">
        <v>1.4241079999999999</v>
      </c>
      <c r="G96" s="129" t="s">
        <v>319</v>
      </c>
      <c r="H96" s="129">
        <v>-0.58524699999999996</v>
      </c>
    </row>
    <row r="97" spans="1:8" x14ac:dyDescent="0.2">
      <c r="A97" s="110" t="s">
        <v>741</v>
      </c>
      <c r="B97" s="117" t="s">
        <v>311</v>
      </c>
      <c r="C97" s="117" t="s">
        <v>311</v>
      </c>
      <c r="D97" s="129">
        <v>-0.201962</v>
      </c>
      <c r="E97" s="129">
        <v>-0.64684699999999995</v>
      </c>
      <c r="F97" s="129">
        <v>1.06724</v>
      </c>
      <c r="G97" s="129">
        <v>3.4453260000000001</v>
      </c>
      <c r="H97" s="129">
        <v>1.653538</v>
      </c>
    </row>
    <row r="98" spans="1:8" x14ac:dyDescent="0.2">
      <c r="A98" s="110" t="s">
        <v>742</v>
      </c>
      <c r="B98" s="117" t="s">
        <v>311</v>
      </c>
      <c r="C98" s="117" t="s">
        <v>311</v>
      </c>
      <c r="D98" s="117" t="s">
        <v>311</v>
      </c>
      <c r="E98" s="129" t="s">
        <v>319</v>
      </c>
      <c r="F98" s="129">
        <v>1.7454719999999999</v>
      </c>
      <c r="G98" s="129" t="s">
        <v>319</v>
      </c>
      <c r="H98" s="129">
        <v>-0.67666400000000004</v>
      </c>
    </row>
    <row r="99" spans="1:8" x14ac:dyDescent="0.2">
      <c r="A99" s="110"/>
      <c r="B99" s="110"/>
      <c r="C99" s="110"/>
      <c r="D99" s="110"/>
      <c r="E99" s="110"/>
      <c r="F99" s="110"/>
      <c r="G99" s="110"/>
      <c r="H99" s="110"/>
    </row>
    <row r="100" spans="1:8" x14ac:dyDescent="0.2">
      <c r="A100" s="110" t="s">
        <v>743</v>
      </c>
      <c r="B100" s="117" t="s">
        <v>311</v>
      </c>
      <c r="C100" s="117" t="s">
        <v>311</v>
      </c>
      <c r="D100" s="129">
        <v>-2.3126000000000001E-2</v>
      </c>
      <c r="E100" s="129">
        <v>0.55942199999999997</v>
      </c>
      <c r="F100" s="129">
        <v>0.39354600000000001</v>
      </c>
      <c r="G100" s="129">
        <v>0.133378</v>
      </c>
      <c r="H100" s="129">
        <v>0.230292</v>
      </c>
    </row>
    <row r="101" spans="1:8" x14ac:dyDescent="0.2">
      <c r="A101" s="110" t="s">
        <v>744</v>
      </c>
      <c r="B101" s="117" t="s">
        <v>311</v>
      </c>
      <c r="C101" s="117" t="s">
        <v>311</v>
      </c>
      <c r="D101" s="129">
        <v>0.47544999999999998</v>
      </c>
      <c r="E101" s="129">
        <v>0.28081299999999998</v>
      </c>
      <c r="F101" s="129">
        <v>0.23435400000000001</v>
      </c>
      <c r="G101" s="129">
        <v>0.52209000000000005</v>
      </c>
      <c r="H101" s="129">
        <v>0.37553999999999998</v>
      </c>
    </row>
    <row r="102" spans="1:8" x14ac:dyDescent="0.2">
      <c r="A102" s="110" t="s">
        <v>745</v>
      </c>
      <c r="B102" s="117" t="s">
        <v>311</v>
      </c>
      <c r="C102" s="117" t="s">
        <v>311</v>
      </c>
      <c r="D102" s="129">
        <v>0.67229499999999998</v>
      </c>
      <c r="E102" s="129">
        <v>0.566029</v>
      </c>
      <c r="F102" s="129">
        <v>0.393982</v>
      </c>
      <c r="G102" s="129">
        <v>0.41805700000000001</v>
      </c>
      <c r="H102" s="129">
        <v>0.39794200000000002</v>
      </c>
    </row>
    <row r="103" spans="1:8" x14ac:dyDescent="0.2">
      <c r="A103" s="110" t="s">
        <v>746</v>
      </c>
      <c r="B103" s="117" t="s">
        <v>311</v>
      </c>
      <c r="C103" s="117" t="s">
        <v>311</v>
      </c>
      <c r="D103" s="129">
        <v>0.37207499999999999</v>
      </c>
      <c r="E103" s="129">
        <v>1.6217330000000001</v>
      </c>
      <c r="F103" s="129">
        <v>1.547005</v>
      </c>
      <c r="G103" s="129">
        <v>0.113514</v>
      </c>
      <c r="H103" s="129">
        <v>8.8163000000000005E-2</v>
      </c>
    </row>
    <row r="104" spans="1:8" x14ac:dyDescent="0.2">
      <c r="A104" s="110"/>
      <c r="B104" s="110"/>
      <c r="C104" s="110"/>
      <c r="D104" s="110"/>
      <c r="E104" s="110"/>
      <c r="F104" s="110"/>
      <c r="G104" s="110"/>
      <c r="H104" s="110"/>
    </row>
    <row r="105" spans="1:8" x14ac:dyDescent="0.2">
      <c r="A105" s="110" t="s">
        <v>747</v>
      </c>
      <c r="B105" s="117" t="s">
        <v>311</v>
      </c>
      <c r="C105" s="117" t="s">
        <v>311</v>
      </c>
      <c r="D105" s="129">
        <v>-0.38897799999999999</v>
      </c>
      <c r="E105" s="129">
        <v>0.63475599999999999</v>
      </c>
      <c r="F105" s="129">
        <v>2.5680619999999998</v>
      </c>
      <c r="G105" s="129">
        <v>0.299012</v>
      </c>
      <c r="H105" s="129">
        <v>0.26760699999999998</v>
      </c>
    </row>
    <row r="106" spans="1:8" x14ac:dyDescent="0.2">
      <c r="A106" s="110" t="s">
        <v>748</v>
      </c>
      <c r="B106" s="117" t="s">
        <v>311</v>
      </c>
      <c r="C106" s="117" t="s">
        <v>311</v>
      </c>
      <c r="D106" s="129">
        <v>-0.37123699999999998</v>
      </c>
      <c r="E106" s="129">
        <v>0.64048000000000005</v>
      </c>
      <c r="F106" s="129">
        <v>2.4754010000000002</v>
      </c>
      <c r="G106" s="129">
        <v>0.297906</v>
      </c>
      <c r="H106" s="129">
        <v>0.26760699999999998</v>
      </c>
    </row>
    <row r="107" spans="1:8" x14ac:dyDescent="0.2">
      <c r="A107" s="110" t="s">
        <v>529</v>
      </c>
      <c r="B107" s="117" t="s">
        <v>311</v>
      </c>
      <c r="C107" s="117" t="s">
        <v>311</v>
      </c>
      <c r="D107" s="129">
        <v>7.8522999999999996E-2</v>
      </c>
      <c r="E107" s="129">
        <v>0.78671599999999997</v>
      </c>
      <c r="F107" s="129">
        <v>0.99906099999999998</v>
      </c>
      <c r="G107" s="129">
        <v>0.310695</v>
      </c>
      <c r="H107" s="129">
        <v>0.34267700000000001</v>
      </c>
    </row>
    <row r="108" spans="1:8" x14ac:dyDescent="0.2">
      <c r="A108" s="110" t="s">
        <v>749</v>
      </c>
      <c r="B108" s="117" t="s">
        <v>311</v>
      </c>
      <c r="C108" s="117" t="s">
        <v>311</v>
      </c>
      <c r="D108" s="129">
        <v>0.60742499999999999</v>
      </c>
      <c r="E108" s="129">
        <v>0.40828399999999998</v>
      </c>
      <c r="F108" s="129">
        <v>0.38163900000000001</v>
      </c>
      <c r="G108" s="129">
        <v>0.38416099999999997</v>
      </c>
      <c r="H108" s="129">
        <v>0.32454699999999997</v>
      </c>
    </row>
    <row r="109" spans="1:8" x14ac:dyDescent="0.2">
      <c r="A109" s="110" t="s">
        <v>750</v>
      </c>
      <c r="B109" s="117" t="s">
        <v>311</v>
      </c>
      <c r="C109" s="117" t="s">
        <v>311</v>
      </c>
      <c r="D109" s="117" t="s">
        <v>311</v>
      </c>
      <c r="E109" s="129" t="s">
        <v>319</v>
      </c>
      <c r="F109" s="129" t="s">
        <v>319</v>
      </c>
      <c r="G109" s="129" t="s">
        <v>319</v>
      </c>
      <c r="H109" s="129" t="s">
        <v>319</v>
      </c>
    </row>
    <row r="110" spans="1:8" x14ac:dyDescent="0.2">
      <c r="A110" s="110" t="s">
        <v>751</v>
      </c>
      <c r="B110" s="117" t="s">
        <v>311</v>
      </c>
      <c r="C110" s="117" t="s">
        <v>311</v>
      </c>
      <c r="D110" s="117" t="s">
        <v>311</v>
      </c>
      <c r="E110" s="129" t="s">
        <v>319</v>
      </c>
      <c r="F110" s="129" t="s">
        <v>319</v>
      </c>
      <c r="G110" s="129" t="s">
        <v>319</v>
      </c>
      <c r="H110" s="129" t="s">
        <v>319</v>
      </c>
    </row>
    <row r="111" spans="1:8" x14ac:dyDescent="0.2">
      <c r="A111" s="110" t="s">
        <v>752</v>
      </c>
      <c r="B111" s="117" t="s">
        <v>311</v>
      </c>
      <c r="C111" s="117" t="s">
        <v>311</v>
      </c>
      <c r="D111" s="117" t="s">
        <v>311</v>
      </c>
      <c r="E111" s="117" t="s">
        <v>311</v>
      </c>
      <c r="F111" s="117" t="s">
        <v>311</v>
      </c>
      <c r="G111" s="117" t="s">
        <v>311</v>
      </c>
      <c r="H111" s="117" t="s">
        <v>311</v>
      </c>
    </row>
    <row r="112" spans="1:8" x14ac:dyDescent="0.2">
      <c r="A112" s="110"/>
      <c r="B112" s="110"/>
      <c r="C112" s="110"/>
      <c r="D112" s="110"/>
      <c r="E112" s="110"/>
      <c r="F112" s="110"/>
      <c r="G112" s="110"/>
      <c r="H112" s="110"/>
    </row>
    <row r="113" spans="1:8" x14ac:dyDescent="0.2">
      <c r="A113" s="109" t="s">
        <v>754</v>
      </c>
      <c r="B113" s="110"/>
      <c r="C113" s="110"/>
      <c r="D113" s="110"/>
      <c r="E113" s="110"/>
      <c r="F113" s="110"/>
      <c r="G113" s="110"/>
      <c r="H113" s="110"/>
    </row>
    <row r="114" spans="1:8" x14ac:dyDescent="0.2">
      <c r="A114" s="110" t="s">
        <v>381</v>
      </c>
      <c r="B114" s="117" t="s">
        <v>311</v>
      </c>
      <c r="C114" s="117" t="s">
        <v>311</v>
      </c>
      <c r="D114" s="117" t="s">
        <v>311</v>
      </c>
      <c r="E114" s="129">
        <v>0.49501899999999999</v>
      </c>
      <c r="F114" s="129">
        <v>0.48215599999999997</v>
      </c>
      <c r="G114" s="129">
        <v>0.44658999999999999</v>
      </c>
      <c r="H114" s="129">
        <v>0.42351499999999997</v>
      </c>
    </row>
    <row r="115" spans="1:8" x14ac:dyDescent="0.2">
      <c r="A115" s="110" t="s">
        <v>383</v>
      </c>
      <c r="B115" s="117" t="s">
        <v>311</v>
      </c>
      <c r="C115" s="117" t="s">
        <v>311</v>
      </c>
      <c r="D115" s="117" t="s">
        <v>311</v>
      </c>
      <c r="E115" s="129">
        <v>0.54457500000000003</v>
      </c>
      <c r="F115" s="129">
        <v>0.50328799999999996</v>
      </c>
      <c r="G115" s="129">
        <v>0.46671499999999999</v>
      </c>
      <c r="H115" s="129">
        <v>0.445855</v>
      </c>
    </row>
    <row r="116" spans="1:8" x14ac:dyDescent="0.2">
      <c r="A116" s="110" t="s">
        <v>738</v>
      </c>
      <c r="B116" s="117" t="s">
        <v>311</v>
      </c>
      <c r="C116" s="117" t="s">
        <v>311</v>
      </c>
      <c r="D116" s="117" t="s">
        <v>311</v>
      </c>
      <c r="E116" s="129">
        <v>0.64673800000000004</v>
      </c>
      <c r="F116" s="129">
        <v>0.54169</v>
      </c>
      <c r="G116" s="129">
        <v>0.84399599999999997</v>
      </c>
      <c r="H116" s="129">
        <v>0.78517400000000004</v>
      </c>
    </row>
    <row r="117" spans="1:8" x14ac:dyDescent="0.2">
      <c r="A117" s="110" t="s">
        <v>739</v>
      </c>
      <c r="B117" s="117" t="s">
        <v>311</v>
      </c>
      <c r="C117" s="117" t="s">
        <v>311</v>
      </c>
      <c r="D117" s="117" t="s">
        <v>311</v>
      </c>
      <c r="E117" s="129">
        <v>0.63171500000000003</v>
      </c>
      <c r="F117" s="129">
        <v>0.51449599999999995</v>
      </c>
      <c r="G117" s="129">
        <v>1.210558</v>
      </c>
      <c r="H117" s="129">
        <v>1.1228279999999999</v>
      </c>
    </row>
    <row r="118" spans="1:8" x14ac:dyDescent="0.2">
      <c r="A118" s="110" t="s">
        <v>740</v>
      </c>
      <c r="B118" s="117" t="s">
        <v>311</v>
      </c>
      <c r="C118" s="117" t="s">
        <v>311</v>
      </c>
      <c r="D118" s="117" t="s">
        <v>311</v>
      </c>
      <c r="E118" s="129">
        <v>0.63171500000000003</v>
      </c>
      <c r="F118" s="129">
        <v>0.51449599999999995</v>
      </c>
      <c r="G118" s="129">
        <v>1.210558</v>
      </c>
      <c r="H118" s="129">
        <v>1.1228279999999999</v>
      </c>
    </row>
    <row r="119" spans="1:8" x14ac:dyDescent="0.2">
      <c r="A119" s="110" t="s">
        <v>403</v>
      </c>
      <c r="B119" s="117" t="s">
        <v>311</v>
      </c>
      <c r="C119" s="117" t="s">
        <v>311</v>
      </c>
      <c r="D119" s="117" t="s">
        <v>311</v>
      </c>
      <c r="E119" s="129">
        <v>-8.9077000000000003E-2</v>
      </c>
      <c r="F119" s="129">
        <v>0.59839900000000001</v>
      </c>
      <c r="G119" s="129">
        <v>0.61272700000000002</v>
      </c>
      <c r="H119" s="129" t="s">
        <v>319</v>
      </c>
    </row>
    <row r="120" spans="1:8" x14ac:dyDescent="0.2">
      <c r="A120" s="110" t="s">
        <v>408</v>
      </c>
      <c r="B120" s="117" t="s">
        <v>311</v>
      </c>
      <c r="C120" s="117" t="s">
        <v>311</v>
      </c>
      <c r="D120" s="117" t="s">
        <v>311</v>
      </c>
      <c r="E120" s="129" t="s">
        <v>319</v>
      </c>
      <c r="F120" s="129">
        <v>0.31905600000000001</v>
      </c>
      <c r="G120" s="129" t="s">
        <v>319</v>
      </c>
      <c r="H120" s="129" t="s">
        <v>319</v>
      </c>
    </row>
    <row r="121" spans="1:8" x14ac:dyDescent="0.2">
      <c r="A121" s="110" t="s">
        <v>741</v>
      </c>
      <c r="B121" s="117" t="s">
        <v>311</v>
      </c>
      <c r="C121" s="117" t="s">
        <v>311</v>
      </c>
      <c r="D121" s="117" t="s">
        <v>311</v>
      </c>
      <c r="E121" s="129">
        <v>-0.39704699999999998</v>
      </c>
      <c r="F121" s="129">
        <v>0.156916</v>
      </c>
      <c r="G121" s="129">
        <v>0.89468400000000003</v>
      </c>
      <c r="H121" s="129">
        <v>1.607529</v>
      </c>
    </row>
    <row r="122" spans="1:8" x14ac:dyDescent="0.2">
      <c r="A122" s="110" t="s">
        <v>742</v>
      </c>
      <c r="B122" s="117" t="s">
        <v>311</v>
      </c>
      <c r="C122" s="117" t="s">
        <v>311</v>
      </c>
      <c r="D122" s="117" t="s">
        <v>311</v>
      </c>
      <c r="E122" s="117" t="s">
        <v>311</v>
      </c>
      <c r="F122" s="129">
        <v>0.43329099999999998</v>
      </c>
      <c r="G122" s="129" t="s">
        <v>319</v>
      </c>
      <c r="H122" s="129" t="s">
        <v>319</v>
      </c>
    </row>
    <row r="123" spans="1:8" x14ac:dyDescent="0.2">
      <c r="A123" s="110"/>
      <c r="B123" s="110"/>
      <c r="C123" s="110"/>
      <c r="D123" s="110"/>
      <c r="E123" s="110"/>
      <c r="F123" s="110"/>
      <c r="G123" s="110"/>
      <c r="H123" s="110"/>
    </row>
    <row r="124" spans="1:8" x14ac:dyDescent="0.2">
      <c r="A124" s="110" t="s">
        <v>743</v>
      </c>
      <c r="B124" s="117" t="s">
        <v>311</v>
      </c>
      <c r="C124" s="117" t="s">
        <v>311</v>
      </c>
      <c r="D124" s="117" t="s">
        <v>311</v>
      </c>
      <c r="E124" s="129">
        <v>0.20125299999999999</v>
      </c>
      <c r="F124" s="129">
        <v>0.37503700000000001</v>
      </c>
      <c r="G124" s="129">
        <v>0.32635199999999998</v>
      </c>
      <c r="H124" s="129">
        <v>0.21177799999999999</v>
      </c>
    </row>
    <row r="125" spans="1:8" x14ac:dyDescent="0.2">
      <c r="A125" s="110" t="s">
        <v>744</v>
      </c>
      <c r="B125" s="117" t="s">
        <v>311</v>
      </c>
      <c r="C125" s="117" t="s">
        <v>311</v>
      </c>
      <c r="D125" s="117" t="s">
        <v>311</v>
      </c>
      <c r="E125" s="129">
        <v>0.30736799999999997</v>
      </c>
      <c r="F125" s="129">
        <v>0.34535100000000002</v>
      </c>
      <c r="G125" s="129">
        <v>0.33477600000000002</v>
      </c>
      <c r="H125" s="129">
        <v>0.427421</v>
      </c>
    </row>
    <row r="126" spans="1:8" x14ac:dyDescent="0.2">
      <c r="A126" s="110" t="s">
        <v>745</v>
      </c>
      <c r="B126" s="117" t="s">
        <v>311</v>
      </c>
      <c r="C126" s="117" t="s">
        <v>311</v>
      </c>
      <c r="D126" s="117" t="s">
        <v>311</v>
      </c>
      <c r="E126" s="129">
        <v>0.54814300000000005</v>
      </c>
      <c r="F126" s="129">
        <v>0.53144800000000003</v>
      </c>
      <c r="G126" s="129">
        <v>0.38696399999999997</v>
      </c>
      <c r="H126" s="129">
        <v>0.382129</v>
      </c>
    </row>
    <row r="127" spans="1:8" x14ac:dyDescent="0.2">
      <c r="A127" s="110" t="s">
        <v>746</v>
      </c>
      <c r="B127" s="117" t="s">
        <v>311</v>
      </c>
      <c r="C127" s="117" t="s">
        <v>311</v>
      </c>
      <c r="D127" s="117" t="s">
        <v>311</v>
      </c>
      <c r="E127" s="129">
        <v>1.049812</v>
      </c>
      <c r="F127" s="129">
        <v>1.1360760000000001</v>
      </c>
      <c r="G127" s="129">
        <v>0.78344400000000003</v>
      </c>
      <c r="H127" s="129">
        <v>0.49110799999999999</v>
      </c>
    </row>
    <row r="128" spans="1:8" x14ac:dyDescent="0.2">
      <c r="A128" s="110"/>
      <c r="B128" s="110"/>
      <c r="C128" s="110"/>
      <c r="D128" s="110"/>
      <c r="E128" s="110"/>
      <c r="F128" s="110"/>
      <c r="G128" s="110"/>
      <c r="H128" s="110"/>
    </row>
    <row r="129" spans="1:8" x14ac:dyDescent="0.2">
      <c r="A129" s="110" t="s">
        <v>747</v>
      </c>
      <c r="B129" s="117" t="s">
        <v>311</v>
      </c>
      <c r="C129" s="117" t="s">
        <v>311</v>
      </c>
      <c r="D129" s="117" t="s">
        <v>311</v>
      </c>
      <c r="E129" s="129">
        <v>0.463559</v>
      </c>
      <c r="F129" s="129">
        <v>0.59423199999999998</v>
      </c>
      <c r="G129" s="129">
        <v>1.419807</v>
      </c>
      <c r="H129" s="129">
        <v>0.18238399999999999</v>
      </c>
    </row>
    <row r="130" spans="1:8" x14ac:dyDescent="0.2">
      <c r="A130" s="110" t="s">
        <v>748</v>
      </c>
      <c r="B130" s="117" t="s">
        <v>311</v>
      </c>
      <c r="C130" s="117" t="s">
        <v>311</v>
      </c>
      <c r="D130" s="117" t="s">
        <v>311</v>
      </c>
      <c r="E130" s="129">
        <v>0.466974</v>
      </c>
      <c r="F130" s="129">
        <v>0.59668699999999997</v>
      </c>
      <c r="G130" s="129">
        <v>1.378261</v>
      </c>
      <c r="H130" s="129">
        <v>0.18238399999999999</v>
      </c>
    </row>
    <row r="131" spans="1:8" x14ac:dyDescent="0.2">
      <c r="A131" s="110" t="s">
        <v>529</v>
      </c>
      <c r="B131" s="117" t="s">
        <v>311</v>
      </c>
      <c r="C131" s="117" t="s">
        <v>311</v>
      </c>
      <c r="D131" s="117" t="s">
        <v>311</v>
      </c>
      <c r="E131" s="129">
        <v>0.52304700000000004</v>
      </c>
      <c r="F131" s="129">
        <v>0.61346999999999996</v>
      </c>
      <c r="G131" s="129">
        <v>0.73444799999999999</v>
      </c>
      <c r="H131" s="129">
        <v>0.66675300000000004</v>
      </c>
    </row>
    <row r="132" spans="1:8" x14ac:dyDescent="0.2">
      <c r="A132" s="110" t="s">
        <v>749</v>
      </c>
      <c r="B132" s="117" t="s">
        <v>311</v>
      </c>
      <c r="C132" s="117" t="s">
        <v>311</v>
      </c>
      <c r="D132" s="117" t="s">
        <v>311</v>
      </c>
      <c r="E132" s="129">
        <v>0.42771300000000001</v>
      </c>
      <c r="F132" s="129">
        <v>0.49796899999999999</v>
      </c>
      <c r="G132" s="129">
        <v>0.29224499999999998</v>
      </c>
      <c r="H132" s="129">
        <v>0.23252900000000001</v>
      </c>
    </row>
    <row r="133" spans="1:8" x14ac:dyDescent="0.2">
      <c r="A133" s="110" t="s">
        <v>750</v>
      </c>
      <c r="B133" s="117" t="s">
        <v>311</v>
      </c>
      <c r="C133" s="117" t="s">
        <v>311</v>
      </c>
      <c r="D133" s="117" t="s">
        <v>311</v>
      </c>
      <c r="E133" s="117" t="s">
        <v>311</v>
      </c>
      <c r="F133" s="129" t="s">
        <v>319</v>
      </c>
      <c r="G133" s="129" t="s">
        <v>319</v>
      </c>
      <c r="H133" s="117" t="s">
        <v>311</v>
      </c>
    </row>
    <row r="134" spans="1:8" x14ac:dyDescent="0.2">
      <c r="A134" s="110" t="s">
        <v>751</v>
      </c>
      <c r="B134" s="117" t="s">
        <v>311</v>
      </c>
      <c r="C134" s="117" t="s">
        <v>311</v>
      </c>
      <c r="D134" s="117" t="s">
        <v>311</v>
      </c>
      <c r="E134" s="117" t="s">
        <v>311</v>
      </c>
      <c r="F134" s="129" t="s">
        <v>319</v>
      </c>
      <c r="G134" s="129" t="s">
        <v>319</v>
      </c>
      <c r="H134" s="117" t="s">
        <v>311</v>
      </c>
    </row>
    <row r="135" spans="1:8" x14ac:dyDescent="0.2">
      <c r="A135" s="110" t="s">
        <v>752</v>
      </c>
      <c r="B135" s="117" t="s">
        <v>311</v>
      </c>
      <c r="C135" s="117" t="s">
        <v>311</v>
      </c>
      <c r="D135" s="117" t="s">
        <v>311</v>
      </c>
      <c r="E135" s="117" t="s">
        <v>311</v>
      </c>
      <c r="F135" s="117" t="s">
        <v>311</v>
      </c>
      <c r="G135" s="117" t="s">
        <v>311</v>
      </c>
      <c r="H135" s="117" t="s">
        <v>311</v>
      </c>
    </row>
    <row r="136" spans="1:8" x14ac:dyDescent="0.2">
      <c r="A136" s="110"/>
      <c r="B136" s="110"/>
      <c r="C136" s="110"/>
      <c r="D136" s="110"/>
      <c r="E136" s="110"/>
      <c r="F136" s="110"/>
      <c r="G136" s="110"/>
      <c r="H136" s="110"/>
    </row>
    <row r="137" spans="1:8" x14ac:dyDescent="0.2">
      <c r="A137" s="109" t="s">
        <v>755</v>
      </c>
      <c r="B137" s="110"/>
      <c r="C137" s="110"/>
      <c r="D137" s="110"/>
      <c r="E137" s="110"/>
      <c r="F137" s="110"/>
      <c r="G137" s="110"/>
      <c r="H137" s="110"/>
    </row>
    <row r="138" spans="1:8" x14ac:dyDescent="0.2">
      <c r="A138" s="110" t="s">
        <v>381</v>
      </c>
      <c r="B138" s="117" t="s">
        <v>311</v>
      </c>
      <c r="C138" s="117" t="s">
        <v>311</v>
      </c>
      <c r="D138" s="117" t="s">
        <v>311</v>
      </c>
      <c r="E138" s="117" t="s">
        <v>311</v>
      </c>
      <c r="F138" s="117" t="s">
        <v>311</v>
      </c>
      <c r="G138" s="129">
        <v>0.444575</v>
      </c>
      <c r="H138" s="117" t="s">
        <v>311</v>
      </c>
    </row>
    <row r="139" spans="1:8" x14ac:dyDescent="0.2">
      <c r="A139" s="110" t="s">
        <v>383</v>
      </c>
      <c r="B139" s="117" t="s">
        <v>311</v>
      </c>
      <c r="C139" s="117" t="s">
        <v>311</v>
      </c>
      <c r="D139" s="117" t="s">
        <v>311</v>
      </c>
      <c r="E139" s="117" t="s">
        <v>311</v>
      </c>
      <c r="F139" s="117" t="s">
        <v>311</v>
      </c>
      <c r="G139" s="129">
        <v>0.46571400000000002</v>
      </c>
      <c r="H139" s="117" t="s">
        <v>311</v>
      </c>
    </row>
    <row r="140" spans="1:8" x14ac:dyDescent="0.2">
      <c r="A140" s="110" t="s">
        <v>738</v>
      </c>
      <c r="B140" s="117" t="s">
        <v>311</v>
      </c>
      <c r="C140" s="117" t="s">
        <v>311</v>
      </c>
      <c r="D140" s="117" t="s">
        <v>311</v>
      </c>
      <c r="E140" s="117" t="s">
        <v>311</v>
      </c>
      <c r="F140" s="117" t="s">
        <v>311</v>
      </c>
      <c r="G140" s="129">
        <v>0.52665200000000001</v>
      </c>
      <c r="H140" s="117" t="s">
        <v>311</v>
      </c>
    </row>
    <row r="141" spans="1:8" x14ac:dyDescent="0.2">
      <c r="A141" s="110" t="s">
        <v>739</v>
      </c>
      <c r="B141" s="117" t="s">
        <v>311</v>
      </c>
      <c r="C141" s="117" t="s">
        <v>311</v>
      </c>
      <c r="D141" s="117" t="s">
        <v>311</v>
      </c>
      <c r="E141" s="117" t="s">
        <v>311</v>
      </c>
      <c r="F141" s="117" t="s">
        <v>311</v>
      </c>
      <c r="G141" s="129">
        <v>0.49576700000000001</v>
      </c>
      <c r="H141" s="117" t="s">
        <v>311</v>
      </c>
    </row>
    <row r="142" spans="1:8" x14ac:dyDescent="0.2">
      <c r="A142" s="110" t="s">
        <v>740</v>
      </c>
      <c r="B142" s="117" t="s">
        <v>311</v>
      </c>
      <c r="C142" s="117" t="s">
        <v>311</v>
      </c>
      <c r="D142" s="117" t="s">
        <v>311</v>
      </c>
      <c r="E142" s="117" t="s">
        <v>311</v>
      </c>
      <c r="F142" s="117" t="s">
        <v>311</v>
      </c>
      <c r="G142" s="129">
        <v>0.49576700000000001</v>
      </c>
      <c r="H142" s="117" t="s">
        <v>311</v>
      </c>
    </row>
    <row r="143" spans="1:8" x14ac:dyDescent="0.2">
      <c r="A143" s="110" t="s">
        <v>403</v>
      </c>
      <c r="B143" s="117" t="s">
        <v>311</v>
      </c>
      <c r="C143" s="117" t="s">
        <v>311</v>
      </c>
      <c r="D143" s="117" t="s">
        <v>311</v>
      </c>
      <c r="E143" s="117" t="s">
        <v>311</v>
      </c>
      <c r="F143" s="117" t="s">
        <v>311</v>
      </c>
      <c r="G143" s="129">
        <v>0.165383</v>
      </c>
      <c r="H143" s="117" t="s">
        <v>311</v>
      </c>
    </row>
    <row r="144" spans="1:8" x14ac:dyDescent="0.2">
      <c r="A144" s="110" t="s">
        <v>408</v>
      </c>
      <c r="B144" s="117" t="s">
        <v>311</v>
      </c>
      <c r="C144" s="117" t="s">
        <v>311</v>
      </c>
      <c r="D144" s="117" t="s">
        <v>311</v>
      </c>
      <c r="E144" s="117" t="s">
        <v>311</v>
      </c>
      <c r="F144" s="117" t="s">
        <v>311</v>
      </c>
      <c r="G144" s="129" t="s">
        <v>319</v>
      </c>
      <c r="H144" s="117" t="s">
        <v>311</v>
      </c>
    </row>
    <row r="145" spans="1:8" x14ac:dyDescent="0.2">
      <c r="A145" s="110" t="s">
        <v>741</v>
      </c>
      <c r="B145" s="117" t="s">
        <v>311</v>
      </c>
      <c r="C145" s="117" t="s">
        <v>311</v>
      </c>
      <c r="D145" s="117" t="s">
        <v>311</v>
      </c>
      <c r="E145" s="117" t="s">
        <v>311</v>
      </c>
      <c r="F145" s="117" t="s">
        <v>311</v>
      </c>
      <c r="G145" s="129">
        <v>0.3407</v>
      </c>
      <c r="H145" s="117" t="s">
        <v>311</v>
      </c>
    </row>
    <row r="146" spans="1:8" x14ac:dyDescent="0.2">
      <c r="A146" s="110" t="s">
        <v>742</v>
      </c>
      <c r="B146" s="117" t="s">
        <v>311</v>
      </c>
      <c r="C146" s="117" t="s">
        <v>311</v>
      </c>
      <c r="D146" s="117" t="s">
        <v>311</v>
      </c>
      <c r="E146" s="117" t="s">
        <v>311</v>
      </c>
      <c r="F146" s="117" t="s">
        <v>311</v>
      </c>
      <c r="G146" s="117" t="s">
        <v>311</v>
      </c>
      <c r="H146" s="117" t="s">
        <v>311</v>
      </c>
    </row>
    <row r="147" spans="1:8" x14ac:dyDescent="0.2">
      <c r="A147" s="110"/>
      <c r="B147" s="110"/>
      <c r="C147" s="110"/>
      <c r="D147" s="110"/>
      <c r="E147" s="110"/>
      <c r="F147" s="110"/>
      <c r="G147" s="110"/>
      <c r="H147" s="110"/>
    </row>
    <row r="148" spans="1:8" x14ac:dyDescent="0.2">
      <c r="A148" s="110" t="s">
        <v>743</v>
      </c>
      <c r="B148" s="117" t="s">
        <v>311</v>
      </c>
      <c r="C148" s="117" t="s">
        <v>311</v>
      </c>
      <c r="D148" s="117" t="s">
        <v>311</v>
      </c>
      <c r="E148" s="117" t="s">
        <v>311</v>
      </c>
      <c r="F148" s="117" t="s">
        <v>311</v>
      </c>
      <c r="G148" s="129">
        <v>0.17362900000000001</v>
      </c>
      <c r="H148" s="117" t="s">
        <v>311</v>
      </c>
    </row>
    <row r="149" spans="1:8" x14ac:dyDescent="0.2">
      <c r="A149" s="110" t="s">
        <v>744</v>
      </c>
      <c r="B149" s="117" t="s">
        <v>311</v>
      </c>
      <c r="C149" s="117" t="s">
        <v>311</v>
      </c>
      <c r="D149" s="117" t="s">
        <v>311</v>
      </c>
      <c r="E149" s="117" t="s">
        <v>311</v>
      </c>
      <c r="F149" s="117" t="s">
        <v>311</v>
      </c>
      <c r="G149" s="129">
        <v>0.38935999999999998</v>
      </c>
      <c r="H149" s="117" t="s">
        <v>311</v>
      </c>
    </row>
    <row r="150" spans="1:8" x14ac:dyDescent="0.2">
      <c r="A150" s="110" t="s">
        <v>745</v>
      </c>
      <c r="B150" s="117" t="s">
        <v>311</v>
      </c>
      <c r="C150" s="117" t="s">
        <v>311</v>
      </c>
      <c r="D150" s="117" t="s">
        <v>311</v>
      </c>
      <c r="E150" s="117" t="s">
        <v>311</v>
      </c>
      <c r="F150" s="117" t="s">
        <v>311</v>
      </c>
      <c r="G150" s="129">
        <v>0.49473499999999998</v>
      </c>
      <c r="H150" s="117" t="s">
        <v>311</v>
      </c>
    </row>
    <row r="151" spans="1:8" x14ac:dyDescent="0.2">
      <c r="A151" s="110" t="s">
        <v>746</v>
      </c>
      <c r="B151" s="117" t="s">
        <v>311</v>
      </c>
      <c r="C151" s="117" t="s">
        <v>311</v>
      </c>
      <c r="D151" s="117" t="s">
        <v>311</v>
      </c>
      <c r="E151" s="117" t="s">
        <v>311</v>
      </c>
      <c r="F151" s="117" t="s">
        <v>311</v>
      </c>
      <c r="G151" s="129">
        <v>0.60585699999999998</v>
      </c>
      <c r="H151" s="117" t="s">
        <v>311</v>
      </c>
    </row>
    <row r="152" spans="1:8" x14ac:dyDescent="0.2">
      <c r="A152" s="110"/>
      <c r="B152" s="110"/>
      <c r="C152" s="110"/>
      <c r="D152" s="110"/>
      <c r="E152" s="110"/>
      <c r="F152" s="110"/>
      <c r="G152" s="110"/>
      <c r="H152" s="110"/>
    </row>
    <row r="153" spans="1:8" x14ac:dyDescent="0.2">
      <c r="A153" s="110" t="s">
        <v>747</v>
      </c>
      <c r="B153" s="117" t="s">
        <v>311</v>
      </c>
      <c r="C153" s="117" t="s">
        <v>311</v>
      </c>
      <c r="D153" s="117" t="s">
        <v>311</v>
      </c>
      <c r="E153" s="117" t="s">
        <v>311</v>
      </c>
      <c r="F153" s="117" t="s">
        <v>311</v>
      </c>
      <c r="G153" s="129">
        <v>0.39537600000000001</v>
      </c>
      <c r="H153" s="117" t="s">
        <v>311</v>
      </c>
    </row>
    <row r="154" spans="1:8" x14ac:dyDescent="0.2">
      <c r="A154" s="110" t="s">
        <v>748</v>
      </c>
      <c r="B154" s="117" t="s">
        <v>311</v>
      </c>
      <c r="C154" s="117" t="s">
        <v>311</v>
      </c>
      <c r="D154" s="117" t="s">
        <v>311</v>
      </c>
      <c r="E154" s="117" t="s">
        <v>311</v>
      </c>
      <c r="F154" s="117" t="s">
        <v>311</v>
      </c>
      <c r="G154" s="129">
        <v>0.39685300000000001</v>
      </c>
      <c r="H154" s="117" t="s">
        <v>311</v>
      </c>
    </row>
    <row r="155" spans="1:8" x14ac:dyDescent="0.2">
      <c r="A155" s="110" t="s">
        <v>529</v>
      </c>
      <c r="B155" s="117" t="s">
        <v>311</v>
      </c>
      <c r="C155" s="117" t="s">
        <v>311</v>
      </c>
      <c r="D155" s="117" t="s">
        <v>311</v>
      </c>
      <c r="E155" s="117" t="s">
        <v>311</v>
      </c>
      <c r="F155" s="117" t="s">
        <v>311</v>
      </c>
      <c r="G155" s="129">
        <v>0.43426199999999998</v>
      </c>
      <c r="H155" s="117" t="s">
        <v>311</v>
      </c>
    </row>
    <row r="156" spans="1:8" x14ac:dyDescent="0.2">
      <c r="A156" s="110" t="s">
        <v>749</v>
      </c>
      <c r="B156" s="117" t="s">
        <v>311</v>
      </c>
      <c r="C156" s="117" t="s">
        <v>311</v>
      </c>
      <c r="D156" s="117" t="s">
        <v>311</v>
      </c>
      <c r="E156" s="117" t="s">
        <v>311</v>
      </c>
      <c r="F156" s="117" t="s">
        <v>311</v>
      </c>
      <c r="G156" s="129">
        <v>0.41012999999999999</v>
      </c>
      <c r="H156" s="117" t="s">
        <v>311</v>
      </c>
    </row>
    <row r="157" spans="1:8" x14ac:dyDescent="0.2">
      <c r="A157" s="110" t="s">
        <v>750</v>
      </c>
      <c r="B157" s="117" t="s">
        <v>311</v>
      </c>
      <c r="C157" s="117" t="s">
        <v>311</v>
      </c>
      <c r="D157" s="117" t="s">
        <v>311</v>
      </c>
      <c r="E157" s="117" t="s">
        <v>311</v>
      </c>
      <c r="F157" s="117" t="s">
        <v>311</v>
      </c>
      <c r="G157" s="117" t="s">
        <v>311</v>
      </c>
      <c r="H157" s="117" t="s">
        <v>311</v>
      </c>
    </row>
    <row r="158" spans="1:8" x14ac:dyDescent="0.2">
      <c r="A158" s="110" t="s">
        <v>751</v>
      </c>
      <c r="B158" s="117" t="s">
        <v>311</v>
      </c>
      <c r="C158" s="117" t="s">
        <v>311</v>
      </c>
      <c r="D158" s="117" t="s">
        <v>311</v>
      </c>
      <c r="E158" s="117" t="s">
        <v>311</v>
      </c>
      <c r="F158" s="117" t="s">
        <v>311</v>
      </c>
      <c r="G158" s="117" t="s">
        <v>311</v>
      </c>
      <c r="H158" s="117" t="s">
        <v>311</v>
      </c>
    </row>
    <row r="159" spans="1:8" x14ac:dyDescent="0.2">
      <c r="A159" s="110" t="s">
        <v>752</v>
      </c>
      <c r="B159" s="117" t="s">
        <v>311</v>
      </c>
      <c r="C159" s="117" t="s">
        <v>311</v>
      </c>
      <c r="D159" s="117" t="s">
        <v>311</v>
      </c>
      <c r="E159" s="117" t="s">
        <v>311</v>
      </c>
      <c r="F159" s="117" t="s">
        <v>311</v>
      </c>
      <c r="G159" s="117" t="s">
        <v>311</v>
      </c>
      <c r="H159" s="117" t="s">
        <v>311</v>
      </c>
    </row>
    <row r="160" spans="1:8" x14ac:dyDescent="0.2">
      <c r="A160" s="110"/>
      <c r="B160" s="110"/>
      <c r="C160" s="110"/>
      <c r="D160" s="110"/>
      <c r="E160" s="110"/>
      <c r="F160" s="110"/>
      <c r="G160" s="110"/>
      <c r="H160" s="110"/>
    </row>
    <row r="161" spans="1:8" ht="61.2" x14ac:dyDescent="0.2">
      <c r="A161" s="136" t="s">
        <v>361</v>
      </c>
      <c r="B161" s="119"/>
      <c r="C161" s="119"/>
      <c r="D161" s="119"/>
      <c r="E161" s="119"/>
      <c r="F161" s="119"/>
      <c r="G161" s="119"/>
      <c r="H161" s="11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3399FF"/>
    <outlinePr summaryBelow="0" summaryRight="0"/>
    <pageSetUpPr autoPageBreaks="0"/>
  </sheetPr>
  <dimension ref="A5:IU60"/>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3" width="13" style="98" customWidth="1"/>
    <col min="264" max="512" width="9" style="98"/>
    <col min="513" max="513" width="40.09765625" style="98" customWidth="1"/>
    <col min="514" max="519" width="13" style="98" customWidth="1"/>
    <col min="520" max="768" width="9" style="98"/>
    <col min="769" max="769" width="40.09765625" style="98" customWidth="1"/>
    <col min="770" max="775" width="13" style="98" customWidth="1"/>
    <col min="776" max="1024" width="9" style="98"/>
    <col min="1025" max="1025" width="40.09765625" style="98" customWidth="1"/>
    <col min="1026" max="1031" width="13" style="98" customWidth="1"/>
    <col min="1032" max="1280" width="9" style="98"/>
    <col min="1281" max="1281" width="40.09765625" style="98" customWidth="1"/>
    <col min="1282" max="1287" width="13" style="98" customWidth="1"/>
    <col min="1288" max="1536" width="9" style="98"/>
    <col min="1537" max="1537" width="40.09765625" style="98" customWidth="1"/>
    <col min="1538" max="1543" width="13" style="98" customWidth="1"/>
    <col min="1544" max="1792" width="9" style="98"/>
    <col min="1793" max="1793" width="40.09765625" style="98" customWidth="1"/>
    <col min="1794" max="1799" width="13" style="98" customWidth="1"/>
    <col min="1800" max="2048" width="9" style="98"/>
    <col min="2049" max="2049" width="40.09765625" style="98" customWidth="1"/>
    <col min="2050" max="2055" width="13" style="98" customWidth="1"/>
    <col min="2056" max="2304" width="9" style="98"/>
    <col min="2305" max="2305" width="40.09765625" style="98" customWidth="1"/>
    <col min="2306" max="2311" width="13" style="98" customWidth="1"/>
    <col min="2312" max="2560" width="9" style="98"/>
    <col min="2561" max="2561" width="40.09765625" style="98" customWidth="1"/>
    <col min="2562" max="2567" width="13" style="98" customWidth="1"/>
    <col min="2568" max="2816" width="9" style="98"/>
    <col min="2817" max="2817" width="40.09765625" style="98" customWidth="1"/>
    <col min="2818" max="2823" width="13" style="98" customWidth="1"/>
    <col min="2824" max="3072" width="9" style="98"/>
    <col min="3073" max="3073" width="40.09765625" style="98" customWidth="1"/>
    <col min="3074" max="3079" width="13" style="98" customWidth="1"/>
    <col min="3080" max="3328" width="9" style="98"/>
    <col min="3329" max="3329" width="40.09765625" style="98" customWidth="1"/>
    <col min="3330" max="3335" width="13" style="98" customWidth="1"/>
    <col min="3336" max="3584" width="9" style="98"/>
    <col min="3585" max="3585" width="40.09765625" style="98" customWidth="1"/>
    <col min="3586" max="3591" width="13" style="98" customWidth="1"/>
    <col min="3592" max="3840" width="9" style="98"/>
    <col min="3841" max="3841" width="40.09765625" style="98" customWidth="1"/>
    <col min="3842" max="3847" width="13" style="98" customWidth="1"/>
    <col min="3848" max="4096" width="9" style="98"/>
    <col min="4097" max="4097" width="40.09765625" style="98" customWidth="1"/>
    <col min="4098" max="4103" width="13" style="98" customWidth="1"/>
    <col min="4104" max="4352" width="9" style="98"/>
    <col min="4353" max="4353" width="40.09765625" style="98" customWidth="1"/>
    <col min="4354" max="4359" width="13" style="98" customWidth="1"/>
    <col min="4360" max="4608" width="9" style="98"/>
    <col min="4609" max="4609" width="40.09765625" style="98" customWidth="1"/>
    <col min="4610" max="4615" width="13" style="98" customWidth="1"/>
    <col min="4616" max="4864" width="9" style="98"/>
    <col min="4865" max="4865" width="40.09765625" style="98" customWidth="1"/>
    <col min="4866" max="4871" width="13" style="98" customWidth="1"/>
    <col min="4872" max="5120" width="9" style="98"/>
    <col min="5121" max="5121" width="40.09765625" style="98" customWidth="1"/>
    <col min="5122" max="5127" width="13" style="98" customWidth="1"/>
    <col min="5128" max="5376" width="9" style="98"/>
    <col min="5377" max="5377" width="40.09765625" style="98" customWidth="1"/>
    <col min="5378" max="5383" width="13" style="98" customWidth="1"/>
    <col min="5384" max="5632" width="9" style="98"/>
    <col min="5633" max="5633" width="40.09765625" style="98" customWidth="1"/>
    <col min="5634" max="5639" width="13" style="98" customWidth="1"/>
    <col min="5640" max="5888" width="9" style="98"/>
    <col min="5889" max="5889" width="40.09765625" style="98" customWidth="1"/>
    <col min="5890" max="5895" width="13" style="98" customWidth="1"/>
    <col min="5896" max="6144" width="9" style="98"/>
    <col min="6145" max="6145" width="40.09765625" style="98" customWidth="1"/>
    <col min="6146" max="6151" width="13" style="98" customWidth="1"/>
    <col min="6152" max="6400" width="9" style="98"/>
    <col min="6401" max="6401" width="40.09765625" style="98" customWidth="1"/>
    <col min="6402" max="6407" width="13" style="98" customWidth="1"/>
    <col min="6408" max="6656" width="9" style="98"/>
    <col min="6657" max="6657" width="40.09765625" style="98" customWidth="1"/>
    <col min="6658" max="6663" width="13" style="98" customWidth="1"/>
    <col min="6664" max="6912" width="9" style="98"/>
    <col min="6913" max="6913" width="40.09765625" style="98" customWidth="1"/>
    <col min="6914" max="6919" width="13" style="98" customWidth="1"/>
    <col min="6920" max="7168" width="9" style="98"/>
    <col min="7169" max="7169" width="40.09765625" style="98" customWidth="1"/>
    <col min="7170" max="7175" width="13" style="98" customWidth="1"/>
    <col min="7176" max="7424" width="9" style="98"/>
    <col min="7425" max="7425" width="40.09765625" style="98" customWidth="1"/>
    <col min="7426" max="7431" width="13" style="98" customWidth="1"/>
    <col min="7432" max="7680" width="9" style="98"/>
    <col min="7681" max="7681" width="40.09765625" style="98" customWidth="1"/>
    <col min="7682" max="7687" width="13" style="98" customWidth="1"/>
    <col min="7688" max="7936" width="9" style="98"/>
    <col min="7937" max="7937" width="40.09765625" style="98" customWidth="1"/>
    <col min="7938" max="7943" width="13" style="98" customWidth="1"/>
    <col min="7944" max="8192" width="9" style="98"/>
    <col min="8193" max="8193" width="40.09765625" style="98" customWidth="1"/>
    <col min="8194" max="8199" width="13" style="98" customWidth="1"/>
    <col min="8200" max="8448" width="9" style="98"/>
    <col min="8449" max="8449" width="40.09765625" style="98" customWidth="1"/>
    <col min="8450" max="8455" width="13" style="98" customWidth="1"/>
    <col min="8456" max="8704" width="9" style="98"/>
    <col min="8705" max="8705" width="40.09765625" style="98" customWidth="1"/>
    <col min="8706" max="8711" width="13" style="98" customWidth="1"/>
    <col min="8712" max="8960" width="9" style="98"/>
    <col min="8961" max="8961" width="40.09765625" style="98" customWidth="1"/>
    <col min="8962" max="8967" width="13" style="98" customWidth="1"/>
    <col min="8968" max="9216" width="9" style="98"/>
    <col min="9217" max="9217" width="40.09765625" style="98" customWidth="1"/>
    <col min="9218" max="9223" width="13" style="98" customWidth="1"/>
    <col min="9224" max="9472" width="9" style="98"/>
    <col min="9473" max="9473" width="40.09765625" style="98" customWidth="1"/>
    <col min="9474" max="9479" width="13" style="98" customWidth="1"/>
    <col min="9480" max="9728" width="9" style="98"/>
    <col min="9729" max="9729" width="40.09765625" style="98" customWidth="1"/>
    <col min="9730" max="9735" width="13" style="98" customWidth="1"/>
    <col min="9736" max="9984" width="9" style="98"/>
    <col min="9985" max="9985" width="40.09765625" style="98" customWidth="1"/>
    <col min="9986" max="9991" width="13" style="98" customWidth="1"/>
    <col min="9992" max="10240" width="9" style="98"/>
    <col min="10241" max="10241" width="40.09765625" style="98" customWidth="1"/>
    <col min="10242" max="10247" width="13" style="98" customWidth="1"/>
    <col min="10248" max="10496" width="9" style="98"/>
    <col min="10497" max="10497" width="40.09765625" style="98" customWidth="1"/>
    <col min="10498" max="10503" width="13" style="98" customWidth="1"/>
    <col min="10504" max="10752" width="9" style="98"/>
    <col min="10753" max="10753" width="40.09765625" style="98" customWidth="1"/>
    <col min="10754" max="10759" width="13" style="98" customWidth="1"/>
    <col min="10760" max="11008" width="9" style="98"/>
    <col min="11009" max="11009" width="40.09765625" style="98" customWidth="1"/>
    <col min="11010" max="11015" width="13" style="98" customWidth="1"/>
    <col min="11016" max="11264" width="9" style="98"/>
    <col min="11265" max="11265" width="40.09765625" style="98" customWidth="1"/>
    <col min="11266" max="11271" width="13" style="98" customWidth="1"/>
    <col min="11272" max="11520" width="9" style="98"/>
    <col min="11521" max="11521" width="40.09765625" style="98" customWidth="1"/>
    <col min="11522" max="11527" width="13" style="98" customWidth="1"/>
    <col min="11528" max="11776" width="9" style="98"/>
    <col min="11777" max="11777" width="40.09765625" style="98" customWidth="1"/>
    <col min="11778" max="11783" width="13" style="98" customWidth="1"/>
    <col min="11784" max="12032" width="9" style="98"/>
    <col min="12033" max="12033" width="40.09765625" style="98" customWidth="1"/>
    <col min="12034" max="12039" width="13" style="98" customWidth="1"/>
    <col min="12040" max="12288" width="9" style="98"/>
    <col min="12289" max="12289" width="40.09765625" style="98" customWidth="1"/>
    <col min="12290" max="12295" width="13" style="98" customWidth="1"/>
    <col min="12296" max="12544" width="9" style="98"/>
    <col min="12545" max="12545" width="40.09765625" style="98" customWidth="1"/>
    <col min="12546" max="12551" width="13" style="98" customWidth="1"/>
    <col min="12552" max="12800" width="9" style="98"/>
    <col min="12801" max="12801" width="40.09765625" style="98" customWidth="1"/>
    <col min="12802" max="12807" width="13" style="98" customWidth="1"/>
    <col min="12808" max="13056" width="9" style="98"/>
    <col min="13057" max="13057" width="40.09765625" style="98" customWidth="1"/>
    <col min="13058" max="13063" width="13" style="98" customWidth="1"/>
    <col min="13064" max="13312" width="9" style="98"/>
    <col min="13313" max="13313" width="40.09765625" style="98" customWidth="1"/>
    <col min="13314" max="13319" width="13" style="98" customWidth="1"/>
    <col min="13320" max="13568" width="9" style="98"/>
    <col min="13569" max="13569" width="40.09765625" style="98" customWidth="1"/>
    <col min="13570" max="13575" width="13" style="98" customWidth="1"/>
    <col min="13576" max="13824" width="9" style="98"/>
    <col min="13825" max="13825" width="40.09765625" style="98" customWidth="1"/>
    <col min="13826" max="13831" width="13" style="98" customWidth="1"/>
    <col min="13832" max="14080" width="9" style="98"/>
    <col min="14081" max="14081" width="40.09765625" style="98" customWidth="1"/>
    <col min="14082" max="14087" width="13" style="98" customWidth="1"/>
    <col min="14088" max="14336" width="9" style="98"/>
    <col min="14337" max="14337" width="40.09765625" style="98" customWidth="1"/>
    <col min="14338" max="14343" width="13" style="98" customWidth="1"/>
    <col min="14344" max="14592" width="9" style="98"/>
    <col min="14593" max="14593" width="40.09765625" style="98" customWidth="1"/>
    <col min="14594" max="14599" width="13" style="98" customWidth="1"/>
    <col min="14600" max="14848" width="9" style="98"/>
    <col min="14849" max="14849" width="40.09765625" style="98" customWidth="1"/>
    <col min="14850" max="14855" width="13" style="98" customWidth="1"/>
    <col min="14856" max="15104" width="9" style="98"/>
    <col min="15105" max="15105" width="40.09765625" style="98" customWidth="1"/>
    <col min="15106" max="15111" width="13" style="98" customWidth="1"/>
    <col min="15112" max="15360" width="9" style="98"/>
    <col min="15361" max="15361" width="40.09765625" style="98" customWidth="1"/>
    <col min="15362" max="15367" width="13" style="98" customWidth="1"/>
    <col min="15368" max="15616" width="9" style="98"/>
    <col min="15617" max="15617" width="40.09765625" style="98" customWidth="1"/>
    <col min="15618" max="15623" width="13" style="98" customWidth="1"/>
    <col min="15624" max="15872" width="9" style="98"/>
    <col min="15873" max="15873" width="40.09765625" style="98" customWidth="1"/>
    <col min="15874" max="15879" width="13" style="98" customWidth="1"/>
    <col min="15880" max="16128" width="9" style="98"/>
    <col min="16129" max="16129" width="40.09765625" style="98" customWidth="1"/>
    <col min="16130" max="16135" width="13" style="98" customWidth="1"/>
    <col min="16136" max="16384" width="9" style="98"/>
  </cols>
  <sheetData>
    <row r="5" spans="1:255" ht="16.2" x14ac:dyDescent="0.25">
      <c r="A5" s="97" t="s">
        <v>756</v>
      </c>
    </row>
    <row r="7" spans="1:255" ht="20.399999999999999" x14ac:dyDescent="0.2">
      <c r="A7" s="99" t="s">
        <v>363</v>
      </c>
      <c r="B7" s="100" t="s">
        <v>366</v>
      </c>
      <c r="C7" s="98" t="s">
        <v>367</v>
      </c>
      <c r="D7" s="101" t="s">
        <v>287</v>
      </c>
      <c r="E7" s="100" t="s">
        <v>368</v>
      </c>
      <c r="F7" s="98" t="s">
        <v>369</v>
      </c>
    </row>
    <row r="8" spans="1:255" x14ac:dyDescent="0.2">
      <c r="A8" s="101"/>
      <c r="B8" s="100" t="s">
        <v>285</v>
      </c>
      <c r="C8" s="98" t="s">
        <v>370</v>
      </c>
      <c r="D8" s="101" t="s">
        <v>287</v>
      </c>
      <c r="E8" s="100" t="s">
        <v>288</v>
      </c>
      <c r="F8" s="98" t="s">
        <v>289</v>
      </c>
    </row>
    <row r="9" spans="1:255" x14ac:dyDescent="0.2">
      <c r="A9" s="101"/>
      <c r="B9" s="100" t="s">
        <v>290</v>
      </c>
      <c r="C9" s="98" t="s">
        <v>291</v>
      </c>
      <c r="D9" s="101" t="s">
        <v>287</v>
      </c>
      <c r="E9" s="100" t="s">
        <v>292</v>
      </c>
      <c r="F9" s="98" t="s">
        <v>293</v>
      </c>
    </row>
    <row r="10" spans="1:255" x14ac:dyDescent="0.2">
      <c r="A10" s="101"/>
      <c r="B10" s="100" t="s">
        <v>294</v>
      </c>
      <c r="C10" s="102" t="s">
        <v>295</v>
      </c>
      <c r="D10" s="101" t="s">
        <v>287</v>
      </c>
      <c r="E10" s="100" t="s">
        <v>371</v>
      </c>
      <c r="F10" s="98" t="s">
        <v>372</v>
      </c>
    </row>
    <row r="13" spans="1:255" x14ac:dyDescent="0.2">
      <c r="A13" s="103" t="s">
        <v>757</v>
      </c>
      <c r="B13" s="103"/>
      <c r="C13" s="103"/>
      <c r="D13" s="103"/>
      <c r="E13" s="103"/>
      <c r="F13" s="103"/>
      <c r="G13" s="103"/>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4"/>
      <c r="DA13" s="104"/>
      <c r="DB13" s="104"/>
      <c r="DC13" s="104"/>
      <c r="DD13" s="104"/>
      <c r="DE13" s="104"/>
      <c r="DF13" s="104"/>
      <c r="DG13" s="104"/>
      <c r="DH13" s="104"/>
      <c r="DI13" s="104"/>
      <c r="DJ13" s="104"/>
      <c r="DK13" s="104"/>
      <c r="DL13" s="104"/>
      <c r="DM13" s="104"/>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104"/>
      <c r="GQ13" s="104"/>
      <c r="GR13" s="104"/>
      <c r="GS13" s="104"/>
      <c r="GT13" s="104"/>
      <c r="GU13" s="104"/>
      <c r="GV13" s="104"/>
      <c r="GW13" s="104"/>
      <c r="GX13" s="104"/>
      <c r="GY13" s="104"/>
      <c r="GZ13" s="104"/>
      <c r="HA13" s="104"/>
      <c r="HB13" s="104"/>
      <c r="HC13" s="104"/>
      <c r="HD13" s="104"/>
      <c r="HE13" s="104"/>
      <c r="HF13" s="104"/>
      <c r="HG13" s="104"/>
      <c r="HH13" s="104"/>
      <c r="HI13" s="104"/>
      <c r="HJ13" s="104"/>
      <c r="HK13" s="104"/>
      <c r="HL13" s="104"/>
      <c r="HM13" s="104"/>
      <c r="HN13" s="104"/>
      <c r="HO13" s="104"/>
      <c r="HP13" s="104"/>
      <c r="HQ13" s="104"/>
      <c r="HR13" s="104"/>
      <c r="HS13" s="104"/>
      <c r="HT13" s="104"/>
      <c r="HU13" s="104"/>
      <c r="HV13" s="104"/>
      <c r="HW13" s="104"/>
      <c r="HX13" s="104"/>
      <c r="HY13" s="104"/>
      <c r="HZ13" s="104"/>
      <c r="IA13" s="104"/>
      <c r="IB13" s="104"/>
      <c r="IC13" s="104"/>
      <c r="ID13" s="104"/>
      <c r="IE13" s="104"/>
      <c r="IF13" s="104"/>
      <c r="IG13" s="104"/>
      <c r="IH13" s="104"/>
      <c r="II13" s="104"/>
      <c r="IJ13" s="104"/>
      <c r="IK13" s="104"/>
      <c r="IL13" s="104"/>
      <c r="IM13" s="104"/>
      <c r="IN13" s="104"/>
      <c r="IO13" s="104"/>
      <c r="IP13" s="104"/>
      <c r="IQ13" s="104"/>
      <c r="IR13" s="104"/>
      <c r="IS13" s="104"/>
      <c r="IT13" s="104"/>
      <c r="IU13" s="104"/>
    </row>
    <row r="14" spans="1:255" ht="20.399999999999999" x14ac:dyDescent="0.2">
      <c r="A14" s="304" t="s">
        <v>299</v>
      </c>
      <c r="B14" s="305" t="s">
        <v>373</v>
      </c>
      <c r="C14" s="305" t="s">
        <v>517</v>
      </c>
      <c r="D14" s="305" t="s">
        <v>375</v>
      </c>
      <c r="E14" s="305" t="s">
        <v>518</v>
      </c>
      <c r="F14" s="305" t="s">
        <v>377</v>
      </c>
      <c r="G14" s="305" t="s">
        <v>378</v>
      </c>
    </row>
    <row r="15" spans="1:255" x14ac:dyDescent="0.2">
      <c r="A15" s="306" t="s">
        <v>308</v>
      </c>
      <c r="B15" s="307" t="s">
        <v>309</v>
      </c>
      <c r="C15" s="307" t="s">
        <v>309</v>
      </c>
      <c r="D15" s="307" t="s">
        <v>309</v>
      </c>
      <c r="E15" s="307" t="s">
        <v>309</v>
      </c>
      <c r="F15" s="307" t="s">
        <v>309</v>
      </c>
      <c r="G15" s="307" t="s">
        <v>309</v>
      </c>
    </row>
    <row r="16" spans="1:255" x14ac:dyDescent="0.2">
      <c r="A16" s="109" t="s">
        <v>758</v>
      </c>
      <c r="B16" s="110"/>
      <c r="C16" s="110"/>
      <c r="D16" s="110"/>
      <c r="E16" s="110"/>
      <c r="F16" s="110"/>
      <c r="G16" s="110"/>
    </row>
    <row r="17" spans="1:7" x14ac:dyDescent="0.2">
      <c r="A17" s="110" t="s">
        <v>759</v>
      </c>
      <c r="B17" s="118" t="s">
        <v>313</v>
      </c>
      <c r="C17" s="118" t="s">
        <v>313</v>
      </c>
      <c r="D17" s="118" t="s">
        <v>313</v>
      </c>
      <c r="E17" s="118" t="s">
        <v>313</v>
      </c>
      <c r="F17" s="118">
        <v>2574.9810000000002</v>
      </c>
      <c r="G17" s="118">
        <v>2364.7220000000002</v>
      </c>
    </row>
    <row r="18" spans="1:7" x14ac:dyDescent="0.2">
      <c r="A18" s="110"/>
      <c r="B18" s="110"/>
      <c r="C18" s="110"/>
      <c r="D18" s="110"/>
      <c r="E18" s="110"/>
      <c r="F18" s="110"/>
      <c r="G18" s="110"/>
    </row>
    <row r="19" spans="1:7" x14ac:dyDescent="0.2">
      <c r="A19" s="110" t="s">
        <v>760</v>
      </c>
      <c r="B19" s="118" t="s">
        <v>313</v>
      </c>
      <c r="C19" s="118" t="s">
        <v>313</v>
      </c>
      <c r="D19" s="118" t="s">
        <v>313</v>
      </c>
      <c r="E19" s="118">
        <v>2622.2809999999999</v>
      </c>
      <c r="F19" s="118">
        <v>16.931000000000001</v>
      </c>
      <c r="G19" s="118">
        <v>5.15</v>
      </c>
    </row>
    <row r="20" spans="1:7" x14ac:dyDescent="0.2">
      <c r="A20" s="110" t="s">
        <v>761</v>
      </c>
      <c r="B20" s="118" t="s">
        <v>313</v>
      </c>
      <c r="C20" s="118" t="s">
        <v>313</v>
      </c>
      <c r="D20" s="118" t="s">
        <v>313</v>
      </c>
      <c r="E20" s="118" t="s">
        <v>313</v>
      </c>
      <c r="F20" s="118">
        <v>160.22999999999999</v>
      </c>
      <c r="G20" s="118">
        <v>359.01100000000002</v>
      </c>
    </row>
    <row r="21" spans="1:7" x14ac:dyDescent="0.2">
      <c r="A21" s="110" t="s">
        <v>762</v>
      </c>
      <c r="B21" s="118" t="s">
        <v>313</v>
      </c>
      <c r="C21" s="118" t="s">
        <v>313</v>
      </c>
      <c r="D21" s="118" t="s">
        <v>313</v>
      </c>
      <c r="E21" s="118">
        <v>47.3</v>
      </c>
      <c r="F21" s="118">
        <v>66.959999999999994</v>
      </c>
      <c r="G21" s="118">
        <v>291.52</v>
      </c>
    </row>
    <row r="22" spans="1:7" x14ac:dyDescent="0.2">
      <c r="A22" s="110" t="s">
        <v>763</v>
      </c>
      <c r="B22" s="118" t="s">
        <v>313</v>
      </c>
      <c r="C22" s="118" t="s">
        <v>313</v>
      </c>
      <c r="D22" s="118" t="s">
        <v>313</v>
      </c>
      <c r="E22" s="118">
        <v>2574.9810000000002</v>
      </c>
      <c r="F22" s="118">
        <v>2364.7220000000002</v>
      </c>
      <c r="G22" s="118">
        <v>1719.3409999999999</v>
      </c>
    </row>
    <row r="23" spans="1:7" x14ac:dyDescent="0.2">
      <c r="A23" s="110" t="s">
        <v>764</v>
      </c>
      <c r="B23" s="128" t="s">
        <v>313</v>
      </c>
      <c r="C23" s="128" t="s">
        <v>313</v>
      </c>
      <c r="D23" s="128" t="s">
        <v>313</v>
      </c>
      <c r="E23" s="120">
        <v>21</v>
      </c>
      <c r="F23" s="120">
        <v>21.1</v>
      </c>
      <c r="G23" s="120">
        <v>21.16</v>
      </c>
    </row>
    <row r="24" spans="1:7" x14ac:dyDescent="0.2">
      <c r="A24" s="110" t="s">
        <v>765</v>
      </c>
      <c r="B24" s="128" t="s">
        <v>313</v>
      </c>
      <c r="C24" s="128" t="s">
        <v>313</v>
      </c>
      <c r="D24" s="128" t="s">
        <v>313</v>
      </c>
      <c r="E24" s="120">
        <v>21</v>
      </c>
      <c r="F24" s="120">
        <v>34.74</v>
      </c>
      <c r="G24" s="120">
        <v>38.909999999999997</v>
      </c>
    </row>
    <row r="25" spans="1:7" x14ac:dyDescent="0.2">
      <c r="A25" s="110"/>
      <c r="B25" s="110"/>
      <c r="C25" s="110"/>
      <c r="D25" s="110"/>
      <c r="E25" s="110"/>
      <c r="F25" s="110"/>
      <c r="G25" s="110"/>
    </row>
    <row r="26" spans="1:7" x14ac:dyDescent="0.2">
      <c r="A26" s="109" t="s">
        <v>766</v>
      </c>
      <c r="B26" s="110"/>
      <c r="C26" s="110"/>
      <c r="D26" s="110"/>
      <c r="E26" s="110"/>
      <c r="F26" s="110"/>
      <c r="G26" s="110"/>
    </row>
    <row r="27" spans="1:7" x14ac:dyDescent="0.2">
      <c r="A27" s="110" t="s">
        <v>759</v>
      </c>
      <c r="B27" s="118" t="s">
        <v>313</v>
      </c>
      <c r="C27" s="118" t="s">
        <v>313</v>
      </c>
      <c r="D27" s="118" t="s">
        <v>313</v>
      </c>
      <c r="E27" s="118" t="s">
        <v>313</v>
      </c>
      <c r="F27" s="118">
        <v>2574.9810000000002</v>
      </c>
      <c r="G27" s="118">
        <v>2364.7220000000002</v>
      </c>
    </row>
    <row r="28" spans="1:7" x14ac:dyDescent="0.2">
      <c r="A28" s="110" t="s">
        <v>760</v>
      </c>
      <c r="B28" s="118" t="s">
        <v>313</v>
      </c>
      <c r="C28" s="118" t="s">
        <v>313</v>
      </c>
      <c r="D28" s="118" t="s">
        <v>313</v>
      </c>
      <c r="E28" s="118">
        <v>2622.2809999999999</v>
      </c>
      <c r="F28" s="118">
        <v>16.931000000000001</v>
      </c>
      <c r="G28" s="118">
        <v>5.15</v>
      </c>
    </row>
    <row r="29" spans="1:7" x14ac:dyDescent="0.2">
      <c r="A29" s="110" t="s">
        <v>761</v>
      </c>
      <c r="B29" s="118" t="s">
        <v>313</v>
      </c>
      <c r="C29" s="118" t="s">
        <v>313</v>
      </c>
      <c r="D29" s="118" t="s">
        <v>313</v>
      </c>
      <c r="E29" s="118" t="s">
        <v>313</v>
      </c>
      <c r="F29" s="118">
        <v>160.22999999999999</v>
      </c>
      <c r="G29" s="118">
        <v>359.01100000000002</v>
      </c>
    </row>
    <row r="30" spans="1:7" x14ac:dyDescent="0.2">
      <c r="A30" s="110" t="s">
        <v>762</v>
      </c>
      <c r="B30" s="118" t="s">
        <v>313</v>
      </c>
      <c r="C30" s="118" t="s">
        <v>313</v>
      </c>
      <c r="D30" s="118" t="s">
        <v>313</v>
      </c>
      <c r="E30" s="118">
        <v>47.3</v>
      </c>
      <c r="F30" s="118">
        <v>66.959999999999994</v>
      </c>
      <c r="G30" s="118">
        <v>291.52</v>
      </c>
    </row>
    <row r="31" spans="1:7" x14ac:dyDescent="0.2">
      <c r="A31" s="110" t="s">
        <v>763</v>
      </c>
      <c r="B31" s="118" t="s">
        <v>313</v>
      </c>
      <c r="C31" s="118" t="s">
        <v>313</v>
      </c>
      <c r="D31" s="118" t="s">
        <v>313</v>
      </c>
      <c r="E31" s="118">
        <v>2574.9810000000002</v>
      </c>
      <c r="F31" s="118">
        <v>2364.7220000000002</v>
      </c>
      <c r="G31" s="118">
        <v>1719.3409999999999</v>
      </c>
    </row>
    <row r="32" spans="1:7" x14ac:dyDescent="0.2">
      <c r="A32" s="110"/>
      <c r="B32" s="110"/>
      <c r="C32" s="110"/>
      <c r="D32" s="110"/>
      <c r="E32" s="110"/>
      <c r="F32" s="110"/>
      <c r="G32" s="110"/>
    </row>
    <row r="33" spans="1:7" x14ac:dyDescent="0.2">
      <c r="A33" s="109" t="s">
        <v>767</v>
      </c>
      <c r="B33" s="110"/>
      <c r="C33" s="110"/>
      <c r="D33" s="110"/>
      <c r="E33" s="110"/>
      <c r="F33" s="110"/>
      <c r="G33" s="110"/>
    </row>
    <row r="34" spans="1:7" x14ac:dyDescent="0.2">
      <c r="A34" s="110" t="s">
        <v>768</v>
      </c>
      <c r="B34" s="118">
        <v>450</v>
      </c>
      <c r="C34" s="118">
        <v>93</v>
      </c>
      <c r="D34" s="118">
        <v>165</v>
      </c>
      <c r="E34" s="118">
        <v>605</v>
      </c>
      <c r="F34" s="118" t="s">
        <v>313</v>
      </c>
      <c r="G34" s="118">
        <v>280</v>
      </c>
    </row>
    <row r="35" spans="1:7" x14ac:dyDescent="0.2">
      <c r="A35" s="110" t="s">
        <v>769</v>
      </c>
      <c r="B35" s="118" t="s">
        <v>313</v>
      </c>
      <c r="C35" s="118">
        <v>-2</v>
      </c>
      <c r="D35" s="118">
        <v>-4</v>
      </c>
      <c r="E35" s="118" t="s">
        <v>313</v>
      </c>
      <c r="F35" s="118" t="s">
        <v>313</v>
      </c>
      <c r="G35" s="118" t="s">
        <v>313</v>
      </c>
    </row>
    <row r="36" spans="1:7" x14ac:dyDescent="0.2">
      <c r="A36" s="110" t="s">
        <v>770</v>
      </c>
      <c r="B36" s="118" t="s">
        <v>313</v>
      </c>
      <c r="C36" s="118">
        <v>91</v>
      </c>
      <c r="D36" s="118">
        <v>161</v>
      </c>
      <c r="E36" s="118" t="s">
        <v>313</v>
      </c>
      <c r="F36" s="118" t="s">
        <v>313</v>
      </c>
      <c r="G36" s="118" t="s">
        <v>313</v>
      </c>
    </row>
    <row r="37" spans="1:7" x14ac:dyDescent="0.2">
      <c r="A37" s="110" t="s">
        <v>771</v>
      </c>
      <c r="B37" s="118" t="s">
        <v>313</v>
      </c>
      <c r="C37" s="118" t="s">
        <v>313</v>
      </c>
      <c r="D37" s="118" t="s">
        <v>313</v>
      </c>
      <c r="E37" s="118">
        <v>4314</v>
      </c>
      <c r="F37" s="118">
        <v>4262</v>
      </c>
      <c r="G37" s="118">
        <v>3474</v>
      </c>
    </row>
    <row r="38" spans="1:7" x14ac:dyDescent="0.2">
      <c r="A38" s="110" t="s">
        <v>772</v>
      </c>
      <c r="B38" s="118">
        <v>450</v>
      </c>
      <c r="C38" s="118">
        <v>93</v>
      </c>
      <c r="D38" s="118">
        <v>165</v>
      </c>
      <c r="E38" s="118">
        <v>16681</v>
      </c>
      <c r="F38" s="118">
        <v>5354</v>
      </c>
      <c r="G38" s="118">
        <v>5623</v>
      </c>
    </row>
    <row r="39" spans="1:7" x14ac:dyDescent="0.2">
      <c r="A39" s="110" t="s">
        <v>773</v>
      </c>
      <c r="B39" s="118" t="s">
        <v>313</v>
      </c>
      <c r="C39" s="118">
        <v>-2</v>
      </c>
      <c r="D39" s="118">
        <v>-4</v>
      </c>
      <c r="E39" s="118">
        <v>-482</v>
      </c>
      <c r="F39" s="118">
        <v>-168</v>
      </c>
      <c r="G39" s="118">
        <v>-198</v>
      </c>
    </row>
    <row r="40" spans="1:7" x14ac:dyDescent="0.2">
      <c r="A40" s="110" t="s">
        <v>774</v>
      </c>
      <c r="B40" s="118" t="s">
        <v>313</v>
      </c>
      <c r="C40" s="118">
        <v>91</v>
      </c>
      <c r="D40" s="118">
        <v>161</v>
      </c>
      <c r="E40" s="118">
        <v>16199</v>
      </c>
      <c r="F40" s="118">
        <v>5186</v>
      </c>
      <c r="G40" s="118">
        <v>5425</v>
      </c>
    </row>
    <row r="41" spans="1:7" x14ac:dyDescent="0.2">
      <c r="A41" s="110"/>
      <c r="B41" s="110"/>
      <c r="C41" s="110"/>
      <c r="D41" s="110"/>
      <c r="E41" s="110"/>
      <c r="F41" s="110"/>
      <c r="G41" s="110"/>
    </row>
    <row r="42" spans="1:7" x14ac:dyDescent="0.2">
      <c r="A42" s="109" t="s">
        <v>775</v>
      </c>
      <c r="B42" s="110"/>
      <c r="C42" s="110"/>
      <c r="D42" s="110"/>
      <c r="E42" s="110"/>
      <c r="F42" s="110"/>
      <c r="G42" s="110"/>
    </row>
    <row r="43" spans="1:7" x14ac:dyDescent="0.2">
      <c r="A43" s="110" t="s">
        <v>776</v>
      </c>
      <c r="B43" s="118" t="s">
        <v>313</v>
      </c>
      <c r="C43" s="118" t="s">
        <v>313</v>
      </c>
      <c r="D43" s="118" t="s">
        <v>313</v>
      </c>
      <c r="E43" s="118" t="s">
        <v>313</v>
      </c>
      <c r="F43" s="118">
        <v>216220</v>
      </c>
      <c r="G43" s="118">
        <v>70834</v>
      </c>
    </row>
    <row r="44" spans="1:7" x14ac:dyDescent="0.2">
      <c r="A44" s="110" t="s">
        <v>777</v>
      </c>
      <c r="B44" s="118" t="s">
        <v>313</v>
      </c>
      <c r="C44" s="118" t="s">
        <v>313</v>
      </c>
      <c r="D44" s="118" t="s">
        <v>313</v>
      </c>
      <c r="E44" s="118" t="s">
        <v>313</v>
      </c>
      <c r="F44" s="118">
        <v>216220</v>
      </c>
      <c r="G44" s="118">
        <v>70834</v>
      </c>
    </row>
    <row r="45" spans="1:7" x14ac:dyDescent="0.2">
      <c r="A45" s="110" t="s">
        <v>778</v>
      </c>
      <c r="B45" s="117" t="s">
        <v>313</v>
      </c>
      <c r="C45" s="117" t="s">
        <v>313</v>
      </c>
      <c r="D45" s="117" t="s">
        <v>313</v>
      </c>
      <c r="E45" s="117" t="s">
        <v>313</v>
      </c>
      <c r="F45" s="159">
        <v>2036</v>
      </c>
      <c r="G45" s="117" t="s">
        <v>313</v>
      </c>
    </row>
    <row r="46" spans="1:7" x14ac:dyDescent="0.2">
      <c r="A46" s="110"/>
      <c r="B46" s="110"/>
      <c r="C46" s="110"/>
      <c r="D46" s="110"/>
      <c r="E46" s="110"/>
      <c r="F46" s="110"/>
      <c r="G46" s="110"/>
    </row>
    <row r="47" spans="1:7" x14ac:dyDescent="0.2">
      <c r="A47" s="110" t="s">
        <v>779</v>
      </c>
      <c r="B47" s="118" t="s">
        <v>313</v>
      </c>
      <c r="C47" s="118" t="s">
        <v>313</v>
      </c>
      <c r="D47" s="118" t="s">
        <v>313</v>
      </c>
      <c r="E47" s="118" t="s">
        <v>313</v>
      </c>
      <c r="F47" s="118">
        <v>1084</v>
      </c>
      <c r="G47" s="118">
        <v>2328</v>
      </c>
    </row>
    <row r="48" spans="1:7" x14ac:dyDescent="0.2">
      <c r="A48" s="110" t="s">
        <v>780</v>
      </c>
      <c r="B48" s="118" t="s">
        <v>313</v>
      </c>
      <c r="C48" s="118" t="s">
        <v>313</v>
      </c>
      <c r="D48" s="118" t="s">
        <v>313</v>
      </c>
      <c r="E48" s="118" t="s">
        <v>313</v>
      </c>
      <c r="F48" s="118">
        <v>1084</v>
      </c>
      <c r="G48" s="118">
        <v>2328</v>
      </c>
    </row>
    <row r="49" spans="1:7" x14ac:dyDescent="0.2">
      <c r="A49" s="110"/>
      <c r="B49" s="110"/>
      <c r="C49" s="110"/>
      <c r="D49" s="110"/>
      <c r="E49" s="110"/>
      <c r="F49" s="110"/>
      <c r="G49" s="110"/>
    </row>
    <row r="50" spans="1:7" x14ac:dyDescent="0.2">
      <c r="A50" s="109" t="s">
        <v>781</v>
      </c>
      <c r="B50" s="110"/>
      <c r="C50" s="110"/>
      <c r="D50" s="110"/>
      <c r="E50" s="110"/>
      <c r="F50" s="110"/>
      <c r="G50" s="110"/>
    </row>
    <row r="51" spans="1:7" x14ac:dyDescent="0.2">
      <c r="A51" s="110" t="s">
        <v>434</v>
      </c>
      <c r="B51" s="118" t="s">
        <v>313</v>
      </c>
      <c r="C51" s="118" t="s">
        <v>313</v>
      </c>
      <c r="D51" s="118" t="s">
        <v>313</v>
      </c>
      <c r="E51" s="118">
        <v>108</v>
      </c>
      <c r="F51" s="118" t="s">
        <v>313</v>
      </c>
      <c r="G51" s="118">
        <v>164</v>
      </c>
    </row>
    <row r="52" spans="1:7" x14ac:dyDescent="0.2">
      <c r="A52" s="110"/>
      <c r="B52" s="110"/>
      <c r="C52" s="110"/>
      <c r="D52" s="110"/>
      <c r="E52" s="110"/>
      <c r="F52" s="110"/>
      <c r="G52" s="110"/>
    </row>
    <row r="53" spans="1:7" x14ac:dyDescent="0.2">
      <c r="A53" s="109" t="s">
        <v>782</v>
      </c>
      <c r="B53" s="110"/>
      <c r="C53" s="110"/>
      <c r="D53" s="110"/>
      <c r="E53" s="110"/>
      <c r="F53" s="110"/>
      <c r="G53" s="110"/>
    </row>
    <row r="54" spans="1:7" x14ac:dyDescent="0.2">
      <c r="A54" s="110" t="s">
        <v>783</v>
      </c>
      <c r="B54" s="118" t="s">
        <v>313</v>
      </c>
      <c r="C54" s="118" t="s">
        <v>313</v>
      </c>
      <c r="D54" s="118" t="s">
        <v>313</v>
      </c>
      <c r="E54" s="118">
        <v>33</v>
      </c>
      <c r="F54" s="118">
        <v>65517</v>
      </c>
      <c r="G54" s="118">
        <v>66293</v>
      </c>
    </row>
    <row r="55" spans="1:7" x14ac:dyDescent="0.2">
      <c r="A55" s="110" t="s">
        <v>784</v>
      </c>
      <c r="B55" s="118" t="s">
        <v>313</v>
      </c>
      <c r="C55" s="118" t="s">
        <v>313</v>
      </c>
      <c r="D55" s="118" t="s">
        <v>313</v>
      </c>
      <c r="E55" s="118">
        <v>2386</v>
      </c>
      <c r="F55" s="118">
        <v>2446</v>
      </c>
      <c r="G55" s="118">
        <v>2112</v>
      </c>
    </row>
    <row r="56" spans="1:7" x14ac:dyDescent="0.2">
      <c r="A56" s="110" t="s">
        <v>785</v>
      </c>
      <c r="B56" s="118" t="s">
        <v>313</v>
      </c>
      <c r="C56" s="118" t="s">
        <v>313</v>
      </c>
      <c r="D56" s="118" t="s">
        <v>313</v>
      </c>
      <c r="E56" s="118">
        <v>2419</v>
      </c>
      <c r="F56" s="118">
        <v>67963</v>
      </c>
      <c r="G56" s="118">
        <v>68405</v>
      </c>
    </row>
    <row r="57" spans="1:7" x14ac:dyDescent="0.2">
      <c r="A57" s="110"/>
      <c r="B57" s="110"/>
      <c r="C57" s="110"/>
      <c r="D57" s="110"/>
      <c r="E57" s="110"/>
      <c r="F57" s="110"/>
      <c r="G57" s="110"/>
    </row>
    <row r="58" spans="1:7" x14ac:dyDescent="0.2">
      <c r="A58" s="110"/>
      <c r="B58" s="110" t="s">
        <v>320</v>
      </c>
      <c r="C58" s="110" t="s">
        <v>320</v>
      </c>
      <c r="D58" s="110" t="s">
        <v>320</v>
      </c>
      <c r="E58" s="110" t="s">
        <v>320</v>
      </c>
      <c r="F58" s="110" t="s">
        <v>320</v>
      </c>
      <c r="G58" s="110" t="s">
        <v>320</v>
      </c>
    </row>
    <row r="59" spans="1:7" x14ac:dyDescent="0.2">
      <c r="A59" s="110" t="s">
        <v>436</v>
      </c>
      <c r="B59" s="130">
        <v>42090</v>
      </c>
      <c r="C59" s="130">
        <v>42459</v>
      </c>
      <c r="D59" s="130">
        <v>42807</v>
      </c>
      <c r="E59" s="130">
        <v>43157</v>
      </c>
      <c r="F59" s="130">
        <v>43157</v>
      </c>
      <c r="G59" s="130">
        <v>43157</v>
      </c>
    </row>
    <row r="60" spans="1:7" ht="61.2" x14ac:dyDescent="0.2">
      <c r="A60" s="136" t="s">
        <v>361</v>
      </c>
      <c r="B60" s="119"/>
      <c r="C60" s="119"/>
      <c r="D60" s="119"/>
      <c r="E60" s="119"/>
      <c r="F60" s="119"/>
      <c r="G60" s="11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3399FF"/>
    <outlinePr summaryBelow="0" summaryRight="0"/>
    <pageSetUpPr autoPageBreaks="0"/>
  </sheetPr>
  <dimension ref="A5:IU71"/>
  <sheetViews>
    <sheetView workbookViewId="0"/>
  </sheetViews>
  <sheetFormatPr defaultRowHeight="10.199999999999999" x14ac:dyDescent="0.2"/>
  <cols>
    <col min="1" max="1" width="30.59765625" style="98" customWidth="1"/>
    <col min="2" max="25" width="11.59765625" style="98" customWidth="1"/>
    <col min="26" max="256" width="9" style="98"/>
    <col min="257" max="257" width="40.09765625" style="98" customWidth="1"/>
    <col min="258" max="263" width="13" style="98" customWidth="1"/>
    <col min="264" max="512" width="9" style="98"/>
    <col min="513" max="513" width="40.09765625" style="98" customWidth="1"/>
    <col min="514" max="519" width="13" style="98" customWidth="1"/>
    <col min="520" max="768" width="9" style="98"/>
    <col min="769" max="769" width="40.09765625" style="98" customWidth="1"/>
    <col min="770" max="775" width="13" style="98" customWidth="1"/>
    <col min="776" max="1024" width="9" style="98"/>
    <col min="1025" max="1025" width="40.09765625" style="98" customWidth="1"/>
    <col min="1026" max="1031" width="13" style="98" customWidth="1"/>
    <col min="1032" max="1280" width="9" style="98"/>
    <col min="1281" max="1281" width="40.09765625" style="98" customWidth="1"/>
    <col min="1282" max="1287" width="13" style="98" customWidth="1"/>
    <col min="1288" max="1536" width="9" style="98"/>
    <col min="1537" max="1537" width="40.09765625" style="98" customWidth="1"/>
    <col min="1538" max="1543" width="13" style="98" customWidth="1"/>
    <col min="1544" max="1792" width="9" style="98"/>
    <col min="1793" max="1793" width="40.09765625" style="98" customWidth="1"/>
    <col min="1794" max="1799" width="13" style="98" customWidth="1"/>
    <col min="1800" max="2048" width="9" style="98"/>
    <col min="2049" max="2049" width="40.09765625" style="98" customWidth="1"/>
    <col min="2050" max="2055" width="13" style="98" customWidth="1"/>
    <col min="2056" max="2304" width="9" style="98"/>
    <col min="2305" max="2305" width="40.09765625" style="98" customWidth="1"/>
    <col min="2306" max="2311" width="13" style="98" customWidth="1"/>
    <col min="2312" max="2560" width="9" style="98"/>
    <col min="2561" max="2561" width="40.09765625" style="98" customWidth="1"/>
    <col min="2562" max="2567" width="13" style="98" customWidth="1"/>
    <col min="2568" max="2816" width="9" style="98"/>
    <col min="2817" max="2817" width="40.09765625" style="98" customWidth="1"/>
    <col min="2818" max="2823" width="13" style="98" customWidth="1"/>
    <col min="2824" max="3072" width="9" style="98"/>
    <col min="3073" max="3073" width="40.09765625" style="98" customWidth="1"/>
    <col min="3074" max="3079" width="13" style="98" customWidth="1"/>
    <col min="3080" max="3328" width="9" style="98"/>
    <col min="3329" max="3329" width="40.09765625" style="98" customWidth="1"/>
    <col min="3330" max="3335" width="13" style="98" customWidth="1"/>
    <col min="3336" max="3584" width="9" style="98"/>
    <col min="3585" max="3585" width="40.09765625" style="98" customWidth="1"/>
    <col min="3586" max="3591" width="13" style="98" customWidth="1"/>
    <col min="3592" max="3840" width="9" style="98"/>
    <col min="3841" max="3841" width="40.09765625" style="98" customWidth="1"/>
    <col min="3842" max="3847" width="13" style="98" customWidth="1"/>
    <col min="3848" max="4096" width="9" style="98"/>
    <col min="4097" max="4097" width="40.09765625" style="98" customWidth="1"/>
    <col min="4098" max="4103" width="13" style="98" customWidth="1"/>
    <col min="4104" max="4352" width="9" style="98"/>
    <col min="4353" max="4353" width="40.09765625" style="98" customWidth="1"/>
    <col min="4354" max="4359" width="13" style="98" customWidth="1"/>
    <col min="4360" max="4608" width="9" style="98"/>
    <col min="4609" max="4609" width="40.09765625" style="98" customWidth="1"/>
    <col min="4610" max="4615" width="13" style="98" customWidth="1"/>
    <col min="4616" max="4864" width="9" style="98"/>
    <col min="4865" max="4865" width="40.09765625" style="98" customWidth="1"/>
    <col min="4866" max="4871" width="13" style="98" customWidth="1"/>
    <col min="4872" max="5120" width="9" style="98"/>
    <col min="5121" max="5121" width="40.09765625" style="98" customWidth="1"/>
    <col min="5122" max="5127" width="13" style="98" customWidth="1"/>
    <col min="5128" max="5376" width="9" style="98"/>
    <col min="5377" max="5377" width="40.09765625" style="98" customWidth="1"/>
    <col min="5378" max="5383" width="13" style="98" customWidth="1"/>
    <col min="5384" max="5632" width="9" style="98"/>
    <col min="5633" max="5633" width="40.09765625" style="98" customWidth="1"/>
    <col min="5634" max="5639" width="13" style="98" customWidth="1"/>
    <col min="5640" max="5888" width="9" style="98"/>
    <col min="5889" max="5889" width="40.09765625" style="98" customWidth="1"/>
    <col min="5890" max="5895" width="13" style="98" customWidth="1"/>
    <col min="5896" max="6144" width="9" style="98"/>
    <col min="6145" max="6145" width="40.09765625" style="98" customWidth="1"/>
    <col min="6146" max="6151" width="13" style="98" customWidth="1"/>
    <col min="6152" max="6400" width="9" style="98"/>
    <col min="6401" max="6401" width="40.09765625" style="98" customWidth="1"/>
    <col min="6402" max="6407" width="13" style="98" customWidth="1"/>
    <col min="6408" max="6656" width="9" style="98"/>
    <col min="6657" max="6657" width="40.09765625" style="98" customWidth="1"/>
    <col min="6658" max="6663" width="13" style="98" customWidth="1"/>
    <col min="6664" max="6912" width="9" style="98"/>
    <col min="6913" max="6913" width="40.09765625" style="98" customWidth="1"/>
    <col min="6914" max="6919" width="13" style="98" customWidth="1"/>
    <col min="6920" max="7168" width="9" style="98"/>
    <col min="7169" max="7169" width="40.09765625" style="98" customWidth="1"/>
    <col min="7170" max="7175" width="13" style="98" customWidth="1"/>
    <col min="7176" max="7424" width="9" style="98"/>
    <col min="7425" max="7425" width="40.09765625" style="98" customWidth="1"/>
    <col min="7426" max="7431" width="13" style="98" customWidth="1"/>
    <col min="7432" max="7680" width="9" style="98"/>
    <col min="7681" max="7681" width="40.09765625" style="98" customWidth="1"/>
    <col min="7682" max="7687" width="13" style="98" customWidth="1"/>
    <col min="7688" max="7936" width="9" style="98"/>
    <col min="7937" max="7937" width="40.09765625" style="98" customWidth="1"/>
    <col min="7938" max="7943" width="13" style="98" customWidth="1"/>
    <col min="7944" max="8192" width="9" style="98"/>
    <col min="8193" max="8193" width="40.09765625" style="98" customWidth="1"/>
    <col min="8194" max="8199" width="13" style="98" customWidth="1"/>
    <col min="8200" max="8448" width="9" style="98"/>
    <col min="8449" max="8449" width="40.09765625" style="98" customWidth="1"/>
    <col min="8450" max="8455" width="13" style="98" customWidth="1"/>
    <col min="8456" max="8704" width="9" style="98"/>
    <col min="8705" max="8705" width="40.09765625" style="98" customWidth="1"/>
    <col min="8706" max="8711" width="13" style="98" customWidth="1"/>
    <col min="8712" max="8960" width="9" style="98"/>
    <col min="8961" max="8961" width="40.09765625" style="98" customWidth="1"/>
    <col min="8962" max="8967" width="13" style="98" customWidth="1"/>
    <col min="8968" max="9216" width="9" style="98"/>
    <col min="9217" max="9217" width="40.09765625" style="98" customWidth="1"/>
    <col min="9218" max="9223" width="13" style="98" customWidth="1"/>
    <col min="9224" max="9472" width="9" style="98"/>
    <col min="9473" max="9473" width="40.09765625" style="98" customWidth="1"/>
    <col min="9474" max="9479" width="13" style="98" customWidth="1"/>
    <col min="9480" max="9728" width="9" style="98"/>
    <col min="9729" max="9729" width="40.09765625" style="98" customWidth="1"/>
    <col min="9730" max="9735" width="13" style="98" customWidth="1"/>
    <col min="9736" max="9984" width="9" style="98"/>
    <col min="9985" max="9985" width="40.09765625" style="98" customWidth="1"/>
    <col min="9986" max="9991" width="13" style="98" customWidth="1"/>
    <col min="9992" max="10240" width="9" style="98"/>
    <col min="10241" max="10241" width="40.09765625" style="98" customWidth="1"/>
    <col min="10242" max="10247" width="13" style="98" customWidth="1"/>
    <col min="10248" max="10496" width="9" style="98"/>
    <col min="10497" max="10497" width="40.09765625" style="98" customWidth="1"/>
    <col min="10498" max="10503" width="13" style="98" customWidth="1"/>
    <col min="10504" max="10752" width="9" style="98"/>
    <col min="10753" max="10753" width="40.09765625" style="98" customWidth="1"/>
    <col min="10754" max="10759" width="13" style="98" customWidth="1"/>
    <col min="10760" max="11008" width="9" style="98"/>
    <col min="11009" max="11009" width="40.09765625" style="98" customWidth="1"/>
    <col min="11010" max="11015" width="13" style="98" customWidth="1"/>
    <col min="11016" max="11264" width="9" style="98"/>
    <col min="11265" max="11265" width="40.09765625" style="98" customWidth="1"/>
    <col min="11266" max="11271" width="13" style="98" customWidth="1"/>
    <col min="11272" max="11520" width="9" style="98"/>
    <col min="11521" max="11521" width="40.09765625" style="98" customWidth="1"/>
    <col min="11522" max="11527" width="13" style="98" customWidth="1"/>
    <col min="11528" max="11776" width="9" style="98"/>
    <col min="11777" max="11777" width="40.09765625" style="98" customWidth="1"/>
    <col min="11778" max="11783" width="13" style="98" customWidth="1"/>
    <col min="11784" max="12032" width="9" style="98"/>
    <col min="12033" max="12033" width="40.09765625" style="98" customWidth="1"/>
    <col min="12034" max="12039" width="13" style="98" customWidth="1"/>
    <col min="12040" max="12288" width="9" style="98"/>
    <col min="12289" max="12289" width="40.09765625" style="98" customWidth="1"/>
    <col min="12290" max="12295" width="13" style="98" customWidth="1"/>
    <col min="12296" max="12544" width="9" style="98"/>
    <col min="12545" max="12545" width="40.09765625" style="98" customWidth="1"/>
    <col min="12546" max="12551" width="13" style="98" customWidth="1"/>
    <col min="12552" max="12800" width="9" style="98"/>
    <col min="12801" max="12801" width="40.09765625" style="98" customWidth="1"/>
    <col min="12802" max="12807" width="13" style="98" customWidth="1"/>
    <col min="12808" max="13056" width="9" style="98"/>
    <col min="13057" max="13057" width="40.09765625" style="98" customWidth="1"/>
    <col min="13058" max="13063" width="13" style="98" customWidth="1"/>
    <col min="13064" max="13312" width="9" style="98"/>
    <col min="13313" max="13313" width="40.09765625" style="98" customWidth="1"/>
    <col min="13314" max="13319" width="13" style="98" customWidth="1"/>
    <col min="13320" max="13568" width="9" style="98"/>
    <col min="13569" max="13569" width="40.09765625" style="98" customWidth="1"/>
    <col min="13570" max="13575" width="13" style="98" customWidth="1"/>
    <col min="13576" max="13824" width="9" style="98"/>
    <col min="13825" max="13825" width="40.09765625" style="98" customWidth="1"/>
    <col min="13826" max="13831" width="13" style="98" customWidth="1"/>
    <col min="13832" max="14080" width="9" style="98"/>
    <col min="14081" max="14081" width="40.09765625" style="98" customWidth="1"/>
    <col min="14082" max="14087" width="13" style="98" customWidth="1"/>
    <col min="14088" max="14336" width="9" style="98"/>
    <col min="14337" max="14337" width="40.09765625" style="98" customWidth="1"/>
    <col min="14338" max="14343" width="13" style="98" customWidth="1"/>
    <col min="14344" max="14592" width="9" style="98"/>
    <col min="14593" max="14593" width="40.09765625" style="98" customWidth="1"/>
    <col min="14594" max="14599" width="13" style="98" customWidth="1"/>
    <col min="14600" max="14848" width="9" style="98"/>
    <col min="14849" max="14849" width="40.09765625" style="98" customWidth="1"/>
    <col min="14850" max="14855" width="13" style="98" customWidth="1"/>
    <col min="14856" max="15104" width="9" style="98"/>
    <col min="15105" max="15105" width="40.09765625" style="98" customWidth="1"/>
    <col min="15106" max="15111" width="13" style="98" customWidth="1"/>
    <col min="15112" max="15360" width="9" style="98"/>
    <col min="15361" max="15361" width="40.09765625" style="98" customWidth="1"/>
    <col min="15362" max="15367" width="13" style="98" customWidth="1"/>
    <col min="15368" max="15616" width="9" style="98"/>
    <col min="15617" max="15617" width="40.09765625" style="98" customWidth="1"/>
    <col min="15618" max="15623" width="13" style="98" customWidth="1"/>
    <col min="15624" max="15872" width="9" style="98"/>
    <col min="15873" max="15873" width="40.09765625" style="98" customWidth="1"/>
    <col min="15874" max="15879" width="13" style="98" customWidth="1"/>
    <col min="15880" max="16128" width="9" style="98"/>
    <col min="16129" max="16129" width="40.09765625" style="98" customWidth="1"/>
    <col min="16130" max="16135" width="13" style="98" customWidth="1"/>
    <col min="16136" max="16384" width="9" style="98"/>
  </cols>
  <sheetData>
    <row r="5" spans="1:255" ht="16.2" x14ac:dyDescent="0.25">
      <c r="A5" s="97" t="s">
        <v>786</v>
      </c>
    </row>
    <row r="7" spans="1:255" x14ac:dyDescent="0.2">
      <c r="A7" s="99" t="s">
        <v>787</v>
      </c>
      <c r="B7" s="100" t="s">
        <v>788</v>
      </c>
      <c r="C7" s="98" t="s">
        <v>789</v>
      </c>
      <c r="D7" s="101" t="s">
        <v>287</v>
      </c>
      <c r="E7" s="100" t="s">
        <v>366</v>
      </c>
      <c r="F7" s="98" t="s">
        <v>367</v>
      </c>
    </row>
    <row r="8" spans="1:255" x14ac:dyDescent="0.2">
      <c r="A8" s="101"/>
      <c r="B8" s="100" t="s">
        <v>368</v>
      </c>
      <c r="C8" s="98" t="s">
        <v>369</v>
      </c>
      <c r="D8" s="101" t="s">
        <v>287</v>
      </c>
      <c r="E8" s="100" t="s">
        <v>290</v>
      </c>
      <c r="F8" s="98" t="s">
        <v>291</v>
      </c>
    </row>
    <row r="9" spans="1:255" x14ac:dyDescent="0.2">
      <c r="A9" s="101"/>
      <c r="B9" s="100" t="s">
        <v>285</v>
      </c>
      <c r="C9" s="98" t="s">
        <v>370</v>
      </c>
      <c r="D9" s="101" t="s">
        <v>287</v>
      </c>
      <c r="E9" s="100" t="s">
        <v>288</v>
      </c>
      <c r="F9" s="98" t="s">
        <v>289</v>
      </c>
    </row>
    <row r="10" spans="1:255" x14ac:dyDescent="0.2">
      <c r="A10" s="101"/>
      <c r="B10" s="100" t="s">
        <v>292</v>
      </c>
      <c r="C10" s="98" t="s">
        <v>293</v>
      </c>
      <c r="D10" s="101" t="s">
        <v>287</v>
      </c>
      <c r="E10" s="100" t="s">
        <v>294</v>
      </c>
      <c r="F10" s="102" t="s">
        <v>295</v>
      </c>
    </row>
    <row r="13" spans="1:255" x14ac:dyDescent="0.2">
      <c r="A13" s="103" t="s">
        <v>790</v>
      </c>
      <c r="B13" s="103"/>
      <c r="C13" s="103"/>
      <c r="D13" s="103"/>
      <c r="E13" s="103"/>
      <c r="F13" s="103"/>
      <c r="G13" s="103"/>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c r="CI13" s="104"/>
      <c r="CJ13" s="104"/>
      <c r="CK13" s="104"/>
      <c r="CL13" s="104"/>
      <c r="CM13" s="104"/>
      <c r="CN13" s="104"/>
      <c r="CO13" s="104"/>
      <c r="CP13" s="104"/>
      <c r="CQ13" s="104"/>
      <c r="CR13" s="104"/>
      <c r="CS13" s="104"/>
      <c r="CT13" s="104"/>
      <c r="CU13" s="104"/>
      <c r="CV13" s="104"/>
      <c r="CW13" s="104"/>
      <c r="CX13" s="104"/>
      <c r="CY13" s="104"/>
      <c r="CZ13" s="104"/>
      <c r="DA13" s="104"/>
      <c r="DB13" s="104"/>
      <c r="DC13" s="104"/>
      <c r="DD13" s="104"/>
      <c r="DE13" s="104"/>
      <c r="DF13" s="104"/>
      <c r="DG13" s="104"/>
      <c r="DH13" s="104"/>
      <c r="DI13" s="104"/>
      <c r="DJ13" s="104"/>
      <c r="DK13" s="104"/>
      <c r="DL13" s="104"/>
      <c r="DM13" s="104"/>
      <c r="DN13" s="104"/>
      <c r="DO13" s="104"/>
      <c r="DP13" s="104"/>
      <c r="DQ13" s="104"/>
      <c r="DR13" s="104"/>
      <c r="DS13" s="104"/>
      <c r="DT13" s="104"/>
      <c r="DU13" s="104"/>
      <c r="DV13" s="104"/>
      <c r="DW13" s="104"/>
      <c r="DX13" s="104"/>
      <c r="DY13" s="104"/>
      <c r="DZ13" s="104"/>
      <c r="EA13" s="104"/>
      <c r="EB13" s="104"/>
      <c r="EC13" s="104"/>
      <c r="ED13" s="104"/>
      <c r="EE13" s="104"/>
      <c r="EF13" s="104"/>
      <c r="EG13" s="104"/>
      <c r="EH13" s="104"/>
      <c r="EI13" s="104"/>
      <c r="EJ13" s="104"/>
      <c r="EK13" s="104"/>
      <c r="EL13" s="104"/>
      <c r="EM13" s="104"/>
      <c r="EN13" s="104"/>
      <c r="EO13" s="104"/>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4"/>
      <c r="FR13" s="104"/>
      <c r="FS13" s="104"/>
      <c r="FT13" s="104"/>
      <c r="FU13" s="104"/>
      <c r="FV13" s="104"/>
      <c r="FW13" s="104"/>
      <c r="FX13" s="104"/>
      <c r="FY13" s="104"/>
      <c r="FZ13" s="104"/>
      <c r="GA13" s="104"/>
      <c r="GB13" s="104"/>
      <c r="GC13" s="104"/>
      <c r="GD13" s="104"/>
      <c r="GE13" s="104"/>
      <c r="GF13" s="104"/>
      <c r="GG13" s="104"/>
      <c r="GH13" s="104"/>
      <c r="GI13" s="104"/>
      <c r="GJ13" s="104"/>
      <c r="GK13" s="104"/>
      <c r="GL13" s="104"/>
      <c r="GM13" s="104"/>
      <c r="GN13" s="104"/>
      <c r="GO13" s="104"/>
      <c r="GP13" s="104"/>
      <c r="GQ13" s="104"/>
      <c r="GR13" s="104"/>
      <c r="GS13" s="104"/>
      <c r="GT13" s="104"/>
      <c r="GU13" s="104"/>
      <c r="GV13" s="104"/>
      <c r="GW13" s="104"/>
      <c r="GX13" s="104"/>
      <c r="GY13" s="104"/>
      <c r="GZ13" s="104"/>
      <c r="HA13" s="104"/>
      <c r="HB13" s="104"/>
      <c r="HC13" s="104"/>
      <c r="HD13" s="104"/>
      <c r="HE13" s="104"/>
      <c r="HF13" s="104"/>
      <c r="HG13" s="104"/>
      <c r="HH13" s="104"/>
      <c r="HI13" s="104"/>
      <c r="HJ13" s="104"/>
      <c r="HK13" s="104"/>
      <c r="HL13" s="104"/>
      <c r="HM13" s="104"/>
      <c r="HN13" s="104"/>
      <c r="HO13" s="104"/>
      <c r="HP13" s="104"/>
      <c r="HQ13" s="104"/>
      <c r="HR13" s="104"/>
      <c r="HS13" s="104"/>
      <c r="HT13" s="104"/>
      <c r="HU13" s="104"/>
      <c r="HV13" s="104"/>
      <c r="HW13" s="104"/>
      <c r="HX13" s="104"/>
      <c r="HY13" s="104"/>
      <c r="HZ13" s="104"/>
      <c r="IA13" s="104"/>
      <c r="IB13" s="104"/>
      <c r="IC13" s="104"/>
      <c r="ID13" s="104"/>
      <c r="IE13" s="104"/>
      <c r="IF13" s="104"/>
      <c r="IG13" s="104"/>
      <c r="IH13" s="104"/>
      <c r="II13" s="104"/>
      <c r="IJ13" s="104"/>
      <c r="IK13" s="104"/>
      <c r="IL13" s="104"/>
      <c r="IM13" s="104"/>
      <c r="IN13" s="104"/>
      <c r="IO13" s="104"/>
      <c r="IP13" s="104"/>
      <c r="IQ13" s="104"/>
      <c r="IR13" s="104"/>
      <c r="IS13" s="104"/>
      <c r="IT13" s="104"/>
      <c r="IU13" s="104"/>
    </row>
    <row r="14" spans="1:255" ht="30.6" x14ac:dyDescent="0.2">
      <c r="A14" s="304" t="s">
        <v>299</v>
      </c>
      <c r="B14" s="305" t="s">
        <v>373</v>
      </c>
      <c r="C14" s="305" t="s">
        <v>374</v>
      </c>
      <c r="D14" s="305" t="s">
        <v>375</v>
      </c>
      <c r="E14" s="305" t="s">
        <v>376</v>
      </c>
      <c r="F14" s="305" t="s">
        <v>377</v>
      </c>
      <c r="G14" s="305" t="s">
        <v>378</v>
      </c>
    </row>
    <row r="15" spans="1:255" x14ac:dyDescent="0.2">
      <c r="A15" s="306" t="s">
        <v>308</v>
      </c>
      <c r="B15" s="307" t="s">
        <v>309</v>
      </c>
      <c r="C15" s="307" t="s">
        <v>309</v>
      </c>
      <c r="D15" s="307" t="s">
        <v>309</v>
      </c>
      <c r="E15" s="307" t="s">
        <v>309</v>
      </c>
      <c r="F15" s="307" t="s">
        <v>309</v>
      </c>
      <c r="G15" s="307" t="s">
        <v>309</v>
      </c>
    </row>
    <row r="16" spans="1:255" x14ac:dyDescent="0.2">
      <c r="A16" s="109" t="s">
        <v>791</v>
      </c>
      <c r="B16" s="110"/>
      <c r="C16" s="110"/>
      <c r="D16" s="110"/>
      <c r="E16" s="110"/>
      <c r="F16" s="110"/>
      <c r="G16" s="110"/>
    </row>
    <row r="17" spans="1:7" x14ac:dyDescent="0.2">
      <c r="A17" s="110" t="s">
        <v>792</v>
      </c>
      <c r="B17" s="118">
        <v>57038</v>
      </c>
      <c r="C17" s="118">
        <v>82456</v>
      </c>
      <c r="D17" s="118">
        <v>118530</v>
      </c>
      <c r="E17" s="118">
        <v>190592</v>
      </c>
      <c r="F17" s="118">
        <v>268475</v>
      </c>
      <c r="G17" s="118">
        <v>358810</v>
      </c>
    </row>
    <row r="18" spans="1:7" x14ac:dyDescent="0.2">
      <c r="A18" s="109" t="s">
        <v>793</v>
      </c>
      <c r="B18" s="111">
        <v>57038</v>
      </c>
      <c r="C18" s="111">
        <v>82456</v>
      </c>
      <c r="D18" s="111">
        <v>118530</v>
      </c>
      <c r="E18" s="111">
        <v>190592</v>
      </c>
      <c r="F18" s="111">
        <v>268475</v>
      </c>
      <c r="G18" s="111">
        <v>358810</v>
      </c>
    </row>
    <row r="19" spans="1:7" x14ac:dyDescent="0.2">
      <c r="A19" s="110"/>
      <c r="B19" s="110"/>
      <c r="C19" s="110"/>
      <c r="D19" s="110"/>
      <c r="E19" s="110"/>
      <c r="F19" s="110"/>
      <c r="G19" s="110"/>
    </row>
    <row r="20" spans="1:7" x14ac:dyDescent="0.2">
      <c r="A20" s="109" t="s">
        <v>794</v>
      </c>
      <c r="B20" s="110"/>
      <c r="C20" s="110"/>
      <c r="D20" s="110"/>
      <c r="E20" s="110"/>
      <c r="F20" s="110"/>
      <c r="G20" s="110"/>
    </row>
    <row r="21" spans="1:7" x14ac:dyDescent="0.2">
      <c r="A21" s="110" t="s">
        <v>792</v>
      </c>
      <c r="B21" s="118">
        <v>4686</v>
      </c>
      <c r="C21" s="118">
        <v>5935</v>
      </c>
      <c r="D21" s="118">
        <v>3143</v>
      </c>
      <c r="E21" s="118">
        <v>6753</v>
      </c>
      <c r="F21" s="118">
        <v>27805</v>
      </c>
      <c r="G21" s="118">
        <v>33813</v>
      </c>
    </row>
    <row r="22" spans="1:7" x14ac:dyDescent="0.2">
      <c r="A22" s="109" t="s">
        <v>795</v>
      </c>
      <c r="B22" s="111">
        <v>4686</v>
      </c>
      <c r="C22" s="111">
        <v>5935</v>
      </c>
      <c r="D22" s="111">
        <v>3143</v>
      </c>
      <c r="E22" s="111">
        <v>6753</v>
      </c>
      <c r="F22" s="111">
        <v>27805</v>
      </c>
      <c r="G22" s="111">
        <v>33813</v>
      </c>
    </row>
    <row r="23" spans="1:7" x14ac:dyDescent="0.2">
      <c r="A23" s="110"/>
      <c r="B23" s="110"/>
      <c r="C23" s="110"/>
      <c r="D23" s="110"/>
      <c r="E23" s="110"/>
      <c r="F23" s="110"/>
      <c r="G23" s="110"/>
    </row>
    <row r="24" spans="1:7" x14ac:dyDescent="0.2">
      <c r="A24" s="109" t="s">
        <v>391</v>
      </c>
      <c r="B24" s="110"/>
      <c r="C24" s="110"/>
      <c r="D24" s="110"/>
      <c r="E24" s="110"/>
      <c r="F24" s="110"/>
      <c r="G24" s="110"/>
    </row>
    <row r="25" spans="1:7" x14ac:dyDescent="0.2">
      <c r="A25" s="110" t="s">
        <v>792</v>
      </c>
      <c r="B25" s="118">
        <v>-156</v>
      </c>
      <c r="C25" s="118">
        <v>-52</v>
      </c>
      <c r="D25" s="118">
        <v>-365</v>
      </c>
      <c r="E25" s="118">
        <v>-332</v>
      </c>
      <c r="F25" s="118">
        <v>-374</v>
      </c>
      <c r="G25" s="118">
        <v>-1643</v>
      </c>
    </row>
    <row r="26" spans="1:7" x14ac:dyDescent="0.2">
      <c r="A26" s="109" t="s">
        <v>796</v>
      </c>
      <c r="B26" s="111">
        <v>-156</v>
      </c>
      <c r="C26" s="111">
        <v>-52</v>
      </c>
      <c r="D26" s="111">
        <v>-365</v>
      </c>
      <c r="E26" s="111">
        <v>-332</v>
      </c>
      <c r="F26" s="111">
        <v>-374</v>
      </c>
      <c r="G26" s="111">
        <v>-1643</v>
      </c>
    </row>
    <row r="27" spans="1:7" x14ac:dyDescent="0.2">
      <c r="A27" s="110"/>
      <c r="B27" s="110"/>
      <c r="C27" s="110"/>
      <c r="D27" s="110"/>
      <c r="E27" s="110"/>
      <c r="F27" s="110"/>
      <c r="G27" s="110"/>
    </row>
    <row r="28" spans="1:7" x14ac:dyDescent="0.2">
      <c r="A28" s="109" t="s">
        <v>797</v>
      </c>
      <c r="B28" s="110"/>
      <c r="C28" s="110"/>
      <c r="D28" s="110"/>
      <c r="E28" s="110"/>
      <c r="F28" s="110"/>
      <c r="G28" s="110"/>
    </row>
    <row r="29" spans="1:7" x14ac:dyDescent="0.2">
      <c r="A29" s="110" t="s">
        <v>792</v>
      </c>
      <c r="B29" s="118">
        <v>4530</v>
      </c>
      <c r="C29" s="118">
        <v>5883</v>
      </c>
      <c r="D29" s="118">
        <v>2780</v>
      </c>
      <c r="E29" s="118">
        <v>6428</v>
      </c>
      <c r="F29" s="118">
        <v>28496</v>
      </c>
      <c r="G29" s="118">
        <v>160293</v>
      </c>
    </row>
    <row r="30" spans="1:7" x14ac:dyDescent="0.2">
      <c r="A30" s="109" t="s">
        <v>798</v>
      </c>
      <c r="B30" s="111">
        <v>4530</v>
      </c>
      <c r="C30" s="111">
        <v>5883</v>
      </c>
      <c r="D30" s="111">
        <v>2780</v>
      </c>
      <c r="E30" s="111">
        <v>6428</v>
      </c>
      <c r="F30" s="111">
        <v>28496</v>
      </c>
      <c r="G30" s="111">
        <v>160293</v>
      </c>
    </row>
    <row r="31" spans="1:7" x14ac:dyDescent="0.2">
      <c r="A31" s="110"/>
      <c r="B31" s="110"/>
      <c r="C31" s="110"/>
      <c r="D31" s="110"/>
      <c r="E31" s="110"/>
      <c r="F31" s="110"/>
      <c r="G31" s="110"/>
    </row>
    <row r="32" spans="1:7" x14ac:dyDescent="0.2">
      <c r="A32" s="109" t="s">
        <v>799</v>
      </c>
      <c r="B32" s="110"/>
      <c r="C32" s="110"/>
      <c r="D32" s="110"/>
      <c r="E32" s="110"/>
      <c r="F32" s="110"/>
      <c r="G32" s="110"/>
    </row>
    <row r="33" spans="1:7" x14ac:dyDescent="0.2">
      <c r="A33" s="110" t="s">
        <v>792</v>
      </c>
      <c r="B33" s="118">
        <v>397</v>
      </c>
      <c r="C33" s="118">
        <v>460</v>
      </c>
      <c r="D33" s="118">
        <v>662</v>
      </c>
      <c r="E33" s="118">
        <v>3304</v>
      </c>
      <c r="F33" s="118">
        <v>6350</v>
      </c>
      <c r="G33" s="118">
        <v>151409</v>
      </c>
    </row>
    <row r="34" spans="1:7" x14ac:dyDescent="0.2">
      <c r="A34" s="109" t="s">
        <v>800</v>
      </c>
      <c r="B34" s="111">
        <v>397</v>
      </c>
      <c r="C34" s="111">
        <v>460</v>
      </c>
      <c r="D34" s="111">
        <v>662</v>
      </c>
      <c r="E34" s="111">
        <v>3304</v>
      </c>
      <c r="F34" s="111">
        <v>6350</v>
      </c>
      <c r="G34" s="111">
        <v>151409</v>
      </c>
    </row>
    <row r="35" spans="1:7" x14ac:dyDescent="0.2">
      <c r="A35" s="110"/>
      <c r="B35" s="110"/>
      <c r="C35" s="110"/>
      <c r="D35" s="110"/>
      <c r="E35" s="110"/>
      <c r="F35" s="110"/>
      <c r="G35" s="110"/>
    </row>
    <row r="36" spans="1:7" x14ac:dyDescent="0.2">
      <c r="A36" s="109" t="s">
        <v>801</v>
      </c>
      <c r="B36" s="110"/>
      <c r="C36" s="110"/>
      <c r="D36" s="110"/>
      <c r="E36" s="110"/>
      <c r="F36" s="110"/>
      <c r="G36" s="110"/>
    </row>
    <row r="37" spans="1:7" x14ac:dyDescent="0.2">
      <c r="A37" s="110" t="s">
        <v>792</v>
      </c>
      <c r="B37" s="118">
        <v>4133</v>
      </c>
      <c r="C37" s="118">
        <v>5423</v>
      </c>
      <c r="D37" s="118">
        <v>2118</v>
      </c>
      <c r="E37" s="118">
        <v>-8776</v>
      </c>
      <c r="F37" s="118">
        <v>12446</v>
      </c>
      <c r="G37" s="118">
        <v>-320</v>
      </c>
    </row>
    <row r="38" spans="1:7" x14ac:dyDescent="0.2">
      <c r="A38" s="109" t="s">
        <v>802</v>
      </c>
      <c r="B38" s="111">
        <v>4133</v>
      </c>
      <c r="C38" s="111">
        <v>5423</v>
      </c>
      <c r="D38" s="111">
        <v>2118</v>
      </c>
      <c r="E38" s="111">
        <v>-8776</v>
      </c>
      <c r="F38" s="111">
        <v>12446</v>
      </c>
      <c r="G38" s="111">
        <v>-320</v>
      </c>
    </row>
    <row r="39" spans="1:7" x14ac:dyDescent="0.2">
      <c r="A39" s="110"/>
      <c r="B39" s="110"/>
      <c r="C39" s="110"/>
      <c r="D39" s="110"/>
      <c r="E39" s="110"/>
      <c r="F39" s="110"/>
      <c r="G39" s="110"/>
    </row>
    <row r="40" spans="1:7" x14ac:dyDescent="0.2">
      <c r="A40" s="109" t="s">
        <v>803</v>
      </c>
      <c r="B40" s="110"/>
      <c r="C40" s="110"/>
      <c r="D40" s="110"/>
      <c r="E40" s="110"/>
      <c r="F40" s="110"/>
      <c r="G40" s="110"/>
    </row>
    <row r="41" spans="1:7" x14ac:dyDescent="0.2">
      <c r="A41" s="110" t="s">
        <v>792</v>
      </c>
      <c r="B41" s="118">
        <v>44068</v>
      </c>
      <c r="C41" s="118">
        <v>55219</v>
      </c>
      <c r="D41" s="118">
        <v>82962</v>
      </c>
      <c r="E41" s="118">
        <v>379547</v>
      </c>
      <c r="F41" s="118">
        <v>538194</v>
      </c>
      <c r="G41" s="118">
        <v>470606</v>
      </c>
    </row>
    <row r="42" spans="1:7" x14ac:dyDescent="0.2">
      <c r="A42" s="109" t="s">
        <v>746</v>
      </c>
      <c r="B42" s="111">
        <v>44068</v>
      </c>
      <c r="C42" s="111">
        <v>55219</v>
      </c>
      <c r="D42" s="111">
        <v>82962</v>
      </c>
      <c r="E42" s="111">
        <v>379547</v>
      </c>
      <c r="F42" s="111">
        <v>538194</v>
      </c>
      <c r="G42" s="111">
        <v>470606</v>
      </c>
    </row>
    <row r="43" spans="1:7" x14ac:dyDescent="0.2">
      <c r="A43" s="110"/>
      <c r="B43" s="110"/>
      <c r="C43" s="110"/>
      <c r="D43" s="110"/>
      <c r="E43" s="110"/>
      <c r="F43" s="110"/>
      <c r="G43" s="110"/>
    </row>
    <row r="44" spans="1:7" x14ac:dyDescent="0.2">
      <c r="A44" s="109" t="s">
        <v>804</v>
      </c>
      <c r="B44" s="110"/>
      <c r="C44" s="110"/>
      <c r="D44" s="110"/>
      <c r="E44" s="110"/>
      <c r="F44" s="110"/>
      <c r="G44" s="110"/>
    </row>
    <row r="45" spans="1:7" x14ac:dyDescent="0.2">
      <c r="A45" s="110" t="s">
        <v>792</v>
      </c>
      <c r="B45" s="118">
        <v>2162</v>
      </c>
      <c r="C45" s="118">
        <v>3541</v>
      </c>
      <c r="D45" s="118">
        <v>5809</v>
      </c>
      <c r="E45" s="118">
        <v>10222</v>
      </c>
      <c r="F45" s="118">
        <v>14502</v>
      </c>
      <c r="G45" s="118">
        <v>21704</v>
      </c>
    </row>
    <row r="46" spans="1:7" x14ac:dyDescent="0.2">
      <c r="A46" s="109" t="s">
        <v>805</v>
      </c>
      <c r="B46" s="111">
        <v>2162</v>
      </c>
      <c r="C46" s="111">
        <v>3541</v>
      </c>
      <c r="D46" s="111">
        <v>5809</v>
      </c>
      <c r="E46" s="111">
        <v>10222</v>
      </c>
      <c r="F46" s="111">
        <v>14502</v>
      </c>
      <c r="G46" s="111">
        <v>21704</v>
      </c>
    </row>
    <row r="47" spans="1:7" x14ac:dyDescent="0.2">
      <c r="A47" s="110"/>
      <c r="B47" s="110"/>
      <c r="C47" s="110"/>
      <c r="D47" s="110"/>
      <c r="E47" s="110"/>
      <c r="F47" s="110"/>
      <c r="G47" s="110"/>
    </row>
    <row r="48" spans="1:7" x14ac:dyDescent="0.2">
      <c r="A48" s="109" t="s">
        <v>281</v>
      </c>
      <c r="B48" s="110"/>
      <c r="C48" s="110"/>
      <c r="D48" s="110"/>
      <c r="E48" s="110"/>
      <c r="F48" s="110"/>
      <c r="G48" s="110"/>
    </row>
    <row r="49" spans="1:255" x14ac:dyDescent="0.2">
      <c r="A49" s="110" t="s">
        <v>792</v>
      </c>
      <c r="B49" s="118">
        <v>-11036</v>
      </c>
      <c r="C49" s="118">
        <v>-16194</v>
      </c>
      <c r="D49" s="118">
        <v>-28515</v>
      </c>
      <c r="E49" s="118">
        <v>-32117</v>
      </c>
      <c r="F49" s="118">
        <v>-54433</v>
      </c>
      <c r="G49" s="118">
        <v>-61533</v>
      </c>
    </row>
    <row r="50" spans="1:255" x14ac:dyDescent="0.2">
      <c r="A50" s="109" t="s">
        <v>806</v>
      </c>
      <c r="B50" s="111">
        <v>-11036</v>
      </c>
      <c r="C50" s="111">
        <v>-16194</v>
      </c>
      <c r="D50" s="111">
        <v>-28515</v>
      </c>
      <c r="E50" s="111">
        <v>-32117</v>
      </c>
      <c r="F50" s="111">
        <v>-54433</v>
      </c>
      <c r="G50" s="111">
        <v>-61533</v>
      </c>
    </row>
    <row r="51" spans="1:255" x14ac:dyDescent="0.2">
      <c r="A51" s="110"/>
      <c r="B51" s="110"/>
      <c r="C51" s="110"/>
      <c r="D51" s="110"/>
      <c r="E51" s="110"/>
      <c r="F51" s="110"/>
      <c r="G51" s="110"/>
    </row>
    <row r="52" spans="1:255" x14ac:dyDescent="0.2">
      <c r="A52" s="110"/>
      <c r="B52" s="110" t="s">
        <v>320</v>
      </c>
      <c r="C52" s="110" t="s">
        <v>320</v>
      </c>
      <c r="D52" s="110" t="s">
        <v>320</v>
      </c>
      <c r="E52" s="110" t="s">
        <v>320</v>
      </c>
      <c r="F52" s="110" t="s">
        <v>320</v>
      </c>
      <c r="G52" s="110" t="s">
        <v>320</v>
      </c>
    </row>
    <row r="53" spans="1:255" x14ac:dyDescent="0.2">
      <c r="A53" s="110" t="s">
        <v>436</v>
      </c>
      <c r="B53" s="130">
        <v>42090</v>
      </c>
      <c r="C53" s="130">
        <v>42459</v>
      </c>
      <c r="D53" s="130">
        <v>42807</v>
      </c>
      <c r="E53" s="130">
        <v>43157</v>
      </c>
      <c r="F53" s="130">
        <v>43157</v>
      </c>
      <c r="G53" s="130">
        <v>43157</v>
      </c>
    </row>
    <row r="54" spans="1:255" x14ac:dyDescent="0.2">
      <c r="A54" s="119"/>
      <c r="B54" s="119"/>
      <c r="C54" s="119"/>
      <c r="D54" s="119"/>
      <c r="E54" s="119"/>
      <c r="F54" s="119"/>
      <c r="G54" s="119"/>
    </row>
    <row r="56" spans="1:255" x14ac:dyDescent="0.2">
      <c r="A56" s="103" t="s">
        <v>807</v>
      </c>
      <c r="B56" s="103"/>
      <c r="C56" s="103"/>
      <c r="D56" s="103"/>
      <c r="E56" s="103"/>
      <c r="F56" s="103"/>
      <c r="G56" s="103"/>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c r="CM56" s="104"/>
      <c r="CN56" s="104"/>
      <c r="CO56" s="104"/>
      <c r="CP56" s="104"/>
      <c r="CQ56" s="104"/>
      <c r="CR56" s="104"/>
      <c r="CS56" s="104"/>
      <c r="CT56" s="104"/>
      <c r="CU56" s="104"/>
      <c r="CV56" s="104"/>
      <c r="CW56" s="104"/>
      <c r="CX56" s="104"/>
      <c r="CY56" s="104"/>
      <c r="CZ56" s="104"/>
      <c r="DA56" s="104"/>
      <c r="DB56" s="104"/>
      <c r="DC56" s="104"/>
      <c r="DD56" s="104"/>
      <c r="DE56" s="104"/>
      <c r="DF56" s="104"/>
      <c r="DG56" s="104"/>
      <c r="DH56" s="104"/>
      <c r="DI56" s="104"/>
      <c r="DJ56" s="104"/>
      <c r="DK56" s="104"/>
      <c r="DL56" s="104"/>
      <c r="DM56" s="104"/>
      <c r="DN56" s="104"/>
      <c r="DO56" s="104"/>
      <c r="DP56" s="104"/>
      <c r="DQ56" s="104"/>
      <c r="DR56" s="104"/>
      <c r="DS56" s="104"/>
      <c r="DT56" s="104"/>
      <c r="DU56" s="104"/>
      <c r="DV56" s="104"/>
      <c r="DW56" s="104"/>
      <c r="DX56" s="104"/>
      <c r="DY56" s="104"/>
      <c r="DZ56" s="104"/>
      <c r="EA56" s="104"/>
      <c r="EB56" s="104"/>
      <c r="EC56" s="104"/>
      <c r="ED56" s="104"/>
      <c r="EE56" s="104"/>
      <c r="EF56" s="104"/>
      <c r="EG56" s="104"/>
      <c r="EH56" s="104"/>
      <c r="EI56" s="104"/>
      <c r="EJ56" s="104"/>
      <c r="EK56" s="104"/>
      <c r="EL56" s="104"/>
      <c r="EM56" s="104"/>
      <c r="EN56" s="104"/>
      <c r="EO56" s="104"/>
      <c r="EP56" s="104"/>
      <c r="EQ56" s="104"/>
      <c r="ER56" s="104"/>
      <c r="ES56" s="104"/>
      <c r="ET56" s="104"/>
      <c r="EU56" s="104"/>
      <c r="EV56" s="104"/>
      <c r="EW56" s="104"/>
      <c r="EX56" s="104"/>
      <c r="EY56" s="104"/>
      <c r="EZ56" s="104"/>
      <c r="FA56" s="104"/>
      <c r="FB56" s="104"/>
      <c r="FC56" s="104"/>
      <c r="FD56" s="104"/>
      <c r="FE56" s="104"/>
      <c r="FF56" s="104"/>
      <c r="FG56" s="104"/>
      <c r="FH56" s="104"/>
      <c r="FI56" s="104"/>
      <c r="FJ56" s="104"/>
      <c r="FK56" s="104"/>
      <c r="FL56" s="104"/>
      <c r="FM56" s="104"/>
      <c r="FN56" s="104"/>
      <c r="FO56" s="104"/>
      <c r="FP56" s="104"/>
      <c r="FQ56" s="104"/>
      <c r="FR56" s="104"/>
      <c r="FS56" s="104"/>
      <c r="FT56" s="104"/>
      <c r="FU56" s="104"/>
      <c r="FV56" s="104"/>
      <c r="FW56" s="104"/>
      <c r="FX56" s="104"/>
      <c r="FY56" s="104"/>
      <c r="FZ56" s="104"/>
      <c r="GA56" s="104"/>
      <c r="GB56" s="104"/>
      <c r="GC56" s="104"/>
      <c r="GD56" s="104"/>
      <c r="GE56" s="104"/>
      <c r="GF56" s="104"/>
      <c r="GG56" s="104"/>
      <c r="GH56" s="104"/>
      <c r="GI56" s="104"/>
      <c r="GJ56" s="104"/>
      <c r="GK56" s="104"/>
      <c r="GL56" s="104"/>
      <c r="GM56" s="104"/>
      <c r="GN56" s="104"/>
      <c r="GO56" s="104"/>
      <c r="GP56" s="104"/>
      <c r="GQ56" s="104"/>
      <c r="GR56" s="104"/>
      <c r="GS56" s="104"/>
      <c r="GT56" s="104"/>
      <c r="GU56" s="104"/>
      <c r="GV56" s="104"/>
      <c r="GW56" s="104"/>
      <c r="GX56" s="104"/>
      <c r="GY56" s="104"/>
      <c r="GZ56" s="104"/>
      <c r="HA56" s="104"/>
      <c r="HB56" s="104"/>
      <c r="HC56" s="104"/>
      <c r="HD56" s="104"/>
      <c r="HE56" s="104"/>
      <c r="HF56" s="104"/>
      <c r="HG56" s="104"/>
      <c r="HH56" s="104"/>
      <c r="HI56" s="104"/>
      <c r="HJ56" s="104"/>
      <c r="HK56" s="104"/>
      <c r="HL56" s="104"/>
      <c r="HM56" s="104"/>
      <c r="HN56" s="104"/>
      <c r="HO56" s="104"/>
      <c r="HP56" s="104"/>
      <c r="HQ56" s="104"/>
      <c r="HR56" s="104"/>
      <c r="HS56" s="104"/>
      <c r="HT56" s="104"/>
      <c r="HU56" s="104"/>
      <c r="HV56" s="104"/>
      <c r="HW56" s="104"/>
      <c r="HX56" s="104"/>
      <c r="HY56" s="104"/>
      <c r="HZ56" s="104"/>
      <c r="IA56" s="104"/>
      <c r="IB56" s="104"/>
      <c r="IC56" s="104"/>
      <c r="ID56" s="104"/>
      <c r="IE56" s="104"/>
      <c r="IF56" s="104"/>
      <c r="IG56" s="104"/>
      <c r="IH56" s="104"/>
      <c r="II56" s="104"/>
      <c r="IJ56" s="104"/>
      <c r="IK56" s="104"/>
      <c r="IL56" s="104"/>
      <c r="IM56" s="104"/>
      <c r="IN56" s="104"/>
      <c r="IO56" s="104"/>
      <c r="IP56" s="104"/>
      <c r="IQ56" s="104"/>
      <c r="IR56" s="104"/>
      <c r="IS56" s="104"/>
      <c r="IT56" s="104"/>
      <c r="IU56" s="104"/>
    </row>
    <row r="57" spans="1:255" ht="30.6" x14ac:dyDescent="0.2">
      <c r="A57" s="105" t="s">
        <v>299</v>
      </c>
      <c r="B57" s="106" t="s">
        <v>373</v>
      </c>
      <c r="C57" s="106" t="s">
        <v>374</v>
      </c>
      <c r="D57" s="106" t="s">
        <v>375</v>
      </c>
      <c r="E57" s="106" t="s">
        <v>376</v>
      </c>
      <c r="F57" s="106" t="s">
        <v>377</v>
      </c>
      <c r="G57" s="106" t="s">
        <v>378</v>
      </c>
    </row>
    <row r="58" spans="1:255" x14ac:dyDescent="0.2">
      <c r="A58" s="107" t="s">
        <v>308</v>
      </c>
      <c r="B58" s="108" t="s">
        <v>309</v>
      </c>
      <c r="C58" s="108" t="s">
        <v>309</v>
      </c>
      <c r="D58" s="108" t="s">
        <v>309</v>
      </c>
      <c r="E58" s="108" t="s">
        <v>309</v>
      </c>
      <c r="F58" s="108" t="s">
        <v>309</v>
      </c>
      <c r="G58" s="108" t="s">
        <v>309</v>
      </c>
    </row>
    <row r="59" spans="1:255" x14ac:dyDescent="0.2">
      <c r="A59" s="109" t="s">
        <v>791</v>
      </c>
      <c r="B59" s="110"/>
      <c r="C59" s="110"/>
      <c r="D59" s="110"/>
      <c r="E59" s="110"/>
      <c r="F59" s="110"/>
      <c r="G59" s="110"/>
    </row>
    <row r="60" spans="1:255" x14ac:dyDescent="0.2">
      <c r="A60" s="110" t="s">
        <v>808</v>
      </c>
      <c r="B60" s="118">
        <v>55804</v>
      </c>
      <c r="C60" s="118">
        <v>78937</v>
      </c>
      <c r="D60" s="118">
        <v>112743</v>
      </c>
      <c r="E60" s="118">
        <v>184408</v>
      </c>
      <c r="F60" s="118">
        <v>260602</v>
      </c>
      <c r="G60" s="118">
        <v>348575</v>
      </c>
    </row>
    <row r="61" spans="1:255" x14ac:dyDescent="0.2">
      <c r="A61" s="110" t="s">
        <v>809</v>
      </c>
      <c r="B61" s="118">
        <v>1234</v>
      </c>
      <c r="C61" s="118">
        <v>3519</v>
      </c>
      <c r="D61" s="118">
        <v>5787</v>
      </c>
      <c r="E61" s="118">
        <v>6184</v>
      </c>
      <c r="F61" s="118">
        <v>7873</v>
      </c>
      <c r="G61" s="118">
        <v>10235</v>
      </c>
    </row>
    <row r="62" spans="1:255" x14ac:dyDescent="0.2">
      <c r="A62" s="109" t="s">
        <v>793</v>
      </c>
      <c r="B62" s="111">
        <v>57038</v>
      </c>
      <c r="C62" s="111">
        <v>82456</v>
      </c>
      <c r="D62" s="111">
        <v>118530</v>
      </c>
      <c r="E62" s="111">
        <v>190592</v>
      </c>
      <c r="F62" s="111">
        <v>268475</v>
      </c>
      <c r="G62" s="111">
        <v>358810</v>
      </c>
    </row>
    <row r="63" spans="1:255" x14ac:dyDescent="0.2">
      <c r="A63" s="110"/>
      <c r="B63" s="110"/>
      <c r="C63" s="110"/>
      <c r="D63" s="110"/>
      <c r="E63" s="110"/>
      <c r="F63" s="110"/>
      <c r="G63" s="110"/>
    </row>
    <row r="64" spans="1:255" x14ac:dyDescent="0.2">
      <c r="A64" s="109" t="s">
        <v>803</v>
      </c>
      <c r="B64" s="110"/>
      <c r="C64" s="110"/>
      <c r="D64" s="110"/>
      <c r="E64" s="110"/>
      <c r="F64" s="110"/>
      <c r="G64" s="110"/>
    </row>
    <row r="65" spans="1:7" x14ac:dyDescent="0.2">
      <c r="A65" s="110" t="s">
        <v>808</v>
      </c>
      <c r="B65" s="118" t="s">
        <v>313</v>
      </c>
      <c r="C65" s="118">
        <v>55219</v>
      </c>
      <c r="D65" s="118">
        <v>82962</v>
      </c>
      <c r="E65" s="118">
        <v>379547</v>
      </c>
      <c r="F65" s="118">
        <v>538194</v>
      </c>
      <c r="G65" s="118">
        <v>470606</v>
      </c>
    </row>
    <row r="66" spans="1:7" x14ac:dyDescent="0.2">
      <c r="A66" s="109" t="s">
        <v>746</v>
      </c>
      <c r="B66" s="111" t="s">
        <v>313</v>
      </c>
      <c r="C66" s="111">
        <v>55219</v>
      </c>
      <c r="D66" s="111">
        <v>82962</v>
      </c>
      <c r="E66" s="111">
        <v>379547</v>
      </c>
      <c r="F66" s="111">
        <v>538194</v>
      </c>
      <c r="G66" s="111">
        <v>470606</v>
      </c>
    </row>
    <row r="67" spans="1:7" x14ac:dyDescent="0.2">
      <c r="A67" s="110"/>
      <c r="B67" s="110"/>
      <c r="C67" s="110"/>
      <c r="D67" s="110"/>
      <c r="E67" s="110"/>
      <c r="F67" s="110"/>
      <c r="G67" s="110"/>
    </row>
    <row r="68" spans="1:7" x14ac:dyDescent="0.2">
      <c r="A68" s="110"/>
      <c r="B68" s="110" t="s">
        <v>320</v>
      </c>
      <c r="C68" s="110" t="s">
        <v>320</v>
      </c>
      <c r="D68" s="110" t="s">
        <v>320</v>
      </c>
      <c r="E68" s="110" t="s">
        <v>320</v>
      </c>
      <c r="F68" s="110" t="s">
        <v>320</v>
      </c>
      <c r="G68" s="110" t="s">
        <v>320</v>
      </c>
    </row>
    <row r="69" spans="1:7" x14ac:dyDescent="0.2">
      <c r="A69" s="110" t="s">
        <v>436</v>
      </c>
      <c r="B69" s="130">
        <v>42090</v>
      </c>
      <c r="C69" s="130">
        <v>42459</v>
      </c>
      <c r="D69" s="130">
        <v>42807</v>
      </c>
      <c r="E69" s="130">
        <v>43157</v>
      </c>
      <c r="F69" s="130">
        <v>43157</v>
      </c>
      <c r="G69" s="130">
        <v>43157</v>
      </c>
    </row>
    <row r="70" spans="1:7" x14ac:dyDescent="0.2">
      <c r="A70" s="119"/>
      <c r="B70" s="119"/>
      <c r="C70" s="119"/>
      <c r="D70" s="119"/>
      <c r="E70" s="119"/>
      <c r="F70" s="119"/>
      <c r="G70" s="119"/>
    </row>
    <row r="71" spans="1:7" x14ac:dyDescent="0.2">
      <c r="A71" s="124" t="s">
        <v>361</v>
      </c>
    </row>
  </sheetData>
  <phoneticPr fontId="1" type="noConversion"/>
  <pageMargins left="0.2" right="0.2" top="0.5" bottom="0.5" header="0.5" footer="0.5"/>
  <pageSetup fitToWidth="0" fitToHeight="0" orientation="landscape" horizontalDpi="0" verticalDpi="0" r:id="rId1"/>
  <headerFooter alignWithMargins="0"/>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91"/>
  <sheetViews>
    <sheetView showGridLines="0" zoomScaleNormal="100" zoomScaleSheetLayoutView="115" workbookViewId="0">
      <pane ySplit="3" topLeftCell="A4" activePane="bottomLeft" state="frozen"/>
      <selection pane="bottomLeft"/>
    </sheetView>
  </sheetViews>
  <sheetFormatPr defaultColWidth="8.09765625" defaultRowHeight="13.2" x14ac:dyDescent="0.25"/>
  <cols>
    <col min="1" max="1" width="10" style="325" customWidth="1"/>
    <col min="2" max="2" width="9.59765625" style="325" customWidth="1"/>
    <col min="3" max="3" width="11.796875" style="325" customWidth="1"/>
    <col min="4" max="4" width="8.09765625" style="325" customWidth="1"/>
    <col min="5" max="5" width="10.796875" style="325" customWidth="1"/>
    <col min="6" max="6" width="1.296875" style="325" customWidth="1"/>
    <col min="7" max="19" width="9.59765625" style="325" customWidth="1"/>
    <col min="20" max="22" width="8.09765625" style="325" customWidth="1"/>
    <col min="23" max="29" width="8.09765625" style="328" customWidth="1"/>
    <col min="30" max="16384" width="8.09765625" style="328"/>
  </cols>
  <sheetData>
    <row r="1" spans="1:26" s="321" customFormat="1" ht="17.25" customHeight="1" x14ac:dyDescent="0.25">
      <c r="A1" s="321" t="s">
        <v>1031</v>
      </c>
      <c r="B1" s="322" t="s">
        <v>1032</v>
      </c>
      <c r="D1" s="323" t="s">
        <v>308</v>
      </c>
      <c r="E1" s="324" t="s">
        <v>309</v>
      </c>
      <c r="F1" s="325"/>
      <c r="G1" s="323" t="s">
        <v>1033</v>
      </c>
      <c r="H1" s="326">
        <v>43291</v>
      </c>
      <c r="J1" s="323" t="s">
        <v>1034</v>
      </c>
      <c r="K1" s="322" t="s">
        <v>289</v>
      </c>
      <c r="M1" s="323" t="s">
        <v>1035</v>
      </c>
      <c r="N1" s="326" t="s">
        <v>1036</v>
      </c>
      <c r="P1" s="323" t="s">
        <v>1037</v>
      </c>
      <c r="Q1" s="668" t="s">
        <v>1038</v>
      </c>
      <c r="R1" s="669"/>
      <c r="S1" s="670"/>
      <c r="Z1" s="327"/>
    </row>
    <row r="2" spans="1:26" x14ac:dyDescent="0.25">
      <c r="A2" s="328"/>
      <c r="B2" s="328"/>
      <c r="C2" s="328"/>
      <c r="D2" s="328"/>
      <c r="E2" s="328"/>
      <c r="F2" s="328"/>
      <c r="G2" s="328"/>
      <c r="H2" s="328"/>
      <c r="I2" s="328"/>
      <c r="J2" s="328"/>
      <c r="K2" s="328"/>
      <c r="L2" s="328"/>
      <c r="M2" s="328"/>
      <c r="N2" s="328"/>
      <c r="O2" s="328"/>
      <c r="P2" s="328"/>
      <c r="Q2" s="328"/>
      <c r="R2" s="328"/>
      <c r="S2" s="328"/>
      <c r="T2" s="328"/>
      <c r="U2" s="328"/>
      <c r="V2" s="328"/>
      <c r="Z2" s="329"/>
    </row>
    <row r="3" spans="1:26" s="330" customFormat="1" ht="30" customHeight="1" x14ac:dyDescent="0.5">
      <c r="A3" s="331" t="s">
        <v>1039</v>
      </c>
      <c r="B3" s="332"/>
      <c r="C3" s="332"/>
      <c r="D3" s="332"/>
      <c r="E3" s="332"/>
      <c r="F3" s="332"/>
      <c r="G3" s="332"/>
      <c r="H3" s="332"/>
      <c r="I3" s="332"/>
      <c r="J3" s="332"/>
      <c r="K3" s="332"/>
      <c r="L3" s="332"/>
      <c r="M3" s="332"/>
      <c r="N3" s="332"/>
      <c r="O3" s="332"/>
      <c r="P3" s="332"/>
      <c r="Q3" s="332"/>
      <c r="R3" s="332"/>
      <c r="S3" s="332"/>
      <c r="Z3" s="333"/>
    </row>
    <row r="4" spans="1:26" ht="17.399999999999999" x14ac:dyDescent="0.3">
      <c r="A4" s="334" t="s">
        <v>1233</v>
      </c>
      <c r="B4" s="328"/>
      <c r="C4" s="328"/>
      <c r="D4" s="328"/>
      <c r="E4" s="328"/>
      <c r="F4" s="328"/>
      <c r="G4" s="328"/>
      <c r="H4" s="328"/>
      <c r="I4" s="328"/>
      <c r="J4" s="328"/>
      <c r="K4" s="328"/>
      <c r="L4" s="328"/>
      <c r="M4" s="328"/>
      <c r="N4" s="328"/>
      <c r="O4" s="328"/>
      <c r="P4" s="328"/>
      <c r="Q4" s="328"/>
      <c r="R4" s="328"/>
      <c r="S4" s="328"/>
      <c r="T4" s="328"/>
      <c r="U4" s="330"/>
      <c r="V4" s="330"/>
      <c r="W4" s="330"/>
      <c r="X4" s="330"/>
      <c r="Y4" s="330"/>
      <c r="Z4" s="335"/>
    </row>
    <row r="5" spans="1:26" ht="12" customHeight="1" x14ac:dyDescent="0.25">
      <c r="A5" s="336" t="s">
        <v>1234</v>
      </c>
      <c r="B5" s="328"/>
      <c r="C5" s="328"/>
      <c r="D5" s="328"/>
      <c r="E5" s="328"/>
      <c r="F5" s="328"/>
      <c r="G5" s="328"/>
      <c r="H5" s="328"/>
      <c r="I5" s="328"/>
      <c r="J5" s="328"/>
      <c r="K5" s="328"/>
      <c r="L5" s="328"/>
      <c r="M5" s="328"/>
      <c r="N5" s="328"/>
      <c r="O5" s="328"/>
      <c r="P5" s="328"/>
      <c r="Q5" s="328"/>
      <c r="R5" s="328"/>
      <c r="S5" s="328"/>
      <c r="T5" s="328"/>
      <c r="U5" s="337"/>
      <c r="V5" s="330"/>
      <c r="W5" s="330"/>
      <c r="X5" s="330"/>
      <c r="Y5" s="330"/>
      <c r="Z5" s="338"/>
    </row>
    <row r="6" spans="1:26" ht="12" customHeight="1" x14ac:dyDescent="0.25">
      <c r="A6" s="328"/>
      <c r="B6" s="328"/>
      <c r="C6" s="328"/>
      <c r="D6" s="328"/>
      <c r="E6" s="328"/>
      <c r="F6" s="328"/>
      <c r="G6" s="328"/>
      <c r="H6" s="328"/>
      <c r="I6" s="328"/>
      <c r="J6" s="328"/>
      <c r="K6" s="328"/>
      <c r="L6" s="328"/>
      <c r="M6" s="328"/>
      <c r="N6" s="328"/>
      <c r="O6" s="328"/>
      <c r="P6" s="328"/>
      <c r="Q6" s="328"/>
      <c r="R6" s="328"/>
      <c r="S6" s="328"/>
      <c r="T6" s="328"/>
      <c r="W6" s="325"/>
      <c r="X6" s="325"/>
      <c r="Y6" s="325"/>
      <c r="Z6" s="325"/>
    </row>
    <row r="7" spans="1:26" ht="15" customHeight="1" x14ac:dyDescent="0.25">
      <c r="A7" s="339" t="s">
        <v>1040</v>
      </c>
      <c r="B7" s="340"/>
      <c r="C7" s="340"/>
      <c r="D7" s="340"/>
      <c r="E7" s="340"/>
      <c r="F7" s="340"/>
      <c r="G7" s="341"/>
      <c r="H7" s="341"/>
      <c r="I7" s="328"/>
      <c r="J7" s="339" t="s">
        <v>1041</v>
      </c>
      <c r="K7" s="340"/>
      <c r="L7" s="340"/>
      <c r="M7" s="340"/>
      <c r="N7" s="341"/>
      <c r="O7" s="341"/>
      <c r="P7" s="341"/>
      <c r="Q7" s="341"/>
      <c r="R7" s="341"/>
      <c r="S7" s="341"/>
      <c r="T7" s="328"/>
      <c r="W7" s="325"/>
      <c r="X7" s="325"/>
      <c r="Y7" s="325"/>
      <c r="Z7" s="325"/>
    </row>
    <row r="8" spans="1:26" ht="12" customHeight="1" x14ac:dyDescent="0.25">
      <c r="A8" s="330"/>
      <c r="B8" s="330"/>
      <c r="C8" s="330"/>
      <c r="D8" s="330"/>
      <c r="E8" s="330"/>
      <c r="F8" s="330"/>
      <c r="G8" s="330"/>
      <c r="H8" s="330"/>
      <c r="I8" s="328"/>
      <c r="J8" s="328"/>
      <c r="K8" s="328"/>
      <c r="L8" s="323" t="s">
        <v>1042</v>
      </c>
      <c r="M8" s="323" t="s">
        <v>1043</v>
      </c>
      <c r="N8" s="323" t="s">
        <v>7</v>
      </c>
      <c r="O8" s="323" t="s">
        <v>1044</v>
      </c>
      <c r="P8" s="323" t="s">
        <v>1045</v>
      </c>
      <c r="Q8" s="323" t="s">
        <v>1046</v>
      </c>
      <c r="R8" s="323" t="s">
        <v>1047</v>
      </c>
      <c r="S8" s="323" t="s">
        <v>1048</v>
      </c>
      <c r="T8" s="328"/>
      <c r="U8" s="342" t="s">
        <v>1049</v>
      </c>
      <c r="V8" s="343"/>
      <c r="W8" s="343"/>
      <c r="X8" s="343"/>
      <c r="Y8" s="343"/>
      <c r="Z8" s="343"/>
    </row>
    <row r="9" spans="1:26" ht="12" customHeight="1" x14ac:dyDescent="0.25">
      <c r="A9" s="330" t="s">
        <v>1050</v>
      </c>
      <c r="B9" s="330"/>
      <c r="C9" s="330"/>
      <c r="D9" s="330"/>
      <c r="E9" s="330"/>
      <c r="F9" s="330"/>
      <c r="G9" s="330"/>
      <c r="H9" s="344">
        <v>0.21</v>
      </c>
      <c r="I9" s="328"/>
      <c r="J9" s="345" t="s">
        <v>1031</v>
      </c>
      <c r="K9" s="346" t="s">
        <v>1051</v>
      </c>
      <c r="L9" s="347" t="s">
        <v>1052</v>
      </c>
      <c r="M9" s="347" t="s">
        <v>1053</v>
      </c>
      <c r="N9" s="347" t="s">
        <v>957</v>
      </c>
      <c r="O9" s="347" t="s">
        <v>1054</v>
      </c>
      <c r="P9" s="347" t="s">
        <v>1054</v>
      </c>
      <c r="Q9" s="347" t="s">
        <v>1054</v>
      </c>
      <c r="R9" s="347" t="s">
        <v>1054</v>
      </c>
      <c r="S9" s="347" t="s">
        <v>1055</v>
      </c>
      <c r="T9" s="328"/>
      <c r="U9" s="343" t="s">
        <v>502</v>
      </c>
      <c r="V9" s="343"/>
      <c r="W9" s="343"/>
      <c r="X9" s="343"/>
      <c r="Y9" s="343"/>
      <c r="Z9" s="348">
        <v>51.113999999999997</v>
      </c>
    </row>
    <row r="10" spans="1:26" ht="12" customHeight="1" x14ac:dyDescent="0.25">
      <c r="A10" s="330" t="s">
        <v>1056</v>
      </c>
      <c r="B10" s="330"/>
      <c r="C10" s="330"/>
      <c r="D10" s="330"/>
      <c r="E10" s="330"/>
      <c r="F10" s="330"/>
      <c r="G10" s="330"/>
      <c r="H10" s="350">
        <v>2.87E-2</v>
      </c>
      <c r="I10" s="328"/>
      <c r="J10" s="351" t="s">
        <v>1235</v>
      </c>
      <c r="K10" s="352" t="s">
        <v>1121</v>
      </c>
      <c r="L10" s="353">
        <v>0.37530250000000004</v>
      </c>
      <c r="M10" s="354">
        <v>0.14796999999999999</v>
      </c>
      <c r="N10" s="355">
        <v>47.634</v>
      </c>
      <c r="O10" s="355">
        <v>195.64016000000001</v>
      </c>
      <c r="P10" s="355">
        <v>0</v>
      </c>
      <c r="Q10" s="356">
        <v>0.24347761727449005</v>
      </c>
      <c r="R10" s="356">
        <v>0</v>
      </c>
      <c r="S10" s="357">
        <v>0.12843504742019166</v>
      </c>
      <c r="T10" s="358">
        <v>1</v>
      </c>
      <c r="U10" s="343" t="s">
        <v>1057</v>
      </c>
      <c r="V10" s="343"/>
      <c r="W10" s="343"/>
      <c r="X10" s="343"/>
      <c r="Y10" s="343"/>
      <c r="Z10" s="348">
        <v>0</v>
      </c>
    </row>
    <row r="11" spans="1:26" ht="12" customHeight="1" x14ac:dyDescent="0.25">
      <c r="A11" s="328" t="s">
        <v>1236</v>
      </c>
      <c r="B11" s="330"/>
      <c r="C11" s="330"/>
      <c r="D11" s="330"/>
      <c r="E11" s="330"/>
      <c r="F11" s="330"/>
      <c r="G11" s="330"/>
      <c r="H11" s="344">
        <v>8.0373749999999994E-2</v>
      </c>
      <c r="I11" s="328"/>
      <c r="J11" s="351" t="s">
        <v>1237</v>
      </c>
      <c r="K11" s="352" t="s">
        <v>1126</v>
      </c>
      <c r="L11" s="353">
        <v>0.38295360000000001</v>
      </c>
      <c r="M11" s="354">
        <v>0.4133</v>
      </c>
      <c r="N11" s="355">
        <v>0</v>
      </c>
      <c r="O11" s="355">
        <v>12624.019319999999</v>
      </c>
      <c r="P11" s="355">
        <v>0</v>
      </c>
      <c r="Q11" s="356">
        <v>0</v>
      </c>
      <c r="R11" s="356">
        <v>0</v>
      </c>
      <c r="S11" s="357">
        <v>0.4133</v>
      </c>
      <c r="T11" s="358">
        <v>2</v>
      </c>
      <c r="U11" s="343" t="s">
        <v>1058</v>
      </c>
      <c r="V11" s="343"/>
      <c r="W11" s="343"/>
      <c r="X11" s="343"/>
      <c r="Y11" s="343"/>
      <c r="Z11" s="348">
        <v>1771.5912800000001</v>
      </c>
    </row>
    <row r="12" spans="1:26" ht="12" customHeight="1" x14ac:dyDescent="0.25">
      <c r="A12" s="330" t="s">
        <v>1059</v>
      </c>
      <c r="B12" s="330"/>
      <c r="C12" s="330"/>
      <c r="D12" s="330"/>
      <c r="E12" s="330"/>
      <c r="F12" s="330"/>
      <c r="G12" s="330"/>
      <c r="H12" s="344">
        <v>0</v>
      </c>
      <c r="I12" s="328"/>
      <c r="J12" s="351" t="s">
        <v>1238</v>
      </c>
      <c r="K12" s="352" t="s">
        <v>1131</v>
      </c>
      <c r="L12" s="353">
        <v>0.40046100000000001</v>
      </c>
      <c r="M12" s="354">
        <v>-0.62773000000000001</v>
      </c>
      <c r="N12" s="355">
        <v>62.871000000000002</v>
      </c>
      <c r="O12" s="355">
        <v>489.81043</v>
      </c>
      <c r="P12" s="355">
        <v>0</v>
      </c>
      <c r="Q12" s="356">
        <v>0.12835782202514553</v>
      </c>
      <c r="R12" s="356">
        <v>0</v>
      </c>
      <c r="S12" s="357">
        <v>-0.5828745832037312</v>
      </c>
      <c r="T12" s="358">
        <v>3</v>
      </c>
      <c r="U12" s="343" t="s">
        <v>1060</v>
      </c>
      <c r="V12" s="343"/>
      <c r="W12" s="343"/>
      <c r="X12" s="343"/>
      <c r="Y12" s="343"/>
      <c r="Z12" s="348">
        <v>160.94999999999999</v>
      </c>
    </row>
    <row r="13" spans="1:26" ht="12" customHeight="1" x14ac:dyDescent="0.25">
      <c r="A13" s="330" t="s">
        <v>1239</v>
      </c>
      <c r="B13" s="330"/>
      <c r="C13" s="330"/>
      <c r="D13" s="330"/>
      <c r="E13" s="330"/>
      <c r="F13" s="330"/>
      <c r="G13" s="330"/>
      <c r="H13" s="359">
        <v>2.8042931877609964E-2</v>
      </c>
      <c r="I13" s="328"/>
      <c r="J13" s="351" t="s">
        <v>1240</v>
      </c>
      <c r="K13" s="352" t="s">
        <v>1135</v>
      </c>
      <c r="L13" s="353">
        <v>0.3894688</v>
      </c>
      <c r="M13" s="354">
        <v>0.52329000000000003</v>
      </c>
      <c r="N13" s="355">
        <v>17.221</v>
      </c>
      <c r="O13" s="355">
        <v>215.29553000000001</v>
      </c>
      <c r="P13" s="355">
        <v>0</v>
      </c>
      <c r="Q13" s="356">
        <v>7.9987726637891637E-2</v>
      </c>
      <c r="R13" s="356">
        <v>0</v>
      </c>
      <c r="S13" s="357">
        <v>0.49892499643717297</v>
      </c>
      <c r="T13" s="358">
        <v>4</v>
      </c>
      <c r="U13" s="343" t="s">
        <v>1061</v>
      </c>
      <c r="V13" s="343"/>
      <c r="W13" s="343"/>
      <c r="X13" s="343"/>
      <c r="Y13" s="343"/>
      <c r="Z13" s="348">
        <v>150.94900000000001</v>
      </c>
    </row>
    <row r="14" spans="1:26" ht="12" customHeight="1" x14ac:dyDescent="0.25">
      <c r="A14" s="330" t="s">
        <v>1241</v>
      </c>
      <c r="B14" s="330"/>
      <c r="C14" s="330"/>
      <c r="D14" s="330"/>
      <c r="E14" s="330"/>
      <c r="F14" s="330"/>
      <c r="G14" s="330"/>
      <c r="H14" s="359">
        <v>2.8852027314110507E-2</v>
      </c>
      <c r="I14" s="328"/>
      <c r="J14" s="351" t="s">
        <v>1242</v>
      </c>
      <c r="K14" s="352" t="s">
        <v>1139</v>
      </c>
      <c r="L14" s="353">
        <v>0.3518153</v>
      </c>
      <c r="M14" s="354">
        <v>0.56057000000000001</v>
      </c>
      <c r="N14" s="355">
        <v>2808.0210000000002</v>
      </c>
      <c r="O14" s="355">
        <v>4188.6275100000003</v>
      </c>
      <c r="P14" s="355">
        <v>0</v>
      </c>
      <c r="Q14" s="356">
        <v>0.67039167204438288</v>
      </c>
      <c r="R14" s="356">
        <v>0</v>
      </c>
      <c r="S14" s="357">
        <v>0.39076702506688471</v>
      </c>
      <c r="T14" s="358">
        <v>5</v>
      </c>
      <c r="U14" s="328" t="s">
        <v>1062</v>
      </c>
      <c r="V14" s="328"/>
      <c r="Z14" s="360">
        <v>43096</v>
      </c>
    </row>
    <row r="15" spans="1:26" ht="12" customHeight="1" x14ac:dyDescent="0.25">
      <c r="A15" s="330" t="s">
        <v>1243</v>
      </c>
      <c r="B15" s="329"/>
      <c r="C15" s="329"/>
      <c r="D15" s="329"/>
      <c r="E15" s="329"/>
      <c r="F15" s="329"/>
      <c r="G15" s="329"/>
      <c r="H15" s="359">
        <v>0</v>
      </c>
      <c r="I15" s="328"/>
      <c r="J15" s="351" t="s">
        <v>1244</v>
      </c>
      <c r="K15" s="352" t="s">
        <v>1144</v>
      </c>
      <c r="L15" s="353">
        <v>0.33893880000000004</v>
      </c>
      <c r="M15" s="354">
        <v>0.68144000000000005</v>
      </c>
      <c r="N15" s="355">
        <v>30888</v>
      </c>
      <c r="O15" s="355">
        <v>126115.19366999999</v>
      </c>
      <c r="P15" s="355">
        <v>0</v>
      </c>
      <c r="Q15" s="356">
        <v>0.2449189435558673</v>
      </c>
      <c r="R15" s="356">
        <v>0</v>
      </c>
      <c r="S15" s="357">
        <v>0.58648441363878789</v>
      </c>
      <c r="T15" s="358">
        <v>6</v>
      </c>
      <c r="U15" s="328" t="s">
        <v>1063</v>
      </c>
      <c r="V15" s="328"/>
      <c r="Z15" s="360">
        <v>43187</v>
      </c>
    </row>
    <row r="16" spans="1:26" ht="12" customHeight="1" x14ac:dyDescent="0.25">
      <c r="A16" s="330" t="s">
        <v>1064</v>
      </c>
      <c r="B16" s="330"/>
      <c r="C16" s="330"/>
      <c r="D16" s="330"/>
      <c r="E16" s="330"/>
      <c r="F16" s="330"/>
      <c r="G16" s="671" t="s">
        <v>1065</v>
      </c>
      <c r="H16" s="672"/>
      <c r="I16" s="328"/>
      <c r="J16" s="361"/>
      <c r="K16" s="343"/>
      <c r="L16" s="328"/>
      <c r="M16" s="362"/>
      <c r="N16" s="363"/>
      <c r="O16" s="363"/>
      <c r="P16" s="364"/>
      <c r="Q16" s="364"/>
      <c r="R16" s="364"/>
      <c r="S16" s="365"/>
      <c r="T16" s="328"/>
      <c r="U16" s="328" t="s">
        <v>1066</v>
      </c>
      <c r="V16" s="328"/>
      <c r="Z16" s="366">
        <v>43291</v>
      </c>
    </row>
    <row r="17" spans="1:29" ht="12" customHeight="1" x14ac:dyDescent="0.25">
      <c r="A17" s="367" t="s">
        <v>1245</v>
      </c>
      <c r="B17" s="330"/>
      <c r="C17" s="330"/>
      <c r="D17" s="330"/>
      <c r="E17" s="330"/>
      <c r="F17" s="330"/>
      <c r="G17" s="330"/>
      <c r="H17" s="344">
        <v>0</v>
      </c>
      <c r="I17" s="328"/>
      <c r="J17" s="368" t="s">
        <v>563</v>
      </c>
      <c r="K17" s="369"/>
      <c r="L17" s="370"/>
      <c r="M17" s="371">
        <v>0.28314</v>
      </c>
      <c r="N17" s="370"/>
      <c r="O17" s="370"/>
      <c r="P17" s="372"/>
      <c r="Q17" s="372"/>
      <c r="R17" s="372"/>
      <c r="S17" s="373">
        <v>0.23917281655988432</v>
      </c>
      <c r="T17" s="328"/>
      <c r="U17" s="328" t="s">
        <v>1067</v>
      </c>
      <c r="V17" s="328"/>
      <c r="Z17" s="374"/>
    </row>
    <row r="18" spans="1:29" ht="12" customHeight="1" x14ac:dyDescent="0.25">
      <c r="A18" s="367" t="s">
        <v>1068</v>
      </c>
      <c r="B18" s="330"/>
      <c r="C18" s="330"/>
      <c r="D18" s="330"/>
      <c r="E18" s="330"/>
      <c r="F18" s="330"/>
      <c r="G18" s="330"/>
      <c r="H18" s="375">
        <v>3.8260000000000002E-2</v>
      </c>
      <c r="I18" s="328"/>
      <c r="J18" s="376"/>
      <c r="K18" s="328"/>
      <c r="L18" s="328"/>
      <c r="M18" s="328"/>
      <c r="N18" s="328"/>
      <c r="O18" s="328"/>
      <c r="P18" s="328"/>
      <c r="Q18" s="328"/>
      <c r="R18" s="328"/>
      <c r="S18" s="328"/>
      <c r="T18" s="328"/>
      <c r="U18" s="328"/>
      <c r="V18" s="328"/>
    </row>
    <row r="19" spans="1:29" ht="12" customHeight="1" x14ac:dyDescent="0.25">
      <c r="A19" s="377" t="s">
        <v>1246</v>
      </c>
      <c r="B19" s="377"/>
      <c r="C19" s="377"/>
      <c r="D19" s="377"/>
      <c r="E19" s="377"/>
      <c r="F19" s="377"/>
      <c r="G19" s="377"/>
      <c r="H19" s="378">
        <v>0</v>
      </c>
      <c r="I19" s="328"/>
      <c r="J19" s="379" t="s">
        <v>1069</v>
      </c>
      <c r="K19" s="328"/>
      <c r="L19" s="328"/>
      <c r="M19" s="328"/>
      <c r="N19" s="328"/>
      <c r="O19" s="328"/>
      <c r="P19" s="328"/>
      <c r="Q19" s="328"/>
      <c r="R19" s="328"/>
      <c r="S19" s="365">
        <v>0.23917281655988432</v>
      </c>
      <c r="T19" s="328"/>
      <c r="U19" s="328" t="s">
        <v>1070</v>
      </c>
      <c r="V19" s="328"/>
      <c r="Z19" s="380">
        <v>2</v>
      </c>
    </row>
    <row r="20" spans="1:29" ht="12" customHeight="1" x14ac:dyDescent="0.25">
      <c r="A20" s="330"/>
      <c r="B20" s="330"/>
      <c r="C20" s="330"/>
      <c r="D20" s="330"/>
      <c r="E20" s="330"/>
      <c r="F20" s="330"/>
      <c r="G20" s="330"/>
      <c r="H20" s="330"/>
      <c r="I20" s="328"/>
      <c r="J20" s="379" t="s">
        <v>1241</v>
      </c>
      <c r="K20" s="328"/>
      <c r="L20" s="328"/>
      <c r="M20" s="328"/>
      <c r="N20" s="328"/>
      <c r="O20" s="328"/>
      <c r="P20" s="328"/>
      <c r="Q20" s="328"/>
      <c r="R20" s="328"/>
      <c r="S20" s="349">
        <v>2.8852027314110507E-2</v>
      </c>
      <c r="T20" s="328"/>
      <c r="U20" s="328" t="s">
        <v>1071</v>
      </c>
      <c r="V20" s="328"/>
      <c r="Z20" s="381">
        <v>0.24462430686246533</v>
      </c>
    </row>
    <row r="21" spans="1:29" ht="12" customHeight="1" x14ac:dyDescent="0.25">
      <c r="A21" s="321" t="s">
        <v>1072</v>
      </c>
      <c r="B21" s="329"/>
      <c r="C21" s="329"/>
      <c r="D21" s="329"/>
      <c r="E21" s="329"/>
      <c r="F21" s="329"/>
      <c r="G21" s="329"/>
      <c r="H21" s="329"/>
      <c r="I21" s="328"/>
      <c r="J21" s="379" t="s">
        <v>1243</v>
      </c>
      <c r="K21" s="329"/>
      <c r="L21" s="329"/>
      <c r="M21" s="329"/>
      <c r="N21" s="329"/>
      <c r="O21" s="329"/>
      <c r="P21" s="329"/>
      <c r="Q21" s="329"/>
      <c r="R21" s="329"/>
      <c r="S21" s="349">
        <v>0</v>
      </c>
      <c r="T21" s="328"/>
      <c r="U21" s="328" t="s">
        <v>1073</v>
      </c>
      <c r="V21" s="328"/>
      <c r="Z21" s="382">
        <v>1.3476399999999999</v>
      </c>
    </row>
    <row r="22" spans="1:29" ht="12" customHeight="1" x14ac:dyDescent="0.25">
      <c r="A22" s="329" t="s">
        <v>1074</v>
      </c>
      <c r="B22" s="329"/>
      <c r="C22" s="383" t="s">
        <v>808</v>
      </c>
      <c r="D22" s="329"/>
      <c r="E22" s="329"/>
      <c r="F22" s="329"/>
      <c r="G22" s="329"/>
      <c r="H22" s="329"/>
      <c r="I22" s="328"/>
      <c r="J22" s="379" t="s">
        <v>1050</v>
      </c>
      <c r="K22" s="328"/>
      <c r="L22" s="328"/>
      <c r="M22" s="328"/>
      <c r="N22" s="328"/>
      <c r="O22" s="328"/>
      <c r="P22" s="328"/>
      <c r="Q22" s="328"/>
      <c r="R22" s="328"/>
      <c r="S22" s="349">
        <v>0.21</v>
      </c>
      <c r="T22" s="328"/>
      <c r="U22" s="328"/>
      <c r="V22" s="328"/>
    </row>
    <row r="23" spans="1:29" ht="12" customHeight="1" x14ac:dyDescent="0.25">
      <c r="A23" s="329" t="s">
        <v>1075</v>
      </c>
      <c r="B23" s="329"/>
      <c r="C23" s="673" t="s">
        <v>1076</v>
      </c>
      <c r="D23" s="674"/>
      <c r="E23" s="674"/>
      <c r="F23" s="674"/>
      <c r="G23" s="674"/>
      <c r="H23" s="675"/>
      <c r="I23" s="328"/>
      <c r="J23" s="384" t="s">
        <v>1247</v>
      </c>
      <c r="K23" s="385"/>
      <c r="L23" s="386">
        <v>-3</v>
      </c>
      <c r="M23" s="385"/>
      <c r="N23" s="385"/>
      <c r="O23" s="385"/>
      <c r="P23" s="385"/>
      <c r="Q23" s="385"/>
      <c r="R23" s="385"/>
      <c r="S23" s="387">
        <v>0.24462430686246533</v>
      </c>
      <c r="T23" s="328"/>
      <c r="AC23" s="388"/>
    </row>
    <row r="24" spans="1:29" ht="12" customHeight="1" x14ac:dyDescent="0.25">
      <c r="A24" s="329"/>
      <c r="B24" s="329"/>
      <c r="C24" s="329"/>
      <c r="D24" s="329"/>
      <c r="E24" s="329"/>
      <c r="F24" s="329"/>
      <c r="G24" s="329"/>
      <c r="H24" s="329"/>
      <c r="I24" s="328"/>
      <c r="J24" s="377"/>
      <c r="K24" s="377"/>
      <c r="L24" s="377"/>
      <c r="M24" s="377"/>
      <c r="N24" s="377"/>
      <c r="O24" s="377"/>
      <c r="P24" s="377"/>
      <c r="Q24" s="377"/>
      <c r="R24" s="377"/>
      <c r="S24" s="377"/>
      <c r="T24" s="328"/>
      <c r="AC24" s="388"/>
    </row>
    <row r="25" spans="1:29" ht="12" customHeight="1" x14ac:dyDescent="0.25">
      <c r="A25" s="321" t="s">
        <v>1077</v>
      </c>
      <c r="B25" s="328"/>
      <c r="C25" s="328"/>
      <c r="D25" s="328"/>
      <c r="E25" s="328"/>
      <c r="F25" s="328"/>
      <c r="G25" s="328"/>
      <c r="H25" s="328"/>
      <c r="I25" s="328"/>
      <c r="J25" s="328"/>
      <c r="K25" s="328"/>
      <c r="L25" s="328"/>
      <c r="M25" s="328"/>
      <c r="N25" s="328"/>
      <c r="O25" s="328"/>
      <c r="P25" s="328"/>
      <c r="Q25" s="328"/>
      <c r="R25" s="328"/>
      <c r="S25" s="328"/>
      <c r="T25" s="328"/>
      <c r="AC25" s="388"/>
    </row>
    <row r="26" spans="1:29" ht="15" customHeight="1" x14ac:dyDescent="0.25">
      <c r="A26" s="328" t="s">
        <v>308</v>
      </c>
      <c r="B26" s="328" t="s">
        <v>1078</v>
      </c>
      <c r="C26" s="328"/>
      <c r="D26" s="328"/>
      <c r="E26" s="389" t="s">
        <v>1079</v>
      </c>
      <c r="F26" s="328"/>
      <c r="G26" s="328"/>
      <c r="H26" s="389" t="s">
        <v>1080</v>
      </c>
      <c r="I26" s="328"/>
      <c r="J26" s="390" t="s">
        <v>1081</v>
      </c>
      <c r="K26" s="391"/>
      <c r="L26" s="391"/>
      <c r="M26" s="391"/>
      <c r="N26" s="392"/>
      <c r="O26" s="392"/>
      <c r="P26" s="392"/>
      <c r="Q26" s="392"/>
      <c r="R26" s="392"/>
      <c r="S26" s="393"/>
      <c r="T26" s="328"/>
      <c r="U26" s="328"/>
      <c r="V26" s="328"/>
      <c r="AC26" s="388"/>
    </row>
    <row r="27" spans="1:29" ht="12" customHeight="1" x14ac:dyDescent="0.25">
      <c r="A27" s="394" t="s">
        <v>309</v>
      </c>
      <c r="B27" s="676" t="s">
        <v>1082</v>
      </c>
      <c r="C27" s="677"/>
      <c r="D27" s="395"/>
      <c r="E27" s="396">
        <v>0</v>
      </c>
      <c r="F27" s="397"/>
      <c r="G27" s="328"/>
      <c r="H27" s="396" t="s">
        <v>1083</v>
      </c>
      <c r="I27" s="328"/>
      <c r="J27" s="398"/>
      <c r="K27" s="330"/>
      <c r="L27" s="330"/>
      <c r="M27" s="330"/>
      <c r="N27" s="330"/>
      <c r="O27" s="330"/>
      <c r="P27" s="330"/>
      <c r="Q27" s="330"/>
      <c r="R27" s="330"/>
      <c r="S27" s="399"/>
      <c r="T27" s="328"/>
      <c r="W27" s="325"/>
      <c r="X27" s="325"/>
      <c r="Y27" s="325"/>
      <c r="Z27" s="325"/>
      <c r="AC27" s="388"/>
    </row>
    <row r="28" spans="1:29" ht="12" customHeight="1" x14ac:dyDescent="0.25">
      <c r="A28" s="328"/>
      <c r="B28" s="328"/>
      <c r="C28" s="328"/>
      <c r="D28" s="328"/>
      <c r="E28" s="328"/>
      <c r="F28" s="328"/>
      <c r="G28" s="328"/>
      <c r="H28" s="328"/>
      <c r="I28" s="328"/>
      <c r="J28" s="400" t="s">
        <v>1084</v>
      </c>
      <c r="K28" s="401" t="s">
        <v>1085</v>
      </c>
      <c r="L28" s="402"/>
      <c r="M28" s="402"/>
      <c r="N28" s="402"/>
      <c r="O28" s="402"/>
      <c r="P28" s="402"/>
      <c r="Q28" s="402"/>
      <c r="R28" s="402"/>
      <c r="S28" s="403"/>
      <c r="T28" s="328"/>
      <c r="W28" s="325"/>
      <c r="X28" s="325"/>
      <c r="Y28" s="325"/>
      <c r="Z28" s="325"/>
      <c r="AC28" s="388"/>
    </row>
    <row r="29" spans="1:29" ht="15" customHeight="1" x14ac:dyDescent="0.25">
      <c r="A29" s="339" t="s">
        <v>1086</v>
      </c>
      <c r="B29" s="340"/>
      <c r="C29" s="340"/>
      <c r="D29" s="340"/>
      <c r="E29" s="340"/>
      <c r="F29" s="340"/>
      <c r="G29" s="341"/>
      <c r="H29" s="341"/>
      <c r="I29" s="328"/>
      <c r="J29" s="404">
        <v>9.6427546316231336E-2</v>
      </c>
      <c r="K29" s="405">
        <v>0.03</v>
      </c>
      <c r="L29" s="406">
        <v>3.4999999999999996E-2</v>
      </c>
      <c r="M29" s="406">
        <v>3.9999999999999994E-2</v>
      </c>
      <c r="N29" s="406">
        <v>4.4999999999999991E-2</v>
      </c>
      <c r="O29" s="406">
        <v>4.9999999999999989E-2</v>
      </c>
      <c r="P29" s="406">
        <v>5.4999999999999986E-2</v>
      </c>
      <c r="Q29" s="406">
        <v>5.9999999999999984E-2</v>
      </c>
      <c r="R29" s="406">
        <v>6.4999999999999988E-2</v>
      </c>
      <c r="S29" s="407">
        <v>6.9999999999999993E-2</v>
      </c>
      <c r="T29" s="328"/>
      <c r="AC29" s="388"/>
    </row>
    <row r="30" spans="1:29" ht="12" customHeight="1" x14ac:dyDescent="0.25">
      <c r="A30" s="328"/>
      <c r="B30" s="328"/>
      <c r="C30" s="328"/>
      <c r="D30" s="328"/>
      <c r="E30" s="328"/>
      <c r="F30" s="328"/>
      <c r="G30" s="328"/>
      <c r="H30" s="328"/>
      <c r="I30" s="328"/>
      <c r="J30" s="408">
        <v>0.10000000000000002</v>
      </c>
      <c r="K30" s="409">
        <v>9.0905138804999994E-2</v>
      </c>
      <c r="L30" s="409">
        <v>9.1300138805E-2</v>
      </c>
      <c r="M30" s="409">
        <v>9.1695138804999993E-2</v>
      </c>
      <c r="N30" s="409">
        <v>9.2090138804999999E-2</v>
      </c>
      <c r="O30" s="409">
        <v>9.2485138804999992E-2</v>
      </c>
      <c r="P30" s="409">
        <v>9.2880138804999998E-2</v>
      </c>
      <c r="Q30" s="409">
        <v>9.3275138804999991E-2</v>
      </c>
      <c r="R30" s="409">
        <v>9.3670138804999997E-2</v>
      </c>
      <c r="S30" s="410">
        <v>9.4065138805000004E-2</v>
      </c>
      <c r="T30" s="328"/>
      <c r="AC30" s="388"/>
    </row>
    <row r="31" spans="1:29" ht="12" customHeight="1" x14ac:dyDescent="0.25">
      <c r="A31" s="328" t="s">
        <v>1087</v>
      </c>
      <c r="B31" s="328"/>
      <c r="C31" s="328"/>
      <c r="D31" s="328"/>
      <c r="E31" s="328"/>
      <c r="F31" s="328"/>
      <c r="G31" s="328"/>
      <c r="H31" s="349">
        <v>5.1673749999999991E-2</v>
      </c>
      <c r="I31" s="328"/>
      <c r="J31" s="408">
        <v>0.15000000000000002</v>
      </c>
      <c r="K31" s="409">
        <v>8.7171519982500001E-2</v>
      </c>
      <c r="L31" s="409">
        <v>8.7764019982499997E-2</v>
      </c>
      <c r="M31" s="409">
        <v>8.8356519982499993E-2</v>
      </c>
      <c r="N31" s="409">
        <v>8.8949019982500002E-2</v>
      </c>
      <c r="O31" s="409">
        <v>8.9541519982499998E-2</v>
      </c>
      <c r="P31" s="409">
        <v>9.0134019982499994E-2</v>
      </c>
      <c r="Q31" s="409">
        <v>9.0726519982500003E-2</v>
      </c>
      <c r="R31" s="409">
        <v>9.1319019982499999E-2</v>
      </c>
      <c r="S31" s="410">
        <v>9.1911519982499995E-2</v>
      </c>
      <c r="T31" s="328"/>
      <c r="AC31" s="388"/>
    </row>
    <row r="32" spans="1:29" ht="12" customHeight="1" x14ac:dyDescent="0.25">
      <c r="A32" s="328" t="s">
        <v>1248</v>
      </c>
      <c r="B32" s="328"/>
      <c r="C32" s="328"/>
      <c r="D32" s="328"/>
      <c r="E32" s="328"/>
      <c r="F32" s="328"/>
      <c r="G32" s="328"/>
      <c r="H32" s="411">
        <v>1.3476399999999999</v>
      </c>
      <c r="I32" s="349"/>
      <c r="J32" s="408">
        <v>0.2</v>
      </c>
      <c r="K32" s="409">
        <v>8.3437901159999994E-2</v>
      </c>
      <c r="L32" s="409">
        <v>8.4227901160000007E-2</v>
      </c>
      <c r="M32" s="409">
        <v>8.5017901159999992E-2</v>
      </c>
      <c r="N32" s="409">
        <v>8.5807901160000005E-2</v>
      </c>
      <c r="O32" s="409">
        <v>8.6597901160000004E-2</v>
      </c>
      <c r="P32" s="409">
        <v>8.7387901160000003E-2</v>
      </c>
      <c r="Q32" s="409">
        <v>8.8177901160000002E-2</v>
      </c>
      <c r="R32" s="409">
        <v>8.8967901160000001E-2</v>
      </c>
      <c r="S32" s="410">
        <v>8.975790116E-2</v>
      </c>
      <c r="T32" s="328"/>
      <c r="U32" s="328" t="s">
        <v>1088</v>
      </c>
      <c r="V32" s="328"/>
      <c r="Z32" s="412">
        <v>5.0000000000000001E-3</v>
      </c>
    </row>
    <row r="33" spans="1:26" ht="12" customHeight="1" x14ac:dyDescent="0.25">
      <c r="A33" s="328" t="s">
        <v>1089</v>
      </c>
      <c r="B33" s="328"/>
      <c r="C33" s="328"/>
      <c r="D33" s="328"/>
      <c r="E33" s="328"/>
      <c r="F33" s="328"/>
      <c r="G33" s="328"/>
      <c r="H33" s="349">
        <v>6.9637612449999983E-2</v>
      </c>
      <c r="I33" s="328"/>
      <c r="J33" s="413">
        <v>0.25</v>
      </c>
      <c r="K33" s="409">
        <v>7.9704282337500001E-2</v>
      </c>
      <c r="L33" s="409">
        <v>8.0691782337500004E-2</v>
      </c>
      <c r="M33" s="409">
        <v>8.1679282337500006E-2</v>
      </c>
      <c r="N33" s="409">
        <v>8.2666782337499994E-2</v>
      </c>
      <c r="O33" s="409">
        <v>8.3654282337499997E-2</v>
      </c>
      <c r="P33" s="409">
        <v>8.4641782337499999E-2</v>
      </c>
      <c r="Q33" s="409">
        <v>8.5629282337500001E-2</v>
      </c>
      <c r="R33" s="409">
        <v>8.6616782337500003E-2</v>
      </c>
      <c r="S33" s="410">
        <v>8.7604282337500006E-2</v>
      </c>
      <c r="T33" s="328"/>
      <c r="U33" s="328" t="s">
        <v>1090</v>
      </c>
      <c r="V33" s="328"/>
      <c r="Z33" s="414">
        <v>0.05</v>
      </c>
    </row>
    <row r="34" spans="1:26" ht="12" customHeight="1" x14ac:dyDescent="0.25">
      <c r="A34" s="328" t="s">
        <v>1091</v>
      </c>
      <c r="B34" s="328"/>
      <c r="C34" s="328"/>
      <c r="D34" s="328"/>
      <c r="E34" s="328"/>
      <c r="F34" s="328"/>
      <c r="G34" s="328"/>
      <c r="H34" s="349">
        <v>2.87E-2</v>
      </c>
      <c r="I34" s="328"/>
      <c r="J34" s="408">
        <v>0.3</v>
      </c>
      <c r="K34" s="409">
        <v>7.5970663514999995E-2</v>
      </c>
      <c r="L34" s="409">
        <v>7.7155663514999986E-2</v>
      </c>
      <c r="M34" s="409">
        <v>7.8340663514999992E-2</v>
      </c>
      <c r="N34" s="409">
        <v>7.9525663514999984E-2</v>
      </c>
      <c r="O34" s="409">
        <v>8.0710663514999989E-2</v>
      </c>
      <c r="P34" s="409">
        <v>8.1895663514999981E-2</v>
      </c>
      <c r="Q34" s="409">
        <v>8.3080663514999986E-2</v>
      </c>
      <c r="R34" s="409">
        <v>8.4265663514999992E-2</v>
      </c>
      <c r="S34" s="410">
        <v>8.5450663514999983E-2</v>
      </c>
      <c r="T34" s="328"/>
      <c r="U34" s="328" t="s">
        <v>1092</v>
      </c>
      <c r="V34" s="328"/>
      <c r="Z34" s="415">
        <v>5.0000000000000001E-3</v>
      </c>
    </row>
    <row r="35" spans="1:26" ht="12" customHeight="1" x14ac:dyDescent="0.25">
      <c r="A35" s="328" t="s">
        <v>1093</v>
      </c>
      <c r="B35" s="328"/>
      <c r="C35" s="328"/>
      <c r="D35" s="328"/>
      <c r="E35" s="328"/>
      <c r="F35" s="328"/>
      <c r="G35" s="328"/>
      <c r="H35" s="416">
        <v>0</v>
      </c>
      <c r="I35" s="336"/>
      <c r="J35" s="408">
        <v>0.35</v>
      </c>
      <c r="K35" s="409">
        <v>7.2237044692499988E-2</v>
      </c>
      <c r="L35" s="409">
        <v>7.3619544692499983E-2</v>
      </c>
      <c r="M35" s="409">
        <v>7.5002044692499992E-2</v>
      </c>
      <c r="N35" s="409">
        <v>7.6384544692499987E-2</v>
      </c>
      <c r="O35" s="409">
        <v>7.7767044692499981E-2</v>
      </c>
      <c r="P35" s="409">
        <v>7.914954469249999E-2</v>
      </c>
      <c r="Q35" s="409">
        <v>8.0532044692499985E-2</v>
      </c>
      <c r="R35" s="409">
        <v>8.191454469249998E-2</v>
      </c>
      <c r="S35" s="410">
        <v>8.3297044692499989E-2</v>
      </c>
      <c r="T35" s="328"/>
      <c r="U35" s="328" t="s">
        <v>1094</v>
      </c>
      <c r="V35" s="328"/>
      <c r="Z35" s="414">
        <v>0.05</v>
      </c>
    </row>
    <row r="36" spans="1:26" ht="12" customHeight="1" x14ac:dyDescent="0.25">
      <c r="A36" s="321" t="s">
        <v>1095</v>
      </c>
      <c r="B36" s="328"/>
      <c r="C36" s="328"/>
      <c r="D36" s="328"/>
      <c r="E36" s="328"/>
      <c r="F36" s="328"/>
      <c r="G36" s="328"/>
      <c r="H36" s="417">
        <v>9.8337612449999987E-2</v>
      </c>
      <c r="I36" s="328"/>
      <c r="J36" s="408">
        <v>0.39999999999999997</v>
      </c>
      <c r="K36" s="409">
        <v>6.8503425870000009E-2</v>
      </c>
      <c r="L36" s="409">
        <v>7.0083425870000007E-2</v>
      </c>
      <c r="M36" s="409">
        <v>7.1663425870000005E-2</v>
      </c>
      <c r="N36" s="409">
        <v>7.3243425870000003E-2</v>
      </c>
      <c r="O36" s="409">
        <v>7.4823425870000002E-2</v>
      </c>
      <c r="P36" s="409">
        <v>7.640342587E-2</v>
      </c>
      <c r="Q36" s="409">
        <v>7.7983425869999998E-2</v>
      </c>
      <c r="R36" s="409">
        <v>7.956342587000001E-2</v>
      </c>
      <c r="S36" s="410">
        <v>8.1143425870000008E-2</v>
      </c>
      <c r="T36" s="328"/>
      <c r="U36" s="328"/>
      <c r="V36" s="328"/>
    </row>
    <row r="37" spans="1:26" ht="12" customHeight="1" x14ac:dyDescent="0.25">
      <c r="A37" s="328" t="s">
        <v>1249</v>
      </c>
      <c r="B37" s="328"/>
      <c r="C37" s="328"/>
      <c r="D37" s="328"/>
      <c r="E37" s="328"/>
      <c r="F37" s="328"/>
      <c r="G37" s="328"/>
      <c r="H37" s="416">
        <v>0.97195706812239002</v>
      </c>
      <c r="I37" s="328"/>
      <c r="J37" s="418"/>
      <c r="K37" s="377"/>
      <c r="L37" s="377"/>
      <c r="M37" s="377"/>
      <c r="N37" s="419"/>
      <c r="O37" s="377"/>
      <c r="P37" s="377"/>
      <c r="Q37" s="377"/>
      <c r="R37" s="377"/>
      <c r="S37" s="420"/>
      <c r="T37" s="328"/>
      <c r="U37" s="328"/>
      <c r="V37" s="328"/>
    </row>
    <row r="38" spans="1:26" ht="12" customHeight="1" x14ac:dyDescent="0.25">
      <c r="A38" s="328" t="s">
        <v>1096</v>
      </c>
      <c r="B38" s="328"/>
      <c r="C38" s="328"/>
      <c r="D38" s="328"/>
      <c r="E38" s="328"/>
      <c r="F38" s="328"/>
      <c r="G38" s="328"/>
      <c r="H38" s="349">
        <v>9.557993748305782E-2</v>
      </c>
      <c r="I38" s="328"/>
      <c r="J38" s="328"/>
      <c r="K38" s="328"/>
      <c r="L38" s="328"/>
      <c r="M38" s="328"/>
      <c r="N38" s="328"/>
      <c r="O38" s="328"/>
      <c r="P38" s="328"/>
      <c r="Q38" s="328"/>
      <c r="R38" s="328"/>
      <c r="S38" s="328"/>
      <c r="T38" s="328"/>
      <c r="U38" s="328"/>
      <c r="V38" s="328"/>
    </row>
    <row r="39" spans="1:26" ht="15" customHeight="1" x14ac:dyDescent="0.25">
      <c r="A39" s="328"/>
      <c r="B39" s="328"/>
      <c r="C39" s="328"/>
      <c r="D39" s="328"/>
      <c r="E39" s="328"/>
      <c r="F39" s="328"/>
      <c r="G39" s="328"/>
      <c r="H39" s="328"/>
      <c r="I39" s="328"/>
      <c r="J39" s="390" t="s">
        <v>309</v>
      </c>
      <c r="K39" s="391"/>
      <c r="L39" s="391"/>
      <c r="M39" s="391"/>
      <c r="N39" s="392"/>
      <c r="O39" s="392"/>
      <c r="P39" s="392"/>
      <c r="Q39" s="392"/>
      <c r="R39" s="392"/>
      <c r="S39" s="393"/>
      <c r="T39" s="328"/>
      <c r="U39" s="328"/>
      <c r="V39" s="328"/>
    </row>
    <row r="40" spans="1:26" ht="12" customHeight="1" x14ac:dyDescent="0.25">
      <c r="A40" s="328" t="s">
        <v>1068</v>
      </c>
      <c r="B40" s="328"/>
      <c r="C40" s="328"/>
      <c r="D40" s="328"/>
      <c r="E40" s="328"/>
      <c r="F40" s="328"/>
      <c r="G40" s="349"/>
      <c r="H40" s="349">
        <v>3.8260000000000002E-2</v>
      </c>
      <c r="I40" s="328"/>
      <c r="J40" s="421"/>
      <c r="K40" s="422"/>
      <c r="L40" s="422"/>
      <c r="M40" s="422"/>
      <c r="N40" s="422"/>
      <c r="O40" s="422"/>
      <c r="P40" s="422"/>
      <c r="Q40" s="422"/>
      <c r="R40" s="422"/>
      <c r="S40" s="423"/>
      <c r="T40" s="328"/>
      <c r="U40" s="328"/>
      <c r="V40" s="328"/>
    </row>
    <row r="41" spans="1:26" ht="12" customHeight="1" x14ac:dyDescent="0.25">
      <c r="A41" s="328" t="s">
        <v>1050</v>
      </c>
      <c r="B41" s="328"/>
      <c r="C41" s="328"/>
      <c r="D41" s="328"/>
      <c r="E41" s="328"/>
      <c r="F41" s="328"/>
      <c r="G41" s="328"/>
      <c r="H41" s="416">
        <v>0.21</v>
      </c>
      <c r="I41" s="328"/>
      <c r="J41" s="424" t="s">
        <v>1097</v>
      </c>
      <c r="K41" s="425" t="s">
        <v>1095</v>
      </c>
      <c r="L41" s="426"/>
      <c r="M41" s="426"/>
      <c r="N41" s="426"/>
      <c r="O41" s="426"/>
      <c r="P41" s="426"/>
      <c r="Q41" s="426"/>
      <c r="R41" s="426"/>
      <c r="S41" s="427"/>
      <c r="T41" s="328"/>
      <c r="U41" s="328"/>
      <c r="V41" s="328"/>
    </row>
    <row r="42" spans="1:26" ht="12" customHeight="1" x14ac:dyDescent="0.25">
      <c r="A42" s="321" t="s">
        <v>1098</v>
      </c>
      <c r="B42" s="328"/>
      <c r="C42" s="328"/>
      <c r="D42" s="328"/>
      <c r="E42" s="328"/>
      <c r="F42" s="328"/>
      <c r="G42" s="328"/>
      <c r="H42" s="417">
        <v>3.0225400000000003E-2</v>
      </c>
      <c r="I42" s="328"/>
      <c r="J42" s="404">
        <v>9.6427546316231336E-2</v>
      </c>
      <c r="K42" s="428">
        <v>6.9999999999999979E-2</v>
      </c>
      <c r="L42" s="429">
        <v>7.4999999999999983E-2</v>
      </c>
      <c r="M42" s="429">
        <v>7.9999999999999988E-2</v>
      </c>
      <c r="N42" s="429">
        <v>8.4999999999999992E-2</v>
      </c>
      <c r="O42" s="430">
        <v>0.09</v>
      </c>
      <c r="P42" s="429">
        <v>9.5000000000000001E-2</v>
      </c>
      <c r="Q42" s="429">
        <v>0.1</v>
      </c>
      <c r="R42" s="429">
        <v>0.10500000000000001</v>
      </c>
      <c r="S42" s="431">
        <v>0.11000000000000001</v>
      </c>
      <c r="T42" s="328"/>
      <c r="U42" s="328"/>
      <c r="V42" s="328"/>
    </row>
    <row r="43" spans="1:26" ht="12" customHeight="1" x14ac:dyDescent="0.25">
      <c r="A43" s="328" t="s">
        <v>1250</v>
      </c>
      <c r="B43" s="328"/>
      <c r="C43" s="328"/>
      <c r="D43" s="328"/>
      <c r="E43" s="328"/>
      <c r="F43" s="328"/>
      <c r="G43" s="328"/>
      <c r="H43" s="416">
        <v>2.8042931877609964E-2</v>
      </c>
      <c r="I43" s="328"/>
      <c r="J43" s="432">
        <v>0.69999999999999984</v>
      </c>
      <c r="K43" s="433">
        <v>4.983963891347936E-2</v>
      </c>
      <c r="L43" s="433">
        <v>5.3339638913479363E-2</v>
      </c>
      <c r="M43" s="433">
        <v>5.6839638913479366E-2</v>
      </c>
      <c r="N43" s="433">
        <v>6.033963891347937E-2</v>
      </c>
      <c r="O43" s="433">
        <v>6.383963891347938E-2</v>
      </c>
      <c r="P43" s="433">
        <v>6.7339638913479383E-2</v>
      </c>
      <c r="Q43" s="433">
        <v>7.0839638913479386E-2</v>
      </c>
      <c r="R43" s="433">
        <v>7.4339638913479389E-2</v>
      </c>
      <c r="S43" s="434">
        <v>7.7839638913479392E-2</v>
      </c>
      <c r="T43" s="328"/>
      <c r="U43" s="328"/>
      <c r="V43" s="328"/>
    </row>
    <row r="44" spans="1:26" ht="12" customHeight="1" x14ac:dyDescent="0.25">
      <c r="A44" s="328" t="s">
        <v>1099</v>
      </c>
      <c r="B44" s="328"/>
      <c r="C44" s="328"/>
      <c r="D44" s="328"/>
      <c r="E44" s="328"/>
      <c r="F44" s="328"/>
      <c r="G44" s="328"/>
      <c r="H44" s="435">
        <v>8.476088331735123E-4</v>
      </c>
      <c r="I44" s="328"/>
      <c r="J44" s="432">
        <v>0.74999999999999989</v>
      </c>
      <c r="K44" s="433">
        <v>5.3339638913479363E-2</v>
      </c>
      <c r="L44" s="433">
        <v>5.7089638913479367E-2</v>
      </c>
      <c r="M44" s="433">
        <v>6.083963891347937E-2</v>
      </c>
      <c r="N44" s="433">
        <v>6.458963891347938E-2</v>
      </c>
      <c r="O44" s="433">
        <v>6.8339638913479384E-2</v>
      </c>
      <c r="P44" s="433">
        <v>7.2089638913479387E-2</v>
      </c>
      <c r="Q44" s="433">
        <v>7.583963891347939E-2</v>
      </c>
      <c r="R44" s="433">
        <v>7.9589638913479394E-2</v>
      </c>
      <c r="S44" s="434">
        <v>8.3339638913479397E-2</v>
      </c>
      <c r="T44" s="328"/>
      <c r="U44" s="328"/>
      <c r="V44" s="328"/>
    </row>
    <row r="45" spans="1:26" ht="12" customHeight="1" x14ac:dyDescent="0.25">
      <c r="A45" s="328"/>
      <c r="B45" s="328"/>
      <c r="C45" s="328"/>
      <c r="D45" s="328"/>
      <c r="E45" s="328"/>
      <c r="F45" s="328"/>
      <c r="G45" s="328"/>
      <c r="H45" s="328"/>
      <c r="I45" s="328"/>
      <c r="J45" s="432">
        <v>0.79999999999999993</v>
      </c>
      <c r="K45" s="433">
        <v>5.6839638913479366E-2</v>
      </c>
      <c r="L45" s="433">
        <v>6.083963891347937E-2</v>
      </c>
      <c r="M45" s="433">
        <v>6.483963891347938E-2</v>
      </c>
      <c r="N45" s="433">
        <v>6.8839638913479384E-2</v>
      </c>
      <c r="O45" s="433">
        <v>7.2839638913479388E-2</v>
      </c>
      <c r="P45" s="433">
        <v>7.6839638913479391E-2</v>
      </c>
      <c r="Q45" s="433">
        <v>8.0839638913479395E-2</v>
      </c>
      <c r="R45" s="433">
        <v>8.4839638913479398E-2</v>
      </c>
      <c r="S45" s="434">
        <v>8.8839638913479402E-2</v>
      </c>
      <c r="T45" s="328"/>
      <c r="U45" s="328"/>
      <c r="V45" s="328"/>
    </row>
    <row r="46" spans="1:26" ht="12" customHeight="1" x14ac:dyDescent="0.25">
      <c r="A46" s="321" t="s">
        <v>1246</v>
      </c>
      <c r="B46" s="321"/>
      <c r="C46" s="321"/>
      <c r="D46" s="321"/>
      <c r="E46" s="321"/>
      <c r="F46" s="321"/>
      <c r="G46" s="321"/>
      <c r="H46" s="417">
        <v>0</v>
      </c>
      <c r="I46" s="328"/>
      <c r="J46" s="436">
        <v>0.85</v>
      </c>
      <c r="K46" s="433">
        <v>6.033963891347937E-2</v>
      </c>
      <c r="L46" s="433">
        <v>6.458963891347938E-2</v>
      </c>
      <c r="M46" s="433">
        <v>6.8839638913479384E-2</v>
      </c>
      <c r="N46" s="447">
        <v>7.3089638913479388E-2</v>
      </c>
      <c r="O46" s="448">
        <v>7.7339638913479392E-2</v>
      </c>
      <c r="P46" s="449">
        <v>8.1589638913479395E-2</v>
      </c>
      <c r="Q46" s="433">
        <v>8.5839638913479399E-2</v>
      </c>
      <c r="R46" s="433">
        <v>9.0089638913479403E-2</v>
      </c>
      <c r="S46" s="434">
        <v>9.4339638913479407E-2</v>
      </c>
      <c r="T46" s="328"/>
      <c r="U46" s="328"/>
      <c r="V46" s="328"/>
    </row>
    <row r="47" spans="1:26" ht="12" customHeight="1" x14ac:dyDescent="0.25">
      <c r="A47" s="328" t="s">
        <v>1251</v>
      </c>
      <c r="B47" s="328"/>
      <c r="C47" s="328"/>
      <c r="D47" s="328"/>
      <c r="E47" s="328"/>
      <c r="F47" s="328"/>
      <c r="G47" s="328"/>
      <c r="H47" s="416">
        <v>0</v>
      </c>
      <c r="I47" s="328"/>
      <c r="J47" s="432">
        <v>0.9</v>
      </c>
      <c r="K47" s="433">
        <v>6.383963891347938E-2</v>
      </c>
      <c r="L47" s="433">
        <v>6.8339638913479384E-2</v>
      </c>
      <c r="M47" s="433">
        <v>7.2839638913479388E-2</v>
      </c>
      <c r="N47" s="450">
        <v>7.7339638913479392E-2</v>
      </c>
      <c r="O47" s="574">
        <v>8.1839638913479396E-2</v>
      </c>
      <c r="P47" s="451">
        <v>8.63396389134794E-2</v>
      </c>
      <c r="Q47" s="433">
        <v>9.0839638913479404E-2</v>
      </c>
      <c r="R47" s="433">
        <v>9.5339638913479408E-2</v>
      </c>
      <c r="S47" s="434">
        <v>9.9839638913479412E-2</v>
      </c>
      <c r="T47" s="328"/>
      <c r="U47" s="328"/>
      <c r="V47" s="328"/>
    </row>
    <row r="48" spans="1:26" ht="12" customHeight="1" x14ac:dyDescent="0.25">
      <c r="A48" s="328" t="s">
        <v>1100</v>
      </c>
      <c r="B48" s="328"/>
      <c r="C48" s="328"/>
      <c r="D48" s="328"/>
      <c r="E48" s="328"/>
      <c r="F48" s="328"/>
      <c r="G48" s="328"/>
      <c r="H48" s="437">
        <v>0</v>
      </c>
      <c r="I48" s="328"/>
      <c r="J48" s="432">
        <v>0.95000000000000007</v>
      </c>
      <c r="K48" s="433">
        <v>6.7339638913479383E-2</v>
      </c>
      <c r="L48" s="433">
        <v>7.2089638913479387E-2</v>
      </c>
      <c r="M48" s="433">
        <v>7.6839638913479391E-2</v>
      </c>
      <c r="N48" s="452">
        <v>8.1589638913479395E-2</v>
      </c>
      <c r="O48" s="453">
        <v>8.63396389134794E-2</v>
      </c>
      <c r="P48" s="454">
        <v>9.1089638913479404E-2</v>
      </c>
      <c r="Q48" s="433">
        <v>9.5839638913479408E-2</v>
      </c>
      <c r="R48" s="433">
        <v>0.10058963891347941</v>
      </c>
      <c r="S48" s="434">
        <v>0.10533963891347942</v>
      </c>
      <c r="T48" s="328"/>
      <c r="U48" s="328"/>
      <c r="V48" s="328"/>
    </row>
    <row r="49" spans="1:22" ht="12" customHeight="1" thickBot="1" x14ac:dyDescent="0.3">
      <c r="A49" s="328"/>
      <c r="B49" s="328"/>
      <c r="C49" s="328"/>
      <c r="D49" s="328"/>
      <c r="E49" s="328"/>
      <c r="F49" s="328"/>
      <c r="G49" s="328"/>
      <c r="H49" s="328"/>
      <c r="I49" s="328"/>
      <c r="J49" s="432">
        <v>1</v>
      </c>
      <c r="K49" s="433">
        <v>7.0839638913479372E-2</v>
      </c>
      <c r="L49" s="433">
        <v>7.5839638913479376E-2</v>
      </c>
      <c r="M49" s="433">
        <v>8.0839638913479381E-2</v>
      </c>
      <c r="N49" s="433">
        <v>8.5839638913479385E-2</v>
      </c>
      <c r="O49" s="433">
        <v>9.083963891347939E-2</v>
      </c>
      <c r="P49" s="433">
        <v>9.5839638913479394E-2</v>
      </c>
      <c r="Q49" s="433">
        <v>0.1008396389134794</v>
      </c>
      <c r="R49" s="433">
        <v>0.1058396389134794</v>
      </c>
      <c r="S49" s="434">
        <v>0.11083963891347941</v>
      </c>
      <c r="T49" s="328"/>
      <c r="U49" s="328"/>
      <c r="V49" s="328"/>
    </row>
    <row r="50" spans="1:22" ht="12" customHeight="1" thickBot="1" x14ac:dyDescent="0.3">
      <c r="A50" s="438" t="s">
        <v>1086</v>
      </c>
      <c r="B50" s="439"/>
      <c r="C50" s="439"/>
      <c r="D50" s="439"/>
      <c r="E50" s="439"/>
      <c r="F50" s="439"/>
      <c r="G50" s="439"/>
      <c r="H50" s="440">
        <v>9.6427546316231336E-2</v>
      </c>
      <c r="I50" s="328"/>
      <c r="J50" s="441"/>
      <c r="K50" s="442"/>
      <c r="L50" s="442"/>
      <c r="M50" s="442"/>
      <c r="N50" s="442"/>
      <c r="O50" s="442"/>
      <c r="P50" s="442"/>
      <c r="Q50" s="442"/>
      <c r="R50" s="442"/>
      <c r="S50" s="443"/>
      <c r="T50" s="328"/>
      <c r="U50" s="328"/>
      <c r="V50" s="328"/>
    </row>
    <row r="51" spans="1:22" ht="12" customHeight="1" x14ac:dyDescent="0.25">
      <c r="A51" s="377"/>
      <c r="B51" s="377"/>
      <c r="C51" s="377"/>
      <c r="D51" s="377"/>
      <c r="E51" s="377"/>
      <c r="F51" s="330"/>
      <c r="G51" s="330"/>
      <c r="H51" s="330"/>
      <c r="I51" s="328"/>
      <c r="J51" s="328"/>
      <c r="K51" s="328"/>
      <c r="L51" s="328"/>
      <c r="M51" s="328"/>
      <c r="N51" s="328"/>
      <c r="O51" s="328"/>
      <c r="P51" s="328"/>
      <c r="Q51" s="328"/>
      <c r="R51" s="328"/>
      <c r="S51" s="328"/>
      <c r="T51" s="328"/>
      <c r="U51" s="328"/>
      <c r="V51" s="328"/>
    </row>
    <row r="52" spans="1:22" ht="12" customHeight="1" x14ac:dyDescent="0.25">
      <c r="A52" s="328" t="s">
        <v>1280</v>
      </c>
      <c r="B52" s="328"/>
      <c r="C52" s="328"/>
      <c r="D52" s="328"/>
      <c r="E52" s="328"/>
      <c r="F52" s="328"/>
      <c r="G52" s="328"/>
      <c r="H52" s="328"/>
      <c r="I52" s="328"/>
      <c r="J52" s="328"/>
      <c r="K52" s="328"/>
      <c r="L52" s="328"/>
      <c r="M52" s="328"/>
      <c r="N52" s="328"/>
      <c r="O52" s="328"/>
      <c r="P52" s="328"/>
      <c r="Q52" s="328"/>
      <c r="R52" s="328"/>
      <c r="S52" s="328"/>
      <c r="T52" s="328"/>
      <c r="U52" s="328"/>
      <c r="V52" s="328"/>
    </row>
    <row r="53" spans="1:22" ht="12" customHeight="1" x14ac:dyDescent="0.25">
      <c r="A53" s="328" t="s">
        <v>1101</v>
      </c>
      <c r="B53" s="328"/>
      <c r="C53" s="328"/>
      <c r="D53" s="328"/>
      <c r="E53" s="328"/>
      <c r="F53" s="328"/>
      <c r="G53" s="328"/>
      <c r="H53" s="328"/>
      <c r="I53" s="328"/>
      <c r="J53" s="328"/>
      <c r="K53" s="328"/>
      <c r="L53" s="328"/>
      <c r="M53" s="328"/>
      <c r="N53" s="328"/>
      <c r="O53" s="328"/>
      <c r="P53" s="328"/>
      <c r="Q53" s="328"/>
      <c r="R53" s="328"/>
      <c r="S53" s="328"/>
      <c r="T53" s="328"/>
      <c r="U53" s="328"/>
      <c r="V53" s="328"/>
    </row>
    <row r="54" spans="1:22" ht="12" customHeight="1" x14ac:dyDescent="0.25">
      <c r="A54" s="328" t="s">
        <v>1102</v>
      </c>
      <c r="B54" s="328"/>
      <c r="C54" s="328"/>
      <c r="D54" s="328"/>
      <c r="E54" s="328"/>
      <c r="F54" s="328"/>
      <c r="G54" s="328"/>
      <c r="H54" s="328"/>
      <c r="I54" s="328"/>
      <c r="J54" s="328"/>
      <c r="K54" s="328"/>
      <c r="L54" s="328"/>
      <c r="M54" s="328"/>
      <c r="N54" s="328"/>
      <c r="O54" s="328"/>
      <c r="P54" s="328"/>
      <c r="Q54" s="328"/>
      <c r="R54" s="328"/>
      <c r="S54" s="328"/>
      <c r="T54" s="328"/>
      <c r="U54" s="328"/>
      <c r="V54" s="328"/>
    </row>
    <row r="55" spans="1:22" ht="12" customHeight="1" x14ac:dyDescent="0.25">
      <c r="A55" s="444" t="s">
        <v>1103</v>
      </c>
      <c r="B55" s="328"/>
      <c r="C55" s="328"/>
      <c r="D55" s="328"/>
      <c r="E55" s="328"/>
      <c r="F55" s="328"/>
      <c r="G55" s="328"/>
      <c r="H55" s="328"/>
      <c r="I55" s="328"/>
      <c r="J55" s="328"/>
      <c r="K55" s="328"/>
      <c r="L55" s="328"/>
      <c r="M55" s="328"/>
      <c r="N55" s="328"/>
      <c r="O55" s="328"/>
      <c r="P55" s="328"/>
      <c r="Q55" s="328"/>
      <c r="R55" s="328"/>
      <c r="S55" s="328"/>
      <c r="T55" s="328"/>
      <c r="U55" s="328"/>
      <c r="V55" s="328"/>
    </row>
    <row r="56" spans="1:22" ht="12" customHeight="1" x14ac:dyDescent="0.25">
      <c r="A56" s="445" t="s">
        <v>1104</v>
      </c>
      <c r="B56" s="328"/>
      <c r="C56" s="328"/>
      <c r="D56" s="328"/>
      <c r="E56" s="328"/>
      <c r="F56" s="328"/>
      <c r="G56" s="328"/>
      <c r="H56" s="328"/>
      <c r="I56" s="328"/>
      <c r="J56" s="328"/>
      <c r="K56" s="328"/>
      <c r="L56" s="328"/>
      <c r="M56" s="328"/>
      <c r="N56" s="328"/>
      <c r="O56" s="328"/>
      <c r="P56" s="328"/>
      <c r="Q56" s="328"/>
      <c r="R56" s="328"/>
      <c r="S56" s="328"/>
      <c r="T56" s="328"/>
      <c r="U56" s="328"/>
      <c r="V56" s="328"/>
    </row>
    <row r="57" spans="1:22" ht="12" customHeight="1" x14ac:dyDescent="0.25">
      <c r="A57" s="328"/>
      <c r="B57" s="328"/>
      <c r="C57" s="328"/>
      <c r="D57" s="328"/>
      <c r="E57" s="328"/>
      <c r="F57" s="328"/>
      <c r="G57" s="328"/>
      <c r="H57" s="328"/>
      <c r="I57" s="328"/>
      <c r="J57" s="328"/>
      <c r="K57" s="328"/>
      <c r="L57" s="328"/>
      <c r="M57" s="328"/>
      <c r="N57" s="328"/>
      <c r="O57" s="328"/>
      <c r="P57" s="328"/>
      <c r="Q57" s="328"/>
      <c r="R57" s="328"/>
      <c r="S57" s="328"/>
      <c r="T57" s="328"/>
      <c r="U57" s="328"/>
      <c r="V57" s="328"/>
    </row>
    <row r="58" spans="1:22" ht="12" customHeight="1" x14ac:dyDescent="0.25">
      <c r="A58" s="328"/>
      <c r="B58" s="328"/>
      <c r="C58" s="328"/>
      <c r="D58" s="328"/>
      <c r="E58" s="328"/>
      <c r="F58" s="328"/>
      <c r="G58" s="328"/>
      <c r="H58" s="328"/>
      <c r="I58" s="328"/>
      <c r="J58" s="328"/>
      <c r="K58" s="328"/>
      <c r="L58" s="328"/>
      <c r="M58" s="328"/>
      <c r="N58" s="328"/>
      <c r="O58" s="328"/>
      <c r="P58" s="328"/>
      <c r="Q58" s="328"/>
      <c r="R58" s="328"/>
      <c r="S58" s="328"/>
      <c r="T58" s="328"/>
      <c r="U58" s="328"/>
      <c r="V58" s="328"/>
    </row>
    <row r="59" spans="1:22" ht="15" customHeight="1" x14ac:dyDescent="0.25"/>
    <row r="60" spans="1:22" ht="12" customHeight="1" x14ac:dyDescent="0.25"/>
    <row r="61" spans="1:22" ht="12" customHeight="1" x14ac:dyDescent="0.25"/>
    <row r="62" spans="1:22" ht="12" customHeight="1" x14ac:dyDescent="0.25"/>
    <row r="63" spans="1:22" ht="12" customHeight="1" x14ac:dyDescent="0.25"/>
    <row r="64" spans="1:22" ht="12" customHeight="1" x14ac:dyDescent="0.25"/>
    <row r="65" spans="23:25" ht="12" customHeight="1" x14ac:dyDescent="0.25">
      <c r="W65" s="336"/>
      <c r="X65" s="336"/>
      <c r="Y65" s="336"/>
    </row>
    <row r="66" spans="23:25" ht="12" customHeight="1" x14ac:dyDescent="0.25">
      <c r="W66" s="336"/>
      <c r="X66" s="336"/>
      <c r="Y66" s="336"/>
    </row>
    <row r="67" spans="23:25" ht="12" customHeight="1" x14ac:dyDescent="0.25">
      <c r="W67" s="336"/>
      <c r="X67" s="336"/>
      <c r="Y67" s="336"/>
    </row>
    <row r="68" spans="23:25" ht="12" customHeight="1" x14ac:dyDescent="0.25"/>
    <row r="69" spans="23:25" ht="12" customHeight="1" x14ac:dyDescent="0.25">
      <c r="W69" s="336"/>
      <c r="X69" s="336"/>
      <c r="Y69" s="336"/>
    </row>
    <row r="70" spans="23:25" ht="12" customHeight="1" x14ac:dyDescent="0.25">
      <c r="W70" s="336"/>
      <c r="X70" s="336"/>
      <c r="Y70" s="336"/>
    </row>
    <row r="71" spans="23:25" ht="12" customHeight="1" x14ac:dyDescent="0.25"/>
    <row r="72" spans="23:25" ht="12" customHeight="1" x14ac:dyDescent="0.25">
      <c r="W72" s="336"/>
      <c r="X72" s="336"/>
      <c r="Y72" s="336"/>
    </row>
    <row r="73" spans="23:25" ht="12" customHeight="1" x14ac:dyDescent="0.25"/>
    <row r="74" spans="23:25" ht="12" customHeight="1" x14ac:dyDescent="0.25">
      <c r="W74" s="336"/>
      <c r="X74" s="336"/>
      <c r="Y74" s="336"/>
    </row>
    <row r="75" spans="23:25" ht="12" customHeight="1" x14ac:dyDescent="0.25">
      <c r="W75" s="336"/>
      <c r="X75" s="336"/>
      <c r="Y75" s="336"/>
    </row>
    <row r="76" spans="23:25" ht="12" customHeight="1" x14ac:dyDescent="0.25"/>
    <row r="77" spans="23:25" ht="12" customHeight="1" x14ac:dyDescent="0.25"/>
    <row r="78" spans="23:25" ht="12" customHeight="1" x14ac:dyDescent="0.25"/>
    <row r="79" spans="23:25" ht="12" customHeight="1" x14ac:dyDescent="0.25"/>
    <row r="80" spans="23:25" ht="12" customHeight="1" x14ac:dyDescent="0.25">
      <c r="W80" s="336"/>
      <c r="X80" s="336"/>
      <c r="Y80" s="336"/>
    </row>
    <row r="81" spans="23:25" ht="12" customHeight="1" x14ac:dyDescent="0.25">
      <c r="W81" s="336"/>
      <c r="X81" s="336"/>
      <c r="Y81" s="336"/>
    </row>
    <row r="82" spans="23:25" ht="12" customHeight="1" x14ac:dyDescent="0.25"/>
    <row r="83" spans="23:25" ht="12" customHeight="1" x14ac:dyDescent="0.25">
      <c r="W83" s="336"/>
      <c r="X83" s="336"/>
      <c r="Y83" s="336"/>
    </row>
    <row r="84" spans="23:25" ht="12" customHeight="1" x14ac:dyDescent="0.25"/>
    <row r="85" spans="23:25" ht="12" customHeight="1" x14ac:dyDescent="0.25">
      <c r="W85" s="336"/>
      <c r="X85" s="336"/>
      <c r="Y85" s="336"/>
    </row>
    <row r="86" spans="23:25" ht="12" customHeight="1" x14ac:dyDescent="0.25">
      <c r="W86" s="336"/>
      <c r="X86" s="336"/>
      <c r="Y86" s="336"/>
    </row>
    <row r="87" spans="23:25" ht="12" customHeight="1" x14ac:dyDescent="0.25"/>
    <row r="88" spans="23:25" ht="12" customHeight="1" x14ac:dyDescent="0.25"/>
    <row r="89" spans="23:25" ht="12" customHeight="1" x14ac:dyDescent="0.25">
      <c r="W89" s="446"/>
      <c r="X89" s="446"/>
      <c r="Y89" s="446"/>
    </row>
    <row r="90" spans="23:25" ht="12" customHeight="1" x14ac:dyDescent="0.25">
      <c r="W90" s="446"/>
      <c r="X90" s="446"/>
      <c r="Y90" s="446"/>
    </row>
    <row r="91" spans="23:25" ht="15" customHeight="1" x14ac:dyDescent="0.25">
      <c r="W91" s="330"/>
      <c r="X91" s="330"/>
      <c r="Y91" s="330"/>
    </row>
  </sheetData>
  <mergeCells count="4">
    <mergeCell ref="Q1:S1"/>
    <mergeCell ref="G16:H16"/>
    <mergeCell ref="C23:H23"/>
    <mergeCell ref="B27:C27"/>
  </mergeCells>
  <phoneticPr fontId="1" type="noConversion"/>
  <dataValidations disablePrompts="1" count="4">
    <dataValidation type="list" allowBlank="1" showInputMessage="1" showErrorMessage="1" sqref="G16" xr:uid="{00000000-0002-0000-1A00-000004000000}">
      <formula1>"Company,Corp Yield Curve"</formula1>
    </dataValidation>
    <dataValidation type="list" allowBlank="1" showInputMessage="1" showErrorMessage="1" sqref="H27 C22 A27 E27 Q1 K1" xr:uid="{00000000-0002-0000-1A00-000000000000}">
      <formula1>#REF!</formula1>
    </dataValidation>
    <dataValidation type="list" allowBlank="1" showInputMessage="1" showErrorMessage="1" sqref="C23:H23" xr:uid="{00000000-0002-0000-1A00-000001000000}">
      <formula1>OFFSET(#REF!,#REF!,,#REF!)</formula1>
    </dataValidation>
    <dataValidation type="list" showInputMessage="1" showErrorMessage="1" sqref="B27:C27" xr:uid="{00000000-0002-0000-1A00-000006000000}">
      <formula1>#REF!</formula1>
    </dataValidation>
  </dataValidations>
  <printOptions horizontalCentered="1"/>
  <pageMargins left="0.25" right="0.25" top="0.25" bottom="0.25" header="0.5" footer="0.5"/>
  <pageSetup scale="59" orientation="landscape" r:id="rId1"/>
  <headerFooter alignWithMargins="0"/>
  <rowBreaks count="1" manualBreakCount="1">
    <brk id="57" max="18" man="1"/>
  </rowBreaks>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
  <dimension ref="B1:AE26"/>
  <sheetViews>
    <sheetView showGridLines="0" workbookViewId="0"/>
  </sheetViews>
  <sheetFormatPr defaultColWidth="9" defaultRowHeight="13.2" outlineLevelCol="1" x14ac:dyDescent="0.25"/>
  <cols>
    <col min="1" max="1" width="2.59765625" style="472" customWidth="1"/>
    <col min="2" max="2" width="12.19921875" style="98" customWidth="1"/>
    <col min="3" max="3" width="32.5" style="98" customWidth="1"/>
    <col min="4" max="5" width="16.296875" style="98" customWidth="1"/>
    <col min="6" max="7" width="9" style="98"/>
    <col min="8" max="8" width="12.69921875" style="98" customWidth="1"/>
    <col min="9" max="11" width="9" style="98"/>
    <col min="12" max="27" width="9" style="472"/>
    <col min="28" max="28" width="29.69921875" style="472" customWidth="1" outlineLevel="1"/>
    <col min="29" max="29" width="35" style="472" customWidth="1" outlineLevel="1"/>
    <col min="30" max="30" width="16.796875" style="472" customWidth="1" outlineLevel="1"/>
    <col min="31" max="31" width="10.296875" style="472" customWidth="1" outlineLevel="1"/>
    <col min="32" max="16384" width="9" style="472"/>
  </cols>
  <sheetData>
    <row r="1" spans="2:31" s="468" customFormat="1" x14ac:dyDescent="0.25">
      <c r="AA1" s="469">
        <v>9.9788499999999996</v>
      </c>
    </row>
    <row r="2" spans="2:31" ht="3.75" customHeight="1" x14ac:dyDescent="0.25">
      <c r="B2" s="470"/>
      <c r="C2" s="471"/>
      <c r="D2" s="472"/>
      <c r="E2" s="472"/>
      <c r="F2" s="472"/>
      <c r="G2" s="472"/>
      <c r="H2" s="472"/>
      <c r="I2" s="472"/>
      <c r="J2" s="472"/>
      <c r="K2" s="472"/>
    </row>
    <row r="3" spans="2:31" x14ac:dyDescent="0.25">
      <c r="B3" s="470" t="s">
        <v>1107</v>
      </c>
      <c r="C3" s="473" t="s">
        <v>1108</v>
      </c>
      <c r="D3" s="472"/>
      <c r="E3" s="472"/>
      <c r="F3" s="472"/>
      <c r="G3" s="472"/>
      <c r="H3" s="472"/>
      <c r="I3" s="472"/>
      <c r="J3" s="472"/>
      <c r="K3" s="472"/>
    </row>
    <row r="4" spans="2:31" ht="3.75" customHeight="1" x14ac:dyDescent="0.25">
      <c r="B4" s="470"/>
      <c r="C4" s="471"/>
      <c r="D4" s="472"/>
      <c r="E4" s="472"/>
      <c r="F4" s="472"/>
      <c r="G4" s="472"/>
      <c r="H4" s="472"/>
      <c r="I4" s="472"/>
      <c r="J4" s="472"/>
      <c r="K4" s="472"/>
    </row>
    <row r="5" spans="2:31" x14ac:dyDescent="0.25">
      <c r="B5" s="470" t="s">
        <v>1109</v>
      </c>
      <c r="C5" s="473" t="s">
        <v>1110</v>
      </c>
      <c r="D5" s="473"/>
      <c r="E5" s="474" t="s">
        <v>1111</v>
      </c>
      <c r="F5" s="472"/>
      <c r="G5" s="472"/>
      <c r="H5" s="472"/>
      <c r="I5" s="472"/>
      <c r="J5" s="472"/>
      <c r="K5" s="472"/>
    </row>
    <row r="6" spans="2:31" ht="3.75" customHeight="1" x14ac:dyDescent="0.25">
      <c r="B6" s="470"/>
      <c r="C6" s="471"/>
      <c r="D6" s="474"/>
      <c r="E6" s="472"/>
      <c r="F6" s="472"/>
      <c r="G6" s="472"/>
      <c r="H6" s="472"/>
      <c r="I6" s="472"/>
      <c r="J6" s="472"/>
      <c r="K6" s="472"/>
    </row>
    <row r="7" spans="2:31" x14ac:dyDescent="0.25">
      <c r="B7" s="470" t="s">
        <v>308</v>
      </c>
      <c r="C7" s="473" t="s">
        <v>309</v>
      </c>
      <c r="D7" s="472"/>
      <c r="E7" s="472"/>
      <c r="F7" s="472"/>
      <c r="G7" s="472"/>
      <c r="H7" s="472"/>
      <c r="I7" s="472"/>
      <c r="J7" s="472"/>
      <c r="K7" s="472"/>
    </row>
    <row r="8" spans="2:31" ht="3.75" customHeight="1" x14ac:dyDescent="0.25">
      <c r="B8" s="470"/>
      <c r="C8" s="471"/>
      <c r="D8" s="472"/>
      <c r="E8" s="472"/>
      <c r="F8" s="472"/>
      <c r="G8" s="472"/>
      <c r="H8" s="472"/>
      <c r="I8" s="472"/>
      <c r="J8" s="472"/>
      <c r="K8" s="472"/>
    </row>
    <row r="9" spans="2:31" x14ac:dyDescent="0.25">
      <c r="B9" s="470" t="s">
        <v>1033</v>
      </c>
      <c r="C9" s="475">
        <v>43291</v>
      </c>
      <c r="D9" s="472"/>
      <c r="E9" s="472"/>
      <c r="F9" s="472"/>
      <c r="G9" s="472"/>
      <c r="H9" s="472"/>
      <c r="I9" s="472"/>
      <c r="J9" s="472"/>
      <c r="K9" s="472"/>
    </row>
    <row r="10" spans="2:31" ht="3.75" customHeight="1" x14ac:dyDescent="0.25">
      <c r="B10" s="470"/>
      <c r="C10" s="476"/>
      <c r="D10" s="472"/>
      <c r="E10" s="472"/>
      <c r="F10" s="472"/>
      <c r="G10" s="472"/>
      <c r="H10" s="472"/>
      <c r="I10" s="472"/>
      <c r="J10" s="472"/>
      <c r="K10" s="472"/>
    </row>
    <row r="11" spans="2:31" x14ac:dyDescent="0.25">
      <c r="B11" s="470" t="s">
        <v>1112</v>
      </c>
      <c r="C11" s="473" t="s">
        <v>1110</v>
      </c>
      <c r="D11" s="473"/>
      <c r="E11" s="474" t="s">
        <v>1111</v>
      </c>
      <c r="F11" s="472"/>
      <c r="G11" s="472"/>
      <c r="H11" s="472"/>
      <c r="I11" s="472"/>
      <c r="J11" s="472"/>
      <c r="K11" s="472"/>
    </row>
    <row r="12" spans="2:31" x14ac:dyDescent="0.25">
      <c r="B12" s="472"/>
      <c r="C12" s="472"/>
      <c r="D12" s="472"/>
      <c r="E12" s="472"/>
      <c r="F12" s="472"/>
      <c r="G12" s="472"/>
      <c r="H12" s="472"/>
      <c r="I12" s="472"/>
      <c r="J12" s="472"/>
      <c r="K12" s="472"/>
      <c r="AC12" s="477">
        <v>24</v>
      </c>
    </row>
    <row r="13" spans="2:31" x14ac:dyDescent="0.25">
      <c r="B13" s="472"/>
      <c r="C13" s="472"/>
      <c r="D13" s="472"/>
      <c r="E13" s="472"/>
      <c r="F13" s="472"/>
      <c r="G13" s="472"/>
      <c r="H13" s="472"/>
      <c r="I13" s="472"/>
      <c r="J13" s="472"/>
      <c r="K13" s="472"/>
      <c r="AC13" s="477">
        <v>0</v>
      </c>
    </row>
    <row r="14" spans="2:31" x14ac:dyDescent="0.25">
      <c r="B14" s="530" t="s">
        <v>1113</v>
      </c>
      <c r="C14" s="531" t="s">
        <v>1114</v>
      </c>
      <c r="D14" s="531" t="s">
        <v>1115</v>
      </c>
      <c r="E14" s="531" t="s">
        <v>1116</v>
      </c>
      <c r="F14" s="543" t="s">
        <v>1117</v>
      </c>
      <c r="G14" s="544"/>
      <c r="H14" s="544"/>
      <c r="I14" s="544"/>
      <c r="J14" s="544"/>
      <c r="K14" s="545"/>
      <c r="AB14" s="468" t="s">
        <v>1118</v>
      </c>
      <c r="AC14" s="477">
        <v>24</v>
      </c>
      <c r="AE14" s="478" t="s">
        <v>1119</v>
      </c>
    </row>
    <row r="15" spans="2:31" x14ac:dyDescent="0.25">
      <c r="B15" s="528">
        <v>1</v>
      </c>
      <c r="C15" s="532" t="s">
        <v>1120</v>
      </c>
      <c r="D15" s="534"/>
      <c r="E15" s="536" t="s">
        <v>1120</v>
      </c>
      <c r="F15" s="538" t="s">
        <v>1121</v>
      </c>
      <c r="G15" s="479"/>
      <c r="H15" s="479"/>
      <c r="I15" s="479"/>
      <c r="J15" s="479"/>
      <c r="K15" s="539"/>
      <c r="L15" s="472" t="s">
        <v>320</v>
      </c>
      <c r="AB15" s="468" t="s">
        <v>1031</v>
      </c>
      <c r="AC15" s="468" t="s">
        <v>1122</v>
      </c>
      <c r="AD15" s="478" t="s">
        <v>1123</v>
      </c>
      <c r="AE15" s="472" t="s">
        <v>1124</v>
      </c>
    </row>
    <row r="16" spans="2:31" x14ac:dyDescent="0.25">
      <c r="B16" s="528">
        <v>2</v>
      </c>
      <c r="C16" s="532" t="s">
        <v>1125</v>
      </c>
      <c r="D16" s="534"/>
      <c r="E16" s="536" t="s">
        <v>1125</v>
      </c>
      <c r="F16" s="538" t="s">
        <v>1126</v>
      </c>
      <c r="G16" s="479"/>
      <c r="H16" s="479"/>
      <c r="I16" s="479"/>
      <c r="J16" s="479"/>
      <c r="K16" s="539"/>
      <c r="L16" s="472" t="s">
        <v>320</v>
      </c>
      <c r="AB16" s="472" t="s">
        <v>1110</v>
      </c>
      <c r="AC16" s="472" t="s">
        <v>1127</v>
      </c>
      <c r="AD16" s="478" t="s">
        <v>1128</v>
      </c>
      <c r="AE16" s="472" t="s">
        <v>1129</v>
      </c>
    </row>
    <row r="17" spans="2:31" x14ac:dyDescent="0.25">
      <c r="B17" s="528">
        <v>3</v>
      </c>
      <c r="C17" s="532" t="s">
        <v>1130</v>
      </c>
      <c r="D17" s="534"/>
      <c r="E17" s="536" t="s">
        <v>1130</v>
      </c>
      <c r="F17" s="538" t="s">
        <v>1131</v>
      </c>
      <c r="G17" s="479"/>
      <c r="H17" s="479"/>
      <c r="I17" s="479"/>
      <c r="J17" s="479"/>
      <c r="K17" s="539"/>
      <c r="L17" s="472" t="s">
        <v>320</v>
      </c>
      <c r="AB17" s="472" t="s">
        <v>1110</v>
      </c>
      <c r="AC17" s="472" t="s">
        <v>1127</v>
      </c>
      <c r="AD17" s="478" t="s">
        <v>1132</v>
      </c>
      <c r="AE17" s="472" t="s">
        <v>1133</v>
      </c>
    </row>
    <row r="18" spans="2:31" x14ac:dyDescent="0.25">
      <c r="B18" s="528">
        <v>4</v>
      </c>
      <c r="C18" s="532" t="s">
        <v>1134</v>
      </c>
      <c r="D18" s="534"/>
      <c r="E18" s="536" t="s">
        <v>1134</v>
      </c>
      <c r="F18" s="538" t="s">
        <v>1135</v>
      </c>
      <c r="G18" s="479"/>
      <c r="H18" s="479"/>
      <c r="I18" s="479"/>
      <c r="J18" s="479"/>
      <c r="K18" s="539"/>
      <c r="L18" s="472" t="s">
        <v>320</v>
      </c>
      <c r="AB18" s="472" t="s">
        <v>1136</v>
      </c>
      <c r="AC18" s="472" t="s">
        <v>1137</v>
      </c>
      <c r="AD18" s="478" t="s">
        <v>1110</v>
      </c>
      <c r="AE18" s="472" t="s">
        <v>1119</v>
      </c>
    </row>
    <row r="19" spans="2:31" x14ac:dyDescent="0.25">
      <c r="B19" s="528">
        <v>5</v>
      </c>
      <c r="C19" s="532" t="s">
        <v>1138</v>
      </c>
      <c r="D19" s="534"/>
      <c r="E19" s="536" t="s">
        <v>1138</v>
      </c>
      <c r="F19" s="538" t="s">
        <v>1139</v>
      </c>
      <c r="G19" s="479"/>
      <c r="H19" s="479"/>
      <c r="I19" s="479"/>
      <c r="J19" s="479"/>
      <c r="K19" s="539"/>
      <c r="L19" s="472" t="s">
        <v>320</v>
      </c>
      <c r="AB19" s="472" t="s">
        <v>1140</v>
      </c>
      <c r="AC19" s="472" t="s">
        <v>1141</v>
      </c>
      <c r="AD19" s="478" t="s">
        <v>1142</v>
      </c>
      <c r="AE19" s="472">
        <v>0</v>
      </c>
    </row>
    <row r="20" spans="2:31" x14ac:dyDescent="0.25">
      <c r="B20" s="528">
        <v>6</v>
      </c>
      <c r="C20" s="532" t="s">
        <v>1143</v>
      </c>
      <c r="D20" s="534"/>
      <c r="E20" s="536" t="s">
        <v>1143</v>
      </c>
      <c r="F20" s="538" t="s">
        <v>1144</v>
      </c>
      <c r="G20" s="479"/>
      <c r="H20" s="479"/>
      <c r="I20" s="479"/>
      <c r="J20" s="479"/>
      <c r="K20" s="539"/>
      <c r="L20" s="472" t="s">
        <v>320</v>
      </c>
      <c r="AB20" s="472" t="s">
        <v>1145</v>
      </c>
      <c r="AC20" s="472" t="s">
        <v>1146</v>
      </c>
      <c r="AD20" s="472" t="s">
        <v>320</v>
      </c>
    </row>
    <row r="21" spans="2:31" ht="12.75" customHeight="1" x14ac:dyDescent="0.25">
      <c r="B21" s="528">
        <v>7</v>
      </c>
      <c r="C21" s="532" t="s">
        <v>1147</v>
      </c>
      <c r="D21" s="534"/>
      <c r="E21" s="536" t="s">
        <v>1147</v>
      </c>
      <c r="F21" s="538" t="s">
        <v>1148</v>
      </c>
      <c r="G21" s="479"/>
      <c r="H21" s="479"/>
      <c r="I21" s="479"/>
      <c r="J21" s="479"/>
      <c r="K21" s="539"/>
      <c r="L21" s="472" t="s">
        <v>320</v>
      </c>
      <c r="AB21" s="472" t="s">
        <v>1149</v>
      </c>
      <c r="AC21" s="472" t="s">
        <v>1150</v>
      </c>
    </row>
    <row r="22" spans="2:31" x14ac:dyDescent="0.25">
      <c r="B22" s="528">
        <v>8</v>
      </c>
      <c r="C22" s="532" t="s">
        <v>1151</v>
      </c>
      <c r="D22" s="534"/>
      <c r="E22" s="536" t="s">
        <v>1151</v>
      </c>
      <c r="F22" s="538" t="s">
        <v>1152</v>
      </c>
      <c r="G22" s="479"/>
      <c r="H22" s="479"/>
      <c r="I22" s="479"/>
      <c r="J22" s="479"/>
      <c r="K22" s="539"/>
      <c r="L22" s="472" t="s">
        <v>320</v>
      </c>
      <c r="AB22" s="472" t="s">
        <v>1153</v>
      </c>
      <c r="AC22" s="472" t="s">
        <v>1154</v>
      </c>
    </row>
    <row r="23" spans="2:31" x14ac:dyDescent="0.25">
      <c r="B23" s="528">
        <v>9</v>
      </c>
      <c r="C23" s="532" t="s">
        <v>1155</v>
      </c>
      <c r="D23" s="534"/>
      <c r="E23" s="536" t="s">
        <v>1155</v>
      </c>
      <c r="F23" s="538" t="s">
        <v>1156</v>
      </c>
      <c r="G23" s="479"/>
      <c r="H23" s="479"/>
      <c r="I23" s="479"/>
      <c r="J23" s="479"/>
      <c r="K23" s="539"/>
      <c r="L23" s="472" t="s">
        <v>320</v>
      </c>
    </row>
    <row r="24" spans="2:31" x14ac:dyDescent="0.25">
      <c r="B24" s="529">
        <v>10</v>
      </c>
      <c r="C24" s="533" t="s">
        <v>1157</v>
      </c>
      <c r="D24" s="535"/>
      <c r="E24" s="537" t="s">
        <v>1157</v>
      </c>
      <c r="F24" s="540" t="s">
        <v>1158</v>
      </c>
      <c r="G24" s="541"/>
      <c r="H24" s="541"/>
      <c r="I24" s="541"/>
      <c r="J24" s="541"/>
      <c r="K24" s="542"/>
      <c r="L24" s="472" t="s">
        <v>320</v>
      </c>
    </row>
    <row r="25" spans="2:31" x14ac:dyDescent="0.25">
      <c r="L25" s="472" t="s">
        <v>320</v>
      </c>
    </row>
    <row r="26" spans="2:31" x14ac:dyDescent="0.25">
      <c r="L26" s="472" t="s">
        <v>320</v>
      </c>
    </row>
  </sheetData>
  <phoneticPr fontId="1" type="noConversion"/>
  <conditionalFormatting sqref="D5">
    <cfRule type="expression" dxfId="1" priority="2">
      <formula>IF($C$5&lt;&gt;$AB$22,TRUE,FALSE)</formula>
    </cfRule>
  </conditionalFormatting>
  <conditionalFormatting sqref="D11">
    <cfRule type="expression" dxfId="0" priority="1">
      <formula>IF($C$11&lt;&gt;$AD$19,TRUE,FALSE)</formula>
    </cfRule>
  </conditionalFormatting>
  <dataValidations disablePrompts="1" count="2">
    <dataValidation type="list" allowBlank="1" showInputMessage="1" showErrorMessage="1" sqref="C11" xr:uid="{00000000-0002-0000-1B00-000000000000}">
      <formula1>List</formula1>
    </dataValidation>
    <dataValidation type="list" allowBlank="1" showInputMessage="1" showErrorMessage="1" sqref="C5:C6" xr:uid="{00000000-0002-0000-1B00-000001000000}">
      <formula1>$AB$17:$AB$22</formula1>
    </dataValidation>
  </dataValidation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
    <outlinePr summaryBelow="0" summaryRight="0"/>
    <pageSetUpPr autoPageBreaks="0"/>
  </sheetPr>
  <dimension ref="A1:I85"/>
  <sheetViews>
    <sheetView showGridLines="0" zoomScaleNormal="100" workbookViewId="0"/>
  </sheetViews>
  <sheetFormatPr defaultColWidth="9" defaultRowHeight="12.75" customHeight="1" x14ac:dyDescent="0.2"/>
  <cols>
    <col min="1" max="1" width="19.69921875" style="132" customWidth="1"/>
    <col min="2" max="9" width="14" style="132" customWidth="1"/>
    <col min="10" max="16384" width="9" style="132"/>
  </cols>
  <sheetData>
    <row r="1" spans="1:9" ht="12.75" customHeight="1" x14ac:dyDescent="0.2">
      <c r="C1" s="480">
        <f>COUNT('Input Tab'!$B$15:$B$26)+ROW($A$10)</f>
        <v>20</v>
      </c>
    </row>
    <row r="2" spans="1:9" ht="30" x14ac:dyDescent="0.2">
      <c r="A2" s="481" t="s">
        <v>1159</v>
      </c>
      <c r="B2" s="482"/>
      <c r="C2" s="482"/>
      <c r="D2" s="482"/>
      <c r="E2" s="482"/>
      <c r="F2" s="482"/>
      <c r="G2" s="482"/>
      <c r="H2" s="482"/>
      <c r="I2" s="482"/>
    </row>
    <row r="3" spans="1:9" ht="12.75" customHeight="1" x14ac:dyDescent="0.2">
      <c r="A3" s="483"/>
      <c r="B3" s="144"/>
    </row>
    <row r="4" spans="1:9" ht="12.75" customHeight="1" x14ac:dyDescent="0.2">
      <c r="A4" s="483" t="s">
        <v>308</v>
      </c>
      <c r="B4" s="144" t="str">
        <f>'Input Tab'!C7</f>
        <v>USD</v>
      </c>
    </row>
    <row r="5" spans="1:9" ht="12.75" customHeight="1" x14ac:dyDescent="0.2">
      <c r="A5" s="483" t="s">
        <v>1033</v>
      </c>
      <c r="B5" s="484">
        <f>'Input Tab'!C9</f>
        <v>43291</v>
      </c>
    </row>
    <row r="7" spans="1:9" ht="12.75" customHeight="1" x14ac:dyDescent="0.2">
      <c r="A7" s="103" t="s">
        <v>1162</v>
      </c>
      <c r="B7" s="103"/>
      <c r="C7" s="103"/>
      <c r="D7" s="103"/>
      <c r="E7" s="103"/>
      <c r="F7" s="103"/>
      <c r="G7" s="103"/>
      <c r="H7" s="103"/>
      <c r="I7" s="103"/>
    </row>
    <row r="8" spans="1:9" s="146" customFormat="1" ht="32.25" customHeight="1" x14ac:dyDescent="0.2">
      <c r="A8" s="526" t="s">
        <v>1117</v>
      </c>
      <c r="B8" s="527" t="s">
        <v>1163</v>
      </c>
      <c r="C8" s="527" t="s">
        <v>1164</v>
      </c>
      <c r="D8" s="527" t="s">
        <v>1165</v>
      </c>
      <c r="E8" s="527" t="s">
        <v>1166</v>
      </c>
      <c r="F8" s="527" t="s">
        <v>1167</v>
      </c>
      <c r="G8" s="527" t="s">
        <v>1168</v>
      </c>
      <c r="H8" s="527" t="s">
        <v>1169</v>
      </c>
      <c r="I8" s="527" t="s">
        <v>1170</v>
      </c>
    </row>
    <row r="9" spans="1:9" ht="12.75" customHeight="1" x14ac:dyDescent="0.2">
      <c r="A9" s="487" t="s">
        <v>1224</v>
      </c>
      <c r="B9" s="488">
        <v>4.6236499999999996</v>
      </c>
      <c r="C9" s="488">
        <v>29.082979999999999</v>
      </c>
      <c r="D9" s="488">
        <v>47.445990000000002</v>
      </c>
      <c r="E9" s="488" t="s">
        <v>319</v>
      </c>
      <c r="F9" s="488">
        <v>9.7197399999999998</v>
      </c>
      <c r="G9" s="489">
        <v>3.6374300000000002</v>
      </c>
      <c r="H9" s="489">
        <v>25.6221</v>
      </c>
      <c r="I9" s="489">
        <v>111.32731</v>
      </c>
    </row>
    <row r="10" spans="1:9" ht="12.75" customHeight="1" x14ac:dyDescent="0.2">
      <c r="A10" s="559"/>
      <c r="B10" s="559"/>
      <c r="C10" s="559"/>
      <c r="D10" s="559"/>
      <c r="E10" s="559"/>
      <c r="F10" s="559"/>
      <c r="G10" s="559"/>
      <c r="H10" s="559"/>
      <c r="I10" s="559"/>
    </row>
    <row r="11" spans="1:9" ht="12.75" customHeight="1" x14ac:dyDescent="0.2">
      <c r="A11" s="490" t="s">
        <v>1121</v>
      </c>
      <c r="B11" s="488">
        <v>0.74358000000000002</v>
      </c>
      <c r="C11" s="488">
        <v>11.977220000000001</v>
      </c>
      <c r="D11" s="488" t="s">
        <v>319</v>
      </c>
      <c r="E11" s="488" t="s">
        <v>319</v>
      </c>
      <c r="F11" s="488">
        <v>2.1314000000000002</v>
      </c>
      <c r="G11" s="488">
        <v>0.68406</v>
      </c>
      <c r="H11" s="488">
        <v>12.47184</v>
      </c>
      <c r="I11" s="488" t="s">
        <v>319</v>
      </c>
    </row>
    <row r="12" spans="1:9" ht="12.75" customHeight="1" x14ac:dyDescent="0.2">
      <c r="A12" s="490" t="s">
        <v>1126</v>
      </c>
      <c r="B12" s="488">
        <v>2.71346</v>
      </c>
      <c r="C12" s="488">
        <v>25.971710000000002</v>
      </c>
      <c r="D12" s="488">
        <v>40.530920000000002</v>
      </c>
      <c r="E12" s="488">
        <v>69.330929999999995</v>
      </c>
      <c r="F12" s="488">
        <v>9.6178699999999999</v>
      </c>
      <c r="G12" s="488">
        <v>2.4972099999999999</v>
      </c>
      <c r="H12" s="488">
        <v>21.79102</v>
      </c>
      <c r="I12" s="488">
        <v>49.465240000000001</v>
      </c>
    </row>
    <row r="13" spans="1:9" ht="12.75" customHeight="1" x14ac:dyDescent="0.2">
      <c r="A13" s="490" t="s">
        <v>1131</v>
      </c>
      <c r="B13" s="488">
        <v>1.21696</v>
      </c>
      <c r="C13" s="488">
        <v>18.112089999999998</v>
      </c>
      <c r="D13" s="488">
        <v>89.98348</v>
      </c>
      <c r="E13" s="488" t="s">
        <v>319</v>
      </c>
      <c r="F13" s="488">
        <v>20.755140000000001</v>
      </c>
      <c r="G13" s="488">
        <v>1.2083999999999999</v>
      </c>
      <c r="H13" s="488">
        <v>17.088719999999999</v>
      </c>
      <c r="I13" s="488">
        <v>247.90795</v>
      </c>
    </row>
    <row r="14" spans="1:9" ht="12.75" customHeight="1" x14ac:dyDescent="0.2">
      <c r="A14" s="490" t="s">
        <v>1135</v>
      </c>
      <c r="B14" s="488">
        <v>0.69645999999999997</v>
      </c>
      <c r="C14" s="488">
        <v>9.8465900000000008</v>
      </c>
      <c r="D14" s="488">
        <v>55.731870000000001</v>
      </c>
      <c r="E14" s="488" t="s">
        <v>319</v>
      </c>
      <c r="F14" s="488">
        <v>2.2813300000000001</v>
      </c>
      <c r="G14" s="488">
        <v>0.59089000000000003</v>
      </c>
      <c r="H14" s="488">
        <v>7.8343600000000002</v>
      </c>
      <c r="I14" s="488">
        <v>289.54424</v>
      </c>
    </row>
    <row r="15" spans="1:9" ht="12.75" customHeight="1" x14ac:dyDescent="0.2">
      <c r="A15" s="490" t="s">
        <v>1139</v>
      </c>
      <c r="B15" s="488">
        <v>5.15463</v>
      </c>
      <c r="C15" s="488">
        <v>16.662099999999999</v>
      </c>
      <c r="D15" s="488">
        <v>24.28416</v>
      </c>
      <c r="E15" s="488">
        <v>22.886030000000002</v>
      </c>
      <c r="F15" s="488" t="s">
        <v>319</v>
      </c>
      <c r="G15" s="488">
        <v>4.22919</v>
      </c>
      <c r="H15" s="488">
        <v>15.62424</v>
      </c>
      <c r="I15" s="488">
        <v>30.400700000000001</v>
      </c>
    </row>
    <row r="16" spans="1:9" ht="12.75" customHeight="1" x14ac:dyDescent="0.2">
      <c r="A16" s="490" t="s">
        <v>1144</v>
      </c>
      <c r="B16" s="488">
        <v>6.9110300000000002</v>
      </c>
      <c r="C16" s="488">
        <v>15.35988</v>
      </c>
      <c r="D16" s="488">
        <v>17.854810000000001</v>
      </c>
      <c r="E16" s="488">
        <v>24.156949999999998</v>
      </c>
      <c r="F16" s="488" t="s">
        <v>319</v>
      </c>
      <c r="G16" s="488">
        <v>7.2905800000000003</v>
      </c>
      <c r="H16" s="488">
        <v>14.6051</v>
      </c>
      <c r="I16" s="488">
        <v>20.58006</v>
      </c>
    </row>
    <row r="17" spans="1:9" ht="12.75" customHeight="1" x14ac:dyDescent="0.2">
      <c r="A17" s="490" t="s">
        <v>1148</v>
      </c>
      <c r="B17" s="488">
        <v>2.0462899999999999</v>
      </c>
      <c r="C17" s="488">
        <v>27.005669999999999</v>
      </c>
      <c r="D17" s="488">
        <v>34.85521</v>
      </c>
      <c r="E17" s="488">
        <v>68.829610000000002</v>
      </c>
      <c r="F17" s="488">
        <v>20.108740000000001</v>
      </c>
      <c r="G17" s="488" t="s">
        <v>319</v>
      </c>
      <c r="H17" s="488" t="s">
        <v>319</v>
      </c>
      <c r="I17" s="488" t="s">
        <v>319</v>
      </c>
    </row>
    <row r="18" spans="1:9" ht="12.75" customHeight="1" x14ac:dyDescent="0.2">
      <c r="A18" s="490" t="s">
        <v>1152</v>
      </c>
      <c r="B18" s="488">
        <v>1.2364599999999999</v>
      </c>
      <c r="C18" s="488">
        <v>9.7937700000000003</v>
      </c>
      <c r="D18" s="488">
        <v>12.904949999999999</v>
      </c>
      <c r="E18" s="488">
        <v>8.2863299999999995</v>
      </c>
      <c r="F18" s="488" t="s">
        <v>319</v>
      </c>
      <c r="G18" s="488">
        <v>1.2126600000000001</v>
      </c>
      <c r="H18" s="488">
        <v>10.34789</v>
      </c>
      <c r="I18" s="488">
        <v>20.726469999999999</v>
      </c>
    </row>
    <row r="19" spans="1:9" ht="12.75" customHeight="1" x14ac:dyDescent="0.2">
      <c r="A19" s="490" t="s">
        <v>1156</v>
      </c>
      <c r="B19" s="488">
        <v>0.67476999999999998</v>
      </c>
      <c r="C19" s="488">
        <v>8.4248799999999999</v>
      </c>
      <c r="D19" s="488">
        <v>31.908570000000001</v>
      </c>
      <c r="E19" s="488" t="s">
        <v>319</v>
      </c>
      <c r="F19" s="488">
        <v>2.84368</v>
      </c>
      <c r="G19" s="488">
        <v>0.65925</v>
      </c>
      <c r="H19" s="488">
        <v>7.9472300000000002</v>
      </c>
      <c r="I19" s="488">
        <v>34.171680000000002</v>
      </c>
    </row>
    <row r="20" spans="1:9" ht="12.75" customHeight="1" x14ac:dyDescent="0.2">
      <c r="A20" s="490" t="s">
        <v>1158</v>
      </c>
      <c r="B20" s="488">
        <v>4.5234399999999999</v>
      </c>
      <c r="C20" s="488">
        <v>13.495810000000001</v>
      </c>
      <c r="D20" s="488">
        <v>18.282550000000001</v>
      </c>
      <c r="E20" s="488">
        <v>19.224170000000001</v>
      </c>
      <c r="F20" s="488" t="s">
        <v>319</v>
      </c>
      <c r="G20" s="488">
        <v>4.8651900000000001</v>
      </c>
      <c r="H20" s="488">
        <v>13.395479999999999</v>
      </c>
      <c r="I20" s="488">
        <v>22.726120000000002</v>
      </c>
    </row>
    <row r="21" spans="1:9" ht="12.75" customHeight="1" x14ac:dyDescent="0.2">
      <c r="A21" s="98"/>
      <c r="B21" s="98"/>
      <c r="C21" s="98"/>
      <c r="D21" s="98"/>
      <c r="E21" s="98"/>
      <c r="F21" s="98"/>
      <c r="G21" s="98"/>
      <c r="H21" s="98"/>
      <c r="I21" s="98"/>
    </row>
    <row r="22" spans="1:9" ht="12.75" customHeight="1" x14ac:dyDescent="0.2">
      <c r="A22" s="546" t="s">
        <v>564</v>
      </c>
      <c r="B22" s="547">
        <f>+MAX(B11:B20)</f>
        <v>6.9110300000000002</v>
      </c>
      <c r="C22" s="547">
        <f t="shared" ref="C22:I22" si="0">+MAX(C11:C20)</f>
        <v>27.005669999999999</v>
      </c>
      <c r="D22" s="547">
        <f t="shared" si="0"/>
        <v>89.98348</v>
      </c>
      <c r="E22" s="547">
        <f t="shared" si="0"/>
        <v>69.330929999999995</v>
      </c>
      <c r="F22" s="547">
        <f t="shared" si="0"/>
        <v>20.755140000000001</v>
      </c>
      <c r="G22" s="547">
        <f t="shared" si="0"/>
        <v>7.2905800000000003</v>
      </c>
      <c r="H22" s="547">
        <f t="shared" si="0"/>
        <v>21.79102</v>
      </c>
      <c r="I22" s="552">
        <f t="shared" si="0"/>
        <v>289.54424</v>
      </c>
    </row>
    <row r="23" spans="1:9" ht="12.75" customHeight="1" x14ac:dyDescent="0.2">
      <c r="A23" s="548" t="s">
        <v>565</v>
      </c>
      <c r="B23" s="549">
        <f>+MIN(B11:B20)</f>
        <v>0.67476999999999998</v>
      </c>
      <c r="C23" s="549">
        <f t="shared" ref="C23:I23" si="1">+MIN(C11:C20)</f>
        <v>8.4248799999999999</v>
      </c>
      <c r="D23" s="549">
        <f t="shared" si="1"/>
        <v>12.904949999999999</v>
      </c>
      <c r="E23" s="549">
        <f t="shared" si="1"/>
        <v>8.2863299999999995</v>
      </c>
      <c r="F23" s="549">
        <f t="shared" si="1"/>
        <v>2.1314000000000002</v>
      </c>
      <c r="G23" s="549">
        <f t="shared" si="1"/>
        <v>0.59089000000000003</v>
      </c>
      <c r="H23" s="549">
        <f t="shared" si="1"/>
        <v>7.8343600000000002</v>
      </c>
      <c r="I23" s="553">
        <f t="shared" si="1"/>
        <v>20.58006</v>
      </c>
    </row>
    <row r="24" spans="1:9" ht="12.75" customHeight="1" x14ac:dyDescent="0.2">
      <c r="A24" s="548" t="s">
        <v>1160</v>
      </c>
      <c r="B24" s="549">
        <f t="shared" ref="B24:G24" si="2">+AVERAGE(B11:B20)</f>
        <v>2.5917080000000001</v>
      </c>
      <c r="C24" s="549">
        <f t="shared" si="2"/>
        <v>15.664972000000001</v>
      </c>
      <c r="D24" s="549">
        <f t="shared" si="2"/>
        <v>36.259613333333327</v>
      </c>
      <c r="E24" s="549">
        <f t="shared" si="2"/>
        <v>35.452336666666667</v>
      </c>
      <c r="F24" s="549">
        <f t="shared" si="2"/>
        <v>9.6230266666666662</v>
      </c>
      <c r="G24" s="549">
        <f t="shared" si="2"/>
        <v>2.5819366666666661</v>
      </c>
      <c r="H24" s="557">
        <f>+AVERAGE(H11:H20)</f>
        <v>13.45620888888889</v>
      </c>
      <c r="I24" s="553">
        <f t="shared" ref="I24" si="3">+AVERAGE(I11:I20)</f>
        <v>89.440307500000003</v>
      </c>
    </row>
    <row r="25" spans="1:9" ht="12.75" customHeight="1" x14ac:dyDescent="0.2">
      <c r="A25" s="550" t="s">
        <v>1161</v>
      </c>
      <c r="B25" s="551">
        <f t="shared" ref="B25:G25" si="4">+MEDIAN(B11:B20)</f>
        <v>1.641375</v>
      </c>
      <c r="C25" s="551">
        <f t="shared" si="4"/>
        <v>14.427845000000001</v>
      </c>
      <c r="D25" s="551">
        <f t="shared" si="4"/>
        <v>31.908570000000001</v>
      </c>
      <c r="E25" s="551">
        <f t="shared" si="4"/>
        <v>23.52149</v>
      </c>
      <c r="F25" s="551">
        <f t="shared" si="4"/>
        <v>6.2307749999999995</v>
      </c>
      <c r="G25" s="551">
        <f t="shared" si="4"/>
        <v>1.2126600000000001</v>
      </c>
      <c r="H25" s="558">
        <f>+MEDIAN(H11:H20)</f>
        <v>13.395479999999999</v>
      </c>
      <c r="I25" s="554">
        <f t="shared" ref="I25" si="5">+MEDIAN(I11:I20)</f>
        <v>32.286190000000005</v>
      </c>
    </row>
    <row r="26" spans="1:9" ht="12.75" customHeight="1" x14ac:dyDescent="0.2">
      <c r="A26" s="98"/>
      <c r="B26" s="98"/>
      <c r="C26" s="98"/>
      <c r="D26" s="98"/>
      <c r="E26" s="98"/>
      <c r="F26" s="98"/>
      <c r="G26" s="98"/>
      <c r="H26" s="98"/>
      <c r="I26" s="98"/>
    </row>
    <row r="27" spans="1:9" ht="12.75" customHeight="1" x14ac:dyDescent="0.2">
      <c r="A27" s="98"/>
      <c r="B27" s="98"/>
      <c r="C27" s="98"/>
      <c r="D27" s="98"/>
      <c r="E27" s="98"/>
      <c r="F27" s="98"/>
      <c r="G27" s="98"/>
      <c r="H27" s="98"/>
      <c r="I27" s="98"/>
    </row>
    <row r="28" spans="1:9" ht="12.75" customHeight="1" x14ac:dyDescent="0.2">
      <c r="A28" s="98"/>
      <c r="B28" s="98"/>
      <c r="C28" s="98"/>
      <c r="D28" s="98"/>
      <c r="E28" s="98"/>
      <c r="F28" s="98"/>
      <c r="G28" s="98"/>
      <c r="H28" s="98"/>
      <c r="I28" s="98"/>
    </row>
    <row r="29" spans="1:9" ht="12.75" customHeight="1" x14ac:dyDescent="0.2">
      <c r="A29" s="98"/>
      <c r="B29" s="98"/>
      <c r="C29" s="98"/>
      <c r="D29" s="98"/>
      <c r="E29" s="98"/>
      <c r="F29" s="98"/>
      <c r="G29" s="98"/>
      <c r="H29" s="98"/>
      <c r="I29" s="98"/>
    </row>
    <row r="30" spans="1:9" ht="12.75" customHeight="1" x14ac:dyDescent="0.2">
      <c r="A30" s="98"/>
      <c r="B30" s="98"/>
      <c r="C30" s="98"/>
      <c r="D30" s="98"/>
      <c r="E30" s="98"/>
      <c r="F30" s="98"/>
      <c r="G30" s="98"/>
      <c r="H30" s="98"/>
      <c r="I30" s="98"/>
    </row>
    <row r="31" spans="1:9" ht="12.75" customHeight="1" x14ac:dyDescent="0.2">
      <c r="A31" s="98"/>
      <c r="B31" s="98"/>
      <c r="C31" s="98"/>
      <c r="D31" s="98"/>
      <c r="E31" s="98"/>
      <c r="F31" s="98"/>
      <c r="G31" s="98"/>
      <c r="H31" s="98"/>
      <c r="I31" s="98"/>
    </row>
    <row r="32" spans="1:9" ht="12.75" customHeight="1" x14ac:dyDescent="0.2">
      <c r="A32" s="98"/>
      <c r="B32" s="98"/>
      <c r="C32" s="98"/>
      <c r="D32" s="98"/>
      <c r="E32" s="98"/>
      <c r="F32" s="98"/>
      <c r="G32" s="98"/>
      <c r="H32" s="98"/>
      <c r="I32" s="98"/>
    </row>
    <row r="33" spans="1:9" ht="12.75" customHeight="1" x14ac:dyDescent="0.2">
      <c r="A33" s="98"/>
      <c r="B33" s="98"/>
      <c r="C33" s="98"/>
      <c r="D33" s="98"/>
      <c r="E33" s="98"/>
      <c r="F33" s="98"/>
      <c r="G33" s="98"/>
      <c r="H33" s="98"/>
      <c r="I33" s="98"/>
    </row>
    <row r="34" spans="1:9" ht="12.75" customHeight="1" x14ac:dyDescent="0.2">
      <c r="A34" s="98"/>
      <c r="B34" s="98"/>
      <c r="C34" s="98"/>
      <c r="D34" s="98"/>
      <c r="E34" s="98"/>
      <c r="F34" s="98"/>
      <c r="G34" s="98"/>
      <c r="H34" s="98"/>
      <c r="I34" s="98"/>
    </row>
    <row r="35" spans="1:9" ht="12.75" customHeight="1" x14ac:dyDescent="0.2">
      <c r="A35" s="98"/>
      <c r="B35" s="98"/>
      <c r="C35" s="98"/>
      <c r="D35" s="98"/>
      <c r="E35" s="98"/>
      <c r="F35" s="98"/>
      <c r="G35" s="98"/>
      <c r="H35" s="98"/>
      <c r="I35" s="98"/>
    </row>
    <row r="36" spans="1:9" ht="12.75" customHeight="1" x14ac:dyDescent="0.2">
      <c r="A36" s="98"/>
      <c r="B36" s="98"/>
      <c r="C36" s="98"/>
      <c r="D36" s="98"/>
      <c r="E36" s="98"/>
      <c r="F36" s="98"/>
      <c r="G36" s="98"/>
      <c r="H36" s="98"/>
      <c r="I36" s="98"/>
    </row>
    <row r="37" spans="1:9" ht="12.75" customHeight="1" x14ac:dyDescent="0.2">
      <c r="A37" s="98"/>
      <c r="B37" s="98"/>
      <c r="C37" s="98"/>
      <c r="D37" s="98"/>
      <c r="E37" s="98"/>
      <c r="F37" s="98"/>
      <c r="G37" s="98"/>
      <c r="H37" s="98"/>
      <c r="I37" s="98"/>
    </row>
    <row r="38" spans="1:9" ht="12.75" customHeight="1" x14ac:dyDescent="0.2">
      <c r="A38" s="98"/>
      <c r="B38" s="98"/>
      <c r="C38" s="98"/>
      <c r="D38" s="98"/>
      <c r="E38" s="98"/>
      <c r="F38" s="98"/>
      <c r="G38" s="98"/>
      <c r="H38" s="98"/>
      <c r="I38" s="98"/>
    </row>
    <row r="39" spans="1:9" ht="12.75" customHeight="1" x14ac:dyDescent="0.2">
      <c r="A39" s="98"/>
      <c r="B39" s="98"/>
      <c r="C39" s="98"/>
      <c r="D39" s="98"/>
      <c r="E39" s="98"/>
      <c r="F39" s="98"/>
      <c r="G39" s="98"/>
      <c r="H39" s="98"/>
      <c r="I39" s="98"/>
    </row>
    <row r="40" spans="1:9" ht="12.75" customHeight="1" x14ac:dyDescent="0.2">
      <c r="A40" s="98"/>
      <c r="B40" s="98"/>
      <c r="C40" s="98"/>
      <c r="D40" s="98"/>
      <c r="E40" s="98"/>
      <c r="F40" s="98"/>
      <c r="G40" s="98"/>
      <c r="H40" s="98"/>
      <c r="I40" s="98"/>
    </row>
    <row r="41" spans="1:9" ht="12.75" customHeight="1" x14ac:dyDescent="0.2">
      <c r="A41" s="98"/>
      <c r="B41" s="98"/>
      <c r="C41" s="98"/>
      <c r="D41" s="98"/>
      <c r="E41" s="98"/>
      <c r="F41" s="98"/>
      <c r="G41" s="98"/>
      <c r="H41" s="98"/>
      <c r="I41" s="98"/>
    </row>
    <row r="42" spans="1:9" ht="12.75" customHeight="1" x14ac:dyDescent="0.2">
      <c r="A42" s="98"/>
      <c r="B42" s="98"/>
      <c r="C42" s="98"/>
      <c r="D42" s="98"/>
      <c r="E42" s="98"/>
      <c r="F42" s="98"/>
      <c r="G42" s="98"/>
      <c r="H42" s="98"/>
      <c r="I42" s="98"/>
    </row>
    <row r="43" spans="1:9" ht="12.75" customHeight="1" x14ac:dyDescent="0.2">
      <c r="A43" s="98"/>
      <c r="B43" s="98"/>
      <c r="C43" s="98"/>
      <c r="D43" s="98"/>
      <c r="E43" s="98"/>
      <c r="F43" s="98"/>
      <c r="G43" s="98"/>
      <c r="H43" s="98"/>
      <c r="I43" s="98"/>
    </row>
    <row r="44" spans="1:9" ht="12.75" customHeight="1" x14ac:dyDescent="0.2">
      <c r="A44" s="98"/>
      <c r="B44" s="98"/>
      <c r="C44" s="98"/>
      <c r="D44" s="98"/>
      <c r="E44" s="98"/>
      <c r="F44" s="98"/>
      <c r="G44" s="98"/>
      <c r="H44" s="98"/>
      <c r="I44" s="98"/>
    </row>
    <row r="45" spans="1:9" ht="12.75" customHeight="1" x14ac:dyDescent="0.2">
      <c r="A45" s="98"/>
      <c r="B45" s="98"/>
      <c r="C45" s="98"/>
      <c r="D45" s="98"/>
      <c r="E45" s="98"/>
      <c r="F45" s="98"/>
      <c r="G45" s="98"/>
      <c r="H45" s="98"/>
      <c r="I45" s="98"/>
    </row>
    <row r="46" spans="1:9" ht="12.75" customHeight="1" x14ac:dyDescent="0.2">
      <c r="A46" s="98"/>
      <c r="B46" s="98"/>
      <c r="C46" s="98"/>
      <c r="D46" s="98"/>
      <c r="E46" s="98"/>
      <c r="F46" s="98"/>
      <c r="G46" s="98"/>
      <c r="H46" s="98"/>
      <c r="I46" s="98"/>
    </row>
    <row r="47" spans="1:9" ht="12.75" customHeight="1" x14ac:dyDescent="0.2">
      <c r="A47" s="98"/>
      <c r="B47" s="98"/>
      <c r="C47" s="98"/>
      <c r="D47" s="98"/>
      <c r="E47" s="98"/>
      <c r="F47" s="98"/>
      <c r="G47" s="98"/>
      <c r="H47" s="98"/>
      <c r="I47" s="98"/>
    </row>
    <row r="48" spans="1:9" ht="12.75" customHeight="1" x14ac:dyDescent="0.2">
      <c r="A48" s="98"/>
      <c r="B48" s="98"/>
      <c r="C48" s="98"/>
      <c r="D48" s="98"/>
      <c r="E48" s="98"/>
      <c r="F48" s="98"/>
      <c r="G48" s="98"/>
      <c r="H48" s="98"/>
      <c r="I48" s="98"/>
    </row>
    <row r="49" spans="1:9" ht="12.75" customHeight="1" x14ac:dyDescent="0.2">
      <c r="A49" s="98"/>
      <c r="B49" s="98"/>
      <c r="C49" s="98"/>
      <c r="D49" s="98"/>
      <c r="E49" s="98"/>
      <c r="F49" s="98"/>
      <c r="G49" s="98"/>
      <c r="H49" s="98"/>
      <c r="I49" s="98"/>
    </row>
    <row r="50" spans="1:9" ht="12.75" customHeight="1" x14ac:dyDescent="0.2">
      <c r="A50" s="98"/>
      <c r="B50" s="98"/>
      <c r="C50" s="98"/>
      <c r="D50" s="98"/>
      <c r="E50" s="98"/>
      <c r="F50" s="98"/>
      <c r="G50" s="98"/>
      <c r="H50" s="98"/>
      <c r="I50" s="98"/>
    </row>
    <row r="51" spans="1:9" ht="12.75" customHeight="1" x14ac:dyDescent="0.2">
      <c r="A51" s="98"/>
      <c r="B51" s="98"/>
      <c r="C51" s="98"/>
      <c r="D51" s="98"/>
      <c r="E51" s="98"/>
      <c r="F51" s="98"/>
      <c r="G51" s="98"/>
      <c r="H51" s="98"/>
      <c r="I51" s="98"/>
    </row>
    <row r="52" spans="1:9" ht="12.75" customHeight="1" x14ac:dyDescent="0.2">
      <c r="A52" s="98"/>
      <c r="B52" s="98"/>
      <c r="C52" s="98"/>
      <c r="D52" s="98"/>
      <c r="E52" s="98"/>
      <c r="F52" s="98"/>
      <c r="G52" s="98"/>
      <c r="H52" s="98"/>
      <c r="I52" s="98"/>
    </row>
    <row r="53" spans="1:9" ht="12.75" customHeight="1" x14ac:dyDescent="0.2">
      <c r="A53" s="98"/>
      <c r="B53" s="98"/>
      <c r="C53" s="98"/>
      <c r="D53" s="98"/>
      <c r="E53" s="98"/>
      <c r="F53" s="98"/>
      <c r="G53" s="98"/>
      <c r="H53" s="98"/>
      <c r="I53" s="98"/>
    </row>
    <row r="54" spans="1:9" ht="12.75" customHeight="1" x14ac:dyDescent="0.2">
      <c r="A54" s="98"/>
      <c r="B54" s="98"/>
      <c r="C54" s="98"/>
      <c r="D54" s="98"/>
      <c r="E54" s="98"/>
      <c r="F54" s="98"/>
      <c r="G54" s="98"/>
      <c r="H54" s="98"/>
      <c r="I54" s="98"/>
    </row>
    <row r="55" spans="1:9" ht="12.75" customHeight="1" x14ac:dyDescent="0.2">
      <c r="A55" s="98"/>
      <c r="B55" s="98"/>
      <c r="C55" s="98"/>
      <c r="D55" s="98"/>
      <c r="E55" s="98"/>
      <c r="F55" s="98"/>
      <c r="G55" s="98"/>
      <c r="H55" s="98"/>
      <c r="I55" s="98"/>
    </row>
    <row r="56" spans="1:9" ht="12.75" customHeight="1" x14ac:dyDescent="0.2">
      <c r="A56" s="98"/>
      <c r="B56" s="98"/>
      <c r="C56" s="98"/>
      <c r="D56" s="98"/>
      <c r="E56" s="98"/>
      <c r="F56" s="98"/>
      <c r="G56" s="98"/>
      <c r="H56" s="98"/>
      <c r="I56" s="98"/>
    </row>
    <row r="57" spans="1:9" ht="12.75" customHeight="1" x14ac:dyDescent="0.2">
      <c r="A57" s="98"/>
      <c r="B57" s="98"/>
      <c r="C57" s="98"/>
      <c r="D57" s="98"/>
      <c r="E57" s="98"/>
      <c r="F57" s="98"/>
      <c r="G57" s="98"/>
      <c r="H57" s="98"/>
      <c r="I57" s="98"/>
    </row>
    <row r="58" spans="1:9" ht="12.75" customHeight="1" x14ac:dyDescent="0.2">
      <c r="A58" s="98"/>
      <c r="B58" s="98"/>
      <c r="C58" s="98"/>
      <c r="D58" s="98"/>
      <c r="E58" s="98"/>
      <c r="F58" s="98"/>
      <c r="G58" s="98"/>
      <c r="H58" s="98"/>
      <c r="I58" s="98"/>
    </row>
    <row r="59" spans="1:9" ht="12.75" customHeight="1" x14ac:dyDescent="0.2">
      <c r="A59" s="98"/>
      <c r="B59" s="98"/>
      <c r="C59" s="98"/>
      <c r="D59" s="98"/>
      <c r="E59" s="98"/>
      <c r="F59" s="98"/>
      <c r="G59" s="98"/>
      <c r="H59" s="98"/>
      <c r="I59" s="98"/>
    </row>
    <row r="60" spans="1:9" ht="12.75" customHeight="1" x14ac:dyDescent="0.2">
      <c r="A60" s="98"/>
      <c r="B60" s="98"/>
      <c r="C60" s="98"/>
      <c r="D60" s="98"/>
      <c r="E60" s="98"/>
      <c r="F60" s="98"/>
      <c r="G60" s="98"/>
      <c r="H60" s="98"/>
      <c r="I60" s="98"/>
    </row>
    <row r="61" spans="1:9" ht="12.75" customHeight="1" x14ac:dyDescent="0.2">
      <c r="A61" s="98"/>
      <c r="B61" s="98"/>
      <c r="C61" s="98"/>
      <c r="D61" s="98"/>
      <c r="E61" s="98"/>
      <c r="F61" s="98"/>
      <c r="G61" s="98"/>
      <c r="H61" s="98"/>
      <c r="I61" s="98"/>
    </row>
    <row r="62" spans="1:9" ht="12.75" customHeight="1" x14ac:dyDescent="0.2">
      <c r="A62" s="98"/>
      <c r="B62" s="98"/>
      <c r="C62" s="98"/>
      <c r="D62" s="98"/>
      <c r="E62" s="98"/>
      <c r="F62" s="98"/>
      <c r="G62" s="98"/>
      <c r="H62" s="98"/>
      <c r="I62" s="98"/>
    </row>
    <row r="63" spans="1:9" ht="12.75" customHeight="1" x14ac:dyDescent="0.2">
      <c r="A63" s="98"/>
      <c r="B63" s="98"/>
      <c r="C63" s="98"/>
      <c r="D63" s="98"/>
      <c r="E63" s="98"/>
      <c r="F63" s="98"/>
      <c r="G63" s="98"/>
      <c r="H63" s="98"/>
      <c r="I63" s="98"/>
    </row>
    <row r="64" spans="1:9" ht="12.75" customHeight="1" x14ac:dyDescent="0.2">
      <c r="A64" s="98"/>
      <c r="B64" s="98"/>
      <c r="C64" s="98"/>
      <c r="D64" s="98"/>
      <c r="E64" s="98"/>
      <c r="F64" s="98"/>
      <c r="G64" s="98"/>
      <c r="H64" s="98"/>
      <c r="I64" s="98"/>
    </row>
    <row r="65" spans="1:9" ht="12.75" customHeight="1" x14ac:dyDescent="0.2">
      <c r="A65" s="98"/>
      <c r="B65" s="98"/>
      <c r="C65" s="98"/>
      <c r="D65" s="98"/>
      <c r="E65" s="98"/>
      <c r="F65" s="98"/>
      <c r="G65" s="98"/>
      <c r="H65" s="98"/>
      <c r="I65" s="98"/>
    </row>
    <row r="66" spans="1:9" ht="12.75" customHeight="1" x14ac:dyDescent="0.2">
      <c r="A66" s="98"/>
      <c r="B66" s="98"/>
      <c r="C66" s="98"/>
      <c r="D66" s="98"/>
      <c r="E66" s="98"/>
      <c r="F66" s="98"/>
      <c r="G66" s="98"/>
      <c r="H66" s="98"/>
      <c r="I66" s="98"/>
    </row>
    <row r="67" spans="1:9" ht="12.75" customHeight="1" x14ac:dyDescent="0.2">
      <c r="A67" s="98"/>
      <c r="B67" s="98"/>
      <c r="C67" s="98"/>
      <c r="D67" s="98"/>
      <c r="E67" s="98"/>
      <c r="F67" s="98"/>
      <c r="G67" s="98"/>
      <c r="H67" s="98"/>
      <c r="I67" s="98"/>
    </row>
    <row r="68" spans="1:9" ht="12.75" customHeight="1" x14ac:dyDescent="0.2">
      <c r="A68" s="98"/>
      <c r="B68" s="98"/>
      <c r="C68" s="98"/>
      <c r="D68" s="98"/>
      <c r="E68" s="98"/>
      <c r="F68" s="98"/>
      <c r="G68" s="98"/>
      <c r="H68" s="98"/>
      <c r="I68" s="98"/>
    </row>
    <row r="69" spans="1:9" ht="12.75" customHeight="1" x14ac:dyDescent="0.2">
      <c r="A69" s="98"/>
      <c r="B69" s="98"/>
      <c r="C69" s="98"/>
      <c r="D69" s="98"/>
      <c r="E69" s="98"/>
      <c r="F69" s="98"/>
      <c r="G69" s="98"/>
      <c r="H69" s="98"/>
      <c r="I69" s="98"/>
    </row>
    <row r="70" spans="1:9" ht="12.75" customHeight="1" x14ac:dyDescent="0.2">
      <c r="A70" s="98"/>
      <c r="B70" s="98"/>
      <c r="C70" s="98"/>
      <c r="D70" s="98"/>
      <c r="E70" s="98"/>
      <c r="F70" s="98"/>
      <c r="G70" s="98"/>
      <c r="H70" s="98"/>
      <c r="I70" s="98"/>
    </row>
    <row r="71" spans="1:9" ht="12.75" customHeight="1" x14ac:dyDescent="0.2">
      <c r="A71" s="98"/>
      <c r="B71" s="98"/>
      <c r="C71" s="98"/>
      <c r="D71" s="98"/>
      <c r="E71" s="98"/>
      <c r="F71" s="98"/>
      <c r="G71" s="98"/>
      <c r="H71" s="98"/>
      <c r="I71" s="98"/>
    </row>
    <row r="72" spans="1:9" ht="12.75" customHeight="1" x14ac:dyDescent="0.2">
      <c r="A72" s="98"/>
      <c r="B72" s="98"/>
      <c r="C72" s="98"/>
      <c r="D72" s="98"/>
      <c r="E72" s="98"/>
      <c r="F72" s="98"/>
      <c r="G72" s="98"/>
      <c r="H72" s="98"/>
      <c r="I72" s="98"/>
    </row>
    <row r="73" spans="1:9" ht="12.75" customHeight="1" x14ac:dyDescent="0.2">
      <c r="A73" s="98"/>
      <c r="B73" s="98"/>
      <c r="C73" s="98"/>
      <c r="D73" s="98"/>
      <c r="E73" s="98"/>
      <c r="F73" s="98"/>
      <c r="G73" s="98"/>
      <c r="H73" s="98"/>
      <c r="I73" s="98"/>
    </row>
    <row r="74" spans="1:9" ht="12.75" customHeight="1" x14ac:dyDescent="0.2">
      <c r="A74" s="98"/>
      <c r="B74" s="98"/>
      <c r="C74" s="98"/>
      <c r="D74" s="98"/>
      <c r="E74" s="98"/>
      <c r="F74" s="98"/>
      <c r="G74" s="98"/>
      <c r="H74" s="98"/>
      <c r="I74" s="98"/>
    </row>
    <row r="75" spans="1:9" ht="12.75" customHeight="1" x14ac:dyDescent="0.2">
      <c r="A75" s="98"/>
      <c r="B75" s="98"/>
      <c r="C75" s="98"/>
      <c r="D75" s="98"/>
      <c r="E75" s="98"/>
      <c r="F75" s="98"/>
      <c r="G75" s="98"/>
      <c r="H75" s="98"/>
      <c r="I75" s="98"/>
    </row>
    <row r="76" spans="1:9" ht="12.75" customHeight="1" x14ac:dyDescent="0.2">
      <c r="A76" s="98"/>
      <c r="B76" s="98"/>
      <c r="C76" s="98"/>
      <c r="D76" s="98"/>
      <c r="E76" s="98"/>
      <c r="F76" s="98"/>
      <c r="G76" s="98"/>
      <c r="H76" s="98"/>
      <c r="I76" s="98"/>
    </row>
    <row r="77" spans="1:9" ht="12.75" customHeight="1" x14ac:dyDescent="0.2">
      <c r="A77" s="98"/>
      <c r="B77" s="98"/>
      <c r="C77" s="98"/>
      <c r="D77" s="98"/>
      <c r="E77" s="98"/>
      <c r="F77" s="98"/>
      <c r="G77" s="98"/>
      <c r="H77" s="98"/>
      <c r="I77" s="98"/>
    </row>
    <row r="78" spans="1:9" ht="12.75" customHeight="1" x14ac:dyDescent="0.2">
      <c r="A78" s="98"/>
      <c r="B78" s="98"/>
      <c r="C78" s="98"/>
      <c r="D78" s="98"/>
      <c r="E78" s="98"/>
      <c r="F78" s="98"/>
      <c r="G78" s="98"/>
      <c r="H78" s="98"/>
      <c r="I78" s="98"/>
    </row>
    <row r="79" spans="1:9" ht="12.75" customHeight="1" x14ac:dyDescent="0.2">
      <c r="A79" s="98"/>
      <c r="B79" s="98"/>
      <c r="C79" s="98"/>
      <c r="D79" s="98"/>
      <c r="E79" s="98"/>
      <c r="F79" s="98"/>
      <c r="G79" s="98"/>
      <c r="H79" s="98"/>
      <c r="I79" s="98"/>
    </row>
    <row r="80" spans="1:9" ht="12.75" customHeight="1" x14ac:dyDescent="0.2">
      <c r="A80" s="98"/>
      <c r="B80" s="98"/>
      <c r="C80" s="98"/>
      <c r="D80" s="98"/>
      <c r="E80" s="98"/>
      <c r="F80" s="98"/>
      <c r="G80" s="98"/>
      <c r="H80" s="98"/>
      <c r="I80" s="98"/>
    </row>
    <row r="81" spans="1:9" ht="12.75" customHeight="1" x14ac:dyDescent="0.2">
      <c r="A81" s="98"/>
      <c r="B81" s="98"/>
      <c r="C81" s="98"/>
      <c r="D81" s="98"/>
      <c r="E81" s="98"/>
      <c r="F81" s="98"/>
      <c r="G81" s="98"/>
      <c r="H81" s="98"/>
      <c r="I81" s="98"/>
    </row>
    <row r="82" spans="1:9" ht="12.75" customHeight="1" x14ac:dyDescent="0.2">
      <c r="A82" s="98"/>
      <c r="B82" s="98"/>
      <c r="C82" s="98"/>
      <c r="D82" s="98"/>
      <c r="E82" s="98"/>
      <c r="F82" s="98"/>
      <c r="G82" s="98"/>
      <c r="H82" s="98"/>
      <c r="I82" s="98"/>
    </row>
    <row r="83" spans="1:9" ht="12.75" customHeight="1" x14ac:dyDescent="0.2">
      <c r="A83" s="98"/>
      <c r="B83" s="98"/>
      <c r="C83" s="98"/>
      <c r="D83" s="98"/>
      <c r="E83" s="98"/>
      <c r="F83" s="98"/>
      <c r="G83" s="98"/>
      <c r="H83" s="98"/>
      <c r="I83" s="98"/>
    </row>
    <row r="84" spans="1:9" ht="12.75" customHeight="1" x14ac:dyDescent="0.2">
      <c r="A84" s="98"/>
      <c r="B84" s="98"/>
      <c r="C84" s="98"/>
      <c r="D84" s="98"/>
      <c r="E84" s="98"/>
      <c r="F84" s="98"/>
      <c r="G84" s="98"/>
      <c r="H84" s="98"/>
      <c r="I84" s="98"/>
    </row>
    <row r="85" spans="1:9" ht="12.75" customHeight="1" x14ac:dyDescent="0.2">
      <c r="A85" s="98"/>
      <c r="B85" s="98"/>
      <c r="C85" s="98"/>
      <c r="D85" s="98"/>
      <c r="E85" s="98"/>
      <c r="F85" s="98"/>
      <c r="G85" s="98"/>
      <c r="H85" s="98"/>
      <c r="I85" s="98"/>
    </row>
  </sheetData>
  <phoneticPr fontId="1" type="noConversion"/>
  <printOptions horizontalCentered="1"/>
  <pageMargins left="0.25" right="0.25" top="0.5" bottom="0.5" header="0" footer="0"/>
  <pageSetup scale="60"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outlinePr summaryBelow="0" summaryRight="0"/>
    <pageSetUpPr autoPageBreaks="0"/>
  </sheetPr>
  <dimension ref="B1:R42"/>
  <sheetViews>
    <sheetView showGridLines="0" zoomScale="50" zoomScaleNormal="50" workbookViewId="0"/>
  </sheetViews>
  <sheetFormatPr defaultColWidth="9" defaultRowHeight="12.75" customHeight="1" x14ac:dyDescent="0.2"/>
  <cols>
    <col min="1" max="1" width="1.19921875" style="132" customWidth="1"/>
    <col min="2" max="2" width="22.59765625" style="132" customWidth="1"/>
    <col min="3" max="3" width="66.296875" style="132" customWidth="1"/>
    <col min="4" max="7" width="8.09765625" style="132" customWidth="1"/>
    <col min="8" max="10" width="9" style="132"/>
    <col min="11" max="11" width="20.69921875" style="132" bestFit="1" customWidth="1"/>
    <col min="12" max="13" width="14.19921875" style="132" customWidth="1"/>
    <col min="14" max="14" width="21.69921875" style="132" customWidth="1"/>
    <col min="15" max="15" width="17.5" style="132" customWidth="1"/>
    <col min="16" max="16" width="20.296875" style="132" bestFit="1" customWidth="1"/>
    <col min="17" max="17" width="11.796875" style="132" bestFit="1" customWidth="1"/>
    <col min="18" max="16384" width="9" style="132"/>
  </cols>
  <sheetData>
    <row r="1" spans="2:18" ht="12.75" customHeight="1" x14ac:dyDescent="0.2">
      <c r="J1" s="132" t="str">
        <f>'Input Tab'!C3</f>
        <v>NYSE:SHAK</v>
      </c>
    </row>
    <row r="2" spans="2:18" ht="30" x14ac:dyDescent="0.2">
      <c r="B2" s="481" t="s">
        <v>1225</v>
      </c>
      <c r="C2" s="482"/>
      <c r="D2" s="482"/>
      <c r="E2" s="482"/>
      <c r="F2" s="482"/>
      <c r="G2" s="482"/>
      <c r="H2" s="104"/>
      <c r="I2" s="104"/>
      <c r="J2" s="104"/>
      <c r="K2" s="104"/>
      <c r="L2" s="104"/>
      <c r="M2" s="104"/>
      <c r="N2" s="104"/>
      <c r="O2" s="104"/>
      <c r="P2" s="104"/>
      <c r="Q2" s="104"/>
      <c r="R2" s="104"/>
    </row>
    <row r="3" spans="2:18" ht="12.75" customHeight="1" x14ac:dyDescent="0.2">
      <c r="B3" s="483"/>
      <c r="C3" s="144"/>
    </row>
    <row r="4" spans="2:18" ht="12.75" customHeight="1" x14ac:dyDescent="0.2">
      <c r="B4" s="483" t="s">
        <v>308</v>
      </c>
      <c r="C4" s="144" t="str">
        <f>'Input Tab'!C7</f>
        <v>USD</v>
      </c>
    </row>
    <row r="5" spans="2:18" ht="12.75" customHeight="1" x14ac:dyDescent="0.2">
      <c r="B5" s="483" t="s">
        <v>1033</v>
      </c>
      <c r="C5" s="484">
        <f>'Input Tab'!C9</f>
        <v>43291</v>
      </c>
    </row>
    <row r="7" spans="2:18" ht="12.75" customHeight="1" x14ac:dyDescent="0.25">
      <c r="B7" s="485" t="s">
        <v>1162</v>
      </c>
      <c r="C7" s="486"/>
      <c r="D7" s="486"/>
      <c r="E7" s="486"/>
      <c r="F7" s="486"/>
      <c r="G7" s="486"/>
      <c r="H7" s="104"/>
      <c r="I7" s="104"/>
      <c r="J7" s="104"/>
      <c r="K7" s="104"/>
      <c r="L7" s="104"/>
      <c r="M7" s="104"/>
      <c r="N7" s="104"/>
      <c r="O7" s="104"/>
      <c r="P7" s="104"/>
      <c r="Q7" s="104"/>
      <c r="R7" s="104"/>
    </row>
    <row r="8" spans="2:18" ht="12.75" customHeight="1" x14ac:dyDescent="0.2">
      <c r="B8" s="491"/>
      <c r="C8" s="492"/>
      <c r="D8" s="493"/>
      <c r="E8" s="493"/>
      <c r="G8" s="494"/>
    </row>
    <row r="9" spans="2:18" ht="15.6" x14ac:dyDescent="0.2">
      <c r="B9" s="495" t="str">
        <f>"Implied Equity Value for "&amp;_xll.ciqfunctions.udf.CIQ($J$1,"IQ_COMPANY_NAME")</f>
        <v>Implied Equity Value for #CIQINACTIVE</v>
      </c>
      <c r="C9" s="496"/>
      <c r="D9" s="496"/>
      <c r="E9" s="496"/>
      <c r="F9" s="497"/>
      <c r="G9" s="498"/>
      <c r="K9" s="499" t="s">
        <v>1171</v>
      </c>
      <c r="L9" s="499" t="s">
        <v>1172</v>
      </c>
      <c r="M9" s="499" t="s">
        <v>1173</v>
      </c>
      <c r="N9" s="499" t="s">
        <v>1174</v>
      </c>
      <c r="O9" s="499" t="s">
        <v>1175</v>
      </c>
      <c r="P9" s="499" t="s">
        <v>1176</v>
      </c>
      <c r="Q9" s="499" t="s">
        <v>1177</v>
      </c>
      <c r="R9" s="499" t="s">
        <v>1178</v>
      </c>
    </row>
    <row r="10" spans="2:18" ht="12.75" customHeight="1" x14ac:dyDescent="0.2">
      <c r="B10" s="500" t="s">
        <v>1179</v>
      </c>
      <c r="C10" s="501"/>
      <c r="D10" s="501"/>
      <c r="E10" s="501"/>
      <c r="F10" s="496"/>
      <c r="G10" s="498"/>
      <c r="J10" s="132" t="s">
        <v>564</v>
      </c>
      <c r="K10" s="502">
        <v>2654.0566823099998</v>
      </c>
      <c r="L10" s="502">
        <v>1656.274602</v>
      </c>
      <c r="M10" s="502">
        <v>3362.2573480799997</v>
      </c>
      <c r="N10" s="502">
        <v>3552.2072941379997</v>
      </c>
      <c r="O10" s="502">
        <v>1518.6372062099999</v>
      </c>
      <c r="P10" s="502">
        <v>67.544697930866278</v>
      </c>
      <c r="Q10" s="502">
        <v>4635.1075502321655</v>
      </c>
      <c r="R10" s="502">
        <v>3805.552281353438</v>
      </c>
    </row>
    <row r="11" spans="2:18" ht="12.75" customHeight="1" x14ac:dyDescent="0.2">
      <c r="B11" s="503"/>
      <c r="C11" s="504"/>
      <c r="D11" s="504"/>
      <c r="E11" s="504"/>
      <c r="G11" s="494"/>
      <c r="J11" s="132" t="s">
        <v>565</v>
      </c>
      <c r="K11" s="502">
        <v>276.93780429000003</v>
      </c>
      <c r="L11" s="502">
        <v>530.278728</v>
      </c>
      <c r="M11" s="502">
        <v>499.09827270000005</v>
      </c>
      <c r="N11" s="502">
        <v>306.03262722900001</v>
      </c>
      <c r="O11" s="502">
        <v>558.62136978000001</v>
      </c>
      <c r="P11" s="502">
        <v>8.0728421904260514</v>
      </c>
      <c r="Q11" s="502">
        <v>329.45152523231332</v>
      </c>
      <c r="R11" s="502">
        <v>390.80218839654748</v>
      </c>
    </row>
    <row r="12" spans="2:18" ht="12.75" customHeight="1" x14ac:dyDescent="0.2">
      <c r="B12" s="503"/>
      <c r="C12" s="504"/>
      <c r="D12" s="504"/>
      <c r="E12" s="504"/>
      <c r="G12" s="494"/>
      <c r="J12" s="132" t="s">
        <v>1160</v>
      </c>
      <c r="K12" s="502">
        <v>1007.6304803160001</v>
      </c>
      <c r="L12" s="502">
        <v>969.02830320000021</v>
      </c>
      <c r="M12" s="502">
        <v>1366.6305968799998</v>
      </c>
      <c r="N12" s="502">
        <v>1270.7467035469997</v>
      </c>
      <c r="O12" s="502">
        <v>945.32305652666673</v>
      </c>
      <c r="P12" s="502">
        <v>34.538947784104082</v>
      </c>
      <c r="Q12" s="502">
        <v>1431.7861912512458</v>
      </c>
      <c r="R12" s="502">
        <v>1764.4270809475772</v>
      </c>
    </row>
    <row r="13" spans="2:18" ht="12.75" customHeight="1" x14ac:dyDescent="0.2">
      <c r="B13" s="503"/>
      <c r="C13" s="504"/>
      <c r="D13" s="504"/>
      <c r="E13" s="504"/>
      <c r="G13" s="494"/>
      <c r="J13" s="132" t="s">
        <v>1161</v>
      </c>
      <c r="K13" s="502">
        <v>645.38539837500002</v>
      </c>
      <c r="L13" s="502">
        <v>894.0584070000001</v>
      </c>
      <c r="M13" s="502">
        <v>1205.0067412200001</v>
      </c>
      <c r="N13" s="502">
        <v>607.29642042600005</v>
      </c>
      <c r="O13" s="502">
        <v>941.1457895399999</v>
      </c>
      <c r="P13" s="502">
        <v>22.915485728143153</v>
      </c>
      <c r="Q13" s="502">
        <v>516.84662432666676</v>
      </c>
      <c r="R13" s="502">
        <v>1142.4418248130326</v>
      </c>
    </row>
    <row r="14" spans="2:18" ht="12.75" customHeight="1" x14ac:dyDescent="0.2">
      <c r="B14" s="503"/>
      <c r="C14" s="504"/>
      <c r="D14" s="504"/>
      <c r="E14" s="504"/>
      <c r="G14" s="494"/>
    </row>
    <row r="15" spans="2:18" ht="12.75" customHeight="1" x14ac:dyDescent="0.2">
      <c r="B15" s="503"/>
      <c r="C15" s="504"/>
      <c r="D15" s="504"/>
      <c r="E15" s="504"/>
      <c r="G15" s="494"/>
    </row>
    <row r="16" spans="2:18" ht="12.75" customHeight="1" x14ac:dyDescent="0.2">
      <c r="B16" s="503"/>
      <c r="C16" s="504"/>
      <c r="D16" s="504"/>
      <c r="E16" s="504"/>
      <c r="G16" s="494"/>
    </row>
    <row r="17" spans="2:15" ht="12.75" customHeight="1" x14ac:dyDescent="0.2">
      <c r="B17" s="503"/>
      <c r="C17" s="504"/>
      <c r="D17" s="504"/>
      <c r="E17" s="504"/>
      <c r="G17" s="494"/>
      <c r="K17" s="483" t="s">
        <v>1180</v>
      </c>
    </row>
    <row r="18" spans="2:15" ht="12.75" customHeight="1" x14ac:dyDescent="0.2">
      <c r="B18" s="503"/>
      <c r="C18" s="504"/>
      <c r="D18" s="504"/>
      <c r="E18" s="504"/>
      <c r="G18" s="494"/>
      <c r="K18" s="505"/>
      <c r="L18" s="506" t="s">
        <v>1160</v>
      </c>
      <c r="M18" s="506" t="s">
        <v>564</v>
      </c>
      <c r="N18" s="506" t="s">
        <v>565</v>
      </c>
      <c r="O18" s="507" t="s">
        <v>1161</v>
      </c>
    </row>
    <row r="19" spans="2:15" ht="12.75" customHeight="1" x14ac:dyDescent="0.2">
      <c r="B19" s="503"/>
      <c r="C19" s="504"/>
      <c r="D19" s="504"/>
      <c r="E19" s="504"/>
      <c r="G19" s="494"/>
      <c r="K19" s="508" t="s">
        <v>1181</v>
      </c>
      <c r="L19" s="509">
        <f t="array" ref="L19:L26">TRANSPOSE(K12:R12)</f>
        <v>1007.6304803160001</v>
      </c>
      <c r="M19" s="509">
        <f t="array" ref="M19:M26">TRANSPOSE(K10:R10)</f>
        <v>2654.0566823099998</v>
      </c>
      <c r="N19" s="509">
        <f t="array" ref="N19:N26">TRANSPOSE(K11:R11)</f>
        <v>276.93780429000003</v>
      </c>
      <c r="O19" s="511">
        <f t="array" ref="O19:O26">TRANSPOSE(K13:R13)</f>
        <v>645.38539837500002</v>
      </c>
    </row>
    <row r="20" spans="2:15" ht="12.75" customHeight="1" x14ac:dyDescent="0.2">
      <c r="B20" s="503"/>
      <c r="C20" s="504"/>
      <c r="D20" s="504"/>
      <c r="E20" s="504"/>
      <c r="G20" s="494"/>
      <c r="K20" s="508" t="s">
        <v>1182</v>
      </c>
      <c r="L20" s="509">
        <v>969.02830320000021</v>
      </c>
      <c r="M20" s="509">
        <v>1656.274602</v>
      </c>
      <c r="N20" s="509">
        <v>530.278728</v>
      </c>
      <c r="O20" s="511">
        <v>894.0584070000001</v>
      </c>
    </row>
    <row r="21" spans="2:15" ht="12.75" customHeight="1" x14ac:dyDescent="0.2">
      <c r="B21" s="503"/>
      <c r="C21" s="504"/>
      <c r="D21" s="504"/>
      <c r="E21" s="504"/>
      <c r="G21" s="494"/>
      <c r="K21" s="508" t="s">
        <v>1183</v>
      </c>
      <c r="L21" s="509">
        <v>1366.6305968799998</v>
      </c>
      <c r="M21" s="509">
        <v>3362.2573480799997</v>
      </c>
      <c r="N21" s="509">
        <v>499.09827270000005</v>
      </c>
      <c r="O21" s="511">
        <v>1205.0067412200001</v>
      </c>
    </row>
    <row r="22" spans="2:15" ht="12.75" customHeight="1" x14ac:dyDescent="0.2">
      <c r="B22" s="503"/>
      <c r="C22" s="504"/>
      <c r="D22" s="504"/>
      <c r="E22" s="504"/>
      <c r="G22" s="494"/>
      <c r="K22" s="508" t="s">
        <v>1184</v>
      </c>
      <c r="L22" s="509">
        <v>1270.7467035469997</v>
      </c>
      <c r="M22" s="509">
        <v>3552.2072941379997</v>
      </c>
      <c r="N22" s="509">
        <v>306.03262722900001</v>
      </c>
      <c r="O22" s="511">
        <v>607.29642042600005</v>
      </c>
    </row>
    <row r="23" spans="2:15" ht="12.75" customHeight="1" x14ac:dyDescent="0.2">
      <c r="B23" s="503"/>
      <c r="C23" s="504"/>
      <c r="D23" s="504"/>
      <c r="E23" s="504"/>
      <c r="G23" s="494"/>
      <c r="K23" s="508" t="s">
        <v>1185</v>
      </c>
      <c r="L23" s="509">
        <v>945.32305652666673</v>
      </c>
      <c r="M23" s="509">
        <v>1518.6372062099999</v>
      </c>
      <c r="N23" s="509">
        <v>558.62136978000001</v>
      </c>
      <c r="O23" s="511">
        <v>941.1457895399999</v>
      </c>
    </row>
    <row r="24" spans="2:15" ht="12.75" customHeight="1" x14ac:dyDescent="0.2">
      <c r="B24" s="503"/>
      <c r="C24" s="504"/>
      <c r="D24" s="504"/>
      <c r="E24" s="504"/>
      <c r="G24" s="494"/>
      <c r="K24" s="508" t="s">
        <v>1186</v>
      </c>
      <c r="L24" s="509">
        <v>34.538947784104082</v>
      </c>
      <c r="M24" s="509">
        <v>67.544697930866278</v>
      </c>
      <c r="N24" s="509">
        <v>8.0728421904260514</v>
      </c>
      <c r="O24" s="511">
        <v>22.915485728143153</v>
      </c>
    </row>
    <row r="25" spans="2:15" ht="12.75" customHeight="1" x14ac:dyDescent="0.2">
      <c r="B25" s="503"/>
      <c r="C25" s="504"/>
      <c r="D25" s="504"/>
      <c r="E25" s="504"/>
      <c r="G25" s="494"/>
      <c r="K25" s="508" t="s">
        <v>1187</v>
      </c>
      <c r="L25" s="509">
        <v>1431.7861912512458</v>
      </c>
      <c r="M25" s="509">
        <v>4635.1075502321655</v>
      </c>
      <c r="N25" s="509">
        <v>329.45152523231332</v>
      </c>
      <c r="O25" s="511">
        <v>516.84662432666676</v>
      </c>
    </row>
    <row r="26" spans="2:15" ht="12.75" customHeight="1" x14ac:dyDescent="0.2">
      <c r="B26" s="503"/>
      <c r="C26" s="504"/>
      <c r="D26" s="504"/>
      <c r="E26" s="504"/>
      <c r="G26" s="494"/>
      <c r="K26" s="513" t="s">
        <v>1188</v>
      </c>
      <c r="L26" s="510">
        <v>1764.4270809475772</v>
      </c>
      <c r="M26" s="510">
        <v>3805.552281353438</v>
      </c>
      <c r="N26" s="510">
        <v>390.80218839654748</v>
      </c>
      <c r="O26" s="512">
        <v>1142.4418248130326</v>
      </c>
    </row>
    <row r="27" spans="2:15" ht="12.75" customHeight="1" x14ac:dyDescent="0.2">
      <c r="B27" s="503"/>
      <c r="C27" s="504"/>
      <c r="D27" s="504"/>
      <c r="E27" s="504"/>
      <c r="G27" s="494"/>
    </row>
    <row r="28" spans="2:15" ht="12.75" customHeight="1" x14ac:dyDescent="0.2">
      <c r="B28" s="503"/>
      <c r="C28" s="504"/>
      <c r="D28" s="504"/>
      <c r="E28" s="504"/>
      <c r="G28" s="494"/>
    </row>
    <row r="29" spans="2:15" ht="12.75" customHeight="1" x14ac:dyDescent="0.2">
      <c r="B29" s="503"/>
      <c r="C29" s="504"/>
      <c r="D29" s="504"/>
      <c r="E29" s="504"/>
      <c r="G29" s="494"/>
    </row>
    <row r="30" spans="2:15" ht="12.75" customHeight="1" x14ac:dyDescent="0.2">
      <c r="B30" s="503"/>
      <c r="C30" s="504"/>
      <c r="D30" s="504"/>
      <c r="E30" s="504"/>
      <c r="G30" s="494"/>
    </row>
    <row r="31" spans="2:15" ht="12.75" customHeight="1" x14ac:dyDescent="0.2">
      <c r="B31" s="503"/>
      <c r="C31" s="504"/>
      <c r="D31" s="504"/>
      <c r="E31" s="504"/>
      <c r="G31" s="494"/>
    </row>
    <row r="32" spans="2:15" ht="12.75" customHeight="1" x14ac:dyDescent="0.2">
      <c r="B32" s="503"/>
      <c r="C32" s="504"/>
      <c r="D32" s="504"/>
      <c r="E32" s="504"/>
      <c r="G32" s="494"/>
    </row>
    <row r="33" spans="2:7" ht="12.75" customHeight="1" x14ac:dyDescent="0.2">
      <c r="B33" s="503"/>
      <c r="C33" s="504"/>
      <c r="D33" s="504"/>
      <c r="E33" s="504"/>
      <c r="G33" s="494"/>
    </row>
    <row r="34" spans="2:7" ht="12.75" customHeight="1" x14ac:dyDescent="0.2">
      <c r="B34" s="503"/>
      <c r="C34" s="504"/>
      <c r="D34" s="504"/>
      <c r="E34" s="504"/>
      <c r="G34" s="494"/>
    </row>
    <row r="35" spans="2:7" ht="12.75" customHeight="1" x14ac:dyDescent="0.2">
      <c r="B35" s="503"/>
      <c r="C35" s="504"/>
      <c r="D35" s="504"/>
      <c r="E35" s="504"/>
      <c r="G35" s="494"/>
    </row>
    <row r="36" spans="2:7" ht="12.75" customHeight="1" x14ac:dyDescent="0.2">
      <c r="B36" s="503"/>
      <c r="C36" s="504"/>
      <c r="D36" s="504"/>
      <c r="E36" s="504"/>
      <c r="G36" s="494"/>
    </row>
    <row r="37" spans="2:7" ht="12.75" customHeight="1" x14ac:dyDescent="0.2">
      <c r="B37" s="503"/>
      <c r="C37" s="504"/>
      <c r="D37" s="504"/>
      <c r="E37" s="504"/>
      <c r="G37" s="494"/>
    </row>
    <row r="38" spans="2:7" ht="12.75" customHeight="1" x14ac:dyDescent="0.2">
      <c r="B38" s="503"/>
      <c r="C38" s="504"/>
      <c r="D38" s="504"/>
      <c r="E38" s="504"/>
      <c r="G38" s="494"/>
    </row>
    <row r="39" spans="2:7" ht="12.75" customHeight="1" x14ac:dyDescent="0.2">
      <c r="B39" s="503"/>
      <c r="C39" s="504"/>
      <c r="D39" s="504"/>
      <c r="E39" s="504"/>
      <c r="G39" s="494"/>
    </row>
    <row r="40" spans="2:7" ht="12.75" customHeight="1" x14ac:dyDescent="0.2">
      <c r="B40" s="503"/>
      <c r="C40" s="504"/>
      <c r="D40" s="504"/>
      <c r="E40" s="504"/>
      <c r="G40" s="494"/>
    </row>
    <row r="41" spans="2:7" ht="12.75" customHeight="1" x14ac:dyDescent="0.2">
      <c r="B41" s="503"/>
      <c r="C41" s="504"/>
      <c r="D41" s="504"/>
      <c r="E41" s="504"/>
      <c r="G41" s="494"/>
    </row>
    <row r="42" spans="2:7" ht="12.75" customHeight="1" x14ac:dyDescent="0.2">
      <c r="B42" s="514"/>
      <c r="C42" s="515"/>
      <c r="D42" s="515"/>
      <c r="E42" s="515"/>
      <c r="F42" s="515"/>
      <c r="G42" s="516"/>
    </row>
  </sheetData>
  <phoneticPr fontId="1" type="noConversion"/>
  <printOptions horizontalCentered="1"/>
  <pageMargins left="0.2" right="0.2" top="0.5" bottom="0.5" header="0" footer="0"/>
  <pageSetup scale="95" fitToWidth="0" fitToHeight="0"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pageSetUpPr autoPageBreaks="0"/>
  </sheetPr>
  <dimension ref="A5:I16"/>
  <sheetViews>
    <sheetView showGridLines="0" workbookViewId="0"/>
  </sheetViews>
  <sheetFormatPr defaultRowHeight="10.199999999999999" x14ac:dyDescent="0.2"/>
  <cols>
    <col min="1" max="2" width="12.09765625" style="98" customWidth="1"/>
    <col min="3" max="3" width="13.796875" style="98" customWidth="1"/>
    <col min="4" max="5" width="22.59765625" style="98" customWidth="1"/>
    <col min="6" max="6" width="13.796875" style="98" customWidth="1"/>
    <col min="7" max="7" width="8.59765625" style="98" customWidth="1"/>
    <col min="8" max="9" width="14.69921875" style="98" customWidth="1"/>
    <col min="10" max="256" width="9" style="98"/>
    <col min="257" max="258" width="12.09765625" style="98" customWidth="1"/>
    <col min="259" max="259" width="13.796875" style="98" customWidth="1"/>
    <col min="260" max="261" width="22.59765625" style="98" customWidth="1"/>
    <col min="262" max="262" width="13.796875" style="98" customWidth="1"/>
    <col min="263" max="263" width="8.59765625" style="98" customWidth="1"/>
    <col min="264" max="265" width="14.69921875" style="98" customWidth="1"/>
    <col min="266" max="512" width="9" style="98"/>
    <col min="513" max="514" width="12.09765625" style="98" customWidth="1"/>
    <col min="515" max="515" width="13.796875" style="98" customWidth="1"/>
    <col min="516" max="517" width="22.59765625" style="98" customWidth="1"/>
    <col min="518" max="518" width="13.796875" style="98" customWidth="1"/>
    <col min="519" max="519" width="8.59765625" style="98" customWidth="1"/>
    <col min="520" max="521" width="14.69921875" style="98" customWidth="1"/>
    <col min="522" max="768" width="9" style="98"/>
    <col min="769" max="770" width="12.09765625" style="98" customWidth="1"/>
    <col min="771" max="771" width="13.796875" style="98" customWidth="1"/>
    <col min="772" max="773" width="22.59765625" style="98" customWidth="1"/>
    <col min="774" max="774" width="13.796875" style="98" customWidth="1"/>
    <col min="775" max="775" width="8.59765625" style="98" customWidth="1"/>
    <col min="776" max="777" width="14.69921875" style="98" customWidth="1"/>
    <col min="778" max="1024" width="9" style="98"/>
    <col min="1025" max="1026" width="12.09765625" style="98" customWidth="1"/>
    <col min="1027" max="1027" width="13.796875" style="98" customWidth="1"/>
    <col min="1028" max="1029" width="22.59765625" style="98" customWidth="1"/>
    <col min="1030" max="1030" width="13.796875" style="98" customWidth="1"/>
    <col min="1031" max="1031" width="8.59765625" style="98" customWidth="1"/>
    <col min="1032" max="1033" width="14.69921875" style="98" customWidth="1"/>
    <col min="1034" max="1280" width="9" style="98"/>
    <col min="1281" max="1282" width="12.09765625" style="98" customWidth="1"/>
    <col min="1283" max="1283" width="13.796875" style="98" customWidth="1"/>
    <col min="1284" max="1285" width="22.59765625" style="98" customWidth="1"/>
    <col min="1286" max="1286" width="13.796875" style="98" customWidth="1"/>
    <col min="1287" max="1287" width="8.59765625" style="98" customWidth="1"/>
    <col min="1288" max="1289" width="14.69921875" style="98" customWidth="1"/>
    <col min="1290" max="1536" width="9" style="98"/>
    <col min="1537" max="1538" width="12.09765625" style="98" customWidth="1"/>
    <col min="1539" max="1539" width="13.796875" style="98" customWidth="1"/>
    <col min="1540" max="1541" width="22.59765625" style="98" customWidth="1"/>
    <col min="1542" max="1542" width="13.796875" style="98" customWidth="1"/>
    <col min="1543" max="1543" width="8.59765625" style="98" customWidth="1"/>
    <col min="1544" max="1545" width="14.69921875" style="98" customWidth="1"/>
    <col min="1546" max="1792" width="9" style="98"/>
    <col min="1793" max="1794" width="12.09765625" style="98" customWidth="1"/>
    <col min="1795" max="1795" width="13.796875" style="98" customWidth="1"/>
    <col min="1796" max="1797" width="22.59765625" style="98" customWidth="1"/>
    <col min="1798" max="1798" width="13.796875" style="98" customWidth="1"/>
    <col min="1799" max="1799" width="8.59765625" style="98" customWidth="1"/>
    <col min="1800" max="1801" width="14.69921875" style="98" customWidth="1"/>
    <col min="1802" max="2048" width="9" style="98"/>
    <col min="2049" max="2050" width="12.09765625" style="98" customWidth="1"/>
    <col min="2051" max="2051" width="13.796875" style="98" customWidth="1"/>
    <col min="2052" max="2053" width="22.59765625" style="98" customWidth="1"/>
    <col min="2054" max="2054" width="13.796875" style="98" customWidth="1"/>
    <col min="2055" max="2055" width="8.59765625" style="98" customWidth="1"/>
    <col min="2056" max="2057" width="14.69921875" style="98" customWidth="1"/>
    <col min="2058" max="2304" width="9" style="98"/>
    <col min="2305" max="2306" width="12.09765625" style="98" customWidth="1"/>
    <col min="2307" max="2307" width="13.796875" style="98" customWidth="1"/>
    <col min="2308" max="2309" width="22.59765625" style="98" customWidth="1"/>
    <col min="2310" max="2310" width="13.796875" style="98" customWidth="1"/>
    <col min="2311" max="2311" width="8.59765625" style="98" customWidth="1"/>
    <col min="2312" max="2313" width="14.69921875" style="98" customWidth="1"/>
    <col min="2314" max="2560" width="9" style="98"/>
    <col min="2561" max="2562" width="12.09765625" style="98" customWidth="1"/>
    <col min="2563" max="2563" width="13.796875" style="98" customWidth="1"/>
    <col min="2564" max="2565" width="22.59765625" style="98" customWidth="1"/>
    <col min="2566" max="2566" width="13.796875" style="98" customWidth="1"/>
    <col min="2567" max="2567" width="8.59765625" style="98" customWidth="1"/>
    <col min="2568" max="2569" width="14.69921875" style="98" customWidth="1"/>
    <col min="2570" max="2816" width="9" style="98"/>
    <col min="2817" max="2818" width="12.09765625" style="98" customWidth="1"/>
    <col min="2819" max="2819" width="13.796875" style="98" customWidth="1"/>
    <col min="2820" max="2821" width="22.59765625" style="98" customWidth="1"/>
    <col min="2822" max="2822" width="13.796875" style="98" customWidth="1"/>
    <col min="2823" max="2823" width="8.59765625" style="98" customWidth="1"/>
    <col min="2824" max="2825" width="14.69921875" style="98" customWidth="1"/>
    <col min="2826" max="3072" width="9" style="98"/>
    <col min="3073" max="3074" width="12.09765625" style="98" customWidth="1"/>
    <col min="3075" max="3075" width="13.796875" style="98" customWidth="1"/>
    <col min="3076" max="3077" width="22.59765625" style="98" customWidth="1"/>
    <col min="3078" max="3078" width="13.796875" style="98" customWidth="1"/>
    <col min="3079" max="3079" width="8.59765625" style="98" customWidth="1"/>
    <col min="3080" max="3081" width="14.69921875" style="98" customWidth="1"/>
    <col min="3082" max="3328" width="9" style="98"/>
    <col min="3329" max="3330" width="12.09765625" style="98" customWidth="1"/>
    <col min="3331" max="3331" width="13.796875" style="98" customWidth="1"/>
    <col min="3332" max="3333" width="22.59765625" style="98" customWidth="1"/>
    <col min="3334" max="3334" width="13.796875" style="98" customWidth="1"/>
    <col min="3335" max="3335" width="8.59765625" style="98" customWidth="1"/>
    <col min="3336" max="3337" width="14.69921875" style="98" customWidth="1"/>
    <col min="3338" max="3584" width="9" style="98"/>
    <col min="3585" max="3586" width="12.09765625" style="98" customWidth="1"/>
    <col min="3587" max="3587" width="13.796875" style="98" customWidth="1"/>
    <col min="3588" max="3589" width="22.59765625" style="98" customWidth="1"/>
    <col min="3590" max="3590" width="13.796875" style="98" customWidth="1"/>
    <col min="3591" max="3591" width="8.59765625" style="98" customWidth="1"/>
    <col min="3592" max="3593" width="14.69921875" style="98" customWidth="1"/>
    <col min="3594" max="3840" width="9" style="98"/>
    <col min="3841" max="3842" width="12.09765625" style="98" customWidth="1"/>
    <col min="3843" max="3843" width="13.796875" style="98" customWidth="1"/>
    <col min="3844" max="3845" width="22.59765625" style="98" customWidth="1"/>
    <col min="3846" max="3846" width="13.796875" style="98" customWidth="1"/>
    <col min="3847" max="3847" width="8.59765625" style="98" customWidth="1"/>
    <col min="3848" max="3849" width="14.69921875" style="98" customWidth="1"/>
    <col min="3850" max="4096" width="9" style="98"/>
    <col min="4097" max="4098" width="12.09765625" style="98" customWidth="1"/>
    <col min="4099" max="4099" width="13.796875" style="98" customWidth="1"/>
    <col min="4100" max="4101" width="22.59765625" style="98" customWidth="1"/>
    <col min="4102" max="4102" width="13.796875" style="98" customWidth="1"/>
    <col min="4103" max="4103" width="8.59765625" style="98" customWidth="1"/>
    <col min="4104" max="4105" width="14.69921875" style="98" customWidth="1"/>
    <col min="4106" max="4352" width="9" style="98"/>
    <col min="4353" max="4354" width="12.09765625" style="98" customWidth="1"/>
    <col min="4355" max="4355" width="13.796875" style="98" customWidth="1"/>
    <col min="4356" max="4357" width="22.59765625" style="98" customWidth="1"/>
    <col min="4358" max="4358" width="13.796875" style="98" customWidth="1"/>
    <col min="4359" max="4359" width="8.59765625" style="98" customWidth="1"/>
    <col min="4360" max="4361" width="14.69921875" style="98" customWidth="1"/>
    <col min="4362" max="4608" width="9" style="98"/>
    <col min="4609" max="4610" width="12.09765625" style="98" customWidth="1"/>
    <col min="4611" max="4611" width="13.796875" style="98" customWidth="1"/>
    <col min="4612" max="4613" width="22.59765625" style="98" customWidth="1"/>
    <col min="4614" max="4614" width="13.796875" style="98" customWidth="1"/>
    <col min="4615" max="4615" width="8.59765625" style="98" customWidth="1"/>
    <col min="4616" max="4617" width="14.69921875" style="98" customWidth="1"/>
    <col min="4618" max="4864" width="9" style="98"/>
    <col min="4865" max="4866" width="12.09765625" style="98" customWidth="1"/>
    <col min="4867" max="4867" width="13.796875" style="98" customWidth="1"/>
    <col min="4868" max="4869" width="22.59765625" style="98" customWidth="1"/>
    <col min="4870" max="4870" width="13.796875" style="98" customWidth="1"/>
    <col min="4871" max="4871" width="8.59765625" style="98" customWidth="1"/>
    <col min="4872" max="4873" width="14.69921875" style="98" customWidth="1"/>
    <col min="4874" max="5120" width="9" style="98"/>
    <col min="5121" max="5122" width="12.09765625" style="98" customWidth="1"/>
    <col min="5123" max="5123" width="13.796875" style="98" customWidth="1"/>
    <col min="5124" max="5125" width="22.59765625" style="98" customWidth="1"/>
    <col min="5126" max="5126" width="13.796875" style="98" customWidth="1"/>
    <col min="5127" max="5127" width="8.59765625" style="98" customWidth="1"/>
    <col min="5128" max="5129" width="14.69921875" style="98" customWidth="1"/>
    <col min="5130" max="5376" width="9" style="98"/>
    <col min="5377" max="5378" width="12.09765625" style="98" customWidth="1"/>
    <col min="5379" max="5379" width="13.796875" style="98" customWidth="1"/>
    <col min="5380" max="5381" width="22.59765625" style="98" customWidth="1"/>
    <col min="5382" max="5382" width="13.796875" style="98" customWidth="1"/>
    <col min="5383" max="5383" width="8.59765625" style="98" customWidth="1"/>
    <col min="5384" max="5385" width="14.69921875" style="98" customWidth="1"/>
    <col min="5386" max="5632" width="9" style="98"/>
    <col min="5633" max="5634" width="12.09765625" style="98" customWidth="1"/>
    <col min="5635" max="5635" width="13.796875" style="98" customWidth="1"/>
    <col min="5636" max="5637" width="22.59765625" style="98" customWidth="1"/>
    <col min="5638" max="5638" width="13.796875" style="98" customWidth="1"/>
    <col min="5639" max="5639" width="8.59765625" style="98" customWidth="1"/>
    <col min="5640" max="5641" width="14.69921875" style="98" customWidth="1"/>
    <col min="5642" max="5888" width="9" style="98"/>
    <col min="5889" max="5890" width="12.09765625" style="98" customWidth="1"/>
    <col min="5891" max="5891" width="13.796875" style="98" customWidth="1"/>
    <col min="5892" max="5893" width="22.59765625" style="98" customWidth="1"/>
    <col min="5894" max="5894" width="13.796875" style="98" customWidth="1"/>
    <col min="5895" max="5895" width="8.59765625" style="98" customWidth="1"/>
    <col min="5896" max="5897" width="14.69921875" style="98" customWidth="1"/>
    <col min="5898" max="6144" width="9" style="98"/>
    <col min="6145" max="6146" width="12.09765625" style="98" customWidth="1"/>
    <col min="6147" max="6147" width="13.796875" style="98" customWidth="1"/>
    <col min="6148" max="6149" width="22.59765625" style="98" customWidth="1"/>
    <col min="6150" max="6150" width="13.796875" style="98" customWidth="1"/>
    <col min="6151" max="6151" width="8.59765625" style="98" customWidth="1"/>
    <col min="6152" max="6153" width="14.69921875" style="98" customWidth="1"/>
    <col min="6154" max="6400" width="9" style="98"/>
    <col min="6401" max="6402" width="12.09765625" style="98" customWidth="1"/>
    <col min="6403" max="6403" width="13.796875" style="98" customWidth="1"/>
    <col min="6404" max="6405" width="22.59765625" style="98" customWidth="1"/>
    <col min="6406" max="6406" width="13.796875" style="98" customWidth="1"/>
    <col min="6407" max="6407" width="8.59765625" style="98" customWidth="1"/>
    <col min="6408" max="6409" width="14.69921875" style="98" customWidth="1"/>
    <col min="6410" max="6656" width="9" style="98"/>
    <col min="6657" max="6658" width="12.09765625" style="98" customWidth="1"/>
    <col min="6659" max="6659" width="13.796875" style="98" customWidth="1"/>
    <col min="6660" max="6661" width="22.59765625" style="98" customWidth="1"/>
    <col min="6662" max="6662" width="13.796875" style="98" customWidth="1"/>
    <col min="6663" max="6663" width="8.59765625" style="98" customWidth="1"/>
    <col min="6664" max="6665" width="14.69921875" style="98" customWidth="1"/>
    <col min="6666" max="6912" width="9" style="98"/>
    <col min="6913" max="6914" width="12.09765625" style="98" customWidth="1"/>
    <col min="6915" max="6915" width="13.796875" style="98" customWidth="1"/>
    <col min="6916" max="6917" width="22.59765625" style="98" customWidth="1"/>
    <col min="6918" max="6918" width="13.796875" style="98" customWidth="1"/>
    <col min="6919" max="6919" width="8.59765625" style="98" customWidth="1"/>
    <col min="6920" max="6921" width="14.69921875" style="98" customWidth="1"/>
    <col min="6922" max="7168" width="9" style="98"/>
    <col min="7169" max="7170" width="12.09765625" style="98" customWidth="1"/>
    <col min="7171" max="7171" width="13.796875" style="98" customWidth="1"/>
    <col min="7172" max="7173" width="22.59765625" style="98" customWidth="1"/>
    <col min="7174" max="7174" width="13.796875" style="98" customWidth="1"/>
    <col min="7175" max="7175" width="8.59765625" style="98" customWidth="1"/>
    <col min="7176" max="7177" width="14.69921875" style="98" customWidth="1"/>
    <col min="7178" max="7424" width="9" style="98"/>
    <col min="7425" max="7426" width="12.09765625" style="98" customWidth="1"/>
    <col min="7427" max="7427" width="13.796875" style="98" customWidth="1"/>
    <col min="7428" max="7429" width="22.59765625" style="98" customWidth="1"/>
    <col min="7430" max="7430" width="13.796875" style="98" customWidth="1"/>
    <col min="7431" max="7431" width="8.59765625" style="98" customWidth="1"/>
    <col min="7432" max="7433" width="14.69921875" style="98" customWidth="1"/>
    <col min="7434" max="7680" width="9" style="98"/>
    <col min="7681" max="7682" width="12.09765625" style="98" customWidth="1"/>
    <col min="7683" max="7683" width="13.796875" style="98" customWidth="1"/>
    <col min="7684" max="7685" width="22.59765625" style="98" customWidth="1"/>
    <col min="7686" max="7686" width="13.796875" style="98" customWidth="1"/>
    <col min="7687" max="7687" width="8.59765625" style="98" customWidth="1"/>
    <col min="7688" max="7689" width="14.69921875" style="98" customWidth="1"/>
    <col min="7690" max="7936" width="9" style="98"/>
    <col min="7937" max="7938" width="12.09765625" style="98" customWidth="1"/>
    <col min="7939" max="7939" width="13.796875" style="98" customWidth="1"/>
    <col min="7940" max="7941" width="22.59765625" style="98" customWidth="1"/>
    <col min="7942" max="7942" width="13.796875" style="98" customWidth="1"/>
    <col min="7943" max="7943" width="8.59765625" style="98" customWidth="1"/>
    <col min="7944" max="7945" width="14.69921875" style="98" customWidth="1"/>
    <col min="7946" max="8192" width="9" style="98"/>
    <col min="8193" max="8194" width="12.09765625" style="98" customWidth="1"/>
    <col min="8195" max="8195" width="13.796875" style="98" customWidth="1"/>
    <col min="8196" max="8197" width="22.59765625" style="98" customWidth="1"/>
    <col min="8198" max="8198" width="13.796875" style="98" customWidth="1"/>
    <col min="8199" max="8199" width="8.59765625" style="98" customWidth="1"/>
    <col min="8200" max="8201" width="14.69921875" style="98" customWidth="1"/>
    <col min="8202" max="8448" width="9" style="98"/>
    <col min="8449" max="8450" width="12.09765625" style="98" customWidth="1"/>
    <col min="8451" max="8451" width="13.796875" style="98" customWidth="1"/>
    <col min="8452" max="8453" width="22.59765625" style="98" customWidth="1"/>
    <col min="8454" max="8454" width="13.796875" style="98" customWidth="1"/>
    <col min="8455" max="8455" width="8.59765625" style="98" customWidth="1"/>
    <col min="8456" max="8457" width="14.69921875" style="98" customWidth="1"/>
    <col min="8458" max="8704" width="9" style="98"/>
    <col min="8705" max="8706" width="12.09765625" style="98" customWidth="1"/>
    <col min="8707" max="8707" width="13.796875" style="98" customWidth="1"/>
    <col min="8708" max="8709" width="22.59765625" style="98" customWidth="1"/>
    <col min="8710" max="8710" width="13.796875" style="98" customWidth="1"/>
    <col min="8711" max="8711" width="8.59765625" style="98" customWidth="1"/>
    <col min="8712" max="8713" width="14.69921875" style="98" customWidth="1"/>
    <col min="8714" max="8960" width="9" style="98"/>
    <col min="8961" max="8962" width="12.09765625" style="98" customWidth="1"/>
    <col min="8963" max="8963" width="13.796875" style="98" customWidth="1"/>
    <col min="8964" max="8965" width="22.59765625" style="98" customWidth="1"/>
    <col min="8966" max="8966" width="13.796875" style="98" customWidth="1"/>
    <col min="8967" max="8967" width="8.59765625" style="98" customWidth="1"/>
    <col min="8968" max="8969" width="14.69921875" style="98" customWidth="1"/>
    <col min="8970" max="9216" width="9" style="98"/>
    <col min="9217" max="9218" width="12.09765625" style="98" customWidth="1"/>
    <col min="9219" max="9219" width="13.796875" style="98" customWidth="1"/>
    <col min="9220" max="9221" width="22.59765625" style="98" customWidth="1"/>
    <col min="9222" max="9222" width="13.796875" style="98" customWidth="1"/>
    <col min="9223" max="9223" width="8.59765625" style="98" customWidth="1"/>
    <col min="9224" max="9225" width="14.69921875" style="98" customWidth="1"/>
    <col min="9226" max="9472" width="9" style="98"/>
    <col min="9473" max="9474" width="12.09765625" style="98" customWidth="1"/>
    <col min="9475" max="9475" width="13.796875" style="98" customWidth="1"/>
    <col min="9476" max="9477" width="22.59765625" style="98" customWidth="1"/>
    <col min="9478" max="9478" width="13.796875" style="98" customWidth="1"/>
    <col min="9479" max="9479" width="8.59765625" style="98" customWidth="1"/>
    <col min="9480" max="9481" width="14.69921875" style="98" customWidth="1"/>
    <col min="9482" max="9728" width="9" style="98"/>
    <col min="9729" max="9730" width="12.09765625" style="98" customWidth="1"/>
    <col min="9731" max="9731" width="13.796875" style="98" customWidth="1"/>
    <col min="9732" max="9733" width="22.59765625" style="98" customWidth="1"/>
    <col min="9734" max="9734" width="13.796875" style="98" customWidth="1"/>
    <col min="9735" max="9735" width="8.59765625" style="98" customWidth="1"/>
    <col min="9736" max="9737" width="14.69921875" style="98" customWidth="1"/>
    <col min="9738" max="9984" width="9" style="98"/>
    <col min="9985" max="9986" width="12.09765625" style="98" customWidth="1"/>
    <col min="9987" max="9987" width="13.796875" style="98" customWidth="1"/>
    <col min="9988" max="9989" width="22.59765625" style="98" customWidth="1"/>
    <col min="9990" max="9990" width="13.796875" style="98" customWidth="1"/>
    <col min="9991" max="9991" width="8.59765625" style="98" customWidth="1"/>
    <col min="9992" max="9993" width="14.69921875" style="98" customWidth="1"/>
    <col min="9994" max="10240" width="9" style="98"/>
    <col min="10241" max="10242" width="12.09765625" style="98" customWidth="1"/>
    <col min="10243" max="10243" width="13.796875" style="98" customWidth="1"/>
    <col min="10244" max="10245" width="22.59765625" style="98" customWidth="1"/>
    <col min="10246" max="10246" width="13.796875" style="98" customWidth="1"/>
    <col min="10247" max="10247" width="8.59765625" style="98" customWidth="1"/>
    <col min="10248" max="10249" width="14.69921875" style="98" customWidth="1"/>
    <col min="10250" max="10496" width="9" style="98"/>
    <col min="10497" max="10498" width="12.09765625" style="98" customWidth="1"/>
    <col min="10499" max="10499" width="13.796875" style="98" customWidth="1"/>
    <col min="10500" max="10501" width="22.59765625" style="98" customWidth="1"/>
    <col min="10502" max="10502" width="13.796875" style="98" customWidth="1"/>
    <col min="10503" max="10503" width="8.59765625" style="98" customWidth="1"/>
    <col min="10504" max="10505" width="14.69921875" style="98" customWidth="1"/>
    <col min="10506" max="10752" width="9" style="98"/>
    <col min="10753" max="10754" width="12.09765625" style="98" customWidth="1"/>
    <col min="10755" max="10755" width="13.796875" style="98" customWidth="1"/>
    <col min="10756" max="10757" width="22.59765625" style="98" customWidth="1"/>
    <col min="10758" max="10758" width="13.796875" style="98" customWidth="1"/>
    <col min="10759" max="10759" width="8.59765625" style="98" customWidth="1"/>
    <col min="10760" max="10761" width="14.69921875" style="98" customWidth="1"/>
    <col min="10762" max="11008" width="9" style="98"/>
    <col min="11009" max="11010" width="12.09765625" style="98" customWidth="1"/>
    <col min="11011" max="11011" width="13.796875" style="98" customWidth="1"/>
    <col min="11012" max="11013" width="22.59765625" style="98" customWidth="1"/>
    <col min="11014" max="11014" width="13.796875" style="98" customWidth="1"/>
    <col min="11015" max="11015" width="8.59765625" style="98" customWidth="1"/>
    <col min="11016" max="11017" width="14.69921875" style="98" customWidth="1"/>
    <col min="11018" max="11264" width="9" style="98"/>
    <col min="11265" max="11266" width="12.09765625" style="98" customWidth="1"/>
    <col min="11267" max="11267" width="13.796875" style="98" customWidth="1"/>
    <col min="11268" max="11269" width="22.59765625" style="98" customWidth="1"/>
    <col min="11270" max="11270" width="13.796875" style="98" customWidth="1"/>
    <col min="11271" max="11271" width="8.59765625" style="98" customWidth="1"/>
    <col min="11272" max="11273" width="14.69921875" style="98" customWidth="1"/>
    <col min="11274" max="11520" width="9" style="98"/>
    <col min="11521" max="11522" width="12.09765625" style="98" customWidth="1"/>
    <col min="11523" max="11523" width="13.796875" style="98" customWidth="1"/>
    <col min="11524" max="11525" width="22.59765625" style="98" customWidth="1"/>
    <col min="11526" max="11526" width="13.796875" style="98" customWidth="1"/>
    <col min="11527" max="11527" width="8.59765625" style="98" customWidth="1"/>
    <col min="11528" max="11529" width="14.69921875" style="98" customWidth="1"/>
    <col min="11530" max="11776" width="9" style="98"/>
    <col min="11777" max="11778" width="12.09765625" style="98" customWidth="1"/>
    <col min="11779" max="11779" width="13.796875" style="98" customWidth="1"/>
    <col min="11780" max="11781" width="22.59765625" style="98" customWidth="1"/>
    <col min="11782" max="11782" width="13.796875" style="98" customWidth="1"/>
    <col min="11783" max="11783" width="8.59765625" style="98" customWidth="1"/>
    <col min="11784" max="11785" width="14.69921875" style="98" customWidth="1"/>
    <col min="11786" max="12032" width="9" style="98"/>
    <col min="12033" max="12034" width="12.09765625" style="98" customWidth="1"/>
    <col min="12035" max="12035" width="13.796875" style="98" customWidth="1"/>
    <col min="12036" max="12037" width="22.59765625" style="98" customWidth="1"/>
    <col min="12038" max="12038" width="13.796875" style="98" customWidth="1"/>
    <col min="12039" max="12039" width="8.59765625" style="98" customWidth="1"/>
    <col min="12040" max="12041" width="14.69921875" style="98" customWidth="1"/>
    <col min="12042" max="12288" width="9" style="98"/>
    <col min="12289" max="12290" width="12.09765625" style="98" customWidth="1"/>
    <col min="12291" max="12291" width="13.796875" style="98" customWidth="1"/>
    <col min="12292" max="12293" width="22.59765625" style="98" customWidth="1"/>
    <col min="12294" max="12294" width="13.796875" style="98" customWidth="1"/>
    <col min="12295" max="12295" width="8.59765625" style="98" customWidth="1"/>
    <col min="12296" max="12297" width="14.69921875" style="98" customWidth="1"/>
    <col min="12298" max="12544" width="9" style="98"/>
    <col min="12545" max="12546" width="12.09765625" style="98" customWidth="1"/>
    <col min="12547" max="12547" width="13.796875" style="98" customWidth="1"/>
    <col min="12548" max="12549" width="22.59765625" style="98" customWidth="1"/>
    <col min="12550" max="12550" width="13.796875" style="98" customWidth="1"/>
    <col min="12551" max="12551" width="8.59765625" style="98" customWidth="1"/>
    <col min="12552" max="12553" width="14.69921875" style="98" customWidth="1"/>
    <col min="12554" max="12800" width="9" style="98"/>
    <col min="12801" max="12802" width="12.09765625" style="98" customWidth="1"/>
    <col min="12803" max="12803" width="13.796875" style="98" customWidth="1"/>
    <col min="12804" max="12805" width="22.59765625" style="98" customWidth="1"/>
    <col min="12806" max="12806" width="13.796875" style="98" customWidth="1"/>
    <col min="12807" max="12807" width="8.59765625" style="98" customWidth="1"/>
    <col min="12808" max="12809" width="14.69921875" style="98" customWidth="1"/>
    <col min="12810" max="13056" width="9" style="98"/>
    <col min="13057" max="13058" width="12.09765625" style="98" customWidth="1"/>
    <col min="13059" max="13059" width="13.796875" style="98" customWidth="1"/>
    <col min="13060" max="13061" width="22.59765625" style="98" customWidth="1"/>
    <col min="13062" max="13062" width="13.796875" style="98" customWidth="1"/>
    <col min="13063" max="13063" width="8.59765625" style="98" customWidth="1"/>
    <col min="13064" max="13065" width="14.69921875" style="98" customWidth="1"/>
    <col min="13066" max="13312" width="9" style="98"/>
    <col min="13313" max="13314" width="12.09765625" style="98" customWidth="1"/>
    <col min="13315" max="13315" width="13.796875" style="98" customWidth="1"/>
    <col min="13316" max="13317" width="22.59765625" style="98" customWidth="1"/>
    <col min="13318" max="13318" width="13.796875" style="98" customWidth="1"/>
    <col min="13319" max="13319" width="8.59765625" style="98" customWidth="1"/>
    <col min="13320" max="13321" width="14.69921875" style="98" customWidth="1"/>
    <col min="13322" max="13568" width="9" style="98"/>
    <col min="13569" max="13570" width="12.09765625" style="98" customWidth="1"/>
    <col min="13571" max="13571" width="13.796875" style="98" customWidth="1"/>
    <col min="13572" max="13573" width="22.59765625" style="98" customWidth="1"/>
    <col min="13574" max="13574" width="13.796875" style="98" customWidth="1"/>
    <col min="13575" max="13575" width="8.59765625" style="98" customWidth="1"/>
    <col min="13576" max="13577" width="14.69921875" style="98" customWidth="1"/>
    <col min="13578" max="13824" width="9" style="98"/>
    <col min="13825" max="13826" width="12.09765625" style="98" customWidth="1"/>
    <col min="13827" max="13827" width="13.796875" style="98" customWidth="1"/>
    <col min="13828" max="13829" width="22.59765625" style="98" customWidth="1"/>
    <col min="13830" max="13830" width="13.796875" style="98" customWidth="1"/>
    <col min="13831" max="13831" width="8.59765625" style="98" customWidth="1"/>
    <col min="13832" max="13833" width="14.69921875" style="98" customWidth="1"/>
    <col min="13834" max="14080" width="9" style="98"/>
    <col min="14081" max="14082" width="12.09765625" style="98" customWidth="1"/>
    <col min="14083" max="14083" width="13.796875" style="98" customWidth="1"/>
    <col min="14084" max="14085" width="22.59765625" style="98" customWidth="1"/>
    <col min="14086" max="14086" width="13.796875" style="98" customWidth="1"/>
    <col min="14087" max="14087" width="8.59765625" style="98" customWidth="1"/>
    <col min="14088" max="14089" width="14.69921875" style="98" customWidth="1"/>
    <col min="14090" max="14336" width="9" style="98"/>
    <col min="14337" max="14338" width="12.09765625" style="98" customWidth="1"/>
    <col min="14339" max="14339" width="13.796875" style="98" customWidth="1"/>
    <col min="14340" max="14341" width="22.59765625" style="98" customWidth="1"/>
    <col min="14342" max="14342" width="13.796875" style="98" customWidth="1"/>
    <col min="14343" max="14343" width="8.59765625" style="98" customWidth="1"/>
    <col min="14344" max="14345" width="14.69921875" style="98" customWidth="1"/>
    <col min="14346" max="14592" width="9" style="98"/>
    <col min="14593" max="14594" width="12.09765625" style="98" customWidth="1"/>
    <col min="14595" max="14595" width="13.796875" style="98" customWidth="1"/>
    <col min="14596" max="14597" width="22.59765625" style="98" customWidth="1"/>
    <col min="14598" max="14598" width="13.796875" style="98" customWidth="1"/>
    <col min="14599" max="14599" width="8.59765625" style="98" customWidth="1"/>
    <col min="14600" max="14601" width="14.69921875" style="98" customWidth="1"/>
    <col min="14602" max="14848" width="9" style="98"/>
    <col min="14849" max="14850" width="12.09765625" style="98" customWidth="1"/>
    <col min="14851" max="14851" width="13.796875" style="98" customWidth="1"/>
    <col min="14852" max="14853" width="22.59765625" style="98" customWidth="1"/>
    <col min="14854" max="14854" width="13.796875" style="98" customWidth="1"/>
    <col min="14855" max="14855" width="8.59765625" style="98" customWidth="1"/>
    <col min="14856" max="14857" width="14.69921875" style="98" customWidth="1"/>
    <col min="14858" max="15104" width="9" style="98"/>
    <col min="15105" max="15106" width="12.09765625" style="98" customWidth="1"/>
    <col min="15107" max="15107" width="13.796875" style="98" customWidth="1"/>
    <col min="15108" max="15109" width="22.59765625" style="98" customWidth="1"/>
    <col min="15110" max="15110" width="13.796875" style="98" customWidth="1"/>
    <col min="15111" max="15111" width="8.59765625" style="98" customWidth="1"/>
    <col min="15112" max="15113" width="14.69921875" style="98" customWidth="1"/>
    <col min="15114" max="15360" width="9" style="98"/>
    <col min="15361" max="15362" width="12.09765625" style="98" customWidth="1"/>
    <col min="15363" max="15363" width="13.796875" style="98" customWidth="1"/>
    <col min="15364" max="15365" width="22.59765625" style="98" customWidth="1"/>
    <col min="15366" max="15366" width="13.796875" style="98" customWidth="1"/>
    <col min="15367" max="15367" width="8.59765625" style="98" customWidth="1"/>
    <col min="15368" max="15369" width="14.69921875" style="98" customWidth="1"/>
    <col min="15370" max="15616" width="9" style="98"/>
    <col min="15617" max="15618" width="12.09765625" style="98" customWidth="1"/>
    <col min="15619" max="15619" width="13.796875" style="98" customWidth="1"/>
    <col min="15620" max="15621" width="22.59765625" style="98" customWidth="1"/>
    <col min="15622" max="15622" width="13.796875" style="98" customWidth="1"/>
    <col min="15623" max="15623" width="8.59765625" style="98" customWidth="1"/>
    <col min="15624" max="15625" width="14.69921875" style="98" customWidth="1"/>
    <col min="15626" max="15872" width="9" style="98"/>
    <col min="15873" max="15874" width="12.09765625" style="98" customWidth="1"/>
    <col min="15875" max="15875" width="13.796875" style="98" customWidth="1"/>
    <col min="15876" max="15877" width="22.59765625" style="98" customWidth="1"/>
    <col min="15878" max="15878" width="13.796875" style="98" customWidth="1"/>
    <col min="15879" max="15879" width="8.59765625" style="98" customWidth="1"/>
    <col min="15880" max="15881" width="14.69921875" style="98" customWidth="1"/>
    <col min="15882" max="16128" width="9" style="98"/>
    <col min="16129" max="16130" width="12.09765625" style="98" customWidth="1"/>
    <col min="16131" max="16131" width="13.796875" style="98" customWidth="1"/>
    <col min="16132" max="16133" width="22.59765625" style="98" customWidth="1"/>
    <col min="16134" max="16134" width="13.796875" style="98" customWidth="1"/>
    <col min="16135" max="16135" width="8.59765625" style="98" customWidth="1"/>
    <col min="16136" max="16137" width="14.69921875" style="98" customWidth="1"/>
    <col min="16138" max="16384" width="9" style="98"/>
  </cols>
  <sheetData>
    <row r="5" spans="1:9" ht="16.2" x14ac:dyDescent="0.25">
      <c r="A5" s="97" t="s">
        <v>1189</v>
      </c>
    </row>
    <row r="6" spans="1:9" ht="16.2" x14ac:dyDescent="0.25">
      <c r="A6" s="97"/>
    </row>
    <row r="7" spans="1:9" x14ac:dyDescent="0.2">
      <c r="A7" s="103"/>
      <c r="B7" s="103"/>
      <c r="C7" s="103"/>
      <c r="D7" s="103"/>
      <c r="E7" s="103"/>
      <c r="F7" s="103"/>
      <c r="G7" s="103"/>
      <c r="H7" s="103"/>
      <c r="I7" s="103"/>
    </row>
    <row r="8" spans="1:9" ht="24" x14ac:dyDescent="0.2">
      <c r="A8" s="521" t="s">
        <v>1190</v>
      </c>
      <c r="B8" s="521" t="s">
        <v>1191</v>
      </c>
      <c r="C8" s="521" t="s">
        <v>1192</v>
      </c>
      <c r="D8" s="521" t="s">
        <v>1193</v>
      </c>
      <c r="E8" s="521" t="s">
        <v>1194</v>
      </c>
      <c r="F8" s="522" t="s">
        <v>1195</v>
      </c>
      <c r="G8" s="522" t="s">
        <v>1196</v>
      </c>
      <c r="H8" s="522" t="s">
        <v>1197</v>
      </c>
      <c r="I8" s="522" t="s">
        <v>1198</v>
      </c>
    </row>
    <row r="9" spans="1:9" ht="20.399999999999999" x14ac:dyDescent="0.2">
      <c r="A9" s="517">
        <v>42159</v>
      </c>
      <c r="B9" s="518" t="s">
        <v>1199</v>
      </c>
      <c r="C9" s="560" t="s">
        <v>1200</v>
      </c>
      <c r="D9" s="518" t="s">
        <v>1201</v>
      </c>
      <c r="E9" s="518" t="s">
        <v>313</v>
      </c>
      <c r="F9" s="519">
        <v>797.3</v>
      </c>
      <c r="G9" s="519">
        <v>258.89999999999998</v>
      </c>
      <c r="H9" s="519" t="s">
        <v>1202</v>
      </c>
      <c r="I9" s="519" t="s">
        <v>1203</v>
      </c>
    </row>
    <row r="10" spans="1:9" ht="51" x14ac:dyDescent="0.2">
      <c r="A10" s="517">
        <v>41085</v>
      </c>
      <c r="B10" s="518" t="s">
        <v>1204</v>
      </c>
      <c r="C10" s="560" t="s">
        <v>1205</v>
      </c>
      <c r="D10" s="518" t="s">
        <v>1206</v>
      </c>
      <c r="E10" s="518" t="s">
        <v>1207</v>
      </c>
      <c r="F10" s="519">
        <v>183.1</v>
      </c>
      <c r="G10" s="519">
        <v>113</v>
      </c>
      <c r="H10" s="519" t="s">
        <v>1208</v>
      </c>
      <c r="I10" s="519" t="s">
        <v>1209</v>
      </c>
    </row>
    <row r="11" spans="1:9" ht="61.2" x14ac:dyDescent="0.2">
      <c r="A11" s="517">
        <v>40423</v>
      </c>
      <c r="B11" s="518" t="s">
        <v>1210</v>
      </c>
      <c r="C11" s="560" t="s">
        <v>1211</v>
      </c>
      <c r="D11" s="518" t="s">
        <v>1212</v>
      </c>
      <c r="E11" s="518" t="s">
        <v>1213</v>
      </c>
      <c r="F11" s="519">
        <v>28637.7</v>
      </c>
      <c r="G11" s="519">
        <v>4207.6000000000004</v>
      </c>
      <c r="H11" s="519" t="s">
        <v>1214</v>
      </c>
      <c r="I11" s="519" t="s">
        <v>1209</v>
      </c>
    </row>
    <row r="12" spans="1:9" ht="51" x14ac:dyDescent="0.2">
      <c r="A12" s="523">
        <v>39755</v>
      </c>
      <c r="B12" s="524" t="s">
        <v>1215</v>
      </c>
      <c r="C12" s="561" t="s">
        <v>1216</v>
      </c>
      <c r="D12" s="524" t="s">
        <v>1217</v>
      </c>
      <c r="E12" s="524" t="s">
        <v>313</v>
      </c>
      <c r="F12" s="570">
        <v>6794.6</v>
      </c>
      <c r="G12" s="570">
        <v>166</v>
      </c>
      <c r="H12" s="525" t="s">
        <v>1218</v>
      </c>
      <c r="I12" s="525" t="s">
        <v>1219</v>
      </c>
    </row>
    <row r="13" spans="1:9" x14ac:dyDescent="0.2">
      <c r="A13" s="520"/>
      <c r="B13" s="520"/>
      <c r="C13" s="520"/>
      <c r="D13" s="520"/>
      <c r="E13" s="567" t="s">
        <v>1220</v>
      </c>
      <c r="F13" s="573">
        <v>28637.7</v>
      </c>
      <c r="G13" s="573">
        <v>4207.6000000000004</v>
      </c>
      <c r="H13" s="562" t="s">
        <v>1218</v>
      </c>
      <c r="I13" s="563" t="s">
        <v>1219</v>
      </c>
    </row>
    <row r="14" spans="1:9" x14ac:dyDescent="0.2">
      <c r="A14" s="101"/>
      <c r="B14" s="101"/>
      <c r="C14" s="101"/>
      <c r="D14" s="101"/>
      <c r="E14" s="568" t="s">
        <v>1161</v>
      </c>
      <c r="F14" s="571">
        <v>3795.9</v>
      </c>
      <c r="G14" s="571">
        <v>212.4</v>
      </c>
      <c r="H14" s="564" t="s">
        <v>1221</v>
      </c>
      <c r="I14" s="555" t="s">
        <v>1222</v>
      </c>
    </row>
    <row r="15" spans="1:9" x14ac:dyDescent="0.2">
      <c r="A15" s="101"/>
      <c r="B15" s="101"/>
      <c r="C15" s="101"/>
      <c r="D15" s="101"/>
      <c r="E15" s="568" t="s">
        <v>1160</v>
      </c>
      <c r="F15" s="571">
        <v>9103.2000000000007</v>
      </c>
      <c r="G15" s="571">
        <v>1186.3</v>
      </c>
      <c r="H15" s="564" t="s">
        <v>1221</v>
      </c>
      <c r="I15" s="556" t="s">
        <v>1222</v>
      </c>
    </row>
    <row r="16" spans="1:9" x14ac:dyDescent="0.2">
      <c r="A16" s="101"/>
      <c r="B16" s="101"/>
      <c r="C16" s="101"/>
      <c r="D16" s="101"/>
      <c r="E16" s="569" t="s">
        <v>1223</v>
      </c>
      <c r="F16" s="572">
        <v>183.1</v>
      </c>
      <c r="G16" s="572">
        <v>113</v>
      </c>
      <c r="H16" s="565" t="s">
        <v>1208</v>
      </c>
      <c r="I16" s="566" t="s">
        <v>1209</v>
      </c>
    </row>
  </sheetData>
  <phoneticPr fontId="1" type="noConversion"/>
  <pageMargins left="0.2" right="0.2" top="0.5" bottom="0.5" header="0.5" footer="0.5"/>
  <pageSetup fitToWidth="0" fitToHeight="0" orientation="landscape" horizontalDpi="0" verticalDpi="0"/>
  <headerFooter alignWithMargins="0"/>
  <customProperties>
    <customPr name="Guid"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0000"/>
  </sheetPr>
  <dimension ref="B2:M8"/>
  <sheetViews>
    <sheetView showGridLines="0" workbookViewId="0"/>
  </sheetViews>
  <sheetFormatPr defaultColWidth="9" defaultRowHeight="17.399999999999999" x14ac:dyDescent="0.4"/>
  <cols>
    <col min="1" max="1" width="3.69921875" style="36" customWidth="1"/>
    <col min="2" max="16384" width="9" style="36"/>
  </cols>
  <sheetData>
    <row r="2" spans="2:13" x14ac:dyDescent="0.4">
      <c r="B2" s="294" t="s">
        <v>1027</v>
      </c>
      <c r="C2" s="295"/>
      <c r="D2" s="295"/>
      <c r="E2" s="295"/>
      <c r="F2" s="295"/>
      <c r="G2" s="295"/>
      <c r="H2" s="295"/>
      <c r="I2" s="295"/>
      <c r="J2" s="295"/>
      <c r="K2" s="295"/>
      <c r="L2" s="295"/>
      <c r="M2" s="296"/>
    </row>
    <row r="3" spans="2:13" x14ac:dyDescent="0.4">
      <c r="B3" s="297" t="s">
        <v>214</v>
      </c>
      <c r="C3" s="298"/>
      <c r="D3" s="298"/>
      <c r="E3" s="298"/>
      <c r="F3" s="298"/>
      <c r="G3" s="298"/>
      <c r="H3" s="298"/>
      <c r="I3" s="298"/>
      <c r="J3" s="298"/>
      <c r="K3" s="298"/>
      <c r="L3" s="298"/>
      <c r="M3" s="299"/>
    </row>
    <row r="4" spans="2:13" x14ac:dyDescent="0.4">
      <c r="B4" s="297" t="s">
        <v>215</v>
      </c>
      <c r="C4" s="298"/>
      <c r="D4" s="298"/>
      <c r="E4" s="298"/>
      <c r="F4" s="298"/>
      <c r="G4" s="298"/>
      <c r="H4" s="298"/>
      <c r="I4" s="298"/>
      <c r="J4" s="298"/>
      <c r="K4" s="298"/>
      <c r="L4" s="298"/>
      <c r="M4" s="299"/>
    </row>
    <row r="5" spans="2:13" x14ac:dyDescent="0.4">
      <c r="B5" s="297" t="s">
        <v>216</v>
      </c>
      <c r="C5" s="298"/>
      <c r="D5" s="298"/>
      <c r="E5" s="298"/>
      <c r="F5" s="298"/>
      <c r="G5" s="298"/>
      <c r="H5" s="298"/>
      <c r="I5" s="298"/>
      <c r="J5" s="298"/>
      <c r="K5" s="298"/>
      <c r="L5" s="298"/>
      <c r="M5" s="299"/>
    </row>
    <row r="6" spans="2:13" x14ac:dyDescent="0.4">
      <c r="B6" s="297" t="s">
        <v>217</v>
      </c>
      <c r="C6" s="298"/>
      <c r="D6" s="298"/>
      <c r="E6" s="298"/>
      <c r="F6" s="298"/>
      <c r="G6" s="298"/>
      <c r="H6" s="298"/>
      <c r="I6" s="298"/>
      <c r="J6" s="298"/>
      <c r="K6" s="298"/>
      <c r="L6" s="298"/>
      <c r="M6" s="299"/>
    </row>
    <row r="7" spans="2:13" x14ac:dyDescent="0.4">
      <c r="B7" s="297" t="s">
        <v>1028</v>
      </c>
      <c r="C7" s="298"/>
      <c r="D7" s="298"/>
      <c r="E7" s="298"/>
      <c r="F7" s="298"/>
      <c r="G7" s="298"/>
      <c r="H7" s="298"/>
      <c r="I7" s="298"/>
      <c r="J7" s="298"/>
      <c r="K7" s="298"/>
      <c r="L7" s="298"/>
      <c r="M7" s="299"/>
    </row>
    <row r="8" spans="2:13" x14ac:dyDescent="0.4">
      <c r="B8" s="300" t="s">
        <v>1029</v>
      </c>
      <c r="C8" s="301"/>
      <c r="D8" s="301"/>
      <c r="E8" s="301"/>
      <c r="F8" s="301"/>
      <c r="G8" s="301"/>
      <c r="H8" s="301"/>
      <c r="I8" s="301"/>
      <c r="J8" s="301"/>
      <c r="K8" s="301"/>
      <c r="L8" s="301"/>
      <c r="M8" s="302"/>
    </row>
  </sheetData>
  <sheetProtection password="DA72" sheet="1" objects="1" scenarios="1" selectLockedCells="1" selectUnlockedCells="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31</vt:i4>
      </vt:variant>
      <vt:variant>
        <vt:lpstr>이름 지정된 범위</vt:lpstr>
      </vt:variant>
      <vt:variant>
        <vt:i4>21</vt:i4>
      </vt:variant>
    </vt:vector>
  </HeadingPairs>
  <TitlesOfParts>
    <vt:vector size="52" baseType="lpstr">
      <vt:lpstr>Cover</vt:lpstr>
      <vt:lpstr>Operations</vt:lpstr>
      <vt:lpstr>Income Statement</vt:lpstr>
      <vt:lpstr>Balance Sheet</vt:lpstr>
      <vt:lpstr>Cash Flow</vt:lpstr>
      <vt:lpstr>Working Capital</vt:lpstr>
      <vt:lpstr>PP&amp;E</vt:lpstr>
      <vt:lpstr>Other LT Items</vt:lpstr>
      <vt:lpstr>Equity</vt:lpstr>
      <vt:lpstr>Shares</vt:lpstr>
      <vt:lpstr>Debt&amp;Interest</vt:lpstr>
      <vt:lpstr>DCF</vt:lpstr>
      <vt:lpstr>SHAK_10K</vt:lpstr>
      <vt:lpstr>Capital IQ&gt;&gt;&gt;&gt;&gt;</vt:lpstr>
      <vt:lpstr>Key Stats</vt:lpstr>
      <vt:lpstr>IS</vt:lpstr>
      <vt:lpstr>BS</vt:lpstr>
      <vt:lpstr>SCF</vt:lpstr>
      <vt:lpstr>Multiples</vt:lpstr>
      <vt:lpstr>Historical Capitalization</vt:lpstr>
      <vt:lpstr>Capital Structure Summary</vt:lpstr>
      <vt:lpstr>Capital Structure Details</vt:lpstr>
      <vt:lpstr>Ratios</vt:lpstr>
      <vt:lpstr>Supplemental</vt:lpstr>
      <vt:lpstr>Segments</vt:lpstr>
      <vt:lpstr>WACC</vt:lpstr>
      <vt:lpstr>Input Tab</vt:lpstr>
      <vt:lpstr>Trading Multiples</vt:lpstr>
      <vt:lpstr>Valuation Chart</vt:lpstr>
      <vt:lpstr>Comparable M&amp;A Transactions</vt:lpstr>
      <vt:lpstr>CR</vt:lpstr>
      <vt:lpstr>Ccy</vt:lpstr>
      <vt:lpstr>Circ</vt:lpstr>
      <vt:lpstr>Date</vt:lpstr>
      <vt:lpstr>Days</vt:lpstr>
      <vt:lpstr>List</vt:lpstr>
      <vt:lpstr>Cover!Print_Area</vt:lpstr>
      <vt:lpstr>'Trading Multiples'!Print_Area</vt:lpstr>
      <vt:lpstr>'Valuation Chart'!Print_Area</vt:lpstr>
      <vt:lpstr>WACC!Print_Area</vt:lpstr>
      <vt:lpstr>BS!Print_Titles</vt:lpstr>
      <vt:lpstr>'Capital Structure Details'!Print_Titles</vt:lpstr>
      <vt:lpstr>'Capital Structure Summary'!Print_Titles</vt:lpstr>
      <vt:lpstr>'Comparable M&amp;A Transactions'!Print_Titles</vt:lpstr>
      <vt:lpstr>'Historical Capitalization'!Print_Titles</vt:lpstr>
      <vt:lpstr>IS!Print_Titles</vt:lpstr>
      <vt:lpstr>'Key Stats'!Print_Titles</vt:lpstr>
      <vt:lpstr>Multiples!Print_Titles</vt:lpstr>
      <vt:lpstr>Ratios!Print_Titles</vt:lpstr>
      <vt:lpstr>SCF!Print_Titles</vt:lpstr>
      <vt:lpstr>Segments!Print_Titles</vt:lpstr>
      <vt:lpstr>Supplemental!Print_Titles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Shake Shack DCF</dc:title>
  <dc:creator>Wall Street Training Inc.</dc:creator>
  <cp:keywords>WST Finanial Modeling</cp:keywords>
  <cp:lastModifiedBy>ES</cp:lastModifiedBy>
  <dcterms:created xsi:type="dcterms:W3CDTF">2018-07-04T06:49:52Z</dcterms:created>
  <dcterms:modified xsi:type="dcterms:W3CDTF">2021-07-30T14:03:01Z</dcterms:modified>
</cp:coreProperties>
</file>