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ustomProperty1.bin" ContentType="application/vnd.openxmlformats-officedocument.spreadsheetml.customProperty"/>
  <Override PartName="/xl/drawings/drawing2.xml" ContentType="application/vnd.openxmlformats-officedocument.drawing+xml"/>
  <Override PartName="/xl/comments2.xml" ContentType="application/vnd.openxmlformats-officedocument.spreadsheetml.comments+xml"/>
  <Override PartName="/xl/customProperty2.bin" ContentType="application/vnd.openxmlformats-officedocument.spreadsheetml.customProperty"/>
  <Override PartName="/xl/drawings/drawing3.xml" ContentType="application/vnd.openxmlformats-officedocument.drawing+xml"/>
  <Override PartName="/xl/comments3.xml" ContentType="application/vnd.openxmlformats-officedocument.spreadsheetml.comments+xml"/>
  <Override PartName="/xl/customProperty3.bin" ContentType="application/vnd.openxmlformats-officedocument.spreadsheetml.customProperty"/>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ustomProperty4.bin" ContentType="application/vnd.openxmlformats-officedocument.spreadsheetml.customProperty"/>
  <Override PartName="/xl/drawings/drawing6.xml" ContentType="application/vnd.openxmlformats-officedocument.drawing+xml"/>
  <Override PartName="/xl/comments6.xml" ContentType="application/vnd.openxmlformats-officedocument.spreadsheetml.comments+xml"/>
  <Override PartName="/xl/customProperty5.bin" ContentType="application/vnd.openxmlformats-officedocument.spreadsheetml.customProperty"/>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ustomProperty6.bin" ContentType="application/vnd.openxmlformats-officedocument.spreadsheetml.customProperty"/>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customProperty7.bin" ContentType="application/vnd.openxmlformats-officedocument.spreadsheetml.customProperty"/>
  <Override PartName="/xl/drawings/drawing11.xml" ContentType="application/vnd.openxmlformats-officedocument.drawing+xml"/>
  <Override PartName="/xl/comments10.xml" ContentType="application/vnd.openxmlformats-officedocument.spreadsheetml.comments+xml"/>
  <Override PartName="/xl/customProperty8.bin" ContentType="application/vnd.openxmlformats-officedocument.spreadsheetml.customProperty"/>
  <Override PartName="/xl/drawings/drawing12.xml" ContentType="application/vnd.openxmlformats-officedocument.drawing+xml"/>
  <Override PartName="/xl/customProperty9.bin" ContentType="application/vnd.openxmlformats-officedocument.spreadsheetml.customProperty"/>
  <Override PartName="/xl/comments11.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1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charts/chart1.xml" ContentType="application/vnd.openxmlformats-officedocument.drawingml.chart+xml"/>
  <Override PartName="/xl/customProperty10.bin" ContentType="application/vnd.openxmlformats-officedocument.spreadsheetml.customProperty"/>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Users\채현기\Desktop\모델링 연습\"/>
    </mc:Choice>
  </mc:AlternateContent>
  <xr:revisionPtr revIDLastSave="0" documentId="8_{38C2237B-EC4F-468D-A4EF-9E8040F8E8CC}" xr6:coauthVersionLast="47" xr6:coauthVersionMax="47" xr10:uidLastSave="{00000000-0000-0000-0000-000000000000}"/>
  <bookViews>
    <workbookView xWindow="-108" yWindow="-108" windowWidth="23256" windowHeight="12456" tabRatio="807" firstSheet="3" activeTab="12" xr2:uid="{00000000-000D-0000-FFFF-FFFF00000000}"/>
  </bookViews>
  <sheets>
    <sheet name="_CIQHiddenCacheSheet" sheetId="51" state="veryHidden" r:id="rId1"/>
    <sheet name="Cover" sheetId="11" r:id="rId2"/>
    <sheet name="Operations" sheetId="1" r:id="rId3"/>
    <sheet name="Income Statement" sheetId="5" r:id="rId4"/>
    <sheet name="Balance Sheet" sheetId="9" r:id="rId5"/>
    <sheet name="Cash Flow" sheetId="10" r:id="rId6"/>
    <sheet name="Working Capital" sheetId="12" r:id="rId7"/>
    <sheet name="PP&amp;E" sheetId="13" r:id="rId8"/>
    <sheet name="Other LT Items" sheetId="26" r:id="rId9"/>
    <sheet name="Equity" sheetId="28" r:id="rId10"/>
    <sheet name="Shares" sheetId="29" r:id="rId11"/>
    <sheet name="Debt&amp;Interest" sheetId="30" r:id="rId12"/>
    <sheet name="DCF" sheetId="31" r:id="rId13"/>
    <sheet name="SHAK_10K" sheetId="4" r:id="rId14"/>
    <sheet name="Capital IQ&gt;&gt;&gt;&gt;&gt;" sheetId="25" r:id="rId15"/>
    <sheet name="Key Stats" sheetId="14" r:id="rId16"/>
    <sheet name="IS" sheetId="15" r:id="rId17"/>
    <sheet name="BS" sheetId="16" r:id="rId18"/>
    <sheet name="SCF" sheetId="17" r:id="rId19"/>
    <sheet name="Multiples" sheetId="18" r:id="rId20"/>
    <sheet name="Historical Capitalization" sheetId="19" r:id="rId21"/>
    <sheet name="Capital Structure Summary" sheetId="20" r:id="rId22"/>
    <sheet name="Capital Structure Details" sheetId="21" r:id="rId23"/>
    <sheet name="Ratios" sheetId="22" r:id="rId24"/>
    <sheet name="Supplemental" sheetId="23" r:id="rId25"/>
    <sheet name="Segments" sheetId="24" r:id="rId26"/>
    <sheet name="WACC" sheetId="33" r:id="rId27"/>
    <sheet name="Input Tab" sheetId="34" r:id="rId28"/>
    <sheet name="Trading Multiples" sheetId="35" r:id="rId29"/>
    <sheet name="Valuation Chart" sheetId="36" r:id="rId30"/>
    <sheet name="Comparable M&amp;A Transactions" sheetId="38" r:id="rId31"/>
    <sheet name="CR" sheetId="32" state="hidden" r:id="rId32"/>
  </sheets>
  <externalReferences>
    <externalReference r:id="rId33"/>
  </externalReferences>
  <definedNames>
    <definedName name="__FDS_HYPERLINK_TOGGLE_STATE__" hidden="1">"ON"</definedName>
    <definedName name="_Order1" hidden="1">0</definedName>
    <definedName name="Ccy">WACC!$E$1</definedName>
    <definedName name="CIQWBGuid" localSheetId="26" hidden="1">"19ce16bd-0a5e-4cca-be5a-800b10bf9dc8"</definedName>
    <definedName name="CIQWBGuid" hidden="1">"e2734957-fdc8-4b05-a470-5f478324b605"</definedName>
    <definedName name="circ" localSheetId="31">[1]Cover!$K$6</definedName>
    <definedName name="Circ">Cover!$K$6</definedName>
    <definedName name="Conv">WACC!$AP$24</definedName>
    <definedName name="Date">WACC!$H$1</definedName>
    <definedName name="Days" localSheetId="31">#REF!</definedName>
    <definedName name="Days">'Working Capital'!$H$30</definedName>
    <definedName name="Fil">WACC!$AQ$27</definedName>
    <definedName name="GVKey">""</definedName>
    <definedName name="img_1675017080" localSheetId="13">SHAK_10K!#REF!</definedName>
    <definedName name="IQ_ADDIN" hidden="1">"AUTO"</definedName>
    <definedName name="IQ_AVG_PRICE_TARGET" hidden="1">"c82"</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ST_ACT_EPS_PRIMARY" hidden="1">"c2232"</definedName>
    <definedName name="IQ_EST_EPS_SURPRISE" hidden="1">"c1635"</definedName>
    <definedName name="IQ_EST_NUM_BUY_REUT" hidden="1">"c3869"</definedName>
    <definedName name="IQ_EST_NUM_BUY_THOM" hidden="1">"c5165"</definedName>
    <definedName name="IQ_EST_NUM_HOLD_REUT" hidden="1">"c3871"</definedName>
    <definedName name="IQ_EST_NUM_HOLD_THOM" hidden="1">"c5167"</definedName>
    <definedName name="IQ_EST_NUM_OUTPERFORM_REUT" hidden="1">"c3870"</definedName>
    <definedName name="IQ_EST_NUM_OUTPERFORM_THOM" hidden="1">"c5166"</definedName>
    <definedName name="IQ_EST_NUM_SELL_REUT" hidden="1">"c3873"</definedName>
    <definedName name="IQ_EST_NUM_SELL_THOM" hidden="1">"c5169"</definedName>
    <definedName name="IQ_EST_NUM_UNDERPERFORM_REUT" hidden="1">"c3872"</definedName>
    <definedName name="IQ_EST_NUM_UNDERPERFORM_THOM" hidden="1">"c5168"</definedName>
    <definedName name="IQ_EXPENSE_CODE_" hidden="1">"test"</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26" hidden="1">42947.1719328704</definedName>
    <definedName name="IQ_NAMES_REVISION_DATE_" hidden="1">"06/19/2018 03:31:41"</definedName>
    <definedName name="IQ_NAV_ACT_OR_EST" hidden="1">"c2225"</definedName>
    <definedName name="IQ_NTM">6000</definedName>
    <definedName name="IQ_OG_TOTAL_OIL_PRODUCTON" hidden="1">"c2059"</definedName>
    <definedName name="IQ_OPENED55" hidden="1">1</definedName>
    <definedName name="IQ_PRIMARY_EPS_TYPE_THOM" hidden="1">"c5297"</definedName>
    <definedName name="IQ_QTD" hidden="1">750000</definedName>
    <definedName name="IQ_SHAREOUTSTANDING" hidden="1">"c1347"</definedName>
    <definedName name="IQ_TODAY" hidden="1">0</definedName>
    <definedName name="IQ_TOTAL_PENSION_OBLIGATION" hidden="1">"c1292"</definedName>
    <definedName name="IQ_WEEK">50000</definedName>
    <definedName name="IQ_YTD">3000</definedName>
    <definedName name="IQ_YTDMONTH" hidden="1">130000</definedName>
    <definedName name="IQRInput1C10" hidden="1">'Input Tab'!$C$15:$C$24</definedName>
    <definedName name="IQRInput1C11" hidden="1">'Input Tab'!$D$15:$D$24</definedName>
    <definedName name="IQRInput1C14" hidden="1">'Input Tab'!$C$15:$C$24</definedName>
    <definedName name="IQRInput1D10" hidden="1">'Input Tab'!$D$15:$D$24</definedName>
    <definedName name="IQRInputC14" hidden="1">'Input Tab'!$C$15:$C$24</definedName>
    <definedName name="IQRInputC9" hidden="1">'Input Tab'!$C$15:$C$24</definedName>
    <definedName name="IQRInputTabC14" hidden="1">'Input Tab'!$C$15:$C$24</definedName>
    <definedName name="IQRInputTabC15" hidden="1">'Input Tab'!$C$16:$C$25</definedName>
    <definedName name="IQRInputTabC9" hidden="1">'Input Tab'!$C$15:$C$44</definedName>
    <definedName name="IQRWACCAnalysisBB10" hidden="1">WACC!$BF$11:$BF$57</definedName>
    <definedName name="IQRWACCAnalysisBC10" hidden="1">WACC!$BF$11:$BF$57</definedName>
    <definedName name="IQRWACCAnalysisBF10" hidden="1">WACC!$BF$11:$BF$64</definedName>
    <definedName name="IQRWACCAnalysisBH10" hidden="1">WACC!$BF$11:$BF$57</definedName>
    <definedName name="IQRWACCAnalysisBJ10" hidden="1">WACC!$BN$11:$BN$75</definedName>
    <definedName name="IQRWACCAnalysisBK10" hidden="1">WACC!$BN$11:$BN$75</definedName>
    <definedName name="IQRWACCAnalysisBL10" hidden="1">WACC!$BF$11:$BF$57</definedName>
    <definedName name="IQRWACCAnalysisBM10" hidden="1">WACC!$BF$11:$BF$57</definedName>
    <definedName name="IQRWACCAnalysisBN10" hidden="1">WACC!$BN$11:$BN$80</definedName>
    <definedName name="IQRWACCAnalysisBO10" hidden="1">WACC!$BF$11:$BF$57</definedName>
    <definedName name="IQRWACCAnalysisBP10" hidden="1">WACC!$BN$11:$BN$75</definedName>
    <definedName name="IQRWACCAnalysisBQ10" hidden="1">WACC!$BF$11:$BF$57</definedName>
    <definedName name="IQRWACCAnalysisBR10" hidden="1">WACC!$BF$11:$BF$57</definedName>
    <definedName name="IQRWACCAnalysisBS10" hidden="1">WACC!$BF$11:$BF$57</definedName>
    <definedName name="IQRWACCAnalysisBT10" hidden="1">WACC!$BN$11:$BN$75</definedName>
    <definedName name="IQRWACCAnalysisBU10" hidden="1">WACC!$BN$11:$BN$75</definedName>
    <definedName name="IQRWACCAnalysisBV10" hidden="1">WACC!$BN$11:$BN$75</definedName>
    <definedName name="IQRWACCAnalysisBW10" hidden="1">WACC!$BN$11:$BN$75</definedName>
    <definedName name="IQRWACCAnalysisBX10" hidden="1">WACC!$BN$11:$BN$75</definedName>
    <definedName name="IQRWACCAnalysisBY10" hidden="1">WACC!$BN$11:$BN$75</definedName>
    <definedName name="IQRWACCAnalysisBZ10" hidden="1">WACC!$BN$11:$BN$75</definedName>
    <definedName name="IQRWACCAnalysisCA10" hidden="1">WACC!$BN$11:$BN$75</definedName>
    <definedName name="IQRWACCAnalysisCB10" hidden="1">WACC!$BN$11:$BN$75</definedName>
    <definedName name="IQRWACCAnalysisCC10" hidden="1">WACC!$BN$11:$BN$75</definedName>
    <definedName name="IQRWACCAnalysisCD10" hidden="1">WACC!$BN$11:$BN$75</definedName>
    <definedName name="List">'Input Tab'!$AD$15:$AD$19</definedName>
    <definedName name="ListOffset" hidden="1">1</definedName>
    <definedName name="o" hidden="1">{#N/A,#N/A,FALSE,"New Depr Sch-150% DB";#N/A,#N/A,FALSE,"Cash Flows RLP";#N/A,#N/A,FALSE,"IRR";#N/A,#N/A,FALSE,"Proforma IS";#N/A,#N/A,FALSE,"Assumptions"}</definedName>
    <definedName name="_xlnm.Print_Area" localSheetId="1">Cover!$A$1:$N$27</definedName>
    <definedName name="_xlnm.Print_Area" localSheetId="28">'Trading Multiples'!$A$2:$I$85</definedName>
    <definedName name="_xlnm.Print_Area" localSheetId="29">'Valuation Chart'!$B$2:$G$45</definedName>
    <definedName name="_xlnm.Print_Area" localSheetId="26">WACC!$A$1:$S$57</definedName>
    <definedName name="_xlnm.Print_Titles" localSheetId="17">BS!$1:$3</definedName>
    <definedName name="_xlnm.Print_Titles" localSheetId="22">'Capital Structure Details'!$1:$3</definedName>
    <definedName name="_xlnm.Print_Titles" localSheetId="21">'Capital Structure Summary'!$1:$3</definedName>
    <definedName name="_xlnm.Print_Titles" localSheetId="30">'Comparable M&amp;A Transactions'!$1:$3</definedName>
    <definedName name="_xlnm.Print_Titles" localSheetId="20">'Historical Capitalization'!$1:$3</definedName>
    <definedName name="_xlnm.Print_Titles" localSheetId="16">IS!$1:$3</definedName>
    <definedName name="_xlnm.Print_Titles" localSheetId="15">'Key Stats'!$1:$3</definedName>
    <definedName name="_xlnm.Print_Titles" localSheetId="19">Multiples!$1:$3</definedName>
    <definedName name="_xlnm.Print_Titles" localSheetId="23">Ratios!$1:$3</definedName>
    <definedName name="_xlnm.Print_Titles" localSheetId="18">SCF!$1:$3</definedName>
    <definedName name="_xlnm.Print_Titles" localSheetId="25">Segments!$1:$3</definedName>
    <definedName name="_xlnm.Print_Titles" localSheetId="24">Supplemental!$1:$3</definedName>
    <definedName name="SPSet">"current"</definedName>
    <definedName name="SPWS_WBID">"D37EBD5C-BA90-4B94-B2F1-78539D014FA9"</definedName>
    <definedName name="wrn.Basic._.Report." hidden="1">{#N/A,#N/A,FALSE,"New Depr Sch-150% DB";#N/A,#N/A,FALSE,"Cash Flows RLP";#N/A,#N/A,FALSE,"IRR";#N/A,#N/A,FALSE,"Proforma IS";#N/A,#N/A,FALSE,"Assumptions"}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plete._.Report." hidden="1">{#N/A,#N/A,FALSE,"Assumptions";#N/A,#N/A,FALSE,"Proforma IS";#N/A,#N/A,FALSE,"Cash Flows RLP";#N/A,#N/A,FALSE,"IRR";#N/A,#N/A,FALSE,"New Depr Sch-150% DB";#N/A,#N/A,FALSE,"Comments"}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print." hidden="1">{#N/A,#N/A,FALSE,"Japan 2003";#N/A,#N/A,FALSE,"Sheet2"}</definedName>
  </definedNames>
  <calcPr calcId="191029" calcMode="autoNoTable" iterate="1" iterateDelta="9.9999999999994451E-4"/>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9" i="31" l="1"/>
  <c r="P31" i="31"/>
  <c r="Q31" i="31"/>
  <c r="R31" i="31"/>
  <c r="S31" i="31"/>
  <c r="T31" i="31"/>
  <c r="Q24" i="31"/>
  <c r="R24" i="31"/>
  <c r="S24" i="31"/>
  <c r="T24" i="31"/>
  <c r="P24" i="31"/>
  <c r="J32" i="31"/>
  <c r="K18" i="31"/>
  <c r="L18" i="31"/>
  <c r="M18" i="31"/>
  <c r="N18" i="31"/>
  <c r="O18" i="31"/>
  <c r="K19" i="31"/>
  <c r="L19" i="31"/>
  <c r="L24" i="31" s="1"/>
  <c r="L31" i="31" s="1"/>
  <c r="M19" i="31"/>
  <c r="M24" i="31" s="1"/>
  <c r="M31" i="31" s="1"/>
  <c r="N19" i="31"/>
  <c r="O19" i="31"/>
  <c r="K20" i="31"/>
  <c r="K24" i="31" s="1"/>
  <c r="K31" i="31" s="1"/>
  <c r="L20" i="31"/>
  <c r="M20" i="31"/>
  <c r="N20" i="31"/>
  <c r="O20" i="31"/>
  <c r="K21" i="31"/>
  <c r="L21" i="31"/>
  <c r="M21" i="31"/>
  <c r="N21" i="31"/>
  <c r="O21" i="31"/>
  <c r="K22" i="31" a="1"/>
  <c r="K22" i="31" s="1"/>
  <c r="K23" i="31"/>
  <c r="L23" i="31"/>
  <c r="M23" i="31"/>
  <c r="N23" i="31"/>
  <c r="O23" i="31"/>
  <c r="L17" i="31"/>
  <c r="M17" i="31"/>
  <c r="N17" i="31"/>
  <c r="O17" i="31"/>
  <c r="P29" i="31"/>
  <c r="Q29" i="31"/>
  <c r="R29" i="31"/>
  <c r="S29" i="31"/>
  <c r="T29" i="31"/>
  <c r="L12" i="31"/>
  <c r="M12" i="31"/>
  <c r="N12" i="31"/>
  <c r="O12" i="31"/>
  <c r="K12" i="31"/>
  <c r="J104" i="1"/>
  <c r="O38" i="31"/>
  <c r="L29" i="31"/>
  <c r="M29" i="31"/>
  <c r="N29" i="31"/>
  <c r="O29" i="31"/>
  <c r="K29" i="31"/>
  <c r="K17" i="31"/>
  <c r="J15" i="31"/>
  <c r="K15" i="31"/>
  <c r="L15" i="31"/>
  <c r="M15" i="31"/>
  <c r="N15" i="31"/>
  <c r="O15" i="31"/>
  <c r="I15" i="31"/>
  <c r="J14" i="31"/>
  <c r="K14" i="31"/>
  <c r="L14" i="31"/>
  <c r="M14" i="31"/>
  <c r="N14" i="31"/>
  <c r="O14" i="31"/>
  <c r="I14" i="31"/>
  <c r="I13" i="31"/>
  <c r="J13" i="31"/>
  <c r="K13" i="31"/>
  <c r="L13" i="31"/>
  <c r="M13" i="31"/>
  <c r="N13" i="31"/>
  <c r="O13" i="31"/>
  <c r="H13" i="31"/>
  <c r="I10" i="31"/>
  <c r="J10" i="31"/>
  <c r="K10" i="31"/>
  <c r="L10" i="31"/>
  <c r="M10" i="31"/>
  <c r="N10" i="31"/>
  <c r="O10" i="31"/>
  <c r="H10" i="31"/>
  <c r="L30" i="9"/>
  <c r="M30" i="9"/>
  <c r="N30" i="9"/>
  <c r="O30" i="9"/>
  <c r="K30" i="9"/>
  <c r="L29" i="9"/>
  <c r="M29" i="9"/>
  <c r="N29" i="9"/>
  <c r="O29" i="9"/>
  <c r="K29" i="9"/>
  <c r="L29" i="10"/>
  <c r="M29" i="10"/>
  <c r="N29" i="10"/>
  <c r="O29" i="10"/>
  <c r="L30" i="10"/>
  <c r="M30" i="10"/>
  <c r="N30" i="10"/>
  <c r="O30" i="10"/>
  <c r="L31" i="10"/>
  <c r="M31" i="10"/>
  <c r="N31" i="10"/>
  <c r="O31" i="10"/>
  <c r="L32" i="10"/>
  <c r="M32" i="10"/>
  <c r="N32" i="10"/>
  <c r="O32" i="10"/>
  <c r="K30" i="10"/>
  <c r="K31" i="10"/>
  <c r="K32" i="10"/>
  <c r="K29" i="10"/>
  <c r="P23" i="30"/>
  <c r="Q23" i="30"/>
  <c r="R23" i="30"/>
  <c r="S23" i="30"/>
  <c r="T23" i="30"/>
  <c r="K15" i="30"/>
  <c r="K12" i="30"/>
  <c r="L12" i="30"/>
  <c r="M12" i="30"/>
  <c r="N12" i="30"/>
  <c r="O12" i="30"/>
  <c r="K13" i="30"/>
  <c r="L13" i="30"/>
  <c r="M13" i="30"/>
  <c r="N13" i="30"/>
  <c r="O13" i="30"/>
  <c r="K14" i="30"/>
  <c r="L14" i="30"/>
  <c r="M14" i="30"/>
  <c r="N14" i="30"/>
  <c r="O14" i="30"/>
  <c r="L11" i="30"/>
  <c r="M11" i="30"/>
  <c r="N11" i="30"/>
  <c r="O11" i="30"/>
  <c r="K11" i="30"/>
  <c r="O53" i="30"/>
  <c r="N53" i="30"/>
  <c r="M53" i="30"/>
  <c r="L53" i="30"/>
  <c r="K53" i="30"/>
  <c r="L51" i="30"/>
  <c r="M51" i="30"/>
  <c r="N51" i="30"/>
  <c r="O51" i="30"/>
  <c r="K51" i="30"/>
  <c r="H28" i="30"/>
  <c r="I28" i="30"/>
  <c r="L21" i="30"/>
  <c r="M21" i="30"/>
  <c r="N21" i="30"/>
  <c r="O21" i="30"/>
  <c r="P21" i="30"/>
  <c r="Q21" i="30"/>
  <c r="R21" i="30"/>
  <c r="S21" i="30"/>
  <c r="T21" i="30"/>
  <c r="L22" i="30"/>
  <c r="M22" i="30"/>
  <c r="N22" i="30"/>
  <c r="O22" i="30"/>
  <c r="P22" i="30"/>
  <c r="Q22" i="30"/>
  <c r="R22" i="30"/>
  <c r="S22" i="30"/>
  <c r="T22" i="30"/>
  <c r="K22" i="30"/>
  <c r="K21" i="30"/>
  <c r="L19" i="30"/>
  <c r="M19" i="30"/>
  <c r="N19" i="30"/>
  <c r="O19" i="30"/>
  <c r="P19" i="30"/>
  <c r="Q19" i="30"/>
  <c r="R19" i="30"/>
  <c r="S19" i="30"/>
  <c r="T19" i="30"/>
  <c r="L20" i="30"/>
  <c r="M20" i="30"/>
  <c r="N20" i="30"/>
  <c r="O20" i="30"/>
  <c r="P20" i="30"/>
  <c r="Q20" i="30"/>
  <c r="R20" i="30"/>
  <c r="S20" i="30"/>
  <c r="T20" i="30"/>
  <c r="K20" i="30"/>
  <c r="K19" i="30"/>
  <c r="L40" i="30"/>
  <c r="L37" i="30"/>
  <c r="M37" i="30"/>
  <c r="M40" i="30" s="1"/>
  <c r="N37" i="30" s="1"/>
  <c r="N40" i="30" s="1"/>
  <c r="O37" i="30" s="1"/>
  <c r="O40" i="30" s="1"/>
  <c r="K40" i="30"/>
  <c r="K37" i="30"/>
  <c r="K34" i="30"/>
  <c r="K47" i="30" s="1"/>
  <c r="K49" i="30" s="1"/>
  <c r="K31" i="30"/>
  <c r="H40" i="30"/>
  <c r="I40" i="30"/>
  <c r="J40" i="30"/>
  <c r="H34" i="30"/>
  <c r="I34" i="30"/>
  <c r="J34" i="30"/>
  <c r="K40" i="10"/>
  <c r="L23" i="10"/>
  <c r="M23" i="10"/>
  <c r="N23" i="10"/>
  <c r="O23" i="10"/>
  <c r="K23" i="10"/>
  <c r="O23" i="26"/>
  <c r="L36" i="5"/>
  <c r="M36" i="5"/>
  <c r="N36" i="5"/>
  <c r="O36" i="5"/>
  <c r="K36" i="5"/>
  <c r="K20" i="29"/>
  <c r="L20" i="29"/>
  <c r="M20" i="29"/>
  <c r="N20" i="29"/>
  <c r="O20" i="29"/>
  <c r="L15" i="29"/>
  <c r="M15" i="29"/>
  <c r="N15" i="29"/>
  <c r="O15" i="29"/>
  <c r="K15" i="29"/>
  <c r="L13" i="29"/>
  <c r="L10" i="29"/>
  <c r="M10" i="29"/>
  <c r="M13" i="29" s="1"/>
  <c r="N10" i="29" s="1"/>
  <c r="N13" i="29" s="1"/>
  <c r="O10" i="29" s="1"/>
  <c r="O13" i="29" s="1"/>
  <c r="K13" i="29"/>
  <c r="K10" i="29"/>
  <c r="J20" i="29"/>
  <c r="J15" i="29"/>
  <c r="J13" i="29"/>
  <c r="I20" i="29"/>
  <c r="H20" i="29"/>
  <c r="J17" i="29"/>
  <c r="J19" i="29"/>
  <c r="J18" i="29"/>
  <c r="L33" i="10"/>
  <c r="M33" i="10"/>
  <c r="N33" i="10"/>
  <c r="O33" i="10"/>
  <c r="L34" i="10"/>
  <c r="M34" i="10"/>
  <c r="N34" i="10"/>
  <c r="O34" i="10"/>
  <c r="L35" i="10"/>
  <c r="M35" i="10"/>
  <c r="N35" i="10"/>
  <c r="O35" i="10"/>
  <c r="L36" i="10"/>
  <c r="M36" i="10"/>
  <c r="N36" i="10"/>
  <c r="O36" i="10"/>
  <c r="K34" i="10"/>
  <c r="K35" i="10"/>
  <c r="K36" i="10"/>
  <c r="K33" i="10"/>
  <c r="L14" i="10"/>
  <c r="M14" i="10"/>
  <c r="N14" i="10"/>
  <c r="O14" i="10"/>
  <c r="K14" i="10"/>
  <c r="K12" i="28"/>
  <c r="L12" i="28"/>
  <c r="M12" i="28"/>
  <c r="N12" i="28"/>
  <c r="O12" i="28"/>
  <c r="H29" i="28"/>
  <c r="I29" i="28"/>
  <c r="J29" i="28"/>
  <c r="G29" i="28"/>
  <c r="H28" i="28"/>
  <c r="I28" i="28"/>
  <c r="J28" i="28"/>
  <c r="G28" i="28"/>
  <c r="L34" i="28"/>
  <c r="M34" i="28"/>
  <c r="N34" i="28"/>
  <c r="O34" i="28"/>
  <c r="K34" i="28"/>
  <c r="J21" i="28"/>
  <c r="I21" i="28"/>
  <c r="H21" i="28"/>
  <c r="M21" i="28"/>
  <c r="N21" i="28" s="1"/>
  <c r="O21" i="28" s="1"/>
  <c r="L21" i="28"/>
  <c r="I20" i="28"/>
  <c r="J20" i="28"/>
  <c r="J22" i="28"/>
  <c r="I22" i="28"/>
  <c r="H22" i="28"/>
  <c r="H20" i="28"/>
  <c r="H17" i="28"/>
  <c r="I17" i="28"/>
  <c r="J17" i="28"/>
  <c r="G17" i="28"/>
  <c r="H12" i="28"/>
  <c r="I12" i="28"/>
  <c r="J12" i="28"/>
  <c r="G12" i="28"/>
  <c r="V21" i="5"/>
  <c r="V15" i="5"/>
  <c r="V10" i="5"/>
  <c r="L16" i="10"/>
  <c r="M16" i="10"/>
  <c r="N16" i="10"/>
  <c r="O16" i="10"/>
  <c r="K16" i="10"/>
  <c r="L31" i="9"/>
  <c r="M31" i="9"/>
  <c r="N31" i="9"/>
  <c r="O31" i="9"/>
  <c r="K31" i="9"/>
  <c r="L26" i="9"/>
  <c r="M26" i="9"/>
  <c r="N26" i="9"/>
  <c r="O26" i="9"/>
  <c r="K26" i="9"/>
  <c r="L19" i="9"/>
  <c r="M19" i="9"/>
  <c r="N19" i="9"/>
  <c r="O19" i="9"/>
  <c r="K18" i="9"/>
  <c r="K19" i="9"/>
  <c r="L17" i="9"/>
  <c r="M17" i="9"/>
  <c r="N17" i="9"/>
  <c r="O17" i="9"/>
  <c r="K17" i="9"/>
  <c r="H23" i="26"/>
  <c r="I23" i="26"/>
  <c r="J23" i="26"/>
  <c r="K23" i="26"/>
  <c r="L23" i="26"/>
  <c r="M23" i="26"/>
  <c r="N23" i="26"/>
  <c r="L21" i="26"/>
  <c r="M21" i="26"/>
  <c r="N21" i="26"/>
  <c r="O21" i="26"/>
  <c r="K21" i="26"/>
  <c r="L16" i="26"/>
  <c r="M16" i="26"/>
  <c r="N16" i="26"/>
  <c r="O16" i="26"/>
  <c r="K16" i="26"/>
  <c r="L14" i="26"/>
  <c r="M14" i="26"/>
  <c r="N14" i="26"/>
  <c r="O14" i="26"/>
  <c r="K14" i="26"/>
  <c r="L19" i="26"/>
  <c r="M19" i="26"/>
  <c r="N19" i="26"/>
  <c r="O19" i="26"/>
  <c r="K19" i="26"/>
  <c r="L13" i="26"/>
  <c r="M13" i="26" s="1"/>
  <c r="N13" i="26" s="1"/>
  <c r="O13" i="26" s="1"/>
  <c r="K13" i="26"/>
  <c r="I21" i="26"/>
  <c r="J21" i="26"/>
  <c r="H21" i="26"/>
  <c r="H19" i="26"/>
  <c r="I19" i="26"/>
  <c r="J19" i="26"/>
  <c r="G19" i="26"/>
  <c r="I16" i="26"/>
  <c r="J16" i="26"/>
  <c r="H16" i="26"/>
  <c r="H14" i="26"/>
  <c r="I14" i="26"/>
  <c r="J14" i="26"/>
  <c r="G14" i="26"/>
  <c r="H11" i="26"/>
  <c r="I11" i="26"/>
  <c r="J11" i="26"/>
  <c r="H12" i="26"/>
  <c r="I12" i="26"/>
  <c r="J12" i="26"/>
  <c r="H13" i="26"/>
  <c r="I13" i="26"/>
  <c r="J13" i="26"/>
  <c r="G12" i="26"/>
  <c r="G13" i="26"/>
  <c r="G11" i="26"/>
  <c r="L20" i="10"/>
  <c r="M20" i="10"/>
  <c r="N20" i="10"/>
  <c r="O20" i="10"/>
  <c r="K20" i="10"/>
  <c r="L12" i="10"/>
  <c r="M12" i="10"/>
  <c r="N12" i="10"/>
  <c r="O12" i="10"/>
  <c r="K12" i="10"/>
  <c r="L16" i="9"/>
  <c r="M16" i="9"/>
  <c r="N16" i="9"/>
  <c r="O16" i="9"/>
  <c r="K16" i="9"/>
  <c r="L23" i="13"/>
  <c r="M23" i="13"/>
  <c r="N23" i="13"/>
  <c r="O23" i="13"/>
  <c r="K23" i="13"/>
  <c r="L22" i="13"/>
  <c r="M22" i="13"/>
  <c r="N22" i="13"/>
  <c r="O22" i="13"/>
  <c r="K22" i="13"/>
  <c r="L30" i="13"/>
  <c r="L27" i="13"/>
  <c r="M27" i="13"/>
  <c r="N27" i="13"/>
  <c r="O27" i="13"/>
  <c r="L28" i="13"/>
  <c r="M28" i="13"/>
  <c r="N28" i="13"/>
  <c r="O28" i="13"/>
  <c r="L26" i="13"/>
  <c r="M26" i="13"/>
  <c r="M30" i="13" s="1"/>
  <c r="N26" i="13" s="1"/>
  <c r="N30" i="13" s="1"/>
  <c r="O26" i="13" s="1"/>
  <c r="O30" i="13" s="1"/>
  <c r="K30" i="13"/>
  <c r="K28" i="13"/>
  <c r="K27" i="13"/>
  <c r="K26" i="13"/>
  <c r="M20" i="13"/>
  <c r="N20" i="13"/>
  <c r="O20" i="13"/>
  <c r="L20" i="13"/>
  <c r="K20" i="13"/>
  <c r="H30" i="13"/>
  <c r="I30" i="13"/>
  <c r="J30" i="13"/>
  <c r="G30" i="13"/>
  <c r="J23" i="13"/>
  <c r="H23" i="13"/>
  <c r="I23" i="13"/>
  <c r="G23" i="13"/>
  <c r="H22" i="13"/>
  <c r="I22" i="13"/>
  <c r="J22" i="13"/>
  <c r="G22" i="13"/>
  <c r="H20" i="13"/>
  <c r="I20" i="13"/>
  <c r="J20" i="13"/>
  <c r="G20" i="13"/>
  <c r="G19" i="13"/>
  <c r="H19" i="13"/>
  <c r="I19" i="13"/>
  <c r="J19" i="13"/>
  <c r="K19" i="13"/>
  <c r="L19" i="13"/>
  <c r="M19" i="13"/>
  <c r="N19" i="13"/>
  <c r="O19" i="13"/>
  <c r="F19" i="13"/>
  <c r="G18" i="13"/>
  <c r="H18" i="13"/>
  <c r="I18" i="13"/>
  <c r="J18" i="13"/>
  <c r="K18" i="13"/>
  <c r="L18" i="13"/>
  <c r="M18" i="13"/>
  <c r="N18" i="13"/>
  <c r="O18" i="13"/>
  <c r="F18" i="13"/>
  <c r="L13" i="13"/>
  <c r="M13" i="13"/>
  <c r="N13" i="13"/>
  <c r="O13" i="13"/>
  <c r="K13" i="13"/>
  <c r="L12" i="13"/>
  <c r="M12" i="13"/>
  <c r="N12" i="13"/>
  <c r="O12" i="13"/>
  <c r="K12" i="13"/>
  <c r="K15" i="13"/>
  <c r="L15" i="13"/>
  <c r="M15" i="13"/>
  <c r="N15" i="13"/>
  <c r="O15" i="13"/>
  <c r="J16" i="13"/>
  <c r="I16" i="13"/>
  <c r="G16" i="13"/>
  <c r="H16" i="13"/>
  <c r="H15" i="13"/>
  <c r="I15" i="13"/>
  <c r="J15" i="13"/>
  <c r="G15" i="13"/>
  <c r="G12" i="13"/>
  <c r="H12" i="13"/>
  <c r="I12" i="13"/>
  <c r="J12" i="13"/>
  <c r="F12" i="13"/>
  <c r="H13" i="13"/>
  <c r="I13" i="13"/>
  <c r="J13" i="13"/>
  <c r="G13" i="13"/>
  <c r="G10" i="13"/>
  <c r="H10" i="13"/>
  <c r="I10" i="13"/>
  <c r="J10" i="13"/>
  <c r="K10" i="13"/>
  <c r="L10" i="13"/>
  <c r="M10" i="13"/>
  <c r="N10" i="13"/>
  <c r="O10" i="13"/>
  <c r="F10" i="13"/>
  <c r="L15" i="10"/>
  <c r="M15" i="10"/>
  <c r="N15" i="10"/>
  <c r="O15" i="10"/>
  <c r="K15" i="10"/>
  <c r="L22" i="9"/>
  <c r="M22" i="9"/>
  <c r="N22" i="9"/>
  <c r="O22" i="9"/>
  <c r="L23" i="9"/>
  <c r="M23" i="9"/>
  <c r="N23" i="9"/>
  <c r="O23" i="9"/>
  <c r="L24" i="9"/>
  <c r="M24" i="9"/>
  <c r="N24" i="9"/>
  <c r="O24" i="9"/>
  <c r="L25" i="9"/>
  <c r="M25" i="9"/>
  <c r="N25" i="9"/>
  <c r="O25" i="9"/>
  <c r="K23" i="9"/>
  <c r="K24" i="9"/>
  <c r="K25" i="9"/>
  <c r="K22" i="9"/>
  <c r="L11" i="9"/>
  <c r="M11" i="9"/>
  <c r="N11" i="9"/>
  <c r="O11" i="9"/>
  <c r="L12" i="9"/>
  <c r="M12" i="9"/>
  <c r="N12" i="9"/>
  <c r="O12" i="9"/>
  <c r="L13" i="9"/>
  <c r="M13" i="9"/>
  <c r="N13" i="9"/>
  <c r="O13" i="9"/>
  <c r="K12" i="9"/>
  <c r="K13" i="9"/>
  <c r="K11" i="9"/>
  <c r="L27" i="12"/>
  <c r="M27" i="12"/>
  <c r="N27" i="12"/>
  <c r="O27" i="12"/>
  <c r="K27" i="12"/>
  <c r="L25" i="12"/>
  <c r="M25" i="12"/>
  <c r="N25" i="12"/>
  <c r="O25" i="12"/>
  <c r="K25" i="12"/>
  <c r="J23" i="12"/>
  <c r="L23" i="12"/>
  <c r="M23" i="12"/>
  <c r="N23" i="12"/>
  <c r="O23" i="12"/>
  <c r="K23" i="12"/>
  <c r="K21" i="12"/>
  <c r="L21" i="12"/>
  <c r="M21" i="12"/>
  <c r="N21" i="12"/>
  <c r="O21" i="12"/>
  <c r="K22" i="12"/>
  <c r="L22" i="12"/>
  <c r="M22" i="12"/>
  <c r="N22" i="12"/>
  <c r="O22" i="12"/>
  <c r="L20" i="12"/>
  <c r="M20" i="12"/>
  <c r="N20" i="12"/>
  <c r="O20" i="12"/>
  <c r="K20" i="12"/>
  <c r="L19" i="12"/>
  <c r="M19" i="12"/>
  <c r="N19" i="12"/>
  <c r="O19" i="12"/>
  <c r="K19" i="12"/>
  <c r="O17" i="12"/>
  <c r="N17" i="12"/>
  <c r="M17" i="12"/>
  <c r="L17" i="12"/>
  <c r="K17" i="12"/>
  <c r="M16" i="12"/>
  <c r="N16" i="12"/>
  <c r="O16" i="12"/>
  <c r="L16" i="12"/>
  <c r="K16" i="12"/>
  <c r="J34" i="12"/>
  <c r="H34" i="12"/>
  <c r="I34" i="12"/>
  <c r="G34" i="12"/>
  <c r="K15" i="12"/>
  <c r="L15" i="12"/>
  <c r="M15" i="12"/>
  <c r="N15" i="12"/>
  <c r="O15" i="12"/>
  <c r="L14" i="12"/>
  <c r="M14" i="12"/>
  <c r="N14" i="12"/>
  <c r="O14" i="12"/>
  <c r="K14" i="12"/>
  <c r="G38" i="12"/>
  <c r="H38" i="12"/>
  <c r="I38" i="12"/>
  <c r="J38" i="12"/>
  <c r="G39" i="12"/>
  <c r="H39" i="12"/>
  <c r="I39" i="12"/>
  <c r="J39" i="12"/>
  <c r="H37" i="12"/>
  <c r="I37" i="12"/>
  <c r="J37" i="12"/>
  <c r="G37" i="12"/>
  <c r="H36" i="12"/>
  <c r="I36" i="12"/>
  <c r="J36" i="12"/>
  <c r="G36" i="12"/>
  <c r="G33" i="12"/>
  <c r="H33" i="12"/>
  <c r="I33" i="12"/>
  <c r="J33" i="12"/>
  <c r="H32" i="12"/>
  <c r="I32" i="12"/>
  <c r="J32" i="12"/>
  <c r="G32" i="12"/>
  <c r="I27" i="12"/>
  <c r="H27" i="12"/>
  <c r="H25" i="12"/>
  <c r="I25" i="12"/>
  <c r="J25" i="12"/>
  <c r="J27" i="12" s="1"/>
  <c r="G25" i="12"/>
  <c r="H23" i="12"/>
  <c r="I23" i="12"/>
  <c r="G23" i="12"/>
  <c r="H22" i="12"/>
  <c r="I22" i="12"/>
  <c r="J22" i="12"/>
  <c r="G22" i="12"/>
  <c r="G20" i="12"/>
  <c r="H20" i="12"/>
  <c r="I20" i="12"/>
  <c r="J20" i="12"/>
  <c r="G21" i="12"/>
  <c r="H21" i="12"/>
  <c r="I21" i="12"/>
  <c r="J21" i="12"/>
  <c r="H19" i="12"/>
  <c r="I19" i="12"/>
  <c r="J19" i="12"/>
  <c r="G19" i="12"/>
  <c r="H17" i="12"/>
  <c r="I17" i="12"/>
  <c r="J17" i="12"/>
  <c r="H14" i="12"/>
  <c r="I14" i="12"/>
  <c r="J14" i="12"/>
  <c r="H15" i="12"/>
  <c r="I15" i="12"/>
  <c r="J15" i="12"/>
  <c r="H16" i="12"/>
  <c r="I16" i="12"/>
  <c r="J16" i="12"/>
  <c r="G15" i="12"/>
  <c r="G16" i="12"/>
  <c r="G14" i="12"/>
  <c r="G17" i="12"/>
  <c r="H11" i="12"/>
  <c r="I11" i="12"/>
  <c r="J11" i="12"/>
  <c r="K11" i="12"/>
  <c r="L11" i="12"/>
  <c r="M11" i="12"/>
  <c r="N11" i="12"/>
  <c r="O11" i="12"/>
  <c r="G11" i="12"/>
  <c r="H10" i="12"/>
  <c r="I10" i="12"/>
  <c r="J10" i="12"/>
  <c r="K10" i="12"/>
  <c r="L10" i="12"/>
  <c r="M10" i="12"/>
  <c r="N10" i="12"/>
  <c r="O10" i="12"/>
  <c r="G10" i="12"/>
  <c r="H39" i="9"/>
  <c r="I39" i="9"/>
  <c r="J39" i="9"/>
  <c r="G39" i="9"/>
  <c r="H38" i="9"/>
  <c r="I38" i="9"/>
  <c r="J38" i="9"/>
  <c r="G38" i="9"/>
  <c r="H34" i="9"/>
  <c r="I34" i="9"/>
  <c r="J34" i="9"/>
  <c r="G34" i="9"/>
  <c r="H32" i="9"/>
  <c r="I32" i="9"/>
  <c r="J32" i="9"/>
  <c r="G32" i="9"/>
  <c r="H26" i="9"/>
  <c r="I26" i="9"/>
  <c r="J26" i="9"/>
  <c r="G26" i="9"/>
  <c r="H20" i="9"/>
  <c r="I20" i="9"/>
  <c r="J20" i="9"/>
  <c r="G20" i="9"/>
  <c r="H14" i="9"/>
  <c r="I14" i="9"/>
  <c r="J14" i="9"/>
  <c r="G14" i="9"/>
  <c r="I37" i="5"/>
  <c r="J37" i="5"/>
  <c r="H37" i="5"/>
  <c r="J34" i="5"/>
  <c r="I34" i="5"/>
  <c r="G34" i="5"/>
  <c r="F34" i="5"/>
  <c r="H34" i="5"/>
  <c r="J31" i="5"/>
  <c r="I31" i="5"/>
  <c r="G31" i="5"/>
  <c r="F31" i="5"/>
  <c r="H31" i="5"/>
  <c r="J30" i="5"/>
  <c r="I30" i="5"/>
  <c r="G30" i="5"/>
  <c r="F30" i="5"/>
  <c r="H30" i="5"/>
  <c r="G29" i="5"/>
  <c r="H29" i="5"/>
  <c r="I29" i="5"/>
  <c r="J29" i="5"/>
  <c r="F29" i="5"/>
  <c r="G26" i="5"/>
  <c r="H26" i="5"/>
  <c r="I26" i="5"/>
  <c r="J26" i="5"/>
  <c r="F26" i="5"/>
  <c r="I22" i="5"/>
  <c r="J22" i="5"/>
  <c r="K22" i="5"/>
  <c r="L22" i="5"/>
  <c r="M22" i="5"/>
  <c r="N22" i="5"/>
  <c r="O22" i="5"/>
  <c r="H22" i="5"/>
  <c r="G21" i="5"/>
  <c r="H21" i="5"/>
  <c r="I21" i="5"/>
  <c r="J21" i="5"/>
  <c r="K21" i="5"/>
  <c r="L21" i="5"/>
  <c r="M21" i="5"/>
  <c r="N21" i="5"/>
  <c r="O21" i="5"/>
  <c r="F21" i="5"/>
  <c r="G14" i="5"/>
  <c r="H14" i="5"/>
  <c r="I14" i="5"/>
  <c r="J14" i="5"/>
  <c r="K14" i="5"/>
  <c r="L14" i="5"/>
  <c r="M14" i="5"/>
  <c r="N14" i="5"/>
  <c r="O14" i="5"/>
  <c r="F14" i="5"/>
  <c r="F15" i="5" s="1"/>
  <c r="F16" i="5" s="1"/>
  <c r="O12" i="5"/>
  <c r="N12" i="5"/>
  <c r="M12" i="5"/>
  <c r="L12" i="5"/>
  <c r="K12" i="5"/>
  <c r="J12" i="5"/>
  <c r="I12" i="5"/>
  <c r="H12" i="5"/>
  <c r="G12" i="5"/>
  <c r="F12" i="5"/>
  <c r="G11" i="5"/>
  <c r="H11" i="5"/>
  <c r="I11" i="5"/>
  <c r="J11" i="5"/>
  <c r="K11" i="5"/>
  <c r="L11" i="5"/>
  <c r="M11" i="5"/>
  <c r="N11" i="5"/>
  <c r="O11" i="5"/>
  <c r="F11" i="5"/>
  <c r="G10" i="5"/>
  <c r="H10" i="5"/>
  <c r="I10" i="5"/>
  <c r="I15" i="5" s="1"/>
  <c r="I16" i="5" s="1"/>
  <c r="J10" i="5"/>
  <c r="J15" i="5" s="1"/>
  <c r="J16" i="5" s="1"/>
  <c r="K10" i="5"/>
  <c r="K15" i="5" s="1"/>
  <c r="K16" i="5" s="1"/>
  <c r="L10" i="5"/>
  <c r="L15" i="5" s="1"/>
  <c r="L16" i="5" s="1"/>
  <c r="M10" i="5"/>
  <c r="N10" i="5"/>
  <c r="O10" i="5"/>
  <c r="F10" i="5"/>
  <c r="G20" i="5"/>
  <c r="H20" i="5"/>
  <c r="I20" i="5"/>
  <c r="J20" i="5"/>
  <c r="K20" i="5"/>
  <c r="L20" i="5"/>
  <c r="M20" i="5"/>
  <c r="N20" i="5"/>
  <c r="O20" i="5"/>
  <c r="F20" i="5"/>
  <c r="G19" i="5"/>
  <c r="H19" i="5"/>
  <c r="I19" i="5"/>
  <c r="J19" i="5"/>
  <c r="K19" i="5"/>
  <c r="L19" i="5"/>
  <c r="M19" i="5"/>
  <c r="N19" i="5"/>
  <c r="O19" i="5"/>
  <c r="F19" i="5"/>
  <c r="G18" i="5"/>
  <c r="H18" i="5"/>
  <c r="I18" i="5"/>
  <c r="J18" i="5"/>
  <c r="K18" i="5"/>
  <c r="L18" i="5"/>
  <c r="M18" i="5"/>
  <c r="N18" i="5"/>
  <c r="O18" i="5"/>
  <c r="F18" i="5"/>
  <c r="G95" i="1"/>
  <c r="H95" i="1"/>
  <c r="I95" i="1"/>
  <c r="J95" i="1"/>
  <c r="K95" i="1"/>
  <c r="L95" i="1"/>
  <c r="M95" i="1"/>
  <c r="N95" i="1"/>
  <c r="O95" i="1"/>
  <c r="F95" i="1"/>
  <c r="G15" i="5"/>
  <c r="G16" i="5" s="1"/>
  <c r="H15" i="5"/>
  <c r="H16" i="5" s="1"/>
  <c r="F30" i="1"/>
  <c r="G30" i="1"/>
  <c r="H30" i="1"/>
  <c r="I30" i="1"/>
  <c r="J30" i="1"/>
  <c r="J113" i="1"/>
  <c r="G112" i="1"/>
  <c r="H112" i="1"/>
  <c r="I112" i="1"/>
  <c r="J112" i="1"/>
  <c r="F112" i="1"/>
  <c r="J105" i="1"/>
  <c r="G111" i="1"/>
  <c r="H111" i="1"/>
  <c r="I111" i="1"/>
  <c r="J111" i="1"/>
  <c r="F111" i="1"/>
  <c r="G108" i="1"/>
  <c r="H108" i="1"/>
  <c r="I108" i="1"/>
  <c r="J108" i="1"/>
  <c r="F108" i="1"/>
  <c r="G104" i="1"/>
  <c r="H104" i="1"/>
  <c r="I104" i="1"/>
  <c r="I105" i="1" s="1"/>
  <c r="F104" i="1"/>
  <c r="F113" i="1" s="1"/>
  <c r="L83" i="1"/>
  <c r="M83" i="1"/>
  <c r="N83" i="1"/>
  <c r="O83" i="1"/>
  <c r="K83" i="1"/>
  <c r="L94" i="1"/>
  <c r="M94" i="1"/>
  <c r="N94" i="1"/>
  <c r="O94" i="1"/>
  <c r="K94" i="1"/>
  <c r="G91" i="9"/>
  <c r="H91" i="9"/>
  <c r="I91" i="9"/>
  <c r="J91" i="9"/>
  <c r="G91" i="1"/>
  <c r="G97" i="1" s="1"/>
  <c r="H91" i="1"/>
  <c r="H97" i="1" s="1"/>
  <c r="I91" i="1"/>
  <c r="I97" i="1" s="1"/>
  <c r="F91" i="9"/>
  <c r="F91" i="1"/>
  <c r="F97" i="1" s="1"/>
  <c r="G90" i="9"/>
  <c r="H90" i="9"/>
  <c r="I90" i="9"/>
  <c r="J90" i="9"/>
  <c r="G90" i="1"/>
  <c r="H90" i="1"/>
  <c r="I90" i="1"/>
  <c r="J90" i="1"/>
  <c r="J91" i="1" s="1"/>
  <c r="J97" i="1" s="1"/>
  <c r="F90" i="9"/>
  <c r="F90" i="1"/>
  <c r="G78" i="1"/>
  <c r="H78" i="1"/>
  <c r="H84" i="1" s="1"/>
  <c r="I78" i="1"/>
  <c r="J78" i="1"/>
  <c r="K78" i="1" s="1"/>
  <c r="G79" i="1"/>
  <c r="H79" i="1"/>
  <c r="I79" i="1"/>
  <c r="I85" i="1" s="1"/>
  <c r="J79" i="1"/>
  <c r="J85" i="1" s="1"/>
  <c r="H77" i="1"/>
  <c r="I77" i="1"/>
  <c r="I83" i="1" s="1"/>
  <c r="J77" i="1"/>
  <c r="G77" i="1"/>
  <c r="G74" i="1"/>
  <c r="G80" i="1" s="1"/>
  <c r="H74" i="1"/>
  <c r="H80" i="1" s="1"/>
  <c r="H86" i="1" s="1"/>
  <c r="I74" i="1"/>
  <c r="I80" i="1" s="1"/>
  <c r="J74" i="1"/>
  <c r="J80" i="1" s="1"/>
  <c r="J86" i="1" s="1"/>
  <c r="F74" i="1"/>
  <c r="H40" i="1"/>
  <c r="I40" i="1"/>
  <c r="J40" i="1"/>
  <c r="J45" i="1" s="1"/>
  <c r="G40" i="1"/>
  <c r="H41" i="1"/>
  <c r="I41" i="1"/>
  <c r="I46" i="1" s="1"/>
  <c r="J41" i="1"/>
  <c r="J46" i="1" s="1"/>
  <c r="G41" i="1"/>
  <c r="G33" i="1"/>
  <c r="H33" i="1"/>
  <c r="I33" i="1"/>
  <c r="J33" i="1"/>
  <c r="F33" i="1"/>
  <c r="O24" i="31" l="1"/>
  <c r="N24" i="31"/>
  <c r="N31" i="31" s="1"/>
  <c r="O31" i="31"/>
  <c r="L31" i="30"/>
  <c r="L34" i="30" s="1"/>
  <c r="N15" i="5"/>
  <c r="N16" i="5" s="1"/>
  <c r="O15" i="5"/>
  <c r="O16" i="5" s="1"/>
  <c r="M15" i="5"/>
  <c r="M16" i="5" s="1"/>
  <c r="K77" i="1"/>
  <c r="H85" i="1"/>
  <c r="H113" i="1"/>
  <c r="G113" i="1"/>
  <c r="L77" i="1"/>
  <c r="L78" i="1"/>
  <c r="F105" i="1"/>
  <c r="I45" i="1"/>
  <c r="H83" i="1"/>
  <c r="I113" i="1"/>
  <c r="K80" i="1"/>
  <c r="H105" i="1"/>
  <c r="K41" i="1"/>
  <c r="L41" i="1" s="1"/>
  <c r="M41" i="1" s="1"/>
  <c r="N41" i="1" s="1"/>
  <c r="O41" i="1" s="1"/>
  <c r="I86" i="1"/>
  <c r="K79" i="1"/>
  <c r="G105" i="1"/>
  <c r="K40" i="1"/>
  <c r="J83" i="1"/>
  <c r="J84" i="1"/>
  <c r="H46" i="1"/>
  <c r="I84" i="1"/>
  <c r="H45" i="1"/>
  <c r="O25" i="31" l="1"/>
  <c r="N25" i="31"/>
  <c r="L47" i="30"/>
  <c r="L49" i="30" s="1"/>
  <c r="M31" i="30"/>
  <c r="M34" i="30" s="1"/>
  <c r="L40" i="1"/>
  <c r="L80" i="1"/>
  <c r="M78" i="1"/>
  <c r="M77" i="1"/>
  <c r="L79" i="1"/>
  <c r="N31" i="30" l="1"/>
  <c r="N34" i="30" s="1"/>
  <c r="M47" i="30"/>
  <c r="M49" i="30" s="1"/>
  <c r="M40" i="1"/>
  <c r="M79" i="1"/>
  <c r="N77" i="1"/>
  <c r="N78" i="1"/>
  <c r="M80" i="1"/>
  <c r="O31" i="30" l="1"/>
  <c r="O34" i="30" s="1"/>
  <c r="O47" i="30"/>
  <c r="O49" i="30" s="1"/>
  <c r="N47" i="30"/>
  <c r="N49" i="30" s="1"/>
  <c r="N40" i="1"/>
  <c r="N80" i="1"/>
  <c r="O77" i="1"/>
  <c r="N79" i="1"/>
  <c r="O40" i="1" l="1"/>
  <c r="O80" i="1"/>
  <c r="K24" i="1" l="1"/>
  <c r="L24" i="1"/>
  <c r="M24" i="1"/>
  <c r="N24" i="1"/>
  <c r="O24" i="1"/>
  <c r="K13" i="1"/>
  <c r="K14" i="1"/>
  <c r="L14" i="1" s="1"/>
  <c r="M14" i="1" s="1"/>
  <c r="N14" i="1" s="1"/>
  <c r="O14" i="1" s="1"/>
  <c r="K12" i="1"/>
  <c r="H21" i="1"/>
  <c r="I21" i="1"/>
  <c r="J21" i="1"/>
  <c r="G21" i="1"/>
  <c r="H20" i="1"/>
  <c r="I20" i="1"/>
  <c r="J20" i="1"/>
  <c r="G20" i="1"/>
  <c r="H19" i="1"/>
  <c r="I19" i="1"/>
  <c r="J19" i="1"/>
  <c r="G19" i="1"/>
  <c r="G24" i="1" s="1"/>
  <c r="G98" i="1" s="1"/>
  <c r="H27" i="31"/>
  <c r="K31" i="1" l="1"/>
  <c r="K71" i="1"/>
  <c r="K72" i="1"/>
  <c r="K74" i="1"/>
  <c r="K73" i="1"/>
  <c r="L12" i="1"/>
  <c r="L31" i="1" s="1"/>
  <c r="K28" i="1"/>
  <c r="K32" i="1" s="1"/>
  <c r="K15" i="1"/>
  <c r="L13" i="1"/>
  <c r="AX8" i="33"/>
  <c r="AY8" i="33"/>
  <c r="BN10" i="33"/>
  <c r="BF10" i="33"/>
  <c r="AM35" i="33"/>
  <c r="AK25" i="33"/>
  <c r="AJ1" i="33"/>
  <c r="K30" i="1" l="1"/>
  <c r="L72" i="1"/>
  <c r="L71" i="1"/>
  <c r="L73" i="1"/>
  <c r="L74" i="1"/>
  <c r="L70" i="1" s="1"/>
  <c r="K70" i="1"/>
  <c r="K104" i="1" s="1"/>
  <c r="L91" i="1"/>
  <c r="L89" i="1" s="1"/>
  <c r="L104" i="1"/>
  <c r="L108" i="1"/>
  <c r="K91" i="1"/>
  <c r="K89" i="1" s="1"/>
  <c r="K108" i="1"/>
  <c r="M13" i="1"/>
  <c r="M28" i="1" s="1"/>
  <c r="M32" i="1" s="1"/>
  <c r="L28" i="1"/>
  <c r="L32" i="1" s="1"/>
  <c r="L30" i="1" s="1"/>
  <c r="M12" i="1"/>
  <c r="L15" i="1"/>
  <c r="T11" i="33"/>
  <c r="BG11" i="33"/>
  <c r="BH11" i="33"/>
  <c r="BO11" i="33"/>
  <c r="BP11" i="33"/>
  <c r="BR11" i="33"/>
  <c r="BS11" i="33" s="1"/>
  <c r="M31" i="1" l="1"/>
  <c r="M30" i="1" s="1"/>
  <c r="M15" i="1"/>
  <c r="M71" i="1"/>
  <c r="M72" i="1"/>
  <c r="M74" i="1"/>
  <c r="M73" i="1"/>
  <c r="K105" i="1"/>
  <c r="L105" i="1"/>
  <c r="M108" i="1"/>
  <c r="M91" i="1"/>
  <c r="M89" i="1" s="1"/>
  <c r="N12" i="1"/>
  <c r="N13" i="1"/>
  <c r="N28" i="1"/>
  <c r="N32" i="1" s="1"/>
  <c r="T12" i="33"/>
  <c r="BG12" i="33"/>
  <c r="BH12" i="33"/>
  <c r="BI12" i="33"/>
  <c r="BM12" i="33"/>
  <c r="BO12" i="33"/>
  <c r="BP12" i="33"/>
  <c r="BR12" i="33"/>
  <c r="BS12" i="33" s="1"/>
  <c r="N31" i="1" l="1"/>
  <c r="N30" i="1" s="1"/>
  <c r="M70" i="1"/>
  <c r="M104" i="1" s="1"/>
  <c r="N72" i="1"/>
  <c r="N71" i="1"/>
  <c r="N73" i="1"/>
  <c r="N74" i="1"/>
  <c r="N91" i="1"/>
  <c r="N89" i="1" s="1"/>
  <c r="N108" i="1"/>
  <c r="M105" i="1"/>
  <c r="O13" i="1"/>
  <c r="O28" i="1" s="1"/>
  <c r="O32" i="1" s="1"/>
  <c r="O12" i="1"/>
  <c r="O31" i="1" s="1"/>
  <c r="O30" i="1" s="1"/>
  <c r="N15" i="1"/>
  <c r="T13" i="33"/>
  <c r="AS13" i="33"/>
  <c r="BG13" i="33"/>
  <c r="BH13" i="33"/>
  <c r="BI13" i="33"/>
  <c r="BM13" i="33"/>
  <c r="BO13" i="33"/>
  <c r="BP13" i="33"/>
  <c r="BR13" i="33"/>
  <c r="BS13" i="33" s="1"/>
  <c r="N70" i="1" l="1"/>
  <c r="N104" i="1" s="1"/>
  <c r="O71" i="1"/>
  <c r="O74" i="1"/>
  <c r="O108" i="1"/>
  <c r="N105" i="1"/>
  <c r="O91" i="1"/>
  <c r="O89" i="1" s="1"/>
  <c r="O15" i="1"/>
  <c r="T14" i="33"/>
  <c r="AS14" i="33"/>
  <c r="BG14" i="33"/>
  <c r="BH14" i="33"/>
  <c r="BI14" i="33"/>
  <c r="BM14" i="33"/>
  <c r="BO14" i="33"/>
  <c r="BP14" i="33"/>
  <c r="BR14" i="33"/>
  <c r="BS14" i="33" s="1"/>
  <c r="T15" i="33" l="1"/>
  <c r="AS15" i="33"/>
  <c r="BG15" i="33"/>
  <c r="BH15" i="33"/>
  <c r="BI15" i="33"/>
  <c r="BM15" i="33"/>
  <c r="BM16" i="33" s="1"/>
  <c r="BM17" i="33" s="1"/>
  <c r="BM18" i="33" s="1"/>
  <c r="BM19" i="33" s="1"/>
  <c r="BM20" i="33" s="1"/>
  <c r="BM21" i="33" s="1"/>
  <c r="BM22" i="33" s="1"/>
  <c r="BM23" i="33" s="1"/>
  <c r="BM24" i="33" s="1"/>
  <c r="BM25" i="33" s="1"/>
  <c r="BM26" i="33" s="1"/>
  <c r="BM27" i="33" s="1"/>
  <c r="BM28" i="33" s="1"/>
  <c r="BM29" i="33" s="1"/>
  <c r="BM30" i="33" s="1"/>
  <c r="BM31" i="33" s="1"/>
  <c r="BM32" i="33" s="1"/>
  <c r="BM33" i="33" s="1"/>
  <c r="BM34" i="33" s="1"/>
  <c r="BM35" i="33" s="1"/>
  <c r="BM36" i="33" s="1"/>
  <c r="BM37" i="33" s="1"/>
  <c r="BM38" i="33" s="1"/>
  <c r="BM39" i="33" s="1"/>
  <c r="BM40" i="33" s="1"/>
  <c r="BM41" i="33" s="1"/>
  <c r="BM42" i="33" s="1"/>
  <c r="BM43" i="33" s="1"/>
  <c r="BM44" i="33" s="1"/>
  <c r="BM45" i="33" s="1"/>
  <c r="BM46" i="33" s="1"/>
  <c r="BM47" i="33" s="1"/>
  <c r="BM48" i="33" s="1"/>
  <c r="BM49" i="33" s="1"/>
  <c r="BM50" i="33" s="1"/>
  <c r="BM51" i="33" s="1"/>
  <c r="BM52" i="33" s="1"/>
  <c r="BM53" i="33" s="1"/>
  <c r="BM54" i="33" s="1"/>
  <c r="BM55" i="33" s="1"/>
  <c r="BM56" i="33" s="1"/>
  <c r="BM57" i="33" s="1"/>
  <c r="BM58" i="33" s="1"/>
  <c r="BM59" i="33" s="1"/>
  <c r="BM60" i="33" s="1"/>
  <c r="BM61" i="33" s="1"/>
  <c r="BM62" i="33" s="1"/>
  <c r="BM63" i="33" s="1"/>
  <c r="BM64" i="33" s="1"/>
  <c r="BM65" i="33" s="1"/>
  <c r="BM66" i="33" s="1"/>
  <c r="BM67" i="33" s="1"/>
  <c r="BM68" i="33" s="1"/>
  <c r="BM69" i="33" s="1"/>
  <c r="BM70" i="33" s="1"/>
  <c r="BM71" i="33" s="1"/>
  <c r="BM72" i="33" s="1"/>
  <c r="BM73" i="33" s="1"/>
  <c r="BM74" i="33" s="1"/>
  <c r="BM75" i="33" s="1"/>
  <c r="BM76" i="33" s="1"/>
  <c r="BM77" i="33" s="1"/>
  <c r="BM78" i="33" s="1"/>
  <c r="BM79" i="33" s="1"/>
  <c r="BM80" i="33" s="1"/>
  <c r="BM81" i="33" s="1"/>
  <c r="BM82" i="33" s="1"/>
  <c r="BM83" i="33" s="1"/>
  <c r="BM84" i="33" s="1"/>
  <c r="BM85" i="33" s="1"/>
  <c r="BM86" i="33" s="1"/>
  <c r="BM87" i="33" s="1"/>
  <c r="BM88" i="33" s="1"/>
  <c r="BM89" i="33" s="1"/>
  <c r="BM90" i="33" s="1"/>
  <c r="BM91" i="33" s="1"/>
  <c r="BM92" i="33" s="1"/>
  <c r="BM93" i="33" s="1"/>
  <c r="BM94" i="33" s="1"/>
  <c r="BM95" i="33" s="1"/>
  <c r="BM96" i="33" s="1"/>
  <c r="BM97" i="33" s="1"/>
  <c r="BM98" i="33" s="1"/>
  <c r="BM99" i="33" s="1"/>
  <c r="BM100" i="33" s="1"/>
  <c r="BM101" i="33" s="1"/>
  <c r="BM102" i="33" s="1"/>
  <c r="BM103" i="33" s="1"/>
  <c r="BM104" i="33" s="1"/>
  <c r="BM105" i="33" s="1"/>
  <c r="BM106" i="33" s="1"/>
  <c r="BM107" i="33" s="1"/>
  <c r="BM108" i="33" s="1"/>
  <c r="BM109" i="33" s="1"/>
  <c r="BM110" i="33" s="1"/>
  <c r="BM111" i="33" s="1"/>
  <c r="BM112" i="33" s="1"/>
  <c r="BM113" i="33" s="1"/>
  <c r="BM114" i="33" s="1"/>
  <c r="BM115" i="33" s="1"/>
  <c r="BM116" i="33" s="1"/>
  <c r="BM117" i="33" s="1"/>
  <c r="BM118" i="33" s="1"/>
  <c r="BM119" i="33" s="1"/>
  <c r="BM120" i="33" s="1"/>
  <c r="BM121" i="33" s="1"/>
  <c r="BM122" i="33" s="1"/>
  <c r="BM123" i="33" s="1"/>
  <c r="BM124" i="33" s="1"/>
  <c r="BM125" i="33" s="1"/>
  <c r="BM126" i="33" s="1"/>
  <c r="BM127" i="33" s="1"/>
  <c r="BM128" i="33" s="1"/>
  <c r="BM129" i="33" s="1"/>
  <c r="BM130" i="33" s="1"/>
  <c r="BM131" i="33" s="1"/>
  <c r="BM132" i="33" s="1"/>
  <c r="BM133" i="33" s="1"/>
  <c r="BM134" i="33" s="1"/>
  <c r="BM135" i="33" s="1"/>
  <c r="BM136" i="33" s="1"/>
  <c r="BM137" i="33" s="1"/>
  <c r="BM138" i="33" s="1"/>
  <c r="BM139" i="33" s="1"/>
  <c r="BM140" i="33" s="1"/>
  <c r="BM141" i="33" s="1"/>
  <c r="BM142" i="33" s="1"/>
  <c r="BM143" i="33" s="1"/>
  <c r="BM144" i="33" s="1"/>
  <c r="BM145" i="33" s="1"/>
  <c r="BM146" i="33" s="1"/>
  <c r="BM147" i="33" s="1"/>
  <c r="BM148" i="33" s="1"/>
  <c r="BM149" i="33" s="1"/>
  <c r="BM150" i="33" s="1"/>
  <c r="BM151" i="33" s="1"/>
  <c r="BM152" i="33" s="1"/>
  <c r="BM153" i="33" s="1"/>
  <c r="BM154" i="33" s="1"/>
  <c r="BM155" i="33" s="1"/>
  <c r="BM156" i="33" s="1"/>
  <c r="BM157" i="33" s="1"/>
  <c r="BM158" i="33" s="1"/>
  <c r="BM159" i="33" s="1"/>
  <c r="BM160" i="33" s="1"/>
  <c r="BM161" i="33" s="1"/>
  <c r="BM162" i="33" s="1"/>
  <c r="BM163" i="33" s="1"/>
  <c r="BM164" i="33" s="1"/>
  <c r="BM165" i="33" s="1"/>
  <c r="BM166" i="33" s="1"/>
  <c r="BM167" i="33" s="1"/>
  <c r="BM168" i="33" s="1"/>
  <c r="BM169" i="33" s="1"/>
  <c r="BM170" i="33" s="1"/>
  <c r="BM171" i="33" s="1"/>
  <c r="BM172" i="33" s="1"/>
  <c r="BM173" i="33" s="1"/>
  <c r="BM174" i="33" s="1"/>
  <c r="BM175" i="33" s="1"/>
  <c r="BM176" i="33" s="1"/>
  <c r="BM177" i="33" s="1"/>
  <c r="BM178" i="33" s="1"/>
  <c r="BM179" i="33" s="1"/>
  <c r="BM180" i="33" s="1"/>
  <c r="BM181" i="33" s="1"/>
  <c r="BM182" i="33" s="1"/>
  <c r="BM183" i="33" s="1"/>
  <c r="BM184" i="33" s="1"/>
  <c r="BM185" i="33" s="1"/>
  <c r="BM186" i="33" s="1"/>
  <c r="BM187" i="33" s="1"/>
  <c r="BM188" i="33" s="1"/>
  <c r="BM189" i="33" s="1"/>
  <c r="BM190" i="33" s="1"/>
  <c r="BM191" i="33" s="1"/>
  <c r="BM192" i="33" s="1"/>
  <c r="BM193" i="33" s="1"/>
  <c r="BM194" i="33" s="1"/>
  <c r="BM195" i="33" s="1"/>
  <c r="BM196" i="33" s="1"/>
  <c r="BM197" i="33" s="1"/>
  <c r="BM198" i="33" s="1"/>
  <c r="BM199" i="33" s="1"/>
  <c r="BM200" i="33" s="1"/>
  <c r="BM201" i="33" s="1"/>
  <c r="BM202" i="33" s="1"/>
  <c r="BM203" i="33" s="1"/>
  <c r="BM204" i="33" s="1"/>
  <c r="BM205" i="33" s="1"/>
  <c r="BM206" i="33" s="1"/>
  <c r="BM207" i="33" s="1"/>
  <c r="BM208" i="33" s="1"/>
  <c r="BM209" i="33" s="1"/>
  <c r="BM210" i="33" s="1"/>
  <c r="BM211" i="33" s="1"/>
  <c r="BM212" i="33" s="1"/>
  <c r="BM213" i="33" s="1"/>
  <c r="BM214" i="33" s="1"/>
  <c r="BM215" i="33" s="1"/>
  <c r="BM216" i="33" s="1"/>
  <c r="BM217" i="33" s="1"/>
  <c r="BM218" i="33" s="1"/>
  <c r="BM219" i="33" s="1"/>
  <c r="BM220" i="33" s="1"/>
  <c r="BM221" i="33" s="1"/>
  <c r="BM222" i="33" s="1"/>
  <c r="BM223" i="33" s="1"/>
  <c r="BM224" i="33" s="1"/>
  <c r="BM225" i="33" s="1"/>
  <c r="BM226" i="33" s="1"/>
  <c r="BM227" i="33" s="1"/>
  <c r="BM228" i="33" s="1"/>
  <c r="BM229" i="33" s="1"/>
  <c r="BM230" i="33" s="1"/>
  <c r="BM231" i="33" s="1"/>
  <c r="BM232" i="33" s="1"/>
  <c r="BM233" i="33" s="1"/>
  <c r="BM234" i="33" s="1"/>
  <c r="BM235" i="33" s="1"/>
  <c r="BM236" i="33" s="1"/>
  <c r="BM237" i="33" s="1"/>
  <c r="BM238" i="33" s="1"/>
  <c r="BM239" i="33" s="1"/>
  <c r="BM240" i="33" s="1"/>
  <c r="BM241" i="33" s="1"/>
  <c r="BM242" i="33" s="1"/>
  <c r="BM243" i="33" s="1"/>
  <c r="BM244" i="33" s="1"/>
  <c r="BM245" i="33" s="1"/>
  <c r="BM246" i="33" s="1"/>
  <c r="BM247" i="33" s="1"/>
  <c r="BM248" i="33" s="1"/>
  <c r="BM249" i="33" s="1"/>
  <c r="BM250" i="33" s="1"/>
  <c r="BM251" i="33" s="1"/>
  <c r="BM252" i="33" s="1"/>
  <c r="BM253" i="33" s="1"/>
  <c r="BM254" i="33" s="1"/>
  <c r="BM255" i="33" s="1"/>
  <c r="BM256" i="33" s="1"/>
  <c r="BM257" i="33" s="1"/>
  <c r="BM258" i="33" s="1"/>
  <c r="BM259" i="33" s="1"/>
  <c r="BM260" i="33" s="1"/>
  <c r="BM261" i="33" s="1"/>
  <c r="BM262" i="33" s="1"/>
  <c r="BM263" i="33" s="1"/>
  <c r="BM264" i="33" s="1"/>
  <c r="BM265" i="33" s="1"/>
  <c r="BM266" i="33" s="1"/>
  <c r="BM267" i="33" s="1"/>
  <c r="BM268" i="33" s="1"/>
  <c r="BM269" i="33" s="1"/>
  <c r="BM270" i="33" s="1"/>
  <c r="BM271" i="33" s="1"/>
  <c r="BM272" i="33" s="1"/>
  <c r="BM273" i="33" s="1"/>
  <c r="BM274" i="33" s="1"/>
  <c r="BM275" i="33" s="1"/>
  <c r="BM276" i="33" s="1"/>
  <c r="BM277" i="33" s="1"/>
  <c r="BM278" i="33" s="1"/>
  <c r="BM279" i="33" s="1"/>
  <c r="BM280" i="33" s="1"/>
  <c r="BM281" i="33" s="1"/>
  <c r="BM282" i="33" s="1"/>
  <c r="BM283" i="33" s="1"/>
  <c r="BM284" i="33" s="1"/>
  <c r="BM285" i="33" s="1"/>
  <c r="BM286" i="33" s="1"/>
  <c r="BM287" i="33" s="1"/>
  <c r="BM288" i="33" s="1"/>
  <c r="BM289" i="33" s="1"/>
  <c r="BM290" i="33" s="1"/>
  <c r="BM291" i="33" s="1"/>
  <c r="BM292" i="33" s="1"/>
  <c r="BM293" i="33" s="1"/>
  <c r="BM294" i="33" s="1"/>
  <c r="BM295" i="33" s="1"/>
  <c r="BM296" i="33" s="1"/>
  <c r="BM297" i="33" s="1"/>
  <c r="BM298" i="33" s="1"/>
  <c r="BM299" i="33" s="1"/>
  <c r="BM300" i="33" s="1"/>
  <c r="BM301" i="33" s="1"/>
  <c r="BM302" i="33" s="1"/>
  <c r="BM303" i="33" s="1"/>
  <c r="BM304" i="33" s="1"/>
  <c r="BM305" i="33" s="1"/>
  <c r="BM306" i="33" s="1"/>
  <c r="BM307" i="33" s="1"/>
  <c r="BM308" i="33" s="1"/>
  <c r="BM309" i="33" s="1"/>
  <c r="BM310" i="33" s="1"/>
  <c r="BM311" i="33" s="1"/>
  <c r="BM312" i="33" s="1"/>
  <c r="BM313" i="33" s="1"/>
  <c r="BM314" i="33" s="1"/>
  <c r="BM315" i="33" s="1"/>
  <c r="BM316" i="33" s="1"/>
  <c r="BM317" i="33" s="1"/>
  <c r="BM318" i="33" s="1"/>
  <c r="BM319" i="33" s="1"/>
  <c r="BM320" i="33" s="1"/>
  <c r="BM321" i="33" s="1"/>
  <c r="BM322" i="33" s="1"/>
  <c r="BM323" i="33" s="1"/>
  <c r="BM324" i="33" s="1"/>
  <c r="BM325" i="33" s="1"/>
  <c r="BM326" i="33" s="1"/>
  <c r="BM327" i="33" s="1"/>
  <c r="BM328" i="33" s="1"/>
  <c r="BM329" i="33" s="1"/>
  <c r="BM330" i="33" s="1"/>
  <c r="BM331" i="33" s="1"/>
  <c r="BM332" i="33" s="1"/>
  <c r="BM333" i="33" s="1"/>
  <c r="BM334" i="33" s="1"/>
  <c r="BM335" i="33" s="1"/>
  <c r="BM336" i="33" s="1"/>
  <c r="BM337" i="33" s="1"/>
  <c r="BM338" i="33" s="1"/>
  <c r="BM339" i="33" s="1"/>
  <c r="BM340" i="33" s="1"/>
  <c r="BM341" i="33" s="1"/>
  <c r="BM342" i="33" s="1"/>
  <c r="BM343" i="33" s="1"/>
  <c r="BM344" i="33" s="1"/>
  <c r="BM345" i="33" s="1"/>
  <c r="BM346" i="33" s="1"/>
  <c r="BM347" i="33" s="1"/>
  <c r="BM348" i="33" s="1"/>
  <c r="BM349" i="33" s="1"/>
  <c r="BM350" i="33" s="1"/>
  <c r="BM351" i="33" s="1"/>
  <c r="BM352" i="33" s="1"/>
  <c r="BM353" i="33" s="1"/>
  <c r="BM354" i="33" s="1"/>
  <c r="BM355" i="33" s="1"/>
  <c r="BM356" i="33" s="1"/>
  <c r="BM357" i="33" s="1"/>
  <c r="BM358" i="33" s="1"/>
  <c r="BM359" i="33" s="1"/>
  <c r="BM360" i="33" s="1"/>
  <c r="BM361" i="33" s="1"/>
  <c r="BM362" i="33" s="1"/>
  <c r="BM363" i="33" s="1"/>
  <c r="BM364" i="33" s="1"/>
  <c r="BM365" i="33" s="1"/>
  <c r="BM366" i="33" s="1"/>
  <c r="BM367" i="33" s="1"/>
  <c r="BM368" i="33" s="1"/>
  <c r="BM369" i="33" s="1"/>
  <c r="BM370" i="33" s="1"/>
  <c r="BM371" i="33" s="1"/>
  <c r="BM372" i="33" s="1"/>
  <c r="BM373" i="33" s="1"/>
  <c r="BM374" i="33" s="1"/>
  <c r="BM375" i="33" s="1"/>
  <c r="BM376" i="33" s="1"/>
  <c r="BM377" i="33" s="1"/>
  <c r="BM378" i="33" s="1"/>
  <c r="BM379" i="33" s="1"/>
  <c r="BM380" i="33" s="1"/>
  <c r="BM381" i="33" s="1"/>
  <c r="BM382" i="33" s="1"/>
  <c r="BM383" i="33" s="1"/>
  <c r="BM384" i="33" s="1"/>
  <c r="BM385" i="33" s="1"/>
  <c r="BM386" i="33" s="1"/>
  <c r="BM387" i="33" s="1"/>
  <c r="BM388" i="33" s="1"/>
  <c r="BM389" i="33" s="1"/>
  <c r="BM390" i="33" s="1"/>
  <c r="BM391" i="33" s="1"/>
  <c r="BM392" i="33" s="1"/>
  <c r="BM393" i="33" s="1"/>
  <c r="BM394" i="33" s="1"/>
  <c r="BM395" i="33" s="1"/>
  <c r="BM396" i="33" s="1"/>
  <c r="BM397" i="33" s="1"/>
  <c r="BM398" i="33" s="1"/>
  <c r="BM399" i="33" s="1"/>
  <c r="BM400" i="33" s="1"/>
  <c r="BM401" i="33" s="1"/>
  <c r="BM402" i="33" s="1"/>
  <c r="BM403" i="33" s="1"/>
  <c r="BM404" i="33" s="1"/>
  <c r="BM405" i="33" s="1"/>
  <c r="BM406" i="33" s="1"/>
  <c r="BM407" i="33" s="1"/>
  <c r="BM408" i="33" s="1"/>
  <c r="BM409" i="33" s="1"/>
  <c r="BM410" i="33" s="1"/>
  <c r="BM411" i="33" s="1"/>
  <c r="BM412" i="33" s="1"/>
  <c r="BM413" i="33" s="1"/>
  <c r="BM414" i="33" s="1"/>
  <c r="BM415" i="33" s="1"/>
  <c r="BM416" i="33" s="1"/>
  <c r="BM417" i="33" s="1"/>
  <c r="BM418" i="33" s="1"/>
  <c r="BM419" i="33" s="1"/>
  <c r="BM420" i="33" s="1"/>
  <c r="BM421" i="33" s="1"/>
  <c r="BM422" i="33" s="1"/>
  <c r="BM423" i="33" s="1"/>
  <c r="BM424" i="33" s="1"/>
  <c r="BM425" i="33" s="1"/>
  <c r="BM426" i="33" s="1"/>
  <c r="BM427" i="33" s="1"/>
  <c r="BM428" i="33" s="1"/>
  <c r="BM429" i="33" s="1"/>
  <c r="BM430" i="33" s="1"/>
  <c r="BM431" i="33" s="1"/>
  <c r="BM432" i="33" s="1"/>
  <c r="BM433" i="33" s="1"/>
  <c r="BM434" i="33" s="1"/>
  <c r="BM435" i="33" s="1"/>
  <c r="BM436" i="33" s="1"/>
  <c r="BM437" i="33" s="1"/>
  <c r="BM438" i="33" s="1"/>
  <c r="BM439" i="33" s="1"/>
  <c r="BM440" i="33" s="1"/>
  <c r="BM441" i="33" s="1"/>
  <c r="BM442" i="33" s="1"/>
  <c r="BM443" i="33" s="1"/>
  <c r="BM444" i="33" s="1"/>
  <c r="BM445" i="33" s="1"/>
  <c r="BM446" i="33" s="1"/>
  <c r="BM447" i="33" s="1"/>
  <c r="BM448" i="33" s="1"/>
  <c r="BM449" i="33" s="1"/>
  <c r="BM450" i="33" s="1"/>
  <c r="BM451" i="33" s="1"/>
  <c r="BM452" i="33" s="1"/>
  <c r="BM453" i="33" s="1"/>
  <c r="BM454" i="33" s="1"/>
  <c r="BM455" i="33" s="1"/>
  <c r="BM456" i="33" s="1"/>
  <c r="BM457" i="33" s="1"/>
  <c r="BM458" i="33" s="1"/>
  <c r="BM459" i="33" s="1"/>
  <c r="BM460" i="33" s="1"/>
  <c r="BM461" i="33" s="1"/>
  <c r="BM462" i="33" s="1"/>
  <c r="BM463" i="33" s="1"/>
  <c r="BM464" i="33" s="1"/>
  <c r="BM465" i="33" s="1"/>
  <c r="BM466" i="33" s="1"/>
  <c r="BM467" i="33" s="1"/>
  <c r="BM468" i="33" s="1"/>
  <c r="BM469" i="33" s="1"/>
  <c r="BM470" i="33" s="1"/>
  <c r="BM471" i="33" s="1"/>
  <c r="BM472" i="33" s="1"/>
  <c r="BM473" i="33" s="1"/>
  <c r="BM474" i="33" s="1"/>
  <c r="BM475" i="33" s="1"/>
  <c r="BM476" i="33" s="1"/>
  <c r="BM477" i="33" s="1"/>
  <c r="BM478" i="33" s="1"/>
  <c r="BM479" i="33" s="1"/>
  <c r="BM480" i="33" s="1"/>
  <c r="BM481" i="33" s="1"/>
  <c r="BM482" i="33" s="1"/>
  <c r="BM483" i="33" s="1"/>
  <c r="BM484" i="33" s="1"/>
  <c r="BM485" i="33" s="1"/>
  <c r="BM486" i="33" s="1"/>
  <c r="BM487" i="33" s="1"/>
  <c r="BM488" i="33" s="1"/>
  <c r="BM489" i="33" s="1"/>
  <c r="BM490" i="33" s="1"/>
  <c r="BM491" i="33" s="1"/>
  <c r="BM492" i="33" s="1"/>
  <c r="BM493" i="33" s="1"/>
  <c r="BM494" i="33" s="1"/>
  <c r="BM495" i="33" s="1"/>
  <c r="BM496" i="33" s="1"/>
  <c r="BM497" i="33" s="1"/>
  <c r="BM498" i="33" s="1"/>
  <c r="BM499" i="33" s="1"/>
  <c r="BM500" i="33" s="1"/>
  <c r="BM501" i="33" s="1"/>
  <c r="BM502" i="33" s="1"/>
  <c r="BM503" i="33" s="1"/>
  <c r="BM504" i="33" s="1"/>
  <c r="BM505" i="33" s="1"/>
  <c r="BM506" i="33" s="1"/>
  <c r="BM507" i="33" s="1"/>
  <c r="BM508" i="33" s="1"/>
  <c r="BM509" i="33" s="1"/>
  <c r="BM510" i="33" s="1"/>
  <c r="BO15" i="33"/>
  <c r="BP15" i="33"/>
  <c r="BR15" i="33"/>
  <c r="BS15" i="33" s="1"/>
  <c r="AS16" i="33"/>
  <c r="BG16" i="33"/>
  <c r="BH16" i="33"/>
  <c r="BO16" i="33"/>
  <c r="BP16" i="33"/>
  <c r="BR16" i="33"/>
  <c r="BS16" i="33" s="1"/>
  <c r="AS17" i="33"/>
  <c r="BG17" i="33"/>
  <c r="BH17" i="33"/>
  <c r="BO17" i="33"/>
  <c r="BP17" i="33"/>
  <c r="BR17" i="33"/>
  <c r="BS17" i="33" s="1"/>
  <c r="AS18" i="33"/>
  <c r="AS19" i="33" s="1"/>
  <c r="AS20" i="33" s="1"/>
  <c r="AS21" i="33" s="1"/>
  <c r="AS22" i="33" s="1"/>
  <c r="AS23" i="33" s="1"/>
  <c r="AS24" i="33" s="1"/>
  <c r="AS25" i="33" s="1"/>
  <c r="AS26" i="33" s="1"/>
  <c r="AS27" i="33" s="1"/>
  <c r="AS28" i="33" s="1"/>
  <c r="AS29" i="33" s="1"/>
  <c r="AS30" i="33" s="1"/>
  <c r="BG18" i="33"/>
  <c r="BH18" i="33"/>
  <c r="BO18" i="33"/>
  <c r="BP18" i="33"/>
  <c r="BR18" i="33"/>
  <c r="BS18" i="33" s="1"/>
  <c r="BG19" i="33"/>
  <c r="BH19" i="33"/>
  <c r="BO19" i="33"/>
  <c r="BP19" i="33"/>
  <c r="BR19" i="33"/>
  <c r="BS19" i="33" s="1"/>
  <c r="BG20" i="33"/>
  <c r="BH20" i="33"/>
  <c r="BO20" i="33"/>
  <c r="BP20" i="33"/>
  <c r="BR20" i="33"/>
  <c r="BS20" i="33"/>
  <c r="AJ21" i="33"/>
  <c r="A52" i="33" s="1"/>
  <c r="BG21" i="33"/>
  <c r="BH21" i="33"/>
  <c r="BO21" i="33"/>
  <c r="BP21" i="33"/>
  <c r="BR21" i="33"/>
  <c r="BS21" i="33"/>
  <c r="AJ22" i="33"/>
  <c r="BG22" i="33"/>
  <c r="BH22" i="33"/>
  <c r="BO22" i="33"/>
  <c r="BP22" i="33"/>
  <c r="BR22" i="33"/>
  <c r="BS22" i="33"/>
  <c r="BG23" i="33"/>
  <c r="BH23" i="33"/>
  <c r="BO23" i="33"/>
  <c r="BP23" i="33"/>
  <c r="BR23" i="33"/>
  <c r="BS23" i="33" s="1"/>
  <c r="AP24" i="33"/>
  <c r="BG24" i="33"/>
  <c r="BH24" i="33"/>
  <c r="BO24" i="33"/>
  <c r="BP24" i="33"/>
  <c r="BR24" i="33"/>
  <c r="BS24" i="33" s="1"/>
  <c r="BG25" i="33"/>
  <c r="BH25" i="33"/>
  <c r="BO25" i="33"/>
  <c r="BP25" i="33"/>
  <c r="BR25" i="33"/>
  <c r="BS25" i="33" s="1"/>
  <c r="BG26" i="33"/>
  <c r="BH26" i="33"/>
  <c r="BO26" i="33"/>
  <c r="BP26" i="33"/>
  <c r="BR26" i="33"/>
  <c r="BS26" i="33" s="1"/>
  <c r="AQ27" i="33"/>
  <c r="BG27" i="33"/>
  <c r="BH27" i="33"/>
  <c r="BO27" i="33"/>
  <c r="BP27" i="33"/>
  <c r="BR27" i="33"/>
  <c r="BS27" i="33" s="1"/>
  <c r="BG28" i="33"/>
  <c r="BH28" i="33"/>
  <c r="BO28" i="33"/>
  <c r="BP28" i="33"/>
  <c r="BR28" i="33"/>
  <c r="BS28" i="33" s="1"/>
  <c r="BG29" i="33"/>
  <c r="BH29" i="33"/>
  <c r="BO29" i="33"/>
  <c r="BP29" i="33"/>
  <c r="BR29" i="33"/>
  <c r="BS29" i="33" s="1"/>
  <c r="BG30" i="33"/>
  <c r="BH30" i="33"/>
  <c r="BO30" i="33"/>
  <c r="BP30" i="33"/>
  <c r="BR30" i="33"/>
  <c r="BS30" i="33"/>
  <c r="BG31" i="33"/>
  <c r="BH31" i="33"/>
  <c r="BO31" i="33"/>
  <c r="BP31" i="33"/>
  <c r="BR31" i="33"/>
  <c r="BS31" i="33" s="1"/>
  <c r="BG32" i="33"/>
  <c r="BH32" i="33"/>
  <c r="BO32" i="33"/>
  <c r="BP32" i="33"/>
  <c r="BR32" i="33"/>
  <c r="BS32" i="33" s="1"/>
  <c r="BG33" i="33"/>
  <c r="BH33" i="33"/>
  <c r="BO33" i="33"/>
  <c r="BP33" i="33"/>
  <c r="BR33" i="33"/>
  <c r="BS33" i="33" s="1"/>
  <c r="BG34" i="33"/>
  <c r="BH34" i="33"/>
  <c r="BO34" i="33"/>
  <c r="BP34" i="33"/>
  <c r="BR34" i="33"/>
  <c r="BS34" i="33" s="1"/>
  <c r="AP35" i="33"/>
  <c r="BG35" i="33"/>
  <c r="BH35" i="33"/>
  <c r="BO35" i="33"/>
  <c r="BP35" i="33"/>
  <c r="BR35" i="33"/>
  <c r="BS35" i="33"/>
  <c r="AM36" i="33"/>
  <c r="BG36" i="33"/>
  <c r="BH36" i="33"/>
  <c r="BO36" i="33"/>
  <c r="BP36" i="33"/>
  <c r="BR36" i="33"/>
  <c r="BS36" i="33" s="1"/>
  <c r="AK37" i="33"/>
  <c r="BG37" i="33"/>
  <c r="BH37" i="33"/>
  <c r="BO37" i="33"/>
  <c r="BP37" i="33"/>
  <c r="BR37" i="33"/>
  <c r="BS37" i="33" s="1"/>
  <c r="BG38" i="33"/>
  <c r="BH38" i="33"/>
  <c r="BO38" i="33"/>
  <c r="BP38" i="33"/>
  <c r="BR38" i="33"/>
  <c r="BS38" i="33" s="1"/>
  <c r="BG39" i="33"/>
  <c r="BH39" i="33"/>
  <c r="BO39" i="33"/>
  <c r="BP39" i="33"/>
  <c r="BR39" i="33"/>
  <c r="BS39" i="33" s="1"/>
  <c r="BG40" i="33"/>
  <c r="BH40" i="33"/>
  <c r="BO40" i="33"/>
  <c r="BP40" i="33"/>
  <c r="BR40" i="33"/>
  <c r="BS40" i="33" s="1"/>
  <c r="BG41" i="33"/>
  <c r="BH41" i="33"/>
  <c r="BO41" i="33"/>
  <c r="BP41" i="33"/>
  <c r="BR41" i="33"/>
  <c r="BS41" i="33" s="1"/>
  <c r="BG42" i="33"/>
  <c r="BH42" i="33"/>
  <c r="BO42" i="33"/>
  <c r="BP42" i="33"/>
  <c r="BR42" i="33"/>
  <c r="BS42" i="33" s="1"/>
  <c r="BG43" i="33"/>
  <c r="BH43" i="33"/>
  <c r="BO43" i="33"/>
  <c r="BP43" i="33"/>
  <c r="BR43" i="33"/>
  <c r="BS43" i="33"/>
  <c r="BG44" i="33"/>
  <c r="BH44" i="33"/>
  <c r="BO44" i="33"/>
  <c r="BP44" i="33"/>
  <c r="BR44" i="33"/>
  <c r="BS44" i="33" s="1"/>
  <c r="BG45" i="33"/>
  <c r="BH45" i="33"/>
  <c r="BO45" i="33"/>
  <c r="BP45" i="33"/>
  <c r="BR45" i="33"/>
  <c r="BS45" i="33" s="1"/>
  <c r="BG46" i="33"/>
  <c r="BH46" i="33"/>
  <c r="BO46" i="33"/>
  <c r="BP46" i="33"/>
  <c r="BR46" i="33"/>
  <c r="BS46" i="33" s="1"/>
  <c r="BG47" i="33"/>
  <c r="BH47" i="33"/>
  <c r="BO47" i="33"/>
  <c r="BP47" i="33"/>
  <c r="BR47" i="33"/>
  <c r="BS47" i="33" s="1"/>
  <c r="BG48" i="33"/>
  <c r="BH48" i="33"/>
  <c r="BO48" i="33"/>
  <c r="BP48" i="33"/>
  <c r="BR48" i="33"/>
  <c r="BS48" i="33" s="1"/>
  <c r="BG49" i="33"/>
  <c r="BH49" i="33"/>
  <c r="BO49" i="33"/>
  <c r="BP49" i="33"/>
  <c r="BR49" i="33"/>
  <c r="BS49" i="33" s="1"/>
  <c r="BG50" i="33"/>
  <c r="BH50" i="33"/>
  <c r="BO50" i="33"/>
  <c r="BP50" i="33"/>
  <c r="BR50" i="33"/>
  <c r="BS50" i="33"/>
  <c r="BG51" i="33"/>
  <c r="BH51" i="33"/>
  <c r="BO51" i="33"/>
  <c r="BP51" i="33"/>
  <c r="BR51" i="33"/>
  <c r="BS51" i="33" s="1"/>
  <c r="BG52" i="33"/>
  <c r="BH52" i="33"/>
  <c r="BO52" i="33"/>
  <c r="BP52" i="33"/>
  <c r="BR52" i="33"/>
  <c r="BS52" i="33" s="1"/>
  <c r="BG53" i="33"/>
  <c r="BH53" i="33"/>
  <c r="BO53" i="33"/>
  <c r="BP53" i="33"/>
  <c r="BG54" i="33"/>
  <c r="BH54" i="33"/>
  <c r="BO54" i="33"/>
  <c r="BP54" i="33"/>
  <c r="BR54" i="33"/>
  <c r="BS54" i="33" s="1"/>
  <c r="BG55" i="33"/>
  <c r="BH55" i="33"/>
  <c r="BO55" i="33"/>
  <c r="BP55" i="33"/>
  <c r="BR55" i="33"/>
  <c r="BS55" i="33" s="1"/>
  <c r="BG56" i="33"/>
  <c r="BH56" i="33"/>
  <c r="BO56" i="33"/>
  <c r="BP56" i="33"/>
  <c r="BR56" i="33"/>
  <c r="BS56" i="33" s="1"/>
  <c r="BG57" i="33"/>
  <c r="BH57" i="33"/>
  <c r="BO57" i="33"/>
  <c r="BP57" i="33"/>
  <c r="BR57" i="33"/>
  <c r="BS57" i="33" s="1"/>
  <c r="BG58" i="33"/>
  <c r="BH58" i="33"/>
  <c r="BO58" i="33"/>
  <c r="BP58" i="33"/>
  <c r="BR58" i="33"/>
  <c r="BS58" i="33" s="1"/>
  <c r="BG59" i="33"/>
  <c r="BH59" i="33"/>
  <c r="BO59" i="33"/>
  <c r="BP59" i="33"/>
  <c r="BR59" i="33"/>
  <c r="BS59" i="33" s="1"/>
  <c r="BG60" i="33"/>
  <c r="BH60" i="33"/>
  <c r="BO60" i="33"/>
  <c r="BP60" i="33"/>
  <c r="BR60" i="33"/>
  <c r="BS60" i="33" s="1"/>
  <c r="BG61" i="33"/>
  <c r="BH61" i="33"/>
  <c r="BO61" i="33"/>
  <c r="BP61" i="33"/>
  <c r="BR61" i="33"/>
  <c r="BS61" i="33"/>
  <c r="BG62" i="33"/>
  <c r="BH62" i="33"/>
  <c r="BO62" i="33"/>
  <c r="BP62" i="33"/>
  <c r="BR62" i="33"/>
  <c r="BS62" i="33" s="1"/>
  <c r="BG63" i="33"/>
  <c r="BH63" i="33"/>
  <c r="BO63" i="33"/>
  <c r="BP63" i="33"/>
  <c r="BR63" i="33"/>
  <c r="BS63" i="33"/>
  <c r="BG64" i="33"/>
  <c r="BH64" i="33"/>
  <c r="BO64" i="33"/>
  <c r="BP64" i="33"/>
  <c r="BR64" i="33"/>
  <c r="BS64" i="33" s="1"/>
  <c r="BG65" i="33"/>
  <c r="BH65" i="33"/>
  <c r="BO65" i="33"/>
  <c r="BP65" i="33"/>
  <c r="BR65" i="33"/>
  <c r="BS65" i="33" s="1"/>
  <c r="BG66" i="33"/>
  <c r="BH66" i="33"/>
  <c r="BO66" i="33"/>
  <c r="BP66" i="33"/>
  <c r="BR66" i="33"/>
  <c r="BS66" i="33" s="1"/>
  <c r="BG67" i="33"/>
  <c r="BH67" i="33"/>
  <c r="BO67" i="33"/>
  <c r="BP67" i="33"/>
  <c r="BR67" i="33"/>
  <c r="BS67" i="33"/>
  <c r="BG68" i="33"/>
  <c r="BH68" i="33"/>
  <c r="BO68" i="33"/>
  <c r="BP68" i="33"/>
  <c r="BR68" i="33"/>
  <c r="BS68" i="33" s="1"/>
  <c r="BG69" i="33"/>
  <c r="BH69" i="33"/>
  <c r="BO69" i="33"/>
  <c r="BP69" i="33"/>
  <c r="BR69" i="33"/>
  <c r="BS69" i="33" s="1"/>
  <c r="BG70" i="33"/>
  <c r="BH70" i="33"/>
  <c r="BO70" i="33"/>
  <c r="BP70" i="33"/>
  <c r="BR70" i="33"/>
  <c r="BS70" i="33" s="1"/>
  <c r="BG71" i="33"/>
  <c r="BH71" i="33"/>
  <c r="BO71" i="33"/>
  <c r="BP71" i="33"/>
  <c r="BR71" i="33"/>
  <c r="BS71" i="33" s="1"/>
  <c r="BG72" i="33"/>
  <c r="BH72" i="33"/>
  <c r="BO72" i="33"/>
  <c r="BP72" i="33"/>
  <c r="BR72" i="33"/>
  <c r="BS72" i="33" s="1"/>
  <c r="BG73" i="33"/>
  <c r="BH73" i="33"/>
  <c r="BO73" i="33"/>
  <c r="BP73" i="33"/>
  <c r="BR73" i="33"/>
  <c r="BS73" i="33" s="1"/>
  <c r="BG74" i="33"/>
  <c r="BH74" i="33"/>
  <c r="BO74" i="33"/>
  <c r="BP74" i="33"/>
  <c r="BR74" i="33"/>
  <c r="BS74" i="33" s="1"/>
  <c r="BG75" i="33"/>
  <c r="BH75" i="33"/>
  <c r="BO75" i="33"/>
  <c r="BP75" i="33"/>
  <c r="BR75" i="33"/>
  <c r="BS75" i="33" s="1"/>
  <c r="BG76" i="33"/>
  <c r="BH76" i="33"/>
  <c r="BO76" i="33"/>
  <c r="BP76" i="33"/>
  <c r="BR76" i="33"/>
  <c r="BS76" i="33" s="1"/>
  <c r="BG77" i="33"/>
  <c r="BH77" i="33"/>
  <c r="BO77" i="33"/>
  <c r="BP77" i="33"/>
  <c r="BR77" i="33"/>
  <c r="BS77" i="33"/>
  <c r="BG78" i="33"/>
  <c r="BH78" i="33"/>
  <c r="BO78" i="33"/>
  <c r="BP78" i="33"/>
  <c r="BR78" i="33"/>
  <c r="BS78" i="33" s="1"/>
  <c r="BG79" i="33"/>
  <c r="BH79" i="33"/>
  <c r="BO79" i="33"/>
  <c r="BP79" i="33"/>
  <c r="BR79" i="33"/>
  <c r="BS79" i="33"/>
  <c r="BG80" i="33"/>
  <c r="BH80" i="33"/>
  <c r="BO80" i="33"/>
  <c r="BP80" i="33"/>
  <c r="BR80" i="33"/>
  <c r="BS80" i="33" s="1"/>
  <c r="BG81" i="33"/>
  <c r="BH81" i="33"/>
  <c r="BO81" i="33"/>
  <c r="BP81" i="33"/>
  <c r="BR81" i="33"/>
  <c r="BS81" i="33"/>
  <c r="BG82" i="33"/>
  <c r="BH82" i="33"/>
  <c r="BO82" i="33"/>
  <c r="BP82" i="33"/>
  <c r="BR82" i="33"/>
  <c r="BS82" i="33" s="1"/>
  <c r="BG83" i="33"/>
  <c r="BH83" i="33"/>
  <c r="BO83" i="33"/>
  <c r="BP83" i="33"/>
  <c r="BR83" i="33"/>
  <c r="BS83" i="33" s="1"/>
  <c r="BG84" i="33"/>
  <c r="BH84" i="33"/>
  <c r="BO84" i="33"/>
  <c r="BP84" i="33"/>
  <c r="BR84" i="33"/>
  <c r="BS84" i="33" s="1"/>
  <c r="BG85" i="33"/>
  <c r="BH85" i="33"/>
  <c r="BO85" i="33"/>
  <c r="BP85" i="33"/>
  <c r="BR85" i="33"/>
  <c r="BS85" i="33" s="1"/>
  <c r="BG86" i="33"/>
  <c r="BH86" i="33"/>
  <c r="BO86" i="33"/>
  <c r="BP86" i="33"/>
  <c r="BR86" i="33"/>
  <c r="BS86" i="33" s="1"/>
  <c r="BG87" i="33"/>
  <c r="BH87" i="33"/>
  <c r="BO87" i="33"/>
  <c r="BP87" i="33"/>
  <c r="BR87" i="33"/>
  <c r="BS87" i="33" s="1"/>
  <c r="BG88" i="33"/>
  <c r="BH88" i="33"/>
  <c r="BO88" i="33"/>
  <c r="BP88" i="33"/>
  <c r="BR88" i="33"/>
  <c r="BS88" i="33" s="1"/>
  <c r="BG89" i="33"/>
  <c r="BH89" i="33"/>
  <c r="BO89" i="33"/>
  <c r="BP89" i="33"/>
  <c r="BR89" i="33"/>
  <c r="BS89" i="33" s="1"/>
  <c r="BG90" i="33"/>
  <c r="BH90" i="33"/>
  <c r="BO90" i="33"/>
  <c r="BP90" i="33"/>
  <c r="BR90" i="33"/>
  <c r="BS90" i="33" s="1"/>
  <c r="BG91" i="33"/>
  <c r="BH91" i="33"/>
  <c r="BO91" i="33"/>
  <c r="BP91" i="33"/>
  <c r="BR91" i="33"/>
  <c r="BS91" i="33"/>
  <c r="BG92" i="33"/>
  <c r="BH92" i="33"/>
  <c r="BO92" i="33"/>
  <c r="BP92" i="33"/>
  <c r="BR92" i="33"/>
  <c r="BS92" i="33" s="1"/>
  <c r="BG93" i="33"/>
  <c r="BH93" i="33"/>
  <c r="BO93" i="33"/>
  <c r="BP93" i="33"/>
  <c r="BR93" i="33"/>
  <c r="BS93" i="33" s="1"/>
  <c r="BG94" i="33"/>
  <c r="BH94" i="33"/>
  <c r="BO94" i="33"/>
  <c r="BP94" i="33"/>
  <c r="BR94" i="33"/>
  <c r="BS94" i="33" s="1"/>
  <c r="BG95" i="33"/>
  <c r="BH95" i="33"/>
  <c r="BO95" i="33"/>
  <c r="BP95" i="33"/>
  <c r="BR95" i="33"/>
  <c r="BS95" i="33" s="1"/>
  <c r="BG96" i="33"/>
  <c r="BH96" i="33"/>
  <c r="BO96" i="33"/>
  <c r="BP96" i="33"/>
  <c r="BR96" i="33"/>
  <c r="BS96" i="33" s="1"/>
  <c r="BG97" i="33"/>
  <c r="BH97" i="33"/>
  <c r="BO97" i="33"/>
  <c r="BP97" i="33"/>
  <c r="BR97" i="33"/>
  <c r="BS97" i="33"/>
  <c r="BG98" i="33"/>
  <c r="BH98" i="33"/>
  <c r="BO98" i="33"/>
  <c r="BP98" i="33"/>
  <c r="BR98" i="33"/>
  <c r="BS98" i="33" s="1"/>
  <c r="BG99" i="33"/>
  <c r="BH99" i="33"/>
  <c r="BO99" i="33"/>
  <c r="BP99" i="33"/>
  <c r="BR99" i="33"/>
  <c r="BS99" i="33"/>
  <c r="BG100" i="33"/>
  <c r="BH100" i="33"/>
  <c r="BO100" i="33"/>
  <c r="BP100" i="33"/>
  <c r="BR100" i="33"/>
  <c r="BS100" i="33" s="1"/>
  <c r="BG101" i="33"/>
  <c r="BH101" i="33"/>
  <c r="BO101" i="33"/>
  <c r="BP101" i="33"/>
  <c r="BR101" i="33"/>
  <c r="BS101" i="33" s="1"/>
  <c r="BG102" i="33"/>
  <c r="BH102" i="33"/>
  <c r="BO102" i="33"/>
  <c r="BP102" i="33"/>
  <c r="BR102" i="33"/>
  <c r="BS102" i="33" s="1"/>
  <c r="BG103" i="33"/>
  <c r="BH103" i="33"/>
  <c r="BO103" i="33"/>
  <c r="BP103" i="33"/>
  <c r="BR103" i="33"/>
  <c r="BS103" i="33" s="1"/>
  <c r="BG104" i="33"/>
  <c r="BH104" i="33"/>
  <c r="BO104" i="33"/>
  <c r="BP104" i="33"/>
  <c r="BR104" i="33"/>
  <c r="BS104" i="33" s="1"/>
  <c r="BG105" i="33"/>
  <c r="BH105" i="33"/>
  <c r="BO105" i="33"/>
  <c r="BP105" i="33"/>
  <c r="BR105" i="33"/>
  <c r="BS105" i="33" s="1"/>
  <c r="BG106" i="33"/>
  <c r="BH106" i="33"/>
  <c r="BO106" i="33"/>
  <c r="BP106" i="33"/>
  <c r="BR106" i="33"/>
  <c r="BS106" i="33" s="1"/>
  <c r="BG107" i="33"/>
  <c r="BH107" i="33"/>
  <c r="BO107" i="33"/>
  <c r="BP107" i="33"/>
  <c r="BR107" i="33"/>
  <c r="BS107" i="33" s="1"/>
  <c r="BG108" i="33"/>
  <c r="BH108" i="33"/>
  <c r="BO108" i="33"/>
  <c r="BP108" i="33"/>
  <c r="BR108" i="33"/>
  <c r="BS108" i="33" s="1"/>
  <c r="BG109" i="33"/>
  <c r="BH109" i="33"/>
  <c r="BO109" i="33"/>
  <c r="BP109" i="33"/>
  <c r="BR109" i="33"/>
  <c r="BS109" i="33"/>
  <c r="BG110" i="33"/>
  <c r="BH110" i="33"/>
  <c r="BO110" i="33"/>
  <c r="BP110" i="33"/>
  <c r="BR110" i="33"/>
  <c r="BS110" i="33" s="1"/>
  <c r="BG111" i="33"/>
  <c r="BH111" i="33"/>
  <c r="BO111" i="33"/>
  <c r="BP111" i="33"/>
  <c r="BR111" i="33"/>
  <c r="BS111" i="33" s="1"/>
  <c r="BG112" i="33"/>
  <c r="BH112" i="33"/>
  <c r="BO112" i="33"/>
  <c r="BP112" i="33"/>
  <c r="BR112" i="33"/>
  <c r="BS112" i="33" s="1"/>
  <c r="BG113" i="33"/>
  <c r="BH113" i="33"/>
  <c r="BO113" i="33"/>
  <c r="BP113" i="33"/>
  <c r="BR113" i="33"/>
  <c r="BS113" i="33"/>
  <c r="BG114" i="33"/>
  <c r="BH114" i="33"/>
  <c r="BO114" i="33"/>
  <c r="BP114" i="33"/>
  <c r="BR114" i="33"/>
  <c r="BS114" i="33" s="1"/>
  <c r="BG115" i="33"/>
  <c r="BH115" i="33"/>
  <c r="BO115" i="33"/>
  <c r="BP115" i="33"/>
  <c r="BR115" i="33"/>
  <c r="BS115" i="33"/>
  <c r="BG116" i="33"/>
  <c r="BH116" i="33"/>
  <c r="BO116" i="33"/>
  <c r="BP116" i="33"/>
  <c r="BR116" i="33"/>
  <c r="BS116" i="33" s="1"/>
  <c r="BG117" i="33"/>
  <c r="BH117" i="33"/>
  <c r="BO117" i="33"/>
  <c r="BP117" i="33"/>
  <c r="BR117" i="33"/>
  <c r="BS117" i="33" s="1"/>
  <c r="BG118" i="33"/>
  <c r="BH118" i="33"/>
  <c r="BO118" i="33"/>
  <c r="BP118" i="33"/>
  <c r="BR118" i="33"/>
  <c r="BS118" i="33" s="1"/>
  <c r="BG119" i="33"/>
  <c r="BH119" i="33"/>
  <c r="BO119" i="33"/>
  <c r="BP119" i="33"/>
  <c r="BR119" i="33"/>
  <c r="BS119" i="33" s="1"/>
  <c r="BG120" i="33"/>
  <c r="BH120" i="33"/>
  <c r="BO120" i="33"/>
  <c r="BP120" i="33"/>
  <c r="BR120" i="33"/>
  <c r="BS120" i="33" s="1"/>
  <c r="BG121" i="33"/>
  <c r="BH121" i="33"/>
  <c r="BO121" i="33"/>
  <c r="BP121" i="33"/>
  <c r="BR121" i="33"/>
  <c r="BS121" i="33" s="1"/>
  <c r="BG122" i="33"/>
  <c r="BH122" i="33"/>
  <c r="BO122" i="33"/>
  <c r="BP122" i="33"/>
  <c r="BR122" i="33"/>
  <c r="BS122" i="33" s="1"/>
  <c r="BG123" i="33"/>
  <c r="BH123" i="33"/>
  <c r="BO123" i="33"/>
  <c r="BP123" i="33"/>
  <c r="BR123" i="33"/>
  <c r="BS123" i="33" s="1"/>
  <c r="BO124" i="33"/>
  <c r="BP124" i="33"/>
  <c r="BR124" i="33"/>
  <c r="BS124" i="33" s="1"/>
  <c r="BG125" i="33"/>
  <c r="BH125" i="33"/>
  <c r="BO125" i="33"/>
  <c r="BP125" i="33"/>
  <c r="BR125" i="33"/>
  <c r="BS125" i="33"/>
  <c r="BG126" i="33"/>
  <c r="BH126" i="33"/>
  <c r="BO126" i="33"/>
  <c r="BP126" i="33"/>
  <c r="BR126" i="33"/>
  <c r="BS126" i="33" s="1"/>
  <c r="BG127" i="33"/>
  <c r="BH127" i="33"/>
  <c r="BO127" i="33"/>
  <c r="BP127" i="33"/>
  <c r="BR127" i="33"/>
  <c r="BS127" i="33" s="1"/>
  <c r="BG128" i="33"/>
  <c r="BH128" i="33"/>
  <c r="BO128" i="33"/>
  <c r="BP128" i="33"/>
  <c r="BR128" i="33"/>
  <c r="BS128" i="33" s="1"/>
  <c r="BG129" i="33"/>
  <c r="BH129" i="33"/>
  <c r="BO129" i="33"/>
  <c r="BP129" i="33"/>
  <c r="BR129" i="33"/>
  <c r="BS129" i="33" s="1"/>
  <c r="BG130" i="33"/>
  <c r="BH130" i="33"/>
  <c r="BO130" i="33"/>
  <c r="BP130" i="33"/>
  <c r="BR130" i="33"/>
  <c r="BS130" i="33" s="1"/>
  <c r="BG131" i="33"/>
  <c r="BH131" i="33"/>
  <c r="BO131" i="33"/>
  <c r="BP131" i="33"/>
  <c r="BR131" i="33"/>
  <c r="BS131" i="33" s="1"/>
  <c r="BG132" i="33"/>
  <c r="BH132" i="33"/>
  <c r="BO132" i="33"/>
  <c r="BP132" i="33"/>
  <c r="BR132" i="33"/>
  <c r="BS132" i="33" s="1"/>
  <c r="BG133" i="33"/>
  <c r="BH133" i="33"/>
  <c r="BO133" i="33"/>
  <c r="BP133" i="33"/>
  <c r="BR133" i="33"/>
  <c r="BS133" i="33" s="1"/>
  <c r="BG134" i="33"/>
  <c r="BH134" i="33"/>
  <c r="BO134" i="33"/>
  <c r="BP134" i="33"/>
  <c r="BR134" i="33"/>
  <c r="BS134" i="33" s="1"/>
  <c r="BG135" i="33"/>
  <c r="BH135" i="33"/>
  <c r="BO135" i="33"/>
  <c r="BP135" i="33"/>
  <c r="BR135" i="33"/>
  <c r="BS135" i="33" s="1"/>
  <c r="BG136" i="33"/>
  <c r="BH136" i="33"/>
  <c r="BO136" i="33"/>
  <c r="BP136" i="33"/>
  <c r="BR136" i="33"/>
  <c r="BS136" i="33" s="1"/>
  <c r="BG137" i="33"/>
  <c r="BH137" i="33"/>
  <c r="BO137" i="33"/>
  <c r="BP137" i="33"/>
  <c r="BR137" i="33"/>
  <c r="BS137" i="33"/>
  <c r="BG138" i="33"/>
  <c r="BH138" i="33"/>
  <c r="BO138" i="33"/>
  <c r="BP138" i="33"/>
  <c r="BR138" i="33"/>
  <c r="BS138" i="33"/>
  <c r="BG139" i="33"/>
  <c r="BH139" i="33"/>
  <c r="BO139" i="33"/>
  <c r="BP139" i="33"/>
  <c r="BR139" i="33"/>
  <c r="BS139" i="33" s="1"/>
  <c r="BG140" i="33"/>
  <c r="BH140" i="33"/>
  <c r="BO140" i="33"/>
  <c r="BP140" i="33"/>
  <c r="BR140" i="33"/>
  <c r="BS140" i="33" s="1"/>
  <c r="BG141" i="33"/>
  <c r="BH141" i="33"/>
  <c r="BO141" i="33"/>
  <c r="BP141" i="33"/>
  <c r="BR141" i="33"/>
  <c r="BS141" i="33" s="1"/>
  <c r="BG142" i="33"/>
  <c r="BH142" i="33"/>
  <c r="BO142" i="33"/>
  <c r="BP142" i="33"/>
  <c r="BR142" i="33"/>
  <c r="BS142" i="33" s="1"/>
  <c r="BG143" i="33"/>
  <c r="BH143" i="33"/>
  <c r="BO143" i="33"/>
  <c r="BP143" i="33"/>
  <c r="BR143" i="33"/>
  <c r="BS143" i="33" s="1"/>
  <c r="BG144" i="33"/>
  <c r="BH144" i="33"/>
  <c r="BO144" i="33"/>
  <c r="BP144" i="33"/>
  <c r="BR144" i="33"/>
  <c r="BS144" i="33" s="1"/>
  <c r="BG145" i="33"/>
  <c r="BH145" i="33"/>
  <c r="BO145" i="33"/>
  <c r="BP145" i="33"/>
  <c r="BR145" i="33"/>
  <c r="BS145" i="33" s="1"/>
  <c r="BG146" i="33"/>
  <c r="BH146" i="33"/>
  <c r="BO146" i="33"/>
  <c r="BP146" i="33"/>
  <c r="BR146" i="33"/>
  <c r="BS146" i="33" s="1"/>
  <c r="BG147" i="33"/>
  <c r="BH147" i="33"/>
  <c r="BO147" i="33"/>
  <c r="BP147" i="33"/>
  <c r="BR147" i="33"/>
  <c r="BS147" i="33" s="1"/>
  <c r="BG148" i="33"/>
  <c r="BH148" i="33"/>
  <c r="BO148" i="33"/>
  <c r="BP148" i="33"/>
  <c r="BR148" i="33"/>
  <c r="BS148" i="33" s="1"/>
  <c r="BG149" i="33"/>
  <c r="BH149" i="33"/>
  <c r="BO149" i="33"/>
  <c r="BP149" i="33"/>
  <c r="BR149" i="33"/>
  <c r="BS149" i="33" s="1"/>
  <c r="BG150" i="33"/>
  <c r="BH150" i="33"/>
  <c r="BO150" i="33"/>
  <c r="BP150" i="33"/>
  <c r="BR150" i="33"/>
  <c r="BS150" i="33" s="1"/>
  <c r="BG151" i="33"/>
  <c r="BH151" i="33"/>
  <c r="BO151" i="33"/>
  <c r="BP151" i="33"/>
  <c r="BR151" i="33"/>
  <c r="BS151" i="33" s="1"/>
  <c r="BG152" i="33"/>
  <c r="BH152" i="33"/>
  <c r="BO152" i="33"/>
  <c r="BP152" i="33"/>
  <c r="BR152" i="33"/>
  <c r="BS152" i="33" s="1"/>
  <c r="BG153" i="33"/>
  <c r="BH153" i="33"/>
  <c r="BO153" i="33"/>
  <c r="BP153" i="33"/>
  <c r="BR153" i="33"/>
  <c r="BS153" i="33" s="1"/>
  <c r="BG154" i="33"/>
  <c r="BH154" i="33"/>
  <c r="BO154" i="33"/>
  <c r="BP154" i="33"/>
  <c r="BR154" i="33"/>
  <c r="BS154" i="33" s="1"/>
  <c r="BG155" i="33"/>
  <c r="BH155" i="33"/>
  <c r="BO155" i="33"/>
  <c r="BP155" i="33"/>
  <c r="BR155" i="33"/>
  <c r="BS155" i="33" s="1"/>
  <c r="BG156" i="33"/>
  <c r="BH156" i="33"/>
  <c r="BO156" i="33"/>
  <c r="BP156" i="33"/>
  <c r="BR156" i="33"/>
  <c r="BS156" i="33" s="1"/>
  <c r="BG157" i="33"/>
  <c r="BH157" i="33"/>
  <c r="BO157" i="33"/>
  <c r="BP157" i="33"/>
  <c r="BR157" i="33"/>
  <c r="BS157" i="33" s="1"/>
  <c r="BG158" i="33"/>
  <c r="BH158" i="33"/>
  <c r="BO158" i="33"/>
  <c r="BP158" i="33"/>
  <c r="BR158" i="33"/>
  <c r="BS158" i="33" s="1"/>
  <c r="BG159" i="33"/>
  <c r="BH159" i="33"/>
  <c r="BO159" i="33"/>
  <c r="BP159" i="33"/>
  <c r="BR159" i="33"/>
  <c r="BS159" i="33" s="1"/>
  <c r="BG160" i="33"/>
  <c r="BH160" i="33"/>
  <c r="BO160" i="33"/>
  <c r="BP160" i="33"/>
  <c r="BR160" i="33"/>
  <c r="BS160" i="33" s="1"/>
  <c r="BG161" i="33"/>
  <c r="BH161" i="33"/>
  <c r="BO161" i="33"/>
  <c r="BP161" i="33"/>
  <c r="BR161" i="33"/>
  <c r="BS161" i="33" s="1"/>
  <c r="BG162" i="33"/>
  <c r="BH162" i="33"/>
  <c r="BO162" i="33"/>
  <c r="BP162" i="33"/>
  <c r="BR162" i="33"/>
  <c r="BS162" i="33" s="1"/>
  <c r="BG163" i="33"/>
  <c r="BH163" i="33"/>
  <c r="BO163" i="33"/>
  <c r="BP163" i="33"/>
  <c r="BR163" i="33"/>
  <c r="BS163" i="33" s="1"/>
  <c r="BG164" i="33"/>
  <c r="BH164" i="33"/>
  <c r="BO164" i="33"/>
  <c r="BP164" i="33"/>
  <c r="BR164" i="33"/>
  <c r="BS164" i="33" s="1"/>
  <c r="BG165" i="33"/>
  <c r="BH165" i="33"/>
  <c r="BO165" i="33"/>
  <c r="BP165" i="33"/>
  <c r="BR165" i="33"/>
  <c r="BS165" i="33" s="1"/>
  <c r="BG166" i="33"/>
  <c r="BH166" i="33"/>
  <c r="BO166" i="33"/>
  <c r="BP166" i="33"/>
  <c r="BR166" i="33"/>
  <c r="BS166" i="33" s="1"/>
  <c r="BG167" i="33"/>
  <c r="BH167" i="33"/>
  <c r="BO167" i="33"/>
  <c r="BP167" i="33"/>
  <c r="BR167" i="33"/>
  <c r="BS167" i="33" s="1"/>
  <c r="BG168" i="33"/>
  <c r="BH168" i="33"/>
  <c r="BO168" i="33"/>
  <c r="BP168" i="33"/>
  <c r="BR168" i="33"/>
  <c r="BS168" i="33" s="1"/>
  <c r="BG169" i="33"/>
  <c r="BH169" i="33"/>
  <c r="BO169" i="33"/>
  <c r="BP169" i="33"/>
  <c r="BR169" i="33"/>
  <c r="BS169" i="33"/>
  <c r="BG170" i="33"/>
  <c r="BH170" i="33"/>
  <c r="BO170" i="33"/>
  <c r="BP170" i="33"/>
  <c r="BR170" i="33"/>
  <c r="BS170" i="33" s="1"/>
  <c r="BG171" i="33"/>
  <c r="BH171" i="33"/>
  <c r="BO171" i="33"/>
  <c r="BP171" i="33"/>
  <c r="BR171" i="33"/>
  <c r="BS171" i="33" s="1"/>
  <c r="BG172" i="33"/>
  <c r="BH172" i="33"/>
  <c r="BO172" i="33"/>
  <c r="BP172" i="33"/>
  <c r="BR172" i="33"/>
  <c r="BS172" i="33"/>
  <c r="BG173" i="33"/>
  <c r="BH173" i="33"/>
  <c r="BO173" i="33"/>
  <c r="BP173" i="33"/>
  <c r="BR173" i="33"/>
  <c r="BS173" i="33" s="1"/>
  <c r="BG174" i="33"/>
  <c r="BH174" i="33"/>
  <c r="BO174" i="33"/>
  <c r="BP174" i="33"/>
  <c r="BR174" i="33"/>
  <c r="BS174" i="33" s="1"/>
  <c r="BG175" i="33"/>
  <c r="BH175" i="33"/>
  <c r="BO175" i="33"/>
  <c r="BP175" i="33"/>
  <c r="BR175" i="33"/>
  <c r="BS175" i="33" s="1"/>
  <c r="BG176" i="33"/>
  <c r="BH176" i="33"/>
  <c r="BO176" i="33"/>
  <c r="BP176" i="33"/>
  <c r="BR176" i="33"/>
  <c r="BS176" i="33" s="1"/>
  <c r="BG177" i="33"/>
  <c r="BH177" i="33"/>
  <c r="BO177" i="33"/>
  <c r="BP177" i="33"/>
  <c r="BR177" i="33"/>
  <c r="BS177" i="33" s="1"/>
  <c r="BG178" i="33"/>
  <c r="BH178" i="33"/>
  <c r="BO178" i="33"/>
  <c r="BP178" i="33"/>
  <c r="BR178" i="33"/>
  <c r="BS178" i="33" s="1"/>
  <c r="BG179" i="33"/>
  <c r="BH179" i="33"/>
  <c r="BO179" i="33"/>
  <c r="BP179" i="33"/>
  <c r="BR179" i="33"/>
  <c r="BS179" i="33" s="1"/>
  <c r="BG180" i="33"/>
  <c r="BH180" i="33"/>
  <c r="BO180" i="33"/>
  <c r="BP180" i="33"/>
  <c r="BR180" i="33"/>
  <c r="BS180" i="33" s="1"/>
  <c r="BG181" i="33"/>
  <c r="BH181" i="33"/>
  <c r="BO181" i="33"/>
  <c r="BP181" i="33"/>
  <c r="BR181" i="33"/>
  <c r="BS181" i="33"/>
  <c r="BG182" i="33"/>
  <c r="BH182" i="33"/>
  <c r="BO182" i="33"/>
  <c r="BP182" i="33"/>
  <c r="BR182" i="33"/>
  <c r="BS182" i="33" s="1"/>
  <c r="BG183" i="33"/>
  <c r="BH183" i="33"/>
  <c r="BO183" i="33"/>
  <c r="BP183" i="33"/>
  <c r="BR183" i="33"/>
  <c r="BS183" i="33" s="1"/>
  <c r="BG184" i="33"/>
  <c r="BH184" i="33"/>
  <c r="BO184" i="33"/>
  <c r="BP184" i="33"/>
  <c r="BR184" i="33"/>
  <c r="BS184" i="33"/>
  <c r="BG185" i="33"/>
  <c r="BH185" i="33"/>
  <c r="BO185" i="33"/>
  <c r="BP185" i="33"/>
  <c r="BR185" i="33"/>
  <c r="BS185" i="33"/>
  <c r="BG186" i="33"/>
  <c r="BH186" i="33"/>
  <c r="BO186" i="33"/>
  <c r="BP186" i="33"/>
  <c r="BR186" i="33"/>
  <c r="BS186" i="33" s="1"/>
  <c r="BG187" i="33"/>
  <c r="BH187" i="33"/>
  <c r="BO187" i="33"/>
  <c r="BP187" i="33"/>
  <c r="BR187" i="33"/>
  <c r="BS187" i="33" s="1"/>
  <c r="BG188" i="33"/>
  <c r="BH188" i="33"/>
  <c r="BO188" i="33"/>
  <c r="BP188" i="33"/>
  <c r="BR188" i="33"/>
  <c r="BS188" i="33"/>
  <c r="BG189" i="33"/>
  <c r="BH189" i="33"/>
  <c r="BO189" i="33"/>
  <c r="BP189" i="33"/>
  <c r="BR189" i="33"/>
  <c r="BS189" i="33" s="1"/>
  <c r="BG190" i="33"/>
  <c r="BH190" i="33"/>
  <c r="BO190" i="33"/>
  <c r="BP190" i="33"/>
  <c r="BR190" i="33"/>
  <c r="BS190" i="33" s="1"/>
  <c r="BG191" i="33"/>
  <c r="BH191" i="33"/>
  <c r="BO191" i="33"/>
  <c r="BP191" i="33"/>
  <c r="BR191" i="33"/>
  <c r="BS191" i="33" s="1"/>
  <c r="BG192" i="33"/>
  <c r="BH192" i="33"/>
  <c r="BO192" i="33"/>
  <c r="BP192" i="33"/>
  <c r="BR192" i="33"/>
  <c r="BS192" i="33" s="1"/>
  <c r="BG193" i="33"/>
  <c r="BH193" i="33"/>
  <c r="BO193" i="33"/>
  <c r="BP193" i="33"/>
  <c r="BR193" i="33"/>
  <c r="BS193" i="33"/>
  <c r="BG194" i="33"/>
  <c r="BH194" i="33"/>
  <c r="BO194" i="33"/>
  <c r="BP194" i="33"/>
  <c r="BR194" i="33"/>
  <c r="BS194" i="33" s="1"/>
  <c r="BG195" i="33"/>
  <c r="BH195" i="33"/>
  <c r="BO195" i="33"/>
  <c r="BP195" i="33"/>
  <c r="BR195" i="33"/>
  <c r="BS195" i="33" s="1"/>
  <c r="BG196" i="33"/>
  <c r="BH196" i="33"/>
  <c r="BO196" i="33"/>
  <c r="BP196" i="33"/>
  <c r="BR196" i="33"/>
  <c r="BS196" i="33"/>
  <c r="BG197" i="33"/>
  <c r="BH197" i="33"/>
  <c r="BO197" i="33"/>
  <c r="BP197" i="33"/>
  <c r="BR197" i="33"/>
  <c r="BS197" i="33"/>
  <c r="BG198" i="33"/>
  <c r="BH198" i="33"/>
  <c r="BO198" i="33"/>
  <c r="BP198" i="33"/>
  <c r="BR198" i="33"/>
  <c r="BS198" i="33" s="1"/>
  <c r="BG199" i="33"/>
  <c r="BH199" i="33"/>
  <c r="BO199" i="33"/>
  <c r="BP199" i="33"/>
  <c r="BR199" i="33"/>
  <c r="BS199" i="33" s="1"/>
  <c r="BG200" i="33"/>
  <c r="BH200" i="33"/>
  <c r="BO200" i="33"/>
  <c r="BP200" i="33"/>
  <c r="BR200" i="33"/>
  <c r="BS200" i="33"/>
  <c r="BG201" i="33"/>
  <c r="BH201" i="33"/>
  <c r="BO201" i="33"/>
  <c r="BP201" i="33"/>
  <c r="BR201" i="33"/>
  <c r="BS201" i="33" s="1"/>
  <c r="BG202" i="33"/>
  <c r="BH202" i="33"/>
  <c r="BO202" i="33"/>
  <c r="BP202" i="33"/>
  <c r="BR202" i="33"/>
  <c r="BS202" i="33" s="1"/>
  <c r="BG203" i="33"/>
  <c r="BH203" i="33"/>
  <c r="BO203" i="33"/>
  <c r="BP203" i="33"/>
  <c r="BR203" i="33"/>
  <c r="BS203" i="33" s="1"/>
  <c r="BG204" i="33"/>
  <c r="BH204" i="33"/>
  <c r="BO204" i="33"/>
  <c r="BP204" i="33"/>
  <c r="BR204" i="33"/>
  <c r="BS204" i="33" s="1"/>
  <c r="BG205" i="33"/>
  <c r="BH205" i="33"/>
  <c r="BO205" i="33"/>
  <c r="BP205" i="33"/>
  <c r="BR205" i="33"/>
  <c r="BS205" i="33" s="1"/>
  <c r="BG206" i="33"/>
  <c r="BH206" i="33"/>
  <c r="BO206" i="33"/>
  <c r="BP206" i="33"/>
  <c r="BR206" i="33"/>
  <c r="BS206" i="33" s="1"/>
  <c r="BG207" i="33"/>
  <c r="BH207" i="33"/>
  <c r="BO207" i="33"/>
  <c r="BP207" i="33"/>
  <c r="BR207" i="33"/>
  <c r="BS207" i="33" s="1"/>
  <c r="BG208" i="33"/>
  <c r="BH208" i="33"/>
  <c r="BO208" i="33"/>
  <c r="BP208" i="33"/>
  <c r="BR208" i="33"/>
  <c r="BS208" i="33" s="1"/>
  <c r="BG209" i="33"/>
  <c r="BH209" i="33"/>
  <c r="BO209" i="33"/>
  <c r="BP209" i="33"/>
  <c r="BR209" i="33"/>
  <c r="BS209" i="33" s="1"/>
  <c r="BG210" i="33"/>
  <c r="BH210" i="33"/>
  <c r="BO210" i="33"/>
  <c r="BP210" i="33"/>
  <c r="BR210" i="33"/>
  <c r="BS210" i="33" s="1"/>
  <c r="BG211" i="33"/>
  <c r="BH211" i="33"/>
  <c r="BO211" i="33"/>
  <c r="BP211" i="33"/>
  <c r="BR211" i="33"/>
  <c r="BS211" i="33" s="1"/>
  <c r="BG212" i="33"/>
  <c r="BH212" i="33"/>
  <c r="BO212" i="33"/>
  <c r="BP212" i="33"/>
  <c r="BR212" i="33"/>
  <c r="BS212" i="33" s="1"/>
  <c r="BG213" i="33"/>
  <c r="BH213" i="33"/>
  <c r="BO213" i="33"/>
  <c r="BP213" i="33"/>
  <c r="BR213" i="33"/>
  <c r="BS213" i="33" s="1"/>
  <c r="BG214" i="33"/>
  <c r="BH214" i="33"/>
  <c r="BO214" i="33"/>
  <c r="BP214" i="33"/>
  <c r="BR214" i="33"/>
  <c r="BS214" i="33" s="1"/>
  <c r="BG215" i="33"/>
  <c r="BH215" i="33"/>
  <c r="BO215" i="33"/>
  <c r="BP215" i="33"/>
  <c r="BR215" i="33"/>
  <c r="BS215" i="33" s="1"/>
  <c r="BG216" i="33"/>
  <c r="BH216" i="33"/>
  <c r="BO216" i="33"/>
  <c r="BP216" i="33"/>
  <c r="BR216" i="33"/>
  <c r="BS216" i="33" s="1"/>
  <c r="BG217" i="33"/>
  <c r="BH217" i="33"/>
  <c r="BO217" i="33"/>
  <c r="BP217" i="33"/>
  <c r="BR217" i="33"/>
  <c r="BS217" i="33"/>
  <c r="BG218" i="33"/>
  <c r="BH218" i="33"/>
  <c r="BO218" i="33"/>
  <c r="BP218" i="33"/>
  <c r="BR218" i="33"/>
  <c r="BS218" i="33" s="1"/>
  <c r="BG219" i="33"/>
  <c r="BH219" i="33"/>
  <c r="BO219" i="33"/>
  <c r="BP219" i="33"/>
  <c r="BR219" i="33"/>
  <c r="BS219" i="33" s="1"/>
  <c r="BG220" i="33"/>
  <c r="BH220" i="33"/>
  <c r="BO220" i="33"/>
  <c r="BP220" i="33"/>
  <c r="BR220" i="33"/>
  <c r="BS220" i="33"/>
  <c r="BG221" i="33"/>
  <c r="BH221" i="33"/>
  <c r="BO221" i="33"/>
  <c r="BP221" i="33"/>
  <c r="BR221" i="33"/>
  <c r="BS221" i="33" s="1"/>
  <c r="BG222" i="33"/>
  <c r="BH222" i="33"/>
  <c r="BO222" i="33"/>
  <c r="BP222" i="33"/>
  <c r="BR222" i="33"/>
  <c r="BS222" i="33" s="1"/>
  <c r="BG223" i="33"/>
  <c r="BH223" i="33"/>
  <c r="BO223" i="33"/>
  <c r="BP223" i="33"/>
  <c r="BR223" i="33"/>
  <c r="BS223" i="33" s="1"/>
  <c r="BG224" i="33"/>
  <c r="BH224" i="33"/>
  <c r="BO224" i="33"/>
  <c r="BP224" i="33"/>
  <c r="BR224" i="33"/>
  <c r="BS224" i="33" s="1"/>
  <c r="BG225" i="33"/>
  <c r="BH225" i="33"/>
  <c r="BO225" i="33"/>
  <c r="BP225" i="33"/>
  <c r="BR225" i="33"/>
  <c r="BS225" i="33" s="1"/>
  <c r="BG226" i="33"/>
  <c r="BH226" i="33"/>
  <c r="BO226" i="33"/>
  <c r="BP226" i="33"/>
  <c r="BR226" i="33"/>
  <c r="BS226" i="33" s="1"/>
  <c r="BG227" i="33"/>
  <c r="BH227" i="33"/>
  <c r="BO227" i="33"/>
  <c r="BP227" i="33"/>
  <c r="BR227" i="33"/>
  <c r="BS227" i="33" s="1"/>
  <c r="BG228" i="33"/>
  <c r="BH228" i="33"/>
  <c r="BO228" i="33"/>
  <c r="BP228" i="33"/>
  <c r="BR228" i="33"/>
  <c r="BS228" i="33" s="1"/>
  <c r="BG229" i="33"/>
  <c r="BH229" i="33"/>
  <c r="BO229" i="33"/>
  <c r="BP229" i="33"/>
  <c r="BR229" i="33"/>
  <c r="BS229" i="33"/>
  <c r="BG230" i="33"/>
  <c r="BH230" i="33"/>
  <c r="BO230" i="33"/>
  <c r="BP230" i="33"/>
  <c r="BR230" i="33"/>
  <c r="BS230" i="33" s="1"/>
  <c r="BG231" i="33"/>
  <c r="BH231" i="33"/>
  <c r="BO231" i="33"/>
  <c r="BP231" i="33"/>
  <c r="BR231" i="33"/>
  <c r="BS231" i="33" s="1"/>
  <c r="BG232" i="33"/>
  <c r="BH232" i="33"/>
  <c r="BO232" i="33"/>
  <c r="BP232" i="33"/>
  <c r="BR232" i="33"/>
  <c r="BS232" i="33"/>
  <c r="BG233" i="33"/>
  <c r="BH233" i="33"/>
  <c r="BO233" i="33"/>
  <c r="BP233" i="33"/>
  <c r="BR233" i="33"/>
  <c r="BS233" i="33"/>
  <c r="BG234" i="33"/>
  <c r="BH234" i="33"/>
  <c r="BO234" i="33"/>
  <c r="BP234" i="33"/>
  <c r="BR234" i="33"/>
  <c r="BS234" i="33" s="1"/>
  <c r="BG235" i="33"/>
  <c r="BH235" i="33"/>
  <c r="BO235" i="33"/>
  <c r="BP235" i="33"/>
  <c r="BR235" i="33"/>
  <c r="BS235" i="33" s="1"/>
  <c r="BG236" i="33"/>
  <c r="BH236" i="33"/>
  <c r="BO236" i="33"/>
  <c r="BP236" i="33"/>
  <c r="BR236" i="33"/>
  <c r="BS236" i="33"/>
  <c r="BG237" i="33"/>
  <c r="BH237" i="33"/>
  <c r="BO237" i="33"/>
  <c r="BP237" i="33"/>
  <c r="BR237" i="33"/>
  <c r="BS237" i="33" s="1"/>
  <c r="BG238" i="33"/>
  <c r="BH238" i="33"/>
  <c r="BO238" i="33"/>
  <c r="BP238" i="33"/>
  <c r="BR238" i="33"/>
  <c r="BS238" i="33" s="1"/>
  <c r="BG239" i="33"/>
  <c r="BH239" i="33"/>
  <c r="BO239" i="33"/>
  <c r="BP239" i="33"/>
  <c r="BR239" i="33"/>
  <c r="BS239" i="33" s="1"/>
  <c r="BG240" i="33"/>
  <c r="BH240" i="33"/>
  <c r="BO240" i="33"/>
  <c r="BP240" i="33"/>
  <c r="BR240" i="33"/>
  <c r="BS240" i="33" s="1"/>
  <c r="BG241" i="33"/>
  <c r="BH241" i="33"/>
  <c r="BO241" i="33"/>
  <c r="BP241" i="33"/>
  <c r="BR241" i="33"/>
  <c r="BS241" i="33"/>
  <c r="BG242" i="33"/>
  <c r="BH242" i="33"/>
  <c r="BO242" i="33"/>
  <c r="BP242" i="33"/>
  <c r="BR242" i="33"/>
  <c r="BS242" i="33" s="1"/>
  <c r="BG243" i="33"/>
  <c r="BH243" i="33"/>
  <c r="BO243" i="33"/>
  <c r="BP243" i="33"/>
  <c r="BR243" i="33"/>
  <c r="BS243" i="33" s="1"/>
  <c r="BG244" i="33"/>
  <c r="BH244" i="33"/>
  <c r="BO244" i="33"/>
  <c r="BP244" i="33"/>
  <c r="BR244" i="33"/>
  <c r="BS244" i="33"/>
  <c r="BG245" i="33"/>
  <c r="BH245" i="33"/>
  <c r="BO245" i="33"/>
  <c r="BP245" i="33"/>
  <c r="BR245" i="33"/>
  <c r="BS245" i="33"/>
  <c r="BG246" i="33"/>
  <c r="BH246" i="33"/>
  <c r="BO246" i="33"/>
  <c r="BP246" i="33"/>
  <c r="BR246" i="33"/>
  <c r="BS246" i="33" s="1"/>
  <c r="BG247" i="33"/>
  <c r="BH247" i="33"/>
  <c r="BO247" i="33"/>
  <c r="BP247" i="33"/>
  <c r="BR247" i="33"/>
  <c r="BS247" i="33" s="1"/>
  <c r="BG248" i="33"/>
  <c r="BH248" i="33"/>
  <c r="BO248" i="33"/>
  <c r="BP248" i="33"/>
  <c r="BR248" i="33"/>
  <c r="BS248" i="33"/>
  <c r="BG249" i="33"/>
  <c r="BH249" i="33"/>
  <c r="BO249" i="33"/>
  <c r="BP249" i="33"/>
  <c r="BR249" i="33"/>
  <c r="BS249" i="33" s="1"/>
  <c r="BG250" i="33"/>
  <c r="BH250" i="33"/>
  <c r="BO250" i="33"/>
  <c r="BP250" i="33"/>
  <c r="BR250" i="33"/>
  <c r="BS250" i="33" s="1"/>
  <c r="BG251" i="33"/>
  <c r="BH251" i="33"/>
  <c r="BO251" i="33"/>
  <c r="BP251" i="33"/>
  <c r="BR251" i="33"/>
  <c r="BS251" i="33" s="1"/>
  <c r="BG252" i="33"/>
  <c r="BH252" i="33"/>
  <c r="BO252" i="33"/>
  <c r="BP252" i="33"/>
  <c r="BR252" i="33"/>
  <c r="BS252" i="33" s="1"/>
  <c r="BG253" i="33"/>
  <c r="BH253" i="33"/>
  <c r="BO253" i="33"/>
  <c r="BP253" i="33"/>
  <c r="BR253" i="33"/>
  <c r="BS253" i="33" s="1"/>
  <c r="BG254" i="33"/>
  <c r="BH254" i="33"/>
  <c r="BO254" i="33"/>
  <c r="BP254" i="33"/>
  <c r="BR254" i="33"/>
  <c r="BS254" i="33" s="1"/>
  <c r="BG255" i="33"/>
  <c r="BH255" i="33"/>
  <c r="BO255" i="33"/>
  <c r="BP255" i="33"/>
  <c r="BR255" i="33"/>
  <c r="BS255" i="33" s="1"/>
  <c r="BG256" i="33"/>
  <c r="BH256" i="33"/>
  <c r="BO256" i="33"/>
  <c r="BP256" i="33"/>
  <c r="BR256" i="33"/>
  <c r="BS256" i="33" s="1"/>
  <c r="BG257" i="33"/>
  <c r="BH257" i="33"/>
  <c r="BO257" i="33"/>
  <c r="BP257" i="33"/>
  <c r="BR257" i="33"/>
  <c r="BS257" i="33"/>
  <c r="BG258" i="33"/>
  <c r="BH258" i="33"/>
  <c r="BO258" i="33"/>
  <c r="BP258" i="33"/>
  <c r="BR258" i="33"/>
  <c r="BS258" i="33" s="1"/>
  <c r="BG259" i="33"/>
  <c r="BH259" i="33"/>
  <c r="BO259" i="33"/>
  <c r="BP259" i="33"/>
  <c r="BR259" i="33"/>
  <c r="BS259" i="33" s="1"/>
  <c r="BG260" i="33"/>
  <c r="BH260" i="33"/>
  <c r="BO260" i="33"/>
  <c r="BP260" i="33"/>
  <c r="BR260" i="33"/>
  <c r="BS260" i="33"/>
  <c r="BG261" i="33"/>
  <c r="BH261" i="33"/>
  <c r="BO261" i="33"/>
  <c r="BP261" i="33"/>
  <c r="BR261" i="33"/>
  <c r="BS261" i="33" s="1"/>
  <c r="BG262" i="33"/>
  <c r="BH262" i="33"/>
  <c r="BO262" i="33"/>
  <c r="BP262" i="33"/>
  <c r="BR262" i="33"/>
  <c r="BS262" i="33" s="1"/>
  <c r="BG263" i="33"/>
  <c r="BH263" i="33"/>
  <c r="BO263" i="33"/>
  <c r="BP263" i="33"/>
  <c r="BR263" i="33"/>
  <c r="BS263" i="33" s="1"/>
  <c r="BG264" i="33"/>
  <c r="BH264" i="33"/>
  <c r="BO264" i="33"/>
  <c r="BP264" i="33"/>
  <c r="BR264" i="33"/>
  <c r="BS264" i="33" s="1"/>
  <c r="BG265" i="33"/>
  <c r="BH265" i="33"/>
  <c r="BO265" i="33"/>
  <c r="BP265" i="33"/>
  <c r="BR265" i="33"/>
  <c r="BS265" i="33" s="1"/>
  <c r="BG266" i="33"/>
  <c r="BH266" i="33"/>
  <c r="BO266" i="33"/>
  <c r="BP266" i="33"/>
  <c r="BR266" i="33"/>
  <c r="BS266" i="33" s="1"/>
  <c r="BG267" i="33"/>
  <c r="BH267" i="33"/>
  <c r="BO267" i="33"/>
  <c r="BP267" i="33"/>
  <c r="BR267" i="33"/>
  <c r="BS267" i="33" s="1"/>
  <c r="BG268" i="33"/>
  <c r="BH268" i="33"/>
  <c r="BO268" i="33"/>
  <c r="BP268" i="33"/>
  <c r="BR268" i="33"/>
  <c r="BS268" i="33" s="1"/>
  <c r="BG269" i="33"/>
  <c r="BH269" i="33"/>
  <c r="BO269" i="33"/>
  <c r="BP269" i="33"/>
  <c r="BR269" i="33"/>
  <c r="BS269" i="33" s="1"/>
  <c r="BG270" i="33"/>
  <c r="BH270" i="33"/>
  <c r="BO270" i="33"/>
  <c r="BP270" i="33"/>
  <c r="BR270" i="33"/>
  <c r="BS270" i="33" s="1"/>
  <c r="BG271" i="33"/>
  <c r="BH271" i="33"/>
  <c r="BO271" i="33"/>
  <c r="BP271" i="33"/>
  <c r="BR271" i="33"/>
  <c r="BS271" i="33" s="1"/>
  <c r="BG272" i="33"/>
  <c r="BH272" i="33"/>
  <c r="BO272" i="33"/>
  <c r="BP272" i="33"/>
  <c r="BR272" i="33"/>
  <c r="BS272" i="33" s="1"/>
  <c r="BG273" i="33"/>
  <c r="BH273" i="33"/>
  <c r="BO273" i="33"/>
  <c r="BP273" i="33"/>
  <c r="BR273" i="33"/>
  <c r="BS273" i="33" s="1"/>
  <c r="BG274" i="33"/>
  <c r="BH274" i="33"/>
  <c r="BO274" i="33"/>
  <c r="BP274" i="33"/>
  <c r="BR274" i="33"/>
  <c r="BS274" i="33" s="1"/>
  <c r="BG275" i="33"/>
  <c r="BH275" i="33"/>
  <c r="BO275" i="33"/>
  <c r="BP275" i="33"/>
  <c r="BR275" i="33"/>
  <c r="BS275" i="33" s="1"/>
  <c r="BG276" i="33"/>
  <c r="BH276" i="33"/>
  <c r="BO276" i="33"/>
  <c r="BP276" i="33"/>
  <c r="BR276" i="33"/>
  <c r="BS276" i="33" s="1"/>
  <c r="BG277" i="33"/>
  <c r="BH277" i="33"/>
  <c r="BO277" i="33"/>
  <c r="BP277" i="33"/>
  <c r="BR277" i="33"/>
  <c r="BS277" i="33" s="1"/>
  <c r="BG278" i="33"/>
  <c r="BH278" i="33"/>
  <c r="BO278" i="33"/>
  <c r="BP278" i="33"/>
  <c r="BR278" i="33"/>
  <c r="BS278" i="33" s="1"/>
  <c r="BG279" i="33"/>
  <c r="BH279" i="33"/>
  <c r="BO279" i="33"/>
  <c r="BP279" i="33"/>
  <c r="BR279" i="33"/>
  <c r="BS279" i="33" s="1"/>
  <c r="BG280" i="33"/>
  <c r="BH280" i="33"/>
  <c r="BO280" i="33"/>
  <c r="BP280" i="33"/>
  <c r="BR280" i="33"/>
  <c r="BS280" i="33" s="1"/>
  <c r="BG281" i="33"/>
  <c r="BH281" i="33"/>
  <c r="BO281" i="33"/>
  <c r="BP281" i="33"/>
  <c r="BR281" i="33"/>
  <c r="BS281" i="33"/>
  <c r="BG282" i="33"/>
  <c r="BH282" i="33"/>
  <c r="BO282" i="33"/>
  <c r="BP282" i="33"/>
  <c r="BR282" i="33"/>
  <c r="BS282" i="33" s="1"/>
  <c r="BG283" i="33"/>
  <c r="BH283" i="33"/>
  <c r="BO283" i="33"/>
  <c r="BP283" i="33"/>
  <c r="BR283" i="33"/>
  <c r="BS283" i="33" s="1"/>
  <c r="BG284" i="33"/>
  <c r="BH284" i="33"/>
  <c r="BO284" i="33"/>
  <c r="BP284" i="33"/>
  <c r="BR284" i="33"/>
  <c r="BS284" i="33"/>
  <c r="BG285" i="33"/>
  <c r="BH285" i="33"/>
  <c r="BO285" i="33"/>
  <c r="BP285" i="33"/>
  <c r="BR285" i="33"/>
  <c r="BS285" i="33" s="1"/>
  <c r="BG286" i="33"/>
  <c r="BH286" i="33"/>
  <c r="BO286" i="33"/>
  <c r="BP286" i="33"/>
  <c r="BR286" i="33"/>
  <c r="BS286" i="33" s="1"/>
  <c r="BG287" i="33"/>
  <c r="BH287" i="33"/>
  <c r="BO287" i="33"/>
  <c r="BP287" i="33"/>
  <c r="BR287" i="33"/>
  <c r="BS287" i="33" s="1"/>
  <c r="BG288" i="33"/>
  <c r="BH288" i="33"/>
  <c r="BO288" i="33"/>
  <c r="BP288" i="33"/>
  <c r="BR288" i="33"/>
  <c r="BS288" i="33" s="1"/>
  <c r="BG289" i="33"/>
  <c r="BH289" i="33"/>
  <c r="BO289" i="33"/>
  <c r="BP289" i="33"/>
  <c r="BR289" i="33"/>
  <c r="BS289" i="33" s="1"/>
  <c r="BG290" i="33"/>
  <c r="BH290" i="33"/>
  <c r="BO290" i="33"/>
  <c r="BP290" i="33"/>
  <c r="BR290" i="33"/>
  <c r="BS290" i="33" s="1"/>
  <c r="BG291" i="33"/>
  <c r="BH291" i="33"/>
  <c r="BO291" i="33"/>
  <c r="BP291" i="33"/>
  <c r="BR291" i="33"/>
  <c r="BS291" i="33" s="1"/>
  <c r="BG292" i="33"/>
  <c r="BH292" i="33"/>
  <c r="BO292" i="33"/>
  <c r="BP292" i="33"/>
  <c r="BR292" i="33"/>
  <c r="BS292" i="33" s="1"/>
  <c r="BG293" i="33"/>
  <c r="BH293" i="33"/>
  <c r="BO293" i="33"/>
  <c r="BP293" i="33"/>
  <c r="BR293" i="33"/>
  <c r="BS293" i="33" s="1"/>
  <c r="BG294" i="33"/>
  <c r="BH294" i="33"/>
  <c r="BO294" i="33"/>
  <c r="BP294" i="33"/>
  <c r="BR294" i="33"/>
  <c r="BS294" i="33" s="1"/>
  <c r="BG295" i="33"/>
  <c r="BH295" i="33"/>
  <c r="BO295" i="33"/>
  <c r="BP295" i="33"/>
  <c r="BR295" i="33"/>
  <c r="BS295" i="33" s="1"/>
  <c r="BG296" i="33"/>
  <c r="BH296" i="33"/>
  <c r="BO296" i="33"/>
  <c r="BP296" i="33"/>
  <c r="BR296" i="33"/>
  <c r="BS296" i="33"/>
  <c r="BG297" i="33"/>
  <c r="BH297" i="33"/>
  <c r="BO297" i="33"/>
  <c r="BP297" i="33"/>
  <c r="BR297" i="33"/>
  <c r="BS297" i="33" s="1"/>
  <c r="BG298" i="33"/>
  <c r="BH298" i="33"/>
  <c r="BO298" i="33"/>
  <c r="BP298" i="33"/>
  <c r="BR298" i="33"/>
  <c r="BS298" i="33" s="1"/>
  <c r="BG299" i="33"/>
  <c r="BH299" i="33"/>
  <c r="BO299" i="33"/>
  <c r="BP299" i="33"/>
  <c r="BR299" i="33"/>
  <c r="BS299" i="33" s="1"/>
  <c r="BG300" i="33"/>
  <c r="BH300" i="33"/>
  <c r="BO300" i="33"/>
  <c r="BP300" i="33"/>
  <c r="BR300" i="33"/>
  <c r="BS300" i="33" s="1"/>
  <c r="BG301" i="33"/>
  <c r="BH301" i="33"/>
  <c r="BO301" i="33"/>
  <c r="BP301" i="33"/>
  <c r="BR301" i="33"/>
  <c r="BS301" i="33" s="1"/>
  <c r="BG302" i="33"/>
  <c r="BH302" i="33"/>
  <c r="BO302" i="33"/>
  <c r="BP302" i="33"/>
  <c r="BR302" i="33"/>
  <c r="BS302" i="33" s="1"/>
  <c r="BG303" i="33"/>
  <c r="BH303" i="33"/>
  <c r="BO303" i="33"/>
  <c r="BP303" i="33"/>
  <c r="BR303" i="33"/>
  <c r="BS303" i="33" s="1"/>
  <c r="BG304" i="33"/>
  <c r="BH304" i="33"/>
  <c r="BO304" i="33"/>
  <c r="BP304" i="33"/>
  <c r="BR304" i="33"/>
  <c r="BS304" i="33" s="1"/>
  <c r="BG305" i="33"/>
  <c r="BH305" i="33"/>
  <c r="BO305" i="33"/>
  <c r="BP305" i="33"/>
  <c r="BR305" i="33"/>
  <c r="BS305" i="33" s="1"/>
  <c r="BG306" i="33"/>
  <c r="BH306" i="33"/>
  <c r="BO306" i="33"/>
  <c r="BP306" i="33"/>
  <c r="BR306" i="33"/>
  <c r="BS306" i="33" s="1"/>
  <c r="BG307" i="33"/>
  <c r="BH307" i="33"/>
  <c r="BO307" i="33"/>
  <c r="BP307" i="33"/>
  <c r="BR307" i="33"/>
  <c r="BS307" i="33" s="1"/>
  <c r="BG308" i="33"/>
  <c r="BH308" i="33"/>
  <c r="BO308" i="33"/>
  <c r="BP308" i="33"/>
  <c r="BR308" i="33"/>
  <c r="BS308" i="33"/>
  <c r="BG309" i="33"/>
  <c r="BH309" i="33"/>
  <c r="BO309" i="33"/>
  <c r="BP309" i="33"/>
  <c r="BR309" i="33"/>
  <c r="BS309" i="33" s="1"/>
  <c r="BG310" i="33"/>
  <c r="BH310" i="33"/>
  <c r="BO310" i="33"/>
  <c r="BP310" i="33"/>
  <c r="BR310" i="33"/>
  <c r="BS310" i="33" s="1"/>
  <c r="BG311" i="33"/>
  <c r="BH311" i="33"/>
  <c r="BO311" i="33"/>
  <c r="BP311" i="33"/>
  <c r="BR311" i="33"/>
  <c r="BS311" i="33"/>
  <c r="BG312" i="33"/>
  <c r="BH312" i="33"/>
  <c r="BO312" i="33"/>
  <c r="BP312" i="33"/>
  <c r="BR312" i="33"/>
  <c r="BS312" i="33" s="1"/>
  <c r="BG313" i="33"/>
  <c r="BH313" i="33"/>
  <c r="BO313" i="33"/>
  <c r="BP313" i="33"/>
  <c r="BR313" i="33"/>
  <c r="BS313" i="33" s="1"/>
  <c r="BG314" i="33"/>
  <c r="BH314" i="33"/>
  <c r="BO314" i="33"/>
  <c r="BP314" i="33"/>
  <c r="BR314" i="33"/>
  <c r="BS314" i="33" s="1"/>
  <c r="BG315" i="33"/>
  <c r="BH315" i="33"/>
  <c r="BO315" i="33"/>
  <c r="BP315" i="33"/>
  <c r="BR315" i="33"/>
  <c r="BS315" i="33" s="1"/>
  <c r="BG316" i="33"/>
  <c r="BH316" i="33"/>
  <c r="BO316" i="33"/>
  <c r="BP316" i="33"/>
  <c r="BR316" i="33"/>
  <c r="BS316" i="33" s="1"/>
  <c r="BG317" i="33"/>
  <c r="BH317" i="33"/>
  <c r="BO317" i="33"/>
  <c r="BP317" i="33"/>
  <c r="BR317" i="33"/>
  <c r="BS317" i="33" s="1"/>
  <c r="BG318" i="33"/>
  <c r="BH318" i="33"/>
  <c r="BO318" i="33"/>
  <c r="BP318" i="33"/>
  <c r="BR318" i="33"/>
  <c r="BS318" i="33" s="1"/>
  <c r="BG319" i="33"/>
  <c r="BH319" i="33"/>
  <c r="BO319" i="33"/>
  <c r="BP319" i="33"/>
  <c r="BR319" i="33"/>
  <c r="BS319" i="33" s="1"/>
  <c r="BG320" i="33"/>
  <c r="BH320" i="33"/>
  <c r="BO320" i="33"/>
  <c r="BP320" i="33"/>
  <c r="BR320" i="33"/>
  <c r="BS320" i="33"/>
  <c r="BG321" i="33"/>
  <c r="BH321" i="33"/>
  <c r="BO321" i="33"/>
  <c r="BP321" i="33"/>
  <c r="BR321" i="33"/>
  <c r="BS321" i="33" s="1"/>
  <c r="BG322" i="33"/>
  <c r="BH322" i="33"/>
  <c r="BO322" i="33"/>
  <c r="BP322" i="33"/>
  <c r="BR322" i="33"/>
  <c r="BS322" i="33" s="1"/>
  <c r="BG323" i="33"/>
  <c r="BH323" i="33"/>
  <c r="BO323" i="33"/>
  <c r="BP323" i="33"/>
  <c r="BR323" i="33"/>
  <c r="BS323" i="33"/>
  <c r="BG324" i="33"/>
  <c r="BH324" i="33"/>
  <c r="BO324" i="33"/>
  <c r="BP324" i="33"/>
  <c r="BR324" i="33"/>
  <c r="BS324" i="33"/>
  <c r="BG325" i="33"/>
  <c r="BH325" i="33"/>
  <c r="BO325" i="33"/>
  <c r="BP325" i="33"/>
  <c r="BR325" i="33"/>
  <c r="BS325" i="33" s="1"/>
  <c r="BG326" i="33"/>
  <c r="BH326" i="33"/>
  <c r="BO326" i="33"/>
  <c r="BP326" i="33"/>
  <c r="BR326" i="33"/>
  <c r="BS326" i="33" s="1"/>
  <c r="BG327" i="33"/>
  <c r="BH327" i="33"/>
  <c r="BO327" i="33"/>
  <c r="BP327" i="33"/>
  <c r="BR327" i="33"/>
  <c r="BS327" i="33"/>
  <c r="BG328" i="33"/>
  <c r="BH328" i="33"/>
  <c r="BO328" i="33"/>
  <c r="BP328" i="33"/>
  <c r="BR328" i="33"/>
  <c r="BS328" i="33" s="1"/>
  <c r="BG329" i="33"/>
  <c r="BH329" i="33"/>
  <c r="BO329" i="33"/>
  <c r="BP329" i="33"/>
  <c r="BR329" i="33"/>
  <c r="BS329" i="33" s="1"/>
  <c r="BG330" i="33"/>
  <c r="BH330" i="33"/>
  <c r="BO330" i="33"/>
  <c r="BP330" i="33"/>
  <c r="BR330" i="33"/>
  <c r="BS330" i="33" s="1"/>
  <c r="BG331" i="33"/>
  <c r="BH331" i="33"/>
  <c r="BO331" i="33"/>
  <c r="BP331" i="33"/>
  <c r="BR331" i="33"/>
  <c r="BS331" i="33" s="1"/>
  <c r="BG332" i="33"/>
  <c r="BH332" i="33"/>
  <c r="BO332" i="33"/>
  <c r="BP332" i="33"/>
  <c r="BR332" i="33"/>
  <c r="BS332" i="33" s="1"/>
  <c r="BG333" i="33"/>
  <c r="BH333" i="33"/>
  <c r="BO333" i="33"/>
  <c r="BP333" i="33"/>
  <c r="BR333" i="33"/>
  <c r="BS333" i="33" s="1"/>
  <c r="BG334" i="33"/>
  <c r="BH334" i="33"/>
  <c r="BO334" i="33"/>
  <c r="BP334" i="33"/>
  <c r="BR334" i="33"/>
  <c r="BS334" i="33" s="1"/>
  <c r="BG335" i="33"/>
  <c r="BH335" i="33"/>
  <c r="BO335" i="33"/>
  <c r="BP335" i="33"/>
  <c r="BR335" i="33"/>
  <c r="BS335" i="33" s="1"/>
  <c r="BG336" i="33"/>
  <c r="BH336" i="33"/>
  <c r="BO336" i="33"/>
  <c r="BP336" i="33"/>
  <c r="BR336" i="33"/>
  <c r="BS336" i="33" s="1"/>
  <c r="BG337" i="33"/>
  <c r="BH337" i="33"/>
  <c r="BO337" i="33"/>
  <c r="BP337" i="33"/>
  <c r="BR337" i="33"/>
  <c r="BS337" i="33" s="1"/>
  <c r="BG338" i="33"/>
  <c r="BH338" i="33"/>
  <c r="BO338" i="33"/>
  <c r="BP338" i="33"/>
  <c r="BR338" i="33"/>
  <c r="BS338" i="33" s="1"/>
  <c r="BG339" i="33"/>
  <c r="BH339" i="33"/>
  <c r="BO339" i="33"/>
  <c r="BP339" i="33"/>
  <c r="BR339" i="33"/>
  <c r="BS339" i="33" s="1"/>
  <c r="BG340" i="33"/>
  <c r="BH340" i="33"/>
  <c r="BO340" i="33"/>
  <c r="BP340" i="33"/>
  <c r="BR340" i="33"/>
  <c r="BS340" i="33"/>
  <c r="BG341" i="33"/>
  <c r="BH341" i="33"/>
  <c r="BO341" i="33"/>
  <c r="BP341" i="33"/>
  <c r="BR341" i="33"/>
  <c r="BS341" i="33" s="1"/>
  <c r="BG342" i="33"/>
  <c r="BH342" i="33"/>
  <c r="BO342" i="33"/>
  <c r="BP342" i="33"/>
  <c r="BR342" i="33"/>
  <c r="BS342" i="33" s="1"/>
  <c r="BG343" i="33"/>
  <c r="BH343" i="33"/>
  <c r="BO343" i="33"/>
  <c r="BP343" i="33"/>
  <c r="BR343" i="33"/>
  <c r="BS343" i="33"/>
  <c r="BG344" i="33"/>
  <c r="BH344" i="33"/>
  <c r="BO344" i="33"/>
  <c r="BP344" i="33"/>
  <c r="BR344" i="33"/>
  <c r="BS344" i="33" s="1"/>
  <c r="BG345" i="33"/>
  <c r="BH345" i="33"/>
  <c r="BO345" i="33"/>
  <c r="BP345" i="33"/>
  <c r="BR345" i="33"/>
  <c r="BS345" i="33" s="1"/>
  <c r="BG346" i="33"/>
  <c r="BH346" i="33"/>
  <c r="BO346" i="33"/>
  <c r="BP346" i="33"/>
  <c r="BR346" i="33"/>
  <c r="BS346" i="33" s="1"/>
  <c r="BG347" i="33"/>
  <c r="BH347" i="33"/>
  <c r="BO347" i="33"/>
  <c r="BP347" i="33"/>
  <c r="BR347" i="33"/>
  <c r="BS347" i="33" s="1"/>
  <c r="BG348" i="33"/>
  <c r="BH348" i="33"/>
  <c r="BO348" i="33"/>
  <c r="BP348" i="33"/>
  <c r="BR348" i="33"/>
  <c r="BS348" i="33" s="1"/>
  <c r="BG349" i="33"/>
  <c r="BH349" i="33"/>
  <c r="BO349" i="33"/>
  <c r="BP349" i="33"/>
  <c r="BR349" i="33"/>
  <c r="BS349" i="33" s="1"/>
  <c r="BG350" i="33"/>
  <c r="BH350" i="33"/>
  <c r="BO350" i="33"/>
  <c r="BP350" i="33"/>
  <c r="BR350" i="33"/>
  <c r="BS350" i="33" s="1"/>
  <c r="BG351" i="33"/>
  <c r="BH351" i="33"/>
  <c r="BO351" i="33"/>
  <c r="BP351" i="33"/>
  <c r="BR351" i="33"/>
  <c r="BS351" i="33" s="1"/>
  <c r="BG352" i="33"/>
  <c r="BH352" i="33"/>
  <c r="BO352" i="33"/>
  <c r="BP352" i="33"/>
  <c r="BR352" i="33"/>
  <c r="BS352" i="33"/>
  <c r="BG353" i="33"/>
  <c r="BH353" i="33"/>
  <c r="BO353" i="33"/>
  <c r="BP353" i="33"/>
  <c r="BR353" i="33"/>
  <c r="BS353" i="33" s="1"/>
  <c r="BG354" i="33"/>
  <c r="BH354" i="33"/>
  <c r="BO354" i="33"/>
  <c r="BP354" i="33"/>
  <c r="BR354" i="33"/>
  <c r="BS354" i="33" s="1"/>
  <c r="BG355" i="33"/>
  <c r="BH355" i="33"/>
  <c r="BO355" i="33"/>
  <c r="BP355" i="33"/>
  <c r="BR355" i="33"/>
  <c r="BS355" i="33"/>
  <c r="BG356" i="33"/>
  <c r="BH356" i="33"/>
  <c r="BO356" i="33"/>
  <c r="BP356" i="33"/>
  <c r="BR356" i="33"/>
  <c r="BS356" i="33" s="1"/>
  <c r="BG357" i="33"/>
  <c r="BH357" i="33"/>
  <c r="BO357" i="33"/>
  <c r="BP357" i="33"/>
  <c r="BR357" i="33"/>
  <c r="BS357" i="33" s="1"/>
  <c r="BG358" i="33"/>
  <c r="BH358" i="33"/>
  <c r="BO358" i="33"/>
  <c r="BP358" i="33"/>
  <c r="BR358" i="33"/>
  <c r="BS358" i="33" s="1"/>
  <c r="BG359" i="33"/>
  <c r="BH359" i="33"/>
  <c r="BO359" i="33"/>
  <c r="BP359" i="33"/>
  <c r="BR359" i="33"/>
  <c r="BS359" i="33" s="1"/>
  <c r="BG360" i="33"/>
  <c r="BH360" i="33"/>
  <c r="BO360" i="33"/>
  <c r="BP360" i="33"/>
  <c r="BR360" i="33"/>
  <c r="BS360" i="33" s="1"/>
  <c r="BG361" i="33"/>
  <c r="BH361" i="33"/>
  <c r="BO361" i="33"/>
  <c r="BP361" i="33"/>
  <c r="BR361" i="33"/>
  <c r="BS361" i="33" s="1"/>
  <c r="BG362" i="33"/>
  <c r="BH362" i="33"/>
  <c r="BO362" i="33"/>
  <c r="BP362" i="33"/>
  <c r="BR362" i="33"/>
  <c r="BS362" i="33" s="1"/>
  <c r="BG363" i="33"/>
  <c r="BH363" i="33"/>
  <c r="BO363" i="33"/>
  <c r="BP363" i="33"/>
  <c r="BR363" i="33"/>
  <c r="BS363" i="33" s="1"/>
  <c r="BG364" i="33"/>
  <c r="BH364" i="33"/>
  <c r="BO364" i="33"/>
  <c r="BP364" i="33"/>
  <c r="BR364" i="33"/>
  <c r="BS364" i="33" s="1"/>
  <c r="BG365" i="33"/>
  <c r="BH365" i="33"/>
  <c r="BO365" i="33"/>
  <c r="BP365" i="33"/>
  <c r="BR365" i="33"/>
  <c r="BS365" i="33" s="1"/>
  <c r="BG366" i="33"/>
  <c r="BH366" i="33"/>
  <c r="BO366" i="33"/>
  <c r="BP366" i="33"/>
  <c r="BR366" i="33"/>
  <c r="BS366" i="33" s="1"/>
  <c r="BG367" i="33"/>
  <c r="BH367" i="33"/>
  <c r="BO367" i="33"/>
  <c r="BP367" i="33"/>
  <c r="BR367" i="33"/>
  <c r="BS367" i="33" s="1"/>
  <c r="BG368" i="33"/>
  <c r="BH368" i="33"/>
  <c r="BO368" i="33"/>
  <c r="BP368" i="33"/>
  <c r="BR368" i="33"/>
  <c r="BS368" i="33" s="1"/>
  <c r="BG369" i="33"/>
  <c r="BH369" i="33"/>
  <c r="BO369" i="33"/>
  <c r="BP369" i="33"/>
  <c r="BR369" i="33"/>
  <c r="BS369" i="33" s="1"/>
  <c r="BG370" i="33"/>
  <c r="BH370" i="33"/>
  <c r="BO370" i="33"/>
  <c r="BP370" i="33"/>
  <c r="BR370" i="33"/>
  <c r="BS370" i="33" s="1"/>
  <c r="BG371" i="33"/>
  <c r="BH371" i="33"/>
  <c r="BO371" i="33"/>
  <c r="BP371" i="33"/>
  <c r="BR371" i="33"/>
  <c r="BS371" i="33" s="1"/>
  <c r="BG372" i="33"/>
  <c r="BH372" i="33"/>
  <c r="BO372" i="33"/>
  <c r="BP372" i="33"/>
  <c r="BR372" i="33"/>
  <c r="BS372" i="33"/>
  <c r="BG373" i="33"/>
  <c r="BH373" i="33"/>
  <c r="BO373" i="33"/>
  <c r="BP373" i="33"/>
  <c r="BR373" i="33"/>
  <c r="BS373" i="33" s="1"/>
  <c r="BG374" i="33"/>
  <c r="BH374" i="33"/>
  <c r="BO374" i="33"/>
  <c r="BP374" i="33"/>
  <c r="BR374" i="33"/>
  <c r="BS374" i="33" s="1"/>
  <c r="BG375" i="33"/>
  <c r="BH375" i="33"/>
  <c r="BO375" i="33"/>
  <c r="BP375" i="33"/>
  <c r="BR375" i="33"/>
  <c r="BS375" i="33"/>
  <c r="BG376" i="33"/>
  <c r="BH376" i="33"/>
  <c r="BO376" i="33"/>
  <c r="BP376" i="33"/>
  <c r="BR376" i="33"/>
  <c r="BS376" i="33" s="1"/>
  <c r="BG377" i="33"/>
  <c r="BH377" i="33"/>
  <c r="BO377" i="33"/>
  <c r="BP377" i="33"/>
  <c r="BR377" i="33"/>
  <c r="BS377" i="33" s="1"/>
  <c r="BG378" i="33"/>
  <c r="BH378" i="33"/>
  <c r="BO378" i="33"/>
  <c r="BP378" i="33"/>
  <c r="BR378" i="33"/>
  <c r="BS378" i="33" s="1"/>
  <c r="BG379" i="33"/>
  <c r="BH379" i="33"/>
  <c r="BO379" i="33"/>
  <c r="BP379" i="33"/>
  <c r="BR379" i="33"/>
  <c r="BS379" i="33" s="1"/>
  <c r="BG380" i="33"/>
  <c r="BH380" i="33"/>
  <c r="BO380" i="33"/>
  <c r="BP380" i="33"/>
  <c r="BR380" i="33"/>
  <c r="BS380" i="33" s="1"/>
  <c r="BG381" i="33"/>
  <c r="BH381" i="33"/>
  <c r="BO381" i="33"/>
  <c r="BP381" i="33"/>
  <c r="BR381" i="33"/>
  <c r="BS381" i="33" s="1"/>
  <c r="BG382" i="33"/>
  <c r="BH382" i="33"/>
  <c r="BO382" i="33"/>
  <c r="BP382" i="33"/>
  <c r="BR382" i="33"/>
  <c r="BS382" i="33" s="1"/>
  <c r="BG383" i="33"/>
  <c r="BH383" i="33"/>
  <c r="BO383" i="33"/>
  <c r="BP383" i="33"/>
  <c r="BR383" i="33"/>
  <c r="BS383" i="33" s="1"/>
  <c r="BG384" i="33"/>
  <c r="BH384" i="33"/>
  <c r="BO384" i="33"/>
  <c r="BP384" i="33"/>
  <c r="BR384" i="33"/>
  <c r="BS384" i="33"/>
  <c r="BG385" i="33"/>
  <c r="BH385" i="33"/>
  <c r="BO385" i="33"/>
  <c r="BP385" i="33"/>
  <c r="BR385" i="33"/>
  <c r="BS385" i="33" s="1"/>
  <c r="BG386" i="33"/>
  <c r="BH386" i="33"/>
  <c r="BO386" i="33"/>
  <c r="BP386" i="33"/>
  <c r="BR386" i="33"/>
  <c r="BS386" i="33" s="1"/>
  <c r="BG387" i="33"/>
  <c r="BH387" i="33"/>
  <c r="BO387" i="33"/>
  <c r="BP387" i="33"/>
  <c r="BR387" i="33"/>
  <c r="BS387" i="33"/>
  <c r="BG388" i="33"/>
  <c r="BH388" i="33"/>
  <c r="BO388" i="33"/>
  <c r="BP388" i="33"/>
  <c r="BR388" i="33"/>
  <c r="BS388" i="33" s="1"/>
  <c r="BG389" i="33"/>
  <c r="BH389" i="33"/>
  <c r="BO389" i="33"/>
  <c r="BP389" i="33"/>
  <c r="BR389" i="33"/>
  <c r="BS389" i="33" s="1"/>
  <c r="BG390" i="33"/>
  <c r="BH390" i="33"/>
  <c r="BO390" i="33"/>
  <c r="BP390" i="33"/>
  <c r="BR390" i="33"/>
  <c r="BS390" i="33" s="1"/>
  <c r="BG391" i="33"/>
  <c r="BH391" i="33"/>
  <c r="BO391" i="33"/>
  <c r="BP391" i="33"/>
  <c r="BR391" i="33"/>
  <c r="BS391" i="33" s="1"/>
  <c r="BG392" i="33"/>
  <c r="BH392" i="33"/>
  <c r="BO392" i="33"/>
  <c r="BP392" i="33"/>
  <c r="BR392" i="33"/>
  <c r="BS392" i="33" s="1"/>
  <c r="BG393" i="33"/>
  <c r="BH393" i="33"/>
  <c r="BO393" i="33"/>
  <c r="BP393" i="33"/>
  <c r="BR393" i="33"/>
  <c r="BS393" i="33" s="1"/>
  <c r="BG394" i="33"/>
  <c r="BH394" i="33"/>
  <c r="BO394" i="33"/>
  <c r="BP394" i="33"/>
  <c r="BR394" i="33"/>
  <c r="BS394" i="33" s="1"/>
  <c r="BG395" i="33"/>
  <c r="BH395" i="33"/>
  <c r="BO395" i="33"/>
  <c r="BP395" i="33"/>
  <c r="BR395" i="33"/>
  <c r="BS395" i="33" s="1"/>
  <c r="BG396" i="33"/>
  <c r="BH396" i="33"/>
  <c r="BO396" i="33"/>
  <c r="BP396" i="33"/>
  <c r="BR396" i="33"/>
  <c r="BS396" i="33" s="1"/>
  <c r="BG397" i="33"/>
  <c r="BH397" i="33"/>
  <c r="BO397" i="33"/>
  <c r="BP397" i="33"/>
  <c r="BR397" i="33"/>
  <c r="BS397" i="33" s="1"/>
  <c r="BG398" i="33"/>
  <c r="BH398" i="33"/>
  <c r="BO398" i="33"/>
  <c r="BP398" i="33"/>
  <c r="BR398" i="33"/>
  <c r="BS398" i="33" s="1"/>
  <c r="BG399" i="33"/>
  <c r="BH399" i="33"/>
  <c r="BO399" i="33"/>
  <c r="BP399" i="33"/>
  <c r="BR399" i="33"/>
  <c r="BS399" i="33" s="1"/>
  <c r="BG400" i="33"/>
  <c r="BH400" i="33"/>
  <c r="BO400" i="33"/>
  <c r="BP400" i="33"/>
  <c r="BR400" i="33"/>
  <c r="BS400" i="33" s="1"/>
  <c r="BG401" i="33"/>
  <c r="BH401" i="33"/>
  <c r="BO401" i="33"/>
  <c r="BP401" i="33"/>
  <c r="BR401" i="33"/>
  <c r="BS401" i="33" s="1"/>
  <c r="BG402" i="33"/>
  <c r="BH402" i="33"/>
  <c r="BO402" i="33"/>
  <c r="BP402" i="33"/>
  <c r="BR402" i="33"/>
  <c r="BS402" i="33" s="1"/>
  <c r="BG403" i="33"/>
  <c r="BH403" i="33"/>
  <c r="BO403" i="33"/>
  <c r="BP403" i="33"/>
  <c r="BR403" i="33"/>
  <c r="BS403" i="33" s="1"/>
  <c r="BG404" i="33"/>
  <c r="BH404" i="33"/>
  <c r="BO404" i="33"/>
  <c r="BP404" i="33"/>
  <c r="BR404" i="33"/>
  <c r="BS404" i="33"/>
  <c r="BG405" i="33"/>
  <c r="BH405" i="33"/>
  <c r="BO405" i="33"/>
  <c r="BP405" i="33"/>
  <c r="BR405" i="33"/>
  <c r="BS405" i="33" s="1"/>
  <c r="BG406" i="33"/>
  <c r="BH406" i="33"/>
  <c r="BO406" i="33"/>
  <c r="BP406" i="33"/>
  <c r="BR406" i="33"/>
  <c r="BS406" i="33" s="1"/>
  <c r="BG407" i="33"/>
  <c r="BH407" i="33"/>
  <c r="BO407" i="33"/>
  <c r="BP407" i="33"/>
  <c r="BR407" i="33"/>
  <c r="BS407" i="33"/>
  <c r="BG408" i="33"/>
  <c r="BH408" i="33"/>
  <c r="BO408" i="33"/>
  <c r="BP408" i="33"/>
  <c r="BR408" i="33"/>
  <c r="BS408" i="33" s="1"/>
  <c r="BG409" i="33"/>
  <c r="BH409" i="33"/>
  <c r="BO409" i="33"/>
  <c r="BP409" i="33"/>
  <c r="BR409" i="33"/>
  <c r="BS409" i="33" s="1"/>
  <c r="BG410" i="33"/>
  <c r="BH410" i="33"/>
  <c r="BO410" i="33"/>
  <c r="BP410" i="33"/>
  <c r="BR410" i="33"/>
  <c r="BS410" i="33" s="1"/>
  <c r="BG411" i="33"/>
  <c r="BH411" i="33"/>
  <c r="BO411" i="33"/>
  <c r="BP411" i="33"/>
  <c r="BR411" i="33"/>
  <c r="BS411" i="33" s="1"/>
  <c r="BG412" i="33"/>
  <c r="BH412" i="33"/>
  <c r="BO412" i="33"/>
  <c r="BP412" i="33"/>
  <c r="BR412" i="33"/>
  <c r="BS412" i="33" s="1"/>
  <c r="BG413" i="33"/>
  <c r="BH413" i="33"/>
  <c r="BO413" i="33"/>
  <c r="BP413" i="33"/>
  <c r="BR413" i="33"/>
  <c r="BS413" i="33" s="1"/>
  <c r="BG414" i="33"/>
  <c r="BH414" i="33"/>
  <c r="BO414" i="33"/>
  <c r="BP414" i="33"/>
  <c r="BR414" i="33"/>
  <c r="BS414" i="33" s="1"/>
  <c r="BG415" i="33"/>
  <c r="BH415" i="33"/>
  <c r="BO415" i="33"/>
  <c r="BP415" i="33"/>
  <c r="BR415" i="33"/>
  <c r="BS415" i="33" s="1"/>
  <c r="BG416" i="33"/>
  <c r="BH416" i="33"/>
  <c r="BO416" i="33"/>
  <c r="BP416" i="33"/>
  <c r="BR416" i="33"/>
  <c r="BS416" i="33"/>
  <c r="BG417" i="33"/>
  <c r="BH417" i="33"/>
  <c r="BO417" i="33"/>
  <c r="BP417" i="33"/>
  <c r="BR417" i="33"/>
  <c r="BS417" i="33" s="1"/>
  <c r="BG418" i="33"/>
  <c r="BH418" i="33"/>
  <c r="BO418" i="33"/>
  <c r="BP418" i="33"/>
  <c r="BR418" i="33"/>
  <c r="BS418" i="33" s="1"/>
  <c r="BG419" i="33"/>
  <c r="BH419" i="33"/>
  <c r="BO419" i="33"/>
  <c r="BP419" i="33"/>
  <c r="BR419" i="33"/>
  <c r="BS419" i="33"/>
  <c r="BG420" i="33"/>
  <c r="BH420" i="33"/>
  <c r="BO420" i="33"/>
  <c r="BP420" i="33"/>
  <c r="BR420" i="33"/>
  <c r="BS420" i="33" s="1"/>
  <c r="BG421" i="33"/>
  <c r="BH421" i="33"/>
  <c r="BO421" i="33"/>
  <c r="BP421" i="33"/>
  <c r="BR421" i="33"/>
  <c r="BS421" i="33" s="1"/>
  <c r="BG422" i="33"/>
  <c r="BH422" i="33"/>
  <c r="BO422" i="33"/>
  <c r="BP422" i="33"/>
  <c r="BR422" i="33"/>
  <c r="BS422" i="33" s="1"/>
  <c r="BG423" i="33"/>
  <c r="BH423" i="33"/>
  <c r="BO423" i="33"/>
  <c r="BP423" i="33"/>
  <c r="BR423" i="33"/>
  <c r="BS423" i="33" s="1"/>
  <c r="BG424" i="33"/>
  <c r="BH424" i="33"/>
  <c r="BO424" i="33"/>
  <c r="BP424" i="33"/>
  <c r="BR424" i="33"/>
  <c r="BS424" i="33" s="1"/>
  <c r="BG425" i="33"/>
  <c r="BH425" i="33"/>
  <c r="BO425" i="33"/>
  <c r="BP425" i="33"/>
  <c r="BR425" i="33"/>
  <c r="BS425" i="33" s="1"/>
  <c r="BG426" i="33"/>
  <c r="BH426" i="33"/>
  <c r="BO426" i="33"/>
  <c r="BP426" i="33"/>
  <c r="BR426" i="33"/>
  <c r="BS426" i="33" s="1"/>
  <c r="BG427" i="33"/>
  <c r="BH427" i="33"/>
  <c r="BO427" i="33"/>
  <c r="BP427" i="33"/>
  <c r="BR427" i="33"/>
  <c r="BS427" i="33" s="1"/>
  <c r="BG428" i="33"/>
  <c r="BH428" i="33"/>
  <c r="BO428" i="33"/>
  <c r="BP428" i="33"/>
  <c r="BR428" i="33"/>
  <c r="BS428" i="33" s="1"/>
  <c r="BG429" i="33"/>
  <c r="BH429" i="33"/>
  <c r="BO429" i="33"/>
  <c r="BP429" i="33"/>
  <c r="BR429" i="33"/>
  <c r="BS429" i="33" s="1"/>
  <c r="BG430" i="33"/>
  <c r="BH430" i="33"/>
  <c r="BO430" i="33"/>
  <c r="BP430" i="33"/>
  <c r="BR430" i="33"/>
  <c r="BS430" i="33" s="1"/>
  <c r="BG431" i="33"/>
  <c r="BH431" i="33"/>
  <c r="BO431" i="33"/>
  <c r="BP431" i="33"/>
  <c r="BR431" i="33"/>
  <c r="BS431" i="33" s="1"/>
  <c r="BG432" i="33"/>
  <c r="BH432" i="33"/>
  <c r="BO432" i="33"/>
  <c r="BP432" i="33"/>
  <c r="BR432" i="33"/>
  <c r="BS432" i="33" s="1"/>
  <c r="BG433" i="33"/>
  <c r="BH433" i="33"/>
  <c r="BO433" i="33"/>
  <c r="BP433" i="33"/>
  <c r="BR433" i="33"/>
  <c r="BS433" i="33" s="1"/>
  <c r="BG434" i="33"/>
  <c r="BH434" i="33"/>
  <c r="BO434" i="33"/>
  <c r="BP434" i="33"/>
  <c r="BR434" i="33"/>
  <c r="BS434" i="33" s="1"/>
  <c r="BG435" i="33"/>
  <c r="BH435" i="33"/>
  <c r="BO435" i="33"/>
  <c r="BP435" i="33"/>
  <c r="BR435" i="33"/>
  <c r="BS435" i="33" s="1"/>
  <c r="BG436" i="33"/>
  <c r="BH436" i="33"/>
  <c r="BO436" i="33"/>
  <c r="BP436" i="33"/>
  <c r="BR436" i="33"/>
  <c r="BS436" i="33"/>
  <c r="BG437" i="33"/>
  <c r="BH437" i="33"/>
  <c r="BO437" i="33"/>
  <c r="BP437" i="33"/>
  <c r="BR437" i="33"/>
  <c r="BS437" i="33" s="1"/>
  <c r="BG438" i="33"/>
  <c r="BH438" i="33"/>
  <c r="BO438" i="33"/>
  <c r="BP438" i="33"/>
  <c r="BR438" i="33"/>
  <c r="BS438" i="33" s="1"/>
  <c r="BG439" i="33"/>
  <c r="BH439" i="33"/>
  <c r="BO439" i="33"/>
  <c r="BP439" i="33"/>
  <c r="BR439" i="33"/>
  <c r="BS439" i="33"/>
  <c r="BG440" i="33"/>
  <c r="BH440" i="33"/>
  <c r="BO440" i="33"/>
  <c r="BP440" i="33"/>
  <c r="BR440" i="33"/>
  <c r="BS440" i="33" s="1"/>
  <c r="BG441" i="33"/>
  <c r="BH441" i="33"/>
  <c r="BO441" i="33"/>
  <c r="BP441" i="33"/>
  <c r="BR441" i="33"/>
  <c r="BS441" i="33" s="1"/>
  <c r="BG442" i="33"/>
  <c r="BH442" i="33"/>
  <c r="BO442" i="33"/>
  <c r="BP442" i="33"/>
  <c r="BR442" i="33"/>
  <c r="BS442" i="33" s="1"/>
  <c r="BG443" i="33"/>
  <c r="BH443" i="33"/>
  <c r="BO443" i="33"/>
  <c r="BP443" i="33"/>
  <c r="BR443" i="33"/>
  <c r="BS443" i="33" s="1"/>
  <c r="BG444" i="33"/>
  <c r="BH444" i="33"/>
  <c r="BO444" i="33"/>
  <c r="BP444" i="33"/>
  <c r="BR444" i="33"/>
  <c r="BS444" i="33" s="1"/>
  <c r="BG445" i="33"/>
  <c r="BH445" i="33"/>
  <c r="BO445" i="33"/>
  <c r="BP445" i="33"/>
  <c r="BR445" i="33"/>
  <c r="BS445" i="33" s="1"/>
  <c r="BG446" i="33"/>
  <c r="BH446" i="33"/>
  <c r="BO446" i="33"/>
  <c r="BP446" i="33"/>
  <c r="BR446" i="33"/>
  <c r="BS446" i="33" s="1"/>
  <c r="BG447" i="33"/>
  <c r="BH447" i="33"/>
  <c r="BO447" i="33"/>
  <c r="BP447" i="33"/>
  <c r="BR447" i="33"/>
  <c r="BS447" i="33" s="1"/>
  <c r="BG448" i="33"/>
  <c r="BH448" i="33"/>
  <c r="BO448" i="33"/>
  <c r="BP448" i="33"/>
  <c r="BR448" i="33"/>
  <c r="BS448" i="33"/>
  <c r="BG449" i="33"/>
  <c r="BH449" i="33"/>
  <c r="BO449" i="33"/>
  <c r="BP449" i="33"/>
  <c r="BR449" i="33"/>
  <c r="BS449" i="33" s="1"/>
  <c r="BG450" i="33"/>
  <c r="BH450" i="33"/>
  <c r="BO450" i="33"/>
  <c r="BP450" i="33"/>
  <c r="BR450" i="33"/>
  <c r="BS450" i="33" s="1"/>
  <c r="BG451" i="33"/>
  <c r="BH451" i="33"/>
  <c r="BO451" i="33"/>
  <c r="BP451" i="33"/>
  <c r="BR451" i="33"/>
  <c r="BS451" i="33"/>
  <c r="BG452" i="33"/>
  <c r="BH452" i="33"/>
  <c r="BO452" i="33"/>
  <c r="BP452" i="33"/>
  <c r="BR452" i="33"/>
  <c r="BS452" i="33" s="1"/>
  <c r="BG453" i="33"/>
  <c r="BH453" i="33"/>
  <c r="BO453" i="33"/>
  <c r="BP453" i="33"/>
  <c r="BR453" i="33"/>
  <c r="BS453" i="33" s="1"/>
  <c r="BG454" i="33"/>
  <c r="BH454" i="33"/>
  <c r="BO454" i="33"/>
  <c r="BP454" i="33"/>
  <c r="BR454" i="33"/>
  <c r="BS454" i="33" s="1"/>
  <c r="BG455" i="33"/>
  <c r="BH455" i="33"/>
  <c r="BO455" i="33"/>
  <c r="BP455" i="33"/>
  <c r="BR455" i="33"/>
  <c r="BS455" i="33" s="1"/>
  <c r="BG456" i="33"/>
  <c r="BH456" i="33"/>
  <c r="BO456" i="33"/>
  <c r="BP456" i="33"/>
  <c r="BR456" i="33"/>
  <c r="BS456" i="33" s="1"/>
  <c r="BG457" i="33"/>
  <c r="BH457" i="33"/>
  <c r="BO457" i="33"/>
  <c r="BP457" i="33"/>
  <c r="BR457" i="33"/>
  <c r="BS457" i="33" s="1"/>
  <c r="BG458" i="33"/>
  <c r="BH458" i="33"/>
  <c r="BO458" i="33"/>
  <c r="BP458" i="33"/>
  <c r="BR458" i="33"/>
  <c r="BS458" i="33" s="1"/>
  <c r="BG459" i="33"/>
  <c r="BH459" i="33"/>
  <c r="BO459" i="33"/>
  <c r="BP459" i="33"/>
  <c r="BR459" i="33"/>
  <c r="BS459" i="33" s="1"/>
  <c r="BG460" i="33"/>
  <c r="BH460" i="33"/>
  <c r="BO460" i="33"/>
  <c r="BP460" i="33"/>
  <c r="BR460" i="33"/>
  <c r="BS460" i="33" s="1"/>
  <c r="BG461" i="33"/>
  <c r="BH461" i="33"/>
  <c r="BO461" i="33"/>
  <c r="BP461" i="33"/>
  <c r="BR461" i="33"/>
  <c r="BS461" i="33" s="1"/>
  <c r="BG462" i="33"/>
  <c r="BH462" i="33"/>
  <c r="BO462" i="33"/>
  <c r="BP462" i="33"/>
  <c r="BR462" i="33"/>
  <c r="BS462" i="33" s="1"/>
  <c r="BG463" i="33"/>
  <c r="BH463" i="33"/>
  <c r="BO463" i="33"/>
  <c r="BP463" i="33"/>
  <c r="BR463" i="33"/>
  <c r="BS463" i="33" s="1"/>
  <c r="BG464" i="33"/>
  <c r="BH464" i="33"/>
  <c r="BO464" i="33"/>
  <c r="BP464" i="33"/>
  <c r="BR464" i="33"/>
  <c r="BS464" i="33" s="1"/>
  <c r="BG465" i="33"/>
  <c r="BH465" i="33"/>
  <c r="BO465" i="33"/>
  <c r="BP465" i="33"/>
  <c r="BR465" i="33"/>
  <c r="BS465" i="33" s="1"/>
  <c r="BG466" i="33"/>
  <c r="BH466" i="33"/>
  <c r="BO466" i="33"/>
  <c r="BP466" i="33"/>
  <c r="BR466" i="33"/>
  <c r="BS466" i="33" s="1"/>
  <c r="BG467" i="33"/>
  <c r="BH467" i="33"/>
  <c r="BO467" i="33"/>
  <c r="BP467" i="33"/>
  <c r="BR467" i="33"/>
  <c r="BS467" i="33" s="1"/>
  <c r="BG468" i="33"/>
  <c r="BH468" i="33"/>
  <c r="BO468" i="33"/>
  <c r="BP468" i="33"/>
  <c r="BR468" i="33"/>
  <c r="BS468" i="33"/>
  <c r="BG469" i="33"/>
  <c r="BH469" i="33"/>
  <c r="BO469" i="33"/>
  <c r="BP469" i="33"/>
  <c r="BR469" i="33"/>
  <c r="BS469" i="33" s="1"/>
  <c r="BG470" i="33"/>
  <c r="BH470" i="33"/>
  <c r="BO470" i="33"/>
  <c r="BP470" i="33"/>
  <c r="BR470" i="33"/>
  <c r="BS470" i="33" s="1"/>
  <c r="BG471" i="33"/>
  <c r="BH471" i="33"/>
  <c r="BO471" i="33"/>
  <c r="BP471" i="33"/>
  <c r="BR471" i="33"/>
  <c r="BS471" i="33"/>
  <c r="BG472" i="33"/>
  <c r="BH472" i="33"/>
  <c r="BO472" i="33"/>
  <c r="BP472" i="33"/>
  <c r="BR472" i="33"/>
  <c r="BS472" i="33" s="1"/>
  <c r="BG473" i="33"/>
  <c r="BH473" i="33"/>
  <c r="BO473" i="33"/>
  <c r="BP473" i="33"/>
  <c r="BR473" i="33"/>
  <c r="BS473" i="33" s="1"/>
  <c r="BG474" i="33"/>
  <c r="BH474" i="33"/>
  <c r="BO474" i="33"/>
  <c r="BP474" i="33"/>
  <c r="BR474" i="33"/>
  <c r="BS474" i="33" s="1"/>
  <c r="BG475" i="33"/>
  <c r="BH475" i="33"/>
  <c r="BO475" i="33"/>
  <c r="BP475" i="33"/>
  <c r="BR475" i="33"/>
  <c r="BS475" i="33" s="1"/>
  <c r="BG476" i="33"/>
  <c r="BH476" i="33"/>
  <c r="BO476" i="33"/>
  <c r="BP476" i="33"/>
  <c r="BR476" i="33"/>
  <c r="BS476" i="33" s="1"/>
  <c r="BG477" i="33"/>
  <c r="BH477" i="33"/>
  <c r="BO477" i="33"/>
  <c r="BP477" i="33"/>
  <c r="BR477" i="33"/>
  <c r="BS477" i="33" s="1"/>
  <c r="BG478" i="33"/>
  <c r="BH478" i="33"/>
  <c r="BO478" i="33"/>
  <c r="BP478" i="33"/>
  <c r="BR478" i="33"/>
  <c r="BS478" i="33" s="1"/>
  <c r="BG479" i="33"/>
  <c r="BH479" i="33"/>
  <c r="BO479" i="33"/>
  <c r="BP479" i="33"/>
  <c r="BR479" i="33"/>
  <c r="BS479" i="33" s="1"/>
  <c r="BG480" i="33"/>
  <c r="BH480" i="33"/>
  <c r="BO480" i="33"/>
  <c r="BP480" i="33"/>
  <c r="BR480" i="33"/>
  <c r="BS480" i="33"/>
  <c r="BG481" i="33"/>
  <c r="BH481" i="33"/>
  <c r="BO481" i="33"/>
  <c r="BP481" i="33"/>
  <c r="BR481" i="33"/>
  <c r="BS481" i="33" s="1"/>
  <c r="BG482" i="33"/>
  <c r="BH482" i="33"/>
  <c r="BO482" i="33"/>
  <c r="BP482" i="33"/>
  <c r="BR482" i="33"/>
  <c r="BS482" i="33" s="1"/>
  <c r="BG483" i="33"/>
  <c r="BH483" i="33"/>
  <c r="BO483" i="33"/>
  <c r="BP483" i="33"/>
  <c r="BR483" i="33"/>
  <c r="BS483" i="33"/>
  <c r="BG484" i="33"/>
  <c r="BH484" i="33"/>
  <c r="BO484" i="33"/>
  <c r="BP484" i="33"/>
  <c r="BR484" i="33"/>
  <c r="BS484" i="33" s="1"/>
  <c r="BG485" i="33"/>
  <c r="BH485" i="33"/>
  <c r="BO485" i="33"/>
  <c r="BP485" i="33"/>
  <c r="BR485" i="33"/>
  <c r="BS485" i="33" s="1"/>
  <c r="BG486" i="33"/>
  <c r="BH486" i="33"/>
  <c r="BO486" i="33"/>
  <c r="BP486" i="33"/>
  <c r="BR486" i="33"/>
  <c r="BS486" i="33" s="1"/>
  <c r="BG487" i="33"/>
  <c r="BH487" i="33"/>
  <c r="BO487" i="33"/>
  <c r="BP487" i="33"/>
  <c r="BR487" i="33"/>
  <c r="BS487" i="33" s="1"/>
  <c r="BG488" i="33"/>
  <c r="BH488" i="33"/>
  <c r="BO488" i="33"/>
  <c r="BP488" i="33"/>
  <c r="BR488" i="33"/>
  <c r="BS488" i="33" s="1"/>
  <c r="BG489" i="33"/>
  <c r="BH489" i="33"/>
  <c r="BO489" i="33"/>
  <c r="BP489" i="33"/>
  <c r="BR489" i="33"/>
  <c r="BS489" i="33" s="1"/>
  <c r="BG490" i="33"/>
  <c r="BH490" i="33"/>
  <c r="BO490" i="33"/>
  <c r="BP490" i="33"/>
  <c r="BR490" i="33"/>
  <c r="BS490" i="33" s="1"/>
  <c r="BG491" i="33"/>
  <c r="BH491" i="33"/>
  <c r="BO491" i="33"/>
  <c r="BP491" i="33"/>
  <c r="BR491" i="33"/>
  <c r="BS491" i="33" s="1"/>
  <c r="BG492" i="33"/>
  <c r="BH492" i="33"/>
  <c r="BO492" i="33"/>
  <c r="BP492" i="33"/>
  <c r="BR492" i="33"/>
  <c r="BS492" i="33" s="1"/>
  <c r="BG493" i="33"/>
  <c r="BH493" i="33"/>
  <c r="BO493" i="33"/>
  <c r="BP493" i="33"/>
  <c r="BR493" i="33"/>
  <c r="BS493" i="33" s="1"/>
  <c r="BG494" i="33"/>
  <c r="BH494" i="33"/>
  <c r="BO494" i="33"/>
  <c r="BP494" i="33"/>
  <c r="BR494" i="33"/>
  <c r="BS494" i="33" s="1"/>
  <c r="BG495" i="33"/>
  <c r="BH495" i="33"/>
  <c r="BO495" i="33"/>
  <c r="BP495" i="33"/>
  <c r="BR495" i="33"/>
  <c r="BS495" i="33" s="1"/>
  <c r="BG496" i="33"/>
  <c r="BH496" i="33"/>
  <c r="BO496" i="33"/>
  <c r="BP496" i="33"/>
  <c r="BR496" i="33"/>
  <c r="BS496" i="33" s="1"/>
  <c r="BG497" i="33"/>
  <c r="BH497" i="33"/>
  <c r="BO497" i="33"/>
  <c r="BP497" i="33"/>
  <c r="BR497" i="33"/>
  <c r="BS497" i="33" s="1"/>
  <c r="BG498" i="33"/>
  <c r="BH498" i="33"/>
  <c r="BO498" i="33"/>
  <c r="BP498" i="33"/>
  <c r="BR498" i="33"/>
  <c r="BS498" i="33" s="1"/>
  <c r="BG499" i="33"/>
  <c r="BH499" i="33"/>
  <c r="BO499" i="33"/>
  <c r="BP499" i="33"/>
  <c r="BR499" i="33"/>
  <c r="BS499" i="33" s="1"/>
  <c r="BG500" i="33"/>
  <c r="BH500" i="33"/>
  <c r="BO500" i="33"/>
  <c r="BP500" i="33"/>
  <c r="BR500" i="33"/>
  <c r="BS500" i="33"/>
  <c r="BG501" i="33"/>
  <c r="BH501" i="33"/>
  <c r="BO501" i="33"/>
  <c r="BP501" i="33"/>
  <c r="BR501" i="33"/>
  <c r="BS501" i="33" s="1"/>
  <c r="BG502" i="33"/>
  <c r="BH502" i="33"/>
  <c r="BO502" i="33"/>
  <c r="BP502" i="33"/>
  <c r="BR502" i="33"/>
  <c r="BS502" i="33" s="1"/>
  <c r="BG503" i="33"/>
  <c r="BH503" i="33"/>
  <c r="BO503" i="33"/>
  <c r="BP503" i="33"/>
  <c r="BR503" i="33"/>
  <c r="BS503" i="33"/>
  <c r="BG504" i="33"/>
  <c r="BH504" i="33"/>
  <c r="BO504" i="33"/>
  <c r="BP504" i="33"/>
  <c r="BR504" i="33"/>
  <c r="BS504" i="33" s="1"/>
  <c r="BG505" i="33"/>
  <c r="BH505" i="33"/>
  <c r="BO505" i="33"/>
  <c r="BP505" i="33"/>
  <c r="BR505" i="33"/>
  <c r="BS505" i="33" s="1"/>
  <c r="BG506" i="33"/>
  <c r="BH506" i="33"/>
  <c r="BO506" i="33"/>
  <c r="BP506" i="33"/>
  <c r="BR506" i="33"/>
  <c r="BS506" i="33" s="1"/>
  <c r="BG507" i="33"/>
  <c r="BH507" i="33"/>
  <c r="BO507" i="33"/>
  <c r="BP507" i="33"/>
  <c r="BR507" i="33"/>
  <c r="BS507" i="33" s="1"/>
  <c r="BG508" i="33"/>
  <c r="BH508" i="33"/>
  <c r="BO508" i="33"/>
  <c r="BP508" i="33"/>
  <c r="BR508" i="33"/>
  <c r="BS508" i="33" s="1"/>
  <c r="BG509" i="33"/>
  <c r="BH509" i="33"/>
  <c r="BO509" i="33"/>
  <c r="BP509" i="33"/>
  <c r="BR509" i="33"/>
  <c r="BS509" i="33" s="1"/>
  <c r="BG510" i="33"/>
  <c r="BH510" i="33"/>
  <c r="BO510" i="33"/>
  <c r="BP510" i="33"/>
  <c r="BR510" i="33"/>
  <c r="BS510" i="33" s="1"/>
  <c r="BG511" i="33"/>
  <c r="BH511" i="33"/>
  <c r="BR511" i="33"/>
  <c r="BS511" i="33" s="1"/>
  <c r="BR512" i="33"/>
  <c r="BS512" i="33"/>
  <c r="AL22" i="33"/>
  <c r="AQ35" i="33"/>
  <c r="AP36" i="33" l="1"/>
  <c r="BS9" i="33"/>
  <c r="AP37" i="33"/>
  <c r="BJ15" i="33"/>
  <c r="BK15" i="33" s="1"/>
  <c r="BJ14" i="33"/>
  <c r="BK14" i="33" s="1"/>
  <c r="BJ13" i="33"/>
  <c r="BK13" i="33" s="1"/>
  <c r="BJ12" i="33"/>
  <c r="BK12" i="33" s="1"/>
  <c r="BJ11" i="33"/>
  <c r="BK11" i="33" s="1"/>
  <c r="AQ36" i="33"/>
  <c r="BK9" i="33" l="1"/>
  <c r="AP38" i="33"/>
  <c r="AQ37" i="33"/>
  <c r="Z20" i="33" l="1"/>
  <c r="AP39" i="33"/>
  <c r="AQ38" i="33"/>
  <c r="AP40" i="33" l="1"/>
  <c r="AQ39" i="33"/>
  <c r="AP41" i="33" l="1"/>
  <c r="AQ40" i="33"/>
  <c r="AP42" i="33" l="1"/>
  <c r="AQ41" i="33"/>
  <c r="AP43" i="33" l="1"/>
  <c r="AQ42" i="33"/>
  <c r="AP44" i="33" l="1"/>
  <c r="AQ44" i="33"/>
  <c r="AQ43" i="33"/>
  <c r="H50" i="33" l="1"/>
  <c r="I22" i="35" l="1"/>
  <c r="H22" i="35"/>
  <c r="G22" i="35"/>
  <c r="F22" i="35"/>
  <c r="E22" i="35"/>
  <c r="D22" i="35"/>
  <c r="C22" i="35"/>
  <c r="B22" i="35"/>
  <c r="I23" i="35"/>
  <c r="H23" i="35"/>
  <c r="G23" i="35"/>
  <c r="F23" i="35"/>
  <c r="E23" i="35"/>
  <c r="D23" i="35"/>
  <c r="C23" i="35"/>
  <c r="B23" i="35"/>
  <c r="I24" i="35"/>
  <c r="G24" i="35"/>
  <c r="F24" i="35"/>
  <c r="E24" i="35"/>
  <c r="D24" i="35"/>
  <c r="C24" i="35"/>
  <c r="B24" i="35"/>
  <c r="H24" i="35"/>
  <c r="I25" i="35"/>
  <c r="G25" i="35"/>
  <c r="F25" i="35"/>
  <c r="E25" i="35"/>
  <c r="D25" i="35"/>
  <c r="C25" i="35"/>
  <c r="B25" i="35"/>
  <c r="H25" i="35"/>
  <c r="O19" i="36" l="1" a="1"/>
  <c r="O26" i="36" s="1"/>
  <c r="N19" i="36" a="1"/>
  <c r="N26" i="36" s="1"/>
  <c r="M19" i="36" a="1"/>
  <c r="M26" i="36" s="1"/>
  <c r="L19" i="36" a="1"/>
  <c r="L26" i="36" s="1"/>
  <c r="C5" i="36"/>
  <c r="C4" i="36"/>
  <c r="J1" i="36"/>
  <c r="B5" i="35"/>
  <c r="B4" i="35"/>
  <c r="C1" i="35"/>
  <c r="B9" i="36"/>
  <c r="L19" i="36" l="1"/>
  <c r="L20" i="36"/>
  <c r="L21" i="36"/>
  <c r="M19" i="36"/>
  <c r="M20" i="36"/>
  <c r="N19" i="36"/>
  <c r="L22" i="36"/>
  <c r="M21" i="36"/>
  <c r="N20" i="36"/>
  <c r="O19" i="36"/>
  <c r="L23" i="36"/>
  <c r="M22" i="36"/>
  <c r="N21" i="36"/>
  <c r="O20" i="36"/>
  <c r="L24" i="36"/>
  <c r="M23" i="36"/>
  <c r="N22" i="36"/>
  <c r="O21" i="36"/>
  <c r="L25" i="36"/>
  <c r="M24" i="36"/>
  <c r="N23" i="36"/>
  <c r="O22" i="36"/>
  <c r="M25" i="36"/>
  <c r="N24" i="36"/>
  <c r="O23" i="36"/>
  <c r="N25" i="36"/>
  <c r="O24" i="36"/>
  <c r="O25" i="36"/>
  <c r="P16" i="29" l="1"/>
  <c r="Q16" i="29" s="1"/>
  <c r="R16" i="29" s="1"/>
  <c r="S16" i="29" s="1"/>
  <c r="T16" i="29" s="1"/>
  <c r="F52" i="1"/>
  <c r="G52" i="1"/>
  <c r="H52" i="1"/>
  <c r="I52" i="1"/>
  <c r="J52" i="1"/>
  <c r="I49" i="1" l="1"/>
  <c r="J49" i="1"/>
  <c r="H56" i="1" l="1"/>
  <c r="J53" i="1"/>
  <c r="G53" i="1"/>
  <c r="F53" i="1"/>
  <c r="I56" i="1" l="1"/>
  <c r="I63" i="1" s="1"/>
  <c r="H63" i="1"/>
  <c r="J60" i="1"/>
  <c r="H53" i="1"/>
  <c r="J56" i="1" l="1"/>
  <c r="J63" i="1" s="1"/>
  <c r="H58" i="1"/>
  <c r="I53" i="1"/>
  <c r="G8" i="31"/>
  <c r="H8" i="31" s="1"/>
  <c r="I8" i="31" s="1"/>
  <c r="J8" i="31" s="1"/>
  <c r="K8" i="31" s="1"/>
  <c r="L8" i="31" s="1"/>
  <c r="M8" i="31" s="1"/>
  <c r="N8" i="31" s="1"/>
  <c r="O8" i="31" s="1"/>
  <c r="P8" i="31" s="1"/>
  <c r="Q8" i="31" s="1"/>
  <c r="R8" i="31" s="1"/>
  <c r="S8" i="31" s="1"/>
  <c r="T8" i="31" s="1"/>
  <c r="C14" i="30"/>
  <c r="G8" i="30"/>
  <c r="H8" i="30" s="1"/>
  <c r="I8" i="30" s="1"/>
  <c r="J8" i="30" s="1"/>
  <c r="K8" i="30" s="1"/>
  <c r="L8" i="30" s="1"/>
  <c r="M8" i="30" s="1"/>
  <c r="N8" i="30" s="1"/>
  <c r="O8" i="30" s="1"/>
  <c r="P8" i="30" s="1"/>
  <c r="Q8" i="30" s="1"/>
  <c r="R8" i="30" s="1"/>
  <c r="S8" i="30" s="1"/>
  <c r="T8" i="30" s="1"/>
  <c r="P19" i="29"/>
  <c r="Q19" i="29" s="1"/>
  <c r="R19" i="29" s="1"/>
  <c r="S19" i="29" s="1"/>
  <c r="T19" i="29" s="1"/>
  <c r="P18" i="29"/>
  <c r="Q18" i="29" s="1"/>
  <c r="R18" i="29" s="1"/>
  <c r="S18" i="29" s="1"/>
  <c r="T18" i="29" s="1"/>
  <c r="F51" i="4"/>
  <c r="E52" i="4"/>
  <c r="E53" i="4"/>
  <c r="E51" i="4"/>
  <c r="D54" i="4"/>
  <c r="D52" i="4"/>
  <c r="D53" i="4"/>
  <c r="D51" i="4"/>
  <c r="P12" i="29"/>
  <c r="Q12" i="29"/>
  <c r="R12" i="29"/>
  <c r="S12" i="29"/>
  <c r="T12" i="29"/>
  <c r="P11" i="29"/>
  <c r="Q11" i="29"/>
  <c r="R11" i="29"/>
  <c r="S11" i="29"/>
  <c r="T11" i="29"/>
  <c r="G8" i="29"/>
  <c r="H8" i="29" s="1"/>
  <c r="I8" i="29" s="1"/>
  <c r="J8" i="29" s="1"/>
  <c r="K8" i="29" s="1"/>
  <c r="L8" i="29" s="1"/>
  <c r="M8" i="29" s="1"/>
  <c r="N8" i="29" s="1"/>
  <c r="O8" i="29" s="1"/>
  <c r="P8" i="29" s="1"/>
  <c r="Q8" i="29" s="1"/>
  <c r="R8" i="29" s="1"/>
  <c r="S8" i="29" s="1"/>
  <c r="T8" i="29" s="1"/>
  <c r="G8" i="28"/>
  <c r="H8" i="28" s="1"/>
  <c r="I8" i="28" s="1"/>
  <c r="J8" i="28" s="1"/>
  <c r="K8" i="28" s="1"/>
  <c r="L8" i="28" s="1"/>
  <c r="M8" i="28" s="1"/>
  <c r="N8" i="28" s="1"/>
  <c r="O8" i="28" s="1"/>
  <c r="P8" i="28" s="1"/>
  <c r="Q8" i="28" s="1"/>
  <c r="R8" i="28" s="1"/>
  <c r="S8" i="28" s="1"/>
  <c r="T8" i="28" s="1"/>
  <c r="G8" i="26"/>
  <c r="H8" i="26" s="1"/>
  <c r="I8" i="26" s="1"/>
  <c r="J8" i="26" s="1"/>
  <c r="K8" i="26" s="1"/>
  <c r="L8" i="26" s="1"/>
  <c r="M8" i="26" s="1"/>
  <c r="N8" i="26" s="1"/>
  <c r="O8" i="26" s="1"/>
  <c r="P8" i="26" s="1"/>
  <c r="Q8" i="26" s="1"/>
  <c r="R8" i="26" s="1"/>
  <c r="S8" i="26" s="1"/>
  <c r="T8" i="26" s="1"/>
  <c r="P24" i="1"/>
  <c r="Q24" i="1"/>
  <c r="R24" i="1"/>
  <c r="S24" i="1"/>
  <c r="T24" i="1"/>
  <c r="G8" i="13"/>
  <c r="H8" i="13" s="1"/>
  <c r="I8" i="13" s="1"/>
  <c r="J8" i="13" s="1"/>
  <c r="K8" i="13" s="1"/>
  <c r="L8" i="13" s="1"/>
  <c r="M8" i="13" s="1"/>
  <c r="N8" i="13" s="1"/>
  <c r="O8" i="13" s="1"/>
  <c r="P8" i="13" s="1"/>
  <c r="Q8" i="13" s="1"/>
  <c r="R8" i="13" s="1"/>
  <c r="S8" i="13" s="1"/>
  <c r="T8" i="13" s="1"/>
  <c r="P94" i="1"/>
  <c r="Q94" i="1"/>
  <c r="R94" i="1"/>
  <c r="S94" i="1"/>
  <c r="T94" i="1"/>
  <c r="G8" i="12"/>
  <c r="H8" i="12" s="1"/>
  <c r="I8" i="12" s="1"/>
  <c r="J8" i="12" s="1"/>
  <c r="K8" i="12" s="1"/>
  <c r="L8" i="12" s="1"/>
  <c r="M8" i="12" s="1"/>
  <c r="N8" i="12" s="1"/>
  <c r="O8" i="12" s="1"/>
  <c r="P8" i="12" s="1"/>
  <c r="Q8" i="12" s="1"/>
  <c r="R8" i="12" s="1"/>
  <c r="S8" i="12" s="1"/>
  <c r="T8" i="12" s="1"/>
  <c r="G8" i="1"/>
  <c r="H8" i="1" s="1"/>
  <c r="I8" i="1" s="1"/>
  <c r="J8" i="1" s="1"/>
  <c r="K8" i="1" s="1"/>
  <c r="L8" i="1" s="1"/>
  <c r="M8" i="1" s="1"/>
  <c r="N8" i="1" s="1"/>
  <c r="O8" i="1" s="1"/>
  <c r="P8" i="1" s="1"/>
  <c r="Q8" i="1" s="1"/>
  <c r="R8" i="1" s="1"/>
  <c r="S8" i="1" s="1"/>
  <c r="T8" i="1" s="1"/>
  <c r="G8" i="10"/>
  <c r="H8" i="10" s="1"/>
  <c r="I8" i="10" s="1"/>
  <c r="J8" i="10" s="1"/>
  <c r="K8" i="10" s="1"/>
  <c r="L8" i="10" s="1"/>
  <c r="M8" i="10" s="1"/>
  <c r="N8" i="10" s="1"/>
  <c r="O8" i="10" s="1"/>
  <c r="P8" i="10" s="1"/>
  <c r="Q8" i="10" s="1"/>
  <c r="R8" i="10" s="1"/>
  <c r="S8" i="10" s="1"/>
  <c r="T8" i="10" s="1"/>
  <c r="G8" i="9"/>
  <c r="H8" i="9" s="1"/>
  <c r="I8" i="9" s="1"/>
  <c r="J8" i="9" s="1"/>
  <c r="K8" i="9" s="1"/>
  <c r="L8" i="9" s="1"/>
  <c r="M8" i="9" s="1"/>
  <c r="N8" i="9" s="1"/>
  <c r="O8" i="9" s="1"/>
  <c r="P8" i="9" s="1"/>
  <c r="Q8" i="9" s="1"/>
  <c r="R8" i="9" s="1"/>
  <c r="S8" i="9" s="1"/>
  <c r="T8" i="9" s="1"/>
  <c r="F9" i="11"/>
  <c r="P90" i="1" l="1"/>
  <c r="Q90" i="1" s="1"/>
  <c r="R90" i="1" s="1"/>
  <c r="S90" i="1" s="1"/>
  <c r="T90" i="1" s="1"/>
  <c r="H57" i="1"/>
  <c r="I57" i="1" s="1"/>
  <c r="J57" i="1" s="1"/>
  <c r="I59" i="1"/>
  <c r="G54" i="4"/>
  <c r="I54" i="4" s="1"/>
  <c r="J54" i="4" s="1"/>
  <c r="G53" i="4"/>
  <c r="I53" i="4" s="1"/>
  <c r="J53" i="4" s="1"/>
  <c r="G52" i="4"/>
  <c r="I52" i="4" s="1"/>
  <c r="J52" i="4" s="1"/>
  <c r="G51" i="4"/>
  <c r="I51" i="4" s="1"/>
  <c r="J51" i="4" s="1"/>
  <c r="G8" i="5"/>
  <c r="H8" i="5" s="1"/>
  <c r="I8" i="5" s="1"/>
  <c r="J8" i="5" s="1"/>
  <c r="K8" i="5" s="1"/>
  <c r="L8" i="5" s="1"/>
  <c r="M8" i="5" s="1"/>
  <c r="N8" i="5" s="1"/>
  <c r="O8" i="5" s="1"/>
  <c r="P8" i="5" s="1"/>
  <c r="Q8" i="5" s="1"/>
  <c r="R8" i="5" s="1"/>
  <c r="S8" i="5" s="1"/>
  <c r="T8" i="5" s="1"/>
  <c r="P97" i="1" l="1"/>
  <c r="Q97" i="1" s="1"/>
  <c r="R97" i="1" s="1"/>
  <c r="S97" i="1" s="1"/>
  <c r="T97" i="1" s="1"/>
  <c r="I58" i="1"/>
  <c r="J58" i="1" s="1"/>
  <c r="J59" i="1" s="1"/>
  <c r="I55" i="4"/>
  <c r="J55" i="4"/>
  <c r="I57" i="4" s="1"/>
  <c r="J23" i="1"/>
  <c r="J24" i="1" s="1"/>
  <c r="J98" i="1" s="1"/>
  <c r="K98" i="1" s="1"/>
  <c r="I23" i="1"/>
  <c r="I24" i="1" s="1"/>
  <c r="I98" i="1" s="1"/>
  <c r="H23" i="1"/>
  <c r="H24" i="1" s="1"/>
  <c r="H98" i="1" s="1"/>
  <c r="H100" i="1"/>
  <c r="I100" i="1"/>
  <c r="J100" i="1"/>
  <c r="G100" i="1"/>
  <c r="P14" i="1"/>
  <c r="Q14" i="1" s="1"/>
  <c r="R14" i="1" s="1"/>
  <c r="S14" i="1" s="1"/>
  <c r="T14" i="1" s="1"/>
  <c r="P13" i="1"/>
  <c r="Q13" i="1" s="1"/>
  <c r="R13" i="1" s="1"/>
  <c r="S13" i="1" s="1"/>
  <c r="T13" i="1" s="1"/>
  <c r="J31" i="9"/>
  <c r="I31" i="9"/>
  <c r="G15" i="1"/>
  <c r="H15" i="1"/>
  <c r="I15" i="1"/>
  <c r="J15" i="1"/>
  <c r="F15" i="1"/>
  <c r="H42" i="1" l="1"/>
  <c r="L98" i="1"/>
  <c r="K92" i="1"/>
  <c r="I42" i="1"/>
  <c r="I47" i="1" s="1"/>
  <c r="J42" i="1"/>
  <c r="K42" i="1" s="1"/>
  <c r="L42" i="1" s="1"/>
  <c r="M42" i="1" s="1"/>
  <c r="N42" i="1" s="1"/>
  <c r="O42" i="1" s="1"/>
  <c r="G42" i="1"/>
  <c r="H47" i="1" s="1"/>
  <c r="I58" i="4"/>
  <c r="H64" i="1"/>
  <c r="J66" i="1"/>
  <c r="J65" i="1"/>
  <c r="J67" i="1"/>
  <c r="I64" i="1"/>
  <c r="I66" i="1"/>
  <c r="H65" i="1"/>
  <c r="I65" i="1"/>
  <c r="J64" i="1"/>
  <c r="P16" i="1"/>
  <c r="K112" i="1" l="1"/>
  <c r="K113" i="1" s="1"/>
  <c r="K110" i="1"/>
  <c r="K111" i="1" s="1"/>
  <c r="M98" i="1"/>
  <c r="L92" i="1"/>
  <c r="J47" i="1"/>
  <c r="Q16" i="1"/>
  <c r="P12" i="1"/>
  <c r="L110" i="1" l="1"/>
  <c r="L111" i="1" s="1"/>
  <c r="L112" i="1"/>
  <c r="L113" i="1" s="1"/>
  <c r="N98" i="1"/>
  <c r="M92" i="1"/>
  <c r="K27" i="1"/>
  <c r="P15" i="1"/>
  <c r="R16" i="1"/>
  <c r="Q12" i="1"/>
  <c r="M112" i="1" l="1"/>
  <c r="M113" i="1" s="1"/>
  <c r="M110" i="1"/>
  <c r="M111" i="1" s="1"/>
  <c r="O98" i="1"/>
  <c r="O92" i="1" s="1"/>
  <c r="O112" i="1" s="1"/>
  <c r="N92" i="1"/>
  <c r="L27" i="1"/>
  <c r="P10" i="29"/>
  <c r="P13" i="29" s="1"/>
  <c r="P15" i="29" s="1"/>
  <c r="R12" i="1"/>
  <c r="Q15" i="1"/>
  <c r="S16" i="1"/>
  <c r="N112" i="1" l="1"/>
  <c r="N113" i="1" s="1"/>
  <c r="N110" i="1"/>
  <c r="N111" i="1" s="1"/>
  <c r="M27" i="1"/>
  <c r="Q10" i="29"/>
  <c r="Q13" i="29" s="1"/>
  <c r="P80" i="1"/>
  <c r="S12" i="1"/>
  <c r="R15" i="1"/>
  <c r="T16" i="1"/>
  <c r="O27" i="1" l="1"/>
  <c r="N27" i="1"/>
  <c r="R10" i="29"/>
  <c r="R13" i="29" s="1"/>
  <c r="R15" i="29" s="1"/>
  <c r="Q15" i="29"/>
  <c r="P17" i="29"/>
  <c r="Q80" i="1"/>
  <c r="P74" i="1"/>
  <c r="T12" i="1"/>
  <c r="S15" i="1"/>
  <c r="P98" i="1" l="1"/>
  <c r="S10" i="29"/>
  <c r="S13" i="29" s="1"/>
  <c r="S15" i="29" s="1"/>
  <c r="P20" i="29"/>
  <c r="Q17" i="29"/>
  <c r="R80" i="1"/>
  <c r="Q74" i="1"/>
  <c r="T15" i="1"/>
  <c r="Q98" i="1" l="1"/>
  <c r="P92" i="1"/>
  <c r="T10" i="29"/>
  <c r="T13" i="29" s="1"/>
  <c r="T15" i="29" s="1"/>
  <c r="R17" i="29"/>
  <c r="Q20" i="29"/>
  <c r="P93" i="1"/>
  <c r="P28" i="1"/>
  <c r="S80" i="1"/>
  <c r="R74" i="1"/>
  <c r="R98" i="1" l="1"/>
  <c r="Q92" i="1"/>
  <c r="R20" i="29"/>
  <c r="S17" i="29"/>
  <c r="Q93" i="1"/>
  <c r="T80" i="1"/>
  <c r="T74" i="1" s="1"/>
  <c r="S74" i="1"/>
  <c r="Q28" i="1"/>
  <c r="P32" i="1"/>
  <c r="S98" i="1" l="1"/>
  <c r="R92" i="1"/>
  <c r="S20" i="29"/>
  <c r="T17" i="29"/>
  <c r="T20" i="29" s="1"/>
  <c r="R93" i="1"/>
  <c r="Q32" i="1"/>
  <c r="R28" i="1"/>
  <c r="T98" i="1" l="1"/>
  <c r="T92" i="1" s="1"/>
  <c r="S92" i="1"/>
  <c r="T93" i="1"/>
  <c r="S93" i="1"/>
  <c r="T28" i="1"/>
  <c r="S28" i="1"/>
  <c r="R32" i="1"/>
  <c r="S32" i="1" l="1"/>
  <c r="T32" i="1"/>
  <c r="O85" i="1" l="1"/>
  <c r="O79" i="1" s="1"/>
  <c r="O73" i="1" s="1"/>
  <c r="P83" i="1"/>
  <c r="P85" i="1" s="1"/>
  <c r="Q83" i="1"/>
  <c r="Q85" i="1" s="1"/>
  <c r="R83" i="1"/>
  <c r="R84" i="1" s="1"/>
  <c r="S83" i="1"/>
  <c r="S85" i="1" s="1"/>
  <c r="T83" i="1"/>
  <c r="T85" i="1" s="1"/>
  <c r="Q84" i="1"/>
  <c r="R85" i="1" l="1"/>
  <c r="O84" i="1"/>
  <c r="O78" i="1" s="1"/>
  <c r="O72" i="1" s="1"/>
  <c r="O70" i="1" s="1"/>
  <c r="O104" i="1" s="1"/>
  <c r="P84" i="1"/>
  <c r="T84" i="1"/>
  <c r="S84" i="1"/>
  <c r="O110" i="1" l="1"/>
  <c r="O111" i="1" s="1"/>
  <c r="O113" i="1"/>
  <c r="O105" i="1"/>
  <c r="P78" i="1"/>
  <c r="P77" i="1" l="1"/>
  <c r="P72" i="1"/>
  <c r="Q78" i="1"/>
  <c r="P79" i="1" l="1"/>
  <c r="Q72" i="1"/>
  <c r="R78" i="1"/>
  <c r="P71" i="1"/>
  <c r="Q77" i="1"/>
  <c r="R72" i="1" l="1"/>
  <c r="S78" i="1"/>
  <c r="Q71" i="1"/>
  <c r="R77" i="1"/>
  <c r="P73" i="1"/>
  <c r="P70" i="1" s="1"/>
  <c r="Q79" i="1"/>
  <c r="S72" i="1" l="1"/>
  <c r="T78" i="1"/>
  <c r="T72" i="1" s="1"/>
  <c r="R71" i="1"/>
  <c r="S77" i="1"/>
  <c r="Q73" i="1"/>
  <c r="Q70" i="1" s="1"/>
  <c r="R79" i="1"/>
  <c r="S71" i="1" l="1"/>
  <c r="T77" i="1"/>
  <c r="T71" i="1" s="1"/>
  <c r="R73" i="1"/>
  <c r="R70" i="1" s="1"/>
  <c r="S79" i="1"/>
  <c r="S73" i="1" l="1"/>
  <c r="S70" i="1" s="1"/>
  <c r="T79" i="1"/>
  <c r="T73" i="1" s="1"/>
  <c r="T70" i="1" s="1"/>
  <c r="P31" i="1" l="1"/>
  <c r="Q31" i="1"/>
  <c r="R31" i="1"/>
  <c r="S31" i="1"/>
  <c r="T31" i="1"/>
  <c r="T30" i="1" l="1"/>
  <c r="S30" i="1"/>
  <c r="P104" i="1"/>
  <c r="Q91" i="1"/>
  <c r="Q89" i="1" s="1"/>
  <c r="Q104" i="1"/>
  <c r="Q30" i="1"/>
  <c r="T104" i="1"/>
  <c r="T91" i="1"/>
  <c r="T89" i="1" s="1"/>
  <c r="S27" i="1"/>
  <c r="S104" i="1"/>
  <c r="S91" i="1"/>
  <c r="S89" i="1" s="1"/>
  <c r="R104" i="1"/>
  <c r="R91" i="1"/>
  <c r="R89" i="1" s="1"/>
  <c r="P91" i="1"/>
  <c r="P89" i="1" s="1"/>
  <c r="R30" i="1"/>
  <c r="T27" i="1"/>
  <c r="P30" i="1"/>
  <c r="R27" i="1"/>
  <c r="Q27" i="1"/>
  <c r="P27" i="1"/>
  <c r="S105" i="1" l="1"/>
  <c r="S110" i="1"/>
  <c r="S111" i="1" s="1"/>
  <c r="P105" i="1"/>
  <c r="P110" i="1"/>
  <c r="P111" i="1" s="1"/>
  <c r="Q105" i="1"/>
  <c r="Q110" i="1"/>
  <c r="Q111" i="1" s="1"/>
  <c r="T105" i="1"/>
  <c r="T110" i="1"/>
  <c r="T111" i="1" s="1"/>
  <c r="R105" i="1"/>
  <c r="R110" i="1"/>
  <c r="R111" i="1" s="1"/>
  <c r="S47" i="1"/>
  <c r="Q107" i="1"/>
  <c r="R108" i="1" s="1"/>
  <c r="Q47" i="1"/>
  <c r="T47" i="1"/>
  <c r="P47" i="1"/>
  <c r="T107" i="1"/>
  <c r="R47" i="1"/>
  <c r="S107" i="1" l="1"/>
  <c r="T108" i="1" s="1"/>
  <c r="P107" i="1"/>
  <c r="Q108" i="1" s="1"/>
  <c r="R107" i="1"/>
  <c r="S108" i="1" s="1"/>
  <c r="P108" i="1"/>
  <c r="K9" i="11" l="1"/>
  <c r="K11" i="11" l="1"/>
  <c r="K10" i="11"/>
  <c r="K10" i="9"/>
  <c r="L10" i="9"/>
  <c r="M10" i="9"/>
  <c r="N10" i="9"/>
  <c r="O10" i="9"/>
  <c r="K14" i="9"/>
  <c r="L14" i="9"/>
  <c r="M14" i="9"/>
  <c r="N14" i="9"/>
  <c r="O14" i="9"/>
  <c r="K20" i="9"/>
  <c r="L20" i="9"/>
  <c r="M20" i="9"/>
  <c r="N20" i="9"/>
  <c r="O20" i="9"/>
  <c r="K28" i="9"/>
  <c r="L28" i="9"/>
  <c r="M28" i="9"/>
  <c r="N28" i="9"/>
  <c r="O28" i="9"/>
  <c r="K32" i="9"/>
  <c r="L32" i="9"/>
  <c r="M32" i="9"/>
  <c r="N32" i="9"/>
  <c r="O32" i="9"/>
  <c r="K34" i="9"/>
  <c r="L34" i="9"/>
  <c r="M34" i="9"/>
  <c r="N34" i="9"/>
  <c r="O34" i="9"/>
  <c r="K36" i="9"/>
  <c r="L36" i="9"/>
  <c r="M36" i="9"/>
  <c r="N36" i="9"/>
  <c r="O36" i="9"/>
  <c r="K38" i="9"/>
  <c r="L38" i="9"/>
  <c r="M38" i="9"/>
  <c r="N38" i="9"/>
  <c r="O38" i="9"/>
  <c r="K11" i="10"/>
  <c r="L11" i="10"/>
  <c r="M11" i="10"/>
  <c r="N11" i="10"/>
  <c r="O11" i="10"/>
  <c r="K17" i="10"/>
  <c r="L17" i="10"/>
  <c r="M17" i="10"/>
  <c r="N17" i="10"/>
  <c r="O17" i="10"/>
  <c r="K25" i="10"/>
  <c r="L25" i="10"/>
  <c r="M25" i="10"/>
  <c r="N25" i="10"/>
  <c r="O25" i="10"/>
  <c r="K28" i="10"/>
  <c r="L28" i="10"/>
  <c r="M28" i="10"/>
  <c r="N28" i="10"/>
  <c r="O28" i="10"/>
  <c r="K37" i="10"/>
  <c r="L37" i="10"/>
  <c r="M37" i="10"/>
  <c r="N37" i="10"/>
  <c r="O37" i="10"/>
  <c r="K39" i="10"/>
  <c r="L39" i="10"/>
  <c r="M39" i="10"/>
  <c r="N39" i="10"/>
  <c r="O39" i="10"/>
  <c r="L40" i="10"/>
  <c r="M40" i="10"/>
  <c r="N40" i="10"/>
  <c r="O40" i="10"/>
  <c r="K41" i="10"/>
  <c r="L41" i="10"/>
  <c r="M41" i="10"/>
  <c r="N41" i="10"/>
  <c r="O41" i="10"/>
  <c r="K10" i="30"/>
  <c r="L10" i="30"/>
  <c r="M10" i="30"/>
  <c r="N10" i="30"/>
  <c r="O10" i="30"/>
  <c r="L15" i="30"/>
  <c r="M15" i="30"/>
  <c r="N15" i="30"/>
  <c r="O15" i="30"/>
  <c r="K17" i="30"/>
  <c r="L17" i="30"/>
  <c r="M17" i="30"/>
  <c r="N17" i="30"/>
  <c r="O17" i="30"/>
  <c r="K23" i="30"/>
  <c r="L23" i="30"/>
  <c r="M23" i="30"/>
  <c r="N23" i="30"/>
  <c r="O23" i="30"/>
  <c r="K26" i="30"/>
  <c r="L26" i="30"/>
  <c r="M26" i="30"/>
  <c r="N26" i="30"/>
  <c r="O26" i="30"/>
  <c r="K27" i="30"/>
  <c r="L27" i="30"/>
  <c r="M27" i="30"/>
  <c r="N27" i="30"/>
  <c r="O27" i="30"/>
  <c r="J28" i="30"/>
  <c r="K28" i="30"/>
  <c r="L28" i="30"/>
  <c r="M28" i="30"/>
  <c r="N28" i="30"/>
  <c r="O28" i="30"/>
  <c r="K43" i="30"/>
  <c r="L43" i="30"/>
  <c r="M43" i="30"/>
  <c r="N43" i="30"/>
  <c r="O43" i="30"/>
  <c r="K45" i="30"/>
  <c r="L45" i="30"/>
  <c r="M45" i="30"/>
  <c r="N45" i="30"/>
  <c r="O45" i="30"/>
  <c r="K55" i="30"/>
  <c r="L55" i="30"/>
  <c r="M55" i="30"/>
  <c r="N55" i="30"/>
  <c r="O55" i="30"/>
  <c r="K57" i="30"/>
  <c r="L57" i="30"/>
  <c r="M57" i="30"/>
  <c r="N57" i="30"/>
  <c r="O57" i="30"/>
  <c r="K59" i="30"/>
  <c r="L59" i="30"/>
  <c r="M59" i="30"/>
  <c r="N59" i="30"/>
  <c r="O59" i="30"/>
  <c r="K11" i="28"/>
  <c r="L11" i="28"/>
  <c r="M11" i="28"/>
  <c r="N11" i="28"/>
  <c r="O11" i="28"/>
  <c r="K17" i="28"/>
  <c r="L17" i="28"/>
  <c r="M17" i="28"/>
  <c r="N17" i="28"/>
  <c r="O17" i="28"/>
  <c r="K20" i="28"/>
  <c r="L20" i="28"/>
  <c r="M20" i="28"/>
  <c r="N20" i="28"/>
  <c r="O20" i="28"/>
  <c r="K22" i="28"/>
  <c r="L22" i="28"/>
  <c r="M22" i="28"/>
  <c r="N22" i="28"/>
  <c r="O22" i="28"/>
  <c r="K24" i="28"/>
  <c r="L24" i="28"/>
  <c r="M24" i="28"/>
  <c r="N24" i="28"/>
  <c r="O24" i="28"/>
  <c r="K27" i="28"/>
  <c r="L27" i="28"/>
  <c r="M27" i="28"/>
  <c r="N27" i="28"/>
  <c r="O27" i="28"/>
  <c r="K28" i="28"/>
  <c r="L28" i="28"/>
  <c r="M28" i="28"/>
  <c r="N28" i="28"/>
  <c r="O28" i="28"/>
  <c r="K25" i="5"/>
  <c r="L25" i="5"/>
  <c r="M25" i="5"/>
  <c r="N25" i="5"/>
  <c r="O25" i="5"/>
  <c r="K26" i="5"/>
  <c r="L26" i="5"/>
  <c r="M26" i="5"/>
  <c r="N26" i="5"/>
  <c r="O26" i="5"/>
  <c r="K28" i="5"/>
  <c r="L28" i="5"/>
  <c r="M28" i="5"/>
  <c r="N28" i="5"/>
  <c r="O28" i="5"/>
  <c r="K30" i="5"/>
  <c r="L30" i="5"/>
  <c r="M30" i="5"/>
  <c r="N30" i="5"/>
  <c r="O30" i="5"/>
  <c r="V30" i="5"/>
  <c r="K31" i="5"/>
  <c r="L31" i="5"/>
  <c r="M31" i="5"/>
  <c r="N31" i="5"/>
  <c r="O31" i="5"/>
  <c r="K34" i="5"/>
  <c r="L34" i="5"/>
  <c r="M34" i="5"/>
  <c r="N34" i="5"/>
  <c r="O34" i="5"/>
  <c r="K37" i="5"/>
  <c r="L37" i="5"/>
  <c r="M37" i="5"/>
  <c r="N37" i="5"/>
  <c r="O37" i="5"/>
  <c r="V3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Windows 사용자</author>
  </authors>
  <commentList>
    <comment ref="K6" authorId="0" shapeId="0" xr:uid="{00000000-0006-0000-0100-000001000000}">
      <text>
        <r>
          <rPr>
            <b/>
            <sz val="9"/>
            <color indexed="81"/>
            <rFont val="Tahoma"/>
            <family val="2"/>
          </rPr>
          <t>Wall Street Training:</t>
        </r>
        <r>
          <rPr>
            <sz val="9"/>
            <color indexed="81"/>
            <rFont val="Tahoma"/>
            <family val="2"/>
          </rPr>
          <t xml:space="preserve">
0 = Off
1 = On</t>
        </r>
      </text>
    </comment>
    <comment ref="K12" authorId="1" shapeId="0" xr:uid="{00000000-0006-0000-0100-000002000000}">
      <text>
        <r>
          <rPr>
            <b/>
            <sz val="9"/>
            <color indexed="81"/>
            <rFont val="Tahoma"/>
            <family val="2"/>
          </rPr>
          <t>WST:</t>
        </r>
        <r>
          <rPr>
            <sz val="9"/>
            <color indexed="81"/>
            <rFont val="Tahoma"/>
            <family val="2"/>
          </rPr>
          <t xml:space="preserve">
As of 2017/12/31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사용자</author>
    <author>김성민</author>
    <author>채현기</author>
    <author>DH</author>
  </authors>
  <commentList>
    <comment ref="B23" authorId="0" shapeId="0" xr:uid="{00000000-0006-0000-0200-000001000000}">
      <text>
        <r>
          <rPr>
            <b/>
            <sz val="9"/>
            <color indexed="81"/>
            <rFont val="Tahoma"/>
            <family val="2"/>
          </rPr>
          <t>WST:</t>
        </r>
        <r>
          <rPr>
            <sz val="9"/>
            <color indexed="81"/>
            <rFont val="Tahoma"/>
            <family val="2"/>
          </rPr>
          <t xml:space="preserve">
Assumed all to be Domestic Compny Operated Stores closed</t>
        </r>
      </text>
    </comment>
    <comment ref="K31" authorId="1" shapeId="0" xr:uid="{00000000-0006-0000-0200-000002000000}">
      <text>
        <r>
          <rPr>
            <b/>
            <sz val="9"/>
            <color indexed="81"/>
            <rFont val="Tahoma"/>
            <family val="2"/>
          </rPr>
          <t>WST:</t>
        </r>
        <r>
          <rPr>
            <sz val="9"/>
            <color indexed="81"/>
            <rFont val="Tahoma"/>
            <family val="2"/>
          </rPr>
          <t xml:space="preserve">
Assume mid-year opening 
</t>
        </r>
      </text>
    </comment>
    <comment ref="K32" authorId="1" shapeId="0" xr:uid="{00000000-0006-0000-0200-000003000000}">
      <text>
        <r>
          <rPr>
            <b/>
            <sz val="9"/>
            <color indexed="81"/>
            <rFont val="Tahoma"/>
            <family val="2"/>
          </rPr>
          <t>WST:</t>
        </r>
        <r>
          <rPr>
            <sz val="9"/>
            <color indexed="81"/>
            <rFont val="Tahoma"/>
            <family val="2"/>
          </rPr>
          <t xml:space="preserve">
Company guidance: $12-13m</t>
        </r>
      </text>
    </comment>
    <comment ref="F33" authorId="2" shapeId="0" xr:uid="{8BD5D45C-8892-4B37-BC37-6058D6B28A8F}">
      <text>
        <r>
          <rPr>
            <b/>
            <sz val="9"/>
            <color indexed="81"/>
            <rFont val="돋움"/>
            <family val="3"/>
            <charset val="129"/>
          </rPr>
          <t>채현기</t>
        </r>
        <r>
          <rPr>
            <b/>
            <sz val="9"/>
            <color indexed="81"/>
            <rFont val="Tahoma"/>
            <family val="2"/>
          </rPr>
          <t>:</t>
        </r>
        <r>
          <rPr>
            <sz val="9"/>
            <color indexed="81"/>
            <rFont val="Tahoma"/>
            <family val="2"/>
          </rPr>
          <t xml:space="preserve">
Licensing Revenue/Licensed Location Revenue
</t>
        </r>
      </text>
    </comment>
    <comment ref="B39" authorId="0" shapeId="0" xr:uid="{00000000-0006-0000-0200-000004000000}">
      <text>
        <r>
          <rPr>
            <b/>
            <sz val="9"/>
            <color indexed="81"/>
            <rFont val="Tahoma"/>
            <family val="2"/>
          </rPr>
          <t>WST:</t>
        </r>
        <r>
          <rPr>
            <sz val="9"/>
            <color indexed="81"/>
            <rFont val="Tahoma"/>
            <family val="2"/>
          </rPr>
          <t xml:space="preserve">
Per Store Revenue
units in USD '000</t>
        </r>
      </text>
    </comment>
    <comment ref="D39" authorId="2" shapeId="0" xr:uid="{E5B67924-CE90-4160-9CAD-103EDD4E99AF}">
      <text>
        <r>
          <rPr>
            <b/>
            <sz val="9"/>
            <color indexed="81"/>
            <rFont val="돋움"/>
            <family val="3"/>
            <charset val="129"/>
          </rPr>
          <t>채현기</t>
        </r>
        <r>
          <rPr>
            <b/>
            <sz val="9"/>
            <color indexed="81"/>
            <rFont val="Tahoma"/>
            <family val="2"/>
          </rPr>
          <t>:</t>
        </r>
        <r>
          <rPr>
            <sz val="9"/>
            <color indexed="81"/>
            <rFont val="Tahoma"/>
            <family val="2"/>
          </rPr>
          <t xml:space="preserve">
</t>
        </r>
        <r>
          <rPr>
            <sz val="9"/>
            <color indexed="81"/>
            <rFont val="돋움"/>
            <family val="3"/>
            <charset val="129"/>
          </rPr>
          <t>분모에</t>
        </r>
        <r>
          <rPr>
            <sz val="9"/>
            <color indexed="81"/>
            <rFont val="Tahoma"/>
            <family val="2"/>
          </rPr>
          <t xml:space="preserve"> </t>
        </r>
        <r>
          <rPr>
            <sz val="9"/>
            <color indexed="81"/>
            <rFont val="돋움"/>
            <family val="3"/>
            <charset val="129"/>
          </rPr>
          <t>들어가는</t>
        </r>
        <r>
          <rPr>
            <sz val="9"/>
            <color indexed="81"/>
            <rFont val="Tahoma"/>
            <family val="2"/>
          </rPr>
          <t xml:space="preserve"> </t>
        </r>
        <r>
          <rPr>
            <sz val="9"/>
            <color indexed="81"/>
            <rFont val="돋움"/>
            <family val="3"/>
            <charset val="129"/>
          </rPr>
          <t>점포수는</t>
        </r>
        <r>
          <rPr>
            <sz val="9"/>
            <color indexed="81"/>
            <rFont val="Tahoma"/>
            <family val="2"/>
          </rPr>
          <t xml:space="preserve"> </t>
        </r>
        <r>
          <rPr>
            <sz val="9"/>
            <color indexed="81"/>
            <rFont val="돋움"/>
            <family val="3"/>
            <charset val="129"/>
          </rPr>
          <t>당해</t>
        </r>
        <r>
          <rPr>
            <sz val="9"/>
            <color indexed="81"/>
            <rFont val="Tahoma"/>
            <family val="2"/>
          </rPr>
          <t>+</t>
        </r>
        <r>
          <rPr>
            <sz val="9"/>
            <color indexed="81"/>
            <rFont val="돋움"/>
            <family val="3"/>
            <charset val="129"/>
          </rPr>
          <t>직전년</t>
        </r>
        <r>
          <rPr>
            <sz val="9"/>
            <color indexed="81"/>
            <rFont val="Tahoma"/>
            <family val="2"/>
          </rPr>
          <t xml:space="preserve"> 2yr avg
</t>
        </r>
      </text>
    </comment>
    <comment ref="K40" authorId="1" shapeId="0" xr:uid="{00000000-0006-0000-0200-000005000000}">
      <text>
        <r>
          <rPr>
            <b/>
            <sz val="9"/>
            <color indexed="81"/>
            <rFont val="Tahoma"/>
            <family val="2"/>
          </rPr>
          <t>WST:</t>
        </r>
        <r>
          <rPr>
            <sz val="9"/>
            <color indexed="81"/>
            <rFont val="Tahoma"/>
            <family val="2"/>
          </rPr>
          <t xml:space="preserve">
While we believe that there is still ample room to grow our Shack-base in our hometown of New York City, the majority of our domestic company-operated Shack growth is expected to occur outside of New York City. Because our historical average unit volumes ("AUVs") have been higher, due in large part to our concentration in urban markets, historical domestic company-operated AUVs are not a good measure of expected sales at new Shacks. As we continue to expand outside of our established markets, we continue to expect our company-wide AUV for all domestic company-operated Shacks to decline over time as Shacks of various unit volumes are introduced into the system. For fiscal 2018, </t>
        </r>
        <r>
          <rPr>
            <b/>
            <sz val="9"/>
            <color indexed="81"/>
            <rFont val="Tahoma"/>
            <family val="2"/>
          </rPr>
          <t>we expect domestic company-operated AUV to be between $4.1 to $4.2 million</t>
        </r>
        <r>
          <rPr>
            <sz val="9"/>
            <color indexed="81"/>
            <rFont val="Tahoma"/>
            <family val="2"/>
          </rPr>
          <t>.</t>
        </r>
      </text>
    </comment>
    <comment ref="I49" authorId="1" shapeId="0" xr:uid="{00000000-0006-0000-0200-000006000000}">
      <text>
        <r>
          <rPr>
            <b/>
            <sz val="9"/>
            <color indexed="81"/>
            <rFont val="Tahoma"/>
            <family val="2"/>
          </rPr>
          <t>WST:</t>
        </r>
        <r>
          <rPr>
            <sz val="9"/>
            <color indexed="81"/>
            <rFont val="Tahoma"/>
            <family val="2"/>
          </rPr>
          <t xml:space="preserve">
Mix of 3.1% in price and sales mix and increased guest traffic of 1.1%</t>
        </r>
      </text>
    </comment>
    <comment ref="J49" authorId="1" shapeId="0" xr:uid="{00000000-0006-0000-0200-000007000000}">
      <text>
        <r>
          <rPr>
            <b/>
            <sz val="9"/>
            <color indexed="81"/>
            <rFont val="Tahoma"/>
            <family val="2"/>
          </rPr>
          <t>WST:</t>
        </r>
        <r>
          <rPr>
            <sz val="9"/>
            <color indexed="81"/>
            <rFont val="Tahoma"/>
            <family val="2"/>
          </rPr>
          <t xml:space="preserve">
Decreased guest traffic of 3.2%, partially offset by a combined increase of 2.0% in price and sales mix</t>
        </r>
      </text>
    </comment>
    <comment ref="G52" authorId="1" shapeId="0" xr:uid="{00000000-0006-0000-0200-000008000000}">
      <text>
        <r>
          <rPr>
            <b/>
            <sz val="9"/>
            <color indexed="81"/>
            <rFont val="Tahoma"/>
            <family val="2"/>
          </rPr>
          <t>WST:</t>
        </r>
        <r>
          <rPr>
            <sz val="9"/>
            <color indexed="81"/>
            <rFont val="Tahoma"/>
            <family val="2"/>
          </rPr>
          <t xml:space="preserve">
Shacks in the comparable Shack base contributed $2.3 million of this increase while new domestic company-operated Shacks contributed $31.1 million</t>
        </r>
      </text>
    </comment>
    <comment ref="H53" authorId="1" shapeId="0" xr:uid="{00000000-0006-0000-0200-000009000000}">
      <text>
        <r>
          <rPr>
            <b/>
            <sz val="9"/>
            <color indexed="81"/>
            <rFont val="Tahoma"/>
            <family val="2"/>
          </rPr>
          <t>WST:</t>
        </r>
        <r>
          <rPr>
            <sz val="9"/>
            <color indexed="81"/>
            <rFont val="Tahoma"/>
            <family val="2"/>
          </rPr>
          <t xml:space="preserve">
$63.9 million, offset by the impact of 53rd week in fiscal 2014, which contributed $2.8 million in Shack sales in the prior year</t>
        </r>
      </text>
    </comment>
    <comment ref="I53" authorId="1" shapeId="0" xr:uid="{00000000-0006-0000-0200-00000A000000}">
      <text>
        <r>
          <rPr>
            <b/>
            <sz val="9"/>
            <color indexed="81"/>
            <rFont val="Tahoma"/>
            <family val="2"/>
          </rPr>
          <t>WST:</t>
        </r>
        <r>
          <rPr>
            <sz val="9"/>
            <color indexed="81"/>
            <rFont val="Tahoma"/>
            <family val="2"/>
          </rPr>
          <t xml:space="preserve">
Shacks in the comparable Shack base contributed $5.2 million of this increase while those domestic company-operated Shacks open less than a year contributed $67.3 million. Additionally, we had $3.1 million of incremental sales from our Madison Square Park Shack which was temporarily closed in the prior year for renovations</t>
        </r>
      </text>
    </comment>
    <comment ref="J53" authorId="3" shapeId="0" xr:uid="{00000000-0006-0000-0200-00000B000000}">
      <text>
        <r>
          <rPr>
            <b/>
            <sz val="9"/>
            <color indexed="81"/>
            <rFont val="Tahoma"/>
            <family val="2"/>
          </rPr>
          <t>WST:</t>
        </r>
        <r>
          <rPr>
            <sz val="9"/>
            <color indexed="81"/>
            <rFont val="Tahoma"/>
            <family val="2"/>
          </rPr>
          <t xml:space="preserve">
10K 
53pg
Shacks outside of the comparable Shack base contributed</t>
        </r>
        <r>
          <rPr>
            <b/>
            <sz val="9"/>
            <color indexed="81"/>
            <rFont val="Tahoma"/>
            <family val="2"/>
          </rPr>
          <t xml:space="preserve"> $89.3mm</t>
        </r>
      </text>
    </comment>
    <comment ref="C74" authorId="1" shapeId="0" xr:uid="{00000000-0006-0000-0200-00000C000000}">
      <text>
        <r>
          <rPr>
            <sz val="9"/>
            <color indexed="81"/>
            <rFont val="Tahoma"/>
            <family val="2"/>
          </rPr>
          <t>marketing expenses, utilities and other operating expenses such as non-perishable supplies, credit card fees, property insurance and repairs and maintenance.</t>
        </r>
      </text>
    </comment>
    <comment ref="B76" authorId="2" shapeId="0" xr:uid="{C15EF46D-A44F-48C5-A2C5-6CF2999738EA}">
      <text>
        <r>
          <rPr>
            <b/>
            <sz val="9"/>
            <color indexed="81"/>
            <rFont val="돋움"/>
            <family val="3"/>
            <charset val="129"/>
          </rPr>
          <t>채현기</t>
        </r>
        <r>
          <rPr>
            <b/>
            <sz val="9"/>
            <color indexed="81"/>
            <rFont val="Tahoma"/>
            <family val="2"/>
          </rPr>
          <t>:</t>
        </r>
        <r>
          <rPr>
            <sz val="9"/>
            <color indexed="81"/>
            <rFont val="Tahoma"/>
            <family val="2"/>
          </rPr>
          <t xml:space="preserve">
per store</t>
        </r>
        <r>
          <rPr>
            <sz val="9"/>
            <color indexed="81"/>
            <rFont val="돋움"/>
            <family val="3"/>
            <charset val="129"/>
          </rPr>
          <t>에서</t>
        </r>
        <r>
          <rPr>
            <sz val="9"/>
            <color indexed="81"/>
            <rFont val="Tahoma"/>
            <family val="2"/>
          </rPr>
          <t xml:space="preserve"> store</t>
        </r>
        <r>
          <rPr>
            <sz val="9"/>
            <color indexed="81"/>
            <rFont val="돋움"/>
            <family val="3"/>
            <charset val="129"/>
          </rPr>
          <t>의</t>
        </r>
        <r>
          <rPr>
            <sz val="9"/>
            <color indexed="81"/>
            <rFont val="Tahoma"/>
            <family val="2"/>
          </rPr>
          <t xml:space="preserve"> </t>
        </r>
        <r>
          <rPr>
            <sz val="9"/>
            <color indexed="81"/>
            <rFont val="돋움"/>
            <family val="3"/>
            <charset val="129"/>
          </rPr>
          <t>수는</t>
        </r>
        <r>
          <rPr>
            <sz val="9"/>
            <color indexed="81"/>
            <rFont val="Tahoma"/>
            <family val="2"/>
          </rPr>
          <t xml:space="preserve"> Domestic Company Operated</t>
        </r>
        <r>
          <rPr>
            <sz val="9"/>
            <color indexed="81"/>
            <rFont val="돋움"/>
            <family val="3"/>
            <charset val="129"/>
          </rPr>
          <t>로</t>
        </r>
        <r>
          <rPr>
            <sz val="9"/>
            <color indexed="81"/>
            <rFont val="Tahoma"/>
            <family val="2"/>
          </rPr>
          <t xml:space="preserve"> </t>
        </r>
        <r>
          <rPr>
            <sz val="9"/>
            <color indexed="81"/>
            <rFont val="돋움"/>
            <family val="3"/>
            <charset val="129"/>
          </rPr>
          <t>고정</t>
        </r>
        <r>
          <rPr>
            <sz val="9"/>
            <color indexed="81"/>
            <rFont val="Tahoma"/>
            <family val="2"/>
          </rPr>
          <t xml:space="preserve">,
Operatung costs per Store </t>
        </r>
        <r>
          <rPr>
            <sz val="9"/>
            <color indexed="81"/>
            <rFont val="돋움"/>
            <family val="3"/>
            <charset val="129"/>
          </rPr>
          <t>값을</t>
        </r>
        <r>
          <rPr>
            <sz val="9"/>
            <color indexed="81"/>
            <rFont val="Tahoma"/>
            <family val="2"/>
          </rPr>
          <t xml:space="preserve"> </t>
        </r>
        <r>
          <rPr>
            <sz val="9"/>
            <color indexed="81"/>
            <rFont val="돋움"/>
            <family val="3"/>
            <charset val="129"/>
          </rPr>
          <t>구할</t>
        </r>
        <r>
          <rPr>
            <sz val="9"/>
            <color indexed="81"/>
            <rFont val="Tahoma"/>
            <family val="2"/>
          </rPr>
          <t xml:space="preserve"> </t>
        </r>
        <r>
          <rPr>
            <sz val="9"/>
            <color indexed="81"/>
            <rFont val="돋움"/>
            <family val="3"/>
            <charset val="129"/>
          </rPr>
          <t>때는</t>
        </r>
        <r>
          <rPr>
            <sz val="9"/>
            <color indexed="81"/>
            <rFont val="Tahoma"/>
            <family val="2"/>
          </rPr>
          <t xml:space="preserve"> 2yr avg store</t>
        </r>
        <r>
          <rPr>
            <sz val="9"/>
            <color indexed="81"/>
            <rFont val="돋움"/>
            <family val="3"/>
            <charset val="129"/>
          </rPr>
          <t>로</t>
        </r>
        <r>
          <rPr>
            <sz val="9"/>
            <color indexed="81"/>
            <rFont val="Tahoma"/>
            <family val="2"/>
          </rPr>
          <t xml:space="preserve"> </t>
        </r>
        <r>
          <rPr>
            <sz val="9"/>
            <color indexed="81"/>
            <rFont val="돋움"/>
            <family val="3"/>
            <charset val="129"/>
          </rPr>
          <t>나눠서</t>
        </r>
        <r>
          <rPr>
            <sz val="9"/>
            <color indexed="81"/>
            <rFont val="Tahoma"/>
            <family val="2"/>
          </rPr>
          <t xml:space="preserve"> </t>
        </r>
        <r>
          <rPr>
            <sz val="9"/>
            <color indexed="81"/>
            <rFont val="돋움"/>
            <family val="3"/>
            <charset val="129"/>
          </rPr>
          <t>값</t>
        </r>
        <r>
          <rPr>
            <sz val="9"/>
            <color indexed="81"/>
            <rFont val="Tahoma"/>
            <family val="2"/>
          </rPr>
          <t xml:space="preserve"> </t>
        </r>
        <r>
          <rPr>
            <sz val="9"/>
            <color indexed="81"/>
            <rFont val="돋움"/>
            <family val="3"/>
            <charset val="129"/>
          </rPr>
          <t>계산</t>
        </r>
      </text>
    </comment>
    <comment ref="K83" authorId="2" shapeId="0" xr:uid="{FAEAE466-638B-46AD-9B60-47362863C3F3}">
      <text>
        <r>
          <rPr>
            <b/>
            <sz val="9"/>
            <color indexed="81"/>
            <rFont val="돋움"/>
            <family val="3"/>
            <charset val="129"/>
          </rPr>
          <t>채현기</t>
        </r>
        <r>
          <rPr>
            <b/>
            <sz val="9"/>
            <color indexed="81"/>
            <rFont val="Tahoma"/>
            <family val="2"/>
          </rPr>
          <t>:</t>
        </r>
        <r>
          <rPr>
            <sz val="9"/>
            <color indexed="81"/>
            <rFont val="Tahoma"/>
            <family val="2"/>
          </rPr>
          <t xml:space="preserve">
Revenue </t>
        </r>
        <r>
          <rPr>
            <sz val="9"/>
            <color indexed="81"/>
            <rFont val="돋움"/>
            <family val="3"/>
            <charset val="129"/>
          </rPr>
          <t>추정시</t>
        </r>
        <r>
          <rPr>
            <sz val="9"/>
            <color indexed="81"/>
            <rFont val="Tahoma"/>
            <family val="2"/>
          </rPr>
          <t xml:space="preserve"> </t>
        </r>
        <r>
          <rPr>
            <sz val="9"/>
            <color indexed="81"/>
            <rFont val="돋움"/>
            <family val="3"/>
            <charset val="129"/>
          </rPr>
          <t>사용했던</t>
        </r>
        <r>
          <rPr>
            <sz val="9"/>
            <color indexed="81"/>
            <rFont val="Tahoma"/>
            <family val="2"/>
          </rPr>
          <t xml:space="preserve"> Ratio </t>
        </r>
        <r>
          <rPr>
            <sz val="9"/>
            <color indexed="81"/>
            <rFont val="돋움"/>
            <family val="3"/>
            <charset val="129"/>
          </rPr>
          <t>중</t>
        </r>
        <r>
          <rPr>
            <sz val="9"/>
            <color indexed="81"/>
            <rFont val="Tahoma"/>
            <family val="2"/>
          </rPr>
          <t xml:space="preserve"> Avg Unit Vol(Domestic Company operaterd) </t>
        </r>
        <r>
          <rPr>
            <sz val="9"/>
            <color indexed="81"/>
            <rFont val="돋움"/>
            <family val="3"/>
            <charset val="129"/>
          </rPr>
          <t>값을</t>
        </r>
        <r>
          <rPr>
            <sz val="9"/>
            <color indexed="81"/>
            <rFont val="Tahoma"/>
            <family val="2"/>
          </rPr>
          <t xml:space="preserve"> </t>
        </r>
        <r>
          <rPr>
            <sz val="9"/>
            <color indexed="81"/>
            <rFont val="돋움"/>
            <family val="3"/>
            <charset val="129"/>
          </rPr>
          <t>참조</t>
        </r>
        <r>
          <rPr>
            <sz val="9"/>
            <color indexed="81"/>
            <rFont val="Tahoma"/>
            <family val="2"/>
          </rPr>
          <t>(</t>
        </r>
        <r>
          <rPr>
            <sz val="9"/>
            <color indexed="81"/>
            <rFont val="돋움"/>
            <family val="3"/>
            <charset val="129"/>
          </rPr>
          <t>보라색</t>
        </r>
        <r>
          <rPr>
            <sz val="9"/>
            <color indexed="81"/>
            <rFont val="Tahoma"/>
            <family val="2"/>
          </rPr>
          <t>)</t>
        </r>
      </text>
    </comment>
    <comment ref="C89" authorId="1" shapeId="0" xr:uid="{00000000-0006-0000-0200-00000D000000}">
      <text>
        <r>
          <rPr>
            <sz val="9"/>
            <color indexed="81"/>
            <rFont val="Tahoma"/>
            <family val="2"/>
          </rPr>
          <t xml:space="preserve">
incl stock option expense</t>
        </r>
      </text>
    </comment>
    <comment ref="C97" authorId="2" shapeId="0" xr:uid="{CD1CAADD-9CDD-4C0E-B9CF-C0C14825D762}">
      <text>
        <r>
          <rPr>
            <b/>
            <sz val="9"/>
            <color indexed="81"/>
            <rFont val="돋움"/>
            <family val="3"/>
            <charset val="129"/>
          </rPr>
          <t>채현기</t>
        </r>
        <r>
          <rPr>
            <b/>
            <sz val="9"/>
            <color indexed="81"/>
            <rFont val="Tahoma"/>
            <family val="2"/>
          </rPr>
          <t>:</t>
        </r>
        <r>
          <rPr>
            <sz val="9"/>
            <color indexed="81"/>
            <rFont val="Tahoma"/>
            <family val="2"/>
          </rPr>
          <t xml:space="preserve">
Operating </t>
        </r>
      </text>
    </comment>
    <comment ref="B104" authorId="2" shapeId="0" xr:uid="{E0255F5E-F738-4E89-8295-355E720F250B}">
      <text>
        <r>
          <rPr>
            <b/>
            <sz val="9"/>
            <color indexed="81"/>
            <rFont val="돋움"/>
            <family val="3"/>
            <charset val="129"/>
          </rPr>
          <t>채현기</t>
        </r>
        <r>
          <rPr>
            <b/>
            <sz val="9"/>
            <color indexed="81"/>
            <rFont val="Tahoma"/>
            <family val="2"/>
          </rPr>
          <t>:</t>
        </r>
        <r>
          <rPr>
            <sz val="9"/>
            <color indexed="81"/>
            <rFont val="Tahoma"/>
            <family val="2"/>
          </rPr>
          <t xml:space="preserve">
Company Operated Stores Revenue - Store level Operating Costs</t>
        </r>
      </text>
    </comment>
    <comment ref="F105" authorId="1" shapeId="0" xr:uid="{00000000-0006-0000-0200-00000E000000}">
      <text>
        <r>
          <rPr>
            <sz val="9"/>
            <color indexed="81"/>
            <rFont val="Tahoma"/>
            <family val="2"/>
          </rPr>
          <t>Manhattan: 30.3%
Other: 21.9%</t>
        </r>
      </text>
    </comment>
    <comment ref="K105" authorId="1" shapeId="0" xr:uid="{00000000-0006-0000-0200-00000F000000}">
      <text>
        <r>
          <rPr>
            <b/>
            <sz val="9"/>
            <color indexed="81"/>
            <rFont val="Tahoma"/>
            <family val="2"/>
          </rPr>
          <t>WST:</t>
        </r>
        <r>
          <rPr>
            <sz val="9"/>
            <color indexed="81"/>
            <rFont val="Tahoma"/>
            <family val="2"/>
          </rPr>
          <t xml:space="preserve">
Guidance 24.5-25.5%</t>
        </r>
      </text>
    </comment>
    <comment ref="B107" authorId="1" shapeId="0" xr:uid="{00000000-0006-0000-0200-000010000000}">
      <text>
        <r>
          <rPr>
            <b/>
            <sz val="9"/>
            <color indexed="81"/>
            <rFont val="Tahoma"/>
            <family val="2"/>
          </rPr>
          <t>WST:</t>
        </r>
        <r>
          <rPr>
            <sz val="9"/>
            <color indexed="81"/>
            <rFont val="Tahoma"/>
            <family val="2"/>
          </rPr>
          <t xml:space="preserve">
Adjusted EBITDA is defined as EBITDA (as defined above) excluding equity-based compensation expense, deferred rent expense, losses on the disposal of property and equipment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채현기</author>
    <author>Windows 사용자</author>
    <author>김성민</author>
  </authors>
  <commentList>
    <comment ref="B18" authorId="0" shapeId="0" xr:uid="{A3E49E83-EEDD-4554-A805-CA0106FA3C53}">
      <text>
        <r>
          <rPr>
            <b/>
            <sz val="9"/>
            <color indexed="81"/>
            <rFont val="돋움"/>
            <family val="3"/>
            <charset val="129"/>
          </rPr>
          <t>채현기</t>
        </r>
        <r>
          <rPr>
            <b/>
            <sz val="9"/>
            <color indexed="81"/>
            <rFont val="Tahoma"/>
            <family val="2"/>
          </rPr>
          <t>:</t>
        </r>
        <r>
          <rPr>
            <sz val="9"/>
            <color indexed="81"/>
            <rFont val="Tahoma"/>
            <family val="2"/>
          </rPr>
          <t xml:space="preserve">
G&amp;A + Store Opening Costs</t>
        </r>
      </text>
    </comment>
    <comment ref="B20" authorId="0" shapeId="0" xr:uid="{4348190E-DC2B-44CC-AD76-35BB4AEE7A0C}">
      <text>
        <r>
          <rPr>
            <b/>
            <sz val="9"/>
            <color indexed="81"/>
            <rFont val="돋움"/>
            <family val="3"/>
            <charset val="129"/>
          </rPr>
          <t>채현기</t>
        </r>
        <r>
          <rPr>
            <b/>
            <sz val="9"/>
            <color indexed="81"/>
            <rFont val="Tahoma"/>
            <family val="2"/>
          </rPr>
          <t>:</t>
        </r>
        <r>
          <rPr>
            <sz val="9"/>
            <color indexed="81"/>
            <rFont val="Tahoma"/>
            <family val="2"/>
          </rPr>
          <t xml:space="preserve">
Loss on PP&amp;E Disposal
</t>
        </r>
      </text>
    </comment>
    <comment ref="J24" authorId="1" shapeId="0" xr:uid="{00000000-0006-0000-0300-000001000000}">
      <text>
        <r>
          <rPr>
            <b/>
            <sz val="9"/>
            <color indexed="81"/>
            <rFont val="Tahoma"/>
            <family val="2"/>
          </rPr>
          <t xml:space="preserve">WST:
= </t>
        </r>
        <r>
          <rPr>
            <b/>
            <sz val="9"/>
            <color indexed="81"/>
            <rFont val="돋움"/>
            <family val="3"/>
            <charset val="129"/>
          </rPr>
          <t>미국의</t>
        </r>
        <r>
          <rPr>
            <b/>
            <sz val="9"/>
            <color indexed="81"/>
            <rFont val="Tahoma"/>
            <family val="2"/>
          </rPr>
          <t xml:space="preserve"> </t>
        </r>
        <r>
          <rPr>
            <b/>
            <sz val="9"/>
            <color indexed="81"/>
            <rFont val="돋움"/>
            <family val="3"/>
            <charset val="129"/>
          </rPr>
          <t>세율</t>
        </r>
        <r>
          <rPr>
            <b/>
            <sz val="9"/>
            <color indexed="81"/>
            <rFont val="Tahoma"/>
            <family val="2"/>
          </rPr>
          <t xml:space="preserve"> </t>
        </r>
        <r>
          <rPr>
            <b/>
            <sz val="9"/>
            <color indexed="81"/>
            <rFont val="돋움"/>
            <family val="3"/>
            <charset val="129"/>
          </rPr>
          <t>변화로</t>
        </r>
        <r>
          <rPr>
            <b/>
            <sz val="9"/>
            <color indexed="81"/>
            <rFont val="Tahoma"/>
            <family val="2"/>
          </rPr>
          <t xml:space="preserve"> </t>
        </r>
        <r>
          <rPr>
            <b/>
            <sz val="9"/>
            <color indexed="81"/>
            <rFont val="돋움"/>
            <family val="3"/>
            <charset val="129"/>
          </rPr>
          <t>인한</t>
        </r>
        <r>
          <rPr>
            <b/>
            <sz val="9"/>
            <color indexed="81"/>
            <rFont val="Tahoma"/>
            <family val="2"/>
          </rPr>
          <t xml:space="preserve"> </t>
        </r>
        <r>
          <rPr>
            <b/>
            <sz val="9"/>
            <color indexed="81"/>
            <rFont val="돋움"/>
            <family val="3"/>
            <charset val="129"/>
          </rPr>
          <t>이익</t>
        </r>
        <r>
          <rPr>
            <b/>
            <sz val="9"/>
            <color indexed="81"/>
            <rFont val="Tahoma"/>
            <family val="2"/>
          </rPr>
          <t xml:space="preserve"> </t>
        </r>
        <r>
          <rPr>
            <b/>
            <sz val="9"/>
            <color indexed="81"/>
            <rFont val="돋움"/>
            <family val="3"/>
            <charset val="129"/>
          </rPr>
          <t xml:space="preserve">인식
</t>
        </r>
        <r>
          <rPr>
            <sz val="9"/>
            <color indexed="81"/>
            <rFont val="Tahoma"/>
            <family val="2"/>
          </rPr>
          <t xml:space="preserve">
In December 2017, the Tax Cuts and Jobs Act of 2017 (the "TCJA") was enacted into law. The TCJA provides for significant changes to the U.S. Internal Revenue Code of 1986, as amended, including the reduction of the U.S. federal corporate income tax rate from 35% to 21%, among other provisions. As a result of the TCJA, we recognized a $125,859 benefit in other income related to the reduction in liabilities under its tax receivable agreement.
</t>
        </r>
      </text>
    </comment>
    <comment ref="B33" authorId="2" shapeId="0" xr:uid="{00000000-0006-0000-0300-000002000000}">
      <text>
        <r>
          <rPr>
            <b/>
            <sz val="9"/>
            <color indexed="81"/>
            <rFont val="Tahoma"/>
            <family val="2"/>
          </rPr>
          <t>WST:</t>
        </r>
        <r>
          <rPr>
            <sz val="9"/>
            <color indexed="81"/>
            <rFont val="Tahoma"/>
            <family val="2"/>
          </rPr>
          <t xml:space="preserve">
Non-controlling interests hold 27.9% of SSE Holdings &amp; 39.7% of combined Class A/Class B Common Stock 
The SSE Holdings LLC Agreement provides that holders of LLC Interests may, from time to time, require SSE Holdings to redeem all or a portion of their LLC Interests for newly-issued shares of Class A common stock on a one-for-one basis. In connection with any redemption or exchange, we receive a corresponding number of LLC Interests, increasing our total ownership interest in SSE Holdings</t>
        </r>
      </text>
    </comment>
    <comment ref="K33" authorId="2" shapeId="0" xr:uid="{00000000-0006-0000-0300-000003000000}">
      <text>
        <r>
          <rPr>
            <b/>
            <sz val="9"/>
            <color indexed="81"/>
            <rFont val="Tahoma"/>
            <family val="2"/>
          </rPr>
          <t>WST:</t>
        </r>
        <r>
          <rPr>
            <sz val="9"/>
            <color indexed="81"/>
            <rFont val="Tahoma"/>
            <family val="2"/>
          </rPr>
          <t xml:space="preserve">
Assumes the exchange of all outstanding LLC Interests for shares of Class A common stock, resulting in the elimination of the non-controlling interest and recognition of the net income attributable to non-controlling interests.
</t>
        </r>
      </text>
    </comment>
    <comment ref="B37" authorId="0" shapeId="0" xr:uid="{720950F9-B205-4D27-801C-E1D84B1738D2}">
      <text>
        <r>
          <rPr>
            <b/>
            <sz val="9"/>
            <color indexed="81"/>
            <rFont val="돋움"/>
            <family val="3"/>
            <charset val="129"/>
          </rPr>
          <t>채현기</t>
        </r>
        <r>
          <rPr>
            <b/>
            <sz val="9"/>
            <color indexed="81"/>
            <rFont val="Tahoma"/>
            <family val="2"/>
          </rPr>
          <t>:</t>
        </r>
        <r>
          <rPr>
            <sz val="9"/>
            <color indexed="81"/>
            <rFont val="Tahoma"/>
            <family val="2"/>
          </rPr>
          <t xml:space="preserve">
Net Income/Diluted Shares Outstanding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채현기</author>
    <author>Windows 사용자</author>
  </authors>
  <commentList>
    <comment ref="C20" authorId="0" shapeId="0" xr:uid="{7AA1A736-11C4-4F30-BA91-4BE958D58672}">
      <text>
        <r>
          <rPr>
            <b/>
            <sz val="9"/>
            <color indexed="81"/>
            <rFont val="돋움"/>
            <family val="3"/>
            <charset val="129"/>
          </rPr>
          <t>채현기</t>
        </r>
        <r>
          <rPr>
            <b/>
            <sz val="9"/>
            <color indexed="81"/>
            <rFont val="Tahoma"/>
            <family val="2"/>
          </rPr>
          <t>:</t>
        </r>
        <r>
          <rPr>
            <sz val="9"/>
            <color indexed="81"/>
            <rFont val="Tahoma"/>
            <family val="2"/>
          </rPr>
          <t xml:space="preserve">
 Total Current Assets </t>
        </r>
        <r>
          <rPr>
            <sz val="9"/>
            <color indexed="81"/>
            <rFont val="돋움"/>
            <family val="3"/>
            <charset val="129"/>
          </rPr>
          <t>까지</t>
        </r>
        <r>
          <rPr>
            <sz val="9"/>
            <color indexed="81"/>
            <rFont val="Tahoma"/>
            <family val="2"/>
          </rPr>
          <t xml:space="preserve"> </t>
        </r>
        <r>
          <rPr>
            <sz val="9"/>
            <color indexed="81"/>
            <rFont val="돋움"/>
            <family val="3"/>
            <charset val="129"/>
          </rPr>
          <t>더할</t>
        </r>
        <r>
          <rPr>
            <sz val="9"/>
            <color indexed="81"/>
            <rFont val="Tahoma"/>
            <family val="2"/>
          </rPr>
          <t xml:space="preserve"> </t>
        </r>
        <r>
          <rPr>
            <sz val="9"/>
            <color indexed="81"/>
            <rFont val="돋움"/>
            <family val="3"/>
            <charset val="129"/>
          </rPr>
          <t xml:space="preserve">것
</t>
        </r>
      </text>
    </comment>
    <comment ref="B29" authorId="1" shapeId="0" xr:uid="{00000000-0006-0000-0400-000001000000}">
      <text>
        <r>
          <rPr>
            <b/>
            <sz val="9"/>
            <color indexed="81"/>
            <rFont val="Tahoma"/>
            <family val="2"/>
          </rPr>
          <t xml:space="preserve">Windows </t>
        </r>
        <r>
          <rPr>
            <b/>
            <sz val="9"/>
            <color indexed="81"/>
            <rFont val="돋움"/>
            <family val="3"/>
            <charset val="129"/>
          </rPr>
          <t>사용자</t>
        </r>
        <r>
          <rPr>
            <b/>
            <sz val="9"/>
            <color indexed="81"/>
            <rFont val="Tahoma"/>
            <family val="2"/>
          </rPr>
          <t>:</t>
        </r>
        <r>
          <rPr>
            <sz val="9"/>
            <color indexed="81"/>
            <rFont val="Tahoma"/>
            <family val="2"/>
          </rPr>
          <t xml:space="preserve">
Deemed landlord financing</t>
        </r>
      </text>
    </comment>
    <comment ref="B30" authorId="1" shapeId="0" xr:uid="{00000000-0006-0000-0400-000002000000}">
      <text>
        <r>
          <rPr>
            <b/>
            <sz val="9"/>
            <color indexed="81"/>
            <rFont val="Tahoma"/>
            <family val="2"/>
          </rPr>
          <t>WST:</t>
        </r>
        <r>
          <rPr>
            <sz val="9"/>
            <color indexed="81"/>
            <rFont val="Tahoma"/>
            <family val="2"/>
          </rPr>
          <t xml:space="preserve">
Deferred rent is simplified to being a financial debt</t>
        </r>
      </text>
    </comment>
    <comment ref="C32" authorId="0" shapeId="0" xr:uid="{283131CE-9877-48EC-84F3-83CA11A12D37}">
      <text>
        <r>
          <rPr>
            <b/>
            <sz val="9"/>
            <color indexed="81"/>
            <rFont val="돋움"/>
            <family val="3"/>
            <charset val="129"/>
          </rPr>
          <t>채현기</t>
        </r>
        <r>
          <rPr>
            <b/>
            <sz val="9"/>
            <color indexed="81"/>
            <rFont val="Tahoma"/>
            <family val="2"/>
          </rPr>
          <t>:</t>
        </r>
        <r>
          <rPr>
            <sz val="9"/>
            <color indexed="81"/>
            <rFont val="Tahoma"/>
            <family val="2"/>
          </rPr>
          <t xml:space="preserve">
Total Current Liabilities </t>
        </r>
        <r>
          <rPr>
            <sz val="9"/>
            <color indexed="81"/>
            <rFont val="돋움"/>
            <family val="3"/>
            <charset val="129"/>
          </rPr>
          <t>까지</t>
        </r>
        <r>
          <rPr>
            <sz val="9"/>
            <color indexed="81"/>
            <rFont val="Tahoma"/>
            <family val="2"/>
          </rPr>
          <t xml:space="preserve"> </t>
        </r>
        <r>
          <rPr>
            <sz val="9"/>
            <color indexed="81"/>
            <rFont val="돋움"/>
            <family val="3"/>
            <charset val="129"/>
          </rPr>
          <t>더할</t>
        </r>
        <r>
          <rPr>
            <sz val="9"/>
            <color indexed="81"/>
            <rFont val="Tahoma"/>
            <family val="2"/>
          </rPr>
          <t xml:space="preserve"> </t>
        </r>
        <r>
          <rPr>
            <sz val="9"/>
            <color indexed="81"/>
            <rFont val="돋움"/>
            <family val="3"/>
            <charset val="129"/>
          </rPr>
          <t>것</t>
        </r>
      </text>
    </comment>
    <comment ref="B34" authorId="0" shapeId="0" xr:uid="{EDD512A4-C22D-47D0-B199-5A3F1A528968}">
      <text>
        <r>
          <rPr>
            <b/>
            <sz val="9"/>
            <color indexed="81"/>
            <rFont val="돋움"/>
            <family val="3"/>
            <charset val="129"/>
          </rPr>
          <t>채현기</t>
        </r>
        <r>
          <rPr>
            <b/>
            <sz val="9"/>
            <color indexed="81"/>
            <rFont val="Tahoma"/>
            <family val="2"/>
          </rPr>
          <t>:</t>
        </r>
        <r>
          <rPr>
            <sz val="9"/>
            <color indexed="81"/>
            <rFont val="Tahoma"/>
            <family val="2"/>
          </rPr>
          <t xml:space="preserve">
common stock</t>
        </r>
      </text>
    </comment>
    <comment ref="B35" authorId="0" shapeId="0" xr:uid="{C3141F55-386D-41D8-A4A7-17107480EA8D}">
      <text>
        <r>
          <rPr>
            <b/>
            <sz val="9"/>
            <color indexed="81"/>
            <rFont val="돋움"/>
            <family val="3"/>
            <charset val="129"/>
          </rPr>
          <t>채현기</t>
        </r>
        <r>
          <rPr>
            <b/>
            <sz val="9"/>
            <color indexed="81"/>
            <rFont val="Tahoma"/>
            <family val="2"/>
          </rPr>
          <t>:</t>
        </r>
        <r>
          <rPr>
            <sz val="9"/>
            <color indexed="81"/>
            <rFont val="Tahoma"/>
            <family val="2"/>
          </rPr>
          <t xml:space="preserve">
minority interest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C40" authorId="0" shapeId="0" xr:uid="{A802AAA6-A06B-42CD-BF6A-5C01082A91E0}">
      <text>
        <r>
          <rPr>
            <b/>
            <sz val="9"/>
            <color indexed="81"/>
            <rFont val="돋움"/>
            <family val="3"/>
            <charset val="129"/>
          </rPr>
          <t>채현기</t>
        </r>
        <r>
          <rPr>
            <b/>
            <sz val="9"/>
            <color indexed="81"/>
            <rFont val="Tahoma"/>
            <family val="2"/>
          </rPr>
          <t>:</t>
        </r>
        <r>
          <rPr>
            <sz val="9"/>
            <color indexed="81"/>
            <rFont val="Tahoma"/>
            <family val="2"/>
          </rPr>
          <t xml:space="preserve">
</t>
        </r>
        <r>
          <rPr>
            <sz val="9"/>
            <color indexed="81"/>
            <rFont val="돋움"/>
            <family val="3"/>
            <charset val="129"/>
          </rPr>
          <t>대차대조표에서의</t>
        </r>
        <r>
          <rPr>
            <sz val="9"/>
            <color indexed="81"/>
            <rFont val="Tahoma"/>
            <family val="2"/>
          </rPr>
          <t xml:space="preserve"> </t>
        </r>
        <r>
          <rPr>
            <sz val="9"/>
            <color indexed="81"/>
            <rFont val="돋움"/>
            <family val="3"/>
            <charset val="129"/>
          </rPr>
          <t>기초</t>
        </r>
        <r>
          <rPr>
            <sz val="9"/>
            <color indexed="81"/>
            <rFont val="Tahoma"/>
            <family val="2"/>
          </rPr>
          <t xml:space="preserve"> </t>
        </r>
        <r>
          <rPr>
            <sz val="9"/>
            <color indexed="81"/>
            <rFont val="돋움"/>
            <family val="3"/>
            <charset val="129"/>
          </rPr>
          <t xml:space="preserve">현금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11" authorId="0" shapeId="0" xr:uid="{1C4FE1AE-2C12-4514-86BC-AE5652B63D29}">
      <text>
        <r>
          <rPr>
            <b/>
            <sz val="9"/>
            <color indexed="81"/>
            <rFont val="돋움"/>
            <family val="3"/>
            <charset val="129"/>
          </rPr>
          <t>채현기</t>
        </r>
        <r>
          <rPr>
            <b/>
            <sz val="9"/>
            <color indexed="81"/>
            <rFont val="Tahoma"/>
            <family val="2"/>
          </rPr>
          <t>:</t>
        </r>
        <r>
          <rPr>
            <sz val="9"/>
            <color indexed="81"/>
            <rFont val="Tahoma"/>
            <family val="2"/>
          </rPr>
          <t xml:space="preserve">
store level operating costs</t>
        </r>
      </text>
    </comment>
    <comment ref="A27" authorId="0" shapeId="0" xr:uid="{2D6CCEF6-5209-49A1-B1B7-81DD5D058930}">
      <text>
        <r>
          <rPr>
            <b/>
            <sz val="9"/>
            <color indexed="81"/>
            <rFont val="돋움"/>
            <family val="3"/>
            <charset val="129"/>
          </rPr>
          <t>채현기</t>
        </r>
        <r>
          <rPr>
            <b/>
            <sz val="9"/>
            <color indexed="81"/>
            <rFont val="Tahoma"/>
            <family val="2"/>
          </rPr>
          <t>:</t>
        </r>
        <r>
          <rPr>
            <sz val="9"/>
            <color indexed="81"/>
            <rFont val="Tahoma"/>
            <family val="2"/>
          </rPr>
          <t xml:space="preserve">
Change in Working Capital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C23" authorId="0" shapeId="0" xr:uid="{22D14B60-58C2-4458-80B1-15D7DE9B0153}">
      <text>
        <r>
          <rPr>
            <b/>
            <sz val="9"/>
            <color indexed="81"/>
            <rFont val="돋움"/>
            <family val="3"/>
            <charset val="129"/>
          </rPr>
          <t>채현기</t>
        </r>
        <r>
          <rPr>
            <b/>
            <sz val="9"/>
            <color indexed="81"/>
            <rFont val="Tahoma"/>
            <family val="2"/>
          </rPr>
          <t>:</t>
        </r>
        <r>
          <rPr>
            <sz val="9"/>
            <color indexed="81"/>
            <rFont val="Tahoma"/>
            <family val="2"/>
          </rPr>
          <t xml:space="preserve">
22</t>
        </r>
        <r>
          <rPr>
            <sz val="9"/>
            <color indexed="81"/>
            <rFont val="돋움"/>
            <family val="3"/>
            <charset val="129"/>
          </rPr>
          <t>열과</t>
        </r>
        <r>
          <rPr>
            <sz val="9"/>
            <color indexed="81"/>
            <rFont val="Tahoma"/>
            <family val="2"/>
          </rPr>
          <t xml:space="preserve"> </t>
        </r>
        <r>
          <rPr>
            <sz val="9"/>
            <color indexed="81"/>
            <rFont val="돋움"/>
            <family val="3"/>
            <charset val="129"/>
          </rPr>
          <t xml:space="preserve">역수관계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17" authorId="0" shapeId="0" xr:uid="{15CA83F3-3C98-4AC8-8184-A7441B4B4EE5}">
      <text>
        <r>
          <rPr>
            <b/>
            <sz val="9"/>
            <color indexed="81"/>
            <rFont val="돋움"/>
            <family val="3"/>
            <charset val="129"/>
          </rPr>
          <t>채현기</t>
        </r>
        <r>
          <rPr>
            <b/>
            <sz val="9"/>
            <color indexed="81"/>
            <rFont val="Tahoma"/>
            <family val="2"/>
          </rPr>
          <t>: total equity on BS sheet</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Windows 사용자</author>
    <author>채현기</author>
  </authors>
  <commentList>
    <comment ref="J16" authorId="0" shapeId="0" xr:uid="{00000000-0006-0000-0A00-000001000000}">
      <text>
        <r>
          <rPr>
            <b/>
            <sz val="9"/>
            <color indexed="81"/>
            <rFont val="Tahoma"/>
            <family val="2"/>
          </rPr>
          <t>WST:</t>
        </r>
        <r>
          <rPr>
            <sz val="9"/>
            <color indexed="81"/>
            <rFont val="Tahoma"/>
            <family val="2"/>
          </rPr>
          <t xml:space="preserve">
</t>
        </r>
        <r>
          <rPr>
            <b/>
            <sz val="9"/>
            <color indexed="81"/>
            <rFont val="Tahoma"/>
            <family val="2"/>
          </rPr>
          <t xml:space="preserve">10,250,007 shares </t>
        </r>
        <r>
          <rPr>
            <sz val="9"/>
            <color indexed="81"/>
            <rFont val="Tahoma"/>
            <family val="2"/>
          </rPr>
          <t>of Class A common stock issuable upon the redemption or exchange of LLC Interests held by the non-controlling interest holders</t>
        </r>
      </text>
    </comment>
    <comment ref="C17" authorId="1" shapeId="0" xr:uid="{377311E2-40BA-478D-A64A-5221F66E7B22}">
      <text>
        <r>
          <rPr>
            <b/>
            <sz val="9"/>
            <color indexed="81"/>
            <rFont val="돋움"/>
            <family val="3"/>
            <charset val="129"/>
          </rPr>
          <t>채현기</t>
        </r>
        <r>
          <rPr>
            <b/>
            <sz val="9"/>
            <color indexed="81"/>
            <rFont val="Tahoma"/>
            <family val="2"/>
          </rPr>
          <t>:</t>
        </r>
        <r>
          <rPr>
            <sz val="9"/>
            <color indexed="81"/>
            <rFont val="Tahoma"/>
            <family val="2"/>
          </rPr>
          <t xml:space="preserve">
Net Inssuance/1000</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C15" authorId="0" shapeId="0" xr:uid="{1DC0B396-B97C-43AB-B278-3908A228B564}">
      <text>
        <r>
          <rPr>
            <b/>
            <sz val="9"/>
            <color indexed="81"/>
            <rFont val="돋움"/>
            <family val="3"/>
            <charset val="129"/>
          </rPr>
          <t>채현기</t>
        </r>
        <r>
          <rPr>
            <b/>
            <sz val="9"/>
            <color indexed="81"/>
            <rFont val="Tahoma"/>
            <family val="2"/>
          </rPr>
          <t>:</t>
        </r>
        <r>
          <rPr>
            <sz val="9"/>
            <color indexed="81"/>
            <rFont val="Tahoma"/>
            <family val="2"/>
          </rPr>
          <t xml:space="preserve">
beginning cash balance</t>
        </r>
        <r>
          <rPr>
            <sz val="9"/>
            <color indexed="81"/>
            <rFont val="돋움"/>
            <family val="3"/>
            <charset val="129"/>
          </rPr>
          <t>는</t>
        </r>
        <r>
          <rPr>
            <sz val="9"/>
            <color indexed="81"/>
            <rFont val="Tahoma"/>
            <family val="2"/>
          </rPr>
          <t xml:space="preserve"> </t>
        </r>
        <r>
          <rPr>
            <sz val="9"/>
            <color indexed="81"/>
            <rFont val="돋움"/>
            <family val="3"/>
            <charset val="129"/>
          </rPr>
          <t>기초</t>
        </r>
        <r>
          <rPr>
            <sz val="9"/>
            <color indexed="81"/>
            <rFont val="Tahoma"/>
            <family val="2"/>
          </rPr>
          <t xml:space="preserve"> </t>
        </r>
        <r>
          <rPr>
            <sz val="9"/>
            <color indexed="81"/>
            <rFont val="돋움"/>
            <family val="3"/>
            <charset val="129"/>
          </rPr>
          <t>현금</t>
        </r>
        <r>
          <rPr>
            <sz val="9"/>
            <color indexed="81"/>
            <rFont val="Tahoma"/>
            <family val="2"/>
          </rPr>
          <t xml:space="preserve"> </t>
        </r>
        <r>
          <rPr>
            <sz val="9"/>
            <color indexed="81"/>
            <rFont val="돋움"/>
            <family val="3"/>
            <charset val="129"/>
          </rPr>
          <t>잔액이므로</t>
        </r>
        <r>
          <rPr>
            <sz val="9"/>
            <color indexed="81"/>
            <rFont val="Tahoma"/>
            <family val="2"/>
          </rPr>
          <t xml:space="preserve"> </t>
        </r>
        <r>
          <rPr>
            <sz val="9"/>
            <color indexed="81"/>
            <rFont val="돋움"/>
            <family val="3"/>
            <charset val="129"/>
          </rPr>
          <t>작년도</t>
        </r>
        <r>
          <rPr>
            <sz val="9"/>
            <color indexed="81"/>
            <rFont val="Tahoma"/>
            <family val="2"/>
          </rPr>
          <t xml:space="preserve"> </t>
        </r>
        <r>
          <rPr>
            <sz val="9"/>
            <color indexed="81"/>
            <rFont val="돋움"/>
            <family val="3"/>
            <charset val="129"/>
          </rPr>
          <t>기말</t>
        </r>
        <r>
          <rPr>
            <sz val="9"/>
            <color indexed="81"/>
            <rFont val="Tahoma"/>
            <family val="2"/>
          </rPr>
          <t xml:space="preserve"> </t>
        </r>
        <r>
          <rPr>
            <sz val="9"/>
            <color indexed="81"/>
            <rFont val="돋움"/>
            <family val="3"/>
            <charset val="129"/>
          </rPr>
          <t>현금</t>
        </r>
        <r>
          <rPr>
            <sz val="9"/>
            <color indexed="81"/>
            <rFont val="Tahoma"/>
            <family val="2"/>
          </rPr>
          <t xml:space="preserve"> </t>
        </r>
        <r>
          <rPr>
            <sz val="9"/>
            <color indexed="81"/>
            <rFont val="돋움"/>
            <family val="3"/>
            <charset val="129"/>
          </rPr>
          <t>잔액</t>
        </r>
        <r>
          <rPr>
            <sz val="9"/>
            <color indexed="81"/>
            <rFont val="Tahoma"/>
            <family val="2"/>
          </rPr>
          <t xml:space="preserve"> </t>
        </r>
        <r>
          <rPr>
            <sz val="9"/>
            <color indexed="81"/>
            <rFont val="돋움"/>
            <family val="3"/>
            <charset val="129"/>
          </rPr>
          <t>참조</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B98" authorId="0" shapeId="0" xr:uid="{00000000-0006-0000-0D00-000001000000}">
      <text>
        <r>
          <rPr>
            <b/>
            <sz val="9"/>
            <color indexed="81"/>
            <rFont val="Tahoma"/>
            <family val="2"/>
          </rPr>
          <t>WST:</t>
        </r>
        <r>
          <rPr>
            <sz val="9"/>
            <color indexed="81"/>
            <rFont val="Tahoma"/>
            <family val="2"/>
          </rPr>
          <t xml:space="preserve">
Class B shares have no share in economics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Kiel LaFrance</author>
    <author>CapIQ</author>
  </authors>
  <commentList>
    <comment ref="H9" authorId="0" shapeId="0" xr:uid="{00000000-0006-0000-1A00-000001000000}">
      <text>
        <r>
          <rPr>
            <b/>
            <sz val="9"/>
            <color indexed="81"/>
            <rFont val="Tahoma"/>
            <family val="2"/>
          </rPr>
          <t xml:space="preserve">WST:
</t>
        </r>
        <r>
          <rPr>
            <sz val="9"/>
            <color indexed="81"/>
            <rFont val="Tahoma"/>
            <family val="2"/>
          </rPr>
          <t>New tax rate in the U.S.</t>
        </r>
      </text>
    </comment>
    <comment ref="H11" authorId="0" shapeId="0" xr:uid="{00000000-0006-0000-1A00-000002000000}">
      <text>
        <r>
          <rPr>
            <b/>
            <sz val="9"/>
            <color indexed="81"/>
            <rFont val="Tahoma"/>
            <family val="2"/>
          </rPr>
          <t xml:space="preserve">SPCIQ:
</t>
        </r>
        <r>
          <rPr>
            <sz val="9"/>
            <color indexed="81"/>
            <rFont val="Tahoma"/>
            <family val="2"/>
          </rPr>
          <t xml:space="preserve">Average of Last 10 Years of Yearly Price Returns for the Index in Cell Z1.  Please adjust as you see fit.
</t>
        </r>
      </text>
    </comment>
    <comment ref="H12" authorId="1" shapeId="0" xr:uid="{00000000-0006-0000-1A00-000003000000}">
      <text>
        <r>
          <rPr>
            <b/>
            <sz val="9"/>
            <color indexed="81"/>
            <rFont val="Tahoma"/>
            <family val="2"/>
          </rPr>
          <t>SPCIQ:</t>
        </r>
        <r>
          <rPr>
            <sz val="9"/>
            <color indexed="81"/>
            <rFont val="Tahoma"/>
            <family val="2"/>
          </rPr>
          <t xml:space="preserve">
Arbitrary number</t>
        </r>
      </text>
    </comment>
    <comment ref="H17" authorId="1" shapeId="0" xr:uid="{00000000-0006-0000-1A00-000004000000}">
      <text>
        <r>
          <rPr>
            <b/>
            <sz val="9"/>
            <color indexed="81"/>
            <rFont val="Tahoma"/>
            <family val="2"/>
          </rPr>
          <t>SPCIQ:</t>
        </r>
        <r>
          <rPr>
            <sz val="9"/>
            <color indexed="81"/>
            <rFont val="Tahoma"/>
            <family val="2"/>
          </rPr>
          <t xml:space="preserve">
Average of Coupons of 5 Most Recent Issued Bonds.  Please adjust as you see fit.</t>
        </r>
      </text>
    </comment>
    <comment ref="H19" authorId="1" shapeId="0" xr:uid="{00000000-0006-0000-1A00-000005000000}">
      <text>
        <r>
          <rPr>
            <b/>
            <sz val="9"/>
            <color indexed="81"/>
            <rFont val="Tahoma"/>
            <family val="2"/>
          </rPr>
          <t xml:space="preserve">SPCIQ:
</t>
        </r>
        <r>
          <rPr>
            <sz val="9"/>
            <color indexed="81"/>
            <rFont val="Tahoma"/>
            <family val="2"/>
          </rPr>
          <t>Average of Coupons of all Preferred Fixed Income instruments.  Please adjust as you see fit.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<sst xmlns="http://schemas.openxmlformats.org/spreadsheetml/2006/main" count="5316" uniqueCount="1664">
  <si>
    <t>Domestic Company Operated</t>
    <phoneticPr fontId="1" type="noConversion"/>
  </si>
  <si>
    <t>Domestic Licensed</t>
    <phoneticPr fontId="1" type="noConversion"/>
  </si>
  <si>
    <t>International Licensed</t>
    <phoneticPr fontId="1" type="noConversion"/>
  </si>
  <si>
    <t>Store Count (stores)</t>
    <phoneticPr fontId="1" type="noConversion"/>
  </si>
  <si>
    <t>Company</t>
  </si>
  <si>
    <t>Operated</t>
  </si>
  <si>
    <t>Licensed</t>
  </si>
  <si>
    <t>Total</t>
  </si>
  <si>
    <t>Arizona</t>
  </si>
  <si>
    <t>—</t>
  </si>
  <si>
    <t>California</t>
  </si>
  <si>
    <t>Connecticut</t>
  </si>
  <si>
    <t>Delaware</t>
  </si>
  <si>
    <t>District of Columbia</t>
  </si>
  <si>
    <t>Florida</t>
  </si>
  <si>
    <t>Georgia</t>
  </si>
  <si>
    <t>Illinois</t>
  </si>
  <si>
    <t>Kentucky</t>
  </si>
  <si>
    <t>Maryland</t>
  </si>
  <si>
    <t>Massachusetts</t>
  </si>
  <si>
    <t>Michigan</t>
  </si>
  <si>
    <t>Minnesota</t>
  </si>
  <si>
    <t>Missouri</t>
  </si>
  <si>
    <t>Nevada</t>
  </si>
  <si>
    <t>New Jersey</t>
  </si>
  <si>
    <t>New York</t>
  </si>
  <si>
    <t>Pennsylvania</t>
  </si>
  <si>
    <t>Texas</t>
  </si>
  <si>
    <t>Virginia</t>
  </si>
  <si>
    <t>Wisconsin</t>
  </si>
  <si>
    <t>Domestic</t>
  </si>
  <si>
    <t>Bahrain</t>
  </si>
  <si>
    <t>Japan</t>
  </si>
  <si>
    <t>Korea</t>
  </si>
  <si>
    <t>Kuwait</t>
  </si>
  <si>
    <t>Oman</t>
  </si>
  <si>
    <t>Qatar</t>
  </si>
  <si>
    <t>Russia</t>
  </si>
  <si>
    <t>Saudi Arabia</t>
  </si>
  <si>
    <t>Turkey</t>
  </si>
  <si>
    <t>United Arab Emirates</t>
  </si>
  <si>
    <t>United Kingdom</t>
  </si>
  <si>
    <t>INTERNATIONAL</t>
  </si>
  <si>
    <t>SYSTEM-WIDE</t>
  </si>
  <si>
    <t>(dollar amounts in thousands, except per share amounts)</t>
  </si>
  <si>
    <t>Selected statement of income data:</t>
  </si>
  <si>
    <t>Shack sales</t>
  </si>
  <si>
    <t>$</t>
  </si>
  <si>
    <t>Licensing revenue</t>
  </si>
  <si>
    <t>Shack-level operating expenses</t>
  </si>
  <si>
    <t>General and administrative expenses</t>
  </si>
  <si>
    <t>Pre-opening costs</t>
  </si>
  <si>
    <t>Operating income</t>
  </si>
  <si>
    <t>Net income</t>
  </si>
  <si>
    <t>Net income (loss) attributable to Shake Shack Inc.</t>
  </si>
  <si>
    <t>(320</t>
  </si>
  <si>
    <t>)</t>
  </si>
  <si>
    <t>(8,776</t>
  </si>
  <si>
    <t>Per share data:</t>
  </si>
  <si>
    <t>Earnings (loss) per share—basic</t>
  </si>
  <si>
    <t>(0.01</t>
  </si>
  <si>
    <t>(0.65</t>
  </si>
  <si>
    <t>Earnings (loss) per share—diluted</t>
  </si>
  <si>
    <t>Selected balance sheet data (at period end):</t>
  </si>
  <si>
    <t>Cash and cash equivalents</t>
  </si>
  <si>
    <t>Short-term marketable securities</t>
  </si>
  <si>
    <t>Total current assets</t>
  </si>
  <si>
    <t>Total assets</t>
  </si>
  <si>
    <t>Total current liabilities</t>
  </si>
  <si>
    <t>Total debt</t>
  </si>
  <si>
    <t>Total liabilities</t>
  </si>
  <si>
    <t>Total equity</t>
  </si>
  <si>
    <t>Selected cash flow data:</t>
  </si>
  <si>
    <t>Net cash provided by operating activities</t>
  </si>
  <si>
    <t>Net cash used in investing activities</t>
  </si>
  <si>
    <t>(61,943</t>
  </si>
  <si>
    <t>(114,761</t>
  </si>
  <si>
    <t>(34,514</t>
  </si>
  <si>
    <t>(28,515</t>
  </si>
  <si>
    <t>(16,194</t>
  </si>
  <si>
    <t>Net cash provided by financing activities</t>
  </si>
  <si>
    <t>Licensing Revenue</t>
    <phoneticPr fontId="1" type="noConversion"/>
  </si>
  <si>
    <t>Comp Store Base</t>
    <phoneticPr fontId="1" type="noConversion"/>
  </si>
  <si>
    <t>Royalty Rate</t>
    <phoneticPr fontId="1" type="noConversion"/>
  </si>
  <si>
    <t>General &amp; Admin</t>
    <phoneticPr fontId="1" type="noConversion"/>
  </si>
  <si>
    <t>Store Opening Costs</t>
    <phoneticPr fontId="1" type="noConversion"/>
  </si>
  <si>
    <t>Store-Level EBIT</t>
    <phoneticPr fontId="1" type="noConversion"/>
  </si>
  <si>
    <t>Margin %</t>
    <phoneticPr fontId="1" type="noConversion"/>
  </si>
  <si>
    <t>Current Outlook</t>
  </si>
  <si>
    <t>Total revenue (inclusive of licensing revenue)</t>
  </si>
  <si>
    <t>$444 to $448 million</t>
  </si>
  <si>
    <t>$12 to $13 million</t>
  </si>
  <si>
    <t>Domestic company-operated Shack openings</t>
  </si>
  <si>
    <t>32 to 35</t>
  </si>
  <si>
    <t>Licensed Shack openings, net</t>
  </si>
  <si>
    <t>16 to 18</t>
  </si>
  <si>
    <t>Average annual sales volume for domestic company-operated Shacks</t>
  </si>
  <si>
    <t>$4.1 to $4.2 million</t>
  </si>
  <si>
    <t>Shack-level operating profit margin (%)</t>
  </si>
  <si>
    <t>24.5% to 25.5%</t>
  </si>
  <si>
    <t>$49 to $51 million</t>
  </si>
  <si>
    <t>Depreciation expense</t>
  </si>
  <si>
    <t>$32 million</t>
  </si>
  <si>
    <t>Interest expense</t>
  </si>
  <si>
    <t>$2 to $2.2 million</t>
  </si>
  <si>
    <t>Adjusted pro forma effective tax rate (%)</t>
  </si>
  <si>
    <t>26% to 27%</t>
  </si>
  <si>
    <t>Food &amp; Paper Costs</t>
  </si>
  <si>
    <t>Food &amp; Paper Costs</t>
    <phoneticPr fontId="1" type="noConversion"/>
  </si>
  <si>
    <t>Labor &amp; Related</t>
  </si>
  <si>
    <t>Labor &amp; Related</t>
    <phoneticPr fontId="1" type="noConversion"/>
  </si>
  <si>
    <t>Other</t>
  </si>
  <si>
    <t>Other</t>
    <phoneticPr fontId="1" type="noConversion"/>
  </si>
  <si>
    <t>Occupancy &amp; Related</t>
  </si>
  <si>
    <t>Occupancy &amp; Related</t>
    <phoneticPr fontId="1" type="noConversion"/>
  </si>
  <si>
    <t>Depreciation</t>
  </si>
  <si>
    <t>Depreciation</t>
    <phoneticPr fontId="1" type="noConversion"/>
  </si>
  <si>
    <t xml:space="preserve">Loss on PP&amp;E Disposal </t>
    <phoneticPr fontId="1" type="noConversion"/>
  </si>
  <si>
    <t>(in thousands)</t>
  </si>
  <si>
    <t>Interest expense, net</t>
  </si>
  <si>
    <t>Income tax expense</t>
  </si>
  <si>
    <t>EBITDA</t>
  </si>
  <si>
    <t>Equity-based compensation</t>
  </si>
  <si>
    <t>Deferred compensation</t>
  </si>
  <si>
    <t>Deferred rent</t>
  </si>
  <si>
    <t>Loss on disposal of property and equipment</t>
  </si>
  <si>
    <t>IPO-related expenses</t>
  </si>
  <si>
    <t>Legal settlement</t>
  </si>
  <si>
    <t>Other income related to adjustment of liabilities under tax receivable agreement</t>
  </si>
  <si>
    <t>(1,362</t>
  </si>
  <si>
    <t>(688</t>
  </si>
  <si>
    <t>Other income related to adjustment of liabilities under tax receivable agreement resulting from the enactment of the TCJA</t>
  </si>
  <si>
    <t>(125,859</t>
  </si>
  <si>
    <t>Other non-cash items</t>
  </si>
  <si>
    <t>ADJUSTED EBITDA</t>
  </si>
  <si>
    <t>Less than</t>
  </si>
  <si>
    <t>1 Year</t>
  </si>
  <si>
    <t>Years</t>
  </si>
  <si>
    <t>More Than</t>
  </si>
  <si>
    <t>5 Years</t>
  </si>
  <si>
    <t>Purchase obligations</t>
  </si>
  <si>
    <t>TOTAL</t>
  </si>
  <si>
    <t>Corporate EBIT</t>
    <phoneticPr fontId="1" type="noConversion"/>
  </si>
  <si>
    <t>Corporate Revenue</t>
    <phoneticPr fontId="1" type="noConversion"/>
  </si>
  <si>
    <t>Licensing</t>
    <phoneticPr fontId="1" type="noConversion"/>
  </si>
  <si>
    <t>Store Level Costs</t>
    <phoneticPr fontId="1" type="noConversion"/>
  </si>
  <si>
    <t>Gross Profit</t>
    <phoneticPr fontId="1" type="noConversion"/>
  </si>
  <si>
    <t>SG&amp;A</t>
    <phoneticPr fontId="1" type="noConversion"/>
  </si>
  <si>
    <t>Depreciation</t>
    <phoneticPr fontId="1" type="noConversion"/>
  </si>
  <si>
    <t xml:space="preserve">EBIT </t>
    <phoneticPr fontId="1" type="noConversion"/>
  </si>
  <si>
    <t>Pre-tax Income</t>
    <phoneticPr fontId="1" type="noConversion"/>
  </si>
  <si>
    <t>Income Tax</t>
    <phoneticPr fontId="1" type="noConversion"/>
  </si>
  <si>
    <t>Net Income</t>
    <phoneticPr fontId="1" type="noConversion"/>
  </si>
  <si>
    <t>Cash &amp; Cash Equivalents</t>
    <phoneticPr fontId="1" type="noConversion"/>
  </si>
  <si>
    <t>Accounts Receivable</t>
    <phoneticPr fontId="1" type="noConversion"/>
  </si>
  <si>
    <t>Inventories</t>
    <phoneticPr fontId="1" type="noConversion"/>
  </si>
  <si>
    <t>Prepaid Expenses &amp; Other</t>
    <phoneticPr fontId="1" type="noConversion"/>
  </si>
  <si>
    <t>Total Current Assets</t>
    <phoneticPr fontId="1" type="noConversion"/>
  </si>
  <si>
    <t>PP&amp;E</t>
    <phoneticPr fontId="1" type="noConversion"/>
  </si>
  <si>
    <t>Deferred Income Taxes</t>
    <phoneticPr fontId="1" type="noConversion"/>
  </si>
  <si>
    <t>Total Assets</t>
    <phoneticPr fontId="1" type="noConversion"/>
  </si>
  <si>
    <t>Accounts Payable</t>
    <phoneticPr fontId="1" type="noConversion"/>
  </si>
  <si>
    <t>Accrued Expenses</t>
    <phoneticPr fontId="1" type="noConversion"/>
  </si>
  <si>
    <t xml:space="preserve">Accrued Wages &amp; Related </t>
    <phoneticPr fontId="1" type="noConversion"/>
  </si>
  <si>
    <t>Other Current Liabilities</t>
    <phoneticPr fontId="1" type="noConversion"/>
  </si>
  <si>
    <t>Total Current Liabilities</t>
    <phoneticPr fontId="1" type="noConversion"/>
  </si>
  <si>
    <t>Other Long-term Liabilities</t>
    <phoneticPr fontId="1" type="noConversion"/>
  </si>
  <si>
    <t>Total Liabilites</t>
    <phoneticPr fontId="1" type="noConversion"/>
  </si>
  <si>
    <t>Total Equity</t>
    <phoneticPr fontId="1" type="noConversion"/>
  </si>
  <si>
    <t>Non-Controlling Interests</t>
    <phoneticPr fontId="1" type="noConversion"/>
  </si>
  <si>
    <t>Total Liabilities &amp; Equity</t>
    <phoneticPr fontId="1" type="noConversion"/>
  </si>
  <si>
    <t>Check</t>
    <phoneticPr fontId="1" type="noConversion"/>
  </si>
  <si>
    <t xml:space="preserve">Net Income to Common </t>
    <phoneticPr fontId="1" type="noConversion"/>
  </si>
  <si>
    <t xml:space="preserve">Non-Controlling Interests </t>
    <phoneticPr fontId="1" type="noConversion"/>
  </si>
  <si>
    <t>Operating</t>
  </si>
  <si>
    <t>Amortization</t>
  </si>
  <si>
    <t>Stock-based compensation expense</t>
  </si>
  <si>
    <t>Investing</t>
  </si>
  <si>
    <t>Financing</t>
  </si>
  <si>
    <t>Repurchase of equity</t>
  </si>
  <si>
    <t>Net Change in Cash</t>
  </si>
  <si>
    <t>Avg Unit Volume (% yoy)</t>
    <phoneticPr fontId="1" type="noConversion"/>
  </si>
  <si>
    <t xml:space="preserve"> &lt;&lt; add f/x conversion </t>
    <phoneticPr fontId="1" type="noConversion"/>
  </si>
  <si>
    <t>Avg Unit Volume (Reported)</t>
    <phoneticPr fontId="1" type="noConversion"/>
  </si>
  <si>
    <t>Avg Unit Volume (Implied)</t>
    <phoneticPr fontId="1" type="noConversion"/>
  </si>
  <si>
    <t>Systemwide</t>
    <phoneticPr fontId="1" type="noConversion"/>
  </si>
  <si>
    <t xml:space="preserve">Licensed (total) </t>
    <phoneticPr fontId="1" type="noConversion"/>
  </si>
  <si>
    <t>&lt;&lt;in-line w/ volume</t>
    <phoneticPr fontId="1" type="noConversion"/>
  </si>
  <si>
    <t>&lt;&lt;reduce NYC footage</t>
    <phoneticPr fontId="1" type="noConversion"/>
  </si>
  <si>
    <t>D&amp;A / Existing Store</t>
    <phoneticPr fontId="1" type="noConversion"/>
  </si>
  <si>
    <t>Loss on PP&amp;E Disposal (amount)</t>
    <phoneticPr fontId="1" type="noConversion"/>
  </si>
  <si>
    <t>New Store Openings (net)</t>
    <phoneticPr fontId="1" type="noConversion"/>
  </si>
  <si>
    <t>Closures (implied)</t>
    <phoneticPr fontId="1" type="noConversion"/>
  </si>
  <si>
    <t xml:space="preserve">Tax Rate % </t>
    <phoneticPr fontId="1" type="noConversion"/>
  </si>
  <si>
    <t>Total Stores</t>
    <phoneticPr fontId="1" type="noConversion"/>
  </si>
  <si>
    <t>Net Income Margin %</t>
    <phoneticPr fontId="1" type="noConversion"/>
  </si>
  <si>
    <t>Gross Profit Margin %</t>
    <phoneticPr fontId="1" type="noConversion"/>
  </si>
  <si>
    <t>EBIT Margin %</t>
    <phoneticPr fontId="1" type="noConversion"/>
  </si>
  <si>
    <t>Capital Lease</t>
  </si>
  <si>
    <t>Capital Leases</t>
  </si>
  <si>
    <t>Capital Leases</t>
    <phoneticPr fontId="1" type="noConversion"/>
  </si>
  <si>
    <t>Revolver</t>
  </si>
  <si>
    <t>Revolver</t>
    <phoneticPr fontId="1" type="noConversion"/>
  </si>
  <si>
    <t>Common Equity</t>
    <phoneticPr fontId="1" type="noConversion"/>
  </si>
  <si>
    <t>Other Operating Costs</t>
    <phoneticPr fontId="1" type="noConversion"/>
  </si>
  <si>
    <t>Company name:</t>
  </si>
  <si>
    <t>Circ switch:</t>
  </si>
  <si>
    <t>Latest update:</t>
  </si>
  <si>
    <t>Enterprise value:</t>
  </si>
  <si>
    <t>Created by:</t>
  </si>
  <si>
    <t>Wall Street Training</t>
  </si>
  <si>
    <t>Equity value:</t>
  </si>
  <si>
    <t xml:space="preserve"> </t>
    <phoneticPr fontId="26" type="noConversion"/>
  </si>
  <si>
    <t>Target price per share:</t>
  </si>
  <si>
    <t>No portion of this report may be reproduced, reused, or otherwise distributed in any form without prior written consent.</t>
  </si>
  <si>
    <t xml:space="preserve">For more information, please visit/contatct (주)월스트릿트레이닝아시아 through www.wallstreettraining.co.kr </t>
  </si>
  <si>
    <t>이 파일은 대한민국 및 미국 저작권법의 보호를 받는 저작물 입니다.</t>
  </si>
  <si>
    <t>파일의 원 저자로부터 서면에 의한 허락없이 이 파일의 일부나 전체를 어떠한 형태로도 가공/배포할 수 없습니다.</t>
  </si>
  <si>
    <t>이를 위반시에는 형사/민사상의 법적 책임을 질수 있으며, 특별한 문의가 있는경우 www.wallstreettraining.co.kr에 있는 정보로 연락주시기 바랍니다.</t>
  </si>
  <si>
    <t>Shake Shack - 3 Statement Model with DCF</t>
    <phoneticPr fontId="1" type="noConversion"/>
  </si>
  <si>
    <t>Shake Shack</t>
    <phoneticPr fontId="1" type="noConversion"/>
  </si>
  <si>
    <t>Ticker:</t>
    <phoneticPr fontId="1" type="noConversion"/>
  </si>
  <si>
    <t>SHAK</t>
    <phoneticPr fontId="1" type="noConversion"/>
  </si>
  <si>
    <t>(units in USD '000)</t>
  </si>
  <si>
    <t>(units in USD '000 except per share number)</t>
    <phoneticPr fontId="1" type="noConversion"/>
  </si>
  <si>
    <t>Historical Year Ending December 31,</t>
  </si>
  <si>
    <t>Projected year Ending December 31,</t>
  </si>
  <si>
    <t>Income Statement</t>
  </si>
  <si>
    <t>Income Statement</t>
    <phoneticPr fontId="1" type="noConversion"/>
  </si>
  <si>
    <t>Shake Shack, Inc (SHAK)</t>
    <phoneticPr fontId="1" type="noConversion"/>
  </si>
  <si>
    <t>Balance Sheet</t>
  </si>
  <si>
    <t>Balance Sheet</t>
    <phoneticPr fontId="1" type="noConversion"/>
  </si>
  <si>
    <t>Cash Flow Statement</t>
    <phoneticPr fontId="1" type="noConversion"/>
  </si>
  <si>
    <t>Operations Analysis &amp; Assumptions</t>
    <phoneticPr fontId="1" type="noConversion"/>
  </si>
  <si>
    <t>x</t>
  </si>
  <si>
    <t>x</t>
    <phoneticPr fontId="1" type="noConversion"/>
  </si>
  <si>
    <t>Cash Flow from Operations</t>
    <phoneticPr fontId="1" type="noConversion"/>
  </si>
  <si>
    <t>Cash Flow from Investing</t>
    <phoneticPr fontId="1" type="noConversion"/>
  </si>
  <si>
    <t>Cash Flow Available for Financing</t>
    <phoneticPr fontId="1" type="noConversion"/>
  </si>
  <si>
    <t>Cash Flow from Financing</t>
    <phoneticPr fontId="1" type="noConversion"/>
  </si>
  <si>
    <t>Store</t>
    <phoneticPr fontId="1" type="noConversion"/>
  </si>
  <si>
    <t>System-wide Revenue</t>
    <phoneticPr fontId="1" type="noConversion"/>
  </si>
  <si>
    <t>Licensed Location Revenue</t>
    <phoneticPr fontId="1" type="noConversion"/>
  </si>
  <si>
    <t>Company Operated Stores Revenue</t>
    <phoneticPr fontId="1" type="noConversion"/>
  </si>
  <si>
    <t>Revenue</t>
  </si>
  <si>
    <t>Revenue</t>
    <phoneticPr fontId="1" type="noConversion"/>
  </si>
  <si>
    <t>Operating Expenses</t>
    <phoneticPr fontId="1" type="noConversion"/>
  </si>
  <si>
    <t>Operating Profit</t>
    <phoneticPr fontId="1" type="noConversion"/>
  </si>
  <si>
    <t xml:space="preserve">Store-Level Operating Costs </t>
    <phoneticPr fontId="1" type="noConversion"/>
  </si>
  <si>
    <t>Other Operating Costs</t>
    <phoneticPr fontId="1" type="noConversion"/>
  </si>
  <si>
    <t>Store-Level Operating Costs per Store</t>
    <phoneticPr fontId="1" type="noConversion"/>
  </si>
  <si>
    <t>Other Operating Costs Analysis &amp; Assumptions</t>
    <phoneticPr fontId="1" type="noConversion"/>
  </si>
  <si>
    <t>Store-Level Operating Costs yoy % Changes</t>
    <phoneticPr fontId="1" type="noConversion"/>
  </si>
  <si>
    <t>Increase in Capital Leases</t>
    <phoneticPr fontId="1" type="noConversion"/>
  </si>
  <si>
    <t>Repayment of Capital Leases</t>
    <phoneticPr fontId="1" type="noConversion"/>
  </si>
  <si>
    <t>Working Capital</t>
    <phoneticPr fontId="1" type="noConversion"/>
  </si>
  <si>
    <t>Long-term Debt</t>
    <phoneticPr fontId="1" type="noConversion"/>
  </si>
  <si>
    <t>Store Opening Costs per New Store</t>
    <phoneticPr fontId="1" type="noConversion"/>
  </si>
  <si>
    <t>Total Non-cash Current Assets</t>
    <phoneticPr fontId="1" type="noConversion"/>
  </si>
  <si>
    <t>Total Non-debt Current Liabilities</t>
    <phoneticPr fontId="1" type="noConversion"/>
  </si>
  <si>
    <t>Sales</t>
  </si>
  <si>
    <t>Total Revenue</t>
  </si>
  <si>
    <t>Total Revenue</t>
    <phoneticPr fontId="1" type="noConversion"/>
  </si>
  <si>
    <t>Cost of Goods Sold</t>
    <phoneticPr fontId="1" type="noConversion"/>
  </si>
  <si>
    <t>Working Capital Balances</t>
  </si>
  <si>
    <t>Net Working Capital / (Deficit)</t>
  </si>
  <si>
    <t>(Increase) / Decrease in Net Working Capital</t>
  </si>
  <si>
    <t>Ratios &amp; Assumptions</t>
  </si>
  <si>
    <t>Numbers of days in a period</t>
  </si>
  <si>
    <t>Accrued Expenses (% of COGS)</t>
    <phoneticPr fontId="1" type="noConversion"/>
  </si>
  <si>
    <t>Accrued Wages &amp; Related (% of COGS)</t>
    <phoneticPr fontId="1" type="noConversion"/>
  </si>
  <si>
    <t>Other Current Liabilities (% of COGS)</t>
    <phoneticPr fontId="1" type="noConversion"/>
  </si>
  <si>
    <t>Inventories (Days Outstanding)</t>
    <phoneticPr fontId="1" type="noConversion"/>
  </si>
  <si>
    <t>Accounts Payable (Days Outstanding)</t>
    <phoneticPr fontId="1" type="noConversion"/>
  </si>
  <si>
    <t>x</t>
    <phoneticPr fontId="1" type="noConversion"/>
  </si>
  <si>
    <t>Other Long-term Assets</t>
  </si>
  <si>
    <t>Other Long-term Assets</t>
    <phoneticPr fontId="1" type="noConversion"/>
  </si>
  <si>
    <t>Accounts Receivable (Collection Period in Days)</t>
    <phoneticPr fontId="1" type="noConversion"/>
  </si>
  <si>
    <t>Other Current Assets (% of Revenue)</t>
    <phoneticPr fontId="1" type="noConversion"/>
  </si>
  <si>
    <t xml:space="preserve">Total Revenue </t>
    <phoneticPr fontId="1" type="noConversion"/>
  </si>
  <si>
    <t>PP&amp;E and Depreciation Schedule</t>
    <phoneticPr fontId="1" type="noConversion"/>
  </si>
  <si>
    <t>Capital Expenditure</t>
  </si>
  <si>
    <t>Capital Expenditure</t>
    <phoneticPr fontId="1" type="noConversion"/>
  </si>
  <si>
    <t>Shake Shack Inc. (NYSE:SHAK) &gt; Financials &gt; Key Stats</t>
  </si>
  <si>
    <t>In Thousands of the trading currency, except per share items.</t>
  </si>
  <si>
    <t>Currency:</t>
  </si>
  <si>
    <t>Trading Currency</t>
  </si>
  <si>
    <t> </t>
  </si>
  <si>
    <t>Conversion:</t>
  </si>
  <si>
    <t>Historical</t>
  </si>
  <si>
    <t>Order:</t>
  </si>
  <si>
    <t>Latest on Right</t>
  </si>
  <si>
    <t>Units:</t>
  </si>
  <si>
    <t>Thousands (k)</t>
  </si>
  <si>
    <t>Decimals:</t>
  </si>
  <si>
    <t>Capital IQ (Default)</t>
  </si>
  <si>
    <t>Dilution:</t>
  </si>
  <si>
    <t>Basic</t>
  </si>
  <si>
    <t>Key Financials¹</t>
  </si>
  <si>
    <t xml:space="preserve">For the Fiscal Period Ending
</t>
  </si>
  <si>
    <t>12 months
Dec-26-2012A</t>
  </si>
  <si>
    <t>12 months
Dec-25-2013A</t>
  </si>
  <si>
    <t>12 months
Dec-31-2014A</t>
  </si>
  <si>
    <t>12 months
Dec-30-2015A</t>
  </si>
  <si>
    <t>12 months
Dec-28-2016A</t>
  </si>
  <si>
    <t>12 months
Dec-27-2017A</t>
  </si>
  <si>
    <t>LTM²
12 months
Mar-28-2018A</t>
  </si>
  <si>
    <t>12 months†
Dec-31-2018E</t>
  </si>
  <si>
    <t>Currency</t>
  </si>
  <si>
    <t>USD</t>
  </si>
  <si>
    <t xml:space="preserve">  Growth Over Prior Year</t>
  </si>
  <si>
    <t>NA</t>
  </si>
  <si>
    <t>Gross Profit</t>
  </si>
  <si>
    <t>-</t>
  </si>
  <si>
    <t xml:space="preserve">  Margin %</t>
  </si>
  <si>
    <t>EBIT</t>
  </si>
  <si>
    <t>Earnings from Cont. Ops.</t>
  </si>
  <si>
    <t>Net Income</t>
  </si>
  <si>
    <t>Diluted EPS Excl. Extra Items³</t>
  </si>
  <si>
    <t>NM</t>
  </si>
  <si>
    <t xml:space="preserve"> </t>
  </si>
  <si>
    <t>Exchange Rate</t>
  </si>
  <si>
    <t>Conversion Method</t>
  </si>
  <si>
    <t>H</t>
  </si>
  <si>
    <t>S</t>
  </si>
  <si>
    <t>¹All results are taken from the most recently filed statement for each period. When there has been more than one, earlier filings can be viewed on the individual statement pages.</t>
  </si>
  <si>
    <t>²Growth rates for the LTM period are calculated against the LTM period ending 12 months before.</t>
  </si>
  <si>
    <t>³All forward period figures are consensus mean estimates provided by the brokers and may not be on a comparable basis as financials.</t>
  </si>
  <si>
    <t>†Growth rates for forward periods are calculated against prior period estimates or actual pro forma results as disclosed on the Estimates Consensus page.</t>
  </si>
  <si>
    <t>Growth Rates are calculated in originally reported currency only and will not reflect any currency conversion selected above.</t>
  </si>
  <si>
    <t>Latest Capitalization (Thousands of USD)</t>
  </si>
  <si>
    <t>Share Price</t>
  </si>
  <si>
    <t>Shares Out.</t>
  </si>
  <si>
    <t>Market Capitalization</t>
  </si>
  <si>
    <t>- Cash &amp; Short Term Investments</t>
  </si>
  <si>
    <t>+ Total Debt</t>
  </si>
  <si>
    <t>+ Pref. Equity</t>
  </si>
  <si>
    <t>+ Total Minority Interest</t>
  </si>
  <si>
    <t>= Total Enterprise Value (TEV)</t>
  </si>
  <si>
    <t>Implied Shares Outstanding</t>
  </si>
  <si>
    <t>Implied Market Capitalization</t>
  </si>
  <si>
    <t>Book Value of Common Equity</t>
  </si>
  <si>
    <t>= Total Capital</t>
  </si>
  <si>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</si>
  <si>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*Includes number of shares outstanding + shares held by non-controlling interest holders without accounting for dilutive securities</t>
  </si>
  <si>
    <t>Note: Striped area represents the impact of negative Net Liability on Market Cap.</t>
  </si>
  <si>
    <t>Total Liability includes Total Debt, Minority Interest and Pref. Equity.</t>
  </si>
  <si>
    <t>Net Liability includes Total Liability, net of Cash and Short Term Investments.</t>
  </si>
  <si>
    <t>TEV includes Market Cap and Net Liability.</t>
  </si>
  <si>
    <t>Total Capital includes Common Equity and Total Liability.</t>
  </si>
  <si>
    <t>Valuation Multiples based on Current Capitalization</t>
  </si>
  <si>
    <t>LTM
12 months
Mar-28-2018A</t>
  </si>
  <si>
    <t>12 months
Dec-31-2018E</t>
  </si>
  <si>
    <t>12 months
Dec-31-2019E</t>
  </si>
  <si>
    <t>12 months
Dec-31-2020E</t>
  </si>
  <si>
    <t>TEV/Total Revenue</t>
  </si>
  <si>
    <t>TEV/EBITDA</t>
  </si>
  <si>
    <t>TEV/EBIT</t>
  </si>
  <si>
    <t>P/Diluted EPS Before Extra</t>
  </si>
  <si>
    <t>P/BV</t>
  </si>
  <si>
    <t>Price/Tang BV</t>
  </si>
  <si>
    <t xml:space="preserve">
               </t>
  </si>
  <si>
    <t>Shake Shack Inc. (NYSE:SHAK) &gt; Financials &gt; Income Statement</t>
  </si>
  <si>
    <t>In Thousands of the reported currency, except per share items.</t>
  </si>
  <si>
    <t>Template:</t>
  </si>
  <si>
    <t>Standard</t>
  </si>
  <si>
    <t>Restatement:</t>
  </si>
  <si>
    <t>Latest Filings</t>
  </si>
  <si>
    <t>Period Type:</t>
  </si>
  <si>
    <t>Annual</t>
  </si>
  <si>
    <t>Reported Currency</t>
  </si>
  <si>
    <t>Source:</t>
  </si>
  <si>
    <t>Capital IQ &amp; Proprietary Data</t>
  </si>
  <si>
    <t>12 months
Dec-26-2012</t>
  </si>
  <si>
    <t>Reclassified
12 months
Dec-25-2013</t>
  </si>
  <si>
    <t>12 months
Dec-31-2014</t>
  </si>
  <si>
    <t>Reclassified
12 months
Dec-30-2015</t>
  </si>
  <si>
    <t>12 months
Dec-28-2016</t>
  </si>
  <si>
    <t>12 months
Dec-27-2017</t>
  </si>
  <si>
    <t>LTM
12 months
Mar-28-2018</t>
  </si>
  <si>
    <t>Other Revenue</t>
  </si>
  <si>
    <t xml:space="preserve">  Total Revenue</t>
  </si>
  <si>
    <t>Cost Of Goods Sold</t>
  </si>
  <si>
    <t xml:space="preserve">  Gross Profit</t>
  </si>
  <si>
    <t>Selling General &amp; Admin Exp.</t>
  </si>
  <si>
    <t>Pre-Opening Costs</t>
  </si>
  <si>
    <t>R &amp; D Exp.</t>
  </si>
  <si>
    <t>Depreciation &amp; Amort.</t>
  </si>
  <si>
    <t>Other Operating Expense/(Income)</t>
  </si>
  <si>
    <t xml:space="preserve">  Other Operating Exp., Total</t>
  </si>
  <si>
    <t xml:space="preserve">  Operating Income</t>
  </si>
  <si>
    <t>Interest Expense</t>
  </si>
  <si>
    <t>Interest and Invest. Income</t>
  </si>
  <si>
    <t xml:space="preserve">  Net Interest Exp.</t>
  </si>
  <si>
    <t>Other Non-Operating Inc. (Exp.)</t>
  </si>
  <si>
    <t xml:space="preserve">  EBT Excl. Unusual Items</t>
  </si>
  <si>
    <t>Impairment of Goodwill</t>
  </si>
  <si>
    <t>Gain (Loss) On Sale Of Invest.</t>
  </si>
  <si>
    <t>Gain (Loss) On Sale Of Assets</t>
  </si>
  <si>
    <t>Legal Settlements</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</si>
  <si>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</si>
  <si>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</si>
  <si>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</si>
  <si>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</si>
  <si>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</si>
  <si>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</si>
  <si>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</si>
  <si>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</si>
  <si>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</si>
  <si>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</si>
  <si>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</si>
  <si>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</si>
  <si>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</si>
  <si>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</si>
  <si>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</si>
  <si>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</si>
  <si>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</si>
  <si>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</si>
  <si>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</si>
  <si>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</si>
  <si>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</si>
  <si>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</si>
  <si>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Payout Ratio %</t>
  </si>
  <si>
    <t>Supplemental Items</t>
  </si>
  <si>
    <t>EBITA</t>
  </si>
  <si>
    <t>EBITDAR</t>
  </si>
  <si>
    <t>As Reported Total Revenue*</t>
  </si>
  <si>
    <t>Effective Tax Rate %</t>
  </si>
  <si>
    <t>Current Domestic Taxes</t>
  </si>
  <si>
    <t>Current Foreign Taxes</t>
  </si>
  <si>
    <t>Total Current Taxes</t>
  </si>
  <si>
    <t>Deferred Domestic Taxes</t>
  </si>
  <si>
    <t>Total Deferred Taxes</t>
  </si>
  <si>
    <t>Normalized Net Income</t>
  </si>
  <si>
    <t>Interest Capitalized</t>
  </si>
  <si>
    <t>Interest on Long Term Debt</t>
  </si>
  <si>
    <t>Filing Date</t>
  </si>
  <si>
    <t>Restatement Type</t>
  </si>
  <si>
    <t>NC</t>
  </si>
  <si>
    <t>RC</t>
  </si>
  <si>
    <t>O</t>
  </si>
  <si>
    <t>Calculation Type</t>
  </si>
  <si>
    <t>REP</t>
  </si>
  <si>
    <t>LTM</t>
  </si>
  <si>
    <t>Supplemental Operating Expense Items</t>
  </si>
  <si>
    <t>Advertising Exp.</t>
  </si>
  <si>
    <t>General and Administrative Exp.</t>
  </si>
  <si>
    <t>Net Rental Exp.</t>
  </si>
  <si>
    <t>Imputed Oper. Lease Interest Exp.</t>
  </si>
  <si>
    <t>Imputed Oper. Lease Depreciation</t>
  </si>
  <si>
    <t>Stock-Based Comp., G&amp;A Exp.</t>
  </si>
  <si>
    <t>Stock-Based Comp., Unallocated</t>
  </si>
  <si>
    <t xml:space="preserve">  Stock-Based Comp., Total</t>
  </si>
  <si>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</si>
  <si>
    <t>Note: For multiple class companies, per share items are primary class equivalent, and for foreign companies listed as primary ADRs, per share items are ADR-equivalent.</t>
  </si>
  <si>
    <t>Shake Shack Inc. (NYSE:SHAK) &gt; Financials &gt; Balance Sheet</t>
  </si>
  <si>
    <t xml:space="preserve">Balance Sheet as of:
</t>
  </si>
  <si>
    <t>Reclassified
Dec-31-2014</t>
  </si>
  <si>
    <t>ASSETS</t>
  </si>
  <si>
    <t>Cash And Equivalents</t>
  </si>
  <si>
    <t>Short Term Investments</t>
  </si>
  <si>
    <t xml:space="preserve">  Total Cash &amp; ST Investments</t>
  </si>
  <si>
    <t>Accounts Receivable</t>
  </si>
  <si>
    <t>Other Receivables</t>
  </si>
  <si>
    <t xml:space="preserve">  Total Receivables</t>
  </si>
  <si>
    <t>Inventory</t>
  </si>
  <si>
    <t>Prepaid Exp.</t>
  </si>
  <si>
    <t>Other Current Assets</t>
  </si>
  <si>
    <t xml:space="preserve">  Total Current Assets</t>
  </si>
  <si>
    <t>Gross Property, Plant &amp; Equipment</t>
  </si>
  <si>
    <t>Accumulated Depreciation</t>
  </si>
  <si>
    <t xml:space="preserve">  Net Property, Plant &amp; Equipment</t>
  </si>
  <si>
    <t>Other Intangibles</t>
  </si>
  <si>
    <t>Deferred Tax Assets, LT</t>
  </si>
  <si>
    <t>Deferred Charges, LT</t>
  </si>
  <si>
    <t>Other Long-Term Assets</t>
  </si>
  <si>
    <t>Total Assets</t>
  </si>
  <si>
    <t>LIABILITIES</t>
  </si>
  <si>
    <t>Accounts Payable</t>
  </si>
  <si>
    <t>Accrued Exp.</t>
  </si>
  <si>
    <t>Short-term Borrowings</t>
  </si>
  <si>
    <t>Unearned Revenue, Current</t>
  </si>
  <si>
    <t>Other Current Liabilities</t>
  </si>
  <si>
    <t xml:space="preserve">  Total Current Liabilities</t>
  </si>
  <si>
    <t>Long-Term Debt</t>
  </si>
  <si>
    <t>Unearned Revenue, Non-Current</t>
  </si>
  <si>
    <t>Other Non-Current Liabilities</t>
  </si>
  <si>
    <t>Total Liabilities</t>
  </si>
  <si>
    <t>Common Stock</t>
  </si>
  <si>
    <t>Additional Paid In Capital</t>
  </si>
  <si>
    <t>Retained Earnings</t>
  </si>
  <si>
    <t>Treasury Stock</t>
  </si>
  <si>
    <t>Comprehensive Inc. and Other</t>
  </si>
  <si>
    <t xml:space="preserve">  Total Common Equity</t>
  </si>
  <si>
    <t>Minority Interest</t>
  </si>
  <si>
    <t>Total Equity</t>
  </si>
  <si>
    <t>Total Liabilities And Equity</t>
  </si>
  <si>
    <t>Total Shares Out. on Filing Date</t>
  </si>
  <si>
    <t>Total Shares Out. on Balance Sheet Date</t>
  </si>
  <si>
    <t>Book Value/Share</t>
  </si>
  <si>
    <t>Tangible Book Value</t>
  </si>
  <si>
    <t>Tangible Book Value/Share</t>
  </si>
  <si>
    <t>Total Debt</t>
  </si>
  <si>
    <t>Net Debt</t>
  </si>
  <si>
    <t>Debt Equivalent Oper. Leases</t>
  </si>
  <si>
    <t>Total Minority Interest</t>
  </si>
  <si>
    <t>Inventory Method</t>
  </si>
  <si>
    <t>FIFO</t>
  </si>
  <si>
    <t>Finished Goods Inventory</t>
  </si>
  <si>
    <t>Machinery</t>
  </si>
  <si>
    <t>Construction in Progress</t>
  </si>
  <si>
    <t>Leasehold Improvements</t>
  </si>
  <si>
    <t>Full Time Employees</t>
  </si>
  <si>
    <t>RUP</t>
  </si>
  <si>
    <t>Note: For multiple class companies, total share counts are primary class equivalent, and for foreign companies listed as primary ADRs, total share counts are ADR-equivalent.</t>
  </si>
  <si>
    <t>Shake Shack Inc. (NYSE:SHAK) &gt; Financials &gt; Cash Flow</t>
  </si>
  <si>
    <t>Cash Flow</t>
  </si>
  <si>
    <t>12 months
Dec-25-2013</t>
  </si>
  <si>
    <t>12 months
Dec-30-2015</t>
  </si>
  <si>
    <t>Depreciation &amp; Amort., Total</t>
  </si>
  <si>
    <t>(Gain) Loss From Sale Of Assets</t>
  </si>
  <si>
    <t>(Gain) Loss On Sale Of Invest.</t>
  </si>
  <si>
    <t>Stock-Based Compensation</t>
  </si>
  <si>
    <t>Tax Benefit from Stock Options</t>
  </si>
  <si>
    <t>Other Operating Activities</t>
  </si>
  <si>
    <t>Change in Acc. Receivable</t>
  </si>
  <si>
    <t>Change In Inventories</t>
  </si>
  <si>
    <t>Change in Acc. Payable</t>
  </si>
  <si>
    <t>Change in Other Net Operating Assets</t>
  </si>
  <si>
    <t xml:space="preserve">  Cash from Ops.</t>
  </si>
  <si>
    <t>Cash Acquisitions</t>
  </si>
  <si>
    <t>Divestitures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</si>
  <si>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</si>
  <si>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</si>
  <si>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</si>
  <si>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</si>
  <si>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</si>
  <si>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</si>
  <si>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</si>
  <si>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</si>
  <si>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</si>
  <si>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</si>
  <si>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</si>
  <si>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Common Dividends Paid</t>
  </si>
  <si>
    <t>Total Dividends Paid</t>
  </si>
  <si>
    <t>Special Dividend Paid</t>
  </si>
  <si>
    <t>Other Financing Activities</t>
  </si>
  <si>
    <t xml:space="preserve">  Cash from Financing</t>
  </si>
  <si>
    <t xml:space="preserve">  Net Change in Cash</t>
  </si>
  <si>
    <t>Cash Interest Paid</t>
  </si>
  <si>
    <t>Cash Taxes Paid</t>
  </si>
  <si>
    <t>Levered Free Cash Flow</t>
  </si>
  <si>
    <t>Unlevered Free Cash Flow</t>
  </si>
  <si>
    <t>Change in Net Working Capital</t>
  </si>
  <si>
    <t>Net Debt Issued</t>
  </si>
  <si>
    <t>Shake Shack Inc. (NYSE:SHAK) &gt; Financials &gt; Multiples</t>
  </si>
  <si>
    <t>View:</t>
  </si>
  <si>
    <t>Data</t>
  </si>
  <si>
    <t>Frequency:</t>
  </si>
  <si>
    <t>Quarterly</t>
  </si>
  <si>
    <t>Multiples Detail
                     In Thousands of the reported currency, except per share items.</t>
  </si>
  <si>
    <t>For Quarter Ending</t>
  </si>
  <si>
    <t>TEV/LTM Total Revenue</t>
  </si>
  <si>
    <t>Average</t>
  </si>
  <si>
    <t>High</t>
  </si>
  <si>
    <t>Low</t>
  </si>
  <si>
    <t>Close</t>
  </si>
  <si>
    <t>TEV/NTM Total Revenues</t>
  </si>
  <si>
    <t>TEV/LTM EBITDA</t>
  </si>
  <si>
    <t>TEV/NTM EBITDA</t>
  </si>
  <si>
    <t>TEV/LTM EBIT</t>
  </si>
  <si>
    <t>TEV/NTM EBIT</t>
  </si>
  <si>
    <t>P/LTM EPS</t>
  </si>
  <si>
    <t>P/NTM EPS</t>
  </si>
  <si>
    <t>P/LTM Normalized EPS</t>
  </si>
  <si>
    <t>P/Tangible BV</t>
  </si>
  <si>
    <t>P/NTM CFPS</t>
  </si>
  <si>
    <t>TEV/LTM Unlevered FCF</t>
  </si>
  <si>
    <t>Market Cap/LTM Levered FCF</t>
  </si>
  <si>
    <t>Average multiples are calculated using positive close values on each trading day within the frequency periods selected. Negative values are excluded from the calculation. When the Multiples are not meaningful, due to negative values, then they will not be displayed in the chart.</t>
  </si>
  <si>
    <t>When a mismatch exists between the currency of the equity listing and the reported financial results such results are translated into the currency of the listing at the exchange rate applicable on the financial period end date.</t>
  </si>
  <si>
    <t>Historical Equity Pricing Data supplied by Interactive Data Pricing and Reference Data LLC</t>
  </si>
  <si>
    <t>Shake Shack Inc. (NYSE:SHAK) &gt; Financials &gt; Historical Capitalization</t>
  </si>
  <si>
    <t>Historical Capitalization</t>
  </si>
  <si>
    <t>Pricing as of*</t>
  </si>
  <si>
    <t>Capitalization Detail</t>
  </si>
  <si>
    <t>Implied Shares Outstanding***</t>
  </si>
  <si>
    <t>Implied Market Capitalization***</t>
  </si>
  <si>
    <t>* Pricing as of the filing date of the balance sheet period end date. For TEV calculation purposes on this page Capital IQ only uses balance sheet components from the original filing that is publicly available as of a given pricing date and does not use restated balance sheet data from a later filing. In the cases where a company did not disclose balance sheet values for a particular period, TEV is calculated using balance sheet components from the last reported balance sheet as of this date. The table above is organized along period end dates.</t>
  </si>
  <si>
    <t>** 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</si>
  <si>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 Includes number of shares outstanding + shares held by non-controlling interest holders without accounting for dilutive securities.</t>
  </si>
  <si>
    <t>Shake Shack Inc. (NYSE:SHAK) &gt; Financials &gt; Capital Structure Summary</t>
  </si>
  <si>
    <t>In Thousands of the reported currency, except ratios and % of Total values.</t>
  </si>
  <si>
    <t>Capital Structure Data</t>
  </si>
  <si>
    <t xml:space="preserve"> For the Fiscal Period Ending
</t>
  </si>
  <si>
    <t xml:space="preserve"> 12 months Dec-26-2012</t>
  </si>
  <si>
    <t xml:space="preserve"> 12 months Dec-25-2013</t>
  </si>
  <si>
    <t xml:space="preserve"> 12 months Dec-31-2014</t>
  </si>
  <si>
    <t xml:space="preserve"> 12 months Dec-30-2015</t>
  </si>
  <si>
    <t xml:space="preserve"> 12 months Dec-28-2016</t>
  </si>
  <si>
    <t xml:space="preserve"> 12 months Dec-27-2017</t>
  </si>
  <si>
    <t xml:space="preserve"> 3 months Mar-28-2018</t>
  </si>
  <si>
    <t xml:space="preserve"> Currency</t>
  </si>
  <si>
    <t xml:space="preserve"> USD</t>
  </si>
  <si>
    <t xml:space="preserve"> Units</t>
  </si>
  <si>
    <t xml:space="preserve"> Thousands</t>
  </si>
  <si>
    <t>% of Total</t>
  </si>
  <si>
    <t>Total Common Equity</t>
  </si>
  <si>
    <t xml:space="preserve">  Total Capital</t>
  </si>
  <si>
    <t>Debt Summary Data</t>
  </si>
  <si>
    <t>Total Revolving Credit</t>
  </si>
  <si>
    <t>Total Senior Bonds and Notes</t>
  </si>
  <si>
    <t>Total Capital Leases</t>
  </si>
  <si>
    <t xml:space="preserve">  Total Principal Due</t>
  </si>
  <si>
    <t xml:space="preserve">  Total Debt Outstanding</t>
  </si>
  <si>
    <t>Available Credit</t>
  </si>
  <si>
    <t>Undrawn Revolving Credit</t>
  </si>
  <si>
    <t xml:space="preserve">  Total Undrawn Credit</t>
  </si>
  <si>
    <t>Additional Totals</t>
  </si>
  <si>
    <t>Total Cash &amp; ST Investments</t>
  </si>
  <si>
    <t>Total Senior Debt</t>
  </si>
  <si>
    <t>Total Convertible Debt</t>
  </si>
  <si>
    <t>Total Short-Term Borrowings</t>
  </si>
  <si>
    <t>Long-Term Debt (Incl. Cap. Leases)</t>
  </si>
  <si>
    <t>Total Bank Debt</t>
  </si>
  <si>
    <t>Total Secured Debt</t>
  </si>
  <si>
    <t>Senior Secured Loans</t>
  </si>
  <si>
    <t>Total Senior Secured Debt</t>
  </si>
  <si>
    <t>Total Unsecured Debt</t>
  </si>
  <si>
    <t>Senior Unsecured Bonds and Notes</t>
  </si>
  <si>
    <t>Fixed Rate Debt</t>
  </si>
  <si>
    <t>Variable Rate Debt</t>
  </si>
  <si>
    <t>Credit Ratios</t>
  </si>
  <si>
    <t>Net Debt/EBITDA</t>
  </si>
  <si>
    <t>Total Debt/EBITDA</t>
  </si>
  <si>
    <t>Total Senior Debt/EBITDA</t>
  </si>
  <si>
    <t>Total Senior Secured/EBITDA</t>
  </si>
  <si>
    <t>Net Debt/(EBITDA-CAPEX)</t>
  </si>
  <si>
    <t>Total Debt/(EBITDA-CAPEX)</t>
  </si>
  <si>
    <t>Total Senior Debt/(EBITDA-CAPEX)</t>
  </si>
  <si>
    <t>Total Senior Secured/(EBITDA-CAPEX)</t>
  </si>
  <si>
    <t>Fixed Payment Schedule</t>
  </si>
  <si>
    <t>LT Debt (Incl. Cap. Leases) Due, After 5 Yrs</t>
  </si>
  <si>
    <t>Cap. Lease Payment Due +1</t>
  </si>
  <si>
    <t>Cap. Lease Payment Due +2</t>
  </si>
  <si>
    <t>Cap. Lease Payment Due +3</t>
  </si>
  <si>
    <t>Cap. Lease Payment Due +4</t>
  </si>
  <si>
    <t>Cap. Lease Payment Due +5</t>
  </si>
  <si>
    <t>Cap. Lease Payment Due, Next 5 Yrs</t>
  </si>
  <si>
    <t>Cap. Lease Payment Due, After 5 Yrs</t>
  </si>
  <si>
    <t>Cap. Lease Payment Due (incl. Interest) +1</t>
  </si>
  <si>
    <t>Operating Lease Commitment Due +1</t>
  </si>
  <si>
    <t>Operating Lease Commitment Due +2</t>
  </si>
  <si>
    <t>Operating Lease Commitment Due +3</t>
  </si>
  <si>
    <t>Operating Lease Commitment Due +4</t>
  </si>
  <si>
    <t>Operating Lease Commitment Due +5</t>
  </si>
  <si>
    <t>Operating Lease Commitment Due, Next 5 Yrs</t>
  </si>
  <si>
    <t>Operating Lease Commitment Due, After 5 Yrs</t>
  </si>
  <si>
    <t>Contractual Obligations Due +1</t>
  </si>
  <si>
    <t>Contractual Obligations Due + 2</t>
  </si>
  <si>
    <t>Contractual Obligations Due + 3</t>
  </si>
  <si>
    <t>Contractual Obligations Due + 4</t>
  </si>
  <si>
    <t>Contractual Obligations Due + 5</t>
  </si>
  <si>
    <t>Contractual Obligations Due, Next 5 Yrs</t>
  </si>
  <si>
    <t>Contractual Obligations Due, After 5 Yrs</t>
  </si>
  <si>
    <t>Total Contractual Obligations</t>
  </si>
  <si>
    <t>Interest Rate Data</t>
  </si>
  <si>
    <t>Shake Shack Inc. (NYSE:SHAK) &gt; Financials &gt; Capital Structure Details</t>
  </si>
  <si>
    <t>Principal Due in Thousands of the reported currency.</t>
  </si>
  <si>
    <t>A 2017 filed Feb-26-2018</t>
  </si>
  <si>
    <t>FY 2017 (Dec-27-2017) Capital Structure As Reported Details</t>
  </si>
  <si>
    <t>Description</t>
  </si>
  <si>
    <t>Type</t>
  </si>
  <si>
    <t>Principal Due (USD)</t>
  </si>
  <si>
    <t>Coupon/Base Rate</t>
  </si>
  <si>
    <t>Floating Rate</t>
  </si>
  <si>
    <t>Maturity</t>
  </si>
  <si>
    <t>Seniority</t>
  </si>
  <si>
    <t>Secured</t>
  </si>
  <si>
    <t>Convertible</t>
  </si>
  <si>
    <t>Repayment Currency</t>
  </si>
  <si>
    <t>Deemed Landlord Financing Lease</t>
  </si>
  <si>
    <t>Senior</t>
  </si>
  <si>
    <t>Yes</t>
  </si>
  <si>
    <t>No</t>
  </si>
  <si>
    <t>Revolving Credit Facility</t>
  </si>
  <si>
    <t>Revolving Credit</t>
  </si>
  <si>
    <t>3.300%</t>
  </si>
  <si>
    <t>Benchmark</t>
  </si>
  <si>
    <t>Exchangeable</t>
  </si>
  <si>
    <t>FY 2016 (Dec-28-2016) Capital Structure As Reported Details</t>
  </si>
  <si>
    <t>Shake Shack Inc. (NYSE:SHAK) &gt; Financials &gt; Ratios</t>
  </si>
  <si>
    <t>Ratios</t>
  </si>
  <si>
    <t>Profitability</t>
  </si>
  <si>
    <t xml:space="preserve">  Return on Assets %</t>
  </si>
  <si>
    <t xml:space="preserve">  Return on Capital %</t>
  </si>
  <si>
    <t xml:space="preserve">  Return on Equity %</t>
  </si>
  <si>
    <t xml:space="preserve">  Return on Common Equity %</t>
  </si>
  <si>
    <t>Margin Analysis</t>
  </si>
  <si>
    <t xml:space="preserve">  Gross Margin %</t>
  </si>
  <si>
    <t xml:space="preserve">  SG&amp;A Margin %</t>
  </si>
  <si>
    <t xml:space="preserve">  EBITDA Margin %</t>
  </si>
  <si>
    <t xml:space="preserve">  EBITA Margin %</t>
  </si>
  <si>
    <t xml:space="preserve">  EBIT Margin %</t>
  </si>
  <si>
    <t xml:space="preserve">  Earnings from Cont. Ops Margin %</t>
  </si>
  <si>
    <t xml:space="preserve">  Net Income Margin %</t>
  </si>
  <si>
    <t xml:space="preserve">  Net Income Avail. for Common Margin %</t>
  </si>
  <si>
    <t xml:space="preserve">  Normalized Net Income Margin %</t>
  </si>
  <si>
    <t xml:space="preserve">  Levered Free Cash Flow Margin %</t>
  </si>
  <si>
    <t xml:space="preserve">  Unlevered Free Cash Flow Margin %</t>
  </si>
  <si>
    <t>Asset Turnover</t>
  </si>
  <si>
    <t xml:space="preserve">  Total Asset Turnover</t>
  </si>
  <si>
    <t xml:space="preserve">  Fixed Asset Turnover</t>
  </si>
  <si>
    <t xml:space="preserve">  Accounts Receivable Turnover</t>
  </si>
  <si>
    <t xml:space="preserve">  Inventory Turnover</t>
  </si>
  <si>
    <t>Short Term Liquidity</t>
  </si>
  <si>
    <t xml:space="preserve">  Current Ratio</t>
  </si>
  <si>
    <t xml:space="preserve">  Quick Ratio</t>
  </si>
  <si>
    <t xml:space="preserve">  Cash from Ops. to Curr. Liab.</t>
  </si>
  <si>
    <t xml:space="preserve">  Avg. Days Sales Out.</t>
  </si>
  <si>
    <t xml:space="preserve">  Avg. Days Inventory Out.</t>
  </si>
  <si>
    <t xml:space="preserve">  Avg. Days Payable Out.</t>
  </si>
  <si>
    <t xml:space="preserve">  Avg. Cash Conversion Cycle</t>
  </si>
  <si>
    <t>Long Term Solvency</t>
  </si>
  <si>
    <t xml:space="preserve">  Total Debt/Equity</t>
  </si>
  <si>
    <t xml:space="preserve">  Total Debt/Capital</t>
  </si>
  <si>
    <t xml:space="preserve">  LT Debt/Equity</t>
  </si>
  <si>
    <t xml:space="preserve">  LT Debt/Capital</t>
  </si>
  <si>
    <t xml:space="preserve">  Total Liabilities/Total Assets</t>
  </si>
  <si>
    <t xml:space="preserve">  EBIT / Interest Exp.</t>
  </si>
  <si>
    <t xml:space="preserve">  EBITDA / Interest Exp.</t>
  </si>
  <si>
    <t xml:space="preserve">  (EBITDA-CAPEX) / Interest Exp.</t>
  </si>
  <si>
    <t xml:space="preserve">  Total Debt/EBITDA</t>
  </si>
  <si>
    <t xml:space="preserve">  Net Debt/EBITDA</t>
  </si>
  <si>
    <t xml:space="preserve">  Total Debt/(EBITDA-CAPEX)</t>
  </si>
  <si>
    <t xml:space="preserve">  Net Debt/(EBITDA-CAPEX)</t>
  </si>
  <si>
    <t xml:space="preserve">  Altman Z Score</t>
  </si>
  <si>
    <t>Growth Over Prior Year</t>
  </si>
  <si>
    <t xml:space="preserve">  EBITDA</t>
  </si>
  <si>
    <t xml:space="preserve">  EBITA</t>
  </si>
  <si>
    <t xml:space="preserve">  EBIT</t>
  </si>
  <si>
    <t xml:space="preserve">  Normalized Net Income</t>
  </si>
  <si>
    <t xml:space="preserve">  Diluted EPS before Extra</t>
  </si>
  <si>
    <t xml:space="preserve">  Accounts Receivable</t>
  </si>
  <si>
    <t xml:space="preserve">  Inventory</t>
  </si>
  <si>
    <t xml:space="preserve">  Net PP&amp;E</t>
  </si>
  <si>
    <t xml:space="preserve">  Total Assets</t>
  </si>
  <si>
    <t xml:space="preserve">  Tangible Book Value</t>
  </si>
  <si>
    <t xml:space="preserve">  Common Equity</t>
  </si>
  <si>
    <t xml:space="preserve">  Capital Expenditures</t>
  </si>
  <si>
    <t xml:space="preserve">  Levered Free Cash Flow</t>
  </si>
  <si>
    <t xml:space="preserve">  Unlevered Free Cash Flow</t>
  </si>
  <si>
    <t xml:space="preserve">  Dividend per Share</t>
  </si>
  <si>
    <t>Compound Annual Growth Rate Over Two Years</t>
  </si>
  <si>
    <t>Compound Annual Growth Rate Over Three Years</t>
  </si>
  <si>
    <t>Compound Annual Growth Rate Over Five Years</t>
  </si>
  <si>
    <t>Shake Shack Inc. (NYSE:SHAK) &gt; Financials &gt; Supplemental</t>
  </si>
  <si>
    <t>Supplemental</t>
  </si>
  <si>
    <t>Options Outstanding - Class A</t>
  </si>
  <si>
    <t>Options Out. at the Beginning of the Period</t>
  </si>
  <si>
    <t>Options Granted During the Period</t>
  </si>
  <si>
    <t>Options Exercised During the Period</t>
  </si>
  <si>
    <t>Options Cancelled During the Period</t>
  </si>
  <si>
    <t>Options Out. at the End of the Period</t>
  </si>
  <si>
    <t>W/Avg. Strike Price of Out. at the End of the Period</t>
  </si>
  <si>
    <t>W/Avg. Strike Price of Granted</t>
  </si>
  <si>
    <t>Options Outstanding - All Classes</t>
  </si>
  <si>
    <t>Stock Based Compensation</t>
  </si>
  <si>
    <t>Restr. Stock Comp. Exp., Before Tax</t>
  </si>
  <si>
    <t>Restr. Stock Comp. Exp. Tax Effect</t>
  </si>
  <si>
    <t>Restr. Stock Comp. Exp., After Tax</t>
  </si>
  <si>
    <t>Stock Options Comp. Exp., Before Tax</t>
  </si>
  <si>
    <t>Stock Based Comp. Exp., Before Tax</t>
  </si>
  <si>
    <t>Stock Based Comp. Exp. Tax Effect</t>
  </si>
  <si>
    <t>Stock Based Comp. Exp., After Tax</t>
  </si>
  <si>
    <t>Loss Carry Forward Related Items</t>
  </si>
  <si>
    <t>NOL C/F, After Five Years</t>
  </si>
  <si>
    <t>Total NOL C/F</t>
  </si>
  <si>
    <t>Max. Year for NOL C/F</t>
  </si>
  <si>
    <t>Tax Benefit C/F, After Five Years</t>
  </si>
  <si>
    <t>Total Tax Benefit C/F</t>
  </si>
  <si>
    <t>Capitalized Interest Data</t>
  </si>
  <si>
    <t>Fair Value Measurements</t>
  </si>
  <si>
    <t>Level 1 Assets - Quoted Prices</t>
  </si>
  <si>
    <t>Level 2 Assets - Observable Prices</t>
  </si>
  <si>
    <t>Fair Value of Assets</t>
  </si>
  <si>
    <t>Shake Shack Inc. (NYSE:SHAK) &gt; Financials &gt; Segments</t>
  </si>
  <si>
    <t>In Thousands of the reported currency.</t>
  </si>
  <si>
    <t>View By:</t>
  </si>
  <si>
    <t>Line Items</t>
  </si>
  <si>
    <t>Business Segments</t>
  </si>
  <si>
    <t>Revenues</t>
  </si>
  <si>
    <t>Operates and Licenses Restaurants</t>
  </si>
  <si>
    <t xml:space="preserve">  Total Revenues</t>
  </si>
  <si>
    <t>Operating Profit Before Tax</t>
  </si>
  <si>
    <t xml:space="preserve">  Total Operating Profit Before Tax</t>
  </si>
  <si>
    <t xml:space="preserve">  Total Interest Expense</t>
  </si>
  <si>
    <t>Net Profit Before Tax</t>
  </si>
  <si>
    <t xml:space="preserve">  Total Net Profit Before Tax</t>
  </si>
  <si>
    <t>Tax Expense</t>
  </si>
  <si>
    <t xml:space="preserve">  Total Tax Expense</t>
  </si>
  <si>
    <t>Net Profit After Tax</t>
  </si>
  <si>
    <t xml:space="preserve">  Total Net Profit After Tax</t>
  </si>
  <si>
    <t>Assets</t>
  </si>
  <si>
    <t>Depreciation &amp; Amortization</t>
  </si>
  <si>
    <t xml:space="preserve">  Total Depreciation &amp; Amortization</t>
  </si>
  <si>
    <t xml:space="preserve">  Total Capital Expenditure</t>
  </si>
  <si>
    <t>Geographic Segments</t>
  </si>
  <si>
    <t>United States</t>
  </si>
  <si>
    <t>Other Countries</t>
  </si>
  <si>
    <t>Capex as % of Revenue</t>
    <phoneticPr fontId="1" type="noConversion"/>
  </si>
  <si>
    <t>Depreciation as % of Net PP&amp;E</t>
    <phoneticPr fontId="1" type="noConversion"/>
  </si>
  <si>
    <t>Beginning Net PP&amp;E</t>
    <phoneticPr fontId="1" type="noConversion"/>
  </si>
  <si>
    <t>(Depreciation Expense)</t>
    <phoneticPr fontId="1" type="noConversion"/>
  </si>
  <si>
    <t>(Asset Sales)</t>
    <phoneticPr fontId="1" type="noConversion"/>
  </si>
  <si>
    <t>Ending Net PP&amp;E</t>
    <phoneticPr fontId="1" type="noConversion"/>
  </si>
  <si>
    <t>New Store Openings (gross)</t>
    <phoneticPr fontId="1" type="noConversion"/>
  </si>
  <si>
    <t>New Domestic Company Store Openings (gross)</t>
    <phoneticPr fontId="1" type="noConversion"/>
  </si>
  <si>
    <t>Capex / New Stores Opened</t>
    <phoneticPr fontId="1" type="noConversion"/>
  </si>
  <si>
    <t>G&amp;A as % of Co. Operated Store Rev.</t>
    <phoneticPr fontId="1" type="noConversion"/>
  </si>
  <si>
    <t>Depreciation / Existing Store</t>
    <phoneticPr fontId="1" type="noConversion"/>
  </si>
  <si>
    <t xml:space="preserve">Capex / Depreciation </t>
    <phoneticPr fontId="1" type="noConversion"/>
  </si>
  <si>
    <t>Depreciation Expense</t>
    <phoneticPr fontId="1" type="noConversion"/>
  </si>
  <si>
    <t>Implied Useful Life (Years)</t>
    <phoneticPr fontId="1" type="noConversion"/>
  </si>
  <si>
    <t>Step</t>
    <phoneticPr fontId="1" type="noConversion"/>
  </si>
  <si>
    <t>PP&amp;E BASE Table</t>
    <phoneticPr fontId="1" type="noConversion"/>
  </si>
  <si>
    <t>Capital Expenditures</t>
    <phoneticPr fontId="1" type="noConversion"/>
  </si>
  <si>
    <t>Asset Sales</t>
    <phoneticPr fontId="1" type="noConversion"/>
  </si>
  <si>
    <t>Additions to Intangibles</t>
    <phoneticPr fontId="1" type="noConversion"/>
  </si>
  <si>
    <t>Net Income</t>
    <phoneticPr fontId="1" type="noConversion"/>
  </si>
  <si>
    <t>Stock-based Compensation Expense</t>
    <phoneticPr fontId="1" type="noConversion"/>
  </si>
  <si>
    <t>Change in Working Capital</t>
    <phoneticPr fontId="1" type="noConversion"/>
  </si>
  <si>
    <t>Change in Other LT Assets &amp; Liabilities</t>
    <phoneticPr fontId="1" type="noConversion"/>
  </si>
  <si>
    <t>Issuance/(Repayment) of Revolver</t>
    <phoneticPr fontId="1" type="noConversion"/>
  </si>
  <si>
    <t>Increase in Long-term Debt</t>
    <phoneticPr fontId="1" type="noConversion"/>
  </si>
  <si>
    <t>Repayment of Long-term Debt</t>
    <phoneticPr fontId="1" type="noConversion"/>
  </si>
  <si>
    <t>Repurchase of Equity</t>
    <phoneticPr fontId="1" type="noConversion"/>
  </si>
  <si>
    <t>Dividends Paid Out</t>
    <phoneticPr fontId="1" type="noConversion"/>
  </si>
  <si>
    <t>Proceeds from Options</t>
    <phoneticPr fontId="1" type="noConversion"/>
  </si>
  <si>
    <t>Beginning Cash Balance</t>
    <phoneticPr fontId="1" type="noConversion"/>
  </si>
  <si>
    <t>Ending Cash Balance</t>
    <phoneticPr fontId="1" type="noConversion"/>
  </si>
  <si>
    <t>x</t>
    <phoneticPr fontId="1" type="noConversion"/>
  </si>
  <si>
    <t>Other Long-term Items</t>
    <phoneticPr fontId="1" type="noConversion"/>
  </si>
  <si>
    <t>Deferred Income Taxes</t>
  </si>
  <si>
    <t>Other Long-term Liabilities</t>
  </si>
  <si>
    <t>Goodwill</t>
    <phoneticPr fontId="1" type="noConversion"/>
  </si>
  <si>
    <t>Assets</t>
    <phoneticPr fontId="1" type="noConversion"/>
  </si>
  <si>
    <t>Liabilities</t>
    <phoneticPr fontId="1" type="noConversion"/>
  </si>
  <si>
    <t>Goodwill</t>
    <phoneticPr fontId="1" type="noConversion"/>
  </si>
  <si>
    <t>(Increase)/Decrease in Other LT Assets</t>
    <phoneticPr fontId="1" type="noConversion"/>
  </si>
  <si>
    <t>Increase/(Decrease) in Other LT Liabilities</t>
    <phoneticPr fontId="1" type="noConversion"/>
  </si>
  <si>
    <t>Change in Other Long-term Assets and Liabilities</t>
  </si>
  <si>
    <t>Step</t>
    <phoneticPr fontId="1" type="noConversion"/>
  </si>
  <si>
    <t>Total Other Long-term Assets</t>
    <phoneticPr fontId="1" type="noConversion"/>
  </si>
  <si>
    <t>Equity</t>
    <phoneticPr fontId="1" type="noConversion"/>
  </si>
  <si>
    <t>Beginning equity balance</t>
  </si>
  <si>
    <t>Dividends paid</t>
  </si>
  <si>
    <t>Option proceeds</t>
  </si>
  <si>
    <t>Ending equity balance</t>
  </si>
  <si>
    <t>Share repurchase</t>
  </si>
  <si>
    <t>Projected EPS</t>
  </si>
  <si>
    <t>Assumed P/E Multiple</t>
  </si>
  <si>
    <t>Projected share price</t>
  </si>
  <si>
    <t>$ amount repurchased</t>
  </si>
  <si>
    <t>New shares from exercised options</t>
  </si>
  <si>
    <t>Average strike price per share</t>
  </si>
  <si>
    <t>Dividend</t>
  </si>
  <si>
    <t>Total dividends paid</t>
  </si>
  <si>
    <t>Divident payout ratio</t>
  </si>
  <si>
    <t>Stock Based Compensation</t>
    <phoneticPr fontId="1" type="noConversion"/>
  </si>
  <si>
    <t>Diluted Shares Outstanding (in '000 shares)</t>
    <phoneticPr fontId="1" type="noConversion"/>
  </si>
  <si>
    <t>Diluted Earnings Per Shares (EPS)</t>
    <phoneticPr fontId="1" type="noConversion"/>
  </si>
  <si>
    <t>G&amp;A Excluding SBC</t>
    <phoneticPr fontId="1" type="noConversion"/>
  </si>
  <si>
    <t>Change in Non-Controlling Interest</t>
    <phoneticPr fontId="1" type="noConversion"/>
  </si>
  <si>
    <t>Shares repurchased (in thounsands)</t>
    <phoneticPr fontId="1" type="noConversion"/>
  </si>
  <si>
    <t>New shares issued from options (in thounsands)</t>
    <phoneticPr fontId="1" type="noConversion"/>
  </si>
  <si>
    <t>Beginning balance</t>
  </si>
  <si>
    <t>Shares issued from options</t>
  </si>
  <si>
    <t>Shares repurchsed</t>
  </si>
  <si>
    <t>Ending balance</t>
  </si>
  <si>
    <t>Average basic shares</t>
  </si>
  <si>
    <t>Effects of options (unexercised)</t>
  </si>
  <si>
    <t>Average diluted shares</t>
  </si>
  <si>
    <t>Shares</t>
    <phoneticPr fontId="1" type="noConversion"/>
  </si>
  <si>
    <t>(units in '000 shares)</t>
    <phoneticPr fontId="1" type="noConversion"/>
  </si>
  <si>
    <t>The following table summarizes information about stock options outstanding and exercisable as December 27, 2017:</t>
  </si>
  <si>
    <t>Options Outstanding</t>
  </si>
  <si>
    <t>Options Exercisable</t>
  </si>
  <si>
    <t>Number Outstanding at December 27, 2017</t>
  </si>
  <si>
    <t>Weighted Average Remaining Contractual Life (Years)</t>
  </si>
  <si>
    <t>Weighted Average Exercise Price</t>
  </si>
  <si>
    <t>Number Exercisable at December 27, 2017</t>
  </si>
  <si>
    <t>Exercise Price</t>
  </si>
  <si>
    <t>Exercise Price</t>
    <phoneticPr fontId="1" type="noConversion"/>
  </si>
  <si>
    <t>Current P</t>
    <phoneticPr fontId="1" type="noConversion"/>
  </si>
  <si>
    <t>Share price:</t>
    <phoneticPr fontId="1" type="noConversion"/>
  </si>
  <si>
    <t>Exercisable</t>
    <phoneticPr fontId="1" type="noConversion"/>
  </si>
  <si>
    <t>$ inflow</t>
    <phoneticPr fontId="1" type="noConversion"/>
  </si>
  <si>
    <t>Shares Buyback</t>
    <phoneticPr fontId="1" type="noConversion"/>
  </si>
  <si>
    <t>Gross Issuance</t>
    <phoneticPr fontId="1" type="noConversion"/>
  </si>
  <si>
    <t>Net Issuance</t>
    <phoneticPr fontId="1" type="noConversion"/>
  </si>
  <si>
    <t>A summary of performance stock unit activity for fiscal years 2017 and 2016 is as follows:</t>
  </si>
  <si>
    <t>Performance</t>
  </si>
  <si>
    <t>Stock</t>
  </si>
  <si>
    <t>Units</t>
  </si>
  <si>
    <t>Weighted</t>
  </si>
  <si>
    <t>Grant Date Fair Value</t>
  </si>
  <si>
    <t>Outstanding as of December 30, 2015</t>
  </si>
  <si>
    <t>Granted</t>
  </si>
  <si>
    <t>Vested</t>
  </si>
  <si>
    <t>Forfeited</t>
  </si>
  <si>
    <t>(2,000</t>
  </si>
  <si>
    <t>Expired</t>
  </si>
  <si>
    <t>Outstanding as of December 28, 2016</t>
  </si>
  <si>
    <t>(22,703</t>
  </si>
  <si>
    <t>(11,196</t>
  </si>
  <si>
    <t>Outstanding as of December 27, 2017</t>
  </si>
  <si>
    <t>Represents incremental awards earned based on the achievement of performance conditions.</t>
  </si>
  <si>
    <t>As of February 14, 2018, there were 27,078,149 shares of Class A common stock outstanding and 9,701,815 shares of Class B common stock outstanding.</t>
    <phoneticPr fontId="1" type="noConversion"/>
  </si>
  <si>
    <t>Debt &amp; Interest Expense</t>
    <phoneticPr fontId="1" type="noConversion"/>
  </si>
  <si>
    <t>Cash flow Available for Financing Activities</t>
  </si>
  <si>
    <t>Cash Available for Debt Repayment</t>
  </si>
  <si>
    <t>Excess Cash Available for Revolver</t>
  </si>
  <si>
    <t>Issuance</t>
  </si>
  <si>
    <t>(Repayment)</t>
  </si>
  <si>
    <t>Average balance</t>
  </si>
  <si>
    <t>Interest rate</t>
  </si>
  <si>
    <t>Total Interest Expense</t>
  </si>
  <si>
    <t>Interest (income)</t>
  </si>
  <si>
    <t>Inc/(Dec) in Non-Controlling Interest</t>
    <phoneticPr fontId="1" type="noConversion"/>
  </si>
  <si>
    <t>Capital Lease Increase</t>
    <phoneticPr fontId="1" type="noConversion"/>
  </si>
  <si>
    <t>Capital Lease (Paydown)</t>
    <phoneticPr fontId="1" type="noConversion"/>
  </si>
  <si>
    <t>Long-term Debt Issuance</t>
    <phoneticPr fontId="1" type="noConversion"/>
  </si>
  <si>
    <t>Long-term Debt (Repayment)</t>
    <phoneticPr fontId="1" type="noConversion"/>
  </si>
  <si>
    <t>Repurchase of Equity</t>
    <phoneticPr fontId="1" type="noConversion"/>
  </si>
  <si>
    <t>Dividends Paid</t>
    <phoneticPr fontId="1" type="noConversion"/>
  </si>
  <si>
    <t>Option Proceeds</t>
    <phoneticPr fontId="1" type="noConversion"/>
  </si>
  <si>
    <t>Plus: Beginning Cash Balance</t>
    <phoneticPr fontId="1" type="noConversion"/>
  </si>
  <si>
    <t>Less: Minimum Cash Balance</t>
    <phoneticPr fontId="1" type="noConversion"/>
  </si>
  <si>
    <t>Beginning Balance</t>
    <phoneticPr fontId="1" type="noConversion"/>
  </si>
  <si>
    <t>Issuance/(Repayment) of Revolver - Cash Sweep</t>
    <phoneticPr fontId="1" type="noConversion"/>
  </si>
  <si>
    <t>Ending Balance</t>
    <phoneticPr fontId="1" type="noConversion"/>
  </si>
  <si>
    <t>Capital Lease</t>
    <phoneticPr fontId="1" type="noConversion"/>
  </si>
  <si>
    <t>Revolver Interest Expense</t>
    <phoneticPr fontId="1" type="noConversion"/>
  </si>
  <si>
    <t>Capital Lease Interest Expense</t>
    <phoneticPr fontId="1" type="noConversion"/>
  </si>
  <si>
    <t>Long-term debt Interest Expense</t>
    <phoneticPr fontId="1" type="noConversion"/>
  </si>
  <si>
    <t>Cash Interest (Income)</t>
    <phoneticPr fontId="1" type="noConversion"/>
  </si>
  <si>
    <t>Other Income</t>
    <phoneticPr fontId="1" type="noConversion"/>
  </si>
  <si>
    <t>Interest Expense/(Income)</t>
    <phoneticPr fontId="1" type="noConversion"/>
  </si>
  <si>
    <t>Less: Taxes@</t>
  </si>
  <si>
    <t>Plus: Depreciation</t>
  </si>
  <si>
    <t>Plus: Amortization</t>
  </si>
  <si>
    <t>Unlevered Free Cash Flow yoy Growth Rate</t>
  </si>
  <si>
    <t>NPV of FCF</t>
  </si>
  <si>
    <t>Perpetuity Growth Method</t>
  </si>
  <si>
    <t>EBITDA Multiple Method</t>
  </si>
  <si>
    <t>Cash</t>
  </si>
  <si>
    <t>Debt</t>
  </si>
  <si>
    <t>Tax-effected EBIT ("NOPLAT")</t>
    <phoneticPr fontId="1" type="noConversion"/>
  </si>
  <si>
    <t>Plus: Asset Sale</t>
    <phoneticPr fontId="1" type="noConversion"/>
  </si>
  <si>
    <t>EBITDA</t>
    <phoneticPr fontId="1" type="noConversion"/>
  </si>
  <si>
    <t>NPV of FCF from 2016-2027</t>
    <phoneticPr fontId="1" type="noConversion"/>
  </si>
  <si>
    <t>Assumed exchange of LLC Interests for shares of Class A common stock</t>
    <phoneticPr fontId="1" type="noConversion"/>
  </si>
  <si>
    <t xml:space="preserve">Shack-by-Shack Revenue </t>
    <phoneticPr fontId="1" type="noConversion"/>
  </si>
  <si>
    <t>Shack-by-Shack Unit Volume</t>
    <phoneticPr fontId="1" type="noConversion"/>
  </si>
  <si>
    <t>2014 Shacks</t>
    <phoneticPr fontId="1" type="noConversion"/>
  </si>
  <si>
    <t>2015 Shacks</t>
    <phoneticPr fontId="1" type="noConversion"/>
  </si>
  <si>
    <t>2016 Shacks</t>
    <phoneticPr fontId="1" type="noConversion"/>
  </si>
  <si>
    <t>2017 Shacks</t>
    <phoneticPr fontId="1" type="noConversion"/>
  </si>
  <si>
    <t>2013-Prior Shacks</t>
    <phoneticPr fontId="1" type="noConversion"/>
  </si>
  <si>
    <t>Same Shack Sales (% yoy)  - Actual</t>
    <phoneticPr fontId="1" type="noConversion"/>
  </si>
  <si>
    <t>S&amp;P Capital IQ Consensus GAAP EPS</t>
    <phoneticPr fontId="1" type="noConversion"/>
  </si>
  <si>
    <t>S&amp;P Capital IQ Consensus Adjusted EPS</t>
    <phoneticPr fontId="1" type="noConversion"/>
  </si>
  <si>
    <t>x</t>
    <phoneticPr fontId="1" type="noConversion"/>
  </si>
  <si>
    <t>Operating Leases</t>
    <phoneticPr fontId="1" type="noConversion"/>
  </si>
  <si>
    <t>Key Statistics</t>
    <phoneticPr fontId="1" type="noConversion"/>
  </si>
  <si>
    <t>https://www.sec.gov/cgi-bin/browse-edgar?company=shake+shack&amp;match=&amp;CIK=&amp;filenum=&amp;State=&amp;Country=&amp;SIC=&amp;owner=exclude&amp;Find=Find+Companies&amp;action=getcompany</t>
    <phoneticPr fontId="1" type="noConversion"/>
  </si>
  <si>
    <t>SEC Edgar Shake Shack</t>
    <phoneticPr fontId="1" type="noConversion"/>
  </si>
  <si>
    <t>https://www.sec.gov/Archives/edgar/data/1620533/000162053318000015/shak-20171227_10k.htm</t>
    <phoneticPr fontId="1" type="noConversion"/>
  </si>
  <si>
    <t>https://www.sec.gov/cgi-bin/viewer?action=view&amp;cik=1620533&amp;accession_number=0001620533-18-000015&amp;xbrl_type=v</t>
    <phoneticPr fontId="1" type="noConversion"/>
  </si>
  <si>
    <r>
      <t>In fiscal 2017, 44,476 restricted stock units were granted with a weighted average grant date fair value of $38.98. As of December 27, 2017, there were 44,476 restricted stock units outstanding, of which none were vested. No restricted stock units were granted in fiscal 2016 and 2015. As of December 27, 2017, total unrecognized compensation expense related to unvested restricted stock units was $1,453, which is expected to be recognized over a weighted-average period of</t>
    </r>
    <r>
      <rPr>
        <b/>
        <sz val="10"/>
        <color rgb="FFFF0000"/>
        <rFont val="Arial"/>
        <family val="2"/>
      </rPr>
      <t> </t>
    </r>
    <r>
      <rPr>
        <sz val="10"/>
        <color rgb="FF000000"/>
        <rFont val="Arial"/>
        <family val="2"/>
      </rPr>
      <t>2.5 years.</t>
    </r>
  </si>
  <si>
    <t>Same-Shack sales growth (%)(1)</t>
  </si>
  <si>
    <t>General and administrative expenses(2)</t>
  </si>
  <si>
    <r>
      <t xml:space="preserve">By the end of fiscal 2020, we are targeting:
</t>
    </r>
    <r>
      <rPr>
        <sz val="10"/>
        <color theme="1"/>
        <rFont val="맑은 고딕"/>
        <family val="2"/>
        <charset val="129"/>
      </rPr>
      <t xml:space="preserve">▪
</t>
    </r>
    <r>
      <rPr>
        <sz val="10"/>
        <color theme="1"/>
        <rFont val="Arial"/>
        <family val="2"/>
      </rPr>
      <t xml:space="preserve">At least 200 domestic company-operated Shacks and at least 120 globally licensed Shacks (more than double the system-wide Shack count as of December 27, 2017); and
</t>
    </r>
    <r>
      <rPr>
        <sz val="10"/>
        <color theme="1"/>
        <rFont val="맑은 고딕"/>
        <family val="2"/>
        <charset val="129"/>
      </rPr>
      <t xml:space="preserve">▪
</t>
    </r>
    <r>
      <rPr>
        <sz val="10"/>
        <color theme="1"/>
        <rFont val="Arial"/>
        <family val="2"/>
      </rPr>
      <t xml:space="preserve">Over $700 million in total revenue.
</t>
    </r>
    <phoneticPr fontId="1" type="noConversion"/>
  </si>
  <si>
    <t>Performance achievement(1)</t>
  </si>
  <si>
    <t>2014(1)</t>
  </si>
  <si>
    <t>Non-recurring compensation expenses related to the IPO(2)</t>
  </si>
  <si>
    <t>Executive transition costs(3)</t>
  </si>
  <si>
    <t>Project Concrete(4)</t>
  </si>
  <si>
    <t>Home Office relocation expenses(5)</t>
  </si>
  <si>
    <t>Operating lease obligations(1)</t>
  </si>
  <si>
    <t>Deemed landlord financing obligations(1)</t>
  </si>
  <si>
    <t>Liabilities under tax receivable agreement(2)</t>
  </si>
  <si>
    <t>Deferred compensation(3)</t>
  </si>
  <si>
    <t>x</t>
    <phoneticPr fontId="1" type="noConversion"/>
  </si>
  <si>
    <t>Store Count for FY 2017</t>
    <phoneticPr fontId="1" type="noConversion"/>
  </si>
  <si>
    <t>x</t>
    <phoneticPr fontId="1" type="noConversion"/>
  </si>
  <si>
    <t>Adjusted EBITDA</t>
    <phoneticPr fontId="1" type="noConversion"/>
  </si>
  <si>
    <t>x</t>
    <phoneticPr fontId="1" type="noConversion"/>
  </si>
  <si>
    <t>FY 2018 Guidance</t>
    <phoneticPr fontId="1" type="noConversion"/>
  </si>
  <si>
    <t>Share count</t>
    <phoneticPr fontId="1" type="noConversion"/>
  </si>
  <si>
    <t>Performance Stock Unit</t>
    <phoneticPr fontId="1" type="noConversion"/>
  </si>
  <si>
    <t>Stock Options</t>
    <phoneticPr fontId="1" type="noConversion"/>
  </si>
  <si>
    <t>Shake Shack FY2017 10-K</t>
    <phoneticPr fontId="1" type="noConversion"/>
  </si>
  <si>
    <t>Shake Shack FY2017 10-K Interactive Data</t>
    <phoneticPr fontId="1" type="noConversion"/>
  </si>
  <si>
    <t>Company Published Data &amp; Information</t>
    <phoneticPr fontId="1" type="noConversion"/>
  </si>
  <si>
    <t>Adjusted EBITDA</t>
    <phoneticPr fontId="1" type="noConversion"/>
  </si>
  <si>
    <t>NPV of Terminal Value</t>
    <phoneticPr fontId="1" type="noConversion"/>
  </si>
  <si>
    <t>Enterprise Value</t>
    <phoneticPr fontId="1" type="noConversion"/>
  </si>
  <si>
    <t>Equity Value</t>
    <phoneticPr fontId="1" type="noConversion"/>
  </si>
  <si>
    <t>Diluted Share Count (in '000)</t>
    <phoneticPr fontId="1" type="noConversion"/>
  </si>
  <si>
    <t>Value Per Share</t>
    <phoneticPr fontId="1" type="noConversion"/>
  </si>
  <si>
    <t>EV/EBITDA Exit Multiple</t>
    <phoneticPr fontId="1" type="noConversion"/>
  </si>
  <si>
    <t>Terminal Value</t>
    <phoneticPr fontId="1" type="noConversion"/>
  </si>
  <si>
    <t>Present Value of the Terminal Value</t>
    <phoneticPr fontId="1" type="noConversion"/>
  </si>
  <si>
    <t>Terminal Growth Rate of FCF (after 2027)</t>
    <phoneticPr fontId="1" type="noConversion"/>
  </si>
  <si>
    <t>Terminal Value Calculation</t>
    <phoneticPr fontId="1" type="noConversion"/>
  </si>
  <si>
    <t>Present Value of Respective FCF</t>
    <phoneticPr fontId="1" type="noConversion"/>
  </si>
  <si>
    <t>Year Count</t>
    <phoneticPr fontId="1" type="noConversion"/>
  </si>
  <si>
    <t>Discount Factor</t>
    <phoneticPr fontId="1" type="noConversion"/>
  </si>
  <si>
    <t>Weighted Average Cost of Capital (WACC)</t>
    <phoneticPr fontId="1" type="noConversion"/>
  </si>
  <si>
    <t xml:space="preserve"> +/- Changes in Other Assets &amp; Liabilities</t>
    <phoneticPr fontId="1" type="noConversion"/>
  </si>
  <si>
    <t xml:space="preserve"> +/- Changes in Net Working Capital</t>
    <phoneticPr fontId="1" type="noConversion"/>
  </si>
  <si>
    <t>Less: Additions to Intangibles</t>
    <phoneticPr fontId="1" type="noConversion"/>
  </si>
  <si>
    <t>Less: Capital Expenditures</t>
    <phoneticPr fontId="1" type="noConversion"/>
  </si>
  <si>
    <t>DCF Result Summary</t>
    <phoneticPr fontId="1" type="noConversion"/>
  </si>
  <si>
    <t>Discounted Cash Flow Analysis</t>
    <phoneticPr fontId="1" type="noConversion"/>
  </si>
  <si>
    <t>© 2016 홍성현, (주)월스트릿트레이닝아시아.</t>
  </si>
  <si>
    <t xml:space="preserve">이를 위반시에는 형사/민사상의 법적 책임을 질수 있으며, 특별한 문의가 있는경우 </t>
  </si>
  <si>
    <t>www.wallstreettraining.co.kr에 있는 정보로 연락주시기 바랍니다.</t>
  </si>
  <si>
    <t>&gt;&gt;&gt;&gt;&gt;&gt;&gt;&gt;&gt;&gt;&gt;&gt;&gt;&gt;&gt;&gt;&gt;&gt;&gt;&gt;&gt;&gt;&gt;&gt;&gt;&gt;&gt;&gt;&gt;&gt;&gt;</t>
    <phoneticPr fontId="1" type="noConversion"/>
  </si>
  <si>
    <t>Ticker</t>
  </si>
  <si>
    <t>NYSE:SHAK</t>
    <phoneticPr fontId="66" type="noConversion"/>
  </si>
  <si>
    <t>Date</t>
  </si>
  <si>
    <t>Conversion</t>
  </si>
  <si>
    <t>Index</t>
  </si>
  <si>
    <t>^SPX</t>
  </si>
  <si>
    <t>Filing</t>
  </si>
  <si>
    <t>Latest Fully Reported</t>
  </si>
  <si>
    <t>WACC ANALYSIS</t>
  </si>
  <si>
    <t>ASSUMPTIONS</t>
  </si>
  <si>
    <t>BETA CALCULATION</t>
  </si>
  <si>
    <t>5Yr Avg</t>
  </si>
  <si>
    <t>Levered</t>
  </si>
  <si>
    <t>Mkt. Val.</t>
  </si>
  <si>
    <t>Pref</t>
  </si>
  <si>
    <t>Debt/</t>
  </si>
  <si>
    <t>Pref/</t>
  </si>
  <si>
    <t>Unlevered</t>
  </si>
  <si>
    <t>Capital IQ Inputs:</t>
  </si>
  <si>
    <t>Tax Rate (5 Year Average)</t>
  </si>
  <si>
    <t>Name</t>
  </si>
  <si>
    <t>Tax Rate</t>
  </si>
  <si>
    <t>Beta</t>
  </si>
  <si>
    <t>Equity</t>
  </si>
  <si>
    <t>Beta(2)</t>
  </si>
  <si>
    <t>Risk-Free Rate of Return (Rf)(1)</t>
  </si>
  <si>
    <t>Total Preferred</t>
  </si>
  <si>
    <t>Issue Date</t>
  </si>
  <si>
    <t>Coupon</t>
  </si>
  <si>
    <t>Preferred</t>
  </si>
  <si>
    <t>Market Cap</t>
  </si>
  <si>
    <t>Country</t>
  </si>
  <si>
    <t>CIQ ID</t>
  </si>
  <si>
    <t>Gov.Bond Id</t>
  </si>
  <si>
    <t>Size Premium</t>
  </si>
  <si>
    <t>EBT</t>
  </si>
  <si>
    <t>Australia</t>
  </si>
  <si>
    <t>AU</t>
  </si>
  <si>
    <t>IQ25104817</t>
  </si>
  <si>
    <t>IQ50027528</t>
  </si>
  <si>
    <t>Australia Government Debt - 2 Year</t>
  </si>
  <si>
    <t>Taxes</t>
  </si>
  <si>
    <t>Canada</t>
  </si>
  <si>
    <t>CA</t>
  </si>
  <si>
    <t>IQ4080736</t>
  </si>
  <si>
    <t>IQ100893239</t>
  </si>
  <si>
    <t>Australia Government Debt - 3 Year</t>
  </si>
  <si>
    <t>Latest FYE</t>
  </si>
  <si>
    <t>China</t>
  </si>
  <si>
    <t>CN</t>
  </si>
  <si>
    <t>IQ28461984</t>
  </si>
  <si>
    <t>IQ50027529</t>
  </si>
  <si>
    <t>Australia Government Debt - 5 Year</t>
  </si>
  <si>
    <t>Latest FQE</t>
  </si>
  <si>
    <t>Denmark</t>
  </si>
  <si>
    <t>DK</t>
  </si>
  <si>
    <t>IQ35414816</t>
  </si>
  <si>
    <t>IQ100893231</t>
  </si>
  <si>
    <t>Australia Government Debt - 7 Year</t>
  </si>
  <si>
    <t>Choice for Cost of Debt</t>
  </si>
  <si>
    <t>Corp Yield Curve</t>
  </si>
  <si>
    <t>Today</t>
  </si>
  <si>
    <t>France</t>
  </si>
  <si>
    <t>FR</t>
  </si>
  <si>
    <t>IQ3474783</t>
  </si>
  <si>
    <t>IQ50027527</t>
  </si>
  <si>
    <t>Australia Government Debt - 10 Year</t>
  </si>
  <si>
    <t>Days Remaining in FY</t>
  </si>
  <si>
    <t>Germany</t>
  </si>
  <si>
    <t>DE</t>
  </si>
  <si>
    <t>IQ8201718</t>
  </si>
  <si>
    <t>IQ100893243</t>
  </si>
  <si>
    <t>Australia Government Debt - 15 Year</t>
  </si>
  <si>
    <t>Comparable Corporate Yield Curve Rate</t>
  </si>
  <si>
    <t>Hong Kong</t>
  </si>
  <si>
    <t>HK</t>
  </si>
  <si>
    <t>IQ22453044</t>
  </si>
  <si>
    <t>IQ50027538</t>
  </si>
  <si>
    <t>Canada Government Debt - 2 Year</t>
  </si>
  <si>
    <t>Average Unlevered Beta for Comps</t>
  </si>
  <si>
    <t>Beta Selection</t>
  </si>
  <si>
    <t>Italy</t>
  </si>
  <si>
    <t>IT</t>
  </si>
  <si>
    <t>IQ3534701</t>
  </si>
  <si>
    <t>IQ100893055</t>
  </si>
  <si>
    <t>Canada Government Debt - 3 Year</t>
  </si>
  <si>
    <t>1 = Bottom-Up Beta</t>
  </si>
  <si>
    <t>JP</t>
  </si>
  <si>
    <t>IQ27482154</t>
  </si>
  <si>
    <t>IQ100893051</t>
  </si>
  <si>
    <t>Canada Government Debt - 5 Year</t>
  </si>
  <si>
    <t>Risk Free Rate</t>
  </si>
  <si>
    <t>2 = Regression Beta</t>
  </si>
  <si>
    <t>Netherlands</t>
  </si>
  <si>
    <t>NL</t>
  </si>
  <si>
    <t>IQ26971957</t>
  </si>
  <si>
    <t>IQ100893047</t>
  </si>
  <si>
    <t>Canada Government Debt - 7 Year</t>
  </si>
  <si>
    <t>Choose</t>
  </si>
  <si>
    <t>Portugal</t>
  </si>
  <si>
    <t>PT</t>
  </si>
  <si>
    <t>IQ20528442</t>
  </si>
  <si>
    <t>IQ50027537</t>
  </si>
  <si>
    <t>Canada Government Debt - 10 Year</t>
  </si>
  <si>
    <t>Then</t>
  </si>
  <si>
    <t>United States Treasury Constant Maturity - 10 Year</t>
  </si>
  <si>
    <t>Singapore</t>
  </si>
  <si>
    <t>SG</t>
  </si>
  <si>
    <t>IQ31250052</t>
  </si>
  <si>
    <t>IQ136585888</t>
  </si>
  <si>
    <t>China Government Debt - 3 Year</t>
  </si>
  <si>
    <t>South Africa</t>
  </si>
  <si>
    <t>ZA</t>
  </si>
  <si>
    <t>IQ3590743</t>
  </si>
  <si>
    <t>IQ136585884</t>
  </si>
  <si>
    <t>China Government Debt - 5 Year</t>
  </si>
  <si>
    <t>Corporate Yield Curves</t>
  </si>
  <si>
    <t>AllCorp</t>
  </si>
  <si>
    <t>IG</t>
  </si>
  <si>
    <t>1M</t>
  </si>
  <si>
    <t>Current</t>
  </si>
  <si>
    <t>South Korea</t>
  </si>
  <si>
    <t>KR</t>
  </si>
  <si>
    <t>IQ12721923</t>
  </si>
  <si>
    <t>IQ136585880</t>
  </si>
  <si>
    <t>China Government Debt - 7 Year</t>
  </si>
  <si>
    <t>Sector</t>
  </si>
  <si>
    <t>Rating</t>
  </si>
  <si>
    <t>Tenor</t>
  </si>
  <si>
    <t>WACC SENSITIVITY ANALYSIS</t>
  </si>
  <si>
    <t>EUR</t>
  </si>
  <si>
    <t>Consumer Discretionary</t>
  </si>
  <si>
    <t>ConsumerDiscretionary</t>
  </si>
  <si>
    <t>AAA</t>
  </si>
  <si>
    <t>3M</t>
  </si>
  <si>
    <t>Spain</t>
  </si>
  <si>
    <t>ES</t>
  </si>
  <si>
    <t>IQ3600380</t>
  </si>
  <si>
    <t>IQ136585892</t>
  </si>
  <si>
    <t>China Government Debt - 10 Year</t>
  </si>
  <si>
    <t>5Y</t>
  </si>
  <si>
    <t>GBP</t>
  </si>
  <si>
    <t>Consumer Staples</t>
  </si>
  <si>
    <t>ConsumerStaples</t>
  </si>
  <si>
    <t>AA</t>
  </si>
  <si>
    <t>6M</t>
  </si>
  <si>
    <t>Sweden</t>
  </si>
  <si>
    <t>SE</t>
  </si>
  <si>
    <t>IQ20531158</t>
  </si>
  <si>
    <t>IQ136585872</t>
  </si>
  <si>
    <t>Denmark Government Debt - 2 Year</t>
  </si>
  <si>
    <t>D/(D+P+E)</t>
  </si>
  <si>
    <t>Pre-Tax Cost of Debt</t>
  </si>
  <si>
    <t>AUD</t>
  </si>
  <si>
    <t>Energy</t>
  </si>
  <si>
    <t>A</t>
  </si>
  <si>
    <t>9M</t>
  </si>
  <si>
    <t>Latest</t>
  </si>
  <si>
    <t>L</t>
  </si>
  <si>
    <t>Switzerland</t>
  </si>
  <si>
    <t>CH</t>
  </si>
  <si>
    <t>IQ29618341</t>
  </si>
  <si>
    <t>IQ136585868</t>
  </si>
  <si>
    <t>Denmark Government Debt - 5 Year</t>
  </si>
  <si>
    <t>WACC</t>
  </si>
  <si>
    <t>Financials</t>
  </si>
  <si>
    <t>BBB</t>
  </si>
  <si>
    <t>1Y</t>
  </si>
  <si>
    <t>Original</t>
  </si>
  <si>
    <t>GB</t>
  </si>
  <si>
    <t>IQ25809472</t>
  </si>
  <si>
    <t>IQ136585876</t>
  </si>
  <si>
    <t>Denmark Government Debt - 10 Year</t>
  </si>
  <si>
    <t>Healthcare</t>
  </si>
  <si>
    <t>HY</t>
  </si>
  <si>
    <t>2Y</t>
  </si>
  <si>
    <t>Preliminary</t>
  </si>
  <si>
    <t>P</t>
  </si>
  <si>
    <t>US</t>
  </si>
  <si>
    <t>IQ12425677</t>
  </si>
  <si>
    <t>IQ100891311</t>
  </si>
  <si>
    <t>France Government Debt - 1 Year</t>
  </si>
  <si>
    <t>Market Risk Premium (Rm - Rf)</t>
  </si>
  <si>
    <t>Industrials</t>
  </si>
  <si>
    <t>BB</t>
  </si>
  <si>
    <t>3Y</t>
  </si>
  <si>
    <t>LFR</t>
  </si>
  <si>
    <t>IQ50027546</t>
  </si>
  <si>
    <t>France Government Debt - 2 Year</t>
  </si>
  <si>
    <t>Pre-Tax Cost of Debt Step</t>
  </si>
  <si>
    <t>Information Technology</t>
  </si>
  <si>
    <t>InformationTechnology</t>
  </si>
  <si>
    <t>B</t>
  </si>
  <si>
    <t>4Y</t>
  </si>
  <si>
    <t>IQ100891303</t>
  </si>
  <si>
    <t>France Government Debt - 3 Year</t>
  </si>
  <si>
    <t>Adjusted Market Risk Premium</t>
  </si>
  <si>
    <t>D/(D+P+E) Step</t>
  </si>
  <si>
    <t>Materials</t>
  </si>
  <si>
    <t>CCC</t>
  </si>
  <si>
    <t>IQ50027547</t>
  </si>
  <si>
    <t>France Government Debt - 5 Year</t>
  </si>
  <si>
    <r>
      <t>Add: Risk-Free Rate of Return (Rf)</t>
    </r>
    <r>
      <rPr>
        <vertAlign val="superscript"/>
        <sz val="10"/>
        <rFont val="Arial"/>
        <family val="2"/>
      </rPr>
      <t>(1)</t>
    </r>
  </si>
  <si>
    <t>Cost of Equity Step</t>
  </si>
  <si>
    <t>Real Estate</t>
  </si>
  <si>
    <t>RealEstate</t>
  </si>
  <si>
    <t>6Y</t>
  </si>
  <si>
    <t>Index Returns</t>
  </si>
  <si>
    <t>IQ100891299</t>
  </si>
  <si>
    <t>France Government Debt - 7 Year</t>
  </si>
  <si>
    <t>Add: Size Premium</t>
  </si>
  <si>
    <t>E/(D+P+E) Step</t>
  </si>
  <si>
    <t>Telecommunication Services</t>
  </si>
  <si>
    <t>TelecommunicationServices</t>
  </si>
  <si>
    <t>7Y</t>
  </si>
  <si>
    <t>IQ50027544</t>
  </si>
  <si>
    <t>France Government Debt - 10 Year</t>
  </si>
  <si>
    <t>Cost of Equity</t>
  </si>
  <si>
    <t>Utilities</t>
  </si>
  <si>
    <t>8Y</t>
  </si>
  <si>
    <t>IQ100891307</t>
  </si>
  <si>
    <t>France Government Debt - 15 Year</t>
  </si>
  <si>
    <t>NonFin</t>
  </si>
  <si>
    <t>9Y</t>
  </si>
  <si>
    <t>IQ50027545</t>
  </si>
  <si>
    <t>France Government Debt - 30 Year</t>
  </si>
  <si>
    <t>Cost of Equity Portion</t>
  </si>
  <si>
    <t>10Y</t>
  </si>
  <si>
    <t>IQ100891295</t>
  </si>
  <si>
    <t>Germany Government Debt - 1 Year</t>
  </si>
  <si>
    <t>11Y</t>
  </si>
  <si>
    <t>IQ50027536</t>
  </si>
  <si>
    <t>Germany Government Debt - 2 Year</t>
  </si>
  <si>
    <t>12Y</t>
  </si>
  <si>
    <t>IQ100891287</t>
  </si>
  <si>
    <t>Germany Government Debt - 3 Year</t>
  </si>
  <si>
    <t>E/(D+P+E)</t>
  </si>
  <si>
    <t>13Y</t>
  </si>
  <si>
    <t>IQ50027533</t>
  </si>
  <si>
    <t>Germany Government Debt - 5 Year</t>
  </si>
  <si>
    <t>After-Tax Cost of Debt</t>
  </si>
  <si>
    <t>14Y</t>
  </si>
  <si>
    <t>IQ100891283</t>
  </si>
  <si>
    <t>Germany Government Debt - 7 Year</t>
  </si>
  <si>
    <t>15Y</t>
  </si>
  <si>
    <t>IQ50027534</t>
  </si>
  <si>
    <t>Germany Government Debt - 10 Year</t>
  </si>
  <si>
    <t>Cost of Debt Portion</t>
  </si>
  <si>
    <t>16Y</t>
  </si>
  <si>
    <t>IQ100891291</t>
  </si>
  <si>
    <t>Germany Government Debt - 15 Year</t>
  </si>
  <si>
    <t>17Y</t>
  </si>
  <si>
    <t>IQ50027535</t>
  </si>
  <si>
    <t>Germany Government Debt - 30 Year</t>
  </si>
  <si>
    <t>18Y</t>
  </si>
  <si>
    <t>IQ136585844</t>
  </si>
  <si>
    <t>Hong Kong Government Debt - 2 Year</t>
  </si>
  <si>
    <t>19Y</t>
  </si>
  <si>
    <t>IQ136585840</t>
  </si>
  <si>
    <t>Hong Kong Government Debt - 5 Year</t>
  </si>
  <si>
    <t>Cost of Preferred Portion</t>
  </si>
  <si>
    <t>20Y</t>
  </si>
  <si>
    <t>IQ136585836</t>
  </si>
  <si>
    <t>Hong Kong Government Debt - 7 Year</t>
  </si>
  <si>
    <t>21Y</t>
  </si>
  <si>
    <t>IQ136585848</t>
  </si>
  <si>
    <t>Hong Kong Government Debt - 10 Year</t>
  </si>
  <si>
    <t>22Y</t>
  </si>
  <si>
    <t>IQ100890971</t>
  </si>
  <si>
    <t>Italy Government Debt - 1 Year</t>
  </si>
  <si>
    <t>23Y</t>
  </si>
  <si>
    <t>IQ50027549</t>
  </si>
  <si>
    <t>Italy Government Debt - 2 Year</t>
  </si>
  <si>
    <t>24Y</t>
  </si>
  <si>
    <t>IQ100890963</t>
  </si>
  <si>
    <t>Italy Government Debt - 3 Year</t>
  </si>
  <si>
    <t>(2) Unlevered Beta = Levered Beta / ( 1 + ((D/E) * (1 - T)) + P/E)</t>
  </si>
  <si>
    <t>25Y</t>
  </si>
  <si>
    <t>IQ50027553</t>
  </si>
  <si>
    <t>Italy Government Debt - 5 Year</t>
  </si>
  <si>
    <t>(3) Levered Beta = Unlevered Beta * ( 1 + ((D/E) * (1 - T)) + P/E)</t>
  </si>
  <si>
    <t>26Y</t>
  </si>
  <si>
    <t>IQ100890959</t>
  </si>
  <si>
    <t>Italy Government Debt - 7 Year</t>
  </si>
  <si>
    <t>Source: S&amp;P Capital IQ</t>
  </si>
  <si>
    <t>27Y</t>
  </si>
  <si>
    <t>IQ50027548</t>
  </si>
  <si>
    <t>Italy Government Debt - 10 Year</t>
  </si>
  <si>
    <t>This model is provided "as is". S&amp;P Capital IQ, Inc. and its affiliates have no liability arising out of your use of this model.</t>
  </si>
  <si>
    <t>28Y</t>
  </si>
  <si>
    <t>IQ100890967</t>
  </si>
  <si>
    <t>Italy Government Debt - 15 Year</t>
  </si>
  <si>
    <t>29Y</t>
  </si>
  <si>
    <t>IQ50027552</t>
  </si>
  <si>
    <t>Italy Government Debt - 30 Year</t>
  </si>
  <si>
    <t>30Y</t>
  </si>
  <si>
    <t>IQ100890955</t>
  </si>
  <si>
    <t>Japan Government Debt - 1 Year</t>
  </si>
  <si>
    <t>IQ50027557</t>
  </si>
  <si>
    <t>Japan Government Debt - 2 Year</t>
  </si>
  <si>
    <t>IQ100890947</t>
  </si>
  <si>
    <t>Japan Government Debt - 3 Year</t>
  </si>
  <si>
    <t>IQ50027554</t>
  </si>
  <si>
    <t>Japan Government Debt - 5 Year</t>
  </si>
  <si>
    <t>IQ100890943</t>
  </si>
  <si>
    <t>Japan Government Debt - 7 Year</t>
  </si>
  <si>
    <t>IQ50027555</t>
  </si>
  <si>
    <t>Japan Government Debt - 10 Year</t>
  </si>
  <si>
    <t>IQ100890951</t>
  </si>
  <si>
    <t>Japan Government Debt - 15 Year</t>
  </si>
  <si>
    <t>IQ50027556</t>
  </si>
  <si>
    <t>Japan Government Debt - 30 Year</t>
  </si>
  <si>
    <t>IQ50027562</t>
  </si>
  <si>
    <t>Netherlands Government Debt - 2 Year</t>
  </si>
  <si>
    <t>IQ50027564</t>
  </si>
  <si>
    <t>Netherlands Government Debt - 5 Year</t>
  </si>
  <si>
    <t>IQ100890811</t>
  </si>
  <si>
    <t>Netherlands Government Debt - 7 Year</t>
  </si>
  <si>
    <t>IQ50027561</t>
  </si>
  <si>
    <t>Netherlands Government Debt - 10 Year</t>
  </si>
  <si>
    <t>IQ100890819</t>
  </si>
  <si>
    <t>Netherlands Government Debt - 15 Year</t>
  </si>
  <si>
    <t>IQ50027563</t>
  </si>
  <si>
    <t>Netherlands Government Debt - 30 Year</t>
  </si>
  <si>
    <t>IQ184536260</t>
  </si>
  <si>
    <t>Portugal Government Debt - 3 Year</t>
  </si>
  <si>
    <t>IQ184536258</t>
  </si>
  <si>
    <t>Portugal Government Debt - 5 Year</t>
  </si>
  <si>
    <t>IQ184536256</t>
  </si>
  <si>
    <t>Portugal Government Debt - 7 Year</t>
  </si>
  <si>
    <t>IQ184536262</t>
  </si>
  <si>
    <t>Portugal Government Debt - 10 Year</t>
  </si>
  <si>
    <t>IQ136585824</t>
  </si>
  <si>
    <t>Singapore Government Debt - 2 Year</t>
  </si>
  <si>
    <t>IQ136585820</t>
  </si>
  <si>
    <t>Singapore Government Debt - 5 Year</t>
  </si>
  <si>
    <t>IQ136585832</t>
  </si>
  <si>
    <t>Singapore Government Debt - 10 Year</t>
  </si>
  <si>
    <t>IQ136585828</t>
  </si>
  <si>
    <t>Singapore Government Debt - 15 Year</t>
  </si>
  <si>
    <t>IQ136585808</t>
  </si>
  <si>
    <t>South Africa Government Debt - 2 Year</t>
  </si>
  <si>
    <t>IQ136585800</t>
  </si>
  <si>
    <t>South Africa Government Debt - 5 Year</t>
  </si>
  <si>
    <t>IQ136585816</t>
  </si>
  <si>
    <t>South Africa Government Debt - 10 Year</t>
  </si>
  <si>
    <t>IQ136585812</t>
  </si>
  <si>
    <t>South Africa Government Debt - 15 Year</t>
  </si>
  <si>
    <t>IQ136585804</t>
  </si>
  <si>
    <t>South Africa Government Debt - 30 Year</t>
  </si>
  <si>
    <t>IQ136585792</t>
  </si>
  <si>
    <t>South Korea Government Debt - 2 Year</t>
  </si>
  <si>
    <t>IQ136585788</t>
  </si>
  <si>
    <t>South Korea Government Debt - 3 Year</t>
  </si>
  <si>
    <t>IQ136585784</t>
  </si>
  <si>
    <t>South Korea Government Debt - 5 Year</t>
  </si>
  <si>
    <t>IQ136585796</t>
  </si>
  <si>
    <t>South Korea Government Debt - 10 Year</t>
  </si>
  <si>
    <t>IQ50027569</t>
  </si>
  <si>
    <t>Spain Government Debt - 2 Year</t>
  </si>
  <si>
    <t>IQ50027571</t>
  </si>
  <si>
    <t>Spain Government Debt - 5 Year</t>
  </si>
  <si>
    <t>IQ100890539</t>
  </si>
  <si>
    <t>Spain Government Debt - 7 Year</t>
  </si>
  <si>
    <t>IQ50027568</t>
  </si>
  <si>
    <t>Spain Government Debt - 10 Year</t>
  </si>
  <si>
    <t>IQ50027570</t>
  </si>
  <si>
    <t>Spain Government Debt - 30 Year</t>
  </si>
  <si>
    <t>IQ50027573</t>
  </si>
  <si>
    <t>Sweden Government Debt - 2 Year</t>
  </si>
  <si>
    <t>IQ50027575</t>
  </si>
  <si>
    <t>Sweden Government Debt - 5 Year</t>
  </si>
  <si>
    <t>IQ136585780</t>
  </si>
  <si>
    <t>Sweden Government Debt - 7 Year</t>
  </si>
  <si>
    <t>IQ50027572</t>
  </si>
  <si>
    <t>Sweden Government Debt - 10 Year</t>
  </si>
  <si>
    <t>IQ50027577</t>
  </si>
  <si>
    <t>Switzerland Government Debt - 2 Year</t>
  </si>
  <si>
    <t>IQ100889991</t>
  </si>
  <si>
    <t>Switzerland Government Debt - 3 Year</t>
  </si>
  <si>
    <t>IQ50027579</t>
  </si>
  <si>
    <t>Switzerland Government Debt - 5 Year</t>
  </si>
  <si>
    <t>IQ100889987</t>
  </si>
  <si>
    <t>Switzerland Government Debt - 7 Year</t>
  </si>
  <si>
    <t>IQ50027576</t>
  </si>
  <si>
    <t>Switzerland Government Debt - 10 Year</t>
  </si>
  <si>
    <t>IQ100889995</t>
  </si>
  <si>
    <t>Switzerland Government Debt - 15 Year</t>
  </si>
  <si>
    <t>IQ50027578</t>
  </si>
  <si>
    <t>Switzerland Government Debt - 30 Year</t>
  </si>
  <si>
    <t>IQ100889951</t>
  </si>
  <si>
    <t>United Kingdom Government Debt - 1 Year</t>
  </si>
  <si>
    <t>IQ50027581</t>
  </si>
  <si>
    <t>United Kingdom Government Debt - 2 Year</t>
  </si>
  <si>
    <t>IQ100889943</t>
  </si>
  <si>
    <t>United Kingdom Government Debt - 3 Year</t>
  </si>
  <si>
    <t>IQ50027583</t>
  </si>
  <si>
    <t>United Kingdom Government Debt - 5 Year</t>
  </si>
  <si>
    <t>IQ100889939</t>
  </si>
  <si>
    <t>United Kingdom Government Debt - 7 Year</t>
  </si>
  <si>
    <t>IQ50027580</t>
  </si>
  <si>
    <t>United Kingdom Government Debt - 10 Year</t>
  </si>
  <si>
    <t>IQ100889947</t>
  </si>
  <si>
    <t>United Kingdom Government Debt - 15 Year</t>
  </si>
  <si>
    <t>IQ50027582</t>
  </si>
  <si>
    <t>United Kingdom Government Debt - 30 Year</t>
  </si>
  <si>
    <t>IQT36183815</t>
  </si>
  <si>
    <t>United States Treasury Constant Maturity - 1 Month</t>
  </si>
  <si>
    <t>IQT36183818</t>
  </si>
  <si>
    <t>United States Treasury Constant Maturity - 3 Month</t>
  </si>
  <si>
    <t>IQT36183821</t>
  </si>
  <si>
    <t>United States Treasury Constant Maturity - 6 Month</t>
  </si>
  <si>
    <t>IQT36183824</t>
  </si>
  <si>
    <t>United States Treasury Constant Maturity - 1 Year</t>
  </si>
  <si>
    <t>IQT36183827</t>
  </si>
  <si>
    <t>United States Treasury Constant Maturity - 2 Year</t>
  </si>
  <si>
    <t>IQT36183830</t>
  </si>
  <si>
    <t>United States Treasury Constant Maturity - 3 Year</t>
  </si>
  <si>
    <t>IQT36183833</t>
  </si>
  <si>
    <t>United States Treasury Constant Maturity - 5 Year</t>
  </si>
  <si>
    <t>IQT36183836</t>
  </si>
  <si>
    <t>United States Treasury Constant Maturity - 7 Year</t>
  </si>
  <si>
    <t>IQT36183839</t>
  </si>
  <si>
    <t>IQT36183842</t>
  </si>
  <si>
    <t>United States Treasury Constant Maturity - 20 Year</t>
  </si>
  <si>
    <t>IQT36183845</t>
  </si>
  <si>
    <t>United States Treasury Constant Maturity - 30 Year</t>
  </si>
  <si>
    <t>1 ~ 3</t>
    <phoneticPr fontId="1" type="noConversion"/>
  </si>
  <si>
    <t>3 ~ 5</t>
    <phoneticPr fontId="1" type="noConversion"/>
  </si>
  <si>
    <t>Subject Ticker</t>
  </si>
  <si>
    <t>NYSE:SHAK</t>
    <phoneticPr fontId="34" type="noConversion"/>
  </si>
  <si>
    <t>Peer List Type</t>
  </si>
  <si>
    <t>Quick Comps</t>
  </si>
  <si>
    <t/>
  </si>
  <si>
    <t>CHP Peer List</t>
  </si>
  <si>
    <t>Sl. No</t>
  </si>
  <si>
    <t>Tickers</t>
  </si>
  <si>
    <t>Manual Override</t>
  </si>
  <si>
    <t>Final Tickers</t>
  </si>
  <si>
    <t>Company Name</t>
  </si>
  <si>
    <t>LastRow</t>
  </si>
  <si>
    <t>IQ280979971</t>
  </si>
  <si>
    <t>NYSE:ZOES</t>
  </si>
  <si>
    <t>Zoe's Kitchen, Inc.</t>
  </si>
  <si>
    <t>NYSE:SHAK</t>
  </si>
  <si>
    <t>Public Peer List</t>
  </si>
  <si>
    <t>IQ280979970</t>
  </si>
  <si>
    <t>NYSE:CMG</t>
  </si>
  <si>
    <t>Chipotle Mexican Grill, Inc.</t>
  </si>
  <si>
    <t>IQ_QUICK_COMP</t>
  </si>
  <si>
    <t>Private Peer List</t>
  </si>
  <si>
    <t>IQ280979972</t>
  </si>
  <si>
    <t>NasdaqGS:NDLS</t>
  </si>
  <si>
    <t>Noodles &amp; Company</t>
  </si>
  <si>
    <t>Mixed Peer List</t>
  </si>
  <si>
    <t>IQ280979973</t>
  </si>
  <si>
    <t>NasdaqGM:HABT</t>
  </si>
  <si>
    <t>The Habit Restaurants, Inc.</t>
  </si>
  <si>
    <t>Competitors Named by Company</t>
  </si>
  <si>
    <t>IQ_COMPETITOR_NAMED_BY_COMPANY</t>
  </si>
  <si>
    <t>NasdaqGS:WEN</t>
  </si>
  <si>
    <t>The Wendy's Company</t>
  </si>
  <si>
    <t>Competitors Named by Competitor</t>
  </si>
  <si>
    <t>IQ_COMPETITOR_NAMED_BY_COMPETITOR</t>
  </si>
  <si>
    <t>CompSet / Watchlist</t>
  </si>
  <si>
    <t>NYSE:MCD</t>
  </si>
  <si>
    <t>McDonald's Corporation</t>
  </si>
  <si>
    <t>Competitors Named by Third Party</t>
  </si>
  <si>
    <t>IQ_COMPETITOR_NAMED_BY_THIRDPARTY</t>
  </si>
  <si>
    <t>TSE:3053</t>
  </si>
  <si>
    <t>Pepper Food Service Co., Ltd.</t>
  </si>
  <si>
    <t>All Competitors</t>
  </si>
  <si>
    <t>IQ_COMPETITOR_ALL</t>
  </si>
  <si>
    <t>NasdaqGS:BOJA</t>
  </si>
  <si>
    <t>Bojangles', Inc.</t>
  </si>
  <si>
    <t>Index / CompSet / Watchlist/ Portfolio ID</t>
  </si>
  <si>
    <t>IQ_CONSTITUENTS</t>
  </si>
  <si>
    <t>NasdaqGS:PBPB</t>
  </si>
  <si>
    <t>Potbelly Corporation</t>
  </si>
  <si>
    <t>NasdaqGS:SONC</t>
  </si>
  <si>
    <t>Sonic Corp.</t>
  </si>
  <si>
    <t>TRADING MULTIPLES</t>
  </si>
  <si>
    <t>Mean</t>
  </si>
  <si>
    <t>Median</t>
  </si>
  <si>
    <t>Company Comp Set</t>
  </si>
  <si>
    <t>TEV/Total Revenues LTM - Latest</t>
  </si>
  <si>
    <t>TEV/EBITDA LTM - Latest</t>
  </si>
  <si>
    <t>TEV/EBIT LTM - Latest</t>
  </si>
  <si>
    <t>P/Diluted EPS Before Extra LTM - Latest</t>
  </si>
  <si>
    <t>P/TangBV LTM - Latest</t>
  </si>
  <si>
    <t xml:space="preserve">NTM TEV/Forward Total Revenue (Capital IQ) </t>
  </si>
  <si>
    <t xml:space="preserve">NTM TEV/Forward EBITDA (Capital IQ) </t>
  </si>
  <si>
    <t xml:space="preserve">NTM Forward P/E (Capital IQ) </t>
  </si>
  <si>
    <t xml:space="preserve">LTM TEV/Total Revenues </t>
  </si>
  <si>
    <t xml:space="preserve">LTM TEV/EBITDA </t>
  </si>
  <si>
    <t xml:space="preserve">LTM TEV/EBIT </t>
  </si>
  <si>
    <t xml:space="preserve">NTM TEV/Forward Total Revenue </t>
  </si>
  <si>
    <t xml:space="preserve">NTM TEV/Forward EBITDA </t>
  </si>
  <si>
    <t xml:space="preserve">LTM P/Diluted EPS Before Extra </t>
  </si>
  <si>
    <t xml:space="preserve">NTM Forward P/E </t>
  </si>
  <si>
    <t xml:space="preserve">LTM P/TangBV </t>
  </si>
  <si>
    <t>High, Low, Mean and Median Values for each Multiple</t>
  </si>
  <si>
    <t>Chart Source:</t>
  </si>
  <si>
    <t>Total Rev LTM</t>
  </si>
  <si>
    <t>EBITDA LTM</t>
  </si>
  <si>
    <t>EBIT  LTM</t>
  </si>
  <si>
    <t>Revenue NTM</t>
  </si>
  <si>
    <t>EBITDA NTM</t>
  </si>
  <si>
    <t>Basic EPS LTM</t>
  </si>
  <si>
    <t>EPS NTM</t>
  </si>
  <si>
    <t>Tangible Book Value/Share LTM</t>
  </si>
  <si>
    <t>Shake Shack Inc. (NYSE:SHAK) &gt; Comparable M&amp;A Transactions</t>
  </si>
  <si>
    <t>Announced Date</t>
  </si>
  <si>
    <t>Transaction ID</t>
  </si>
  <si>
    <t>Target</t>
  </si>
  <si>
    <t>Buyer/Investor</t>
  </si>
  <si>
    <t>Seller</t>
  </si>
  <si>
    <t>Target TEV(USD mm)</t>
  </si>
  <si>
    <t>Size(USD mm)</t>
  </si>
  <si>
    <t>Implied TEV/LTM Revenue</t>
  </si>
  <si>
    <t>Implied TEV/LTM EBITDA</t>
  </si>
  <si>
    <t>IQTR303053972</t>
  </si>
  <si>
    <t>Biglari Holdings Inc.</t>
  </si>
  <si>
    <t>Biglari Capital Corp., Lion Fund II, L.P.</t>
  </si>
  <si>
    <t>1.2x</t>
  </si>
  <si>
    <t>20.2x</t>
  </si>
  <si>
    <t>IQTR212036864</t>
  </si>
  <si>
    <t>J. Alexander's Holdings, Inc.</t>
  </si>
  <si>
    <t>American Blue Ribbon Holdings, LLC</t>
  </si>
  <si>
    <t>Dimensional Fund Advisors L.P., Rutabaga Capital Management LLC, Solidus Company, Andreeff Equity Advisors, L.L.C., Privet Fund Management, LLC</t>
  </si>
  <si>
    <t>0.6x</t>
  </si>
  <si>
    <t>9.0x</t>
  </si>
  <si>
    <t>IQTR112831911</t>
  </si>
  <si>
    <t>Burger King Worldwide, Inc. (nka:Restaurant Brands International Inc.)</t>
  </si>
  <si>
    <t>3G Capital, Inc., 3G Special Situations Fund II, L.P.</t>
  </si>
  <si>
    <t>Goldman Sachs Group, Merchant Banking Division, TPG Capital, L.P., TPG Partners III,L.P., GS Capital Partners 2000, L.P., Bain Capital Fund VII, L.P., Bain Capital Private Equity, LP</t>
  </si>
  <si>
    <t>1.6x</t>
  </si>
  <si>
    <t>IQTR50166754</t>
  </si>
  <si>
    <t>Wendy's/Arby's Group, Inc. (nka:The Wendy's Company)</t>
  </si>
  <si>
    <t>Trian Fund Management, L.P., Trian Partners Master Fund, L.P., Trian Partners, L.P., Trian Partners Parallel Fund I, L.P., Trian Partners Parallel Fund II, L.P.</t>
  </si>
  <si>
    <t>2.1x</t>
  </si>
  <si>
    <t>20.3x</t>
  </si>
  <si>
    <t>Max</t>
  </si>
  <si>
    <t>1.4x</t>
  </si>
  <si>
    <t>14.6x</t>
  </si>
  <si>
    <t>Min</t>
  </si>
  <si>
    <t>Shake Shack Inc.</t>
    <phoneticPr fontId="1" type="noConversion"/>
  </si>
  <si>
    <t>VALUATION CHART - Using Trading Comps</t>
    <phoneticPr fontId="1" type="noConversion"/>
  </si>
  <si>
    <t xml:space="preserve">For more information, please visit/contatct Wall Street Training Asia Inc. through www.wallstreettraining.co.kr </t>
    <phoneticPr fontId="1" type="noConversion"/>
  </si>
  <si>
    <t>New Shack Contribution (Respt. Yr)</t>
    <phoneticPr fontId="1" type="noConversion"/>
  </si>
  <si>
    <t>Existing Shack Sales (Respt. Yr)</t>
    <phoneticPr fontId="1" type="noConversion"/>
  </si>
  <si>
    <t>x</t>
    <phoneticPr fontId="1" type="noConversion"/>
  </si>
  <si>
    <t>Sensitivity Analyses</t>
    <phoneticPr fontId="1" type="noConversion"/>
  </si>
  <si>
    <t>Performance Stock Units</t>
  </si>
  <si>
    <t>Restricted Stock Units</t>
  </si>
  <si>
    <t>Shake Shack Inc. (NYSE:SHAK)</t>
  </si>
  <si>
    <t>(USD in millions)</t>
  </si>
  <si>
    <t>ZOES</t>
  </si>
  <si>
    <t>S&amp;P 500 Market Return (Rm) - Yearly for Last 10 Years</t>
  </si>
  <si>
    <t>CMG</t>
  </si>
  <si>
    <t>NDLS</t>
  </si>
  <si>
    <t>NYSE:SHAK D/(D+P+E)</t>
  </si>
  <si>
    <t>HABT</t>
  </si>
  <si>
    <t>NYSE:SHAK D/E</t>
  </si>
  <si>
    <t>WEN</t>
  </si>
  <si>
    <t>NYSE:SHAK P/E</t>
  </si>
  <si>
    <t>MCD</t>
  </si>
  <si>
    <t>NYSE:SHAK Cost of Debt (Rd) - Average of Last 5 Issued Bonds</t>
  </si>
  <si>
    <t>NYSE:SHAK Cost of Preferred (Rp)</t>
  </si>
  <si>
    <t xml:space="preserve">NYSE:SHAK Levered Beta </t>
  </si>
  <si>
    <t>Multiplied by: NYSE:SHAK Regression Beta</t>
  </si>
  <si>
    <t>Multiplied by: NYSE:SHAK E/(D+P+E)</t>
  </si>
  <si>
    <t>Multiplied by: NYSE:SHAK D/(D+P+E)</t>
  </si>
  <si>
    <t>Multiplied by: NYSE:SHAK P/(D+P+E)</t>
  </si>
  <si>
    <t>U0QuAQAAANTGTwIDAAAAAAAU/BBxL+vVCG5eNIov69UIMUNJUS5IQUJULklRX1BSRUZfRVFVSVRZLjUwMC4yMDE4LTA3LTEwLkxGUi4uVVNELkgBAAAAI9YREAMAAAAAAIIe/FQv69UIVoU0ii/r1QgmQ0lRLk5ZU0U6TUNELklRX0NPTVBBTllfVElDS0VSX05PX0VYQ0gBAAAA4CACAAMAAAADTUNEAKFSM1Qv69UIghA0ii/r1QgtQ0lRQVZHLk5ETFMuSVFfRUZGRUNUX1RBWF9SQVRFLjk5Ni4yMDE4LTA3LTEwAQAAAPmfewACAAAABzQwLjA0NjEAgh78VC/r1QhuXjSKL+vVCB1DSVEuTllTRTpTSEFLLklRX1FVSUNLX0NPTVAuNgEAAACdE6YNAwAAAAhOWVNFOk1DRABOt2twL+vVCIIQNIov69UIL0NJUS5DTUcuSVFfVE9UQUxfREVCVC41MDAuMjAxOC0wNy0xMC5MRlIuLlVTRC5IAQAAAE5nAAACAAAAATABCAAAAAUAAAABMQEAAAAKMTg4NDk2MzMzMAMAAAADMTYwAgAAAAQ0MTczBAAAAAEwBwAAAAk3LzEwLzIwMTgIAAAACTMvMzEvMjAxOAkAAAABMIIe/FQv69UIUqw0ii/r1QgmQ0lRLktSLklRX0ZYX1JBVEVfRkMuU0VQMjAxOS44LzI0LzIwMTcBAAAAxDGUBgIAAAAKMTExNS41NzgzOQCqPkp9LevVCAE/Zn0t69UIKkNJUS5OWVNFOlNIQUsuSVFfRUJULi4yMDE4LTA3LTEwLkxGUi4uVVNELgEAAACdE6YNAgAAAAYxNjAuOTUBCAAAAAUAAAABMQEAAAAKMTg4NzI5MDU0MQMAAAADMTYwAgAAAAMxMzkE</t>
  </si>
  <si>
    <t>TmcAAAMAAAAcQ2hpcG90bGUgTWV4aWNhbiBHcmlsbCwgSW5jLgCCHvxUL+vVCG5eNIov69UIJkNJUS5LUi5JUV9GWF9SQVRFX0ZDLkpVTjIwMTkuOC8yNC8yMDE3AQAAAMQxlAYCAAAACjExMTUuMTY0NjcAqj5KfS3r1QgBP2Z9LevVCCpDSVEuTkFTREFRR1M6V0VOLklRX0NPTVBBTllfVElDS0VSX05PX0VYQ0gBAAAABVwAAAMAAAADV0VOAKFSM1Qv69UIghA0ii/r1QgmQ0lRLktSLklRX0ZYX1JBVEVfRkMuRkVCMjAyMC44LzI0LzIwMTcBAAAAxDGUBgIAAAAKMTExMS4xODA4MwCqPkp9LevVCAE/Zn0t69UII0NJUS5LUi5JUV9GWF9SQVRFLk1BWTIwMTcuOC8yNS8yMDE3AQAAAMhLkwYCAAAACzExMjYuMzA4Njk2AKo+Sn0t69UIB2ZmfS3r1QgjQ0lRLktSLklRX0ZYX1JBVEUuSlVMMjAxNy44LzI1LzIwMTcBAAAAyEuTBgIAAAALMTEzMy45MzgwOTUAqj5KfS3r1QgBP2Z9LevVCDBDSVEuSEFCVC5JUV9UT1RBTF9ERUJULjUwMC4yMDE4LTA3LTEwLkxGUi4uVVNELkgBAAAAI9YREAIAAAAGMTcuMjIxAQgAAAAFAAAAATEBAAAACjE4ODY0NTE1ODIDAAAAAzE2MAIAAAAENDE3MwQAAAABMAcAAAAJNy8xMC8yMDE4CAAAAAkzLzI3LzIwMTgJAAAAATCCHvxUL+vVCFaFNIov69UII0NJUS5LUi5JUV9GWF9SQVRFLkpVTDIwMTQuOC8yNS8yMDE3AQAAAMhLkwYCAAAACzEwMTkuOTM0NzgzAKo+Sn0t69UI+Ixm</t>
  </si>
  <si>
    <t>MjAxNwEAAADIS5MGAgAAAAsxMTQzLjAxNzM5MQCqPkp9LevVCAdmZn0t69UII0NJUS5LUi5JUV9GWF9SQVRFLkZFQjIwMTMuOC8yNS8yMDE3AQAAAMhLkwYCAAAACDEwODcuMDk1AL4XSn0t69UI+IxmfS3r1QgtQ0lRQVZHLkhBQlQuSVFfRUZGRUNUX1RBWF9SQVRFLjk5Ni4yMDE4LTA3LTEwAQAAACPWERACAAAACTM4Ljk0Njg3NQCCHvxUL+vVCHY3NIov69UIMENJUS5IQUJULklRX1BSRUZfRVFVSVRZLjUwMC4yMDE4LTA3LTEwLkxGUi4uVVNELgEAAAAj1hEQAwAAAAAAFPwQcS/r1QhuXjSKL+vVCBhDSVEuXlNQWC5JUV9DT01QQU5ZX05BTUUBAAAAm7goAAMAAAAHUyZQIDUwMABOt2twL+vVCIIQNIov69UIL0NJUS5NQ0QuSVFfUFJFRl9FUVVJVFkuNTAwLjIwMTgtMDctMTAuTEZSLi5VU0QuAQAAAOAgAgADAAAAAAAE4B2LL+vVCATgHYsv69UIGENJUS5IQUJULklRX0NPTVBBTllfTkFNRQEAAAAj1hEQAwAAABtUaGUgSGFiaXQgUmVzdGF1cmFudHMsIEluYy4Agh78VC/r1QhuXjSKL+vVCCNDSVEuS1IuSVFfRlhfUkFURS5BVUcyMDE0LjgvMjUvMjAxNwEAAADIS5MGAgAAAAsxMDI1LjQ5MDQ3NgCqPkp9LevVCPiMZn0t69UIGENJUS5aT0VTLklRX0NPTVBBTllfTkFNRQEAAADUxk8CAwAAABNab2UncyBLaXRjaGVuLCBJbmMuAIIe/FQv69UIdjc0ii/r1QglQ0lRUEMuXlNQWC5JUV9MQVNUU0FMRVBS</t>
  </si>
  <si>
    <t>CCVDSVEuTkRMUy5JUV9NQVJLRVRDQVAuMjAxOC0wNy0xMC5VU0QuAQAAAPmfewACAAAACjQ4OS44MTA0MjYBBgAAAAUAAAABMQEAAAAKMTg4ODc0NzA4MwMAAAADMTYwAgAAAAYxMDAwNTQEAAAAATAHAAAACTcvMTAvMjAxOBT8EHEv69UIdjc0ii/r1QgdQ0lRLk5ZU0U6U0hBSy5JUV9RVUlDS19DT01QLjUBAAAAnROmDQMAAAAMTmFzZGFxR1M6V0VOAE63a3Av69UIghA0ii/r1QgmQ0lRLktSLklRX0ZYX1JBVEVfRkMuT0NUMjAxOS44LzI0LzIwMTcBAAAAxDGUBgIAAAAKMTExMC4yMjYxNACqPkp9LevVCAE/Zn0t69UII0NJUS5LUi5JUV9GWF9SQVRFLkFQUjIwMTcuOC8yNS8yMDE3AQAAAMhLkwYCAAAACDExMzIuNzI1AKo+Sn0t69UIB2ZmfS3r1QgdQ0lRLk5ZU0U6U0hBSy5JUV9RVUlDS19DT01QLjMBAAAAnROmDQMAAAANTmFzZGFxR1M6TkRMUwBOt2twL+vVCIIQNIov69UIJkNJUS5ORExTLklRX01BUktFVENBUC4yMDE4LTA3LTEwLlVTRC5IAQAAAPmfewACAAAACjQ4OS44MTA0MjYBBgAAAAUAAAABMQEAAAAKMTg4ODc0NzA4MwMAAAADMTYwAgAAAAYxMDAwNTQEAAAAATAHAAAACTcvMTAvMjAxOIIe/FQv69UIVoU0ii/r1QgjQ0lRLktSLklRX0ZYX1JBVEUuU0VQMjAxNC44LzI1LzIwMTcBAAAAyEuTBgIAAAALMTAzMS4xMDQ1NDUAvhdKfS3r1Qj4jGZ9LevVCCNDSVEuS1IuSVFfRlhfUkFURS5O</t>
  </si>
  <si>
    <t>T1YyMDE0LjgvMjUvMjAxNwEAAADIS5MGAgAAAAkxMDk1LjQ0MDUAqj5KfS3r1Qj4jGZ9LevVCCNDSVEuS1IuSVFfRlhfUkFURS5ERUMyMDE2LjgvMjUvMjAxNwEAAADIS5MGAgAAAAsxMTgyLjA1NDU0NQCqPkp9LevVCAdmZn0t69UIHUNJUS5OWVNFOlNIQUsuSVFfQ09NUEFOWV9OQU1FAQAAAJ0Tpg0DAAAAEFNoYWtlIFNoYWNrIEluYy4AYicwGi3r1Qj9vj1SL+vVCB5DSVEuTUNELklRX0JFVEFfNVlSLjIwMTgtMDctMTABAAAA4CACAAIAAAARMC42ODE0MzUwMDM5OTcxOTkAgh78VC/r1QhuXjSKL+vVCCNDSVEuS1IuSVFfRlhfUkFURS5KVU4yMDE2LjgvMjUvMjAxNwEAAADIS5MGAgAAAAsxMTcxLjM3MjcyNwCqPkp9LevVCAdmZn0t69UII0NJUS5LUi5JUV9GWF9SQVRFLkFVRzIwMTMuOC8yNS8yMDE3AQAAAMhLkwYCAAAACzExMTYuOTU0NTQ1AKo+Sn0t69UI+IxmfS3r1QgiQ0lRLk5ZU0U6U0hBSy5JUV9DT01QQU5ZX05BTUVfTE9ORwEAAACdE6YNAwAAABxTaGFrZSBTaGFjayBJbmMuIChOWVNFOlNIQUspAE63a3Av69UIe+kzii/r1QglQ0lRLkhBQlQuSVFfTUFSS0VUQ0FQLjIwMTgtMDctMTAuVVNELgEAAAAj1hEQAgAAAAoyMTUuMjk1NTI4AQYAAAAFAAAAATEBAAAACjE4ODY0NTE1ODIDAAAAAzE2MAIAAAAGMTAwMDU0BAAAAAEwBwAAAAk3LzEwLzIwMTgU/BBxL+vVCG5eNIov69UII0NJUS5L</t>
  </si>
  <si>
    <t>Ui5JUV9GWF9SQVRFLk1BUjIwMTMuOC8yNS8yMDE3AQAAAMhLkwYCAAAACzExMDEuNjA0NzYyAKo+Sn0t69UI+IxmfS3r1QgjQ0lRLktSLklRX0ZYX1JBVEUuU0VQMjAxNi44LzI1LzIwMTcBAAAAyEuTBgIAAAALMTEwNy45OTA5MDkAqj5KfS3r1QgHZmZ9LevVCCNDSVEuS1IuSVFfRlhfUkFURS5OT1YyMDE2LjgvMjUvMjAxNwEAAADIS5MGAgAAAAcxMTYxLjM1AKo+Sn0t69UIB2ZmfS3r1QgjQ0lRLktSLklRX0ZYX1JBVEUuREVDMjAxNC44LzI1LzIwMTcBAAAAyEuTBgIAAAALMTEwMy45OTU2NTIAqj5KfS3r1Qj4jGZ9LevVCCNDSVEuS1IuSVFfRlhfUkFURS5KVU4yMDE3LjgvMjUvMjAxNwEAAADIS5MGAgAAAAsxMTI5LjYyMjcyNwCqPkp9LevVCAdmZn0t69UIMENJUS5XRU4uSVFfUFJFRl9FUVVJVFkuNTAwLjIwMTgtMDctMTAuTEZSLi5VU0QuSAEAAAAFXAAAAwAAAAAAgh78VC/r1QhWhTSKL+vVCCZDSVEuS1IuSVFfRlhfUkFURV9GQy5ERUMyMDE4LjgvMjQvMjAxNwEAAADEMZQGAgAAAAoxMDk1Ljg4MzE0AKo+Sn0t69UIB2ZmfS3r1QgjQ0lRLktSLklRX0ZYX1JBVEUuSlVOMjAxNC44LzI1LzIwMTcBAAAAyEuTBgIAAAALMTAxOS43OTUyMzgAqj5KfS3r1Qj4jGZ9LevVCC9DSVEuQ01HLklRX1BSRUZfRVFVSVRZLjUwMC4yMDE4LTA3LTEwLkxGUi4uVVNELgEAAABOZwAAAwAAAAAAFPwQcS/r1Qh2</t>
  </si>
  <si>
    <t>B2ZmfS3r1QgjQ0lRLktSLklRX0ZYX1JBVEUuSkFOMjAxNC44LzI1LzIwMTcBAAAAyEuTBgIAAAAKMTA2NS43NjA4NwCqPkp9LevVCPiMZn0t69UIJkNJUS5LUi5JUV9GWF9SQVRFX0ZDLkpVTDIwMjAuOC8yNC8yMDE3AQAAAMQxlAYCAAAACjExMjEuNTM2NzcAqj5KfS3r1QgBP2Z9LevVCCNDSVEuS1IuSVFfRlhfUkFURS5NQVkyMDE0LjgvMjUvMjAxNwEAAADIS5MGAgAAAAsxMDI1Ljk5MDkwOQCqPkp9LevVCPiMZn0t69UIJkNJUS5aT0VTLklRX01BUktFVENBUC4yMDE4LTA3LTEwLlVTRC5IAQAAANTGTwICAAAACjE5NS42NDAxNTYBBgAAAAUAAAABMQEAAAAKMTg5MDY1MzA5OAMAAAADMTYwAgAAAAYxMDAwNTQEAAAAATAHAAAACTcvMTAvMjAxOIIe/FQv69UIUqw0ii/r1QgwQ0lRLk5ETFMuSVFfVE9UQUxfREVCVC41MDAuMjAxOC0wNy0xMC5MRlIuLlVTRC5IAQAAAPmfewACAAAABjYyLjg3MQEIAAAABQAAAAExAQAAAAoxODg4NzQ3MDgzAwAAAAMxNjACAAAABDQxNzMEAAAAATAHAAAACTcvMTAvMjAxOAgAAAAINC8zLzIwMTgJAAAAATCCHvxUL+vVCFaFNIov69UIJUNJUS5aT0VTLklRX01BUktFVENBUC4yMDE4LTA3LTEwLlVTRC4BAAAA1MZPAgIAAAAKMTk1LjY0MDE1NgEGAAAABQAAAAExAQAAAAoxODkwNjUzMDk4AwAAAAMxNjACAAAABjEwMDA1NAQAAAABMAcAAAAJNy8xMC8yMDE4FPwQcS/r</t>
  </si>
  <si>
    <t>1Qh2NzSKL+vVCCZDSVEuS1IuSVFfRlhfUkFURV9GQy5NQVIyMDIwLjgvMjQvMjAxNwEAAADEMZQGAgAAAAoxMTE1Ljc0MjYzAKo+Sn0t69UIAT9mfS3r1QgmQ0lRLktSLklRX0ZYX1JBVEVfRkMuT0NUMjAxOC44LzI0LzIwMTcBAAAAxDGUBgIAAAAKMTA5MS40MTU3MwCqPkp9LevVCAdmZn0t69UIJkNJUS5LUi5JUV9GWF9SQVRFX0ZDLkFVRzIwMTguOC8yNC8yMDE3AQAAAMQxlAYCAAAACjEwOTIuMDM5MjMAqj5KfS3r1QgBP2Z9LevVCCNDSVEuS1IuSVFfRlhfUkFURS5NQVIyMDE2LjgvMjUvMjAxNwEAAADIS5MGAgAAAAsxMTkwLjUxNzM5MQCqPkp9LevVCAdmZn0t69UIJkNJUS5LUi5JUV9GWF9SQVRFX0ZDLk5PVjIwMTkuOC8yNC8yMDE3AQAAAMQxlAYCAAAACjExMDguOTEzNDEAqj5KfS3r1QgBP2Z9LevVCCNDSVEuS1IuSVFfRlhfUkFURS5OT1YyMDEzLjgvMjUvMjAxNwEAAADIS5MGAgAAAAsxMDYyLjcwOTUyNACqPkp9LevVCPiMZn0t69UII0NJUS5LUi5JUV9GWF9SQVRFLkpBTjIwMTYuOC8yNS8yMDE3AQAAAMhLkwYCAAAACzEyMDAuMzQyODU3AKo+Sn0t69UIB2ZmfS3r1QgjQ0lRLktSLklRX0ZYX1JBVEUuQVVHMjAxNi44LzI1LzIwMTcBAAAAyEuTBgIAAAALMTExMS4xMDg2OTYAqj5KfS3r1QgHZmZ9LevVCCxDSVFBVkcuQ01HLklRX0VGRkVDVF9UQVhfUkFURS45OTYuMjAxOC0wNy0xMAEA</t>
  </si>
  <si>
    <t>Q1QyMDE1LjgvMjUvMjAxNwEAAADIS5MGAgAAAAsxMTQ5LjIxODE4MgCqPkp9LevVCPiMZn0t69UIMUNJUS5ORExTLklRX1BSRUZfRVFVSVRZLjUwMC4yMDE4LTA3LTEwLkxGUi4uVVNELkgBAAAA+Z97AAMAAAAAAIIe/FQv69UIVoU0ii/r1QgjQ0lRLktSLklRX0ZYX1JBVEUuRkVCMjAxNy44LzI1LzIwMTcBAAAAyEuTBgIAAAAGMTE0NC42AKo+Sn0t69UIB2ZmfS3r1QgmQ0lRLktSLklRX0ZYX1JBVEVfRkMuREVDMjAxOS44LzI0LzIwMTcBAAAAxDGUBgIAAAAKMTEwOC42Nzg2OQCqPkp9LevVCAE/Zn0t69UIJ0NJUS5OWVNFOlpPRVMuSVFfQ09NUEFOWV9USUNLRVJfTk9fRVhDSAEAAADUxk8CAwAAAARaT0VTAKFSM1Qv69UIghA0ii/r1QgrQ0lRLk5BU0RBUUdTOk5ETFMuSVFfQ09NUEFOWV9USUNLRVJfTk9fRVhDSAEAAAD5n3sAAwAAAARORExTAKFSM1Qv69UIghA0ii/r1QgjQ0lRLktSLklRX0ZYX1JBVEUuRkVCMjAxNS44LzI1LzIwMTcBAAAAyEuTBgIAAAAHMTEwMC42NgCqPkp9LevVCAdmZn0t69UIL0NJUS5ORExTLklRX1RPVEFMX0RFQlQuNTAwLjIwMTgtMDctMTAuTEZSLi5VU0QuAQAAAPmfewACAAAABjYyLjg3MQEIAAAABQAAAAExAQAAAAoxODg4NzQ3MDgzAwAAAAMxNjACAAAABDQxNzMEAAAAATAHAAAACTcvMTAvMjAxOAgAAAAINC8zLzIwMTgJAAAAATAU/BBxL+vVCG5eNIov69UIJENJ</t>
  </si>
  <si>
    <t>US5NQ0QuSVFfTUFSS0VUQ0FQLjIwMTgtMDctMTAuVVNELgEAAADgIAIAAgAAAA0xMjYxMTUuMTkzNjY3AQYAAAAFAAAAATEBAAAACjE4ODc2NjU1OTYDAAAAAzE2MAIAAAAGMTAwMDU0BAAAAAEwBwAAAAk3LzEwLzIwMTgE4B2LL+vVCATgHYsv69UILkNJUS5DTUcuSVFfVE9UQUxfREVCVC41MDAuMjAxOC0wNy0xMC5MRlIuLlVTRC4BAAAATmcAAAIAAAABMAEIAAAABQAAAAExAQAAAAoxODg0OTYzMzMwAwAAAAMxNjACAAAABDQxNzMEAAAAATAHAAAACTcvMTAvMjAxOAgAAAAJMy8zMS8yMDE4CQAAAAEwFPwQcS/r1Qh2NzSKL+vVCC1DSVFBVkcuWk9FUy5JUV9FRkZFQ1RfVEFYX1JBVEUuOTk2LjIwMTgtMDctMTABAAAA1MZPAgIAAAAIMzcuNTMwMjUAgh78VC/r1QhuXjSKL+vVCCtDSVEuTkFTREFRR006SEFCVC5JUV9DT01QQU5ZX1RJQ0tFUl9OT19FWENIAQAAACPWERADAAAABEhBQlQAoVIzVC/r1QiCEDSKL+vVCA==</t>
  </si>
  <si>
    <t>AwABTAVMT0NBTAFI/////wFQuQAAACNDSVEuS1IuSVFfRlhfUkFURS5ERUMyMDEzLjgvMjUvMjAxNwEAAADIS5MGAgAAAAsxMDU3LjEwOTA5MQCqPkp9LevVCPiMZn0t69UIMENJUS5ORExTLklRX1BSRUZfRVFVSVRZLjUwMC4yMDE4LTA3LTEwLkxGUi4uVVNELgEAAAD5n3sAAwAAAAAAFPwQcS/r1Qh2NzSKL+vVCCRDSVEuQ01HLklRX01BUktFVENBUC4yMDE4LTA3LTEwLlVTRC4BAAAATmcAAAIAAAALMTI2MjQuMDE5MzIBBgAAAAUAAAABMQEAAAAKMTg4NDk2MzMzMAMAAAADMTYwAgAAAAYxMDAwNTQEAAAAATAHAAAACTcvMTAvMjAxOBT8EHEv69UIdjc0ii/r1QgjQ0lRLktSLklRX0ZYX1JBVEUuU0VQMjAxNS44LzI1LzIwMTcBAAAAyEuTBgIAAAALMTE4NS4yNDA5MDkAqj5KfS3r1QgHZmZ9LevVCCtDSVEuTllTRTpTSEFLLklRX0VCVC4uMjAxOC0wNy0xMC5MRlIuLlVTRC5IAQAAAJ0Tpg0CAAAABjE2MC45NQEIAAAABQAAAAExAQAAAAoxODg3MjkwNTQxAwAAAAMxNjACAAAAAzEzOQQAAAABMAcAAAAJNy8xMC8yMDE4CAAAAAkzLzI4LzIwMTgJAAAAATBOt2twL+vVCFRmdLcv69UII0NJUS5LUi5JUV9GWF9SQVRFLk5PVjIwMTUuOC8yNS8yMDE3AQAAAMhLkwYCAAAACzExNTIuOTM4MDk1AKo+Sn0t69UIB2ZmfS3r1QgwQ0lRLlpPRVMuSVFfUFJFRl9FUVVJVFkuNTAwLjIwMTgtMDctMTAuTEZSLi5V</t>
  </si>
  <si>
    <t>AAAAATAHAAAACTcvMTAvMjAxOAgAAAAJMy8yOC8yMDE4CQAAAAEwFPwQcS/r1QhUZnS3L+vVCCZDSVEuS1IuSVFfRlhfUkFURV9GQy5NQVkyMDIwLjgvMjQvMjAxNwEAAADEMZQGAgAAAAoxMTMyLjExMzQyAKo+Sn0t69UIAT9mfS3r1QgvQ0lRLk1DRC5JUV9UT1RBTF9ERUJULjUwMC4yMDE4LTA3LTEwLkxGUi4uVVNELkgBAAAA4CACAAIAAAAFMzA4ODgBCAAAAAUAAAABMQEAAAAKMTg4NzY2NTU5NgMAAAADMTYwAgAAAAQ0MTczBAAAAAEwBwAAAAk3LzEwLzIwMTgIAAAACTMvMzEvMjAxOAkAAAABMIIe/FQv69UIVEQkiy/r1Qg+Q0lRUkFOR0UuTllTRTpTSEFLLklRX0ZJWEVEX0lOQ09NRV9MSVNULjEuNTAwLi4uLi5GSVhFRCBJTkNPTUUDAAAAnROmDQAAAABOt2twL+vVCGw/dLcv69UIF0NJUS5NQ0QuSVFfQ09NUEFOWV9OQU1FAQAAAOAgAgADAAAAFk1jRG9uYWxkJ3MgQ29ycG9yYXRpb24Agh78VC/r1Qh2NzSKL+vVCBhDSVEuTkRMUy5JUV9DT01QQU5ZX05BTUUBAAAA+Z97AAMAAAARTm9vZGxlcyAmIENvbXBhbnkAgh78VC/r1QhuXjSKL+vVCCZDSVEuS1IuSVFfRlhfUkFURV9GQy5BUFIyMDIwLjgvMjQvMjAxNwEAAADEMZQGAgAAAAoxMTI4Ljg0NjM5AKo+Sn0t69UIAT9mfS3r1QgmQ0lRLkhBQlQuSVFfTUFSS0VUQ0FQLjIwMTgtMDctMTAuVVNELkgBAAAAI9YREAIAAAAKMjE1LjI5NTUyOAEG</t>
  </si>
  <si>
    <t>AAAABQAAAAExAQAAAAoxODg2NDUxNTgyAwAAAAMxNjACAAAABjEwMDA1NAQAAAABMAcAAAAJNy8xMC8yMDE4gh78VC/r1QhWhTSKL+vVCDFDSVEuWk9FUy5JUV9QUkVGX0VRVUlUWS41MDAuMjAxOC0wNy0xMC5MRlIuLlVTRC5IAQAAANTGTwIDAAAAAACCHvxUL+vVCFaFNIov69UII0NJUS5LUi5JUV9GWF9SQVRFLkRFQzIwMTUuOC8yNS8yMDE3AQAAAMhLkwYCAAAACzExNzIuMjEzMDQzAKo+Sn0t69UI+IxmfS3r1QgrQ0lRLk5ZU0U6U0hBSy5JUV9NQVJLRVRDQVAuMjAxOC0wNy0xMC5VU0QuSAEAAACdE6YNAgAAAAsxNzcxLjU5MTI3NgEGAAAABQAAAAExAQAAAAoxODg3MjkwMTI1AwAAAAMxNjACAAAABjEwMDA1NAQAAAABMAcAAAAJNy8xMC8yMDE4TrdrcC/r1QhUZnS3L+vVCBxDSVEuTllTRTpTSEFLLklRX1FVSUNLX0NPTVAuAQAAAJ0Tpg0DAAAACU5ZU0U6Wk9FUwAU/BBxL+vVCBT8EHEv69UII0NJUS5LUi5JUV9GWF9SQVRFLkpVTDIwMTMuOC8yNS8yMDE3AQAAAMhLkwYCAAAACzExMjYuNTc4MjYxAKo+Sn0t69UI+IxmfS3r1QgsQ0lRQVZHLk1DRC5JUV9FRkZFQ1RfVEFYX1JBVEUuOTk2LjIwMTgtMDctMTABAAAA4CACAAIAAAAIMzMuODkzODgAgh78VC/r1QhuXjSKL+vVCC9DSVEuTllTRTpTSEFLLklRX1BFUklPRERBVEUuMTAwMC4yMDE4LTA3LTEwLkxGUgEAAACdE6YNBQAAAAoyMDE3LTEy</t>
  </si>
  <si>
    <t>LTI3AE63a3Av69UIVGZ0ty/r1QgjQ0lRLktSLklRX0ZYX1JBVEUuTUFZMjAxMy44LzI1LzIwMTcBAAAAyEuTBgIAAAALMTExMC40OTU2NTIAvhdKfS3r1Qj4jGZ9LevVCCNDSVEuS1IuSVFfRlhfUkFURS5KVU4yMDEzLjgvMjUvMjAxNwEAAADIS5MGAgAAAAcxMTM0LjU0AKo+Sn0t69UI+IxmfS3r1QgjQ0lRLktSLklRX0ZYX1JBVEUuSkFOMjAxNS44LzI1LzIwMTcBAAAAyEuTBgIAAAALMTA4OS42NDA5MDkAqj5KfS3r1QgHZmZ9LevVCCZDSVEuS1IuSVFfRlhfUkFURV9GQy5KQU4yMDE5LjgvMjQvMjAxNwEAAADEMZQGAgAAAAoxMTAxLjYwMjY3AKo+Sn0t69UIAT9mfS3r1QguQ0lRLk5ZU0U6U0hBSy5JUV9JTkNfVEFYLi4yMDE4LTA3LTEwLkxGUi4uVVNELgEAAACdE6YNAgAAAAcxNTAuOTQ5AQgAAAAFAAAAATEBAAAACjE4ODcyOTA1NDEDAAAAAzE2MAIAAAACNzUEAAAAATAHAAAACTcvMTAvMjAxOAgAAAAJMy8yOC8yMDE4CQAAAAEwFPwQcS/r1QhUZnS3L+vVCDBDSVEuQ01HLklRX1BSRUZfRVFVSVRZLjUwMC4yMDE4LTA3LTEwLkxGUi4uVVNELkgBAAAATmcAAAMAAAAAAIIe/FQv69UIUqw0ii/r1QgjQ0lRLktSLklRX0ZYX1JBVEUuU0VQMjAxMy44LzI1LzIwMTcBAAAAyEuTBgIAAAAKMTA4Ni42NzYxOQC+F0p9LevVCPiMZn0t69UIOUNJUS5OWVNFOlNIQUsuSVFfU1BfSVNTVUVSX1JBVElORy4y</t>
  </si>
  <si>
    <t>MDE4LTA3LTEwLkxUX0xDLlJBVElORwEAAACdE6YNAwAAAAAATrdrcC/r1QhUZnS3L+vVCB1DSVEuTllTRTpTSEFLLklRX1FVSUNLX0NPTVAuNAEAAACdE6YNAwAAAA1OYXNkYXFHTTpIQUJUAE63a3Av69UIghA0ii/r1QgdQ0lRLk5ZU0U6U0hBSy5JUV9RVUlDS19DT01QLjIBAAAAnROmDQMAAAAITllTRTpDTUcATrdrcC/r1QiCEDSKL+vVCCVDSVFQQy5eU1BYLklRX0xBU1RTQUxFUFJJQ0UuLTFZLjQwMTc4AQAAAJu4KAACAAAAEDIzLjQ1MzgxNzQxOTA1ODQATrdrcC/r1Qg8tHS3L+vVCC9DSVEuWk9FUy5JUV9UT1RBTF9ERUJULjUwMC4yMDE4LTA3LTEwLkxGUi4uVVNELgEAAADUxk8CAgAAAAY0Ny42MzQBCAAAAAUAAAABMQEAAAAKMTg5MDY1MzA5OAMAAAADMTYwAgAAAAQ0MTczBAAAAAEwBwAAAAk3LzEwLzIwMTgIAAAACTQvMTYvMjAxOAkAAAABMBT8EHEv69UIdjc0ii/r1QgdQ0lRLi5JUV9SQVRFX0xFVkVMLjIwMTgtMDctMTAFAAAAAAAAAAgAAAAUKEludmFsaWQgSWRlbnRpZmllcikU/BBxL+vVCIIQNIov69UIJkNJUS5LUi5JUV9GWF9SQVRFX0ZDLkFQUjIwMTkuOC8yNC8yMDE3AQAAAMQxlAYCAAAACjExMTEuMzM4NTYAqj5KfS3r1QgBP2Z9LevVCCZDSVEuS1IuSVFfRlhfUkFURV9GQy5KVU4yMDIwLjgvMjQvMjAxNwEAAADEMZQGAgAAAAoxMTMyLjIyNjQ0AKo+Sn0t69UIAT9mfS3r1Qge</t>
  </si>
  <si>
    <t>Q0lRLkNNRy5JUV9CRVRBXzVZUi4yMDE4LTA3LTEwAQAAAE5nAAACAAAAETAuNDEzMzAxODc0MzM1OTYxAIIe/FQv69UIdjc0ii/r1QglQ0lRUEMuXlNQWC5JUV9MQVNUU0FMRVBSSUNFLi0xWS4zOTgxMwEAAACbuCgAAgAAABEtMzguNDg1MjU2MzYwNzMzOQBOt2twL+vVCDy0dLcv69UILkNJUS5OWVNFOlNIQUsuSVFfUEVSSU9EREFURS41MDAuMjAxOC0wNy0xMC5MRlIBAAAAnROmDQUAAAAKMjAxOC0wMy0yOABOt2twL+vVCFRmdLcv69UIL0NJUS5XRU4uSVFfVE9UQUxfREVCVC41MDAuMjAxOC0wNy0xMC5MRlIuLlVTRC5IAQAAAAVcAAACAAAACDI4MDguMDIxAQgAAAAFAAAAATEBAAAACjE4ODgwNTUxODADAAAAAzE2MAIAAAAENDE3MwQAAAABMAcAAAAJNy8xMC8yMDE4CAAAAAg0LzEvMjAxOAkAAAABMIIe/FQv69UIVoU0ii/r1QgcQ0lRLklRVDM2MTgzODM5LklRX1JBVEVfTkFNRQEAAAAdHygCAwAAADJVbml0ZWQgU3RhdGVzIFRyZWFzdXJ5IENvbnN0YW50IE1hdHVyaXR5IC0gMTAgWWVhcgBOt2twL+vVCFRmdLcv69UIJUNJUVBDLl5TUFguSVFfTEFTVFNBTEVQUklDRS4tMVkuNDMxMDABAAAAm7goAAIAAAAQMTkuNDIwMTY1MjU4NzMxOQBOt2twL+vVCFCNdLcv69UIJkNJUS5LUi5JUV9GWF9SQVRFX0ZDLk1BUjIwMTkuOC8yNC8yMDE3AQAAAMQxlAYCAAAACTExMDguMjMwOQCqPkp9LevVCAE/</t>
  </si>
  <si>
    <t>Zn0t69UIJUNJUS5DTUcuSVFfTUFSS0VUQ0FQLjIwMTgtMDctMTAuVVNELkgBAAAATmcAAAIAAAALMTI2MjQuMDE5MzIBBgAAAAUAAAABMQEAAAAKMTg4NDk2MzMzMAMAAAADMTYwAgAAAAYxMDAwNTQEAAAAATAHAAAACTcvMTAvMjAxOIIe/FQv69UIVoU0ii/r1QgjQ0lRLktSLklRX0ZYX1JBVEUuSkFOMjAxMy44LzI1LzIwMTcBAAAAyEuTBgIAAAALMTA2NS45ODY5NTcAvhdKfS3r1Qj4jGZ9LevVCCBDSVEuTllTRTpTSEFLLklRX0lORFVTVFJZX1NFQ1RPUgEAAACdE6YNAwAAABZDb25zdW1lciBEaXNjcmV0aW9uYXJ5AE63a3Av69UIVGZ0ty/r1QgRQ0lRLi5JUV9SQVRFX05BTUUFAAAAAAAAAAgAAAAUKEludmFsaWQgSWRlbnRpZmllcikU/BBxL+vVCIIQNIov69UIL0NJUS5XRU4uSVFfUFJFRl9FUVVJVFkuNTAwLjIwMTgtMDctMTAuTEZSLi5VU0QuAQAAAAVcAAADAAAAAAAU/BBxL+vVCG5eNIov69UILENJUS5OWVNFOlNIQUsuSVFfUEVSSU9EREFURS4xMDAwLjIwMTgtMDctMTAuAQAAAJ0Tpg0FAAAACjIwMTctMTItMjcAFPwQcS/r1QhsP3S3L+vVCCVDSVEuTUNELklRX01BUktFVENBUC4yMDE4LTA3LTEwLlVTRC5IAQAAAOAgAgACAAAADTEyNjExNS4xOTM2NjcBBgAAAAUAAAABMQEAAAAKMTg4NzY2NTU5NgMAAAADMTYwAgAAAAYxMDAwNTQEAAAAATAHAAAACTcvMTAvMjAxOIIe/FQv69UIVEQk</t>
  </si>
  <si>
    <t>iy/r1QhCQ0lRLlVTRC5JUV9GVUxMX0NVUlZFX0FOTlVBTC5DT05TVU1FUkRJU0NSRVRJT05BUlkuMC41WS4yMDE4LTA3LTEwAQAAAAAAAAACAAAACTAuMDM4MjYyOQCVeTNUL+vVCFaFNIov69UII0NJUS5LUi5JUV9GWF9SQVRFLk1BWTIwMTUuOC8yNS8yMDE3AQAAAMhLkwYCAAAACzEwODkuMjgwOTUyAKo+Sn0t69UIB2ZmfS3r1QguQ0lRLk1DRC5JUV9UT1RBTF9ERUJULjUwMC4yMDE4LTA3LTEwLkxGUi4uVVNELgEAAADgIAIAAgAAAAUzMDg4OAEIAAAABQAAAAExAQAAAAoxODg3NjY1NTk2AwAAAAMxNjACAAAABDQxNzMEAAAAATAHAAAACTcvMTAvMjAxOAgAAAAJMy8zMS8yMDE4CQAAAAEwBOAdiy/r1QgE4B2LL+vVCCRDSVEuTllTRTpTSEFLLklRX0JFVEFfNVlSLjIwMTgtMDctMTABAAAAnROmDQIAAAAQMS4zNDc2NDIyNjAzNTM5NABOt2twL+vVCFRmdLcv69UIJkNJUS5LUi5JUV9GWF9SQVRFX0ZDLkZFQjIwMTkuOC8yNC8yMDE3AQAAAMQxlAYCAAAACjExMDUuMDkwNjIAqj5KfS3r1QgBP2Z9LevVCCNDSVEuS1IuSVFfRlhfUkFURS5KVUwyMDE2LjgvMjUvMjAxNwEAAADIS5MGAgAAAAsxMTQ0LjMzMzMzMwCqPkp9LevVCAdmZn0t69UIH0NJUS5LUi5JUV9GWF9SQVRFX0ZDLi44LzI0LzIwMTcBAAAARJe+BgMAAAAAAKo+Sn0t69UIqj5KfS3r1QgXQ0lRLkNNRy5JUV9DT01QQU5ZX05BTUUBAAAA</t>
  </si>
  <si>
    <t>fS3r1QgvQ0lRLkhBQlQuSVFfVE9UQUxfREVCVC41MDAuMjAxOC0wNy0xMC5MRlIuLlVTRC4BAAAAI9YREAIAAAAGMTcuMjIxAQgAAAAFAAAAATEBAAAACjE4ODY0NTE1ODIDAAAAAzE2MAIAAAAENDE3MwQAAAABMAcAAAAJNy8xMC8yMDE4CAAAAAkzLzI3LzIwMTgJAAAAATAU/BBxL+vVCHY3NIov69UII0NJUS5LUi5JUV9GWF9SQVRFLk1BUjIwMTUuOC8yNS8yMDE3AQAAAMhLkwYCAAAACzExMTIuNTY4MTgyAKo+Sn0t69UIB2ZmfS3r1QgjQ0lRLktSLklRX0ZYX1JBVEUuTUFZMjAxNi44LzI1LzIwMTcBAAAAyEuTBgIAAAALMTE2OC40NTkwOTEAqj5KfS3r1QgHZmZ9LevVCCtDSVEuTllTRTpTSEFLLklRX1BFUklPRERBVEUuNTAwLjIwMTgtMDctMTAuAQAAAJ0Tpg0FAAAACjIwMTgtMDMtMjgAFPwQcS/r1QhUZnS3L+vVCDBDSVEuTUNELklRX1BSRUZfRVFVSVRZLjUwMC4yMDE4LTA3LTEwLkxGUi4uVVNELkgBAAAA4CACAAMAAAAAAIIe/FQv69UIVEQkiy/r1QgsQ0lRLlVTRC5JUV9GVUxMX0NVUlZFX0FOTlVBTC4uLjVZLjIwMTgtMDctMTABAAAAAAAAAAIAAAAJMC4wMzg3OTU3AKFSM1Qv69UIghA0ii/r1QgjQ0lRLktSLklRX0ZYX1JBVEUuQVVHMjAxNS44LzI1LzIwMTcBAAAAyEuTBgIAAAALMTE3OS42MzMzMzMAqj5KfS3r1QgHZmZ9LevVCCNDSVEuS1IuSVFfRlhfUkFURS5KVUwyMDE1LjgvMjUv</t>
  </si>
  <si>
    <t>SUNFLi0xWS40MTYzOQEAAACbuCgAAgAAABAyOS42MDExODUwNzE2NTkxAE63a3Av69UIUI10ty/r1QgjQ0lRLktSLklRX0ZYX1JBVEUuT0NUMjAxMy44LzI1LzIwMTcBAAAAyEuTBgIAAAALMTA2Ny41MTczOTEAqj5KfS3r1Qj4jGZ9LevVCCZDSVEuS1IuSVFfRlhfUkFURV9GQy5KQU4yMDIwLjgvMjQvMjAxNwEAAADEMZQGAgAAAAkxMTA4LjQ3ODMAqj5KfS3r1QgBP2Z9LevVCCNDSVEuS1IuSVFfRlhfUkFURS5BUFIyMDE2LjgvMjUvMjAxNwEAAADIS5MGAgAAAAsxMTQ3LjU5MDQ3NgCqPkp9LevVCAdmZn0t69UILENJUUFWRy5XRU4uSVFfRUZGRUNUX1RBWF9SQVRFLjk5Ni4yMDE4LTA3LTEwAQAAAAVcAAACAAAACTM1LjE4MTUyNQCCHvxUL+vVCG5eNIov69UII0NJUS5LUi5JUV9GWF9SQVRFLk9DVDIwMTYuOC8yNS8yMDE3AQAAAMhLkwYCAAAACzExMjMuNjg1NzE0AKo+Sn0t69UIB2ZmfS3r1QgmQ0lRLktSLklRX0ZYX1JBVEVfRkMuQVVHMjAxOS44LzI0LzIwMTcBAAAAxDGUBgIAAAAKMTExNi44Mjc2OQCqPkp9LevVCAE/Zn0t69UII0NJUS5LUi5JUV9GWF9SQVRFLkZFQjIwMTQuOC8yNS8yMDE3AQAAAMhLkwYCAAAABjEwNzEuNACqPkp9LevVCPiMZn0t69UIJkNJUS5LUi5JUV9GWF9SQVRFX0ZDLk5PVjIwMTguOC8yNC8yMDE3AQAAAMQxlAYCAAAACjEwOTMuMTE1NDQAqj5KfS3r1QgBP2Z9LevV</t>
  </si>
  <si>
    <t>NzSKL+vVCCpDSVEuTllTRTpTSEFLLklRX01BUktFVENBUC4yMDE4LTA3LTEwLlVTRC4BAAAAnROmDQIAAAALMTc3MS41OTEyNzYBBgAAAAUAAAABMQEAAAAKMTg4NzI5MDEyNQMAAAADMTYwAgAAAAYxMDAwNTQEAAAAATAHAAAACTcvMTAvMjAxOBT8EHEv69UIVGZ0ty/r1QgmQ0lRLktSLklRX0ZYX1JBVEVfRkMuSlVMMjAxOS44LzI0LzIwMTcBAAAAxDGUBgIAAAAKMTExNi45MzU1OQCqPkp9LevVCAE/Zn0t69UII0NJUS5LUi5JUV9GWF9SQVRFLkpVTjIwMTUuOC8yNS8yMDE3AQAAAMhLkwYCAAAACzExMTIuMTk1NDU1AKo+Sn0t69UI+IxmfS3r1QgoQ0lRLklRVDM2MTgzODM5LklRX1JBVEVfTEVWRUwuMjAxOC0wNy0xMAEAAAAdHygCAgAAAAQyLjg3AE63a3Av69UIVoU0ii/r1QglQ0lRUEMuXlNQWC5JUV9MQVNUU0FMRVBSSUNFLi0xWS40MjAwNAEAAACbuCgAAgAAABAxMS4zOTA5NzY1NTI5MjQ2AE63a3Av69UIUI10ty/r1QgdQ0lRLk5ZU0U6U0hBSy5JUV9RVUlDS19DT01QLjEBAAAAnROmDQMAAAAJTllTRTpaT0VTAE63a3Av69UIghA0ii/r1QgvQ0lRUkFOR0UuTllTRTpTSEFLLklRX0JPTkRfTElTVC4xLjUwMC4uLi4uQk9ORFMDAAAAnROmDQAAAABOt2twL+vVCGw/dLcv69UIJUNJUVBDLl5TUFguSVFfTEFTVFNBTEVQUklDRS4tMVkuNDEyNzQBAAAAm7goAAIAAAAQMTMuNDA1MDk5MzU1NDA2</t>
  </si>
  <si>
    <t>OABOt2twL+vVCFCNdLcv69UIHkNJUS4zNjAyLklRX0VWX09WRVJfTFRNX0VCSVREQQUAAAAAAAAACAAAABQoSW52YWxpZCBJZGVudGlmaWVyKU63a3Av69UIYwV6cC/r1QgwQ0lRLlpPRVMuSVFfVE9UQUxfREVCVC41MDAuMjAxOC0wNy0xMC5MRlIuLlVTRC5IAQAAANTGTwICAAAABjQ3LjYzNAEIAAAABQAAAAExAQAAAAoxODkwNjUzMDk4AwAAAAMxNjACAAAABDQxNzMEAAAAATAHAAAACTcvMTAvMjAxOAgAAAAJNC8xNi8yMDE4CQAAAAEwgh78VC/r1QhSrDSKL+vVCCVDSVFQQy5eU1BYLklRX0xBU1RTQUxFUFJJQ0UuLTFZLjQwOTA4AQAAAJu4KAACAAAAFC0wLjAwMjQ3OTQ1MDgwNzg3OTc5AE63a3Av69UIPLR0ty/r1QgXQ0lRLldFTi5JUV9DT01QQU5ZX05BTUUBAAAABVwAAAMAAAATVGhlIFdlbmR5J3MgQ29tcGFueQCCHvxUL+vVCG5eNIov69UIJkNJUS5LUi5JUV9GWF9SQVRFX0ZDLk1BWTIwMTkuOC8yNC8yMDE3AQAAAMQxlAYCAAAACjExMTMuNTQ0NzgAqj5KfS3r1QgBP2Z9LevVCB5DSVEuV0VOLklRX0JFVEFfNVlSLjIwMTgtMDctMTABAAAABVwAAAIAAAARMC41NjA1NzAxMzUxNjI1OTQAgh78VC/r1QhuXjSKL+vVCCVDSVEuV0VOLklRX01BUktFVENBUC4yMDE4LTA3LTEwLlVTRC5IAQAAAAVcAAACAAAACjQxODguNjI3NTEBBgAAAAUAAAABMQEAAAAKMTg4ODA1NTE4MAMAAAADMTYwAgAA</t>
  </si>
  <si>
    <t>AAYxMDAwNTQEAAAAATAHAAAACTcvMTAvMjAxOIIe/FQv69UIVoU0ii/r1QgmQ0lRLktSLklRX0ZYX1JBVEVfRkMuU0VQMjAxOC44LzI0LzIwMTcBAAAAxDGUBgIAAAAKMTA5NC4wNDczOQCqPkp9LevVCAdmZn0t69UIM0NJUS5OWVNFOlNIQUsuSVFfUFJFRl9FUVVJVFkuLjIwMTgtMDctMTAuTEZSLi5VU0QuSAEAAACdE6YNAwAAAAAATrdrcC/r1QhUZnS3L+vVCCNDSVEuS1IuSVFfRlhfUkFURS5BUFIyMDEzLjgvMjUvMjAxNwEAAADIS5MGAgAAAAsxMTIxLjgzMTgxOACqPkp9LevVCPiMZn0t69UIJUNJUVBDLl5TUFguSVFfTEFTVFNBTEVQUklDRS4tMVkuNDIzNjkBAAAAm7goAAIAAAASLTAuNzI2ODY4NjYzMTIxMzI2AE63a3Av69UIUI10ty/r1QgvQ0lRLk5ZU0U6U0hBSy5JUV9JTkNfVEFYLi4yMDE4LTA3LTEwLkxGUi4uVVNELkgBAAAAnROmDQIAAAAHMTUwLjk0OQEIAAAABQAAAAExAQAAAAoxODg3MjkwNTQxAwAAAAMxNjACAAAAAjc1BAAAAAEwBwAAAAk3LzEwLzIwMTgIAAAACTMvMjgvMjAxOAkAAAABME63a3Av69UIVGZ0ty/r1QgfQ0lRLlpPRVMuSVFfQkVUQV81WVIuMjAxOC0wNy0xMAEAAADUxk8CAgAAABEwLjE0Nzk3NDYyODU4Nzg0NgCCHvxUL+vVCG5eNIov69UII0NJUS5LUi5JUV9GWF9SQVRFLk1BUjIwMTcuOC8yNS8yMDE3AQAAAMhLkwYCAAAACzExMzUuMTA4Njk2AKo+Sn0t69UI</t>
  </si>
  <si>
    <t>AABOZwAAAgAAAAgzOC4yOTUzNgCCHvxUL+vVCG5eNIov69UII0NJUS5LUi5JUV9GWF9SQVRFLkFQUjIwMTQuOC8yNS8yMDE3AQAAAMhLkwYCAAAACzEwNDQuNTU4MTgyAKo+Sn0t69UI+IxmfS3r1QgjQ0lRLktSLklRX0ZYX1JBVEUuT0NUMjAxNC44LzI1LzIwMTcBAAAAyEuTBgIAAAALMTA2MC42ODY5NTcAqj5KfS3r1Qj4jGZ9LevVCCVDSVFQQy5eU1BYLklRX0xBU1RTQUxFUFJJQ0UuLTFZLjQwNTQzAQAAAJu4KAACAAAADzEyLjc4MjA3OTAzNDM4OABOt2twL+vVCDy0dLcv69UII0NJUS5LUi5JUV9GWF9SQVRFLk1BUjIwMTQuOC8yNS8yMDE3AQAAAMhLkwYCAAAACzEwNzAuNzM4MDk1AKo+Sn0t69UI+IxmfS3r1QgfQ0lRLkhBQlQuSVFfQkVUQV81WVIuMjAxOC0wNy0xMAEAAAAj1hEQAgAAABEwLjUyMzI4OTkwNzM4MjQ5NgCCHvxUL+vVCG5eNIov69UII0NJUS5LUi5JUV9GWF9SQVRFLkpBTjIwMTcuOC8yNS8yMDE3AQAAAMhLkwYCAAAACzExODYuMDI3MjczAKo+Sn0t69UIB2ZmfS3r1QgcQ0lRLktSLklRX0ZYX1JBVEUuLjgvMjUvMjAxNwEAAABEl74GAwAAAAAAqj5KfS3r1QiqPkp9LevVCCNDSVEuS1IuSVFfRlhfUkFURS5GRUIyMDE2LjgvMjUvMjAxNwEAAADIS5MGAgAAAAsxMjE0LjgzODA5NQCqPkp9LevVCAdmZn0t69UIMkNJUS5OWVNFOlNIQUsuSVFfUFJFRl9FUVVJVFkuLjIwMTgtMDct</t>
  </si>
  <si>
    <t>MTAuTEZSLi5VU0QuAQAAAJ0Tpg0DAAAAAAAU/BBxL+vVCFRmdLcv69UIJENJUS5XRU4uSVFfTUFSS0VUQ0FQLjIwMTgtMDctMTAuVVNELgEAAAAFXAAAAgAAAAo0MTg4LjYyNzUxAQYAAAAFAAAAATEBAAAACjE4ODgwNTUxODADAAAAAzE2MAIAAAAGMTAwMDU0BAAAAAEwBwAAAAk3LzEwLzIwMTgU/BBxL+vVCG5eNIov69UILkNJUS5XRU4uSVFfVE9UQUxfREVCVC41MDAuMjAxOC0wNy0xMC5MRlIuLlVTRC4BAAAABVwAAAIAAAAIMjgwOC4wMjEBCAAAAAUAAAABMQEAAAAKMTg4ODA1NTE4MAMAAAADMTYwAgAAAAQ0MTczBAAAAAEwBwAAAAk3LzEwLzIwMTgIAAAACDQvMS8yMDE4CQAAAAEwFPwQcS/r1QhuXjSKL+vVCB9DSVEuTkRMUy5JUV9CRVRBXzVZUi4yMDE4LTA3LTEwAQAAAPmfewACAAAAES0wLjYyNzcyNzE0MTM4Nzg4AIIe/FQv69UIbl40ii/r1QgmQ0lRLk5ZU0U6Q01HLklRX0NPTVBBTllfVElDS0VSX05PX0VYQ0gBAAAATmcAAAMAAAADQ01HAKFSM1Qv69UIghA0ii/r1QglQ0lRUEMuXlNQWC5JUV9MQVNUU0FMRVBSSUNFLi0xWS40MjczNQEAAACbuCgAAgAAABA5LjUzNTAyMTQ4NzU1ODU3AE63a3Av69UIUI10ty/r1QgjQ0lRLktSLklRX0ZYX1JBVEUuQVBSMjAxNS44LzI1LzIwMTcBAAAAyEuTBgIAAAALMTA4OC42NjM2MzYAqj5KfS3r1QgHZmZ9LevVCCNDSVEuS1IuSVFfRlhfUkFURS5P</t>
  </si>
  <si>
    <t>© 2021 Wall Street Training Asia Inc.</t>
    <phoneticPr fontId="1" type="noConversion"/>
  </si>
  <si>
    <t>© 2021 (주)월스트릿트레이닝아시아.</t>
    <phoneticPr fontId="1" type="noConversion"/>
  </si>
  <si>
    <t>FY 2017 flat</t>
    <phoneticPr fontId="1" type="noConversion"/>
  </si>
  <si>
    <t>직전 2개년 avg flat</t>
    <phoneticPr fontId="1" type="noConversion"/>
  </si>
  <si>
    <t>직전년 대비 30씩 감소</t>
    <phoneticPr fontId="1" type="noConversion"/>
  </si>
  <si>
    <r>
      <t xml:space="preserve">50 </t>
    </r>
    <r>
      <rPr>
        <sz val="10"/>
        <color theme="1"/>
        <rFont val="맑은 고딕"/>
        <family val="2"/>
        <charset val="129"/>
      </rPr>
      <t>고정</t>
    </r>
    <phoneticPr fontId="1" type="noConversion"/>
  </si>
  <si>
    <r>
      <t>11</t>
    </r>
    <r>
      <rPr>
        <sz val="10"/>
        <color theme="1"/>
        <rFont val="맑은 고딕"/>
        <family val="2"/>
        <charset val="129"/>
      </rPr>
      <t>고정</t>
    </r>
    <r>
      <rPr>
        <sz val="10"/>
        <color theme="1"/>
        <rFont val="Arial"/>
        <family val="2"/>
      </rPr>
      <t xml:space="preserve"> </t>
    </r>
    <phoneticPr fontId="1" type="noConversion"/>
  </si>
  <si>
    <r>
      <t xml:space="preserve">4.5% </t>
    </r>
    <r>
      <rPr>
        <sz val="10"/>
        <color theme="1"/>
        <rFont val="맑은 고딕"/>
        <family val="2"/>
        <charset val="129"/>
      </rPr>
      <t>고정</t>
    </r>
    <phoneticPr fontId="1" type="noConversion"/>
  </si>
  <si>
    <r>
      <t xml:space="preserve">2.5% </t>
    </r>
    <r>
      <rPr>
        <sz val="10"/>
        <color theme="1"/>
        <rFont val="맑은 고딕"/>
        <family val="2"/>
        <charset val="129"/>
      </rPr>
      <t>고정</t>
    </r>
    <phoneticPr fontId="1" type="noConversion"/>
  </si>
  <si>
    <r>
      <t xml:space="preserve">3.5% </t>
    </r>
    <r>
      <rPr>
        <sz val="10"/>
        <color theme="1"/>
        <rFont val="맑은 고딕"/>
        <family val="2"/>
        <charset val="129"/>
      </rPr>
      <t>고정</t>
    </r>
    <phoneticPr fontId="1" type="noConversion"/>
  </si>
  <si>
    <r>
      <t xml:space="preserve">6 </t>
    </r>
    <r>
      <rPr>
        <sz val="10"/>
        <color theme="1"/>
        <rFont val="맑은 고딕"/>
        <family val="2"/>
        <charset val="129"/>
      </rPr>
      <t>고정</t>
    </r>
    <phoneticPr fontId="1" type="noConversion"/>
  </si>
  <si>
    <r>
      <t xml:space="preserve">1.6 </t>
    </r>
    <r>
      <rPr>
        <sz val="10"/>
        <color theme="1"/>
        <rFont val="맑은 고딕"/>
        <family val="2"/>
        <charset val="129"/>
      </rPr>
      <t>고정</t>
    </r>
    <phoneticPr fontId="1" type="noConversion"/>
  </si>
  <si>
    <r>
      <t xml:space="preserve">0.8% </t>
    </r>
    <r>
      <rPr>
        <sz val="10"/>
        <color theme="1"/>
        <rFont val="맑은 고딕"/>
        <family val="2"/>
        <charset val="129"/>
      </rPr>
      <t>고정</t>
    </r>
    <phoneticPr fontId="1" type="noConversion"/>
  </si>
  <si>
    <r>
      <rPr>
        <sz val="10"/>
        <color theme="1"/>
        <rFont val="맑은 고딕"/>
        <family val="2"/>
        <charset val="129"/>
      </rPr>
      <t xml:space="preserve">직전 3개년 </t>
    </r>
    <r>
      <rPr>
        <sz val="10"/>
        <color theme="1"/>
        <rFont val="Arial"/>
        <family val="2"/>
      </rPr>
      <t>avg</t>
    </r>
    <r>
      <rPr>
        <sz val="10"/>
        <color theme="1"/>
        <rFont val="맑은 고딕"/>
        <family val="2"/>
        <charset val="129"/>
      </rPr>
      <t>로 계산 후, 20씩 감소 가정</t>
    </r>
    <phoneticPr fontId="1" type="noConversion"/>
  </si>
  <si>
    <r>
      <rPr>
        <sz val="10"/>
        <color theme="1"/>
        <rFont val="맑은 고딕"/>
        <family val="2"/>
        <charset val="129"/>
      </rPr>
      <t xml:space="preserve">직전년 </t>
    </r>
    <r>
      <rPr>
        <sz val="10"/>
        <color theme="1"/>
        <rFont val="Arial"/>
        <family val="2"/>
      </rPr>
      <t>flat.</t>
    </r>
    <phoneticPr fontId="1" type="noConversion"/>
  </si>
  <si>
    <t>직전년 대비 500씩 감소.</t>
    <phoneticPr fontId="1" type="noConversion"/>
  </si>
  <si>
    <t>직전년 대비 1000씩 감소</t>
    <phoneticPr fontId="1" type="noConversion"/>
  </si>
  <si>
    <r>
      <t xml:space="preserve">21% </t>
    </r>
    <r>
      <rPr>
        <i/>
        <sz val="10"/>
        <color theme="1"/>
        <rFont val="맑은 고딕"/>
        <family val="2"/>
        <charset val="129"/>
      </rPr>
      <t>고정.</t>
    </r>
    <phoneticPr fontId="1" type="noConversion"/>
  </si>
  <si>
    <r>
      <t xml:space="preserve">0 </t>
    </r>
    <r>
      <rPr>
        <sz val="10"/>
        <color theme="1"/>
        <rFont val="맑은 고딕"/>
        <family val="2"/>
        <charset val="129"/>
      </rPr>
      <t>고정.</t>
    </r>
    <phoneticPr fontId="1" type="noConversion"/>
  </si>
  <si>
    <t>CAGR</t>
    <phoneticPr fontId="1" type="noConversion"/>
  </si>
  <si>
    <t>2017-2022</t>
    <phoneticPr fontId="1" type="noConversion"/>
  </si>
  <si>
    <t>직전년 대비 6씩 감소</t>
    <phoneticPr fontId="1" type="noConversion"/>
  </si>
  <si>
    <r>
      <t>19</t>
    </r>
    <r>
      <rPr>
        <sz val="10"/>
        <color theme="1"/>
        <rFont val="맑은 고딕"/>
        <family val="2"/>
        <charset val="129"/>
      </rPr>
      <t>년까지 0, '20년부터 5로 고정</t>
    </r>
    <phoneticPr fontId="1" type="noConversion"/>
  </si>
  <si>
    <r>
      <t xml:space="preserve">10 </t>
    </r>
    <r>
      <rPr>
        <sz val="10"/>
        <color theme="1"/>
        <rFont val="맑은 고딕"/>
        <family val="2"/>
        <charset val="129"/>
      </rPr>
      <t>고정</t>
    </r>
    <phoneticPr fontId="1" type="noConversion"/>
  </si>
  <si>
    <r>
      <t xml:space="preserve">$20 </t>
    </r>
    <r>
      <rPr>
        <sz val="10"/>
        <color theme="1"/>
        <rFont val="맑은 고딕"/>
        <family val="2"/>
        <charset val="129"/>
      </rPr>
      <t>고정</t>
    </r>
    <phoneticPr fontId="1" type="noConversion"/>
  </si>
  <si>
    <t>직전년 고정</t>
    <phoneticPr fontId="1" type="noConversion"/>
  </si>
  <si>
    <t>재매입 주식수</t>
    <phoneticPr fontId="1" type="noConversion"/>
  </si>
  <si>
    <t>순 발행주식수</t>
    <phoneticPr fontId="1" type="noConversion"/>
  </si>
  <si>
    <t>총 발행주식수</t>
    <phoneticPr fontId="1" type="noConversion"/>
  </si>
  <si>
    <t>PSU</t>
    <phoneticPr fontId="1" type="noConversion"/>
  </si>
  <si>
    <t>현금 loss가 3만씩 있다고 가정</t>
    <phoneticPr fontId="1" type="noConversion"/>
  </si>
  <si>
    <r>
      <t xml:space="preserve">3.3% </t>
    </r>
    <r>
      <rPr>
        <sz val="10"/>
        <color theme="1"/>
        <rFont val="맑은 고딕"/>
        <family val="2"/>
        <charset val="129"/>
      </rPr>
      <t>고정</t>
    </r>
    <phoneticPr fontId="1" type="noConversion"/>
  </si>
  <si>
    <r>
      <t xml:space="preserve">5% </t>
    </r>
    <r>
      <rPr>
        <sz val="10"/>
        <color theme="1"/>
        <rFont val="맑은 고딕"/>
        <family val="2"/>
        <charset val="129"/>
      </rPr>
      <t>고정</t>
    </r>
    <phoneticPr fontId="1" type="noConversion"/>
  </si>
  <si>
    <r>
      <t xml:space="preserve">7% </t>
    </r>
    <r>
      <rPr>
        <sz val="10"/>
        <color theme="1"/>
        <rFont val="맑은 고딕"/>
        <family val="2"/>
        <charset val="129"/>
      </rPr>
      <t>고정</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</si>
</sst>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41" formatCode="_-* #,##0_-;\-* #,##0_-;_-* &quot;-&quot;_-;_-@_-"/>
    <numFmt numFmtId="24" formatCode="\$#,##0_);[Red]\(\$#,##0\)"/>
    <numFmt numFmtId="25" formatCode="\$#,##0.00_);\(\$#,##0.00\)"/>
    <numFmt numFmtId="26" formatCode="\$#,##0.00_);[Red]\(\$#,##0.00\)"/>
    <numFmt numFmtId="176" formatCode="&quot;FY &quot;0000"/>
    <numFmt numFmtId="177" formatCode="#,##0_);\(#,##0\)"/>
    <numFmt numFmtId="178" formatCode="0.0%"/>
    <numFmt numFmtId="179" formatCode="mm&quot;월&quot;\ dd&quot;일&quot;"/>
    <numFmt numFmtId="180" formatCode="&quot;FY &quot;0000&quot;E&quot;"/>
    <numFmt numFmtId="181" formatCode="#,##0.000_);\(#,##0.000\)"/>
    <numFmt numFmtId="182" formatCode="&quot;ON&quot;;;&quot;OFF&quot;"/>
    <numFmt numFmtId="183" formatCode="#,##0.0_);\(#,##0.0\);#,##0.0_);@_)"/>
    <numFmt numFmtId="184" formatCode="0%_);\(0%\);0%_);@_)"/>
    <numFmt numFmtId="185" formatCode="0.0%_);\(0.0%\);0.0%_);@_)"/>
    <numFmt numFmtId="186" formatCode="#,##0.00_);\(#,##0.00\);#,##0.00_);@_)"/>
    <numFmt numFmtId="187" formatCode="#,##0_);\(#,##0\);#,##0_);@_)"/>
    <numFmt numFmtId="188" formatCode="_(* #,##0.0_);_(* \(#,##0.0\)_)\ ;_(* 0_)"/>
    <numFmt numFmtId="189" formatCode="_(* #,##0.0#_);_(* \(#,##0.0#\)_)\ ;_(* 0_)"/>
    <numFmt numFmtId="190" formatCode="_(#,##0.0%_);_(\(#,##0.0%\)_);_(#,##0.0%_)"/>
    <numFmt numFmtId="191" formatCode="_(#,##0.00%_);_(\(#,##0.00%\)_);_(#,##0.00%_)"/>
    <numFmt numFmtId="192" formatCode="_(\$#,##0.0#_);_(\(\$#,##0.0#\)_);_(\$&quot; - &quot;_)"/>
    <numFmt numFmtId="193" formatCode="#,##0.0\x"/>
    <numFmt numFmtId="194" formatCode="#,##0.00\x"/>
    <numFmt numFmtId="195" formatCode="mmm\-dd\-yyyy"/>
    <numFmt numFmtId="196" formatCode="_(* #,##0_);_(* \(#,##0\)_)\ ;_(* 0_)"/>
    <numFmt numFmtId="197" formatCode="_(\ #,##0.0_);_(\ \(#,##0.0\)_);_(\ &quot; - &quot;_)"/>
    <numFmt numFmtId="198" formatCode="###0"/>
    <numFmt numFmtId="199" formatCode="0.0\x_);\(0.0\x\);0.0\x_);@_)"/>
    <numFmt numFmtId="200" formatCode="#,##0.00_);\(#,##0.00\)"/>
    <numFmt numFmtId="201" formatCode="General_)"/>
    <numFmt numFmtId="202" formatCode="&quot;&quot;"/>
    <numFmt numFmtId="203" formatCode="0.000%"/>
    <numFmt numFmtId="204" formatCode="#,##0.0"/>
    <numFmt numFmtId="205" formatCode="_(* #,##0.00_);_(* \(#,##0.00\);_(* &quot;-&quot;??_);_(@_)"/>
    <numFmt numFmtId="206" formatCode="0.000"/>
    <numFmt numFmtId="207" formatCode="#,##0.0_);\(#,##0.0\)"/>
    <numFmt numFmtId="208" formatCode="_(* #,##0_);_(* \(#,##0\);_(* &quot;-&quot;??_);_(@_)"/>
    <numFmt numFmtId="209" formatCode="#,##0;\(#,##0\)"/>
    <numFmt numFmtId="210" formatCode="&quot;$&quot;#.#"/>
    <numFmt numFmtId="211" formatCode="0.00;[Red]0.00"/>
    <numFmt numFmtId="212" formatCode="_([$€-2]* #,##0.00_);_([$€-2]* \(#,##0.00\);_([$€-2]* &quot;-&quot;??_)"/>
    <numFmt numFmtId="213" formatCode="\«#,##0;_(* #,##0;_(* &quot;-&quot;??_);_(@_)"/>
    <numFmt numFmtId="214" formatCode="&quot;$&quot;#,##0.00;\-&quot;$&quot;#,##0.00"/>
    <numFmt numFmtId="215" formatCode="_-* #,##0.0_-;\-* #,##0.0_-;_-* &quot;-&quot;??_-;_-@_-"/>
    <numFmt numFmtId="216" formatCode="#,##0.00;[Red]\(#,##0.00\)"/>
    <numFmt numFmtId="217" formatCode="m/d/yyyy;@"/>
    <numFmt numFmtId="218" formatCode="#,##0.000_);\(#,##0.000\);#,##0.000_);@_)"/>
    <numFmt numFmtId="219" formatCode="0.0_);[Red]\(0.0\)"/>
  </numFmts>
  <fonts count="106" x14ac:knownFonts="1">
    <font>
      <sz val="11"/>
      <color theme="1"/>
      <name val="맑은 고딕"/>
      <family val="2"/>
      <charset val="129"/>
      <scheme val="minor"/>
    </font>
    <font>
      <sz val="8"/>
      <name val="맑은 고딕"/>
      <family val="2"/>
      <charset val="129"/>
      <scheme val="minor"/>
    </font>
    <font>
      <sz val="10"/>
      <color theme="1"/>
      <name val="Arial"/>
      <family val="2"/>
    </font>
    <font>
      <b/>
      <sz val="10"/>
      <color theme="1"/>
      <name val="Arial"/>
      <family val="2"/>
    </font>
    <font>
      <sz val="10"/>
      <color rgb="FF0033CC"/>
      <name val="Arial"/>
      <family val="2"/>
    </font>
    <font>
      <i/>
      <sz val="10"/>
      <color theme="1"/>
      <name val="Arial"/>
      <family val="2"/>
    </font>
    <font>
      <sz val="10"/>
      <name val="Arial"/>
      <family val="2"/>
    </font>
    <font>
      <b/>
      <sz val="10"/>
      <color rgb="FF0033CC"/>
      <name val="Arial"/>
      <family val="2"/>
    </font>
    <font>
      <sz val="9"/>
      <color indexed="81"/>
      <name val="Tahoma"/>
      <family val="2"/>
    </font>
    <font>
      <b/>
      <sz val="9"/>
      <color indexed="81"/>
      <name val="Tahoma"/>
      <family val="2"/>
    </font>
    <font>
      <b/>
      <sz val="9"/>
      <color indexed="81"/>
      <name val="돋움"/>
      <family val="3"/>
      <charset val="129"/>
    </font>
    <font>
      <b/>
      <sz val="10"/>
      <name val="Arial"/>
      <family val="2"/>
    </font>
    <font>
      <sz val="10"/>
      <color rgb="FF006600"/>
      <name val="Arial"/>
      <family val="2"/>
    </font>
    <font>
      <b/>
      <sz val="10"/>
      <color rgb="FF006600"/>
      <name val="Arial"/>
      <family val="2"/>
    </font>
    <font>
      <b/>
      <u/>
      <sz val="10"/>
      <color theme="1"/>
      <name val="Arial"/>
      <family val="2"/>
    </font>
    <font>
      <u/>
      <sz val="10"/>
      <color theme="1"/>
      <name val="Arial"/>
      <family val="2"/>
    </font>
    <font>
      <b/>
      <sz val="10"/>
      <color rgb="FF0000FF"/>
      <name val="Arial"/>
      <family val="2"/>
    </font>
    <font>
      <sz val="10"/>
      <color rgb="FF0000FF"/>
      <name val="Arial"/>
      <family val="2"/>
    </font>
    <font>
      <sz val="10"/>
      <color rgb="FF6600CC"/>
      <name val="Arial"/>
      <family val="2"/>
    </font>
    <font>
      <i/>
      <sz val="10"/>
      <name val="Arial"/>
      <family val="2"/>
    </font>
    <font>
      <sz val="11"/>
      <color theme="1"/>
      <name val="맑은 고딕"/>
      <family val="2"/>
      <scheme val="minor"/>
    </font>
    <font>
      <sz val="6"/>
      <color theme="1"/>
      <name val="맑은 고딕"/>
      <family val="2"/>
      <scheme val="minor"/>
    </font>
    <font>
      <b/>
      <sz val="16"/>
      <color theme="1"/>
      <name val="맑은 고딕"/>
      <family val="2"/>
      <scheme val="minor"/>
    </font>
    <font>
      <b/>
      <sz val="15"/>
      <color theme="1"/>
      <name val="맑은 고딕"/>
      <family val="2"/>
      <scheme val="minor"/>
    </font>
    <font>
      <sz val="11"/>
      <color rgb="FF0000FF"/>
      <name val="맑은 고딕"/>
      <family val="2"/>
      <scheme val="minor"/>
    </font>
    <font>
      <sz val="11"/>
      <color rgb="FF008000"/>
      <name val="맑은 고딕"/>
      <family val="2"/>
      <scheme val="minor"/>
    </font>
    <font>
      <sz val="8"/>
      <name val="맑은 고딕"/>
      <family val="3"/>
      <charset val="129"/>
      <scheme val="minor"/>
    </font>
    <font>
      <b/>
      <sz val="11"/>
      <color theme="1"/>
      <name val="맑은 고딕"/>
      <family val="2"/>
      <scheme val="minor"/>
    </font>
    <font>
      <b/>
      <sz val="11"/>
      <color rgb="FF008000"/>
      <name val="맑은 고딕"/>
      <family val="2"/>
      <scheme val="minor"/>
    </font>
    <font>
      <i/>
      <sz val="9"/>
      <color theme="1"/>
      <name val="맑은 고딕"/>
      <family val="2"/>
      <scheme val="minor"/>
    </font>
    <font>
      <i/>
      <sz val="8"/>
      <color theme="1"/>
      <name val="맑은 고딕"/>
      <family val="2"/>
      <scheme val="minor"/>
    </font>
    <font>
      <b/>
      <sz val="14"/>
      <color theme="1"/>
      <name val="Arial"/>
      <family val="2"/>
    </font>
    <font>
      <sz val="10"/>
      <color rgb="FF000000"/>
      <name val="Arial"/>
      <family val="2"/>
    </font>
    <font>
      <b/>
      <sz val="13"/>
      <color indexed="8"/>
      <name val="Verdana"/>
      <family val="2"/>
    </font>
    <font>
      <sz val="8"/>
      <name val="Arial"/>
      <family val="2"/>
    </font>
    <font>
      <i/>
      <sz val="8"/>
      <name val="Arial"/>
      <family val="2"/>
    </font>
    <font>
      <b/>
      <sz val="8"/>
      <name val="Arial"/>
      <family val="2"/>
    </font>
    <font>
      <sz val="8"/>
      <color indexed="8"/>
      <name val="Arial"/>
      <family val="2"/>
    </font>
    <font>
      <b/>
      <sz val="8"/>
      <color indexed="9"/>
      <name val="Verdana"/>
      <family val="2"/>
    </font>
    <font>
      <sz val="1"/>
      <color indexed="9"/>
      <name val="Symbol"/>
      <family val="1"/>
      <charset val="2"/>
    </font>
    <font>
      <b/>
      <sz val="8"/>
      <color indexed="8"/>
      <name val="Arial"/>
      <family val="2"/>
    </font>
    <font>
      <b/>
      <i/>
      <sz val="8"/>
      <color indexed="8"/>
      <name val="Arial"/>
      <family val="2"/>
    </font>
    <font>
      <i/>
      <sz val="8"/>
      <color indexed="8"/>
      <name val="Arial"/>
      <family val="2"/>
    </font>
    <font>
      <b/>
      <u val="double"/>
      <sz val="8"/>
      <color indexed="8"/>
      <name val="Arial"/>
      <family val="2"/>
    </font>
    <font>
      <b/>
      <u/>
      <sz val="8"/>
      <color indexed="8"/>
      <name val="Arial"/>
      <family val="2"/>
    </font>
    <font>
      <b/>
      <u val="singleAccounting"/>
      <sz val="8"/>
      <color indexed="9"/>
      <name val="Verdana"/>
      <family val="2"/>
    </font>
    <font>
      <b/>
      <u val="singleAccounting"/>
      <sz val="8"/>
      <color indexed="8"/>
      <name val="Arial"/>
      <family val="2"/>
    </font>
    <font>
      <b/>
      <i/>
      <sz val="8"/>
      <name val="Arial"/>
      <family val="2"/>
    </font>
    <font>
      <sz val="10"/>
      <color indexed="8"/>
      <name val="Arial"/>
      <family val="2"/>
    </font>
    <font>
      <b/>
      <sz val="8"/>
      <color indexed="8"/>
      <name val="Verdana"/>
      <family val="2"/>
    </font>
    <font>
      <b/>
      <u val="singleAccounting"/>
      <sz val="8"/>
      <color indexed="8"/>
      <name val="Verdana"/>
      <family val="2"/>
    </font>
    <font>
      <b/>
      <sz val="10"/>
      <color indexed="9"/>
      <name val="Arial"/>
      <family val="2"/>
    </font>
    <font>
      <b/>
      <sz val="12"/>
      <color indexed="8"/>
      <name val="Verdana"/>
      <family val="2"/>
    </font>
    <font>
      <vertAlign val="subscript"/>
      <sz val="8"/>
      <color indexed="8"/>
      <name val="Arial"/>
      <family val="2"/>
    </font>
    <font>
      <vertAlign val="superscript"/>
      <sz val="8"/>
      <color indexed="8"/>
      <name val="Arial"/>
      <family val="2"/>
    </font>
    <font>
      <b/>
      <sz val="11"/>
      <color theme="1"/>
      <name val="맑은 고딕"/>
      <family val="3"/>
      <charset val="129"/>
      <scheme val="minor"/>
    </font>
    <font>
      <b/>
      <sz val="11"/>
      <color rgb="FF0000FF"/>
      <name val="맑은 고딕"/>
      <family val="3"/>
      <charset val="129"/>
      <scheme val="minor"/>
    </font>
    <font>
      <sz val="10"/>
      <color rgb="FF7030A0"/>
      <name val="Arial"/>
      <family val="2"/>
    </font>
    <font>
      <u/>
      <sz val="11"/>
      <color theme="10"/>
      <name val="맑은 고딕"/>
      <family val="2"/>
      <charset val="129"/>
      <scheme val="minor"/>
    </font>
    <font>
      <b/>
      <sz val="10"/>
      <color rgb="FFFF0000"/>
      <name val="Arial"/>
      <family val="2"/>
    </font>
    <font>
      <u/>
      <sz val="10"/>
      <color theme="10"/>
      <name val="Arial"/>
      <family val="2"/>
    </font>
    <font>
      <sz val="10"/>
      <color theme="1"/>
      <name val="맑은 고딕"/>
      <family val="2"/>
      <charset val="129"/>
    </font>
    <font>
      <b/>
      <sz val="10"/>
      <color rgb="FF619F42"/>
      <name val="Arial"/>
      <family val="2"/>
    </font>
    <font>
      <sz val="10"/>
      <color rgb="FF333333"/>
      <name val="Arial"/>
      <family val="2"/>
    </font>
    <font>
      <b/>
      <sz val="12"/>
      <color theme="0"/>
      <name val="Arial"/>
      <family val="2"/>
    </font>
    <font>
      <b/>
      <sz val="25"/>
      <color theme="1"/>
      <name val="맑은 고딕"/>
      <family val="3"/>
      <charset val="129"/>
      <scheme val="minor"/>
    </font>
    <font>
      <sz val="10"/>
      <name val="Times New Roman"/>
      <family val="1"/>
    </font>
    <font>
      <b/>
      <sz val="10"/>
      <color indexed="12"/>
      <name val="Arial"/>
      <family val="2"/>
    </font>
    <font>
      <b/>
      <sz val="10"/>
      <color indexed="8"/>
      <name val="Arial"/>
      <family val="2"/>
    </font>
    <font>
      <sz val="12"/>
      <name val="tms rmn"/>
    </font>
    <font>
      <sz val="10"/>
      <color rgb="FFFFFFFF"/>
      <name val="Arial"/>
      <family val="2"/>
    </font>
    <font>
      <sz val="10"/>
      <name val="MS Sans Serif"/>
      <family val="2"/>
    </font>
    <font>
      <b/>
      <sz val="24"/>
      <color indexed="9"/>
      <name val="Arial"/>
      <family val="2"/>
    </font>
    <font>
      <sz val="10"/>
      <color indexed="9"/>
      <name val="Arial"/>
      <family val="2"/>
    </font>
    <font>
      <b/>
      <sz val="14"/>
      <color indexed="17"/>
      <name val="Arial"/>
      <family val="2"/>
    </font>
    <font>
      <b/>
      <sz val="11"/>
      <color indexed="9"/>
      <name val="Arial"/>
      <family val="2"/>
    </font>
    <font>
      <b/>
      <sz val="10"/>
      <color rgb="FF000000"/>
      <name val="Arial"/>
      <family val="2"/>
    </font>
    <font>
      <sz val="10"/>
      <color indexed="17"/>
      <name val="Arial"/>
      <family val="2"/>
    </font>
    <font>
      <b/>
      <sz val="10"/>
      <color indexed="10"/>
      <name val="Arial"/>
      <family val="2"/>
    </font>
    <font>
      <sz val="10"/>
      <color rgb="FF008000"/>
      <name val="Arial"/>
      <family val="2"/>
    </font>
    <font>
      <b/>
      <sz val="10"/>
      <color rgb="FF008000"/>
      <name val="Arial"/>
      <family val="2"/>
    </font>
    <font>
      <sz val="10"/>
      <color indexed="12"/>
      <name val="Arial"/>
      <family val="2"/>
    </font>
    <font>
      <vertAlign val="superscript"/>
      <sz val="10"/>
      <name val="Arial"/>
      <family val="2"/>
    </font>
    <font>
      <sz val="10"/>
      <name val="Courier New"/>
      <family val="3"/>
    </font>
    <font>
      <b/>
      <i/>
      <strike/>
      <sz val="12"/>
      <color indexed="48"/>
      <name val="Arial"/>
      <family val="2"/>
    </font>
    <font>
      <sz val="8"/>
      <color indexed="9"/>
      <name val="Arial"/>
      <family val="2"/>
    </font>
    <font>
      <i/>
      <strike/>
      <sz val="12"/>
      <color indexed="40"/>
      <name val="Arial"/>
      <family val="2"/>
    </font>
    <font>
      <b/>
      <sz val="12"/>
      <name val="Arial"/>
      <family val="2"/>
    </font>
    <font>
      <b/>
      <sz val="12"/>
      <name val="tms rmn"/>
    </font>
    <font>
      <i/>
      <strike/>
      <sz val="12"/>
      <color indexed="10"/>
      <name val="Arial"/>
      <family val="2"/>
    </font>
    <font>
      <sz val="12"/>
      <color indexed="8"/>
      <name val="Times New Roman"/>
      <family val="1"/>
    </font>
    <font>
      <strike/>
      <sz val="12"/>
      <color indexed="46"/>
      <name val="Arial"/>
      <family val="2"/>
    </font>
    <font>
      <sz val="12"/>
      <color indexed="17"/>
      <name val="Arial"/>
      <family val="2"/>
    </font>
    <font>
      <strike/>
      <sz val="10"/>
      <name val="Arial"/>
      <family val="2"/>
    </font>
    <font>
      <sz val="10"/>
      <color indexed="38"/>
      <name val="Arial"/>
      <family val="2"/>
    </font>
    <font>
      <i/>
      <strike/>
      <sz val="12"/>
      <color indexed="48"/>
      <name val="Arial"/>
      <family val="2"/>
    </font>
    <font>
      <sz val="10"/>
      <color theme="0"/>
      <name val="Arial"/>
      <family val="2"/>
    </font>
    <font>
      <i/>
      <sz val="10"/>
      <color indexed="10"/>
      <name val="Arial"/>
      <family val="2"/>
    </font>
    <font>
      <sz val="8"/>
      <color theme="0"/>
      <name val="Arial"/>
      <family val="2"/>
    </font>
    <font>
      <sz val="8"/>
      <color rgb="FF000000"/>
      <name val="Arial"/>
      <family val="2"/>
    </font>
    <font>
      <sz val="11"/>
      <color theme="1"/>
      <name val="맑은 고딕"/>
      <family val="2"/>
      <charset val="129"/>
      <scheme val="minor"/>
    </font>
    <font>
      <sz val="10"/>
      <name val="맑은 고딕"/>
      <family val="2"/>
      <charset val="129"/>
    </font>
    <font>
      <sz val="9"/>
      <color indexed="81"/>
      <name val="돋움"/>
      <family val="3"/>
      <charset val="129"/>
    </font>
    <font>
      <sz val="10"/>
      <color theme="1"/>
      <name val="Arial"/>
      <family val="2"/>
      <charset val="129"/>
    </font>
    <font>
      <i/>
      <sz val="10"/>
      <color theme="1"/>
      <name val="맑은 고딕"/>
      <family val="2"/>
      <charset val="129"/>
    </font>
    <font>
      <sz val="10"/>
      <color rgb="FF006600"/>
      <name val="맑은 고딕"/>
      <family val="2"/>
      <charset val="129"/>
    </font>
  </fonts>
  <fills count="22">
    <fill>
      <patternFill patternType="none"/>
    </fill>
    <fill>
      <patternFill patternType="gray125"/>
    </fill>
    <fill>
      <patternFill patternType="solid">
        <fgColor rgb="FFEAEAEA"/>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tint="-0.14999847407452621"/>
        <bgColor indexed="64"/>
      </patternFill>
    </fill>
    <fill>
      <patternFill patternType="solid">
        <fgColor indexed="56"/>
        <bgColor indexed="64"/>
      </patternFill>
    </fill>
    <fill>
      <patternFill patternType="solid">
        <fgColor indexed="60"/>
        <bgColor indexed="64"/>
      </patternFill>
    </fill>
    <fill>
      <patternFill patternType="solid">
        <fgColor indexed="62"/>
        <bgColor indexed="64"/>
      </patternFill>
    </fill>
    <fill>
      <patternFill patternType="solid">
        <fgColor indexed="63"/>
        <bgColor indexed="64"/>
      </patternFill>
    </fill>
    <fill>
      <patternFill patternType="solid">
        <fgColor theme="4" tint="-0.249977111117893"/>
        <bgColor indexed="64"/>
      </patternFill>
    </fill>
    <fill>
      <patternFill patternType="solid">
        <fgColor indexed="8"/>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38"/>
        <bgColor indexed="17"/>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249977111117893"/>
        <bgColor indexed="64"/>
      </patternFill>
    </fill>
  </fills>
  <borders count="39">
    <border>
      <left/>
      <right/>
      <top/>
      <bottom/>
      <diagonal/>
    </border>
    <border>
      <left/>
      <right/>
      <top/>
      <bottom style="medium">
        <color rgb="FF000000"/>
      </bottom>
      <diagonal/>
    </border>
    <border>
      <left/>
      <right/>
      <top style="medium">
        <color rgb="FF000000"/>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thick">
        <color rgb="FF000000"/>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9"/>
      </left>
      <right style="medium">
        <color indexed="64"/>
      </right>
      <top style="thin">
        <color indexed="9"/>
      </top>
      <bottom style="thin">
        <color indexed="64"/>
      </bottom>
      <diagonal/>
    </border>
    <border>
      <left style="thin">
        <color indexed="9"/>
      </left>
      <right/>
      <top style="thin">
        <color indexed="9"/>
      </top>
      <bottom style="thin">
        <color indexed="64"/>
      </bottom>
      <diagonal/>
    </border>
    <border>
      <left/>
      <right/>
      <top style="thin">
        <color indexed="9"/>
      </top>
      <bottom style="thin">
        <color indexed="64"/>
      </bottom>
      <diagonal/>
    </border>
    <border>
      <left/>
      <right style="medium">
        <color indexed="64"/>
      </right>
      <top style="thin">
        <color indexed="9"/>
      </top>
      <bottom style="thin">
        <color indexed="64"/>
      </bottom>
      <diagonal/>
    </border>
    <border>
      <left style="thin">
        <color theme="0"/>
      </left>
      <right/>
      <top style="thin">
        <color theme="0"/>
      </top>
      <bottom style="thin">
        <color indexed="64"/>
      </bottom>
      <diagonal/>
    </border>
    <border>
      <left/>
      <right style="medium">
        <color indexed="64"/>
      </right>
      <top style="thin">
        <color theme="0"/>
      </top>
      <bottom style="thin">
        <color indexed="64"/>
      </bottom>
      <diagonal/>
    </border>
    <border>
      <left style="thin">
        <color indexed="9"/>
      </left>
      <right style="medium">
        <color indexed="64"/>
      </right>
      <top style="thin">
        <color indexed="9"/>
      </top>
      <bottom/>
      <diagonal/>
    </border>
    <border>
      <left/>
      <right/>
      <top style="thin">
        <color theme="0"/>
      </top>
      <bottom style="thin">
        <color indexed="64"/>
      </bottom>
      <diagonal/>
    </border>
    <border>
      <left/>
      <right style="thin">
        <color theme="0"/>
      </right>
      <top/>
      <bottom/>
      <diagonal/>
    </border>
    <border>
      <left style="thin">
        <color theme="0"/>
      </left>
      <right style="medium">
        <color indexed="64"/>
      </right>
      <top style="thin">
        <color theme="0"/>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diagonal/>
    </border>
    <border>
      <left/>
      <right style="thin">
        <color indexed="64"/>
      </right>
      <top/>
      <bottom style="medium">
        <color indexed="64"/>
      </bottom>
      <diagonal/>
    </border>
  </borders>
  <cellStyleXfs count="88">
    <xf numFmtId="0" fontId="0" fillId="0" borderId="0">
      <alignment vertical="center"/>
    </xf>
    <xf numFmtId="0" fontId="20" fillId="0" borderId="0"/>
    <xf numFmtId="0" fontId="6" fillId="0" borderId="0"/>
    <xf numFmtId="0" fontId="39" fillId="0" borderId="0" applyAlignment="0"/>
    <xf numFmtId="0" fontId="48" fillId="0" borderId="0" applyAlignment="0"/>
    <xf numFmtId="0" fontId="49" fillId="0" borderId="0" applyAlignment="0"/>
    <xf numFmtId="0" fontId="49" fillId="0" borderId="0" applyAlignment="0"/>
    <xf numFmtId="0" fontId="49" fillId="0" borderId="0" applyAlignment="0"/>
    <xf numFmtId="0" fontId="49" fillId="0" borderId="0" applyAlignment="0"/>
    <xf numFmtId="0" fontId="46" fillId="7" borderId="0" applyAlignment="0"/>
    <xf numFmtId="0" fontId="50" fillId="8" borderId="0" applyAlignment="0"/>
    <xf numFmtId="0" fontId="51" fillId="9" borderId="0" applyAlignment="0"/>
    <xf numFmtId="0" fontId="52" fillId="0" borderId="0" applyAlignment="0"/>
    <xf numFmtId="0" fontId="38" fillId="6" borderId="0" applyAlignment="0"/>
    <xf numFmtId="0" fontId="53" fillId="0" borderId="0" applyAlignment="0"/>
    <xf numFmtId="0" fontId="54" fillId="0" borderId="0" applyAlignment="0"/>
    <xf numFmtId="0" fontId="40" fillId="0" borderId="0" applyAlignment="0"/>
    <xf numFmtId="0" fontId="42" fillId="0" borderId="0" applyAlignment="0"/>
    <xf numFmtId="0" fontId="37" fillId="0" borderId="0" applyAlignment="0"/>
    <xf numFmtId="0" fontId="33" fillId="0" borderId="0" applyAlignment="0"/>
    <xf numFmtId="0" fontId="40" fillId="0" borderId="0" applyAlignment="0">
      <alignment wrapText="1"/>
    </xf>
    <xf numFmtId="0" fontId="58" fillId="0" borderId="0" applyNumberFormat="0" applyFill="0" applyBorder="0" applyAlignment="0" applyProtection="0">
      <alignment vertical="center"/>
    </xf>
    <xf numFmtId="0" fontId="66" fillId="0" borderId="0"/>
    <xf numFmtId="201" fontId="69" fillId="0" borderId="0"/>
    <xf numFmtId="0" fontId="71" fillId="0" borderId="0"/>
    <xf numFmtId="9" fontId="66" fillId="0" borderId="0" applyFont="0" applyFill="0" applyBorder="0" applyAlignment="0" applyProtection="0"/>
    <xf numFmtId="205" fontId="66" fillId="0" borderId="0" applyFont="0" applyFill="0" applyBorder="0" applyAlignment="0" applyProtection="0"/>
    <xf numFmtId="0" fontId="6" fillId="0" borderId="0"/>
    <xf numFmtId="0" fontId="66" fillId="0" borderId="0"/>
    <xf numFmtId="0" fontId="6" fillId="0" borderId="0"/>
    <xf numFmtId="210" fontId="6" fillId="0" borderId="0" applyFill="0" applyBorder="0" applyAlignment="0"/>
    <xf numFmtId="210" fontId="6" fillId="0" borderId="0" applyFill="0" applyBorder="0" applyAlignment="0"/>
    <xf numFmtId="0" fontId="6" fillId="0" borderId="0" applyFill="0" applyBorder="0" applyAlignment="0"/>
    <xf numFmtId="211" fontId="6" fillId="0" borderId="0" applyFill="0" applyBorder="0" applyAlignment="0"/>
    <xf numFmtId="0" fontId="6" fillId="0" borderId="0" applyFill="0" applyBorder="0" applyAlignment="0"/>
    <xf numFmtId="210" fontId="6" fillId="0" borderId="0" applyFill="0" applyBorder="0" applyAlignment="0"/>
    <xf numFmtId="0" fontId="6" fillId="0" borderId="0" applyFill="0" applyBorder="0" applyAlignment="0"/>
    <xf numFmtId="210" fontId="6" fillId="0" borderId="0" applyFill="0" applyBorder="0" applyAlignment="0"/>
    <xf numFmtId="0" fontId="83" fillId="0" borderId="0" applyNumberFormat="0" applyFill="0" applyBorder="0" applyAlignment="0" applyProtection="0"/>
    <xf numFmtId="210" fontId="6" fillId="0" borderId="0" applyFont="0" applyFill="0" applyBorder="0" applyAlignment="0" applyProtection="0"/>
    <xf numFmtId="210" fontId="6" fillId="0" borderId="0" applyFont="0" applyFill="0" applyBorder="0" applyAlignment="0" applyProtection="0"/>
    <xf numFmtId="0" fontId="84" fillId="0" borderId="0"/>
    <xf numFmtId="0" fontId="85" fillId="0" borderId="0" applyNumberFormat="0" applyAlignment="0"/>
    <xf numFmtId="14" fontId="48" fillId="0" borderId="0" applyFill="0" applyBorder="0" applyAlignment="0"/>
    <xf numFmtId="38" fontId="71" fillId="0" borderId="35">
      <alignment vertical="center"/>
    </xf>
    <xf numFmtId="210" fontId="6" fillId="0" borderId="0" applyFill="0" applyBorder="0" applyAlignment="0"/>
    <xf numFmtId="210" fontId="6" fillId="0" borderId="0" applyFill="0" applyBorder="0" applyAlignment="0"/>
    <xf numFmtId="210" fontId="6" fillId="0" borderId="0" applyFill="0" applyBorder="0" applyAlignment="0"/>
    <xf numFmtId="0" fontId="6" fillId="0" borderId="0" applyFill="0" applyBorder="0" applyAlignment="0"/>
    <xf numFmtId="210" fontId="6" fillId="0" borderId="0" applyFill="0" applyBorder="0" applyAlignment="0"/>
    <xf numFmtId="0" fontId="86" fillId="0" borderId="0"/>
    <xf numFmtId="212" fontId="69" fillId="0" borderId="0" applyFont="0" applyFill="0" applyBorder="0" applyAlignment="0" applyProtection="0"/>
    <xf numFmtId="40" fontId="6" fillId="0" borderId="0" applyNumberFormat="0">
      <alignment horizontal="right"/>
    </xf>
    <xf numFmtId="213" fontId="34" fillId="0" borderId="0">
      <alignment horizontal="left"/>
    </xf>
    <xf numFmtId="38" fontId="34" fillId="14" borderId="0" applyNumberFormat="0" applyBorder="0" applyAlignment="0" applyProtection="0"/>
    <xf numFmtId="0" fontId="87" fillId="0" borderId="33" applyNumberFormat="0" applyAlignment="0" applyProtection="0">
      <alignment horizontal="left" vertical="center"/>
    </xf>
    <xf numFmtId="0" fontId="87" fillId="0" borderId="18">
      <alignment horizontal="left" vertical="center"/>
    </xf>
    <xf numFmtId="0" fontId="88" fillId="0" borderId="0">
      <alignment horizontal="centerContinuous" vertical="center"/>
    </xf>
    <xf numFmtId="10" fontId="34" fillId="15" borderId="11" applyNumberFormat="0" applyBorder="0" applyAlignment="0" applyProtection="0"/>
    <xf numFmtId="210" fontId="6" fillId="0" borderId="0" applyFill="0" applyBorder="0" applyAlignment="0"/>
    <xf numFmtId="210" fontId="6" fillId="0" borderId="0" applyFill="0" applyBorder="0" applyAlignment="0"/>
    <xf numFmtId="210" fontId="6" fillId="0" borderId="0" applyFill="0" applyBorder="0" applyAlignment="0"/>
    <xf numFmtId="0" fontId="6" fillId="0" borderId="0" applyFill="0" applyBorder="0" applyAlignment="0"/>
    <xf numFmtId="210" fontId="6" fillId="0" borderId="0" applyFill="0" applyBorder="0" applyAlignment="0"/>
    <xf numFmtId="0" fontId="6" fillId="14" borderId="0"/>
    <xf numFmtId="214" fontId="6" fillId="0" borderId="0"/>
    <xf numFmtId="0" fontId="89" fillId="0" borderId="0"/>
    <xf numFmtId="0" fontId="90" fillId="16" borderId="0"/>
    <xf numFmtId="0" fontId="6" fillId="0" borderId="0" applyFont="0" applyFill="0" applyBorder="0" applyAlignment="0" applyProtection="0"/>
    <xf numFmtId="215" fontId="6" fillId="0" borderId="0" applyFont="0" applyFill="0" applyBorder="0" applyAlignment="0" applyProtection="0"/>
    <xf numFmtId="10" fontId="6" fillId="0" borderId="0" applyFont="0" applyFill="0" applyBorder="0" applyAlignment="0" applyProtection="0"/>
    <xf numFmtId="0" fontId="91" fillId="0" borderId="0"/>
    <xf numFmtId="210" fontId="6" fillId="0" borderId="0" applyFill="0" applyBorder="0" applyAlignment="0"/>
    <xf numFmtId="210" fontId="6" fillId="0" borderId="0" applyFill="0" applyBorder="0" applyAlignment="0"/>
    <xf numFmtId="210" fontId="6" fillId="0" borderId="0" applyFill="0" applyBorder="0" applyAlignment="0"/>
    <xf numFmtId="0" fontId="6" fillId="0" borderId="0" applyFill="0" applyBorder="0" applyAlignment="0"/>
    <xf numFmtId="210" fontId="6" fillId="0" borderId="0" applyFill="0" applyBorder="0" applyAlignment="0"/>
    <xf numFmtId="39" fontId="92" fillId="0" borderId="0" applyNumberFormat="0">
      <alignment horizontal="right"/>
    </xf>
    <xf numFmtId="216" fontId="6" fillId="0" borderId="5" applyBorder="0">
      <alignment horizontal="right"/>
    </xf>
    <xf numFmtId="0" fontId="93" fillId="0" borderId="0"/>
    <xf numFmtId="0" fontId="6" fillId="0" borderId="36" applyAlignment="0"/>
    <xf numFmtId="49" fontId="48" fillId="0" borderId="0" applyFill="0" applyBorder="0" applyAlignment="0"/>
    <xf numFmtId="210" fontId="6" fillId="0" borderId="0" applyFill="0" applyBorder="0" applyAlignment="0"/>
    <xf numFmtId="210" fontId="6" fillId="0" borderId="0" applyFill="0" applyBorder="0" applyAlignment="0"/>
    <xf numFmtId="0" fontId="6" fillId="17" borderId="0"/>
    <xf numFmtId="0" fontId="94" fillId="17" borderId="0" applyFill="0"/>
    <xf numFmtId="0" fontId="95" fillId="0" borderId="0"/>
    <xf numFmtId="41" fontId="100" fillId="0" borderId="0" applyFont="0" applyFill="0" applyBorder="0" applyAlignment="0" applyProtection="0">
      <alignment vertical="center"/>
    </xf>
  </cellStyleXfs>
  <cellXfs count="698">
    <xf numFmtId="0" fontId="0" fillId="0" borderId="0" xfId="0">
      <alignment vertical="center"/>
    </xf>
    <xf numFmtId="0" fontId="2" fillId="0" borderId="0" xfId="0" applyFont="1">
      <alignment vertical="center"/>
    </xf>
    <xf numFmtId="0" fontId="3" fillId="0" borderId="0" xfId="0" applyFont="1">
      <alignment vertical="center"/>
    </xf>
    <xf numFmtId="177" fontId="2" fillId="0" borderId="0" xfId="0" applyNumberFormat="1" applyFont="1">
      <alignment vertical="center"/>
    </xf>
    <xf numFmtId="177" fontId="3" fillId="0" borderId="0" xfId="0" applyNumberFormat="1" applyFont="1">
      <alignment vertical="center"/>
    </xf>
    <xf numFmtId="177" fontId="4" fillId="0" borderId="0" xfId="0" applyNumberFormat="1" applyFont="1">
      <alignment vertical="center"/>
    </xf>
    <xf numFmtId="0" fontId="5" fillId="0" borderId="0" xfId="0" applyFont="1">
      <alignment vertical="center"/>
    </xf>
    <xf numFmtId="177" fontId="6" fillId="0" borderId="0" xfId="0" applyNumberFormat="1" applyFont="1">
      <alignment vertical="center"/>
    </xf>
    <xf numFmtId="178" fontId="2" fillId="0" borderId="0" xfId="0" applyNumberFormat="1" applyFont="1">
      <alignment vertical="center"/>
    </xf>
    <xf numFmtId="177" fontId="7" fillId="0" borderId="0" xfId="0" applyNumberFormat="1" applyFont="1">
      <alignment vertical="center"/>
    </xf>
    <xf numFmtId="177" fontId="11" fillId="0" borderId="0" xfId="0" applyNumberFormat="1" applyFont="1">
      <alignment vertical="center"/>
    </xf>
    <xf numFmtId="177" fontId="12" fillId="0" borderId="0" xfId="0" applyNumberFormat="1" applyFont="1">
      <alignment vertical="center"/>
    </xf>
    <xf numFmtId="177" fontId="13" fillId="0" borderId="0" xfId="0" applyNumberFormat="1" applyFont="1">
      <alignment vertical="center"/>
    </xf>
    <xf numFmtId="0" fontId="14" fillId="0" borderId="0" xfId="0" applyFont="1">
      <alignment vertical="center"/>
    </xf>
    <xf numFmtId="0" fontId="15" fillId="0" borderId="0" xfId="0" applyFont="1">
      <alignment vertical="center"/>
    </xf>
    <xf numFmtId="177" fontId="17" fillId="0" borderId="0" xfId="0" applyNumberFormat="1" applyFont="1">
      <alignment vertical="center"/>
    </xf>
    <xf numFmtId="177" fontId="16" fillId="0" borderId="0" xfId="0" applyNumberFormat="1" applyFont="1">
      <alignment vertical="center"/>
    </xf>
    <xf numFmtId="178" fontId="17" fillId="0" borderId="0" xfId="0" applyNumberFormat="1" applyFont="1">
      <alignment vertical="center"/>
    </xf>
    <xf numFmtId="178" fontId="18" fillId="0" borderId="0" xfId="0" applyNumberFormat="1" applyFont="1">
      <alignment vertical="center"/>
    </xf>
    <xf numFmtId="178" fontId="5" fillId="0" borderId="0" xfId="0" applyNumberFormat="1" applyFont="1">
      <alignment vertical="center"/>
    </xf>
    <xf numFmtId="177" fontId="13" fillId="3" borderId="0" xfId="0" applyNumberFormat="1" applyFont="1" applyFill="1">
      <alignment vertical="center"/>
    </xf>
    <xf numFmtId="177" fontId="12" fillId="3" borderId="0" xfId="0" applyNumberFormat="1" applyFont="1" applyFill="1">
      <alignment vertical="center"/>
    </xf>
    <xf numFmtId="177" fontId="4" fillId="3" borderId="0" xfId="0" applyNumberFormat="1" applyFont="1" applyFill="1">
      <alignment vertical="center"/>
    </xf>
    <xf numFmtId="177" fontId="11" fillId="3" borderId="0" xfId="0" applyNumberFormat="1" applyFont="1" applyFill="1">
      <alignment vertical="center"/>
    </xf>
    <xf numFmtId="178" fontId="2" fillId="3" borderId="0" xfId="0" applyNumberFormat="1" applyFont="1" applyFill="1">
      <alignment vertical="center"/>
    </xf>
    <xf numFmtId="177" fontId="7" fillId="3" borderId="0" xfId="0" applyNumberFormat="1" applyFont="1" applyFill="1">
      <alignment vertical="center"/>
    </xf>
    <xf numFmtId="177" fontId="6" fillId="3" borderId="0" xfId="0" applyNumberFormat="1" applyFont="1" applyFill="1">
      <alignment vertical="center"/>
    </xf>
    <xf numFmtId="0" fontId="2" fillId="3" borderId="0" xfId="0" applyFont="1" applyFill="1">
      <alignment vertical="center"/>
    </xf>
    <xf numFmtId="178" fontId="3" fillId="3" borderId="0" xfId="0" applyNumberFormat="1" applyFont="1" applyFill="1">
      <alignment vertical="center"/>
    </xf>
    <xf numFmtId="0" fontId="5" fillId="3" borderId="0" xfId="0" applyFont="1" applyFill="1">
      <alignment vertical="center"/>
    </xf>
    <xf numFmtId="0" fontId="21" fillId="0" borderId="0" xfId="1" applyFont="1" applyAlignment="1">
      <alignment horizontal="center" vertical="center"/>
    </xf>
    <xf numFmtId="0" fontId="22" fillId="0" borderId="4" xfId="1" applyFont="1" applyBorder="1"/>
    <xf numFmtId="0" fontId="20" fillId="0" borderId="4" xfId="1" applyBorder="1"/>
    <xf numFmtId="0" fontId="20" fillId="0" borderId="0" xfId="1"/>
    <xf numFmtId="0" fontId="23" fillId="0" borderId="0" xfId="1" applyFont="1"/>
    <xf numFmtId="0" fontId="24" fillId="4" borderId="0" xfId="1" applyFont="1" applyFill="1" applyAlignment="1">
      <alignment horizontal="right"/>
    </xf>
    <xf numFmtId="182" fontId="24" fillId="4" borderId="3" xfId="1" applyNumberFormat="1" applyFont="1" applyFill="1" applyBorder="1" applyAlignment="1">
      <alignment horizontal="center"/>
    </xf>
    <xf numFmtId="14" fontId="24" fillId="4" borderId="0" xfId="1" applyNumberFormat="1" applyFont="1" applyFill="1" applyAlignment="1">
      <alignment horizontal="right"/>
    </xf>
    <xf numFmtId="0" fontId="27" fillId="0" borderId="0" xfId="1" applyFont="1"/>
    <xf numFmtId="0" fontId="30" fillId="0" borderId="0" xfId="1" applyFont="1"/>
    <xf numFmtId="26" fontId="28" fillId="0" borderId="0" xfId="1" applyNumberFormat="1" applyFont="1"/>
    <xf numFmtId="0" fontId="2" fillId="0" borderId="8" xfId="0" applyFont="1" applyBorder="1">
      <alignment vertical="center"/>
    </xf>
    <xf numFmtId="177" fontId="4" fillId="0" borderId="8" xfId="0" applyNumberFormat="1" applyFont="1" applyBorder="1">
      <alignment vertical="center"/>
    </xf>
    <xf numFmtId="177" fontId="11" fillId="0" borderId="8" xfId="0" applyNumberFormat="1" applyFont="1" applyBorder="1">
      <alignment vertical="center"/>
    </xf>
    <xf numFmtId="177" fontId="7" fillId="0" borderId="8" xfId="0" applyNumberFormat="1" applyFont="1" applyBorder="1">
      <alignment vertical="center"/>
    </xf>
    <xf numFmtId="177" fontId="17" fillId="0" borderId="8" xfId="0" applyNumberFormat="1" applyFont="1" applyBorder="1">
      <alignment vertical="center"/>
    </xf>
    <xf numFmtId="0" fontId="2" fillId="5" borderId="6" xfId="0" applyFont="1" applyFill="1" applyBorder="1" applyAlignment="1">
      <alignment horizontal="centerContinuous" vertical="center"/>
    </xf>
    <xf numFmtId="0" fontId="2" fillId="5" borderId="7" xfId="0" applyFont="1" applyFill="1" applyBorder="1" applyAlignment="1">
      <alignment horizontal="centerContinuous" vertical="center"/>
    </xf>
    <xf numFmtId="176" fontId="17" fillId="0" borderId="6" xfId="0" applyNumberFormat="1" applyFont="1" applyBorder="1" applyAlignment="1">
      <alignment horizontal="right" vertical="center"/>
    </xf>
    <xf numFmtId="176" fontId="2" fillId="0" borderId="6" xfId="0" applyNumberFormat="1" applyFont="1" applyBorder="1" applyAlignment="1">
      <alignment horizontal="right" vertical="center"/>
    </xf>
    <xf numFmtId="176" fontId="2" fillId="0" borderId="7" xfId="0" applyNumberFormat="1" applyFont="1" applyBorder="1" applyAlignment="1">
      <alignment horizontal="right" vertical="center"/>
    </xf>
    <xf numFmtId="180" fontId="2" fillId="0" borderId="6" xfId="0" applyNumberFormat="1" applyFont="1" applyBorder="1" applyAlignment="1">
      <alignment horizontal="right" vertical="center"/>
    </xf>
    <xf numFmtId="0" fontId="2" fillId="0" borderId="0" xfId="0" applyFont="1" applyAlignment="1">
      <alignment horizontal="center" vertical="center"/>
    </xf>
    <xf numFmtId="0" fontId="2" fillId="0" borderId="4" xfId="0" applyFont="1" applyBorder="1" applyAlignment="1"/>
    <xf numFmtId="0" fontId="5" fillId="0" borderId="4" xfId="0" applyFont="1" applyBorder="1" applyAlignment="1"/>
    <xf numFmtId="0" fontId="2" fillId="0" borderId="0" xfId="0" applyFont="1" applyAlignment="1"/>
    <xf numFmtId="0" fontId="5" fillId="0" borderId="0" xfId="0" applyFont="1" applyAlignment="1"/>
    <xf numFmtId="0" fontId="5" fillId="0" borderId="0" xfId="0" applyFont="1" applyAlignment="1">
      <alignment horizontal="left"/>
    </xf>
    <xf numFmtId="0" fontId="31" fillId="0" borderId="4" xfId="0" applyFont="1" applyBorder="1" applyAlignment="1"/>
    <xf numFmtId="176" fontId="2" fillId="0" borderId="5" xfId="0" applyNumberFormat="1" applyFont="1" applyBorder="1" applyAlignment="1">
      <alignment horizontal="right" vertical="center"/>
    </xf>
    <xf numFmtId="177" fontId="2" fillId="0" borderId="8" xfId="0" applyNumberFormat="1" applyFont="1" applyBorder="1">
      <alignment vertical="center"/>
    </xf>
    <xf numFmtId="177" fontId="6" fillId="0" borderId="8" xfId="0" applyNumberFormat="1" applyFont="1" applyBorder="1">
      <alignment vertical="center"/>
    </xf>
    <xf numFmtId="177" fontId="16" fillId="0" borderId="8" xfId="0" applyNumberFormat="1" applyFont="1" applyBorder="1">
      <alignment vertical="center"/>
    </xf>
    <xf numFmtId="177" fontId="3" fillId="0" borderId="8" xfId="0" applyNumberFormat="1" applyFont="1" applyBorder="1">
      <alignment vertical="center"/>
    </xf>
    <xf numFmtId="183" fontId="32" fillId="0" borderId="0" xfId="0" applyNumberFormat="1" applyFont="1" applyAlignment="1">
      <alignment horizontal="right" vertical="center"/>
    </xf>
    <xf numFmtId="184" fontId="2" fillId="0" borderId="0" xfId="0" applyNumberFormat="1" applyFont="1">
      <alignment vertical="center"/>
    </xf>
    <xf numFmtId="187" fontId="32" fillId="0" borderId="0" xfId="0" applyNumberFormat="1" applyFont="1" applyAlignment="1">
      <alignment horizontal="right" vertical="center"/>
    </xf>
    <xf numFmtId="187" fontId="12" fillId="0" borderId="0" xfId="0" applyNumberFormat="1" applyFont="1" applyAlignment="1">
      <alignment horizontal="right" vertical="center"/>
    </xf>
    <xf numFmtId="0" fontId="15" fillId="0" borderId="0" xfId="0" applyFont="1" applyAlignment="1"/>
    <xf numFmtId="0" fontId="3" fillId="0" borderId="0" xfId="0" applyFont="1" applyAlignment="1"/>
    <xf numFmtId="0" fontId="14" fillId="0" borderId="0" xfId="0" applyFont="1" applyAlignment="1"/>
    <xf numFmtId="0" fontId="17" fillId="0" borderId="3" xfId="0" applyFont="1" applyBorder="1" applyAlignment="1">
      <alignment horizontal="center" vertical="center"/>
    </xf>
    <xf numFmtId="183" fontId="32" fillId="0" borderId="8" xfId="0" applyNumberFormat="1" applyFont="1" applyBorder="1" applyAlignment="1">
      <alignment horizontal="right" vertical="center"/>
    </xf>
    <xf numFmtId="187" fontId="12" fillId="0" borderId="8" xfId="0" applyNumberFormat="1" applyFont="1" applyBorder="1" applyAlignment="1">
      <alignment horizontal="right" vertical="center"/>
    </xf>
    <xf numFmtId="183" fontId="17" fillId="0" borderId="0" xfId="0" applyNumberFormat="1" applyFont="1" applyAlignment="1">
      <alignment horizontal="right" vertical="center"/>
    </xf>
    <xf numFmtId="185" fontId="17" fillId="0" borderId="0" xfId="0" applyNumberFormat="1" applyFont="1" applyAlignment="1">
      <alignment horizontal="right" vertical="center"/>
    </xf>
    <xf numFmtId="0" fontId="2" fillId="0" borderId="6" xfId="0" applyFont="1" applyBorder="1">
      <alignment vertical="center"/>
    </xf>
    <xf numFmtId="0" fontId="3" fillId="0" borderId="6" xfId="0" applyFont="1" applyBorder="1">
      <alignment vertical="center"/>
    </xf>
    <xf numFmtId="0" fontId="33" fillId="0" borderId="0" xfId="2" applyFont="1"/>
    <xf numFmtId="0" fontId="34" fillId="0" borderId="0" xfId="2" applyFont="1"/>
    <xf numFmtId="0" fontId="35" fillId="0" borderId="0" xfId="2" applyFont="1" applyAlignment="1">
      <alignment wrapText="1"/>
    </xf>
    <xf numFmtId="0" fontId="36" fillId="0" borderId="0" xfId="2" applyFont="1"/>
    <xf numFmtId="0" fontId="37" fillId="0" borderId="0" xfId="2" applyFont="1" applyAlignment="1">
      <alignment horizontal="left" vertical="top"/>
    </xf>
    <xf numFmtId="49" fontId="34" fillId="0" borderId="0" xfId="2" applyNumberFormat="1" applyFont="1"/>
    <xf numFmtId="0" fontId="38" fillId="6" borderId="0" xfId="2" applyFont="1" applyFill="1"/>
    <xf numFmtId="0" fontId="39" fillId="0" borderId="0" xfId="3" applyAlignment="1"/>
    <xf numFmtId="0" fontId="40" fillId="7" borderId="0" xfId="2" applyFont="1" applyFill="1" applyAlignment="1">
      <alignment wrapText="1"/>
    </xf>
    <xf numFmtId="0" fontId="40" fillId="7" borderId="0" xfId="2" applyFont="1" applyFill="1" applyAlignment="1">
      <alignment horizontal="right" wrapText="1"/>
    </xf>
    <xf numFmtId="0" fontId="41" fillId="7" borderId="0" xfId="2" applyFont="1" applyFill="1" applyAlignment="1">
      <alignment wrapText="1"/>
    </xf>
    <xf numFmtId="0" fontId="41" fillId="7" borderId="0" xfId="2" applyFont="1" applyFill="1" applyAlignment="1">
      <alignment horizontal="right" wrapText="1"/>
    </xf>
    <xf numFmtId="0" fontId="40" fillId="0" borderId="0" xfId="2" applyFont="1" applyAlignment="1">
      <alignment horizontal="left" vertical="top"/>
    </xf>
    <xf numFmtId="188" fontId="40" fillId="0" borderId="0" xfId="2" applyNumberFormat="1" applyFont="1" applyAlignment="1">
      <alignment horizontal="right" vertical="top" wrapText="1"/>
    </xf>
    <xf numFmtId="189" fontId="40" fillId="0" borderId="0" xfId="2" applyNumberFormat="1" applyFont="1" applyAlignment="1">
      <alignment horizontal="right" vertical="top" wrapText="1"/>
    </xf>
    <xf numFmtId="0" fontId="42" fillId="0" borderId="0" xfId="2" applyFont="1" applyAlignment="1">
      <alignment horizontal="left" vertical="top"/>
    </xf>
    <xf numFmtId="49" fontId="42" fillId="0" borderId="0" xfId="2" applyNumberFormat="1" applyFont="1" applyAlignment="1">
      <alignment horizontal="right" vertical="top" wrapText="1"/>
    </xf>
    <xf numFmtId="190" fontId="42" fillId="0" borderId="0" xfId="2" applyNumberFormat="1" applyFont="1" applyAlignment="1">
      <alignment horizontal="right" vertical="top" wrapText="1"/>
    </xf>
    <xf numFmtId="191" fontId="42" fillId="0" borderId="0" xfId="2" applyNumberFormat="1" applyFont="1" applyAlignment="1">
      <alignment horizontal="right" vertical="top" wrapText="1"/>
    </xf>
    <xf numFmtId="49" fontId="37" fillId="0" borderId="0" xfId="2" applyNumberFormat="1" applyFont="1" applyAlignment="1">
      <alignment horizontal="right" vertical="top" wrapText="1"/>
    </xf>
    <xf numFmtId="188" fontId="37" fillId="0" borderId="0" xfId="2" applyNumberFormat="1" applyFont="1" applyAlignment="1">
      <alignment horizontal="right" vertical="top" wrapText="1"/>
    </xf>
    <xf numFmtId="0" fontId="34" fillId="0" borderId="0" xfId="2" applyFont="1" applyAlignment="1">
      <alignment vertical="top" wrapText="1"/>
    </xf>
    <xf numFmtId="192" fontId="37" fillId="0" borderId="0" xfId="2" applyNumberFormat="1" applyFont="1" applyAlignment="1">
      <alignment horizontal="right" vertical="top" wrapText="1"/>
    </xf>
    <xf numFmtId="0" fontId="34" fillId="0" borderId="0" xfId="2" applyFont="1" applyAlignment="1">
      <alignment horizontal="center" vertical="top" wrapText="1"/>
    </xf>
    <xf numFmtId="193" fontId="37" fillId="0" borderId="0" xfId="2" applyNumberFormat="1" applyFont="1" applyAlignment="1">
      <alignment horizontal="right" vertical="top" wrapText="1"/>
    </xf>
    <xf numFmtId="194" fontId="37" fillId="0" borderId="0" xfId="2" applyNumberFormat="1" applyFont="1" applyAlignment="1">
      <alignment horizontal="right" vertical="top" wrapText="1"/>
    </xf>
    <xf numFmtId="0" fontId="37" fillId="0" borderId="0" xfId="2" applyFont="1" applyAlignment="1">
      <alignment horizontal="center" vertical="center"/>
    </xf>
    <xf numFmtId="0" fontId="37" fillId="0" borderId="0" xfId="2" applyFont="1" applyAlignment="1">
      <alignment horizontal="left" vertical="center"/>
    </xf>
    <xf numFmtId="188" fontId="40" fillId="0" borderId="10" xfId="2" applyNumberFormat="1" applyFont="1" applyBorder="1" applyAlignment="1">
      <alignment horizontal="right" vertical="top" wrapText="1"/>
    </xf>
    <xf numFmtId="188" fontId="43" fillId="0" borderId="10" xfId="2" applyNumberFormat="1" applyFont="1" applyBorder="1" applyAlignment="1">
      <alignment horizontal="right" vertical="top" wrapText="1"/>
    </xf>
    <xf numFmtId="189" fontId="37" fillId="0" borderId="0" xfId="2" applyNumberFormat="1" applyFont="1" applyAlignment="1">
      <alignment horizontal="right" vertical="top" wrapText="1"/>
    </xf>
    <xf numFmtId="190" fontId="37" fillId="0" borderId="0" xfId="2" applyNumberFormat="1" applyFont="1" applyAlignment="1">
      <alignment horizontal="right" vertical="top" wrapText="1"/>
    </xf>
    <xf numFmtId="195" fontId="37" fillId="0" borderId="0" xfId="2" applyNumberFormat="1" applyFont="1" applyAlignment="1">
      <alignment horizontal="right" vertical="top" wrapText="1"/>
    </xf>
    <xf numFmtId="0" fontId="34" fillId="0" borderId="0" xfId="2" applyFont="1" applyAlignment="1">
      <alignment vertical="top"/>
    </xf>
    <xf numFmtId="188" fontId="44" fillId="0" borderId="0" xfId="2" applyNumberFormat="1" applyFont="1" applyAlignment="1">
      <alignment horizontal="right" vertical="top" wrapText="1"/>
    </xf>
    <xf numFmtId="188" fontId="43" fillId="0" borderId="0" xfId="2" applyNumberFormat="1" applyFont="1" applyAlignment="1">
      <alignment horizontal="right" vertical="top" wrapText="1"/>
    </xf>
    <xf numFmtId="196" fontId="37" fillId="0" borderId="0" xfId="2" applyNumberFormat="1" applyFont="1" applyAlignment="1">
      <alignment horizontal="right" vertical="top" wrapText="1"/>
    </xf>
    <xf numFmtId="0" fontId="37" fillId="0" borderId="0" xfId="2" applyFont="1" applyAlignment="1">
      <alignment horizontal="center" vertical="center" wrapText="1"/>
    </xf>
    <xf numFmtId="0" fontId="40" fillId="0" borderId="0" xfId="2" applyFont="1" applyAlignment="1">
      <alignment horizontal="left"/>
    </xf>
    <xf numFmtId="0" fontId="40" fillId="0" borderId="0" xfId="2" applyFont="1" applyAlignment="1">
      <alignment horizontal="right"/>
    </xf>
    <xf numFmtId="194" fontId="37" fillId="0" borderId="0" xfId="2" applyNumberFormat="1" applyFont="1" applyAlignment="1">
      <alignment horizontal="right"/>
    </xf>
    <xf numFmtId="194" fontId="34" fillId="0" borderId="0" xfId="2" applyNumberFormat="1" applyFont="1" applyAlignment="1">
      <alignment horizontal="right"/>
    </xf>
    <xf numFmtId="49" fontId="37" fillId="0" borderId="0" xfId="2" applyNumberFormat="1" applyFont="1" applyAlignment="1">
      <alignment horizontal="right"/>
    </xf>
    <xf numFmtId="49" fontId="34" fillId="0" borderId="0" xfId="2" applyNumberFormat="1" applyFont="1" applyAlignment="1">
      <alignment horizontal="right"/>
    </xf>
    <xf numFmtId="0" fontId="34" fillId="0" borderId="0" xfId="2" applyFont="1" applyAlignment="1">
      <alignment horizontal="left"/>
    </xf>
    <xf numFmtId="0" fontId="34" fillId="0" borderId="0" xfId="2" applyFont="1" applyAlignment="1">
      <alignment horizontal="right" wrapText="1"/>
    </xf>
    <xf numFmtId="0" fontId="34" fillId="0" borderId="0" xfId="2" applyFont="1" applyAlignment="1">
      <alignment wrapText="1"/>
    </xf>
    <xf numFmtId="0" fontId="37" fillId="0" borderId="0" xfId="2" applyFont="1" applyAlignment="1">
      <alignment vertical="top" wrapText="1"/>
    </xf>
    <xf numFmtId="190" fontId="35" fillId="0" borderId="0" xfId="2" applyNumberFormat="1" applyFont="1" applyAlignment="1">
      <alignment horizontal="right"/>
    </xf>
    <xf numFmtId="188" fontId="34" fillId="0" borderId="0" xfId="2" applyNumberFormat="1" applyFont="1" applyAlignment="1">
      <alignment horizontal="right"/>
    </xf>
    <xf numFmtId="190" fontId="41" fillId="0" borderId="0" xfId="2" applyNumberFormat="1" applyFont="1" applyAlignment="1">
      <alignment horizontal="right" vertical="top" wrapText="1"/>
    </xf>
    <xf numFmtId="190" fontId="47" fillId="0" borderId="0" xfId="2" applyNumberFormat="1" applyFont="1" applyAlignment="1">
      <alignment horizontal="right"/>
    </xf>
    <xf numFmtId="188" fontId="36" fillId="0" borderId="0" xfId="2" applyNumberFormat="1" applyFont="1" applyAlignment="1">
      <alignment horizontal="right"/>
    </xf>
    <xf numFmtId="193" fontId="34" fillId="0" borderId="0" xfId="2" applyNumberFormat="1" applyFont="1" applyAlignment="1">
      <alignment horizontal="right"/>
    </xf>
    <xf numFmtId="195" fontId="34" fillId="0" borderId="0" xfId="2" applyNumberFormat="1" applyFont="1" applyAlignment="1">
      <alignment horizontal="right"/>
    </xf>
    <xf numFmtId="197" fontId="37" fillId="0" borderId="0" xfId="2" applyNumberFormat="1" applyFont="1" applyAlignment="1">
      <alignment horizontal="center" vertical="top" wrapText="1"/>
    </xf>
    <xf numFmtId="0" fontId="37" fillId="0" borderId="0" xfId="2" applyFont="1" applyAlignment="1">
      <alignment horizontal="center" vertical="top" wrapText="1"/>
    </xf>
    <xf numFmtId="195" fontId="37" fillId="0" borderId="0" xfId="2" applyNumberFormat="1" applyFont="1" applyAlignment="1">
      <alignment horizontal="center" vertical="top" wrapText="1"/>
    </xf>
    <xf numFmtId="198" fontId="37" fillId="0" borderId="0" xfId="2" applyNumberFormat="1" applyFont="1" applyAlignment="1">
      <alignment horizontal="right" vertical="top" wrapText="1"/>
    </xf>
    <xf numFmtId="187" fontId="18" fillId="0" borderId="0" xfId="0" applyNumberFormat="1" applyFont="1" applyAlignment="1">
      <alignment horizontal="right" vertical="center"/>
    </xf>
    <xf numFmtId="187" fontId="13" fillId="0" borderId="0" xfId="0" applyNumberFormat="1" applyFont="1" applyAlignment="1">
      <alignment horizontal="right" vertical="center"/>
    </xf>
    <xf numFmtId="187" fontId="6" fillId="0" borderId="0" xfId="0" applyNumberFormat="1" applyFont="1" applyAlignment="1">
      <alignment horizontal="right" vertical="center"/>
    </xf>
    <xf numFmtId="187" fontId="17" fillId="0" borderId="0" xfId="0" applyNumberFormat="1" applyFont="1" applyAlignment="1">
      <alignment horizontal="right" vertical="center"/>
    </xf>
    <xf numFmtId="187" fontId="11" fillId="0" borderId="0" xfId="0" applyNumberFormat="1" applyFont="1" applyAlignment="1">
      <alignment horizontal="right" vertical="center"/>
    </xf>
    <xf numFmtId="0" fontId="17" fillId="0" borderId="0" xfId="0" applyFont="1">
      <alignment vertical="center"/>
    </xf>
    <xf numFmtId="187" fontId="13" fillId="0" borderId="8" xfId="0" applyNumberFormat="1" applyFont="1" applyBorder="1" applyAlignment="1">
      <alignment horizontal="right" vertical="center"/>
    </xf>
    <xf numFmtId="187" fontId="6" fillId="0" borderId="8" xfId="0" applyNumberFormat="1" applyFont="1" applyBorder="1" applyAlignment="1">
      <alignment horizontal="right" vertical="center"/>
    </xf>
    <xf numFmtId="187" fontId="12" fillId="0" borderId="6" xfId="0" applyNumberFormat="1" applyFont="1" applyBorder="1" applyAlignment="1">
      <alignment horizontal="right" vertical="center"/>
    </xf>
    <xf numFmtId="187" fontId="12" fillId="0" borderId="7" xfId="0" applyNumberFormat="1" applyFont="1" applyBorder="1" applyAlignment="1">
      <alignment horizontal="right" vertical="center"/>
    </xf>
    <xf numFmtId="187" fontId="17" fillId="0" borderId="6" xfId="0" applyNumberFormat="1" applyFont="1" applyBorder="1" applyAlignment="1">
      <alignment horizontal="right" vertical="center"/>
    </xf>
    <xf numFmtId="187" fontId="11" fillId="0" borderId="8" xfId="0" applyNumberFormat="1" applyFont="1" applyBorder="1" applyAlignment="1">
      <alignment horizontal="right" vertical="center"/>
    </xf>
    <xf numFmtId="187" fontId="17" fillId="0" borderId="12" xfId="0" applyNumberFormat="1" applyFont="1" applyBorder="1" applyAlignment="1">
      <alignment horizontal="right" vertical="center"/>
    </xf>
    <xf numFmtId="0" fontId="3" fillId="3" borderId="11" xfId="0" applyFont="1" applyFill="1" applyBorder="1" applyAlignment="1">
      <alignment horizontal="right" vertical="center"/>
    </xf>
    <xf numFmtId="0" fontId="2" fillId="0" borderId="13" xfId="0" applyFont="1" applyBorder="1">
      <alignment vertical="center"/>
    </xf>
    <xf numFmtId="199" fontId="17" fillId="0" borderId="0" xfId="0" applyNumberFormat="1" applyFont="1" applyAlignment="1">
      <alignment horizontal="right" vertical="center"/>
    </xf>
    <xf numFmtId="199" fontId="6" fillId="0" borderId="0" xfId="0" applyNumberFormat="1" applyFont="1" applyAlignment="1">
      <alignment horizontal="right" vertical="center"/>
    </xf>
    <xf numFmtId="184" fontId="6" fillId="0" borderId="0" xfId="0" applyNumberFormat="1" applyFont="1" applyAlignment="1">
      <alignment horizontal="right" vertical="center"/>
    </xf>
    <xf numFmtId="185" fontId="6" fillId="0" borderId="0" xfId="0" applyNumberFormat="1" applyFont="1" applyAlignment="1">
      <alignment horizontal="right" vertical="center"/>
    </xf>
    <xf numFmtId="187" fontId="17" fillId="0" borderId="8" xfId="0" applyNumberFormat="1" applyFont="1" applyBorder="1" applyAlignment="1">
      <alignment horizontal="right" vertical="center"/>
    </xf>
    <xf numFmtId="199" fontId="17" fillId="0" borderId="11" xfId="0" applyNumberFormat="1" applyFont="1" applyBorder="1" applyAlignment="1">
      <alignment horizontal="right" vertical="center"/>
    </xf>
    <xf numFmtId="0" fontId="2" fillId="0" borderId="6" xfId="0" applyFont="1" applyBorder="1" applyAlignment="1"/>
    <xf numFmtId="187" fontId="6" fillId="0" borderId="6" xfId="0" applyNumberFormat="1" applyFont="1" applyBorder="1" applyAlignment="1">
      <alignment horizontal="right" vertical="center"/>
    </xf>
    <xf numFmtId="187" fontId="6" fillId="0" borderId="7" xfId="0" applyNumberFormat="1" applyFont="1" applyBorder="1" applyAlignment="1">
      <alignment horizontal="right" vertical="center"/>
    </xf>
    <xf numFmtId="186" fontId="6" fillId="0" borderId="0" xfId="0" applyNumberFormat="1" applyFont="1" applyAlignment="1">
      <alignment horizontal="right" vertical="center"/>
    </xf>
    <xf numFmtId="177" fontId="6" fillId="3" borderId="8" xfId="0" applyNumberFormat="1" applyFont="1" applyFill="1" applyBorder="1">
      <alignment vertical="center"/>
    </xf>
    <xf numFmtId="177" fontId="17" fillId="3" borderId="0" xfId="0" applyNumberFormat="1" applyFont="1" applyFill="1">
      <alignment vertical="center"/>
    </xf>
    <xf numFmtId="178" fontId="2" fillId="3" borderId="6" xfId="0" applyNumberFormat="1" applyFont="1" applyFill="1" applyBorder="1">
      <alignment vertical="center"/>
    </xf>
    <xf numFmtId="177" fontId="4" fillId="3" borderId="6" xfId="0" applyNumberFormat="1" applyFont="1" applyFill="1" applyBorder="1">
      <alignment vertical="center"/>
    </xf>
    <xf numFmtId="177" fontId="11" fillId="3" borderId="6" xfId="0" applyNumberFormat="1" applyFont="1" applyFill="1" applyBorder="1">
      <alignment vertical="center"/>
    </xf>
    <xf numFmtId="177" fontId="17" fillId="0" borderId="6" xfId="0" applyNumberFormat="1" applyFont="1" applyBorder="1">
      <alignment vertical="center"/>
    </xf>
    <xf numFmtId="0" fontId="3" fillId="3" borderId="0" xfId="0" applyFont="1" applyFill="1">
      <alignment vertical="center"/>
    </xf>
    <xf numFmtId="10" fontId="37" fillId="0" borderId="0" xfId="2" applyNumberFormat="1" applyFont="1" applyAlignment="1">
      <alignment horizontal="center" vertical="top" wrapText="1"/>
    </xf>
    <xf numFmtId="0" fontId="3" fillId="0" borderId="8" xfId="0" applyFont="1" applyBorder="1">
      <alignment vertical="center"/>
    </xf>
    <xf numFmtId="0" fontId="2" fillId="0" borderId="7" xfId="0" applyFont="1" applyBorder="1">
      <alignment vertical="center"/>
    </xf>
    <xf numFmtId="177" fontId="17" fillId="0" borderId="7" xfId="0" applyNumberFormat="1" applyFont="1" applyBorder="1">
      <alignment vertical="center"/>
    </xf>
    <xf numFmtId="0" fontId="5" fillId="0" borderId="6" xfId="0" applyFont="1" applyBorder="1">
      <alignment vertical="center"/>
    </xf>
    <xf numFmtId="178" fontId="17" fillId="0" borderId="6" xfId="0" applyNumberFormat="1" applyFont="1" applyBorder="1">
      <alignment vertical="center"/>
    </xf>
    <xf numFmtId="187" fontId="2" fillId="0" borderId="0" xfId="0" applyNumberFormat="1" applyFont="1">
      <alignment vertical="center"/>
    </xf>
    <xf numFmtId="0" fontId="2" fillId="0" borderId="9" xfId="0" applyFont="1" applyBorder="1">
      <alignment vertical="center"/>
    </xf>
    <xf numFmtId="178" fontId="17" fillId="0" borderId="11" xfId="0" applyNumberFormat="1" applyFont="1" applyBorder="1" applyAlignment="1">
      <alignment horizontal="center" vertical="center"/>
    </xf>
    <xf numFmtId="0" fontId="2" fillId="0" borderId="16" xfId="0" applyFont="1" applyBorder="1">
      <alignment vertical="center"/>
    </xf>
    <xf numFmtId="178" fontId="17" fillId="0" borderId="11" xfId="0" applyNumberFormat="1" applyFont="1" applyBorder="1" applyAlignment="1">
      <alignment horizontal="right" vertical="center"/>
    </xf>
    <xf numFmtId="0" fontId="3" fillId="0" borderId="15" xfId="0" applyFont="1" applyBorder="1">
      <alignment vertical="center"/>
    </xf>
    <xf numFmtId="26" fontId="29" fillId="0" borderId="0" xfId="1" applyNumberFormat="1" applyFont="1" applyAlignment="1">
      <alignment horizontal="right"/>
    </xf>
    <xf numFmtId="24" fontId="25" fillId="0" borderId="0" xfId="1" applyNumberFormat="1" applyFont="1"/>
    <xf numFmtId="0" fontId="55" fillId="0" borderId="0" xfId="1" applyFont="1"/>
    <xf numFmtId="26" fontId="56" fillId="4" borderId="0" xfId="1" applyNumberFormat="1" applyFont="1" applyFill="1"/>
    <xf numFmtId="187" fontId="12" fillId="0" borderId="0" xfId="0" quotePrefix="1" applyNumberFormat="1" applyFont="1" applyAlignment="1">
      <alignment horizontal="right" vertical="center"/>
    </xf>
    <xf numFmtId="184" fontId="4" fillId="0" borderId="0" xfId="0" applyNumberFormat="1" applyFont="1">
      <alignment vertical="center"/>
    </xf>
    <xf numFmtId="177" fontId="57" fillId="0" borderId="8" xfId="0" applyNumberFormat="1" applyFont="1" applyBorder="1">
      <alignment vertical="center"/>
    </xf>
    <xf numFmtId="177" fontId="57" fillId="0" borderId="0" xfId="0" applyNumberFormat="1" applyFont="1">
      <alignment vertical="center"/>
    </xf>
    <xf numFmtId="185" fontId="19" fillId="0" borderId="0" xfId="0" applyNumberFormat="1" applyFont="1">
      <alignment vertical="center"/>
    </xf>
    <xf numFmtId="178" fontId="17" fillId="0" borderId="8" xfId="0" applyNumberFormat="1" applyFont="1" applyBorder="1">
      <alignment vertical="center"/>
    </xf>
    <xf numFmtId="186" fontId="17" fillId="0" borderId="0" xfId="0" applyNumberFormat="1" applyFont="1" applyAlignment="1">
      <alignment horizontal="right" vertical="center"/>
    </xf>
    <xf numFmtId="0" fontId="2" fillId="0" borderId="1" xfId="0" applyFont="1" applyBorder="1" applyAlignment="1">
      <alignment vertical="center" wrapText="1"/>
    </xf>
    <xf numFmtId="0" fontId="2" fillId="0" borderId="0" xfId="0" applyFont="1" applyAlignment="1">
      <alignment vertical="center" wrapText="1"/>
    </xf>
    <xf numFmtId="0" fontId="32" fillId="0" borderId="0" xfId="0" applyFont="1">
      <alignment vertical="center"/>
    </xf>
    <xf numFmtId="0" fontId="2" fillId="2" borderId="0" xfId="0" applyFont="1" applyFill="1" applyAlignment="1">
      <alignment vertical="center" wrapText="1"/>
    </xf>
    <xf numFmtId="0" fontId="60" fillId="0" borderId="0" xfId="21" applyFont="1">
      <alignment vertical="center"/>
    </xf>
    <xf numFmtId="0" fontId="2" fillId="2" borderId="2" xfId="0" applyFont="1" applyFill="1" applyBorder="1" applyAlignment="1">
      <alignment horizontal="right"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9" fontId="2" fillId="2" borderId="0" xfId="0" applyNumberFormat="1"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left" vertical="center" wrapText="1"/>
    </xf>
    <xf numFmtId="0" fontId="2" fillId="0" borderId="1" xfId="0" applyFont="1" applyBorder="1" applyAlignment="1">
      <alignment horizontal="right" vertical="center" wrapText="1"/>
    </xf>
    <xf numFmtId="0" fontId="62" fillId="0" borderId="0" xfId="0" applyFont="1" applyAlignment="1">
      <alignment vertical="center" wrapText="1"/>
    </xf>
    <xf numFmtId="0" fontId="2" fillId="5" borderId="6" xfId="0" applyFont="1" applyFill="1" applyBorder="1">
      <alignment vertical="center"/>
    </xf>
    <xf numFmtId="0" fontId="2" fillId="5" borderId="6" xfId="0" applyFont="1" applyFill="1" applyBorder="1" applyAlignment="1">
      <alignment horizontal="right" vertical="center"/>
    </xf>
    <xf numFmtId="26" fontId="18" fillId="0" borderId="0" xfId="0" applyNumberFormat="1" applyFont="1">
      <alignment vertical="center"/>
    </xf>
    <xf numFmtId="3" fontId="18" fillId="0" borderId="0" xfId="0" applyNumberFormat="1" applyFont="1">
      <alignment vertical="center"/>
    </xf>
    <xf numFmtId="26" fontId="12" fillId="0" borderId="0" xfId="0" applyNumberFormat="1" applyFont="1">
      <alignment vertical="center"/>
    </xf>
    <xf numFmtId="0" fontId="2" fillId="0" borderId="0" xfId="0" applyFont="1" applyAlignment="1">
      <alignment horizontal="right" vertical="center"/>
    </xf>
    <xf numFmtId="3" fontId="2" fillId="0" borderId="0" xfId="0" applyNumberFormat="1" applyFont="1">
      <alignment vertical="center"/>
    </xf>
    <xf numFmtId="26" fontId="18" fillId="0" borderId="6" xfId="0" applyNumberFormat="1" applyFont="1" applyBorder="1">
      <alignment vertical="center"/>
    </xf>
    <xf numFmtId="0" fontId="18" fillId="0" borderId="6" xfId="0" applyFont="1" applyBorder="1">
      <alignment vertical="center"/>
    </xf>
    <xf numFmtId="0" fontId="2" fillId="0" borderId="6" xfId="0" applyFont="1" applyBorder="1" applyAlignment="1">
      <alignment horizontal="right" vertical="center"/>
    </xf>
    <xf numFmtId="3" fontId="2" fillId="0" borderId="6" xfId="0" applyNumberFormat="1" applyFont="1" applyBorder="1">
      <alignment vertical="center"/>
    </xf>
    <xf numFmtId="187" fontId="32" fillId="0" borderId="6" xfId="0" applyNumberFormat="1" applyFont="1" applyBorder="1" applyAlignment="1">
      <alignment horizontal="right" vertical="center"/>
    </xf>
    <xf numFmtId="187" fontId="2" fillId="0" borderId="6" xfId="0" applyNumberFormat="1" applyFont="1" applyBorder="1">
      <alignment vertical="center"/>
    </xf>
    <xf numFmtId="0" fontId="3" fillId="0" borderId="0" xfId="0" applyFont="1" applyAlignment="1">
      <alignment horizontal="right" vertical="center"/>
    </xf>
    <xf numFmtId="187" fontId="3" fillId="0" borderId="0" xfId="0" applyNumberFormat="1" applyFont="1">
      <alignment vertical="center"/>
    </xf>
    <xf numFmtId="3" fontId="2" fillId="2" borderId="2" xfId="0" applyNumberFormat="1" applyFont="1" applyFill="1" applyBorder="1" applyAlignment="1">
      <alignment vertical="center" wrapText="1"/>
    </xf>
    <xf numFmtId="3" fontId="2" fillId="2" borderId="14" xfId="0" applyNumberFormat="1" applyFont="1" applyFill="1" applyBorder="1" applyAlignment="1">
      <alignment vertical="center" wrapText="1"/>
    </xf>
    <xf numFmtId="0" fontId="5" fillId="0" borderId="0" xfId="0" applyFont="1" applyAlignment="1">
      <alignment vertical="center" wrapText="1"/>
    </xf>
    <xf numFmtId="3" fontId="17" fillId="0" borderId="0" xfId="0" applyNumberFormat="1" applyFont="1">
      <alignment vertical="center"/>
    </xf>
    <xf numFmtId="0" fontId="63" fillId="2" borderId="0" xfId="0" applyFont="1" applyFill="1" applyAlignment="1">
      <alignment horizontal="left" vertical="center" wrapText="1"/>
    </xf>
    <xf numFmtId="0" fontId="2" fillId="0" borderId="0" xfId="0" applyFont="1" applyAlignment="1">
      <alignment horizontal="left" vertical="center"/>
    </xf>
    <xf numFmtId="0" fontId="32" fillId="0" borderId="0" xfId="0" applyFont="1" applyAlignment="1">
      <alignment horizontal="left" vertical="center"/>
    </xf>
    <xf numFmtId="0" fontId="5" fillId="0" borderId="0" xfId="0" applyFont="1" applyAlignment="1">
      <alignment horizontal="left" vertical="center"/>
    </xf>
    <xf numFmtId="0" fontId="64" fillId="10" borderId="0" xfId="0" applyFont="1" applyFill="1">
      <alignment vertical="center"/>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0" borderId="1" xfId="0" applyFont="1" applyBorder="1" applyAlignment="1">
      <alignment horizontal="left" vertical="center" wrapText="1"/>
    </xf>
    <xf numFmtId="3" fontId="2" fillId="2" borderId="0" xfId="0" applyNumberFormat="1" applyFont="1" applyFill="1" applyAlignment="1">
      <alignment vertical="center" wrapText="1"/>
    </xf>
    <xf numFmtId="3" fontId="2" fillId="0" borderId="0" xfId="0" applyNumberFormat="1" applyFont="1" applyAlignment="1">
      <alignment vertical="center" wrapText="1"/>
    </xf>
    <xf numFmtId="0" fontId="2" fillId="5" borderId="17" xfId="0" applyFont="1" applyFill="1" applyBorder="1">
      <alignment vertical="center"/>
    </xf>
    <xf numFmtId="0" fontId="2" fillId="5" borderId="18" xfId="0" applyFont="1" applyFill="1" applyBorder="1">
      <alignment vertical="center"/>
    </xf>
    <xf numFmtId="187" fontId="6" fillId="5" borderId="5" xfId="0" applyNumberFormat="1" applyFont="1" applyFill="1" applyBorder="1" applyAlignment="1">
      <alignment horizontal="right" vertical="center"/>
    </xf>
    <xf numFmtId="0" fontId="6" fillId="0" borderId="0" xfId="0" applyFont="1">
      <alignment vertical="center"/>
    </xf>
    <xf numFmtId="187" fontId="6" fillId="0" borderId="0" xfId="0" quotePrefix="1" applyNumberFormat="1" applyFont="1" applyAlignment="1">
      <alignment horizontal="left" vertical="center"/>
    </xf>
    <xf numFmtId="0" fontId="20" fillId="3" borderId="19" xfId="1" applyFill="1" applyBorder="1"/>
    <xf numFmtId="0" fontId="20" fillId="3" borderId="20" xfId="1" applyFill="1" applyBorder="1"/>
    <xf numFmtId="0" fontId="20" fillId="3" borderId="13" xfId="1" applyFill="1" applyBorder="1"/>
    <xf numFmtId="0" fontId="20" fillId="3" borderId="16" xfId="1" applyFill="1" applyBorder="1"/>
    <xf numFmtId="0" fontId="20" fillId="3" borderId="0" xfId="1" applyFill="1"/>
    <xf numFmtId="0" fontId="20" fillId="3" borderId="8" xfId="1" applyFill="1" applyBorder="1"/>
    <xf numFmtId="0" fontId="20" fillId="3" borderId="15" xfId="1" applyFill="1" applyBorder="1"/>
    <xf numFmtId="0" fontId="20" fillId="3" borderId="6" xfId="1" applyFill="1" applyBorder="1"/>
    <xf numFmtId="0" fontId="20" fillId="3" borderId="7" xfId="1" applyFill="1" applyBorder="1"/>
    <xf numFmtId="0" fontId="65" fillId="0" borderId="0" xfId="0" applyFont="1" applyAlignment="1"/>
    <xf numFmtId="0" fontId="40" fillId="4" borderId="0" xfId="2" applyFont="1" applyFill="1" applyAlignment="1">
      <alignment wrapText="1"/>
    </xf>
    <xf numFmtId="0" fontId="40" fillId="4" borderId="0" xfId="2" applyFont="1" applyFill="1" applyAlignment="1">
      <alignment horizontal="right" wrapText="1"/>
    </xf>
    <xf numFmtId="0" fontId="41" fillId="4" borderId="0" xfId="2" applyFont="1" applyFill="1" applyAlignment="1">
      <alignment wrapText="1"/>
    </xf>
    <xf numFmtId="0" fontId="41" fillId="4" borderId="0" xfId="2" applyFont="1" applyFill="1" applyAlignment="1">
      <alignment horizontal="right" wrapText="1"/>
    </xf>
    <xf numFmtId="195" fontId="40" fillId="4" borderId="0" xfId="2" applyNumberFormat="1" applyFont="1" applyFill="1" applyAlignment="1">
      <alignment horizontal="right" wrapText="1"/>
    </xf>
    <xf numFmtId="0" fontId="46" fillId="4" borderId="0" xfId="2" applyFont="1" applyFill="1" applyAlignment="1">
      <alignment horizontal="right"/>
    </xf>
    <xf numFmtId="0" fontId="40" fillId="4" borderId="0" xfId="2" applyFont="1" applyFill="1" applyAlignment="1">
      <alignment horizontal="right"/>
    </xf>
    <xf numFmtId="195" fontId="40" fillId="4" borderId="0" xfId="2" applyNumberFormat="1" applyFont="1" applyFill="1" applyAlignment="1">
      <alignment horizontal="right"/>
    </xf>
    <xf numFmtId="0" fontId="40" fillId="4" borderId="0" xfId="2" applyFont="1" applyFill="1" applyAlignment="1">
      <alignment horizontal="left"/>
    </xf>
    <xf numFmtId="0" fontId="45" fillId="4" borderId="0" xfId="2" applyFont="1" applyFill="1" applyAlignment="1">
      <alignment horizontal="left"/>
    </xf>
    <xf numFmtId="0" fontId="47" fillId="4" borderId="0" xfId="2" applyFont="1" applyFill="1" applyAlignment="1">
      <alignment horizontal="right" wrapText="1"/>
    </xf>
    <xf numFmtId="0" fontId="36" fillId="4" borderId="0" xfId="2" applyFont="1" applyFill="1" applyAlignment="1">
      <alignment horizontal="right" wrapText="1"/>
    </xf>
    <xf numFmtId="0" fontId="46" fillId="4" borderId="0" xfId="2" applyFont="1" applyFill="1" applyAlignment="1">
      <alignment horizontal="left" wrapText="1"/>
    </xf>
    <xf numFmtId="0" fontId="46" fillId="4" borderId="0" xfId="2" applyFont="1" applyFill="1" applyAlignment="1">
      <alignment wrapText="1"/>
    </xf>
    <xf numFmtId="0" fontId="11" fillId="0" borderId="0" xfId="22" applyFont="1"/>
    <xf numFmtId="1" fontId="67" fillId="0" borderId="21" xfId="22" applyNumberFormat="1" applyFont="1" applyBorder="1" applyAlignment="1">
      <alignment horizontal="center"/>
    </xf>
    <xf numFmtId="0" fontId="11" fillId="0" borderId="0" xfId="22" applyFont="1" applyAlignment="1">
      <alignment horizontal="right"/>
    </xf>
    <xf numFmtId="0" fontId="67" fillId="0" borderId="21" xfId="22" applyFont="1" applyBorder="1" applyAlignment="1">
      <alignment horizontal="center"/>
    </xf>
    <xf numFmtId="0" fontId="66" fillId="0" borderId="0" xfId="22"/>
    <xf numFmtId="14" fontId="67" fillId="0" borderId="21" xfId="22" applyNumberFormat="1" applyFont="1" applyBorder="1" applyAlignment="1">
      <alignment horizontal="center"/>
    </xf>
    <xf numFmtId="0" fontId="68" fillId="0" borderId="0" xfId="22" applyFont="1"/>
    <xf numFmtId="202" fontId="70" fillId="0" borderId="0" xfId="23" applyNumberFormat="1" applyFont="1"/>
    <xf numFmtId="0" fontId="6" fillId="0" borderId="0" xfId="22" applyFont="1"/>
    <xf numFmtId="0" fontId="48" fillId="0" borderId="0" xfId="22" applyFont="1"/>
    <xf numFmtId="0" fontId="72" fillId="11" borderId="0" xfId="24" applyFont="1" applyFill="1"/>
    <xf numFmtId="0" fontId="73" fillId="11" borderId="0" xfId="22" applyFont="1" applyFill="1"/>
    <xf numFmtId="0" fontId="74" fillId="0" borderId="0" xfId="22" applyFont="1"/>
    <xf numFmtId="0" fontId="48" fillId="0" borderId="0" xfId="22" applyFont="1" applyAlignment="1">
      <alignment horizontal="center"/>
    </xf>
    <xf numFmtId="0" fontId="19" fillId="0" borderId="0" xfId="22" applyFont="1"/>
    <xf numFmtId="0" fontId="6" fillId="0" borderId="0" xfId="22" quotePrefix="1" applyFont="1"/>
    <xf numFmtId="203" fontId="48" fillId="0" borderId="0" xfId="25" applyNumberFormat="1" applyFont="1" applyBorder="1"/>
    <xf numFmtId="0" fontId="75" fillId="12" borderId="0" xfId="22" applyFont="1" applyFill="1" applyAlignment="1">
      <alignment vertical="center"/>
    </xf>
    <xf numFmtId="0" fontId="51" fillId="12" borderId="0" xfId="22" applyFont="1" applyFill="1"/>
    <xf numFmtId="0" fontId="73" fillId="12" borderId="0" xfId="22" applyFont="1" applyFill="1"/>
    <xf numFmtId="0" fontId="76" fillId="0" borderId="0" xfId="22" applyFont="1"/>
    <xf numFmtId="0" fontId="77" fillId="0" borderId="0" xfId="22" applyFont="1"/>
    <xf numFmtId="203" fontId="6" fillId="0" borderId="0" xfId="25" applyNumberFormat="1" applyFont="1"/>
    <xf numFmtId="178" fontId="78" fillId="0" borderId="0" xfId="22" applyNumberFormat="1" applyFont="1" applyAlignment="1">
      <alignment horizontal="right"/>
    </xf>
    <xf numFmtId="0" fontId="11" fillId="0" borderId="6" xfId="22" applyFont="1" applyBorder="1" applyAlignment="1">
      <alignment horizontal="center"/>
    </xf>
    <xf numFmtId="0" fontId="11" fillId="0" borderId="6" xfId="22" applyFont="1" applyBorder="1" applyAlignment="1">
      <alignment horizontal="left"/>
    </xf>
    <xf numFmtId="0" fontId="11" fillId="0" borderId="6" xfId="22" applyFont="1" applyBorder="1" applyAlignment="1">
      <alignment horizontal="right"/>
    </xf>
    <xf numFmtId="204" fontId="77" fillId="0" borderId="0" xfId="22" applyNumberFormat="1" applyFont="1"/>
    <xf numFmtId="178" fontId="6" fillId="0" borderId="0" xfId="22" applyNumberFormat="1" applyFont="1"/>
    <xf numFmtId="10" fontId="79" fillId="0" borderId="0" xfId="22" applyNumberFormat="1" applyFont="1" applyAlignment="1">
      <alignment horizontal="right"/>
    </xf>
    <xf numFmtId="0" fontId="77" fillId="0" borderId="0" xfId="26" applyNumberFormat="1" applyFont="1" applyFill="1" applyBorder="1" applyAlignment="1"/>
    <xf numFmtId="0" fontId="77" fillId="0" borderId="0" xfId="22" applyFont="1" applyAlignment="1">
      <alignment horizontal="left"/>
    </xf>
    <xf numFmtId="185" fontId="79" fillId="0" borderId="0" xfId="22" applyNumberFormat="1" applyFont="1" applyAlignment="1">
      <alignment horizontal="right"/>
    </xf>
    <xf numFmtId="206" fontId="77" fillId="0" borderId="0" xfId="22" applyNumberFormat="1" applyFont="1" applyAlignment="1">
      <alignment horizontal="right"/>
    </xf>
    <xf numFmtId="207" fontId="77" fillId="0" borderId="0" xfId="22" applyNumberFormat="1" applyFont="1" applyAlignment="1">
      <alignment horizontal="right"/>
    </xf>
    <xf numFmtId="178" fontId="6" fillId="0" borderId="0" xfId="25" applyNumberFormat="1" applyFont="1" applyAlignment="1">
      <alignment horizontal="right"/>
    </xf>
    <xf numFmtId="206" fontId="6" fillId="0" borderId="0" xfId="22" applyNumberFormat="1" applyFont="1" applyAlignment="1">
      <alignment horizontal="right"/>
    </xf>
    <xf numFmtId="0" fontId="73" fillId="0" borderId="0" xfId="22" applyFont="1" applyAlignment="1">
      <alignment horizontal="left"/>
    </xf>
    <xf numFmtId="14" fontId="6" fillId="0" borderId="0" xfId="22" applyNumberFormat="1" applyFont="1" applyAlignment="1">
      <alignment horizontal="right"/>
    </xf>
    <xf numFmtId="0" fontId="6" fillId="0" borderId="0" xfId="22" applyFont="1" applyAlignment="1">
      <alignment horizontal="right"/>
    </xf>
    <xf numFmtId="14" fontId="6" fillId="0" borderId="0" xfId="22" applyNumberFormat="1" applyFont="1"/>
    <xf numFmtId="0" fontId="6" fillId="0" borderId="0" xfId="22" applyFont="1" applyAlignment="1">
      <alignment horizontal="left"/>
    </xf>
    <xf numFmtId="178" fontId="6" fillId="0" borderId="0" xfId="22" applyNumberFormat="1" applyFont="1" applyAlignment="1">
      <alignment horizontal="right"/>
    </xf>
    <xf numFmtId="30" fontId="77" fillId="0" borderId="0" xfId="22" applyNumberFormat="1" applyFont="1"/>
    <xf numFmtId="0" fontId="6" fillId="0" borderId="0" xfId="27" applyAlignment="1">
      <alignment horizontal="center"/>
    </xf>
    <xf numFmtId="208" fontId="67" fillId="0" borderId="0" xfId="26" applyNumberFormat="1" applyFont="1" applyFill="1" applyBorder="1"/>
    <xf numFmtId="206" fontId="77" fillId="0" borderId="0" xfId="22" applyNumberFormat="1" applyFont="1"/>
    <xf numFmtId="207" fontId="77" fillId="0" borderId="0" xfId="22" applyNumberFormat="1" applyFont="1"/>
    <xf numFmtId="178" fontId="6" fillId="0" borderId="0" xfId="25" applyNumberFormat="1" applyFont="1"/>
    <xf numFmtId="206" fontId="6" fillId="0" borderId="0" xfId="22" applyNumberFormat="1" applyFont="1"/>
    <xf numFmtId="30" fontId="48" fillId="0" borderId="0" xfId="22" applyNumberFormat="1" applyFont="1"/>
    <xf numFmtId="0" fontId="6" fillId="0" borderId="0" xfId="22" applyFont="1" applyAlignment="1">
      <alignment horizontal="left" indent="1"/>
    </xf>
    <xf numFmtId="0" fontId="11" fillId="0" borderId="17" xfId="22" applyFont="1" applyBorder="1"/>
    <xf numFmtId="0" fontId="6" fillId="0" borderId="18" xfId="22" applyFont="1" applyBorder="1"/>
    <xf numFmtId="0" fontId="11" fillId="0" borderId="18" xfId="22" applyFont="1" applyBorder="1"/>
    <xf numFmtId="206" fontId="11" fillId="0" borderId="18" xfId="28" applyNumberFormat="1" applyFont="1" applyBorder="1"/>
    <xf numFmtId="178" fontId="11" fillId="0" borderId="18" xfId="25" applyNumberFormat="1" applyFont="1" applyBorder="1"/>
    <xf numFmtId="206" fontId="11" fillId="0" borderId="5" xfId="22" applyNumberFormat="1" applyFont="1" applyBorder="1"/>
    <xf numFmtId="209" fontId="6" fillId="0" borderId="0" xfId="22" applyNumberFormat="1" applyFont="1"/>
    <xf numFmtId="178" fontId="80" fillId="0" borderId="0" xfId="22" applyNumberFormat="1" applyFont="1" applyAlignment="1">
      <alignment horizontal="right"/>
    </xf>
    <xf numFmtId="0" fontId="81" fillId="0" borderId="0" xfId="22" applyFont="1" applyAlignment="1">
      <alignment horizontal="center"/>
    </xf>
    <xf numFmtId="0" fontId="6" fillId="0" borderId="6" xfId="22" applyFont="1" applyBorder="1"/>
    <xf numFmtId="178" fontId="78" fillId="0" borderId="6" xfId="22" applyNumberFormat="1" applyFont="1" applyBorder="1" applyAlignment="1">
      <alignment horizontal="right"/>
    </xf>
    <xf numFmtId="0" fontId="81" fillId="0" borderId="11" xfId="22" applyFont="1" applyBorder="1" applyAlignment="1">
      <alignment horizontal="center"/>
    </xf>
    <xf numFmtId="2" fontId="6" fillId="0" borderId="0" xfId="22" applyNumberFormat="1" applyFont="1"/>
    <xf numFmtId="2" fontId="77" fillId="0" borderId="0" xfId="22" applyNumberFormat="1" applyFont="1"/>
    <xf numFmtId="0" fontId="81" fillId="0" borderId="27" xfId="22" applyFont="1" applyBorder="1" applyAlignment="1">
      <alignment horizontal="center"/>
    </xf>
    <xf numFmtId="37" fontId="82" fillId="0" borderId="18" xfId="22" applyNumberFormat="1" applyFont="1" applyBorder="1" applyAlignment="1">
      <alignment horizontal="left"/>
    </xf>
    <xf numFmtId="203" fontId="6" fillId="0" borderId="0" xfId="25" applyNumberFormat="1" applyFont="1" applyAlignment="1">
      <alignment horizontal="left"/>
    </xf>
    <xf numFmtId="203" fontId="6" fillId="0" borderId="0" xfId="25" applyNumberFormat="1" applyFont="1" applyAlignment="1">
      <alignment horizontal="right"/>
    </xf>
    <xf numFmtId="0" fontId="75" fillId="12" borderId="17" xfId="22" applyFont="1" applyFill="1" applyBorder="1" applyAlignment="1">
      <alignment vertical="center"/>
    </xf>
    <xf numFmtId="0" fontId="51" fillId="12" borderId="18" xfId="22" applyFont="1" applyFill="1" applyBorder="1"/>
    <xf numFmtId="0" fontId="73" fillId="12" borderId="18" xfId="22" applyFont="1" applyFill="1" applyBorder="1"/>
    <xf numFmtId="0" fontId="73" fillId="12" borderId="5" xfId="22" applyFont="1" applyFill="1" applyBorder="1"/>
    <xf numFmtId="0" fontId="17" fillId="0" borderId="25" xfId="22" applyFont="1" applyBorder="1"/>
    <xf numFmtId="0" fontId="17" fillId="0" borderId="29" xfId="22" applyFont="1" applyBorder="1"/>
    <xf numFmtId="0" fontId="17" fillId="0" borderId="30" xfId="22" applyFont="1" applyBorder="1" applyAlignment="1">
      <alignment horizontal="right"/>
    </xf>
    <xf numFmtId="0" fontId="17" fillId="0" borderId="0" xfId="22" applyFont="1"/>
    <xf numFmtId="0" fontId="6" fillId="0" borderId="16" xfId="22" applyFont="1" applyBorder="1"/>
    <xf numFmtId="0" fontId="6" fillId="0" borderId="8" xfId="22" applyFont="1" applyBorder="1"/>
    <xf numFmtId="0" fontId="11" fillId="0" borderId="16" xfId="22" applyFont="1" applyBorder="1" applyAlignment="1">
      <alignment horizontal="center"/>
    </xf>
    <xf numFmtId="0" fontId="11" fillId="0" borderId="6" xfId="22" applyFont="1" applyBorder="1" applyAlignment="1">
      <alignment horizontal="centerContinuous"/>
    </xf>
    <xf numFmtId="0" fontId="6" fillId="0" borderId="6" xfId="22" applyFont="1" applyBorder="1" applyAlignment="1">
      <alignment horizontal="centerContinuous"/>
    </xf>
    <xf numFmtId="0" fontId="6" fillId="0" borderId="7" xfId="22" applyFont="1" applyBorder="1" applyAlignment="1">
      <alignment horizontal="centerContinuous"/>
    </xf>
    <xf numFmtId="178" fontId="70" fillId="0" borderId="16" xfId="22" applyNumberFormat="1" applyFont="1" applyBorder="1" applyAlignment="1">
      <alignment horizontal="right"/>
    </xf>
    <xf numFmtId="10" fontId="67" fillId="0" borderId="18" xfId="22" applyNumberFormat="1" applyFont="1" applyBorder="1" applyAlignment="1">
      <alignment horizontal="center"/>
    </xf>
    <xf numFmtId="10" fontId="11" fillId="0" borderId="18" xfId="22" applyNumberFormat="1" applyFont="1" applyBorder="1" applyAlignment="1">
      <alignment horizontal="center"/>
    </xf>
    <xf numFmtId="10" fontId="11" fillId="0" borderId="5" xfId="22" applyNumberFormat="1" applyFont="1" applyBorder="1" applyAlignment="1">
      <alignment horizontal="center"/>
    </xf>
    <xf numFmtId="178" fontId="11" fillId="0" borderId="16" xfId="22" applyNumberFormat="1" applyFont="1" applyBorder="1" applyAlignment="1">
      <alignment horizontal="right"/>
    </xf>
    <xf numFmtId="178" fontId="6" fillId="0" borderId="0" xfId="22" applyNumberFormat="1" applyFont="1" applyAlignment="1">
      <alignment horizontal="center"/>
    </xf>
    <xf numFmtId="178" fontId="6" fillId="0" borderId="8" xfId="22" applyNumberFormat="1" applyFont="1" applyBorder="1" applyAlignment="1">
      <alignment horizontal="center"/>
    </xf>
    <xf numFmtId="206" fontId="6" fillId="0" borderId="6" xfId="22" applyNumberFormat="1" applyFont="1" applyBorder="1"/>
    <xf numFmtId="203" fontId="81" fillId="0" borderId="31" xfId="22" applyNumberFormat="1" applyFont="1" applyBorder="1" applyAlignment="1">
      <alignment horizontal="center"/>
    </xf>
    <xf numFmtId="178" fontId="16" fillId="0" borderId="16" xfId="22" applyNumberFormat="1" applyFont="1" applyBorder="1" applyAlignment="1">
      <alignment horizontal="right"/>
    </xf>
    <xf numFmtId="203" fontId="81" fillId="0" borderId="11" xfId="22" applyNumberFormat="1" applyFont="1" applyBorder="1" applyAlignment="1">
      <alignment horizontal="center"/>
    </xf>
    <xf numFmtId="203" fontId="81" fillId="0" borderId="12" xfId="22" applyNumberFormat="1" applyFont="1" applyBorder="1" applyAlignment="1">
      <alignment horizontal="center"/>
    </xf>
    <xf numFmtId="0" fontId="11" fillId="0" borderId="0" xfId="22" applyFont="1" applyAlignment="1">
      <alignment horizontal="centerContinuous"/>
    </xf>
    <xf numFmtId="178" fontId="6" fillId="0" borderId="6" xfId="22" applyNumberFormat="1" applyFont="1" applyBorder="1"/>
    <xf numFmtId="0" fontId="6" fillId="0" borderId="0" xfId="22" applyFont="1" applyAlignment="1">
      <alignment horizontal="center"/>
    </xf>
    <xf numFmtId="178" fontId="11" fillId="0" borderId="0" xfId="22" applyNumberFormat="1" applyFont="1"/>
    <xf numFmtId="0" fontId="6" fillId="0" borderId="15" xfId="22" applyFont="1" applyBorder="1"/>
    <xf numFmtId="205" fontId="6" fillId="0" borderId="6" xfId="26" applyFont="1" applyBorder="1"/>
    <xf numFmtId="0" fontId="6" fillId="0" borderId="7" xfId="22" applyFont="1" applyBorder="1"/>
    <xf numFmtId="10" fontId="76" fillId="0" borderId="18" xfId="22" applyNumberFormat="1" applyFont="1" applyBorder="1" applyAlignment="1">
      <alignment horizontal="centerContinuous"/>
    </xf>
    <xf numFmtId="10" fontId="11" fillId="0" borderId="18" xfId="22" applyNumberFormat="1" applyFont="1" applyBorder="1" applyAlignment="1">
      <alignment horizontal="centerContinuous"/>
    </xf>
    <xf numFmtId="10" fontId="16" fillId="0" borderId="18" xfId="22" applyNumberFormat="1" applyFont="1" applyBorder="1" applyAlignment="1">
      <alignment horizontal="centerContinuous"/>
    </xf>
    <xf numFmtId="10" fontId="11" fillId="0" borderId="5" xfId="22" applyNumberFormat="1" applyFont="1" applyBorder="1" applyAlignment="1">
      <alignment horizontal="centerContinuous"/>
    </xf>
    <xf numFmtId="178" fontId="6" fillId="0" borderId="0" xfId="22" applyNumberFormat="1" applyFont="1" applyAlignment="1">
      <alignment horizontal="centerContinuous"/>
    </xf>
    <xf numFmtId="178" fontId="6" fillId="0" borderId="8" xfId="22" applyNumberFormat="1" applyFont="1" applyBorder="1" applyAlignment="1">
      <alignment horizontal="centerContinuous"/>
    </xf>
    <xf numFmtId="178" fontId="6" fillId="0" borderId="18" xfId="22" applyNumberFormat="1" applyFont="1" applyBorder="1"/>
    <xf numFmtId="0" fontId="11" fillId="13" borderId="32" xfId="22" applyFont="1" applyFill="1" applyBorder="1"/>
    <xf numFmtId="0" fontId="6" fillId="13" borderId="33" xfId="22" applyFont="1" applyFill="1" applyBorder="1"/>
    <xf numFmtId="178" fontId="11" fillId="13" borderId="34" xfId="22" applyNumberFormat="1" applyFont="1" applyFill="1" applyBorder="1"/>
    <xf numFmtId="0" fontId="6" fillId="0" borderId="0" xfId="29"/>
    <xf numFmtId="0" fontId="19" fillId="0" borderId="0" xfId="29" applyFont="1"/>
    <xf numFmtId="0" fontId="73" fillId="0" borderId="0" xfId="22" applyFont="1"/>
    <xf numFmtId="204" fontId="6" fillId="0" borderId="0" xfId="22" applyNumberFormat="1" applyFont="1"/>
    <xf numFmtId="178" fontId="6" fillId="19" borderId="19" xfId="22" applyNumberFormat="1" applyFont="1" applyFill="1" applyBorder="1" applyAlignment="1">
      <alignment horizontal="centerContinuous"/>
    </xf>
    <xf numFmtId="178" fontId="6" fillId="19" borderId="20" xfId="22" applyNumberFormat="1" applyFont="1" applyFill="1" applyBorder="1" applyAlignment="1">
      <alignment horizontal="centerContinuous"/>
    </xf>
    <xf numFmtId="178" fontId="6" fillId="19" borderId="13" xfId="22" applyNumberFormat="1" applyFont="1" applyFill="1" applyBorder="1" applyAlignment="1">
      <alignment horizontal="centerContinuous"/>
    </xf>
    <xf numFmtId="178" fontId="6" fillId="19" borderId="16" xfId="22" applyNumberFormat="1" applyFont="1" applyFill="1" applyBorder="1" applyAlignment="1">
      <alignment horizontal="centerContinuous"/>
    </xf>
    <xf numFmtId="178" fontId="6" fillId="19" borderId="8" xfId="22" applyNumberFormat="1" applyFont="1" applyFill="1" applyBorder="1" applyAlignment="1">
      <alignment horizontal="centerContinuous"/>
    </xf>
    <xf numFmtId="178" fontId="6" fillId="19" borderId="15" xfId="22" applyNumberFormat="1" applyFont="1" applyFill="1" applyBorder="1" applyAlignment="1">
      <alignment horizontal="centerContinuous"/>
    </xf>
    <xf numFmtId="178" fontId="6" fillId="19" borderId="6" xfId="22" applyNumberFormat="1" applyFont="1" applyFill="1" applyBorder="1" applyAlignment="1">
      <alignment horizontal="centerContinuous"/>
    </xf>
    <xf numFmtId="178" fontId="6" fillId="19" borderId="7" xfId="22" applyNumberFormat="1" applyFont="1" applyFill="1" applyBorder="1" applyAlignment="1">
      <alignment horizontal="centerContinuous"/>
    </xf>
    <xf numFmtId="0" fontId="3" fillId="18" borderId="0" xfId="0" applyFont="1" applyFill="1" applyAlignment="1">
      <alignment horizontal="right" vertical="center" wrapText="1"/>
    </xf>
    <xf numFmtId="0" fontId="3" fillId="18" borderId="1" xfId="0" applyFont="1" applyFill="1" applyBorder="1" applyAlignment="1">
      <alignment horizontal="right" vertical="center" wrapText="1"/>
    </xf>
    <xf numFmtId="0" fontId="2" fillId="18" borderId="0" xfId="0" applyFont="1" applyFill="1" applyAlignment="1">
      <alignment vertical="center" wrapText="1"/>
    </xf>
    <xf numFmtId="0" fontId="3" fillId="18" borderId="2" xfId="0" applyFont="1" applyFill="1" applyBorder="1" applyAlignment="1">
      <alignment horizontal="right" vertical="center" wrapText="1"/>
    </xf>
    <xf numFmtId="0" fontId="2" fillId="18" borderId="0" xfId="0" applyFont="1" applyFill="1">
      <alignment vertical="center"/>
    </xf>
    <xf numFmtId="0" fontId="3" fillId="18" borderId="2" xfId="0" applyFont="1" applyFill="1" applyBorder="1" applyAlignment="1">
      <alignment vertical="center" wrapText="1"/>
    </xf>
    <xf numFmtId="0" fontId="3" fillId="18" borderId="1" xfId="0" applyFont="1" applyFill="1" applyBorder="1" applyAlignment="1">
      <alignment horizontal="left" vertical="center" wrapText="1"/>
    </xf>
    <xf numFmtId="0" fontId="2" fillId="18" borderId="1" xfId="0" applyFont="1" applyFill="1" applyBorder="1" applyAlignment="1">
      <alignment vertical="center" wrapText="1"/>
    </xf>
    <xf numFmtId="0" fontId="3" fillId="18" borderId="1" xfId="0" applyFont="1" applyFill="1" applyBorder="1" applyAlignment="1">
      <alignment vertical="center" wrapText="1"/>
    </xf>
    <xf numFmtId="0" fontId="2" fillId="18" borderId="0" xfId="0" applyFont="1" applyFill="1" applyAlignment="1">
      <alignment horizontal="right" vertical="center" wrapText="1"/>
    </xf>
    <xf numFmtId="0" fontId="2" fillId="18" borderId="6" xfId="0" applyFont="1" applyFill="1" applyBorder="1">
      <alignment vertical="center"/>
    </xf>
    <xf numFmtId="0" fontId="3" fillId="18" borderId="6" xfId="0" applyFont="1" applyFill="1" applyBorder="1">
      <alignment vertical="center"/>
    </xf>
    <xf numFmtId="0" fontId="64" fillId="0" borderId="0" xfId="0" applyFont="1">
      <alignment vertical="center"/>
    </xf>
    <xf numFmtId="0" fontId="6" fillId="0" borderId="0" xfId="2"/>
    <xf numFmtId="202" fontId="96" fillId="0" borderId="0" xfId="2" applyNumberFormat="1" applyFont="1"/>
    <xf numFmtId="0" fontId="11" fillId="0" borderId="0" xfId="2" applyFont="1" applyAlignment="1">
      <alignment horizontal="right"/>
    </xf>
    <xf numFmtId="0" fontId="81" fillId="0" borderId="0" xfId="2" applyFont="1" applyAlignment="1">
      <alignment horizontal="center"/>
    </xf>
    <xf numFmtId="0" fontId="81" fillId="0" borderId="11" xfId="2" applyFont="1" applyBorder="1" applyAlignment="1">
      <alignment horizontal="center"/>
    </xf>
    <xf numFmtId="0" fontId="97" fillId="0" borderId="0" xfId="2" applyFont="1"/>
    <xf numFmtId="14" fontId="81" fillId="0" borderId="11" xfId="2" applyNumberFormat="1" applyFont="1" applyBorder="1" applyAlignment="1">
      <alignment horizontal="center"/>
    </xf>
    <xf numFmtId="217" fontId="81" fillId="0" borderId="0" xfId="2" applyNumberFormat="1" applyFont="1" applyAlignment="1">
      <alignment horizontal="center"/>
    </xf>
    <xf numFmtId="0" fontId="6" fillId="0" borderId="0" xfId="2" applyAlignment="1">
      <alignment horizontal="left"/>
    </xf>
    <xf numFmtId="0" fontId="98" fillId="0" borderId="0" xfId="2" applyFont="1" applyAlignment="1">
      <alignment horizontal="center"/>
    </xf>
    <xf numFmtId="0" fontId="72" fillId="11" borderId="0" xfId="2" applyFont="1" applyFill="1" applyAlignment="1">
      <alignment vertical="center"/>
    </xf>
    <xf numFmtId="0" fontId="38" fillId="11" borderId="0" xfId="2" applyFont="1" applyFill="1"/>
    <xf numFmtId="14" fontId="34" fillId="0" borderId="0" xfId="2" applyNumberFormat="1" applyFont="1" applyAlignment="1">
      <alignment horizontal="left"/>
    </xf>
    <xf numFmtId="0" fontId="51" fillId="12" borderId="0" xfId="2" applyFont="1" applyFill="1"/>
    <xf numFmtId="0" fontId="38" fillId="12" borderId="0" xfId="2" applyFont="1" applyFill="1"/>
    <xf numFmtId="193" fontId="37" fillId="0" borderId="0" xfId="2" applyNumberFormat="1" applyFont="1" applyAlignment="1">
      <alignment horizontal="right" vertical="top"/>
    </xf>
    <xf numFmtId="194" fontId="37" fillId="0" borderId="0" xfId="2" applyNumberFormat="1" applyFont="1" applyAlignment="1">
      <alignment horizontal="right" vertical="top"/>
    </xf>
    <xf numFmtId="0" fontId="40" fillId="0" borderId="19" xfId="2" applyFont="1" applyBorder="1" applyAlignment="1">
      <alignment vertical="top"/>
    </xf>
    <xf numFmtId="0" fontId="37" fillId="0" borderId="20" xfId="2" applyFont="1" applyBorder="1" applyAlignment="1">
      <alignment vertical="top"/>
    </xf>
    <xf numFmtId="0" fontId="34" fillId="0" borderId="20" xfId="2" applyFont="1" applyBorder="1"/>
    <xf numFmtId="0" fontId="34" fillId="0" borderId="8" xfId="2" applyFont="1" applyBorder="1"/>
    <xf numFmtId="0" fontId="87" fillId="0" borderId="16" xfId="2" applyFont="1" applyBorder="1" applyAlignment="1">
      <alignment horizontal="centerContinuous" vertical="center"/>
    </xf>
    <xf numFmtId="0" fontId="34" fillId="0" borderId="0" xfId="2" applyFont="1" applyAlignment="1">
      <alignment horizontal="centerContinuous" vertical="center"/>
    </xf>
    <xf numFmtId="0" fontId="34" fillId="0" borderId="8" xfId="2" applyFont="1" applyBorder="1" applyAlignment="1">
      <alignment horizontal="centerContinuous" vertical="center"/>
    </xf>
    <xf numFmtId="0" fontId="34" fillId="0" borderId="0" xfId="2" applyFont="1" applyAlignment="1">
      <alignment horizontal="right"/>
    </xf>
    <xf numFmtId="0" fontId="6" fillId="0" borderId="16" xfId="2" applyBorder="1" applyAlignment="1">
      <alignment horizontal="centerContinuous" vertical="center"/>
    </xf>
    <xf numFmtId="0" fontId="6" fillId="0" borderId="0" xfId="2" applyAlignment="1">
      <alignment horizontal="centerContinuous" vertical="center"/>
    </xf>
    <xf numFmtId="204" fontId="34" fillId="0" borderId="0" xfId="2" applyNumberFormat="1" applyFont="1" applyAlignment="1">
      <alignment horizontal="right"/>
    </xf>
    <xf numFmtId="0" fontId="34" fillId="0" borderId="16" xfId="2" applyFont="1" applyBorder="1"/>
    <xf numFmtId="0" fontId="34" fillId="0" borderId="11" xfId="2" applyFont="1" applyBorder="1"/>
    <xf numFmtId="0" fontId="34" fillId="0" borderId="18" xfId="2" applyFont="1" applyBorder="1" applyAlignment="1">
      <alignment horizontal="right"/>
    </xf>
    <xf numFmtId="0" fontId="34" fillId="0" borderId="5" xfId="2" applyFont="1" applyBorder="1" applyAlignment="1">
      <alignment horizontal="right"/>
    </xf>
    <xf numFmtId="0" fontId="34" fillId="0" borderId="37" xfId="2" applyFont="1" applyBorder="1"/>
    <xf numFmtId="204" fontId="34" fillId="0" borderId="0" xfId="2" applyNumberFormat="1" applyFont="1"/>
    <xf numFmtId="204" fontId="34" fillId="0" borderId="6" xfId="2" applyNumberFormat="1" applyFont="1" applyBorder="1"/>
    <xf numFmtId="204" fontId="34" fillId="0" borderId="8" xfId="2" applyNumberFormat="1" applyFont="1" applyBorder="1"/>
    <xf numFmtId="204" fontId="34" fillId="0" borderId="7" xfId="2" applyNumberFormat="1" applyFont="1" applyBorder="1"/>
    <xf numFmtId="0" fontId="34" fillId="0" borderId="12" xfId="2" applyFont="1" applyBorder="1"/>
    <xf numFmtId="0" fontId="34" fillId="0" borderId="15" xfId="2" applyFont="1" applyBorder="1"/>
    <xf numFmtId="0" fontId="34" fillId="0" borderId="6" xfId="2" applyFont="1" applyBorder="1"/>
    <xf numFmtId="0" fontId="34" fillId="0" borderId="7" xfId="2" applyFont="1" applyBorder="1"/>
    <xf numFmtId="195" fontId="37" fillId="0" borderId="0" xfId="2" applyNumberFormat="1" applyFont="1" applyAlignment="1">
      <alignment horizontal="lef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46" fillId="4" borderId="0" xfId="2" applyFont="1" applyFill="1" applyAlignment="1">
      <alignment horizontal="left" vertical="top" wrapText="1"/>
    </xf>
    <xf numFmtId="0" fontId="46" fillId="4" borderId="0" xfId="2" applyFont="1" applyFill="1" applyAlignment="1">
      <alignment horizontal="right" vertical="top" wrapText="1"/>
    </xf>
    <xf numFmtId="195" fontId="37" fillId="0" borderId="6" xfId="2" applyNumberFormat="1" applyFont="1" applyBorder="1" applyAlignment="1">
      <alignment horizontal="left" vertical="top" wrapText="1"/>
    </xf>
    <xf numFmtId="0" fontId="37" fillId="0" borderId="6" xfId="2" applyFont="1" applyBorder="1" applyAlignment="1">
      <alignment horizontal="left" vertical="top" wrapText="1"/>
    </xf>
    <xf numFmtId="0" fontId="37" fillId="0" borderId="6" xfId="2" applyFont="1" applyBorder="1" applyAlignment="1">
      <alignment horizontal="right" vertical="top" wrapText="1"/>
    </xf>
    <xf numFmtId="0" fontId="40" fillId="4" borderId="0" xfId="2" applyFont="1" applyFill="1" applyAlignment="1">
      <alignment horizontal="left" vertical="top" wrapText="1"/>
    </xf>
    <xf numFmtId="0" fontId="40" fillId="4" borderId="0" xfId="2" applyFont="1" applyFill="1" applyAlignment="1">
      <alignment horizontal="right" vertical="top" wrapText="1"/>
    </xf>
    <xf numFmtId="0" fontId="19" fillId="0" borderId="37" xfId="2" applyFont="1" applyBorder="1" applyAlignment="1">
      <alignment horizontal="center"/>
    </xf>
    <xf numFmtId="0" fontId="19" fillId="0" borderId="12" xfId="2" applyFont="1" applyBorder="1" applyAlignment="1">
      <alignment horizontal="center"/>
    </xf>
    <xf numFmtId="0" fontId="38" fillId="6" borderId="11" xfId="2" applyFont="1" applyFill="1" applyBorder="1" applyAlignment="1">
      <alignment horizontal="center"/>
    </xf>
    <xf numFmtId="0" fontId="38" fillId="6" borderId="11" xfId="2" applyFont="1" applyFill="1" applyBorder="1"/>
    <xf numFmtId="0" fontId="79" fillId="0" borderId="37" xfId="2" applyFont="1" applyBorder="1" applyAlignment="1">
      <alignment horizontal="left"/>
    </xf>
    <xf numFmtId="0" fontId="79" fillId="0" borderId="12" xfId="2" applyFont="1" applyBorder="1" applyAlignment="1">
      <alignment horizontal="left"/>
    </xf>
    <xf numFmtId="0" fontId="81" fillId="0" borderId="37" xfId="2" applyFont="1" applyBorder="1" applyAlignment="1">
      <alignment horizontal="left"/>
    </xf>
    <xf numFmtId="0" fontId="81" fillId="0" borderId="12" xfId="2" applyFont="1" applyBorder="1" applyAlignment="1">
      <alignment horizontal="left"/>
    </xf>
    <xf numFmtId="0" fontId="6" fillId="0" borderId="37" xfId="2" applyBorder="1" applyAlignment="1">
      <alignment horizontal="left"/>
    </xf>
    <xf numFmtId="0" fontId="6" fillId="0" borderId="12" xfId="2" applyBorder="1" applyAlignment="1">
      <alignment horizontal="left"/>
    </xf>
    <xf numFmtId="0" fontId="77" fillId="0" borderId="16" xfId="2" applyFont="1" applyBorder="1"/>
    <xf numFmtId="0" fontId="6" fillId="0" borderId="8" xfId="2" applyBorder="1"/>
    <xf numFmtId="0" fontId="77" fillId="0" borderId="15" xfId="2" applyFont="1" applyBorder="1"/>
    <xf numFmtId="0" fontId="6" fillId="0" borderId="6" xfId="2" applyBorder="1"/>
    <xf numFmtId="0" fontId="6" fillId="0" borderId="7" xfId="2" applyBorder="1"/>
    <xf numFmtId="0" fontId="38" fillId="6" borderId="17" xfId="2" applyFont="1" applyFill="1" applyBorder="1"/>
    <xf numFmtId="0" fontId="38" fillId="6" borderId="18" xfId="2" applyFont="1" applyFill="1" applyBorder="1"/>
    <xf numFmtId="0" fontId="38" fillId="6" borderId="5" xfId="2" applyFont="1" applyFill="1" applyBorder="1"/>
    <xf numFmtId="0" fontId="40" fillId="5" borderId="19" xfId="2" applyFont="1" applyFill="1" applyBorder="1" applyAlignment="1">
      <alignment horizontal="left" vertical="top"/>
    </xf>
    <xf numFmtId="193" fontId="37" fillId="5" borderId="20" xfId="2" applyNumberFormat="1" applyFont="1" applyFill="1" applyBorder="1" applyAlignment="1">
      <alignment horizontal="right" vertical="top"/>
    </xf>
    <xf numFmtId="0" fontId="40" fillId="5" borderId="16" xfId="2" applyFont="1" applyFill="1" applyBorder="1" applyAlignment="1">
      <alignment horizontal="left" vertical="top"/>
    </xf>
    <xf numFmtId="193" fontId="37" fillId="5" borderId="0" xfId="2" applyNumberFormat="1" applyFont="1" applyFill="1" applyAlignment="1">
      <alignment horizontal="right" vertical="top"/>
    </xf>
    <xf numFmtId="0" fontId="40" fillId="5" borderId="15" xfId="2" applyFont="1" applyFill="1" applyBorder="1" applyAlignment="1">
      <alignment horizontal="left" vertical="top"/>
    </xf>
    <xf numFmtId="193" fontId="37" fillId="5" borderId="6" xfId="2" applyNumberFormat="1" applyFont="1" applyFill="1" applyBorder="1" applyAlignment="1">
      <alignment horizontal="right" vertical="top"/>
    </xf>
    <xf numFmtId="193" fontId="37" fillId="5" borderId="13" xfId="2" applyNumberFormat="1" applyFont="1" applyFill="1" applyBorder="1" applyAlignment="1">
      <alignment horizontal="right" vertical="top"/>
    </xf>
    <xf numFmtId="193" fontId="37" fillId="5" borderId="8" xfId="2" applyNumberFormat="1" applyFont="1" applyFill="1" applyBorder="1" applyAlignment="1">
      <alignment horizontal="right" vertical="top"/>
    </xf>
    <xf numFmtId="193" fontId="37" fillId="5" borderId="7" xfId="2" applyNumberFormat="1" applyFont="1" applyFill="1" applyBorder="1" applyAlignment="1">
      <alignment horizontal="right" vertical="top"/>
    </xf>
    <xf numFmtId="0" fontId="36" fillId="19" borderId="31" xfId="2" applyFont="1" applyFill="1" applyBorder="1" applyAlignment="1">
      <alignment horizontal="right"/>
    </xf>
    <xf numFmtId="0" fontId="36" fillId="19" borderId="12" xfId="2" applyFont="1" applyFill="1" applyBorder="1" applyAlignment="1">
      <alignment horizontal="right"/>
    </xf>
    <xf numFmtId="193" fontId="40" fillId="19" borderId="31" xfId="2" applyNumberFormat="1" applyFont="1" applyFill="1" applyBorder="1" applyAlignment="1">
      <alignment horizontal="right" vertical="top"/>
    </xf>
    <xf numFmtId="193" fontId="40" fillId="19" borderId="12" xfId="2" applyNumberFormat="1" applyFont="1" applyFill="1" applyBorder="1" applyAlignment="1">
      <alignment horizontal="right" vertical="top"/>
    </xf>
    <xf numFmtId="0" fontId="38" fillId="5" borderId="0" xfId="2" applyFont="1" applyFill="1"/>
    <xf numFmtId="0" fontId="40" fillId="0" borderId="0" xfId="2" applyFont="1" applyAlignment="1">
      <alignment horizontal="left" vertical="top" wrapText="1"/>
    </xf>
    <xf numFmtId="0" fontId="40" fillId="0" borderId="6" xfId="2" applyFont="1" applyBorder="1" applyAlignment="1">
      <alignment horizontal="left" vertical="top" wrapText="1"/>
    </xf>
    <xf numFmtId="0" fontId="34" fillId="5" borderId="20" xfId="2" applyFont="1" applyFill="1" applyBorder="1" applyAlignment="1">
      <alignment horizontal="right" wrapText="1"/>
    </xf>
    <xf numFmtId="0" fontId="34" fillId="5" borderId="13" xfId="2" applyFont="1" applyFill="1" applyBorder="1" applyAlignment="1">
      <alignment horizontal="right" wrapText="1"/>
    </xf>
    <xf numFmtId="0" fontId="34" fillId="5" borderId="0" xfId="2" applyFont="1" applyFill="1" applyAlignment="1">
      <alignment horizontal="right"/>
    </xf>
    <xf numFmtId="0" fontId="34" fillId="5" borderId="6" xfId="2" applyFont="1" applyFill="1" applyBorder="1" applyAlignment="1">
      <alignment horizontal="right"/>
    </xf>
    <xf numFmtId="0" fontId="34" fillId="5" borderId="7" xfId="2" applyFont="1" applyFill="1" applyBorder="1" applyAlignment="1">
      <alignment horizontal="right"/>
    </xf>
    <xf numFmtId="0" fontId="36" fillId="5" borderId="19" xfId="2" applyFont="1" applyFill="1" applyBorder="1" applyAlignment="1">
      <alignment horizontal="left" wrapText="1"/>
    </xf>
    <xf numFmtId="0" fontId="36" fillId="5" borderId="16" xfId="2" applyFont="1" applyFill="1" applyBorder="1" applyAlignment="1">
      <alignment horizontal="left"/>
    </xf>
    <xf numFmtId="0" fontId="36" fillId="5" borderId="15" xfId="2" applyFont="1" applyFill="1" applyBorder="1" applyAlignment="1">
      <alignment horizontal="left"/>
    </xf>
    <xf numFmtId="183" fontId="99" fillId="5" borderId="0" xfId="2" applyNumberFormat="1" applyFont="1" applyFill="1" applyAlignment="1">
      <alignment horizontal="right"/>
    </xf>
    <xf numFmtId="183" fontId="99" fillId="5" borderId="6" xfId="2" applyNumberFormat="1" applyFont="1" applyFill="1" applyBorder="1" applyAlignment="1">
      <alignment horizontal="right"/>
    </xf>
    <xf numFmtId="183" fontId="99" fillId="5" borderId="20" xfId="2" applyNumberFormat="1" applyFont="1" applyFill="1" applyBorder="1" applyAlignment="1">
      <alignment horizontal="right" wrapText="1"/>
    </xf>
    <xf numFmtId="178" fontId="11" fillId="19" borderId="0" xfId="22" applyNumberFormat="1" applyFont="1" applyFill="1" applyAlignment="1">
      <alignment horizontal="centerContinuous"/>
    </xf>
    <xf numFmtId="178" fontId="12" fillId="0" borderId="3" xfId="0" applyNumberFormat="1" applyFont="1" applyBorder="1" applyAlignment="1">
      <alignment horizontal="center" vertical="center"/>
    </xf>
    <xf numFmtId="0" fontId="11" fillId="18" borderId="6" xfId="0" applyFont="1" applyFill="1" applyBorder="1">
      <alignment vertical="center"/>
    </xf>
    <xf numFmtId="0" fontId="11" fillId="18" borderId="7" xfId="0" applyFont="1" applyFill="1" applyBorder="1">
      <alignment vertical="center"/>
    </xf>
    <xf numFmtId="0" fontId="6" fillId="0" borderId="6" xfId="0" applyFont="1" applyBorder="1">
      <alignment vertical="center"/>
    </xf>
    <xf numFmtId="177" fontId="4" fillId="3" borderId="8" xfId="0" applyNumberFormat="1" applyFont="1" applyFill="1" applyBorder="1">
      <alignment vertical="center"/>
    </xf>
    <xf numFmtId="177" fontId="11" fillId="3" borderId="8" xfId="0" applyNumberFormat="1" applyFont="1" applyFill="1" applyBorder="1">
      <alignment vertical="center"/>
    </xf>
    <xf numFmtId="177" fontId="4" fillId="3" borderId="7" xfId="0" applyNumberFormat="1" applyFont="1" applyFill="1" applyBorder="1">
      <alignment vertical="center"/>
    </xf>
    <xf numFmtId="177" fontId="11" fillId="3" borderId="7" xfId="0" applyNumberFormat="1" applyFont="1" applyFill="1" applyBorder="1">
      <alignment vertical="center"/>
    </xf>
    <xf numFmtId="177" fontId="7" fillId="3" borderId="8" xfId="0" applyNumberFormat="1" applyFont="1" applyFill="1" applyBorder="1">
      <alignment vertical="center"/>
    </xf>
    <xf numFmtId="177" fontId="6" fillId="3" borderId="6" xfId="0" applyNumberFormat="1" applyFont="1" applyFill="1" applyBorder="1">
      <alignment vertical="center"/>
    </xf>
    <xf numFmtId="177" fontId="12" fillId="3" borderId="6" xfId="0" applyNumberFormat="1" applyFont="1" applyFill="1" applyBorder="1">
      <alignment vertical="center"/>
    </xf>
    <xf numFmtId="0" fontId="3" fillId="3" borderId="31" xfId="0" applyFont="1" applyFill="1" applyBorder="1" applyAlignment="1">
      <alignment horizontal="right" vertical="center"/>
    </xf>
    <xf numFmtId="187" fontId="17" fillId="0" borderId="11" xfId="0" applyNumberFormat="1" applyFont="1" applyBorder="1" applyAlignment="1">
      <alignment horizontal="right" vertical="center"/>
    </xf>
    <xf numFmtId="183" fontId="17" fillId="0" borderId="6" xfId="0" applyNumberFormat="1" applyFont="1" applyBorder="1" applyAlignment="1">
      <alignment horizontal="right" vertical="center"/>
    </xf>
    <xf numFmtId="25" fontId="17" fillId="0" borderId="6" xfId="0" applyNumberFormat="1" applyFont="1" applyBorder="1" applyAlignment="1">
      <alignment horizontal="right" vertical="center"/>
    </xf>
    <xf numFmtId="177" fontId="2" fillId="20" borderId="0" xfId="0" applyNumberFormat="1" applyFont="1" applyFill="1">
      <alignment vertical="center"/>
    </xf>
    <xf numFmtId="177" fontId="3" fillId="20" borderId="0" xfId="0" applyNumberFormat="1" applyFont="1" applyFill="1">
      <alignment vertical="center"/>
    </xf>
    <xf numFmtId="177" fontId="6" fillId="20" borderId="0" xfId="0" applyNumberFormat="1" applyFont="1" applyFill="1">
      <alignment vertical="center"/>
    </xf>
    <xf numFmtId="177" fontId="6" fillId="20" borderId="8" xfId="0" applyNumberFormat="1" applyFont="1" applyFill="1" applyBorder="1">
      <alignment vertical="center"/>
    </xf>
    <xf numFmtId="178" fontId="2" fillId="20" borderId="0" xfId="0" applyNumberFormat="1" applyFont="1" applyFill="1">
      <alignment vertical="center"/>
    </xf>
    <xf numFmtId="178" fontId="2" fillId="20" borderId="8" xfId="0" applyNumberFormat="1" applyFont="1" applyFill="1" applyBorder="1">
      <alignment vertical="center"/>
    </xf>
    <xf numFmtId="178" fontId="18" fillId="20" borderId="0" xfId="0" applyNumberFormat="1" applyFont="1" applyFill="1">
      <alignment vertical="center"/>
    </xf>
    <xf numFmtId="177" fontId="12" fillId="20" borderId="0" xfId="0" applyNumberFormat="1" applyFont="1" applyFill="1">
      <alignment vertical="center"/>
    </xf>
    <xf numFmtId="177" fontId="12" fillId="20" borderId="8" xfId="0" applyNumberFormat="1" applyFont="1" applyFill="1" applyBorder="1">
      <alignment vertical="center"/>
    </xf>
    <xf numFmtId="177" fontId="17" fillId="20" borderId="0" xfId="0" applyNumberFormat="1" applyFont="1" applyFill="1">
      <alignment vertical="center"/>
    </xf>
    <xf numFmtId="178" fontId="17" fillId="20" borderId="0" xfId="0" applyNumberFormat="1" applyFont="1" applyFill="1">
      <alignment vertical="center"/>
    </xf>
    <xf numFmtId="177" fontId="11" fillId="20" borderId="0" xfId="0" applyNumberFormat="1" applyFont="1" applyFill="1">
      <alignment vertical="center"/>
    </xf>
    <xf numFmtId="177" fontId="11" fillId="20" borderId="8" xfId="0" applyNumberFormat="1" applyFont="1" applyFill="1" applyBorder="1">
      <alignment vertical="center"/>
    </xf>
    <xf numFmtId="178" fontId="5" fillId="20" borderId="0" xfId="0" applyNumberFormat="1" applyFont="1" applyFill="1">
      <alignment vertical="center"/>
    </xf>
    <xf numFmtId="178" fontId="5" fillId="20" borderId="8" xfId="0" applyNumberFormat="1" applyFont="1" applyFill="1" applyBorder="1">
      <alignment vertical="center"/>
    </xf>
    <xf numFmtId="177" fontId="13" fillId="20" borderId="0" xfId="0" applyNumberFormat="1" applyFont="1" applyFill="1">
      <alignment vertical="center"/>
    </xf>
    <xf numFmtId="177" fontId="13" fillId="20" borderId="8" xfId="0" applyNumberFormat="1" applyFont="1" applyFill="1" applyBorder="1">
      <alignment vertical="center"/>
    </xf>
    <xf numFmtId="177" fontId="12" fillId="20" borderId="6" xfId="0" applyNumberFormat="1" applyFont="1" applyFill="1" applyBorder="1">
      <alignment vertical="center"/>
    </xf>
    <xf numFmtId="177" fontId="12" fillId="20" borderId="7" xfId="0" applyNumberFormat="1" applyFont="1" applyFill="1" applyBorder="1">
      <alignment vertical="center"/>
    </xf>
    <xf numFmtId="178" fontId="5" fillId="20" borderId="6" xfId="0" applyNumberFormat="1" applyFont="1" applyFill="1" applyBorder="1">
      <alignment vertical="center"/>
    </xf>
    <xf numFmtId="178" fontId="5" fillId="20" borderId="7" xfId="0" applyNumberFormat="1" applyFont="1" applyFill="1" applyBorder="1">
      <alignment vertical="center"/>
    </xf>
    <xf numFmtId="186" fontId="32" fillId="20" borderId="0" xfId="0" applyNumberFormat="1" applyFont="1" applyFill="1" applyAlignment="1">
      <alignment horizontal="right" vertical="center"/>
    </xf>
    <xf numFmtId="186" fontId="32" fillId="20" borderId="8" xfId="0" applyNumberFormat="1" applyFont="1" applyFill="1" applyBorder="1" applyAlignment="1">
      <alignment horizontal="right" vertical="center"/>
    </xf>
    <xf numFmtId="186" fontId="6" fillId="20" borderId="0" xfId="0" applyNumberFormat="1" applyFont="1" applyFill="1" applyAlignment="1">
      <alignment horizontal="right" vertical="center"/>
    </xf>
    <xf numFmtId="177" fontId="6" fillId="20" borderId="6" xfId="0" applyNumberFormat="1" applyFont="1" applyFill="1" applyBorder="1">
      <alignment vertical="center"/>
    </xf>
    <xf numFmtId="181" fontId="19" fillId="20" borderId="0" xfId="0" applyNumberFormat="1" applyFont="1" applyFill="1">
      <alignment vertical="center"/>
    </xf>
    <xf numFmtId="183" fontId="32" fillId="20" borderId="8" xfId="0" applyNumberFormat="1" applyFont="1" applyFill="1" applyBorder="1" applyAlignment="1">
      <alignment horizontal="right" vertical="center"/>
    </xf>
    <xf numFmtId="185" fontId="32" fillId="20" borderId="8" xfId="0" applyNumberFormat="1" applyFont="1" applyFill="1" applyBorder="1" applyAlignment="1">
      <alignment horizontal="right" vertical="center"/>
    </xf>
    <xf numFmtId="187" fontId="12" fillId="20" borderId="0" xfId="0" applyNumberFormat="1" applyFont="1" applyFill="1" applyAlignment="1">
      <alignment horizontal="right" vertical="center"/>
    </xf>
    <xf numFmtId="187" fontId="12" fillId="20" borderId="8" xfId="0" applyNumberFormat="1" applyFont="1" applyFill="1" applyBorder="1" applyAlignment="1">
      <alignment horizontal="right" vertical="center"/>
    </xf>
    <xf numFmtId="187" fontId="12" fillId="20" borderId="6" xfId="0" applyNumberFormat="1" applyFont="1" applyFill="1" applyBorder="1" applyAlignment="1">
      <alignment horizontal="right" vertical="center"/>
    </xf>
    <xf numFmtId="187" fontId="12" fillId="20" borderId="7" xfId="0" applyNumberFormat="1" applyFont="1" applyFill="1" applyBorder="1" applyAlignment="1">
      <alignment horizontal="right" vertical="center"/>
    </xf>
    <xf numFmtId="177" fontId="2" fillId="20" borderId="8" xfId="0" applyNumberFormat="1" applyFont="1" applyFill="1" applyBorder="1">
      <alignment vertical="center"/>
    </xf>
    <xf numFmtId="177" fontId="3" fillId="20" borderId="8" xfId="0" applyNumberFormat="1" applyFont="1" applyFill="1" applyBorder="1">
      <alignment vertical="center"/>
    </xf>
    <xf numFmtId="187" fontId="6" fillId="20" borderId="0" xfId="0" applyNumberFormat="1" applyFont="1" applyFill="1" applyAlignment="1">
      <alignment horizontal="right" vertical="center"/>
    </xf>
    <xf numFmtId="187" fontId="6" fillId="20" borderId="8" xfId="0" applyNumberFormat="1" applyFont="1" applyFill="1" applyBorder="1" applyAlignment="1">
      <alignment horizontal="right" vertical="center"/>
    </xf>
    <xf numFmtId="187" fontId="13" fillId="20" borderId="0" xfId="0" applyNumberFormat="1" applyFont="1" applyFill="1" applyAlignment="1">
      <alignment horizontal="right" vertical="center"/>
    </xf>
    <xf numFmtId="187" fontId="13" fillId="20" borderId="8" xfId="0" applyNumberFormat="1" applyFont="1" applyFill="1" applyBorder="1" applyAlignment="1">
      <alignment horizontal="right" vertical="center"/>
    </xf>
    <xf numFmtId="187" fontId="11" fillId="20" borderId="0" xfId="0" applyNumberFormat="1" applyFont="1" applyFill="1" applyAlignment="1">
      <alignment horizontal="right" vertical="center"/>
    </xf>
    <xf numFmtId="185" fontId="2" fillId="20" borderId="0" xfId="0" applyNumberFormat="1" applyFont="1" applyFill="1">
      <alignment vertical="center"/>
    </xf>
    <xf numFmtId="185" fontId="2" fillId="20" borderId="8" xfId="0" applyNumberFormat="1" applyFont="1" applyFill="1" applyBorder="1">
      <alignment vertical="center"/>
    </xf>
    <xf numFmtId="187" fontId="17" fillId="20" borderId="0" xfId="0" applyNumberFormat="1" applyFont="1" applyFill="1" applyAlignment="1">
      <alignment horizontal="right" vertical="center"/>
    </xf>
    <xf numFmtId="183" fontId="6" fillId="20" borderId="0" xfId="0" applyNumberFormat="1" applyFont="1" applyFill="1" applyAlignment="1">
      <alignment horizontal="right" vertical="center"/>
    </xf>
    <xf numFmtId="187" fontId="18" fillId="20" borderId="0" xfId="0" applyNumberFormat="1" applyFont="1" applyFill="1" applyAlignment="1">
      <alignment horizontal="right" vertical="center"/>
    </xf>
    <xf numFmtId="187" fontId="17" fillId="20" borderId="6" xfId="0" applyNumberFormat="1" applyFont="1" applyFill="1" applyBorder="1" applyAlignment="1">
      <alignment horizontal="right" vertical="center"/>
    </xf>
    <xf numFmtId="187" fontId="11" fillId="20" borderId="8" xfId="0" applyNumberFormat="1" applyFont="1" applyFill="1" applyBorder="1" applyAlignment="1">
      <alignment horizontal="right" vertical="center"/>
    </xf>
    <xf numFmtId="185" fontId="6" fillId="20" borderId="0" xfId="0" applyNumberFormat="1" applyFont="1" applyFill="1" applyAlignment="1">
      <alignment horizontal="right" vertical="center"/>
    </xf>
    <xf numFmtId="185" fontId="6" fillId="20" borderId="8" xfId="0" applyNumberFormat="1" applyFont="1" applyFill="1" applyBorder="1" applyAlignment="1">
      <alignment horizontal="right" vertical="center"/>
    </xf>
    <xf numFmtId="25" fontId="12" fillId="20" borderId="0" xfId="0" applyNumberFormat="1" applyFont="1" applyFill="1" applyAlignment="1">
      <alignment horizontal="right" vertical="center"/>
    </xf>
    <xf numFmtId="25" fontId="12" fillId="20" borderId="8" xfId="0" applyNumberFormat="1" applyFont="1" applyFill="1" applyBorder="1" applyAlignment="1">
      <alignment horizontal="right" vertical="center"/>
    </xf>
    <xf numFmtId="25" fontId="6" fillId="20" borderId="0" xfId="0" applyNumberFormat="1" applyFont="1" applyFill="1" applyAlignment="1">
      <alignment horizontal="right" vertical="center"/>
    </xf>
    <xf numFmtId="199" fontId="6" fillId="20" borderId="0" xfId="0" applyNumberFormat="1" applyFont="1" applyFill="1" applyAlignment="1">
      <alignment horizontal="right" vertical="center"/>
    </xf>
    <xf numFmtId="199" fontId="6" fillId="20" borderId="8" xfId="0" applyNumberFormat="1" applyFont="1" applyFill="1" applyBorder="1" applyAlignment="1">
      <alignment horizontal="right" vertical="center"/>
    </xf>
    <xf numFmtId="199" fontId="17" fillId="20" borderId="0" xfId="0" applyNumberFormat="1" applyFont="1" applyFill="1" applyAlignment="1">
      <alignment horizontal="right" vertical="center"/>
    </xf>
    <xf numFmtId="187" fontId="13" fillId="20" borderId="9" xfId="0" applyNumberFormat="1" applyFont="1" applyFill="1" applyBorder="1" applyAlignment="1">
      <alignment horizontal="right" vertical="center"/>
    </xf>
    <xf numFmtId="187" fontId="18" fillId="20" borderId="6" xfId="0" applyNumberFormat="1" applyFont="1" applyFill="1" applyBorder="1" applyAlignment="1">
      <alignment horizontal="right" vertical="center"/>
    </xf>
    <xf numFmtId="187" fontId="6" fillId="20" borderId="6" xfId="0" applyNumberFormat="1" applyFont="1" applyFill="1" applyBorder="1" applyAlignment="1">
      <alignment horizontal="right" vertical="center"/>
    </xf>
    <xf numFmtId="185" fontId="17" fillId="20" borderId="0" xfId="0" applyNumberFormat="1" applyFont="1" applyFill="1" applyAlignment="1">
      <alignment horizontal="right" vertical="center"/>
    </xf>
    <xf numFmtId="185" fontId="12" fillId="20" borderId="8" xfId="0" applyNumberFormat="1" applyFont="1" applyFill="1" applyBorder="1" applyAlignment="1">
      <alignment horizontal="right" vertical="center"/>
    </xf>
    <xf numFmtId="187" fontId="2" fillId="20" borderId="0" xfId="0" applyNumberFormat="1" applyFont="1" applyFill="1">
      <alignment vertical="center"/>
    </xf>
    <xf numFmtId="187" fontId="6" fillId="20" borderId="7" xfId="0" applyNumberFormat="1" applyFont="1" applyFill="1" applyBorder="1" applyAlignment="1">
      <alignment horizontal="right" vertical="center"/>
    </xf>
    <xf numFmtId="184" fontId="6" fillId="20" borderId="0" xfId="0" applyNumberFormat="1" applyFont="1" applyFill="1" applyAlignment="1">
      <alignment horizontal="right" vertical="center"/>
    </xf>
    <xf numFmtId="200" fontId="6" fillId="20" borderId="0" xfId="0" applyNumberFormat="1" applyFont="1" applyFill="1" applyAlignment="1">
      <alignment horizontal="right" vertical="center"/>
    </xf>
    <xf numFmtId="187" fontId="11" fillId="20" borderId="7" xfId="0" applyNumberFormat="1" applyFont="1" applyFill="1" applyBorder="1" applyAlignment="1">
      <alignment horizontal="right" vertical="center"/>
    </xf>
    <xf numFmtId="199" fontId="12" fillId="20" borderId="11" xfId="0" applyNumberFormat="1" applyFont="1" applyFill="1" applyBorder="1" applyAlignment="1">
      <alignment horizontal="right" vertical="center"/>
    </xf>
    <xf numFmtId="26" fontId="76" fillId="20" borderId="0" xfId="0" applyNumberFormat="1" applyFont="1" applyFill="1" applyAlignment="1">
      <alignment horizontal="right" vertical="center"/>
    </xf>
    <xf numFmtId="178" fontId="2" fillId="20" borderId="0" xfId="87" applyNumberFormat="1" applyFont="1" applyFill="1">
      <alignment vertical="center"/>
    </xf>
    <xf numFmtId="41" fontId="6" fillId="20" borderId="0" xfId="87" applyFont="1" applyFill="1">
      <alignment vertical="center"/>
    </xf>
    <xf numFmtId="9" fontId="2" fillId="0" borderId="0" xfId="0" applyNumberFormat="1" applyFont="1">
      <alignment vertical="center"/>
    </xf>
    <xf numFmtId="41" fontId="6" fillId="20" borderId="8" xfId="87" applyFont="1" applyFill="1" applyBorder="1">
      <alignment vertical="center"/>
    </xf>
    <xf numFmtId="9" fontId="6" fillId="0" borderId="0" xfId="0" applyNumberFormat="1" applyFont="1">
      <alignment vertical="center"/>
    </xf>
    <xf numFmtId="9" fontId="6" fillId="0" borderId="8" xfId="0" applyNumberFormat="1" applyFont="1" applyBorder="1">
      <alignment vertical="center"/>
    </xf>
    <xf numFmtId="178" fontId="2" fillId="20" borderId="8" xfId="87" applyNumberFormat="1" applyFont="1" applyFill="1" applyBorder="1">
      <alignment vertical="center"/>
    </xf>
    <xf numFmtId="178" fontId="2" fillId="0" borderId="8" xfId="0" applyNumberFormat="1" applyFont="1" applyBorder="1">
      <alignment vertical="center"/>
    </xf>
    <xf numFmtId="0" fontId="101" fillId="0" borderId="0" xfId="0" applyFont="1" applyAlignment="1">
      <alignment horizontal="center" vertical="center"/>
    </xf>
    <xf numFmtId="187" fontId="101" fillId="0" borderId="0" xfId="0" applyNumberFormat="1" applyFont="1" applyAlignment="1">
      <alignment horizontal="right" vertical="center"/>
    </xf>
    <xf numFmtId="177" fontId="11" fillId="20" borderId="13" xfId="0" applyNumberFormat="1" applyFont="1" applyFill="1" applyBorder="1">
      <alignment vertical="center"/>
    </xf>
    <xf numFmtId="0" fontId="2" fillId="0" borderId="38" xfId="0" applyFont="1" applyBorder="1" applyAlignment="1"/>
    <xf numFmtId="0" fontId="2" fillId="0" borderId="8" xfId="0" applyFont="1" applyBorder="1" applyAlignment="1"/>
    <xf numFmtId="177" fontId="11" fillId="20" borderId="20" xfId="0" applyNumberFormat="1" applyFont="1" applyFill="1" applyBorder="1">
      <alignment vertical="center"/>
    </xf>
    <xf numFmtId="177" fontId="19" fillId="20" borderId="0" xfId="0" applyNumberFormat="1" applyFont="1" applyFill="1">
      <alignment vertical="center"/>
    </xf>
    <xf numFmtId="177" fontId="19" fillId="20" borderId="8" xfId="0" applyNumberFormat="1" applyFont="1" applyFill="1" applyBorder="1">
      <alignment vertical="center"/>
    </xf>
    <xf numFmtId="183" fontId="32" fillId="20" borderId="0" xfId="0" applyNumberFormat="1" applyFont="1" applyFill="1" applyAlignment="1">
      <alignment horizontal="right" vertical="center"/>
    </xf>
    <xf numFmtId="185" fontId="32" fillId="20" borderId="0" xfId="0" applyNumberFormat="1" applyFont="1" applyFill="1" applyAlignment="1">
      <alignment horizontal="right" vertical="center"/>
    </xf>
    <xf numFmtId="177" fontId="6" fillId="20" borderId="15" xfId="0" applyNumberFormat="1" applyFont="1" applyFill="1" applyBorder="1">
      <alignment vertical="center"/>
    </xf>
    <xf numFmtId="177" fontId="6" fillId="20" borderId="16" xfId="0" applyNumberFormat="1" applyFont="1" applyFill="1" applyBorder="1">
      <alignment vertical="center"/>
    </xf>
    <xf numFmtId="218" fontId="12" fillId="0" borderId="0" xfId="0" applyNumberFormat="1" applyFont="1" applyAlignment="1">
      <alignment horizontal="right" vertical="center"/>
    </xf>
    <xf numFmtId="219" fontId="2" fillId="20" borderId="0" xfId="0" applyNumberFormat="1" applyFont="1" applyFill="1">
      <alignment vertical="center"/>
    </xf>
    <xf numFmtId="219" fontId="2" fillId="20" borderId="8" xfId="0" applyNumberFormat="1" applyFont="1" applyFill="1" applyBorder="1">
      <alignment vertical="center"/>
    </xf>
    <xf numFmtId="187" fontId="13" fillId="20" borderId="13" xfId="0" applyNumberFormat="1" applyFont="1" applyFill="1" applyBorder="1" applyAlignment="1">
      <alignment horizontal="right" vertical="center"/>
    </xf>
    <xf numFmtId="0" fontId="103" fillId="0" borderId="0" xfId="0" applyFont="1">
      <alignment vertical="center"/>
    </xf>
    <xf numFmtId="187" fontId="12" fillId="20" borderId="20" xfId="0" applyNumberFormat="1" applyFont="1" applyFill="1" applyBorder="1" applyAlignment="1">
      <alignment horizontal="right" vertical="center"/>
    </xf>
    <xf numFmtId="187" fontId="12" fillId="20" borderId="13" xfId="0" applyNumberFormat="1" applyFont="1" applyFill="1" applyBorder="1" applyAlignment="1">
      <alignment horizontal="right" vertical="center"/>
    </xf>
    <xf numFmtId="0" fontId="61" fillId="0" borderId="0" xfId="0" applyFont="1">
      <alignment vertical="center"/>
    </xf>
    <xf numFmtId="177" fontId="12" fillId="20" borderId="15" xfId="0" applyNumberFormat="1" applyFont="1" applyFill="1" applyBorder="1">
      <alignment vertical="center"/>
    </xf>
    <xf numFmtId="177" fontId="11" fillId="20" borderId="19" xfId="0" applyNumberFormat="1" applyFont="1" applyFill="1" applyBorder="1">
      <alignment vertical="center"/>
    </xf>
    <xf numFmtId="0" fontId="2" fillId="21" borderId="0" xfId="0" applyFont="1" applyFill="1">
      <alignment vertical="center"/>
    </xf>
    <xf numFmtId="0" fontId="2" fillId="0" borderId="18" xfId="0" applyFont="1" applyBorder="1">
      <alignment vertical="center"/>
    </xf>
    <xf numFmtId="0" fontId="2" fillId="0" borderId="0" xfId="0" quotePrefix="1" applyFont="1">
      <alignment vertical="center"/>
    </xf>
    <xf numFmtId="0" fontId="2" fillId="0" borderId="0" xfId="0" applyFont="1" applyAlignment="1">
      <alignment horizontal="left" vertical="center" wrapText="1"/>
    </xf>
    <xf numFmtId="0" fontId="3" fillId="18" borderId="1" xfId="0" applyFont="1" applyFill="1" applyBorder="1" applyAlignment="1">
      <alignment horizontal="center" vertical="center" wrapText="1"/>
    </xf>
    <xf numFmtId="0" fontId="2" fillId="18" borderId="0" xfId="0" applyFont="1" applyFill="1" applyAlignment="1">
      <alignment wrapText="1"/>
    </xf>
    <xf numFmtId="0" fontId="2" fillId="18" borderId="1" xfId="0" applyFont="1" applyFill="1" applyBorder="1" applyAlignment="1">
      <alignment wrapText="1"/>
    </xf>
    <xf numFmtId="3" fontId="2" fillId="0" borderId="0" xfId="0" applyNumberFormat="1" applyFont="1" applyAlignment="1">
      <alignment horizontal="right" vertical="center" wrapText="1"/>
    </xf>
    <xf numFmtId="0" fontId="2" fillId="0" borderId="0" xfId="0" applyFont="1" applyAlignment="1">
      <alignment wrapText="1"/>
    </xf>
    <xf numFmtId="0" fontId="2" fillId="0" borderId="0" xfId="0" applyFont="1" applyAlignment="1">
      <alignment vertical="center" wrapText="1"/>
    </xf>
    <xf numFmtId="0" fontId="2" fillId="18" borderId="0" xfId="0" applyFont="1" applyFill="1" applyAlignment="1">
      <alignment vertical="center" wrapText="1"/>
    </xf>
    <xf numFmtId="0" fontId="2" fillId="18" borderId="1" xfId="0" applyFont="1" applyFill="1" applyBorder="1" applyAlignment="1">
      <alignment vertical="center" wrapText="1"/>
    </xf>
    <xf numFmtId="0" fontId="3" fillId="18" borderId="0" xfId="0" applyFont="1" applyFill="1" applyAlignment="1">
      <alignment horizontal="right" vertical="center" wrapText="1"/>
    </xf>
    <xf numFmtId="0" fontId="3" fillId="18" borderId="1" xfId="0" applyFont="1" applyFill="1" applyBorder="1" applyAlignment="1">
      <alignment horizontal="right" vertical="center" wrapText="1"/>
    </xf>
    <xf numFmtId="0" fontId="3"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5" fillId="18" borderId="0" xfId="0" applyFont="1" applyFill="1" applyAlignment="1">
      <alignment horizontal="left" vertical="center" wrapText="1"/>
    </xf>
    <xf numFmtId="0" fontId="5" fillId="18" borderId="1" xfId="0" applyFont="1" applyFill="1" applyBorder="1" applyAlignment="1">
      <alignment horizontal="left" vertical="center" wrapText="1"/>
    </xf>
    <xf numFmtId="0" fontId="2" fillId="0" borderId="0" xfId="0" applyFont="1" applyAlignment="1">
      <alignment horizontal="right" vertical="center" wrapText="1"/>
    </xf>
    <xf numFmtId="3" fontId="2" fillId="2" borderId="0" xfId="0" applyNumberFormat="1" applyFont="1" applyFill="1" applyAlignment="1">
      <alignment horizontal="right" vertical="center" wrapText="1"/>
    </xf>
    <xf numFmtId="0" fontId="2" fillId="2" borderId="0" xfId="0" applyFont="1" applyFill="1" applyAlignment="1">
      <alignment wrapText="1"/>
    </xf>
    <xf numFmtId="0" fontId="2" fillId="2" borderId="0" xfId="0" applyFont="1" applyFill="1" applyAlignment="1">
      <alignment vertical="center" wrapText="1"/>
    </xf>
    <xf numFmtId="0" fontId="2" fillId="2" borderId="0" xfId="0" applyFont="1" applyFill="1" applyAlignment="1">
      <alignment horizontal="left"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3" fontId="63" fillId="0" borderId="0" xfId="0" applyNumberFormat="1" applyFont="1" applyAlignment="1">
      <alignment horizontal="right" vertical="center" wrapText="1"/>
    </xf>
    <xf numFmtId="3" fontId="63" fillId="2" borderId="0" xfId="0" applyNumberFormat="1" applyFont="1" applyFill="1" applyAlignment="1">
      <alignment horizontal="right" vertical="center" wrapText="1"/>
    </xf>
    <xf numFmtId="0" fontId="63" fillId="2" borderId="0" xfId="0" applyFont="1" applyFill="1" applyAlignment="1">
      <alignment horizontal="right" vertical="center" wrapText="1"/>
    </xf>
    <xf numFmtId="0" fontId="63" fillId="0" borderId="0" xfId="0" applyFont="1" applyAlignment="1">
      <alignment horizontal="left" vertical="center" wrapText="1"/>
    </xf>
    <xf numFmtId="0" fontId="2" fillId="0" borderId="1" xfId="0" applyFont="1" applyBorder="1" applyAlignment="1">
      <alignment horizontal="left" vertical="center" wrapText="1"/>
    </xf>
    <xf numFmtId="0" fontId="63" fillId="0" borderId="0" xfId="0" applyFont="1" applyAlignment="1">
      <alignment horizontal="right" vertical="center" wrapText="1"/>
    </xf>
    <xf numFmtId="0" fontId="63" fillId="0" borderId="1" xfId="0" applyFont="1" applyBorder="1" applyAlignment="1">
      <alignment horizontal="right" vertical="center" wrapText="1"/>
    </xf>
    <xf numFmtId="0" fontId="2" fillId="0" borderId="1" xfId="0" applyFont="1" applyBorder="1" applyAlignment="1">
      <alignment wrapText="1"/>
    </xf>
    <xf numFmtId="0" fontId="2" fillId="0" borderId="1" xfId="0" applyFont="1" applyBorder="1" applyAlignment="1">
      <alignment vertical="center" wrapText="1"/>
    </xf>
    <xf numFmtId="3" fontId="63" fillId="0" borderId="1" xfId="0" applyNumberFormat="1" applyFont="1" applyBorder="1" applyAlignment="1">
      <alignment horizontal="righ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right" vertical="center" wrapText="1"/>
    </xf>
    <xf numFmtId="0" fontId="2" fillId="2" borderId="2" xfId="0" applyFont="1" applyFill="1" applyBorder="1" applyAlignment="1">
      <alignment wrapText="1"/>
    </xf>
    <xf numFmtId="0" fontId="2" fillId="2" borderId="1" xfId="0" applyFont="1" applyFill="1" applyBorder="1" applyAlignment="1">
      <alignment horizontal="left" vertical="center" wrapText="1"/>
    </xf>
    <xf numFmtId="0" fontId="2" fillId="2" borderId="1" xfId="0" applyFont="1" applyFill="1" applyBorder="1" applyAlignment="1">
      <alignment horizontal="right" vertical="center" wrapText="1"/>
    </xf>
    <xf numFmtId="0" fontId="2" fillId="2" borderId="1" xfId="0" applyFont="1" applyFill="1" applyBorder="1" applyAlignment="1">
      <alignment wrapText="1"/>
    </xf>
    <xf numFmtId="0" fontId="2" fillId="2" borderId="1" xfId="0" applyFont="1" applyFill="1" applyBorder="1" applyAlignment="1">
      <alignmen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2" fillId="0" borderId="2" xfId="0" applyFont="1" applyBorder="1" applyAlignment="1">
      <alignment horizontal="right" vertical="center" wrapText="1"/>
    </xf>
    <xf numFmtId="0" fontId="2" fillId="0" borderId="1" xfId="0" applyFont="1" applyBorder="1" applyAlignment="1">
      <alignment horizontal="right" vertical="center" wrapText="1"/>
    </xf>
    <xf numFmtId="0" fontId="2" fillId="0" borderId="2" xfId="0" applyFont="1" applyBorder="1" applyAlignment="1">
      <alignment wrapText="1"/>
    </xf>
    <xf numFmtId="0" fontId="2" fillId="0" borderId="2" xfId="0" applyFont="1" applyBorder="1" applyAlignment="1">
      <alignment vertical="center" wrapText="1"/>
    </xf>
    <xf numFmtId="0" fontId="3" fillId="2" borderId="1" xfId="0" applyFont="1" applyFill="1" applyBorder="1" applyAlignment="1">
      <alignment horizontal="left" vertical="center" wrapText="1"/>
    </xf>
    <xf numFmtId="3" fontId="2" fillId="2" borderId="2" xfId="0" applyNumberFormat="1" applyFont="1" applyFill="1" applyBorder="1" applyAlignment="1">
      <alignment horizontal="right" vertical="center" wrapText="1"/>
    </xf>
    <xf numFmtId="179" fontId="3" fillId="18" borderId="0" xfId="0" applyNumberFormat="1" applyFont="1" applyFill="1" applyAlignment="1">
      <alignment horizontal="right" vertical="center" wrapText="1"/>
    </xf>
    <xf numFmtId="0" fontId="2" fillId="0" borderId="2" xfId="0" applyFont="1" applyBorder="1" applyAlignment="1">
      <alignment horizontal="left" vertical="center" wrapText="1"/>
    </xf>
    <xf numFmtId="3" fontId="2" fillId="0" borderId="2" xfId="0" applyNumberFormat="1" applyFont="1" applyBorder="1" applyAlignment="1">
      <alignment horizontal="right" vertical="center" wrapText="1"/>
    </xf>
    <xf numFmtId="3" fontId="2" fillId="0" borderId="1" xfId="0" applyNumberFormat="1" applyFont="1" applyBorder="1" applyAlignment="1">
      <alignment horizontal="right" vertical="center" wrapText="1"/>
    </xf>
    <xf numFmtId="3" fontId="2" fillId="2" borderId="1" xfId="0" applyNumberFormat="1" applyFont="1" applyFill="1" applyBorder="1" applyAlignment="1">
      <alignment horizontal="right" vertical="center" wrapText="1"/>
    </xf>
    <xf numFmtId="0" fontId="3" fillId="18" borderId="2" xfId="0" applyFont="1" applyFill="1" applyBorder="1" applyAlignment="1">
      <alignment horizontal="right" vertical="center" wrapText="1"/>
    </xf>
    <xf numFmtId="26" fontId="2" fillId="2" borderId="2" xfId="0" applyNumberFormat="1" applyFont="1" applyFill="1" applyBorder="1" applyAlignment="1">
      <alignment horizontal="left" vertical="center" wrapText="1"/>
    </xf>
    <xf numFmtId="26" fontId="2" fillId="2" borderId="0" xfId="0" applyNumberFormat="1" applyFont="1" applyFill="1" applyAlignment="1">
      <alignment horizontal="left" vertical="center" wrapText="1"/>
    </xf>
    <xf numFmtId="26" fontId="2" fillId="0" borderId="0" xfId="0" applyNumberFormat="1" applyFont="1" applyAlignment="1">
      <alignment horizontal="left" vertical="center" wrapText="1"/>
    </xf>
    <xf numFmtId="26" fontId="2" fillId="0" borderId="1" xfId="0" applyNumberFormat="1" applyFont="1" applyBorder="1" applyAlignment="1">
      <alignment horizontal="left" vertical="center" wrapText="1"/>
    </xf>
    <xf numFmtId="0" fontId="2" fillId="2" borderId="14" xfId="0" applyFont="1" applyFill="1" applyBorder="1" applyAlignment="1">
      <alignment horizontal="right" vertical="center" wrapText="1"/>
    </xf>
    <xf numFmtId="0" fontId="2" fillId="2" borderId="14" xfId="0" applyFont="1" applyFill="1" applyBorder="1" applyAlignment="1">
      <alignment wrapText="1"/>
    </xf>
    <xf numFmtId="0" fontId="2" fillId="2" borderId="14" xfId="0" applyFont="1" applyFill="1" applyBorder="1" applyAlignment="1">
      <alignment horizontal="left" vertical="center" wrapText="1"/>
    </xf>
    <xf numFmtId="0" fontId="2" fillId="2" borderId="14" xfId="0" applyFont="1" applyFill="1" applyBorder="1" applyAlignment="1">
      <alignment vertical="center" wrapText="1"/>
    </xf>
    <xf numFmtId="0" fontId="36" fillId="4" borderId="0" xfId="2" applyFont="1" applyFill="1" applyAlignment="1">
      <alignment horizontal="center" wrapText="1"/>
    </xf>
    <xf numFmtId="0" fontId="34" fillId="4" borderId="0" xfId="2" applyFont="1" applyFill="1"/>
    <xf numFmtId="0" fontId="40" fillId="4" borderId="0" xfId="2" applyFont="1" applyFill="1" applyAlignment="1">
      <alignment horizontal="center" wrapText="1"/>
    </xf>
    <xf numFmtId="0" fontId="37" fillId="4" borderId="0" xfId="2" applyFont="1" applyFill="1" applyAlignment="1">
      <alignment vertical="top" wrapText="1"/>
    </xf>
    <xf numFmtId="1" fontId="67" fillId="0" borderId="22" xfId="22" applyNumberFormat="1" applyFont="1" applyBorder="1" applyAlignment="1">
      <alignment horizontal="center"/>
    </xf>
    <xf numFmtId="1" fontId="67" fillId="0" borderId="23" xfId="22" applyNumberFormat="1" applyFont="1" applyBorder="1" applyAlignment="1">
      <alignment horizontal="center"/>
    </xf>
    <xf numFmtId="1" fontId="67" fillId="0" borderId="24" xfId="22" applyNumberFormat="1" applyFont="1" applyBorder="1" applyAlignment="1">
      <alignment horizontal="center"/>
    </xf>
    <xf numFmtId="178" fontId="16" fillId="0" borderId="25" xfId="22" applyNumberFormat="1" applyFont="1" applyBorder="1" applyAlignment="1">
      <alignment horizontal="right"/>
    </xf>
    <xf numFmtId="178" fontId="16" fillId="0" borderId="26" xfId="22" applyNumberFormat="1" applyFont="1" applyBorder="1" applyAlignment="1">
      <alignment horizontal="right"/>
    </xf>
    <xf numFmtId="0" fontId="81" fillId="0" borderId="25" xfId="22" applyFont="1" applyBorder="1"/>
    <xf numFmtId="0" fontId="81" fillId="0" borderId="28" xfId="22" applyFont="1" applyBorder="1"/>
    <xf numFmtId="0" fontId="81" fillId="0" borderId="26" xfId="22" applyFont="1" applyBorder="1"/>
    <xf numFmtId="0" fontId="17" fillId="0" borderId="25" xfId="22" applyFont="1" applyBorder="1" applyAlignment="1">
      <alignment horizontal="left"/>
    </xf>
    <xf numFmtId="0" fontId="17" fillId="0" borderId="26" xfId="22" applyFont="1" applyBorder="1" applyAlignment="1">
      <alignment horizontal="left"/>
    </xf>
    <xf numFmtId="0" fontId="61" fillId="0" borderId="6" xfId="0" applyFont="1" applyBorder="1">
      <alignment vertical="center"/>
    </xf>
    <xf numFmtId="0" fontId="3" fillId="18" borderId="0" xfId="0" applyFont="1" applyFill="1" applyAlignment="1">
      <alignment vertical="center" wrapText="1"/>
    </xf>
    <xf numFmtId="0" fontId="3" fillId="18" borderId="1" xfId="0" applyFont="1" applyFill="1" applyBorder="1" applyAlignment="1">
      <alignment vertical="center" wrapText="1"/>
    </xf>
    <xf numFmtId="187" fontId="17" fillId="20" borderId="0" xfId="0" applyNumberFormat="1" applyFont="1" applyFill="1" applyBorder="1" applyAlignment="1">
      <alignment horizontal="right" vertical="center"/>
    </xf>
    <xf numFmtId="187" fontId="105" fillId="0" borderId="0" xfId="0" applyNumberFormat="1" applyFont="1" applyAlignment="1">
      <alignment horizontal="right" vertical="center"/>
    </xf>
    <xf numFmtId="187" fontId="18" fillId="20" borderId="15" xfId="0" applyNumberFormat="1" applyFont="1" applyFill="1" applyBorder="1" applyAlignment="1">
      <alignment horizontal="right" vertical="center"/>
    </xf>
    <xf numFmtId="187" fontId="12" fillId="0" borderId="20" xfId="0" applyNumberFormat="1" applyFont="1" applyFill="1" applyBorder="1" applyAlignment="1">
      <alignment horizontal="right" vertical="center"/>
    </xf>
    <xf numFmtId="185" fontId="12" fillId="20" borderId="0" xfId="0" applyNumberFormat="1" applyFont="1" applyFill="1" applyBorder="1" applyAlignment="1">
      <alignment horizontal="right" vertical="center"/>
    </xf>
    <xf numFmtId="187" fontId="12" fillId="0" borderId="0" xfId="0" applyNumberFormat="1" applyFont="1" applyFill="1" applyAlignment="1">
      <alignment horizontal="right" vertical="center"/>
    </xf>
    <xf numFmtId="187" fontId="12" fillId="0" borderId="6" xfId="0" applyNumberFormat="1" applyFont="1" applyFill="1" applyBorder="1" applyAlignment="1">
      <alignment horizontal="right" vertical="center"/>
    </xf>
    <xf numFmtId="177" fontId="11" fillId="20" borderId="0" xfId="0" applyNumberFormat="1" applyFont="1" applyFill="1" applyBorder="1">
      <alignment vertical="center"/>
    </xf>
  </cellXfs>
  <cellStyles count="88">
    <cellStyle name="Calc Currency (0)" xfId="30" xr:uid="{00000000-0005-0000-0000-000000000000}"/>
    <cellStyle name="Calc Currency (2)" xfId="31" xr:uid="{00000000-0005-0000-0000-000001000000}"/>
    <cellStyle name="Calc Percent (0)" xfId="32" xr:uid="{00000000-0005-0000-0000-000002000000}"/>
    <cellStyle name="Calc Percent (1)" xfId="33" xr:uid="{00000000-0005-0000-0000-000003000000}"/>
    <cellStyle name="Calc Percent (2)" xfId="34" xr:uid="{00000000-0005-0000-0000-000004000000}"/>
    <cellStyle name="Calc Units (0)" xfId="35" xr:uid="{00000000-0005-0000-0000-000005000000}"/>
    <cellStyle name="Calc Units (1)" xfId="36" xr:uid="{00000000-0005-0000-0000-000006000000}"/>
    <cellStyle name="Calc Units (2)" xfId="37" xr:uid="{00000000-0005-0000-0000-000007000000}"/>
    <cellStyle name="ChartingText" xfId="4" xr:uid="{00000000-0005-0000-0000-000008000000}"/>
    <cellStyle name="CHPAboveAverage" xfId="5" xr:uid="{00000000-0005-0000-0000-000009000000}"/>
    <cellStyle name="CHPBelowAverage" xfId="6" xr:uid="{00000000-0005-0000-0000-00000A000000}"/>
    <cellStyle name="CHPBottom" xfId="7" xr:uid="{00000000-0005-0000-0000-00000B000000}"/>
    <cellStyle name="CHPTop" xfId="8" xr:uid="{00000000-0005-0000-0000-00000C000000}"/>
    <cellStyle name="Code" xfId="38" xr:uid="{00000000-0005-0000-0000-00000D000000}"/>
    <cellStyle name="ColumnHeaderNormal" xfId="9" xr:uid="{00000000-0005-0000-0000-00000E000000}"/>
    <cellStyle name="Comma [00]" xfId="39" xr:uid="{00000000-0005-0000-0000-00000F000000}"/>
    <cellStyle name="Currency [00]" xfId="40" xr:uid="{00000000-0005-0000-0000-000010000000}"/>
    <cellStyle name="DataBases" xfId="41" xr:uid="{00000000-0005-0000-0000-000011000000}"/>
    <cellStyle name="DataToHide" xfId="42" xr:uid="{00000000-0005-0000-0000-000012000000}"/>
    <cellStyle name="Date Short" xfId="43" xr:uid="{00000000-0005-0000-0000-000013000000}"/>
    <cellStyle name="DELTA" xfId="44" xr:uid="{00000000-0005-0000-0000-000014000000}"/>
    <cellStyle name="Enter Currency (0)" xfId="45" xr:uid="{00000000-0005-0000-0000-000015000000}"/>
    <cellStyle name="Enter Currency (2)" xfId="46" xr:uid="{00000000-0005-0000-0000-000016000000}"/>
    <cellStyle name="Enter Units (0)" xfId="47" xr:uid="{00000000-0005-0000-0000-000017000000}"/>
    <cellStyle name="Enter Units (1)" xfId="48" xr:uid="{00000000-0005-0000-0000-000018000000}"/>
    <cellStyle name="Enter Units (2)" xfId="49" xr:uid="{00000000-0005-0000-0000-000019000000}"/>
    <cellStyle name="Entities" xfId="50" xr:uid="{00000000-0005-0000-0000-00001A000000}"/>
    <cellStyle name="Euro" xfId="51" xr:uid="{00000000-0005-0000-0000-00001B000000}"/>
    <cellStyle name="Final_Data" xfId="52" xr:uid="{00000000-0005-0000-0000-00001C000000}"/>
    <cellStyle name="Footnote" xfId="53" xr:uid="{00000000-0005-0000-0000-00001D000000}"/>
    <cellStyle name="Grey" xfId="54" xr:uid="{00000000-0005-0000-0000-00001E000000}"/>
    <cellStyle name="Header1" xfId="55" xr:uid="{00000000-0005-0000-0000-00001F000000}"/>
    <cellStyle name="Header2" xfId="56" xr:uid="{00000000-0005-0000-0000-000020000000}"/>
    <cellStyle name="Heading" xfId="57" xr:uid="{00000000-0005-0000-0000-000021000000}"/>
    <cellStyle name="Input [yellow]" xfId="58" xr:uid="{00000000-0005-0000-0000-000022000000}"/>
    <cellStyle name="Invisible" xfId="3" xr:uid="{00000000-0005-0000-0000-000023000000}"/>
    <cellStyle name="Link Currency (0)" xfId="59" xr:uid="{00000000-0005-0000-0000-000024000000}"/>
    <cellStyle name="Link Currency (2)" xfId="60" xr:uid="{00000000-0005-0000-0000-000025000000}"/>
    <cellStyle name="Link Units (0)" xfId="61" xr:uid="{00000000-0005-0000-0000-000026000000}"/>
    <cellStyle name="Link Units (1)" xfId="62" xr:uid="{00000000-0005-0000-0000-000027000000}"/>
    <cellStyle name="Link Units (2)" xfId="63" xr:uid="{00000000-0005-0000-0000-000028000000}"/>
    <cellStyle name="LookUpText" xfId="64" xr:uid="{00000000-0005-0000-0000-000029000000}"/>
    <cellStyle name="NewColumnHeaderNormal" xfId="10" xr:uid="{00000000-0005-0000-0000-00002A000000}"/>
    <cellStyle name="NewSectionHeaderNormal" xfId="11" xr:uid="{00000000-0005-0000-0000-00002B000000}"/>
    <cellStyle name="NewTitleNormal" xfId="12" xr:uid="{00000000-0005-0000-0000-00002C000000}"/>
    <cellStyle name="Normal - Style1" xfId="65" xr:uid="{00000000-0005-0000-0000-00002D000000}"/>
    <cellStyle name="Normal_Bradford Final" xfId="23" xr:uid="{00000000-0005-0000-0000-00002E000000}"/>
    <cellStyle name="Normal_CIQ Beta Calculator" xfId="27" xr:uid="{00000000-0005-0000-0000-00002F000000}"/>
    <cellStyle name="Normal_eps-stock_9zdq01_" xfId="29" xr:uid="{00000000-0005-0000-0000-000030000000}"/>
    <cellStyle name="Normal_VF Corp" xfId="24" xr:uid="{00000000-0005-0000-0000-000031000000}"/>
    <cellStyle name="Normal_WACC Analysis" xfId="28" xr:uid="{00000000-0005-0000-0000-000032000000}"/>
    <cellStyle name="OScommands" xfId="66" xr:uid="{00000000-0005-0000-0000-000033000000}"/>
    <cellStyle name="paint" xfId="67" xr:uid="{00000000-0005-0000-0000-000034000000}"/>
    <cellStyle name="Percent [0]" xfId="68" xr:uid="{00000000-0005-0000-0000-000035000000}"/>
    <cellStyle name="Percent [00]" xfId="69" xr:uid="{00000000-0005-0000-0000-000036000000}"/>
    <cellStyle name="Percent [2]" xfId="70" xr:uid="{00000000-0005-0000-0000-000037000000}"/>
    <cellStyle name="Periods" xfId="71" xr:uid="{00000000-0005-0000-0000-000038000000}"/>
    <cellStyle name="PrePop Currency (0)" xfId="72" xr:uid="{00000000-0005-0000-0000-000039000000}"/>
    <cellStyle name="PrePop Currency (2)" xfId="73" xr:uid="{00000000-0005-0000-0000-00003A000000}"/>
    <cellStyle name="PrePop Units (0)" xfId="74" xr:uid="{00000000-0005-0000-0000-00003B000000}"/>
    <cellStyle name="PrePop Units (1)" xfId="75" xr:uid="{00000000-0005-0000-0000-00003C000000}"/>
    <cellStyle name="PrePop Units (2)" xfId="76" xr:uid="{00000000-0005-0000-0000-00003D000000}"/>
    <cellStyle name="ReadInData" xfId="77" xr:uid="{00000000-0005-0000-0000-00003E000000}"/>
    <cellStyle name="ReportNums" xfId="78" xr:uid="{00000000-0005-0000-0000-00003F000000}"/>
    <cellStyle name="SectionHeaderNormal" xfId="13" xr:uid="{00000000-0005-0000-0000-000040000000}"/>
    <cellStyle name="Strikethru" xfId="79" xr:uid="{00000000-0005-0000-0000-000041000000}"/>
    <cellStyle name="SubScript" xfId="14" xr:uid="{00000000-0005-0000-0000-000042000000}"/>
    <cellStyle name="SuperScript" xfId="15" xr:uid="{00000000-0005-0000-0000-000043000000}"/>
    <cellStyle name="Table" xfId="80" xr:uid="{00000000-0005-0000-0000-000044000000}"/>
    <cellStyle name="Text Indent A" xfId="81" xr:uid="{00000000-0005-0000-0000-000045000000}"/>
    <cellStyle name="Text Indent B" xfId="82" xr:uid="{00000000-0005-0000-0000-000046000000}"/>
    <cellStyle name="Text Indent C" xfId="83" xr:uid="{00000000-0005-0000-0000-000047000000}"/>
    <cellStyle name="TextBold" xfId="16" xr:uid="{00000000-0005-0000-0000-000048000000}"/>
    <cellStyle name="TextItalic" xfId="17" xr:uid="{00000000-0005-0000-0000-000049000000}"/>
    <cellStyle name="TextNormal" xfId="18" xr:uid="{00000000-0005-0000-0000-00004A000000}"/>
    <cellStyle name="TitleNormal" xfId="19" xr:uid="{00000000-0005-0000-0000-00004B000000}"/>
    <cellStyle name="Total" xfId="20" xr:uid="{00000000-0005-0000-0000-00004C000000}"/>
    <cellStyle name="UI Background" xfId="84" xr:uid="{00000000-0005-0000-0000-00004D000000}"/>
    <cellStyle name="UIScreenText" xfId="85" xr:uid="{00000000-0005-0000-0000-00004E000000}"/>
    <cellStyle name="Variables" xfId="86" xr:uid="{00000000-0005-0000-0000-00004F000000}"/>
    <cellStyle name="백분율 2" xfId="25" xr:uid="{00000000-0005-0000-0000-000050000000}"/>
    <cellStyle name="쉼표 [0]" xfId="87" builtinId="6"/>
    <cellStyle name="쉼표 2" xfId="26" xr:uid="{00000000-0005-0000-0000-000051000000}"/>
    <cellStyle name="표준" xfId="0" builtinId="0"/>
    <cellStyle name="표준 2" xfId="1" xr:uid="{00000000-0005-0000-0000-000053000000}"/>
    <cellStyle name="표준 3" xfId="2" xr:uid="{00000000-0005-0000-0000-000054000000}"/>
    <cellStyle name="표준 4" xfId="22" xr:uid="{00000000-0005-0000-0000-000055000000}"/>
    <cellStyle name="하이퍼링크" xfId="21" builtinId="8"/>
  </cellStyles>
  <dxfs count="2">
    <dxf>
      <font>
        <color theme="0"/>
      </font>
      <border>
        <left style="thin">
          <color auto="1"/>
        </left>
        <right/>
        <top/>
        <bottom/>
        <vertical/>
        <horizontal/>
      </border>
    </dxf>
    <dxf>
      <font>
        <color theme="0"/>
      </font>
      <border>
        <left style="thin">
          <color auto="1"/>
        </left>
        <right/>
        <top/>
        <bottom/>
        <vertical/>
        <horizontal/>
      </border>
    </dxf>
  </dxfs>
  <tableStyles count="0" defaultTableStyle="TableStyleMedium2" defaultPivotStyle="PivotStyleLight16"/>
  <colors>
    <mruColors>
      <color rgb="FF0000FF"/>
      <color rgb="FF006600"/>
      <color rgb="FFFFFFCC"/>
      <color rgb="FF6600CC"/>
      <color rgb="FF000000"/>
      <color rgb="FF3399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7091885596321"/>
          <c:y val="2.6315813626914375E-2"/>
          <c:w val="0.87346740963373271"/>
          <c:h val="0.87970005552827901"/>
        </c:manualLayout>
      </c:layout>
      <c:stockChart>
        <c:ser>
          <c:idx val="0"/>
          <c:order val="0"/>
          <c:tx>
            <c:strRef>
              <c:f>'Valuation Chart'!$L$18</c:f>
              <c:strCache>
                <c:ptCount val="1"/>
                <c:pt idx="0">
                  <c:v>Mean</c:v>
                </c:pt>
              </c:strCache>
            </c:strRef>
          </c:tx>
          <c:spPr>
            <a:ln w="28575">
              <a:no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Chart'!$L$19:$L$26</c:f>
              <c:numCache>
                <c:formatCode>#,##0.0</c:formatCode>
                <c:ptCount val="8"/>
                <c:pt idx="0">
                  <c:v>1007.6304803160001</c:v>
                </c:pt>
                <c:pt idx="1">
                  <c:v>969.02830320000021</c:v>
                </c:pt>
                <c:pt idx="2">
                  <c:v>1366.6305968799998</c:v>
                </c:pt>
                <c:pt idx="3">
                  <c:v>1270.7467035469997</c:v>
                </c:pt>
                <c:pt idx="4">
                  <c:v>945.32305652666673</c:v>
                </c:pt>
                <c:pt idx="5">
                  <c:v>34.538947784104082</c:v>
                </c:pt>
                <c:pt idx="6">
                  <c:v>1431.7861912512458</c:v>
                </c:pt>
                <c:pt idx="7">
                  <c:v>1764.4270809475772</c:v>
                </c:pt>
              </c:numCache>
            </c:numRef>
          </c:val>
          <c:smooth val="0"/>
          <c:extLst>
            <c:ext xmlns:c16="http://schemas.microsoft.com/office/drawing/2014/chart" uri="{C3380CC4-5D6E-409C-BE32-E72D297353CC}">
              <c16:uniqueId val="{00000000-AF89-4EF4-A295-6B360B6E34F0}"/>
            </c:ext>
          </c:extLst>
        </c:ser>
        <c:ser>
          <c:idx val="1"/>
          <c:order val="1"/>
          <c:tx>
            <c:strRef>
              <c:f>'Valuation Chart'!$M$18</c:f>
              <c:strCache>
                <c:ptCount val="1"/>
                <c:pt idx="0">
                  <c:v>High</c:v>
                </c:pt>
              </c:strCache>
            </c:strRef>
          </c:tx>
          <c:spPr>
            <a:ln w="28575">
              <a:no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Chart'!$M$19:$M$26</c:f>
              <c:numCache>
                <c:formatCode>#,##0.0</c:formatCode>
                <c:ptCount val="8"/>
                <c:pt idx="0">
                  <c:v>2654.0566823099998</c:v>
                </c:pt>
                <c:pt idx="1">
                  <c:v>1656.274602</c:v>
                </c:pt>
                <c:pt idx="2">
                  <c:v>3362.2573480799997</c:v>
                </c:pt>
                <c:pt idx="3">
                  <c:v>3552.2072941379997</c:v>
                </c:pt>
                <c:pt idx="4">
                  <c:v>1518.6372062099999</c:v>
                </c:pt>
                <c:pt idx="5">
                  <c:v>67.544697930866278</c:v>
                </c:pt>
                <c:pt idx="6">
                  <c:v>4635.1075502321655</c:v>
                </c:pt>
                <c:pt idx="7">
                  <c:v>3805.552281353438</c:v>
                </c:pt>
              </c:numCache>
            </c:numRef>
          </c:val>
          <c:smooth val="0"/>
          <c:extLst>
            <c:ext xmlns:c16="http://schemas.microsoft.com/office/drawing/2014/chart" uri="{C3380CC4-5D6E-409C-BE32-E72D297353CC}">
              <c16:uniqueId val="{00000001-AF89-4EF4-A295-6B360B6E34F0}"/>
            </c:ext>
          </c:extLst>
        </c:ser>
        <c:ser>
          <c:idx val="2"/>
          <c:order val="2"/>
          <c:tx>
            <c:strRef>
              <c:f>'Valuation Chart'!$N$18</c:f>
              <c:strCache>
                <c:ptCount val="1"/>
                <c:pt idx="0">
                  <c:v>Low</c:v>
                </c:pt>
              </c:strCache>
            </c:strRef>
          </c:tx>
          <c:spPr>
            <a:ln w="28575">
              <a:no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Chart'!$N$19:$N$26</c:f>
              <c:numCache>
                <c:formatCode>#,##0.0</c:formatCode>
                <c:ptCount val="8"/>
                <c:pt idx="0">
                  <c:v>276.93780429000003</c:v>
                </c:pt>
                <c:pt idx="1">
                  <c:v>530.278728</c:v>
                </c:pt>
                <c:pt idx="2">
                  <c:v>499.09827270000005</c:v>
                </c:pt>
                <c:pt idx="3">
                  <c:v>306.03262722900001</c:v>
                </c:pt>
                <c:pt idx="4">
                  <c:v>558.62136978000001</c:v>
                </c:pt>
                <c:pt idx="5">
                  <c:v>8.0728421904260514</c:v>
                </c:pt>
                <c:pt idx="6">
                  <c:v>329.45152523231332</c:v>
                </c:pt>
                <c:pt idx="7">
                  <c:v>390.80218839654748</c:v>
                </c:pt>
              </c:numCache>
            </c:numRef>
          </c:val>
          <c:smooth val="0"/>
          <c:extLst>
            <c:ext xmlns:c16="http://schemas.microsoft.com/office/drawing/2014/chart" uri="{C3380CC4-5D6E-409C-BE32-E72D297353CC}">
              <c16:uniqueId val="{00000002-AF89-4EF4-A295-6B360B6E34F0}"/>
            </c:ext>
          </c:extLst>
        </c:ser>
        <c:ser>
          <c:idx val="3"/>
          <c:order val="3"/>
          <c:tx>
            <c:strRef>
              <c:f>'Valuation Chart'!$O$18</c:f>
              <c:strCache>
                <c:ptCount val="1"/>
                <c:pt idx="0">
                  <c:v>Median</c:v>
                </c:pt>
              </c:strCache>
            </c:strRef>
          </c:tx>
          <c:spPr>
            <a:ln w="28575">
              <a:no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Chart'!$O$19:$O$26</c:f>
              <c:numCache>
                <c:formatCode>#,##0.0</c:formatCode>
                <c:ptCount val="8"/>
                <c:pt idx="0">
                  <c:v>645.38539837500002</c:v>
                </c:pt>
                <c:pt idx="1">
                  <c:v>894.0584070000001</c:v>
                </c:pt>
                <c:pt idx="2">
                  <c:v>1205.0067412200001</c:v>
                </c:pt>
                <c:pt idx="3">
                  <c:v>607.29642042600005</c:v>
                </c:pt>
                <c:pt idx="4">
                  <c:v>941.1457895399999</c:v>
                </c:pt>
                <c:pt idx="5">
                  <c:v>22.915485728143153</c:v>
                </c:pt>
                <c:pt idx="6">
                  <c:v>516.84662432666676</c:v>
                </c:pt>
                <c:pt idx="7">
                  <c:v>1142.4418248130326</c:v>
                </c:pt>
              </c:numCache>
            </c:numRef>
          </c:val>
          <c:smooth val="0"/>
          <c:extLst>
            <c:ext xmlns:c16="http://schemas.microsoft.com/office/drawing/2014/chart" uri="{C3380CC4-5D6E-409C-BE32-E72D297353CC}">
              <c16:uniqueId val="{00000003-AF89-4EF4-A295-6B360B6E34F0}"/>
            </c:ext>
          </c:extLst>
        </c:ser>
        <c:dLbls>
          <c:showLegendKey val="0"/>
          <c:showVal val="0"/>
          <c:showCatName val="0"/>
          <c:showSerName val="0"/>
          <c:showPercent val="0"/>
          <c:showBubbleSize val="0"/>
        </c:dLbls>
        <c:hiLowLines>
          <c:spPr>
            <a:ln>
              <a:solidFill>
                <a:schemeClr val="tx2"/>
              </a:solidFill>
            </a:ln>
          </c:spPr>
        </c:hiLowLines>
        <c:upDownBars>
          <c:gapWidth val="150"/>
          <c:upBars>
            <c:spPr>
              <a:solidFill>
                <a:schemeClr val="accent1"/>
              </a:solidFill>
              <a:ln>
                <a:noFill/>
              </a:ln>
            </c:spPr>
          </c:upBars>
          <c:downBars>
            <c:spPr>
              <a:solidFill>
                <a:schemeClr val="accent1"/>
              </a:solidFill>
              <a:ln>
                <a:noFill/>
              </a:ln>
            </c:spPr>
          </c:downBars>
        </c:upDownBars>
        <c:axId val="131919360"/>
        <c:axId val="201544768"/>
      </c:stockChart>
      <c:stockChart>
        <c:ser>
          <c:idx val="4"/>
          <c:order val="4"/>
          <c:tx>
            <c:strRef>
              <c:f>'Valuation Chart'!$P$18</c:f>
              <c:strCache>
                <c:ptCount val="1"/>
              </c:strCache>
            </c:strRef>
          </c:tx>
          <c:spPr>
            <a:ln w="28575">
              <a:solidFill>
                <a:srgbClr val="FFC000"/>
              </a:solid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Chart'!$P$19:$P$26</c:f>
              <c:numCache>
                <c:formatCode>General</c:formatCode>
                <c:ptCount val="8"/>
              </c:numCache>
            </c:numRef>
          </c:val>
          <c:smooth val="0"/>
          <c:extLst>
            <c:ext xmlns:c16="http://schemas.microsoft.com/office/drawing/2014/chart" uri="{C3380CC4-5D6E-409C-BE32-E72D297353CC}">
              <c16:uniqueId val="{00000004-AF89-4EF4-A295-6B360B6E34F0}"/>
            </c:ext>
          </c:extLst>
        </c:ser>
        <c:dLbls>
          <c:showLegendKey val="0"/>
          <c:showVal val="0"/>
          <c:showCatName val="0"/>
          <c:showSerName val="0"/>
          <c:showPercent val="0"/>
          <c:showBubbleSize val="0"/>
        </c:dLbls>
        <c:axId val="132321280"/>
        <c:axId val="201543040"/>
      </c:stockChart>
      <c:catAx>
        <c:axId val="131919360"/>
        <c:scaling>
          <c:orientation val="minMax"/>
        </c:scaling>
        <c:delete val="0"/>
        <c:axPos val="b"/>
        <c:numFmt formatCode="General" sourceLinked="1"/>
        <c:majorTickMark val="out"/>
        <c:minorTickMark val="none"/>
        <c:tickLblPos val="nextTo"/>
        <c:spPr>
          <a:ln w="3175">
            <a:solidFill>
              <a:srgbClr val="5A5A5A"/>
            </a:solidFill>
            <a:prstDash val="solid"/>
          </a:ln>
        </c:spPr>
        <c:crossAx val="201544768"/>
        <c:crosses val="autoZero"/>
        <c:auto val="1"/>
        <c:lblAlgn val="ctr"/>
        <c:lblOffset val="100"/>
        <c:noMultiLvlLbl val="0"/>
      </c:catAx>
      <c:valAx>
        <c:axId val="201544768"/>
        <c:scaling>
          <c:orientation val="minMax"/>
        </c:scaling>
        <c:delete val="0"/>
        <c:axPos val="l"/>
        <c:majorGridlines>
          <c:spPr>
            <a:ln w="3175">
              <a:solidFill>
                <a:srgbClr val="5A5A5A"/>
              </a:solidFill>
              <a:prstDash val="sysDot"/>
            </a:ln>
          </c:spPr>
        </c:majorGridlines>
        <c:title>
          <c:tx>
            <c:rich>
              <a:bodyPr rot="-5400000" vert="horz"/>
              <a:lstStyle/>
              <a:p>
                <a:pPr>
                  <a:defRPr/>
                </a:pPr>
                <a:r>
                  <a:rPr lang="en-US"/>
                  <a:t>Implied</a:t>
                </a:r>
                <a:r>
                  <a:rPr lang="en-US" baseline="0"/>
                  <a:t> Equity Value</a:t>
                </a:r>
                <a:endParaRPr lang="en-US"/>
              </a:p>
            </c:rich>
          </c:tx>
          <c:layout>
            <c:manualLayout>
              <c:xMode val="edge"/>
              <c:yMode val="edge"/>
              <c:x val="8.116556408366964E-3"/>
              <c:y val="0.35342766364730793"/>
            </c:manualLayout>
          </c:layout>
          <c:overlay val="0"/>
          <c:spPr>
            <a:noFill/>
            <a:ln w="25400">
              <a:noFill/>
            </a:ln>
          </c:spPr>
        </c:title>
        <c:numFmt formatCode="#,##0" sourceLinked="0"/>
        <c:majorTickMark val="out"/>
        <c:minorTickMark val="none"/>
        <c:tickLblPos val="nextTo"/>
        <c:spPr>
          <a:ln w="3175">
            <a:solidFill>
              <a:srgbClr val="5A5A5A"/>
            </a:solidFill>
            <a:prstDash val="solid"/>
          </a:ln>
        </c:spPr>
        <c:crossAx val="131919360"/>
        <c:crosses val="autoZero"/>
        <c:crossBetween val="between"/>
      </c:valAx>
      <c:valAx>
        <c:axId val="201543040"/>
        <c:scaling>
          <c:orientation val="minMax"/>
          <c:max val="140000"/>
          <c:min val="0"/>
        </c:scaling>
        <c:delete val="0"/>
        <c:axPos val="r"/>
        <c:numFmt formatCode="0" sourceLinked="0"/>
        <c:majorTickMark val="none"/>
        <c:minorTickMark val="none"/>
        <c:tickLblPos val="none"/>
        <c:crossAx val="132321280"/>
        <c:crosses val="max"/>
        <c:crossBetween val="between"/>
      </c:valAx>
      <c:catAx>
        <c:axId val="132321280"/>
        <c:scaling>
          <c:orientation val="minMax"/>
        </c:scaling>
        <c:delete val="1"/>
        <c:axPos val="t"/>
        <c:numFmt formatCode="General" sourceLinked="1"/>
        <c:majorTickMark val="out"/>
        <c:minorTickMark val="none"/>
        <c:tickLblPos val="none"/>
        <c:crossAx val="201543040"/>
        <c:crosses val="max"/>
        <c:auto val="1"/>
        <c:lblAlgn val="ctr"/>
        <c:lblOffset val="100"/>
        <c:noMultiLvlLbl val="0"/>
      </c:catAx>
      <c:spPr>
        <a:noFill/>
        <a:ln>
          <a:solidFill>
            <a:schemeClr val="tx1"/>
          </a:solidFill>
        </a:ln>
      </c:spPr>
    </c:plotArea>
    <c:plotVisOnly val="1"/>
    <c:dispBlanksAs val="gap"/>
    <c:showDLblsOverMax val="0"/>
  </c:chart>
  <c:spPr>
    <a:noFill/>
    <a:ln>
      <a:noFill/>
    </a:ln>
  </c:spPr>
  <c:printSettings>
    <c:headerFooter/>
    <c:pageMargins b="0.75000000000000178" l="0.70000000000000062" r="0.70000000000000062" t="0.75000000000000178"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png"/></Relationships>
</file>

<file path=xl/drawings/_rels/drawing2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1.xml"/></Relationships>
</file>

<file path=xl/drawings/_rels/drawing2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10</xdr:col>
      <xdr:colOff>295275</xdr:colOff>
      <xdr:row>23</xdr:row>
      <xdr:rowOff>166946</xdr:rowOff>
    </xdr:from>
    <xdr:to>
      <xdr:col>12</xdr:col>
      <xdr:colOff>133350</xdr:colOff>
      <xdr:row>25</xdr:row>
      <xdr:rowOff>201056</xdr:rowOff>
    </xdr:to>
    <xdr:pic>
      <xdr:nvPicPr>
        <xdr:cNvPr id="2" name="Picture 2">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7543800" y="5091371"/>
          <a:ext cx="1562100" cy="453210"/>
        </a:xfrm>
        <a:prstGeom prst="rect">
          <a:avLst/>
        </a:prstGeom>
      </xdr:spPr>
    </xdr:pic>
    <xdr:clientData/>
  </xdr:twoCellAnchor>
  <xdr:twoCellAnchor editAs="oneCell">
    <xdr:from>
      <xdr:col>1</xdr:col>
      <xdr:colOff>28576</xdr:colOff>
      <xdr:row>23</xdr:row>
      <xdr:rowOff>164796</xdr:rowOff>
    </xdr:from>
    <xdr:to>
      <xdr:col>4</xdr:col>
      <xdr:colOff>209550</xdr:colOff>
      <xdr:row>26</xdr:row>
      <xdr:rowOff>9235</xdr:rowOff>
    </xdr:to>
    <xdr:pic>
      <xdr:nvPicPr>
        <xdr:cNvPr id="4" name="그림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a:ext>
          </a:extLst>
        </a:blip>
        <a:stretch>
          <a:fillRect/>
        </a:stretch>
      </xdr:blipFill>
      <xdr:spPr>
        <a:xfrm>
          <a:off x="238126" y="5089221"/>
          <a:ext cx="1771649" cy="4730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3" name="그림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4836" y="691356"/>
          <a:ext cx="974912" cy="250003"/>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4" name="Picture 4">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4" name="그림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3" name="그림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4" name="Picture 4">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6" name="그림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7" name="Picture 4">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598280</xdr:colOff>
      <xdr:row>5</xdr:row>
      <xdr:rowOff>134535</xdr:rowOff>
    </xdr:to>
    <xdr:pic>
      <xdr:nvPicPr>
        <xdr:cNvPr id="2" name="그림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104775</xdr:colOff>
      <xdr:row>0</xdr:row>
      <xdr:rowOff>95250</xdr:rowOff>
    </xdr:from>
    <xdr:to>
      <xdr:col>0</xdr:col>
      <xdr:colOff>2089692</xdr:colOff>
      <xdr:row>0</xdr:row>
      <xdr:rowOff>942975</xdr:rowOff>
    </xdr:to>
    <xdr:pic>
      <xdr:nvPicPr>
        <xdr:cNvPr id="2" name="Picture 2">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95250"/>
          <a:ext cx="1984917"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19050</xdr:colOff>
      <xdr:row>69</xdr:row>
      <xdr:rowOff>0</xdr:rowOff>
    </xdr:from>
    <xdr:to>
      <xdr:col>3</xdr:col>
      <xdr:colOff>581025</xdr:colOff>
      <xdr:row>69</xdr:row>
      <xdr:rowOff>1905000</xdr:rowOff>
    </xdr:to>
    <xdr:pic>
      <xdr:nvPicPr>
        <xdr:cNvPr id="3" name="Picture 3">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10915650"/>
          <a:ext cx="5600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90</xdr:row>
      <xdr:rowOff>0</xdr:rowOff>
    </xdr:from>
    <xdr:to>
      <xdr:col>1</xdr:col>
      <xdr:colOff>762000</xdr:colOff>
      <xdr:row>92</xdr:row>
      <xdr:rowOff>104775</xdr:rowOff>
    </xdr:to>
    <xdr:pic>
      <xdr:nvPicPr>
        <xdr:cNvPr id="3" name="Picture 3">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57525" y="12944475"/>
          <a:ext cx="762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40</xdr:row>
      <xdr:rowOff>0</xdr:rowOff>
    </xdr:from>
    <xdr:to>
      <xdr:col>1</xdr:col>
      <xdr:colOff>762000</xdr:colOff>
      <xdr:row>42</xdr:row>
      <xdr:rowOff>104775</xdr:rowOff>
    </xdr:to>
    <xdr:pic>
      <xdr:nvPicPr>
        <xdr:cNvPr id="3" name="Picture 3">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57525" y="8058150"/>
          <a:ext cx="762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17</xdr:col>
      <xdr:colOff>514350</xdr:colOff>
      <xdr:row>2</xdr:row>
      <xdr:rowOff>19050</xdr:rowOff>
    </xdr:from>
    <xdr:to>
      <xdr:col>18</xdr:col>
      <xdr:colOff>695325</xdr:colOff>
      <xdr:row>3</xdr:row>
      <xdr:rowOff>0</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34900" y="400050"/>
          <a:ext cx="9144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514350</xdr:colOff>
      <xdr:row>2</xdr:row>
      <xdr:rowOff>19050</xdr:rowOff>
    </xdr:from>
    <xdr:to>
      <xdr:col>18</xdr:col>
      <xdr:colOff>695325</xdr:colOff>
      <xdr:row>3</xdr:row>
      <xdr:rowOff>0</xdr:rowOff>
    </xdr:to>
    <xdr:pic>
      <xdr:nvPicPr>
        <xdr:cNvPr id="3" name="Picture 1">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34900" y="400050"/>
          <a:ext cx="9144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514350</xdr:colOff>
      <xdr:row>2</xdr:row>
      <xdr:rowOff>19050</xdr:rowOff>
    </xdr:from>
    <xdr:to>
      <xdr:col>18</xdr:col>
      <xdr:colOff>695325</xdr:colOff>
      <xdr:row>3</xdr:row>
      <xdr:rowOff>0</xdr:rowOff>
    </xdr:to>
    <xdr:pic>
      <xdr:nvPicPr>
        <xdr:cNvPr id="4" name="Picture 1">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34900" y="400050"/>
          <a:ext cx="9144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8</xdr:col>
      <xdr:colOff>95250</xdr:colOff>
      <xdr:row>1</xdr:row>
      <xdr:rowOff>19050</xdr:rowOff>
    </xdr:from>
    <xdr:to>
      <xdr:col>8</xdr:col>
      <xdr:colOff>1010771</xdr:colOff>
      <xdr:row>2</xdr:row>
      <xdr:rowOff>0</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0" y="180975"/>
          <a:ext cx="915521"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47625</xdr:colOff>
      <xdr:row>10</xdr:row>
      <xdr:rowOff>47625</xdr:rowOff>
    </xdr:from>
    <xdr:to>
      <xdr:col>6</xdr:col>
      <xdr:colOff>466725</xdr:colOff>
      <xdr:row>41</xdr:row>
      <xdr:rowOff>95250</xdr:rowOff>
    </xdr:to>
    <xdr:graphicFrame macro="">
      <xdr:nvGraphicFramePr>
        <xdr:cNvPr id="2" name="Chart 8">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285750</xdr:colOff>
      <xdr:row>1</xdr:row>
      <xdr:rowOff>19050</xdr:rowOff>
    </xdr:from>
    <xdr:to>
      <xdr:col>6</xdr:col>
      <xdr:colOff>582146</xdr:colOff>
      <xdr:row>2</xdr:row>
      <xdr:rowOff>0</xdr:rowOff>
    </xdr:to>
    <xdr:pic>
      <xdr:nvPicPr>
        <xdr:cNvPr id="3" name="Picture 1">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01050" y="180975"/>
          <a:ext cx="915521"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16</xdr:row>
      <xdr:rowOff>0</xdr:rowOff>
    </xdr:from>
    <xdr:to>
      <xdr:col>0</xdr:col>
      <xdr:colOff>9525</xdr:colOff>
      <xdr:row>16</xdr:row>
      <xdr:rowOff>9525</xdr:rowOff>
    </xdr:to>
    <xdr:pic>
      <xdr:nvPicPr>
        <xdr:cNvPr id="3" name="Picture 3">
          <a:extLst>
            <a:ext uri="{FF2B5EF4-FFF2-40B4-BE49-F238E27FC236}">
              <a16:creationId xmlns:a16="http://schemas.microsoft.com/office/drawing/2014/main" id="{00000000-0008-0000-1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00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H/Google%20&#46300;&#46972;&#51060;&#48652;/9%20Wall%20Street%20Training/111%203SM%20and%20DCF/WST_Modeling%20class_&#49688;&#50629;%20&#51652;&#54665;&#50857;_&#48120;&#47000;&#50640;&#49483;_updated/Wall%20Street%20Training_3%20SM_p125_3SM%20ends%20with%20balance_ready%20for%20DCF%20start%20w%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S"/>
      <sheetName val="BS"/>
      <sheetName val="SCF"/>
      <sheetName val="Working Capital"/>
      <sheetName val="PP&amp;E"/>
      <sheetName val="Intangibles"/>
      <sheetName val="Other LT Items"/>
      <sheetName val="Equity"/>
      <sheetName val="Share"/>
      <sheetName val="Debt&amp;Interest"/>
      <sheetName val="DCF Analysis"/>
      <sheetName val="CR"/>
    </sheetNames>
    <sheetDataSet>
      <sheetData sheetId="0">
        <row r="6">
          <cell r="K6">
            <v>1</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bin"/><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customProperty" Target="../customProperty2.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3.bin"/><Relationship Id="rId1" Type="http://schemas.openxmlformats.org/officeDocument/2006/relationships/printerSettings" Target="../printerSettings/printerSettings3.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4.bin"/><Relationship Id="rId1" Type="http://schemas.openxmlformats.org/officeDocument/2006/relationships/printerSettings" Target="../printerSettings/printerSettings4.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5.bin"/><Relationship Id="rId1" Type="http://schemas.openxmlformats.org/officeDocument/2006/relationships/printerSettings" Target="../printerSettings/printerSettings5.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6.bin"/><Relationship Id="rId1" Type="http://schemas.openxmlformats.org/officeDocument/2006/relationships/printerSettings" Target="../printerSettings/printerSettings7.bin"/><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8.bin"/><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7.bin"/><Relationship Id="rId1" Type="http://schemas.openxmlformats.org/officeDocument/2006/relationships/printerSettings" Target="../printerSettings/printerSettings9.bin"/><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8.bin"/><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hyperlink" Target="https://www.sec.gov/cgi-bin/viewer?action=view&amp;cik=1620533&amp;accession_number=0001620533-18-000015&amp;xbrl_type=v" TargetMode="External"/><Relationship Id="rId2" Type="http://schemas.openxmlformats.org/officeDocument/2006/relationships/hyperlink" Target="https://www.sec.gov/Archives/edgar/data/1620533/000162053318000015/shak-20171227_10k.htm" TargetMode="External"/><Relationship Id="rId1" Type="http://schemas.openxmlformats.org/officeDocument/2006/relationships/hyperlink" Target="https://www.sec.gov/cgi-bin/browse-edgar?company=shake+shack&amp;match=&amp;CIK=&amp;filenum=&amp;State=&amp;Country=&amp;SIC=&amp;owner=exclude&amp;Find=Find+Companies&amp;action=getcompany" TargetMode="External"/><Relationship Id="rId6" Type="http://schemas.openxmlformats.org/officeDocument/2006/relationships/comments" Target="../comments11.xml"/><Relationship Id="rId5" Type="http://schemas.openxmlformats.org/officeDocument/2006/relationships/vmlDrawing" Target="../drawings/vmlDrawing11.vml"/><Relationship Id="rId4" Type="http://schemas.openxmlformats.org/officeDocument/2006/relationships/customProperty" Target="../customProperty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5.x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customProperty" Target="../customProperty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
  <sheetViews>
    <sheetView workbookViewId="0"/>
  </sheetViews>
  <sheetFormatPr defaultRowHeight="17.399999999999999" x14ac:dyDescent="0.4"/>
  <sheetData>
    <row r="1" spans="1:26" x14ac:dyDescent="0.4">
      <c r="A1">
        <v>26</v>
      </c>
      <c r="B1" t="s">
        <v>1615</v>
      </c>
      <c r="C1" t="s">
        <v>1605</v>
      </c>
      <c r="D1" t="s">
        <v>1616</v>
      </c>
      <c r="E1" t="s">
        <v>1617</v>
      </c>
      <c r="F1" t="s">
        <v>1618</v>
      </c>
      <c r="G1" t="s">
        <v>1619</v>
      </c>
      <c r="H1" t="s">
        <v>1620</v>
      </c>
      <c r="I1" t="s">
        <v>1621</v>
      </c>
      <c r="J1" t="s">
        <v>1622</v>
      </c>
      <c r="K1" t="s">
        <v>1606</v>
      </c>
      <c r="L1" t="s">
        <v>1623</v>
      </c>
      <c r="M1" t="s">
        <v>1607</v>
      </c>
      <c r="N1" t="s">
        <v>1624</v>
      </c>
      <c r="O1" t="s">
        <v>1608</v>
      </c>
      <c r="P1" t="s">
        <v>1609</v>
      </c>
      <c r="Q1" t="s">
        <v>1610</v>
      </c>
      <c r="R1" t="s">
        <v>1625</v>
      </c>
      <c r="S1" t="s">
        <v>1626</v>
      </c>
      <c r="T1" t="s">
        <v>1627</v>
      </c>
      <c r="U1" t="s">
        <v>1611</v>
      </c>
      <c r="V1" t="s">
        <v>1612</v>
      </c>
      <c r="W1" t="s">
        <v>1628</v>
      </c>
      <c r="X1" t="s">
        <v>1629</v>
      </c>
      <c r="Y1" t="s">
        <v>1613</v>
      </c>
      <c r="Z1" t="s">
        <v>1614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A1:M36"/>
  <sheetViews>
    <sheetView showGridLines="0" view="pageBreakPreview" zoomScaleNormal="100" zoomScaleSheetLayoutView="100" workbookViewId="0">
      <selection activeCell="K11" sqref="K11"/>
    </sheetView>
  </sheetViews>
  <sheetFormatPr defaultColWidth="9" defaultRowHeight="17.399999999999999" x14ac:dyDescent="0.4"/>
  <cols>
    <col min="1" max="3" width="2.69921875" style="33" customWidth="1"/>
    <col min="4" max="4" width="15.296875" style="33" bestFit="1" customWidth="1"/>
    <col min="5" max="5" width="7.69921875" style="33" customWidth="1"/>
    <col min="6" max="6" width="18.69921875" style="33" customWidth="1"/>
    <col min="7" max="7" width="9.09765625" style="33" customWidth="1"/>
    <col min="8" max="8" width="12.69921875" style="33" customWidth="1"/>
    <col min="9" max="9" width="15.296875" style="33" bestFit="1" customWidth="1"/>
    <col min="10" max="10" width="7.69921875" style="33" customWidth="1"/>
    <col min="11" max="11" width="13.59765625" style="33" customWidth="1"/>
    <col min="12" max="12" width="9" style="33"/>
    <col min="13" max="13" width="2.19921875" style="33" customWidth="1"/>
    <col min="14" max="14" width="2.69921875" style="33" customWidth="1"/>
    <col min="15" max="16384" width="9" style="33"/>
  </cols>
  <sheetData>
    <row r="1" spans="1:13" ht="25.8" thickBot="1" x14ac:dyDescent="0.6">
      <c r="A1" s="30"/>
      <c r="B1" s="31"/>
      <c r="C1" s="32"/>
      <c r="D1" s="32"/>
      <c r="E1" s="32"/>
      <c r="F1" s="32"/>
      <c r="G1" s="32"/>
      <c r="H1" s="32"/>
      <c r="I1" s="32"/>
      <c r="J1" s="32"/>
      <c r="K1" s="32"/>
      <c r="L1" s="31"/>
      <c r="M1" s="32"/>
    </row>
    <row r="2" spans="1:13" ht="24" customHeight="1" x14ac:dyDescent="0.55000000000000004">
      <c r="B2" s="34" t="s">
        <v>219</v>
      </c>
    </row>
    <row r="3" spans="1:13" ht="6.75" customHeight="1" thickBot="1" x14ac:dyDescent="0.6">
      <c r="B3" s="31"/>
      <c r="C3" s="32"/>
      <c r="D3" s="32"/>
      <c r="E3" s="32"/>
      <c r="F3" s="32"/>
      <c r="G3" s="32"/>
      <c r="H3" s="32"/>
      <c r="I3" s="32"/>
      <c r="J3" s="32"/>
      <c r="K3" s="32"/>
      <c r="L3" s="31"/>
      <c r="M3" s="32"/>
    </row>
    <row r="6" spans="1:13" x14ac:dyDescent="0.4">
      <c r="D6" s="33" t="s">
        <v>205</v>
      </c>
      <c r="F6" s="35" t="s">
        <v>220</v>
      </c>
      <c r="I6" s="33" t="s">
        <v>206</v>
      </c>
      <c r="K6" s="36">
        <v>1</v>
      </c>
    </row>
    <row r="7" spans="1:13" x14ac:dyDescent="0.4">
      <c r="D7" s="33" t="s">
        <v>221</v>
      </c>
      <c r="F7" s="35" t="s">
        <v>222</v>
      </c>
    </row>
    <row r="9" spans="1:13" x14ac:dyDescent="0.4">
      <c r="D9" s="33" t="s">
        <v>207</v>
      </c>
      <c r="F9" s="37">
        <f ca="1">TODAY()</f>
        <v>45835</v>
      </c>
      <c r="I9" s="33" t="s">
        <v>208</v>
      </c>
      <c r="K9" s="182">
        <f>+DCF!J47</f>
        <v>0</v>
      </c>
    </row>
    <row r="10" spans="1:13" x14ac:dyDescent="0.4">
      <c r="D10" s="33" t="s">
        <v>209</v>
      </c>
      <c r="F10" s="35" t="s">
        <v>210</v>
      </c>
      <c r="I10" s="33" t="s">
        <v>211</v>
      </c>
      <c r="K10" s="182">
        <f>+DCF!J51</f>
        <v>0</v>
      </c>
    </row>
    <row r="11" spans="1:13" x14ac:dyDescent="0.4">
      <c r="A11" s="33" t="s">
        <v>212</v>
      </c>
      <c r="I11" s="38" t="s">
        <v>213</v>
      </c>
      <c r="J11" s="38"/>
      <c r="K11" s="40">
        <f>+DCF!J55</f>
        <v>0</v>
      </c>
    </row>
    <row r="12" spans="1:13" x14ac:dyDescent="0.4">
      <c r="I12" s="183" t="s">
        <v>895</v>
      </c>
      <c r="J12" s="183"/>
      <c r="K12" s="184">
        <v>43.2</v>
      </c>
    </row>
    <row r="13" spans="1:13" x14ac:dyDescent="0.4">
      <c r="K13" s="181" t="s">
        <v>224</v>
      </c>
    </row>
    <row r="17" spans="3:6" x14ac:dyDescent="0.4">
      <c r="F17"/>
    </row>
    <row r="29" spans="3:6" x14ac:dyDescent="0.4">
      <c r="C29" s="39" t="s">
        <v>1630</v>
      </c>
    </row>
    <row r="30" spans="3:6" x14ac:dyDescent="0.4">
      <c r="C30" s="39" t="s">
        <v>214</v>
      </c>
    </row>
    <row r="31" spans="3:6" x14ac:dyDescent="0.4">
      <c r="C31" s="39" t="s">
        <v>1579</v>
      </c>
    </row>
    <row r="32" spans="3:6" x14ac:dyDescent="0.4">
      <c r="C32" s="39"/>
    </row>
    <row r="33" spans="3:3" x14ac:dyDescent="0.4">
      <c r="C33" s="39" t="s">
        <v>1631</v>
      </c>
    </row>
    <row r="34" spans="3:3" x14ac:dyDescent="0.4">
      <c r="C34" s="39" t="s">
        <v>216</v>
      </c>
    </row>
    <row r="35" spans="3:3" x14ac:dyDescent="0.4">
      <c r="C35" s="39" t="s">
        <v>217</v>
      </c>
    </row>
    <row r="36" spans="3:3" x14ac:dyDescent="0.4">
      <c r="C36" s="39" t="s">
        <v>218</v>
      </c>
    </row>
  </sheetData>
  <phoneticPr fontId="1" type="noConversion"/>
  <pageMargins left="0.7" right="0.7" top="0.75" bottom="0.75" header="0.3" footer="0.3"/>
  <pageSetup paperSize="9" scale="95"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00"/>
    <pageSetUpPr autoPageBreaks="0"/>
  </sheetPr>
  <dimension ref="A1:Y113"/>
  <sheetViews>
    <sheetView showGridLines="0" zoomScaleNormal="115" workbookViewId="0">
      <pane ySplit="8" topLeftCell="A100" activePane="bottomLeft" state="frozen"/>
      <selection pane="bottomLeft" activeCell="J106" sqref="J106"/>
    </sheetView>
  </sheetViews>
  <sheetFormatPr defaultColWidth="8.59765625" defaultRowHeight="13.2" outlineLevelRow="1" outlineLevelCol="1" x14ac:dyDescent="0.4"/>
  <cols>
    <col min="1" max="3" width="2.59765625" style="1" customWidth="1"/>
    <col min="4" max="5" width="13.59765625" style="1" customWidth="1"/>
    <col min="6" max="7" width="10.59765625" style="1" customWidth="1" outlineLevel="1"/>
    <col min="8" max="15" width="10.59765625" style="1" customWidth="1"/>
    <col min="16" max="19" width="10.59765625" style="1" hidden="1" customWidth="1" outlineLevel="1"/>
    <col min="20" max="20" width="8.69921875" style="1" hidden="1" customWidth="1" outlineLevel="1"/>
    <col min="21" max="21" width="19" style="1" bestFit="1" customWidth="1" collapsed="1"/>
    <col min="22" max="16384" width="8.59765625" style="1"/>
  </cols>
  <sheetData>
    <row r="1" spans="1:20" ht="8.1" customHeight="1" x14ac:dyDescent="0.4"/>
    <row r="2" spans="1:20" x14ac:dyDescent="0.4">
      <c r="B2" s="2" t="s">
        <v>229</v>
      </c>
    </row>
    <row r="3" spans="1:20" s="53" customFormat="1" ht="18" thickBot="1" x14ac:dyDescent="0.35">
      <c r="A3" s="52"/>
      <c r="B3" s="58" t="s">
        <v>233</v>
      </c>
    </row>
    <row r="4" spans="1:20" s="55" customFormat="1" x14ac:dyDescent="0.25">
      <c r="A4" s="52"/>
      <c r="B4" s="57" t="s">
        <v>223</v>
      </c>
    </row>
    <row r="5" spans="1:20" s="55" customFormat="1" x14ac:dyDescent="0.25">
      <c r="A5" s="52"/>
    </row>
    <row r="6" spans="1:20" s="55" customFormat="1" x14ac:dyDescent="0.25">
      <c r="A6" s="52"/>
    </row>
    <row r="7" spans="1:20" x14ac:dyDescent="0.4">
      <c r="B7" s="6"/>
      <c r="F7" s="46"/>
      <c r="G7" s="46"/>
      <c r="H7" s="46" t="s">
        <v>225</v>
      </c>
      <c r="I7" s="46"/>
      <c r="J7" s="47"/>
      <c r="K7" s="46" t="s">
        <v>226</v>
      </c>
      <c r="L7" s="46"/>
      <c r="M7" s="46"/>
      <c r="N7" s="46"/>
      <c r="O7" s="46"/>
      <c r="P7" s="46"/>
      <c r="Q7" s="46"/>
      <c r="R7" s="46"/>
      <c r="S7" s="46"/>
      <c r="T7" s="46"/>
    </row>
    <row r="8" spans="1:20" x14ac:dyDescent="0.4">
      <c r="F8" s="48">
        <v>2013</v>
      </c>
      <c r="G8" s="49">
        <f t="shared" ref="G8:P8" si="0">F8+1</f>
        <v>2014</v>
      </c>
      <c r="H8" s="49">
        <f t="shared" si="0"/>
        <v>2015</v>
      </c>
      <c r="I8" s="49">
        <f t="shared" si="0"/>
        <v>2016</v>
      </c>
      <c r="J8" s="59">
        <f t="shared" si="0"/>
        <v>2017</v>
      </c>
      <c r="K8" s="51">
        <f t="shared" si="0"/>
        <v>2018</v>
      </c>
      <c r="L8" s="51">
        <f t="shared" si="0"/>
        <v>2019</v>
      </c>
      <c r="M8" s="51">
        <f t="shared" si="0"/>
        <v>2020</v>
      </c>
      <c r="N8" s="51">
        <f t="shared" si="0"/>
        <v>2021</v>
      </c>
      <c r="O8" s="51">
        <f t="shared" si="0"/>
        <v>2022</v>
      </c>
      <c r="P8" s="51">
        <f t="shared" si="0"/>
        <v>2023</v>
      </c>
      <c r="Q8" s="51">
        <f>P8+1</f>
        <v>2024</v>
      </c>
      <c r="R8" s="51">
        <f>Q8+1</f>
        <v>2025</v>
      </c>
      <c r="S8" s="51">
        <f>R8+1</f>
        <v>2026</v>
      </c>
      <c r="T8" s="51">
        <f>S8+1</f>
        <v>2027</v>
      </c>
    </row>
    <row r="9" spans="1:20" x14ac:dyDescent="0.4">
      <c r="J9" s="41"/>
    </row>
    <row r="10" spans="1:20" x14ac:dyDescent="0.4">
      <c r="A10" s="1" t="s">
        <v>235</v>
      </c>
      <c r="B10" s="499" t="s">
        <v>240</v>
      </c>
      <c r="C10" s="499"/>
      <c r="D10" s="499"/>
      <c r="E10" s="499"/>
      <c r="F10" s="499"/>
      <c r="G10" s="499"/>
      <c r="H10" s="499"/>
      <c r="I10" s="499"/>
      <c r="J10" s="500"/>
      <c r="K10" s="499"/>
      <c r="L10" s="499"/>
      <c r="M10" s="499"/>
      <c r="N10" s="499"/>
      <c r="O10" s="499"/>
      <c r="P10" s="499"/>
      <c r="Q10" s="499"/>
      <c r="R10" s="499"/>
      <c r="S10" s="499"/>
      <c r="T10" s="499"/>
    </row>
    <row r="11" spans="1:20" x14ac:dyDescent="0.4">
      <c r="B11" s="1" t="s">
        <v>3</v>
      </c>
      <c r="J11" s="41"/>
    </row>
    <row r="12" spans="1:20" x14ac:dyDescent="0.4">
      <c r="C12" s="1" t="s">
        <v>0</v>
      </c>
      <c r="F12" s="15">
        <v>21</v>
      </c>
      <c r="G12" s="15">
        <v>31</v>
      </c>
      <c r="H12" s="15">
        <v>44</v>
      </c>
      <c r="I12" s="15">
        <v>64</v>
      </c>
      <c r="J12" s="45">
        <v>90</v>
      </c>
      <c r="K12" s="513">
        <f>J12+K19</f>
        <v>123</v>
      </c>
      <c r="L12" s="513">
        <f>K12+L19</f>
        <v>163</v>
      </c>
      <c r="M12" s="513">
        <f>L12+M19</f>
        <v>200</v>
      </c>
      <c r="N12" s="513">
        <f>M12+N19</f>
        <v>225</v>
      </c>
      <c r="O12" s="513">
        <f>N12+O19</f>
        <v>250</v>
      </c>
      <c r="P12" s="3">
        <f>O12+P19+P23</f>
        <v>270</v>
      </c>
      <c r="Q12" s="3">
        <f>P12+Q19+Q23</f>
        <v>290</v>
      </c>
      <c r="R12" s="3">
        <f>Q12+R19+R23</f>
        <v>305</v>
      </c>
      <c r="S12" s="3">
        <f>R12+S19+S23</f>
        <v>315</v>
      </c>
      <c r="T12" s="3">
        <f>S12+T19+T23</f>
        <v>320</v>
      </c>
    </row>
    <row r="13" spans="1:20" x14ac:dyDescent="0.4">
      <c r="C13" s="1" t="s">
        <v>1</v>
      </c>
      <c r="F13" s="15">
        <v>4</v>
      </c>
      <c r="G13" s="15">
        <v>5</v>
      </c>
      <c r="H13" s="15">
        <v>5</v>
      </c>
      <c r="I13" s="15">
        <v>7</v>
      </c>
      <c r="J13" s="45">
        <v>10</v>
      </c>
      <c r="K13" s="513">
        <f t="shared" ref="K13:O14" si="1">J13+K20</f>
        <v>13</v>
      </c>
      <c r="L13" s="513">
        <f t="shared" si="1"/>
        <v>16</v>
      </c>
      <c r="M13" s="513">
        <f t="shared" si="1"/>
        <v>19</v>
      </c>
      <c r="N13" s="513">
        <f t="shared" si="1"/>
        <v>22</v>
      </c>
      <c r="O13" s="513">
        <f t="shared" si="1"/>
        <v>24</v>
      </c>
      <c r="P13" s="3">
        <f t="shared" ref="P13:T14" si="2">O13+P20</f>
        <v>26</v>
      </c>
      <c r="Q13" s="3">
        <f t="shared" si="2"/>
        <v>28</v>
      </c>
      <c r="R13" s="3">
        <f t="shared" si="2"/>
        <v>29</v>
      </c>
      <c r="S13" s="3">
        <f t="shared" si="2"/>
        <v>30</v>
      </c>
      <c r="T13" s="3">
        <f t="shared" si="2"/>
        <v>31</v>
      </c>
    </row>
    <row r="14" spans="1:20" x14ac:dyDescent="0.4">
      <c r="C14" s="1" t="s">
        <v>2</v>
      </c>
      <c r="F14" s="15">
        <v>15</v>
      </c>
      <c r="G14" s="15">
        <v>27</v>
      </c>
      <c r="H14" s="15">
        <v>35</v>
      </c>
      <c r="I14" s="15">
        <v>43</v>
      </c>
      <c r="J14" s="45">
        <v>59</v>
      </c>
      <c r="K14" s="513">
        <f t="shared" si="1"/>
        <v>73</v>
      </c>
      <c r="L14" s="513">
        <f t="shared" si="1"/>
        <v>93</v>
      </c>
      <c r="M14" s="513">
        <f t="shared" si="1"/>
        <v>120</v>
      </c>
      <c r="N14" s="513">
        <f t="shared" si="1"/>
        <v>145</v>
      </c>
      <c r="O14" s="513">
        <f t="shared" si="1"/>
        <v>165</v>
      </c>
      <c r="P14" s="3">
        <f t="shared" si="2"/>
        <v>180</v>
      </c>
      <c r="Q14" s="3">
        <f t="shared" si="2"/>
        <v>195</v>
      </c>
      <c r="R14" s="3">
        <f t="shared" si="2"/>
        <v>210</v>
      </c>
      <c r="S14" s="3">
        <f t="shared" si="2"/>
        <v>220</v>
      </c>
      <c r="T14" s="3">
        <f t="shared" si="2"/>
        <v>230</v>
      </c>
    </row>
    <row r="15" spans="1:20" x14ac:dyDescent="0.4">
      <c r="B15" s="2" t="s">
        <v>194</v>
      </c>
      <c r="F15" s="4">
        <f t="shared" ref="F15:O15" si="3">SUM(F12:F14)</f>
        <v>40</v>
      </c>
      <c r="G15" s="4">
        <f t="shared" si="3"/>
        <v>63</v>
      </c>
      <c r="H15" s="4">
        <f t="shared" si="3"/>
        <v>84</v>
      </c>
      <c r="I15" s="4">
        <f t="shared" si="3"/>
        <v>114</v>
      </c>
      <c r="J15" s="63">
        <f t="shared" si="3"/>
        <v>159</v>
      </c>
      <c r="K15" s="514">
        <f t="shared" si="3"/>
        <v>209</v>
      </c>
      <c r="L15" s="514">
        <f t="shared" si="3"/>
        <v>272</v>
      </c>
      <c r="M15" s="514">
        <f t="shared" si="3"/>
        <v>339</v>
      </c>
      <c r="N15" s="514">
        <f t="shared" si="3"/>
        <v>392</v>
      </c>
      <c r="O15" s="514">
        <f t="shared" si="3"/>
        <v>439</v>
      </c>
      <c r="P15" s="4">
        <f>SUM(P12:P14)</f>
        <v>476</v>
      </c>
      <c r="Q15" s="4">
        <f>SUM(Q12:Q14)</f>
        <v>513</v>
      </c>
      <c r="R15" s="4">
        <f>SUM(R12:R14)</f>
        <v>544</v>
      </c>
      <c r="S15" s="4">
        <f>SUM(S12:S14)</f>
        <v>565</v>
      </c>
      <c r="T15" s="4">
        <f>SUM(T12:T14)</f>
        <v>581</v>
      </c>
    </row>
    <row r="16" spans="1:20" outlineLevel="1" x14ac:dyDescent="0.4">
      <c r="B16" s="2"/>
      <c r="C16" s="1" t="s">
        <v>82</v>
      </c>
      <c r="F16" s="15">
        <v>8</v>
      </c>
      <c r="G16" s="15">
        <v>13</v>
      </c>
      <c r="H16" s="15">
        <v>21</v>
      </c>
      <c r="I16" s="15">
        <v>29</v>
      </c>
      <c r="J16" s="45">
        <v>43</v>
      </c>
      <c r="K16" s="513">
        <v>64</v>
      </c>
      <c r="L16" s="513">
        <v>90</v>
      </c>
      <c r="M16" s="513">
        <v>123</v>
      </c>
      <c r="N16" s="513">
        <v>163</v>
      </c>
      <c r="O16" s="513">
        <v>200</v>
      </c>
      <c r="P16" s="3">
        <f>N12</f>
        <v>225</v>
      </c>
      <c r="Q16" s="3">
        <f>O12</f>
        <v>250</v>
      </c>
      <c r="R16" s="3">
        <f>P12</f>
        <v>270</v>
      </c>
      <c r="S16" s="3">
        <f>Q12</f>
        <v>290</v>
      </c>
      <c r="T16" s="3">
        <f>R12</f>
        <v>305</v>
      </c>
    </row>
    <row r="17" spans="1:25" x14ac:dyDescent="0.4">
      <c r="B17" s="2"/>
      <c r="F17" s="5"/>
      <c r="G17" s="5"/>
      <c r="H17" s="5"/>
      <c r="I17" s="5"/>
      <c r="J17" s="42"/>
    </row>
    <row r="18" spans="1:25" x14ac:dyDescent="0.4">
      <c r="B18" s="1" t="s">
        <v>191</v>
      </c>
      <c r="F18" s="5"/>
      <c r="G18" s="5"/>
      <c r="H18" s="5"/>
      <c r="I18" s="5"/>
      <c r="J18" s="42"/>
    </row>
    <row r="19" spans="1:25" x14ac:dyDescent="0.4">
      <c r="C19" s="1" t="s">
        <v>0</v>
      </c>
      <c r="F19" s="5"/>
      <c r="G19" s="515">
        <f t="shared" ref="G19:J21" si="4">G12-F12</f>
        <v>10</v>
      </c>
      <c r="H19" s="515">
        <f t="shared" si="4"/>
        <v>13</v>
      </c>
      <c r="I19" s="515">
        <f t="shared" si="4"/>
        <v>20</v>
      </c>
      <c r="J19" s="516">
        <f t="shared" si="4"/>
        <v>26</v>
      </c>
      <c r="K19" s="15">
        <v>33</v>
      </c>
      <c r="L19" s="15">
        <v>40</v>
      </c>
      <c r="M19" s="15">
        <v>37</v>
      </c>
      <c r="N19" s="15">
        <v>25</v>
      </c>
      <c r="O19" s="15">
        <v>25</v>
      </c>
      <c r="P19" s="15">
        <v>20</v>
      </c>
      <c r="Q19" s="15">
        <v>20</v>
      </c>
      <c r="R19" s="15">
        <v>15</v>
      </c>
      <c r="S19" s="15">
        <v>10</v>
      </c>
      <c r="T19" s="15">
        <v>5</v>
      </c>
    </row>
    <row r="20" spans="1:25" x14ac:dyDescent="0.4">
      <c r="B20" s="2"/>
      <c r="C20" s="1" t="s">
        <v>1</v>
      </c>
      <c r="F20" s="5"/>
      <c r="G20" s="515">
        <f t="shared" si="4"/>
        <v>1</v>
      </c>
      <c r="H20" s="515">
        <f t="shared" si="4"/>
        <v>0</v>
      </c>
      <c r="I20" s="515">
        <f t="shared" si="4"/>
        <v>2</v>
      </c>
      <c r="J20" s="516">
        <f t="shared" si="4"/>
        <v>3</v>
      </c>
      <c r="K20" s="15">
        <v>3</v>
      </c>
      <c r="L20" s="15">
        <v>3</v>
      </c>
      <c r="M20" s="15">
        <v>3</v>
      </c>
      <c r="N20" s="15">
        <v>3</v>
      </c>
      <c r="O20" s="15">
        <v>2</v>
      </c>
      <c r="P20" s="15">
        <v>2</v>
      </c>
      <c r="Q20" s="15">
        <v>2</v>
      </c>
      <c r="R20" s="15">
        <v>1</v>
      </c>
      <c r="S20" s="15">
        <v>1</v>
      </c>
      <c r="T20" s="15">
        <v>1</v>
      </c>
    </row>
    <row r="21" spans="1:25" x14ac:dyDescent="0.4">
      <c r="B21" s="2"/>
      <c r="C21" s="1" t="s">
        <v>2</v>
      </c>
      <c r="F21" s="5"/>
      <c r="G21" s="515">
        <f t="shared" si="4"/>
        <v>12</v>
      </c>
      <c r="H21" s="515">
        <f t="shared" si="4"/>
        <v>8</v>
      </c>
      <c r="I21" s="515">
        <f t="shared" si="4"/>
        <v>8</v>
      </c>
      <c r="J21" s="516">
        <f t="shared" si="4"/>
        <v>16</v>
      </c>
      <c r="K21" s="15">
        <v>14</v>
      </c>
      <c r="L21" s="15">
        <v>20</v>
      </c>
      <c r="M21" s="15">
        <v>27</v>
      </c>
      <c r="N21" s="15">
        <v>25</v>
      </c>
      <c r="O21" s="15">
        <v>20</v>
      </c>
      <c r="P21" s="15">
        <v>15</v>
      </c>
      <c r="Q21" s="15">
        <v>15</v>
      </c>
      <c r="R21" s="15">
        <v>15</v>
      </c>
      <c r="S21" s="15">
        <v>10</v>
      </c>
      <c r="T21" s="15">
        <v>10</v>
      </c>
    </row>
    <row r="22" spans="1:25" x14ac:dyDescent="0.4">
      <c r="B22" s="2"/>
      <c r="F22" s="5"/>
      <c r="G22" s="7"/>
      <c r="H22" s="7"/>
      <c r="I22" s="7"/>
      <c r="J22" s="61"/>
      <c r="K22" s="15"/>
      <c r="L22" s="15"/>
      <c r="M22" s="15"/>
      <c r="N22" s="15"/>
      <c r="O22" s="15"/>
      <c r="P22" s="15"/>
      <c r="Q22" s="15"/>
      <c r="R22" s="15"/>
      <c r="S22" s="15"/>
      <c r="T22" s="15"/>
    </row>
    <row r="23" spans="1:25" x14ac:dyDescent="0.4">
      <c r="B23" s="1" t="s">
        <v>192</v>
      </c>
      <c r="F23" s="5"/>
      <c r="G23" s="15">
        <v>0</v>
      </c>
      <c r="H23" s="7">
        <f>H16-F12</f>
        <v>0</v>
      </c>
      <c r="I23" s="7">
        <f>I16-G12</f>
        <v>-2</v>
      </c>
      <c r="J23" s="61">
        <f>J16-H12</f>
        <v>-1</v>
      </c>
      <c r="K23" s="15">
        <v>0</v>
      </c>
      <c r="L23" s="15">
        <v>0</v>
      </c>
      <c r="M23" s="15">
        <v>0</v>
      </c>
      <c r="N23" s="15">
        <v>0</v>
      </c>
      <c r="O23" s="15">
        <v>0</v>
      </c>
      <c r="P23" s="15">
        <v>0</v>
      </c>
      <c r="Q23" s="15">
        <v>0</v>
      </c>
      <c r="R23" s="15">
        <v>0</v>
      </c>
      <c r="S23" s="15">
        <v>0</v>
      </c>
      <c r="T23" s="15">
        <v>0</v>
      </c>
    </row>
    <row r="24" spans="1:25" x14ac:dyDescent="0.4">
      <c r="B24" s="1" t="s">
        <v>817</v>
      </c>
      <c r="F24" s="5"/>
      <c r="G24" s="515">
        <f>G19+ABS(G23)</f>
        <v>10</v>
      </c>
      <c r="H24" s="515">
        <f t="shared" ref="H24:O24" si="5">H19+ABS(H23)</f>
        <v>13</v>
      </c>
      <c r="I24" s="515">
        <f t="shared" si="5"/>
        <v>22</v>
      </c>
      <c r="J24" s="516">
        <f t="shared" si="5"/>
        <v>27</v>
      </c>
      <c r="K24" s="515">
        <f t="shared" si="5"/>
        <v>33</v>
      </c>
      <c r="L24" s="515">
        <f t="shared" si="5"/>
        <v>40</v>
      </c>
      <c r="M24" s="515">
        <f t="shared" si="5"/>
        <v>37</v>
      </c>
      <c r="N24" s="515">
        <f t="shared" si="5"/>
        <v>25</v>
      </c>
      <c r="O24" s="515">
        <f t="shared" si="5"/>
        <v>25</v>
      </c>
      <c r="P24" s="7">
        <f>+P19-P23</f>
        <v>20</v>
      </c>
      <c r="Q24" s="7">
        <f>+Q19-Q23</f>
        <v>20</v>
      </c>
      <c r="R24" s="7">
        <f>+R19-R23</f>
        <v>15</v>
      </c>
      <c r="S24" s="7">
        <f>+S19-S23</f>
        <v>10</v>
      </c>
      <c r="T24" s="7">
        <f>+T19-T23</f>
        <v>5</v>
      </c>
    </row>
    <row r="25" spans="1:25" x14ac:dyDescent="0.4">
      <c r="J25" s="41"/>
    </row>
    <row r="26" spans="1:25" x14ac:dyDescent="0.4">
      <c r="A26" s="1" t="s">
        <v>235</v>
      </c>
      <c r="B26" s="499" t="s">
        <v>245</v>
      </c>
      <c r="C26" s="499"/>
      <c r="D26" s="499"/>
      <c r="E26" s="499"/>
      <c r="F26" s="499"/>
      <c r="G26" s="499"/>
      <c r="H26" s="499"/>
      <c r="I26" s="499"/>
      <c r="J26" s="500"/>
      <c r="K26" s="499"/>
      <c r="L26" s="499"/>
      <c r="M26" s="499"/>
      <c r="N26" s="499"/>
      <c r="O26" s="499"/>
      <c r="P26" s="499"/>
      <c r="Q26" s="499"/>
      <c r="R26" s="499"/>
      <c r="S26" s="499"/>
      <c r="T26" s="499"/>
    </row>
    <row r="27" spans="1:25" x14ac:dyDescent="0.4">
      <c r="B27" s="2" t="s">
        <v>241</v>
      </c>
      <c r="C27" s="2"/>
      <c r="D27" s="2"/>
      <c r="F27" s="16">
        <v>139903</v>
      </c>
      <c r="G27" s="16">
        <v>217442</v>
      </c>
      <c r="H27" s="16">
        <v>295257</v>
      </c>
      <c r="I27" s="16">
        <v>402791</v>
      </c>
      <c r="J27" s="62">
        <v>532137</v>
      </c>
      <c r="K27" s="515">
        <f>K42/2*(J15+K15)</f>
        <v>675451.19918258209</v>
      </c>
      <c r="L27" s="515">
        <f>L42/2*(K15+L15)</f>
        <v>854531.99049159663</v>
      </c>
      <c r="M27" s="515">
        <f>M42/2*(L15+M15)</f>
        <v>1063939.50650521</v>
      </c>
      <c r="N27" s="515">
        <f>N42/2*(M15+N15)</f>
        <v>1269105.5502805193</v>
      </c>
      <c r="O27" s="515">
        <f>O42/2*(N15+O15)</f>
        <v>1439397.3520429335</v>
      </c>
      <c r="P27" s="4">
        <f>P28+P31</f>
        <v>0</v>
      </c>
      <c r="Q27" s="4">
        <f>Q28+Q31</f>
        <v>0</v>
      </c>
      <c r="R27" s="4">
        <f>R28+R31</f>
        <v>0</v>
      </c>
      <c r="S27" s="4">
        <f>S28+S31</f>
        <v>0</v>
      </c>
      <c r="T27" s="4">
        <f>T28+T31</f>
        <v>0</v>
      </c>
    </row>
    <row r="28" spans="1:25" x14ac:dyDescent="0.4">
      <c r="B28" s="1" t="s">
        <v>242</v>
      </c>
      <c r="F28" s="515">
        <v>61316</v>
      </c>
      <c r="G28" s="515">
        <v>105400</v>
      </c>
      <c r="H28" s="515">
        <v>112038</v>
      </c>
      <c r="I28" s="515">
        <v>143441</v>
      </c>
      <c r="J28" s="516">
        <v>185749</v>
      </c>
      <c r="K28" s="515">
        <f>K41/2*(J13+J14+K13+K14)</f>
        <v>234683.71554621847</v>
      </c>
      <c r="L28" s="515">
        <f>L41/2*(K13+K14+L13+L14)</f>
        <v>292294.78249159665</v>
      </c>
      <c r="M28" s="515">
        <f>M41/2*(L13+L14+M13+M14)</f>
        <v>371739.00542521005</v>
      </c>
      <c r="N28" s="515">
        <f>N41/2*(M13+M14+N13+N14)</f>
        <v>458677.96637142857</v>
      </c>
      <c r="O28" s="515">
        <f>O41/2*(N13+N14+O13+O14)</f>
        <v>533625.34649747901</v>
      </c>
      <c r="P28" s="7">
        <f>P41*(SUM(P13:P14)+SUM(O13:O14))/2</f>
        <v>0</v>
      </c>
      <c r="Q28" s="7">
        <f>Q41*(SUM(Q13:Q14)+SUM(P13:P14))/2</f>
        <v>0</v>
      </c>
      <c r="R28" s="7">
        <f>R41*(SUM(R13:R14)+SUM(Q13:Q14))/2</f>
        <v>0</v>
      </c>
      <c r="S28" s="7">
        <f>S41*(SUM(S13:S14)+SUM(R13:R14))/2</f>
        <v>0</v>
      </c>
      <c r="T28" s="7">
        <f>T41*(SUM(T13:T14)+SUM(S13:S14))/2</f>
        <v>0</v>
      </c>
    </row>
    <row r="29" spans="1:25" x14ac:dyDescent="0.4">
      <c r="F29" s="583"/>
      <c r="G29" s="583"/>
      <c r="H29" s="583"/>
      <c r="I29" s="583"/>
      <c r="J29" s="584"/>
    </row>
    <row r="30" spans="1:25" x14ac:dyDescent="0.4">
      <c r="B30" s="2" t="s">
        <v>143</v>
      </c>
      <c r="C30" s="2"/>
      <c r="D30" s="2"/>
      <c r="F30" s="10">
        <f>+F31+F32</f>
        <v>82456</v>
      </c>
      <c r="G30" s="10">
        <f>+G31+G32</f>
        <v>118530</v>
      </c>
      <c r="H30" s="10">
        <f>+H31+H32</f>
        <v>190592</v>
      </c>
      <c r="I30" s="10">
        <f>+I31+I32</f>
        <v>268475</v>
      </c>
      <c r="J30" s="43">
        <f>+J31+J32</f>
        <v>358810</v>
      </c>
      <c r="K30" s="514">
        <f>K31+K32</f>
        <v>456021.92514686787</v>
      </c>
      <c r="L30" s="514">
        <f>L31+L32</f>
        <v>581236.36886195373</v>
      </c>
      <c r="M30" s="514">
        <f>M31+M32</f>
        <v>716363.53643263865</v>
      </c>
      <c r="N30" s="514">
        <f>N31+N32</f>
        <v>840241.65172323375</v>
      </c>
      <c r="O30" s="514">
        <f>O31+O32</f>
        <v>940457.65306779055</v>
      </c>
      <c r="P30" s="4">
        <f>SUM(P31:P32)</f>
        <v>0</v>
      </c>
      <c r="Q30" s="4">
        <f>SUM(Q31:Q32)</f>
        <v>0</v>
      </c>
      <c r="R30" s="4">
        <f>SUM(R31:R32)</f>
        <v>0</v>
      </c>
      <c r="S30" s="4">
        <f>SUM(S31:S32)</f>
        <v>0</v>
      </c>
      <c r="T30" s="4">
        <f>SUM(T31:T32)</f>
        <v>0</v>
      </c>
      <c r="W30" s="65"/>
      <c r="X30" s="65"/>
      <c r="Y30" s="65"/>
    </row>
    <row r="31" spans="1:25" x14ac:dyDescent="0.4">
      <c r="B31" s="1" t="s">
        <v>243</v>
      </c>
      <c r="F31" s="15">
        <v>78587</v>
      </c>
      <c r="G31" s="15">
        <v>112042</v>
      </c>
      <c r="H31" s="15">
        <v>183219</v>
      </c>
      <c r="I31" s="15">
        <v>259350</v>
      </c>
      <c r="J31" s="45">
        <v>346388</v>
      </c>
      <c r="K31" s="515">
        <f>K40/2*(J12+K12)</f>
        <v>440767.48363636364</v>
      </c>
      <c r="L31" s="515">
        <f>L40/2*(K12+L12)</f>
        <v>562237.20799999998</v>
      </c>
      <c r="M31" s="515">
        <f>M40/2*(L12+M12)</f>
        <v>692200.50107999996</v>
      </c>
      <c r="N31" s="515">
        <f>N40/2*(M12+N12)</f>
        <v>810427.58390909084</v>
      </c>
      <c r="O31" s="515">
        <f>O40/2*(N12+O12)</f>
        <v>905772.00554545445</v>
      </c>
      <c r="P31" s="7">
        <f>P40*AVERAGE(O12:P12)</f>
        <v>0</v>
      </c>
      <c r="Q31" s="7">
        <f>Q40*AVERAGE(P12:Q12)</f>
        <v>0</v>
      </c>
      <c r="R31" s="7">
        <f>R40*AVERAGE(Q12:R12)</f>
        <v>0</v>
      </c>
      <c r="S31" s="7">
        <f>S40*AVERAGE(R12:S12)</f>
        <v>0</v>
      </c>
      <c r="T31" s="7">
        <f>T40*AVERAGE(S12:T12)</f>
        <v>0</v>
      </c>
    </row>
    <row r="32" spans="1:25" x14ac:dyDescent="0.4">
      <c r="B32" s="1" t="s">
        <v>81</v>
      </c>
      <c r="F32" s="15">
        <v>3869</v>
      </c>
      <c r="G32" s="15">
        <v>6488</v>
      </c>
      <c r="H32" s="15">
        <v>7373</v>
      </c>
      <c r="I32" s="15">
        <v>9125</v>
      </c>
      <c r="J32" s="45">
        <v>12422</v>
      </c>
      <c r="K32" s="515">
        <f>K28*K33</f>
        <v>15254.441510504201</v>
      </c>
      <c r="L32" s="515">
        <f>L28*L33</f>
        <v>18999.160861953784</v>
      </c>
      <c r="M32" s="515">
        <f>M28*M33</f>
        <v>24163.035352638653</v>
      </c>
      <c r="N32" s="515">
        <f>N28*N33</f>
        <v>29814.067814142858</v>
      </c>
      <c r="O32" s="515">
        <f>O28*O33</f>
        <v>34685.647522336134</v>
      </c>
      <c r="P32" s="7">
        <f>P33*P28</f>
        <v>0</v>
      </c>
      <c r="Q32" s="7">
        <f>Q33*Q28</f>
        <v>0</v>
      </c>
      <c r="R32" s="7">
        <f>R33*R28</f>
        <v>0</v>
      </c>
      <c r="S32" s="7">
        <f>S33*S28</f>
        <v>0</v>
      </c>
      <c r="T32" s="7">
        <f>T33*T28</f>
        <v>0</v>
      </c>
    </row>
    <row r="33" spans="2:21" x14ac:dyDescent="0.4">
      <c r="C33" s="1" t="s">
        <v>83</v>
      </c>
      <c r="F33" s="579">
        <f>F32/F28</f>
        <v>6.3099354165307583E-2</v>
      </c>
      <c r="G33" s="579">
        <f>G32/G28</f>
        <v>6.1555977229601516E-2</v>
      </c>
      <c r="H33" s="579">
        <f>H32/H28</f>
        <v>6.5808029418590125E-2</v>
      </c>
      <c r="I33" s="579">
        <f>I32/I28</f>
        <v>6.3615005472633351E-2</v>
      </c>
      <c r="J33" s="585">
        <f>J32/J28</f>
        <v>6.6875191791072902E-2</v>
      </c>
      <c r="K33" s="17">
        <v>6.5000000000000002E-2</v>
      </c>
      <c r="L33" s="17">
        <v>6.5000000000000002E-2</v>
      </c>
      <c r="M33" s="17">
        <v>6.5000000000000002E-2</v>
      </c>
      <c r="N33" s="17">
        <v>6.5000000000000002E-2</v>
      </c>
      <c r="O33" s="17">
        <v>6.5000000000000002E-2</v>
      </c>
      <c r="P33" s="17">
        <v>6.5000000000000002E-2</v>
      </c>
      <c r="Q33" s="17">
        <v>6.5000000000000002E-2</v>
      </c>
      <c r="R33" s="17">
        <v>6.5000000000000002E-2</v>
      </c>
      <c r="S33" s="17">
        <v>6.5000000000000002E-2</v>
      </c>
      <c r="T33" s="17">
        <v>6.5000000000000002E-2</v>
      </c>
    </row>
    <row r="34" spans="2:21" x14ac:dyDescent="0.4">
      <c r="F34" s="8"/>
      <c r="G34" s="8"/>
      <c r="I34" s="8"/>
      <c r="J34" s="586"/>
    </row>
    <row r="35" spans="2:21" outlineLevel="1" x14ac:dyDescent="0.4">
      <c r="B35" s="1" t="s">
        <v>183</v>
      </c>
      <c r="F35" s="5"/>
      <c r="G35" s="5"/>
      <c r="H35" s="8"/>
      <c r="I35" s="5"/>
      <c r="J35" s="42"/>
    </row>
    <row r="36" spans="2:21" outlineLevel="1" x14ac:dyDescent="0.4">
      <c r="C36" s="1" t="s">
        <v>0</v>
      </c>
      <c r="F36" s="15">
        <v>5017</v>
      </c>
      <c r="G36" s="15">
        <v>4611</v>
      </c>
      <c r="H36" s="15">
        <v>4976</v>
      </c>
      <c r="I36" s="15">
        <v>4981</v>
      </c>
      <c r="J36" s="45">
        <v>4598</v>
      </c>
      <c r="K36" s="7"/>
      <c r="L36" s="7"/>
      <c r="M36" s="7"/>
      <c r="N36" s="7"/>
      <c r="O36" s="7"/>
      <c r="P36" s="7"/>
      <c r="Q36" s="7"/>
      <c r="R36" s="7"/>
      <c r="S36" s="7"/>
      <c r="T36" s="7"/>
    </row>
    <row r="37" spans="2:21" outlineLevel="1" x14ac:dyDescent="0.4">
      <c r="C37" s="1" t="s">
        <v>2</v>
      </c>
      <c r="F37" s="15">
        <v>6077</v>
      </c>
      <c r="G37" s="15">
        <v>4588</v>
      </c>
      <c r="H37" s="15">
        <v>3413</v>
      </c>
      <c r="I37" s="15">
        <v>3334</v>
      </c>
      <c r="J37" s="45">
        <v>3176</v>
      </c>
      <c r="K37" s="7"/>
      <c r="L37" s="7"/>
      <c r="M37" s="7"/>
      <c r="N37" s="7"/>
      <c r="O37" s="7"/>
      <c r="P37" s="7"/>
      <c r="Q37" s="7"/>
      <c r="R37" s="7"/>
      <c r="S37" s="7"/>
      <c r="T37" s="7"/>
    </row>
    <row r="38" spans="2:21" outlineLevel="1" x14ac:dyDescent="0.4">
      <c r="F38" s="5"/>
      <c r="G38" s="5"/>
      <c r="H38" s="5"/>
      <c r="I38" s="5"/>
      <c r="J38" s="42"/>
      <c r="K38" s="7"/>
      <c r="L38" s="7"/>
      <c r="M38" s="7"/>
      <c r="N38" s="7"/>
      <c r="O38" s="7"/>
      <c r="P38" s="7"/>
      <c r="Q38" s="7"/>
      <c r="R38" s="7"/>
      <c r="S38" s="7"/>
      <c r="T38" s="7"/>
    </row>
    <row r="39" spans="2:21" x14ac:dyDescent="0.4">
      <c r="B39" s="1" t="s">
        <v>184</v>
      </c>
      <c r="F39" s="5"/>
      <c r="G39" s="7"/>
      <c r="H39" s="5"/>
      <c r="I39" s="5"/>
      <c r="J39" s="42"/>
      <c r="K39" s="7"/>
      <c r="L39" s="7"/>
      <c r="M39" s="7"/>
      <c r="N39" s="7"/>
      <c r="O39" s="7"/>
      <c r="P39" s="7"/>
      <c r="Q39" s="7"/>
      <c r="R39" s="7"/>
      <c r="S39" s="7"/>
      <c r="T39" s="7"/>
    </row>
    <row r="40" spans="2:21" x14ac:dyDescent="0.4">
      <c r="C40" s="1" t="s">
        <v>0</v>
      </c>
      <c r="F40" s="5"/>
      <c r="G40" s="580">
        <f>G31/(F12+G12)*2</f>
        <v>4309.3076923076924</v>
      </c>
      <c r="H40" s="580">
        <f>H31/(G12+H12)*2</f>
        <v>4885.84</v>
      </c>
      <c r="I40" s="580">
        <f>I31/(H12+I12)*2</f>
        <v>4802.7777777777774</v>
      </c>
      <c r="J40" s="582">
        <f>J31/(I12+J12)*2</f>
        <v>4498.545454545455</v>
      </c>
      <c r="K40" s="515">
        <f t="shared" ref="K40:O42" si="6">J40*(1+K45)</f>
        <v>4138.6618181818185</v>
      </c>
      <c r="L40" s="515">
        <f t="shared" si="6"/>
        <v>3931.7287272727272</v>
      </c>
      <c r="M40" s="515">
        <f t="shared" si="6"/>
        <v>3813.7768654545453</v>
      </c>
      <c r="N40" s="515">
        <f t="shared" si="6"/>
        <v>3813.7768654545453</v>
      </c>
      <c r="O40" s="515">
        <f t="shared" si="6"/>
        <v>3813.7768654545453</v>
      </c>
      <c r="P40" s="7"/>
      <c r="Q40" s="7"/>
      <c r="R40" s="7"/>
      <c r="S40" s="7"/>
      <c r="T40" s="7"/>
    </row>
    <row r="41" spans="2:21" x14ac:dyDescent="0.4">
      <c r="C41" s="1" t="s">
        <v>186</v>
      </c>
      <c r="F41" s="5"/>
      <c r="G41" s="580">
        <f>G28/(F13+F14+G13+G14)*2</f>
        <v>4133.333333333333</v>
      </c>
      <c r="H41" s="580">
        <f>H28/(G13+G14+H13+H14)*2</f>
        <v>3112.1666666666665</v>
      </c>
      <c r="I41" s="580">
        <f>I28/(H13+H14+I13+I14)*2</f>
        <v>3187.5777777777776</v>
      </c>
      <c r="J41" s="582">
        <f>J28/(I13+I14+J13+J14)*2</f>
        <v>3121.8319327731092</v>
      </c>
      <c r="K41" s="515">
        <f t="shared" si="6"/>
        <v>3028.1769747899157</v>
      </c>
      <c r="L41" s="515">
        <f t="shared" si="6"/>
        <v>2997.8952050420166</v>
      </c>
      <c r="M41" s="515">
        <f t="shared" si="6"/>
        <v>2997.8952050420166</v>
      </c>
      <c r="N41" s="515">
        <f t="shared" si="6"/>
        <v>2997.8952050420166</v>
      </c>
      <c r="O41" s="515">
        <f t="shared" si="6"/>
        <v>2997.8952050420166</v>
      </c>
      <c r="P41" s="7"/>
      <c r="Q41" s="7"/>
      <c r="R41" s="7"/>
      <c r="S41" s="7"/>
      <c r="T41" s="7"/>
    </row>
    <row r="42" spans="2:21" x14ac:dyDescent="0.4">
      <c r="C42" s="1" t="s">
        <v>185</v>
      </c>
      <c r="F42" s="5"/>
      <c r="G42" s="580">
        <f>G27/(F15+G15)*2</f>
        <v>4222.174757281553</v>
      </c>
      <c r="H42" s="580">
        <f>H27/(G15+H15)*2</f>
        <v>4017.1020408163267</v>
      </c>
      <c r="I42" s="580">
        <f>I27/(H15+I15)*2</f>
        <v>4068.5959595959598</v>
      </c>
      <c r="J42" s="582">
        <f>J27/(I15+J15)*2</f>
        <v>3898.4395604395604</v>
      </c>
      <c r="K42" s="515">
        <f t="shared" si="6"/>
        <v>3670.93043034012</v>
      </c>
      <c r="L42" s="515">
        <f t="shared" si="6"/>
        <v>3553.1475696116286</v>
      </c>
      <c r="M42" s="515">
        <f t="shared" si="6"/>
        <v>3482.6170425702453</v>
      </c>
      <c r="N42" s="515">
        <f t="shared" si="6"/>
        <v>3472.2450076074401</v>
      </c>
      <c r="O42" s="515">
        <f t="shared" si="6"/>
        <v>3464.2535548566389</v>
      </c>
      <c r="P42" s="7"/>
      <c r="Q42" s="7"/>
      <c r="R42" s="7"/>
      <c r="S42" s="7"/>
      <c r="T42" s="7"/>
    </row>
    <row r="43" spans="2:21" x14ac:dyDescent="0.4">
      <c r="F43" s="5"/>
      <c r="G43" s="7"/>
      <c r="H43" s="7"/>
      <c r="I43" s="7"/>
      <c r="J43" s="61"/>
    </row>
    <row r="44" spans="2:21" x14ac:dyDescent="0.4">
      <c r="B44" s="1" t="s">
        <v>181</v>
      </c>
      <c r="F44" s="5"/>
      <c r="G44" s="7"/>
      <c r="H44" s="7"/>
      <c r="I44" s="7"/>
      <c r="J44" s="61"/>
    </row>
    <row r="45" spans="2:21" x14ac:dyDescent="0.4">
      <c r="C45" s="1" t="s">
        <v>0</v>
      </c>
      <c r="F45" s="5"/>
      <c r="G45" s="8"/>
      <c r="H45" s="517">
        <f t="shared" ref="H45:J47" si="7">(H40-G40)/G40</f>
        <v>0.13378768676032204</v>
      </c>
      <c r="I45" s="517">
        <f t="shared" si="7"/>
        <v>-1.700060219373184E-2</v>
      </c>
      <c r="J45" s="517">
        <f t="shared" si="7"/>
        <v>-6.3345075976654758E-2</v>
      </c>
      <c r="K45" s="17">
        <v>-0.08</v>
      </c>
      <c r="L45" s="17">
        <v>-0.05</v>
      </c>
      <c r="M45" s="17">
        <v>-0.03</v>
      </c>
      <c r="N45" s="17">
        <v>0</v>
      </c>
      <c r="O45" s="17">
        <v>0</v>
      </c>
      <c r="P45" s="17">
        <v>0</v>
      </c>
      <c r="Q45" s="17">
        <v>0</v>
      </c>
      <c r="R45" s="17">
        <v>0</v>
      </c>
      <c r="S45" s="17">
        <v>0</v>
      </c>
      <c r="T45" s="17">
        <v>0</v>
      </c>
    </row>
    <row r="46" spans="2:21" x14ac:dyDescent="0.4">
      <c r="C46" s="1" t="s">
        <v>186</v>
      </c>
      <c r="F46" s="5"/>
      <c r="G46" s="8"/>
      <c r="H46" s="517">
        <f t="shared" si="7"/>
        <v>-0.24705645161290321</v>
      </c>
      <c r="I46" s="517">
        <f t="shared" si="7"/>
        <v>2.4231064460272386E-2</v>
      </c>
      <c r="J46" s="517">
        <f t="shared" si="7"/>
        <v>-2.062564416875284E-2</v>
      </c>
      <c r="K46" s="17">
        <v>-0.03</v>
      </c>
      <c r="L46" s="17">
        <v>-0.01</v>
      </c>
      <c r="M46" s="17">
        <v>0</v>
      </c>
      <c r="N46" s="17">
        <v>0</v>
      </c>
      <c r="O46" s="17">
        <v>0</v>
      </c>
      <c r="P46" s="17">
        <v>0</v>
      </c>
      <c r="Q46" s="17">
        <v>0</v>
      </c>
      <c r="R46" s="17">
        <v>0</v>
      </c>
      <c r="S46" s="17">
        <v>0</v>
      </c>
      <c r="T46" s="17">
        <v>0</v>
      </c>
      <c r="U46" s="1" t="s">
        <v>182</v>
      </c>
    </row>
    <row r="47" spans="2:21" x14ac:dyDescent="0.4">
      <c r="C47" s="1" t="s">
        <v>185</v>
      </c>
      <c r="F47" s="5"/>
      <c r="G47" s="8"/>
      <c r="H47" s="517">
        <f t="shared" si="7"/>
        <v>-4.8570399913352304E-2</v>
      </c>
      <c r="I47" s="517">
        <f t="shared" si="7"/>
        <v>1.2818673326298888E-2</v>
      </c>
      <c r="J47" s="517">
        <f t="shared" si="7"/>
        <v>-4.1821896508322035E-2</v>
      </c>
      <c r="K47" s="517">
        <v>-5.8359024571818185E-2</v>
      </c>
      <c r="L47" s="517">
        <v>-3.208528817517764E-2</v>
      </c>
      <c r="M47" s="517">
        <v>-1.985015416882685E-2</v>
      </c>
      <c r="N47" s="517">
        <v>-2.9782301171852321E-3</v>
      </c>
      <c r="O47" s="517">
        <v>-2.3015232891955284E-3</v>
      </c>
      <c r="P47" s="8">
        <f>P42/O42-1</f>
        <v>-1</v>
      </c>
      <c r="Q47" s="8" t="e">
        <f>Q42/P42-1</f>
        <v>#DIV/0!</v>
      </c>
      <c r="R47" s="8" t="e">
        <f>R42/Q42-1</f>
        <v>#DIV/0!</v>
      </c>
      <c r="S47" s="8" t="e">
        <f>S42/R42-1</f>
        <v>#DIV/0!</v>
      </c>
      <c r="T47" s="8" t="e">
        <f>T42/S42-1</f>
        <v>#DIV/0!</v>
      </c>
    </row>
    <row r="48" spans="2:21" x14ac:dyDescent="0.4">
      <c r="F48" s="7"/>
      <c r="G48" s="7"/>
      <c r="H48" s="7"/>
      <c r="I48" s="7"/>
      <c r="J48" s="61"/>
      <c r="K48" s="7"/>
      <c r="L48" s="7"/>
      <c r="M48" s="7"/>
      <c r="N48" s="7"/>
      <c r="O48" s="7"/>
      <c r="P48" s="7"/>
      <c r="Q48" s="7"/>
      <c r="R48" s="7"/>
      <c r="S48" s="7"/>
      <c r="T48" s="7"/>
    </row>
    <row r="49" spans="2:20" hidden="1" outlineLevel="1" x14ac:dyDescent="0.4">
      <c r="B49" s="1" t="s">
        <v>970</v>
      </c>
      <c r="E49" s="5"/>
      <c r="G49" s="17">
        <v>4.1000000000000002E-2</v>
      </c>
      <c r="H49" s="17">
        <v>0.13300000000000001</v>
      </c>
      <c r="I49" s="17">
        <f>(1+3.1%)*(1+1.1%)-1</f>
        <v>4.234099999999974E-2</v>
      </c>
      <c r="J49" s="190">
        <f>(1-3.2%)*(1+2%)-1</f>
        <v>-1.2639999999999985E-2</v>
      </c>
      <c r="K49" s="17"/>
      <c r="L49" s="17"/>
      <c r="M49" s="17"/>
      <c r="N49" s="17"/>
      <c r="O49" s="17"/>
      <c r="P49" s="17"/>
      <c r="Q49" s="17"/>
      <c r="R49" s="17"/>
      <c r="S49" s="17"/>
      <c r="T49" s="17"/>
    </row>
    <row r="50" spans="2:20" hidden="1" outlineLevel="1" x14ac:dyDescent="0.4">
      <c r="F50" s="5"/>
      <c r="G50" s="17"/>
      <c r="H50" s="17"/>
      <c r="I50" s="17"/>
      <c r="J50" s="190"/>
      <c r="K50" s="17"/>
      <c r="L50" s="17"/>
      <c r="M50" s="17"/>
      <c r="N50" s="17"/>
      <c r="O50" s="17"/>
      <c r="P50" s="17"/>
      <c r="Q50" s="17"/>
      <c r="R50" s="17"/>
      <c r="S50" s="17"/>
      <c r="T50" s="17"/>
    </row>
    <row r="51" spans="2:20" hidden="1" outlineLevel="1" x14ac:dyDescent="0.4">
      <c r="B51" s="1" t="s">
        <v>243</v>
      </c>
      <c r="F51" s="5"/>
      <c r="G51" s="5"/>
      <c r="H51" s="5"/>
      <c r="I51" s="5"/>
      <c r="J51" s="42"/>
    </row>
    <row r="52" spans="2:20" hidden="1" outlineLevel="1" x14ac:dyDescent="0.4">
      <c r="C52" s="1" t="s">
        <v>1581</v>
      </c>
      <c r="F52" s="15">
        <f>55600+2300</f>
        <v>57900</v>
      </c>
      <c r="G52" s="15">
        <f>F31+2300</f>
        <v>80887</v>
      </c>
      <c r="H52" s="15">
        <f>G31+10100</f>
        <v>122142</v>
      </c>
      <c r="I52" s="15">
        <f>H31+5200</f>
        <v>188419</v>
      </c>
      <c r="J52" s="45">
        <f>I31-2300</f>
        <v>257050</v>
      </c>
      <c r="K52" s="7"/>
      <c r="L52" s="7"/>
      <c r="M52" s="7"/>
      <c r="N52" s="7"/>
      <c r="O52" s="7"/>
      <c r="P52" s="7"/>
      <c r="Q52" s="7"/>
      <c r="R52" s="7"/>
      <c r="S52" s="7"/>
      <c r="T52" s="7"/>
    </row>
    <row r="53" spans="2:20" hidden="1" outlineLevel="1" x14ac:dyDescent="0.4">
      <c r="C53" s="1" t="s">
        <v>1580</v>
      </c>
      <c r="F53" s="7">
        <f>F31-F52</f>
        <v>20687</v>
      </c>
      <c r="G53" s="7">
        <f>G31-G52</f>
        <v>31155</v>
      </c>
      <c r="H53" s="7">
        <f>H31-H52</f>
        <v>61077</v>
      </c>
      <c r="I53" s="7">
        <f>I31-I52</f>
        <v>70931</v>
      </c>
      <c r="J53" s="61">
        <f>J31-J52</f>
        <v>89338</v>
      </c>
      <c r="K53" s="7"/>
      <c r="L53" s="7"/>
      <c r="M53" s="7"/>
      <c r="N53" s="7"/>
      <c r="O53" s="7"/>
      <c r="P53" s="7"/>
      <c r="Q53" s="7"/>
      <c r="R53" s="7"/>
      <c r="S53" s="7"/>
      <c r="T53" s="7"/>
    </row>
    <row r="54" spans="2:20" hidden="1" outlineLevel="1" x14ac:dyDescent="0.4">
      <c r="F54" s="5"/>
      <c r="G54" s="17"/>
      <c r="H54" s="17"/>
      <c r="I54" s="17"/>
      <c r="J54" s="190"/>
      <c r="K54" s="17"/>
      <c r="L54" s="17"/>
      <c r="M54" s="17"/>
      <c r="N54" s="17"/>
      <c r="O54" s="17"/>
      <c r="P54" s="17"/>
      <c r="Q54" s="17"/>
      <c r="R54" s="17"/>
      <c r="S54" s="17"/>
      <c r="T54" s="17"/>
    </row>
    <row r="55" spans="2:20" hidden="1" outlineLevel="1" x14ac:dyDescent="0.4">
      <c r="B55" s="1" t="s">
        <v>963</v>
      </c>
      <c r="F55" s="5"/>
      <c r="G55" s="5"/>
      <c r="H55" s="5"/>
      <c r="I55" s="5"/>
      <c r="J55" s="42"/>
    </row>
    <row r="56" spans="2:20" hidden="1" outlineLevel="1" x14ac:dyDescent="0.4">
      <c r="C56" s="1" t="s">
        <v>969</v>
      </c>
      <c r="F56" s="5"/>
      <c r="G56" s="5"/>
      <c r="H56" s="7">
        <f>F31*(1+G49)*(1+H49)</f>
        <v>92689.672911000001</v>
      </c>
      <c r="I56" s="7">
        <f>H56*(1+I49)</f>
        <v>96614.246351724621</v>
      </c>
      <c r="J56" s="61">
        <f>I56*(1+J$49)</f>
        <v>95393.042277838817</v>
      </c>
    </row>
    <row r="57" spans="2:20" hidden="1" outlineLevel="1" x14ac:dyDescent="0.4">
      <c r="C57" s="1" t="s">
        <v>965</v>
      </c>
      <c r="F57" s="5"/>
      <c r="G57" s="5"/>
      <c r="H57" s="7">
        <f>H31-H56-H58</f>
        <v>29452.327088999999</v>
      </c>
      <c r="I57" s="7">
        <f>H57*(1+I49)</f>
        <v>30699.368070275341</v>
      </c>
      <c r="J57" s="61">
        <f>I57*(1+J$49)</f>
        <v>30311.32805786706</v>
      </c>
    </row>
    <row r="58" spans="2:20" hidden="1" outlineLevel="1" x14ac:dyDescent="0.4">
      <c r="C58" s="1" t="s">
        <v>966</v>
      </c>
      <c r="F58" s="5"/>
      <c r="G58" s="5"/>
      <c r="H58" s="188">
        <f>H53</f>
        <v>61077</v>
      </c>
      <c r="I58" s="7">
        <f>I31-SUM(I56:I57)-I59</f>
        <v>61105.385578000045</v>
      </c>
      <c r="J58" s="61">
        <f>I58*(1+J$49)</f>
        <v>60333.013504294126</v>
      </c>
    </row>
    <row r="59" spans="2:20" hidden="1" outlineLevel="1" x14ac:dyDescent="0.4">
      <c r="C59" s="1" t="s">
        <v>967</v>
      </c>
      <c r="F59" s="5"/>
      <c r="G59" s="5"/>
      <c r="H59" s="5"/>
      <c r="I59" s="188">
        <f>I53</f>
        <v>70931</v>
      </c>
      <c r="J59" s="61">
        <f>J31-J60-SUM(J56:J58)</f>
        <v>71012.616160000005</v>
      </c>
    </row>
    <row r="60" spans="2:20" hidden="1" outlineLevel="1" x14ac:dyDescent="0.4">
      <c r="C60" s="1" t="s">
        <v>968</v>
      </c>
      <c r="F60" s="5"/>
      <c r="G60" s="5"/>
      <c r="H60" s="5"/>
      <c r="I60" s="5"/>
      <c r="J60" s="187">
        <f>J53</f>
        <v>89338</v>
      </c>
    </row>
    <row r="61" spans="2:20" hidden="1" outlineLevel="1" x14ac:dyDescent="0.4">
      <c r="F61" s="5"/>
      <c r="G61" s="5"/>
      <c r="H61" s="5"/>
      <c r="I61" s="5"/>
      <c r="J61" s="42"/>
    </row>
    <row r="62" spans="2:20" hidden="1" outlineLevel="1" x14ac:dyDescent="0.4">
      <c r="B62" s="1" t="s">
        <v>964</v>
      </c>
      <c r="F62" s="5"/>
      <c r="G62" s="5"/>
      <c r="H62" s="5"/>
      <c r="I62" s="5"/>
      <c r="J62" s="42"/>
    </row>
    <row r="63" spans="2:20" hidden="1" outlineLevel="1" x14ac:dyDescent="0.4">
      <c r="C63" s="1" t="s">
        <v>969</v>
      </c>
      <c r="F63" s="189"/>
      <c r="G63" s="189"/>
      <c r="H63" s="7">
        <f>H56/$F$12</f>
        <v>4413.7939481428575</v>
      </c>
      <c r="I63" s="7">
        <f>I56/$F$12</f>
        <v>4600.6783977011728</v>
      </c>
      <c r="J63" s="61">
        <f>J56/$F$12</f>
        <v>4542.525822754229</v>
      </c>
    </row>
    <row r="64" spans="2:20" hidden="1" outlineLevel="1" x14ac:dyDescent="0.4">
      <c r="C64" s="1" t="s">
        <v>965</v>
      </c>
      <c r="F64" s="189"/>
      <c r="G64" s="189"/>
      <c r="H64" s="7">
        <f>H57/$G$19</f>
        <v>2945.2327089</v>
      </c>
      <c r="I64" s="7">
        <f>I57/$G$19</f>
        <v>3069.9368070275341</v>
      </c>
      <c r="J64" s="61">
        <f>J57/$G$19</f>
        <v>3031.1328057867058</v>
      </c>
    </row>
    <row r="65" spans="1:25" hidden="1" outlineLevel="1" x14ac:dyDescent="0.4">
      <c r="C65" s="1" t="s">
        <v>966</v>
      </c>
      <c r="F65" s="189"/>
      <c r="G65" s="189"/>
      <c r="H65" s="7">
        <f>H58/$H$19</f>
        <v>4698.2307692307695</v>
      </c>
      <c r="I65" s="7">
        <f>I58/$H$19</f>
        <v>4700.4142752307725</v>
      </c>
      <c r="J65" s="61">
        <f>J58/$H$19</f>
        <v>4641.0010387918555</v>
      </c>
    </row>
    <row r="66" spans="1:25" hidden="1" outlineLevel="1" x14ac:dyDescent="0.4">
      <c r="C66" s="1" t="s">
        <v>967</v>
      </c>
      <c r="F66" s="189"/>
      <c r="G66" s="189"/>
      <c r="H66" s="7"/>
      <c r="I66" s="7">
        <f>I59/$I$19</f>
        <v>3546.55</v>
      </c>
      <c r="J66" s="61">
        <f>J59/$I$19</f>
        <v>3550.6308080000003</v>
      </c>
    </row>
    <row r="67" spans="1:25" hidden="1" outlineLevel="1" x14ac:dyDescent="0.4">
      <c r="C67" s="1" t="s">
        <v>968</v>
      </c>
      <c r="F67" s="186"/>
      <c r="G67" s="186"/>
      <c r="H67" s="7"/>
      <c r="I67" s="7"/>
      <c r="J67" s="61">
        <f>J60/$J$19</f>
        <v>3436.0769230769229</v>
      </c>
    </row>
    <row r="68" spans="1:25" hidden="1" outlineLevel="1" x14ac:dyDescent="0.4">
      <c r="F68" s="5"/>
      <c r="G68" s="5"/>
      <c r="H68" s="5"/>
      <c r="I68" s="5"/>
      <c r="J68" s="42"/>
    </row>
    <row r="69" spans="1:25" collapsed="1" x14ac:dyDescent="0.4">
      <c r="A69" s="1" t="s">
        <v>235</v>
      </c>
      <c r="B69" s="499" t="s">
        <v>246</v>
      </c>
      <c r="C69" s="499"/>
      <c r="D69" s="499"/>
      <c r="E69" s="499"/>
      <c r="F69" s="499"/>
      <c r="G69" s="499"/>
      <c r="H69" s="499"/>
      <c r="I69" s="499"/>
      <c r="J69" s="500"/>
      <c r="K69" s="499"/>
      <c r="L69" s="499"/>
      <c r="M69" s="499"/>
      <c r="N69" s="499"/>
      <c r="O69" s="499"/>
      <c r="P69" s="499"/>
      <c r="Q69" s="499"/>
      <c r="R69" s="499"/>
      <c r="S69" s="499"/>
      <c r="T69" s="499"/>
    </row>
    <row r="70" spans="1:25" x14ac:dyDescent="0.4">
      <c r="B70" s="13" t="s">
        <v>248</v>
      </c>
      <c r="F70" s="15">
        <v>58168</v>
      </c>
      <c r="G70" s="15">
        <v>85181</v>
      </c>
      <c r="H70" s="15">
        <v>130345</v>
      </c>
      <c r="I70" s="15">
        <v>186058</v>
      </c>
      <c r="J70" s="45">
        <v>254079</v>
      </c>
      <c r="K70" s="513">
        <f t="shared" ref="K70:T70" si="8">SUM(K71:K74)</f>
        <v>335068.19766233768</v>
      </c>
      <c r="L70" s="513">
        <f t="shared" si="8"/>
        <v>436523.52844285709</v>
      </c>
      <c r="M70" s="513">
        <f t="shared" si="8"/>
        <v>544456.83749207144</v>
      </c>
      <c r="N70" s="513">
        <f t="shared" si="8"/>
        <v>633375.7149041543</v>
      </c>
      <c r="O70" s="513">
        <f t="shared" si="8"/>
        <v>707890.50489287823</v>
      </c>
      <c r="P70" s="3">
        <f t="shared" si="8"/>
        <v>774953.81588272995</v>
      </c>
      <c r="Q70" s="3">
        <f t="shared" si="8"/>
        <v>834565.64787370921</v>
      </c>
      <c r="R70" s="3">
        <f t="shared" si="8"/>
        <v>886726.00086581591</v>
      </c>
      <c r="S70" s="3">
        <f t="shared" si="8"/>
        <v>923983.39586017793</v>
      </c>
      <c r="T70" s="3">
        <f t="shared" si="8"/>
        <v>946337.83285679505</v>
      </c>
      <c r="W70" s="65"/>
      <c r="X70" s="65"/>
      <c r="Y70" s="65"/>
    </row>
    <row r="71" spans="1:25" x14ac:dyDescent="0.4">
      <c r="C71" s="1" t="s">
        <v>108</v>
      </c>
      <c r="F71" s="15">
        <v>23865</v>
      </c>
      <c r="G71" s="15">
        <v>34925</v>
      </c>
      <c r="H71" s="15">
        <v>54079</v>
      </c>
      <c r="I71" s="15">
        <v>73752</v>
      </c>
      <c r="J71" s="45">
        <v>98337</v>
      </c>
      <c r="K71" s="515">
        <f t="shared" ref="K71:O74" si="9">K77*(K$12+J$12)/2</f>
        <v>125130.63974025975</v>
      </c>
      <c r="L71" s="515">
        <f t="shared" si="9"/>
        <v>159614.99914285715</v>
      </c>
      <c r="M71" s="515">
        <f t="shared" si="9"/>
        <v>196510.62009857144</v>
      </c>
      <c r="N71" s="515">
        <f t="shared" si="9"/>
        <v>230074.41747077924</v>
      </c>
      <c r="O71" s="515">
        <f t="shared" si="9"/>
        <v>257141.99599675328</v>
      </c>
      <c r="P71" s="7">
        <f t="shared" ref="P71:T74" si="10">P77*AVERAGE(O$12:P$12)</f>
        <v>281502.81667012989</v>
      </c>
      <c r="Q71" s="7">
        <f t="shared" si="10"/>
        <v>303156.87949090911</v>
      </c>
      <c r="R71" s="7">
        <f t="shared" si="10"/>
        <v>322104.18445909093</v>
      </c>
      <c r="S71" s="7">
        <f t="shared" si="10"/>
        <v>335637.97372207796</v>
      </c>
      <c r="T71" s="7">
        <f t="shared" si="10"/>
        <v>343758.24727987015</v>
      </c>
      <c r="W71" s="65"/>
      <c r="X71" s="65"/>
      <c r="Y71" s="65"/>
    </row>
    <row r="72" spans="1:25" x14ac:dyDescent="0.4">
      <c r="C72" s="1" t="s">
        <v>110</v>
      </c>
      <c r="F72" s="15">
        <v>20096</v>
      </c>
      <c r="G72" s="15">
        <v>29312</v>
      </c>
      <c r="H72" s="15">
        <v>44752</v>
      </c>
      <c r="I72" s="15">
        <v>65540</v>
      </c>
      <c r="J72" s="45">
        <v>91740</v>
      </c>
      <c r="K72" s="515">
        <f t="shared" si="9"/>
        <v>123080.52857142856</v>
      </c>
      <c r="L72" s="515">
        <f t="shared" si="9"/>
        <v>161957.79599999997</v>
      </c>
      <c r="M72" s="515">
        <f t="shared" si="9"/>
        <v>203506.19981999998</v>
      </c>
      <c r="N72" s="515">
        <f t="shared" si="9"/>
        <v>235882.18615499997</v>
      </c>
      <c r="O72" s="515">
        <f t="shared" si="9"/>
        <v>263633.03158499999</v>
      </c>
      <c r="P72" s="7">
        <f t="shared" si="10"/>
        <v>288608.792472</v>
      </c>
      <c r="Q72" s="7">
        <f t="shared" si="10"/>
        <v>310809.46881599998</v>
      </c>
      <c r="R72" s="7">
        <f t="shared" si="10"/>
        <v>330235.06061699998</v>
      </c>
      <c r="S72" s="7">
        <f t="shared" si="10"/>
        <v>344110.48333199997</v>
      </c>
      <c r="T72" s="7">
        <f t="shared" si="10"/>
        <v>352435.73696099996</v>
      </c>
      <c r="W72" s="65"/>
      <c r="X72" s="65"/>
      <c r="Y72" s="65"/>
    </row>
    <row r="73" spans="1:25" x14ac:dyDescent="0.4">
      <c r="C73" s="1" t="s">
        <v>114</v>
      </c>
      <c r="F73" s="15">
        <v>6892</v>
      </c>
      <c r="G73" s="15">
        <v>9735</v>
      </c>
      <c r="H73" s="15">
        <v>15207</v>
      </c>
      <c r="I73" s="15">
        <v>21820</v>
      </c>
      <c r="J73" s="45">
        <v>28197</v>
      </c>
      <c r="K73" s="515">
        <f t="shared" si="9"/>
        <v>37829.754350649353</v>
      </c>
      <c r="L73" s="515">
        <f t="shared" si="9"/>
        <v>49778.983800000002</v>
      </c>
      <c r="M73" s="515">
        <f t="shared" si="9"/>
        <v>62549.207720999999</v>
      </c>
      <c r="N73" s="515">
        <f t="shared" si="9"/>
        <v>72500.218040250009</v>
      </c>
      <c r="O73" s="515">
        <f t="shared" si="9"/>
        <v>81029.655456750013</v>
      </c>
      <c r="P73" s="7">
        <f t="shared" si="10"/>
        <v>88706.149131600003</v>
      </c>
      <c r="Q73" s="7">
        <f t="shared" si="10"/>
        <v>95529.699064800006</v>
      </c>
      <c r="R73" s="7">
        <f t="shared" si="10"/>
        <v>101500.30525635001</v>
      </c>
      <c r="S73" s="7">
        <f t="shared" si="10"/>
        <v>105765.02396460001</v>
      </c>
      <c r="T73" s="7">
        <f t="shared" si="10"/>
        <v>108323.85518955001</v>
      </c>
      <c r="W73" s="65"/>
      <c r="X73" s="65"/>
      <c r="Y73" s="65"/>
    </row>
    <row r="74" spans="1:25" x14ac:dyDescent="0.4">
      <c r="C74" s="1" t="s">
        <v>112</v>
      </c>
      <c r="F74" s="515">
        <f>F70-SUM(F71:F73)</f>
        <v>7315</v>
      </c>
      <c r="G74" s="515">
        <f>G70-SUM(G71:G73)</f>
        <v>11209</v>
      </c>
      <c r="H74" s="515">
        <f>H70-SUM(H71:H73)</f>
        <v>16307</v>
      </c>
      <c r="I74" s="515">
        <f>I70-SUM(I71:I73)</f>
        <v>24946</v>
      </c>
      <c r="J74" s="516">
        <f>J70-SUM(J71:J73)</f>
        <v>35805</v>
      </c>
      <c r="K74" s="515">
        <f t="shared" si="9"/>
        <v>49027.275000000001</v>
      </c>
      <c r="L74" s="515">
        <f t="shared" si="9"/>
        <v>65171.749500000005</v>
      </c>
      <c r="M74" s="515">
        <f t="shared" si="9"/>
        <v>81890.80985250001</v>
      </c>
      <c r="N74" s="515">
        <f t="shared" si="9"/>
        <v>94918.89323812502</v>
      </c>
      <c r="O74" s="515">
        <f t="shared" si="9"/>
        <v>106085.82185437501</v>
      </c>
      <c r="P74" s="7">
        <f t="shared" si="10"/>
        <v>116136.05760900001</v>
      </c>
      <c r="Q74" s="7">
        <f t="shared" si="10"/>
        <v>125069.60050200002</v>
      </c>
      <c r="R74" s="7">
        <f t="shared" si="10"/>
        <v>132886.45053337503</v>
      </c>
      <c r="S74" s="7">
        <f t="shared" si="10"/>
        <v>138469.91484150002</v>
      </c>
      <c r="T74" s="7">
        <f t="shared" si="10"/>
        <v>141819.99342637503</v>
      </c>
      <c r="W74" s="65"/>
      <c r="X74" s="65"/>
      <c r="Y74" s="65"/>
    </row>
    <row r="75" spans="1:25" x14ac:dyDescent="0.4">
      <c r="F75" s="7"/>
      <c r="G75" s="7"/>
      <c r="H75" s="7"/>
      <c r="I75" s="7"/>
      <c r="J75" s="61"/>
      <c r="K75" s="7"/>
      <c r="L75" s="7"/>
      <c r="M75" s="7"/>
      <c r="N75" s="7"/>
      <c r="O75" s="7"/>
      <c r="P75" s="7"/>
      <c r="Q75" s="7"/>
      <c r="R75" s="7"/>
      <c r="S75" s="7"/>
      <c r="T75" s="7"/>
    </row>
    <row r="76" spans="1:25" x14ac:dyDescent="0.4">
      <c r="B76" s="14" t="s">
        <v>250</v>
      </c>
      <c r="F76" s="5"/>
      <c r="G76" s="5"/>
      <c r="H76" s="5"/>
      <c r="I76" s="5"/>
      <c r="J76" s="42"/>
    </row>
    <row r="77" spans="1:25" x14ac:dyDescent="0.4">
      <c r="C77" s="1" t="s">
        <v>107</v>
      </c>
      <c r="F77" s="5"/>
      <c r="G77" s="515">
        <f t="shared" ref="G77:J80" si="11">G71/(F$12+G$12)*2</f>
        <v>1343.2692307692307</v>
      </c>
      <c r="H77" s="515">
        <f t="shared" si="11"/>
        <v>1442.1066666666666</v>
      </c>
      <c r="I77" s="515">
        <f t="shared" si="11"/>
        <v>1365.7777777777778</v>
      </c>
      <c r="J77" s="516">
        <f t="shared" si="11"/>
        <v>1277.1038961038962</v>
      </c>
      <c r="K77" s="515">
        <f t="shared" ref="K77:T77" si="12">J77*(1+K83)</f>
        <v>1174.9355844155846</v>
      </c>
      <c r="L77" s="515">
        <f t="shared" si="12"/>
        <v>1116.1888051948054</v>
      </c>
      <c r="M77" s="515">
        <f t="shared" si="12"/>
        <v>1082.7031410389611</v>
      </c>
      <c r="N77" s="515">
        <f t="shared" si="12"/>
        <v>1082.7031410389611</v>
      </c>
      <c r="O77" s="515">
        <f t="shared" si="12"/>
        <v>1082.7031410389611</v>
      </c>
      <c r="P77" s="7">
        <f t="shared" si="12"/>
        <v>1082.7031410389611</v>
      </c>
      <c r="Q77" s="7">
        <f t="shared" si="12"/>
        <v>1082.7031410389611</v>
      </c>
      <c r="R77" s="7">
        <f t="shared" si="12"/>
        <v>1082.7031410389611</v>
      </c>
      <c r="S77" s="7">
        <f t="shared" si="12"/>
        <v>1082.7031410389611</v>
      </c>
      <c r="T77" s="7">
        <f t="shared" si="12"/>
        <v>1082.7031410389611</v>
      </c>
    </row>
    <row r="78" spans="1:25" x14ac:dyDescent="0.4">
      <c r="C78" s="1" t="s">
        <v>109</v>
      </c>
      <c r="F78" s="5"/>
      <c r="G78" s="515">
        <f t="shared" si="11"/>
        <v>1127.3846153846155</v>
      </c>
      <c r="H78" s="515">
        <f t="shared" si="11"/>
        <v>1193.3866666666668</v>
      </c>
      <c r="I78" s="515">
        <f t="shared" si="11"/>
        <v>1213.7037037037037</v>
      </c>
      <c r="J78" s="516">
        <f t="shared" si="11"/>
        <v>1191.4285714285713</v>
      </c>
      <c r="K78" s="515">
        <f t="shared" ref="K78:O80" si="13">J78*(1+K84)</f>
        <v>1155.6857142857141</v>
      </c>
      <c r="L78" s="515">
        <f t="shared" si="13"/>
        <v>1132.5719999999999</v>
      </c>
      <c r="M78" s="515">
        <f t="shared" si="13"/>
        <v>1121.2462799999998</v>
      </c>
      <c r="N78" s="515">
        <f t="shared" si="13"/>
        <v>1110.0338171999999</v>
      </c>
      <c r="O78" s="515">
        <f t="shared" si="13"/>
        <v>1110.0338171999999</v>
      </c>
      <c r="P78" s="7">
        <f t="shared" ref="P78:T80" si="14">O78*(1+P84)</f>
        <v>1110.0338171999999</v>
      </c>
      <c r="Q78" s="7">
        <f t="shared" si="14"/>
        <v>1110.0338171999999</v>
      </c>
      <c r="R78" s="7">
        <f t="shared" si="14"/>
        <v>1110.0338171999999</v>
      </c>
      <c r="S78" s="7">
        <f t="shared" si="14"/>
        <v>1110.0338171999999</v>
      </c>
      <c r="T78" s="7">
        <f t="shared" si="14"/>
        <v>1110.0338171999999</v>
      </c>
    </row>
    <row r="79" spans="1:25" x14ac:dyDescent="0.4">
      <c r="C79" s="1" t="s">
        <v>113</v>
      </c>
      <c r="F79" s="5"/>
      <c r="G79" s="515">
        <f t="shared" si="11"/>
        <v>374.42307692307691</v>
      </c>
      <c r="H79" s="515">
        <f t="shared" si="11"/>
        <v>405.52</v>
      </c>
      <c r="I79" s="515">
        <f t="shared" si="11"/>
        <v>404.07407407407408</v>
      </c>
      <c r="J79" s="516">
        <f t="shared" si="11"/>
        <v>366.19480519480521</v>
      </c>
      <c r="K79" s="515">
        <f t="shared" si="13"/>
        <v>355.20896103896104</v>
      </c>
      <c r="L79" s="515">
        <f t="shared" si="13"/>
        <v>348.10478181818183</v>
      </c>
      <c r="M79" s="515">
        <f t="shared" si="13"/>
        <v>344.62373400000001</v>
      </c>
      <c r="N79" s="515">
        <f t="shared" si="13"/>
        <v>341.17749666000003</v>
      </c>
      <c r="O79" s="515">
        <f t="shared" si="13"/>
        <v>341.17749666000003</v>
      </c>
      <c r="P79" s="7">
        <f t="shared" si="14"/>
        <v>341.17749666000003</v>
      </c>
      <c r="Q79" s="7">
        <f t="shared" si="14"/>
        <v>341.17749666000003</v>
      </c>
      <c r="R79" s="7">
        <f t="shared" si="14"/>
        <v>341.17749666000003</v>
      </c>
      <c r="S79" s="7">
        <f t="shared" si="14"/>
        <v>341.17749666000003</v>
      </c>
      <c r="T79" s="7">
        <f t="shared" si="14"/>
        <v>341.17749666000003</v>
      </c>
    </row>
    <row r="80" spans="1:25" x14ac:dyDescent="0.4">
      <c r="C80" s="1" t="s">
        <v>111</v>
      </c>
      <c r="F80" s="5"/>
      <c r="G80" s="515">
        <f t="shared" si="11"/>
        <v>431.11538461538464</v>
      </c>
      <c r="H80" s="515">
        <f t="shared" si="11"/>
        <v>434.85333333333335</v>
      </c>
      <c r="I80" s="515">
        <f t="shared" si="11"/>
        <v>461.96296296296299</v>
      </c>
      <c r="J80" s="516">
        <f t="shared" si="11"/>
        <v>465</v>
      </c>
      <c r="K80" s="515">
        <f t="shared" si="13"/>
        <v>460.35</v>
      </c>
      <c r="L80" s="515">
        <f t="shared" si="13"/>
        <v>455.74650000000003</v>
      </c>
      <c r="M80" s="515">
        <f t="shared" si="13"/>
        <v>451.18903500000005</v>
      </c>
      <c r="N80" s="515">
        <f t="shared" si="13"/>
        <v>446.67714465000006</v>
      </c>
      <c r="O80" s="515">
        <f t="shared" si="13"/>
        <v>446.67714465000006</v>
      </c>
      <c r="P80" s="7">
        <f t="shared" si="14"/>
        <v>446.67714465000006</v>
      </c>
      <c r="Q80" s="7">
        <f t="shared" si="14"/>
        <v>446.67714465000006</v>
      </c>
      <c r="R80" s="7">
        <f t="shared" si="14"/>
        <v>446.67714465000006</v>
      </c>
      <c r="S80" s="7">
        <f t="shared" si="14"/>
        <v>446.67714465000006</v>
      </c>
      <c r="T80" s="7">
        <f t="shared" si="14"/>
        <v>446.67714465000006</v>
      </c>
    </row>
    <row r="81" spans="2:21" x14ac:dyDescent="0.4">
      <c r="F81" s="5"/>
      <c r="G81" s="5"/>
      <c r="H81" s="5"/>
      <c r="I81" s="5"/>
      <c r="J81" s="42"/>
    </row>
    <row r="82" spans="2:21" x14ac:dyDescent="0.4">
      <c r="B82" s="14" t="s">
        <v>252</v>
      </c>
      <c r="F82" s="5"/>
      <c r="G82" s="5"/>
      <c r="H82" s="5"/>
      <c r="I82" s="5"/>
      <c r="J82" s="42"/>
    </row>
    <row r="83" spans="2:21" x14ac:dyDescent="0.4">
      <c r="C83" s="1" t="s">
        <v>107</v>
      </c>
      <c r="F83" s="5"/>
      <c r="G83" s="8"/>
      <c r="H83" s="517">
        <f t="shared" ref="H83:J86" si="15">(H77-G77)/G77</f>
        <v>7.3579766165592905E-2</v>
      </c>
      <c r="I83" s="517">
        <f t="shared" si="15"/>
        <v>-5.2928740053132049E-2</v>
      </c>
      <c r="J83" s="518">
        <f t="shared" si="15"/>
        <v>-6.4925556057999892E-2</v>
      </c>
      <c r="K83" s="519">
        <f>K45</f>
        <v>-0.08</v>
      </c>
      <c r="L83" s="519">
        <f>L45</f>
        <v>-0.05</v>
      </c>
      <c r="M83" s="519">
        <f>M45</f>
        <v>-0.03</v>
      </c>
      <c r="N83" s="519">
        <f>N45</f>
        <v>0</v>
      </c>
      <c r="O83" s="519">
        <f>O45</f>
        <v>0</v>
      </c>
      <c r="P83" s="18">
        <f>+P45</f>
        <v>0</v>
      </c>
      <c r="Q83" s="18">
        <f>+Q45</f>
        <v>0</v>
      </c>
      <c r="R83" s="18">
        <f>+R45</f>
        <v>0</v>
      </c>
      <c r="S83" s="18">
        <f>+S45</f>
        <v>0</v>
      </c>
      <c r="T83" s="18">
        <f>+T45</f>
        <v>0</v>
      </c>
      <c r="U83" s="1" t="s">
        <v>187</v>
      </c>
    </row>
    <row r="84" spans="2:21" x14ac:dyDescent="0.4">
      <c r="C84" s="1" t="s">
        <v>109</v>
      </c>
      <c r="F84" s="5"/>
      <c r="G84" s="5"/>
      <c r="H84" s="517">
        <f t="shared" si="15"/>
        <v>5.8544395924308594E-2</v>
      </c>
      <c r="I84" s="517">
        <f t="shared" si="15"/>
        <v>1.7024689151074468E-2</v>
      </c>
      <c r="J84" s="518">
        <f t="shared" si="15"/>
        <v>-1.8353023235537804E-2</v>
      </c>
      <c r="K84" s="17">
        <v>-0.03</v>
      </c>
      <c r="L84" s="17">
        <v>-0.02</v>
      </c>
      <c r="M84" s="17">
        <v>-0.01</v>
      </c>
      <c r="N84" s="17">
        <v>-0.01</v>
      </c>
      <c r="O84" s="17">
        <f t="shared" ref="O84:T84" si="16">+O83/2</f>
        <v>0</v>
      </c>
      <c r="P84" s="17">
        <f t="shared" si="16"/>
        <v>0</v>
      </c>
      <c r="Q84" s="17">
        <f t="shared" si="16"/>
        <v>0</v>
      </c>
      <c r="R84" s="17">
        <f t="shared" si="16"/>
        <v>0</v>
      </c>
      <c r="S84" s="17">
        <f t="shared" si="16"/>
        <v>0</v>
      </c>
      <c r="T84" s="17">
        <f t="shared" si="16"/>
        <v>0</v>
      </c>
    </row>
    <row r="85" spans="2:21" x14ac:dyDescent="0.4">
      <c r="C85" s="1" t="s">
        <v>113</v>
      </c>
      <c r="F85" s="5"/>
      <c r="G85" s="5"/>
      <c r="H85" s="517">
        <f t="shared" si="15"/>
        <v>8.3052901900359535E-2</v>
      </c>
      <c r="I85" s="517">
        <f t="shared" si="15"/>
        <v>-3.5656094050254133E-3</v>
      </c>
      <c r="J85" s="518">
        <f t="shared" si="15"/>
        <v>-9.3743378527979773E-2</v>
      </c>
      <c r="K85" s="17">
        <v>-0.03</v>
      </c>
      <c r="L85" s="17">
        <v>-0.02</v>
      </c>
      <c r="M85" s="17">
        <v>-0.01</v>
      </c>
      <c r="N85" s="17">
        <v>-0.01</v>
      </c>
      <c r="O85" s="17">
        <f t="shared" ref="O85:T85" si="17">+O83/2</f>
        <v>0</v>
      </c>
      <c r="P85" s="17">
        <f t="shared" si="17"/>
        <v>0</v>
      </c>
      <c r="Q85" s="17">
        <f t="shared" si="17"/>
        <v>0</v>
      </c>
      <c r="R85" s="17">
        <f t="shared" si="17"/>
        <v>0</v>
      </c>
      <c r="S85" s="17">
        <f t="shared" si="17"/>
        <v>0</v>
      </c>
      <c r="T85" s="17">
        <f t="shared" si="17"/>
        <v>0</v>
      </c>
      <c r="U85" s="1" t="s">
        <v>188</v>
      </c>
    </row>
    <row r="86" spans="2:21" x14ac:dyDescent="0.4">
      <c r="C86" s="1" t="s">
        <v>111</v>
      </c>
      <c r="F86" s="5"/>
      <c r="G86" s="5"/>
      <c r="H86" s="517">
        <f t="shared" si="15"/>
        <v>8.6704136556933261E-3</v>
      </c>
      <c r="I86" s="517">
        <f t="shared" si="15"/>
        <v>6.2342007181646612E-2</v>
      </c>
      <c r="J86" s="518">
        <f t="shared" si="15"/>
        <v>6.5742002725887325E-3</v>
      </c>
      <c r="K86" s="17">
        <v>-0.01</v>
      </c>
      <c r="L86" s="17">
        <v>-0.01</v>
      </c>
      <c r="M86" s="17">
        <v>-0.01</v>
      </c>
      <c r="N86" s="17">
        <v>-0.01</v>
      </c>
      <c r="O86" s="17">
        <v>0</v>
      </c>
      <c r="P86" s="17">
        <v>0</v>
      </c>
      <c r="Q86" s="17">
        <v>0</v>
      </c>
      <c r="R86" s="17">
        <v>0</v>
      </c>
      <c r="S86" s="17">
        <v>0</v>
      </c>
      <c r="T86" s="17">
        <v>0</v>
      </c>
    </row>
    <row r="87" spans="2:21" x14ac:dyDescent="0.4">
      <c r="F87" s="7"/>
      <c r="G87" s="7"/>
      <c r="H87" s="7"/>
      <c r="I87" s="7"/>
      <c r="J87" s="61"/>
      <c r="K87" s="7"/>
      <c r="L87" s="7"/>
      <c r="M87" s="7"/>
      <c r="N87" s="7"/>
      <c r="O87" s="7"/>
      <c r="P87" s="7"/>
      <c r="Q87" s="7"/>
      <c r="R87" s="7"/>
      <c r="S87" s="7"/>
      <c r="T87" s="7"/>
    </row>
    <row r="88" spans="2:21" x14ac:dyDescent="0.4">
      <c r="B88" s="13" t="s">
        <v>249</v>
      </c>
      <c r="F88" s="7"/>
      <c r="G88" s="7"/>
      <c r="H88" s="7"/>
      <c r="I88" s="7"/>
      <c r="J88" s="61"/>
      <c r="K88" s="7"/>
      <c r="L88" s="7"/>
      <c r="M88" s="7"/>
      <c r="N88" s="7"/>
      <c r="O88" s="7"/>
      <c r="P88" s="7"/>
      <c r="Q88" s="7"/>
      <c r="R88" s="7"/>
      <c r="S88" s="7"/>
      <c r="T88" s="7"/>
    </row>
    <row r="89" spans="2:21" x14ac:dyDescent="0.4">
      <c r="C89" s="1" t="s">
        <v>84</v>
      </c>
      <c r="F89" s="15">
        <v>12453</v>
      </c>
      <c r="G89" s="15">
        <v>18187</v>
      </c>
      <c r="H89" s="15">
        <v>37825</v>
      </c>
      <c r="I89" s="15">
        <v>30556</v>
      </c>
      <c r="J89" s="45">
        <v>39003</v>
      </c>
      <c r="K89" s="515">
        <f>K90+K91</f>
        <v>48275.987498228089</v>
      </c>
      <c r="L89" s="515">
        <f>L90+L91</f>
        <v>60030.590156190476</v>
      </c>
      <c r="M89" s="515">
        <f>M90+M91</f>
        <v>72607.113880756035</v>
      </c>
      <c r="N89" s="515">
        <f>N90+N91</f>
        <v>84047.926719893439</v>
      </c>
      <c r="O89" s="515">
        <f>O90+O91</f>
        <v>93274.38868693971</v>
      </c>
      <c r="P89" s="7">
        <f>+SUM(P90:P91)</f>
        <v>5623</v>
      </c>
      <c r="Q89" s="7">
        <f>+SUM(Q90:Q91)</f>
        <v>5623</v>
      </c>
      <c r="R89" s="7">
        <f>+SUM(R90:R91)</f>
        <v>5623</v>
      </c>
      <c r="S89" s="7">
        <f>+SUM(S90:S91)</f>
        <v>5623</v>
      </c>
      <c r="T89" s="7">
        <f>+SUM(T90:T91)</f>
        <v>5623</v>
      </c>
    </row>
    <row r="90" spans="2:21" x14ac:dyDescent="0.4">
      <c r="D90" s="1" t="s">
        <v>869</v>
      </c>
      <c r="F90" s="520">
        <f>SCF!C24</f>
        <v>93</v>
      </c>
      <c r="G90" s="520">
        <f>SCF!D24</f>
        <v>165</v>
      </c>
      <c r="H90" s="520">
        <f>SCF!E24</f>
        <v>16681</v>
      </c>
      <c r="I90" s="520">
        <f>SCF!F24</f>
        <v>5354</v>
      </c>
      <c r="J90" s="521">
        <f>SCF!G24</f>
        <v>5623</v>
      </c>
      <c r="K90" s="520">
        <v>5623</v>
      </c>
      <c r="L90" s="520">
        <v>5623</v>
      </c>
      <c r="M90" s="520">
        <v>5623</v>
      </c>
      <c r="N90" s="520">
        <v>5623</v>
      </c>
      <c r="O90" s="520">
        <v>5623</v>
      </c>
      <c r="P90" s="15">
        <f>+O90</f>
        <v>5623</v>
      </c>
      <c r="Q90" s="15">
        <f>+P90</f>
        <v>5623</v>
      </c>
      <c r="R90" s="15">
        <f>+Q90</f>
        <v>5623</v>
      </c>
      <c r="S90" s="15">
        <f>+R90</f>
        <v>5623</v>
      </c>
      <c r="T90" s="15">
        <f>+S90</f>
        <v>5623</v>
      </c>
      <c r="U90" s="1" t="s">
        <v>1632</v>
      </c>
    </row>
    <row r="91" spans="2:21" x14ac:dyDescent="0.4">
      <c r="D91" s="1" t="s">
        <v>872</v>
      </c>
      <c r="F91" s="515">
        <f>F89-F90</f>
        <v>12360</v>
      </c>
      <c r="G91" s="515">
        <f>G89-G90</f>
        <v>18022</v>
      </c>
      <c r="H91" s="515">
        <f>H89-H90</f>
        <v>21144</v>
      </c>
      <c r="I91" s="515">
        <f>I89-I90</f>
        <v>25202</v>
      </c>
      <c r="J91" s="516">
        <f>J89-J90</f>
        <v>33380</v>
      </c>
      <c r="K91" s="515">
        <f>K31*K97</f>
        <v>42652.987498228089</v>
      </c>
      <c r="L91" s="515">
        <f>L31*L97</f>
        <v>54407.590156190476</v>
      </c>
      <c r="M91" s="515">
        <f>M31*M97</f>
        <v>66984.113880756035</v>
      </c>
      <c r="N91" s="515">
        <f>N31*N97</f>
        <v>78424.926719893439</v>
      </c>
      <c r="O91" s="515">
        <f>O31*O97</f>
        <v>87651.38868693971</v>
      </c>
      <c r="P91" s="7">
        <f>P97*P31</f>
        <v>0</v>
      </c>
      <c r="Q91" s="7">
        <f>Q97*Q31</f>
        <v>0</v>
      </c>
      <c r="R91" s="7">
        <f>R97*R31</f>
        <v>0</v>
      </c>
      <c r="S91" s="7">
        <f>S97*S31</f>
        <v>0</v>
      </c>
      <c r="T91" s="7">
        <f>T97*T31</f>
        <v>0</v>
      </c>
    </row>
    <row r="92" spans="2:21" x14ac:dyDescent="0.4">
      <c r="C92" s="1" t="s">
        <v>85</v>
      </c>
      <c r="F92" s="15">
        <v>2334</v>
      </c>
      <c r="G92" s="15">
        <v>6105</v>
      </c>
      <c r="H92" s="15">
        <v>5430</v>
      </c>
      <c r="I92" s="15">
        <v>9520</v>
      </c>
      <c r="J92" s="45">
        <v>9603</v>
      </c>
      <c r="K92" s="515">
        <f>K98*K24</f>
        <v>10747</v>
      </c>
      <c r="L92" s="515">
        <f>L98*L24</f>
        <v>11826.666666666668</v>
      </c>
      <c r="M92" s="515">
        <f>M98*M24</f>
        <v>9829.6666666666679</v>
      </c>
      <c r="N92" s="515">
        <f>N98*N24</f>
        <v>5891.666666666667</v>
      </c>
      <c r="O92" s="515">
        <f>O98*O24</f>
        <v>5141.666666666667</v>
      </c>
      <c r="P92" s="7" t="e">
        <f>P98*P19</f>
        <v>#VALUE!</v>
      </c>
      <c r="Q92" s="7" t="e">
        <f>Q98*Q19</f>
        <v>#VALUE!</v>
      </c>
      <c r="R92" s="7" t="e">
        <f>R98*R19</f>
        <v>#VALUE!</v>
      </c>
      <c r="S92" s="7" t="e">
        <f>S98*S19</f>
        <v>#VALUE!</v>
      </c>
      <c r="T92" s="7" t="e">
        <f>T98*T19</f>
        <v>#VALUE!</v>
      </c>
    </row>
    <row r="93" spans="2:21" x14ac:dyDescent="0.4">
      <c r="C93" s="1" t="s">
        <v>116</v>
      </c>
      <c r="F93" s="15">
        <v>3541</v>
      </c>
      <c r="G93" s="15">
        <v>5809</v>
      </c>
      <c r="H93" s="15">
        <v>10222</v>
      </c>
      <c r="I93" s="15">
        <v>14502</v>
      </c>
      <c r="J93" s="45">
        <v>21704</v>
      </c>
      <c r="K93" s="520">
        <v>29216.938499278502</v>
      </c>
      <c r="L93" s="520">
        <v>36370.25544973545</v>
      </c>
      <c r="M93" s="520">
        <v>42532.247301587304</v>
      </c>
      <c r="N93" s="520">
        <v>45546.708273208278</v>
      </c>
      <c r="O93" s="520">
        <v>46155.144540644549</v>
      </c>
      <c r="P93" s="11">
        <f>+'PP&amp;E'!P18</f>
        <v>0</v>
      </c>
      <c r="Q93" s="11">
        <f>+'PP&amp;E'!Q18</f>
        <v>0</v>
      </c>
      <c r="R93" s="11">
        <f>+'PP&amp;E'!R18</f>
        <v>0</v>
      </c>
      <c r="S93" s="11">
        <f>+'PP&amp;E'!S18</f>
        <v>0</v>
      </c>
      <c r="T93" s="11">
        <f>+'PP&amp;E'!T18</f>
        <v>0</v>
      </c>
    </row>
    <row r="94" spans="2:21" x14ac:dyDescent="0.4">
      <c r="C94" s="1" t="s">
        <v>117</v>
      </c>
      <c r="F94" s="15">
        <v>25</v>
      </c>
      <c r="G94" s="15">
        <v>105</v>
      </c>
      <c r="H94" s="15">
        <v>17</v>
      </c>
      <c r="I94" s="15">
        <v>34</v>
      </c>
      <c r="J94" s="45">
        <v>608</v>
      </c>
      <c r="K94" s="513">
        <f t="shared" ref="K94:T94" si="18">K100</f>
        <v>50</v>
      </c>
      <c r="L94" s="513">
        <f t="shared" si="18"/>
        <v>50</v>
      </c>
      <c r="M94" s="513">
        <f t="shared" si="18"/>
        <v>50</v>
      </c>
      <c r="N94" s="513">
        <f t="shared" si="18"/>
        <v>50</v>
      </c>
      <c r="O94" s="513">
        <f t="shared" si="18"/>
        <v>50</v>
      </c>
      <c r="P94" s="3">
        <f t="shared" si="18"/>
        <v>50</v>
      </c>
      <c r="Q94" s="3">
        <f t="shared" si="18"/>
        <v>50</v>
      </c>
      <c r="R94" s="3">
        <f t="shared" si="18"/>
        <v>50</v>
      </c>
      <c r="S94" s="3">
        <f t="shared" si="18"/>
        <v>50</v>
      </c>
      <c r="T94" s="3">
        <f t="shared" si="18"/>
        <v>50</v>
      </c>
    </row>
    <row r="95" spans="2:21" x14ac:dyDescent="0.4">
      <c r="C95" s="1" t="s">
        <v>147</v>
      </c>
      <c r="F95" s="5">
        <f>F89+F92</f>
        <v>14787</v>
      </c>
      <c r="G95" s="5">
        <f t="shared" ref="G95:O95" si="19">G89+G92</f>
        <v>24292</v>
      </c>
      <c r="H95" s="5">
        <f t="shared" si="19"/>
        <v>43255</v>
      </c>
      <c r="I95" s="5">
        <f t="shared" si="19"/>
        <v>40076</v>
      </c>
      <c r="J95" s="42">
        <f t="shared" si="19"/>
        <v>48606</v>
      </c>
      <c r="K95" s="5">
        <f t="shared" si="19"/>
        <v>59022.987498228089</v>
      </c>
      <c r="L95" s="5">
        <f t="shared" si="19"/>
        <v>71857.256822857147</v>
      </c>
      <c r="M95" s="5">
        <f t="shared" si="19"/>
        <v>82436.780547422706</v>
      </c>
      <c r="N95" s="5">
        <f t="shared" si="19"/>
        <v>89939.593386560111</v>
      </c>
      <c r="O95" s="5">
        <f t="shared" si="19"/>
        <v>98416.055353606382</v>
      </c>
    </row>
    <row r="96" spans="2:21" x14ac:dyDescent="0.4">
      <c r="B96" s="14" t="s">
        <v>251</v>
      </c>
      <c r="F96" s="5"/>
      <c r="G96" s="5"/>
      <c r="H96" s="5"/>
      <c r="I96" s="5"/>
      <c r="J96" s="42"/>
    </row>
    <row r="97" spans="1:21" ht="15.6" x14ac:dyDescent="0.4">
      <c r="C97" s="1" t="s">
        <v>819</v>
      </c>
      <c r="F97" s="517">
        <f>F91/F31</f>
        <v>0.15727792128469084</v>
      </c>
      <c r="G97" s="517">
        <f>G91/G31</f>
        <v>0.160850395387444</v>
      </c>
      <c r="H97" s="517">
        <f>H91/H31</f>
        <v>0.11540287852242398</v>
      </c>
      <c r="I97" s="517">
        <f>I91/I31</f>
        <v>9.717370348949296E-2</v>
      </c>
      <c r="J97" s="518">
        <f>J91/J31</f>
        <v>9.636592491656755E-2</v>
      </c>
      <c r="K97" s="523">
        <v>9.6769814203030255E-2</v>
      </c>
      <c r="L97" s="523">
        <v>9.6769814203030255E-2</v>
      </c>
      <c r="M97" s="523">
        <v>9.6769814203030255E-2</v>
      </c>
      <c r="N97" s="523">
        <v>9.6769814203030255E-2</v>
      </c>
      <c r="O97" s="523">
        <v>9.6769814203030255E-2</v>
      </c>
      <c r="P97" s="17">
        <f>+O97</f>
        <v>9.6769814203030255E-2</v>
      </c>
      <c r="Q97" s="17">
        <f>+P97</f>
        <v>9.6769814203030255E-2</v>
      </c>
      <c r="R97" s="17">
        <f>+Q97</f>
        <v>9.6769814203030255E-2</v>
      </c>
      <c r="S97" s="17">
        <f>+R97</f>
        <v>9.6769814203030255E-2</v>
      </c>
      <c r="T97" s="17">
        <f>+S97</f>
        <v>9.6769814203030255E-2</v>
      </c>
      <c r="U97" s="587" t="s">
        <v>1633</v>
      </c>
    </row>
    <row r="98" spans="1:21" ht="15.6" x14ac:dyDescent="0.4">
      <c r="C98" s="1" t="s">
        <v>257</v>
      </c>
      <c r="F98" s="8"/>
      <c r="G98" s="515">
        <f>G92/G24</f>
        <v>610.5</v>
      </c>
      <c r="H98" s="515">
        <f>H92/H24</f>
        <v>417.69230769230768</v>
      </c>
      <c r="I98" s="515">
        <f>I92/I24</f>
        <v>432.72727272727275</v>
      </c>
      <c r="J98" s="516">
        <f>J92/J24</f>
        <v>355.66666666666669</v>
      </c>
      <c r="K98" s="522">
        <f>J98-30</f>
        <v>325.66666666666669</v>
      </c>
      <c r="L98" s="522">
        <f>K98-30</f>
        <v>295.66666666666669</v>
      </c>
      <c r="M98" s="522">
        <f>L98-30</f>
        <v>265.66666666666669</v>
      </c>
      <c r="N98" s="522">
        <f>M98-30</f>
        <v>235.66666666666669</v>
      </c>
      <c r="O98" s="522">
        <f>N98-30</f>
        <v>205.66666666666669</v>
      </c>
      <c r="P98" s="15" t="e">
        <f>MAX(O98+$U$98,200)</f>
        <v>#VALUE!</v>
      </c>
      <c r="Q98" s="15" t="e">
        <f>MAX(P98+$U$98,200)</f>
        <v>#VALUE!</v>
      </c>
      <c r="R98" s="15" t="e">
        <f>MAX(Q98+$U$98,200)</f>
        <v>#VALUE!</v>
      </c>
      <c r="S98" s="15" t="e">
        <f>MAX(R98+$U$98,200)</f>
        <v>#VALUE!</v>
      </c>
      <c r="T98" s="15" t="e">
        <f>MAX(S98+$U$98,200)</f>
        <v>#VALUE!</v>
      </c>
      <c r="U98" s="588" t="s">
        <v>1634</v>
      </c>
    </row>
    <row r="99" spans="1:21" x14ac:dyDescent="0.4">
      <c r="C99" s="1" t="s">
        <v>189</v>
      </c>
      <c r="F99" s="8"/>
      <c r="G99" s="26"/>
      <c r="H99" s="26"/>
      <c r="I99" s="26"/>
      <c r="J99" s="162"/>
      <c r="K99" s="163"/>
      <c r="L99" s="163"/>
      <c r="M99" s="163"/>
      <c r="N99" s="163"/>
      <c r="O99" s="163"/>
      <c r="P99" s="163"/>
      <c r="Q99" s="163"/>
      <c r="R99" s="163"/>
      <c r="S99" s="163"/>
      <c r="T99" s="163"/>
    </row>
    <row r="100" spans="1:21" ht="15.6" x14ac:dyDescent="0.4">
      <c r="C100" s="1" t="s">
        <v>190</v>
      </c>
      <c r="F100" s="8"/>
      <c r="G100" s="515">
        <f>G94</f>
        <v>105</v>
      </c>
      <c r="H100" s="515">
        <f>H94</f>
        <v>17</v>
      </c>
      <c r="I100" s="515">
        <f>I94</f>
        <v>34</v>
      </c>
      <c r="J100" s="516">
        <f>J94</f>
        <v>608</v>
      </c>
      <c r="K100" s="15">
        <v>50</v>
      </c>
      <c r="L100" s="15">
        <v>50</v>
      </c>
      <c r="M100" s="15">
        <v>50</v>
      </c>
      <c r="N100" s="15">
        <v>50</v>
      </c>
      <c r="O100" s="15">
        <v>50</v>
      </c>
      <c r="P100" s="15">
        <v>50</v>
      </c>
      <c r="Q100" s="15">
        <v>50</v>
      </c>
      <c r="R100" s="15">
        <v>50</v>
      </c>
      <c r="S100" s="15">
        <v>50</v>
      </c>
      <c r="T100" s="15">
        <v>50</v>
      </c>
      <c r="U100" s="52" t="s">
        <v>1635</v>
      </c>
    </row>
    <row r="101" spans="1:21" x14ac:dyDescent="0.4">
      <c r="F101" s="5"/>
      <c r="G101" s="5"/>
      <c r="H101" s="5"/>
      <c r="I101" s="5"/>
      <c r="J101" s="42"/>
    </row>
    <row r="102" spans="1:21" x14ac:dyDescent="0.4">
      <c r="F102" s="5"/>
      <c r="G102" s="5"/>
      <c r="H102" s="5"/>
      <c r="I102" s="5"/>
      <c r="J102" s="42"/>
    </row>
    <row r="103" spans="1:21" x14ac:dyDescent="0.4">
      <c r="A103" s="1" t="s">
        <v>235</v>
      </c>
      <c r="B103" s="499" t="s">
        <v>247</v>
      </c>
      <c r="C103" s="499"/>
      <c r="D103" s="499"/>
      <c r="E103" s="499"/>
      <c r="F103" s="499"/>
      <c r="G103" s="499"/>
      <c r="H103" s="499"/>
      <c r="I103" s="499"/>
      <c r="J103" s="500"/>
      <c r="K103" s="499"/>
      <c r="L103" s="499"/>
      <c r="M103" s="499"/>
      <c r="N103" s="499"/>
      <c r="O103" s="499"/>
      <c r="P103" s="499"/>
      <c r="Q103" s="499"/>
      <c r="R103" s="499"/>
      <c r="S103" s="499"/>
      <c r="T103" s="499"/>
    </row>
    <row r="104" spans="1:21" x14ac:dyDescent="0.4">
      <c r="B104" s="2" t="s">
        <v>86</v>
      </c>
      <c r="F104" s="524">
        <f t="shared" ref="F104:O104" si="20">F31-F70</f>
        <v>20419</v>
      </c>
      <c r="G104" s="524">
        <f t="shared" si="20"/>
        <v>26861</v>
      </c>
      <c r="H104" s="524">
        <f t="shared" si="20"/>
        <v>52874</v>
      </c>
      <c r="I104" s="524">
        <f t="shared" si="20"/>
        <v>73292</v>
      </c>
      <c r="J104" s="525">
        <f t="shared" si="20"/>
        <v>92309</v>
      </c>
      <c r="K104" s="524">
        <f t="shared" si="20"/>
        <v>105699.28597402596</v>
      </c>
      <c r="L104" s="524">
        <f t="shared" si="20"/>
        <v>125713.6795571429</v>
      </c>
      <c r="M104" s="524">
        <f t="shared" si="20"/>
        <v>147743.66358792852</v>
      </c>
      <c r="N104" s="524">
        <f t="shared" si="20"/>
        <v>177051.86900493654</v>
      </c>
      <c r="O104" s="524">
        <f t="shared" si="20"/>
        <v>197881.50065257621</v>
      </c>
      <c r="P104" s="10">
        <f>+P31-P70</f>
        <v>-774953.81588272995</v>
      </c>
      <c r="Q104" s="10">
        <f>+Q31-Q70</f>
        <v>-834565.64787370921</v>
      </c>
      <c r="R104" s="10">
        <f>+R31-R70</f>
        <v>-886726.00086581591</v>
      </c>
      <c r="S104" s="10">
        <f>+S31-S70</f>
        <v>-923983.39586017793</v>
      </c>
      <c r="T104" s="10">
        <f>+T31-T70</f>
        <v>-946337.83285679505</v>
      </c>
    </row>
    <row r="105" spans="1:21" x14ac:dyDescent="0.4">
      <c r="C105" s="6" t="s">
        <v>87</v>
      </c>
      <c r="F105" s="517">
        <f t="shared" ref="F105:O105" si="21">F104/F31</f>
        <v>0.25982668889256494</v>
      </c>
      <c r="G105" s="517">
        <f t="shared" si="21"/>
        <v>0.23974045447242998</v>
      </c>
      <c r="H105" s="517">
        <f t="shared" si="21"/>
        <v>0.28858360759528212</v>
      </c>
      <c r="I105" s="517">
        <f t="shared" si="21"/>
        <v>0.28259880470406784</v>
      </c>
      <c r="J105" s="518">
        <f t="shared" si="21"/>
        <v>0.26649017864360197</v>
      </c>
      <c r="K105" s="517">
        <f t="shared" si="21"/>
        <v>0.23980735852381668</v>
      </c>
      <c r="L105" s="517">
        <f t="shared" si="21"/>
        <v>0.22359544649194207</v>
      </c>
      <c r="M105" s="517">
        <f t="shared" si="21"/>
        <v>0.21344056145208321</v>
      </c>
      <c r="N105" s="517">
        <f t="shared" si="21"/>
        <v>0.21846722954681316</v>
      </c>
      <c r="O105" s="517">
        <f t="shared" si="21"/>
        <v>0.21846722954681327</v>
      </c>
      <c r="P105" s="8" t="e">
        <f>+P104/P31</f>
        <v>#DIV/0!</v>
      </c>
      <c r="Q105" s="8" t="e">
        <f>+Q104/Q31</f>
        <v>#DIV/0!</v>
      </c>
      <c r="R105" s="8" t="e">
        <f>+R104/R31</f>
        <v>#DIV/0!</v>
      </c>
      <c r="S105" s="8" t="e">
        <f>+S104/S31</f>
        <v>#DIV/0!</v>
      </c>
      <c r="T105" s="8" t="e">
        <f>+T104/T31</f>
        <v>#DIV/0!</v>
      </c>
    </row>
    <row r="106" spans="1:21" x14ac:dyDescent="0.4">
      <c r="F106" s="5"/>
      <c r="G106" s="5"/>
      <c r="H106" s="5"/>
      <c r="I106" s="5"/>
      <c r="J106" s="42"/>
      <c r="K106" s="5"/>
      <c r="L106" s="5"/>
      <c r="M106" s="5"/>
      <c r="N106" s="5"/>
      <c r="O106" s="5"/>
    </row>
    <row r="107" spans="1:21" x14ac:dyDescent="0.4">
      <c r="B107" s="2" t="s">
        <v>1006</v>
      </c>
      <c r="F107" s="16">
        <v>12722</v>
      </c>
      <c r="G107" s="16">
        <v>14862</v>
      </c>
      <c r="H107" s="16">
        <v>37011</v>
      </c>
      <c r="I107" s="16">
        <v>50234</v>
      </c>
      <c r="J107" s="62">
        <v>64664</v>
      </c>
      <c r="K107" s="520"/>
      <c r="L107" s="520"/>
      <c r="M107" s="520"/>
      <c r="N107" s="520"/>
      <c r="O107" s="520"/>
      <c r="P107" s="11">
        <f>+'Income Statement'!P21+'Income Statement'!P19</f>
        <v>0</v>
      </c>
      <c r="Q107" s="11">
        <f>+'Income Statement'!Q21+'Income Statement'!Q19</f>
        <v>0</v>
      </c>
      <c r="R107" s="11">
        <f>+'Income Statement'!R21+'Income Statement'!R19</f>
        <v>0</v>
      </c>
      <c r="S107" s="11">
        <f>+'Income Statement'!S21+'Income Statement'!S19</f>
        <v>0</v>
      </c>
      <c r="T107" s="11">
        <f>+'Income Statement'!T21+'Income Statement'!T19</f>
        <v>0</v>
      </c>
    </row>
    <row r="108" spans="1:21" s="6" customFormat="1" x14ac:dyDescent="0.4">
      <c r="C108" s="6" t="s">
        <v>87</v>
      </c>
      <c r="F108" s="526">
        <f t="shared" ref="F108:O108" si="22">F107/F31</f>
        <v>0.16188428111519718</v>
      </c>
      <c r="G108" s="526">
        <f t="shared" si="22"/>
        <v>0.1326466860641545</v>
      </c>
      <c r="H108" s="526">
        <f t="shared" si="22"/>
        <v>0.20200415895731338</v>
      </c>
      <c r="I108" s="526">
        <f t="shared" si="22"/>
        <v>0.19369192211297476</v>
      </c>
      <c r="J108" s="527">
        <f t="shared" si="22"/>
        <v>0.18668083189948845</v>
      </c>
      <c r="K108" s="526">
        <f t="shared" si="22"/>
        <v>0</v>
      </c>
      <c r="L108" s="526">
        <f t="shared" si="22"/>
        <v>0</v>
      </c>
      <c r="M108" s="526">
        <f t="shared" si="22"/>
        <v>0</v>
      </c>
      <c r="N108" s="526">
        <f t="shared" si="22"/>
        <v>0</v>
      </c>
      <c r="O108" s="526">
        <f t="shared" si="22"/>
        <v>0</v>
      </c>
      <c r="P108" s="19">
        <f>+O107/O30</f>
        <v>0</v>
      </c>
      <c r="Q108" s="19" t="e">
        <f>+P107/P30</f>
        <v>#DIV/0!</v>
      </c>
      <c r="R108" s="19" t="e">
        <f>+Q107/Q30</f>
        <v>#DIV/0!</v>
      </c>
      <c r="S108" s="19" t="e">
        <f>+R107/R30</f>
        <v>#DIV/0!</v>
      </c>
      <c r="T108" s="19" t="e">
        <f>+S107/S30</f>
        <v>#DIV/0!</v>
      </c>
    </row>
    <row r="109" spans="1:21" x14ac:dyDescent="0.4">
      <c r="J109" s="41"/>
    </row>
    <row r="110" spans="1:21" x14ac:dyDescent="0.4">
      <c r="B110" s="2" t="s">
        <v>142</v>
      </c>
      <c r="F110" s="16">
        <v>5935</v>
      </c>
      <c r="G110" s="16">
        <v>3143</v>
      </c>
      <c r="H110" s="16">
        <v>6753</v>
      </c>
      <c r="I110" s="16">
        <v>27805</v>
      </c>
      <c r="J110" s="62">
        <v>33813</v>
      </c>
      <c r="K110" s="514">
        <f>K104-SUM(K89,K92,K93,K94)+K32</f>
        <v>32663.801487023564</v>
      </c>
      <c r="L110" s="514">
        <f t="shared" ref="L110:T110" si="23">L104-SUM(L89,L92:L94)+L32</f>
        <v>36435.328146504078</v>
      </c>
      <c r="M110" s="514">
        <f t="shared" si="23"/>
        <v>46887.671091557153</v>
      </c>
      <c r="N110" s="514">
        <f t="shared" si="23"/>
        <v>71329.635159311001</v>
      </c>
      <c r="O110" s="514">
        <f t="shared" si="23"/>
        <v>87945.948280661425</v>
      </c>
      <c r="P110" s="4" t="e">
        <f t="shared" si="23"/>
        <v>#VALUE!</v>
      </c>
      <c r="Q110" s="4" t="e">
        <f t="shared" si="23"/>
        <v>#VALUE!</v>
      </c>
      <c r="R110" s="4" t="e">
        <f t="shared" si="23"/>
        <v>#VALUE!</v>
      </c>
      <c r="S110" s="4" t="e">
        <f t="shared" si="23"/>
        <v>#VALUE!</v>
      </c>
      <c r="T110" s="4" t="e">
        <f t="shared" si="23"/>
        <v>#VALUE!</v>
      </c>
    </row>
    <row r="111" spans="1:21" x14ac:dyDescent="0.4">
      <c r="C111" s="6" t="s">
        <v>87</v>
      </c>
      <c r="F111" s="517">
        <f t="shared" ref="F111:O111" si="24">F110/F31</f>
        <v>7.5521396668660215E-2</v>
      </c>
      <c r="G111" s="517">
        <f t="shared" si="24"/>
        <v>2.8051980507309757E-2</v>
      </c>
      <c r="H111" s="517">
        <f t="shared" si="24"/>
        <v>3.6857531151245231E-2</v>
      </c>
      <c r="I111" s="517">
        <f t="shared" si="24"/>
        <v>0.107210333526123</v>
      </c>
      <c r="J111" s="518">
        <f t="shared" si="24"/>
        <v>9.7615968220608099E-2</v>
      </c>
      <c r="K111" s="517">
        <f t="shared" si="24"/>
        <v>7.4106649650162115E-2</v>
      </c>
      <c r="L111" s="517">
        <f t="shared" si="24"/>
        <v>6.4804192301879962E-2</v>
      </c>
      <c r="M111" s="517">
        <f t="shared" si="24"/>
        <v>6.7737123880148978E-2</v>
      </c>
      <c r="N111" s="517">
        <f t="shared" si="24"/>
        <v>8.8014816592561038E-2</v>
      </c>
      <c r="O111" s="517">
        <f t="shared" si="24"/>
        <v>9.7095017004528106E-2</v>
      </c>
      <c r="P111" s="8" t="e">
        <f>+P110/P30</f>
        <v>#VALUE!</v>
      </c>
      <c r="Q111" s="8" t="e">
        <f>+Q110/Q30</f>
        <v>#VALUE!</v>
      </c>
      <c r="R111" s="8" t="e">
        <f>+R110/R30</f>
        <v>#VALUE!</v>
      </c>
      <c r="S111" s="8" t="e">
        <f>+S110/S30</f>
        <v>#VALUE!</v>
      </c>
      <c r="T111" s="8" t="e">
        <f>+T110/T30</f>
        <v>#VALUE!</v>
      </c>
    </row>
    <row r="112" spans="1:21" x14ac:dyDescent="0.4">
      <c r="E112" s="1" t="s">
        <v>204</v>
      </c>
      <c r="F112" s="3">
        <f>F89+F92+F93+F94</f>
        <v>18353</v>
      </c>
      <c r="G112" s="3">
        <f t="shared" ref="G112:O112" si="25">G89+G92+G93+G94</f>
        <v>30206</v>
      </c>
      <c r="H112" s="3">
        <f t="shared" si="25"/>
        <v>53494</v>
      </c>
      <c r="I112" s="3">
        <f t="shared" si="25"/>
        <v>54612</v>
      </c>
      <c r="J112" s="60">
        <f t="shared" si="25"/>
        <v>70918</v>
      </c>
      <c r="K112" s="3">
        <f>K89+K92+K93+K94</f>
        <v>88289.925997506594</v>
      </c>
      <c r="L112" s="3">
        <f t="shared" si="25"/>
        <v>108277.5122725926</v>
      </c>
      <c r="M112" s="3">
        <f t="shared" si="25"/>
        <v>125019.02784901002</v>
      </c>
      <c r="N112" s="3">
        <f t="shared" si="25"/>
        <v>135536.30165976839</v>
      </c>
      <c r="O112" s="3">
        <f t="shared" si="25"/>
        <v>144621.19989425092</v>
      </c>
    </row>
    <row r="113" spans="1:15" x14ac:dyDescent="0.4">
      <c r="A113" s="1" t="s">
        <v>235</v>
      </c>
      <c r="F113" s="3">
        <f t="shared" ref="F113:O113" si="26">F104-F112+F32</f>
        <v>5935</v>
      </c>
      <c r="G113" s="3">
        <f t="shared" si="26"/>
        <v>3143</v>
      </c>
      <c r="H113" s="3">
        <f t="shared" si="26"/>
        <v>6753</v>
      </c>
      <c r="I113" s="3">
        <f t="shared" si="26"/>
        <v>27805</v>
      </c>
      <c r="J113" s="60">
        <f t="shared" si="26"/>
        <v>33813</v>
      </c>
      <c r="K113" s="3">
        <f t="shared" si="26"/>
        <v>32663.801487023564</v>
      </c>
      <c r="L113" s="3">
        <f t="shared" si="26"/>
        <v>36435.328146504078</v>
      </c>
      <c r="M113" s="3">
        <f t="shared" si="26"/>
        <v>46887.671091557153</v>
      </c>
      <c r="N113" s="3">
        <f t="shared" si="26"/>
        <v>71329.635159311001</v>
      </c>
      <c r="O113" s="3">
        <f t="shared" si="26"/>
        <v>87945.948280661425</v>
      </c>
    </row>
  </sheetData>
  <phoneticPr fontId="1" type="noConversion"/>
  <pageMargins left="0.7" right="0.7" top="0.75" bottom="0.75" header="0.3" footer="0.3"/>
  <pageSetup paperSize="9" orientation="portrait" horizontalDpi="4294967292" r:id="rId1"/>
  <customProperties>
    <customPr name="Guid" r:id="rId2"/>
  </customProperties>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41"/>
  <sheetViews>
    <sheetView showGridLines="0" topLeftCell="A12" zoomScaleNormal="100" workbookViewId="0">
      <selection activeCell="K23" sqref="K23"/>
    </sheetView>
  </sheetViews>
  <sheetFormatPr defaultColWidth="8.59765625" defaultRowHeight="13.2" outlineLevelRow="1"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21" width="8.59765625" style="1"/>
    <col min="22" max="22" width="11.3984375" style="1" bestFit="1" customWidth="1"/>
    <col min="23" max="16384" width="8.59765625" style="1"/>
  </cols>
  <sheetData>
    <row r="1" spans="1:28" ht="8.1" customHeight="1" x14ac:dyDescent="0.4">
      <c r="J1" s="41"/>
    </row>
    <row r="2" spans="1:28" x14ac:dyDescent="0.4">
      <c r="B2" s="2" t="s">
        <v>229</v>
      </c>
      <c r="J2" s="41"/>
    </row>
    <row r="3" spans="1:28" s="53" customFormat="1" ht="18" thickBot="1" x14ac:dyDescent="0.35">
      <c r="A3" s="52"/>
      <c r="B3" s="58" t="s">
        <v>228</v>
      </c>
      <c r="J3" s="590"/>
      <c r="R3" s="54"/>
    </row>
    <row r="4" spans="1:28" s="55" customFormat="1" x14ac:dyDescent="0.25">
      <c r="A4" s="52"/>
      <c r="B4" s="57" t="s">
        <v>223</v>
      </c>
      <c r="J4" s="591"/>
      <c r="R4" s="56"/>
    </row>
    <row r="5" spans="1:28" s="55" customFormat="1" x14ac:dyDescent="0.25">
      <c r="A5" s="52"/>
      <c r="J5" s="591"/>
    </row>
    <row r="6" spans="1:28" s="55" customFormat="1" x14ac:dyDescent="0.25">
      <c r="A6" s="52"/>
      <c r="J6" s="591"/>
    </row>
    <row r="7" spans="1:28" x14ac:dyDescent="0.4">
      <c r="B7" s="6"/>
      <c r="F7" s="46"/>
      <c r="G7" s="46"/>
      <c r="H7" s="46" t="s">
        <v>225</v>
      </c>
      <c r="I7" s="46"/>
      <c r="J7" s="47"/>
      <c r="K7" s="46" t="s">
        <v>226</v>
      </c>
      <c r="L7" s="46"/>
      <c r="M7" s="46"/>
      <c r="N7" s="46"/>
      <c r="O7" s="46"/>
      <c r="P7" s="46"/>
      <c r="Q7" s="46"/>
      <c r="R7" s="46"/>
      <c r="S7" s="46"/>
      <c r="T7" s="46"/>
      <c r="V7" s="609" t="s">
        <v>1649</v>
      </c>
    </row>
    <row r="8" spans="1:28" x14ac:dyDescent="0.4">
      <c r="F8" s="48">
        <v>2013</v>
      </c>
      <c r="G8" s="49">
        <f>F8+1</f>
        <v>2014</v>
      </c>
      <c r="H8" s="49">
        <f t="shared" ref="H8:M8" si="0">G8+1</f>
        <v>2015</v>
      </c>
      <c r="I8" s="49">
        <f t="shared" si="0"/>
        <v>2016</v>
      </c>
      <c r="J8" s="50">
        <f t="shared" si="0"/>
        <v>2017</v>
      </c>
      <c r="K8" s="51">
        <f t="shared" si="0"/>
        <v>2018</v>
      </c>
      <c r="L8" s="51">
        <f t="shared" si="0"/>
        <v>2019</v>
      </c>
      <c r="M8" s="51">
        <f t="shared" si="0"/>
        <v>2020</v>
      </c>
      <c r="N8" s="51">
        <f t="shared" ref="N8:T8" si="1">M8+1</f>
        <v>2021</v>
      </c>
      <c r="O8" s="51">
        <f t="shared" si="1"/>
        <v>2022</v>
      </c>
      <c r="P8" s="51">
        <f t="shared" si="1"/>
        <v>2023</v>
      </c>
      <c r="Q8" s="51">
        <f t="shared" si="1"/>
        <v>2024</v>
      </c>
      <c r="R8" s="51">
        <f t="shared" si="1"/>
        <v>2025</v>
      </c>
      <c r="S8" s="51">
        <f t="shared" si="1"/>
        <v>2026</v>
      </c>
      <c r="T8" s="51">
        <f t="shared" si="1"/>
        <v>2027</v>
      </c>
      <c r="V8" s="610" t="s">
        <v>1650</v>
      </c>
    </row>
    <row r="9" spans="1:28" x14ac:dyDescent="0.4">
      <c r="J9" s="151"/>
    </row>
    <row r="10" spans="1:28" x14ac:dyDescent="0.4">
      <c r="A10" s="1" t="s">
        <v>235</v>
      </c>
      <c r="B10" s="2" t="s">
        <v>279</v>
      </c>
      <c r="F10" s="528">
        <f>Operations!F30</f>
        <v>82456</v>
      </c>
      <c r="G10" s="528">
        <f>Operations!G30</f>
        <v>118530</v>
      </c>
      <c r="H10" s="528">
        <f>Operations!H30</f>
        <v>190592</v>
      </c>
      <c r="I10" s="528">
        <f>Operations!I30</f>
        <v>268475</v>
      </c>
      <c r="J10" s="529">
        <f>Operations!J30</f>
        <v>358810</v>
      </c>
      <c r="K10" s="528">
        <f>Operations!K30</f>
        <v>456021.92514686787</v>
      </c>
      <c r="L10" s="528">
        <f>Operations!L30</f>
        <v>581236.36886195373</v>
      </c>
      <c r="M10" s="528">
        <f>Operations!M30</f>
        <v>716363.53643263865</v>
      </c>
      <c r="N10" s="528">
        <f>Operations!N30</f>
        <v>840241.65172323375</v>
      </c>
      <c r="O10" s="528">
        <f>Operations!O30</f>
        <v>940457.65306779055</v>
      </c>
      <c r="P10" s="528"/>
      <c r="Q10" s="528"/>
      <c r="R10" s="528"/>
      <c r="S10" s="528"/>
      <c r="T10" s="528"/>
      <c r="V10" s="8">
        <f>(O10/J10)^(1/COLUMNS(F10:J10))-1</f>
        <v>0.21253683682503377</v>
      </c>
    </row>
    <row r="11" spans="1:28" x14ac:dyDescent="0.4">
      <c r="C11" s="1" t="s">
        <v>0</v>
      </c>
      <c r="F11" s="520">
        <f>Operations!F31</f>
        <v>78587</v>
      </c>
      <c r="G11" s="520">
        <f>Operations!G31</f>
        <v>112042</v>
      </c>
      <c r="H11" s="520">
        <f>Operations!H31</f>
        <v>183219</v>
      </c>
      <c r="I11" s="520">
        <f>Operations!I31</f>
        <v>259350</v>
      </c>
      <c r="J11" s="521">
        <f>Operations!J31</f>
        <v>346388</v>
      </c>
      <c r="K11" s="520">
        <f>Operations!K31</f>
        <v>440767.48363636364</v>
      </c>
      <c r="L11" s="520">
        <f>Operations!L31</f>
        <v>562237.20799999998</v>
      </c>
      <c r="M11" s="520">
        <f>Operations!M31</f>
        <v>692200.50107999996</v>
      </c>
      <c r="N11" s="520">
        <f>Operations!N31</f>
        <v>810427.58390909084</v>
      </c>
      <c r="O11" s="520">
        <f>Operations!O31</f>
        <v>905772.00554545445</v>
      </c>
      <c r="P11" s="520"/>
      <c r="Q11" s="520"/>
      <c r="R11" s="520"/>
      <c r="S11" s="520"/>
      <c r="T11" s="520"/>
      <c r="AB11" s="581"/>
    </row>
    <row r="12" spans="1:28" x14ac:dyDescent="0.4">
      <c r="C12" s="1" t="s">
        <v>144</v>
      </c>
      <c r="F12" s="520">
        <f>Operations!F32</f>
        <v>3869</v>
      </c>
      <c r="G12" s="520">
        <f>Operations!G32</f>
        <v>6488</v>
      </c>
      <c r="H12" s="520">
        <f>Operations!H32</f>
        <v>7373</v>
      </c>
      <c r="I12" s="520">
        <f>Operations!I32</f>
        <v>9125</v>
      </c>
      <c r="J12" s="521">
        <f>Operations!J32</f>
        <v>12422</v>
      </c>
      <c r="K12" s="520">
        <f>Operations!K32</f>
        <v>15254.441510504201</v>
      </c>
      <c r="L12" s="520">
        <f>Operations!L32</f>
        <v>18999.160861953784</v>
      </c>
      <c r="M12" s="520">
        <f>Operations!M32</f>
        <v>24163.035352638653</v>
      </c>
      <c r="N12" s="520">
        <f>Operations!N32</f>
        <v>29814.067814142858</v>
      </c>
      <c r="O12" s="520">
        <f>Operations!O32</f>
        <v>34685.647522336134</v>
      </c>
      <c r="P12" s="520"/>
      <c r="Q12" s="520"/>
      <c r="R12" s="520"/>
      <c r="S12" s="520"/>
      <c r="T12" s="520"/>
    </row>
    <row r="13" spans="1:28" x14ac:dyDescent="0.4">
      <c r="F13" s="5"/>
      <c r="G13" s="5"/>
      <c r="H13" s="5"/>
      <c r="I13" s="5"/>
      <c r="J13" s="42"/>
      <c r="K13" s="5"/>
      <c r="L13" s="5"/>
      <c r="M13" s="5"/>
      <c r="N13" s="5"/>
      <c r="O13" s="5"/>
      <c r="P13" s="5"/>
      <c r="Q13" s="5"/>
      <c r="R13" s="5"/>
      <c r="S13" s="5"/>
      <c r="T13" s="5"/>
    </row>
    <row r="14" spans="1:28" x14ac:dyDescent="0.4">
      <c r="B14" s="76" t="s">
        <v>145</v>
      </c>
      <c r="C14" s="76"/>
      <c r="D14" s="76"/>
      <c r="E14" s="76"/>
      <c r="F14" s="530">
        <f>Operations!F70</f>
        <v>58168</v>
      </c>
      <c r="G14" s="530">
        <f>Operations!G70</f>
        <v>85181</v>
      </c>
      <c r="H14" s="530">
        <f>Operations!H70</f>
        <v>130345</v>
      </c>
      <c r="I14" s="530">
        <f>Operations!I70</f>
        <v>186058</v>
      </c>
      <c r="J14" s="531">
        <f>Operations!J70</f>
        <v>254079</v>
      </c>
      <c r="K14" s="530">
        <f>Operations!K70</f>
        <v>335068.19766233768</v>
      </c>
      <c r="L14" s="530">
        <f>Operations!L70</f>
        <v>436523.52844285709</v>
      </c>
      <c r="M14" s="530">
        <f>Operations!M70</f>
        <v>544456.83749207144</v>
      </c>
      <c r="N14" s="530">
        <f>Operations!N70</f>
        <v>633375.7149041543</v>
      </c>
      <c r="O14" s="530">
        <f>Operations!O70</f>
        <v>707890.50489287823</v>
      </c>
      <c r="P14" s="530"/>
      <c r="Q14" s="530"/>
      <c r="R14" s="530"/>
      <c r="S14" s="530"/>
      <c r="T14" s="530"/>
    </row>
    <row r="15" spans="1:28" x14ac:dyDescent="0.4">
      <c r="A15" s="1" t="s">
        <v>235</v>
      </c>
      <c r="B15" s="2" t="s">
        <v>146</v>
      </c>
      <c r="F15" s="524">
        <f>F10-F14</f>
        <v>24288</v>
      </c>
      <c r="G15" s="524">
        <f t="shared" ref="G15:O15" si="2">G10-G14</f>
        <v>33349</v>
      </c>
      <c r="H15" s="524">
        <f t="shared" si="2"/>
        <v>60247</v>
      </c>
      <c r="I15" s="524">
        <f t="shared" si="2"/>
        <v>82417</v>
      </c>
      <c r="J15" s="589">
        <f t="shared" si="2"/>
        <v>104731</v>
      </c>
      <c r="K15" s="524">
        <f t="shared" si="2"/>
        <v>120953.72748453019</v>
      </c>
      <c r="L15" s="524">
        <f t="shared" si="2"/>
        <v>144712.84041909664</v>
      </c>
      <c r="M15" s="524">
        <f t="shared" si="2"/>
        <v>171906.69894056721</v>
      </c>
      <c r="N15" s="524">
        <f t="shared" si="2"/>
        <v>206865.93681907945</v>
      </c>
      <c r="O15" s="524">
        <f t="shared" si="2"/>
        <v>232567.14817491232</v>
      </c>
      <c r="P15" s="524"/>
      <c r="Q15" s="524"/>
      <c r="R15" s="524"/>
      <c r="S15" s="524"/>
      <c r="T15" s="524"/>
      <c r="V15" s="8">
        <f>(O15/J15)^(1/COLUMNS(F15:J15))-1</f>
        <v>0.17299084740429516</v>
      </c>
    </row>
    <row r="16" spans="1:28" s="6" customFormat="1" x14ac:dyDescent="0.4">
      <c r="C16" s="6" t="s">
        <v>196</v>
      </c>
      <c r="F16" s="526">
        <f>F15/F10</f>
        <v>0.29455709711846317</v>
      </c>
      <c r="G16" s="526">
        <f t="shared" ref="G16:O16" si="3">G15/G10</f>
        <v>0.281354931241036</v>
      </c>
      <c r="H16" s="526">
        <f t="shared" si="3"/>
        <v>0.31610455842847551</v>
      </c>
      <c r="I16" s="526">
        <f t="shared" si="3"/>
        <v>0.30698202812179903</v>
      </c>
      <c r="J16" s="527">
        <f t="shared" si="3"/>
        <v>0.29188428416153395</v>
      </c>
      <c r="K16" s="526">
        <f t="shared" si="3"/>
        <v>0.26523664941236202</v>
      </c>
      <c r="L16" s="526">
        <f t="shared" si="3"/>
        <v>0.24897416640056569</v>
      </c>
      <c r="M16" s="526">
        <f t="shared" si="3"/>
        <v>0.23997131372240357</v>
      </c>
      <c r="N16" s="526">
        <f t="shared" si="3"/>
        <v>0.24619814596767786</v>
      </c>
      <c r="O16" s="526">
        <f t="shared" si="3"/>
        <v>0.24729146221126908</v>
      </c>
      <c r="P16" s="526"/>
      <c r="Q16" s="526"/>
      <c r="R16" s="526"/>
      <c r="S16" s="526"/>
      <c r="T16" s="526"/>
    </row>
    <row r="17" spans="1:22" x14ac:dyDescent="0.4">
      <c r="B17" s="2"/>
      <c r="C17" s="2"/>
      <c r="D17" s="2"/>
      <c r="E17" s="2"/>
      <c r="F17" s="9"/>
      <c r="G17" s="9"/>
      <c r="H17" s="9"/>
      <c r="I17" s="9"/>
      <c r="J17" s="44"/>
    </row>
    <row r="18" spans="1:22" x14ac:dyDescent="0.4">
      <c r="B18" s="1" t="s">
        <v>147</v>
      </c>
      <c r="F18" s="520">
        <f>Operations!F89+Operations!F92</f>
        <v>14787</v>
      </c>
      <c r="G18" s="520">
        <f>Operations!G89+Operations!G92</f>
        <v>24292</v>
      </c>
      <c r="H18" s="520">
        <f>Operations!H89+Operations!H92</f>
        <v>43255</v>
      </c>
      <c r="I18" s="520">
        <f>Operations!I89+Operations!I92</f>
        <v>40076</v>
      </c>
      <c r="J18" s="521">
        <f>Operations!J89+Operations!J92</f>
        <v>48606</v>
      </c>
      <c r="K18" s="520">
        <f>Operations!K89+Operations!K92</f>
        <v>59022.987498228089</v>
      </c>
      <c r="L18" s="520">
        <f>Operations!L89+Operations!L92</f>
        <v>71857.256822857147</v>
      </c>
      <c r="M18" s="520">
        <f>Operations!M89+Operations!M92</f>
        <v>82436.780547422706</v>
      </c>
      <c r="N18" s="520">
        <f>Operations!N89+Operations!N92</f>
        <v>89939.593386560111</v>
      </c>
      <c r="O18" s="520">
        <f>Operations!O89+Operations!O92</f>
        <v>98416.055353606382</v>
      </c>
      <c r="P18" s="520"/>
      <c r="Q18" s="520"/>
      <c r="R18" s="520"/>
      <c r="S18" s="520"/>
      <c r="T18" s="520"/>
    </row>
    <row r="19" spans="1:22" x14ac:dyDescent="0.4">
      <c r="B19" s="1" t="s">
        <v>148</v>
      </c>
      <c r="F19" s="520">
        <f>Operations!F93</f>
        <v>3541</v>
      </c>
      <c r="G19" s="520">
        <f>Operations!G93</f>
        <v>5809</v>
      </c>
      <c r="H19" s="520">
        <f>Operations!H93</f>
        <v>10222</v>
      </c>
      <c r="I19" s="520">
        <f>Operations!I93</f>
        <v>14502</v>
      </c>
      <c r="J19" s="521">
        <f>Operations!J93</f>
        <v>21704</v>
      </c>
      <c r="K19" s="520">
        <f>Operations!K93</f>
        <v>29216.938499278502</v>
      </c>
      <c r="L19" s="520">
        <f>Operations!L93</f>
        <v>36370.25544973545</v>
      </c>
      <c r="M19" s="520">
        <f>Operations!M93</f>
        <v>42532.247301587304</v>
      </c>
      <c r="N19" s="520">
        <f>Operations!N93</f>
        <v>45546.708273208278</v>
      </c>
      <c r="O19" s="520">
        <f>Operations!O93</f>
        <v>46155.144540644549</v>
      </c>
      <c r="P19" s="520"/>
      <c r="Q19" s="520"/>
      <c r="R19" s="520"/>
      <c r="S19" s="520"/>
      <c r="T19" s="520"/>
    </row>
    <row r="20" spans="1:22" x14ac:dyDescent="0.4">
      <c r="B20" s="76" t="s">
        <v>204</v>
      </c>
      <c r="C20" s="77"/>
      <c r="D20" s="77"/>
      <c r="E20" s="77"/>
      <c r="F20" s="530">
        <f>Operations!F94</f>
        <v>25</v>
      </c>
      <c r="G20" s="530">
        <f>Operations!G94</f>
        <v>105</v>
      </c>
      <c r="H20" s="530">
        <f>Operations!H94</f>
        <v>17</v>
      </c>
      <c r="I20" s="530">
        <f>Operations!I94</f>
        <v>34</v>
      </c>
      <c r="J20" s="531">
        <f>Operations!J94</f>
        <v>608</v>
      </c>
      <c r="K20" s="530">
        <f>Operations!K94</f>
        <v>50</v>
      </c>
      <c r="L20" s="530">
        <f>Operations!L94</f>
        <v>50</v>
      </c>
      <c r="M20" s="530">
        <f>Operations!M94</f>
        <v>50</v>
      </c>
      <c r="N20" s="530">
        <f>Operations!N94</f>
        <v>50</v>
      </c>
      <c r="O20" s="530">
        <f>Operations!O94</f>
        <v>50</v>
      </c>
      <c r="P20" s="530"/>
      <c r="Q20" s="530"/>
      <c r="R20" s="530"/>
      <c r="S20" s="530"/>
      <c r="T20" s="530"/>
    </row>
    <row r="21" spans="1:22" x14ac:dyDescent="0.4">
      <c r="A21" s="1" t="s">
        <v>235</v>
      </c>
      <c r="B21" s="2" t="s">
        <v>149</v>
      </c>
      <c r="F21" s="524">
        <f>Operations!F110</f>
        <v>5935</v>
      </c>
      <c r="G21" s="524">
        <f>Operations!G110</f>
        <v>3143</v>
      </c>
      <c r="H21" s="524">
        <f>Operations!H110</f>
        <v>6753</v>
      </c>
      <c r="I21" s="524">
        <f>Operations!I110</f>
        <v>27805</v>
      </c>
      <c r="J21" s="525">
        <f>Operations!J110</f>
        <v>33813</v>
      </c>
      <c r="K21" s="524">
        <f>Operations!K110</f>
        <v>32663.801487023564</v>
      </c>
      <c r="L21" s="524">
        <f>Operations!L110</f>
        <v>36435.328146504078</v>
      </c>
      <c r="M21" s="524">
        <f>Operations!M110</f>
        <v>46887.671091557153</v>
      </c>
      <c r="N21" s="524">
        <f>Operations!N110</f>
        <v>71329.635159311001</v>
      </c>
      <c r="O21" s="524">
        <f>Operations!O110</f>
        <v>87945.948280661425</v>
      </c>
      <c r="P21" s="524"/>
      <c r="Q21" s="524"/>
      <c r="R21" s="524"/>
      <c r="S21" s="524"/>
      <c r="T21" s="524"/>
      <c r="V21" s="8">
        <f>(O21/J21)^(1/COLUMNS(F21:J21))-1</f>
        <v>0.21067179927446933</v>
      </c>
    </row>
    <row r="22" spans="1:22" s="6" customFormat="1" x14ac:dyDescent="0.4">
      <c r="C22" s="6" t="s">
        <v>197</v>
      </c>
      <c r="F22" s="19"/>
      <c r="G22" s="19"/>
      <c r="H22" s="526">
        <f>H21/H10</f>
        <v>3.5431707521826727E-2</v>
      </c>
      <c r="I22" s="526">
        <f t="shared" ref="I22:O22" si="4">I21/I10</f>
        <v>0.10356644007821958</v>
      </c>
      <c r="J22" s="527">
        <f t="shared" si="4"/>
        <v>9.4236503999331117E-2</v>
      </c>
      <c r="K22" s="526">
        <f t="shared" si="4"/>
        <v>7.1627699647344278E-2</v>
      </c>
      <c r="L22" s="526">
        <f t="shared" si="4"/>
        <v>6.2685905594385874E-2</v>
      </c>
      <c r="M22" s="526">
        <f t="shared" si="4"/>
        <v>6.545234187246507E-2</v>
      </c>
      <c r="N22" s="526">
        <f t="shared" si="4"/>
        <v>8.4891810603559784E-2</v>
      </c>
      <c r="O22" s="526">
        <f t="shared" si="4"/>
        <v>9.3513990761604299E-2</v>
      </c>
      <c r="P22" s="526"/>
      <c r="Q22" s="526"/>
      <c r="R22" s="526"/>
      <c r="S22" s="526"/>
      <c r="T22" s="526"/>
    </row>
    <row r="23" spans="1:22" x14ac:dyDescent="0.4">
      <c r="J23" s="41"/>
    </row>
    <row r="24" spans="1:22" ht="15.6" x14ac:dyDescent="0.4">
      <c r="B24" s="1" t="s">
        <v>947</v>
      </c>
      <c r="F24" s="15">
        <v>0</v>
      </c>
      <c r="G24" s="15">
        <v>0</v>
      </c>
      <c r="H24" s="15">
        <v>7</v>
      </c>
      <c r="I24" s="15">
        <v>1065</v>
      </c>
      <c r="J24" s="45">
        <v>128123</v>
      </c>
      <c r="K24" s="522">
        <v>0</v>
      </c>
      <c r="L24" s="522">
        <v>0</v>
      </c>
      <c r="M24" s="522">
        <v>0</v>
      </c>
      <c r="N24" s="522">
        <v>0</v>
      </c>
      <c r="O24" s="522">
        <v>0</v>
      </c>
      <c r="P24" s="522">
        <v>0</v>
      </c>
      <c r="Q24" s="522">
        <v>0</v>
      </c>
      <c r="R24" s="522">
        <v>0</v>
      </c>
      <c r="S24" s="522">
        <v>0</v>
      </c>
      <c r="T24" s="522">
        <v>0</v>
      </c>
      <c r="U24" s="1" t="s">
        <v>1648</v>
      </c>
    </row>
    <row r="25" spans="1:22" x14ac:dyDescent="0.4">
      <c r="B25" s="76" t="s">
        <v>948</v>
      </c>
      <c r="C25" s="76"/>
      <c r="D25" s="76"/>
      <c r="E25" s="76"/>
      <c r="F25" s="167">
        <v>52</v>
      </c>
      <c r="G25" s="167">
        <v>363</v>
      </c>
      <c r="H25" s="167">
        <v>332</v>
      </c>
      <c r="I25" s="167">
        <v>374</v>
      </c>
      <c r="J25" s="172">
        <v>1643</v>
      </c>
      <c r="K25" s="530">
        <f ca="1">IF(Circ=0,0,'Debt&amp;Interest'!K55+'Debt&amp;Interest'!K59)</f>
        <v>1209.1954325628287</v>
      </c>
      <c r="L25" s="530">
        <f ca="1">IF(Circ=0,0,'Debt&amp;Interest'!L55+'Debt&amp;Interest'!L59)</f>
        <v>1268.33616649031</v>
      </c>
      <c r="M25" s="530">
        <f ca="1">IF(Circ=0,0,'Debt&amp;Interest'!M55+'Debt&amp;Interest'!M59)</f>
        <v>1024.0566458943708</v>
      </c>
      <c r="N25" s="530">
        <f ca="1">IF(Circ=0,0,'Debt&amp;Interest'!N55+'Debt&amp;Interest'!N59)</f>
        <v>-107.95513898880017</v>
      </c>
      <c r="O25" s="530">
        <f ca="1">IF(Circ=0,0,'Debt&amp;Interest'!O55+'Debt&amp;Interest'!O59)</f>
        <v>-2032.4277869367975</v>
      </c>
      <c r="P25" s="530"/>
      <c r="Q25" s="530"/>
      <c r="R25" s="530"/>
      <c r="S25" s="530"/>
      <c r="T25" s="530"/>
    </row>
    <row r="26" spans="1:22" x14ac:dyDescent="0.4">
      <c r="B26" s="2" t="s">
        <v>150</v>
      </c>
      <c r="F26" s="524">
        <f>F21+F24-F25</f>
        <v>5883</v>
      </c>
      <c r="G26" s="524">
        <f t="shared" ref="G26:O26" si="5">G21+G24-G25</f>
        <v>2780</v>
      </c>
      <c r="H26" s="524">
        <f t="shared" si="5"/>
        <v>6428</v>
      </c>
      <c r="I26" s="524">
        <f t="shared" si="5"/>
        <v>28496</v>
      </c>
      <c r="J26" s="525">
        <f t="shared" si="5"/>
        <v>160293</v>
      </c>
      <c r="K26" s="524">
        <f t="shared" ca="1" si="5"/>
        <v>31454.606054460735</v>
      </c>
      <c r="L26" s="524">
        <f t="shared" ca="1" si="5"/>
        <v>35166.991980013765</v>
      </c>
      <c r="M26" s="524">
        <f t="shared" ca="1" si="5"/>
        <v>45863.614445662781</v>
      </c>
      <c r="N26" s="524">
        <f t="shared" ca="1" si="5"/>
        <v>71437.590298299794</v>
      </c>
      <c r="O26" s="524">
        <f t="shared" ca="1" si="5"/>
        <v>89978.376067598219</v>
      </c>
      <c r="P26" s="524"/>
      <c r="Q26" s="524"/>
      <c r="R26" s="524"/>
      <c r="S26" s="524"/>
      <c r="T26" s="524"/>
      <c r="V26" s="8"/>
    </row>
    <row r="27" spans="1:22" x14ac:dyDescent="0.4">
      <c r="F27" s="5"/>
      <c r="G27" s="5"/>
      <c r="H27" s="5"/>
      <c r="I27" s="5"/>
      <c r="J27" s="42"/>
      <c r="K27" s="5"/>
      <c r="L27" s="5"/>
      <c r="M27" s="5"/>
    </row>
    <row r="28" spans="1:22" x14ac:dyDescent="0.4">
      <c r="B28" s="1" t="s">
        <v>151</v>
      </c>
      <c r="F28" s="15">
        <v>460</v>
      </c>
      <c r="G28" s="15">
        <v>662</v>
      </c>
      <c r="H28" s="15">
        <v>3304</v>
      </c>
      <c r="I28" s="15">
        <v>6350</v>
      </c>
      <c r="J28" s="45">
        <v>151409</v>
      </c>
      <c r="K28" s="515">
        <f ca="1">K26*K29</f>
        <v>6605.4672714367543</v>
      </c>
      <c r="L28" s="515">
        <f ca="1">L26*L29</f>
        <v>7385.0683158028905</v>
      </c>
      <c r="M28" s="515">
        <f ca="1">M26*M29</f>
        <v>9631.359033589184</v>
      </c>
      <c r="N28" s="515">
        <f ca="1">N26*N29</f>
        <v>15001.893962642956</v>
      </c>
      <c r="O28" s="515">
        <f ca="1">O26*O29</f>
        <v>18895.458974195626</v>
      </c>
      <c r="P28" s="515"/>
      <c r="Q28" s="515"/>
      <c r="R28" s="515"/>
      <c r="S28" s="515"/>
      <c r="T28" s="515"/>
    </row>
    <row r="29" spans="1:22" s="6" customFormat="1" ht="15.6" x14ac:dyDescent="0.4">
      <c r="B29" s="173"/>
      <c r="C29" s="173" t="s">
        <v>193</v>
      </c>
      <c r="D29" s="173"/>
      <c r="E29" s="173"/>
      <c r="F29" s="532">
        <f>F28/F26</f>
        <v>7.8191398946115931E-2</v>
      </c>
      <c r="G29" s="532">
        <f>G28/G26</f>
        <v>0.2381294964028777</v>
      </c>
      <c r="H29" s="532">
        <f>H28/H26</f>
        <v>0.51400124455507157</v>
      </c>
      <c r="I29" s="532">
        <f>I28/I26</f>
        <v>0.22283829309376754</v>
      </c>
      <c r="J29" s="533">
        <f>J28/J26</f>
        <v>0.9445764942948226</v>
      </c>
      <c r="K29" s="174">
        <v>0.21</v>
      </c>
      <c r="L29" s="174">
        <v>0.21</v>
      </c>
      <c r="M29" s="174">
        <v>0.21</v>
      </c>
      <c r="N29" s="174">
        <v>0.21</v>
      </c>
      <c r="O29" s="174">
        <v>0.21</v>
      </c>
      <c r="P29" s="174">
        <v>0.21</v>
      </c>
      <c r="Q29" s="174">
        <v>0.21</v>
      </c>
      <c r="R29" s="174">
        <v>0.21</v>
      </c>
      <c r="S29" s="174">
        <v>0.21</v>
      </c>
      <c r="T29" s="174">
        <v>0.21</v>
      </c>
      <c r="U29" s="6" t="s">
        <v>1647</v>
      </c>
    </row>
    <row r="30" spans="1:22" x14ac:dyDescent="0.4">
      <c r="A30" s="1" t="s">
        <v>235</v>
      </c>
      <c r="B30" s="2" t="s">
        <v>152</v>
      </c>
      <c r="F30" s="524">
        <f>F26-F28</f>
        <v>5423</v>
      </c>
      <c r="G30" s="524">
        <f>G26-G28</f>
        <v>2118</v>
      </c>
      <c r="H30" s="524">
        <f>H26-H28</f>
        <v>3124</v>
      </c>
      <c r="I30" s="524">
        <f t="shared" ref="I30:O30" si="6">I26-I28</f>
        <v>22146</v>
      </c>
      <c r="J30" s="525">
        <f t="shared" si="6"/>
        <v>8884</v>
      </c>
      <c r="K30" s="524">
        <f t="shared" ca="1" si="6"/>
        <v>24849.13878302398</v>
      </c>
      <c r="L30" s="524">
        <f t="shared" ca="1" si="6"/>
        <v>27781.923664210874</v>
      </c>
      <c r="M30" s="524">
        <f t="shared" ca="1" si="6"/>
        <v>36232.255412073595</v>
      </c>
      <c r="N30" s="524">
        <f t="shared" ca="1" si="6"/>
        <v>56435.696335656838</v>
      </c>
      <c r="O30" s="524">
        <f t="shared" ca="1" si="6"/>
        <v>71082.91709340259</v>
      </c>
      <c r="P30" s="524"/>
      <c r="Q30" s="524"/>
      <c r="R30" s="524"/>
      <c r="S30" s="524"/>
      <c r="T30" s="524"/>
      <c r="V30" s="8">
        <f ca="1">(O30/J30)^(1/COLUMNS(F30:J30))-1</f>
        <v>0.51576312831454185</v>
      </c>
    </row>
    <row r="31" spans="1:22" s="6" customFormat="1" x14ac:dyDescent="0.4">
      <c r="C31" s="6" t="s">
        <v>195</v>
      </c>
      <c r="F31" s="526">
        <f>F30/F10</f>
        <v>6.5768409818569906E-2</v>
      </c>
      <c r="G31" s="526">
        <f>G30/G10</f>
        <v>1.7868893950898506E-2</v>
      </c>
      <c r="H31" s="526">
        <f>H30/H10</f>
        <v>1.6391034251175284E-2</v>
      </c>
      <c r="I31" s="526">
        <f t="shared" ref="I31:O31" si="7">I30/I10</f>
        <v>8.2488127386162582E-2</v>
      </c>
      <c r="J31" s="527">
        <f t="shared" si="7"/>
        <v>2.4759622084111369E-2</v>
      </c>
      <c r="K31" s="526">
        <f t="shared" ca="1" si="7"/>
        <v>5.4491105389331856E-2</v>
      </c>
      <c r="L31" s="526">
        <f t="shared" ca="1" si="7"/>
        <v>4.7797978847413117E-2</v>
      </c>
      <c r="M31" s="526">
        <f t="shared" ca="1" si="7"/>
        <v>5.0578028569828806E-2</v>
      </c>
      <c r="N31" s="526">
        <f t="shared" ca="1" si="7"/>
        <v>6.7166030415076503E-2</v>
      </c>
      <c r="O31" s="526">
        <f t="shared" ca="1" si="7"/>
        <v>7.5583325694175363E-2</v>
      </c>
      <c r="P31" s="526"/>
      <c r="Q31" s="526"/>
      <c r="R31" s="526"/>
      <c r="S31" s="526"/>
      <c r="T31" s="526"/>
    </row>
    <row r="32" spans="1:22" x14ac:dyDescent="0.4">
      <c r="F32" s="5"/>
      <c r="G32" s="5"/>
      <c r="H32" s="5"/>
      <c r="I32" s="5"/>
      <c r="J32" s="42"/>
      <c r="K32" s="5"/>
      <c r="L32" s="5"/>
      <c r="M32" s="5"/>
    </row>
    <row r="33" spans="1:22" x14ac:dyDescent="0.4">
      <c r="B33" s="1" t="s">
        <v>173</v>
      </c>
      <c r="F33" s="15">
        <v>0</v>
      </c>
      <c r="G33" s="15">
        <v>0</v>
      </c>
      <c r="H33" s="15">
        <v>11900</v>
      </c>
      <c r="I33" s="15">
        <v>9700</v>
      </c>
      <c r="J33" s="45">
        <v>9204</v>
      </c>
      <c r="K33" s="15">
        <v>0</v>
      </c>
      <c r="L33" s="15">
        <v>0</v>
      </c>
      <c r="M33" s="15">
        <v>0</v>
      </c>
      <c r="N33" s="15">
        <v>0</v>
      </c>
      <c r="O33" s="15">
        <v>0</v>
      </c>
      <c r="P33" s="15">
        <v>0</v>
      </c>
      <c r="Q33" s="15">
        <v>0</v>
      </c>
      <c r="R33" s="15">
        <v>0</v>
      </c>
      <c r="S33" s="15">
        <v>0</v>
      </c>
      <c r="T33" s="15">
        <v>0</v>
      </c>
    </row>
    <row r="34" spans="1:22" x14ac:dyDescent="0.4">
      <c r="A34" s="1" t="s">
        <v>235</v>
      </c>
      <c r="B34" s="2" t="s">
        <v>172</v>
      </c>
      <c r="C34" s="6"/>
      <c r="F34" s="524">
        <f>F30-F33</f>
        <v>5423</v>
      </c>
      <c r="G34" s="524">
        <f>G30-G33</f>
        <v>2118</v>
      </c>
      <c r="H34" s="524">
        <f>H30-H33</f>
        <v>-8776</v>
      </c>
      <c r="I34" s="524">
        <f t="shared" ref="I34:O34" si="8">I30-I33</f>
        <v>12446</v>
      </c>
      <c r="J34" s="525">
        <f t="shared" si="8"/>
        <v>-320</v>
      </c>
      <c r="K34" s="524">
        <f t="shared" ca="1" si="8"/>
        <v>24849.13878302398</v>
      </c>
      <c r="L34" s="524">
        <f t="shared" ca="1" si="8"/>
        <v>27781.923664210874</v>
      </c>
      <c r="M34" s="524">
        <f t="shared" ca="1" si="8"/>
        <v>36232.255412073595</v>
      </c>
      <c r="N34" s="524">
        <f t="shared" ca="1" si="8"/>
        <v>56435.696335656838</v>
      </c>
      <c r="O34" s="524">
        <f t="shared" ca="1" si="8"/>
        <v>71082.91709340259</v>
      </c>
      <c r="P34" s="524"/>
      <c r="Q34" s="524"/>
      <c r="R34" s="524"/>
      <c r="S34" s="524"/>
      <c r="T34" s="524"/>
    </row>
    <row r="35" spans="1:22" x14ac:dyDescent="0.4">
      <c r="F35" s="5"/>
      <c r="G35" s="5"/>
      <c r="H35" s="5"/>
      <c r="I35" s="5"/>
      <c r="J35" s="42"/>
    </row>
    <row r="36" spans="1:22" x14ac:dyDescent="0.4">
      <c r="B36" s="1" t="s">
        <v>870</v>
      </c>
      <c r="F36" s="5"/>
      <c r="G36" s="5"/>
      <c r="H36" s="520">
        <v>20982.881000000001</v>
      </c>
      <c r="I36" s="520">
        <v>25470.089</v>
      </c>
      <c r="J36" s="521">
        <v>27078.149000000001</v>
      </c>
      <c r="K36" s="520">
        <f>Shares!K20</f>
        <v>37777.32472592593</v>
      </c>
      <c r="L36" s="520">
        <f>Shares!L20</f>
        <v>37787.32472592593</v>
      </c>
      <c r="M36" s="520">
        <f>Shares!M20</f>
        <v>37794.82472592593</v>
      </c>
      <c r="N36" s="520">
        <f>Shares!N20</f>
        <v>37799.82472592593</v>
      </c>
      <c r="O36" s="520">
        <f>Shares!O20</f>
        <v>37804.82472592593</v>
      </c>
      <c r="P36" s="520"/>
      <c r="Q36" s="520"/>
      <c r="R36" s="520"/>
      <c r="S36" s="520"/>
      <c r="T36" s="520"/>
    </row>
    <row r="37" spans="1:22" x14ac:dyDescent="0.4">
      <c r="B37" s="1" t="s">
        <v>871</v>
      </c>
      <c r="C37" s="6"/>
      <c r="F37" s="8"/>
      <c r="G37" s="8"/>
      <c r="H37" s="534">
        <f t="shared" ref="H37:O37" si="9">H30/H36</f>
        <v>0.14888327298810872</v>
      </c>
      <c r="I37" s="534">
        <f t="shared" si="9"/>
        <v>0.86949048352363434</v>
      </c>
      <c r="J37" s="535">
        <f t="shared" si="9"/>
        <v>0.3280874183829921</v>
      </c>
      <c r="K37" s="534">
        <f t="shared" ca="1" si="9"/>
        <v>0.65777920917651544</v>
      </c>
      <c r="L37" s="534">
        <f t="shared" ca="1" si="9"/>
        <v>0.73521806229245068</v>
      </c>
      <c r="M37" s="534">
        <f t="shared" ca="1" si="9"/>
        <v>0.95865652704613635</v>
      </c>
      <c r="N37" s="534">
        <f t="shared" ca="1" si="9"/>
        <v>1.493014762498331</v>
      </c>
      <c r="O37" s="534">
        <f t="shared" ca="1" si="9"/>
        <v>1.8802604590481038</v>
      </c>
      <c r="P37" s="536"/>
      <c r="Q37" s="536"/>
      <c r="R37" s="536"/>
      <c r="S37" s="536"/>
      <c r="T37" s="536"/>
      <c r="V37" s="8">
        <f ca="1">(O37/J37)^(1/COLUMNS(F37:J37))-1</f>
        <v>0.41790027709552691</v>
      </c>
    </row>
    <row r="38" spans="1:22" x14ac:dyDescent="0.4">
      <c r="J38" s="41"/>
    </row>
    <row r="39" spans="1:22" outlineLevel="1" x14ac:dyDescent="0.4">
      <c r="B39" s="1" t="s">
        <v>971</v>
      </c>
      <c r="J39" s="41"/>
      <c r="K39" s="191">
        <v>0.51</v>
      </c>
      <c r="L39" s="191">
        <v>0.82</v>
      </c>
      <c r="M39" s="191">
        <v>1.22</v>
      </c>
      <c r="N39" s="191">
        <v>1.57</v>
      </c>
    </row>
    <row r="40" spans="1:22" outlineLevel="1" x14ac:dyDescent="0.4">
      <c r="B40" s="1" t="s">
        <v>972</v>
      </c>
      <c r="J40" s="41"/>
      <c r="K40" s="191">
        <v>0.54</v>
      </c>
      <c r="L40" s="191">
        <v>0.76</v>
      </c>
      <c r="M40" s="191">
        <v>0.98</v>
      </c>
      <c r="N40" s="191">
        <v>1.57</v>
      </c>
    </row>
    <row r="41" spans="1:22" x14ac:dyDescent="0.4">
      <c r="K41" s="161"/>
      <c r="L41" s="161"/>
      <c r="M41" s="161"/>
      <c r="N41" s="161"/>
    </row>
  </sheetData>
  <phoneticPr fontId="1" type="noConversion"/>
  <pageMargins left="0.7" right="0.7" top="0.75" bottom="0.75" header="0.3" footer="0.3"/>
  <customProperties>
    <customPr name="Guid" r:id="rId1"/>
  </customPropertie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91"/>
  <sheetViews>
    <sheetView showGridLines="0" topLeftCell="A16" zoomScaleNormal="100" workbookViewId="0">
      <selection activeCell="J42" sqref="J42"/>
    </sheetView>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16384" width="8.59765625" style="1"/>
  </cols>
  <sheetData>
    <row r="1" spans="1:23" ht="8.1" customHeight="1" x14ac:dyDescent="0.4">
      <c r="J1" s="41"/>
    </row>
    <row r="2" spans="1:23" x14ac:dyDescent="0.4">
      <c r="B2" s="2" t="s">
        <v>229</v>
      </c>
      <c r="J2" s="41"/>
    </row>
    <row r="3" spans="1:23" s="53" customFormat="1" ht="18" thickBot="1" x14ac:dyDescent="0.35">
      <c r="A3" s="52"/>
      <c r="B3" s="58" t="s">
        <v>231</v>
      </c>
      <c r="J3" s="590"/>
      <c r="W3" s="54"/>
    </row>
    <row r="4" spans="1:23" s="55" customFormat="1" x14ac:dyDescent="0.25">
      <c r="A4" s="52"/>
      <c r="B4" s="57" t="s">
        <v>223</v>
      </c>
      <c r="J4" s="591"/>
      <c r="W4" s="56"/>
    </row>
    <row r="5" spans="1:23" s="55" customFormat="1" x14ac:dyDescent="0.25">
      <c r="A5" s="52"/>
      <c r="J5" s="591"/>
    </row>
    <row r="6" spans="1:23" s="55" customFormat="1" x14ac:dyDescent="0.25">
      <c r="A6" s="52"/>
      <c r="J6" s="591"/>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O8" si="0">G8+1</f>
        <v>2015</v>
      </c>
      <c r="I8" s="49">
        <f t="shared" si="0"/>
        <v>2016</v>
      </c>
      <c r="J8" s="59">
        <f t="shared" si="0"/>
        <v>2017</v>
      </c>
      <c r="K8" s="51">
        <f t="shared" si="0"/>
        <v>2018</v>
      </c>
      <c r="L8" s="51">
        <f t="shared" si="0"/>
        <v>2019</v>
      </c>
      <c r="M8" s="51">
        <f t="shared" si="0"/>
        <v>2020</v>
      </c>
      <c r="N8" s="51">
        <f t="shared" si="0"/>
        <v>2021</v>
      </c>
      <c r="O8" s="51">
        <f t="shared" si="0"/>
        <v>2022</v>
      </c>
      <c r="P8" s="51">
        <f>O8+1</f>
        <v>2023</v>
      </c>
      <c r="Q8" s="51">
        <f>P8+1</f>
        <v>2024</v>
      </c>
      <c r="R8" s="51">
        <f>Q8+1</f>
        <v>2025</v>
      </c>
      <c r="S8" s="51">
        <f>R8+1</f>
        <v>2026</v>
      </c>
      <c r="T8" s="51">
        <f>S8+1</f>
        <v>2027</v>
      </c>
    </row>
    <row r="9" spans="1:23" x14ac:dyDescent="0.4">
      <c r="I9" s="3"/>
      <c r="J9" s="60"/>
    </row>
    <row r="10" spans="1:23" x14ac:dyDescent="0.4">
      <c r="A10" s="1" t="s">
        <v>1582</v>
      </c>
      <c r="B10" s="1" t="s">
        <v>153</v>
      </c>
      <c r="F10" s="20"/>
      <c r="G10" s="15">
        <v>2677</v>
      </c>
      <c r="H10" s="15">
        <v>70849</v>
      </c>
      <c r="I10" s="15">
        <v>73647</v>
      </c>
      <c r="J10" s="45">
        <v>84543</v>
      </c>
      <c r="K10" s="520">
        <f ca="1">'Cash Flow'!K41</f>
        <v>71330.965394973726</v>
      </c>
      <c r="L10" s="520">
        <f ca="1">'Cash Flow'!L41</f>
        <v>59011.741285801487</v>
      </c>
      <c r="M10" s="520">
        <f ca="1">'Cash Flow'!M41</f>
        <v>70073.32704264886</v>
      </c>
      <c r="N10" s="520">
        <f ca="1">'Cash Flow'!N41</f>
        <v>128772.68407645516</v>
      </c>
      <c r="O10" s="520">
        <f ca="1">'Cash Flow'!O41</f>
        <v>203231.13887848865</v>
      </c>
      <c r="P10" s="520"/>
      <c r="Q10" s="520"/>
      <c r="R10" s="520"/>
      <c r="S10" s="520"/>
      <c r="T10" s="520"/>
    </row>
    <row r="11" spans="1:23" x14ac:dyDescent="0.4">
      <c r="B11" s="1" t="s">
        <v>154</v>
      </c>
      <c r="F11" s="21"/>
      <c r="G11" s="15">
        <v>3278</v>
      </c>
      <c r="H11" s="15">
        <v>4217</v>
      </c>
      <c r="I11" s="15">
        <v>6006</v>
      </c>
      <c r="J11" s="45">
        <v>5641</v>
      </c>
      <c r="K11" s="520">
        <f>'Working Capital'!K14</f>
        <v>7496.2508243320754</v>
      </c>
      <c r="L11" s="520">
        <f>'Working Capital'!L14</f>
        <v>9554.5704470458149</v>
      </c>
      <c r="M11" s="520">
        <f>'Working Capital'!M14</f>
        <v>11775.838955057074</v>
      </c>
      <c r="N11" s="520">
        <f>'Working Capital'!N14</f>
        <v>13812.191535176444</v>
      </c>
      <c r="O11" s="520">
        <f>'Working Capital'!O14</f>
        <v>15459.577858648612</v>
      </c>
      <c r="P11" s="520"/>
      <c r="Q11" s="520"/>
      <c r="R11" s="520"/>
      <c r="S11" s="520"/>
      <c r="T11" s="520"/>
    </row>
    <row r="12" spans="1:23" x14ac:dyDescent="0.4">
      <c r="B12" s="1" t="s">
        <v>155</v>
      </c>
      <c r="F12" s="22"/>
      <c r="G12" s="15">
        <v>529</v>
      </c>
      <c r="H12" s="15">
        <v>543</v>
      </c>
      <c r="I12" s="15">
        <v>806</v>
      </c>
      <c r="J12" s="45">
        <v>1258</v>
      </c>
      <c r="K12" s="520">
        <f>'Working Capital'!K15</f>
        <v>1468.7920993417542</v>
      </c>
      <c r="L12" s="520">
        <f>'Working Capital'!L15</f>
        <v>1913.5277959138941</v>
      </c>
      <c r="M12" s="520">
        <f>'Working Capital'!M15</f>
        <v>2386.660109554286</v>
      </c>
      <c r="N12" s="520">
        <f>'Working Capital'!N15</f>
        <v>2776.4414899908134</v>
      </c>
      <c r="O12" s="520">
        <f>'Working Capital'!O15</f>
        <v>3103.0816652838498</v>
      </c>
      <c r="P12" s="520"/>
      <c r="Q12" s="520"/>
      <c r="R12" s="520"/>
      <c r="S12" s="520"/>
      <c r="T12" s="520"/>
    </row>
    <row r="13" spans="1:23" x14ac:dyDescent="0.4">
      <c r="B13" s="1" t="s">
        <v>156</v>
      </c>
      <c r="F13" s="21"/>
      <c r="G13" s="15">
        <v>1441</v>
      </c>
      <c r="H13" s="15">
        <v>3325</v>
      </c>
      <c r="I13" s="15">
        <v>3485</v>
      </c>
      <c r="J13" s="45">
        <v>1757</v>
      </c>
      <c r="K13" s="520">
        <f>'Working Capital'!K16</f>
        <v>3648.1754011749431</v>
      </c>
      <c r="L13" s="520">
        <f>'Working Capital'!L16</f>
        <v>4649.8909508956303</v>
      </c>
      <c r="M13" s="520">
        <f>'Working Capital'!M16</f>
        <v>5730.908291461109</v>
      </c>
      <c r="N13" s="520">
        <f>'Working Capital'!N16</f>
        <v>6721.9332137858701</v>
      </c>
      <c r="O13" s="520">
        <f>'Working Capital'!O16</f>
        <v>7523.6612245423248</v>
      </c>
      <c r="P13" s="520"/>
      <c r="Q13" s="520"/>
      <c r="R13" s="520"/>
      <c r="S13" s="520"/>
      <c r="T13" s="520"/>
    </row>
    <row r="14" spans="1:23" x14ac:dyDescent="0.4">
      <c r="B14" s="2"/>
      <c r="C14" s="2" t="s">
        <v>157</v>
      </c>
      <c r="F14" s="23"/>
      <c r="G14" s="592">
        <f t="shared" ref="G14:O14" si="1">SUM(G10:G13)</f>
        <v>7925</v>
      </c>
      <c r="H14" s="592">
        <f t="shared" si="1"/>
        <v>78934</v>
      </c>
      <c r="I14" s="592">
        <f t="shared" si="1"/>
        <v>83944</v>
      </c>
      <c r="J14" s="589">
        <f t="shared" si="1"/>
        <v>93199</v>
      </c>
      <c r="K14" s="608">
        <f t="shared" ca="1" si="1"/>
        <v>83944.183719822497</v>
      </c>
      <c r="L14" s="592">
        <f t="shared" ca="1" si="1"/>
        <v>75129.730479656821</v>
      </c>
      <c r="M14" s="592">
        <f t="shared" ca="1" si="1"/>
        <v>89966.734398721324</v>
      </c>
      <c r="N14" s="592">
        <f t="shared" ca="1" si="1"/>
        <v>152083.25031540828</v>
      </c>
      <c r="O14" s="592">
        <f t="shared" ca="1" si="1"/>
        <v>229317.45962696345</v>
      </c>
      <c r="P14" s="592"/>
      <c r="Q14" s="592"/>
      <c r="R14" s="592"/>
      <c r="S14" s="592"/>
      <c r="T14" s="592"/>
    </row>
    <row r="15" spans="1:23" x14ac:dyDescent="0.4">
      <c r="F15" s="24"/>
      <c r="G15" s="8"/>
      <c r="H15" s="8"/>
      <c r="I15" s="5"/>
      <c r="J15" s="42"/>
      <c r="K15" s="7"/>
      <c r="L15" s="7"/>
      <c r="M15" s="7"/>
      <c r="N15" s="7"/>
      <c r="O15" s="7"/>
      <c r="P15" s="7"/>
      <c r="Q15" s="7"/>
      <c r="R15" s="7"/>
      <c r="S15" s="7"/>
      <c r="T15" s="7"/>
    </row>
    <row r="16" spans="1:23" x14ac:dyDescent="0.4">
      <c r="B16" s="1" t="s">
        <v>158</v>
      </c>
      <c r="C16" s="2"/>
      <c r="D16" s="2"/>
      <c r="E16" s="2"/>
      <c r="F16" s="25"/>
      <c r="G16" s="15">
        <v>70124</v>
      </c>
      <c r="H16" s="15">
        <v>93041</v>
      </c>
      <c r="I16" s="15">
        <v>136264</v>
      </c>
      <c r="J16" s="45">
        <v>187095</v>
      </c>
      <c r="K16" s="520">
        <f>'PP&amp;E'!K30</f>
        <v>233778.06150072149</v>
      </c>
      <c r="L16" s="520">
        <f>'PP&amp;E'!L30</f>
        <v>285407.80605098605</v>
      </c>
      <c r="M16" s="520">
        <f>'PP&amp;E'!M30</f>
        <v>320575.55874939874</v>
      </c>
      <c r="N16" s="520">
        <f>'PP&amp;E'!N30</f>
        <v>325028.85047619045</v>
      </c>
      <c r="O16" s="520">
        <f>'PP&amp;E'!O30</f>
        <v>326373.70593554591</v>
      </c>
      <c r="P16" s="520"/>
      <c r="Q16" s="520"/>
      <c r="R16" s="520"/>
      <c r="S16" s="520"/>
      <c r="T16" s="520"/>
    </row>
    <row r="17" spans="1:20" x14ac:dyDescent="0.4">
      <c r="B17" s="1" t="s">
        <v>159</v>
      </c>
      <c r="F17" s="21"/>
      <c r="G17" s="15">
        <v>161</v>
      </c>
      <c r="H17" s="15">
        <v>201957</v>
      </c>
      <c r="I17" s="15">
        <v>313207</v>
      </c>
      <c r="J17" s="45">
        <v>185914</v>
      </c>
      <c r="K17" s="520">
        <f>'Other LT Items'!K11</f>
        <v>185914</v>
      </c>
      <c r="L17" s="520">
        <f>'Other LT Items'!L11</f>
        <v>185914</v>
      </c>
      <c r="M17" s="520">
        <f>'Other LT Items'!M11</f>
        <v>185914</v>
      </c>
      <c r="N17" s="520">
        <f>'Other LT Items'!N11</f>
        <v>185914</v>
      </c>
      <c r="O17" s="520">
        <f>'Other LT Items'!O11</f>
        <v>185914</v>
      </c>
      <c r="P17" s="520"/>
      <c r="Q17" s="520"/>
      <c r="R17" s="520"/>
      <c r="S17" s="520"/>
      <c r="T17" s="520"/>
    </row>
    <row r="18" spans="1:20" x14ac:dyDescent="0.4">
      <c r="B18" s="1" t="s">
        <v>848</v>
      </c>
      <c r="F18" s="21"/>
      <c r="G18" s="15">
        <v>0</v>
      </c>
      <c r="H18" s="15">
        <v>0</v>
      </c>
      <c r="I18" s="15">
        <v>0</v>
      </c>
      <c r="J18" s="45">
        <v>0</v>
      </c>
      <c r="K18" s="520">
        <f>'Other LT Items'!K12</f>
        <v>0</v>
      </c>
      <c r="L18" s="520"/>
      <c r="M18" s="520"/>
      <c r="N18" s="520"/>
      <c r="O18" s="520"/>
      <c r="P18" s="520"/>
      <c r="Q18" s="520"/>
      <c r="R18" s="520"/>
      <c r="S18" s="520"/>
      <c r="T18" s="520"/>
    </row>
    <row r="19" spans="1:20" x14ac:dyDescent="0.4">
      <c r="B19" s="76" t="s">
        <v>276</v>
      </c>
      <c r="C19" s="76"/>
      <c r="D19" s="76"/>
      <c r="E19" s="76"/>
      <c r="F19" s="507"/>
      <c r="G19" s="167">
        <v>4752</v>
      </c>
      <c r="H19" s="167">
        <v>5615</v>
      </c>
      <c r="I19" s="167">
        <v>4779</v>
      </c>
      <c r="J19" s="172">
        <v>4398</v>
      </c>
      <c r="K19" s="607">
        <f>'Other LT Items'!K13</f>
        <v>3898</v>
      </c>
      <c r="L19" s="530">
        <f>'Other LT Items'!L13</f>
        <v>3398</v>
      </c>
      <c r="M19" s="530">
        <f>'Other LT Items'!M13</f>
        <v>2898</v>
      </c>
      <c r="N19" s="530">
        <f>'Other LT Items'!N13</f>
        <v>2398</v>
      </c>
      <c r="O19" s="530">
        <f>'Other LT Items'!O13</f>
        <v>1898</v>
      </c>
      <c r="P19" s="530"/>
      <c r="Q19" s="530"/>
      <c r="R19" s="530"/>
      <c r="S19" s="530"/>
      <c r="T19" s="530"/>
    </row>
    <row r="20" spans="1:20" x14ac:dyDescent="0.4">
      <c r="A20" s="1" t="s">
        <v>1582</v>
      </c>
      <c r="B20" s="2"/>
      <c r="C20" s="2" t="s">
        <v>160</v>
      </c>
      <c r="F20" s="22"/>
      <c r="G20" s="592">
        <f t="shared" ref="G20:O20" si="2">SUM(G16:G19)+G14</f>
        <v>82962</v>
      </c>
      <c r="H20" s="592">
        <f t="shared" si="2"/>
        <v>379547</v>
      </c>
      <c r="I20" s="592">
        <f t="shared" si="2"/>
        <v>538194</v>
      </c>
      <c r="J20" s="589">
        <f t="shared" si="2"/>
        <v>470606</v>
      </c>
      <c r="K20" s="608">
        <f t="shared" ca="1" si="2"/>
        <v>507534.24522054399</v>
      </c>
      <c r="L20" s="592">
        <f t="shared" ca="1" si="2"/>
        <v>549849.53653064289</v>
      </c>
      <c r="M20" s="592">
        <f t="shared" ca="1" si="2"/>
        <v>599354.29314812005</v>
      </c>
      <c r="N20" s="592">
        <f t="shared" ca="1" si="2"/>
        <v>665424.10079159867</v>
      </c>
      <c r="O20" s="592">
        <f t="shared" ca="1" si="2"/>
        <v>743503.16556250933</v>
      </c>
      <c r="P20" s="524"/>
      <c r="Q20" s="524"/>
      <c r="R20" s="524"/>
      <c r="S20" s="524"/>
      <c r="T20" s="524"/>
    </row>
    <row r="21" spans="1:20" x14ac:dyDescent="0.4">
      <c r="B21" s="2"/>
      <c r="F21" s="22"/>
      <c r="G21" s="5"/>
      <c r="H21" s="5"/>
      <c r="I21" s="5"/>
      <c r="J21" s="42"/>
      <c r="K21" s="7"/>
      <c r="L21" s="7"/>
      <c r="M21" s="7"/>
      <c r="N21" s="7"/>
      <c r="O21" s="7"/>
      <c r="P21" s="7"/>
      <c r="Q21" s="7"/>
      <c r="R21" s="7"/>
      <c r="S21" s="7"/>
      <c r="T21" s="7"/>
    </row>
    <row r="22" spans="1:20" x14ac:dyDescent="0.4">
      <c r="B22" s="1" t="s">
        <v>161</v>
      </c>
      <c r="F22" s="24"/>
      <c r="G22" s="15">
        <v>6440</v>
      </c>
      <c r="H22" s="15">
        <v>6786</v>
      </c>
      <c r="I22" s="15">
        <v>6921</v>
      </c>
      <c r="J22" s="45">
        <v>8210</v>
      </c>
      <c r="K22" s="520">
        <f>'Working Capital'!K19</f>
        <v>10097.94568297456</v>
      </c>
      <c r="L22" s="520">
        <f>'Working Capital'!L19</f>
        <v>13155.503596908022</v>
      </c>
      <c r="M22" s="520">
        <f>'Working Capital'!M19</f>
        <v>16408.288253185714</v>
      </c>
      <c r="N22" s="520">
        <f>'Working Capital'!N19</f>
        <v>19088.035243686842</v>
      </c>
      <c r="O22" s="520">
        <f>'Working Capital'!O19</f>
        <v>21333.686448826465</v>
      </c>
      <c r="P22" s="520"/>
      <c r="Q22" s="520"/>
      <c r="R22" s="520"/>
      <c r="S22" s="520"/>
      <c r="T22" s="520"/>
    </row>
    <row r="23" spans="1:20" x14ac:dyDescent="0.4">
      <c r="B23" s="1" t="s">
        <v>162</v>
      </c>
      <c r="F23" s="27"/>
      <c r="G23" s="15">
        <v>5578</v>
      </c>
      <c r="H23" s="15">
        <v>6801</v>
      </c>
      <c r="I23" s="15">
        <v>8538</v>
      </c>
      <c r="J23" s="45">
        <v>11649</v>
      </c>
      <c r="K23" s="520">
        <f>'Working Capital'!K20</f>
        <v>15078.068894805196</v>
      </c>
      <c r="L23" s="520">
        <f>'Working Capital'!L20</f>
        <v>19643.558779928568</v>
      </c>
      <c r="M23" s="520">
        <f>'Working Capital'!M20</f>
        <v>24500.557687143213</v>
      </c>
      <c r="N23" s="520">
        <f>'Working Capital'!N20</f>
        <v>28501.907170686944</v>
      </c>
      <c r="O23" s="520">
        <f>'Working Capital'!O20</f>
        <v>31855.07272017952</v>
      </c>
      <c r="P23" s="520"/>
      <c r="Q23" s="520"/>
      <c r="R23" s="520"/>
      <c r="S23" s="520"/>
      <c r="T23" s="520"/>
    </row>
    <row r="24" spans="1:20" x14ac:dyDescent="0.4">
      <c r="B24" s="1" t="s">
        <v>163</v>
      </c>
      <c r="F24" s="22"/>
      <c r="G24" s="15">
        <v>2410</v>
      </c>
      <c r="H24" s="15">
        <v>5804</v>
      </c>
      <c r="I24" s="15">
        <v>6084</v>
      </c>
      <c r="J24" s="45">
        <v>6228</v>
      </c>
      <c r="K24" s="520">
        <f>'Working Capital'!K21</f>
        <v>8376.7049415584424</v>
      </c>
      <c r="L24" s="520">
        <f>'Working Capital'!L21</f>
        <v>10913.088211071428</v>
      </c>
      <c r="M24" s="520">
        <f>'Working Capital'!M21</f>
        <v>13611.420937301787</v>
      </c>
      <c r="N24" s="520">
        <f>'Working Capital'!N21</f>
        <v>15834.392872603858</v>
      </c>
      <c r="O24" s="520">
        <f>'Working Capital'!O21</f>
        <v>17697.262622321956</v>
      </c>
      <c r="P24" s="520"/>
      <c r="Q24" s="520"/>
      <c r="R24" s="520"/>
      <c r="S24" s="520"/>
      <c r="T24" s="520"/>
    </row>
    <row r="25" spans="1:20" x14ac:dyDescent="0.4">
      <c r="B25" s="1" t="s">
        <v>164</v>
      </c>
      <c r="F25" s="22"/>
      <c r="G25" s="15">
        <v>1749</v>
      </c>
      <c r="H25" s="15">
        <v>4614</v>
      </c>
      <c r="I25" s="15">
        <v>10173</v>
      </c>
      <c r="J25" s="45">
        <v>7937</v>
      </c>
      <c r="K25" s="520">
        <f>'Working Capital'!K22</f>
        <v>11727.386918181821</v>
      </c>
      <c r="L25" s="520">
        <f>'Working Capital'!L22</f>
        <v>15278.323495499999</v>
      </c>
      <c r="M25" s="520">
        <f>'Working Capital'!M22</f>
        <v>19055.989312222504</v>
      </c>
      <c r="N25" s="520">
        <f>'Working Capital'!N22</f>
        <v>22168.150021645404</v>
      </c>
      <c r="O25" s="520">
        <f>'Working Capital'!O22</f>
        <v>24776.16767125074</v>
      </c>
      <c r="P25" s="520"/>
      <c r="Q25" s="520"/>
      <c r="R25" s="520"/>
      <c r="S25" s="520"/>
      <c r="T25" s="520"/>
    </row>
    <row r="26" spans="1:20" x14ac:dyDescent="0.4">
      <c r="B26" s="2"/>
      <c r="C26" s="2" t="s">
        <v>165</v>
      </c>
      <c r="F26" s="22"/>
      <c r="G26" s="592">
        <f t="shared" ref="G26:O26" si="3">SUM(G22:G25)</f>
        <v>16177</v>
      </c>
      <c r="H26" s="592">
        <f t="shared" si="3"/>
        <v>24005</v>
      </c>
      <c r="I26" s="592">
        <f t="shared" si="3"/>
        <v>31716</v>
      </c>
      <c r="J26" s="589">
        <f t="shared" si="3"/>
        <v>34024</v>
      </c>
      <c r="K26" s="608">
        <f t="shared" si="3"/>
        <v>45280.106437520022</v>
      </c>
      <c r="L26" s="592">
        <f t="shared" si="3"/>
        <v>58990.474083408022</v>
      </c>
      <c r="M26" s="592">
        <f t="shared" si="3"/>
        <v>73576.256189853215</v>
      </c>
      <c r="N26" s="592">
        <f t="shared" si="3"/>
        <v>85592.485308623043</v>
      </c>
      <c r="O26" s="592">
        <f t="shared" si="3"/>
        <v>95662.189462578681</v>
      </c>
      <c r="P26" s="592"/>
      <c r="Q26" s="592"/>
      <c r="R26" s="592"/>
      <c r="S26" s="592"/>
      <c r="T26" s="592"/>
    </row>
    <row r="27" spans="1:20" x14ac:dyDescent="0.4">
      <c r="B27" s="2"/>
      <c r="F27" s="22"/>
      <c r="G27" s="5"/>
      <c r="H27" s="5"/>
      <c r="I27" s="5"/>
      <c r="J27" s="42"/>
      <c r="K27" s="7"/>
      <c r="L27" s="7"/>
      <c r="M27" s="7"/>
      <c r="N27" s="7"/>
      <c r="O27" s="7"/>
      <c r="P27" s="7"/>
      <c r="Q27" s="7"/>
      <c r="R27" s="7"/>
      <c r="S27" s="7"/>
      <c r="T27" s="7"/>
    </row>
    <row r="28" spans="1:20" x14ac:dyDescent="0.4">
      <c r="B28" s="1" t="s">
        <v>202</v>
      </c>
      <c r="F28" s="22"/>
      <c r="G28" s="15">
        <v>32000</v>
      </c>
      <c r="H28" s="15">
        <v>0</v>
      </c>
      <c r="I28" s="15">
        <v>0</v>
      </c>
      <c r="J28" s="45">
        <v>0</v>
      </c>
      <c r="K28" s="520">
        <f ca="1">'Debt&amp;Interest'!K43</f>
        <v>0</v>
      </c>
      <c r="L28" s="520">
        <f ca="1">'Debt&amp;Interest'!L43</f>
        <v>0</v>
      </c>
      <c r="M28" s="520">
        <f ca="1">'Debt&amp;Interest'!M43</f>
        <v>0</v>
      </c>
      <c r="N28" s="520">
        <f ca="1">'Debt&amp;Interest'!N43</f>
        <v>0</v>
      </c>
      <c r="O28" s="520">
        <f ca="1">'Debt&amp;Interest'!O43</f>
        <v>0</v>
      </c>
      <c r="P28" s="520"/>
      <c r="Q28" s="520"/>
      <c r="R28" s="520"/>
      <c r="S28" s="520"/>
      <c r="T28" s="520"/>
    </row>
    <row r="29" spans="1:20" x14ac:dyDescent="0.4">
      <c r="B29" s="1" t="s">
        <v>200</v>
      </c>
      <c r="F29" s="22"/>
      <c r="G29" s="15">
        <v>313</v>
      </c>
      <c r="H29" s="15">
        <v>313</v>
      </c>
      <c r="I29" s="15">
        <v>2007</v>
      </c>
      <c r="J29" s="45">
        <v>14518</v>
      </c>
      <c r="K29" s="520">
        <f>'Debt&amp;Interest'!K47</f>
        <v>14018</v>
      </c>
      <c r="L29" s="520">
        <f>'Debt&amp;Interest'!L47</f>
        <v>13018</v>
      </c>
      <c r="M29" s="520">
        <f>'Debt&amp;Interest'!M47</f>
        <v>12018</v>
      </c>
      <c r="N29" s="520">
        <f>'Debt&amp;Interest'!N47</f>
        <v>11018</v>
      </c>
      <c r="O29" s="520">
        <f>'Debt&amp;Interest'!O47</f>
        <v>10018</v>
      </c>
      <c r="P29" s="520"/>
      <c r="Q29" s="520"/>
      <c r="R29" s="520"/>
      <c r="S29" s="520"/>
      <c r="T29" s="520"/>
    </row>
    <row r="30" spans="1:20" x14ac:dyDescent="0.4">
      <c r="B30" s="1" t="s">
        <v>256</v>
      </c>
      <c r="F30" s="22"/>
      <c r="G30" s="15">
        <v>17853</v>
      </c>
      <c r="H30" s="15">
        <v>22927</v>
      </c>
      <c r="I30" s="15">
        <v>31107</v>
      </c>
      <c r="J30" s="45">
        <v>36596</v>
      </c>
      <c r="K30" s="520">
        <f>'Debt&amp;Interest'!K51</f>
        <v>35096</v>
      </c>
      <c r="L30" s="520">
        <f>'Debt&amp;Interest'!L51</f>
        <v>32096</v>
      </c>
      <c r="M30" s="520">
        <f>'Debt&amp;Interest'!M51</f>
        <v>29096</v>
      </c>
      <c r="N30" s="520">
        <f>'Debt&amp;Interest'!N51</f>
        <v>26096</v>
      </c>
      <c r="O30" s="520">
        <f>'Debt&amp;Interest'!O51</f>
        <v>23096</v>
      </c>
      <c r="P30" s="520"/>
      <c r="Q30" s="520"/>
      <c r="R30" s="520"/>
      <c r="S30" s="520"/>
      <c r="T30" s="520"/>
    </row>
    <row r="31" spans="1:20" x14ac:dyDescent="0.4">
      <c r="B31" s="76" t="s">
        <v>166</v>
      </c>
      <c r="C31" s="76"/>
      <c r="D31" s="76"/>
      <c r="E31" s="76"/>
      <c r="F31" s="165"/>
      <c r="G31" s="167">
        <v>4019</v>
      </c>
      <c r="H31" s="167">
        <v>175283</v>
      </c>
      <c r="I31" s="167">
        <f>267902+4109</f>
        <v>272011</v>
      </c>
      <c r="J31" s="172">
        <f>158436+2553</f>
        <v>160989</v>
      </c>
      <c r="K31" s="520">
        <f>'Other LT Items'!K19</f>
        <v>159989</v>
      </c>
      <c r="L31" s="520">
        <f>'Other LT Items'!L19</f>
        <v>158989</v>
      </c>
      <c r="M31" s="520">
        <f>'Other LT Items'!M19</f>
        <v>157989</v>
      </c>
      <c r="N31" s="520">
        <f>'Other LT Items'!N19</f>
        <v>156989</v>
      </c>
      <c r="O31" s="520">
        <f>'Other LT Items'!O19</f>
        <v>155989</v>
      </c>
      <c r="P31" s="530"/>
      <c r="Q31" s="530"/>
      <c r="R31" s="530"/>
      <c r="S31" s="530"/>
      <c r="T31" s="530"/>
    </row>
    <row r="32" spans="1:20" x14ac:dyDescent="0.4">
      <c r="A32" s="1" t="s">
        <v>1582</v>
      </c>
      <c r="B32" s="2"/>
      <c r="C32" s="2" t="s">
        <v>167</v>
      </c>
      <c r="F32" s="22"/>
      <c r="G32" s="524">
        <f t="shared" ref="G32:O32" si="4">SUM(G28:G31)+G26</f>
        <v>70362</v>
      </c>
      <c r="H32" s="524">
        <f t="shared" si="4"/>
        <v>222528</v>
      </c>
      <c r="I32" s="524">
        <f t="shared" si="4"/>
        <v>336841</v>
      </c>
      <c r="J32" s="589">
        <f t="shared" si="4"/>
        <v>246127</v>
      </c>
      <c r="K32" s="608">
        <f t="shared" ca="1" si="4"/>
        <v>254383.10643752001</v>
      </c>
      <c r="L32" s="592">
        <f t="shared" ca="1" si="4"/>
        <v>263093.47408340801</v>
      </c>
      <c r="M32" s="592">
        <f t="shared" ca="1" si="4"/>
        <v>272679.25618985319</v>
      </c>
      <c r="N32" s="592">
        <f t="shared" ca="1" si="4"/>
        <v>279695.48530862306</v>
      </c>
      <c r="O32" s="592">
        <f t="shared" ca="1" si="4"/>
        <v>284765.18946257868</v>
      </c>
      <c r="P32" s="524"/>
      <c r="Q32" s="524"/>
      <c r="R32" s="524"/>
      <c r="S32" s="524"/>
      <c r="T32" s="524"/>
    </row>
    <row r="33" spans="1:21" x14ac:dyDescent="0.4">
      <c r="F33" s="22"/>
      <c r="G33" s="5"/>
      <c r="H33" s="5"/>
      <c r="I33" s="5"/>
      <c r="J33" s="42"/>
      <c r="K33" s="7"/>
      <c r="L33" s="7"/>
      <c r="M33" s="7"/>
      <c r="N33" s="7"/>
      <c r="O33" s="7"/>
      <c r="P33" s="7"/>
      <c r="Q33" s="7"/>
      <c r="R33" s="7"/>
      <c r="S33" s="7"/>
      <c r="T33" s="7"/>
    </row>
    <row r="34" spans="1:21" x14ac:dyDescent="0.4">
      <c r="B34" s="1" t="s">
        <v>203</v>
      </c>
      <c r="F34" s="22"/>
      <c r="G34" s="515">
        <f t="shared" ref="G34:O34" si="5">G36-G35</f>
        <v>12600</v>
      </c>
      <c r="H34" s="515">
        <f t="shared" si="5"/>
        <v>100615</v>
      </c>
      <c r="I34" s="515">
        <f t="shared" si="5"/>
        <v>152188</v>
      </c>
      <c r="J34" s="516">
        <f t="shared" si="5"/>
        <v>169492</v>
      </c>
      <c r="K34" s="515">
        <f t="shared" ca="1" si="5"/>
        <v>200164.13878302398</v>
      </c>
      <c r="L34" s="515">
        <f t="shared" ca="1" si="5"/>
        <v>234724.32683895953</v>
      </c>
      <c r="M34" s="515">
        <f t="shared" ca="1" si="5"/>
        <v>275645.28692151885</v>
      </c>
      <c r="N34" s="515">
        <f t="shared" ca="1" si="5"/>
        <v>335507.87019648432</v>
      </c>
      <c r="O34" s="515">
        <f t="shared" ca="1" si="5"/>
        <v>408431.94625363825</v>
      </c>
      <c r="P34" s="515"/>
      <c r="Q34" s="515"/>
      <c r="R34" s="515"/>
      <c r="S34" s="515"/>
      <c r="T34" s="515"/>
    </row>
    <row r="35" spans="1:21" ht="15.6" x14ac:dyDescent="0.4">
      <c r="B35" s="76" t="s">
        <v>169</v>
      </c>
      <c r="C35" s="76"/>
      <c r="D35" s="76"/>
      <c r="E35" s="76"/>
      <c r="F35" s="166"/>
      <c r="G35" s="167"/>
      <c r="H35" s="167">
        <v>56404</v>
      </c>
      <c r="I35" s="167">
        <v>49165</v>
      </c>
      <c r="J35" s="172">
        <v>54987</v>
      </c>
      <c r="K35" s="537">
        <v>54987</v>
      </c>
      <c r="L35" s="537">
        <v>54987</v>
      </c>
      <c r="M35" s="537">
        <v>54987</v>
      </c>
      <c r="N35" s="537">
        <v>54987</v>
      </c>
      <c r="O35" s="537">
        <v>54987</v>
      </c>
      <c r="P35" s="537"/>
      <c r="Q35" s="537"/>
      <c r="R35" s="537"/>
      <c r="S35" s="537"/>
      <c r="T35" s="537"/>
      <c r="U35" s="606" t="s">
        <v>1655</v>
      </c>
    </row>
    <row r="36" spans="1:21" s="2" customFormat="1" x14ac:dyDescent="0.4">
      <c r="A36" s="1" t="s">
        <v>1582</v>
      </c>
      <c r="C36" s="2" t="s">
        <v>168</v>
      </c>
      <c r="F36" s="28"/>
      <c r="G36" s="16">
        <v>12600</v>
      </c>
      <c r="H36" s="16">
        <v>157019</v>
      </c>
      <c r="I36" s="16">
        <v>201353</v>
      </c>
      <c r="J36" s="62">
        <v>224479</v>
      </c>
      <c r="K36" s="528">
        <f ca="1">Equity!K17</f>
        <v>255151.13878302398</v>
      </c>
      <c r="L36" s="528">
        <f ca="1">Equity!L17</f>
        <v>289711.32683895953</v>
      </c>
      <c r="M36" s="528">
        <f ca="1">Equity!M17</f>
        <v>330632.28692151885</v>
      </c>
      <c r="N36" s="528">
        <f ca="1">Equity!N17</f>
        <v>390494.87019648432</v>
      </c>
      <c r="O36" s="528">
        <f ca="1">Equity!O17</f>
        <v>463418.94625363825</v>
      </c>
      <c r="P36" s="528"/>
      <c r="Q36" s="528"/>
      <c r="R36" s="528"/>
      <c r="S36" s="528"/>
      <c r="T36" s="528"/>
    </row>
    <row r="37" spans="1:21" x14ac:dyDescent="0.4">
      <c r="C37" s="2"/>
      <c r="F37" s="24"/>
      <c r="G37" s="15"/>
      <c r="H37" s="15"/>
      <c r="I37" s="15"/>
      <c r="J37" s="45"/>
      <c r="K37" s="7"/>
      <c r="L37" s="7"/>
      <c r="M37" s="7"/>
      <c r="N37" s="7"/>
      <c r="O37" s="7"/>
      <c r="P37" s="7"/>
      <c r="Q37" s="7"/>
      <c r="R37" s="7"/>
      <c r="S37" s="7"/>
      <c r="T37" s="7"/>
    </row>
    <row r="38" spans="1:21" x14ac:dyDescent="0.4">
      <c r="A38" s="1" t="s">
        <v>1582</v>
      </c>
      <c r="B38" s="2"/>
      <c r="C38" s="2" t="s">
        <v>170</v>
      </c>
      <c r="F38" s="24"/>
      <c r="G38" s="524">
        <f>G36+G32</f>
        <v>82962</v>
      </c>
      <c r="H38" s="524">
        <f>H36+H32</f>
        <v>379547</v>
      </c>
      <c r="I38" s="524">
        <f>I36+I32</f>
        <v>538194</v>
      </c>
      <c r="J38" s="525">
        <f>J36+J32</f>
        <v>470606</v>
      </c>
      <c r="K38" s="697">
        <f t="shared" ref="K38:O38" ca="1" si="6">K36+K32</f>
        <v>509534.24522054399</v>
      </c>
      <c r="L38" s="697">
        <f t="shared" ca="1" si="6"/>
        <v>552804.80092236749</v>
      </c>
      <c r="M38" s="697">
        <f t="shared" ca="1" si="6"/>
        <v>603311.54311137204</v>
      </c>
      <c r="N38" s="697">
        <f t="shared" ca="1" si="6"/>
        <v>670190.35550510744</v>
      </c>
      <c r="O38" s="697">
        <f t="shared" ca="1" si="6"/>
        <v>748184.13571621687</v>
      </c>
      <c r="P38" s="524"/>
      <c r="Q38" s="524"/>
      <c r="R38" s="524"/>
      <c r="S38" s="524"/>
      <c r="T38" s="524"/>
    </row>
    <row r="39" spans="1:21" s="6" customFormat="1" x14ac:dyDescent="0.4">
      <c r="C39" s="6" t="s">
        <v>171</v>
      </c>
      <c r="F39" s="29"/>
      <c r="G39" s="593">
        <f>BS!D66</f>
        <v>82962</v>
      </c>
      <c r="H39" s="593">
        <f>BS!E66</f>
        <v>379547</v>
      </c>
      <c r="I39" s="593">
        <f>BS!F66</f>
        <v>538194</v>
      </c>
      <c r="J39" s="594">
        <f>BS!G66</f>
        <v>470606</v>
      </c>
      <c r="K39" s="538"/>
      <c r="L39" s="538"/>
      <c r="M39" s="538"/>
      <c r="N39" s="538"/>
      <c r="O39" s="538"/>
      <c r="P39" s="538"/>
      <c r="Q39" s="538"/>
      <c r="R39" s="538"/>
      <c r="S39" s="538"/>
      <c r="T39" s="538"/>
    </row>
    <row r="40" spans="1:21" x14ac:dyDescent="0.4">
      <c r="B40" s="2"/>
      <c r="F40" s="4"/>
      <c r="G40" s="4"/>
      <c r="H40" s="4"/>
      <c r="I40" s="4"/>
      <c r="J40" s="4"/>
    </row>
    <row r="90" spans="6:21" x14ac:dyDescent="0.4">
      <c r="F90" s="1">
        <f>SCF!C24</f>
        <v>93</v>
      </c>
      <c r="G90" s="1">
        <f>SCF!D24</f>
        <v>165</v>
      </c>
      <c r="H90" s="1">
        <f>SCF!E24</f>
        <v>16681</v>
      </c>
      <c r="I90" s="1">
        <f>SCF!F24</f>
        <v>5354</v>
      </c>
      <c r="J90" s="41">
        <f>SCF!G24</f>
        <v>5623</v>
      </c>
      <c r="K90" s="1">
        <v>5623</v>
      </c>
      <c r="L90" s="1">
        <v>5623</v>
      </c>
      <c r="M90" s="1">
        <v>5623</v>
      </c>
      <c r="N90" s="1">
        <v>5623</v>
      </c>
      <c r="O90" s="1">
        <v>5623</v>
      </c>
      <c r="U90" s="1" t="s">
        <v>1632</v>
      </c>
    </row>
    <row r="91" spans="6:21" x14ac:dyDescent="0.4">
      <c r="F91" s="1">
        <f>F89-F90</f>
        <v>-93</v>
      </c>
      <c r="G91" s="1">
        <f>G89-G90</f>
        <v>-165</v>
      </c>
      <c r="H91" s="1">
        <f>H89-H90</f>
        <v>-16681</v>
      </c>
      <c r="I91" s="1">
        <f>I89-I90</f>
        <v>-5354</v>
      </c>
      <c r="J91" s="41">
        <f>J89-J90</f>
        <v>-5623</v>
      </c>
    </row>
  </sheetData>
  <phoneticPr fontId="1" type="noConversion"/>
  <pageMargins left="0.7" right="0.7" top="0.75" bottom="0.75" header="0.3" footer="0.3"/>
  <pageSetup paperSize="9" orientation="portrait" horizontalDpi="4294967292" r:id="rId1"/>
  <customProperties>
    <customPr name="Guid" r:id="rId2"/>
  </customProperties>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2"/>
  <sheetViews>
    <sheetView showGridLines="0" topLeftCell="A22" zoomScaleNormal="100" workbookViewId="0">
      <selection activeCell="J48" sqref="J48"/>
    </sheetView>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16384" width="8.59765625" style="1"/>
  </cols>
  <sheetData>
    <row r="1" spans="1:20" ht="8.1" customHeight="1" x14ac:dyDescent="0.4"/>
    <row r="2" spans="1:20" x14ac:dyDescent="0.4">
      <c r="B2" s="2" t="s">
        <v>229</v>
      </c>
    </row>
    <row r="3" spans="1:20" s="53" customFormat="1" ht="18" thickBot="1" x14ac:dyDescent="0.35">
      <c r="A3" s="52"/>
      <c r="B3" s="58" t="s">
        <v>232</v>
      </c>
      <c r="R3" s="54"/>
    </row>
    <row r="4" spans="1:20" s="55" customFormat="1" x14ac:dyDescent="0.25">
      <c r="A4" s="52"/>
      <c r="B4" s="57" t="s">
        <v>223</v>
      </c>
      <c r="R4" s="56"/>
    </row>
    <row r="5" spans="1:20" s="55" customFormat="1" x14ac:dyDescent="0.25">
      <c r="A5" s="52"/>
    </row>
    <row r="6" spans="1:20" s="55" customFormat="1" x14ac:dyDescent="0.25">
      <c r="A6" s="52"/>
    </row>
    <row r="7" spans="1:20" x14ac:dyDescent="0.4">
      <c r="B7" s="6"/>
      <c r="F7" s="46"/>
      <c r="G7" s="46"/>
      <c r="H7" s="46" t="s">
        <v>225</v>
      </c>
      <c r="I7" s="46"/>
      <c r="J7" s="47"/>
      <c r="K7" s="46" t="s">
        <v>226</v>
      </c>
      <c r="L7" s="46"/>
      <c r="M7" s="46"/>
      <c r="N7" s="46"/>
      <c r="O7" s="46"/>
      <c r="P7" s="46"/>
      <c r="Q7" s="46"/>
      <c r="R7" s="46"/>
      <c r="S7" s="46"/>
      <c r="T7" s="46"/>
    </row>
    <row r="8" spans="1:20" x14ac:dyDescent="0.4">
      <c r="F8" s="48">
        <v>2013</v>
      </c>
      <c r="G8" s="49">
        <f>F8+1</f>
        <v>2014</v>
      </c>
      <c r="H8" s="49">
        <f t="shared" ref="H8:O8" si="0">G8+1</f>
        <v>2015</v>
      </c>
      <c r="I8" s="49">
        <f t="shared" si="0"/>
        <v>2016</v>
      </c>
      <c r="J8" s="59">
        <f t="shared" si="0"/>
        <v>2017</v>
      </c>
      <c r="K8" s="51">
        <f t="shared" si="0"/>
        <v>2018</v>
      </c>
      <c r="L8" s="51">
        <f t="shared" si="0"/>
        <v>2019</v>
      </c>
      <c r="M8" s="51">
        <f t="shared" si="0"/>
        <v>2020</v>
      </c>
      <c r="N8" s="51">
        <f t="shared" si="0"/>
        <v>2021</v>
      </c>
      <c r="O8" s="51">
        <f t="shared" si="0"/>
        <v>2022</v>
      </c>
      <c r="P8" s="51">
        <f>O8+1</f>
        <v>2023</v>
      </c>
      <c r="Q8" s="51">
        <f>P8+1</f>
        <v>2024</v>
      </c>
      <c r="R8" s="51">
        <f>Q8+1</f>
        <v>2025</v>
      </c>
      <c r="S8" s="51">
        <f>R8+1</f>
        <v>2026</v>
      </c>
      <c r="T8" s="51">
        <f>S8+1</f>
        <v>2027</v>
      </c>
    </row>
    <row r="9" spans="1:20" x14ac:dyDescent="0.4">
      <c r="J9" s="151"/>
      <c r="K9" s="3"/>
      <c r="L9" s="3"/>
      <c r="M9" s="3"/>
      <c r="N9" s="3"/>
      <c r="O9" s="3"/>
    </row>
    <row r="10" spans="1:20" x14ac:dyDescent="0.4">
      <c r="A10" s="1" t="s">
        <v>841</v>
      </c>
      <c r="B10" s="13" t="s">
        <v>174</v>
      </c>
      <c r="F10" s="12"/>
      <c r="G10" s="12"/>
      <c r="H10" s="12"/>
      <c r="I10" s="5"/>
      <c r="J10" s="42"/>
    </row>
    <row r="11" spans="1:20" x14ac:dyDescent="0.4">
      <c r="C11" s="1" t="s">
        <v>829</v>
      </c>
      <c r="F11" s="21"/>
      <c r="G11" s="21"/>
      <c r="H11" s="21"/>
      <c r="I11" s="22"/>
      <c r="J11" s="502"/>
      <c r="K11" s="520">
        <f ca="1">'Income Statement'!K30</f>
        <v>24849.13878302398</v>
      </c>
      <c r="L11" s="520">
        <f ca="1">'Income Statement'!L30</f>
        <v>27781.923664210874</v>
      </c>
      <c r="M11" s="520">
        <f ca="1">'Income Statement'!M30</f>
        <v>36232.255412073595</v>
      </c>
      <c r="N11" s="520">
        <f ca="1">'Income Statement'!N30</f>
        <v>56435.696335656838</v>
      </c>
      <c r="O11" s="520">
        <f ca="1">'Income Statement'!O30</f>
        <v>71082.91709340259</v>
      </c>
      <c r="P11" s="520"/>
      <c r="Q11" s="520"/>
      <c r="R11" s="520"/>
      <c r="S11" s="520"/>
      <c r="T11" s="520"/>
    </row>
    <row r="12" spans="1:20" x14ac:dyDescent="0.4">
      <c r="C12" s="1" t="s">
        <v>115</v>
      </c>
      <c r="F12" s="21"/>
      <c r="G12" s="21"/>
      <c r="H12" s="21"/>
      <c r="I12" s="22"/>
      <c r="J12" s="502"/>
      <c r="K12" s="520">
        <f>Operations!K93</f>
        <v>29216.938499278502</v>
      </c>
      <c r="L12" s="520">
        <f>Operations!L93</f>
        <v>36370.25544973545</v>
      </c>
      <c r="M12" s="520">
        <f>Operations!M93</f>
        <v>42532.247301587304</v>
      </c>
      <c r="N12" s="520">
        <f>Operations!N93</f>
        <v>45546.708273208278</v>
      </c>
      <c r="O12" s="520">
        <f>Operations!O93</f>
        <v>46155.144540644549</v>
      </c>
      <c r="P12" s="520"/>
      <c r="Q12" s="520"/>
      <c r="R12" s="520"/>
      <c r="S12" s="520"/>
      <c r="T12" s="520"/>
    </row>
    <row r="13" spans="1:20" x14ac:dyDescent="0.4">
      <c r="C13" s="1" t="s">
        <v>175</v>
      </c>
      <c r="F13" s="22"/>
      <c r="G13" s="22"/>
      <c r="H13" s="22"/>
      <c r="I13" s="22"/>
      <c r="J13" s="502"/>
      <c r="K13" s="15">
        <v>0</v>
      </c>
      <c r="L13" s="15">
        <v>0</v>
      </c>
      <c r="M13" s="15">
        <v>0</v>
      </c>
      <c r="N13" s="15">
        <v>0</v>
      </c>
      <c r="O13" s="15">
        <v>0</v>
      </c>
      <c r="P13" s="15">
        <v>0</v>
      </c>
      <c r="Q13" s="15">
        <v>0</v>
      </c>
      <c r="R13" s="15">
        <v>0</v>
      </c>
      <c r="S13" s="15">
        <v>0</v>
      </c>
      <c r="T13" s="15">
        <v>0</v>
      </c>
    </row>
    <row r="14" spans="1:20" x14ac:dyDescent="0.4">
      <c r="C14" s="1" t="s">
        <v>830</v>
      </c>
      <c r="F14" s="21"/>
      <c r="G14" s="21"/>
      <c r="H14" s="21"/>
      <c r="I14" s="22"/>
      <c r="J14" s="502"/>
      <c r="K14" s="520">
        <f>Operations!K90</f>
        <v>5623</v>
      </c>
      <c r="L14" s="520">
        <f>Operations!L90</f>
        <v>5623</v>
      </c>
      <c r="M14" s="520">
        <f>Operations!M90</f>
        <v>5623</v>
      </c>
      <c r="N14" s="520">
        <f>Operations!N90</f>
        <v>5623</v>
      </c>
      <c r="O14" s="520">
        <f>Operations!O90</f>
        <v>5623</v>
      </c>
      <c r="P14" s="520"/>
      <c r="Q14" s="520"/>
      <c r="R14" s="520"/>
      <c r="S14" s="520"/>
      <c r="T14" s="520"/>
    </row>
    <row r="15" spans="1:20" x14ac:dyDescent="0.4">
      <c r="C15" s="1" t="s">
        <v>831</v>
      </c>
      <c r="F15" s="23"/>
      <c r="G15" s="23"/>
      <c r="H15" s="23"/>
      <c r="I15" s="23"/>
      <c r="J15" s="503"/>
      <c r="K15" s="520">
        <f>'Working Capital'!K27</f>
        <v>7298.8881126712513</v>
      </c>
      <c r="L15" s="520">
        <f>'Working Capital'!L27</f>
        <v>10205.59677688143</v>
      </c>
      <c r="M15" s="520">
        <f>'Working Capital'!M27</f>
        <v>10810.363944228069</v>
      </c>
      <c r="N15" s="520">
        <f>'Working Capital'!N27</f>
        <v>8599.0702358891722</v>
      </c>
      <c r="O15" s="520">
        <f>'Working Capital'!O27</f>
        <v>7293.9496444339748</v>
      </c>
      <c r="P15" s="520"/>
      <c r="Q15" s="520"/>
      <c r="R15" s="520"/>
      <c r="S15" s="520"/>
      <c r="T15" s="520"/>
    </row>
    <row r="16" spans="1:20" x14ac:dyDescent="0.4">
      <c r="C16" s="76" t="s">
        <v>832</v>
      </c>
      <c r="D16" s="76"/>
      <c r="E16" s="76"/>
      <c r="F16" s="164"/>
      <c r="G16" s="164"/>
      <c r="H16" s="164"/>
      <c r="I16" s="165"/>
      <c r="J16" s="504"/>
      <c r="K16" s="530">
        <f>'Other LT Items'!K23</f>
        <v>-500</v>
      </c>
      <c r="L16" s="530">
        <f>'Other LT Items'!L23</f>
        <v>-500</v>
      </c>
      <c r="M16" s="530">
        <f>'Other LT Items'!M23</f>
        <v>-500</v>
      </c>
      <c r="N16" s="530">
        <f>'Other LT Items'!N23</f>
        <v>-500</v>
      </c>
      <c r="O16" s="530">
        <f>'Other LT Items'!O23</f>
        <v>-500</v>
      </c>
      <c r="P16" s="530"/>
      <c r="Q16" s="530"/>
      <c r="R16" s="530"/>
      <c r="S16" s="530"/>
      <c r="T16" s="530"/>
    </row>
    <row r="17" spans="1:20" x14ac:dyDescent="0.4">
      <c r="D17" s="2" t="s">
        <v>236</v>
      </c>
      <c r="E17" s="2"/>
      <c r="F17" s="25"/>
      <c r="G17" s="25"/>
      <c r="H17" s="25"/>
      <c r="I17" s="22"/>
      <c r="J17" s="502"/>
      <c r="K17" s="524">
        <f ca="1">SUM(K11:K16)</f>
        <v>66487.965394973726</v>
      </c>
      <c r="L17" s="524">
        <f t="shared" ref="L17:O17" ca="1" si="1">SUM(L11:L16)</f>
        <v>79480.775890827761</v>
      </c>
      <c r="M17" s="524">
        <f t="shared" ca="1" si="1"/>
        <v>94697.866657888968</v>
      </c>
      <c r="N17" s="524">
        <f t="shared" ca="1" si="1"/>
        <v>115704.4748447543</v>
      </c>
      <c r="O17" s="524">
        <f t="shared" ca="1" si="1"/>
        <v>129655.01127848111</v>
      </c>
      <c r="P17" s="524"/>
      <c r="Q17" s="524"/>
      <c r="R17" s="524"/>
      <c r="S17" s="524"/>
      <c r="T17" s="524"/>
    </row>
    <row r="18" spans="1:20" x14ac:dyDescent="0.4">
      <c r="F18" s="11"/>
      <c r="G18" s="11"/>
      <c r="H18" s="11"/>
      <c r="I18" s="5"/>
      <c r="J18" s="42"/>
      <c r="K18" s="11"/>
      <c r="L18" s="11"/>
      <c r="M18" s="11"/>
      <c r="N18" s="11"/>
      <c r="O18" s="11"/>
      <c r="P18" s="11"/>
      <c r="Q18" s="11"/>
      <c r="R18" s="11"/>
      <c r="S18" s="11"/>
      <c r="T18" s="11"/>
    </row>
    <row r="19" spans="1:20" x14ac:dyDescent="0.4">
      <c r="A19" s="1" t="s">
        <v>841</v>
      </c>
      <c r="B19" s="13" t="s">
        <v>177</v>
      </c>
      <c r="F19" s="7"/>
      <c r="G19" s="7"/>
      <c r="H19" s="11"/>
      <c r="I19" s="5"/>
      <c r="J19" s="42"/>
      <c r="K19" s="11"/>
      <c r="L19" s="11"/>
      <c r="M19" s="11"/>
      <c r="N19" s="11"/>
      <c r="O19" s="11"/>
      <c r="P19" s="11"/>
      <c r="Q19" s="11"/>
      <c r="R19" s="11"/>
      <c r="S19" s="11"/>
      <c r="T19" s="11"/>
    </row>
    <row r="20" spans="1:20" x14ac:dyDescent="0.4">
      <c r="C20" s="1" t="s">
        <v>826</v>
      </c>
      <c r="E20" s="2"/>
      <c r="F20" s="22"/>
      <c r="G20" s="22"/>
      <c r="H20" s="22"/>
      <c r="I20" s="22"/>
      <c r="J20" s="502"/>
      <c r="K20" s="520">
        <f>-'PP&amp;E'!K12</f>
        <v>-75900</v>
      </c>
      <c r="L20" s="520">
        <f>-'PP&amp;E'!L12</f>
        <v>-88000</v>
      </c>
      <c r="M20" s="520">
        <f>-'PP&amp;E'!M12</f>
        <v>-77700</v>
      </c>
      <c r="N20" s="520">
        <f>-'PP&amp;E'!N12</f>
        <v>-50000</v>
      </c>
      <c r="O20" s="520">
        <f>-'PP&amp;E'!O12</f>
        <v>-47500</v>
      </c>
      <c r="P20" s="520"/>
      <c r="Q20" s="520"/>
      <c r="R20" s="520"/>
      <c r="S20" s="520"/>
      <c r="T20" s="520"/>
    </row>
    <row r="21" spans="1:20" x14ac:dyDescent="0.4">
      <c r="C21" s="1" t="s">
        <v>827</v>
      </c>
      <c r="F21" s="22"/>
      <c r="G21" s="22"/>
      <c r="H21" s="22"/>
      <c r="I21" s="23"/>
      <c r="J21" s="503"/>
      <c r="K21" s="520">
        <v>0</v>
      </c>
      <c r="L21" s="520">
        <v>0</v>
      </c>
      <c r="M21" s="520">
        <v>0</v>
      </c>
      <c r="N21" s="520">
        <v>0</v>
      </c>
      <c r="O21" s="520">
        <v>0</v>
      </c>
      <c r="P21" s="520"/>
      <c r="Q21" s="520"/>
      <c r="R21" s="520"/>
      <c r="S21" s="520"/>
      <c r="T21" s="520"/>
    </row>
    <row r="22" spans="1:20" x14ac:dyDescent="0.4">
      <c r="C22" s="76" t="s">
        <v>828</v>
      </c>
      <c r="D22" s="76"/>
      <c r="E22" s="76"/>
      <c r="F22" s="165"/>
      <c r="G22" s="165"/>
      <c r="H22" s="166"/>
      <c r="I22" s="165"/>
      <c r="J22" s="504"/>
      <c r="K22" s="167">
        <v>0</v>
      </c>
      <c r="L22" s="167">
        <v>0</v>
      </c>
      <c r="M22" s="167">
        <v>0</v>
      </c>
      <c r="N22" s="167">
        <v>0</v>
      </c>
      <c r="O22" s="167">
        <v>0</v>
      </c>
      <c r="P22" s="167">
        <v>0</v>
      </c>
      <c r="Q22" s="167">
        <v>0</v>
      </c>
      <c r="R22" s="167">
        <v>0</v>
      </c>
      <c r="S22" s="167">
        <v>0</v>
      </c>
      <c r="T22" s="167">
        <v>0</v>
      </c>
    </row>
    <row r="23" spans="1:20" x14ac:dyDescent="0.4">
      <c r="D23" s="2" t="s">
        <v>237</v>
      </c>
      <c r="F23" s="24"/>
      <c r="G23" s="24"/>
      <c r="H23" s="24"/>
      <c r="I23" s="22"/>
      <c r="J23" s="502"/>
      <c r="K23" s="524">
        <f>SUM(K20:K22)</f>
        <v>-75900</v>
      </c>
      <c r="L23" s="524">
        <f t="shared" ref="L23:O23" si="2">SUM(L20:L22)</f>
        <v>-88000</v>
      </c>
      <c r="M23" s="524">
        <f t="shared" si="2"/>
        <v>-77700</v>
      </c>
      <c r="N23" s="524">
        <f t="shared" si="2"/>
        <v>-50000</v>
      </c>
      <c r="O23" s="524">
        <f t="shared" si="2"/>
        <v>-47500</v>
      </c>
      <c r="P23" s="524"/>
      <c r="Q23" s="524"/>
      <c r="R23" s="524"/>
      <c r="S23" s="524"/>
      <c r="T23" s="524"/>
    </row>
    <row r="24" spans="1:20" x14ac:dyDescent="0.4">
      <c r="I24" s="5"/>
      <c r="J24" s="42"/>
      <c r="K24" s="11"/>
      <c r="L24" s="11"/>
      <c r="M24" s="11"/>
      <c r="N24" s="11"/>
      <c r="O24" s="11"/>
      <c r="P24" s="11"/>
      <c r="Q24" s="11"/>
      <c r="R24" s="11"/>
      <c r="S24" s="11"/>
      <c r="T24" s="11"/>
    </row>
    <row r="25" spans="1:20" x14ac:dyDescent="0.4">
      <c r="A25" s="1" t="s">
        <v>841</v>
      </c>
      <c r="B25" s="2" t="s">
        <v>238</v>
      </c>
      <c r="F25" s="22"/>
      <c r="G25" s="22"/>
      <c r="H25" s="22"/>
      <c r="I25" s="22"/>
      <c r="J25" s="502"/>
      <c r="K25" s="524">
        <f ca="1">K17+K23</f>
        <v>-9412.0346050262742</v>
      </c>
      <c r="L25" s="524">
        <f t="shared" ref="L25:O25" ca="1" si="3">L17+L23</f>
        <v>-8519.224109172239</v>
      </c>
      <c r="M25" s="524">
        <f t="shared" ca="1" si="3"/>
        <v>16997.866657888968</v>
      </c>
      <c r="N25" s="524">
        <f t="shared" ca="1" si="3"/>
        <v>65704.474844754295</v>
      </c>
      <c r="O25" s="524">
        <f t="shared" ca="1" si="3"/>
        <v>82155.011278481106</v>
      </c>
      <c r="P25" s="524"/>
      <c r="Q25" s="524"/>
      <c r="R25" s="524"/>
      <c r="S25" s="524"/>
      <c r="T25" s="524"/>
    </row>
    <row r="26" spans="1:20" x14ac:dyDescent="0.4">
      <c r="F26" s="5"/>
      <c r="G26" s="5"/>
      <c r="H26" s="5"/>
      <c r="I26" s="5"/>
      <c r="J26" s="42"/>
      <c r="K26" s="11"/>
      <c r="L26" s="11"/>
      <c r="M26" s="11"/>
      <c r="N26" s="11"/>
      <c r="O26" s="11"/>
      <c r="P26" s="11"/>
      <c r="Q26" s="11"/>
      <c r="R26" s="11"/>
      <c r="S26" s="11"/>
      <c r="T26" s="11"/>
    </row>
    <row r="27" spans="1:20" x14ac:dyDescent="0.4">
      <c r="A27" s="1" t="s">
        <v>841</v>
      </c>
      <c r="B27" s="13" t="s">
        <v>178</v>
      </c>
      <c r="F27" s="5"/>
      <c r="G27" s="5"/>
      <c r="H27" s="5"/>
      <c r="I27" s="10"/>
      <c r="J27" s="43"/>
      <c r="K27" s="11"/>
      <c r="L27" s="11"/>
      <c r="M27" s="11"/>
      <c r="N27" s="11"/>
      <c r="O27" s="11"/>
      <c r="P27" s="11"/>
      <c r="Q27" s="11"/>
      <c r="R27" s="11"/>
      <c r="S27" s="11"/>
      <c r="T27" s="11"/>
    </row>
    <row r="28" spans="1:20" x14ac:dyDescent="0.4">
      <c r="C28" s="1" t="s">
        <v>833</v>
      </c>
      <c r="F28" s="22"/>
      <c r="G28" s="26"/>
      <c r="H28" s="23"/>
      <c r="I28" s="22"/>
      <c r="J28" s="502"/>
      <c r="K28" s="520">
        <f ca="1">'Debt&amp;Interest'!K27</f>
        <v>0</v>
      </c>
      <c r="L28" s="520">
        <f ca="1">'Debt&amp;Interest'!L27</f>
        <v>0</v>
      </c>
      <c r="M28" s="520">
        <f ca="1">'Debt&amp;Interest'!M27</f>
        <v>0</v>
      </c>
      <c r="N28" s="520">
        <f ca="1">'Debt&amp;Interest'!N27</f>
        <v>0</v>
      </c>
      <c r="O28" s="520">
        <f ca="1">'Debt&amp;Interest'!O27</f>
        <v>0</v>
      </c>
      <c r="P28" s="520"/>
      <c r="Q28" s="520"/>
      <c r="R28" s="520"/>
      <c r="S28" s="520"/>
      <c r="T28" s="520"/>
    </row>
    <row r="29" spans="1:20" x14ac:dyDescent="0.4">
      <c r="C29" s="1" t="s">
        <v>253</v>
      </c>
      <c r="F29" s="22"/>
      <c r="G29" s="22"/>
      <c r="H29" s="22"/>
      <c r="I29" s="22"/>
      <c r="J29" s="502"/>
      <c r="K29" s="520">
        <f>'Debt&amp;Interest'!K19</f>
        <v>1000</v>
      </c>
      <c r="L29" s="520">
        <f>'Debt&amp;Interest'!L19</f>
        <v>1000</v>
      </c>
      <c r="M29" s="520">
        <f>'Debt&amp;Interest'!M19</f>
        <v>1000</v>
      </c>
      <c r="N29" s="520">
        <f>'Debt&amp;Interest'!N19</f>
        <v>1000</v>
      </c>
      <c r="O29" s="520">
        <f>'Debt&amp;Interest'!O19</f>
        <v>1000</v>
      </c>
      <c r="P29" s="520"/>
      <c r="Q29" s="520"/>
      <c r="R29" s="520"/>
      <c r="S29" s="520"/>
      <c r="T29" s="520"/>
    </row>
    <row r="30" spans="1:20" x14ac:dyDescent="0.4">
      <c r="C30" s="1" t="s">
        <v>254</v>
      </c>
      <c r="F30" s="22"/>
      <c r="G30" s="22"/>
      <c r="H30" s="22"/>
      <c r="I30" s="22"/>
      <c r="J30" s="502"/>
      <c r="K30" s="520">
        <f>'Debt&amp;Interest'!K20</f>
        <v>-2000</v>
      </c>
      <c r="L30" s="520">
        <f>'Debt&amp;Interest'!L20</f>
        <v>-2000</v>
      </c>
      <c r="M30" s="520">
        <f>'Debt&amp;Interest'!M20</f>
        <v>-2000</v>
      </c>
      <c r="N30" s="520">
        <f>'Debt&amp;Interest'!N20</f>
        <v>-2000</v>
      </c>
      <c r="O30" s="520">
        <f>'Debt&amp;Interest'!O20</f>
        <v>-2000</v>
      </c>
      <c r="P30" s="520"/>
      <c r="Q30" s="520"/>
      <c r="R30" s="520"/>
      <c r="S30" s="520"/>
      <c r="T30" s="520"/>
    </row>
    <row r="31" spans="1:20" x14ac:dyDescent="0.4">
      <c r="C31" s="1" t="s">
        <v>834</v>
      </c>
      <c r="F31" s="22"/>
      <c r="G31" s="22"/>
      <c r="H31" s="22"/>
      <c r="I31" s="22"/>
      <c r="J31" s="502"/>
      <c r="K31" s="520">
        <f>'Debt&amp;Interest'!K21</f>
        <v>3000</v>
      </c>
      <c r="L31" s="520">
        <f>'Debt&amp;Interest'!L21</f>
        <v>3000</v>
      </c>
      <c r="M31" s="520">
        <f>'Debt&amp;Interest'!M21</f>
        <v>3000</v>
      </c>
      <c r="N31" s="520">
        <f>'Debt&amp;Interest'!N21</f>
        <v>3000</v>
      </c>
      <c r="O31" s="520">
        <f>'Debt&amp;Interest'!O21</f>
        <v>3000</v>
      </c>
      <c r="P31" s="520"/>
      <c r="Q31" s="520"/>
      <c r="R31" s="520"/>
      <c r="S31" s="520"/>
      <c r="T31" s="520"/>
    </row>
    <row r="32" spans="1:20" x14ac:dyDescent="0.4">
      <c r="C32" s="1" t="s">
        <v>835</v>
      </c>
      <c r="F32" s="22"/>
      <c r="G32" s="22"/>
      <c r="H32" s="22"/>
      <c r="I32" s="22"/>
      <c r="J32" s="502"/>
      <c r="K32" s="520">
        <f>'Debt&amp;Interest'!K22</f>
        <v>-6000</v>
      </c>
      <c r="L32" s="520">
        <f>'Debt&amp;Interest'!L22</f>
        <v>-6000</v>
      </c>
      <c r="M32" s="520">
        <f>'Debt&amp;Interest'!M22</f>
        <v>-6000</v>
      </c>
      <c r="N32" s="520">
        <f>'Debt&amp;Interest'!N22</f>
        <v>-6000</v>
      </c>
      <c r="O32" s="520">
        <f>'Debt&amp;Interest'!O22</f>
        <v>-6000</v>
      </c>
      <c r="P32" s="520"/>
      <c r="Q32" s="520"/>
      <c r="R32" s="520"/>
      <c r="S32" s="520"/>
      <c r="T32" s="520"/>
    </row>
    <row r="33" spans="1:20" x14ac:dyDescent="0.4">
      <c r="C33" s="1" t="s">
        <v>836</v>
      </c>
      <c r="F33" s="22"/>
      <c r="G33" s="22"/>
      <c r="H33" s="22"/>
      <c r="I33" s="22"/>
      <c r="J33" s="502"/>
      <c r="K33" s="520">
        <f>Equity!K13</f>
        <v>0</v>
      </c>
      <c r="L33" s="520">
        <f>Equity!L13</f>
        <v>0</v>
      </c>
      <c r="M33" s="520">
        <f>Equity!M13</f>
        <v>-284.21789292508981</v>
      </c>
      <c r="N33" s="520">
        <f>Equity!N13</f>
        <v>-387.59722215520418</v>
      </c>
      <c r="O33" s="520">
        <f>Equity!O13</f>
        <v>-422.69151936148256</v>
      </c>
      <c r="P33" s="520"/>
      <c r="Q33" s="520"/>
      <c r="R33" s="520"/>
      <c r="S33" s="520"/>
      <c r="T33" s="520"/>
    </row>
    <row r="34" spans="1:20" x14ac:dyDescent="0.4">
      <c r="C34" s="1" t="s">
        <v>837</v>
      </c>
      <c r="F34" s="22"/>
      <c r="G34" s="22"/>
      <c r="H34" s="23"/>
      <c r="I34" s="22"/>
      <c r="J34" s="502"/>
      <c r="K34" s="520">
        <f>Equity!K14</f>
        <v>0</v>
      </c>
      <c r="L34" s="520">
        <f>Equity!L14</f>
        <v>0</v>
      </c>
      <c r="M34" s="520">
        <f>Equity!M14</f>
        <v>-1852.0630081165091</v>
      </c>
      <c r="N34" s="520">
        <f>Equity!N14</f>
        <v>-2817.5205887927873</v>
      </c>
      <c r="O34" s="520">
        <f>Equity!O14</f>
        <v>-3473.8649570861253</v>
      </c>
      <c r="P34" s="520"/>
      <c r="Q34" s="520"/>
      <c r="R34" s="520"/>
      <c r="S34" s="520"/>
      <c r="T34" s="520"/>
    </row>
    <row r="35" spans="1:20" x14ac:dyDescent="0.4">
      <c r="C35" s="1" t="s">
        <v>838</v>
      </c>
      <c r="F35" s="22"/>
      <c r="G35" s="22"/>
      <c r="H35" s="24"/>
      <c r="I35" s="23"/>
      <c r="J35" s="503"/>
      <c r="K35" s="520">
        <f>Equity!K15</f>
        <v>200</v>
      </c>
      <c r="L35" s="520">
        <f>Equity!L15</f>
        <v>200</v>
      </c>
      <c r="M35" s="520">
        <f>Equity!M15</f>
        <v>200</v>
      </c>
      <c r="N35" s="520">
        <f>Equity!N15</f>
        <v>200</v>
      </c>
      <c r="O35" s="520">
        <f>Equity!O15</f>
        <v>200</v>
      </c>
      <c r="P35" s="520"/>
      <c r="Q35" s="520"/>
      <c r="R35" s="520"/>
      <c r="S35" s="520"/>
      <c r="T35" s="520"/>
    </row>
    <row r="36" spans="1:20" x14ac:dyDescent="0.4">
      <c r="C36" s="501" t="s">
        <v>873</v>
      </c>
      <c r="D36" s="76"/>
      <c r="E36" s="76"/>
      <c r="F36" s="165"/>
      <c r="G36" s="165"/>
      <c r="H36" s="164"/>
      <c r="I36" s="166"/>
      <c r="J36" s="505"/>
      <c r="K36" s="607">
        <f>Equity!K16</f>
        <v>0</v>
      </c>
      <c r="L36" s="530">
        <f>Equity!L16</f>
        <v>0</v>
      </c>
      <c r="M36" s="530">
        <f>Equity!M16</f>
        <v>0</v>
      </c>
      <c r="N36" s="530">
        <f>Equity!N16</f>
        <v>0</v>
      </c>
      <c r="O36" s="530">
        <f>Equity!O16</f>
        <v>0</v>
      </c>
      <c r="P36" s="530"/>
      <c r="Q36" s="530"/>
      <c r="R36" s="530"/>
      <c r="S36" s="530"/>
      <c r="T36" s="530"/>
    </row>
    <row r="37" spans="1:20" x14ac:dyDescent="0.4">
      <c r="D37" s="2" t="s">
        <v>239</v>
      </c>
      <c r="F37" s="22"/>
      <c r="G37" s="22"/>
      <c r="H37" s="22"/>
      <c r="I37" s="22"/>
      <c r="J37" s="502"/>
      <c r="K37" s="524">
        <f ca="1">SUM(K28:K36)</f>
        <v>-3800</v>
      </c>
      <c r="L37" s="524">
        <f t="shared" ref="L37:O37" ca="1" si="4">SUM(L28:L36)</f>
        <v>-3800</v>
      </c>
      <c r="M37" s="524">
        <f t="shared" ca="1" si="4"/>
        <v>-5936.2809010415986</v>
      </c>
      <c r="N37" s="524">
        <f t="shared" ca="1" si="4"/>
        <v>-7005.1178109479915</v>
      </c>
      <c r="O37" s="524">
        <f t="shared" ca="1" si="4"/>
        <v>-7696.5564764476076</v>
      </c>
      <c r="P37" s="524"/>
      <c r="Q37" s="524"/>
      <c r="R37" s="524"/>
      <c r="S37" s="524"/>
      <c r="T37" s="524"/>
    </row>
    <row r="38" spans="1:20" x14ac:dyDescent="0.4">
      <c r="F38" s="10"/>
      <c r="G38" s="10"/>
      <c r="H38" s="10"/>
      <c r="I38" s="5"/>
      <c r="J38" s="42"/>
      <c r="K38" s="11"/>
      <c r="L38" s="11"/>
      <c r="M38" s="11"/>
      <c r="N38" s="11"/>
      <c r="O38" s="11"/>
      <c r="P38" s="11"/>
      <c r="Q38" s="11"/>
      <c r="R38" s="11"/>
      <c r="S38" s="11"/>
      <c r="T38" s="11"/>
    </row>
    <row r="39" spans="1:20" x14ac:dyDescent="0.4">
      <c r="B39" s="2" t="s">
        <v>180</v>
      </c>
      <c r="F39" s="24"/>
      <c r="G39" s="24"/>
      <c r="H39" s="24"/>
      <c r="I39" s="25"/>
      <c r="J39" s="506"/>
      <c r="K39" s="524">
        <f ca="1">K25+K37</f>
        <v>-13212.034605026274</v>
      </c>
      <c r="L39" s="524">
        <f t="shared" ref="L39:O39" ca="1" si="5">L25+L37</f>
        <v>-12319.224109172239</v>
      </c>
      <c r="M39" s="524">
        <f t="shared" ca="1" si="5"/>
        <v>11061.585756847369</v>
      </c>
      <c r="N39" s="524">
        <f t="shared" ca="1" si="5"/>
        <v>58699.3570338063</v>
      </c>
      <c r="O39" s="524">
        <f t="shared" ca="1" si="5"/>
        <v>74458.454802033491</v>
      </c>
      <c r="P39" s="524"/>
      <c r="Q39" s="524"/>
      <c r="R39" s="524"/>
      <c r="S39" s="524"/>
      <c r="T39" s="524"/>
    </row>
    <row r="40" spans="1:20" x14ac:dyDescent="0.4">
      <c r="C40" s="76" t="s">
        <v>839</v>
      </c>
      <c r="D40" s="76"/>
      <c r="E40" s="76"/>
      <c r="F40" s="164"/>
      <c r="G40" s="164"/>
      <c r="H40" s="164"/>
      <c r="I40" s="166"/>
      <c r="J40" s="505"/>
      <c r="K40" s="530">
        <f>'Balance Sheet'!J10</f>
        <v>84543</v>
      </c>
      <c r="L40" s="530">
        <f ca="1">'Balance Sheet'!K10</f>
        <v>71330.965394973726</v>
      </c>
      <c r="M40" s="530">
        <f ca="1">'Balance Sheet'!L10</f>
        <v>59011.741285801487</v>
      </c>
      <c r="N40" s="530">
        <f ca="1">'Balance Sheet'!M10</f>
        <v>70073.32704264886</v>
      </c>
      <c r="O40" s="530">
        <f ca="1">'Balance Sheet'!N10</f>
        <v>128772.68407645516</v>
      </c>
      <c r="P40" s="530"/>
      <c r="Q40" s="530"/>
      <c r="R40" s="530"/>
      <c r="S40" s="530"/>
      <c r="T40" s="530"/>
    </row>
    <row r="41" spans="1:20" s="2" customFormat="1" x14ac:dyDescent="0.4">
      <c r="C41" s="2" t="s">
        <v>840</v>
      </c>
      <c r="F41" s="168"/>
      <c r="G41" s="168"/>
      <c r="H41" s="168"/>
      <c r="I41" s="25"/>
      <c r="J41" s="506"/>
      <c r="K41" s="524">
        <f ca="1">SUM(K39:K40)</f>
        <v>71330.965394973726</v>
      </c>
      <c r="L41" s="524">
        <f t="shared" ref="L41:O41" ca="1" si="6">SUM(L39:L40)</f>
        <v>59011.741285801487</v>
      </c>
      <c r="M41" s="524">
        <f t="shared" ca="1" si="6"/>
        <v>70073.32704264886</v>
      </c>
      <c r="N41" s="524">
        <f t="shared" ca="1" si="6"/>
        <v>128772.68407645516</v>
      </c>
      <c r="O41" s="524">
        <f t="shared" ca="1" si="6"/>
        <v>203231.13887848865</v>
      </c>
      <c r="P41" s="524"/>
      <c r="Q41" s="524"/>
      <c r="R41" s="524"/>
      <c r="S41" s="524"/>
      <c r="T41" s="524"/>
    </row>
    <row r="42" spans="1:20" x14ac:dyDescent="0.4">
      <c r="A42" s="1" t="s">
        <v>841</v>
      </c>
      <c r="B42" s="2"/>
      <c r="F42" s="4"/>
      <c r="G42" s="4"/>
      <c r="H42" s="4"/>
      <c r="I42" s="4"/>
      <c r="J42" s="4"/>
    </row>
  </sheetData>
  <phoneticPr fontId="1" type="noConversion"/>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41"/>
  <sheetViews>
    <sheetView showGridLines="0" zoomScaleNormal="100" workbookViewId="0">
      <selection activeCell="H2" sqref="H2"/>
    </sheetView>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16384" width="8.59765625" style="1"/>
  </cols>
  <sheetData>
    <row r="1" spans="1:23" ht="8.1" customHeight="1" x14ac:dyDescent="0.4"/>
    <row r="2" spans="1:23" x14ac:dyDescent="0.4">
      <c r="B2" s="2" t="s">
        <v>229</v>
      </c>
    </row>
    <row r="3" spans="1:23" s="53" customFormat="1" ht="18" thickBot="1" x14ac:dyDescent="0.35">
      <c r="A3" s="52"/>
      <c r="B3" s="58" t="s">
        <v>255</v>
      </c>
      <c r="W3" s="54"/>
    </row>
    <row r="4" spans="1:23" s="55" customFormat="1" x14ac:dyDescent="0.25">
      <c r="A4" s="52"/>
      <c r="B4" s="57" t="s">
        <v>223</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O8" si="0">G8+1</f>
        <v>2015</v>
      </c>
      <c r="I8" s="49">
        <f t="shared" si="0"/>
        <v>2016</v>
      </c>
      <c r="J8" s="59">
        <f t="shared" si="0"/>
        <v>2017</v>
      </c>
      <c r="K8" s="51">
        <f t="shared" si="0"/>
        <v>2018</v>
      </c>
      <c r="L8" s="51">
        <f t="shared" si="0"/>
        <v>2019</v>
      </c>
      <c r="M8" s="51">
        <f t="shared" si="0"/>
        <v>2020</v>
      </c>
      <c r="N8" s="51">
        <f t="shared" si="0"/>
        <v>2021</v>
      </c>
      <c r="O8" s="51">
        <f t="shared" si="0"/>
        <v>2022</v>
      </c>
      <c r="P8" s="51">
        <f>O8+1</f>
        <v>2023</v>
      </c>
      <c r="Q8" s="51">
        <f>P8+1</f>
        <v>2024</v>
      </c>
      <c r="R8" s="51">
        <f>Q8+1</f>
        <v>2025</v>
      </c>
      <c r="S8" s="51">
        <f>R8+1</f>
        <v>2026</v>
      </c>
      <c r="T8" s="51">
        <f>S8+1</f>
        <v>2027</v>
      </c>
    </row>
    <row r="9" spans="1:23" x14ac:dyDescent="0.4">
      <c r="I9" s="3"/>
      <c r="J9" s="60"/>
    </row>
    <row r="10" spans="1:23" x14ac:dyDescent="0.4">
      <c r="A10" s="1" t="s">
        <v>274</v>
      </c>
      <c r="B10" s="1" t="s">
        <v>262</v>
      </c>
      <c r="G10" s="541">
        <f>Operations!G30</f>
        <v>118530</v>
      </c>
      <c r="H10" s="541">
        <f>Operations!H30</f>
        <v>190592</v>
      </c>
      <c r="I10" s="541">
        <f>Operations!I30</f>
        <v>268475</v>
      </c>
      <c r="J10" s="542">
        <f>Operations!J30</f>
        <v>358810</v>
      </c>
      <c r="K10" s="541">
        <f>Operations!K30</f>
        <v>456021.92514686787</v>
      </c>
      <c r="L10" s="541">
        <f>Operations!L30</f>
        <v>581236.36886195373</v>
      </c>
      <c r="M10" s="541">
        <f>Operations!M30</f>
        <v>716363.53643263865</v>
      </c>
      <c r="N10" s="541">
        <f>Operations!N30</f>
        <v>840241.65172323375</v>
      </c>
      <c r="O10" s="541">
        <f>Operations!O30</f>
        <v>940457.65306779055</v>
      </c>
      <c r="P10" s="541"/>
      <c r="Q10" s="541"/>
      <c r="R10" s="541"/>
      <c r="S10" s="541"/>
      <c r="T10" s="541"/>
    </row>
    <row r="11" spans="1:23" x14ac:dyDescent="0.4">
      <c r="B11" s="1" t="s">
        <v>263</v>
      </c>
      <c r="G11" s="541">
        <f>Operations!G70</f>
        <v>85181</v>
      </c>
      <c r="H11" s="541">
        <f>Operations!H70</f>
        <v>130345</v>
      </c>
      <c r="I11" s="541">
        <f>Operations!I70</f>
        <v>186058</v>
      </c>
      <c r="J11" s="542">
        <f>Operations!J70</f>
        <v>254079</v>
      </c>
      <c r="K11" s="541">
        <f>Operations!K70</f>
        <v>335068.19766233768</v>
      </c>
      <c r="L11" s="541">
        <f>Operations!L70</f>
        <v>436523.52844285709</v>
      </c>
      <c r="M11" s="541">
        <f>Operations!M70</f>
        <v>544456.83749207144</v>
      </c>
      <c r="N11" s="541">
        <f>Operations!N70</f>
        <v>633375.7149041543</v>
      </c>
      <c r="O11" s="541">
        <f>Operations!O70</f>
        <v>707890.50489287823</v>
      </c>
      <c r="P11" s="541"/>
      <c r="Q11" s="541"/>
      <c r="R11" s="541"/>
      <c r="S11" s="541"/>
      <c r="T11" s="541"/>
    </row>
    <row r="12" spans="1:23" x14ac:dyDescent="0.4">
      <c r="G12" s="67"/>
      <c r="H12" s="67"/>
      <c r="I12" s="67"/>
      <c r="J12" s="73"/>
      <c r="K12" s="67"/>
      <c r="L12" s="67"/>
      <c r="M12" s="67"/>
      <c r="N12" s="67"/>
      <c r="O12" s="67"/>
      <c r="P12" s="67"/>
      <c r="Q12" s="67"/>
      <c r="R12" s="67"/>
      <c r="S12" s="67"/>
      <c r="T12" s="67"/>
    </row>
    <row r="13" spans="1:23" x14ac:dyDescent="0.4">
      <c r="A13" s="1" t="s">
        <v>274</v>
      </c>
      <c r="B13" s="14" t="s">
        <v>264</v>
      </c>
      <c r="G13" s="66"/>
      <c r="I13" s="3"/>
      <c r="J13" s="60"/>
    </row>
    <row r="14" spans="1:23" x14ac:dyDescent="0.4">
      <c r="C14" s="1" t="s">
        <v>154</v>
      </c>
      <c r="F14" s="21"/>
      <c r="G14" s="541">
        <f>'Balance Sheet'!G11</f>
        <v>3278</v>
      </c>
      <c r="H14" s="541">
        <f>'Balance Sheet'!H11</f>
        <v>4217</v>
      </c>
      <c r="I14" s="541">
        <f>'Balance Sheet'!I11</f>
        <v>6006</v>
      </c>
      <c r="J14" s="542">
        <f>'Balance Sheet'!J11</f>
        <v>5641</v>
      </c>
      <c r="K14" s="515">
        <f t="shared" ref="K14:O15" si="1">K10/365*K32</f>
        <v>7496.2508243320754</v>
      </c>
      <c r="L14" s="515">
        <f t="shared" si="1"/>
        <v>9554.5704470458149</v>
      </c>
      <c r="M14" s="515">
        <f t="shared" si="1"/>
        <v>11775.838955057074</v>
      </c>
      <c r="N14" s="515">
        <f t="shared" si="1"/>
        <v>13812.191535176444</v>
      </c>
      <c r="O14" s="515">
        <f t="shared" si="1"/>
        <v>15459.577858648612</v>
      </c>
      <c r="P14" s="515"/>
      <c r="Q14" s="515"/>
      <c r="R14" s="515"/>
      <c r="S14" s="515"/>
      <c r="T14" s="515"/>
    </row>
    <row r="15" spans="1:23" x14ac:dyDescent="0.4">
      <c r="C15" s="1" t="s">
        <v>155</v>
      </c>
      <c r="F15" s="22"/>
      <c r="G15" s="541">
        <f>'Balance Sheet'!G12</f>
        <v>529</v>
      </c>
      <c r="H15" s="541">
        <f>'Balance Sheet'!H12</f>
        <v>543</v>
      </c>
      <c r="I15" s="541">
        <f>'Balance Sheet'!I12</f>
        <v>806</v>
      </c>
      <c r="J15" s="542">
        <f>'Balance Sheet'!J12</f>
        <v>1258</v>
      </c>
      <c r="K15" s="515">
        <f t="shared" si="1"/>
        <v>1468.7920993417542</v>
      </c>
      <c r="L15" s="515">
        <f t="shared" si="1"/>
        <v>1913.5277959138941</v>
      </c>
      <c r="M15" s="515">
        <f t="shared" si="1"/>
        <v>2386.660109554286</v>
      </c>
      <c r="N15" s="515">
        <f t="shared" si="1"/>
        <v>2776.4414899908134</v>
      </c>
      <c r="O15" s="515">
        <f t="shared" si="1"/>
        <v>3103.0816652838498</v>
      </c>
      <c r="P15" s="515"/>
      <c r="Q15" s="515"/>
      <c r="R15" s="515"/>
      <c r="S15" s="515"/>
      <c r="T15" s="515"/>
    </row>
    <row r="16" spans="1:23" x14ac:dyDescent="0.4">
      <c r="C16" s="76" t="s">
        <v>156</v>
      </c>
      <c r="D16" s="76"/>
      <c r="E16" s="76"/>
      <c r="F16" s="508"/>
      <c r="G16" s="543">
        <f>'Balance Sheet'!G13</f>
        <v>1441</v>
      </c>
      <c r="H16" s="543">
        <f>'Balance Sheet'!H13</f>
        <v>3325</v>
      </c>
      <c r="I16" s="543">
        <f>'Balance Sheet'!I13</f>
        <v>3485</v>
      </c>
      <c r="J16" s="544">
        <f>'Balance Sheet'!J13</f>
        <v>1757</v>
      </c>
      <c r="K16" s="597">
        <f>K10*K34</f>
        <v>3648.1754011749431</v>
      </c>
      <c r="L16" s="537">
        <f>L10*L34</f>
        <v>4649.8909508956303</v>
      </c>
      <c r="M16" s="537">
        <f>M10*M34</f>
        <v>5730.908291461109</v>
      </c>
      <c r="N16" s="537">
        <f>N10*N34</f>
        <v>6721.9332137858701</v>
      </c>
      <c r="O16" s="537">
        <f>O10*O34</f>
        <v>7523.6612245423248</v>
      </c>
      <c r="P16" s="537"/>
      <c r="Q16" s="537"/>
      <c r="R16" s="537"/>
      <c r="S16" s="537"/>
      <c r="T16" s="537"/>
    </row>
    <row r="17" spans="1:21" x14ac:dyDescent="0.4">
      <c r="C17" s="2"/>
      <c r="D17" s="2" t="s">
        <v>258</v>
      </c>
      <c r="F17" s="23"/>
      <c r="G17" s="524">
        <f t="shared" ref="G17:O17" si="2">SUM(G14:G16)</f>
        <v>5248</v>
      </c>
      <c r="H17" s="524">
        <f t="shared" si="2"/>
        <v>8085</v>
      </c>
      <c r="I17" s="524">
        <f t="shared" si="2"/>
        <v>10297</v>
      </c>
      <c r="J17" s="589">
        <f t="shared" si="2"/>
        <v>8656</v>
      </c>
      <c r="K17" s="524">
        <f t="shared" si="2"/>
        <v>12613.218324848773</v>
      </c>
      <c r="L17" s="524">
        <f t="shared" si="2"/>
        <v>16117.989193855341</v>
      </c>
      <c r="M17" s="524">
        <f t="shared" si="2"/>
        <v>19893.407356072468</v>
      </c>
      <c r="N17" s="524">
        <f t="shared" si="2"/>
        <v>23310.566238953124</v>
      </c>
      <c r="O17" s="524">
        <f t="shared" si="2"/>
        <v>26086.320748474787</v>
      </c>
      <c r="P17" s="524"/>
      <c r="Q17" s="524"/>
      <c r="R17" s="524"/>
      <c r="S17" s="524"/>
      <c r="T17" s="524"/>
    </row>
    <row r="18" spans="1:21" x14ac:dyDescent="0.4">
      <c r="F18" s="24"/>
      <c r="G18" s="8"/>
      <c r="H18" s="8"/>
      <c r="I18" s="5"/>
      <c r="J18" s="42"/>
      <c r="K18" s="7"/>
      <c r="L18" s="7"/>
      <c r="M18" s="7"/>
      <c r="N18" s="7"/>
      <c r="O18" s="7"/>
      <c r="P18" s="7"/>
      <c r="Q18" s="7"/>
      <c r="R18" s="7"/>
      <c r="S18" s="7"/>
      <c r="T18" s="7"/>
    </row>
    <row r="19" spans="1:21" x14ac:dyDescent="0.4">
      <c r="C19" s="1" t="s">
        <v>161</v>
      </c>
      <c r="F19" s="24"/>
      <c r="G19" s="541">
        <f>'Balance Sheet'!G22</f>
        <v>6440</v>
      </c>
      <c r="H19" s="541">
        <f>'Balance Sheet'!H22</f>
        <v>6786</v>
      </c>
      <c r="I19" s="541">
        <f>'Balance Sheet'!I22</f>
        <v>6921</v>
      </c>
      <c r="J19" s="542">
        <f>'Balance Sheet'!J22</f>
        <v>8210</v>
      </c>
      <c r="K19" s="515">
        <f>K11/365*K36</f>
        <v>10097.94568297456</v>
      </c>
      <c r="L19" s="515">
        <f>L11/365*L36</f>
        <v>13155.503596908022</v>
      </c>
      <c r="M19" s="515">
        <f>M11/365*M36</f>
        <v>16408.288253185714</v>
      </c>
      <c r="N19" s="515">
        <f>N11/365*N36</f>
        <v>19088.035243686842</v>
      </c>
      <c r="O19" s="515">
        <f>O11/365*O36</f>
        <v>21333.686448826465</v>
      </c>
      <c r="P19" s="515"/>
      <c r="Q19" s="515"/>
      <c r="R19" s="515"/>
      <c r="S19" s="515"/>
      <c r="T19" s="515"/>
    </row>
    <row r="20" spans="1:21" x14ac:dyDescent="0.4">
      <c r="C20" s="1" t="s">
        <v>162</v>
      </c>
      <c r="F20" s="27"/>
      <c r="G20" s="541">
        <f>'Balance Sheet'!G23</f>
        <v>5578</v>
      </c>
      <c r="H20" s="541">
        <f>'Balance Sheet'!H23</f>
        <v>6801</v>
      </c>
      <c r="I20" s="541">
        <f>'Balance Sheet'!I23</f>
        <v>8538</v>
      </c>
      <c r="J20" s="542">
        <f>'Balance Sheet'!J23</f>
        <v>11649</v>
      </c>
      <c r="K20" s="515">
        <f t="shared" ref="K20:O22" si="3">K$11*K37</f>
        <v>15078.068894805196</v>
      </c>
      <c r="L20" s="515">
        <f t="shared" si="3"/>
        <v>19643.558779928568</v>
      </c>
      <c r="M20" s="515">
        <f t="shared" si="3"/>
        <v>24500.557687143213</v>
      </c>
      <c r="N20" s="515">
        <f t="shared" si="3"/>
        <v>28501.907170686944</v>
      </c>
      <c r="O20" s="515">
        <f t="shared" si="3"/>
        <v>31855.07272017952</v>
      </c>
      <c r="P20" s="515"/>
      <c r="Q20" s="515"/>
      <c r="R20" s="515"/>
      <c r="S20" s="515"/>
      <c r="T20" s="515"/>
    </row>
    <row r="21" spans="1:21" x14ac:dyDescent="0.4">
      <c r="C21" s="1" t="s">
        <v>163</v>
      </c>
      <c r="F21" s="22"/>
      <c r="G21" s="541">
        <f>'Balance Sheet'!G24</f>
        <v>2410</v>
      </c>
      <c r="H21" s="541">
        <f>'Balance Sheet'!H24</f>
        <v>5804</v>
      </c>
      <c r="I21" s="541">
        <f>'Balance Sheet'!I24</f>
        <v>6084</v>
      </c>
      <c r="J21" s="542">
        <f>'Balance Sheet'!J24</f>
        <v>6228</v>
      </c>
      <c r="K21" s="515">
        <f t="shared" si="3"/>
        <v>8376.7049415584424</v>
      </c>
      <c r="L21" s="515">
        <f t="shared" si="3"/>
        <v>10913.088211071428</v>
      </c>
      <c r="M21" s="515">
        <f t="shared" si="3"/>
        <v>13611.420937301787</v>
      </c>
      <c r="N21" s="515">
        <f t="shared" si="3"/>
        <v>15834.392872603858</v>
      </c>
      <c r="O21" s="515">
        <f t="shared" si="3"/>
        <v>17697.262622321956</v>
      </c>
      <c r="P21" s="515"/>
      <c r="Q21" s="515"/>
      <c r="R21" s="515"/>
      <c r="S21" s="515"/>
      <c r="T21" s="515"/>
    </row>
    <row r="22" spans="1:21" x14ac:dyDescent="0.4">
      <c r="C22" s="76" t="s">
        <v>164</v>
      </c>
      <c r="D22" s="76"/>
      <c r="E22" s="76"/>
      <c r="F22" s="165"/>
      <c r="G22" s="543">
        <f>'Balance Sheet'!G25</f>
        <v>1749</v>
      </c>
      <c r="H22" s="543">
        <f>'Balance Sheet'!H25</f>
        <v>4614</v>
      </c>
      <c r="I22" s="543">
        <f>'Balance Sheet'!I25</f>
        <v>10173</v>
      </c>
      <c r="J22" s="542">
        <f>'Balance Sheet'!J25</f>
        <v>7937</v>
      </c>
      <c r="K22" s="598">
        <f t="shared" si="3"/>
        <v>11727.386918181821</v>
      </c>
      <c r="L22" s="515">
        <f t="shared" si="3"/>
        <v>15278.323495499999</v>
      </c>
      <c r="M22" s="515">
        <f t="shared" si="3"/>
        <v>19055.989312222504</v>
      </c>
      <c r="N22" s="515">
        <f t="shared" si="3"/>
        <v>22168.150021645404</v>
      </c>
      <c r="O22" s="515">
        <f t="shared" si="3"/>
        <v>24776.16767125074</v>
      </c>
      <c r="P22" s="537"/>
      <c r="Q22" s="537"/>
      <c r="R22" s="537"/>
      <c r="S22" s="537"/>
      <c r="T22" s="537"/>
    </row>
    <row r="23" spans="1:21" x14ac:dyDescent="0.4">
      <c r="C23" s="2"/>
      <c r="D23" s="2" t="s">
        <v>259</v>
      </c>
      <c r="F23" s="22"/>
      <c r="G23" s="524">
        <f t="shared" ref="G23:O23" si="4">SUM(G19:G22)</f>
        <v>16177</v>
      </c>
      <c r="H23" s="524">
        <f t="shared" si="4"/>
        <v>24005</v>
      </c>
      <c r="I23" s="524">
        <f t="shared" si="4"/>
        <v>31716</v>
      </c>
      <c r="J23" s="589">
        <f t="shared" si="4"/>
        <v>34024</v>
      </c>
      <c r="K23" s="592">
        <f t="shared" si="4"/>
        <v>45280.106437520022</v>
      </c>
      <c r="L23" s="592">
        <f t="shared" si="4"/>
        <v>58990.474083408022</v>
      </c>
      <c r="M23" s="592">
        <f t="shared" si="4"/>
        <v>73576.256189853215</v>
      </c>
      <c r="N23" s="592">
        <f t="shared" si="4"/>
        <v>85592.485308623043</v>
      </c>
      <c r="O23" s="592">
        <f t="shared" si="4"/>
        <v>95662.189462578681</v>
      </c>
      <c r="P23" s="524"/>
      <c r="Q23" s="524"/>
      <c r="R23" s="524"/>
      <c r="S23" s="524"/>
      <c r="T23" s="524"/>
    </row>
    <row r="24" spans="1:21" x14ac:dyDescent="0.4">
      <c r="J24" s="41"/>
    </row>
    <row r="25" spans="1:21" x14ac:dyDescent="0.25">
      <c r="B25" s="68" t="s">
        <v>265</v>
      </c>
      <c r="C25" s="55"/>
      <c r="D25" s="55"/>
      <c r="G25" s="513">
        <f t="shared" ref="G25:O25" si="5">G17-G23</f>
        <v>-10929</v>
      </c>
      <c r="H25" s="513">
        <f t="shared" si="5"/>
        <v>-15920</v>
      </c>
      <c r="I25" s="513">
        <f t="shared" si="5"/>
        <v>-21419</v>
      </c>
      <c r="J25" s="545">
        <f t="shared" si="5"/>
        <v>-25368</v>
      </c>
      <c r="K25" s="513">
        <f t="shared" si="5"/>
        <v>-32666.888112671251</v>
      </c>
      <c r="L25" s="513">
        <f t="shared" si="5"/>
        <v>-42872.484889552681</v>
      </c>
      <c r="M25" s="513">
        <f t="shared" si="5"/>
        <v>-53682.84883378075</v>
      </c>
      <c r="N25" s="513">
        <f t="shared" si="5"/>
        <v>-62281.919069669922</v>
      </c>
      <c r="O25" s="513">
        <f t="shared" si="5"/>
        <v>-69575.868714103897</v>
      </c>
      <c r="P25" s="513"/>
      <c r="Q25" s="513"/>
      <c r="R25" s="513"/>
      <c r="S25" s="513"/>
      <c r="T25" s="513"/>
    </row>
    <row r="26" spans="1:21" x14ac:dyDescent="0.25">
      <c r="B26" s="55"/>
      <c r="C26" s="55"/>
      <c r="D26" s="55"/>
      <c r="J26" s="41"/>
    </row>
    <row r="27" spans="1:21" x14ac:dyDescent="0.25">
      <c r="A27" s="1" t="s">
        <v>274</v>
      </c>
      <c r="B27" s="69" t="s">
        <v>266</v>
      </c>
      <c r="C27" s="69"/>
      <c r="D27" s="69"/>
      <c r="H27" s="514">
        <f t="shared" ref="H27:O27" si="6">G25-H25</f>
        <v>4991</v>
      </c>
      <c r="I27" s="514">
        <f t="shared" si="6"/>
        <v>5499</v>
      </c>
      <c r="J27" s="546">
        <f t="shared" si="6"/>
        <v>3949</v>
      </c>
      <c r="K27" s="514">
        <f t="shared" si="6"/>
        <v>7298.8881126712513</v>
      </c>
      <c r="L27" s="514">
        <f t="shared" si="6"/>
        <v>10205.59677688143</v>
      </c>
      <c r="M27" s="514">
        <f t="shared" si="6"/>
        <v>10810.363944228069</v>
      </c>
      <c r="N27" s="514">
        <f t="shared" si="6"/>
        <v>8599.0702358891722</v>
      </c>
      <c r="O27" s="514">
        <f t="shared" si="6"/>
        <v>7293.9496444339748</v>
      </c>
      <c r="P27" s="514"/>
      <c r="Q27" s="514"/>
      <c r="R27" s="514"/>
      <c r="S27" s="514"/>
      <c r="T27" s="514"/>
    </row>
    <row r="28" spans="1:21" x14ac:dyDescent="0.25">
      <c r="B28" s="55"/>
      <c r="C28" s="55"/>
      <c r="D28" s="55"/>
      <c r="J28" s="41"/>
    </row>
    <row r="29" spans="1:21" x14ac:dyDescent="0.25">
      <c r="B29" s="70" t="s">
        <v>267</v>
      </c>
      <c r="C29" s="55"/>
      <c r="D29" s="55"/>
      <c r="J29" s="41"/>
    </row>
    <row r="30" spans="1:21" x14ac:dyDescent="0.25">
      <c r="B30" s="55"/>
      <c r="C30" s="55" t="s">
        <v>268</v>
      </c>
      <c r="D30" s="55"/>
      <c r="H30" s="71">
        <v>365</v>
      </c>
      <c r="J30" s="41"/>
    </row>
    <row r="31" spans="1:21" x14ac:dyDescent="0.25">
      <c r="B31" s="55"/>
      <c r="C31" s="55"/>
      <c r="D31" s="55"/>
      <c r="J31" s="41"/>
    </row>
    <row r="32" spans="1:21" ht="15.6" x14ac:dyDescent="0.25">
      <c r="B32" s="55"/>
      <c r="C32" s="55" t="s">
        <v>277</v>
      </c>
      <c r="D32" s="55"/>
      <c r="G32" s="595">
        <f t="shared" ref="G32:J33" si="7">G14/G10*Days</f>
        <v>10.094237745718385</v>
      </c>
      <c r="H32" s="595">
        <f t="shared" si="7"/>
        <v>8.0759160930154472</v>
      </c>
      <c r="I32" s="595">
        <f t="shared" si="7"/>
        <v>8.1653412794487377</v>
      </c>
      <c r="J32" s="539">
        <f t="shared" si="7"/>
        <v>5.7383155430450659</v>
      </c>
      <c r="K32" s="74">
        <v>6</v>
      </c>
      <c r="L32" s="74">
        <v>6</v>
      </c>
      <c r="M32" s="74">
        <v>6</v>
      </c>
      <c r="N32" s="74">
        <v>6</v>
      </c>
      <c r="O32" s="74">
        <v>6</v>
      </c>
      <c r="P32" s="74">
        <v>6</v>
      </c>
      <c r="Q32" s="74">
        <v>6</v>
      </c>
      <c r="R32" s="74">
        <v>6</v>
      </c>
      <c r="S32" s="74">
        <v>6</v>
      </c>
      <c r="T32" s="74">
        <v>6</v>
      </c>
      <c r="U32" s="1" t="s">
        <v>1640</v>
      </c>
    </row>
    <row r="33" spans="1:21" ht="15.6" x14ac:dyDescent="0.25">
      <c r="B33" s="55"/>
      <c r="C33" s="55" t="s">
        <v>272</v>
      </c>
      <c r="D33" s="55"/>
      <c r="G33" s="595">
        <f t="shared" si="7"/>
        <v>2.2667613669715077</v>
      </c>
      <c r="H33" s="595">
        <f t="shared" si="7"/>
        <v>1.5205416394951858</v>
      </c>
      <c r="I33" s="595">
        <f t="shared" si="7"/>
        <v>1.5811736125294262</v>
      </c>
      <c r="J33" s="539">
        <f t="shared" si="7"/>
        <v>1.8071938255424496</v>
      </c>
      <c r="K33" s="74">
        <v>1.6</v>
      </c>
      <c r="L33" s="74">
        <v>1.6</v>
      </c>
      <c r="M33" s="74">
        <v>1.6</v>
      </c>
      <c r="N33" s="74">
        <v>1.6</v>
      </c>
      <c r="O33" s="74">
        <v>1.6</v>
      </c>
      <c r="P33" s="74">
        <v>1.6</v>
      </c>
      <c r="Q33" s="74">
        <v>1.6</v>
      </c>
      <c r="R33" s="74">
        <v>1.6</v>
      </c>
      <c r="S33" s="74">
        <v>1.6</v>
      </c>
      <c r="T33" s="74">
        <v>1.6</v>
      </c>
      <c r="U33" s="1" t="s">
        <v>1641</v>
      </c>
    </row>
    <row r="34" spans="1:21" ht="15.6" x14ac:dyDescent="0.25">
      <c r="B34" s="55"/>
      <c r="C34" s="55" t="s">
        <v>278</v>
      </c>
      <c r="D34" s="55"/>
      <c r="G34" s="596">
        <f>G16/G10</f>
        <v>1.2157259765460221E-2</v>
      </c>
      <c r="H34" s="596">
        <f>H16/H10</f>
        <v>1.7445643049026193E-2</v>
      </c>
      <c r="I34" s="596">
        <f>I16/I10</f>
        <v>1.2980724462240432E-2</v>
      </c>
      <c r="J34" s="540">
        <f>J16/J10</f>
        <v>4.8967420083052314E-3</v>
      </c>
      <c r="K34" s="75">
        <v>8.0000000000000002E-3</v>
      </c>
      <c r="L34" s="75">
        <v>8.0000000000000002E-3</v>
      </c>
      <c r="M34" s="75">
        <v>8.0000000000000002E-3</v>
      </c>
      <c r="N34" s="75">
        <v>8.0000000000000002E-3</v>
      </c>
      <c r="O34" s="75">
        <v>8.0000000000000002E-3</v>
      </c>
      <c r="P34" s="75">
        <v>8.0000000000000002E-3</v>
      </c>
      <c r="Q34" s="75">
        <v>8.0000000000000002E-3</v>
      </c>
      <c r="R34" s="75">
        <v>8.0000000000000002E-3</v>
      </c>
      <c r="S34" s="75">
        <v>8.0000000000000002E-3</v>
      </c>
      <c r="T34" s="75">
        <v>8.0000000000000002E-3</v>
      </c>
      <c r="U34" s="1" t="s">
        <v>1642</v>
      </c>
    </row>
    <row r="35" spans="1:21" x14ac:dyDescent="0.25">
      <c r="B35" s="55"/>
      <c r="C35" s="55"/>
      <c r="D35" s="55"/>
      <c r="G35" s="64"/>
      <c r="H35" s="64"/>
      <c r="I35" s="64"/>
      <c r="J35" s="72"/>
      <c r="K35" s="74"/>
      <c r="L35" s="74"/>
      <c r="M35" s="74"/>
      <c r="N35" s="74"/>
      <c r="O35" s="74"/>
      <c r="P35" s="74"/>
      <c r="Q35" s="74"/>
      <c r="R35" s="74"/>
      <c r="S35" s="74"/>
      <c r="T35" s="74"/>
    </row>
    <row r="36" spans="1:21" ht="15.6" x14ac:dyDescent="0.25">
      <c r="B36" s="55"/>
      <c r="C36" s="55" t="s">
        <v>273</v>
      </c>
      <c r="D36" s="55"/>
      <c r="G36" s="595">
        <f>G19/G11*Days</f>
        <v>27.595355771827048</v>
      </c>
      <c r="H36" s="595">
        <f>H19/H11*Days</f>
        <v>19.002570102420499</v>
      </c>
      <c r="I36" s="595">
        <f>I19/I11*Days</f>
        <v>13.577298476819058</v>
      </c>
      <c r="J36" s="539">
        <f>J19/J11*Days</f>
        <v>11.794166381322345</v>
      </c>
      <c r="K36" s="74">
        <v>11</v>
      </c>
      <c r="L36" s="74">
        <v>11</v>
      </c>
      <c r="M36" s="74">
        <v>11</v>
      </c>
      <c r="N36" s="74">
        <v>11</v>
      </c>
      <c r="O36" s="74">
        <v>11</v>
      </c>
      <c r="P36" s="74">
        <v>11</v>
      </c>
      <c r="Q36" s="74">
        <v>11</v>
      </c>
      <c r="R36" s="74">
        <v>11</v>
      </c>
      <c r="S36" s="74">
        <v>11</v>
      </c>
      <c r="T36" s="74">
        <v>11</v>
      </c>
      <c r="U36" s="1" t="s">
        <v>1636</v>
      </c>
    </row>
    <row r="37" spans="1:21" ht="15.6" x14ac:dyDescent="0.25">
      <c r="B37" s="55"/>
      <c r="C37" s="55" t="s">
        <v>269</v>
      </c>
      <c r="D37" s="55"/>
      <c r="G37" s="596">
        <f t="shared" ref="G37:J39" si="8">G20/G$11</f>
        <v>6.5484086826874538E-2</v>
      </c>
      <c r="H37" s="596">
        <f t="shared" si="8"/>
        <v>5.2176915109900648E-2</v>
      </c>
      <c r="I37" s="596">
        <f t="shared" si="8"/>
        <v>4.5888916359414805E-2</v>
      </c>
      <c r="J37" s="540">
        <f t="shared" si="8"/>
        <v>4.5847944930513737E-2</v>
      </c>
      <c r="K37" s="75">
        <v>4.4999999999999998E-2</v>
      </c>
      <c r="L37" s="75">
        <v>4.4999999999999998E-2</v>
      </c>
      <c r="M37" s="75">
        <v>4.4999999999999998E-2</v>
      </c>
      <c r="N37" s="75">
        <v>4.4999999999999998E-2</v>
      </c>
      <c r="O37" s="75">
        <v>4.4999999999999998E-2</v>
      </c>
      <c r="P37" s="75">
        <v>4.4999999999999998E-2</v>
      </c>
      <c r="Q37" s="75">
        <v>4.4999999999999998E-2</v>
      </c>
      <c r="R37" s="75">
        <v>4.4999999999999998E-2</v>
      </c>
      <c r="S37" s="75">
        <v>4.4999999999999998E-2</v>
      </c>
      <c r="T37" s="75">
        <v>4.4999999999999998E-2</v>
      </c>
      <c r="U37" s="1" t="s">
        <v>1637</v>
      </c>
    </row>
    <row r="38" spans="1:21" ht="15.6" x14ac:dyDescent="0.25">
      <c r="B38" s="55"/>
      <c r="C38" s="55" t="s">
        <v>270</v>
      </c>
      <c r="D38" s="55"/>
      <c r="G38" s="596">
        <f t="shared" si="8"/>
        <v>2.8292694380202158E-2</v>
      </c>
      <c r="H38" s="596">
        <f t="shared" si="8"/>
        <v>4.4527983428593348E-2</v>
      </c>
      <c r="I38" s="596">
        <f t="shared" si="8"/>
        <v>3.2699480807060165E-2</v>
      </c>
      <c r="J38" s="540">
        <f t="shared" si="8"/>
        <v>2.4512061209308916E-2</v>
      </c>
      <c r="K38" s="75">
        <v>2.5000000000000001E-2</v>
      </c>
      <c r="L38" s="75">
        <v>2.5000000000000001E-2</v>
      </c>
      <c r="M38" s="75">
        <v>2.5000000000000001E-2</v>
      </c>
      <c r="N38" s="75">
        <v>2.5000000000000001E-2</v>
      </c>
      <c r="O38" s="75">
        <v>2.5000000000000001E-2</v>
      </c>
      <c r="P38" s="75">
        <v>2.5000000000000001E-2</v>
      </c>
      <c r="Q38" s="75">
        <v>2.5000000000000001E-2</v>
      </c>
      <c r="R38" s="75">
        <v>2.5000000000000001E-2</v>
      </c>
      <c r="S38" s="75">
        <v>2.5000000000000001E-2</v>
      </c>
      <c r="T38" s="75">
        <v>2.5000000000000001E-2</v>
      </c>
      <c r="U38" s="1" t="s">
        <v>1638</v>
      </c>
    </row>
    <row r="39" spans="1:21" ht="15.6" x14ac:dyDescent="0.25">
      <c r="B39" s="55"/>
      <c r="C39" s="55" t="s">
        <v>271</v>
      </c>
      <c r="D39" s="55"/>
      <c r="G39" s="596">
        <f t="shared" si="8"/>
        <v>2.0532747913267042E-2</v>
      </c>
      <c r="H39" s="596">
        <f t="shared" si="8"/>
        <v>3.5398365875177411E-2</v>
      </c>
      <c r="I39" s="596">
        <f t="shared" si="8"/>
        <v>5.4676498726203657E-2</v>
      </c>
      <c r="J39" s="540">
        <f t="shared" si="8"/>
        <v>3.1238315641985367E-2</v>
      </c>
      <c r="K39" s="75">
        <v>3.5000000000000003E-2</v>
      </c>
      <c r="L39" s="75">
        <v>3.5000000000000003E-2</v>
      </c>
      <c r="M39" s="75">
        <v>3.5000000000000003E-2</v>
      </c>
      <c r="N39" s="75">
        <v>3.5000000000000003E-2</v>
      </c>
      <c r="O39" s="75">
        <v>3.5000000000000003E-2</v>
      </c>
      <c r="P39" s="75">
        <v>3.5000000000000003E-2</v>
      </c>
      <c r="Q39" s="75">
        <v>3.5000000000000003E-2</v>
      </c>
      <c r="R39" s="75">
        <v>3.5000000000000003E-2</v>
      </c>
      <c r="S39" s="75">
        <v>3.5000000000000003E-2</v>
      </c>
      <c r="T39" s="75">
        <v>3.5000000000000003E-2</v>
      </c>
      <c r="U39" s="1" t="s">
        <v>1639</v>
      </c>
    </row>
    <row r="40" spans="1:21" x14ac:dyDescent="0.4">
      <c r="A40" s="1" t="s">
        <v>274</v>
      </c>
      <c r="G40" s="64"/>
      <c r="H40" s="64"/>
      <c r="I40" s="64"/>
      <c r="J40" s="64"/>
      <c r="K40" s="64"/>
      <c r="L40" s="64"/>
      <c r="M40" s="64"/>
      <c r="N40" s="64"/>
      <c r="O40" s="64"/>
      <c r="P40" s="64"/>
      <c r="Q40" s="64"/>
      <c r="R40" s="64"/>
      <c r="S40" s="64"/>
      <c r="T40" s="64"/>
    </row>
    <row r="41" spans="1:21" x14ac:dyDescent="0.4">
      <c r="G41" s="64"/>
      <c r="H41" s="64"/>
      <c r="I41" s="64"/>
      <c r="J41" s="64"/>
      <c r="K41" s="64"/>
      <c r="L41" s="64"/>
      <c r="M41" s="64"/>
      <c r="N41" s="64"/>
      <c r="O41" s="64"/>
      <c r="P41" s="64"/>
      <c r="Q41" s="64"/>
      <c r="R41" s="64"/>
      <c r="S41" s="64"/>
      <c r="T41" s="64"/>
    </row>
  </sheetData>
  <phoneticPr fontId="1" type="noConversion"/>
  <pageMargins left="0.7" right="0.7" top="0.75" bottom="0.75" header="0.3" footer="0.3"/>
  <pageSetup paperSize="9" orientation="portrait" horizontalDpi="4294967292" r:id="rId1"/>
  <customProperties>
    <customPr name="Guid" r:id="rId2"/>
  </customProperties>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33"/>
  <sheetViews>
    <sheetView showGridLines="0" topLeftCell="A8" zoomScaleNormal="100" workbookViewId="0">
      <selection activeCell="J18" sqref="J18"/>
    </sheetView>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16384" width="8.59765625" style="1"/>
  </cols>
  <sheetData>
    <row r="1" spans="1:23" ht="8.1" customHeight="1" x14ac:dyDescent="0.4"/>
    <row r="2" spans="1:23" x14ac:dyDescent="0.4">
      <c r="B2" s="2" t="s">
        <v>229</v>
      </c>
    </row>
    <row r="3" spans="1:23" s="53" customFormat="1" ht="18" thickBot="1" x14ac:dyDescent="0.35">
      <c r="A3" s="52"/>
      <c r="B3" s="58" t="s">
        <v>280</v>
      </c>
      <c r="W3" s="54"/>
    </row>
    <row r="4" spans="1:23" s="55" customFormat="1" x14ac:dyDescent="0.25">
      <c r="A4" s="52"/>
      <c r="B4" s="57" t="s">
        <v>223</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T8" si="0">G8+1</f>
        <v>2015</v>
      </c>
      <c r="I8" s="49">
        <f t="shared" si="0"/>
        <v>2016</v>
      </c>
      <c r="J8" s="59">
        <f t="shared" si="0"/>
        <v>2017</v>
      </c>
      <c r="K8" s="51">
        <f t="shared" si="0"/>
        <v>2018</v>
      </c>
      <c r="L8" s="51">
        <f t="shared" si="0"/>
        <v>2019</v>
      </c>
      <c r="M8" s="51">
        <f t="shared" si="0"/>
        <v>2020</v>
      </c>
      <c r="N8" s="51">
        <f t="shared" si="0"/>
        <v>2021</v>
      </c>
      <c r="O8" s="51">
        <f t="shared" si="0"/>
        <v>2022</v>
      </c>
      <c r="P8" s="51">
        <f t="shared" si="0"/>
        <v>2023</v>
      </c>
      <c r="Q8" s="51">
        <f t="shared" si="0"/>
        <v>2024</v>
      </c>
      <c r="R8" s="51">
        <f t="shared" si="0"/>
        <v>2025</v>
      </c>
      <c r="S8" s="51">
        <f t="shared" si="0"/>
        <v>2026</v>
      </c>
      <c r="T8" s="51">
        <f t="shared" si="0"/>
        <v>2027</v>
      </c>
    </row>
    <row r="9" spans="1:23" x14ac:dyDescent="0.4">
      <c r="I9" s="3"/>
      <c r="J9" s="60"/>
    </row>
    <row r="10" spans="1:23" x14ac:dyDescent="0.4">
      <c r="A10" s="1" t="s">
        <v>274</v>
      </c>
      <c r="B10" s="1" t="s">
        <v>262</v>
      </c>
      <c r="F10" s="541">
        <f>'Working Capital'!F10</f>
        <v>0</v>
      </c>
      <c r="G10" s="541">
        <f>'Working Capital'!G10</f>
        <v>118530</v>
      </c>
      <c r="H10" s="541">
        <f>'Working Capital'!H10</f>
        <v>190592</v>
      </c>
      <c r="I10" s="541">
        <f>'Working Capital'!I10</f>
        <v>268475</v>
      </c>
      <c r="J10" s="542">
        <f>'Working Capital'!J10</f>
        <v>358810</v>
      </c>
      <c r="K10" s="541">
        <f>'Working Capital'!K10</f>
        <v>456021.92514686787</v>
      </c>
      <c r="L10" s="541">
        <f>'Working Capital'!L10</f>
        <v>581236.36886195373</v>
      </c>
      <c r="M10" s="541">
        <f>'Working Capital'!M10</f>
        <v>716363.53643263865</v>
      </c>
      <c r="N10" s="541">
        <f>'Working Capital'!N10</f>
        <v>840241.65172323375</v>
      </c>
      <c r="O10" s="541">
        <f>'Working Capital'!O10</f>
        <v>940457.65306779055</v>
      </c>
      <c r="P10" s="541"/>
      <c r="Q10" s="541"/>
      <c r="R10" s="541"/>
      <c r="S10" s="541"/>
      <c r="T10" s="541"/>
    </row>
    <row r="11" spans="1:23" x14ac:dyDescent="0.4">
      <c r="G11" s="67"/>
      <c r="H11" s="67"/>
      <c r="I11" s="67"/>
      <c r="J11" s="73"/>
      <c r="K11" s="67"/>
      <c r="L11" s="67"/>
      <c r="M11" s="67"/>
      <c r="N11" s="67"/>
      <c r="O11" s="67"/>
      <c r="P11" s="67"/>
      <c r="Q11" s="67"/>
      <c r="R11" s="67"/>
      <c r="S11" s="67"/>
      <c r="T11" s="67"/>
    </row>
    <row r="12" spans="1:23" s="2" customFormat="1" x14ac:dyDescent="0.4">
      <c r="A12" s="1" t="s">
        <v>274</v>
      </c>
      <c r="B12" s="2" t="s">
        <v>282</v>
      </c>
      <c r="F12" s="549">
        <f>ABS(SCF!C33)</f>
        <v>16194</v>
      </c>
      <c r="G12" s="549">
        <f>ABS(SCF!D33)</f>
        <v>28515</v>
      </c>
      <c r="H12" s="549">
        <f>ABS(SCF!E33)</f>
        <v>32117</v>
      </c>
      <c r="I12" s="549">
        <f>ABS(SCF!F33)</f>
        <v>54433</v>
      </c>
      <c r="J12" s="550">
        <f>ABS(SCF!G33)</f>
        <v>61533</v>
      </c>
      <c r="K12" s="549">
        <f>K15*K16</f>
        <v>75900</v>
      </c>
      <c r="L12" s="549">
        <f>L15*L16</f>
        <v>88000</v>
      </c>
      <c r="M12" s="549">
        <f>M15*M16</f>
        <v>77700</v>
      </c>
      <c r="N12" s="549">
        <f>N15*N16</f>
        <v>50000</v>
      </c>
      <c r="O12" s="549">
        <f>O15*O16</f>
        <v>47500</v>
      </c>
      <c r="P12" s="551"/>
      <c r="Q12" s="551"/>
      <c r="R12" s="551"/>
      <c r="S12" s="551"/>
      <c r="T12" s="551"/>
    </row>
    <row r="13" spans="1:23" x14ac:dyDescent="0.4">
      <c r="C13" s="1" t="s">
        <v>810</v>
      </c>
      <c r="F13" s="552"/>
      <c r="G13" s="552">
        <f t="shared" ref="G13:O13" si="1">G12/G10</f>
        <v>0.24057200708681348</v>
      </c>
      <c r="H13" s="552">
        <f t="shared" si="1"/>
        <v>0.16851179482874412</v>
      </c>
      <c r="I13" s="552">
        <f t="shared" si="1"/>
        <v>0.20274885929788622</v>
      </c>
      <c r="J13" s="553">
        <f t="shared" si="1"/>
        <v>0.17149187592319054</v>
      </c>
      <c r="K13" s="552">
        <f t="shared" si="1"/>
        <v>0.16643936577294041</v>
      </c>
      <c r="L13" s="552">
        <f t="shared" si="1"/>
        <v>0.15140140004023114</v>
      </c>
      <c r="M13" s="552">
        <f t="shared" si="1"/>
        <v>0.10846448213560952</v>
      </c>
      <c r="N13" s="552">
        <f t="shared" si="1"/>
        <v>5.9506690601990583E-2</v>
      </c>
      <c r="O13" s="552">
        <f t="shared" si="1"/>
        <v>5.0507324646733541E-2</v>
      </c>
      <c r="P13" s="552"/>
      <c r="Q13" s="552"/>
      <c r="R13" s="552"/>
      <c r="S13" s="552"/>
      <c r="T13" s="552"/>
    </row>
    <row r="14" spans="1:23" x14ac:dyDescent="0.4">
      <c r="F14" s="67"/>
      <c r="G14" s="67"/>
      <c r="H14" s="67"/>
      <c r="I14" s="67"/>
      <c r="J14" s="73"/>
      <c r="K14" s="67"/>
      <c r="L14" s="67"/>
      <c r="M14" s="67"/>
      <c r="N14" s="67"/>
      <c r="O14" s="67"/>
      <c r="P14" s="67"/>
      <c r="Q14" s="67"/>
      <c r="R14" s="67"/>
      <c r="S14" s="67"/>
      <c r="T14" s="67"/>
    </row>
    <row r="15" spans="1:23" x14ac:dyDescent="0.4">
      <c r="C15" s="1" t="s">
        <v>816</v>
      </c>
      <c r="F15" s="67"/>
      <c r="G15" s="541">
        <f>Operations!G24</f>
        <v>10</v>
      </c>
      <c r="H15" s="541">
        <f>Operations!H24</f>
        <v>13</v>
      </c>
      <c r="I15" s="541">
        <f>Operations!I24</f>
        <v>22</v>
      </c>
      <c r="J15" s="542">
        <f>Operations!J24</f>
        <v>27</v>
      </c>
      <c r="K15" s="541">
        <f>Operations!K24</f>
        <v>33</v>
      </c>
      <c r="L15" s="541">
        <f>Operations!L24</f>
        <v>40</v>
      </c>
      <c r="M15" s="541">
        <f>Operations!M24</f>
        <v>37</v>
      </c>
      <c r="N15" s="541">
        <f>Operations!N24</f>
        <v>25</v>
      </c>
      <c r="O15" s="541">
        <f>Operations!O24</f>
        <v>25</v>
      </c>
      <c r="P15" s="541"/>
      <c r="Q15" s="541"/>
      <c r="R15" s="541"/>
      <c r="S15" s="541"/>
      <c r="T15" s="541"/>
      <c r="U15" s="150" t="s">
        <v>824</v>
      </c>
    </row>
    <row r="16" spans="1:23" x14ac:dyDescent="0.4">
      <c r="C16" s="1" t="s">
        <v>818</v>
      </c>
      <c r="F16" s="67"/>
      <c r="G16" s="547">
        <f>G12/G15</f>
        <v>2851.5</v>
      </c>
      <c r="H16" s="547">
        <f>H12/H15</f>
        <v>2470.5384615384614</v>
      </c>
      <c r="I16" s="547">
        <f>I12/I15</f>
        <v>2474.2272727272725</v>
      </c>
      <c r="J16" s="548">
        <f>J12/J15</f>
        <v>2279</v>
      </c>
      <c r="K16" s="554">
        <v>2300</v>
      </c>
      <c r="L16" s="554">
        <v>2200</v>
      </c>
      <c r="M16" s="554">
        <v>2100</v>
      </c>
      <c r="N16" s="554">
        <v>2000</v>
      </c>
      <c r="O16" s="554">
        <v>1900</v>
      </c>
      <c r="P16" s="554"/>
      <c r="Q16" s="554"/>
      <c r="R16" s="554"/>
      <c r="S16" s="554"/>
      <c r="T16" s="554"/>
      <c r="U16" s="149">
        <v>-100</v>
      </c>
    </row>
    <row r="17" spans="1:22" x14ac:dyDescent="0.4">
      <c r="F17" s="67"/>
      <c r="G17" s="67"/>
      <c r="H17" s="67"/>
      <c r="I17" s="67"/>
      <c r="J17" s="73"/>
      <c r="K17" s="67"/>
      <c r="L17" s="67"/>
      <c r="M17" s="67"/>
      <c r="N17" s="67"/>
      <c r="O17" s="67"/>
      <c r="P17" s="67"/>
      <c r="Q17" s="67"/>
      <c r="R17" s="67"/>
      <c r="S17" s="67"/>
      <c r="T17" s="67"/>
    </row>
    <row r="18" spans="1:22" s="2" customFormat="1" x14ac:dyDescent="0.4">
      <c r="A18" s="1" t="s">
        <v>234</v>
      </c>
      <c r="B18" s="2" t="s">
        <v>822</v>
      </c>
      <c r="F18" s="549">
        <f>'Income Statement'!F19</f>
        <v>3541</v>
      </c>
      <c r="G18" s="549">
        <f>'Income Statement'!G19</f>
        <v>5809</v>
      </c>
      <c r="H18" s="549">
        <f>'Income Statement'!H19</f>
        <v>10222</v>
      </c>
      <c r="I18" s="549">
        <f>'Income Statement'!I19</f>
        <v>14502</v>
      </c>
      <c r="J18" s="550">
        <f>'Income Statement'!J19</f>
        <v>21704</v>
      </c>
      <c r="K18" s="549">
        <f>'Income Statement'!K19</f>
        <v>29216.938499278502</v>
      </c>
      <c r="L18" s="549">
        <f>'Income Statement'!L19</f>
        <v>36370.25544973545</v>
      </c>
      <c r="M18" s="549">
        <f>'Income Statement'!M19</f>
        <v>42532.247301587304</v>
      </c>
      <c r="N18" s="549">
        <f>'Income Statement'!N19</f>
        <v>45546.708273208278</v>
      </c>
      <c r="O18" s="549">
        <f>'Income Statement'!O19</f>
        <v>46155.144540644549</v>
      </c>
      <c r="P18" s="551"/>
      <c r="Q18" s="551"/>
      <c r="R18" s="551"/>
      <c r="S18" s="551"/>
      <c r="T18" s="551"/>
    </row>
    <row r="19" spans="1:22" x14ac:dyDescent="0.4">
      <c r="C19" s="1" t="s">
        <v>821</v>
      </c>
      <c r="F19" s="552">
        <f>F12/F18</f>
        <v>4.5732843829426715</v>
      </c>
      <c r="G19" s="552">
        <f t="shared" ref="G19:O19" si="2">G12/G18</f>
        <v>4.9087622654501635</v>
      </c>
      <c r="H19" s="552">
        <f t="shared" si="2"/>
        <v>3.141948738016044</v>
      </c>
      <c r="I19" s="552">
        <f t="shared" si="2"/>
        <v>3.7534822783064405</v>
      </c>
      <c r="J19" s="553">
        <f t="shared" si="2"/>
        <v>2.8350995208256542</v>
      </c>
      <c r="K19" s="552">
        <f t="shared" si="2"/>
        <v>2.5978081174341492</v>
      </c>
      <c r="L19" s="552">
        <f t="shared" si="2"/>
        <v>2.4195595799875003</v>
      </c>
      <c r="M19" s="552">
        <f t="shared" si="2"/>
        <v>1.8268491539853393</v>
      </c>
      <c r="N19" s="552">
        <f t="shared" si="2"/>
        <v>1.0977741728354771</v>
      </c>
      <c r="O19" s="552">
        <f t="shared" si="2"/>
        <v>1.0291377152588301</v>
      </c>
      <c r="P19" s="552"/>
      <c r="Q19" s="552"/>
      <c r="R19" s="552"/>
      <c r="S19" s="552"/>
      <c r="T19" s="552"/>
      <c r="U19" s="150" t="s">
        <v>824</v>
      </c>
    </row>
    <row r="20" spans="1:22" ht="15.6" x14ac:dyDescent="0.4">
      <c r="C20" s="1" t="s">
        <v>820</v>
      </c>
      <c r="F20" s="67"/>
      <c r="G20" s="547">
        <f>G18/(Operations!G12+Operations!F12)*2</f>
        <v>223.42307692307693</v>
      </c>
      <c r="H20" s="547">
        <f>H18/(Operations!H12+Operations!G12)*2</f>
        <v>272.58666666666664</v>
      </c>
      <c r="I20" s="547">
        <f>I18/(Operations!I12+Operations!H12)*2</f>
        <v>268.55555555555554</v>
      </c>
      <c r="J20" s="548">
        <f>J18/(Operations!J12+Operations!I12)*2</f>
        <v>281.87012987012986</v>
      </c>
      <c r="K20" s="554">
        <f>AVERAGE(H20:J20)</f>
        <v>274.33745069745072</v>
      </c>
      <c r="L20" s="554">
        <f>K20-20</f>
        <v>254.33745069745072</v>
      </c>
      <c r="M20" s="554">
        <f>L20-20</f>
        <v>234.33745069745072</v>
      </c>
      <c r="N20" s="554">
        <f>M20-20</f>
        <v>214.33745069745072</v>
      </c>
      <c r="O20" s="554">
        <f>N20-20</f>
        <v>194.33745069745072</v>
      </c>
      <c r="P20" s="554"/>
      <c r="Q20" s="554"/>
      <c r="R20" s="554"/>
      <c r="S20" s="554"/>
      <c r="T20" s="554"/>
      <c r="U20" s="149">
        <v>-20</v>
      </c>
      <c r="V20" s="603" t="s">
        <v>1643</v>
      </c>
    </row>
    <row r="21" spans="1:22" x14ac:dyDescent="0.4">
      <c r="F21" s="67"/>
      <c r="G21" s="139"/>
      <c r="H21" s="139"/>
      <c r="I21" s="139"/>
      <c r="J21" s="144"/>
      <c r="K21" s="140"/>
      <c r="L21" s="140"/>
      <c r="M21" s="140"/>
      <c r="N21" s="140"/>
      <c r="O21" s="140"/>
      <c r="P21" s="140"/>
      <c r="Q21" s="140"/>
      <c r="R21" s="140"/>
      <c r="S21" s="140"/>
      <c r="T21" s="140"/>
      <c r="V21" s="142"/>
    </row>
    <row r="22" spans="1:22" x14ac:dyDescent="0.4">
      <c r="C22" s="1" t="s">
        <v>811</v>
      </c>
      <c r="F22" s="67"/>
      <c r="G22" s="552">
        <f>G18/'Balance Sheet'!G16</f>
        <v>8.2838970965717865E-2</v>
      </c>
      <c r="H22" s="552">
        <f>H18/'Balance Sheet'!H16</f>
        <v>0.10986554314764459</v>
      </c>
      <c r="I22" s="552">
        <f>I18/'Balance Sheet'!I16</f>
        <v>0.10642576175659015</v>
      </c>
      <c r="J22" s="553">
        <f>J18/'Balance Sheet'!J16</f>
        <v>0.11600523798070499</v>
      </c>
      <c r="K22" s="552">
        <f>K18/K30</f>
        <v>0.1249772468456726</v>
      </c>
      <c r="L22" s="552">
        <f>L18/L30</f>
        <v>0.1274325883127323</v>
      </c>
      <c r="M22" s="552">
        <f>M18/M30</f>
        <v>0.13267464140906554</v>
      </c>
      <c r="N22" s="552">
        <f>N18/N30</f>
        <v>0.14013127821262358</v>
      </c>
      <c r="O22" s="552">
        <f>O18/O30</f>
        <v>0.14141808516204282</v>
      </c>
      <c r="P22" s="552"/>
      <c r="Q22" s="552"/>
      <c r="R22" s="552"/>
      <c r="S22" s="552"/>
      <c r="T22" s="552"/>
    </row>
    <row r="23" spans="1:22" x14ac:dyDescent="0.4">
      <c r="C23" s="1" t="s">
        <v>823</v>
      </c>
      <c r="F23" s="67"/>
      <c r="G23" s="600">
        <f>'Balance Sheet'!G16/G18</f>
        <v>12.071613014288173</v>
      </c>
      <c r="H23" s="600">
        <f>'Balance Sheet'!H16/H18</f>
        <v>9.1020348268440614</v>
      </c>
      <c r="I23" s="600">
        <f>'Balance Sheet'!I16/I18</f>
        <v>9.3962212108674663</v>
      </c>
      <c r="J23" s="601">
        <f>'Balance Sheet'!J16/J18</f>
        <v>8.6203004054552164</v>
      </c>
      <c r="K23" s="555">
        <f>K30/K18</f>
        <v>8.0014564669906996</v>
      </c>
      <c r="L23" s="555">
        <f>L30/L18</f>
        <v>7.8472862651577016</v>
      </c>
      <c r="M23" s="555">
        <f>M30/M18</f>
        <v>7.5372353705240229</v>
      </c>
      <c r="N23" s="555">
        <f>N30/N18</f>
        <v>7.1361655495833185</v>
      </c>
      <c r="O23" s="555">
        <f>O30/O18</f>
        <v>7.0712313694118949</v>
      </c>
      <c r="P23" s="555"/>
      <c r="Q23" s="555"/>
      <c r="R23" s="555"/>
      <c r="S23" s="555"/>
      <c r="T23" s="555"/>
    </row>
    <row r="24" spans="1:22" x14ac:dyDescent="0.4">
      <c r="F24" s="67"/>
      <c r="G24" s="67"/>
      <c r="H24" s="599"/>
      <c r="I24" s="67"/>
      <c r="J24" s="73"/>
      <c r="K24" s="67"/>
      <c r="L24" s="67"/>
      <c r="M24" s="67"/>
      <c r="N24" s="67"/>
      <c r="O24" s="67"/>
      <c r="P24" s="67"/>
      <c r="Q24" s="67"/>
      <c r="R24" s="67"/>
      <c r="S24" s="67"/>
      <c r="T24" s="67"/>
    </row>
    <row r="25" spans="1:22" x14ac:dyDescent="0.4">
      <c r="A25" s="1" t="s">
        <v>234</v>
      </c>
      <c r="B25" s="13" t="s">
        <v>825</v>
      </c>
      <c r="F25" s="67"/>
      <c r="G25" s="67"/>
      <c r="H25" s="67"/>
      <c r="I25" s="67"/>
      <c r="J25" s="73"/>
      <c r="K25" s="67"/>
      <c r="L25" s="67"/>
      <c r="M25" s="67"/>
      <c r="N25" s="67"/>
      <c r="O25" s="67"/>
      <c r="P25" s="67"/>
      <c r="Q25" s="67"/>
      <c r="R25" s="67"/>
      <c r="S25" s="67"/>
      <c r="T25" s="67"/>
    </row>
    <row r="26" spans="1:22" x14ac:dyDescent="0.4">
      <c r="C26" s="1" t="s">
        <v>812</v>
      </c>
      <c r="F26" s="67"/>
      <c r="G26" s="67"/>
      <c r="H26" s="67"/>
      <c r="I26" s="67"/>
      <c r="J26" s="73"/>
      <c r="K26" s="556">
        <f>J30</f>
        <v>187095</v>
      </c>
      <c r="L26" s="556">
        <f>K30</f>
        <v>233778.06150072149</v>
      </c>
      <c r="M26" s="556">
        <f>L30</f>
        <v>285407.80605098605</v>
      </c>
      <c r="N26" s="556">
        <f>M30</f>
        <v>320575.55874939874</v>
      </c>
      <c r="O26" s="556">
        <f>N30</f>
        <v>325028.85047619045</v>
      </c>
      <c r="P26" s="556"/>
      <c r="Q26" s="556"/>
      <c r="R26" s="556"/>
      <c r="S26" s="556"/>
      <c r="T26" s="556"/>
    </row>
    <row r="27" spans="1:22" x14ac:dyDescent="0.4">
      <c r="D27" s="1" t="s">
        <v>282</v>
      </c>
      <c r="F27" s="67"/>
      <c r="G27" s="67"/>
      <c r="H27" s="67"/>
      <c r="I27" s="67"/>
      <c r="J27" s="73"/>
      <c r="K27" s="556">
        <f>K12</f>
        <v>75900</v>
      </c>
      <c r="L27" s="556">
        <f>L12</f>
        <v>88000</v>
      </c>
      <c r="M27" s="556">
        <f>M12</f>
        <v>77700</v>
      </c>
      <c r="N27" s="556">
        <f>N12</f>
        <v>50000</v>
      </c>
      <c r="O27" s="556">
        <f>O12</f>
        <v>47500</v>
      </c>
      <c r="P27" s="556"/>
      <c r="Q27" s="556"/>
      <c r="R27" s="556"/>
      <c r="S27" s="556"/>
      <c r="T27" s="556"/>
    </row>
    <row r="28" spans="1:22" x14ac:dyDescent="0.4">
      <c r="D28" s="1" t="s">
        <v>813</v>
      </c>
      <c r="F28" s="67"/>
      <c r="G28" s="67"/>
      <c r="H28" s="67"/>
      <c r="I28" s="67"/>
      <c r="J28" s="73"/>
      <c r="K28" s="556">
        <f>-K18</f>
        <v>-29216.938499278502</v>
      </c>
      <c r="L28" s="556">
        <f>-L18</f>
        <v>-36370.25544973545</v>
      </c>
      <c r="M28" s="556">
        <f>-M18</f>
        <v>-42532.247301587304</v>
      </c>
      <c r="N28" s="556">
        <f>-N18</f>
        <v>-45546.708273208278</v>
      </c>
      <c r="O28" s="556">
        <f>-O18</f>
        <v>-46155.144540644549</v>
      </c>
      <c r="P28" s="556"/>
      <c r="Q28" s="556"/>
      <c r="R28" s="556"/>
      <c r="S28" s="556"/>
      <c r="T28" s="556"/>
    </row>
    <row r="29" spans="1:22" x14ac:dyDescent="0.4">
      <c r="C29" s="76"/>
      <c r="D29" s="76" t="s">
        <v>814</v>
      </c>
      <c r="E29" s="76"/>
      <c r="F29" s="145"/>
      <c r="G29" s="145"/>
      <c r="H29" s="145"/>
      <c r="I29" s="145"/>
      <c r="J29" s="146"/>
      <c r="K29" s="147">
        <v>0</v>
      </c>
      <c r="L29" s="147">
        <v>0</v>
      </c>
      <c r="M29" s="147">
        <v>0</v>
      </c>
      <c r="N29" s="147">
        <v>0</v>
      </c>
      <c r="O29" s="147">
        <v>0</v>
      </c>
      <c r="P29" s="147">
        <v>0</v>
      </c>
      <c r="Q29" s="147">
        <v>0</v>
      </c>
      <c r="R29" s="147">
        <v>0</v>
      </c>
      <c r="S29" s="147">
        <v>0</v>
      </c>
      <c r="T29" s="147">
        <v>0</v>
      </c>
    </row>
    <row r="30" spans="1:22" s="2" customFormat="1" x14ac:dyDescent="0.4">
      <c r="A30" s="1" t="s">
        <v>234</v>
      </c>
      <c r="C30" s="2" t="s">
        <v>815</v>
      </c>
      <c r="F30" s="138"/>
      <c r="G30" s="549">
        <f>'Balance Sheet'!G16</f>
        <v>70124</v>
      </c>
      <c r="H30" s="549">
        <f>'Balance Sheet'!H16</f>
        <v>93041</v>
      </c>
      <c r="I30" s="549">
        <f>'Balance Sheet'!I16</f>
        <v>136264</v>
      </c>
      <c r="J30" s="602">
        <f>'Balance Sheet'!J16</f>
        <v>187095</v>
      </c>
      <c r="K30" s="549">
        <f>SUM(K26:K29)</f>
        <v>233778.06150072149</v>
      </c>
      <c r="L30" s="549">
        <f>SUM(L26:L29)</f>
        <v>285407.80605098605</v>
      </c>
      <c r="M30" s="549">
        <f>SUM(M26:M29)</f>
        <v>320575.55874939874</v>
      </c>
      <c r="N30" s="549">
        <f>SUM(N26:N29)</f>
        <v>325028.85047619045</v>
      </c>
      <c r="O30" s="549">
        <f>SUM(O26:O29)</f>
        <v>326373.70593554591</v>
      </c>
      <c r="P30" s="551"/>
      <c r="Q30" s="551"/>
      <c r="R30" s="551"/>
      <c r="S30" s="551"/>
      <c r="T30" s="551"/>
    </row>
    <row r="31" spans="1:22" x14ac:dyDescent="0.4">
      <c r="F31" s="67"/>
      <c r="G31" s="67"/>
      <c r="H31" s="67"/>
      <c r="I31" s="67"/>
      <c r="J31" s="67"/>
      <c r="K31" s="67"/>
      <c r="L31" s="67"/>
      <c r="M31" s="67"/>
      <c r="N31" s="67"/>
      <c r="O31" s="67"/>
      <c r="P31" s="67"/>
      <c r="Q31" s="67"/>
      <c r="R31" s="67"/>
      <c r="S31" s="67"/>
      <c r="T31" s="67"/>
    </row>
    <row r="32" spans="1:22" x14ac:dyDescent="0.4">
      <c r="F32" s="67"/>
      <c r="G32" s="67"/>
      <c r="H32" s="67"/>
      <c r="I32" s="67"/>
      <c r="J32" s="67"/>
      <c r="K32" s="67"/>
      <c r="L32" s="67"/>
      <c r="M32" s="67"/>
      <c r="N32" s="67"/>
      <c r="O32" s="67"/>
      <c r="P32" s="67"/>
      <c r="Q32" s="67"/>
      <c r="R32" s="67"/>
      <c r="S32" s="67"/>
      <c r="T32" s="67"/>
    </row>
    <row r="33" spans="6:20" x14ac:dyDescent="0.4">
      <c r="F33" s="67"/>
      <c r="G33" s="67"/>
      <c r="H33" s="67"/>
      <c r="I33" s="67"/>
      <c r="J33" s="67"/>
      <c r="K33" s="67"/>
      <c r="L33" s="67"/>
      <c r="M33" s="67"/>
      <c r="N33" s="67"/>
      <c r="O33" s="67"/>
      <c r="P33" s="67"/>
      <c r="Q33" s="67"/>
      <c r="R33" s="67"/>
      <c r="S33" s="67"/>
      <c r="T33" s="67"/>
    </row>
  </sheetData>
  <phoneticPr fontId="1" type="noConversion"/>
  <pageMargins left="0.7" right="0.7" top="0.75" bottom="0.75" header="0.3" footer="0.3"/>
  <pageSetup paperSize="9" orientation="portrait" horizontalDpi="4294967292" r:id="rId1"/>
  <customProperties>
    <customPr name="Guid" r:id="rId2"/>
  </customProperties>
  <drawing r:id="rId3"/>
  <legacy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4"/>
  <sheetViews>
    <sheetView showGridLines="0" zoomScaleNormal="100" workbookViewId="0">
      <selection activeCell="O23" sqref="N23:O23"/>
    </sheetView>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16384" width="8.59765625" style="1"/>
  </cols>
  <sheetData>
    <row r="1" spans="1:23" ht="8.1" customHeight="1" x14ac:dyDescent="0.4"/>
    <row r="2" spans="1:23" x14ac:dyDescent="0.4">
      <c r="B2" s="2" t="s">
        <v>229</v>
      </c>
    </row>
    <row r="3" spans="1:23" s="53" customFormat="1" ht="18" thickBot="1" x14ac:dyDescent="0.35">
      <c r="A3" s="52"/>
      <c r="B3" s="58" t="s">
        <v>842</v>
      </c>
      <c r="W3" s="54"/>
    </row>
    <row r="4" spans="1:23" s="55" customFormat="1" x14ac:dyDescent="0.25">
      <c r="A4" s="52"/>
      <c r="B4" s="57" t="s">
        <v>223</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T8" si="0">G8+1</f>
        <v>2015</v>
      </c>
      <c r="I8" s="49">
        <f t="shared" si="0"/>
        <v>2016</v>
      </c>
      <c r="J8" s="59">
        <f t="shared" si="0"/>
        <v>2017</v>
      </c>
      <c r="K8" s="51">
        <f t="shared" si="0"/>
        <v>2018</v>
      </c>
      <c r="L8" s="51">
        <f t="shared" si="0"/>
        <v>2019</v>
      </c>
      <c r="M8" s="51">
        <f t="shared" si="0"/>
        <v>2020</v>
      </c>
      <c r="N8" s="51">
        <f t="shared" si="0"/>
        <v>2021</v>
      </c>
      <c r="O8" s="51">
        <f t="shared" si="0"/>
        <v>2022</v>
      </c>
      <c r="P8" s="51">
        <f t="shared" si="0"/>
        <v>2023</v>
      </c>
      <c r="Q8" s="51">
        <f t="shared" si="0"/>
        <v>2024</v>
      </c>
      <c r="R8" s="51">
        <f t="shared" si="0"/>
        <v>2025</v>
      </c>
      <c r="S8" s="51">
        <f t="shared" si="0"/>
        <v>2026</v>
      </c>
      <c r="T8" s="51">
        <f t="shared" si="0"/>
        <v>2027</v>
      </c>
    </row>
    <row r="9" spans="1:23" x14ac:dyDescent="0.4">
      <c r="I9" s="3"/>
      <c r="J9" s="60"/>
    </row>
    <row r="10" spans="1:23" x14ac:dyDescent="0.4">
      <c r="B10" s="14" t="s">
        <v>846</v>
      </c>
      <c r="G10" s="67"/>
      <c r="H10" s="67"/>
      <c r="I10" s="67"/>
      <c r="J10" s="73"/>
      <c r="K10" s="67"/>
      <c r="L10" s="67"/>
      <c r="M10" s="67"/>
      <c r="N10" s="67"/>
      <c r="O10" s="67"/>
      <c r="P10" s="67"/>
      <c r="Q10" s="67"/>
      <c r="R10" s="67"/>
      <c r="S10" s="67"/>
      <c r="T10" s="67"/>
    </row>
    <row r="11" spans="1:23" ht="15.6" x14ac:dyDescent="0.4">
      <c r="C11" s="1" t="s">
        <v>843</v>
      </c>
      <c r="F11" s="67"/>
      <c r="G11" s="541">
        <f>'Balance Sheet'!G17</f>
        <v>161</v>
      </c>
      <c r="H11" s="541">
        <f>'Balance Sheet'!H17</f>
        <v>201957</v>
      </c>
      <c r="I11" s="541">
        <f>'Balance Sheet'!I17</f>
        <v>313207</v>
      </c>
      <c r="J11" s="542">
        <f>'Balance Sheet'!J17</f>
        <v>185914</v>
      </c>
      <c r="K11" s="554">
        <v>185914</v>
      </c>
      <c r="L11" s="554">
        <v>185914</v>
      </c>
      <c r="M11" s="554">
        <v>185914</v>
      </c>
      <c r="N11" s="554">
        <v>185914</v>
      </c>
      <c r="O11" s="554">
        <v>185914</v>
      </c>
      <c r="P11" s="554"/>
      <c r="Q11" s="554"/>
      <c r="R11" s="554"/>
      <c r="S11" s="554"/>
      <c r="T11" s="554"/>
      <c r="U11" s="603" t="s">
        <v>1644</v>
      </c>
    </row>
    <row r="12" spans="1:23" x14ac:dyDescent="0.4">
      <c r="C12" s="1" t="s">
        <v>845</v>
      </c>
      <c r="F12" s="67"/>
      <c r="G12" s="541">
        <f>'Balance Sheet'!G18</f>
        <v>0</v>
      </c>
      <c r="H12" s="541">
        <f>'Balance Sheet'!H18</f>
        <v>0</v>
      </c>
      <c r="I12" s="541">
        <f>'Balance Sheet'!I18</f>
        <v>0</v>
      </c>
      <c r="J12" s="542">
        <f>'Balance Sheet'!J18</f>
        <v>0</v>
      </c>
      <c r="K12" s="554"/>
      <c r="L12" s="554"/>
      <c r="M12" s="554"/>
      <c r="N12" s="554"/>
      <c r="O12" s="554"/>
      <c r="P12" s="554"/>
      <c r="Q12" s="554"/>
      <c r="R12" s="554"/>
      <c r="S12" s="554"/>
      <c r="T12" s="554"/>
      <c r="U12" s="509" t="s">
        <v>852</v>
      </c>
    </row>
    <row r="13" spans="1:23" ht="15.6" x14ac:dyDescent="0.4">
      <c r="C13" s="76" t="s">
        <v>275</v>
      </c>
      <c r="D13" s="76"/>
      <c r="E13" s="76"/>
      <c r="F13" s="145"/>
      <c r="G13" s="541">
        <f>'Balance Sheet'!G19</f>
        <v>4752</v>
      </c>
      <c r="H13" s="541">
        <f>'Balance Sheet'!H19</f>
        <v>5615</v>
      </c>
      <c r="I13" s="541">
        <f>'Balance Sheet'!I19</f>
        <v>4779</v>
      </c>
      <c r="J13" s="544">
        <f>'Balance Sheet'!J19</f>
        <v>4398</v>
      </c>
      <c r="K13" s="557">
        <f>J13-500</f>
        <v>3898</v>
      </c>
      <c r="L13" s="557">
        <f>K13-500</f>
        <v>3398</v>
      </c>
      <c r="M13" s="557">
        <f>L13-500</f>
        <v>2898</v>
      </c>
      <c r="N13" s="557">
        <f>M13-500</f>
        <v>2398</v>
      </c>
      <c r="O13" s="557">
        <f>N13-500</f>
        <v>1898</v>
      </c>
      <c r="P13" s="557"/>
      <c r="Q13" s="557"/>
      <c r="R13" s="557"/>
      <c r="S13" s="557"/>
      <c r="T13" s="557"/>
      <c r="U13" s="510">
        <v>-500</v>
      </c>
      <c r="V13" s="606" t="s">
        <v>1645</v>
      </c>
    </row>
    <row r="14" spans="1:23" x14ac:dyDescent="0.4">
      <c r="D14" s="1" t="s">
        <v>853</v>
      </c>
      <c r="F14" s="139"/>
      <c r="G14" s="604">
        <f>SUM(G11:G13)</f>
        <v>4913</v>
      </c>
      <c r="H14" s="604">
        <f>SUM(H11:H13)</f>
        <v>207572</v>
      </c>
      <c r="I14" s="604">
        <f>SUM(I11:I13)</f>
        <v>317986</v>
      </c>
      <c r="J14" s="605">
        <f>SUM(J11:J13)</f>
        <v>190312</v>
      </c>
      <c r="K14" s="547">
        <f>K11+K13</f>
        <v>189812</v>
      </c>
      <c r="L14" s="547">
        <f>L11+L13</f>
        <v>189312</v>
      </c>
      <c r="M14" s="547">
        <f>M11+M13</f>
        <v>188812</v>
      </c>
      <c r="N14" s="547">
        <f>N11+N13</f>
        <v>188312</v>
      </c>
      <c r="O14" s="547">
        <f>O11+O13</f>
        <v>187812</v>
      </c>
      <c r="P14" s="547"/>
      <c r="Q14" s="547"/>
      <c r="R14" s="547"/>
      <c r="S14" s="547"/>
      <c r="T14" s="547"/>
    </row>
    <row r="15" spans="1:23" s="2" customFormat="1" x14ac:dyDescent="0.4">
      <c r="F15" s="141"/>
      <c r="G15" s="141"/>
      <c r="H15" s="141"/>
      <c r="I15" s="141"/>
      <c r="J15" s="148"/>
      <c r="K15" s="141"/>
      <c r="L15" s="141"/>
      <c r="M15" s="141"/>
      <c r="N15" s="141"/>
      <c r="O15" s="141"/>
      <c r="P15" s="141"/>
      <c r="Q15" s="141"/>
      <c r="R15" s="141"/>
      <c r="S15" s="141"/>
      <c r="T15" s="141"/>
    </row>
    <row r="16" spans="1:23" x14ac:dyDescent="0.4">
      <c r="D16" s="1" t="s">
        <v>849</v>
      </c>
      <c r="F16" s="67"/>
      <c r="G16" s="139"/>
      <c r="H16" s="547">
        <f t="shared" ref="H16:O16" si="1">G14-H14</f>
        <v>-202659</v>
      </c>
      <c r="I16" s="547">
        <f t="shared" si="1"/>
        <v>-110414</v>
      </c>
      <c r="J16" s="548">
        <f t="shared" si="1"/>
        <v>127674</v>
      </c>
      <c r="K16" s="547">
        <f t="shared" si="1"/>
        <v>500</v>
      </c>
      <c r="L16" s="547">
        <f t="shared" si="1"/>
        <v>500</v>
      </c>
      <c r="M16" s="547">
        <f t="shared" si="1"/>
        <v>500</v>
      </c>
      <c r="N16" s="547">
        <f t="shared" si="1"/>
        <v>500</v>
      </c>
      <c r="O16" s="547">
        <f t="shared" si="1"/>
        <v>500</v>
      </c>
      <c r="P16" s="547"/>
      <c r="Q16" s="547"/>
      <c r="R16" s="547"/>
      <c r="S16" s="547"/>
      <c r="T16" s="547"/>
    </row>
    <row r="17" spans="1:22" x14ac:dyDescent="0.4">
      <c r="F17" s="67"/>
      <c r="G17" s="67"/>
      <c r="H17" s="67"/>
      <c r="I17" s="67"/>
      <c r="J17" s="73"/>
      <c r="K17" s="67"/>
      <c r="L17" s="67"/>
      <c r="M17" s="67"/>
      <c r="N17" s="67"/>
      <c r="O17" s="67"/>
      <c r="P17" s="67"/>
      <c r="Q17" s="67"/>
      <c r="R17" s="67"/>
      <c r="S17" s="67"/>
      <c r="T17" s="67"/>
    </row>
    <row r="18" spans="1:22" x14ac:dyDescent="0.4">
      <c r="B18" s="14" t="s">
        <v>847</v>
      </c>
      <c r="F18" s="67"/>
      <c r="G18" s="67"/>
      <c r="H18" s="67"/>
      <c r="I18" s="67"/>
      <c r="J18" s="73"/>
      <c r="K18" s="67"/>
      <c r="L18" s="67"/>
      <c r="M18" s="67"/>
      <c r="N18" s="67"/>
      <c r="O18" s="67"/>
      <c r="P18" s="67"/>
      <c r="Q18" s="67"/>
      <c r="R18" s="67"/>
      <c r="S18" s="67"/>
      <c r="T18" s="67"/>
      <c r="U18" s="150" t="s">
        <v>852</v>
      </c>
    </row>
    <row r="19" spans="1:22" ht="15.6" x14ac:dyDescent="0.4">
      <c r="C19" s="1" t="s">
        <v>844</v>
      </c>
      <c r="F19" s="67"/>
      <c r="G19" s="541">
        <f>'Balance Sheet'!G31</f>
        <v>4019</v>
      </c>
      <c r="H19" s="541">
        <f>'Balance Sheet'!H31</f>
        <v>175283</v>
      </c>
      <c r="I19" s="541">
        <f>'Balance Sheet'!I31</f>
        <v>272011</v>
      </c>
      <c r="J19" s="542">
        <f>'Balance Sheet'!J31</f>
        <v>160989</v>
      </c>
      <c r="K19" s="554">
        <f>J19-1000</f>
        <v>159989</v>
      </c>
      <c r="L19" s="554">
        <f>K19-1000</f>
        <v>158989</v>
      </c>
      <c r="M19" s="554">
        <f>L19-1000</f>
        <v>157989</v>
      </c>
      <c r="N19" s="554">
        <f>M19-1000</f>
        <v>156989</v>
      </c>
      <c r="O19" s="554">
        <f>N19-1000</f>
        <v>155989</v>
      </c>
      <c r="P19" s="554"/>
      <c r="Q19" s="554"/>
      <c r="R19" s="554"/>
      <c r="S19" s="554"/>
      <c r="T19" s="554"/>
      <c r="U19" s="149">
        <v>-1000</v>
      </c>
      <c r="V19" s="606" t="s">
        <v>1646</v>
      </c>
    </row>
    <row r="20" spans="1:22" x14ac:dyDescent="0.4">
      <c r="F20" s="67"/>
      <c r="G20" s="67"/>
      <c r="H20" s="67"/>
      <c r="I20" s="67"/>
      <c r="J20" s="73"/>
      <c r="K20" s="67"/>
      <c r="L20" s="67"/>
      <c r="M20" s="67"/>
      <c r="N20" s="67"/>
      <c r="O20" s="67"/>
      <c r="P20" s="67"/>
      <c r="Q20" s="67"/>
      <c r="R20" s="67"/>
      <c r="S20" s="67"/>
      <c r="T20" s="67"/>
    </row>
    <row r="21" spans="1:22" x14ac:dyDescent="0.4">
      <c r="D21" s="1" t="s">
        <v>850</v>
      </c>
      <c r="F21" s="67"/>
      <c r="G21" s="139"/>
      <c r="H21" s="547">
        <f>G19-H19</f>
        <v>-171264</v>
      </c>
      <c r="I21" s="547">
        <f>H19-I19</f>
        <v>-96728</v>
      </c>
      <c r="J21" s="548">
        <f>I19-J19</f>
        <v>111022</v>
      </c>
      <c r="K21" s="547">
        <f>K19-J19</f>
        <v>-1000</v>
      </c>
      <c r="L21" s="547">
        <f>L19-K19</f>
        <v>-1000</v>
      </c>
      <c r="M21" s="547">
        <f>M19-L19</f>
        <v>-1000</v>
      </c>
      <c r="N21" s="547">
        <f>N19-M19</f>
        <v>-1000</v>
      </c>
      <c r="O21" s="547">
        <f>O19-N19</f>
        <v>-1000</v>
      </c>
      <c r="P21" s="547"/>
      <c r="Q21" s="547"/>
      <c r="R21" s="547"/>
      <c r="S21" s="547"/>
      <c r="T21" s="547"/>
    </row>
    <row r="22" spans="1:22" x14ac:dyDescent="0.4">
      <c r="F22" s="67"/>
      <c r="G22" s="67"/>
      <c r="H22" s="67"/>
      <c r="I22" s="67"/>
      <c r="J22" s="73"/>
      <c r="K22" s="67"/>
      <c r="L22" s="67"/>
      <c r="M22" s="67"/>
      <c r="N22" s="67"/>
      <c r="O22" s="67"/>
      <c r="P22" s="67"/>
      <c r="Q22" s="67"/>
      <c r="R22" s="67"/>
      <c r="S22" s="67"/>
      <c r="T22" s="67"/>
    </row>
    <row r="23" spans="1:22" s="2" customFormat="1" x14ac:dyDescent="0.4">
      <c r="A23" s="2" t="s">
        <v>274</v>
      </c>
      <c r="B23" s="2" t="s">
        <v>851</v>
      </c>
      <c r="F23" s="138"/>
      <c r="G23" s="141"/>
      <c r="H23" s="551">
        <f>-H16+H21</f>
        <v>31395</v>
      </c>
      <c r="I23" s="551">
        <f>I16-I21</f>
        <v>-13686</v>
      </c>
      <c r="J23" s="551">
        <f>J16-J21</f>
        <v>16652</v>
      </c>
      <c r="K23" s="551">
        <f>K16+K21</f>
        <v>-500</v>
      </c>
      <c r="L23" s="551">
        <f>L16+L21</f>
        <v>-500</v>
      </c>
      <c r="M23" s="551">
        <f>M16+M21</f>
        <v>-500</v>
      </c>
      <c r="N23" s="551">
        <f>N16+N21</f>
        <v>-500</v>
      </c>
      <c r="O23" s="551">
        <f>O16+O21</f>
        <v>-500</v>
      </c>
      <c r="P23" s="551"/>
      <c r="Q23" s="551"/>
      <c r="R23" s="551"/>
      <c r="S23" s="551"/>
      <c r="T23" s="551"/>
    </row>
    <row r="24" spans="1:22" x14ac:dyDescent="0.4">
      <c r="F24" s="67"/>
      <c r="G24" s="67"/>
      <c r="H24" s="67"/>
      <c r="I24" s="67"/>
      <c r="J24" s="67"/>
      <c r="K24" s="67"/>
      <c r="L24" s="67"/>
      <c r="M24" s="67"/>
      <c r="N24" s="67"/>
      <c r="O24" s="67"/>
      <c r="P24" s="67"/>
      <c r="Q24" s="67"/>
      <c r="R24" s="67"/>
      <c r="S24" s="67"/>
      <c r="T24" s="67"/>
    </row>
  </sheetData>
  <phoneticPr fontId="1" type="noConversion"/>
  <pageMargins left="0.7" right="0.7" top="0.75" bottom="0.75" header="0.3" footer="0.3"/>
  <pageSetup paperSize="9" orientation="portrait" horizontalDpi="4294967292"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35"/>
  <sheetViews>
    <sheetView showGridLines="0" topLeftCell="A6" zoomScaleNormal="100" workbookViewId="0">
      <selection activeCell="K14" sqref="K14"/>
    </sheetView>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16384" width="8.59765625" style="1"/>
  </cols>
  <sheetData>
    <row r="1" spans="1:23" ht="8.1" customHeight="1" x14ac:dyDescent="0.4"/>
    <row r="2" spans="1:23" x14ac:dyDescent="0.4">
      <c r="B2" s="2" t="s">
        <v>229</v>
      </c>
    </row>
    <row r="3" spans="1:23" s="53" customFormat="1" ht="18" thickBot="1" x14ac:dyDescent="0.35">
      <c r="A3" s="52"/>
      <c r="B3" s="58" t="s">
        <v>854</v>
      </c>
      <c r="W3" s="54"/>
    </row>
    <row r="4" spans="1:23" s="55" customFormat="1" x14ac:dyDescent="0.25">
      <c r="A4" s="52"/>
      <c r="B4" s="57" t="s">
        <v>223</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T8" si="0">G8+1</f>
        <v>2015</v>
      </c>
      <c r="I8" s="49">
        <f t="shared" si="0"/>
        <v>2016</v>
      </c>
      <c r="J8" s="59">
        <f t="shared" si="0"/>
        <v>2017</v>
      </c>
      <c r="K8" s="51">
        <f t="shared" si="0"/>
        <v>2018</v>
      </c>
      <c r="L8" s="51">
        <f t="shared" si="0"/>
        <v>2019</v>
      </c>
      <c r="M8" s="51">
        <f t="shared" si="0"/>
        <v>2020</v>
      </c>
      <c r="N8" s="51">
        <f t="shared" si="0"/>
        <v>2021</v>
      </c>
      <c r="O8" s="51">
        <f t="shared" si="0"/>
        <v>2022</v>
      </c>
      <c r="P8" s="51">
        <f t="shared" si="0"/>
        <v>2023</v>
      </c>
      <c r="Q8" s="51">
        <f t="shared" si="0"/>
        <v>2024</v>
      </c>
      <c r="R8" s="51">
        <f t="shared" si="0"/>
        <v>2025</v>
      </c>
      <c r="S8" s="51">
        <f t="shared" si="0"/>
        <v>2026</v>
      </c>
      <c r="T8" s="51">
        <f t="shared" si="0"/>
        <v>2027</v>
      </c>
    </row>
    <row r="9" spans="1:23" x14ac:dyDescent="0.4">
      <c r="I9" s="3"/>
      <c r="J9" s="60"/>
    </row>
    <row r="10" spans="1:23" x14ac:dyDescent="0.25">
      <c r="A10" s="1" t="s">
        <v>274</v>
      </c>
      <c r="B10" s="55" t="s">
        <v>855</v>
      </c>
      <c r="C10" s="55"/>
      <c r="F10" s="67"/>
      <c r="G10" s="67"/>
      <c r="H10" s="67"/>
      <c r="I10" s="67"/>
      <c r="J10" s="73"/>
      <c r="K10" s="556">
        <v>224479</v>
      </c>
      <c r="L10" s="556">
        <v>256106.40317474864</v>
      </c>
      <c r="M10" s="556">
        <v>290713.31241048686</v>
      </c>
      <c r="N10" s="556">
        <v>331441.29167177546</v>
      </c>
      <c r="O10" s="556">
        <v>390409.58563668322</v>
      </c>
      <c r="P10" s="556"/>
      <c r="Q10" s="556"/>
      <c r="R10" s="556"/>
      <c r="S10" s="556"/>
      <c r="T10" s="556"/>
    </row>
    <row r="11" spans="1:23" x14ac:dyDescent="0.25">
      <c r="B11" s="55"/>
      <c r="C11" s="55" t="s">
        <v>53</v>
      </c>
      <c r="F11" s="67"/>
      <c r="G11" s="67"/>
      <c r="H11" s="67"/>
      <c r="I11" s="67"/>
      <c r="J11" s="73"/>
      <c r="K11" s="541">
        <f ca="1">'Income Statement'!K30</f>
        <v>24849.13878302398</v>
      </c>
      <c r="L11" s="541">
        <f ca="1">'Income Statement'!L30</f>
        <v>27781.923664210874</v>
      </c>
      <c r="M11" s="541">
        <f ca="1">'Income Statement'!M30</f>
        <v>36232.255412073595</v>
      </c>
      <c r="N11" s="541">
        <f ca="1">'Income Statement'!N30</f>
        <v>56435.696335656838</v>
      </c>
      <c r="O11" s="541">
        <f ca="1">'Income Statement'!O30</f>
        <v>71082.91709340259</v>
      </c>
      <c r="P11" s="541"/>
      <c r="Q11" s="541"/>
      <c r="R11" s="541"/>
      <c r="S11" s="541"/>
      <c r="T11" s="541"/>
    </row>
    <row r="12" spans="1:23" x14ac:dyDescent="0.25">
      <c r="B12" s="55"/>
      <c r="C12" s="55" t="s">
        <v>176</v>
      </c>
      <c r="F12" s="67"/>
      <c r="G12" s="541">
        <f>Operations!G90</f>
        <v>165</v>
      </c>
      <c r="H12" s="541">
        <f>Operations!H90</f>
        <v>16681</v>
      </c>
      <c r="I12" s="541">
        <f>Operations!I90</f>
        <v>5354</v>
      </c>
      <c r="J12" s="542">
        <f>Operations!J90</f>
        <v>5623</v>
      </c>
      <c r="K12" s="541">
        <f>Operations!K90</f>
        <v>5623</v>
      </c>
      <c r="L12" s="541">
        <f>Operations!L90</f>
        <v>5623</v>
      </c>
      <c r="M12" s="541">
        <f>Operations!M90</f>
        <v>5623</v>
      </c>
      <c r="N12" s="541">
        <f>Operations!N90</f>
        <v>5623</v>
      </c>
      <c r="O12" s="541">
        <f>Operations!O90</f>
        <v>5623</v>
      </c>
      <c r="P12" s="541"/>
      <c r="Q12" s="541"/>
      <c r="R12" s="541"/>
      <c r="S12" s="541"/>
      <c r="T12" s="541"/>
    </row>
    <row r="13" spans="1:23" x14ac:dyDescent="0.25">
      <c r="B13" s="55"/>
      <c r="C13" s="55" t="s">
        <v>179</v>
      </c>
      <c r="F13" s="67"/>
      <c r="G13" s="67"/>
      <c r="H13" s="67"/>
      <c r="I13" s="67"/>
      <c r="J13" s="73"/>
      <c r="K13" s="556">
        <v>0</v>
      </c>
      <c r="L13" s="556">
        <v>0</v>
      </c>
      <c r="M13" s="556">
        <v>-284.21789292508981</v>
      </c>
      <c r="N13" s="556">
        <v>-387.59722215520418</v>
      </c>
      <c r="O13" s="556">
        <v>-422.69151936148256</v>
      </c>
      <c r="P13" s="556"/>
      <c r="Q13" s="556"/>
      <c r="R13" s="556"/>
      <c r="S13" s="556"/>
      <c r="T13" s="556"/>
    </row>
    <row r="14" spans="1:23" x14ac:dyDescent="0.25">
      <c r="B14" s="55"/>
      <c r="C14" s="55" t="s">
        <v>856</v>
      </c>
      <c r="F14" s="67"/>
      <c r="G14" s="67"/>
      <c r="H14" s="67"/>
      <c r="I14" s="67"/>
      <c r="J14" s="73"/>
      <c r="K14" s="556">
        <v>0</v>
      </c>
      <c r="L14" s="556">
        <v>0</v>
      </c>
      <c r="M14" s="556">
        <v>-1852.0630081165091</v>
      </c>
      <c r="N14" s="556">
        <v>-2817.5205887927873</v>
      </c>
      <c r="O14" s="556">
        <v>-3473.8649570861253</v>
      </c>
      <c r="P14" s="556"/>
      <c r="Q14" s="556"/>
      <c r="R14" s="556"/>
      <c r="S14" s="556"/>
      <c r="T14" s="556"/>
    </row>
    <row r="15" spans="1:23" x14ac:dyDescent="0.25">
      <c r="B15" s="55"/>
      <c r="C15" s="55" t="s">
        <v>857</v>
      </c>
      <c r="F15" s="67"/>
      <c r="G15" s="67"/>
      <c r="H15" s="67"/>
      <c r="I15" s="67"/>
      <c r="J15" s="73"/>
      <c r="K15" s="556">
        <v>200</v>
      </c>
      <c r="L15" s="556">
        <v>200</v>
      </c>
      <c r="M15" s="556">
        <v>200</v>
      </c>
      <c r="N15" s="556">
        <v>200</v>
      </c>
      <c r="O15" s="556">
        <v>200</v>
      </c>
      <c r="P15" s="556"/>
      <c r="Q15" s="556"/>
      <c r="R15" s="556"/>
      <c r="S15" s="556"/>
      <c r="T15" s="556"/>
    </row>
    <row r="16" spans="1:23" x14ac:dyDescent="0.25">
      <c r="B16" s="158"/>
      <c r="C16" s="76" t="s">
        <v>929</v>
      </c>
      <c r="D16" s="76"/>
      <c r="E16" s="76"/>
      <c r="F16" s="145"/>
      <c r="G16" s="145"/>
      <c r="H16" s="145"/>
      <c r="I16" s="145"/>
      <c r="J16" s="146"/>
      <c r="K16" s="543">
        <v>0</v>
      </c>
      <c r="L16" s="543">
        <v>0</v>
      </c>
      <c r="M16" s="543">
        <v>0</v>
      </c>
      <c r="N16" s="543">
        <v>0</v>
      </c>
      <c r="O16" s="543">
        <v>0</v>
      </c>
      <c r="P16" s="543"/>
      <c r="Q16" s="543"/>
      <c r="R16" s="543"/>
      <c r="S16" s="543"/>
      <c r="T16" s="543"/>
    </row>
    <row r="17" spans="1:22" s="2" customFormat="1" x14ac:dyDescent="0.25">
      <c r="A17" s="1" t="s">
        <v>274</v>
      </c>
      <c r="B17" s="69" t="s">
        <v>858</v>
      </c>
      <c r="C17" s="69"/>
      <c r="F17" s="138"/>
      <c r="G17" s="549">
        <f>'Balance Sheet'!G36</f>
        <v>12600</v>
      </c>
      <c r="H17" s="549">
        <f>'Balance Sheet'!H36</f>
        <v>157019</v>
      </c>
      <c r="I17" s="549">
        <f>'Balance Sheet'!I36</f>
        <v>201353</v>
      </c>
      <c r="J17" s="550">
        <f>'Balance Sheet'!J36</f>
        <v>224479</v>
      </c>
      <c r="K17" s="551">
        <f ca="1">SUM(K10:K16)</f>
        <v>255151.13878302398</v>
      </c>
      <c r="L17" s="551">
        <f ca="1">SUM(L10:L16)</f>
        <v>289711.32683895953</v>
      </c>
      <c r="M17" s="551">
        <f ca="1">SUM(M10:M16)</f>
        <v>330632.28692151885</v>
      </c>
      <c r="N17" s="551">
        <f ca="1">SUM(N10:N16)</f>
        <v>390494.87019648432</v>
      </c>
      <c r="O17" s="551">
        <f ca="1">SUM(O10:O16)</f>
        <v>463418.94625363825</v>
      </c>
      <c r="P17" s="551"/>
      <c r="Q17" s="551"/>
      <c r="R17" s="551"/>
      <c r="S17" s="551"/>
      <c r="T17" s="551"/>
    </row>
    <row r="18" spans="1:22" x14ac:dyDescent="0.25">
      <c r="B18" s="55"/>
      <c r="C18" s="55"/>
      <c r="F18" s="67"/>
      <c r="G18" s="67"/>
      <c r="H18" s="67"/>
      <c r="I18" s="67"/>
      <c r="J18" s="73"/>
      <c r="K18" s="67"/>
      <c r="L18" s="67"/>
      <c r="M18" s="67"/>
      <c r="N18" s="67"/>
      <c r="O18" s="67"/>
      <c r="P18" s="67"/>
      <c r="Q18" s="67"/>
      <c r="R18" s="67"/>
      <c r="S18" s="67"/>
      <c r="T18" s="67"/>
    </row>
    <row r="19" spans="1:22" x14ac:dyDescent="0.25">
      <c r="A19" s="1" t="s">
        <v>274</v>
      </c>
      <c r="B19" s="68" t="s">
        <v>859</v>
      </c>
      <c r="C19" s="55"/>
      <c r="F19" s="67"/>
      <c r="G19" s="67"/>
      <c r="H19" s="67"/>
      <c r="I19" s="67"/>
      <c r="J19" s="73"/>
      <c r="K19" s="67"/>
      <c r="L19" s="67"/>
      <c r="M19" s="67"/>
      <c r="N19" s="67"/>
      <c r="O19" s="67"/>
      <c r="P19" s="67"/>
      <c r="Q19" s="67"/>
      <c r="R19" s="67"/>
      <c r="S19" s="67"/>
      <c r="T19" s="67"/>
    </row>
    <row r="20" spans="1:22" x14ac:dyDescent="0.25">
      <c r="B20" s="55"/>
      <c r="C20" s="55" t="s">
        <v>860</v>
      </c>
      <c r="F20" s="67"/>
      <c r="G20" s="67"/>
      <c r="H20" s="561">
        <f>'Income Statement'!H37</f>
        <v>0.14888327298810872</v>
      </c>
      <c r="I20" s="561">
        <f>'Income Statement'!I37</f>
        <v>0.86949048352363434</v>
      </c>
      <c r="J20" s="562">
        <f>'Income Statement'!J37</f>
        <v>0.3280874183829921</v>
      </c>
      <c r="K20" s="561">
        <f ca="1">'Income Statement'!K37</f>
        <v>0.65777920917651544</v>
      </c>
      <c r="L20" s="561">
        <f ca="1">'Income Statement'!L37</f>
        <v>0.73521806229245068</v>
      </c>
      <c r="M20" s="561">
        <f ca="1">'Income Statement'!M37</f>
        <v>0.95865652704613635</v>
      </c>
      <c r="N20" s="561">
        <f ca="1">'Income Statement'!N37</f>
        <v>1.493014762498331</v>
      </c>
      <c r="O20" s="561">
        <f ca="1">'Income Statement'!O37</f>
        <v>1.8802604590481038</v>
      </c>
      <c r="P20" s="561"/>
      <c r="Q20" s="561"/>
      <c r="R20" s="561"/>
      <c r="S20" s="561"/>
      <c r="T20" s="561"/>
      <c r="U20" s="150" t="s">
        <v>852</v>
      </c>
    </row>
    <row r="21" spans="1:22" ht="15.6" x14ac:dyDescent="0.25">
      <c r="B21" s="55"/>
      <c r="C21" s="55" t="s">
        <v>861</v>
      </c>
      <c r="F21" s="67"/>
      <c r="G21" s="67"/>
      <c r="H21" s="564">
        <f>H22/H20</f>
        <v>240.25533078425102</v>
      </c>
      <c r="I21" s="564">
        <f>I22/I20</f>
        <v>35.825578991691501</v>
      </c>
      <c r="J21" s="565">
        <f>J22/J20</f>
        <v>118.87075765420983</v>
      </c>
      <c r="K21" s="152">
        <v>70</v>
      </c>
      <c r="L21" s="566">
        <f>K21-6</f>
        <v>64</v>
      </c>
      <c r="M21" s="566">
        <f>L21-6</f>
        <v>58</v>
      </c>
      <c r="N21" s="566">
        <f>M21-6</f>
        <v>52</v>
      </c>
      <c r="O21" s="566">
        <f>N21-6</f>
        <v>46</v>
      </c>
      <c r="P21" s="566"/>
      <c r="Q21" s="566"/>
      <c r="R21" s="566"/>
      <c r="S21" s="566"/>
      <c r="T21" s="566"/>
      <c r="U21" s="157">
        <v>-6</v>
      </c>
      <c r="V21" s="606" t="s">
        <v>1651</v>
      </c>
    </row>
    <row r="22" spans="1:22" x14ac:dyDescent="0.25">
      <c r="B22" s="55"/>
      <c r="C22" s="55" t="s">
        <v>862</v>
      </c>
      <c r="F22" s="67"/>
      <c r="G22" s="67"/>
      <c r="H22" s="561">
        <f>'Historical Capitalization'!H18</f>
        <v>35.770000000000003</v>
      </c>
      <c r="I22" s="561">
        <f>'Historical Capitalization'!L18</f>
        <v>31.15</v>
      </c>
      <c r="J22" s="562">
        <f>'Historical Capitalization'!P18</f>
        <v>39</v>
      </c>
      <c r="K22" s="563">
        <f ca="1">K21*K20</f>
        <v>46.04454464235608</v>
      </c>
      <c r="L22" s="563">
        <f ca="1">L21*L20</f>
        <v>47.053955986716844</v>
      </c>
      <c r="M22" s="563">
        <f ca="1">M21*M20</f>
        <v>55.602078568675907</v>
      </c>
      <c r="N22" s="563">
        <f ca="1">N21*N20</f>
        <v>77.63676764991321</v>
      </c>
      <c r="O22" s="563">
        <f ca="1">O21*O20</f>
        <v>86.49198111621277</v>
      </c>
      <c r="P22" s="563"/>
      <c r="Q22" s="563"/>
      <c r="R22" s="563"/>
      <c r="S22" s="563"/>
      <c r="T22" s="563"/>
    </row>
    <row r="23" spans="1:22" ht="15.6" x14ac:dyDescent="0.25">
      <c r="B23" s="55"/>
      <c r="C23" s="158" t="s">
        <v>874</v>
      </c>
      <c r="D23" s="76"/>
      <c r="E23" s="76"/>
      <c r="F23" s="145"/>
      <c r="G23" s="145"/>
      <c r="H23" s="145"/>
      <c r="I23" s="145"/>
      <c r="J23" s="146"/>
      <c r="K23" s="511">
        <v>0</v>
      </c>
      <c r="L23" s="511">
        <v>0</v>
      </c>
      <c r="M23" s="511">
        <v>5</v>
      </c>
      <c r="N23" s="511">
        <v>5</v>
      </c>
      <c r="O23" s="511">
        <v>5</v>
      </c>
      <c r="P23" s="511">
        <v>5</v>
      </c>
      <c r="Q23" s="511">
        <v>5</v>
      </c>
      <c r="R23" s="511">
        <v>5</v>
      </c>
      <c r="S23" s="511">
        <v>5</v>
      </c>
      <c r="T23" s="511">
        <v>5</v>
      </c>
      <c r="U23" s="611" t="s">
        <v>1652</v>
      </c>
    </row>
    <row r="24" spans="1:22" x14ac:dyDescent="0.25">
      <c r="B24" s="55"/>
      <c r="C24" s="55" t="s">
        <v>863</v>
      </c>
      <c r="F24" s="67"/>
      <c r="G24" s="67"/>
      <c r="H24" s="67"/>
      <c r="I24" s="67"/>
      <c r="J24" s="73"/>
      <c r="K24" s="547">
        <f ca="1">K22*K23</f>
        <v>0</v>
      </c>
      <c r="L24" s="547">
        <f ca="1">L22*L23</f>
        <v>0</v>
      </c>
      <c r="M24" s="547">
        <f ca="1">M22*M23</f>
        <v>278.01039284337952</v>
      </c>
      <c r="N24" s="547">
        <f ca="1">N22*N23</f>
        <v>388.18383824956607</v>
      </c>
      <c r="O24" s="547">
        <f ca="1">O22*O23</f>
        <v>432.45990558106382</v>
      </c>
      <c r="P24" s="547"/>
      <c r="Q24" s="547"/>
      <c r="R24" s="547"/>
      <c r="S24" s="547"/>
      <c r="T24" s="547"/>
    </row>
    <row r="25" spans="1:22" x14ac:dyDescent="0.25">
      <c r="B25" s="55"/>
      <c r="C25" s="55"/>
      <c r="F25" s="67"/>
      <c r="G25" s="67"/>
      <c r="H25" s="67"/>
      <c r="I25" s="67"/>
      <c r="J25" s="73"/>
      <c r="K25" s="67"/>
      <c r="L25" s="67"/>
      <c r="M25" s="67"/>
      <c r="N25" s="67"/>
      <c r="O25" s="67"/>
      <c r="P25" s="67"/>
      <c r="Q25" s="67"/>
      <c r="R25" s="67"/>
      <c r="S25" s="67"/>
      <c r="T25" s="67"/>
    </row>
    <row r="26" spans="1:22" x14ac:dyDescent="0.25">
      <c r="A26" s="1" t="s">
        <v>274</v>
      </c>
      <c r="B26" s="68" t="s">
        <v>866</v>
      </c>
      <c r="C26" s="55"/>
      <c r="F26" s="67"/>
      <c r="G26" s="67"/>
      <c r="H26" s="67"/>
      <c r="I26" s="67"/>
      <c r="J26" s="73"/>
      <c r="K26" s="67"/>
      <c r="L26" s="67"/>
      <c r="M26" s="67"/>
      <c r="N26" s="67"/>
      <c r="O26" s="67"/>
      <c r="P26" s="67"/>
      <c r="Q26" s="67"/>
      <c r="R26" s="67"/>
      <c r="S26" s="67"/>
      <c r="T26" s="67"/>
    </row>
    <row r="27" spans="1:22" x14ac:dyDescent="0.25">
      <c r="B27" s="55"/>
      <c r="C27" s="55" t="s">
        <v>867</v>
      </c>
      <c r="F27" s="140"/>
      <c r="G27" s="140">
        <v>0</v>
      </c>
      <c r="H27" s="140">
        <v>0</v>
      </c>
      <c r="I27" s="140">
        <v>0</v>
      </c>
      <c r="J27" s="156">
        <v>0</v>
      </c>
      <c r="K27" s="547">
        <f ca="1">K28*K29</f>
        <v>0</v>
      </c>
      <c r="L27" s="547">
        <f ca="1">L28*L29</f>
        <v>0</v>
      </c>
      <c r="M27" s="547">
        <f ca="1">M28*M29</f>
        <v>1811.6127706036798</v>
      </c>
      <c r="N27" s="547">
        <f ca="1">N28*N29</f>
        <v>2821.784816782842</v>
      </c>
      <c r="O27" s="547">
        <f ca="1">O28*O29</f>
        <v>3554.1458546701297</v>
      </c>
      <c r="P27" s="547"/>
      <c r="Q27" s="547"/>
      <c r="R27" s="547"/>
      <c r="S27" s="547"/>
      <c r="T27" s="547"/>
    </row>
    <row r="28" spans="1:22" x14ac:dyDescent="0.25">
      <c r="B28" s="55"/>
      <c r="C28" s="55" t="s">
        <v>53</v>
      </c>
      <c r="F28" s="67"/>
      <c r="G28" s="541">
        <f>'Income Statement'!G30</f>
        <v>2118</v>
      </c>
      <c r="H28" s="541">
        <f>'Income Statement'!H30</f>
        <v>3124</v>
      </c>
      <c r="I28" s="541">
        <f>'Income Statement'!I30</f>
        <v>22146</v>
      </c>
      <c r="J28" s="542">
        <f>'Income Statement'!J30</f>
        <v>8884</v>
      </c>
      <c r="K28" s="541">
        <f ca="1">'Income Statement'!K30</f>
        <v>24849.13878302398</v>
      </c>
      <c r="L28" s="541">
        <f ca="1">'Income Statement'!L30</f>
        <v>27781.923664210874</v>
      </c>
      <c r="M28" s="541">
        <f ca="1">'Income Statement'!M30</f>
        <v>36232.255412073595</v>
      </c>
      <c r="N28" s="541">
        <f ca="1">'Income Statement'!N30</f>
        <v>56435.696335656838</v>
      </c>
      <c r="O28" s="541">
        <f ca="1">'Income Statement'!O30</f>
        <v>71082.91709340259</v>
      </c>
      <c r="P28" s="541"/>
      <c r="Q28" s="541"/>
      <c r="R28" s="541"/>
      <c r="S28" s="541"/>
      <c r="T28" s="541"/>
    </row>
    <row r="29" spans="1:22" x14ac:dyDescent="0.25">
      <c r="B29" s="55"/>
      <c r="C29" s="55" t="s">
        <v>868</v>
      </c>
      <c r="F29" s="155"/>
      <c r="G29" s="559">
        <f>G27/G28</f>
        <v>0</v>
      </c>
      <c r="H29" s="559">
        <f>H27/H28</f>
        <v>0</v>
      </c>
      <c r="I29" s="559">
        <f>I27/I28</f>
        <v>0</v>
      </c>
      <c r="J29" s="560">
        <f>J27/J28</f>
        <v>0</v>
      </c>
      <c r="K29" s="75">
        <v>0</v>
      </c>
      <c r="L29" s="75">
        <v>0</v>
      </c>
      <c r="M29" s="75">
        <v>0.05</v>
      </c>
      <c r="N29" s="75">
        <v>0.05</v>
      </c>
      <c r="O29" s="75">
        <v>0.05</v>
      </c>
      <c r="P29" s="75">
        <v>0.05</v>
      </c>
      <c r="Q29" s="75">
        <v>0.1</v>
      </c>
      <c r="R29" s="75">
        <v>0.1</v>
      </c>
      <c r="S29" s="75">
        <v>0.1</v>
      </c>
      <c r="T29" s="75">
        <v>0.1</v>
      </c>
    </row>
    <row r="30" spans="1:22" x14ac:dyDescent="0.4">
      <c r="F30" s="67"/>
      <c r="G30" s="67"/>
      <c r="H30" s="67"/>
      <c r="I30" s="67"/>
      <c r="J30" s="73"/>
      <c r="K30" s="67"/>
      <c r="L30" s="67"/>
      <c r="M30" s="67"/>
      <c r="N30" s="67"/>
      <c r="O30" s="67"/>
      <c r="P30" s="67"/>
      <c r="Q30" s="67"/>
      <c r="R30" s="67"/>
      <c r="S30" s="67"/>
      <c r="T30" s="67"/>
    </row>
    <row r="31" spans="1:22" x14ac:dyDescent="0.25">
      <c r="A31" s="1" t="s">
        <v>274</v>
      </c>
      <c r="B31" s="68" t="s">
        <v>864</v>
      </c>
      <c r="C31" s="55"/>
      <c r="F31" s="67"/>
      <c r="G31" s="67"/>
      <c r="H31" s="67"/>
      <c r="I31" s="67"/>
      <c r="J31" s="73"/>
      <c r="K31" s="67"/>
      <c r="L31" s="67"/>
      <c r="M31" s="67"/>
      <c r="N31" s="67"/>
      <c r="O31" s="67"/>
      <c r="P31" s="67"/>
      <c r="Q31" s="67"/>
      <c r="R31" s="67"/>
      <c r="S31" s="67"/>
      <c r="T31" s="67"/>
    </row>
    <row r="32" spans="1:22" ht="15.6" x14ac:dyDescent="0.25">
      <c r="B32" s="55"/>
      <c r="C32" s="55" t="s">
        <v>875</v>
      </c>
      <c r="F32" s="67"/>
      <c r="G32" s="67"/>
      <c r="H32" s="67"/>
      <c r="I32" s="67"/>
      <c r="J32" s="73"/>
      <c r="K32" s="74">
        <v>10</v>
      </c>
      <c r="L32" s="74">
        <v>10</v>
      </c>
      <c r="M32" s="74">
        <v>10</v>
      </c>
      <c r="N32" s="74">
        <v>10</v>
      </c>
      <c r="O32" s="74">
        <v>10</v>
      </c>
      <c r="P32" s="74">
        <v>10</v>
      </c>
      <c r="Q32" s="74">
        <v>10</v>
      </c>
      <c r="R32" s="74">
        <v>10</v>
      </c>
      <c r="S32" s="74">
        <v>10</v>
      </c>
      <c r="T32" s="74">
        <v>10</v>
      </c>
      <c r="U32" s="1" t="s">
        <v>1653</v>
      </c>
    </row>
    <row r="33" spans="1:21" ht="15.6" x14ac:dyDescent="0.25">
      <c r="B33" s="55"/>
      <c r="C33" s="158" t="s">
        <v>865</v>
      </c>
      <c r="D33" s="76"/>
      <c r="E33" s="76"/>
      <c r="F33" s="145"/>
      <c r="G33" s="145"/>
      <c r="H33" s="145"/>
      <c r="I33" s="145"/>
      <c r="J33" s="146"/>
      <c r="K33" s="512">
        <v>20</v>
      </c>
      <c r="L33" s="512">
        <v>20</v>
      </c>
      <c r="M33" s="512">
        <v>20</v>
      </c>
      <c r="N33" s="512">
        <v>20</v>
      </c>
      <c r="O33" s="512">
        <v>20</v>
      </c>
      <c r="P33" s="512">
        <v>20</v>
      </c>
      <c r="Q33" s="512">
        <v>20</v>
      </c>
      <c r="R33" s="512">
        <v>20</v>
      </c>
      <c r="S33" s="512">
        <v>20</v>
      </c>
      <c r="T33" s="512">
        <v>20</v>
      </c>
      <c r="U33" s="1" t="s">
        <v>1654</v>
      </c>
    </row>
    <row r="34" spans="1:21" x14ac:dyDescent="0.25">
      <c r="B34" s="55"/>
      <c r="C34" s="55" t="s">
        <v>857</v>
      </c>
      <c r="F34" s="67"/>
      <c r="G34" s="67"/>
      <c r="H34" s="67"/>
      <c r="I34" s="67"/>
      <c r="J34" s="73"/>
      <c r="K34" s="547">
        <f>K32*K33</f>
        <v>200</v>
      </c>
      <c r="L34" s="547">
        <f>L32*L33</f>
        <v>200</v>
      </c>
      <c r="M34" s="547">
        <f>M32*M33</f>
        <v>200</v>
      </c>
      <c r="N34" s="547">
        <f>N32*N33</f>
        <v>200</v>
      </c>
      <c r="O34" s="547">
        <f>O32*O33</f>
        <v>200</v>
      </c>
      <c r="P34" s="547"/>
      <c r="Q34" s="547"/>
      <c r="R34" s="547"/>
      <c r="S34" s="547"/>
      <c r="T34" s="547"/>
      <c r="U34" s="611" t="s">
        <v>1464</v>
      </c>
    </row>
    <row r="35" spans="1:21" x14ac:dyDescent="0.4">
      <c r="A35" s="1" t="s">
        <v>274</v>
      </c>
    </row>
  </sheetData>
  <phoneticPr fontId="1" type="noConversion"/>
  <pageMargins left="0.7" right="0.7" top="0.75" bottom="0.75" header="0.3" footer="0.3"/>
  <pageSetup paperSize="9" orientation="portrait" horizontalDpi="4294967292" r:id="rId1"/>
  <customProperties>
    <customPr name="Guid" r:id="rId2"/>
  </customProperties>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37"/>
  <sheetViews>
    <sheetView showGridLines="0" zoomScaleNormal="100" workbookViewId="0">
      <selection activeCell="Y18" sqref="Y18"/>
    </sheetView>
  </sheetViews>
  <sheetFormatPr defaultColWidth="8.59765625" defaultRowHeight="13.2" outlineLevelCol="1" x14ac:dyDescent="0.4"/>
  <cols>
    <col min="1" max="3" width="2.59765625" style="1" customWidth="1"/>
    <col min="4" max="5" width="13.59765625" style="1" customWidth="1"/>
    <col min="6" max="7" width="10.59765625" style="1" hidden="1" customWidth="1" outlineLevel="1"/>
    <col min="8" max="8" width="10.59765625" style="1" customWidth="1" collapsed="1"/>
    <col min="9" max="15" width="10.59765625" style="1" customWidth="1"/>
    <col min="16" max="20" width="10.59765625" style="1" hidden="1" customWidth="1" outlineLevel="1"/>
    <col min="21" max="21" width="8.59765625" style="1" collapsed="1"/>
    <col min="22" max="16384" width="8.59765625" style="1"/>
  </cols>
  <sheetData>
    <row r="1" spans="1:23" ht="8.1" customHeight="1" x14ac:dyDescent="0.4"/>
    <row r="2" spans="1:23" x14ac:dyDescent="0.4">
      <c r="B2" s="2" t="s">
        <v>229</v>
      </c>
    </row>
    <row r="3" spans="1:23" s="53" customFormat="1" ht="18" thickBot="1" x14ac:dyDescent="0.35">
      <c r="A3" s="52"/>
      <c r="B3" s="58" t="s">
        <v>883</v>
      </c>
      <c r="W3" s="54"/>
    </row>
    <row r="4" spans="1:23" s="55" customFormat="1" x14ac:dyDescent="0.25">
      <c r="A4" s="52"/>
      <c r="B4" s="57" t="s">
        <v>884</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T8" si="0">G8+1</f>
        <v>2015</v>
      </c>
      <c r="I8" s="49">
        <f t="shared" si="0"/>
        <v>2016</v>
      </c>
      <c r="J8" s="59">
        <f t="shared" si="0"/>
        <v>2017</v>
      </c>
      <c r="K8" s="51">
        <f t="shared" si="0"/>
        <v>2018</v>
      </c>
      <c r="L8" s="51">
        <f t="shared" si="0"/>
        <v>2019</v>
      </c>
      <c r="M8" s="51">
        <f t="shared" si="0"/>
        <v>2020</v>
      </c>
      <c r="N8" s="51">
        <f t="shared" si="0"/>
        <v>2021</v>
      </c>
      <c r="O8" s="51">
        <f t="shared" si="0"/>
        <v>2022</v>
      </c>
      <c r="P8" s="51">
        <f t="shared" si="0"/>
        <v>2023</v>
      </c>
      <c r="Q8" s="51">
        <f t="shared" si="0"/>
        <v>2024</v>
      </c>
      <c r="R8" s="51">
        <f t="shared" si="0"/>
        <v>2025</v>
      </c>
      <c r="S8" s="51">
        <f t="shared" si="0"/>
        <v>2026</v>
      </c>
      <c r="T8" s="51">
        <f t="shared" si="0"/>
        <v>2027</v>
      </c>
    </row>
    <row r="9" spans="1:23" x14ac:dyDescent="0.4">
      <c r="I9" s="3"/>
      <c r="J9" s="60"/>
    </row>
    <row r="10" spans="1:23" x14ac:dyDescent="0.4">
      <c r="A10" s="1" t="s">
        <v>274</v>
      </c>
      <c r="B10" s="1" t="s">
        <v>876</v>
      </c>
      <c r="F10" s="67"/>
      <c r="G10" s="67"/>
      <c r="H10" s="67"/>
      <c r="I10" s="67"/>
      <c r="J10" s="73"/>
      <c r="K10" s="556">
        <f>J13</f>
        <v>27078.149000000001</v>
      </c>
      <c r="L10" s="556">
        <f t="shared" ref="L10:O10" si="1">K13</f>
        <v>27088.149000000001</v>
      </c>
      <c r="M10" s="556">
        <f t="shared" si="1"/>
        <v>27098.149000000001</v>
      </c>
      <c r="N10" s="556">
        <f t="shared" si="1"/>
        <v>27103.149000000001</v>
      </c>
      <c r="O10" s="556">
        <f t="shared" si="1"/>
        <v>27108.149000000001</v>
      </c>
      <c r="P10" s="137">
        <f>+O13</f>
        <v>27113.149000000001</v>
      </c>
      <c r="Q10" s="137">
        <f>+P13</f>
        <v>27118.149000000001</v>
      </c>
      <c r="R10" s="137">
        <f>+Q13</f>
        <v>27123.149000000001</v>
      </c>
      <c r="S10" s="137">
        <f>+R13</f>
        <v>27128.149000000001</v>
      </c>
      <c r="T10" s="137">
        <f>+S13</f>
        <v>27133.149000000001</v>
      </c>
      <c r="U10" s="67"/>
      <c r="V10" s="67"/>
      <c r="W10" s="67"/>
    </row>
    <row r="11" spans="1:23" x14ac:dyDescent="0.4">
      <c r="C11" s="1" t="s">
        <v>877</v>
      </c>
      <c r="F11" s="67"/>
      <c r="G11" s="67"/>
      <c r="H11" s="67"/>
      <c r="I11" s="67"/>
      <c r="J11" s="73"/>
      <c r="K11" s="541">
        <v>10</v>
      </c>
      <c r="L11" s="541">
        <v>10</v>
      </c>
      <c r="M11" s="541">
        <v>10</v>
      </c>
      <c r="N11" s="541">
        <v>10</v>
      </c>
      <c r="O11" s="541">
        <v>10</v>
      </c>
      <c r="P11" s="67">
        <f>+Equity!P32</f>
        <v>10</v>
      </c>
      <c r="Q11" s="67">
        <f>+Equity!Q32</f>
        <v>10</v>
      </c>
      <c r="R11" s="67">
        <f>+Equity!R32</f>
        <v>10</v>
      </c>
      <c r="S11" s="67">
        <f>+Equity!S32</f>
        <v>10</v>
      </c>
      <c r="T11" s="67">
        <f>+Equity!T32</f>
        <v>10</v>
      </c>
      <c r="U11" s="67"/>
      <c r="V11" s="67"/>
      <c r="W11" s="67"/>
    </row>
    <row r="12" spans="1:23" x14ac:dyDescent="0.4">
      <c r="B12" s="76"/>
      <c r="C12" s="76" t="s">
        <v>878</v>
      </c>
      <c r="D12" s="76"/>
      <c r="E12" s="76"/>
      <c r="F12" s="145"/>
      <c r="G12" s="145"/>
      <c r="H12" s="145"/>
      <c r="I12" s="145"/>
      <c r="J12" s="146"/>
      <c r="K12" s="543">
        <v>0</v>
      </c>
      <c r="L12" s="543">
        <v>0</v>
      </c>
      <c r="M12" s="543">
        <v>-5</v>
      </c>
      <c r="N12" s="543">
        <v>-5</v>
      </c>
      <c r="O12" s="543">
        <v>-5</v>
      </c>
      <c r="P12" s="145">
        <f>-Equity!P23</f>
        <v>-5</v>
      </c>
      <c r="Q12" s="145">
        <f>-Equity!Q23</f>
        <v>-5</v>
      </c>
      <c r="R12" s="145">
        <f>-Equity!R23</f>
        <v>-5</v>
      </c>
      <c r="S12" s="145">
        <f>-Equity!S23</f>
        <v>-5</v>
      </c>
      <c r="T12" s="145">
        <f>-Equity!T23</f>
        <v>-5</v>
      </c>
      <c r="U12" s="67"/>
      <c r="V12" s="67"/>
      <c r="W12" s="67"/>
    </row>
    <row r="13" spans="1:23" s="2" customFormat="1" x14ac:dyDescent="0.4">
      <c r="B13" s="2" t="s">
        <v>879</v>
      </c>
      <c r="F13" s="138"/>
      <c r="G13" s="138"/>
      <c r="H13" s="138"/>
      <c r="I13" s="138"/>
      <c r="J13" s="567">
        <f>'Income Statement'!J36</f>
        <v>27078.149000000001</v>
      </c>
      <c r="K13" s="551">
        <f>SUM(K10:K12)</f>
        <v>27088.149000000001</v>
      </c>
      <c r="L13" s="551">
        <f t="shared" ref="L13:O13" si="2">SUM(L10:L12)</f>
        <v>27098.149000000001</v>
      </c>
      <c r="M13" s="551">
        <f t="shared" si="2"/>
        <v>27103.149000000001</v>
      </c>
      <c r="N13" s="551">
        <f t="shared" si="2"/>
        <v>27108.149000000001</v>
      </c>
      <c r="O13" s="551">
        <f t="shared" si="2"/>
        <v>27113.149000000001</v>
      </c>
      <c r="P13" s="141">
        <f>+SUM(P10:P12)</f>
        <v>27118.149000000001</v>
      </c>
      <c r="Q13" s="141">
        <f>+SUM(Q10:Q12)</f>
        <v>27123.149000000001</v>
      </c>
      <c r="R13" s="141">
        <f>+SUM(R10:R12)</f>
        <v>27128.149000000001</v>
      </c>
      <c r="S13" s="141">
        <f>+SUM(S10:S12)</f>
        <v>27133.149000000001</v>
      </c>
      <c r="T13" s="141">
        <f>+SUM(T10:T12)</f>
        <v>27138.149000000001</v>
      </c>
      <c r="U13" s="138"/>
      <c r="V13" s="138"/>
      <c r="W13" s="138"/>
    </row>
    <row r="14" spans="1:23" x14ac:dyDescent="0.4">
      <c r="F14" s="67"/>
      <c r="G14" s="67"/>
      <c r="H14" s="67"/>
      <c r="I14" s="67"/>
      <c r="J14" s="73"/>
      <c r="K14" s="67"/>
      <c r="L14" s="67"/>
      <c r="M14" s="67"/>
      <c r="N14" s="67"/>
      <c r="O14" s="67"/>
      <c r="P14" s="67"/>
      <c r="Q14" s="67"/>
      <c r="R14" s="67"/>
      <c r="S14" s="67"/>
      <c r="T14" s="67"/>
      <c r="U14" s="67"/>
      <c r="V14" s="67"/>
      <c r="W14" s="67"/>
    </row>
    <row r="15" spans="1:23" x14ac:dyDescent="0.4">
      <c r="B15" s="1" t="s">
        <v>880</v>
      </c>
      <c r="F15" s="67"/>
      <c r="G15" s="67"/>
      <c r="H15" s="67"/>
      <c r="I15" s="67"/>
      <c r="J15" s="548">
        <f>J13</f>
        <v>27078.149000000001</v>
      </c>
      <c r="K15" s="547">
        <f>AVERAGE(K10,K13)</f>
        <v>27083.149000000001</v>
      </c>
      <c r="L15" s="547">
        <f t="shared" ref="L15:O15" si="3">AVERAGE(L10,L13)</f>
        <v>27093.149000000001</v>
      </c>
      <c r="M15" s="547">
        <f t="shared" si="3"/>
        <v>27100.649000000001</v>
      </c>
      <c r="N15" s="547">
        <f t="shared" si="3"/>
        <v>27105.649000000001</v>
      </c>
      <c r="O15" s="547">
        <f t="shared" si="3"/>
        <v>27110.649000000001</v>
      </c>
      <c r="P15" s="139">
        <f>+AVERAGE(O13:P13)</f>
        <v>27115.649000000001</v>
      </c>
      <c r="Q15" s="139">
        <f>+AVERAGE(P13:Q13)</f>
        <v>27120.649000000001</v>
      </c>
      <c r="R15" s="139">
        <f>+AVERAGE(Q13:R13)</f>
        <v>27125.649000000001</v>
      </c>
      <c r="S15" s="139">
        <f>+AVERAGE(R13:S13)</f>
        <v>27130.649000000001</v>
      </c>
      <c r="T15" s="139">
        <f>+AVERAGE(S13:T13)</f>
        <v>27135.649000000001</v>
      </c>
      <c r="U15" s="67"/>
      <c r="V15" s="67"/>
      <c r="W15" s="67"/>
    </row>
    <row r="16" spans="1:23" x14ac:dyDescent="0.4">
      <c r="C16" s="1" t="s">
        <v>962</v>
      </c>
      <c r="F16" s="67"/>
      <c r="G16" s="67"/>
      <c r="H16" s="67"/>
      <c r="I16" s="67"/>
      <c r="J16" s="156">
        <v>10250</v>
      </c>
      <c r="K16" s="554">
        <v>10250</v>
      </c>
      <c r="L16" s="554">
        <v>10250</v>
      </c>
      <c r="M16" s="554">
        <v>10250</v>
      </c>
      <c r="N16" s="554">
        <v>10250</v>
      </c>
      <c r="O16" s="554">
        <v>10250</v>
      </c>
      <c r="P16" s="140">
        <f t="shared" ref="P16:T19" si="4">+O16</f>
        <v>10250</v>
      </c>
      <c r="Q16" s="140">
        <f t="shared" si="4"/>
        <v>10250</v>
      </c>
      <c r="R16" s="140">
        <f t="shared" si="4"/>
        <v>10250</v>
      </c>
      <c r="S16" s="140">
        <f t="shared" si="4"/>
        <v>10250</v>
      </c>
      <c r="T16" s="140">
        <f t="shared" si="4"/>
        <v>10250</v>
      </c>
      <c r="U16" s="67"/>
      <c r="V16" s="67"/>
      <c r="W16" s="67"/>
    </row>
    <row r="17" spans="2:23" x14ac:dyDescent="0.4">
      <c r="C17" s="1" t="s">
        <v>881</v>
      </c>
      <c r="F17" s="67"/>
      <c r="G17" s="67"/>
      <c r="H17" s="139"/>
      <c r="I17" s="139"/>
      <c r="J17" s="542">
        <f>SHAK_10K!I58/1000</f>
        <v>274.85772592592593</v>
      </c>
      <c r="K17" s="554">
        <v>274.85772592592593</v>
      </c>
      <c r="L17" s="554">
        <v>274.85772592592593</v>
      </c>
      <c r="M17" s="554">
        <v>274.85772592592593</v>
      </c>
      <c r="N17" s="554">
        <v>274.85772592592593</v>
      </c>
      <c r="O17" s="554">
        <v>274.85772592592593</v>
      </c>
      <c r="P17" s="140">
        <f t="shared" si="4"/>
        <v>274.85772592592593</v>
      </c>
      <c r="Q17" s="140">
        <f t="shared" si="4"/>
        <v>274.85772592592593</v>
      </c>
      <c r="R17" s="140">
        <f t="shared" si="4"/>
        <v>274.85772592592593</v>
      </c>
      <c r="S17" s="140">
        <f t="shared" si="4"/>
        <v>274.85772592592593</v>
      </c>
      <c r="T17" s="140">
        <f t="shared" si="4"/>
        <v>274.85772592592593</v>
      </c>
      <c r="U17" s="67"/>
      <c r="V17" s="67"/>
      <c r="W17" s="67"/>
    </row>
    <row r="18" spans="2:23" x14ac:dyDescent="0.4">
      <c r="C18" s="1" t="s">
        <v>1585</v>
      </c>
      <c r="F18" s="67"/>
      <c r="G18" s="67"/>
      <c r="H18" s="139"/>
      <c r="I18" s="139"/>
      <c r="J18" s="542">
        <f>SHAK_10K!I97/1000</f>
        <v>44.475999999999999</v>
      </c>
      <c r="K18" s="554">
        <v>44.475999999999999</v>
      </c>
      <c r="L18" s="554">
        <v>44.475999999999999</v>
      </c>
      <c r="M18" s="554">
        <v>44.475999999999999</v>
      </c>
      <c r="N18" s="554">
        <v>44.475999999999999</v>
      </c>
      <c r="O18" s="554">
        <v>44.475999999999999</v>
      </c>
      <c r="P18" s="140">
        <f t="shared" si="4"/>
        <v>44.475999999999999</v>
      </c>
      <c r="Q18" s="140">
        <f t="shared" si="4"/>
        <v>44.475999999999999</v>
      </c>
      <c r="R18" s="140">
        <f t="shared" si="4"/>
        <v>44.475999999999999</v>
      </c>
      <c r="S18" s="140">
        <f t="shared" si="4"/>
        <v>44.475999999999999</v>
      </c>
      <c r="T18" s="140">
        <f t="shared" si="4"/>
        <v>44.475999999999999</v>
      </c>
      <c r="U18" s="67"/>
      <c r="V18" s="67"/>
      <c r="W18" s="67"/>
    </row>
    <row r="19" spans="2:23" x14ac:dyDescent="0.4">
      <c r="B19" s="76"/>
      <c r="C19" s="76" t="s">
        <v>1584</v>
      </c>
      <c r="D19" s="76"/>
      <c r="E19" s="76"/>
      <c r="F19" s="145"/>
      <c r="G19" s="145"/>
      <c r="H19" s="159"/>
      <c r="I19" s="159"/>
      <c r="J19" s="544">
        <f>SHAK_10K!D90/1000</f>
        <v>124.842</v>
      </c>
      <c r="K19" s="557">
        <v>124.842</v>
      </c>
      <c r="L19" s="690">
        <v>124.842</v>
      </c>
      <c r="M19" s="690">
        <v>124.842</v>
      </c>
      <c r="N19" s="690">
        <v>124.842</v>
      </c>
      <c r="O19" s="690">
        <v>124.842</v>
      </c>
      <c r="P19" s="147">
        <f t="shared" si="4"/>
        <v>124.842</v>
      </c>
      <c r="Q19" s="147">
        <f t="shared" si="4"/>
        <v>124.842</v>
      </c>
      <c r="R19" s="147">
        <f t="shared" si="4"/>
        <v>124.842</v>
      </c>
      <c r="S19" s="147">
        <f t="shared" si="4"/>
        <v>124.842</v>
      </c>
      <c r="T19" s="147">
        <f t="shared" si="4"/>
        <v>124.842</v>
      </c>
      <c r="U19" s="67"/>
      <c r="V19" s="67"/>
      <c r="W19" s="67"/>
    </row>
    <row r="20" spans="2:23" x14ac:dyDescent="0.4">
      <c r="B20" s="1" t="s">
        <v>882</v>
      </c>
      <c r="F20" s="67"/>
      <c r="G20" s="67"/>
      <c r="H20" s="541">
        <f>'Income Statement'!H36</f>
        <v>20982.881000000001</v>
      </c>
      <c r="I20" s="541">
        <f>'Income Statement'!I36</f>
        <v>25470.089</v>
      </c>
      <c r="J20" s="605">
        <f>SUM(J15:J19)</f>
        <v>37772.32472592593</v>
      </c>
      <c r="K20" s="604">
        <f t="shared" ref="K20:O20" si="5">SUM(K15:K19)</f>
        <v>37777.32472592593</v>
      </c>
      <c r="L20" s="604">
        <f t="shared" si="5"/>
        <v>37787.32472592593</v>
      </c>
      <c r="M20" s="604">
        <f t="shared" si="5"/>
        <v>37794.82472592593</v>
      </c>
      <c r="N20" s="604">
        <f t="shared" si="5"/>
        <v>37799.82472592593</v>
      </c>
      <c r="O20" s="604">
        <f t="shared" si="5"/>
        <v>37804.82472592593</v>
      </c>
      <c r="P20" s="139">
        <f>+SUM(P15:P19)</f>
        <v>37809.82472592593</v>
      </c>
      <c r="Q20" s="139">
        <f>+SUM(Q15:Q19)</f>
        <v>37814.82472592593</v>
      </c>
      <c r="R20" s="139">
        <f>+SUM(R15:R19)</f>
        <v>37819.82472592593</v>
      </c>
      <c r="S20" s="139">
        <f>+SUM(S15:S19)</f>
        <v>37824.82472592593</v>
      </c>
      <c r="T20" s="139">
        <f>+SUM(T15:T19)</f>
        <v>37829.82472592593</v>
      </c>
      <c r="U20" s="67"/>
      <c r="V20" s="67"/>
      <c r="W20" s="67"/>
    </row>
    <row r="21" spans="2:23" x14ac:dyDescent="0.4">
      <c r="F21" s="67"/>
      <c r="G21" s="67"/>
      <c r="H21" s="67"/>
      <c r="I21" s="67"/>
      <c r="J21" s="67"/>
      <c r="K21" s="67"/>
      <c r="L21" s="67"/>
      <c r="M21" s="67"/>
      <c r="N21" s="67"/>
      <c r="O21" s="67"/>
      <c r="P21" s="67"/>
      <c r="Q21" s="67"/>
      <c r="R21" s="67"/>
      <c r="S21" s="67"/>
      <c r="T21" s="67"/>
      <c r="U21" s="67"/>
      <c r="V21" s="67"/>
      <c r="W21" s="67"/>
    </row>
    <row r="22" spans="2:23" x14ac:dyDescent="0.4">
      <c r="C22" s="238"/>
      <c r="F22" s="67"/>
      <c r="G22" s="67"/>
      <c r="H22" s="67"/>
      <c r="I22" s="185"/>
      <c r="J22" s="67"/>
      <c r="K22" s="185"/>
      <c r="L22" s="67"/>
      <c r="M22" s="67"/>
      <c r="N22" s="67"/>
      <c r="O22" s="67"/>
      <c r="P22" s="67"/>
      <c r="Q22" s="67"/>
      <c r="R22" s="67"/>
      <c r="S22" s="67"/>
      <c r="T22" s="67"/>
      <c r="U22" s="67"/>
      <c r="V22" s="67"/>
      <c r="W22" s="67"/>
    </row>
    <row r="23" spans="2:23" x14ac:dyDescent="0.4">
      <c r="F23" s="67"/>
      <c r="G23" s="67"/>
      <c r="H23" s="67"/>
      <c r="I23" s="67"/>
      <c r="J23" s="67"/>
      <c r="K23" s="67"/>
      <c r="L23" s="67"/>
      <c r="M23" s="67"/>
      <c r="N23" s="67"/>
      <c r="O23" s="67"/>
      <c r="P23" s="67"/>
      <c r="Q23" s="67"/>
      <c r="R23" s="67"/>
      <c r="S23" s="67"/>
      <c r="T23" s="67"/>
      <c r="U23" s="67"/>
      <c r="V23" s="67"/>
      <c r="W23" s="67"/>
    </row>
    <row r="24" spans="2:23" x14ac:dyDescent="0.4">
      <c r="F24" s="67"/>
      <c r="G24" s="67"/>
      <c r="H24" s="67"/>
      <c r="I24" s="67"/>
      <c r="J24" s="67"/>
      <c r="K24" s="67"/>
      <c r="L24" s="67"/>
      <c r="M24" s="67"/>
      <c r="N24" s="67"/>
      <c r="O24" s="67"/>
      <c r="P24" s="67"/>
      <c r="Q24" s="67"/>
      <c r="R24" s="67"/>
      <c r="S24" s="67"/>
      <c r="T24" s="67"/>
      <c r="U24" s="67"/>
      <c r="V24" s="67"/>
      <c r="W24" s="67"/>
    </row>
    <row r="25" spans="2:23" x14ac:dyDescent="0.4">
      <c r="F25" s="67"/>
      <c r="G25" s="67"/>
      <c r="H25" s="67"/>
      <c r="I25" s="67"/>
      <c r="J25" s="67"/>
      <c r="K25" s="67"/>
      <c r="L25" s="67"/>
      <c r="M25" s="67"/>
      <c r="N25" s="67"/>
      <c r="O25" s="67"/>
      <c r="P25" s="67"/>
      <c r="Q25" s="67"/>
      <c r="R25" s="67"/>
      <c r="S25" s="67"/>
      <c r="T25" s="67"/>
      <c r="U25" s="67"/>
      <c r="V25" s="67"/>
      <c r="W25" s="67"/>
    </row>
    <row r="26" spans="2:23" x14ac:dyDescent="0.4">
      <c r="F26" s="67"/>
      <c r="G26" s="67"/>
      <c r="H26" s="67"/>
      <c r="I26" s="67"/>
      <c r="J26" s="67"/>
      <c r="K26" s="67"/>
      <c r="L26" s="67"/>
      <c r="M26" s="67"/>
      <c r="N26" s="67"/>
      <c r="O26" s="67"/>
      <c r="P26" s="67"/>
      <c r="Q26" s="67"/>
      <c r="R26" s="67"/>
      <c r="S26" s="67"/>
      <c r="T26" s="67"/>
      <c r="U26" s="67"/>
      <c r="V26" s="67"/>
      <c r="W26" s="67"/>
    </row>
    <row r="27" spans="2:23" x14ac:dyDescent="0.4">
      <c r="F27" s="67"/>
      <c r="G27" s="67"/>
      <c r="H27" s="67"/>
      <c r="I27" s="67"/>
      <c r="J27" s="67"/>
      <c r="K27" s="67"/>
      <c r="L27" s="67"/>
      <c r="M27" s="67"/>
      <c r="N27" s="67"/>
      <c r="O27" s="67"/>
      <c r="P27" s="67"/>
      <c r="Q27" s="67"/>
      <c r="R27" s="67"/>
      <c r="S27" s="67"/>
      <c r="T27" s="67"/>
      <c r="U27" s="67"/>
      <c r="V27" s="67"/>
      <c r="W27" s="67"/>
    </row>
    <row r="28" spans="2:23" x14ac:dyDescent="0.4">
      <c r="F28" s="67"/>
      <c r="G28" s="67"/>
      <c r="H28" s="67"/>
      <c r="I28" s="67"/>
      <c r="J28" s="67"/>
      <c r="K28" s="67"/>
      <c r="L28" s="67"/>
      <c r="M28" s="67"/>
      <c r="N28" s="67"/>
      <c r="O28" s="67"/>
      <c r="P28" s="67"/>
      <c r="Q28" s="67"/>
      <c r="R28" s="67"/>
      <c r="S28" s="67"/>
      <c r="T28" s="67"/>
      <c r="U28" s="67"/>
      <c r="V28" s="67"/>
      <c r="W28" s="67"/>
    </row>
    <row r="29" spans="2:23" x14ac:dyDescent="0.4">
      <c r="F29" s="67"/>
      <c r="G29" s="67"/>
      <c r="H29" s="67"/>
      <c r="I29" s="67"/>
      <c r="J29" s="67"/>
      <c r="K29" s="67"/>
      <c r="L29" s="67"/>
      <c r="M29" s="67"/>
      <c r="N29" s="67"/>
      <c r="O29" s="67"/>
      <c r="P29" s="67"/>
      <c r="Q29" s="67"/>
      <c r="R29" s="67"/>
      <c r="S29" s="67"/>
      <c r="T29" s="67"/>
      <c r="U29" s="67"/>
      <c r="V29" s="67"/>
      <c r="W29" s="67"/>
    </row>
    <row r="30" spans="2:23" x14ac:dyDescent="0.4">
      <c r="F30" s="67"/>
      <c r="G30" s="67"/>
      <c r="H30" s="67"/>
      <c r="I30" s="67"/>
      <c r="J30" s="67"/>
      <c r="K30" s="67"/>
      <c r="L30" s="67"/>
      <c r="M30" s="67"/>
      <c r="N30" s="67"/>
      <c r="O30" s="67"/>
      <c r="P30" s="67"/>
      <c r="Q30" s="67"/>
      <c r="R30" s="67"/>
      <c r="S30" s="67"/>
      <c r="T30" s="67"/>
      <c r="U30" s="67"/>
      <c r="V30" s="67"/>
      <c r="W30" s="67"/>
    </row>
    <row r="31" spans="2:23" x14ac:dyDescent="0.4">
      <c r="F31" s="67"/>
      <c r="G31" s="67"/>
      <c r="H31" s="67"/>
      <c r="I31" s="67"/>
      <c r="J31" s="67"/>
      <c r="K31" s="67"/>
      <c r="L31" s="67"/>
      <c r="M31" s="67"/>
      <c r="N31" s="67"/>
      <c r="O31" s="67"/>
      <c r="P31" s="67"/>
      <c r="Q31" s="67"/>
      <c r="R31" s="67"/>
      <c r="S31" s="67"/>
      <c r="T31" s="67"/>
      <c r="U31" s="67"/>
      <c r="V31" s="67"/>
      <c r="W31" s="67"/>
    </row>
    <row r="32" spans="2:23" x14ac:dyDescent="0.4">
      <c r="F32" s="67"/>
      <c r="G32" s="67"/>
      <c r="H32" s="67"/>
      <c r="I32" s="67"/>
      <c r="J32" s="67"/>
      <c r="K32" s="67"/>
      <c r="L32" s="67"/>
      <c r="M32" s="67"/>
      <c r="N32" s="67"/>
      <c r="O32" s="67"/>
      <c r="P32" s="67"/>
      <c r="Q32" s="67"/>
      <c r="R32" s="67"/>
      <c r="S32" s="67"/>
      <c r="T32" s="67"/>
      <c r="U32" s="67"/>
      <c r="V32" s="67"/>
      <c r="W32" s="67"/>
    </row>
    <row r="33" spans="6:23" x14ac:dyDescent="0.4">
      <c r="F33" s="67"/>
      <c r="G33" s="67"/>
      <c r="H33" s="67"/>
      <c r="I33" s="67"/>
      <c r="J33" s="67"/>
      <c r="K33" s="67"/>
      <c r="L33" s="67"/>
      <c r="M33" s="67"/>
      <c r="N33" s="67"/>
      <c r="O33" s="67"/>
      <c r="P33" s="67"/>
      <c r="Q33" s="67"/>
      <c r="R33" s="67"/>
      <c r="S33" s="67"/>
      <c r="T33" s="67"/>
      <c r="U33" s="67"/>
      <c r="V33" s="67"/>
      <c r="W33" s="67"/>
    </row>
    <row r="34" spans="6:23" x14ac:dyDescent="0.4">
      <c r="F34" s="67"/>
      <c r="G34" s="67"/>
      <c r="H34" s="67"/>
      <c r="I34" s="67"/>
      <c r="J34" s="67"/>
      <c r="K34" s="67"/>
      <c r="L34" s="67"/>
      <c r="M34" s="67"/>
      <c r="N34" s="67"/>
      <c r="O34" s="67"/>
      <c r="P34" s="67"/>
      <c r="Q34" s="67"/>
      <c r="R34" s="67"/>
      <c r="S34" s="67"/>
      <c r="T34" s="67"/>
      <c r="U34" s="67"/>
      <c r="V34" s="67"/>
      <c r="W34" s="67"/>
    </row>
    <row r="35" spans="6:23" x14ac:dyDescent="0.4">
      <c r="F35" s="67"/>
      <c r="G35" s="67"/>
      <c r="H35" s="67"/>
      <c r="I35" s="67"/>
      <c r="J35" s="67"/>
      <c r="K35" s="67"/>
      <c r="L35" s="67"/>
      <c r="M35" s="67"/>
      <c r="N35" s="67"/>
      <c r="O35" s="67"/>
      <c r="P35" s="67"/>
      <c r="Q35" s="67"/>
      <c r="R35" s="67"/>
      <c r="S35" s="67"/>
      <c r="T35" s="67"/>
      <c r="U35" s="67"/>
      <c r="V35" s="67"/>
      <c r="W35" s="67"/>
    </row>
    <row r="36" spans="6:23" x14ac:dyDescent="0.4">
      <c r="F36" s="67"/>
      <c r="G36" s="67"/>
      <c r="H36" s="67"/>
      <c r="I36" s="67"/>
      <c r="J36" s="67"/>
      <c r="K36" s="67"/>
      <c r="L36" s="67"/>
      <c r="M36" s="67"/>
      <c r="N36" s="67"/>
      <c r="O36" s="67"/>
      <c r="P36" s="67"/>
      <c r="Q36" s="67"/>
      <c r="R36" s="67"/>
      <c r="S36" s="67"/>
      <c r="T36" s="67"/>
      <c r="U36" s="67"/>
      <c r="V36" s="67"/>
      <c r="W36" s="67"/>
    </row>
    <row r="37" spans="6:23" x14ac:dyDescent="0.4">
      <c r="F37" s="67"/>
      <c r="G37" s="67"/>
      <c r="H37" s="67"/>
      <c r="I37" s="67"/>
      <c r="J37" s="67"/>
      <c r="K37" s="67"/>
      <c r="L37" s="67"/>
      <c r="M37" s="67"/>
      <c r="N37" s="67"/>
      <c r="O37" s="67"/>
      <c r="P37" s="67"/>
      <c r="Q37" s="67"/>
      <c r="R37" s="67"/>
      <c r="S37" s="67"/>
      <c r="T37" s="67"/>
      <c r="U37" s="67"/>
      <c r="V37" s="67"/>
      <c r="W37" s="67"/>
    </row>
  </sheetData>
  <phoneticPr fontId="1" type="noConversion"/>
  <pageMargins left="0.7" right="0.7" top="0.75" bottom="0.75" header="0.3" footer="0.3"/>
  <pageSetup paperSize="9" orientation="portrait" horizontalDpi="4294967292"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64"/>
  <sheetViews>
    <sheetView showGridLines="0" topLeftCell="A35" zoomScaleNormal="100" workbookViewId="0">
      <selection activeCell="K51" sqref="K51"/>
    </sheetView>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21" width="25.69921875" style="1" bestFit="1" customWidth="1"/>
    <col min="22" max="16384" width="8.59765625" style="1"/>
  </cols>
  <sheetData>
    <row r="1" spans="1:23" ht="8.1" customHeight="1" x14ac:dyDescent="0.4"/>
    <row r="2" spans="1:23" x14ac:dyDescent="0.4">
      <c r="B2" s="2" t="s">
        <v>229</v>
      </c>
    </row>
    <row r="3" spans="1:23" s="53" customFormat="1" ht="18" thickBot="1" x14ac:dyDescent="0.35">
      <c r="A3" s="52"/>
      <c r="B3" s="58" t="s">
        <v>919</v>
      </c>
      <c r="W3" s="54"/>
    </row>
    <row r="4" spans="1:23" s="55" customFormat="1" x14ac:dyDescent="0.25">
      <c r="A4" s="52"/>
      <c r="B4" s="57" t="s">
        <v>223</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T8" si="0">G8+1</f>
        <v>2015</v>
      </c>
      <c r="I8" s="49">
        <f t="shared" si="0"/>
        <v>2016</v>
      </c>
      <c r="J8" s="59">
        <f t="shared" si="0"/>
        <v>2017</v>
      </c>
      <c r="K8" s="51">
        <f t="shared" si="0"/>
        <v>2018</v>
      </c>
      <c r="L8" s="51">
        <f t="shared" si="0"/>
        <v>2019</v>
      </c>
      <c r="M8" s="51">
        <f t="shared" si="0"/>
        <v>2020</v>
      </c>
      <c r="N8" s="51">
        <f t="shared" si="0"/>
        <v>2021</v>
      </c>
      <c r="O8" s="51">
        <f t="shared" si="0"/>
        <v>2022</v>
      </c>
      <c r="P8" s="51">
        <f t="shared" si="0"/>
        <v>2023</v>
      </c>
      <c r="Q8" s="51">
        <f t="shared" si="0"/>
        <v>2024</v>
      </c>
      <c r="R8" s="51">
        <f t="shared" si="0"/>
        <v>2025</v>
      </c>
      <c r="S8" s="51">
        <f t="shared" si="0"/>
        <v>2026</v>
      </c>
      <c r="T8" s="51">
        <f t="shared" si="0"/>
        <v>2027</v>
      </c>
    </row>
    <row r="9" spans="1:23" x14ac:dyDescent="0.4">
      <c r="I9" s="3"/>
      <c r="J9" s="60"/>
    </row>
    <row r="10" spans="1:23" s="2" customFormat="1" x14ac:dyDescent="0.4">
      <c r="B10" s="2" t="s">
        <v>920</v>
      </c>
      <c r="F10" s="138"/>
      <c r="G10" s="138"/>
      <c r="H10" s="138"/>
      <c r="I10" s="138"/>
      <c r="J10" s="143"/>
      <c r="K10" s="549">
        <f ca="1">'Cash Flow'!K25</f>
        <v>-9412.0346050262742</v>
      </c>
      <c r="L10" s="549">
        <f ca="1">'Cash Flow'!L25</f>
        <v>-8519.224109172239</v>
      </c>
      <c r="M10" s="549">
        <f ca="1">'Cash Flow'!M25</f>
        <v>16997.866657888968</v>
      </c>
      <c r="N10" s="549">
        <f ca="1">'Cash Flow'!N25</f>
        <v>65704.474844754295</v>
      </c>
      <c r="O10" s="549">
        <f ca="1">'Cash Flow'!O25</f>
        <v>82155.011278481106</v>
      </c>
      <c r="P10" s="549"/>
      <c r="Q10" s="549"/>
      <c r="R10" s="549"/>
      <c r="S10" s="549"/>
      <c r="T10" s="549"/>
      <c r="U10" s="138"/>
      <c r="V10" s="138"/>
      <c r="W10" s="138"/>
    </row>
    <row r="11" spans="1:23" x14ac:dyDescent="0.4">
      <c r="C11" s="1" t="s">
        <v>934</v>
      </c>
      <c r="F11" s="67"/>
      <c r="G11" s="67"/>
      <c r="H11" s="67"/>
      <c r="I11" s="67"/>
      <c r="J11" s="73"/>
      <c r="K11" s="549">
        <f>Equity!K13</f>
        <v>0</v>
      </c>
      <c r="L11" s="549">
        <f>Equity!L13</f>
        <v>0</v>
      </c>
      <c r="M11" s="549">
        <f>Equity!M13</f>
        <v>-284.21789292508981</v>
      </c>
      <c r="N11" s="549">
        <f>Equity!N13</f>
        <v>-387.59722215520418</v>
      </c>
      <c r="O11" s="549">
        <f>Equity!O13</f>
        <v>-422.69151936148256</v>
      </c>
      <c r="P11" s="541"/>
      <c r="Q11" s="541"/>
      <c r="R11" s="541"/>
      <c r="S11" s="541"/>
      <c r="T11" s="541"/>
      <c r="U11" s="67"/>
      <c r="V11" s="67"/>
      <c r="W11" s="67"/>
    </row>
    <row r="12" spans="1:23" x14ac:dyDescent="0.4">
      <c r="C12" s="1" t="s">
        <v>935</v>
      </c>
      <c r="F12" s="67"/>
      <c r="G12" s="67"/>
      <c r="H12" s="67"/>
      <c r="I12" s="67"/>
      <c r="J12" s="73"/>
      <c r="K12" s="549">
        <f>Equity!K14</f>
        <v>0</v>
      </c>
      <c r="L12" s="549">
        <f>Equity!L14</f>
        <v>0</v>
      </c>
      <c r="M12" s="549">
        <f>Equity!M14</f>
        <v>-1852.0630081165091</v>
      </c>
      <c r="N12" s="549">
        <f>Equity!N14</f>
        <v>-2817.5205887927873</v>
      </c>
      <c r="O12" s="549">
        <f>Equity!O14</f>
        <v>-3473.8649570861253</v>
      </c>
      <c r="P12" s="541"/>
      <c r="Q12" s="541"/>
      <c r="R12" s="541"/>
      <c r="S12" s="541"/>
      <c r="T12" s="541"/>
      <c r="U12" s="67"/>
      <c r="V12" s="67"/>
      <c r="W12" s="67"/>
    </row>
    <row r="13" spans="1:23" x14ac:dyDescent="0.4">
      <c r="C13" s="1" t="s">
        <v>936</v>
      </c>
      <c r="F13" s="67"/>
      <c r="G13" s="67"/>
      <c r="H13" s="67"/>
      <c r="I13" s="67"/>
      <c r="J13" s="73"/>
      <c r="K13" s="549">
        <f>Equity!K15</f>
        <v>200</v>
      </c>
      <c r="L13" s="549">
        <f>Equity!L15</f>
        <v>200</v>
      </c>
      <c r="M13" s="549">
        <f>Equity!M15</f>
        <v>200</v>
      </c>
      <c r="N13" s="549">
        <f>Equity!N15</f>
        <v>200</v>
      </c>
      <c r="O13" s="549">
        <f>Equity!O15</f>
        <v>200</v>
      </c>
      <c r="P13" s="541"/>
      <c r="Q13" s="541"/>
      <c r="R13" s="541"/>
      <c r="S13" s="541"/>
      <c r="T13" s="541"/>
      <c r="U13" s="67"/>
      <c r="V13" s="67"/>
      <c r="W13" s="67"/>
    </row>
    <row r="14" spans="1:23" x14ac:dyDescent="0.4">
      <c r="C14" s="237" t="str">
        <f>+'Cash Flow'!C36</f>
        <v>Change in Non-Controlling Interest</v>
      </c>
      <c r="F14" s="67"/>
      <c r="G14" s="67"/>
      <c r="H14" s="67"/>
      <c r="I14" s="67"/>
      <c r="J14" s="73"/>
      <c r="K14" s="549">
        <f>Equity!K16</f>
        <v>0</v>
      </c>
      <c r="L14" s="549">
        <f>Equity!L16</f>
        <v>0</v>
      </c>
      <c r="M14" s="549">
        <f>Equity!M16</f>
        <v>0</v>
      </c>
      <c r="N14" s="549">
        <f>Equity!N16</f>
        <v>0</v>
      </c>
      <c r="O14" s="549">
        <f>Equity!O16</f>
        <v>0</v>
      </c>
      <c r="P14" s="541"/>
      <c r="Q14" s="541"/>
      <c r="R14" s="541"/>
      <c r="S14" s="541"/>
      <c r="T14" s="541"/>
      <c r="U14" s="67"/>
      <c r="V14" s="67"/>
      <c r="W14" s="67"/>
    </row>
    <row r="15" spans="1:23" x14ac:dyDescent="0.4">
      <c r="C15" s="1" t="s">
        <v>937</v>
      </c>
      <c r="F15" s="67"/>
      <c r="G15" s="67"/>
      <c r="H15" s="67"/>
      <c r="I15" s="67"/>
      <c r="J15" s="73"/>
      <c r="K15" s="541">
        <f>'Balance Sheet'!J10</f>
        <v>84543</v>
      </c>
      <c r="L15" s="541">
        <f ca="1">'Balance Sheet'!K10</f>
        <v>71330.965394973726</v>
      </c>
      <c r="M15" s="541">
        <f ca="1">'Balance Sheet'!L10</f>
        <v>59011.741285801487</v>
      </c>
      <c r="N15" s="541">
        <f ca="1">'Balance Sheet'!M10</f>
        <v>70073.32704264886</v>
      </c>
      <c r="O15" s="541">
        <f ca="1">'Balance Sheet'!N10</f>
        <v>128772.68407645516</v>
      </c>
      <c r="P15" s="541"/>
      <c r="Q15" s="541"/>
      <c r="R15" s="541"/>
      <c r="S15" s="541"/>
      <c r="T15" s="541"/>
      <c r="U15" s="67"/>
      <c r="V15" s="67"/>
      <c r="W15" s="67"/>
    </row>
    <row r="16" spans="1:23" ht="15.6" x14ac:dyDescent="0.4">
      <c r="B16" s="76"/>
      <c r="C16" s="76" t="s">
        <v>938</v>
      </c>
      <c r="D16" s="76"/>
      <c r="E16" s="76"/>
      <c r="F16" s="145"/>
      <c r="G16" s="145"/>
      <c r="H16" s="145"/>
      <c r="I16" s="145"/>
      <c r="J16" s="146"/>
      <c r="K16" s="147">
        <v>-30000</v>
      </c>
      <c r="L16" s="147">
        <v>-30000</v>
      </c>
      <c r="M16" s="147">
        <v>-30000</v>
      </c>
      <c r="N16" s="147">
        <v>-30000</v>
      </c>
      <c r="O16" s="147">
        <v>-30000</v>
      </c>
      <c r="P16" s="147">
        <v>-30000</v>
      </c>
      <c r="Q16" s="147">
        <v>-30000</v>
      </c>
      <c r="R16" s="147">
        <v>-30000</v>
      </c>
      <c r="S16" s="147">
        <v>-30000</v>
      </c>
      <c r="T16" s="147">
        <v>-30000</v>
      </c>
      <c r="U16" s="691" t="s">
        <v>1660</v>
      </c>
      <c r="V16" s="67"/>
      <c r="W16" s="67"/>
    </row>
    <row r="17" spans="1:23" s="2" customFormat="1" x14ac:dyDescent="0.4">
      <c r="A17" s="1" t="s">
        <v>274</v>
      </c>
      <c r="B17" s="2" t="s">
        <v>921</v>
      </c>
      <c r="F17" s="138"/>
      <c r="G17" s="138"/>
      <c r="H17" s="138"/>
      <c r="I17" s="138"/>
      <c r="J17" s="143"/>
      <c r="K17" s="551">
        <f ca="1">SUM(K10:K16)</f>
        <v>45330.965394973726</v>
      </c>
      <c r="L17" s="551">
        <f t="shared" ref="L17:O17" ca="1" si="1">SUM(L10:L16)</f>
        <v>33011.741285801487</v>
      </c>
      <c r="M17" s="551">
        <f t="shared" ca="1" si="1"/>
        <v>44073.32704264886</v>
      </c>
      <c r="N17" s="551">
        <f t="shared" ca="1" si="1"/>
        <v>102772.68407645516</v>
      </c>
      <c r="O17" s="551">
        <f t="shared" ca="1" si="1"/>
        <v>177231.13887848865</v>
      </c>
      <c r="P17" s="551"/>
      <c r="Q17" s="551"/>
      <c r="R17" s="551"/>
      <c r="S17" s="551"/>
      <c r="T17" s="551"/>
      <c r="U17" s="138"/>
      <c r="V17" s="138"/>
      <c r="W17" s="138"/>
    </row>
    <row r="18" spans="1:23" x14ac:dyDescent="0.4">
      <c r="F18" s="67"/>
      <c r="G18" s="67"/>
      <c r="H18" s="67"/>
      <c r="I18" s="67"/>
      <c r="J18" s="73"/>
      <c r="K18" s="139"/>
      <c r="L18" s="139"/>
      <c r="M18" s="139"/>
      <c r="N18" s="139"/>
      <c r="O18" s="139"/>
      <c r="P18" s="139"/>
      <c r="Q18" s="139"/>
      <c r="R18" s="139"/>
      <c r="S18" s="139"/>
      <c r="T18" s="139"/>
      <c r="U18" s="67"/>
      <c r="V18" s="67"/>
      <c r="W18" s="67"/>
    </row>
    <row r="19" spans="1:23" x14ac:dyDescent="0.4">
      <c r="C19" s="1" t="s">
        <v>930</v>
      </c>
      <c r="F19" s="67"/>
      <c r="G19" s="67"/>
      <c r="H19" s="67"/>
      <c r="I19" s="67"/>
      <c r="J19" s="73"/>
      <c r="K19" s="556">
        <f>K32</f>
        <v>1000</v>
      </c>
      <c r="L19" s="556">
        <f t="shared" ref="L19:T19" si="2">L32</f>
        <v>1000</v>
      </c>
      <c r="M19" s="556">
        <f t="shared" si="2"/>
        <v>1000</v>
      </c>
      <c r="N19" s="556">
        <f t="shared" si="2"/>
        <v>1000</v>
      </c>
      <c r="O19" s="556">
        <f t="shared" si="2"/>
        <v>1000</v>
      </c>
      <c r="P19" s="556">
        <f t="shared" si="2"/>
        <v>1000</v>
      </c>
      <c r="Q19" s="556">
        <f t="shared" si="2"/>
        <v>1000</v>
      </c>
      <c r="R19" s="556">
        <f t="shared" si="2"/>
        <v>1000</v>
      </c>
      <c r="S19" s="556">
        <f t="shared" si="2"/>
        <v>1000</v>
      </c>
      <c r="T19" s="556">
        <f t="shared" si="2"/>
        <v>1000</v>
      </c>
      <c r="U19" s="67"/>
      <c r="V19" s="67"/>
      <c r="W19" s="67"/>
    </row>
    <row r="20" spans="1:23" x14ac:dyDescent="0.4">
      <c r="C20" s="1" t="s">
        <v>931</v>
      </c>
      <c r="F20" s="67"/>
      <c r="G20" s="67"/>
      <c r="H20" s="67"/>
      <c r="I20" s="67"/>
      <c r="J20" s="73"/>
      <c r="K20" s="556">
        <f>K33</f>
        <v>-2000</v>
      </c>
      <c r="L20" s="556">
        <f t="shared" ref="L20:T20" si="3">L33</f>
        <v>-2000</v>
      </c>
      <c r="M20" s="556">
        <f t="shared" si="3"/>
        <v>-2000</v>
      </c>
      <c r="N20" s="556">
        <f t="shared" si="3"/>
        <v>-2000</v>
      </c>
      <c r="O20" s="556">
        <f t="shared" si="3"/>
        <v>-2000</v>
      </c>
      <c r="P20" s="556">
        <f t="shared" si="3"/>
        <v>-2000</v>
      </c>
      <c r="Q20" s="556">
        <f t="shared" si="3"/>
        <v>-2000</v>
      </c>
      <c r="R20" s="556">
        <f t="shared" si="3"/>
        <v>-2000</v>
      </c>
      <c r="S20" s="556">
        <f t="shared" si="3"/>
        <v>-2000</v>
      </c>
      <c r="T20" s="556">
        <f t="shared" si="3"/>
        <v>-2000</v>
      </c>
      <c r="U20" s="67"/>
      <c r="V20" s="67"/>
      <c r="W20" s="67"/>
    </row>
    <row r="21" spans="1:23" x14ac:dyDescent="0.4">
      <c r="C21" s="1" t="s">
        <v>932</v>
      </c>
      <c r="F21" s="67"/>
      <c r="G21" s="67"/>
      <c r="H21" s="67"/>
      <c r="I21" s="67"/>
      <c r="J21" s="73"/>
      <c r="K21" s="556">
        <f>K38</f>
        <v>3000</v>
      </c>
      <c r="L21" s="556">
        <f t="shared" ref="L21:T21" si="4">L38</f>
        <v>3000</v>
      </c>
      <c r="M21" s="556">
        <f t="shared" si="4"/>
        <v>3000</v>
      </c>
      <c r="N21" s="556">
        <f t="shared" si="4"/>
        <v>3000</v>
      </c>
      <c r="O21" s="556">
        <f t="shared" si="4"/>
        <v>3000</v>
      </c>
      <c r="P21" s="556">
        <f t="shared" si="4"/>
        <v>3000</v>
      </c>
      <c r="Q21" s="556">
        <f t="shared" si="4"/>
        <v>3000</v>
      </c>
      <c r="R21" s="556">
        <f t="shared" si="4"/>
        <v>3000</v>
      </c>
      <c r="S21" s="556">
        <f t="shared" si="4"/>
        <v>3000</v>
      </c>
      <c r="T21" s="556">
        <f t="shared" si="4"/>
        <v>3000</v>
      </c>
      <c r="U21" s="67"/>
      <c r="V21" s="67"/>
      <c r="W21" s="67"/>
    </row>
    <row r="22" spans="1:23" x14ac:dyDescent="0.4">
      <c r="B22" s="76"/>
      <c r="C22" s="76" t="s">
        <v>933</v>
      </c>
      <c r="D22" s="76"/>
      <c r="E22" s="76"/>
      <c r="F22" s="145"/>
      <c r="G22" s="145"/>
      <c r="H22" s="145"/>
      <c r="I22" s="145"/>
      <c r="J22" s="146"/>
      <c r="K22" s="692">
        <f>K39</f>
        <v>-6000</v>
      </c>
      <c r="L22" s="568">
        <f t="shared" ref="L22:T22" si="5">L39</f>
        <v>-6000</v>
      </c>
      <c r="M22" s="568">
        <f t="shared" si="5"/>
        <v>-6000</v>
      </c>
      <c r="N22" s="568">
        <f t="shared" si="5"/>
        <v>-6000</v>
      </c>
      <c r="O22" s="568">
        <f t="shared" si="5"/>
        <v>-6000</v>
      </c>
      <c r="P22" s="568">
        <f t="shared" si="5"/>
        <v>-6000</v>
      </c>
      <c r="Q22" s="568">
        <f t="shared" si="5"/>
        <v>-6000</v>
      </c>
      <c r="R22" s="568">
        <f t="shared" si="5"/>
        <v>-6000</v>
      </c>
      <c r="S22" s="568">
        <f t="shared" si="5"/>
        <v>-6000</v>
      </c>
      <c r="T22" s="568">
        <f t="shared" si="5"/>
        <v>-6000</v>
      </c>
      <c r="U22" s="67"/>
      <c r="V22" s="67"/>
      <c r="W22" s="67"/>
    </row>
    <row r="23" spans="1:23" s="2" customFormat="1" x14ac:dyDescent="0.4">
      <c r="B23" s="2" t="s">
        <v>922</v>
      </c>
      <c r="F23" s="138"/>
      <c r="G23" s="138"/>
      <c r="H23" s="138"/>
      <c r="I23" s="138"/>
      <c r="J23" s="143"/>
      <c r="K23" s="551">
        <f ca="1">SUM(K19:K22)+K17</f>
        <v>41330.965394973726</v>
      </c>
      <c r="L23" s="551">
        <f t="shared" ref="L23:T23" ca="1" si="6">SUM(L19:L22)+L17</f>
        <v>29011.741285801487</v>
      </c>
      <c r="M23" s="551">
        <f t="shared" ca="1" si="6"/>
        <v>40073.32704264886</v>
      </c>
      <c r="N23" s="551">
        <f t="shared" ca="1" si="6"/>
        <v>98772.68407645516</v>
      </c>
      <c r="O23" s="551">
        <f t="shared" ca="1" si="6"/>
        <v>173231.13887848865</v>
      </c>
      <c r="P23" s="551">
        <f t="shared" si="6"/>
        <v>-4000</v>
      </c>
      <c r="Q23" s="551">
        <f t="shared" si="6"/>
        <v>-4000</v>
      </c>
      <c r="R23" s="551">
        <f t="shared" si="6"/>
        <v>-4000</v>
      </c>
      <c r="S23" s="551">
        <f t="shared" si="6"/>
        <v>-4000</v>
      </c>
      <c r="T23" s="551">
        <f t="shared" si="6"/>
        <v>-4000</v>
      </c>
      <c r="U23" s="138"/>
      <c r="V23" s="138"/>
      <c r="W23" s="138"/>
    </row>
    <row r="24" spans="1:23" x14ac:dyDescent="0.4">
      <c r="F24" s="67"/>
      <c r="G24" s="67"/>
      <c r="H24" s="67"/>
      <c r="I24" s="67"/>
      <c r="J24" s="73"/>
      <c r="K24" s="67"/>
      <c r="L24" s="67"/>
      <c r="M24" s="67"/>
      <c r="N24" s="67"/>
      <c r="O24" s="67"/>
      <c r="P24" s="67"/>
      <c r="Q24" s="67"/>
      <c r="R24" s="67"/>
      <c r="S24" s="67"/>
      <c r="T24" s="67"/>
      <c r="U24" s="67"/>
      <c r="V24" s="67"/>
      <c r="W24" s="67"/>
    </row>
    <row r="25" spans="1:23" x14ac:dyDescent="0.4">
      <c r="A25" s="1" t="s">
        <v>274</v>
      </c>
      <c r="B25" s="13" t="s">
        <v>201</v>
      </c>
      <c r="F25" s="67"/>
      <c r="G25" s="67"/>
      <c r="H25" s="67"/>
      <c r="I25" s="67"/>
      <c r="J25" s="73"/>
      <c r="K25" s="67"/>
      <c r="L25" s="67"/>
      <c r="M25" s="67"/>
      <c r="N25" s="67"/>
      <c r="O25" s="67"/>
      <c r="P25" s="67"/>
      <c r="Q25" s="67"/>
      <c r="R25" s="67"/>
      <c r="S25" s="67"/>
      <c r="T25" s="67"/>
      <c r="U25" s="67"/>
      <c r="V25" s="67"/>
      <c r="W25" s="67"/>
    </row>
    <row r="26" spans="1:23" x14ac:dyDescent="0.4">
      <c r="C26" s="1" t="s">
        <v>939</v>
      </c>
      <c r="F26" s="67"/>
      <c r="G26" s="67"/>
      <c r="H26" s="67"/>
      <c r="I26" s="67"/>
      <c r="J26" s="73"/>
      <c r="K26" s="556">
        <f ca="1">J28</f>
        <v>0</v>
      </c>
      <c r="L26" s="556">
        <f t="shared" ref="L26:O26" ca="1" si="7">K28</f>
        <v>0</v>
      </c>
      <c r="M26" s="556">
        <f t="shared" ca="1" si="7"/>
        <v>0</v>
      </c>
      <c r="N26" s="556">
        <f t="shared" ca="1" si="7"/>
        <v>0</v>
      </c>
      <c r="O26" s="556">
        <f t="shared" ca="1" si="7"/>
        <v>0</v>
      </c>
      <c r="P26" s="556"/>
      <c r="Q26" s="556"/>
      <c r="R26" s="556"/>
      <c r="S26" s="556"/>
      <c r="T26" s="556"/>
      <c r="U26" s="67"/>
      <c r="V26" s="67"/>
      <c r="W26" s="67"/>
    </row>
    <row r="27" spans="1:23" x14ac:dyDescent="0.4">
      <c r="C27" s="76" t="s">
        <v>940</v>
      </c>
      <c r="D27" s="76"/>
      <c r="E27" s="76"/>
      <c r="F27" s="145"/>
      <c r="G27" s="145"/>
      <c r="H27" s="145"/>
      <c r="I27" s="145"/>
      <c r="J27" s="146"/>
      <c r="K27" s="569">
        <f ca="1">-MIN(K26,K23)</f>
        <v>0</v>
      </c>
      <c r="L27" s="569">
        <f t="shared" ref="L27:O27" ca="1" si="8">-MIN(L26,L23)</f>
        <v>0</v>
      </c>
      <c r="M27" s="569">
        <f t="shared" ca="1" si="8"/>
        <v>0</v>
      </c>
      <c r="N27" s="569">
        <f t="shared" ca="1" si="8"/>
        <v>0</v>
      </c>
      <c r="O27" s="569">
        <f t="shared" ca="1" si="8"/>
        <v>0</v>
      </c>
      <c r="P27" s="569"/>
      <c r="Q27" s="569"/>
      <c r="R27" s="569"/>
      <c r="S27" s="569"/>
      <c r="T27" s="569"/>
      <c r="U27" s="67"/>
      <c r="V27" s="67"/>
      <c r="W27" s="67"/>
    </row>
    <row r="28" spans="1:23" x14ac:dyDescent="0.4">
      <c r="C28" s="1" t="s">
        <v>941</v>
      </c>
      <c r="F28" s="693"/>
      <c r="G28" s="693"/>
      <c r="H28" s="604">
        <f>'Balance Sheet'!I28</f>
        <v>0</v>
      </c>
      <c r="I28" s="604">
        <f>'Balance Sheet'!J28</f>
        <v>0</v>
      </c>
      <c r="J28" s="605">
        <f ca="1">'Balance Sheet'!K28</f>
        <v>0</v>
      </c>
      <c r="K28" s="547">
        <f ca="1">SUM(K26:K27)</f>
        <v>0</v>
      </c>
      <c r="L28" s="547">
        <f t="shared" ref="L28:O28" ca="1" si="9">SUM(L26:L27)</f>
        <v>0</v>
      </c>
      <c r="M28" s="547">
        <f t="shared" ca="1" si="9"/>
        <v>0</v>
      </c>
      <c r="N28" s="547">
        <f t="shared" ca="1" si="9"/>
        <v>0</v>
      </c>
      <c r="O28" s="547">
        <f t="shared" ca="1" si="9"/>
        <v>0</v>
      </c>
      <c r="P28" s="547"/>
      <c r="Q28" s="547"/>
      <c r="R28" s="547"/>
      <c r="S28" s="547"/>
      <c r="T28" s="547"/>
    </row>
    <row r="29" spans="1:23" x14ac:dyDescent="0.4">
      <c r="F29" s="695"/>
      <c r="G29" s="695"/>
      <c r="H29" s="67"/>
      <c r="I29" s="67"/>
      <c r="J29" s="73"/>
      <c r="K29" s="67"/>
      <c r="L29" s="67"/>
      <c r="M29" s="67"/>
      <c r="N29" s="67"/>
      <c r="O29" s="67"/>
      <c r="P29" s="67"/>
      <c r="Q29" s="67"/>
      <c r="R29" s="67"/>
      <c r="S29" s="67"/>
      <c r="T29" s="67"/>
    </row>
    <row r="30" spans="1:23" x14ac:dyDescent="0.4">
      <c r="A30" s="1" t="s">
        <v>274</v>
      </c>
      <c r="B30" s="13" t="s">
        <v>942</v>
      </c>
      <c r="F30" s="695"/>
      <c r="G30" s="695"/>
      <c r="H30" s="67"/>
      <c r="I30" s="67"/>
      <c r="J30" s="73"/>
      <c r="K30" s="67"/>
      <c r="L30" s="67"/>
      <c r="M30" s="67"/>
      <c r="N30" s="67"/>
      <c r="O30" s="67"/>
      <c r="P30" s="67"/>
      <c r="Q30" s="67"/>
      <c r="R30" s="67"/>
      <c r="S30" s="67"/>
      <c r="T30" s="67"/>
    </row>
    <row r="31" spans="1:23" x14ac:dyDescent="0.4">
      <c r="C31" s="1" t="s">
        <v>939</v>
      </c>
      <c r="F31" s="695"/>
      <c r="G31" s="695"/>
      <c r="H31" s="67"/>
      <c r="I31" s="67"/>
      <c r="J31" s="73"/>
      <c r="K31" s="556">
        <f>J34</f>
        <v>14518</v>
      </c>
      <c r="L31" s="556">
        <f t="shared" ref="L31:O31" si="10">K34</f>
        <v>13518</v>
      </c>
      <c r="M31" s="556">
        <f t="shared" si="10"/>
        <v>12518</v>
      </c>
      <c r="N31" s="556">
        <f t="shared" si="10"/>
        <v>11518</v>
      </c>
      <c r="O31" s="556">
        <f t="shared" si="10"/>
        <v>10518</v>
      </c>
      <c r="P31" s="556"/>
      <c r="Q31" s="556"/>
      <c r="R31" s="556"/>
      <c r="S31" s="556"/>
      <c r="T31" s="556"/>
    </row>
    <row r="32" spans="1:23" x14ac:dyDescent="0.4">
      <c r="C32" s="1" t="s">
        <v>923</v>
      </c>
      <c r="F32" s="695"/>
      <c r="G32" s="695"/>
      <c r="H32" s="67"/>
      <c r="I32" s="67"/>
      <c r="J32" s="73"/>
      <c r="K32" s="140">
        <v>1000</v>
      </c>
      <c r="L32" s="140">
        <v>1000</v>
      </c>
      <c r="M32" s="140">
        <v>1000</v>
      </c>
      <c r="N32" s="140">
        <v>1000</v>
      </c>
      <c r="O32" s="140">
        <v>1000</v>
      </c>
      <c r="P32" s="140">
        <v>1000</v>
      </c>
      <c r="Q32" s="140">
        <v>1000</v>
      </c>
      <c r="R32" s="140">
        <v>1000</v>
      </c>
      <c r="S32" s="140">
        <v>1000</v>
      </c>
      <c r="T32" s="140">
        <v>1000</v>
      </c>
    </row>
    <row r="33" spans="1:21" x14ac:dyDescent="0.4">
      <c r="C33" s="76" t="s">
        <v>924</v>
      </c>
      <c r="D33" s="76"/>
      <c r="E33" s="76"/>
      <c r="F33" s="696"/>
      <c r="G33" s="696"/>
      <c r="H33" s="145"/>
      <c r="I33" s="145"/>
      <c r="J33" s="171"/>
      <c r="K33" s="147">
        <v>-2000</v>
      </c>
      <c r="L33" s="147">
        <v>-2000</v>
      </c>
      <c r="M33" s="147">
        <v>-2000</v>
      </c>
      <c r="N33" s="147">
        <v>-2000</v>
      </c>
      <c r="O33" s="147">
        <v>-2000</v>
      </c>
      <c r="P33" s="147">
        <v>-2000</v>
      </c>
      <c r="Q33" s="147">
        <v>-2000</v>
      </c>
      <c r="R33" s="147">
        <v>-2000</v>
      </c>
      <c r="S33" s="147">
        <v>-2000</v>
      </c>
      <c r="T33" s="147">
        <v>-2000</v>
      </c>
    </row>
    <row r="34" spans="1:21" x14ac:dyDescent="0.4">
      <c r="C34" s="1" t="s">
        <v>941</v>
      </c>
      <c r="F34" s="695"/>
      <c r="G34" s="695"/>
      <c r="H34" s="541">
        <f>'Balance Sheet'!H29</f>
        <v>313</v>
      </c>
      <c r="I34" s="541">
        <f>'Balance Sheet'!I29</f>
        <v>2007</v>
      </c>
      <c r="J34" s="605">
        <f>'Balance Sheet'!J29</f>
        <v>14518</v>
      </c>
      <c r="K34" s="547">
        <f>SUM(K31:K33)</f>
        <v>13518</v>
      </c>
      <c r="L34" s="547">
        <f t="shared" ref="L34:O34" si="11">SUM(L31:L33)</f>
        <v>12518</v>
      </c>
      <c r="M34" s="547">
        <f t="shared" si="11"/>
        <v>11518</v>
      </c>
      <c r="N34" s="547">
        <f t="shared" si="11"/>
        <v>10518</v>
      </c>
      <c r="O34" s="547">
        <f t="shared" si="11"/>
        <v>9518</v>
      </c>
      <c r="P34" s="547"/>
      <c r="Q34" s="547"/>
      <c r="R34" s="547"/>
      <c r="S34" s="547"/>
      <c r="T34" s="547"/>
    </row>
    <row r="35" spans="1:21" x14ac:dyDescent="0.4">
      <c r="F35" s="695"/>
      <c r="G35" s="695"/>
      <c r="H35" s="67"/>
      <c r="I35" s="67"/>
      <c r="J35" s="41"/>
      <c r="K35" s="67"/>
      <c r="L35" s="67"/>
      <c r="M35" s="67"/>
      <c r="N35" s="67"/>
      <c r="O35" s="67"/>
      <c r="P35" s="67"/>
      <c r="Q35" s="67"/>
      <c r="R35" s="67"/>
      <c r="S35" s="67"/>
      <c r="T35" s="67"/>
    </row>
    <row r="36" spans="1:21" x14ac:dyDescent="0.4">
      <c r="A36" s="1" t="s">
        <v>274</v>
      </c>
      <c r="B36" s="13" t="s">
        <v>256</v>
      </c>
      <c r="F36" s="695"/>
      <c r="G36" s="695"/>
      <c r="H36" s="67"/>
      <c r="I36" s="67"/>
      <c r="J36" s="73"/>
      <c r="K36" s="67"/>
      <c r="L36" s="67"/>
      <c r="M36" s="67"/>
      <c r="N36" s="67"/>
      <c r="O36" s="67"/>
      <c r="P36" s="67"/>
      <c r="Q36" s="67"/>
      <c r="R36" s="67"/>
      <c r="S36" s="67"/>
      <c r="T36" s="67"/>
    </row>
    <row r="37" spans="1:21" x14ac:dyDescent="0.4">
      <c r="C37" s="1" t="s">
        <v>939</v>
      </c>
      <c r="F37" s="695"/>
      <c r="G37" s="695"/>
      <c r="H37" s="67"/>
      <c r="I37" s="67"/>
      <c r="J37" s="73"/>
      <c r="K37" s="556">
        <f>J40</f>
        <v>36596</v>
      </c>
      <c r="L37" s="556">
        <f t="shared" ref="L37:O37" si="12">K40</f>
        <v>33596</v>
      </c>
      <c r="M37" s="556">
        <f t="shared" si="12"/>
        <v>30596</v>
      </c>
      <c r="N37" s="556">
        <f t="shared" si="12"/>
        <v>27596</v>
      </c>
      <c r="O37" s="556">
        <f t="shared" si="12"/>
        <v>24596</v>
      </c>
      <c r="P37" s="556"/>
      <c r="Q37" s="556"/>
      <c r="R37" s="556"/>
      <c r="S37" s="556"/>
      <c r="T37" s="556"/>
    </row>
    <row r="38" spans="1:21" x14ac:dyDescent="0.4">
      <c r="C38" s="1" t="s">
        <v>923</v>
      </c>
      <c r="F38" s="695"/>
      <c r="G38" s="695"/>
      <c r="H38" s="67"/>
      <c r="I38" s="67"/>
      <c r="J38" s="73"/>
      <c r="K38" s="140">
        <v>3000</v>
      </c>
      <c r="L38" s="140">
        <v>3000</v>
      </c>
      <c r="M38" s="140">
        <v>3000</v>
      </c>
      <c r="N38" s="140">
        <v>3000</v>
      </c>
      <c r="O38" s="140">
        <v>3000</v>
      </c>
      <c r="P38" s="140">
        <v>3000</v>
      </c>
      <c r="Q38" s="140">
        <v>3000</v>
      </c>
      <c r="R38" s="140">
        <v>3000</v>
      </c>
      <c r="S38" s="140">
        <v>3000</v>
      </c>
      <c r="T38" s="140">
        <v>3000</v>
      </c>
    </row>
    <row r="39" spans="1:21" x14ac:dyDescent="0.4">
      <c r="C39" s="76" t="s">
        <v>924</v>
      </c>
      <c r="D39" s="76"/>
      <c r="E39" s="76"/>
      <c r="F39" s="696"/>
      <c r="G39" s="696"/>
      <c r="H39" s="145"/>
      <c r="I39" s="145"/>
      <c r="J39" s="146"/>
      <c r="K39" s="147">
        <v>-6000</v>
      </c>
      <c r="L39" s="147">
        <v>-6000</v>
      </c>
      <c r="M39" s="147">
        <v>-6000</v>
      </c>
      <c r="N39" s="147">
        <v>-6000</v>
      </c>
      <c r="O39" s="147">
        <v>-6000</v>
      </c>
      <c r="P39" s="147">
        <v>-6000</v>
      </c>
      <c r="Q39" s="147">
        <v>-6000</v>
      </c>
      <c r="R39" s="147">
        <v>-6000</v>
      </c>
      <c r="S39" s="147">
        <v>-6000</v>
      </c>
      <c r="T39" s="147">
        <v>-6000</v>
      </c>
    </row>
    <row r="40" spans="1:21" x14ac:dyDescent="0.4">
      <c r="C40" s="1" t="s">
        <v>941</v>
      </c>
      <c r="E40" s="693"/>
      <c r="F40" s="693"/>
      <c r="G40" s="693"/>
      <c r="H40" s="604">
        <f>'Balance Sheet'!H30</f>
        <v>22927</v>
      </c>
      <c r="I40" s="604">
        <f>'Balance Sheet'!I30</f>
        <v>31107</v>
      </c>
      <c r="J40" s="605">
        <f>'Balance Sheet'!J30</f>
        <v>36596</v>
      </c>
      <c r="K40" s="547">
        <f>SUM(K37:K39)</f>
        <v>33596</v>
      </c>
      <c r="L40" s="547">
        <f t="shared" ref="L40:O40" si="13">SUM(L37:L39)</f>
        <v>30596</v>
      </c>
      <c r="M40" s="547">
        <f t="shared" si="13"/>
        <v>27596</v>
      </c>
      <c r="N40" s="547">
        <f t="shared" si="13"/>
        <v>24596</v>
      </c>
      <c r="O40" s="547">
        <f t="shared" si="13"/>
        <v>21596</v>
      </c>
      <c r="P40" s="547"/>
      <c r="Q40" s="547"/>
      <c r="R40" s="547"/>
      <c r="S40" s="547"/>
      <c r="T40" s="547"/>
    </row>
    <row r="41" spans="1:21" x14ac:dyDescent="0.4">
      <c r="F41" s="67"/>
      <c r="G41" s="67"/>
      <c r="H41" s="67"/>
      <c r="I41" s="67"/>
      <c r="J41" s="73"/>
      <c r="K41" s="67"/>
      <c r="L41" s="67"/>
      <c r="M41" s="67"/>
      <c r="N41" s="67"/>
      <c r="O41" s="67"/>
      <c r="P41" s="67"/>
      <c r="Q41" s="67"/>
      <c r="R41" s="67"/>
      <c r="S41" s="67"/>
      <c r="T41" s="67"/>
    </row>
    <row r="42" spans="1:21" x14ac:dyDescent="0.4">
      <c r="J42" s="41"/>
    </row>
    <row r="43" spans="1:21" x14ac:dyDescent="0.4">
      <c r="B43" s="14" t="s">
        <v>943</v>
      </c>
      <c r="H43" s="1" t="s">
        <v>925</v>
      </c>
      <c r="J43" s="41"/>
      <c r="K43" s="547">
        <f ca="1">AVERAGE(J28:K28)</f>
        <v>0</v>
      </c>
      <c r="L43" s="547">
        <f t="shared" ref="L43:O43" ca="1" si="14">AVERAGE(K28:L28)</f>
        <v>0</v>
      </c>
      <c r="M43" s="547">
        <f t="shared" ca="1" si="14"/>
        <v>0</v>
      </c>
      <c r="N43" s="547">
        <f t="shared" ca="1" si="14"/>
        <v>0</v>
      </c>
      <c r="O43" s="547">
        <f t="shared" ca="1" si="14"/>
        <v>0</v>
      </c>
      <c r="P43" s="547"/>
      <c r="Q43" s="547"/>
      <c r="R43" s="547"/>
      <c r="S43" s="547"/>
      <c r="T43" s="547"/>
    </row>
    <row r="44" spans="1:21" ht="15.6" x14ac:dyDescent="0.4">
      <c r="H44" s="1" t="s">
        <v>926</v>
      </c>
      <c r="J44" s="571">
        <v>3.3000000000000002E-2</v>
      </c>
      <c r="K44" s="694">
        <v>3.3000000000000002E-2</v>
      </c>
      <c r="L44" s="694">
        <v>3.3000000000000002E-2</v>
      </c>
      <c r="M44" s="694">
        <v>3.3000000000000002E-2</v>
      </c>
      <c r="N44" s="694">
        <v>3.3000000000000002E-2</v>
      </c>
      <c r="O44" s="694">
        <v>3.3000000000000002E-2</v>
      </c>
      <c r="P44" s="570"/>
      <c r="Q44" s="570"/>
      <c r="R44" s="570"/>
      <c r="S44" s="570"/>
      <c r="T44" s="570"/>
      <c r="U44" s="1" t="s">
        <v>1661</v>
      </c>
    </row>
    <row r="45" spans="1:21" x14ac:dyDescent="0.4">
      <c r="H45" s="1" t="s">
        <v>103</v>
      </c>
      <c r="J45" s="41"/>
      <c r="K45" s="547">
        <f ca="1">K43*K44</f>
        <v>0</v>
      </c>
      <c r="L45" s="547">
        <f t="shared" ref="L45:O45" ca="1" si="15">L43*L44</f>
        <v>0</v>
      </c>
      <c r="M45" s="547">
        <f t="shared" ca="1" si="15"/>
        <v>0</v>
      </c>
      <c r="N45" s="547">
        <f t="shared" ca="1" si="15"/>
        <v>0</v>
      </c>
      <c r="O45" s="547">
        <f t="shared" ca="1" si="15"/>
        <v>0</v>
      </c>
      <c r="P45" s="547"/>
      <c r="Q45" s="547"/>
      <c r="R45" s="547"/>
      <c r="S45" s="547"/>
      <c r="T45" s="547"/>
    </row>
    <row r="46" spans="1:21" x14ac:dyDescent="0.4">
      <c r="J46" s="41"/>
      <c r="K46" s="67"/>
      <c r="L46" s="67"/>
      <c r="M46" s="67"/>
      <c r="N46" s="67"/>
      <c r="O46" s="67"/>
      <c r="P46" s="67"/>
      <c r="Q46" s="67"/>
      <c r="R46" s="67"/>
      <c r="S46" s="67"/>
      <c r="T46" s="67"/>
    </row>
    <row r="47" spans="1:21" x14ac:dyDescent="0.4">
      <c r="B47" s="14" t="s">
        <v>944</v>
      </c>
      <c r="H47" s="1" t="s">
        <v>925</v>
      </c>
      <c r="J47" s="41"/>
      <c r="K47" s="547">
        <f>AVERAGE(J34:K34)</f>
        <v>14018</v>
      </c>
      <c r="L47" s="547">
        <f t="shared" ref="L47:O47" si="16">AVERAGE(K34:L34)</f>
        <v>13018</v>
      </c>
      <c r="M47" s="547">
        <f t="shared" si="16"/>
        <v>12018</v>
      </c>
      <c r="N47" s="547">
        <f t="shared" si="16"/>
        <v>11018</v>
      </c>
      <c r="O47" s="547">
        <f t="shared" si="16"/>
        <v>10018</v>
      </c>
      <c r="P47" s="547"/>
      <c r="Q47" s="547"/>
      <c r="R47" s="547"/>
      <c r="S47" s="547"/>
      <c r="T47" s="547"/>
    </row>
    <row r="48" spans="1:21" ht="15.6" x14ac:dyDescent="0.4">
      <c r="H48" s="1" t="s">
        <v>926</v>
      </c>
      <c r="J48" s="41"/>
      <c r="K48" s="75">
        <v>0.05</v>
      </c>
      <c r="L48" s="75">
        <v>0.05</v>
      </c>
      <c r="M48" s="75">
        <v>0.05</v>
      </c>
      <c r="N48" s="75">
        <v>0.05</v>
      </c>
      <c r="O48" s="75">
        <v>0.05</v>
      </c>
      <c r="P48" s="75">
        <v>0.05</v>
      </c>
      <c r="Q48" s="75">
        <v>0.05</v>
      </c>
      <c r="R48" s="75">
        <v>0.05</v>
      </c>
      <c r="S48" s="75">
        <v>0.05</v>
      </c>
      <c r="T48" s="75">
        <v>0.05</v>
      </c>
      <c r="U48" s="1" t="s">
        <v>1662</v>
      </c>
    </row>
    <row r="49" spans="1:21" x14ac:dyDescent="0.4">
      <c r="H49" s="1" t="s">
        <v>103</v>
      </c>
      <c r="J49" s="41"/>
      <c r="K49" s="547">
        <f>K47*K48</f>
        <v>700.90000000000009</v>
      </c>
      <c r="L49" s="547">
        <f t="shared" ref="L49" si="17">L47*L48</f>
        <v>650.90000000000009</v>
      </c>
      <c r="M49" s="547">
        <f t="shared" ref="M49" si="18">M47*M48</f>
        <v>600.9</v>
      </c>
      <c r="N49" s="547">
        <f t="shared" ref="N49" si="19">N47*N48</f>
        <v>550.9</v>
      </c>
      <c r="O49" s="547">
        <f t="shared" ref="O49" si="20">O47*O48</f>
        <v>500.90000000000003</v>
      </c>
      <c r="P49" s="547"/>
      <c r="Q49" s="547"/>
      <c r="R49" s="547"/>
      <c r="S49" s="547"/>
      <c r="T49" s="547"/>
    </row>
    <row r="50" spans="1:21" x14ac:dyDescent="0.4">
      <c r="J50" s="41"/>
      <c r="K50" s="67"/>
      <c r="L50" s="67"/>
      <c r="M50" s="67"/>
      <c r="N50" s="67"/>
      <c r="O50" s="67"/>
      <c r="P50" s="67"/>
      <c r="Q50" s="67"/>
      <c r="R50" s="67"/>
      <c r="S50" s="67"/>
      <c r="T50" s="67"/>
    </row>
    <row r="51" spans="1:21" x14ac:dyDescent="0.4">
      <c r="B51" s="14" t="s">
        <v>945</v>
      </c>
      <c r="H51" s="1" t="s">
        <v>925</v>
      </c>
      <c r="J51" s="41"/>
      <c r="K51" s="547">
        <f>AVERAGE(J40:K40)</f>
        <v>35096</v>
      </c>
      <c r="L51" s="547">
        <f t="shared" ref="L51:O51" si="21">AVERAGE(K40:L40)</f>
        <v>32096</v>
      </c>
      <c r="M51" s="547">
        <f t="shared" si="21"/>
        <v>29096</v>
      </c>
      <c r="N51" s="547">
        <f t="shared" si="21"/>
        <v>26096</v>
      </c>
      <c r="O51" s="547">
        <f t="shared" si="21"/>
        <v>23096</v>
      </c>
      <c r="P51" s="547"/>
      <c r="Q51" s="547"/>
      <c r="R51" s="547"/>
      <c r="S51" s="547"/>
      <c r="T51" s="547"/>
    </row>
    <row r="52" spans="1:21" ht="15.6" x14ac:dyDescent="0.4">
      <c r="H52" s="1" t="s">
        <v>926</v>
      </c>
      <c r="J52" s="41"/>
      <c r="K52" s="75">
        <v>7.0000000000000007E-2</v>
      </c>
      <c r="L52" s="75">
        <v>7.0000000000000007E-2</v>
      </c>
      <c r="M52" s="75">
        <v>7.0000000000000007E-2</v>
      </c>
      <c r="N52" s="75">
        <v>7.0000000000000007E-2</v>
      </c>
      <c r="O52" s="75">
        <v>7.0000000000000007E-2</v>
      </c>
      <c r="P52" s="75">
        <v>7.0000000000000007E-2</v>
      </c>
      <c r="Q52" s="75">
        <v>7.0000000000000007E-2</v>
      </c>
      <c r="R52" s="75">
        <v>7.0000000000000007E-2</v>
      </c>
      <c r="S52" s="75">
        <v>7.0000000000000007E-2</v>
      </c>
      <c r="T52" s="75">
        <v>7.0000000000000007E-2</v>
      </c>
      <c r="U52" s="1" t="s">
        <v>1663</v>
      </c>
    </row>
    <row r="53" spans="1:21" x14ac:dyDescent="0.4">
      <c r="H53" s="1" t="s">
        <v>103</v>
      </c>
      <c r="J53" s="41"/>
      <c r="K53" s="547">
        <f>K51*K52</f>
        <v>2456.7200000000003</v>
      </c>
      <c r="L53" s="547">
        <f t="shared" ref="L53" si="22">L51*L52</f>
        <v>2246.7200000000003</v>
      </c>
      <c r="M53" s="547">
        <f t="shared" ref="M53" si="23">M51*M52</f>
        <v>2036.7200000000003</v>
      </c>
      <c r="N53" s="547">
        <f t="shared" ref="N53" si="24">N51*N52</f>
        <v>1826.7200000000003</v>
      </c>
      <c r="O53" s="547">
        <f t="shared" ref="O53" si="25">O51*O52</f>
        <v>1616.7200000000003</v>
      </c>
      <c r="P53" s="547"/>
      <c r="Q53" s="547"/>
      <c r="R53" s="547"/>
      <c r="S53" s="547"/>
      <c r="T53" s="547"/>
    </row>
    <row r="54" spans="1:21" x14ac:dyDescent="0.4">
      <c r="J54" s="41"/>
      <c r="K54" s="67"/>
      <c r="L54" s="67"/>
      <c r="M54" s="67"/>
      <c r="N54" s="67"/>
      <c r="O54" s="67"/>
      <c r="P54" s="67"/>
      <c r="Q54" s="67"/>
      <c r="R54" s="67"/>
      <c r="S54" s="67"/>
      <c r="T54" s="67"/>
    </row>
    <row r="55" spans="1:21" s="2" customFormat="1" x14ac:dyDescent="0.4">
      <c r="A55" s="1" t="s">
        <v>274</v>
      </c>
      <c r="H55" s="2" t="s">
        <v>927</v>
      </c>
      <c r="J55" s="170"/>
      <c r="K55" s="551">
        <f ca="1">SUM(K45,K49,K53)</f>
        <v>3157.6200000000003</v>
      </c>
      <c r="L55" s="551">
        <f t="shared" ref="L55:O55" ca="1" si="26">SUM(L45,L49,L53)</f>
        <v>2897.6200000000003</v>
      </c>
      <c r="M55" s="551">
        <f t="shared" ca="1" si="26"/>
        <v>2637.6200000000003</v>
      </c>
      <c r="N55" s="551">
        <f t="shared" ca="1" si="26"/>
        <v>2377.6200000000003</v>
      </c>
      <c r="O55" s="551">
        <f t="shared" ca="1" si="26"/>
        <v>2117.6200000000003</v>
      </c>
      <c r="P55" s="551"/>
      <c r="Q55" s="551"/>
      <c r="R55" s="551"/>
      <c r="S55" s="551"/>
      <c r="T55" s="551"/>
    </row>
    <row r="56" spans="1:21" x14ac:dyDescent="0.4">
      <c r="J56" s="41"/>
      <c r="K56" s="67"/>
      <c r="L56" s="67"/>
      <c r="M56" s="67"/>
      <c r="N56" s="67"/>
      <c r="O56" s="67"/>
      <c r="P56" s="67"/>
      <c r="Q56" s="67"/>
      <c r="R56" s="67"/>
      <c r="S56" s="67"/>
      <c r="T56" s="67"/>
    </row>
    <row r="57" spans="1:21" x14ac:dyDescent="0.4">
      <c r="B57" s="14" t="s">
        <v>946</v>
      </c>
      <c r="H57" s="1" t="s">
        <v>925</v>
      </c>
      <c r="J57" s="41"/>
      <c r="K57" s="541">
        <f ca="1">AVERAGE('Balance Sheet'!J10:K10)</f>
        <v>77936.982697486863</v>
      </c>
      <c r="L57" s="541">
        <f ca="1">AVERAGE('Balance Sheet'!K10:L10)</f>
        <v>65171.353340387606</v>
      </c>
      <c r="M57" s="541">
        <f ca="1">AVERAGE('Balance Sheet'!L10:M10)</f>
        <v>64542.534164225173</v>
      </c>
      <c r="N57" s="541">
        <f ca="1">AVERAGE('Balance Sheet'!M10:N10)</f>
        <v>99423.00555955201</v>
      </c>
      <c r="O57" s="541">
        <f ca="1">AVERAGE('Balance Sheet'!N10:O10)</f>
        <v>166001.91147747191</v>
      </c>
      <c r="P57" s="541"/>
      <c r="Q57" s="541"/>
      <c r="R57" s="541"/>
      <c r="S57" s="541"/>
      <c r="T57" s="541"/>
    </row>
    <row r="58" spans="1:21" ht="15.6" x14ac:dyDescent="0.4">
      <c r="H58" s="1" t="s">
        <v>926</v>
      </c>
      <c r="J58" s="41"/>
      <c r="K58" s="75">
        <v>2.5000000000000001E-2</v>
      </c>
      <c r="L58" s="75">
        <v>2.5000000000000001E-2</v>
      </c>
      <c r="M58" s="75">
        <v>2.5000000000000001E-2</v>
      </c>
      <c r="N58" s="75">
        <v>2.5000000000000001E-2</v>
      </c>
      <c r="O58" s="75">
        <v>2.5000000000000001E-2</v>
      </c>
      <c r="P58" s="75">
        <v>2.5000000000000001E-2</v>
      </c>
      <c r="Q58" s="75">
        <v>2.5000000000000001E-2</v>
      </c>
      <c r="R58" s="75">
        <v>2.5000000000000001E-2</v>
      </c>
      <c r="S58" s="75">
        <v>2.5000000000000001E-2</v>
      </c>
      <c r="T58" s="75">
        <v>2.5000000000000001E-2</v>
      </c>
      <c r="U58" s="1" t="s">
        <v>1638</v>
      </c>
    </row>
    <row r="59" spans="1:21" s="2" customFormat="1" x14ac:dyDescent="0.4">
      <c r="A59" s="1" t="s">
        <v>274</v>
      </c>
      <c r="H59" s="2" t="s">
        <v>928</v>
      </c>
      <c r="J59" s="170"/>
      <c r="K59" s="551">
        <f ca="1">K57*-K58</f>
        <v>-1948.4245674371716</v>
      </c>
      <c r="L59" s="551">
        <f t="shared" ref="L59:O59" ca="1" si="27">L57*-L58</f>
        <v>-1629.2838335096903</v>
      </c>
      <c r="M59" s="551">
        <f t="shared" ca="1" si="27"/>
        <v>-1613.5633541056295</v>
      </c>
      <c r="N59" s="551">
        <f t="shared" ca="1" si="27"/>
        <v>-2485.5751389888005</v>
      </c>
      <c r="O59" s="551">
        <f t="shared" ca="1" si="27"/>
        <v>-4150.0477869367978</v>
      </c>
      <c r="P59" s="551"/>
      <c r="Q59" s="551"/>
      <c r="R59" s="551"/>
      <c r="S59" s="551"/>
      <c r="T59" s="551"/>
    </row>
    <row r="60" spans="1:21" x14ac:dyDescent="0.4">
      <c r="K60" s="67"/>
      <c r="L60" s="67"/>
      <c r="M60" s="67"/>
      <c r="N60" s="67"/>
      <c r="O60" s="67"/>
      <c r="P60" s="67"/>
      <c r="Q60" s="67"/>
      <c r="R60" s="67"/>
      <c r="S60" s="67"/>
      <c r="T60" s="67"/>
    </row>
    <row r="64" spans="1:21" x14ac:dyDescent="0.4">
      <c r="K64" s="175"/>
      <c r="L64" s="175"/>
      <c r="M64" s="175"/>
      <c r="N64" s="175"/>
      <c r="O64" s="175"/>
    </row>
  </sheetData>
  <phoneticPr fontId="1" type="noConversion"/>
  <pageMargins left="0.7" right="0.7" top="0.75" bottom="0.75" header="0.3" footer="0.3"/>
  <pageSetup paperSize="9" orientation="portrait" horizontalDpi="4294967292" r:id="rId1"/>
  <customProperties>
    <customPr name="Guid" r:id="rId2"/>
  </customProperties>
  <drawing r:id="rId3"/>
  <legacy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79"/>
  <sheetViews>
    <sheetView showGridLines="0" tabSelected="1" topLeftCell="E46" zoomScaleNormal="100" workbookViewId="0">
      <selection activeCell="J71" sqref="J71"/>
    </sheetView>
  </sheetViews>
  <sheetFormatPr defaultColWidth="8.59765625" defaultRowHeight="13.2" outlineLevelRow="1"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21" width="8.59765625" style="1"/>
    <col min="22" max="22" width="5.296875" style="1" customWidth="1"/>
    <col min="23" max="23" width="5.5" style="1" customWidth="1"/>
    <col min="24" max="28" width="9.59765625" style="1" customWidth="1"/>
    <col min="29" max="16384" width="8.59765625" style="1"/>
  </cols>
  <sheetData>
    <row r="1" spans="1:23" ht="8.1" customHeight="1" x14ac:dyDescent="0.4"/>
    <row r="2" spans="1:23" x14ac:dyDescent="0.4">
      <c r="B2" s="2" t="s">
        <v>229</v>
      </c>
    </row>
    <row r="3" spans="1:23" s="53" customFormat="1" ht="18" thickBot="1" x14ac:dyDescent="0.35">
      <c r="A3" s="52"/>
      <c r="B3" s="58" t="s">
        <v>1026</v>
      </c>
      <c r="W3" s="54"/>
    </row>
    <row r="4" spans="1:23" s="55" customFormat="1" x14ac:dyDescent="0.25">
      <c r="A4" s="52"/>
      <c r="B4" s="57" t="s">
        <v>223</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T8" si="0">G8+1</f>
        <v>2015</v>
      </c>
      <c r="I8" s="49">
        <f t="shared" si="0"/>
        <v>2016</v>
      </c>
      <c r="J8" s="59">
        <f t="shared" si="0"/>
        <v>2017</v>
      </c>
      <c r="K8" s="51">
        <f t="shared" si="0"/>
        <v>2018</v>
      </c>
      <c r="L8" s="51">
        <f t="shared" si="0"/>
        <v>2019</v>
      </c>
      <c r="M8" s="51">
        <f t="shared" si="0"/>
        <v>2020</v>
      </c>
      <c r="N8" s="51">
        <f t="shared" si="0"/>
        <v>2021</v>
      </c>
      <c r="O8" s="51">
        <f t="shared" si="0"/>
        <v>2022</v>
      </c>
      <c r="P8" s="51">
        <f t="shared" si="0"/>
        <v>2023</v>
      </c>
      <c r="Q8" s="51">
        <f t="shared" si="0"/>
        <v>2024</v>
      </c>
      <c r="R8" s="51">
        <f t="shared" si="0"/>
        <v>2025</v>
      </c>
      <c r="S8" s="51">
        <f t="shared" si="0"/>
        <v>2026</v>
      </c>
      <c r="T8" s="51">
        <f t="shared" si="0"/>
        <v>2027</v>
      </c>
    </row>
    <row r="9" spans="1:23" x14ac:dyDescent="0.4">
      <c r="J9" s="176"/>
    </row>
    <row r="10" spans="1:23" x14ac:dyDescent="0.4">
      <c r="A10" s="1" t="s">
        <v>234</v>
      </c>
      <c r="B10" s="1" t="s">
        <v>260</v>
      </c>
      <c r="G10" s="67"/>
      <c r="H10" s="541">
        <f>'Income Statement'!H10</f>
        <v>190592</v>
      </c>
      <c r="I10" s="541">
        <f>'Income Statement'!I10</f>
        <v>268475</v>
      </c>
      <c r="J10" s="542">
        <f>'Income Statement'!J10</f>
        <v>358810</v>
      </c>
      <c r="K10" s="541">
        <f>'Income Statement'!K10</f>
        <v>456021.92514686787</v>
      </c>
      <c r="L10" s="541">
        <f>'Income Statement'!L10</f>
        <v>581236.36886195373</v>
      </c>
      <c r="M10" s="541">
        <f>'Income Statement'!M10</f>
        <v>716363.53643263865</v>
      </c>
      <c r="N10" s="541">
        <f>'Income Statement'!N10</f>
        <v>840241.65172323375</v>
      </c>
      <c r="O10" s="541">
        <f>'Income Statement'!O10</f>
        <v>940457.65306779055</v>
      </c>
      <c r="P10" s="541"/>
      <c r="Q10" s="541"/>
      <c r="R10" s="541"/>
      <c r="S10" s="541"/>
      <c r="T10" s="541"/>
    </row>
    <row r="11" spans="1:23" x14ac:dyDescent="0.4">
      <c r="J11" s="41"/>
    </row>
    <row r="12" spans="1:23" outlineLevel="1" x14ac:dyDescent="0.4">
      <c r="B12" s="1" t="s">
        <v>960</v>
      </c>
      <c r="J12" s="41"/>
      <c r="K12" s="572">
        <f>Operations!K107</f>
        <v>0</v>
      </c>
      <c r="L12" s="572">
        <f>Operations!L107</f>
        <v>0</v>
      </c>
      <c r="M12" s="572">
        <f>Operations!M107</f>
        <v>0</v>
      </c>
      <c r="N12" s="572">
        <f>Operations!N107</f>
        <v>0</v>
      </c>
      <c r="O12" s="572">
        <f>Operations!O107</f>
        <v>0</v>
      </c>
      <c r="P12" s="572"/>
      <c r="Q12" s="572"/>
      <c r="R12" s="572"/>
      <c r="S12" s="572"/>
      <c r="T12" s="572"/>
    </row>
    <row r="13" spans="1:23" x14ac:dyDescent="0.4">
      <c r="A13" s="1" t="s">
        <v>234</v>
      </c>
      <c r="B13" s="1" t="s">
        <v>315</v>
      </c>
      <c r="G13" s="67"/>
      <c r="H13" s="541">
        <f>'Income Statement'!H21</f>
        <v>6753</v>
      </c>
      <c r="I13" s="541">
        <f>'Income Statement'!I21</f>
        <v>27805</v>
      </c>
      <c r="J13" s="542">
        <f>'Income Statement'!J21</f>
        <v>33813</v>
      </c>
      <c r="K13" s="541">
        <f>'Income Statement'!K21</f>
        <v>32663.801487023564</v>
      </c>
      <c r="L13" s="541">
        <f>'Income Statement'!L21</f>
        <v>36435.328146504078</v>
      </c>
      <c r="M13" s="541">
        <f>'Income Statement'!M21</f>
        <v>46887.671091557153</v>
      </c>
      <c r="N13" s="541">
        <f>'Income Statement'!N21</f>
        <v>71329.635159311001</v>
      </c>
      <c r="O13" s="541">
        <f>'Income Statement'!O21</f>
        <v>87945.948280661425</v>
      </c>
      <c r="P13" s="541"/>
      <c r="Q13" s="541"/>
      <c r="R13" s="541"/>
      <c r="S13" s="541"/>
      <c r="T13" s="541"/>
    </row>
    <row r="14" spans="1:23" x14ac:dyDescent="0.4">
      <c r="B14" s="76"/>
      <c r="C14" s="76" t="s">
        <v>949</v>
      </c>
      <c r="D14" s="76"/>
      <c r="E14" s="177">
        <v>0.21</v>
      </c>
      <c r="F14" s="76"/>
      <c r="G14" s="159"/>
      <c r="H14" s="76"/>
      <c r="I14" s="569">
        <f>I13*$E$14</f>
        <v>5839.05</v>
      </c>
      <c r="J14" s="573">
        <f t="shared" ref="J14:O14" si="1">J13*$E$14</f>
        <v>7100.73</v>
      </c>
      <c r="K14" s="569">
        <f t="shared" si="1"/>
        <v>6859.3983122749478</v>
      </c>
      <c r="L14" s="569">
        <f t="shared" si="1"/>
        <v>7651.4189107658558</v>
      </c>
      <c r="M14" s="569">
        <f t="shared" si="1"/>
        <v>9846.4109292270023</v>
      </c>
      <c r="N14" s="569">
        <f t="shared" si="1"/>
        <v>14979.22338345531</v>
      </c>
      <c r="O14" s="569">
        <f t="shared" si="1"/>
        <v>18468.649138938898</v>
      </c>
      <c r="P14" s="569"/>
      <c r="Q14" s="569"/>
      <c r="R14" s="569"/>
      <c r="S14" s="569"/>
      <c r="T14" s="569"/>
    </row>
    <row r="15" spans="1:23" x14ac:dyDescent="0.4">
      <c r="C15" s="2" t="s">
        <v>958</v>
      </c>
      <c r="D15" s="2"/>
      <c r="E15" s="2"/>
      <c r="F15" s="2"/>
      <c r="G15" s="141"/>
      <c r="H15" s="141"/>
      <c r="I15" s="551">
        <f>I13-I14</f>
        <v>21965.95</v>
      </c>
      <c r="J15" s="558">
        <f t="shared" ref="J15:O15" si="2">J13-J14</f>
        <v>26712.27</v>
      </c>
      <c r="K15" s="551">
        <f t="shared" si="2"/>
        <v>25804.403174748615</v>
      </c>
      <c r="L15" s="551">
        <f t="shared" si="2"/>
        <v>28783.909235738221</v>
      </c>
      <c r="M15" s="551">
        <f t="shared" si="2"/>
        <v>37041.260162330153</v>
      </c>
      <c r="N15" s="551">
        <f t="shared" si="2"/>
        <v>56350.411775855689</v>
      </c>
      <c r="O15" s="551">
        <f t="shared" si="2"/>
        <v>69477.299141722528</v>
      </c>
      <c r="P15" s="551"/>
      <c r="Q15" s="551"/>
      <c r="R15" s="551"/>
      <c r="S15" s="551"/>
      <c r="T15" s="551"/>
    </row>
    <row r="16" spans="1:23" x14ac:dyDescent="0.4">
      <c r="G16" s="139"/>
      <c r="H16" s="139"/>
      <c r="I16" s="139"/>
      <c r="J16" s="144"/>
      <c r="K16" s="139"/>
      <c r="L16" s="139"/>
      <c r="M16" s="139"/>
      <c r="N16" s="139"/>
      <c r="O16" s="139"/>
      <c r="P16" s="139"/>
      <c r="Q16" s="139"/>
      <c r="R16" s="139"/>
      <c r="S16" s="139"/>
      <c r="T16" s="139"/>
    </row>
    <row r="17" spans="1:20" x14ac:dyDescent="0.4">
      <c r="C17" s="1" t="s">
        <v>950</v>
      </c>
      <c r="F17" s="139"/>
      <c r="G17" s="67"/>
      <c r="H17" s="67"/>
      <c r="I17" s="67"/>
      <c r="J17" s="73"/>
      <c r="K17" s="541">
        <f>'PP&amp;E'!K18</f>
        <v>29216.938499278502</v>
      </c>
      <c r="L17" s="541">
        <f>'PP&amp;E'!L18</f>
        <v>36370.25544973545</v>
      </c>
      <c r="M17" s="541">
        <f>'PP&amp;E'!M18</f>
        <v>42532.247301587304</v>
      </c>
      <c r="N17" s="541">
        <f>'PP&amp;E'!N18</f>
        <v>45546.708273208278</v>
      </c>
      <c r="O17" s="541">
        <f>'PP&amp;E'!O18</f>
        <v>46155.144540644549</v>
      </c>
      <c r="P17" s="541"/>
      <c r="Q17" s="541"/>
      <c r="R17" s="541"/>
      <c r="S17" s="541"/>
      <c r="T17" s="541"/>
    </row>
    <row r="18" spans="1:20" x14ac:dyDescent="0.4">
      <c r="C18" s="1" t="s">
        <v>951</v>
      </c>
      <c r="G18" s="67"/>
      <c r="H18" s="67"/>
      <c r="I18" s="67"/>
      <c r="J18" s="73"/>
      <c r="K18" s="541">
        <f>'Cash Flow'!K13</f>
        <v>0</v>
      </c>
      <c r="L18" s="541">
        <f>'Cash Flow'!L13</f>
        <v>0</v>
      </c>
      <c r="M18" s="541">
        <f>'Cash Flow'!M13</f>
        <v>0</v>
      </c>
      <c r="N18" s="541">
        <f>'Cash Flow'!N13</f>
        <v>0</v>
      </c>
      <c r="O18" s="541">
        <f>'Cash Flow'!O13</f>
        <v>0</v>
      </c>
      <c r="P18" s="541"/>
      <c r="Q18" s="541"/>
      <c r="R18" s="541"/>
      <c r="S18" s="541"/>
      <c r="T18" s="541"/>
    </row>
    <row r="19" spans="1:20" x14ac:dyDescent="0.4">
      <c r="C19" s="1" t="s">
        <v>1024</v>
      </c>
      <c r="G19" s="139"/>
      <c r="H19" s="139"/>
      <c r="I19" s="139"/>
      <c r="J19" s="144"/>
      <c r="K19" s="541">
        <f>-'PP&amp;E'!K12</f>
        <v>-75900</v>
      </c>
      <c r="L19" s="541">
        <f>-'PP&amp;E'!L12</f>
        <v>-88000</v>
      </c>
      <c r="M19" s="541">
        <f>-'PP&amp;E'!M12</f>
        <v>-77700</v>
      </c>
      <c r="N19" s="541">
        <f>-'PP&amp;E'!N12</f>
        <v>-50000</v>
      </c>
      <c r="O19" s="541">
        <f>-'PP&amp;E'!O12</f>
        <v>-47500</v>
      </c>
      <c r="P19" s="541"/>
      <c r="Q19" s="541"/>
      <c r="R19" s="541"/>
      <c r="S19" s="541"/>
      <c r="T19" s="541"/>
    </row>
    <row r="20" spans="1:20" x14ac:dyDescent="0.4">
      <c r="C20" s="1" t="s">
        <v>959</v>
      </c>
      <c r="G20" s="139"/>
      <c r="H20" s="139"/>
      <c r="I20" s="139"/>
      <c r="J20" s="144"/>
      <c r="K20" s="541">
        <f>'Cash Flow'!K21</f>
        <v>0</v>
      </c>
      <c r="L20" s="541">
        <f>'Cash Flow'!L21</f>
        <v>0</v>
      </c>
      <c r="M20" s="541">
        <f>'Cash Flow'!M21</f>
        <v>0</v>
      </c>
      <c r="N20" s="541">
        <f>'Cash Flow'!N21</f>
        <v>0</v>
      </c>
      <c r="O20" s="541">
        <f>'Cash Flow'!O21</f>
        <v>0</v>
      </c>
      <c r="P20" s="541"/>
      <c r="Q20" s="541"/>
      <c r="R20" s="541"/>
      <c r="S20" s="541"/>
      <c r="T20" s="541"/>
    </row>
    <row r="21" spans="1:20" x14ac:dyDescent="0.4">
      <c r="C21" s="1" t="s">
        <v>1023</v>
      </c>
      <c r="G21" s="139"/>
      <c r="H21" s="139"/>
      <c r="I21" s="139"/>
      <c r="J21" s="144"/>
      <c r="K21" s="541">
        <f>-'Cash Flow'!K22</f>
        <v>0</v>
      </c>
      <c r="L21" s="541">
        <f>-'Cash Flow'!L22</f>
        <v>0</v>
      </c>
      <c r="M21" s="541">
        <f>-'Cash Flow'!M22</f>
        <v>0</v>
      </c>
      <c r="N21" s="541">
        <f>-'Cash Flow'!N22</f>
        <v>0</v>
      </c>
      <c r="O21" s="541">
        <f>-'Cash Flow'!O22</f>
        <v>0</v>
      </c>
      <c r="P21" s="541"/>
      <c r="Q21" s="541"/>
      <c r="R21" s="541"/>
      <c r="S21" s="541"/>
      <c r="T21" s="541"/>
    </row>
    <row r="22" spans="1:20" x14ac:dyDescent="0.4">
      <c r="C22" s="1" t="s">
        <v>1022</v>
      </c>
      <c r="G22" s="139"/>
      <c r="H22" s="139"/>
      <c r="I22" s="139"/>
      <c r="J22" s="144"/>
      <c r="K22" s="541" cm="1">
        <f t="array" ref="K22:O22">'Working Capital'!K27:O27</f>
        <v>7298.8881126712513</v>
      </c>
      <c r="L22" s="541">
        <v>10205.59677688143</v>
      </c>
      <c r="M22" s="541">
        <v>10810.363944228069</v>
      </c>
      <c r="N22" s="541">
        <v>8599.0702358891722</v>
      </c>
      <c r="O22" s="541">
        <v>7293.9496444339748</v>
      </c>
      <c r="P22" s="541"/>
      <c r="Q22" s="541"/>
      <c r="R22" s="541"/>
      <c r="S22" s="541"/>
      <c r="T22" s="541"/>
    </row>
    <row r="23" spans="1:20" x14ac:dyDescent="0.4">
      <c r="B23" s="76"/>
      <c r="C23" s="76" t="s">
        <v>1021</v>
      </c>
      <c r="D23" s="76"/>
      <c r="E23" s="76"/>
      <c r="F23" s="76"/>
      <c r="G23" s="159"/>
      <c r="H23" s="159"/>
      <c r="I23" s="159"/>
      <c r="J23" s="160"/>
      <c r="K23" s="543">
        <f>'Other LT Items'!K23</f>
        <v>-500</v>
      </c>
      <c r="L23" s="543">
        <f>'Other LT Items'!L23</f>
        <v>-500</v>
      </c>
      <c r="M23" s="543">
        <f>'Other LT Items'!M23</f>
        <v>-500</v>
      </c>
      <c r="N23" s="543">
        <f>'Other LT Items'!N23</f>
        <v>-500</v>
      </c>
      <c r="O23" s="543">
        <f>'Other LT Items'!O23</f>
        <v>-500</v>
      </c>
      <c r="P23" s="543"/>
      <c r="Q23" s="543"/>
      <c r="R23" s="543"/>
      <c r="S23" s="543"/>
      <c r="T23" s="543"/>
    </row>
    <row r="24" spans="1:20" x14ac:dyDescent="0.4">
      <c r="A24" s="1" t="s">
        <v>234</v>
      </c>
      <c r="B24" s="2" t="s">
        <v>552</v>
      </c>
      <c r="C24" s="2"/>
      <c r="D24" s="2"/>
      <c r="E24" s="2"/>
      <c r="F24" s="2"/>
      <c r="G24" s="141"/>
      <c r="H24" s="141"/>
      <c r="I24" s="141"/>
      <c r="J24" s="148"/>
      <c r="K24" s="551">
        <f>SUM(K17:K23)+K15</f>
        <v>-14079.770213301628</v>
      </c>
      <c r="L24" s="551">
        <f t="shared" ref="L24:O24" si="3">SUM(L17:L23)+L15</f>
        <v>-13140.238537644898</v>
      </c>
      <c r="M24" s="551">
        <f t="shared" si="3"/>
        <v>12183.871408145525</v>
      </c>
      <c r="N24" s="551">
        <f t="shared" si="3"/>
        <v>59996.19028495314</v>
      </c>
      <c r="O24" s="551">
        <f t="shared" si="3"/>
        <v>74926.393326801044</v>
      </c>
      <c r="P24" s="551">
        <f>$O$31</f>
        <v>50561.549809968637</v>
      </c>
      <c r="Q24" s="551">
        <f t="shared" ref="Q24:T24" si="4">$O$31</f>
        <v>50561.549809968637</v>
      </c>
      <c r="R24" s="551">
        <f t="shared" si="4"/>
        <v>50561.549809968637</v>
      </c>
      <c r="S24" s="551">
        <f t="shared" si="4"/>
        <v>50561.549809968637</v>
      </c>
      <c r="T24" s="551">
        <f t="shared" si="4"/>
        <v>50561.549809968637</v>
      </c>
    </row>
    <row r="25" spans="1:20" x14ac:dyDescent="0.4">
      <c r="C25" s="1" t="s">
        <v>952</v>
      </c>
      <c r="G25" s="139"/>
      <c r="H25" s="139"/>
      <c r="I25" s="139"/>
      <c r="J25" s="139"/>
      <c r="K25" s="139"/>
      <c r="L25" s="154"/>
      <c r="M25" s="154"/>
      <c r="N25" s="574">
        <f>(N24-M24)/M24</f>
        <v>3.9242304252195814</v>
      </c>
      <c r="O25" s="574">
        <f>(O24-N24)/N24</f>
        <v>0.24885251831718977</v>
      </c>
      <c r="P25" s="574"/>
      <c r="Q25" s="574"/>
      <c r="R25" s="574"/>
      <c r="S25" s="574"/>
      <c r="T25" s="574"/>
    </row>
    <row r="26" spans="1:20" x14ac:dyDescent="0.4">
      <c r="G26" s="139"/>
      <c r="H26" s="139"/>
      <c r="I26" s="139"/>
      <c r="J26" s="139"/>
      <c r="K26" s="139"/>
      <c r="L26" s="139"/>
      <c r="M26" s="139"/>
      <c r="N26" s="139"/>
      <c r="O26" s="139"/>
      <c r="P26" s="139"/>
      <c r="Q26" s="139"/>
      <c r="R26" s="139"/>
      <c r="S26" s="139"/>
      <c r="T26" s="139"/>
    </row>
    <row r="27" spans="1:20" x14ac:dyDescent="0.4">
      <c r="B27" s="1" t="s">
        <v>1020</v>
      </c>
      <c r="G27" s="139"/>
      <c r="H27" s="498">
        <f>+WACC!O47</f>
        <v>8.1839638913479396E-2</v>
      </c>
      <c r="I27" s="139"/>
      <c r="J27" s="139"/>
      <c r="K27" s="139"/>
      <c r="L27" s="139"/>
      <c r="M27" s="139"/>
      <c r="N27" s="139"/>
      <c r="O27" s="139"/>
      <c r="P27" s="139"/>
      <c r="Q27" s="139"/>
      <c r="R27" s="139"/>
      <c r="S27" s="139"/>
      <c r="T27" s="139"/>
    </row>
    <row r="28" spans="1:20" x14ac:dyDescent="0.4">
      <c r="B28" s="1" t="s">
        <v>1018</v>
      </c>
      <c r="G28" s="139"/>
      <c r="H28" s="139"/>
      <c r="I28" s="139"/>
      <c r="J28" s="139"/>
      <c r="K28" s="140">
        <v>1</v>
      </c>
      <c r="L28" s="547">
        <v>2</v>
      </c>
      <c r="M28" s="547">
        <v>3</v>
      </c>
      <c r="N28" s="547">
        <v>4</v>
      </c>
      <c r="O28" s="547">
        <v>5</v>
      </c>
      <c r="P28" s="547">
        <v>6</v>
      </c>
      <c r="Q28" s="547">
        <v>7</v>
      </c>
      <c r="R28" s="547">
        <v>8</v>
      </c>
      <c r="S28" s="547">
        <v>9</v>
      </c>
      <c r="T28" s="547">
        <v>10</v>
      </c>
    </row>
    <row r="29" spans="1:20" x14ac:dyDescent="0.4">
      <c r="B29" s="1" t="s">
        <v>1019</v>
      </c>
      <c r="G29" s="139"/>
      <c r="H29" s="139"/>
      <c r="I29" s="139"/>
      <c r="J29" s="139"/>
      <c r="K29" s="575">
        <f>1*(1+$H$27)^K28</f>
        <v>1.0818396389134795</v>
      </c>
      <c r="L29" s="575">
        <f t="shared" ref="L29:O29" si="5">1*(1+$H$27)^L28</f>
        <v>1.1703770043244477</v>
      </c>
      <c r="M29" s="575">
        <f t="shared" si="5"/>
        <v>1.2661602357510002</v>
      </c>
      <c r="N29" s="575">
        <f t="shared" si="5"/>
        <v>1.3697823322514682</v>
      </c>
      <c r="O29" s="575">
        <f t="shared" si="5"/>
        <v>1.481884823712992</v>
      </c>
      <c r="P29" s="575">
        <f t="shared" ref="P29" si="6">1*(1+$H$27)^P28</f>
        <v>1.6031617425970286</v>
      </c>
      <c r="Q29" s="575">
        <f t="shared" ref="Q29" si="7">1*(1+$H$27)^Q28</f>
        <v>1.7343639207310739</v>
      </c>
      <c r="R29" s="575">
        <f t="shared" ref="R29" si="8">1*(1+$H$27)^R28</f>
        <v>1.8763036377482716</v>
      </c>
      <c r="S29" s="575">
        <f t="shared" ref="S29" si="9">1*(1+$H$27)^S28</f>
        <v>2.0298596499536381</v>
      </c>
      <c r="T29" s="575">
        <f t="shared" ref="T29" si="10">1*(1+$H$27)^T28</f>
        <v>2.1959826307508856</v>
      </c>
    </row>
    <row r="30" spans="1:20" x14ac:dyDescent="0.4">
      <c r="G30" s="139"/>
      <c r="H30" s="139"/>
      <c r="I30" s="139"/>
      <c r="J30" s="139"/>
      <c r="K30" s="139"/>
      <c r="L30" s="139"/>
      <c r="M30" s="139"/>
      <c r="N30" s="139"/>
      <c r="O30" s="139"/>
      <c r="P30" s="139"/>
      <c r="Q30" s="139"/>
      <c r="R30" s="139"/>
      <c r="S30" s="139"/>
      <c r="T30" s="139"/>
    </row>
    <row r="31" spans="1:20" x14ac:dyDescent="0.4">
      <c r="B31" s="1" t="s">
        <v>1017</v>
      </c>
      <c r="G31" s="139"/>
      <c r="H31" s="139"/>
      <c r="I31" s="139"/>
      <c r="J31" s="139"/>
      <c r="K31" s="547">
        <f>K24/K29</f>
        <v>-13014.655506099147</v>
      </c>
      <c r="L31" s="547">
        <f t="shared" ref="L31:T31" si="11">L24/L29</f>
        <v>-11227.355364205539</v>
      </c>
      <c r="M31" s="547">
        <f t="shared" si="11"/>
        <v>9622.6931348218186</v>
      </c>
      <c r="N31" s="547">
        <f t="shared" si="11"/>
        <v>43799.79860474568</v>
      </c>
      <c r="O31" s="547">
        <f t="shared" si="11"/>
        <v>50561.549809968637</v>
      </c>
      <c r="P31" s="547">
        <f t="shared" si="11"/>
        <v>31538.645456984192</v>
      </c>
      <c r="Q31" s="547">
        <f t="shared" si="11"/>
        <v>29152.791525238714</v>
      </c>
      <c r="R31" s="547">
        <f t="shared" si="11"/>
        <v>26947.424069724086</v>
      </c>
      <c r="S31" s="547">
        <f t="shared" si="11"/>
        <v>24908.889543729518</v>
      </c>
      <c r="T31" s="547">
        <f t="shared" si="11"/>
        <v>23024.567272046144</v>
      </c>
    </row>
    <row r="32" spans="1:20" x14ac:dyDescent="0.4">
      <c r="A32" s="1" t="s">
        <v>234</v>
      </c>
      <c r="B32" s="2" t="s">
        <v>953</v>
      </c>
      <c r="C32" s="2"/>
      <c r="D32" s="2"/>
      <c r="E32" s="2"/>
      <c r="F32" s="2"/>
      <c r="G32" s="141"/>
      <c r="H32" s="141"/>
      <c r="I32" s="141"/>
      <c r="J32" s="551">
        <f>403993</f>
        <v>403993</v>
      </c>
      <c r="P32" s="139"/>
      <c r="Q32" s="139"/>
      <c r="R32" s="139"/>
      <c r="S32" s="139"/>
      <c r="T32" s="139"/>
    </row>
    <row r="33" spans="1:20" x14ac:dyDescent="0.4">
      <c r="G33" s="139"/>
      <c r="H33" s="139"/>
      <c r="I33" s="139"/>
      <c r="J33" s="139"/>
      <c r="K33" s="139"/>
      <c r="L33" s="139"/>
      <c r="M33" s="139"/>
      <c r="N33" s="139"/>
      <c r="O33" s="139"/>
      <c r="P33" s="139"/>
      <c r="Q33" s="139"/>
      <c r="R33" s="139"/>
      <c r="S33" s="139"/>
      <c r="T33" s="139"/>
    </row>
    <row r="34" spans="1:20" x14ac:dyDescent="0.4">
      <c r="A34" s="1" t="s">
        <v>234</v>
      </c>
      <c r="B34" s="1" t="s">
        <v>1016</v>
      </c>
      <c r="J34" s="175"/>
    </row>
    <row r="36" spans="1:20" x14ac:dyDescent="0.4">
      <c r="E36" s="234" t="s">
        <v>954</v>
      </c>
      <c r="F36" s="235"/>
      <c r="G36" s="235"/>
      <c r="H36" s="235"/>
      <c r="I36" s="235"/>
      <c r="J36" s="236"/>
      <c r="L36" s="234" t="s">
        <v>955</v>
      </c>
      <c r="M36" s="235"/>
      <c r="N36" s="235"/>
      <c r="O36" s="236"/>
      <c r="Q36" s="139"/>
    </row>
    <row r="37" spans="1:20" x14ac:dyDescent="0.4">
      <c r="E37" s="178"/>
      <c r="J37" s="144"/>
      <c r="L37" s="178"/>
      <c r="O37" s="144"/>
      <c r="Q37" s="139"/>
    </row>
    <row r="38" spans="1:20" x14ac:dyDescent="0.4">
      <c r="E38" s="178" t="s">
        <v>1015</v>
      </c>
      <c r="J38" s="179">
        <v>0.03</v>
      </c>
      <c r="L38" s="178" t="s">
        <v>1012</v>
      </c>
      <c r="O38" s="577">
        <f>'Trading Multiples'!H25</f>
        <v>13.395479999999999</v>
      </c>
      <c r="Q38" s="139"/>
    </row>
    <row r="39" spans="1:20" x14ac:dyDescent="0.4">
      <c r="E39" s="178" t="s">
        <v>1013</v>
      </c>
      <c r="J39" s="548">
        <f>O31*(1+J38)/(H27-J38)</f>
        <v>1004605.6916250283</v>
      </c>
      <c r="L39" s="178" t="s">
        <v>1013</v>
      </c>
      <c r="O39" s="548"/>
      <c r="Q39" s="139"/>
    </row>
    <row r="40" spans="1:20" x14ac:dyDescent="0.4">
      <c r="E40" s="180" t="s">
        <v>1014</v>
      </c>
      <c r="F40" s="77"/>
      <c r="G40" s="77"/>
      <c r="H40" s="77"/>
      <c r="I40" s="77"/>
      <c r="J40" s="576"/>
      <c r="K40" s="2"/>
      <c r="L40" s="180" t="s">
        <v>1014</v>
      </c>
      <c r="M40" s="77"/>
      <c r="N40" s="77"/>
      <c r="O40" s="576"/>
      <c r="Q40" s="139"/>
    </row>
    <row r="41" spans="1:20" x14ac:dyDescent="0.4">
      <c r="H41" s="139"/>
      <c r="I41" s="139"/>
      <c r="J41" s="139"/>
      <c r="O41" s="139"/>
      <c r="P41" s="139"/>
      <c r="Q41" s="139"/>
    </row>
    <row r="43" spans="1:20" x14ac:dyDescent="0.4">
      <c r="A43" s="1" t="s">
        <v>234</v>
      </c>
      <c r="B43" s="13" t="s">
        <v>1025</v>
      </c>
      <c r="J43" s="139"/>
      <c r="K43" s="139"/>
    </row>
    <row r="44" spans="1:20" x14ac:dyDescent="0.4">
      <c r="J44" s="139"/>
      <c r="K44" s="139"/>
    </row>
    <row r="45" spans="1:20" x14ac:dyDescent="0.4">
      <c r="C45" s="1" t="s">
        <v>961</v>
      </c>
      <c r="G45" s="139"/>
      <c r="H45" s="139"/>
      <c r="I45" s="139"/>
      <c r="J45" s="556"/>
      <c r="K45" s="139"/>
      <c r="L45" s="139"/>
      <c r="M45" s="139"/>
      <c r="N45" s="139"/>
      <c r="O45" s="556"/>
      <c r="P45" s="139"/>
      <c r="Q45" s="139"/>
      <c r="R45" s="139"/>
    </row>
    <row r="46" spans="1:20" x14ac:dyDescent="0.4">
      <c r="C46" s="76" t="s">
        <v>1007</v>
      </c>
      <c r="D46" s="76"/>
      <c r="E46" s="76"/>
      <c r="F46" s="76"/>
      <c r="G46" s="159"/>
      <c r="H46" s="159"/>
      <c r="I46" s="159"/>
      <c r="J46" s="568"/>
      <c r="K46" s="159"/>
      <c r="L46" s="159"/>
      <c r="M46" s="159"/>
      <c r="N46" s="159"/>
      <c r="O46" s="568"/>
      <c r="P46" s="139"/>
      <c r="Q46" s="139"/>
      <c r="R46" s="139"/>
    </row>
    <row r="47" spans="1:20" x14ac:dyDescent="0.4">
      <c r="C47" s="2" t="s">
        <v>1008</v>
      </c>
      <c r="D47" s="2"/>
      <c r="E47" s="2"/>
      <c r="F47" s="2"/>
      <c r="G47" s="141"/>
      <c r="H47" s="141"/>
      <c r="I47" s="141"/>
      <c r="J47" s="551"/>
      <c r="K47" s="141"/>
      <c r="L47" s="141"/>
      <c r="M47" s="141"/>
      <c r="N47" s="141"/>
      <c r="O47" s="551"/>
      <c r="P47" s="139"/>
      <c r="Q47" s="139"/>
      <c r="R47" s="139"/>
    </row>
    <row r="48" spans="1:20" x14ac:dyDescent="0.4">
      <c r="G48" s="139"/>
      <c r="H48" s="139"/>
      <c r="I48" s="139"/>
      <c r="J48" s="139"/>
      <c r="K48" s="139"/>
      <c r="L48" s="139"/>
      <c r="M48" s="139"/>
      <c r="N48" s="139"/>
      <c r="O48" s="139"/>
      <c r="P48" s="139"/>
      <c r="Q48" s="139"/>
      <c r="R48" s="139"/>
    </row>
    <row r="49" spans="1:18" x14ac:dyDescent="0.4">
      <c r="C49" s="1" t="s">
        <v>956</v>
      </c>
      <c r="G49" s="139"/>
      <c r="H49" s="139"/>
      <c r="I49" s="139"/>
      <c r="J49" s="541"/>
      <c r="K49" s="139"/>
      <c r="L49" s="139"/>
      <c r="M49" s="139"/>
      <c r="N49" s="139"/>
      <c r="O49" s="541"/>
      <c r="P49" s="139"/>
      <c r="Q49" s="139"/>
      <c r="R49" s="139"/>
    </row>
    <row r="50" spans="1:18" x14ac:dyDescent="0.4">
      <c r="C50" s="76" t="s">
        <v>957</v>
      </c>
      <c r="D50" s="76"/>
      <c r="E50" s="76"/>
      <c r="F50" s="76"/>
      <c r="G50" s="159"/>
      <c r="H50" s="159"/>
      <c r="I50" s="159"/>
      <c r="J50" s="543"/>
      <c r="K50" s="159"/>
      <c r="L50" s="159"/>
      <c r="M50" s="159"/>
      <c r="N50" s="159"/>
      <c r="O50" s="543"/>
      <c r="P50" s="139"/>
      <c r="Q50" s="139"/>
      <c r="R50" s="139"/>
    </row>
    <row r="51" spans="1:18" x14ac:dyDescent="0.4">
      <c r="C51" s="2" t="s">
        <v>1009</v>
      </c>
      <c r="D51" s="2"/>
      <c r="E51" s="2"/>
      <c r="F51" s="2"/>
      <c r="G51" s="141"/>
      <c r="H51" s="141"/>
      <c r="I51" s="141"/>
      <c r="J51" s="551"/>
      <c r="K51" s="141"/>
      <c r="L51" s="141"/>
      <c r="M51" s="141"/>
      <c r="N51" s="141"/>
      <c r="O51" s="551"/>
      <c r="P51" s="139"/>
      <c r="Q51" s="139"/>
      <c r="R51" s="139"/>
    </row>
    <row r="52" spans="1:18" x14ac:dyDescent="0.4">
      <c r="G52" s="139"/>
      <c r="H52" s="139"/>
      <c r="I52" s="139"/>
      <c r="J52" s="139"/>
      <c r="K52" s="139"/>
      <c r="L52" s="139"/>
      <c r="M52" s="139"/>
      <c r="N52" s="139"/>
      <c r="O52" s="139"/>
      <c r="P52" s="139"/>
      <c r="Q52" s="139"/>
      <c r="R52" s="139"/>
    </row>
    <row r="53" spans="1:18" x14ac:dyDescent="0.4">
      <c r="C53" s="1" t="s">
        <v>1010</v>
      </c>
      <c r="G53" s="139"/>
      <c r="H53" s="139"/>
      <c r="I53" s="139"/>
      <c r="J53" s="541"/>
      <c r="K53" s="139"/>
      <c r="L53" s="139"/>
      <c r="M53" s="139"/>
      <c r="N53" s="139"/>
      <c r="O53" s="541"/>
      <c r="P53" s="139"/>
      <c r="Q53" s="139"/>
      <c r="R53" s="139"/>
    </row>
    <row r="54" spans="1:18" x14ac:dyDescent="0.4">
      <c r="G54" s="139"/>
      <c r="H54" s="139"/>
      <c r="I54" s="139"/>
      <c r="J54" s="139"/>
      <c r="K54" s="139"/>
      <c r="L54" s="139"/>
      <c r="M54" s="139"/>
      <c r="N54" s="139"/>
      <c r="O54" s="139"/>
      <c r="P54" s="139"/>
      <c r="Q54" s="139"/>
      <c r="R54" s="139"/>
    </row>
    <row r="55" spans="1:18" x14ac:dyDescent="0.4">
      <c r="A55" s="1" t="s">
        <v>234</v>
      </c>
      <c r="C55" s="2" t="s">
        <v>1011</v>
      </c>
      <c r="D55" s="2"/>
      <c r="E55" s="2"/>
      <c r="F55" s="2"/>
      <c r="G55" s="141"/>
      <c r="H55" s="141"/>
      <c r="I55" s="141"/>
      <c r="J55" s="578"/>
      <c r="K55" s="139"/>
      <c r="L55" s="139"/>
      <c r="M55" s="139"/>
      <c r="N55" s="139"/>
      <c r="O55" s="578"/>
      <c r="P55" s="139"/>
      <c r="Q55" s="139"/>
      <c r="R55" s="139"/>
    </row>
    <row r="56" spans="1:18" x14ac:dyDescent="0.4">
      <c r="G56" s="139"/>
      <c r="H56" s="139"/>
      <c r="I56" s="139"/>
      <c r="J56" s="139"/>
      <c r="K56" s="139"/>
      <c r="L56" s="139"/>
      <c r="M56" s="139"/>
      <c r="N56" s="139"/>
      <c r="O56" s="139"/>
      <c r="P56" s="139"/>
      <c r="Q56" s="139"/>
      <c r="R56" s="139"/>
    </row>
    <row r="57" spans="1:18" x14ac:dyDescent="0.4">
      <c r="G57" s="139"/>
      <c r="H57" s="139"/>
      <c r="I57" s="139"/>
      <c r="J57" s="139"/>
      <c r="K57" s="139"/>
      <c r="L57" s="139"/>
      <c r="M57" s="139"/>
      <c r="N57" s="139"/>
      <c r="O57" s="139"/>
      <c r="P57" s="139"/>
      <c r="Q57" s="139"/>
      <c r="R57" s="139"/>
    </row>
    <row r="58" spans="1:18" x14ac:dyDescent="0.4">
      <c r="G58" s="139"/>
      <c r="H58" s="139"/>
      <c r="I58" s="139"/>
      <c r="J58" s="139"/>
      <c r="K58" s="139"/>
      <c r="L58" s="139"/>
      <c r="M58" s="139"/>
      <c r="N58" s="139"/>
      <c r="O58" s="139"/>
      <c r="P58" s="139"/>
      <c r="Q58" s="139"/>
      <c r="R58" s="139"/>
    </row>
    <row r="60" spans="1:18" x14ac:dyDescent="0.4">
      <c r="B60" s="13" t="s">
        <v>1583</v>
      </c>
    </row>
    <row r="61" spans="1:18" ht="15" customHeight="1" x14ac:dyDescent="0.4"/>
    <row r="62" spans="1:18" ht="15" customHeight="1" x14ac:dyDescent="0.4"/>
    <row r="63" spans="1:18" ht="15" customHeight="1" x14ac:dyDescent="0.4"/>
    <row r="64" spans="1:18" ht="15" customHeight="1" x14ac:dyDescent="0.4"/>
    <row r="65" spans="9:9" ht="15" customHeight="1" x14ac:dyDescent="0.4"/>
    <row r="66" spans="9:9" ht="15" customHeight="1" x14ac:dyDescent="0.4"/>
    <row r="67" spans="9:9" ht="15" customHeight="1" x14ac:dyDescent="0.4"/>
    <row r="68" spans="9:9" ht="15" customHeight="1" x14ac:dyDescent="0.4"/>
    <row r="71" spans="9:9" ht="15" customHeight="1" x14ac:dyDescent="0.4"/>
    <row r="72" spans="9:9" ht="15" customHeight="1" x14ac:dyDescent="0.4"/>
    <row r="73" spans="9:9" ht="15" customHeight="1" x14ac:dyDescent="0.4"/>
    <row r="74" spans="9:9" ht="15" customHeight="1" x14ac:dyDescent="0.4"/>
    <row r="75" spans="9:9" ht="15" customHeight="1" x14ac:dyDescent="0.4"/>
    <row r="76" spans="9:9" ht="15" customHeight="1" x14ac:dyDescent="0.4"/>
    <row r="77" spans="9:9" ht="15" customHeight="1" x14ac:dyDescent="0.4"/>
    <row r="78" spans="9:9" ht="15" customHeight="1" x14ac:dyDescent="0.4"/>
    <row r="79" spans="9:9" x14ac:dyDescent="0.4">
      <c r="I79" s="153"/>
    </row>
  </sheetData>
  <phoneticPr fontId="1" type="noConversion"/>
  <pageMargins left="0.7" right="0.7" top="0.75" bottom="0.75" header="0.3" footer="0.3"/>
  <pageSetup paperSize="9" orientation="portrait" horizontalDpi="4294967292" r:id="rId1"/>
  <customProperties>
    <customPr name="Guid" r:id="rId2"/>
  </customProperties>
  <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00"/>
  </sheetPr>
  <dimension ref="A2:W303"/>
  <sheetViews>
    <sheetView zoomScale="115" zoomScaleNormal="115" workbookViewId="0">
      <pane ySplit="4" topLeftCell="A91" activePane="bottomLeft" state="frozen"/>
      <selection pane="bottomLeft" activeCell="I97" sqref="I97"/>
    </sheetView>
  </sheetViews>
  <sheetFormatPr defaultColWidth="9" defaultRowHeight="13.2" x14ac:dyDescent="0.4"/>
  <cols>
    <col min="1" max="1" width="2.59765625" style="1" customWidth="1"/>
    <col min="2" max="2" width="25.796875" style="1" customWidth="1"/>
    <col min="3" max="3" width="16.09765625" style="1" customWidth="1"/>
    <col min="4" max="4" width="12.59765625" style="1" customWidth="1"/>
    <col min="5" max="6" width="10.59765625" style="1" customWidth="1"/>
    <col min="7" max="7" width="12.3984375" style="1" bestFit="1" customWidth="1"/>
    <col min="8" max="8" width="13.796875" style="1" bestFit="1" customWidth="1"/>
    <col min="9" max="21" width="10.59765625" style="1" customWidth="1"/>
    <col min="22" max="16384" width="9" style="1"/>
  </cols>
  <sheetData>
    <row r="2" spans="1:23" x14ac:dyDescent="0.4">
      <c r="B2" s="2" t="s">
        <v>229</v>
      </c>
    </row>
    <row r="3" spans="1:23" s="53" customFormat="1" ht="18" thickBot="1" x14ac:dyDescent="0.35">
      <c r="A3" s="52"/>
      <c r="B3" s="58" t="s">
        <v>1005</v>
      </c>
      <c r="W3" s="54"/>
    </row>
    <row r="4" spans="1:23" s="55" customFormat="1" x14ac:dyDescent="0.25">
      <c r="A4" s="52"/>
      <c r="B4" s="57"/>
      <c r="W4" s="56"/>
    </row>
    <row r="5" spans="1:23" x14ac:dyDescent="0.4">
      <c r="A5" s="1" t="s">
        <v>973</v>
      </c>
      <c r="B5" s="399" t="s">
        <v>977</v>
      </c>
      <c r="C5" s="398"/>
      <c r="D5" s="398"/>
      <c r="E5" s="398"/>
      <c r="F5" s="398"/>
      <c r="G5" s="398"/>
    </row>
    <row r="6" spans="1:23" x14ac:dyDescent="0.4">
      <c r="B6" s="196" t="s">
        <v>976</v>
      </c>
    </row>
    <row r="8" spans="1:23" x14ac:dyDescent="0.4">
      <c r="B8" s="399" t="s">
        <v>1003</v>
      </c>
      <c r="C8" s="398"/>
      <c r="D8" s="398"/>
      <c r="E8" s="398"/>
      <c r="F8" s="398"/>
      <c r="G8" s="398"/>
    </row>
    <row r="9" spans="1:23" x14ac:dyDescent="0.4">
      <c r="B9" s="196" t="s">
        <v>978</v>
      </c>
    </row>
    <row r="10" spans="1:23" x14ac:dyDescent="0.4">
      <c r="B10" s="196"/>
    </row>
    <row r="11" spans="1:23" x14ac:dyDescent="0.4">
      <c r="B11" s="399" t="s">
        <v>1004</v>
      </c>
      <c r="C11" s="398"/>
      <c r="D11" s="398"/>
      <c r="E11" s="398"/>
      <c r="F11" s="398"/>
      <c r="G11" s="398"/>
    </row>
    <row r="12" spans="1:23" x14ac:dyDescent="0.4">
      <c r="B12" s="196" t="s">
        <v>979</v>
      </c>
    </row>
    <row r="16" spans="1:23" s="228" customFormat="1" ht="15.6" x14ac:dyDescent="0.4">
      <c r="A16" s="228" t="s">
        <v>998</v>
      </c>
      <c r="B16" s="228" t="s">
        <v>999</v>
      </c>
    </row>
    <row r="17" spans="2:3" s="400" customFormat="1" ht="15.6" x14ac:dyDescent="0.4"/>
    <row r="18" spans="2:3" ht="13.8" thickBot="1" x14ac:dyDescent="0.45">
      <c r="B18" s="395"/>
      <c r="C18" s="389" t="s">
        <v>88</v>
      </c>
    </row>
    <row r="19" spans="2:3" ht="26.4" x14ac:dyDescent="0.4">
      <c r="B19" s="195" t="s">
        <v>89</v>
      </c>
      <c r="C19" s="197" t="s">
        <v>90</v>
      </c>
    </row>
    <row r="20" spans="2:3" x14ac:dyDescent="0.4">
      <c r="B20" s="198" t="s">
        <v>48</v>
      </c>
      <c r="C20" s="199" t="s">
        <v>91</v>
      </c>
    </row>
    <row r="21" spans="2:3" x14ac:dyDescent="0.4">
      <c r="B21" s="195" t="s">
        <v>981</v>
      </c>
      <c r="C21" s="200">
        <v>0</v>
      </c>
    </row>
    <row r="22" spans="2:3" ht="26.4" x14ac:dyDescent="0.4">
      <c r="B22" s="193" t="s">
        <v>92</v>
      </c>
      <c r="C22" s="199" t="s">
        <v>93</v>
      </c>
    </row>
    <row r="23" spans="2:3" x14ac:dyDescent="0.4">
      <c r="B23" s="195" t="s">
        <v>94</v>
      </c>
      <c r="C23" s="201" t="s">
        <v>95</v>
      </c>
    </row>
    <row r="24" spans="2:3" ht="39.6" x14ac:dyDescent="0.4">
      <c r="B24" s="198" t="s">
        <v>96</v>
      </c>
      <c r="C24" s="199" t="s">
        <v>97</v>
      </c>
    </row>
    <row r="25" spans="2:3" ht="26.4" x14ac:dyDescent="0.4">
      <c r="B25" s="195" t="s">
        <v>98</v>
      </c>
      <c r="C25" s="201" t="s">
        <v>99</v>
      </c>
    </row>
    <row r="26" spans="2:3" ht="26.4" x14ac:dyDescent="0.4">
      <c r="B26" s="193" t="s">
        <v>982</v>
      </c>
      <c r="C26" s="199" t="s">
        <v>100</v>
      </c>
    </row>
    <row r="27" spans="2:3" x14ac:dyDescent="0.4">
      <c r="B27" s="195" t="s">
        <v>101</v>
      </c>
      <c r="C27" s="201" t="s">
        <v>102</v>
      </c>
    </row>
    <row r="28" spans="2:3" x14ac:dyDescent="0.4">
      <c r="B28" s="198" t="s">
        <v>51</v>
      </c>
      <c r="C28" s="199" t="s">
        <v>91</v>
      </c>
    </row>
    <row r="29" spans="2:3" x14ac:dyDescent="0.4">
      <c r="B29" s="202" t="s">
        <v>103</v>
      </c>
      <c r="C29" s="201" t="s">
        <v>104</v>
      </c>
    </row>
    <row r="30" spans="2:3" ht="27" thickBot="1" x14ac:dyDescent="0.45">
      <c r="B30" s="192" t="s">
        <v>105</v>
      </c>
      <c r="C30" s="203" t="s">
        <v>106</v>
      </c>
    </row>
    <row r="32" spans="2:3" ht="15.6" x14ac:dyDescent="0.4">
      <c r="B32" s="225" t="s">
        <v>983</v>
      </c>
    </row>
    <row r="35" spans="1:21" s="228" customFormat="1" ht="15.6" x14ac:dyDescent="0.4">
      <c r="A35" s="228" t="s">
        <v>973</v>
      </c>
      <c r="B35" s="228" t="s">
        <v>1002</v>
      </c>
    </row>
    <row r="36" spans="1:21" x14ac:dyDescent="0.4">
      <c r="B36" s="226" t="s">
        <v>885</v>
      </c>
      <c r="C36" s="193"/>
      <c r="D36" s="193"/>
      <c r="E36" s="193"/>
      <c r="F36" s="193"/>
      <c r="G36" s="193"/>
      <c r="H36" s="193"/>
      <c r="I36" s="193"/>
      <c r="J36" s="193"/>
      <c r="K36" s="193"/>
      <c r="L36" s="193"/>
      <c r="M36" s="193"/>
      <c r="N36" s="193"/>
      <c r="O36" s="193"/>
      <c r="P36" s="193"/>
      <c r="Q36" s="193"/>
      <c r="R36" s="193"/>
      <c r="S36" s="193"/>
      <c r="T36" s="193"/>
      <c r="U36" s="193"/>
    </row>
    <row r="37" spans="1:21" x14ac:dyDescent="0.4">
      <c r="B37" s="193"/>
      <c r="C37" s="193"/>
      <c r="D37" s="193"/>
      <c r="E37" s="193"/>
      <c r="F37" s="193"/>
      <c r="G37" s="193"/>
      <c r="H37" s="193"/>
      <c r="I37" s="193"/>
      <c r="J37" s="193"/>
      <c r="K37" s="193"/>
      <c r="L37" s="193"/>
      <c r="M37" s="193"/>
      <c r="N37" s="193"/>
      <c r="O37" s="193"/>
      <c r="P37" s="193"/>
      <c r="Q37" s="193"/>
      <c r="R37" s="193"/>
      <c r="S37" s="193"/>
      <c r="T37" s="193"/>
      <c r="U37" s="193"/>
    </row>
    <row r="38" spans="1:21" ht="13.8" thickBot="1" x14ac:dyDescent="0.45">
      <c r="B38" s="390"/>
      <c r="C38" s="390"/>
      <c r="D38" s="613" t="s">
        <v>886</v>
      </c>
      <c r="E38" s="613"/>
      <c r="F38" s="613"/>
      <c r="G38" s="613"/>
      <c r="H38" s="390"/>
      <c r="I38" s="613" t="s">
        <v>887</v>
      </c>
      <c r="J38" s="613"/>
      <c r="K38" s="613"/>
      <c r="L38" s="613"/>
      <c r="M38" s="193"/>
      <c r="N38" s="193"/>
      <c r="O38" s="193"/>
      <c r="P38" s="193"/>
      <c r="Q38" s="193"/>
      <c r="R38" s="193"/>
    </row>
    <row r="39" spans="1:21" ht="66" x14ac:dyDescent="0.4">
      <c r="B39" s="390"/>
      <c r="C39" s="390"/>
      <c r="D39" s="664" t="s">
        <v>888</v>
      </c>
      <c r="E39" s="391" t="s">
        <v>889</v>
      </c>
      <c r="F39" s="391" t="s">
        <v>890</v>
      </c>
      <c r="G39" s="391"/>
      <c r="H39" s="392"/>
      <c r="I39" s="393" t="s">
        <v>891</v>
      </c>
      <c r="J39" s="393" t="s">
        <v>889</v>
      </c>
      <c r="K39" s="393" t="s">
        <v>890</v>
      </c>
      <c r="L39" s="393"/>
      <c r="M39" s="193"/>
      <c r="N39" s="193"/>
      <c r="O39" s="193"/>
      <c r="P39" s="193"/>
      <c r="Q39" s="193"/>
      <c r="R39" s="193"/>
    </row>
    <row r="40" spans="1:21" ht="13.8" thickBot="1" x14ac:dyDescent="0.45">
      <c r="B40" s="394" t="s">
        <v>892</v>
      </c>
      <c r="C40" s="395"/>
      <c r="D40" s="622"/>
      <c r="E40" s="389"/>
      <c r="F40" s="389"/>
      <c r="G40" s="389"/>
      <c r="H40" s="396"/>
      <c r="I40" s="396"/>
      <c r="J40" s="396"/>
      <c r="K40" s="396"/>
      <c r="L40" s="396"/>
      <c r="M40" s="193"/>
      <c r="N40" s="193"/>
      <c r="O40" s="193"/>
      <c r="P40" s="193"/>
      <c r="Q40" s="193"/>
      <c r="R40" s="193"/>
    </row>
    <row r="41" spans="1:21" x14ac:dyDescent="0.4">
      <c r="B41" s="665">
        <v>21</v>
      </c>
      <c r="C41" s="624"/>
      <c r="D41" s="658">
        <v>1700665</v>
      </c>
      <c r="E41" s="197">
        <v>7.1</v>
      </c>
      <c r="F41" s="230" t="s">
        <v>47</v>
      </c>
      <c r="G41" s="197">
        <v>21</v>
      </c>
      <c r="I41" s="220">
        <v>529720</v>
      </c>
      <c r="J41" s="229">
        <v>7.1</v>
      </c>
      <c r="K41" s="229" t="s">
        <v>47</v>
      </c>
      <c r="L41" s="229">
        <v>21</v>
      </c>
      <c r="M41" s="193"/>
      <c r="N41" s="193"/>
      <c r="O41" s="193"/>
      <c r="P41" s="193"/>
      <c r="Q41" s="193"/>
      <c r="R41" s="193"/>
    </row>
    <row r="42" spans="1:21" x14ac:dyDescent="0.4">
      <c r="B42" s="666"/>
      <c r="C42" s="630"/>
      <c r="D42" s="628"/>
      <c r="E42" s="201"/>
      <c r="F42" s="202"/>
      <c r="G42" s="201"/>
      <c r="I42" s="232"/>
      <c r="J42" s="195"/>
      <c r="K42" s="195"/>
      <c r="L42" s="195"/>
      <c r="M42" s="193"/>
      <c r="N42" s="193"/>
      <c r="O42" s="193"/>
      <c r="P42" s="193"/>
      <c r="Q42" s="193"/>
      <c r="R42" s="193"/>
    </row>
    <row r="43" spans="1:21" x14ac:dyDescent="0.4">
      <c r="B43" s="667">
        <v>34.619999999999997</v>
      </c>
      <c r="C43" s="618"/>
      <c r="D43" s="616">
        <v>12418</v>
      </c>
      <c r="E43" s="199">
        <v>8.4</v>
      </c>
      <c r="F43" s="198" t="s">
        <v>47</v>
      </c>
      <c r="G43" s="199">
        <v>34.619999999999997</v>
      </c>
      <c r="I43" s="233">
        <v>12418</v>
      </c>
      <c r="J43" s="193">
        <v>8.4</v>
      </c>
      <c r="K43" s="193" t="s">
        <v>47</v>
      </c>
      <c r="L43" s="193">
        <v>34.619999999999997</v>
      </c>
      <c r="M43" s="193"/>
      <c r="N43" s="193"/>
      <c r="O43" s="193"/>
      <c r="P43" s="193"/>
      <c r="Q43" s="193"/>
      <c r="R43" s="193"/>
    </row>
    <row r="44" spans="1:21" x14ac:dyDescent="0.4">
      <c r="B44" s="667"/>
      <c r="C44" s="618"/>
      <c r="D44" s="616"/>
      <c r="E44" s="199"/>
      <c r="F44" s="198"/>
      <c r="G44" s="199"/>
      <c r="I44" s="233"/>
      <c r="J44" s="193"/>
      <c r="K44" s="193"/>
      <c r="L44" s="193"/>
      <c r="M44" s="193"/>
      <c r="N44" s="193"/>
      <c r="O44" s="193"/>
      <c r="P44" s="193"/>
      <c r="Q44" s="193"/>
      <c r="R44" s="193"/>
    </row>
    <row r="45" spans="1:21" x14ac:dyDescent="0.4">
      <c r="B45" s="666">
        <v>36.409999999999997</v>
      </c>
      <c r="C45" s="630"/>
      <c r="D45" s="628">
        <v>1108</v>
      </c>
      <c r="E45" s="201">
        <v>8.9</v>
      </c>
      <c r="F45" s="202" t="s">
        <v>47</v>
      </c>
      <c r="G45" s="201">
        <v>36.409999999999997</v>
      </c>
      <c r="I45" s="232">
        <v>1108</v>
      </c>
      <c r="J45" s="195">
        <v>8.9</v>
      </c>
      <c r="K45" s="195" t="s">
        <v>47</v>
      </c>
      <c r="L45" s="195">
        <v>36.409999999999997</v>
      </c>
      <c r="M45" s="193"/>
      <c r="N45" s="193"/>
      <c r="O45" s="193"/>
      <c r="P45" s="193"/>
      <c r="Q45" s="193"/>
      <c r="R45" s="193"/>
    </row>
    <row r="46" spans="1:21" x14ac:dyDescent="0.4">
      <c r="B46" s="666"/>
      <c r="C46" s="630"/>
      <c r="D46" s="628"/>
      <c r="E46" s="201"/>
      <c r="F46" s="202"/>
      <c r="G46" s="201"/>
      <c r="I46" s="232"/>
      <c r="J46" s="195"/>
      <c r="K46" s="195"/>
      <c r="L46" s="195"/>
      <c r="M46" s="193"/>
      <c r="N46" s="193"/>
      <c r="O46" s="193"/>
      <c r="P46" s="193"/>
      <c r="Q46" s="193"/>
      <c r="R46" s="193"/>
    </row>
    <row r="47" spans="1:21" x14ac:dyDescent="0.4">
      <c r="B47" s="667">
        <v>38.909999999999997</v>
      </c>
      <c r="C47" s="618"/>
      <c r="D47" s="616">
        <v>5150</v>
      </c>
      <c r="E47" s="199">
        <v>9.5</v>
      </c>
      <c r="F47" s="198" t="s">
        <v>47</v>
      </c>
      <c r="G47" s="199">
        <v>38.909999999999997</v>
      </c>
      <c r="I47" s="193" t="s">
        <v>9</v>
      </c>
      <c r="J47" s="193" t="s">
        <v>9</v>
      </c>
      <c r="K47" s="193" t="s">
        <v>47</v>
      </c>
      <c r="L47" s="193" t="s">
        <v>9</v>
      </c>
      <c r="M47" s="193"/>
      <c r="N47" s="193"/>
      <c r="O47" s="193"/>
      <c r="P47" s="193"/>
      <c r="Q47" s="193"/>
      <c r="R47" s="193"/>
    </row>
    <row r="48" spans="1:21" ht="13.8" thickBot="1" x14ac:dyDescent="0.45">
      <c r="B48" s="668"/>
      <c r="C48" s="642"/>
      <c r="D48" s="662"/>
      <c r="E48" s="203"/>
      <c r="F48" s="231"/>
      <c r="G48" s="203"/>
      <c r="I48" s="192"/>
      <c r="J48" s="192"/>
      <c r="K48" s="192"/>
      <c r="L48" s="192"/>
      <c r="M48" s="193"/>
      <c r="N48" s="193"/>
      <c r="O48" s="193"/>
      <c r="P48" s="193"/>
      <c r="Q48" s="193"/>
      <c r="R48" s="193"/>
    </row>
    <row r="49" spans="1:18" x14ac:dyDescent="0.4">
      <c r="B49" s="204"/>
      <c r="M49" s="193"/>
      <c r="N49" s="193"/>
      <c r="O49" s="193"/>
      <c r="P49" s="193"/>
      <c r="Q49" s="193"/>
      <c r="R49" s="193"/>
    </row>
    <row r="50" spans="1:18" x14ac:dyDescent="0.4">
      <c r="C50" s="205"/>
      <c r="D50" s="206" t="s">
        <v>893</v>
      </c>
      <c r="E50" s="206" t="s">
        <v>883</v>
      </c>
      <c r="F50" s="206" t="s">
        <v>894</v>
      </c>
      <c r="G50" s="206" t="s">
        <v>896</v>
      </c>
      <c r="H50" s="205"/>
      <c r="I50" s="206" t="s">
        <v>883</v>
      </c>
      <c r="J50" s="206" t="s">
        <v>897</v>
      </c>
    </row>
    <row r="51" spans="1:18" x14ac:dyDescent="0.4">
      <c r="D51" s="207">
        <f>+B41</f>
        <v>21</v>
      </c>
      <c r="E51" s="208">
        <f>+I41</f>
        <v>529720</v>
      </c>
      <c r="F51" s="209">
        <f>+Cover!K12</f>
        <v>43.2</v>
      </c>
      <c r="G51" s="210">
        <f>+IF(D51&lt;$F$51,1,0)</f>
        <v>1</v>
      </c>
      <c r="I51" s="211">
        <f>+E51*G51</f>
        <v>529720</v>
      </c>
      <c r="J51" s="66">
        <f>+D51*I51</f>
        <v>11124120</v>
      </c>
    </row>
    <row r="52" spans="1:18" x14ac:dyDescent="0.4">
      <c r="D52" s="207">
        <f>+B43</f>
        <v>34.619999999999997</v>
      </c>
      <c r="E52" s="208">
        <f>+I43</f>
        <v>12418</v>
      </c>
      <c r="G52" s="210">
        <f>+IF(D52&lt;$F$51,1,0)</f>
        <v>1</v>
      </c>
      <c r="I52" s="211">
        <f>+E52*G52</f>
        <v>12418</v>
      </c>
      <c r="J52" s="66">
        <f>+D52*I52</f>
        <v>429911.16</v>
      </c>
    </row>
    <row r="53" spans="1:18" x14ac:dyDescent="0.4">
      <c r="D53" s="207">
        <f>+B45</f>
        <v>36.409999999999997</v>
      </c>
      <c r="E53" s="208">
        <f>+I45</f>
        <v>1108</v>
      </c>
      <c r="G53" s="210">
        <f>+IF(D53&lt;$F$51,1,0)</f>
        <v>1</v>
      </c>
      <c r="I53" s="211">
        <f>+E53*G53</f>
        <v>1108</v>
      </c>
      <c r="J53" s="66">
        <f>+D53*I53</f>
        <v>40342.28</v>
      </c>
    </row>
    <row r="54" spans="1:18" x14ac:dyDescent="0.4">
      <c r="C54" s="76"/>
      <c r="D54" s="212">
        <f>+B47</f>
        <v>38.909999999999997</v>
      </c>
      <c r="E54" s="213">
        <v>0</v>
      </c>
      <c r="F54" s="76"/>
      <c r="G54" s="214">
        <f>+IF(D54&lt;$F$51,1,0)</f>
        <v>1</v>
      </c>
      <c r="H54" s="76"/>
      <c r="I54" s="215">
        <f>+E54*G54</f>
        <v>0</v>
      </c>
      <c r="J54" s="216">
        <f>+D54*I54</f>
        <v>0</v>
      </c>
    </row>
    <row r="55" spans="1:18" ht="15.6" x14ac:dyDescent="0.4">
      <c r="E55" s="211"/>
      <c r="G55" s="606" t="s">
        <v>1658</v>
      </c>
      <c r="H55" s="210" t="s">
        <v>899</v>
      </c>
      <c r="I55" s="175">
        <f>+SUM(I51:I54)</f>
        <v>543246</v>
      </c>
      <c r="J55" s="175">
        <f>+SUM(J51:J54)</f>
        <v>11594373.439999999</v>
      </c>
    </row>
    <row r="56" spans="1:18" x14ac:dyDescent="0.4">
      <c r="E56" s="211"/>
    </row>
    <row r="57" spans="1:18" ht="15.6" x14ac:dyDescent="0.4">
      <c r="G57" s="687" t="s">
        <v>1656</v>
      </c>
      <c r="H57" s="214" t="s">
        <v>898</v>
      </c>
      <c r="I57" s="217">
        <f>-J55/F51</f>
        <v>-268388.27407407406</v>
      </c>
      <c r="J57" s="76"/>
    </row>
    <row r="58" spans="1:18" ht="15.6" x14ac:dyDescent="0.4">
      <c r="G58" s="606" t="s">
        <v>1657</v>
      </c>
      <c r="H58" s="218" t="s">
        <v>900</v>
      </c>
      <c r="I58" s="219">
        <f>+I55+I57</f>
        <v>274857.72592592594</v>
      </c>
    </row>
    <row r="60" spans="1:18" s="228" customFormat="1" ht="15.6" x14ac:dyDescent="0.4">
      <c r="A60" s="228" t="s">
        <v>973</v>
      </c>
      <c r="B60" s="228" t="s">
        <v>1001</v>
      </c>
    </row>
    <row r="61" spans="1:18" x14ac:dyDescent="0.4">
      <c r="B61" s="226" t="s">
        <v>901</v>
      </c>
    </row>
    <row r="62" spans="1:18" x14ac:dyDescent="0.4">
      <c r="B62" s="193"/>
      <c r="C62" s="193"/>
      <c r="D62" s="193"/>
      <c r="E62" s="193"/>
      <c r="F62" s="193"/>
      <c r="G62" s="193"/>
      <c r="H62" s="193"/>
      <c r="I62" s="193"/>
    </row>
    <row r="63" spans="1:18" x14ac:dyDescent="0.4">
      <c r="B63" s="619"/>
      <c r="C63" s="688" t="s">
        <v>1659</v>
      </c>
      <c r="D63" s="388" t="s">
        <v>902</v>
      </c>
      <c r="E63" s="614"/>
      <c r="F63" s="619"/>
      <c r="G63" s="621" t="s">
        <v>905</v>
      </c>
      <c r="H63" s="621"/>
      <c r="I63" s="614"/>
    </row>
    <row r="64" spans="1:18" x14ac:dyDescent="0.4">
      <c r="B64" s="619"/>
      <c r="C64" s="688"/>
      <c r="D64" s="388" t="s">
        <v>903</v>
      </c>
      <c r="E64" s="614"/>
      <c r="F64" s="619"/>
      <c r="G64" s="621" t="s">
        <v>563</v>
      </c>
      <c r="H64" s="621"/>
      <c r="I64" s="614"/>
    </row>
    <row r="65" spans="2:9" ht="13.8" thickBot="1" x14ac:dyDescent="0.45">
      <c r="B65" s="620"/>
      <c r="C65" s="689"/>
      <c r="D65" s="389" t="s">
        <v>904</v>
      </c>
      <c r="E65" s="615"/>
      <c r="F65" s="620"/>
      <c r="G65" s="622" t="s">
        <v>906</v>
      </c>
      <c r="H65" s="622"/>
      <c r="I65" s="615"/>
    </row>
    <row r="66" spans="2:9" x14ac:dyDescent="0.4">
      <c r="B66" s="644" t="s">
        <v>907</v>
      </c>
      <c r="C66" s="644"/>
      <c r="D66" s="645" t="s">
        <v>9</v>
      </c>
      <c r="E66" s="646"/>
      <c r="F66" s="624"/>
      <c r="G66" s="644" t="s">
        <v>47</v>
      </c>
      <c r="H66" s="645" t="s">
        <v>9</v>
      </c>
      <c r="I66" s="646"/>
    </row>
    <row r="67" spans="2:9" x14ac:dyDescent="0.4">
      <c r="B67" s="631"/>
      <c r="C67" s="631"/>
      <c r="D67" s="632"/>
      <c r="E67" s="629"/>
      <c r="F67" s="630"/>
      <c r="G67" s="631"/>
      <c r="H67" s="632"/>
      <c r="I67" s="629"/>
    </row>
    <row r="68" spans="2:9" x14ac:dyDescent="0.4">
      <c r="B68" s="618"/>
      <c r="C68" s="612" t="s">
        <v>908</v>
      </c>
      <c r="D68" s="616">
        <v>63600</v>
      </c>
      <c r="E68" s="617"/>
      <c r="F68" s="618"/>
      <c r="G68" s="627">
        <v>38.409999999999997</v>
      </c>
      <c r="H68" s="627"/>
      <c r="I68" s="617"/>
    </row>
    <row r="69" spans="2:9" x14ac:dyDescent="0.4">
      <c r="B69" s="618"/>
      <c r="C69" s="612"/>
      <c r="D69" s="616"/>
      <c r="E69" s="617"/>
      <c r="F69" s="618"/>
      <c r="G69" s="627"/>
      <c r="H69" s="627"/>
      <c r="I69" s="617"/>
    </row>
    <row r="70" spans="2:9" x14ac:dyDescent="0.4">
      <c r="B70" s="630"/>
      <c r="C70" s="630" t="s">
        <v>984</v>
      </c>
      <c r="D70" s="632" t="s">
        <v>9</v>
      </c>
      <c r="E70" s="629"/>
      <c r="F70" s="630"/>
      <c r="G70" s="632" t="s">
        <v>9</v>
      </c>
      <c r="H70" s="632"/>
      <c r="I70" s="629"/>
    </row>
    <row r="71" spans="2:9" x14ac:dyDescent="0.4">
      <c r="B71" s="630"/>
      <c r="C71" s="630"/>
      <c r="D71" s="632"/>
      <c r="E71" s="629"/>
      <c r="F71" s="630"/>
      <c r="G71" s="632"/>
      <c r="H71" s="632"/>
      <c r="I71" s="629"/>
    </row>
    <row r="72" spans="2:9" x14ac:dyDescent="0.4">
      <c r="B72" s="618"/>
      <c r="C72" s="612" t="s">
        <v>909</v>
      </c>
      <c r="D72" s="627" t="s">
        <v>9</v>
      </c>
      <c r="E72" s="617"/>
      <c r="F72" s="618"/>
      <c r="G72" s="627" t="s">
        <v>9</v>
      </c>
      <c r="H72" s="627"/>
      <c r="I72" s="617"/>
    </row>
    <row r="73" spans="2:9" x14ac:dyDescent="0.4">
      <c r="B73" s="618"/>
      <c r="C73" s="612"/>
      <c r="D73" s="627"/>
      <c r="E73" s="617"/>
      <c r="F73" s="618"/>
      <c r="G73" s="627"/>
      <c r="H73" s="627"/>
      <c r="I73" s="617"/>
    </row>
    <row r="74" spans="2:9" x14ac:dyDescent="0.4">
      <c r="B74" s="630"/>
      <c r="C74" s="631" t="s">
        <v>910</v>
      </c>
      <c r="D74" s="632" t="s">
        <v>911</v>
      </c>
      <c r="E74" s="631" t="s">
        <v>56</v>
      </c>
      <c r="F74" s="630"/>
      <c r="G74" s="632">
        <v>38.43</v>
      </c>
      <c r="H74" s="632"/>
      <c r="I74" s="629"/>
    </row>
    <row r="75" spans="2:9" x14ac:dyDescent="0.4">
      <c r="B75" s="630"/>
      <c r="C75" s="631"/>
      <c r="D75" s="632"/>
      <c r="E75" s="631"/>
      <c r="F75" s="630"/>
      <c r="G75" s="632"/>
      <c r="H75" s="632"/>
      <c r="I75" s="629"/>
    </row>
    <row r="76" spans="2:9" x14ac:dyDescent="0.4">
      <c r="B76" s="618"/>
      <c r="C76" s="612" t="s">
        <v>912</v>
      </c>
      <c r="D76" s="627" t="s">
        <v>9</v>
      </c>
      <c r="E76" s="617"/>
      <c r="F76" s="618"/>
      <c r="G76" s="627" t="s">
        <v>9</v>
      </c>
      <c r="H76" s="627"/>
      <c r="I76" s="617"/>
    </row>
    <row r="77" spans="2:9" ht="13.8" thickBot="1" x14ac:dyDescent="0.45">
      <c r="B77" s="642"/>
      <c r="C77" s="638"/>
      <c r="D77" s="654"/>
      <c r="E77" s="641"/>
      <c r="F77" s="642"/>
      <c r="G77" s="654"/>
      <c r="H77" s="654"/>
      <c r="I77" s="641"/>
    </row>
    <row r="78" spans="2:9" x14ac:dyDescent="0.4">
      <c r="B78" s="644" t="s">
        <v>913</v>
      </c>
      <c r="C78" s="644"/>
      <c r="D78" s="658">
        <v>61600</v>
      </c>
      <c r="E78" s="646"/>
      <c r="F78" s="624"/>
      <c r="G78" s="644" t="s">
        <v>47</v>
      </c>
      <c r="H78" s="645">
        <v>38.409999999999997</v>
      </c>
      <c r="I78" s="646"/>
    </row>
    <row r="79" spans="2:9" x14ac:dyDescent="0.4">
      <c r="B79" s="631"/>
      <c r="C79" s="631"/>
      <c r="D79" s="628"/>
      <c r="E79" s="629"/>
      <c r="F79" s="630"/>
      <c r="G79" s="631"/>
      <c r="H79" s="632"/>
      <c r="I79" s="629"/>
    </row>
    <row r="80" spans="2:9" x14ac:dyDescent="0.4">
      <c r="B80" s="618"/>
      <c r="C80" s="612" t="s">
        <v>908</v>
      </c>
      <c r="D80" s="616">
        <v>87596</v>
      </c>
      <c r="E80" s="617"/>
      <c r="F80" s="618"/>
      <c r="G80" s="627">
        <v>37.9</v>
      </c>
      <c r="H80" s="627"/>
      <c r="I80" s="617"/>
    </row>
    <row r="81" spans="1:9" x14ac:dyDescent="0.4">
      <c r="B81" s="618"/>
      <c r="C81" s="612"/>
      <c r="D81" s="616"/>
      <c r="E81" s="617"/>
      <c r="F81" s="618"/>
      <c r="G81" s="627"/>
      <c r="H81" s="627"/>
      <c r="I81" s="617"/>
    </row>
    <row r="82" spans="1:9" x14ac:dyDescent="0.4">
      <c r="B82" s="630"/>
      <c r="C82" s="630" t="s">
        <v>984</v>
      </c>
      <c r="D82" s="628">
        <v>9545</v>
      </c>
      <c r="E82" s="629"/>
      <c r="F82" s="630"/>
      <c r="G82" s="632">
        <v>38.4</v>
      </c>
      <c r="H82" s="632"/>
      <c r="I82" s="629"/>
    </row>
    <row r="83" spans="1:9" x14ac:dyDescent="0.4">
      <c r="B83" s="630"/>
      <c r="C83" s="630"/>
      <c r="D83" s="628"/>
      <c r="E83" s="629"/>
      <c r="F83" s="630"/>
      <c r="G83" s="632"/>
      <c r="H83" s="632"/>
      <c r="I83" s="629"/>
    </row>
    <row r="84" spans="1:9" x14ac:dyDescent="0.4">
      <c r="B84" s="618"/>
      <c r="C84" s="612" t="s">
        <v>909</v>
      </c>
      <c r="D84" s="627" t="s">
        <v>914</v>
      </c>
      <c r="E84" s="612" t="s">
        <v>56</v>
      </c>
      <c r="F84" s="618"/>
      <c r="G84" s="627">
        <v>38.4</v>
      </c>
      <c r="H84" s="627"/>
      <c r="I84" s="617"/>
    </row>
    <row r="85" spans="1:9" x14ac:dyDescent="0.4">
      <c r="B85" s="618"/>
      <c r="C85" s="612"/>
      <c r="D85" s="627"/>
      <c r="E85" s="612"/>
      <c r="F85" s="618"/>
      <c r="G85" s="627"/>
      <c r="H85" s="627"/>
      <c r="I85" s="617"/>
    </row>
    <row r="86" spans="1:9" x14ac:dyDescent="0.4">
      <c r="B86" s="630"/>
      <c r="C86" s="631" t="s">
        <v>910</v>
      </c>
      <c r="D86" s="632" t="s">
        <v>915</v>
      </c>
      <c r="E86" s="631" t="s">
        <v>56</v>
      </c>
      <c r="F86" s="630"/>
      <c r="G86" s="632">
        <v>38.28</v>
      </c>
      <c r="H86" s="632"/>
      <c r="I86" s="629"/>
    </row>
    <row r="87" spans="1:9" x14ac:dyDescent="0.4">
      <c r="B87" s="630"/>
      <c r="C87" s="631"/>
      <c r="D87" s="632"/>
      <c r="E87" s="631"/>
      <c r="F87" s="630"/>
      <c r="G87" s="632"/>
      <c r="H87" s="632"/>
      <c r="I87" s="629"/>
    </row>
    <row r="88" spans="1:9" x14ac:dyDescent="0.4">
      <c r="B88" s="618"/>
      <c r="C88" s="618" t="s">
        <v>912</v>
      </c>
      <c r="D88" s="627" t="s">
        <v>9</v>
      </c>
      <c r="E88" s="617"/>
      <c r="F88" s="618"/>
      <c r="G88" s="627" t="s">
        <v>9</v>
      </c>
      <c r="H88" s="627"/>
      <c r="I88" s="617"/>
    </row>
    <row r="89" spans="1:9" ht="13.8" thickBot="1" x14ac:dyDescent="0.45">
      <c r="B89" s="642"/>
      <c r="C89" s="642"/>
      <c r="D89" s="654"/>
      <c r="E89" s="641"/>
      <c r="F89" s="642"/>
      <c r="G89" s="654"/>
      <c r="H89" s="654"/>
      <c r="I89" s="641"/>
    </row>
    <row r="90" spans="1:9" x14ac:dyDescent="0.4">
      <c r="B90" s="644" t="s">
        <v>916</v>
      </c>
      <c r="C90" s="644"/>
      <c r="D90" s="220">
        <v>124842</v>
      </c>
      <c r="E90" s="646"/>
      <c r="F90" s="624"/>
      <c r="G90" s="644" t="s">
        <v>47</v>
      </c>
      <c r="H90" s="645">
        <v>38.06</v>
      </c>
      <c r="I90" s="646"/>
    </row>
    <row r="91" spans="1:9" ht="13.8" thickBot="1" x14ac:dyDescent="0.45">
      <c r="B91" s="671"/>
      <c r="C91" s="671"/>
      <c r="D91" s="221"/>
      <c r="E91" s="670"/>
      <c r="F91" s="672"/>
      <c r="G91" s="671"/>
      <c r="H91" s="669"/>
      <c r="I91" s="670"/>
    </row>
    <row r="92" spans="1:9" ht="13.8" thickTop="1" x14ac:dyDescent="0.4">
      <c r="B92" s="193"/>
      <c r="C92" s="193"/>
    </row>
    <row r="93" spans="1:9" x14ac:dyDescent="0.4">
      <c r="B93" s="222">
        <v>-1</v>
      </c>
      <c r="C93" s="227" t="s">
        <v>917</v>
      </c>
    </row>
    <row r="95" spans="1:9" s="228" customFormat="1" ht="15.6" x14ac:dyDescent="0.4">
      <c r="A95" s="228" t="s">
        <v>973</v>
      </c>
      <c r="B95" s="228" t="s">
        <v>1000</v>
      </c>
    </row>
    <row r="96" spans="1:9" x14ac:dyDescent="0.4">
      <c r="B96" s="194" t="s">
        <v>980</v>
      </c>
    </row>
    <row r="97" spans="1:23" x14ac:dyDescent="0.4">
      <c r="I97" s="223">
        <v>44476</v>
      </c>
    </row>
    <row r="98" spans="1:23" x14ac:dyDescent="0.4">
      <c r="B98" s="194" t="s">
        <v>918</v>
      </c>
    </row>
    <row r="99" spans="1:23" x14ac:dyDescent="0.4">
      <c r="B99" s="223">
        <v>27078149</v>
      </c>
    </row>
    <row r="102" spans="1:23" s="228" customFormat="1" ht="15.6" x14ac:dyDescent="0.4">
      <c r="A102" s="228" t="s">
        <v>996</v>
      </c>
      <c r="B102" s="228" t="s">
        <v>997</v>
      </c>
    </row>
    <row r="103" spans="1:23" s="400" customFormat="1" ht="15.6" x14ac:dyDescent="0.4"/>
    <row r="104" spans="1:23" x14ac:dyDescent="0.4">
      <c r="B104" s="625" t="s">
        <v>118</v>
      </c>
      <c r="C104" s="625"/>
      <c r="D104" s="625"/>
      <c r="E104" s="621">
        <v>2017</v>
      </c>
      <c r="F104" s="621"/>
      <c r="G104" s="614"/>
      <c r="H104" s="619"/>
      <c r="I104" s="621">
        <v>2016</v>
      </c>
      <c r="J104" s="621"/>
      <c r="K104" s="614"/>
      <c r="L104" s="619"/>
      <c r="M104" s="621">
        <v>2015</v>
      </c>
      <c r="N104" s="621"/>
      <c r="O104" s="614"/>
      <c r="P104" s="619"/>
      <c r="Q104" s="621" t="s">
        <v>985</v>
      </c>
      <c r="R104" s="621"/>
      <c r="S104" s="614"/>
      <c r="T104" s="619"/>
      <c r="U104" s="621">
        <v>2013</v>
      </c>
      <c r="V104" s="621"/>
      <c r="W104" s="614"/>
    </row>
    <row r="105" spans="1:23" ht="13.8" thickBot="1" x14ac:dyDescent="0.45">
      <c r="B105" s="626"/>
      <c r="C105" s="626"/>
      <c r="D105" s="626"/>
      <c r="E105" s="622"/>
      <c r="F105" s="622"/>
      <c r="G105" s="615"/>
      <c r="H105" s="620"/>
      <c r="I105" s="622"/>
      <c r="J105" s="622"/>
      <c r="K105" s="615"/>
      <c r="L105" s="620"/>
      <c r="M105" s="622"/>
      <c r="N105" s="622"/>
      <c r="O105" s="615"/>
      <c r="P105" s="620"/>
      <c r="Q105" s="622"/>
      <c r="R105" s="622"/>
      <c r="S105" s="615"/>
      <c r="T105" s="620"/>
      <c r="U105" s="622"/>
      <c r="V105" s="622"/>
      <c r="W105" s="615"/>
    </row>
    <row r="106" spans="1:23" x14ac:dyDescent="0.4">
      <c r="B106" s="644" t="s">
        <v>53</v>
      </c>
      <c r="C106" s="644"/>
      <c r="D106" s="644"/>
      <c r="E106" s="644" t="s">
        <v>47</v>
      </c>
      <c r="F106" s="658">
        <v>8884</v>
      </c>
      <c r="G106" s="646"/>
      <c r="H106" s="624"/>
      <c r="I106" s="644" t="s">
        <v>47</v>
      </c>
      <c r="J106" s="658">
        <v>22146</v>
      </c>
      <c r="K106" s="646"/>
      <c r="L106" s="624"/>
      <c r="M106" s="644" t="s">
        <v>47</v>
      </c>
      <c r="N106" s="658">
        <v>3124</v>
      </c>
      <c r="O106" s="646"/>
      <c r="P106" s="624"/>
      <c r="Q106" s="644" t="s">
        <v>47</v>
      </c>
      <c r="R106" s="658">
        <v>2118</v>
      </c>
      <c r="S106" s="646"/>
      <c r="T106" s="624"/>
      <c r="U106" s="644" t="s">
        <v>47</v>
      </c>
      <c r="V106" s="658">
        <v>5423</v>
      </c>
      <c r="W106" s="646"/>
    </row>
    <row r="107" spans="1:23" x14ac:dyDescent="0.4">
      <c r="B107" s="631"/>
      <c r="C107" s="631"/>
      <c r="D107" s="631"/>
      <c r="E107" s="631"/>
      <c r="F107" s="628"/>
      <c r="G107" s="629"/>
      <c r="H107" s="630"/>
      <c r="I107" s="631"/>
      <c r="J107" s="628"/>
      <c r="K107" s="629"/>
      <c r="L107" s="630"/>
      <c r="M107" s="631"/>
      <c r="N107" s="628"/>
      <c r="O107" s="629"/>
      <c r="P107" s="630"/>
      <c r="Q107" s="631"/>
      <c r="R107" s="628"/>
      <c r="S107" s="629"/>
      <c r="T107" s="630"/>
      <c r="U107" s="631"/>
      <c r="V107" s="628"/>
      <c r="W107" s="629"/>
    </row>
    <row r="108" spans="1:23" x14ac:dyDescent="0.4">
      <c r="B108" s="612" t="s">
        <v>101</v>
      </c>
      <c r="C108" s="612"/>
      <c r="D108" s="612"/>
      <c r="E108" s="616">
        <v>21704</v>
      </c>
      <c r="F108" s="616"/>
      <c r="G108" s="617"/>
      <c r="H108" s="618"/>
      <c r="I108" s="616">
        <v>14502</v>
      </c>
      <c r="J108" s="616"/>
      <c r="K108" s="617"/>
      <c r="L108" s="618"/>
      <c r="M108" s="616">
        <v>10222</v>
      </c>
      <c r="N108" s="616"/>
      <c r="O108" s="617"/>
      <c r="P108" s="618"/>
      <c r="Q108" s="616">
        <v>5809</v>
      </c>
      <c r="R108" s="616"/>
      <c r="S108" s="617"/>
      <c r="T108" s="618"/>
      <c r="U108" s="616">
        <v>3541</v>
      </c>
      <c r="V108" s="616"/>
      <c r="W108" s="617"/>
    </row>
    <row r="109" spans="1:23" x14ac:dyDescent="0.4">
      <c r="B109" s="612"/>
      <c r="C109" s="612"/>
      <c r="D109" s="612"/>
      <c r="E109" s="616"/>
      <c r="F109" s="616"/>
      <c r="G109" s="617"/>
      <c r="H109" s="618"/>
      <c r="I109" s="616"/>
      <c r="J109" s="616"/>
      <c r="K109" s="617"/>
      <c r="L109" s="618"/>
      <c r="M109" s="616"/>
      <c r="N109" s="616"/>
      <c r="O109" s="617"/>
      <c r="P109" s="618"/>
      <c r="Q109" s="616"/>
      <c r="R109" s="616"/>
      <c r="S109" s="617"/>
      <c r="T109" s="618"/>
      <c r="U109" s="616"/>
      <c r="V109" s="616"/>
      <c r="W109" s="617"/>
    </row>
    <row r="110" spans="1:23" x14ac:dyDescent="0.4">
      <c r="B110" s="631" t="s">
        <v>119</v>
      </c>
      <c r="C110" s="631"/>
      <c r="D110" s="631"/>
      <c r="E110" s="628">
        <v>1565</v>
      </c>
      <c r="F110" s="628"/>
      <c r="G110" s="629"/>
      <c r="H110" s="630"/>
      <c r="I110" s="632">
        <v>285</v>
      </c>
      <c r="J110" s="632"/>
      <c r="K110" s="629"/>
      <c r="L110" s="630"/>
      <c r="M110" s="632">
        <v>325</v>
      </c>
      <c r="N110" s="632"/>
      <c r="O110" s="629"/>
      <c r="P110" s="630"/>
      <c r="Q110" s="632">
        <v>363</v>
      </c>
      <c r="R110" s="632"/>
      <c r="S110" s="629"/>
      <c r="T110" s="630"/>
      <c r="U110" s="632">
        <v>52</v>
      </c>
      <c r="V110" s="632"/>
      <c r="W110" s="629"/>
    </row>
    <row r="111" spans="1:23" x14ac:dyDescent="0.4">
      <c r="B111" s="631"/>
      <c r="C111" s="631"/>
      <c r="D111" s="631"/>
      <c r="E111" s="628"/>
      <c r="F111" s="628"/>
      <c r="G111" s="629"/>
      <c r="H111" s="630"/>
      <c r="I111" s="632"/>
      <c r="J111" s="632"/>
      <c r="K111" s="629"/>
      <c r="L111" s="630"/>
      <c r="M111" s="632"/>
      <c r="N111" s="632"/>
      <c r="O111" s="629"/>
      <c r="P111" s="630"/>
      <c r="Q111" s="632"/>
      <c r="R111" s="632"/>
      <c r="S111" s="629"/>
      <c r="T111" s="630"/>
      <c r="U111" s="632"/>
      <c r="V111" s="632"/>
      <c r="W111" s="629"/>
    </row>
    <row r="112" spans="1:23" x14ac:dyDescent="0.4">
      <c r="B112" s="612" t="s">
        <v>120</v>
      </c>
      <c r="C112" s="612"/>
      <c r="D112" s="612"/>
      <c r="E112" s="616">
        <v>151409</v>
      </c>
      <c r="F112" s="616"/>
      <c r="G112" s="617"/>
      <c r="H112" s="618"/>
      <c r="I112" s="616">
        <v>6350</v>
      </c>
      <c r="J112" s="616"/>
      <c r="K112" s="617"/>
      <c r="L112" s="618"/>
      <c r="M112" s="616">
        <v>3304</v>
      </c>
      <c r="N112" s="616"/>
      <c r="O112" s="617"/>
      <c r="P112" s="618"/>
      <c r="Q112" s="627">
        <v>662</v>
      </c>
      <c r="R112" s="627"/>
      <c r="S112" s="617"/>
      <c r="T112" s="618"/>
      <c r="U112" s="627">
        <v>460</v>
      </c>
      <c r="V112" s="627"/>
      <c r="W112" s="617"/>
    </row>
    <row r="113" spans="2:23" ht="13.8" thickBot="1" x14ac:dyDescent="0.45">
      <c r="B113" s="638"/>
      <c r="C113" s="638"/>
      <c r="D113" s="638"/>
      <c r="E113" s="662"/>
      <c r="F113" s="662"/>
      <c r="G113" s="641"/>
      <c r="H113" s="642"/>
      <c r="I113" s="662"/>
      <c r="J113" s="662"/>
      <c r="K113" s="641"/>
      <c r="L113" s="642"/>
      <c r="M113" s="662"/>
      <c r="N113" s="662"/>
      <c r="O113" s="641"/>
      <c r="P113" s="642"/>
      <c r="Q113" s="654"/>
      <c r="R113" s="654"/>
      <c r="S113" s="641"/>
      <c r="T113" s="642"/>
      <c r="U113" s="654"/>
      <c r="V113" s="654"/>
      <c r="W113" s="641"/>
    </row>
    <row r="114" spans="2:23" x14ac:dyDescent="0.4">
      <c r="B114" s="644" t="s">
        <v>121</v>
      </c>
      <c r="C114" s="644"/>
      <c r="D114" s="644"/>
      <c r="E114" s="658">
        <v>183562</v>
      </c>
      <c r="F114" s="658"/>
      <c r="G114" s="646"/>
      <c r="H114" s="624"/>
      <c r="I114" s="658">
        <v>43283</v>
      </c>
      <c r="J114" s="658"/>
      <c r="K114" s="646"/>
      <c r="L114" s="624"/>
      <c r="M114" s="658">
        <v>16975</v>
      </c>
      <c r="N114" s="658"/>
      <c r="O114" s="646"/>
      <c r="P114" s="624"/>
      <c r="Q114" s="658">
        <v>8952</v>
      </c>
      <c r="R114" s="658"/>
      <c r="S114" s="646"/>
      <c r="T114" s="624"/>
      <c r="U114" s="658">
        <v>9476</v>
      </c>
      <c r="V114" s="658"/>
      <c r="W114" s="646"/>
    </row>
    <row r="115" spans="2:23" x14ac:dyDescent="0.4">
      <c r="B115" s="631"/>
      <c r="C115" s="631"/>
      <c r="D115" s="631"/>
      <c r="E115" s="628"/>
      <c r="F115" s="628"/>
      <c r="G115" s="629"/>
      <c r="H115" s="630"/>
      <c r="I115" s="628"/>
      <c r="J115" s="628"/>
      <c r="K115" s="629"/>
      <c r="L115" s="630"/>
      <c r="M115" s="628"/>
      <c r="N115" s="628"/>
      <c r="O115" s="629"/>
      <c r="P115" s="630"/>
      <c r="Q115" s="628"/>
      <c r="R115" s="628"/>
      <c r="S115" s="629"/>
      <c r="T115" s="630"/>
      <c r="U115" s="628"/>
      <c r="V115" s="628"/>
      <c r="W115" s="629"/>
    </row>
    <row r="116" spans="2:23" x14ac:dyDescent="0.4">
      <c r="B116" s="193"/>
      <c r="C116" s="618"/>
      <c r="D116" s="618"/>
      <c r="E116" s="618"/>
      <c r="F116" s="618"/>
      <c r="G116" s="618"/>
      <c r="H116" s="193"/>
      <c r="I116" s="618"/>
      <c r="J116" s="618"/>
      <c r="K116" s="618"/>
      <c r="L116" s="193"/>
      <c r="M116" s="618"/>
      <c r="N116" s="618"/>
      <c r="O116" s="618"/>
      <c r="P116" s="193"/>
      <c r="Q116" s="618"/>
      <c r="R116" s="618"/>
      <c r="S116" s="618"/>
      <c r="T116" s="193"/>
      <c r="U116" s="618"/>
      <c r="V116" s="618"/>
      <c r="W116" s="618"/>
    </row>
    <row r="117" spans="2:23" x14ac:dyDescent="0.4">
      <c r="B117" s="631" t="s">
        <v>122</v>
      </c>
      <c r="C117" s="631"/>
      <c r="D117" s="631"/>
      <c r="E117" s="628">
        <v>5623</v>
      </c>
      <c r="F117" s="628"/>
      <c r="G117" s="629"/>
      <c r="H117" s="630"/>
      <c r="I117" s="628">
        <v>5354</v>
      </c>
      <c r="J117" s="628"/>
      <c r="K117" s="629"/>
      <c r="L117" s="630"/>
      <c r="M117" s="628">
        <v>4314</v>
      </c>
      <c r="N117" s="628"/>
      <c r="O117" s="629"/>
      <c r="P117" s="630"/>
      <c r="Q117" s="632">
        <v>165</v>
      </c>
      <c r="R117" s="632"/>
      <c r="S117" s="629"/>
      <c r="T117" s="630"/>
      <c r="U117" s="632">
        <v>93</v>
      </c>
      <c r="V117" s="632"/>
      <c r="W117" s="629"/>
    </row>
    <row r="118" spans="2:23" x14ac:dyDescent="0.4">
      <c r="B118" s="631"/>
      <c r="C118" s="631"/>
      <c r="D118" s="631"/>
      <c r="E118" s="628"/>
      <c r="F118" s="628"/>
      <c r="G118" s="629"/>
      <c r="H118" s="630"/>
      <c r="I118" s="628"/>
      <c r="J118" s="628"/>
      <c r="K118" s="629"/>
      <c r="L118" s="630"/>
      <c r="M118" s="628"/>
      <c r="N118" s="628"/>
      <c r="O118" s="629"/>
      <c r="P118" s="630"/>
      <c r="Q118" s="632"/>
      <c r="R118" s="632"/>
      <c r="S118" s="629"/>
      <c r="T118" s="630"/>
      <c r="U118" s="632"/>
      <c r="V118" s="632"/>
      <c r="W118" s="629"/>
    </row>
    <row r="119" spans="2:23" x14ac:dyDescent="0.4">
      <c r="B119" s="612" t="s">
        <v>123</v>
      </c>
      <c r="C119" s="612"/>
      <c r="D119" s="612"/>
      <c r="E119" s="627" t="s">
        <v>9</v>
      </c>
      <c r="F119" s="627"/>
      <c r="G119" s="617"/>
      <c r="H119" s="618"/>
      <c r="I119" s="627" t="s">
        <v>9</v>
      </c>
      <c r="J119" s="627"/>
      <c r="K119" s="617"/>
      <c r="L119" s="618"/>
      <c r="M119" s="627" t="s">
        <v>9</v>
      </c>
      <c r="N119" s="627"/>
      <c r="O119" s="617"/>
      <c r="P119" s="618"/>
      <c r="Q119" s="627" t="s">
        <v>9</v>
      </c>
      <c r="R119" s="627"/>
      <c r="S119" s="617"/>
      <c r="T119" s="618"/>
      <c r="U119" s="616">
        <v>2054</v>
      </c>
      <c r="V119" s="616"/>
      <c r="W119" s="617"/>
    </row>
    <row r="120" spans="2:23" x14ac:dyDescent="0.4">
      <c r="B120" s="612"/>
      <c r="C120" s="612"/>
      <c r="D120" s="612"/>
      <c r="E120" s="627"/>
      <c r="F120" s="627"/>
      <c r="G120" s="617"/>
      <c r="H120" s="618"/>
      <c r="I120" s="627"/>
      <c r="J120" s="627"/>
      <c r="K120" s="617"/>
      <c r="L120" s="618"/>
      <c r="M120" s="627"/>
      <c r="N120" s="627"/>
      <c r="O120" s="617"/>
      <c r="P120" s="618"/>
      <c r="Q120" s="627"/>
      <c r="R120" s="627"/>
      <c r="S120" s="617"/>
      <c r="T120" s="618"/>
      <c r="U120" s="616"/>
      <c r="V120" s="616"/>
      <c r="W120" s="617"/>
    </row>
    <row r="121" spans="2:23" x14ac:dyDescent="0.4">
      <c r="B121" s="631" t="s">
        <v>124</v>
      </c>
      <c r="C121" s="631"/>
      <c r="D121" s="631"/>
      <c r="E121" s="632">
        <v>983</v>
      </c>
      <c r="F121" s="632"/>
      <c r="G121" s="629"/>
      <c r="H121" s="630"/>
      <c r="I121" s="628">
        <v>2251</v>
      </c>
      <c r="J121" s="628"/>
      <c r="K121" s="629"/>
      <c r="L121" s="630"/>
      <c r="M121" s="628">
        <v>1482</v>
      </c>
      <c r="N121" s="628"/>
      <c r="O121" s="629"/>
      <c r="P121" s="630"/>
      <c r="Q121" s="628">
        <v>2830</v>
      </c>
      <c r="R121" s="628"/>
      <c r="S121" s="629"/>
      <c r="T121" s="630"/>
      <c r="U121" s="632">
        <v>975</v>
      </c>
      <c r="V121" s="632"/>
      <c r="W121" s="629"/>
    </row>
    <row r="122" spans="2:23" x14ac:dyDescent="0.4">
      <c r="B122" s="631"/>
      <c r="C122" s="631"/>
      <c r="D122" s="631"/>
      <c r="E122" s="632"/>
      <c r="F122" s="632"/>
      <c r="G122" s="629"/>
      <c r="H122" s="630"/>
      <c r="I122" s="628"/>
      <c r="J122" s="628"/>
      <c r="K122" s="629"/>
      <c r="L122" s="630"/>
      <c r="M122" s="628"/>
      <c r="N122" s="628"/>
      <c r="O122" s="629"/>
      <c r="P122" s="630"/>
      <c r="Q122" s="628"/>
      <c r="R122" s="628"/>
      <c r="S122" s="629"/>
      <c r="T122" s="630"/>
      <c r="U122" s="632"/>
      <c r="V122" s="632"/>
      <c r="W122" s="629"/>
    </row>
    <row r="123" spans="2:23" x14ac:dyDescent="0.4">
      <c r="B123" s="612" t="s">
        <v>125</v>
      </c>
      <c r="C123" s="612"/>
      <c r="D123" s="612"/>
      <c r="E123" s="627">
        <v>608</v>
      </c>
      <c r="F123" s="627"/>
      <c r="G123" s="617"/>
      <c r="H123" s="618"/>
      <c r="I123" s="627">
        <v>34</v>
      </c>
      <c r="J123" s="627"/>
      <c r="K123" s="617"/>
      <c r="L123" s="618"/>
      <c r="M123" s="627">
        <v>17</v>
      </c>
      <c r="N123" s="627"/>
      <c r="O123" s="617"/>
      <c r="P123" s="618"/>
      <c r="Q123" s="627">
        <v>105</v>
      </c>
      <c r="R123" s="627"/>
      <c r="S123" s="617"/>
      <c r="T123" s="618"/>
      <c r="U123" s="627">
        <v>25</v>
      </c>
      <c r="V123" s="627"/>
      <c r="W123" s="617"/>
    </row>
    <row r="124" spans="2:23" x14ac:dyDescent="0.4">
      <c r="B124" s="612"/>
      <c r="C124" s="612"/>
      <c r="D124" s="612"/>
      <c r="E124" s="627"/>
      <c r="F124" s="627"/>
      <c r="G124" s="617"/>
      <c r="H124" s="618"/>
      <c r="I124" s="627"/>
      <c r="J124" s="627"/>
      <c r="K124" s="617"/>
      <c r="L124" s="618"/>
      <c r="M124" s="627"/>
      <c r="N124" s="627"/>
      <c r="O124" s="617"/>
      <c r="P124" s="618"/>
      <c r="Q124" s="627"/>
      <c r="R124" s="627"/>
      <c r="S124" s="617"/>
      <c r="T124" s="618"/>
      <c r="U124" s="627"/>
      <c r="V124" s="627"/>
      <c r="W124" s="617"/>
    </row>
    <row r="125" spans="2:23" x14ac:dyDescent="0.4">
      <c r="B125" s="630" t="s">
        <v>986</v>
      </c>
      <c r="C125" s="630"/>
      <c r="D125" s="630"/>
      <c r="E125" s="632" t="s">
        <v>9</v>
      </c>
      <c r="F125" s="632"/>
      <c r="G125" s="629"/>
      <c r="H125" s="630"/>
      <c r="I125" s="632" t="s">
        <v>9</v>
      </c>
      <c r="J125" s="632"/>
      <c r="K125" s="629"/>
      <c r="L125" s="630"/>
      <c r="M125" s="628">
        <v>12818</v>
      </c>
      <c r="N125" s="628"/>
      <c r="O125" s="629"/>
      <c r="P125" s="630"/>
      <c r="Q125" s="632" t="s">
        <v>9</v>
      </c>
      <c r="R125" s="632"/>
      <c r="S125" s="629"/>
      <c r="T125" s="630"/>
      <c r="U125" s="632" t="s">
        <v>9</v>
      </c>
      <c r="V125" s="632"/>
      <c r="W125" s="629"/>
    </row>
    <row r="126" spans="2:23" x14ac:dyDescent="0.4">
      <c r="B126" s="630"/>
      <c r="C126" s="630"/>
      <c r="D126" s="630"/>
      <c r="E126" s="632"/>
      <c r="F126" s="632"/>
      <c r="G126" s="629"/>
      <c r="H126" s="630"/>
      <c r="I126" s="632"/>
      <c r="J126" s="632"/>
      <c r="K126" s="629"/>
      <c r="L126" s="630"/>
      <c r="M126" s="628"/>
      <c r="N126" s="628"/>
      <c r="O126" s="629"/>
      <c r="P126" s="630"/>
      <c r="Q126" s="632"/>
      <c r="R126" s="632"/>
      <c r="S126" s="629"/>
      <c r="T126" s="630"/>
      <c r="U126" s="632"/>
      <c r="V126" s="632"/>
      <c r="W126" s="629"/>
    </row>
    <row r="127" spans="2:23" x14ac:dyDescent="0.4">
      <c r="B127" s="612" t="s">
        <v>126</v>
      </c>
      <c r="C127" s="612"/>
      <c r="D127" s="612"/>
      <c r="E127" s="627" t="s">
        <v>9</v>
      </c>
      <c r="F127" s="627"/>
      <c r="G127" s="617"/>
      <c r="H127" s="618"/>
      <c r="I127" s="627" t="s">
        <v>9</v>
      </c>
      <c r="J127" s="627"/>
      <c r="K127" s="617"/>
      <c r="L127" s="618"/>
      <c r="M127" s="627">
        <v>635</v>
      </c>
      <c r="N127" s="627"/>
      <c r="O127" s="617"/>
      <c r="P127" s="618"/>
      <c r="Q127" s="616">
        <v>2675</v>
      </c>
      <c r="R127" s="616"/>
      <c r="S127" s="617"/>
      <c r="T127" s="618"/>
      <c r="U127" s="627" t="s">
        <v>9</v>
      </c>
      <c r="V127" s="627"/>
      <c r="W127" s="617"/>
    </row>
    <row r="128" spans="2:23" x14ac:dyDescent="0.4">
      <c r="B128" s="612"/>
      <c r="C128" s="612"/>
      <c r="D128" s="612"/>
      <c r="E128" s="627"/>
      <c r="F128" s="627"/>
      <c r="G128" s="617"/>
      <c r="H128" s="618"/>
      <c r="I128" s="627"/>
      <c r="J128" s="627"/>
      <c r="K128" s="617"/>
      <c r="L128" s="618"/>
      <c r="M128" s="627"/>
      <c r="N128" s="627"/>
      <c r="O128" s="617"/>
      <c r="P128" s="618"/>
      <c r="Q128" s="616"/>
      <c r="R128" s="616"/>
      <c r="S128" s="617"/>
      <c r="T128" s="618"/>
      <c r="U128" s="627"/>
      <c r="V128" s="627"/>
      <c r="W128" s="617"/>
    </row>
    <row r="129" spans="2:23" x14ac:dyDescent="0.4">
      <c r="B129" s="631" t="s">
        <v>127</v>
      </c>
      <c r="C129" s="631"/>
      <c r="D129" s="631"/>
      <c r="E129" s="632" t="s">
        <v>9</v>
      </c>
      <c r="F129" s="632"/>
      <c r="G129" s="629"/>
      <c r="H129" s="630"/>
      <c r="I129" s="632" t="s">
        <v>9</v>
      </c>
      <c r="J129" s="632"/>
      <c r="K129" s="629"/>
      <c r="L129" s="630"/>
      <c r="M129" s="632">
        <v>770</v>
      </c>
      <c r="N129" s="632"/>
      <c r="O129" s="629"/>
      <c r="P129" s="630"/>
      <c r="Q129" s="632" t="s">
        <v>9</v>
      </c>
      <c r="R129" s="632"/>
      <c r="S129" s="629"/>
      <c r="T129" s="630"/>
      <c r="U129" s="632" t="s">
        <v>9</v>
      </c>
      <c r="V129" s="632"/>
      <c r="W129" s="629"/>
    </row>
    <row r="130" spans="2:23" x14ac:dyDescent="0.4">
      <c r="B130" s="631"/>
      <c r="C130" s="631"/>
      <c r="D130" s="631"/>
      <c r="E130" s="632"/>
      <c r="F130" s="632"/>
      <c r="G130" s="629"/>
      <c r="H130" s="630"/>
      <c r="I130" s="632"/>
      <c r="J130" s="632"/>
      <c r="K130" s="629"/>
      <c r="L130" s="630"/>
      <c r="M130" s="632"/>
      <c r="N130" s="632"/>
      <c r="O130" s="629"/>
      <c r="P130" s="630"/>
      <c r="Q130" s="632"/>
      <c r="R130" s="632"/>
      <c r="S130" s="629"/>
      <c r="T130" s="630"/>
      <c r="U130" s="632"/>
      <c r="V130" s="632"/>
      <c r="W130" s="629"/>
    </row>
    <row r="131" spans="2:23" x14ac:dyDescent="0.4">
      <c r="B131" s="618" t="s">
        <v>987</v>
      </c>
      <c r="C131" s="618"/>
      <c r="D131" s="618"/>
      <c r="E131" s="627">
        <v>664</v>
      </c>
      <c r="F131" s="627"/>
      <c r="G131" s="617"/>
      <c r="H131" s="618"/>
      <c r="I131" s="627" t="s">
        <v>9</v>
      </c>
      <c r="J131" s="627"/>
      <c r="K131" s="617"/>
      <c r="L131" s="618"/>
      <c r="M131" s="627" t="s">
        <v>9</v>
      </c>
      <c r="N131" s="627"/>
      <c r="O131" s="617"/>
      <c r="P131" s="618"/>
      <c r="Q131" s="627" t="s">
        <v>9</v>
      </c>
      <c r="R131" s="627"/>
      <c r="S131" s="617"/>
      <c r="T131" s="618"/>
      <c r="U131" s="627" t="s">
        <v>9</v>
      </c>
      <c r="V131" s="627"/>
      <c r="W131" s="617"/>
    </row>
    <row r="132" spans="2:23" x14ac:dyDescent="0.4">
      <c r="B132" s="618"/>
      <c r="C132" s="618"/>
      <c r="D132" s="618"/>
      <c r="E132" s="627"/>
      <c r="F132" s="627"/>
      <c r="G132" s="617"/>
      <c r="H132" s="618"/>
      <c r="I132" s="627"/>
      <c r="J132" s="627"/>
      <c r="K132" s="617"/>
      <c r="L132" s="618"/>
      <c r="M132" s="627"/>
      <c r="N132" s="627"/>
      <c r="O132" s="617"/>
      <c r="P132" s="618"/>
      <c r="Q132" s="627"/>
      <c r="R132" s="627"/>
      <c r="S132" s="617"/>
      <c r="T132" s="618"/>
      <c r="U132" s="627"/>
      <c r="V132" s="627"/>
      <c r="W132" s="617"/>
    </row>
    <row r="133" spans="2:23" x14ac:dyDescent="0.4">
      <c r="B133" s="630" t="s">
        <v>988</v>
      </c>
      <c r="C133" s="630"/>
      <c r="D133" s="630"/>
      <c r="E133" s="632">
        <v>181</v>
      </c>
      <c r="F133" s="632"/>
      <c r="G133" s="629"/>
      <c r="H133" s="630"/>
      <c r="I133" s="632" t="s">
        <v>9</v>
      </c>
      <c r="J133" s="632"/>
      <c r="K133" s="629"/>
      <c r="L133" s="630"/>
      <c r="M133" s="632" t="s">
        <v>9</v>
      </c>
      <c r="N133" s="632"/>
      <c r="O133" s="629"/>
      <c r="P133" s="630"/>
      <c r="Q133" s="632" t="s">
        <v>9</v>
      </c>
      <c r="R133" s="632"/>
      <c r="S133" s="629"/>
      <c r="T133" s="630"/>
      <c r="U133" s="632" t="s">
        <v>9</v>
      </c>
      <c r="V133" s="632"/>
      <c r="W133" s="629"/>
    </row>
    <row r="134" spans="2:23" x14ac:dyDescent="0.4">
      <c r="B134" s="630"/>
      <c r="C134" s="630"/>
      <c r="D134" s="630"/>
      <c r="E134" s="632"/>
      <c r="F134" s="632"/>
      <c r="G134" s="629"/>
      <c r="H134" s="630"/>
      <c r="I134" s="632"/>
      <c r="J134" s="632"/>
      <c r="K134" s="629"/>
      <c r="L134" s="630"/>
      <c r="M134" s="632"/>
      <c r="N134" s="632"/>
      <c r="O134" s="629"/>
      <c r="P134" s="630"/>
      <c r="Q134" s="632"/>
      <c r="R134" s="632"/>
      <c r="S134" s="629"/>
      <c r="T134" s="630"/>
      <c r="U134" s="632"/>
      <c r="V134" s="632"/>
      <c r="W134" s="629"/>
    </row>
    <row r="135" spans="2:23" x14ac:dyDescent="0.4">
      <c r="B135" s="618" t="s">
        <v>989</v>
      </c>
      <c r="C135" s="618"/>
      <c r="D135" s="618"/>
      <c r="E135" s="627">
        <v>264</v>
      </c>
      <c r="F135" s="627"/>
      <c r="G135" s="617"/>
      <c r="H135" s="618"/>
      <c r="I135" s="627" t="s">
        <v>9</v>
      </c>
      <c r="J135" s="627"/>
      <c r="K135" s="617"/>
      <c r="L135" s="618"/>
      <c r="M135" s="627" t="s">
        <v>9</v>
      </c>
      <c r="N135" s="627"/>
      <c r="O135" s="617"/>
      <c r="P135" s="618"/>
      <c r="Q135" s="627" t="s">
        <v>9</v>
      </c>
      <c r="R135" s="627"/>
      <c r="S135" s="617"/>
      <c r="T135" s="618"/>
      <c r="U135" s="627" t="s">
        <v>9</v>
      </c>
      <c r="V135" s="627"/>
      <c r="W135" s="617"/>
    </row>
    <row r="136" spans="2:23" x14ac:dyDescent="0.4">
      <c r="B136" s="618"/>
      <c r="C136" s="618"/>
      <c r="D136" s="618"/>
      <c r="E136" s="627"/>
      <c r="F136" s="627"/>
      <c r="G136" s="617"/>
      <c r="H136" s="618"/>
      <c r="I136" s="627"/>
      <c r="J136" s="627"/>
      <c r="K136" s="617"/>
      <c r="L136" s="618"/>
      <c r="M136" s="627"/>
      <c r="N136" s="627"/>
      <c r="O136" s="617"/>
      <c r="P136" s="618"/>
      <c r="Q136" s="627"/>
      <c r="R136" s="627"/>
      <c r="S136" s="617"/>
      <c r="T136" s="618"/>
      <c r="U136" s="627"/>
      <c r="V136" s="627"/>
      <c r="W136" s="617"/>
    </row>
    <row r="137" spans="2:23" x14ac:dyDescent="0.4">
      <c r="B137" s="631" t="s">
        <v>128</v>
      </c>
      <c r="C137" s="631"/>
      <c r="D137" s="631"/>
      <c r="E137" s="632" t="s">
        <v>129</v>
      </c>
      <c r="F137" s="632"/>
      <c r="G137" s="631" t="s">
        <v>56</v>
      </c>
      <c r="H137" s="630"/>
      <c r="I137" s="632" t="s">
        <v>130</v>
      </c>
      <c r="J137" s="632"/>
      <c r="K137" s="631" t="s">
        <v>56</v>
      </c>
      <c r="L137" s="630"/>
      <c r="M137" s="632" t="s">
        <v>9</v>
      </c>
      <c r="N137" s="632"/>
      <c r="O137" s="629"/>
      <c r="P137" s="630"/>
      <c r="Q137" s="632" t="s">
        <v>9</v>
      </c>
      <c r="R137" s="632"/>
      <c r="S137" s="629"/>
      <c r="T137" s="630"/>
      <c r="U137" s="632" t="s">
        <v>9</v>
      </c>
      <c r="V137" s="632"/>
      <c r="W137" s="629"/>
    </row>
    <row r="138" spans="2:23" x14ac:dyDescent="0.4">
      <c r="B138" s="631"/>
      <c r="C138" s="631"/>
      <c r="D138" s="631"/>
      <c r="E138" s="632"/>
      <c r="F138" s="632"/>
      <c r="G138" s="631"/>
      <c r="H138" s="630"/>
      <c r="I138" s="632"/>
      <c r="J138" s="632"/>
      <c r="K138" s="631"/>
      <c r="L138" s="630"/>
      <c r="M138" s="632"/>
      <c r="N138" s="632"/>
      <c r="O138" s="629"/>
      <c r="P138" s="630"/>
      <c r="Q138" s="632"/>
      <c r="R138" s="632"/>
      <c r="S138" s="629"/>
      <c r="T138" s="630"/>
      <c r="U138" s="632"/>
      <c r="V138" s="632"/>
      <c r="W138" s="629"/>
    </row>
    <row r="139" spans="2:23" x14ac:dyDescent="0.4">
      <c r="B139" s="612" t="s">
        <v>131</v>
      </c>
      <c r="C139" s="612"/>
      <c r="D139" s="612"/>
      <c r="E139" s="627" t="s">
        <v>132</v>
      </c>
      <c r="F139" s="627"/>
      <c r="G139" s="612" t="s">
        <v>56</v>
      </c>
      <c r="H139" s="618"/>
      <c r="I139" s="627" t="s">
        <v>9</v>
      </c>
      <c r="J139" s="627"/>
      <c r="K139" s="617"/>
      <c r="L139" s="618"/>
      <c r="M139" s="627" t="s">
        <v>9</v>
      </c>
      <c r="N139" s="627"/>
      <c r="O139" s="617"/>
      <c r="P139" s="618"/>
      <c r="Q139" s="627" t="s">
        <v>9</v>
      </c>
      <c r="R139" s="627"/>
      <c r="S139" s="617"/>
      <c r="T139" s="618"/>
      <c r="U139" s="627" t="s">
        <v>9</v>
      </c>
      <c r="V139" s="627"/>
      <c r="W139" s="617"/>
    </row>
    <row r="140" spans="2:23" x14ac:dyDescent="0.4">
      <c r="B140" s="612"/>
      <c r="C140" s="612"/>
      <c r="D140" s="612"/>
      <c r="E140" s="627"/>
      <c r="F140" s="627"/>
      <c r="G140" s="612"/>
      <c r="H140" s="618"/>
      <c r="I140" s="627"/>
      <c r="J140" s="627"/>
      <c r="K140" s="617"/>
      <c r="L140" s="618"/>
      <c r="M140" s="627"/>
      <c r="N140" s="627"/>
      <c r="O140" s="617"/>
      <c r="P140" s="618"/>
      <c r="Q140" s="627"/>
      <c r="R140" s="627"/>
      <c r="S140" s="617"/>
      <c r="T140" s="618"/>
      <c r="U140" s="627"/>
      <c r="V140" s="627"/>
      <c r="W140" s="617"/>
    </row>
    <row r="141" spans="2:23" x14ac:dyDescent="0.4">
      <c r="B141" s="631" t="s">
        <v>133</v>
      </c>
      <c r="C141" s="631"/>
      <c r="D141" s="631"/>
      <c r="E141" s="632" t="s">
        <v>9</v>
      </c>
      <c r="F141" s="632"/>
      <c r="G141" s="629"/>
      <c r="H141" s="630"/>
      <c r="I141" s="632" t="s">
        <v>9</v>
      </c>
      <c r="J141" s="632"/>
      <c r="K141" s="629"/>
      <c r="L141" s="630"/>
      <c r="M141" s="632" t="s">
        <v>9</v>
      </c>
      <c r="N141" s="632"/>
      <c r="O141" s="629"/>
      <c r="P141" s="630"/>
      <c r="Q141" s="632">
        <v>135</v>
      </c>
      <c r="R141" s="632"/>
      <c r="S141" s="629"/>
      <c r="T141" s="630"/>
      <c r="U141" s="632">
        <v>99</v>
      </c>
      <c r="V141" s="632"/>
      <c r="W141" s="629"/>
    </row>
    <row r="142" spans="2:23" ht="13.8" thickBot="1" x14ac:dyDescent="0.45">
      <c r="B142" s="647"/>
      <c r="C142" s="647"/>
      <c r="D142" s="647"/>
      <c r="E142" s="648"/>
      <c r="F142" s="648"/>
      <c r="G142" s="649"/>
      <c r="H142" s="650"/>
      <c r="I142" s="648"/>
      <c r="J142" s="648"/>
      <c r="K142" s="649"/>
      <c r="L142" s="650"/>
      <c r="M142" s="648"/>
      <c r="N142" s="648"/>
      <c r="O142" s="649"/>
      <c r="P142" s="650"/>
      <c r="Q142" s="648"/>
      <c r="R142" s="648"/>
      <c r="S142" s="649"/>
      <c r="T142" s="650"/>
      <c r="U142" s="648"/>
      <c r="V142" s="648"/>
      <c r="W142" s="649"/>
    </row>
    <row r="143" spans="2:23" x14ac:dyDescent="0.4">
      <c r="B143" s="651" t="s">
        <v>134</v>
      </c>
      <c r="C143" s="651"/>
      <c r="D143" s="651"/>
      <c r="E143" s="660" t="s">
        <v>47</v>
      </c>
      <c r="F143" s="661">
        <v>64664</v>
      </c>
      <c r="G143" s="655"/>
      <c r="H143" s="656"/>
      <c r="I143" s="660" t="s">
        <v>47</v>
      </c>
      <c r="J143" s="661">
        <v>50234</v>
      </c>
      <c r="K143" s="655"/>
      <c r="L143" s="656"/>
      <c r="M143" s="660" t="s">
        <v>47</v>
      </c>
      <c r="N143" s="661">
        <v>37011</v>
      </c>
      <c r="O143" s="655"/>
      <c r="P143" s="656"/>
      <c r="Q143" s="660" t="s">
        <v>47</v>
      </c>
      <c r="R143" s="661">
        <v>14862</v>
      </c>
      <c r="S143" s="655"/>
      <c r="T143" s="656"/>
      <c r="U143" s="660" t="s">
        <v>47</v>
      </c>
      <c r="V143" s="661">
        <v>12722</v>
      </c>
      <c r="W143" s="655"/>
    </row>
    <row r="144" spans="2:23" ht="13.8" thickBot="1" x14ac:dyDescent="0.45">
      <c r="B144" s="652"/>
      <c r="C144" s="652"/>
      <c r="D144" s="652"/>
      <c r="E144" s="638"/>
      <c r="F144" s="662"/>
      <c r="G144" s="641"/>
      <c r="H144" s="642"/>
      <c r="I144" s="638"/>
      <c r="J144" s="662"/>
      <c r="K144" s="641"/>
      <c r="L144" s="642"/>
      <c r="M144" s="638"/>
      <c r="N144" s="662"/>
      <c r="O144" s="641"/>
      <c r="P144" s="642"/>
      <c r="Q144" s="638"/>
      <c r="R144" s="662"/>
      <c r="S144" s="641"/>
      <c r="T144" s="642"/>
      <c r="U144" s="638"/>
      <c r="V144" s="662"/>
      <c r="W144" s="641"/>
    </row>
    <row r="150" spans="1:21" s="228" customFormat="1" ht="15.6" x14ac:dyDescent="0.4">
      <c r="A150" s="228" t="s">
        <v>973</v>
      </c>
      <c r="B150" s="228" t="s">
        <v>974</v>
      </c>
    </row>
    <row r="151" spans="1:21" s="400" customFormat="1" ht="15.6" x14ac:dyDescent="0.4"/>
    <row r="152" spans="1:21" x14ac:dyDescent="0.4">
      <c r="B152" s="621" t="s">
        <v>135</v>
      </c>
      <c r="C152" s="621"/>
      <c r="D152" s="614"/>
      <c r="E152" s="619"/>
      <c r="F152" s="659" t="s">
        <v>1458</v>
      </c>
      <c r="G152" s="659"/>
      <c r="H152" s="614"/>
      <c r="I152" s="619"/>
      <c r="J152" s="659" t="s">
        <v>1459</v>
      </c>
      <c r="K152" s="659"/>
      <c r="L152" s="614"/>
      <c r="M152" s="619"/>
      <c r="N152" s="621" t="s">
        <v>138</v>
      </c>
      <c r="O152" s="621"/>
      <c r="P152" s="614"/>
      <c r="Q152" s="392"/>
      <c r="R152" s="392"/>
      <c r="S152" s="392"/>
      <c r="T152" s="392"/>
      <c r="U152" s="392"/>
    </row>
    <row r="153" spans="1:21" ht="13.8" thickBot="1" x14ac:dyDescent="0.45">
      <c r="B153" s="622" t="s">
        <v>136</v>
      </c>
      <c r="C153" s="622"/>
      <c r="D153" s="615"/>
      <c r="E153" s="620"/>
      <c r="F153" s="622" t="s">
        <v>137</v>
      </c>
      <c r="G153" s="622"/>
      <c r="H153" s="615"/>
      <c r="I153" s="620"/>
      <c r="J153" s="622" t="s">
        <v>137</v>
      </c>
      <c r="K153" s="622"/>
      <c r="L153" s="615"/>
      <c r="M153" s="620"/>
      <c r="N153" s="622" t="s">
        <v>139</v>
      </c>
      <c r="O153" s="622"/>
      <c r="P153" s="615"/>
      <c r="Q153" s="392"/>
      <c r="R153" s="392"/>
      <c r="S153" s="392"/>
      <c r="T153" s="392"/>
      <c r="U153" s="392"/>
    </row>
    <row r="154" spans="1:21" x14ac:dyDescent="0.4">
      <c r="B154" s="624" t="s">
        <v>990</v>
      </c>
      <c r="C154" s="644" t="s">
        <v>47</v>
      </c>
      <c r="D154" s="658">
        <v>271811</v>
      </c>
      <c r="E154" s="646"/>
      <c r="F154" s="624"/>
      <c r="G154" s="644" t="s">
        <v>47</v>
      </c>
      <c r="H154" s="658">
        <v>24123</v>
      </c>
      <c r="I154" s="646"/>
      <c r="J154" s="624"/>
      <c r="K154" s="644" t="s">
        <v>47</v>
      </c>
      <c r="L154" s="658">
        <v>51862</v>
      </c>
      <c r="M154" s="646"/>
      <c r="N154" s="624"/>
      <c r="O154" s="644" t="s">
        <v>47</v>
      </c>
      <c r="P154" s="658">
        <v>52582</v>
      </c>
      <c r="Q154" s="646"/>
      <c r="R154" s="624"/>
      <c r="S154" s="644" t="s">
        <v>47</v>
      </c>
      <c r="T154" s="658">
        <v>143244</v>
      </c>
      <c r="U154" s="646"/>
    </row>
    <row r="155" spans="1:21" x14ac:dyDescent="0.4">
      <c r="B155" s="630"/>
      <c r="C155" s="631"/>
      <c r="D155" s="628"/>
      <c r="E155" s="629"/>
      <c r="F155" s="630"/>
      <c r="G155" s="631"/>
      <c r="H155" s="628"/>
      <c r="I155" s="629"/>
      <c r="J155" s="630"/>
      <c r="K155" s="631"/>
      <c r="L155" s="628"/>
      <c r="M155" s="629"/>
      <c r="N155" s="630"/>
      <c r="O155" s="631"/>
      <c r="P155" s="628"/>
      <c r="Q155" s="629"/>
      <c r="R155" s="630"/>
      <c r="S155" s="631"/>
      <c r="T155" s="628"/>
      <c r="U155" s="629"/>
    </row>
    <row r="156" spans="1:21" x14ac:dyDescent="0.4">
      <c r="B156" s="618" t="s">
        <v>991</v>
      </c>
      <c r="C156" s="616">
        <v>49989</v>
      </c>
      <c r="D156" s="616"/>
      <c r="E156" s="617"/>
      <c r="F156" s="618"/>
      <c r="G156" s="616">
        <v>3679</v>
      </c>
      <c r="H156" s="616"/>
      <c r="I156" s="617"/>
      <c r="J156" s="618"/>
      <c r="K156" s="616">
        <v>9309</v>
      </c>
      <c r="L156" s="616"/>
      <c r="M156" s="617"/>
      <c r="N156" s="618"/>
      <c r="O156" s="616">
        <v>9563</v>
      </c>
      <c r="P156" s="616"/>
      <c r="Q156" s="617"/>
      <c r="R156" s="618"/>
      <c r="S156" s="616">
        <v>27438</v>
      </c>
      <c r="T156" s="616"/>
      <c r="U156" s="617"/>
    </row>
    <row r="157" spans="1:21" x14ac:dyDescent="0.4">
      <c r="B157" s="618"/>
      <c r="C157" s="616"/>
      <c r="D157" s="616"/>
      <c r="E157" s="617"/>
      <c r="F157" s="618"/>
      <c r="G157" s="616"/>
      <c r="H157" s="616"/>
      <c r="I157" s="617"/>
      <c r="J157" s="618"/>
      <c r="K157" s="616"/>
      <c r="L157" s="616"/>
      <c r="M157" s="617"/>
      <c r="N157" s="618"/>
      <c r="O157" s="616"/>
      <c r="P157" s="616"/>
      <c r="Q157" s="617"/>
      <c r="R157" s="618"/>
      <c r="S157" s="616"/>
      <c r="T157" s="616"/>
      <c r="U157" s="617"/>
    </row>
    <row r="158" spans="1:21" x14ac:dyDescent="0.4">
      <c r="B158" s="630" t="s">
        <v>992</v>
      </c>
      <c r="C158" s="628">
        <v>159373</v>
      </c>
      <c r="D158" s="628"/>
      <c r="E158" s="629"/>
      <c r="F158" s="630"/>
      <c r="G158" s="632">
        <v>937</v>
      </c>
      <c r="H158" s="632"/>
      <c r="I158" s="629"/>
      <c r="J158" s="630"/>
      <c r="K158" s="628">
        <v>17008</v>
      </c>
      <c r="L158" s="628"/>
      <c r="M158" s="629"/>
      <c r="N158" s="630"/>
      <c r="O158" s="628">
        <v>17714</v>
      </c>
      <c r="P158" s="628"/>
      <c r="Q158" s="629"/>
      <c r="R158" s="630"/>
      <c r="S158" s="628">
        <v>123714</v>
      </c>
      <c r="T158" s="628"/>
      <c r="U158" s="629"/>
    </row>
    <row r="159" spans="1:21" x14ac:dyDescent="0.4">
      <c r="B159" s="630"/>
      <c r="C159" s="628"/>
      <c r="D159" s="628"/>
      <c r="E159" s="629"/>
      <c r="F159" s="630"/>
      <c r="G159" s="632"/>
      <c r="H159" s="632"/>
      <c r="I159" s="629"/>
      <c r="J159" s="630"/>
      <c r="K159" s="628"/>
      <c r="L159" s="628"/>
      <c r="M159" s="629"/>
      <c r="N159" s="630"/>
      <c r="O159" s="628"/>
      <c r="P159" s="628"/>
      <c r="Q159" s="629"/>
      <c r="R159" s="630"/>
      <c r="S159" s="628"/>
      <c r="T159" s="628"/>
      <c r="U159" s="629"/>
    </row>
    <row r="160" spans="1:21" x14ac:dyDescent="0.4">
      <c r="B160" s="612" t="s">
        <v>140</v>
      </c>
      <c r="C160" s="616">
        <v>167063</v>
      </c>
      <c r="D160" s="616"/>
      <c r="E160" s="617"/>
      <c r="F160" s="618"/>
      <c r="G160" s="616">
        <v>82561</v>
      </c>
      <c r="H160" s="616"/>
      <c r="I160" s="617"/>
      <c r="J160" s="618"/>
      <c r="K160" s="616">
        <v>11468</v>
      </c>
      <c r="L160" s="616"/>
      <c r="M160" s="617"/>
      <c r="N160" s="618"/>
      <c r="O160" s="616">
        <v>13504</v>
      </c>
      <c r="P160" s="616"/>
      <c r="Q160" s="617"/>
      <c r="R160" s="618"/>
      <c r="S160" s="616">
        <v>59530</v>
      </c>
      <c r="T160" s="616"/>
      <c r="U160" s="617"/>
    </row>
    <row r="161" spans="1:21" x14ac:dyDescent="0.4">
      <c r="B161" s="612"/>
      <c r="C161" s="616"/>
      <c r="D161" s="616"/>
      <c r="E161" s="617"/>
      <c r="F161" s="618"/>
      <c r="G161" s="616"/>
      <c r="H161" s="616"/>
      <c r="I161" s="617"/>
      <c r="J161" s="618"/>
      <c r="K161" s="616"/>
      <c r="L161" s="616"/>
      <c r="M161" s="617"/>
      <c r="N161" s="618"/>
      <c r="O161" s="616"/>
      <c r="P161" s="616"/>
      <c r="Q161" s="617"/>
      <c r="R161" s="618"/>
      <c r="S161" s="616"/>
      <c r="T161" s="616"/>
      <c r="U161" s="617"/>
    </row>
    <row r="162" spans="1:21" x14ac:dyDescent="0.4">
      <c r="B162" s="630" t="s">
        <v>993</v>
      </c>
      <c r="C162" s="628">
        <v>2450</v>
      </c>
      <c r="D162" s="628"/>
      <c r="E162" s="629"/>
      <c r="F162" s="630"/>
      <c r="G162" s="628">
        <v>2450</v>
      </c>
      <c r="H162" s="628"/>
      <c r="I162" s="629"/>
      <c r="J162" s="630"/>
      <c r="K162" s="632" t="s">
        <v>9</v>
      </c>
      <c r="L162" s="632"/>
      <c r="M162" s="629"/>
      <c r="N162" s="630"/>
      <c r="O162" s="632" t="s">
        <v>9</v>
      </c>
      <c r="P162" s="632"/>
      <c r="Q162" s="629"/>
      <c r="R162" s="630"/>
      <c r="S162" s="632" t="s">
        <v>9</v>
      </c>
      <c r="T162" s="632"/>
      <c r="U162" s="629"/>
    </row>
    <row r="163" spans="1:21" ht="13.8" thickBot="1" x14ac:dyDescent="0.45">
      <c r="B163" s="650"/>
      <c r="C163" s="663"/>
      <c r="D163" s="663"/>
      <c r="E163" s="649"/>
      <c r="F163" s="650"/>
      <c r="G163" s="663"/>
      <c r="H163" s="663"/>
      <c r="I163" s="649"/>
      <c r="J163" s="650"/>
      <c r="K163" s="648"/>
      <c r="L163" s="648"/>
      <c r="M163" s="649"/>
      <c r="N163" s="650"/>
      <c r="O163" s="648"/>
      <c r="P163" s="648"/>
      <c r="Q163" s="649"/>
      <c r="R163" s="650"/>
      <c r="S163" s="648"/>
      <c r="T163" s="648"/>
      <c r="U163" s="629"/>
    </row>
    <row r="164" spans="1:21" x14ac:dyDescent="0.4">
      <c r="B164" s="651" t="s">
        <v>141</v>
      </c>
      <c r="C164" s="660" t="s">
        <v>47</v>
      </c>
      <c r="D164" s="661">
        <v>650686</v>
      </c>
      <c r="E164" s="655"/>
      <c r="F164" s="656"/>
      <c r="G164" s="660" t="s">
        <v>47</v>
      </c>
      <c r="H164" s="661">
        <v>113750</v>
      </c>
      <c r="I164" s="655"/>
      <c r="J164" s="656"/>
      <c r="K164" s="660" t="s">
        <v>47</v>
      </c>
      <c r="L164" s="661">
        <v>89647</v>
      </c>
      <c r="M164" s="655"/>
      <c r="N164" s="656"/>
      <c r="O164" s="660" t="s">
        <v>47</v>
      </c>
      <c r="P164" s="661">
        <v>93363</v>
      </c>
      <c r="Q164" s="655"/>
      <c r="R164" s="656"/>
      <c r="S164" s="660" t="s">
        <v>47</v>
      </c>
      <c r="T164" s="661">
        <v>353926</v>
      </c>
    </row>
    <row r="165" spans="1:21" ht="13.8" thickBot="1" x14ac:dyDescent="0.45">
      <c r="B165" s="652"/>
      <c r="C165" s="638"/>
      <c r="D165" s="662"/>
      <c r="E165" s="641"/>
      <c r="F165" s="642"/>
      <c r="G165" s="638"/>
      <c r="H165" s="662"/>
      <c r="I165" s="641"/>
      <c r="J165" s="642"/>
      <c r="K165" s="638"/>
      <c r="L165" s="662"/>
      <c r="M165" s="641"/>
      <c r="N165" s="642"/>
      <c r="O165" s="638"/>
      <c r="P165" s="662"/>
      <c r="Q165" s="641"/>
      <c r="R165" s="642"/>
      <c r="S165" s="638"/>
      <c r="T165" s="662"/>
    </row>
    <row r="170" spans="1:21" s="228" customFormat="1" ht="15.6" x14ac:dyDescent="0.4">
      <c r="A170" s="228" t="s">
        <v>994</v>
      </c>
      <c r="B170" s="228" t="s">
        <v>995</v>
      </c>
    </row>
    <row r="171" spans="1:21" s="400" customFormat="1" ht="15.6" x14ac:dyDescent="0.4"/>
    <row r="172" spans="1:21" x14ac:dyDescent="0.4">
      <c r="B172" s="397"/>
      <c r="C172" s="614"/>
      <c r="D172" s="619"/>
      <c r="E172" s="621" t="s">
        <v>6</v>
      </c>
      <c r="F172" s="614"/>
      <c r="G172" s="619"/>
      <c r="H172" s="621" t="s">
        <v>7</v>
      </c>
      <c r="I172" s="614"/>
      <c r="J172" s="614"/>
    </row>
    <row r="173" spans="1:21" x14ac:dyDescent="0.4">
      <c r="B173" s="388" t="s">
        <v>4</v>
      </c>
      <c r="C173" s="614"/>
      <c r="D173" s="619"/>
      <c r="E173" s="621"/>
      <c r="F173" s="614"/>
      <c r="G173" s="619"/>
      <c r="H173" s="621"/>
      <c r="I173" s="614"/>
      <c r="J173" s="614"/>
    </row>
    <row r="174" spans="1:21" ht="13.8" thickBot="1" x14ac:dyDescent="0.45">
      <c r="B174" s="389" t="s">
        <v>5</v>
      </c>
      <c r="C174" s="615"/>
      <c r="D174" s="620"/>
      <c r="E174" s="622"/>
      <c r="F174" s="615"/>
      <c r="G174" s="620"/>
      <c r="H174" s="622"/>
      <c r="I174" s="615"/>
      <c r="J174" s="615"/>
    </row>
    <row r="175" spans="1:21" x14ac:dyDescent="0.4">
      <c r="B175" s="644" t="s">
        <v>8</v>
      </c>
      <c r="C175" s="645">
        <v>3</v>
      </c>
      <c r="D175" s="646"/>
      <c r="E175" s="624"/>
      <c r="F175" s="645" t="s">
        <v>9</v>
      </c>
      <c r="G175" s="646"/>
      <c r="H175" s="624"/>
      <c r="I175" s="645">
        <v>3</v>
      </c>
      <c r="J175" s="629"/>
    </row>
    <row r="176" spans="1:21" x14ac:dyDescent="0.4">
      <c r="B176" s="631"/>
      <c r="C176" s="632"/>
      <c r="D176" s="629"/>
      <c r="E176" s="630"/>
      <c r="F176" s="632"/>
      <c r="G176" s="629"/>
      <c r="H176" s="630"/>
      <c r="I176" s="632"/>
      <c r="J176" s="629"/>
    </row>
    <row r="177" spans="2:10" x14ac:dyDescent="0.4">
      <c r="B177" s="612" t="s">
        <v>10</v>
      </c>
      <c r="C177" s="627">
        <v>7</v>
      </c>
      <c r="D177" s="617"/>
      <c r="E177" s="618"/>
      <c r="F177" s="627">
        <v>1</v>
      </c>
      <c r="G177" s="617"/>
      <c r="H177" s="618"/>
      <c r="I177" s="627">
        <v>8</v>
      </c>
      <c r="J177" s="617"/>
    </row>
    <row r="178" spans="2:10" x14ac:dyDescent="0.4">
      <c r="B178" s="612"/>
      <c r="C178" s="627"/>
      <c r="D178" s="617"/>
      <c r="E178" s="618"/>
      <c r="F178" s="627"/>
      <c r="G178" s="617"/>
      <c r="H178" s="618"/>
      <c r="I178" s="627"/>
      <c r="J178" s="617"/>
    </row>
    <row r="179" spans="2:10" x14ac:dyDescent="0.4">
      <c r="B179" s="631" t="s">
        <v>11</v>
      </c>
      <c r="C179" s="632">
        <v>3</v>
      </c>
      <c r="D179" s="629"/>
      <c r="E179" s="630"/>
      <c r="F179" s="632" t="s">
        <v>9</v>
      </c>
      <c r="G179" s="629"/>
      <c r="H179" s="630"/>
      <c r="I179" s="632">
        <v>3</v>
      </c>
      <c r="J179" s="629"/>
    </row>
    <row r="180" spans="2:10" x14ac:dyDescent="0.4">
      <c r="B180" s="631"/>
      <c r="C180" s="632"/>
      <c r="D180" s="629"/>
      <c r="E180" s="630"/>
      <c r="F180" s="632"/>
      <c r="G180" s="629"/>
      <c r="H180" s="630"/>
      <c r="I180" s="632"/>
      <c r="J180" s="629"/>
    </row>
    <row r="181" spans="2:10" x14ac:dyDescent="0.4">
      <c r="B181" s="612" t="s">
        <v>12</v>
      </c>
      <c r="C181" s="627">
        <v>1</v>
      </c>
      <c r="D181" s="617"/>
      <c r="E181" s="618"/>
      <c r="F181" s="627" t="s">
        <v>9</v>
      </c>
      <c r="G181" s="617"/>
      <c r="H181" s="618"/>
      <c r="I181" s="627">
        <v>1</v>
      </c>
      <c r="J181" s="617"/>
    </row>
    <row r="182" spans="2:10" x14ac:dyDescent="0.4">
      <c r="B182" s="612"/>
      <c r="C182" s="627"/>
      <c r="D182" s="617"/>
      <c r="E182" s="618"/>
      <c r="F182" s="627"/>
      <c r="G182" s="617"/>
      <c r="H182" s="618"/>
      <c r="I182" s="627"/>
      <c r="J182" s="617"/>
    </row>
    <row r="183" spans="2:10" x14ac:dyDescent="0.4">
      <c r="B183" s="631" t="s">
        <v>13</v>
      </c>
      <c r="C183" s="632">
        <v>6</v>
      </c>
      <c r="D183" s="629"/>
      <c r="E183" s="630"/>
      <c r="F183" s="632">
        <v>1</v>
      </c>
      <c r="G183" s="629"/>
      <c r="H183" s="630"/>
      <c r="I183" s="632">
        <v>7</v>
      </c>
      <c r="J183" s="629"/>
    </row>
    <row r="184" spans="2:10" x14ac:dyDescent="0.4">
      <c r="B184" s="631"/>
      <c r="C184" s="632"/>
      <c r="D184" s="629"/>
      <c r="E184" s="630"/>
      <c r="F184" s="632"/>
      <c r="G184" s="629"/>
      <c r="H184" s="630"/>
      <c r="I184" s="632"/>
      <c r="J184" s="629"/>
    </row>
    <row r="185" spans="2:10" x14ac:dyDescent="0.4">
      <c r="B185" s="612" t="s">
        <v>14</v>
      </c>
      <c r="C185" s="627">
        <v>6</v>
      </c>
      <c r="D185" s="617"/>
      <c r="E185" s="618"/>
      <c r="F185" s="627" t="s">
        <v>9</v>
      </c>
      <c r="G185" s="617"/>
      <c r="H185" s="618"/>
      <c r="I185" s="627">
        <v>6</v>
      </c>
      <c r="J185" s="617"/>
    </row>
    <row r="186" spans="2:10" x14ac:dyDescent="0.4">
      <c r="B186" s="612"/>
      <c r="C186" s="627"/>
      <c r="D186" s="617"/>
      <c r="E186" s="618"/>
      <c r="F186" s="627"/>
      <c r="G186" s="617"/>
      <c r="H186" s="618"/>
      <c r="I186" s="627"/>
      <c r="J186" s="617"/>
    </row>
    <row r="187" spans="2:10" x14ac:dyDescent="0.4">
      <c r="B187" s="631" t="s">
        <v>15</v>
      </c>
      <c r="C187" s="632">
        <v>2</v>
      </c>
      <c r="D187" s="629"/>
      <c r="E187" s="630"/>
      <c r="F187" s="632" t="s">
        <v>9</v>
      </c>
      <c r="G187" s="629"/>
      <c r="H187" s="630"/>
      <c r="I187" s="632">
        <v>2</v>
      </c>
      <c r="J187" s="629"/>
    </row>
    <row r="188" spans="2:10" x14ac:dyDescent="0.4">
      <c r="B188" s="631"/>
      <c r="C188" s="632"/>
      <c r="D188" s="629"/>
      <c r="E188" s="630"/>
      <c r="F188" s="632"/>
      <c r="G188" s="629"/>
      <c r="H188" s="630"/>
      <c r="I188" s="632"/>
      <c r="J188" s="629"/>
    </row>
    <row r="189" spans="2:10" x14ac:dyDescent="0.4">
      <c r="B189" s="612" t="s">
        <v>16</v>
      </c>
      <c r="C189" s="627">
        <v>4</v>
      </c>
      <c r="D189" s="617"/>
      <c r="E189" s="618"/>
      <c r="F189" s="627" t="s">
        <v>9</v>
      </c>
      <c r="G189" s="617"/>
      <c r="H189" s="618"/>
      <c r="I189" s="627">
        <v>4</v>
      </c>
      <c r="J189" s="617"/>
    </row>
    <row r="190" spans="2:10" x14ac:dyDescent="0.4">
      <c r="B190" s="612"/>
      <c r="C190" s="627"/>
      <c r="D190" s="617"/>
      <c r="E190" s="618"/>
      <c r="F190" s="627"/>
      <c r="G190" s="617"/>
      <c r="H190" s="618"/>
      <c r="I190" s="627"/>
      <c r="J190" s="617"/>
    </row>
    <row r="191" spans="2:10" x14ac:dyDescent="0.4">
      <c r="B191" s="631" t="s">
        <v>17</v>
      </c>
      <c r="C191" s="632">
        <v>1</v>
      </c>
      <c r="D191" s="629"/>
      <c r="E191" s="630"/>
      <c r="F191" s="632" t="s">
        <v>9</v>
      </c>
      <c r="G191" s="629"/>
      <c r="H191" s="630"/>
      <c r="I191" s="632">
        <v>1</v>
      </c>
      <c r="J191" s="629"/>
    </row>
    <row r="192" spans="2:10" x14ac:dyDescent="0.4">
      <c r="B192" s="631"/>
      <c r="C192" s="632"/>
      <c r="D192" s="629"/>
      <c r="E192" s="630"/>
      <c r="F192" s="632"/>
      <c r="G192" s="629"/>
      <c r="H192" s="630"/>
      <c r="I192" s="632"/>
      <c r="J192" s="629"/>
    </row>
    <row r="193" spans="2:10" x14ac:dyDescent="0.4">
      <c r="B193" s="612" t="s">
        <v>18</v>
      </c>
      <c r="C193" s="627">
        <v>3</v>
      </c>
      <c r="D193" s="617"/>
      <c r="E193" s="618"/>
      <c r="F193" s="627">
        <v>1</v>
      </c>
      <c r="G193" s="617"/>
      <c r="H193" s="618"/>
      <c r="I193" s="627">
        <v>4</v>
      </c>
      <c r="J193" s="617"/>
    </row>
    <row r="194" spans="2:10" x14ac:dyDescent="0.4">
      <c r="B194" s="612"/>
      <c r="C194" s="627"/>
      <c r="D194" s="617"/>
      <c r="E194" s="618"/>
      <c r="F194" s="627"/>
      <c r="G194" s="617"/>
      <c r="H194" s="618"/>
      <c r="I194" s="627"/>
      <c r="J194" s="617"/>
    </row>
    <row r="195" spans="2:10" x14ac:dyDescent="0.4">
      <c r="B195" s="631" t="s">
        <v>19</v>
      </c>
      <c r="C195" s="632">
        <v>5</v>
      </c>
      <c r="D195" s="629"/>
      <c r="E195" s="630"/>
      <c r="F195" s="632" t="s">
        <v>9</v>
      </c>
      <c r="G195" s="629"/>
      <c r="H195" s="630"/>
      <c r="I195" s="632">
        <v>5</v>
      </c>
      <c r="J195" s="629"/>
    </row>
    <row r="196" spans="2:10" x14ac:dyDescent="0.4">
      <c r="B196" s="631"/>
      <c r="C196" s="632"/>
      <c r="D196" s="629"/>
      <c r="E196" s="630"/>
      <c r="F196" s="632"/>
      <c r="G196" s="629"/>
      <c r="H196" s="630"/>
      <c r="I196" s="632"/>
      <c r="J196" s="629"/>
    </row>
    <row r="197" spans="2:10" x14ac:dyDescent="0.4">
      <c r="B197" s="612" t="s">
        <v>20</v>
      </c>
      <c r="C197" s="627">
        <v>2</v>
      </c>
      <c r="D197" s="617"/>
      <c r="E197" s="618"/>
      <c r="F197" s="627" t="s">
        <v>9</v>
      </c>
      <c r="G197" s="617"/>
      <c r="H197" s="618"/>
      <c r="I197" s="627">
        <v>2</v>
      </c>
      <c r="J197" s="617"/>
    </row>
    <row r="198" spans="2:10" x14ac:dyDescent="0.4">
      <c r="B198" s="612"/>
      <c r="C198" s="627"/>
      <c r="D198" s="617"/>
      <c r="E198" s="618"/>
      <c r="F198" s="627"/>
      <c r="G198" s="617"/>
      <c r="H198" s="618"/>
      <c r="I198" s="627"/>
      <c r="J198" s="617"/>
    </row>
    <row r="199" spans="2:10" x14ac:dyDescent="0.4">
      <c r="B199" s="631" t="s">
        <v>21</v>
      </c>
      <c r="C199" s="632">
        <v>1</v>
      </c>
      <c r="D199" s="629"/>
      <c r="E199" s="630"/>
      <c r="F199" s="632" t="s">
        <v>9</v>
      </c>
      <c r="G199" s="629"/>
      <c r="H199" s="630"/>
      <c r="I199" s="632">
        <v>1</v>
      </c>
      <c r="J199" s="629"/>
    </row>
    <row r="200" spans="2:10" x14ac:dyDescent="0.4">
      <c r="B200" s="631"/>
      <c r="C200" s="632"/>
      <c r="D200" s="629"/>
      <c r="E200" s="630"/>
      <c r="F200" s="632"/>
      <c r="G200" s="629"/>
      <c r="H200" s="630"/>
      <c r="I200" s="632"/>
      <c r="J200" s="629"/>
    </row>
    <row r="201" spans="2:10" x14ac:dyDescent="0.4">
      <c r="B201" s="612" t="s">
        <v>22</v>
      </c>
      <c r="C201" s="627">
        <v>1</v>
      </c>
      <c r="D201" s="617"/>
      <c r="E201" s="618"/>
      <c r="F201" s="627" t="s">
        <v>9</v>
      </c>
      <c r="G201" s="617"/>
      <c r="H201" s="618"/>
      <c r="I201" s="627">
        <v>1</v>
      </c>
      <c r="J201" s="617"/>
    </row>
    <row r="202" spans="2:10" x14ac:dyDescent="0.4">
      <c r="B202" s="612"/>
      <c r="C202" s="627"/>
      <c r="D202" s="617"/>
      <c r="E202" s="618"/>
      <c r="F202" s="627"/>
      <c r="G202" s="617"/>
      <c r="H202" s="618"/>
      <c r="I202" s="627"/>
      <c r="J202" s="617"/>
    </row>
    <row r="203" spans="2:10" x14ac:dyDescent="0.4">
      <c r="B203" s="631" t="s">
        <v>23</v>
      </c>
      <c r="C203" s="632">
        <v>4</v>
      </c>
      <c r="D203" s="629"/>
      <c r="E203" s="630"/>
      <c r="F203" s="632">
        <v>1</v>
      </c>
      <c r="G203" s="629"/>
      <c r="H203" s="630"/>
      <c r="I203" s="632">
        <v>5</v>
      </c>
      <c r="J203" s="629"/>
    </row>
    <row r="204" spans="2:10" x14ac:dyDescent="0.4">
      <c r="B204" s="631"/>
      <c r="C204" s="632"/>
      <c r="D204" s="629"/>
      <c r="E204" s="630"/>
      <c r="F204" s="632"/>
      <c r="G204" s="629"/>
      <c r="H204" s="630"/>
      <c r="I204" s="632"/>
      <c r="J204" s="629"/>
    </row>
    <row r="205" spans="2:10" x14ac:dyDescent="0.4">
      <c r="B205" s="612" t="s">
        <v>24</v>
      </c>
      <c r="C205" s="627">
        <v>4</v>
      </c>
      <c r="D205" s="617"/>
      <c r="E205" s="618"/>
      <c r="F205" s="627" t="s">
        <v>9</v>
      </c>
      <c r="G205" s="617"/>
      <c r="H205" s="618"/>
      <c r="I205" s="627">
        <v>4</v>
      </c>
      <c r="J205" s="617"/>
    </row>
    <row r="206" spans="2:10" x14ac:dyDescent="0.4">
      <c r="B206" s="612"/>
      <c r="C206" s="627"/>
      <c r="D206" s="617"/>
      <c r="E206" s="618"/>
      <c r="F206" s="627"/>
      <c r="G206" s="617"/>
      <c r="H206" s="618"/>
      <c r="I206" s="627"/>
      <c r="J206" s="617"/>
    </row>
    <row r="207" spans="2:10" x14ac:dyDescent="0.4">
      <c r="B207" s="631" t="s">
        <v>25</v>
      </c>
      <c r="C207" s="632">
        <v>23</v>
      </c>
      <c r="D207" s="629"/>
      <c r="E207" s="630"/>
      <c r="F207" s="632">
        <v>4</v>
      </c>
      <c r="G207" s="629"/>
      <c r="H207" s="630"/>
      <c r="I207" s="632">
        <v>27</v>
      </c>
      <c r="J207" s="629"/>
    </row>
    <row r="208" spans="2:10" x14ac:dyDescent="0.4">
      <c r="B208" s="631"/>
      <c r="C208" s="632"/>
      <c r="D208" s="629"/>
      <c r="E208" s="630"/>
      <c r="F208" s="632"/>
      <c r="G208" s="629"/>
      <c r="H208" s="630"/>
      <c r="I208" s="632"/>
      <c r="J208" s="629"/>
    </row>
    <row r="209" spans="2:10" x14ac:dyDescent="0.4">
      <c r="B209" s="612" t="s">
        <v>26</v>
      </c>
      <c r="C209" s="627">
        <v>4</v>
      </c>
      <c r="D209" s="617"/>
      <c r="E209" s="618"/>
      <c r="F209" s="627">
        <v>1</v>
      </c>
      <c r="G209" s="617"/>
      <c r="H209" s="618"/>
      <c r="I209" s="627">
        <v>5</v>
      </c>
      <c r="J209" s="617"/>
    </row>
    <row r="210" spans="2:10" x14ac:dyDescent="0.4">
      <c r="B210" s="612"/>
      <c r="C210" s="627"/>
      <c r="D210" s="617"/>
      <c r="E210" s="618"/>
      <c r="F210" s="627"/>
      <c r="G210" s="617"/>
      <c r="H210" s="618"/>
      <c r="I210" s="627"/>
      <c r="J210" s="617"/>
    </row>
    <row r="211" spans="2:10" x14ac:dyDescent="0.4">
      <c r="B211" s="631" t="s">
        <v>27</v>
      </c>
      <c r="C211" s="632">
        <v>7</v>
      </c>
      <c r="D211" s="629"/>
      <c r="E211" s="630"/>
      <c r="F211" s="632">
        <v>1</v>
      </c>
      <c r="G211" s="629"/>
      <c r="H211" s="630"/>
      <c r="I211" s="632">
        <v>8</v>
      </c>
      <c r="J211" s="629"/>
    </row>
    <row r="212" spans="2:10" x14ac:dyDescent="0.4">
      <c r="B212" s="631"/>
      <c r="C212" s="632"/>
      <c r="D212" s="629"/>
      <c r="E212" s="630"/>
      <c r="F212" s="632"/>
      <c r="G212" s="629"/>
      <c r="H212" s="630"/>
      <c r="I212" s="632"/>
      <c r="J212" s="629"/>
    </row>
    <row r="213" spans="2:10" x14ac:dyDescent="0.4">
      <c r="B213" s="612" t="s">
        <v>28</v>
      </c>
      <c r="C213" s="627">
        <v>2</v>
      </c>
      <c r="D213" s="617"/>
      <c r="E213" s="618"/>
      <c r="F213" s="627" t="s">
        <v>9</v>
      </c>
      <c r="G213" s="617"/>
      <c r="H213" s="618"/>
      <c r="I213" s="627">
        <v>2</v>
      </c>
      <c r="J213" s="617"/>
    </row>
    <row r="214" spans="2:10" x14ac:dyDescent="0.4">
      <c r="B214" s="612"/>
      <c r="C214" s="627"/>
      <c r="D214" s="617"/>
      <c r="E214" s="618"/>
      <c r="F214" s="627"/>
      <c r="G214" s="617"/>
      <c r="H214" s="618"/>
      <c r="I214" s="627"/>
      <c r="J214" s="617"/>
    </row>
    <row r="215" spans="2:10" x14ac:dyDescent="0.4">
      <c r="B215" s="631" t="s">
        <v>29</v>
      </c>
      <c r="C215" s="632">
        <v>1</v>
      </c>
      <c r="D215" s="629"/>
      <c r="E215" s="630"/>
      <c r="F215" s="632" t="s">
        <v>9</v>
      </c>
      <c r="G215" s="629"/>
      <c r="H215" s="630"/>
      <c r="I215" s="632">
        <v>1</v>
      </c>
      <c r="J215" s="629"/>
    </row>
    <row r="216" spans="2:10" ht="13.8" thickBot="1" x14ac:dyDescent="0.45">
      <c r="B216" s="647"/>
      <c r="C216" s="648"/>
      <c r="D216" s="649"/>
      <c r="E216" s="650"/>
      <c r="F216" s="648"/>
      <c r="G216" s="649"/>
      <c r="H216" s="650"/>
      <c r="I216" s="648"/>
      <c r="J216" s="649"/>
    </row>
    <row r="217" spans="2:10" x14ac:dyDescent="0.4">
      <c r="B217" s="651" t="s">
        <v>30</v>
      </c>
      <c r="C217" s="653">
        <v>90</v>
      </c>
      <c r="D217" s="655"/>
      <c r="E217" s="656"/>
      <c r="F217" s="653">
        <v>10</v>
      </c>
      <c r="G217" s="655"/>
      <c r="H217" s="656"/>
      <c r="I217" s="653">
        <v>100</v>
      </c>
      <c r="J217" s="655"/>
    </row>
    <row r="218" spans="2:10" ht="13.8" thickBot="1" x14ac:dyDescent="0.45">
      <c r="B218" s="652"/>
      <c r="C218" s="654"/>
      <c r="D218" s="641"/>
      <c r="E218" s="642"/>
      <c r="F218" s="654"/>
      <c r="G218" s="641"/>
      <c r="H218" s="642"/>
      <c r="I218" s="654"/>
      <c r="J218" s="641"/>
    </row>
    <row r="219" spans="2:10" x14ac:dyDescent="0.4">
      <c r="B219" s="644" t="s">
        <v>31</v>
      </c>
      <c r="C219" s="645" t="s">
        <v>9</v>
      </c>
      <c r="D219" s="646"/>
      <c r="E219" s="624"/>
      <c r="F219" s="645">
        <v>2</v>
      </c>
      <c r="G219" s="646"/>
      <c r="H219" s="624"/>
      <c r="I219" s="645">
        <v>2</v>
      </c>
      <c r="J219" s="646"/>
    </row>
    <row r="220" spans="2:10" x14ac:dyDescent="0.4">
      <c r="B220" s="631"/>
      <c r="C220" s="632"/>
      <c r="D220" s="629"/>
      <c r="E220" s="630"/>
      <c r="F220" s="632"/>
      <c r="G220" s="629"/>
      <c r="H220" s="630"/>
      <c r="I220" s="632"/>
      <c r="J220" s="629"/>
    </row>
    <row r="221" spans="2:10" x14ac:dyDescent="0.4">
      <c r="B221" s="612" t="s">
        <v>32</v>
      </c>
      <c r="C221" s="627" t="s">
        <v>9</v>
      </c>
      <c r="D221" s="617"/>
      <c r="E221" s="618"/>
      <c r="F221" s="627">
        <v>6</v>
      </c>
      <c r="G221" s="617"/>
      <c r="H221" s="618"/>
      <c r="I221" s="627">
        <v>6</v>
      </c>
      <c r="J221" s="617"/>
    </row>
    <row r="222" spans="2:10" x14ac:dyDescent="0.4">
      <c r="B222" s="612"/>
      <c r="C222" s="627"/>
      <c r="D222" s="617"/>
      <c r="E222" s="618"/>
      <c r="F222" s="627"/>
      <c r="G222" s="617"/>
      <c r="H222" s="618"/>
      <c r="I222" s="627"/>
      <c r="J222" s="617"/>
    </row>
    <row r="223" spans="2:10" x14ac:dyDescent="0.4">
      <c r="B223" s="631" t="s">
        <v>33</v>
      </c>
      <c r="C223" s="632" t="s">
        <v>9</v>
      </c>
      <c r="D223" s="629"/>
      <c r="E223" s="630"/>
      <c r="F223" s="632">
        <v>5</v>
      </c>
      <c r="G223" s="629"/>
      <c r="H223" s="630"/>
      <c r="I223" s="632">
        <v>5</v>
      </c>
      <c r="J223" s="629"/>
    </row>
    <row r="224" spans="2:10" x14ac:dyDescent="0.4">
      <c r="B224" s="631"/>
      <c r="C224" s="632"/>
      <c r="D224" s="629"/>
      <c r="E224" s="630"/>
      <c r="F224" s="632"/>
      <c r="G224" s="629"/>
      <c r="H224" s="630"/>
      <c r="I224" s="632"/>
      <c r="J224" s="629"/>
    </row>
    <row r="225" spans="2:10" x14ac:dyDescent="0.4">
      <c r="B225" s="612" t="s">
        <v>34</v>
      </c>
      <c r="C225" s="627" t="s">
        <v>9</v>
      </c>
      <c r="D225" s="617"/>
      <c r="E225" s="618"/>
      <c r="F225" s="627">
        <v>8</v>
      </c>
      <c r="G225" s="617"/>
      <c r="H225" s="618"/>
      <c r="I225" s="627">
        <v>8</v>
      </c>
      <c r="J225" s="617"/>
    </row>
    <row r="226" spans="2:10" x14ac:dyDescent="0.4">
      <c r="B226" s="612"/>
      <c r="C226" s="627"/>
      <c r="D226" s="617"/>
      <c r="E226" s="618"/>
      <c r="F226" s="627"/>
      <c r="G226" s="617"/>
      <c r="H226" s="618"/>
      <c r="I226" s="627"/>
      <c r="J226" s="617"/>
    </row>
    <row r="227" spans="2:10" x14ac:dyDescent="0.4">
      <c r="B227" s="631" t="s">
        <v>35</v>
      </c>
      <c r="C227" s="632" t="s">
        <v>9</v>
      </c>
      <c r="D227" s="629"/>
      <c r="E227" s="630"/>
      <c r="F227" s="632">
        <v>1</v>
      </c>
      <c r="G227" s="629"/>
      <c r="H227" s="630"/>
      <c r="I227" s="632">
        <v>1</v>
      </c>
      <c r="J227" s="629"/>
    </row>
    <row r="228" spans="2:10" x14ac:dyDescent="0.4">
      <c r="B228" s="631"/>
      <c r="C228" s="632"/>
      <c r="D228" s="629"/>
      <c r="E228" s="630"/>
      <c r="F228" s="632"/>
      <c r="G228" s="629"/>
      <c r="H228" s="630"/>
      <c r="I228" s="632"/>
      <c r="J228" s="629"/>
    </row>
    <row r="229" spans="2:10" x14ac:dyDescent="0.4">
      <c r="B229" s="612" t="s">
        <v>36</v>
      </c>
      <c r="C229" s="627" t="s">
        <v>9</v>
      </c>
      <c r="D229" s="617"/>
      <c r="E229" s="618"/>
      <c r="F229" s="627">
        <v>4</v>
      </c>
      <c r="G229" s="617"/>
      <c r="H229" s="618"/>
      <c r="I229" s="627">
        <v>4</v>
      </c>
      <c r="J229" s="617"/>
    </row>
    <row r="230" spans="2:10" x14ac:dyDescent="0.4">
      <c r="B230" s="612"/>
      <c r="C230" s="627"/>
      <c r="D230" s="617"/>
      <c r="E230" s="618"/>
      <c r="F230" s="627"/>
      <c r="G230" s="617"/>
      <c r="H230" s="618"/>
      <c r="I230" s="627"/>
      <c r="J230" s="617"/>
    </row>
    <row r="231" spans="2:10" x14ac:dyDescent="0.4">
      <c r="B231" s="631" t="s">
        <v>37</v>
      </c>
      <c r="C231" s="632" t="s">
        <v>9</v>
      </c>
      <c r="D231" s="629"/>
      <c r="E231" s="630"/>
      <c r="F231" s="632">
        <v>3</v>
      </c>
      <c r="G231" s="629"/>
      <c r="H231" s="630"/>
      <c r="I231" s="632">
        <v>3</v>
      </c>
      <c r="J231" s="629"/>
    </row>
    <row r="232" spans="2:10" x14ac:dyDescent="0.4">
      <c r="B232" s="631"/>
      <c r="C232" s="632"/>
      <c r="D232" s="629"/>
      <c r="E232" s="630"/>
      <c r="F232" s="632"/>
      <c r="G232" s="629"/>
      <c r="H232" s="630"/>
      <c r="I232" s="632"/>
      <c r="J232" s="629"/>
    </row>
    <row r="233" spans="2:10" x14ac:dyDescent="0.4">
      <c r="B233" s="612" t="s">
        <v>38</v>
      </c>
      <c r="C233" s="627" t="s">
        <v>9</v>
      </c>
      <c r="D233" s="617"/>
      <c r="E233" s="618"/>
      <c r="F233" s="627">
        <v>7</v>
      </c>
      <c r="G233" s="617"/>
      <c r="H233" s="618"/>
      <c r="I233" s="627">
        <v>7</v>
      </c>
      <c r="J233" s="617"/>
    </row>
    <row r="234" spans="2:10" x14ac:dyDescent="0.4">
      <c r="B234" s="612"/>
      <c r="C234" s="627"/>
      <c r="D234" s="617"/>
      <c r="E234" s="618"/>
      <c r="F234" s="627"/>
      <c r="G234" s="617"/>
      <c r="H234" s="618"/>
      <c r="I234" s="627"/>
      <c r="J234" s="617"/>
    </row>
    <row r="235" spans="2:10" x14ac:dyDescent="0.4">
      <c r="B235" s="631" t="s">
        <v>39</v>
      </c>
      <c r="C235" s="632" t="s">
        <v>9</v>
      </c>
      <c r="D235" s="629"/>
      <c r="E235" s="630"/>
      <c r="F235" s="632">
        <v>3</v>
      </c>
      <c r="G235" s="629"/>
      <c r="H235" s="630"/>
      <c r="I235" s="632">
        <v>3</v>
      </c>
      <c r="J235" s="629"/>
    </row>
    <row r="236" spans="2:10" x14ac:dyDescent="0.4">
      <c r="B236" s="631"/>
      <c r="C236" s="632"/>
      <c r="D236" s="629"/>
      <c r="E236" s="630"/>
      <c r="F236" s="632"/>
      <c r="G236" s="629"/>
      <c r="H236" s="630"/>
      <c r="I236" s="632"/>
      <c r="J236" s="629"/>
    </row>
    <row r="237" spans="2:10" x14ac:dyDescent="0.4">
      <c r="B237" s="612" t="s">
        <v>40</v>
      </c>
      <c r="C237" s="627" t="s">
        <v>9</v>
      </c>
      <c r="D237" s="617"/>
      <c r="E237" s="618"/>
      <c r="F237" s="627">
        <v>12</v>
      </c>
      <c r="G237" s="617"/>
      <c r="H237" s="618"/>
      <c r="I237" s="627">
        <v>12</v>
      </c>
      <c r="J237" s="617"/>
    </row>
    <row r="238" spans="2:10" x14ac:dyDescent="0.4">
      <c r="B238" s="612"/>
      <c r="C238" s="627"/>
      <c r="D238" s="617"/>
      <c r="E238" s="618"/>
      <c r="F238" s="627"/>
      <c r="G238" s="617"/>
      <c r="H238" s="618"/>
      <c r="I238" s="627"/>
      <c r="J238" s="617"/>
    </row>
    <row r="239" spans="2:10" x14ac:dyDescent="0.4">
      <c r="B239" s="631" t="s">
        <v>41</v>
      </c>
      <c r="C239" s="632" t="s">
        <v>9</v>
      </c>
      <c r="D239" s="629"/>
      <c r="E239" s="630"/>
      <c r="F239" s="632">
        <v>8</v>
      </c>
      <c r="G239" s="629"/>
      <c r="H239" s="630"/>
      <c r="I239" s="632">
        <v>8</v>
      </c>
      <c r="J239" s="629"/>
    </row>
    <row r="240" spans="2:10" ht="13.8" thickBot="1" x14ac:dyDescent="0.45">
      <c r="B240" s="647"/>
      <c r="C240" s="648"/>
      <c r="D240" s="649"/>
      <c r="E240" s="650"/>
      <c r="F240" s="648"/>
      <c r="G240" s="649"/>
      <c r="H240" s="650"/>
      <c r="I240" s="648"/>
      <c r="J240" s="649"/>
    </row>
    <row r="241" spans="1:23" x14ac:dyDescent="0.4">
      <c r="B241" s="651" t="s">
        <v>42</v>
      </c>
      <c r="C241" s="653" t="s">
        <v>9</v>
      </c>
      <c r="D241" s="655"/>
      <c r="E241" s="656"/>
      <c r="F241" s="653">
        <v>59</v>
      </c>
      <c r="G241" s="655"/>
      <c r="H241" s="656"/>
      <c r="I241" s="653">
        <v>59</v>
      </c>
      <c r="J241" s="655"/>
    </row>
    <row r="242" spans="1:23" ht="13.8" thickBot="1" x14ac:dyDescent="0.45">
      <c r="B242" s="652"/>
      <c r="C242" s="654"/>
      <c r="D242" s="641"/>
      <c r="E242" s="642"/>
      <c r="F242" s="654"/>
      <c r="G242" s="641"/>
      <c r="H242" s="642"/>
      <c r="I242" s="654"/>
      <c r="J242" s="641"/>
    </row>
    <row r="243" spans="1:23" x14ac:dyDescent="0.4">
      <c r="B243" s="623" t="s">
        <v>43</v>
      </c>
      <c r="C243" s="645">
        <v>90</v>
      </c>
      <c r="D243" s="646"/>
      <c r="E243" s="624"/>
      <c r="F243" s="645">
        <v>69</v>
      </c>
      <c r="G243" s="646"/>
      <c r="H243" s="624"/>
      <c r="I243" s="645">
        <v>15</v>
      </c>
      <c r="J243" s="645"/>
    </row>
    <row r="244" spans="1:23" ht="13.8" thickBot="1" x14ac:dyDescent="0.45">
      <c r="B244" s="657"/>
      <c r="C244" s="648"/>
      <c r="D244" s="649"/>
      <c r="E244" s="650"/>
      <c r="F244" s="648"/>
      <c r="G244" s="649"/>
      <c r="H244" s="650"/>
      <c r="I244" s="648"/>
      <c r="J244" s="648"/>
    </row>
    <row r="250" spans="1:23" s="228" customFormat="1" ht="15.6" x14ac:dyDescent="0.4">
      <c r="A250" s="228" t="s">
        <v>973</v>
      </c>
      <c r="B250" s="228" t="s">
        <v>975</v>
      </c>
    </row>
    <row r="251" spans="1:23" s="400" customFormat="1" ht="15.6" x14ac:dyDescent="0.4"/>
    <row r="252" spans="1:23" x14ac:dyDescent="0.4">
      <c r="B252" s="625" t="s">
        <v>44</v>
      </c>
      <c r="C252" s="625"/>
      <c r="D252" s="625"/>
      <c r="E252" s="621">
        <v>2017</v>
      </c>
      <c r="F252" s="621"/>
      <c r="G252" s="614"/>
      <c r="H252" s="619"/>
      <c r="I252" s="621">
        <v>2016</v>
      </c>
      <c r="J252" s="621"/>
      <c r="K252" s="614"/>
      <c r="L252" s="619"/>
      <c r="M252" s="621">
        <v>2015</v>
      </c>
      <c r="N252" s="621"/>
      <c r="O252" s="614"/>
      <c r="P252" s="619"/>
      <c r="Q252" s="621" t="s">
        <v>985</v>
      </c>
      <c r="R252" s="621"/>
      <c r="S252" s="614"/>
      <c r="T252" s="619"/>
      <c r="U252" s="621">
        <v>2013</v>
      </c>
      <c r="V252" s="621"/>
      <c r="W252" s="614"/>
    </row>
    <row r="253" spans="1:23" ht="13.8" thickBot="1" x14ac:dyDescent="0.45">
      <c r="B253" s="626"/>
      <c r="C253" s="626"/>
      <c r="D253" s="626"/>
      <c r="E253" s="622"/>
      <c r="F253" s="622"/>
      <c r="G253" s="615"/>
      <c r="H253" s="620"/>
      <c r="I253" s="622"/>
      <c r="J253" s="622"/>
      <c r="K253" s="615"/>
      <c r="L253" s="620"/>
      <c r="M253" s="622"/>
      <c r="N253" s="622"/>
      <c r="O253" s="615"/>
      <c r="P253" s="620"/>
      <c r="Q253" s="622"/>
      <c r="R253" s="622"/>
      <c r="S253" s="615"/>
      <c r="T253" s="620"/>
      <c r="U253" s="622"/>
      <c r="V253" s="622"/>
      <c r="W253" s="615"/>
    </row>
    <row r="254" spans="1:23" x14ac:dyDescent="0.4">
      <c r="B254" s="623" t="s">
        <v>45</v>
      </c>
      <c r="C254" s="623"/>
      <c r="D254" s="623"/>
      <c r="E254" s="624"/>
      <c r="F254" s="624"/>
      <c r="G254" s="624"/>
      <c r="H254" s="195"/>
      <c r="I254" s="624"/>
      <c r="J254" s="624"/>
      <c r="K254" s="624"/>
      <c r="L254" s="195"/>
      <c r="M254" s="624"/>
      <c r="N254" s="624"/>
      <c r="O254" s="624"/>
      <c r="P254" s="195"/>
      <c r="Q254" s="624"/>
      <c r="R254" s="624"/>
      <c r="S254" s="624"/>
      <c r="T254" s="195"/>
      <c r="U254" s="624"/>
      <c r="V254" s="624"/>
      <c r="W254" s="624"/>
    </row>
    <row r="255" spans="1:23" x14ac:dyDescent="0.4">
      <c r="B255" s="612" t="s">
        <v>46</v>
      </c>
      <c r="C255" s="612"/>
      <c r="D255" s="612"/>
      <c r="E255" s="612" t="s">
        <v>47</v>
      </c>
      <c r="F255" s="616">
        <v>346388</v>
      </c>
      <c r="G255" s="617"/>
      <c r="H255" s="618"/>
      <c r="I255" s="612" t="s">
        <v>47</v>
      </c>
      <c r="J255" s="616">
        <v>259350</v>
      </c>
      <c r="K255" s="617"/>
      <c r="L255" s="618"/>
      <c r="M255" s="612" t="s">
        <v>47</v>
      </c>
      <c r="N255" s="616">
        <v>183219</v>
      </c>
      <c r="O255" s="617"/>
      <c r="P255" s="618"/>
      <c r="Q255" s="612" t="s">
        <v>47</v>
      </c>
      <c r="R255" s="616">
        <v>112042</v>
      </c>
      <c r="S255" s="617"/>
      <c r="T255" s="618"/>
      <c r="U255" s="612" t="s">
        <v>47</v>
      </c>
      <c r="V255" s="616">
        <v>78587</v>
      </c>
      <c r="W255" s="617"/>
    </row>
    <row r="256" spans="1:23" x14ac:dyDescent="0.4">
      <c r="B256" s="612"/>
      <c r="C256" s="612"/>
      <c r="D256" s="612"/>
      <c r="E256" s="612"/>
      <c r="F256" s="616"/>
      <c r="G256" s="617"/>
      <c r="H256" s="618"/>
      <c r="I256" s="612"/>
      <c r="J256" s="616"/>
      <c r="K256" s="617"/>
      <c r="L256" s="618"/>
      <c r="M256" s="612"/>
      <c r="N256" s="616"/>
      <c r="O256" s="617"/>
      <c r="P256" s="618"/>
      <c r="Q256" s="612"/>
      <c r="R256" s="616"/>
      <c r="S256" s="617"/>
      <c r="T256" s="618"/>
      <c r="U256" s="612"/>
      <c r="V256" s="616"/>
      <c r="W256" s="617"/>
    </row>
    <row r="257" spans="2:23" x14ac:dyDescent="0.4">
      <c r="B257" s="631" t="s">
        <v>48</v>
      </c>
      <c r="C257" s="631"/>
      <c r="D257" s="631"/>
      <c r="E257" s="628">
        <v>12422</v>
      </c>
      <c r="F257" s="628"/>
      <c r="G257" s="629"/>
      <c r="H257" s="630"/>
      <c r="I257" s="628">
        <v>9125</v>
      </c>
      <c r="J257" s="628"/>
      <c r="K257" s="629"/>
      <c r="L257" s="630"/>
      <c r="M257" s="628">
        <v>7373</v>
      </c>
      <c r="N257" s="628"/>
      <c r="O257" s="629"/>
      <c r="P257" s="630"/>
      <c r="Q257" s="628">
        <v>6488</v>
      </c>
      <c r="R257" s="628"/>
      <c r="S257" s="629"/>
      <c r="T257" s="630"/>
      <c r="U257" s="628">
        <v>3869</v>
      </c>
      <c r="V257" s="628"/>
      <c r="W257" s="629"/>
    </row>
    <row r="258" spans="2:23" x14ac:dyDescent="0.4">
      <c r="B258" s="631"/>
      <c r="C258" s="631"/>
      <c r="D258" s="631"/>
      <c r="E258" s="628"/>
      <c r="F258" s="628"/>
      <c r="G258" s="629"/>
      <c r="H258" s="630"/>
      <c r="I258" s="628"/>
      <c r="J258" s="628"/>
      <c r="K258" s="629"/>
      <c r="L258" s="630"/>
      <c r="M258" s="628"/>
      <c r="N258" s="628"/>
      <c r="O258" s="629"/>
      <c r="P258" s="630"/>
      <c r="Q258" s="628"/>
      <c r="R258" s="628"/>
      <c r="S258" s="629"/>
      <c r="T258" s="630"/>
      <c r="U258" s="628"/>
      <c r="V258" s="628"/>
      <c r="W258" s="629"/>
    </row>
    <row r="259" spans="2:23" x14ac:dyDescent="0.4">
      <c r="B259" s="612" t="s">
        <v>49</v>
      </c>
      <c r="C259" s="612"/>
      <c r="D259" s="612"/>
      <c r="E259" s="616">
        <v>254079</v>
      </c>
      <c r="F259" s="616"/>
      <c r="G259" s="617"/>
      <c r="H259" s="618"/>
      <c r="I259" s="616">
        <v>186058</v>
      </c>
      <c r="J259" s="616"/>
      <c r="K259" s="617"/>
      <c r="L259" s="618"/>
      <c r="M259" s="616">
        <v>130345</v>
      </c>
      <c r="N259" s="616"/>
      <c r="O259" s="617"/>
      <c r="P259" s="618"/>
      <c r="Q259" s="616">
        <v>85181</v>
      </c>
      <c r="R259" s="616"/>
      <c r="S259" s="617"/>
      <c r="T259" s="618"/>
      <c r="U259" s="616">
        <v>58168</v>
      </c>
      <c r="V259" s="616"/>
      <c r="W259" s="617"/>
    </row>
    <row r="260" spans="2:23" x14ac:dyDescent="0.4">
      <c r="B260" s="612"/>
      <c r="C260" s="612"/>
      <c r="D260" s="612"/>
      <c r="E260" s="616"/>
      <c r="F260" s="616"/>
      <c r="G260" s="617"/>
      <c r="H260" s="618"/>
      <c r="I260" s="616"/>
      <c r="J260" s="616"/>
      <c r="K260" s="617"/>
      <c r="L260" s="618"/>
      <c r="M260" s="616"/>
      <c r="N260" s="616"/>
      <c r="O260" s="617"/>
      <c r="P260" s="618"/>
      <c r="Q260" s="616"/>
      <c r="R260" s="616"/>
      <c r="S260" s="617"/>
      <c r="T260" s="618"/>
      <c r="U260" s="616"/>
      <c r="V260" s="616"/>
      <c r="W260" s="617"/>
    </row>
    <row r="261" spans="2:23" x14ac:dyDescent="0.4">
      <c r="B261" s="631" t="s">
        <v>50</v>
      </c>
      <c r="C261" s="631"/>
      <c r="D261" s="631"/>
      <c r="E261" s="628">
        <v>39003</v>
      </c>
      <c r="F261" s="628"/>
      <c r="G261" s="629"/>
      <c r="H261" s="630"/>
      <c r="I261" s="628">
        <v>30556</v>
      </c>
      <c r="J261" s="628"/>
      <c r="K261" s="629"/>
      <c r="L261" s="630"/>
      <c r="M261" s="628">
        <v>37825</v>
      </c>
      <c r="N261" s="628"/>
      <c r="O261" s="629"/>
      <c r="P261" s="630"/>
      <c r="Q261" s="628">
        <v>18187</v>
      </c>
      <c r="R261" s="628"/>
      <c r="S261" s="629"/>
      <c r="T261" s="630"/>
      <c r="U261" s="628">
        <v>12453</v>
      </c>
      <c r="V261" s="628"/>
      <c r="W261" s="629"/>
    </row>
    <row r="262" spans="2:23" x14ac:dyDescent="0.4">
      <c r="B262" s="631"/>
      <c r="C262" s="631"/>
      <c r="D262" s="631"/>
      <c r="E262" s="628"/>
      <c r="F262" s="628"/>
      <c r="G262" s="629"/>
      <c r="H262" s="630"/>
      <c r="I262" s="628"/>
      <c r="J262" s="628"/>
      <c r="K262" s="629"/>
      <c r="L262" s="630"/>
      <c r="M262" s="628"/>
      <c r="N262" s="628"/>
      <c r="O262" s="629"/>
      <c r="P262" s="630"/>
      <c r="Q262" s="628"/>
      <c r="R262" s="628"/>
      <c r="S262" s="629"/>
      <c r="T262" s="630"/>
      <c r="U262" s="628"/>
      <c r="V262" s="628"/>
      <c r="W262" s="629"/>
    </row>
    <row r="263" spans="2:23" x14ac:dyDescent="0.4">
      <c r="B263" s="612" t="s">
        <v>51</v>
      </c>
      <c r="C263" s="612"/>
      <c r="D263" s="612"/>
      <c r="E263" s="616">
        <v>9603</v>
      </c>
      <c r="F263" s="616"/>
      <c r="G263" s="617"/>
      <c r="H263" s="618"/>
      <c r="I263" s="616">
        <v>9520</v>
      </c>
      <c r="J263" s="616"/>
      <c r="K263" s="617"/>
      <c r="L263" s="618"/>
      <c r="M263" s="616">
        <v>5430</v>
      </c>
      <c r="N263" s="616"/>
      <c r="O263" s="617"/>
      <c r="P263" s="618"/>
      <c r="Q263" s="616">
        <v>6105</v>
      </c>
      <c r="R263" s="616"/>
      <c r="S263" s="617"/>
      <c r="T263" s="618"/>
      <c r="U263" s="616">
        <v>2334</v>
      </c>
      <c r="V263" s="616"/>
      <c r="W263" s="617"/>
    </row>
    <row r="264" spans="2:23" x14ac:dyDescent="0.4">
      <c r="B264" s="612"/>
      <c r="C264" s="612"/>
      <c r="D264" s="612"/>
      <c r="E264" s="616"/>
      <c r="F264" s="616"/>
      <c r="G264" s="617"/>
      <c r="H264" s="618"/>
      <c r="I264" s="616"/>
      <c r="J264" s="616"/>
      <c r="K264" s="617"/>
      <c r="L264" s="618"/>
      <c r="M264" s="616"/>
      <c r="N264" s="616"/>
      <c r="O264" s="617"/>
      <c r="P264" s="618"/>
      <c r="Q264" s="616"/>
      <c r="R264" s="616"/>
      <c r="S264" s="617"/>
      <c r="T264" s="618"/>
      <c r="U264" s="616"/>
      <c r="V264" s="616"/>
      <c r="W264" s="617"/>
    </row>
    <row r="265" spans="2:23" x14ac:dyDescent="0.4">
      <c r="B265" s="631" t="s">
        <v>52</v>
      </c>
      <c r="C265" s="631"/>
      <c r="D265" s="631"/>
      <c r="E265" s="628">
        <v>33813</v>
      </c>
      <c r="F265" s="628"/>
      <c r="G265" s="629"/>
      <c r="H265" s="630"/>
      <c r="I265" s="628">
        <v>27805</v>
      </c>
      <c r="J265" s="628"/>
      <c r="K265" s="629"/>
      <c r="L265" s="630"/>
      <c r="M265" s="628">
        <v>6753</v>
      </c>
      <c r="N265" s="628"/>
      <c r="O265" s="629"/>
      <c r="P265" s="630"/>
      <c r="Q265" s="628">
        <v>3143</v>
      </c>
      <c r="R265" s="628"/>
      <c r="S265" s="629"/>
      <c r="T265" s="630"/>
      <c r="U265" s="628">
        <v>5935</v>
      </c>
      <c r="V265" s="628"/>
      <c r="W265" s="629"/>
    </row>
    <row r="266" spans="2:23" x14ac:dyDescent="0.4">
      <c r="B266" s="631"/>
      <c r="C266" s="631"/>
      <c r="D266" s="631"/>
      <c r="E266" s="628"/>
      <c r="F266" s="628"/>
      <c r="G266" s="629"/>
      <c r="H266" s="630"/>
      <c r="I266" s="628"/>
      <c r="J266" s="628"/>
      <c r="K266" s="629"/>
      <c r="L266" s="630"/>
      <c r="M266" s="628"/>
      <c r="N266" s="628"/>
      <c r="O266" s="629"/>
      <c r="P266" s="630"/>
      <c r="Q266" s="628"/>
      <c r="R266" s="628"/>
      <c r="S266" s="629"/>
      <c r="T266" s="630"/>
      <c r="U266" s="628"/>
      <c r="V266" s="628"/>
      <c r="W266" s="629"/>
    </row>
    <row r="267" spans="2:23" x14ac:dyDescent="0.4">
      <c r="B267" s="612" t="s">
        <v>53</v>
      </c>
      <c r="C267" s="612"/>
      <c r="D267" s="612"/>
      <c r="E267" s="616">
        <v>8884</v>
      </c>
      <c r="F267" s="616"/>
      <c r="G267" s="617"/>
      <c r="H267" s="618"/>
      <c r="I267" s="616">
        <v>22146</v>
      </c>
      <c r="J267" s="616"/>
      <c r="K267" s="617"/>
      <c r="L267" s="618"/>
      <c r="M267" s="616">
        <v>3124</v>
      </c>
      <c r="N267" s="616"/>
      <c r="O267" s="617"/>
      <c r="P267" s="618"/>
      <c r="Q267" s="616">
        <v>2118</v>
      </c>
      <c r="R267" s="616"/>
      <c r="S267" s="617"/>
      <c r="T267" s="618"/>
      <c r="U267" s="616">
        <v>5423</v>
      </c>
      <c r="V267" s="616"/>
      <c r="W267" s="617"/>
    </row>
    <row r="268" spans="2:23" x14ac:dyDescent="0.4">
      <c r="B268" s="612"/>
      <c r="C268" s="612"/>
      <c r="D268" s="612"/>
      <c r="E268" s="616"/>
      <c r="F268" s="616"/>
      <c r="G268" s="617"/>
      <c r="H268" s="618"/>
      <c r="I268" s="616"/>
      <c r="J268" s="616"/>
      <c r="K268" s="617"/>
      <c r="L268" s="618"/>
      <c r="M268" s="616"/>
      <c r="N268" s="616"/>
      <c r="O268" s="617"/>
      <c r="P268" s="618"/>
      <c r="Q268" s="616"/>
      <c r="R268" s="616"/>
      <c r="S268" s="617"/>
      <c r="T268" s="618"/>
      <c r="U268" s="616"/>
      <c r="V268" s="616"/>
      <c r="W268" s="617"/>
    </row>
    <row r="269" spans="2:23" x14ac:dyDescent="0.4">
      <c r="B269" s="631" t="s">
        <v>54</v>
      </c>
      <c r="C269" s="631"/>
      <c r="D269" s="631"/>
      <c r="E269" s="632" t="s">
        <v>55</v>
      </c>
      <c r="F269" s="632"/>
      <c r="G269" s="631" t="s">
        <v>56</v>
      </c>
      <c r="H269" s="630"/>
      <c r="I269" s="628">
        <v>12446</v>
      </c>
      <c r="J269" s="628"/>
      <c r="K269" s="629"/>
      <c r="L269" s="630"/>
      <c r="M269" s="632" t="s">
        <v>57</v>
      </c>
      <c r="N269" s="632"/>
      <c r="O269" s="631" t="s">
        <v>56</v>
      </c>
      <c r="P269" s="630"/>
      <c r="Q269" s="628">
        <v>2118</v>
      </c>
      <c r="R269" s="628"/>
      <c r="S269" s="629"/>
      <c r="T269" s="630"/>
      <c r="U269" s="628">
        <v>5423</v>
      </c>
      <c r="V269" s="628"/>
      <c r="W269" s="629"/>
    </row>
    <row r="270" spans="2:23" x14ac:dyDescent="0.4">
      <c r="B270" s="631"/>
      <c r="C270" s="631"/>
      <c r="D270" s="631"/>
      <c r="E270" s="632"/>
      <c r="F270" s="632"/>
      <c r="G270" s="631"/>
      <c r="H270" s="630"/>
      <c r="I270" s="628"/>
      <c r="J270" s="628"/>
      <c r="K270" s="629"/>
      <c r="L270" s="630"/>
      <c r="M270" s="632"/>
      <c r="N270" s="632"/>
      <c r="O270" s="631"/>
      <c r="P270" s="630"/>
      <c r="Q270" s="628"/>
      <c r="R270" s="628"/>
      <c r="S270" s="629"/>
      <c r="T270" s="630"/>
      <c r="U270" s="628"/>
      <c r="V270" s="628"/>
      <c r="W270" s="629"/>
    </row>
    <row r="271" spans="2:23" x14ac:dyDescent="0.4">
      <c r="B271" s="618"/>
      <c r="C271" s="618"/>
      <c r="D271" s="618"/>
      <c r="E271" s="618"/>
      <c r="F271" s="618"/>
      <c r="G271" s="618"/>
      <c r="H271" s="193"/>
      <c r="I271" s="618"/>
      <c r="J271" s="618"/>
      <c r="K271" s="618"/>
      <c r="L271" s="193"/>
      <c r="M271" s="618"/>
      <c r="N271" s="618"/>
      <c r="O271" s="618"/>
      <c r="P271" s="193"/>
      <c r="Q271" s="618"/>
      <c r="R271" s="618"/>
      <c r="S271" s="618"/>
      <c r="T271" s="193"/>
      <c r="U271" s="618"/>
      <c r="V271" s="618"/>
      <c r="W271" s="618"/>
    </row>
    <row r="272" spans="2:23" x14ac:dyDescent="0.4">
      <c r="B272" s="633" t="s">
        <v>58</v>
      </c>
      <c r="C272" s="633"/>
      <c r="D272" s="633"/>
      <c r="E272" s="630"/>
      <c r="F272" s="630"/>
      <c r="G272" s="630"/>
      <c r="H272" s="195"/>
      <c r="I272" s="630"/>
      <c r="J272" s="630"/>
      <c r="K272" s="630"/>
      <c r="L272" s="195"/>
      <c r="M272" s="630"/>
      <c r="N272" s="630"/>
      <c r="O272" s="630"/>
      <c r="P272" s="195"/>
      <c r="Q272" s="630"/>
      <c r="R272" s="630"/>
      <c r="S272" s="630"/>
      <c r="T272" s="195"/>
      <c r="U272" s="630"/>
      <c r="V272" s="630"/>
      <c r="W272" s="630"/>
    </row>
    <row r="273" spans="2:23" x14ac:dyDescent="0.4">
      <c r="B273" s="612" t="s">
        <v>59</v>
      </c>
      <c r="C273" s="612"/>
      <c r="D273" s="612"/>
      <c r="E273" s="612" t="s">
        <v>47</v>
      </c>
      <c r="F273" s="627" t="s">
        <v>60</v>
      </c>
      <c r="G273" s="612" t="s">
        <v>56</v>
      </c>
      <c r="H273" s="618"/>
      <c r="I273" s="612" t="s">
        <v>47</v>
      </c>
      <c r="J273" s="627">
        <v>0.54</v>
      </c>
      <c r="K273" s="617"/>
      <c r="L273" s="618"/>
      <c r="M273" s="612" t="s">
        <v>47</v>
      </c>
      <c r="N273" s="627" t="s">
        <v>61</v>
      </c>
      <c r="O273" s="612" t="s">
        <v>56</v>
      </c>
      <c r="P273" s="618"/>
      <c r="Q273" s="612" t="s">
        <v>47</v>
      </c>
      <c r="R273" s="627">
        <v>7.0000000000000007E-2</v>
      </c>
      <c r="S273" s="617"/>
      <c r="T273" s="618"/>
      <c r="U273" s="612" t="s">
        <v>47</v>
      </c>
      <c r="V273" s="627">
        <v>0.18</v>
      </c>
      <c r="W273" s="617"/>
    </row>
    <row r="274" spans="2:23" x14ac:dyDescent="0.4">
      <c r="B274" s="612"/>
      <c r="C274" s="612"/>
      <c r="D274" s="612"/>
      <c r="E274" s="612"/>
      <c r="F274" s="627"/>
      <c r="G274" s="612"/>
      <c r="H274" s="618"/>
      <c r="I274" s="612"/>
      <c r="J274" s="627"/>
      <c r="K274" s="617"/>
      <c r="L274" s="618"/>
      <c r="M274" s="612"/>
      <c r="N274" s="627"/>
      <c r="O274" s="612"/>
      <c r="P274" s="618"/>
      <c r="Q274" s="612"/>
      <c r="R274" s="627"/>
      <c r="S274" s="617"/>
      <c r="T274" s="618"/>
      <c r="U274" s="612"/>
      <c r="V274" s="627"/>
      <c r="W274" s="617"/>
    </row>
    <row r="275" spans="2:23" x14ac:dyDescent="0.4">
      <c r="B275" s="631" t="s">
        <v>62</v>
      </c>
      <c r="C275" s="631"/>
      <c r="D275" s="631"/>
      <c r="E275" s="631" t="s">
        <v>47</v>
      </c>
      <c r="F275" s="632" t="s">
        <v>60</v>
      </c>
      <c r="G275" s="631" t="s">
        <v>56</v>
      </c>
      <c r="H275" s="630"/>
      <c r="I275" s="631" t="s">
        <v>47</v>
      </c>
      <c r="J275" s="632">
        <v>0.53</v>
      </c>
      <c r="K275" s="629"/>
      <c r="L275" s="630"/>
      <c r="M275" s="631" t="s">
        <v>47</v>
      </c>
      <c r="N275" s="632" t="s">
        <v>61</v>
      </c>
      <c r="O275" s="631" t="s">
        <v>56</v>
      </c>
      <c r="P275" s="630"/>
      <c r="Q275" s="631" t="s">
        <v>47</v>
      </c>
      <c r="R275" s="632">
        <v>7.0000000000000007E-2</v>
      </c>
      <c r="S275" s="629"/>
      <c r="T275" s="630"/>
      <c r="U275" s="631" t="s">
        <v>47</v>
      </c>
      <c r="V275" s="632">
        <v>0.18</v>
      </c>
      <c r="W275" s="629"/>
    </row>
    <row r="276" spans="2:23" x14ac:dyDescent="0.4">
      <c r="B276" s="631"/>
      <c r="C276" s="631"/>
      <c r="D276" s="631"/>
      <c r="E276" s="631"/>
      <c r="F276" s="632"/>
      <c r="G276" s="631"/>
      <c r="H276" s="630"/>
      <c r="I276" s="631"/>
      <c r="J276" s="632"/>
      <c r="K276" s="629"/>
      <c r="L276" s="630"/>
      <c r="M276" s="631"/>
      <c r="N276" s="632"/>
      <c r="O276" s="631"/>
      <c r="P276" s="630"/>
      <c r="Q276" s="631"/>
      <c r="R276" s="632"/>
      <c r="S276" s="629"/>
      <c r="T276" s="630"/>
      <c r="U276" s="631"/>
      <c r="V276" s="632"/>
      <c r="W276" s="629"/>
    </row>
    <row r="277" spans="2:23" x14ac:dyDescent="0.4">
      <c r="B277" s="618"/>
      <c r="C277" s="618"/>
      <c r="D277" s="618"/>
      <c r="E277" s="618"/>
      <c r="F277" s="618"/>
      <c r="G277" s="618"/>
      <c r="H277" s="193"/>
      <c r="I277" s="618"/>
      <c r="J277" s="618"/>
      <c r="K277" s="618"/>
      <c r="L277" s="193"/>
      <c r="M277" s="618"/>
      <c r="N277" s="618"/>
      <c r="O277" s="618"/>
      <c r="P277" s="193"/>
      <c r="Q277" s="618"/>
      <c r="R277" s="618"/>
      <c r="S277" s="618"/>
      <c r="T277" s="193"/>
      <c r="U277" s="618"/>
      <c r="V277" s="618"/>
      <c r="W277" s="618"/>
    </row>
    <row r="278" spans="2:23" x14ac:dyDescent="0.4">
      <c r="B278" s="633" t="s">
        <v>63</v>
      </c>
      <c r="C278" s="633"/>
      <c r="D278" s="633"/>
      <c r="E278" s="630"/>
      <c r="F278" s="630"/>
      <c r="G278" s="630"/>
      <c r="H278" s="195"/>
      <c r="I278" s="630"/>
      <c r="J278" s="630"/>
      <c r="K278" s="630"/>
      <c r="L278" s="195"/>
      <c r="M278" s="630"/>
      <c r="N278" s="630"/>
      <c r="O278" s="630"/>
      <c r="P278" s="195"/>
      <c r="Q278" s="630"/>
      <c r="R278" s="630"/>
      <c r="S278" s="630"/>
      <c r="T278" s="195"/>
      <c r="U278" s="630"/>
      <c r="V278" s="630"/>
      <c r="W278" s="630"/>
    </row>
    <row r="279" spans="2:23" x14ac:dyDescent="0.4">
      <c r="B279" s="612" t="s">
        <v>64</v>
      </c>
      <c r="C279" s="612"/>
      <c r="D279" s="612"/>
      <c r="E279" s="637" t="s">
        <v>47</v>
      </c>
      <c r="F279" s="634">
        <v>21507</v>
      </c>
      <c r="G279" s="617"/>
      <c r="H279" s="618"/>
      <c r="I279" s="637" t="s">
        <v>47</v>
      </c>
      <c r="J279" s="634">
        <v>11607</v>
      </c>
      <c r="K279" s="617"/>
      <c r="L279" s="618"/>
      <c r="M279" s="637" t="s">
        <v>47</v>
      </c>
      <c r="N279" s="634">
        <v>70849</v>
      </c>
      <c r="O279" s="617"/>
      <c r="P279" s="618"/>
      <c r="Q279" s="637" t="s">
        <v>47</v>
      </c>
      <c r="R279" s="634">
        <v>2677</v>
      </c>
      <c r="S279" s="617"/>
      <c r="T279" s="618"/>
      <c r="U279" s="637" t="s">
        <v>47</v>
      </c>
      <c r="V279" s="634">
        <v>13076</v>
      </c>
      <c r="W279" s="617"/>
    </row>
    <row r="280" spans="2:23" x14ac:dyDescent="0.4">
      <c r="B280" s="612"/>
      <c r="C280" s="612"/>
      <c r="D280" s="612"/>
      <c r="E280" s="637"/>
      <c r="F280" s="634"/>
      <c r="G280" s="617"/>
      <c r="H280" s="618"/>
      <c r="I280" s="637"/>
      <c r="J280" s="634"/>
      <c r="K280" s="617"/>
      <c r="L280" s="618"/>
      <c r="M280" s="637"/>
      <c r="N280" s="634"/>
      <c r="O280" s="617"/>
      <c r="P280" s="618"/>
      <c r="Q280" s="637"/>
      <c r="R280" s="634"/>
      <c r="S280" s="617"/>
      <c r="T280" s="618"/>
      <c r="U280" s="637"/>
      <c r="V280" s="634"/>
      <c r="W280" s="617"/>
    </row>
    <row r="281" spans="2:23" x14ac:dyDescent="0.4">
      <c r="B281" s="631" t="s">
        <v>65</v>
      </c>
      <c r="C281" s="631"/>
      <c r="D281" s="631"/>
      <c r="E281" s="635">
        <v>63036</v>
      </c>
      <c r="F281" s="635"/>
      <c r="G281" s="629"/>
      <c r="H281" s="630"/>
      <c r="I281" s="635">
        <v>62040</v>
      </c>
      <c r="J281" s="635"/>
      <c r="K281" s="629"/>
      <c r="L281" s="630"/>
      <c r="M281" s="636">
        <v>275</v>
      </c>
      <c r="N281" s="636"/>
      <c r="O281" s="629"/>
      <c r="P281" s="630"/>
      <c r="Q281" s="636" t="s">
        <v>9</v>
      </c>
      <c r="R281" s="636"/>
      <c r="S281" s="629"/>
      <c r="T281" s="630"/>
      <c r="U281" s="636" t="s">
        <v>9</v>
      </c>
      <c r="V281" s="636"/>
      <c r="W281" s="629"/>
    </row>
    <row r="282" spans="2:23" x14ac:dyDescent="0.4">
      <c r="B282" s="631"/>
      <c r="C282" s="631"/>
      <c r="D282" s="631"/>
      <c r="E282" s="635"/>
      <c r="F282" s="635"/>
      <c r="G282" s="629"/>
      <c r="H282" s="630"/>
      <c r="I282" s="635"/>
      <c r="J282" s="635"/>
      <c r="K282" s="629"/>
      <c r="L282" s="630"/>
      <c r="M282" s="636"/>
      <c r="N282" s="636"/>
      <c r="O282" s="629"/>
      <c r="P282" s="630"/>
      <c r="Q282" s="636"/>
      <c r="R282" s="636"/>
      <c r="S282" s="629"/>
      <c r="T282" s="630"/>
      <c r="U282" s="636"/>
      <c r="V282" s="636"/>
      <c r="W282" s="629"/>
    </row>
    <row r="283" spans="2:23" x14ac:dyDescent="0.4">
      <c r="B283" s="612" t="s">
        <v>66</v>
      </c>
      <c r="C283" s="612"/>
      <c r="D283" s="612"/>
      <c r="E283" s="634">
        <v>93199</v>
      </c>
      <c r="F283" s="634"/>
      <c r="G283" s="617"/>
      <c r="H283" s="618"/>
      <c r="I283" s="634">
        <v>83944</v>
      </c>
      <c r="J283" s="634"/>
      <c r="K283" s="617"/>
      <c r="L283" s="618"/>
      <c r="M283" s="634">
        <v>78934</v>
      </c>
      <c r="N283" s="634"/>
      <c r="O283" s="617"/>
      <c r="P283" s="618"/>
      <c r="Q283" s="634">
        <v>7925</v>
      </c>
      <c r="R283" s="634"/>
      <c r="S283" s="617"/>
      <c r="T283" s="618"/>
      <c r="U283" s="634">
        <v>15207</v>
      </c>
      <c r="V283" s="634"/>
      <c r="W283" s="617"/>
    </row>
    <row r="284" spans="2:23" x14ac:dyDescent="0.4">
      <c r="B284" s="612"/>
      <c r="C284" s="612"/>
      <c r="D284" s="612"/>
      <c r="E284" s="634"/>
      <c r="F284" s="634"/>
      <c r="G284" s="617"/>
      <c r="H284" s="618"/>
      <c r="I284" s="634"/>
      <c r="J284" s="634"/>
      <c r="K284" s="617"/>
      <c r="L284" s="618"/>
      <c r="M284" s="634"/>
      <c r="N284" s="634"/>
      <c r="O284" s="617"/>
      <c r="P284" s="618"/>
      <c r="Q284" s="634"/>
      <c r="R284" s="634"/>
      <c r="S284" s="617"/>
      <c r="T284" s="618"/>
      <c r="U284" s="634"/>
      <c r="V284" s="634"/>
      <c r="W284" s="617"/>
    </row>
    <row r="285" spans="2:23" x14ac:dyDescent="0.4">
      <c r="B285" s="631" t="s">
        <v>67</v>
      </c>
      <c r="C285" s="631"/>
      <c r="D285" s="631"/>
      <c r="E285" s="635">
        <v>470606</v>
      </c>
      <c r="F285" s="635"/>
      <c r="G285" s="629"/>
      <c r="H285" s="630"/>
      <c r="I285" s="635">
        <v>538194</v>
      </c>
      <c r="J285" s="635"/>
      <c r="K285" s="629"/>
      <c r="L285" s="630"/>
      <c r="M285" s="635">
        <v>379547</v>
      </c>
      <c r="N285" s="635"/>
      <c r="O285" s="629"/>
      <c r="P285" s="630"/>
      <c r="Q285" s="635">
        <v>82962</v>
      </c>
      <c r="R285" s="635"/>
      <c r="S285" s="629"/>
      <c r="T285" s="630"/>
      <c r="U285" s="635">
        <v>55219</v>
      </c>
      <c r="V285" s="635"/>
      <c r="W285" s="629"/>
    </row>
    <row r="286" spans="2:23" x14ac:dyDescent="0.4">
      <c r="B286" s="631"/>
      <c r="C286" s="631"/>
      <c r="D286" s="631"/>
      <c r="E286" s="635"/>
      <c r="F286" s="635"/>
      <c r="G286" s="629"/>
      <c r="H286" s="630"/>
      <c r="I286" s="635"/>
      <c r="J286" s="635"/>
      <c r="K286" s="629"/>
      <c r="L286" s="630"/>
      <c r="M286" s="635"/>
      <c r="N286" s="635"/>
      <c r="O286" s="629"/>
      <c r="P286" s="630"/>
      <c r="Q286" s="635"/>
      <c r="R286" s="635"/>
      <c r="S286" s="629"/>
      <c r="T286" s="630"/>
      <c r="U286" s="635"/>
      <c r="V286" s="635"/>
      <c r="W286" s="629"/>
    </row>
    <row r="287" spans="2:23" x14ac:dyDescent="0.4">
      <c r="B287" s="612" t="s">
        <v>68</v>
      </c>
      <c r="C287" s="612"/>
      <c r="D287" s="612"/>
      <c r="E287" s="634">
        <v>34024</v>
      </c>
      <c r="F287" s="634"/>
      <c r="G287" s="617"/>
      <c r="H287" s="618"/>
      <c r="I287" s="634">
        <v>31716</v>
      </c>
      <c r="J287" s="634"/>
      <c r="K287" s="617"/>
      <c r="L287" s="618"/>
      <c r="M287" s="634">
        <v>24005</v>
      </c>
      <c r="N287" s="634"/>
      <c r="O287" s="617"/>
      <c r="P287" s="618"/>
      <c r="Q287" s="634">
        <v>48177</v>
      </c>
      <c r="R287" s="634"/>
      <c r="S287" s="617"/>
      <c r="T287" s="618"/>
      <c r="U287" s="634">
        <v>7205</v>
      </c>
      <c r="V287" s="634"/>
      <c r="W287" s="617"/>
    </row>
    <row r="288" spans="2:23" x14ac:dyDescent="0.4">
      <c r="B288" s="612"/>
      <c r="C288" s="612"/>
      <c r="D288" s="612"/>
      <c r="E288" s="634"/>
      <c r="F288" s="634"/>
      <c r="G288" s="617"/>
      <c r="H288" s="618"/>
      <c r="I288" s="634"/>
      <c r="J288" s="634"/>
      <c r="K288" s="617"/>
      <c r="L288" s="618"/>
      <c r="M288" s="634"/>
      <c r="N288" s="634"/>
      <c r="O288" s="617"/>
      <c r="P288" s="618"/>
      <c r="Q288" s="634"/>
      <c r="R288" s="634"/>
      <c r="S288" s="617"/>
      <c r="T288" s="618"/>
      <c r="U288" s="634"/>
      <c r="V288" s="634"/>
      <c r="W288" s="617"/>
    </row>
    <row r="289" spans="1:23" x14ac:dyDescent="0.4">
      <c r="B289" s="631" t="s">
        <v>69</v>
      </c>
      <c r="C289" s="631"/>
      <c r="D289" s="631"/>
      <c r="E289" s="635">
        <v>14518</v>
      </c>
      <c r="F289" s="635"/>
      <c r="G289" s="629"/>
      <c r="H289" s="630"/>
      <c r="I289" s="635">
        <v>2007</v>
      </c>
      <c r="J289" s="635"/>
      <c r="K289" s="629"/>
      <c r="L289" s="630"/>
      <c r="M289" s="636">
        <v>313</v>
      </c>
      <c r="N289" s="636"/>
      <c r="O289" s="629"/>
      <c r="P289" s="630"/>
      <c r="Q289" s="635">
        <v>32313</v>
      </c>
      <c r="R289" s="635"/>
      <c r="S289" s="629"/>
      <c r="T289" s="630"/>
      <c r="U289" s="636">
        <v>313</v>
      </c>
      <c r="V289" s="636"/>
      <c r="W289" s="629"/>
    </row>
    <row r="290" spans="1:23" x14ac:dyDescent="0.4">
      <c r="B290" s="631"/>
      <c r="C290" s="631"/>
      <c r="D290" s="631"/>
      <c r="E290" s="635"/>
      <c r="F290" s="635"/>
      <c r="G290" s="629"/>
      <c r="H290" s="630"/>
      <c r="I290" s="635"/>
      <c r="J290" s="635"/>
      <c r="K290" s="629"/>
      <c r="L290" s="630"/>
      <c r="M290" s="636"/>
      <c r="N290" s="636"/>
      <c r="O290" s="629"/>
      <c r="P290" s="630"/>
      <c r="Q290" s="635"/>
      <c r="R290" s="635"/>
      <c r="S290" s="629"/>
      <c r="T290" s="630"/>
      <c r="U290" s="636"/>
      <c r="V290" s="636"/>
      <c r="W290" s="629"/>
    </row>
    <row r="291" spans="1:23" x14ac:dyDescent="0.4">
      <c r="B291" s="612" t="s">
        <v>70</v>
      </c>
      <c r="C291" s="612"/>
      <c r="D291" s="612"/>
      <c r="E291" s="634">
        <v>246127</v>
      </c>
      <c r="F291" s="634"/>
      <c r="G291" s="617"/>
      <c r="H291" s="618"/>
      <c r="I291" s="634">
        <v>336841</v>
      </c>
      <c r="J291" s="634"/>
      <c r="K291" s="617"/>
      <c r="L291" s="618"/>
      <c r="M291" s="634">
        <v>222528</v>
      </c>
      <c r="N291" s="634"/>
      <c r="O291" s="617"/>
      <c r="P291" s="618"/>
      <c r="Q291" s="634">
        <v>70362</v>
      </c>
      <c r="R291" s="634"/>
      <c r="S291" s="617"/>
      <c r="T291" s="618"/>
      <c r="U291" s="634">
        <v>17832</v>
      </c>
      <c r="V291" s="634"/>
      <c r="W291" s="617"/>
    </row>
    <row r="292" spans="1:23" x14ac:dyDescent="0.4">
      <c r="B292" s="612"/>
      <c r="C292" s="612"/>
      <c r="D292" s="612"/>
      <c r="E292" s="634"/>
      <c r="F292" s="634"/>
      <c r="G292" s="617"/>
      <c r="H292" s="618"/>
      <c r="I292" s="634"/>
      <c r="J292" s="634"/>
      <c r="K292" s="617"/>
      <c r="L292" s="618"/>
      <c r="M292" s="634"/>
      <c r="N292" s="634"/>
      <c r="O292" s="617"/>
      <c r="P292" s="618"/>
      <c r="Q292" s="634"/>
      <c r="R292" s="634"/>
      <c r="S292" s="617"/>
      <c r="T292" s="618"/>
      <c r="U292" s="634"/>
      <c r="V292" s="634"/>
      <c r="W292" s="617"/>
    </row>
    <row r="293" spans="1:23" x14ac:dyDescent="0.4">
      <c r="B293" s="631" t="s">
        <v>71</v>
      </c>
      <c r="C293" s="631"/>
      <c r="D293" s="631"/>
      <c r="E293" s="635">
        <v>224479</v>
      </c>
      <c r="F293" s="635"/>
      <c r="G293" s="629"/>
      <c r="H293" s="630"/>
      <c r="I293" s="635">
        <v>201353</v>
      </c>
      <c r="J293" s="635"/>
      <c r="K293" s="629"/>
      <c r="L293" s="630"/>
      <c r="M293" s="635">
        <v>157019</v>
      </c>
      <c r="N293" s="635"/>
      <c r="O293" s="629"/>
      <c r="P293" s="630"/>
      <c r="Q293" s="635">
        <v>12600</v>
      </c>
      <c r="R293" s="635"/>
      <c r="S293" s="629"/>
      <c r="T293" s="630"/>
      <c r="U293" s="635">
        <v>37387</v>
      </c>
      <c r="V293" s="635"/>
      <c r="W293" s="629"/>
    </row>
    <row r="294" spans="1:23" x14ac:dyDescent="0.4">
      <c r="B294" s="631"/>
      <c r="C294" s="631"/>
      <c r="D294" s="631"/>
      <c r="E294" s="635"/>
      <c r="F294" s="635"/>
      <c r="G294" s="629"/>
      <c r="H294" s="630"/>
      <c r="I294" s="635"/>
      <c r="J294" s="635"/>
      <c r="K294" s="629"/>
      <c r="L294" s="630"/>
      <c r="M294" s="635"/>
      <c r="N294" s="635"/>
      <c r="O294" s="629"/>
      <c r="P294" s="630"/>
      <c r="Q294" s="635"/>
      <c r="R294" s="635"/>
      <c r="S294" s="629"/>
      <c r="T294" s="630"/>
      <c r="U294" s="635"/>
      <c r="V294" s="635"/>
      <c r="W294" s="629"/>
    </row>
    <row r="295" spans="1:23" x14ac:dyDescent="0.4">
      <c r="B295" s="618"/>
      <c r="C295" s="618"/>
      <c r="D295" s="618"/>
      <c r="E295" s="618"/>
      <c r="F295" s="618"/>
      <c r="G295" s="618"/>
      <c r="H295" s="193"/>
      <c r="I295" s="618"/>
      <c r="J295" s="618"/>
      <c r="K295" s="618"/>
      <c r="L295" s="193"/>
      <c r="M295" s="618"/>
      <c r="N295" s="618"/>
      <c r="O295" s="618"/>
      <c r="P295" s="193"/>
      <c r="Q295" s="618"/>
      <c r="R295" s="618"/>
      <c r="S295" s="618"/>
      <c r="T295" s="193"/>
      <c r="U295" s="618"/>
      <c r="V295" s="618"/>
      <c r="W295" s="618"/>
    </row>
    <row r="296" spans="1:23" x14ac:dyDescent="0.4">
      <c r="B296" s="633" t="s">
        <v>72</v>
      </c>
      <c r="C296" s="633"/>
      <c r="D296" s="633"/>
      <c r="E296" s="630"/>
      <c r="F296" s="630"/>
      <c r="G296" s="630"/>
      <c r="H296" s="195"/>
      <c r="I296" s="630"/>
      <c r="J296" s="630"/>
      <c r="K296" s="630"/>
      <c r="L296" s="195"/>
      <c r="M296" s="630"/>
      <c r="N296" s="630"/>
      <c r="O296" s="630"/>
      <c r="P296" s="195"/>
      <c r="Q296" s="630"/>
      <c r="R296" s="630"/>
      <c r="S296" s="630"/>
      <c r="T296" s="195"/>
      <c r="U296" s="630"/>
      <c r="V296" s="630"/>
      <c r="W296" s="630"/>
    </row>
    <row r="297" spans="1:23" x14ac:dyDescent="0.4">
      <c r="B297" s="612" t="s">
        <v>73</v>
      </c>
      <c r="C297" s="612"/>
      <c r="D297" s="612"/>
      <c r="E297" s="637" t="s">
        <v>47</v>
      </c>
      <c r="F297" s="634">
        <v>70878</v>
      </c>
      <c r="G297" s="617"/>
      <c r="H297" s="618"/>
      <c r="I297" s="637" t="s">
        <v>47</v>
      </c>
      <c r="J297" s="634">
        <v>54285</v>
      </c>
      <c r="K297" s="617"/>
      <c r="L297" s="618"/>
      <c r="M297" s="637" t="s">
        <v>47</v>
      </c>
      <c r="N297" s="634">
        <v>41258</v>
      </c>
      <c r="O297" s="617"/>
      <c r="P297" s="618"/>
      <c r="Q297" s="637" t="s">
        <v>47</v>
      </c>
      <c r="R297" s="634">
        <v>13584</v>
      </c>
      <c r="S297" s="617"/>
      <c r="T297" s="618"/>
      <c r="U297" s="637" t="s">
        <v>47</v>
      </c>
      <c r="V297" s="634">
        <v>12924</v>
      </c>
      <c r="W297" s="617"/>
    </row>
    <row r="298" spans="1:23" x14ac:dyDescent="0.4">
      <c r="B298" s="612"/>
      <c r="C298" s="612"/>
      <c r="D298" s="612"/>
      <c r="E298" s="637"/>
      <c r="F298" s="634"/>
      <c r="G298" s="617"/>
      <c r="H298" s="618"/>
      <c r="I298" s="637"/>
      <c r="J298" s="634"/>
      <c r="K298" s="617"/>
      <c r="L298" s="618"/>
      <c r="M298" s="637"/>
      <c r="N298" s="634"/>
      <c r="O298" s="617"/>
      <c r="P298" s="618"/>
      <c r="Q298" s="637"/>
      <c r="R298" s="634"/>
      <c r="S298" s="617"/>
      <c r="T298" s="618"/>
      <c r="U298" s="637"/>
      <c r="V298" s="634"/>
      <c r="W298" s="617"/>
    </row>
    <row r="299" spans="1:23" x14ac:dyDescent="0.4">
      <c r="B299" s="631" t="s">
        <v>74</v>
      </c>
      <c r="C299" s="631"/>
      <c r="D299" s="631"/>
      <c r="E299" s="636" t="s">
        <v>75</v>
      </c>
      <c r="F299" s="636"/>
      <c r="G299" s="224" t="s">
        <v>56</v>
      </c>
      <c r="H299" s="195"/>
      <c r="I299" s="636" t="s">
        <v>76</v>
      </c>
      <c r="J299" s="636"/>
      <c r="K299" s="224" t="s">
        <v>56</v>
      </c>
      <c r="L299" s="195"/>
      <c r="M299" s="636" t="s">
        <v>77</v>
      </c>
      <c r="N299" s="636"/>
      <c r="O299" s="224" t="s">
        <v>56</v>
      </c>
      <c r="P299" s="195"/>
      <c r="Q299" s="636" t="s">
        <v>78</v>
      </c>
      <c r="R299" s="636"/>
      <c r="S299" s="224" t="s">
        <v>56</v>
      </c>
      <c r="T299" s="195"/>
      <c r="U299" s="636" t="s">
        <v>79</v>
      </c>
      <c r="V299" s="636"/>
      <c r="W299" s="224" t="s">
        <v>56</v>
      </c>
    </row>
    <row r="300" spans="1:23" x14ac:dyDescent="0.4">
      <c r="B300" s="612" t="s">
        <v>80</v>
      </c>
      <c r="C300" s="612"/>
      <c r="D300" s="612"/>
      <c r="E300" s="639">
        <v>965</v>
      </c>
      <c r="F300" s="639"/>
      <c r="G300" s="617"/>
      <c r="H300" s="618"/>
      <c r="I300" s="634">
        <v>1234</v>
      </c>
      <c r="J300" s="634"/>
      <c r="K300" s="617"/>
      <c r="L300" s="618"/>
      <c r="M300" s="634">
        <v>61428</v>
      </c>
      <c r="N300" s="634"/>
      <c r="O300" s="617"/>
      <c r="P300" s="618"/>
      <c r="Q300" s="634">
        <v>4532</v>
      </c>
      <c r="R300" s="634"/>
      <c r="S300" s="617"/>
      <c r="T300" s="618"/>
      <c r="U300" s="639">
        <v>313</v>
      </c>
      <c r="V300" s="639"/>
      <c r="W300" s="617"/>
    </row>
    <row r="301" spans="1:23" ht="13.8" thickBot="1" x14ac:dyDescent="0.45">
      <c r="B301" s="638"/>
      <c r="C301" s="638"/>
      <c r="D301" s="638"/>
      <c r="E301" s="640"/>
      <c r="F301" s="640"/>
      <c r="G301" s="641"/>
      <c r="H301" s="642"/>
      <c r="I301" s="643"/>
      <c r="J301" s="643"/>
      <c r="K301" s="641"/>
      <c r="L301" s="642"/>
      <c r="M301" s="643"/>
      <c r="N301" s="643"/>
      <c r="O301" s="641"/>
      <c r="P301" s="642"/>
      <c r="Q301" s="643"/>
      <c r="R301" s="643"/>
      <c r="S301" s="641"/>
      <c r="T301" s="642"/>
      <c r="U301" s="640"/>
      <c r="V301" s="640"/>
      <c r="W301" s="641"/>
    </row>
    <row r="303" spans="1:23" x14ac:dyDescent="0.4">
      <c r="A303" s="1" t="s">
        <v>973</v>
      </c>
    </row>
  </sheetData>
  <mergeCells count="1254">
    <mergeCell ref="J172:J174"/>
    <mergeCell ref="J243:J244"/>
    <mergeCell ref="G82:H83"/>
    <mergeCell ref="I82:I83"/>
    <mergeCell ref="B84:B85"/>
    <mergeCell ref="C84:C85"/>
    <mergeCell ref="D84:D85"/>
    <mergeCell ref="E84:E85"/>
    <mergeCell ref="F84:F85"/>
    <mergeCell ref="G84:H85"/>
    <mergeCell ref="I84:I85"/>
    <mergeCell ref="B82:B83"/>
    <mergeCell ref="C82:C83"/>
    <mergeCell ref="D82:D83"/>
    <mergeCell ref="E82:E83"/>
    <mergeCell ref="F82:F83"/>
    <mergeCell ref="H90:H91"/>
    <mergeCell ref="I90:I91"/>
    <mergeCell ref="B90:C91"/>
    <mergeCell ref="E90:E91"/>
    <mergeCell ref="F90:F91"/>
    <mergeCell ref="G90:G91"/>
    <mergeCell ref="G86:H87"/>
    <mergeCell ref="I86:I87"/>
    <mergeCell ref="B88:B89"/>
    <mergeCell ref="C88:C89"/>
    <mergeCell ref="D88:D89"/>
    <mergeCell ref="E88:E89"/>
    <mergeCell ref="F88:F89"/>
    <mergeCell ref="G88:H89"/>
    <mergeCell ref="I88:I89"/>
    <mergeCell ref="B86:B87"/>
    <mergeCell ref="C86:C87"/>
    <mergeCell ref="D86:D87"/>
    <mergeCell ref="G74:H75"/>
    <mergeCell ref="I74:I75"/>
    <mergeCell ref="B76:B77"/>
    <mergeCell ref="C76:C77"/>
    <mergeCell ref="D76:D77"/>
    <mergeCell ref="E76:E77"/>
    <mergeCell ref="F76:F77"/>
    <mergeCell ref="G76:H77"/>
    <mergeCell ref="I76:I77"/>
    <mergeCell ref="B74:B75"/>
    <mergeCell ref="C74:C75"/>
    <mergeCell ref="D74:D75"/>
    <mergeCell ref="E74:E75"/>
    <mergeCell ref="F74:F75"/>
    <mergeCell ref="H78:H79"/>
    <mergeCell ref="I78:I79"/>
    <mergeCell ref="B80:B81"/>
    <mergeCell ref="C80:C81"/>
    <mergeCell ref="D80:D81"/>
    <mergeCell ref="E80:E81"/>
    <mergeCell ref="F80:F81"/>
    <mergeCell ref="G80:H81"/>
    <mergeCell ref="I80:I81"/>
    <mergeCell ref="B78:C79"/>
    <mergeCell ref="D78:D79"/>
    <mergeCell ref="E78:E79"/>
    <mergeCell ref="F78:F79"/>
    <mergeCell ref="G78:G79"/>
    <mergeCell ref="E86:E87"/>
    <mergeCell ref="F86:F87"/>
    <mergeCell ref="G68:H69"/>
    <mergeCell ref="I68:I69"/>
    <mergeCell ref="B66:C67"/>
    <mergeCell ref="D66:D67"/>
    <mergeCell ref="E66:E67"/>
    <mergeCell ref="F66:F67"/>
    <mergeCell ref="G66:G67"/>
    <mergeCell ref="G70:H71"/>
    <mergeCell ref="I70:I71"/>
    <mergeCell ref="B72:B73"/>
    <mergeCell ref="C72:C73"/>
    <mergeCell ref="D72:D73"/>
    <mergeCell ref="E72:E73"/>
    <mergeCell ref="F72:F73"/>
    <mergeCell ref="G72:H73"/>
    <mergeCell ref="I72:I73"/>
    <mergeCell ref="B70:B71"/>
    <mergeCell ref="C70:C71"/>
    <mergeCell ref="D70:D71"/>
    <mergeCell ref="E70:E71"/>
    <mergeCell ref="F70:F71"/>
    <mergeCell ref="N143:N144"/>
    <mergeCell ref="O143:O144"/>
    <mergeCell ref="P143:P144"/>
    <mergeCell ref="D39:D40"/>
    <mergeCell ref="B41:B42"/>
    <mergeCell ref="C41:C42"/>
    <mergeCell ref="D41:D42"/>
    <mergeCell ref="B43:B44"/>
    <mergeCell ref="C43:C44"/>
    <mergeCell ref="D43:D44"/>
    <mergeCell ref="B45:B46"/>
    <mergeCell ref="C45:C46"/>
    <mergeCell ref="D45:D46"/>
    <mergeCell ref="B47:B48"/>
    <mergeCell ref="C47:C48"/>
    <mergeCell ref="D47:D48"/>
    <mergeCell ref="B63:B65"/>
    <mergeCell ref="C63:C65"/>
    <mergeCell ref="E63:E65"/>
    <mergeCell ref="F63:F65"/>
    <mergeCell ref="G63:H63"/>
    <mergeCell ref="G64:H64"/>
    <mergeCell ref="G65:H65"/>
    <mergeCell ref="I63:I65"/>
    <mergeCell ref="H66:H67"/>
    <mergeCell ref="I66:I67"/>
    <mergeCell ref="B68:B69"/>
    <mergeCell ref="C68:C69"/>
    <mergeCell ref="D68:D69"/>
    <mergeCell ref="E68:E69"/>
    <mergeCell ref="F68:F69"/>
    <mergeCell ref="O133:O134"/>
    <mergeCell ref="T141:T142"/>
    <mergeCell ref="U141:V142"/>
    <mergeCell ref="W141:W142"/>
    <mergeCell ref="B143:D144"/>
    <mergeCell ref="E143:E144"/>
    <mergeCell ref="F143:F144"/>
    <mergeCell ref="G143:G144"/>
    <mergeCell ref="H143:H144"/>
    <mergeCell ref="I143:I144"/>
    <mergeCell ref="J143:J144"/>
    <mergeCell ref="L141:L142"/>
    <mergeCell ref="M141:N142"/>
    <mergeCell ref="O141:O142"/>
    <mergeCell ref="P141:P142"/>
    <mergeCell ref="Q141:R142"/>
    <mergeCell ref="S141:S142"/>
    <mergeCell ref="B141:D142"/>
    <mergeCell ref="E141:F142"/>
    <mergeCell ref="G141:G142"/>
    <mergeCell ref="H141:H142"/>
    <mergeCell ref="I141:J142"/>
    <mergeCell ref="K141:K142"/>
    <mergeCell ref="W143:W144"/>
    <mergeCell ref="Q143:Q144"/>
    <mergeCell ref="R143:R144"/>
    <mergeCell ref="S143:S144"/>
    <mergeCell ref="T143:T144"/>
    <mergeCell ref="U143:U144"/>
    <mergeCell ref="V143:V144"/>
    <mergeCell ref="K143:K144"/>
    <mergeCell ref="L143:L144"/>
    <mergeCell ref="M143:M144"/>
    <mergeCell ref="W139:W140"/>
    <mergeCell ref="W137:W138"/>
    <mergeCell ref="B139:D140"/>
    <mergeCell ref="E139:F140"/>
    <mergeCell ref="G139:G140"/>
    <mergeCell ref="H139:H140"/>
    <mergeCell ref="I139:J140"/>
    <mergeCell ref="K139:K140"/>
    <mergeCell ref="L139:L140"/>
    <mergeCell ref="M139:N140"/>
    <mergeCell ref="O139:O140"/>
    <mergeCell ref="O137:O138"/>
    <mergeCell ref="P137:P138"/>
    <mergeCell ref="Q137:R138"/>
    <mergeCell ref="S137:S138"/>
    <mergeCell ref="T137:T138"/>
    <mergeCell ref="U137:V138"/>
    <mergeCell ref="B137:D138"/>
    <mergeCell ref="E137:F138"/>
    <mergeCell ref="G137:G138"/>
    <mergeCell ref="H137:H138"/>
    <mergeCell ref="I137:J138"/>
    <mergeCell ref="K137:K138"/>
    <mergeCell ref="L137:L138"/>
    <mergeCell ref="M137:N138"/>
    <mergeCell ref="H133:H134"/>
    <mergeCell ref="I133:J134"/>
    <mergeCell ref="O135:O136"/>
    <mergeCell ref="P135:P136"/>
    <mergeCell ref="Q135:R136"/>
    <mergeCell ref="S135:S136"/>
    <mergeCell ref="P139:P140"/>
    <mergeCell ref="Q139:R140"/>
    <mergeCell ref="S139:S140"/>
    <mergeCell ref="T139:T140"/>
    <mergeCell ref="P131:P132"/>
    <mergeCell ref="Q131:R132"/>
    <mergeCell ref="S131:S132"/>
    <mergeCell ref="T131:T132"/>
    <mergeCell ref="K133:K134"/>
    <mergeCell ref="U139:V140"/>
    <mergeCell ref="U135:V136"/>
    <mergeCell ref="W135:W136"/>
    <mergeCell ref="U131:V132"/>
    <mergeCell ref="W131:W132"/>
    <mergeCell ref="W133:W134"/>
    <mergeCell ref="T135:T136"/>
    <mergeCell ref="B131:D132"/>
    <mergeCell ref="E131:F132"/>
    <mergeCell ref="G131:G132"/>
    <mergeCell ref="H131:H132"/>
    <mergeCell ref="I131:J132"/>
    <mergeCell ref="K131:K132"/>
    <mergeCell ref="L131:L132"/>
    <mergeCell ref="M131:N132"/>
    <mergeCell ref="O131:O132"/>
    <mergeCell ref="M135:N136"/>
    <mergeCell ref="T133:T134"/>
    <mergeCell ref="U133:V134"/>
    <mergeCell ref="B135:D136"/>
    <mergeCell ref="E135:F136"/>
    <mergeCell ref="G135:G136"/>
    <mergeCell ref="H135:H136"/>
    <mergeCell ref="I135:J136"/>
    <mergeCell ref="K135:K136"/>
    <mergeCell ref="L135:L136"/>
    <mergeCell ref="L133:L134"/>
    <mergeCell ref="M133:N134"/>
    <mergeCell ref="P133:P134"/>
    <mergeCell ref="Q133:R134"/>
    <mergeCell ref="S133:S134"/>
    <mergeCell ref="B133:D134"/>
    <mergeCell ref="E133:F134"/>
    <mergeCell ref="G133:G134"/>
    <mergeCell ref="T125:T126"/>
    <mergeCell ref="U125:V126"/>
    <mergeCell ref="W125:W126"/>
    <mergeCell ref="O125:O126"/>
    <mergeCell ref="P125:P126"/>
    <mergeCell ref="Q125:R126"/>
    <mergeCell ref="S125:S126"/>
    <mergeCell ref="U127:V128"/>
    <mergeCell ref="W127:W128"/>
    <mergeCell ref="O127:O128"/>
    <mergeCell ref="P127:P128"/>
    <mergeCell ref="Q127:R128"/>
    <mergeCell ref="S127:S128"/>
    <mergeCell ref="T127:T128"/>
    <mergeCell ref="W129:W130"/>
    <mergeCell ref="O129:O130"/>
    <mergeCell ref="P129:P130"/>
    <mergeCell ref="Q129:R130"/>
    <mergeCell ref="S129:S130"/>
    <mergeCell ref="T129:T130"/>
    <mergeCell ref="U129:V130"/>
    <mergeCell ref="B127:D128"/>
    <mergeCell ref="E127:F128"/>
    <mergeCell ref="G127:G128"/>
    <mergeCell ref="H127:H128"/>
    <mergeCell ref="I127:J128"/>
    <mergeCell ref="K127:K128"/>
    <mergeCell ref="L127:L128"/>
    <mergeCell ref="L125:L126"/>
    <mergeCell ref="M125:N126"/>
    <mergeCell ref="B125:D126"/>
    <mergeCell ref="E125:F126"/>
    <mergeCell ref="G125:G126"/>
    <mergeCell ref="H125:H126"/>
    <mergeCell ref="I125:J126"/>
    <mergeCell ref="K125:K126"/>
    <mergeCell ref="H129:H130"/>
    <mergeCell ref="I129:J130"/>
    <mergeCell ref="K129:K130"/>
    <mergeCell ref="L129:L130"/>
    <mergeCell ref="M129:N130"/>
    <mergeCell ref="M127:N128"/>
    <mergeCell ref="B129:D130"/>
    <mergeCell ref="E129:F130"/>
    <mergeCell ref="G129:G130"/>
    <mergeCell ref="P123:P124"/>
    <mergeCell ref="Q123:R124"/>
    <mergeCell ref="S123:S124"/>
    <mergeCell ref="T123:T124"/>
    <mergeCell ref="U123:V124"/>
    <mergeCell ref="W123:W124"/>
    <mergeCell ref="W121:W122"/>
    <mergeCell ref="B123:D124"/>
    <mergeCell ref="E123:F124"/>
    <mergeCell ref="G123:G124"/>
    <mergeCell ref="H123:H124"/>
    <mergeCell ref="I123:J124"/>
    <mergeCell ref="K123:K124"/>
    <mergeCell ref="L123:L124"/>
    <mergeCell ref="M123:N124"/>
    <mergeCell ref="O123:O124"/>
    <mergeCell ref="O121:O122"/>
    <mergeCell ref="P121:P122"/>
    <mergeCell ref="Q121:R122"/>
    <mergeCell ref="S121:S122"/>
    <mergeCell ref="T121:T122"/>
    <mergeCell ref="U121:V122"/>
    <mergeCell ref="B121:D122"/>
    <mergeCell ref="E121:F122"/>
    <mergeCell ref="G121:G122"/>
    <mergeCell ref="H121:H122"/>
    <mergeCell ref="I121:J122"/>
    <mergeCell ref="K121:K122"/>
    <mergeCell ref="L121:L122"/>
    <mergeCell ref="M121:N122"/>
    <mergeCell ref="W117:W118"/>
    <mergeCell ref="B119:D120"/>
    <mergeCell ref="E119:F120"/>
    <mergeCell ref="G119:G120"/>
    <mergeCell ref="H119:H120"/>
    <mergeCell ref="I119:J120"/>
    <mergeCell ref="K119:K120"/>
    <mergeCell ref="L119:L120"/>
    <mergeCell ref="L117:L118"/>
    <mergeCell ref="M117:N118"/>
    <mergeCell ref="O117:O118"/>
    <mergeCell ref="P117:P118"/>
    <mergeCell ref="Q117:R118"/>
    <mergeCell ref="S117:S118"/>
    <mergeCell ref="B117:D118"/>
    <mergeCell ref="E117:F118"/>
    <mergeCell ref="G117:G118"/>
    <mergeCell ref="H117:H118"/>
    <mergeCell ref="I117:J118"/>
    <mergeCell ref="T114:T115"/>
    <mergeCell ref="T112:T113"/>
    <mergeCell ref="U112:V113"/>
    <mergeCell ref="W112:W113"/>
    <mergeCell ref="O112:O113"/>
    <mergeCell ref="P112:P113"/>
    <mergeCell ref="Q112:R113"/>
    <mergeCell ref="S112:S113"/>
    <mergeCell ref="U114:V115"/>
    <mergeCell ref="W114:W115"/>
    <mergeCell ref="K117:K118"/>
    <mergeCell ref="U119:V120"/>
    <mergeCell ref="W119:W120"/>
    <mergeCell ref="C116:D116"/>
    <mergeCell ref="E116:G116"/>
    <mergeCell ref="I116:K116"/>
    <mergeCell ref="M116:O116"/>
    <mergeCell ref="Q116:S116"/>
    <mergeCell ref="U116:W116"/>
    <mergeCell ref="O119:O120"/>
    <mergeCell ref="P119:P120"/>
    <mergeCell ref="Q119:R120"/>
    <mergeCell ref="S119:S120"/>
    <mergeCell ref="T119:T120"/>
    <mergeCell ref="B114:D115"/>
    <mergeCell ref="E114:F115"/>
    <mergeCell ref="G114:G115"/>
    <mergeCell ref="H114:H115"/>
    <mergeCell ref="I114:J115"/>
    <mergeCell ref="M119:N120"/>
    <mergeCell ref="T117:T118"/>
    <mergeCell ref="U117:V118"/>
    <mergeCell ref="K114:K115"/>
    <mergeCell ref="L114:L115"/>
    <mergeCell ref="L112:L113"/>
    <mergeCell ref="M112:N113"/>
    <mergeCell ref="B112:D113"/>
    <mergeCell ref="E112:F113"/>
    <mergeCell ref="G112:G113"/>
    <mergeCell ref="H112:H113"/>
    <mergeCell ref="I112:J113"/>
    <mergeCell ref="K112:K113"/>
    <mergeCell ref="M114:N115"/>
    <mergeCell ref="O114:O115"/>
    <mergeCell ref="W110:W111"/>
    <mergeCell ref="W108:W109"/>
    <mergeCell ref="B110:D111"/>
    <mergeCell ref="E110:F111"/>
    <mergeCell ref="G110:G111"/>
    <mergeCell ref="H110:H111"/>
    <mergeCell ref="I110:J111"/>
    <mergeCell ref="K110:K111"/>
    <mergeCell ref="L110:L111"/>
    <mergeCell ref="M110:N111"/>
    <mergeCell ref="O110:O111"/>
    <mergeCell ref="O108:O109"/>
    <mergeCell ref="P108:P109"/>
    <mergeCell ref="Q108:R109"/>
    <mergeCell ref="S108:S109"/>
    <mergeCell ref="T108:T109"/>
    <mergeCell ref="U108:V109"/>
    <mergeCell ref="P114:P115"/>
    <mergeCell ref="Q114:R115"/>
    <mergeCell ref="S114:S115"/>
    <mergeCell ref="R106:R107"/>
    <mergeCell ref="S106:S107"/>
    <mergeCell ref="T106:T107"/>
    <mergeCell ref="U106:U107"/>
    <mergeCell ref="J106:J107"/>
    <mergeCell ref="K106:K107"/>
    <mergeCell ref="L106:L107"/>
    <mergeCell ref="M106:M107"/>
    <mergeCell ref="N106:N107"/>
    <mergeCell ref="O106:O107"/>
    <mergeCell ref="B106:D107"/>
    <mergeCell ref="E106:E107"/>
    <mergeCell ref="F106:F107"/>
    <mergeCell ref="P110:P111"/>
    <mergeCell ref="Q110:R111"/>
    <mergeCell ref="S110:S111"/>
    <mergeCell ref="T110:T111"/>
    <mergeCell ref="U110:V111"/>
    <mergeCell ref="Q160:Q161"/>
    <mergeCell ref="R160:R161"/>
    <mergeCell ref="W104:W105"/>
    <mergeCell ref="B104:D105"/>
    <mergeCell ref="E104:F105"/>
    <mergeCell ref="G104:G105"/>
    <mergeCell ref="H104:H105"/>
    <mergeCell ref="I104:J105"/>
    <mergeCell ref="K104:K105"/>
    <mergeCell ref="L104:L105"/>
    <mergeCell ref="M104:N105"/>
    <mergeCell ref="O104:O105"/>
    <mergeCell ref="G106:G107"/>
    <mergeCell ref="H106:H107"/>
    <mergeCell ref="I106:I107"/>
    <mergeCell ref="P104:P105"/>
    <mergeCell ref="Q104:R105"/>
    <mergeCell ref="S104:S105"/>
    <mergeCell ref="T104:T105"/>
    <mergeCell ref="U104:V105"/>
    <mergeCell ref="V106:V107"/>
    <mergeCell ref="W106:W107"/>
    <mergeCell ref="B108:D109"/>
    <mergeCell ref="E108:F109"/>
    <mergeCell ref="G108:G109"/>
    <mergeCell ref="H108:H109"/>
    <mergeCell ref="I108:J109"/>
    <mergeCell ref="K108:K109"/>
    <mergeCell ref="L108:L109"/>
    <mergeCell ref="M108:N109"/>
    <mergeCell ref="P106:P107"/>
    <mergeCell ref="Q106:Q107"/>
    <mergeCell ref="U162:U163"/>
    <mergeCell ref="B164:B165"/>
    <mergeCell ref="C164:C165"/>
    <mergeCell ref="D164:D165"/>
    <mergeCell ref="E164:E165"/>
    <mergeCell ref="F164:F165"/>
    <mergeCell ref="G164:G165"/>
    <mergeCell ref="H164:H165"/>
    <mergeCell ref="I164:I165"/>
    <mergeCell ref="J164:J165"/>
    <mergeCell ref="M162:M163"/>
    <mergeCell ref="N162:N163"/>
    <mergeCell ref="O162:P163"/>
    <mergeCell ref="Q162:Q163"/>
    <mergeCell ref="R162:R163"/>
    <mergeCell ref="S162:T163"/>
    <mergeCell ref="Q164:Q165"/>
    <mergeCell ref="R164:R165"/>
    <mergeCell ref="S164:S165"/>
    <mergeCell ref="B162:B163"/>
    <mergeCell ref="C162:D163"/>
    <mergeCell ref="E162:E163"/>
    <mergeCell ref="F162:F163"/>
    <mergeCell ref="G162:H163"/>
    <mergeCell ref="T164:T165"/>
    <mergeCell ref="K164:K165"/>
    <mergeCell ref="L164:L165"/>
    <mergeCell ref="M164:M165"/>
    <mergeCell ref="N164:N165"/>
    <mergeCell ref="O164:O165"/>
    <mergeCell ref="P164:P165"/>
    <mergeCell ref="S160:T161"/>
    <mergeCell ref="U160:U161"/>
    <mergeCell ref="N156:N157"/>
    <mergeCell ref="O156:P157"/>
    <mergeCell ref="Q156:Q157"/>
    <mergeCell ref="R156:R157"/>
    <mergeCell ref="S156:T157"/>
    <mergeCell ref="U156:U157"/>
    <mergeCell ref="I162:I163"/>
    <mergeCell ref="J162:J163"/>
    <mergeCell ref="K162:L163"/>
    <mergeCell ref="K160:L161"/>
    <mergeCell ref="R158:R159"/>
    <mergeCell ref="S158:T159"/>
    <mergeCell ref="U158:U159"/>
    <mergeCell ref="B160:B161"/>
    <mergeCell ref="C160:D161"/>
    <mergeCell ref="E160:E161"/>
    <mergeCell ref="F160:F161"/>
    <mergeCell ref="G160:H161"/>
    <mergeCell ref="I160:I161"/>
    <mergeCell ref="J160:J161"/>
    <mergeCell ref="J158:J159"/>
    <mergeCell ref="K158:L159"/>
    <mergeCell ref="M158:M159"/>
    <mergeCell ref="N158:N159"/>
    <mergeCell ref="O158:P159"/>
    <mergeCell ref="Q158:Q159"/>
    <mergeCell ref="B158:B159"/>
    <mergeCell ref="C158:D159"/>
    <mergeCell ref="E158:E159"/>
    <mergeCell ref="F158:F159"/>
    <mergeCell ref="L152:L153"/>
    <mergeCell ref="M152:M153"/>
    <mergeCell ref="H154:H155"/>
    <mergeCell ref="H152:H153"/>
    <mergeCell ref="I152:I153"/>
    <mergeCell ref="B152:C152"/>
    <mergeCell ref="B153:C153"/>
    <mergeCell ref="D152:D153"/>
    <mergeCell ref="E152:E153"/>
    <mergeCell ref="F152:G152"/>
    <mergeCell ref="F153:G153"/>
    <mergeCell ref="U154:U155"/>
    <mergeCell ref="B156:B157"/>
    <mergeCell ref="C156:D157"/>
    <mergeCell ref="E156:E157"/>
    <mergeCell ref="F156:F157"/>
    <mergeCell ref="G156:H157"/>
    <mergeCell ref="I156:I157"/>
    <mergeCell ref="J156:J157"/>
    <mergeCell ref="K156:L157"/>
    <mergeCell ref="M156:M157"/>
    <mergeCell ref="O154:O155"/>
    <mergeCell ref="P154:P155"/>
    <mergeCell ref="Q154:Q155"/>
    <mergeCell ref="R154:R155"/>
    <mergeCell ref="S154:S155"/>
    <mergeCell ref="T154:T155"/>
    <mergeCell ref="I154:I155"/>
    <mergeCell ref="J154:J155"/>
    <mergeCell ref="J241:J242"/>
    <mergeCell ref="B239:B240"/>
    <mergeCell ref="C239:C240"/>
    <mergeCell ref="D239:D240"/>
    <mergeCell ref="E239:E240"/>
    <mergeCell ref="F239:F240"/>
    <mergeCell ref="G239:G240"/>
    <mergeCell ref="H239:H240"/>
    <mergeCell ref="I239:I240"/>
    <mergeCell ref="K154:K155"/>
    <mergeCell ref="L154:L155"/>
    <mergeCell ref="M154:M155"/>
    <mergeCell ref="N154:N155"/>
    <mergeCell ref="N152:O152"/>
    <mergeCell ref="N153:O153"/>
    <mergeCell ref="B154:B155"/>
    <mergeCell ref="C154:C155"/>
    <mergeCell ref="D154:D155"/>
    <mergeCell ref="E154:E155"/>
    <mergeCell ref="F154:F155"/>
    <mergeCell ref="G154:G155"/>
    <mergeCell ref="G158:H159"/>
    <mergeCell ref="I158:I159"/>
    <mergeCell ref="M160:M161"/>
    <mergeCell ref="N160:N161"/>
    <mergeCell ref="O160:P161"/>
    <mergeCell ref="J235:J236"/>
    <mergeCell ref="B237:B238"/>
    <mergeCell ref="C237:C238"/>
    <mergeCell ref="P152:P153"/>
    <mergeCell ref="J152:K152"/>
    <mergeCell ref="J153:K153"/>
    <mergeCell ref="D237:D238"/>
    <mergeCell ref="E237:E238"/>
    <mergeCell ref="F237:F238"/>
    <mergeCell ref="G237:G238"/>
    <mergeCell ref="H237:H238"/>
    <mergeCell ref="B235:B236"/>
    <mergeCell ref="C235:C236"/>
    <mergeCell ref="D235:D236"/>
    <mergeCell ref="E235:E236"/>
    <mergeCell ref="F235:F236"/>
    <mergeCell ref="G235:G236"/>
    <mergeCell ref="I237:I238"/>
    <mergeCell ref="J237:J238"/>
    <mergeCell ref="H243:H244"/>
    <mergeCell ref="I243:I244"/>
    <mergeCell ref="B243:B244"/>
    <mergeCell ref="C243:C244"/>
    <mergeCell ref="D243:D244"/>
    <mergeCell ref="E243:E244"/>
    <mergeCell ref="F243:F244"/>
    <mergeCell ref="G243:G244"/>
    <mergeCell ref="H235:H236"/>
    <mergeCell ref="I235:I236"/>
    <mergeCell ref="J239:J240"/>
    <mergeCell ref="B241:B242"/>
    <mergeCell ref="C241:C242"/>
    <mergeCell ref="D241:D242"/>
    <mergeCell ref="E241:E242"/>
    <mergeCell ref="F241:F242"/>
    <mergeCell ref="G241:G242"/>
    <mergeCell ref="H241:H242"/>
    <mergeCell ref="I241:I242"/>
    <mergeCell ref="B231:B232"/>
    <mergeCell ref="C231:C232"/>
    <mergeCell ref="D231:D232"/>
    <mergeCell ref="E231:E232"/>
    <mergeCell ref="F231:F232"/>
    <mergeCell ref="G231:G232"/>
    <mergeCell ref="H231:H232"/>
    <mergeCell ref="I231:I232"/>
    <mergeCell ref="J231:J232"/>
    <mergeCell ref="B233:B234"/>
    <mergeCell ref="C233:C234"/>
    <mergeCell ref="D233:D234"/>
    <mergeCell ref="E233:E234"/>
    <mergeCell ref="F233:F234"/>
    <mergeCell ref="G233:G234"/>
    <mergeCell ref="H233:H234"/>
    <mergeCell ref="I233:I234"/>
    <mergeCell ref="J233:J234"/>
    <mergeCell ref="H227:H228"/>
    <mergeCell ref="I227:I228"/>
    <mergeCell ref="J227:J228"/>
    <mergeCell ref="B229:B230"/>
    <mergeCell ref="C229:C230"/>
    <mergeCell ref="D229:D230"/>
    <mergeCell ref="E229:E230"/>
    <mergeCell ref="F229:F230"/>
    <mergeCell ref="G229:G230"/>
    <mergeCell ref="H229:H230"/>
    <mergeCell ref="B227:B228"/>
    <mergeCell ref="C227:C228"/>
    <mergeCell ref="D227:D228"/>
    <mergeCell ref="E227:E228"/>
    <mergeCell ref="F227:F228"/>
    <mergeCell ref="G227:G228"/>
    <mergeCell ref="I229:I230"/>
    <mergeCell ref="J229:J230"/>
    <mergeCell ref="B223:B224"/>
    <mergeCell ref="C223:C224"/>
    <mergeCell ref="D223:D224"/>
    <mergeCell ref="E223:E224"/>
    <mergeCell ref="F223:F224"/>
    <mergeCell ref="G223:G224"/>
    <mergeCell ref="H223:H224"/>
    <mergeCell ref="I223:I224"/>
    <mergeCell ref="J223:J224"/>
    <mergeCell ref="B225:B226"/>
    <mergeCell ref="C225:C226"/>
    <mergeCell ref="D225:D226"/>
    <mergeCell ref="E225:E226"/>
    <mergeCell ref="F225:F226"/>
    <mergeCell ref="G225:G226"/>
    <mergeCell ref="H225:H226"/>
    <mergeCell ref="I225:I226"/>
    <mergeCell ref="J225:J226"/>
    <mergeCell ref="H219:H220"/>
    <mergeCell ref="I219:I220"/>
    <mergeCell ref="J219:J220"/>
    <mergeCell ref="B221:B222"/>
    <mergeCell ref="C221:C222"/>
    <mergeCell ref="D221:D222"/>
    <mergeCell ref="E221:E222"/>
    <mergeCell ref="F221:F222"/>
    <mergeCell ref="G221:G222"/>
    <mergeCell ref="H221:H222"/>
    <mergeCell ref="B219:B220"/>
    <mergeCell ref="C219:C220"/>
    <mergeCell ref="D219:D220"/>
    <mergeCell ref="E219:E220"/>
    <mergeCell ref="F219:F220"/>
    <mergeCell ref="G219:G220"/>
    <mergeCell ref="I221:I222"/>
    <mergeCell ref="J221:J222"/>
    <mergeCell ref="B215:B216"/>
    <mergeCell ref="C215:C216"/>
    <mergeCell ref="D215:D216"/>
    <mergeCell ref="E215:E216"/>
    <mergeCell ref="F215:F216"/>
    <mergeCell ref="G215:G216"/>
    <mergeCell ref="H215:H216"/>
    <mergeCell ref="I215:I216"/>
    <mergeCell ref="J215:J216"/>
    <mergeCell ref="B217:B218"/>
    <mergeCell ref="C217:C218"/>
    <mergeCell ref="D217:D218"/>
    <mergeCell ref="E217:E218"/>
    <mergeCell ref="F217:F218"/>
    <mergeCell ref="G217:G218"/>
    <mergeCell ref="H217:H218"/>
    <mergeCell ref="I217:I218"/>
    <mergeCell ref="J217:J218"/>
    <mergeCell ref="H211:H212"/>
    <mergeCell ref="I211:I212"/>
    <mergeCell ref="J211:J212"/>
    <mergeCell ref="B213:B214"/>
    <mergeCell ref="C213:C214"/>
    <mergeCell ref="D213:D214"/>
    <mergeCell ref="E213:E214"/>
    <mergeCell ref="F213:F214"/>
    <mergeCell ref="G213:G214"/>
    <mergeCell ref="H213:H214"/>
    <mergeCell ref="B211:B212"/>
    <mergeCell ref="C211:C212"/>
    <mergeCell ref="D211:D212"/>
    <mergeCell ref="E211:E212"/>
    <mergeCell ref="F211:F212"/>
    <mergeCell ref="G211:G212"/>
    <mergeCell ref="I213:I214"/>
    <mergeCell ref="J213:J214"/>
    <mergeCell ref="B207:B208"/>
    <mergeCell ref="C207:C208"/>
    <mergeCell ref="D207:D208"/>
    <mergeCell ref="E207:E208"/>
    <mergeCell ref="F207:F208"/>
    <mergeCell ref="G207:G208"/>
    <mergeCell ref="H207:H208"/>
    <mergeCell ref="I207:I208"/>
    <mergeCell ref="J207:J208"/>
    <mergeCell ref="B209:B210"/>
    <mergeCell ref="C209:C210"/>
    <mergeCell ref="D209:D210"/>
    <mergeCell ref="E209:E210"/>
    <mergeCell ref="F209:F210"/>
    <mergeCell ref="G209:G210"/>
    <mergeCell ref="H209:H210"/>
    <mergeCell ref="I209:I210"/>
    <mergeCell ref="J209:J210"/>
    <mergeCell ref="H203:H204"/>
    <mergeCell ref="I203:I204"/>
    <mergeCell ref="J203:J204"/>
    <mergeCell ref="B205:B206"/>
    <mergeCell ref="C205:C206"/>
    <mergeCell ref="D205:D206"/>
    <mergeCell ref="E205:E206"/>
    <mergeCell ref="F205:F206"/>
    <mergeCell ref="G205:G206"/>
    <mergeCell ref="H205:H206"/>
    <mergeCell ref="B203:B204"/>
    <mergeCell ref="C203:C204"/>
    <mergeCell ref="D203:D204"/>
    <mergeCell ref="E203:E204"/>
    <mergeCell ref="F203:F204"/>
    <mergeCell ref="G203:G204"/>
    <mergeCell ref="I205:I206"/>
    <mergeCell ref="J205:J206"/>
    <mergeCell ref="B199:B200"/>
    <mergeCell ref="C199:C200"/>
    <mergeCell ref="D199:D200"/>
    <mergeCell ref="E199:E200"/>
    <mergeCell ref="F199:F200"/>
    <mergeCell ref="G199:G200"/>
    <mergeCell ref="H199:H200"/>
    <mergeCell ref="I199:I200"/>
    <mergeCell ref="J199:J200"/>
    <mergeCell ref="B201:B202"/>
    <mergeCell ref="C201:C202"/>
    <mergeCell ref="D201:D202"/>
    <mergeCell ref="E201:E202"/>
    <mergeCell ref="F201:F202"/>
    <mergeCell ref="G201:G202"/>
    <mergeCell ref="H201:H202"/>
    <mergeCell ref="I201:I202"/>
    <mergeCell ref="J201:J202"/>
    <mergeCell ref="H195:H196"/>
    <mergeCell ref="I195:I196"/>
    <mergeCell ref="J195:J196"/>
    <mergeCell ref="B197:B198"/>
    <mergeCell ref="C197:C198"/>
    <mergeCell ref="D197:D198"/>
    <mergeCell ref="E197:E198"/>
    <mergeCell ref="F197:F198"/>
    <mergeCell ref="G197:G198"/>
    <mergeCell ref="H197:H198"/>
    <mergeCell ref="B195:B196"/>
    <mergeCell ref="C195:C196"/>
    <mergeCell ref="D195:D196"/>
    <mergeCell ref="E195:E196"/>
    <mergeCell ref="F195:F196"/>
    <mergeCell ref="G195:G196"/>
    <mergeCell ref="I197:I198"/>
    <mergeCell ref="J197:J198"/>
    <mergeCell ref="B191:B192"/>
    <mergeCell ref="C191:C192"/>
    <mergeCell ref="D191:D192"/>
    <mergeCell ref="E191:E192"/>
    <mergeCell ref="F191:F192"/>
    <mergeCell ref="G191:G192"/>
    <mergeCell ref="H191:H192"/>
    <mergeCell ref="I191:I192"/>
    <mergeCell ref="J191:J192"/>
    <mergeCell ref="B193:B194"/>
    <mergeCell ref="C193:C194"/>
    <mergeCell ref="D193:D194"/>
    <mergeCell ref="E193:E194"/>
    <mergeCell ref="F193:F194"/>
    <mergeCell ref="G193:G194"/>
    <mergeCell ref="H193:H194"/>
    <mergeCell ref="I193:I194"/>
    <mergeCell ref="J193:J194"/>
    <mergeCell ref="H187:H188"/>
    <mergeCell ref="I187:I188"/>
    <mergeCell ref="J187:J188"/>
    <mergeCell ref="B189:B190"/>
    <mergeCell ref="C189:C190"/>
    <mergeCell ref="D189:D190"/>
    <mergeCell ref="E189:E190"/>
    <mergeCell ref="F189:F190"/>
    <mergeCell ref="G189:G190"/>
    <mergeCell ref="H189:H190"/>
    <mergeCell ref="B187:B188"/>
    <mergeCell ref="C187:C188"/>
    <mergeCell ref="D187:D188"/>
    <mergeCell ref="E187:E188"/>
    <mergeCell ref="F187:F188"/>
    <mergeCell ref="G187:G188"/>
    <mergeCell ref="I189:I190"/>
    <mergeCell ref="J189:J190"/>
    <mergeCell ref="B183:B184"/>
    <mergeCell ref="C183:C184"/>
    <mergeCell ref="D183:D184"/>
    <mergeCell ref="E183:E184"/>
    <mergeCell ref="F183:F184"/>
    <mergeCell ref="G183:G184"/>
    <mergeCell ref="H183:H184"/>
    <mergeCell ref="I183:I184"/>
    <mergeCell ref="J183:J184"/>
    <mergeCell ref="B185:B186"/>
    <mergeCell ref="C185:C186"/>
    <mergeCell ref="D185:D186"/>
    <mergeCell ref="E185:E186"/>
    <mergeCell ref="F185:F186"/>
    <mergeCell ref="G185:G186"/>
    <mergeCell ref="H185:H186"/>
    <mergeCell ref="I185:I186"/>
    <mergeCell ref="J185:J186"/>
    <mergeCell ref="I179:I180"/>
    <mergeCell ref="J179:J180"/>
    <mergeCell ref="B181:B182"/>
    <mergeCell ref="C181:C182"/>
    <mergeCell ref="D181:D182"/>
    <mergeCell ref="E181:E182"/>
    <mergeCell ref="F181:F182"/>
    <mergeCell ref="G181:G182"/>
    <mergeCell ref="H181:H182"/>
    <mergeCell ref="B179:B180"/>
    <mergeCell ref="C179:C180"/>
    <mergeCell ref="D179:D180"/>
    <mergeCell ref="E179:E180"/>
    <mergeCell ref="F179:F180"/>
    <mergeCell ref="G179:G180"/>
    <mergeCell ref="I181:I182"/>
    <mergeCell ref="J181:J182"/>
    <mergeCell ref="H179:H180"/>
    <mergeCell ref="T300:T301"/>
    <mergeCell ref="U300:V301"/>
    <mergeCell ref="W300:W301"/>
    <mergeCell ref="L300:L301"/>
    <mergeCell ref="M300:N301"/>
    <mergeCell ref="O300:O301"/>
    <mergeCell ref="P300:P301"/>
    <mergeCell ref="Q300:R301"/>
    <mergeCell ref="S300:S301"/>
    <mergeCell ref="I172:I174"/>
    <mergeCell ref="B175:B176"/>
    <mergeCell ref="C175:C176"/>
    <mergeCell ref="D175:D176"/>
    <mergeCell ref="E175:E176"/>
    <mergeCell ref="F175:F176"/>
    <mergeCell ref="G175:G176"/>
    <mergeCell ref="H175:H176"/>
    <mergeCell ref="I175:I176"/>
    <mergeCell ref="C172:C174"/>
    <mergeCell ref="D172:D174"/>
    <mergeCell ref="E172:E174"/>
    <mergeCell ref="F172:F174"/>
    <mergeCell ref="G172:G174"/>
    <mergeCell ref="H172:H174"/>
    <mergeCell ref="J175:J176"/>
    <mergeCell ref="B177:B178"/>
    <mergeCell ref="C177:C178"/>
    <mergeCell ref="D177:D178"/>
    <mergeCell ref="E177:E178"/>
    <mergeCell ref="F177:F178"/>
    <mergeCell ref="G177:G178"/>
    <mergeCell ref="H177:H178"/>
    <mergeCell ref="V297:V298"/>
    <mergeCell ref="W297:W298"/>
    <mergeCell ref="B299:D299"/>
    <mergeCell ref="E299:F299"/>
    <mergeCell ref="I299:J299"/>
    <mergeCell ref="M299:N299"/>
    <mergeCell ref="Q299:R299"/>
    <mergeCell ref="U299:V299"/>
    <mergeCell ref="P297:P298"/>
    <mergeCell ref="Q297:Q298"/>
    <mergeCell ref="R297:R298"/>
    <mergeCell ref="S297:S298"/>
    <mergeCell ref="T297:T298"/>
    <mergeCell ref="U297:U298"/>
    <mergeCell ref="J297:J298"/>
    <mergeCell ref="K297:K298"/>
    <mergeCell ref="L297:L298"/>
    <mergeCell ref="M297:M298"/>
    <mergeCell ref="N297:N298"/>
    <mergeCell ref="O297:O298"/>
    <mergeCell ref="B297:D298"/>
    <mergeCell ref="E297:E298"/>
    <mergeCell ref="F297:F298"/>
    <mergeCell ref="G297:G298"/>
    <mergeCell ref="H297:H298"/>
    <mergeCell ref="I297:I298"/>
    <mergeCell ref="B296:D296"/>
    <mergeCell ref="E296:G296"/>
    <mergeCell ref="I296:K296"/>
    <mergeCell ref="M296:O296"/>
    <mergeCell ref="B300:D301"/>
    <mergeCell ref="E300:F301"/>
    <mergeCell ref="G300:G301"/>
    <mergeCell ref="H300:H301"/>
    <mergeCell ref="I300:J301"/>
    <mergeCell ref="K300:K301"/>
    <mergeCell ref="B295:D295"/>
    <mergeCell ref="E295:G295"/>
    <mergeCell ref="I295:K295"/>
    <mergeCell ref="M295:O295"/>
    <mergeCell ref="Q295:S295"/>
    <mergeCell ref="U295:W295"/>
    <mergeCell ref="L293:L294"/>
    <mergeCell ref="M293:N294"/>
    <mergeCell ref="O293:O294"/>
    <mergeCell ref="P293:P294"/>
    <mergeCell ref="Q293:R294"/>
    <mergeCell ref="S293:S294"/>
    <mergeCell ref="B293:D294"/>
    <mergeCell ref="E293:F294"/>
    <mergeCell ref="G293:G294"/>
    <mergeCell ref="H293:H294"/>
    <mergeCell ref="I293:J294"/>
    <mergeCell ref="K293:K294"/>
    <mergeCell ref="Q296:S296"/>
    <mergeCell ref="U296:W296"/>
    <mergeCell ref="T293:T294"/>
    <mergeCell ref="U293:V294"/>
    <mergeCell ref="B291:D292"/>
    <mergeCell ref="E291:F292"/>
    <mergeCell ref="G291:G292"/>
    <mergeCell ref="H291:H292"/>
    <mergeCell ref="I291:J292"/>
    <mergeCell ref="K291:K292"/>
    <mergeCell ref="L291:L292"/>
    <mergeCell ref="M291:N292"/>
    <mergeCell ref="O291:O292"/>
    <mergeCell ref="G289:G290"/>
    <mergeCell ref="H289:H290"/>
    <mergeCell ref="I289:J290"/>
    <mergeCell ref="K289:K290"/>
    <mergeCell ref="H285:H286"/>
    <mergeCell ref="I285:J286"/>
    <mergeCell ref="K285:K286"/>
    <mergeCell ref="W293:W294"/>
    <mergeCell ref="P291:P292"/>
    <mergeCell ref="Q291:R292"/>
    <mergeCell ref="S291:S292"/>
    <mergeCell ref="T291:T292"/>
    <mergeCell ref="U291:V292"/>
    <mergeCell ref="W291:W292"/>
    <mergeCell ref="W289:W290"/>
    <mergeCell ref="O289:O290"/>
    <mergeCell ref="P289:P290"/>
    <mergeCell ref="Q289:R290"/>
    <mergeCell ref="S289:S290"/>
    <mergeCell ref="T289:T290"/>
    <mergeCell ref="U289:V290"/>
    <mergeCell ref="M285:N286"/>
    <mergeCell ref="O285:O286"/>
    <mergeCell ref="W283:W284"/>
    <mergeCell ref="O287:O288"/>
    <mergeCell ref="P287:P288"/>
    <mergeCell ref="Q287:R288"/>
    <mergeCell ref="S287:S288"/>
    <mergeCell ref="T287:T288"/>
    <mergeCell ref="B289:D290"/>
    <mergeCell ref="E289:F290"/>
    <mergeCell ref="L289:L290"/>
    <mergeCell ref="M289:N290"/>
    <mergeCell ref="M287:N288"/>
    <mergeCell ref="T285:T286"/>
    <mergeCell ref="U285:V286"/>
    <mergeCell ref="W285:W286"/>
    <mergeCell ref="B287:D288"/>
    <mergeCell ref="E287:F288"/>
    <mergeCell ref="G287:G288"/>
    <mergeCell ref="H287:H288"/>
    <mergeCell ref="I287:J288"/>
    <mergeCell ref="K287:K288"/>
    <mergeCell ref="L287:L288"/>
    <mergeCell ref="L285:L286"/>
    <mergeCell ref="B285:D286"/>
    <mergeCell ref="E285:F286"/>
    <mergeCell ref="G285:G286"/>
    <mergeCell ref="P285:P286"/>
    <mergeCell ref="Q285:R286"/>
    <mergeCell ref="S285:S286"/>
    <mergeCell ref="U287:V288"/>
    <mergeCell ref="W287:W288"/>
    <mergeCell ref="B283:D284"/>
    <mergeCell ref="E283:F284"/>
    <mergeCell ref="G283:G284"/>
    <mergeCell ref="H283:H284"/>
    <mergeCell ref="I283:J284"/>
    <mergeCell ref="K283:K284"/>
    <mergeCell ref="L283:L284"/>
    <mergeCell ref="M283:N284"/>
    <mergeCell ref="O283:O284"/>
    <mergeCell ref="O281:O282"/>
    <mergeCell ref="P281:P282"/>
    <mergeCell ref="Q281:R282"/>
    <mergeCell ref="S281:S282"/>
    <mergeCell ref="T281:T282"/>
    <mergeCell ref="U281:V282"/>
    <mergeCell ref="F279:F280"/>
    <mergeCell ref="G279:G280"/>
    <mergeCell ref="H279:H280"/>
    <mergeCell ref="I279:I280"/>
    <mergeCell ref="P283:P284"/>
    <mergeCell ref="Q283:R284"/>
    <mergeCell ref="S283:S284"/>
    <mergeCell ref="T283:T284"/>
    <mergeCell ref="U283:V284"/>
    <mergeCell ref="H273:H274"/>
    <mergeCell ref="I273:I274"/>
    <mergeCell ref="B278:D278"/>
    <mergeCell ref="E278:G278"/>
    <mergeCell ref="I278:K278"/>
    <mergeCell ref="M278:O278"/>
    <mergeCell ref="Q278:S278"/>
    <mergeCell ref="V279:V280"/>
    <mergeCell ref="W279:W280"/>
    <mergeCell ref="B281:D282"/>
    <mergeCell ref="E281:F282"/>
    <mergeCell ref="G281:G282"/>
    <mergeCell ref="H281:H282"/>
    <mergeCell ref="I281:J282"/>
    <mergeCell ref="K281:K282"/>
    <mergeCell ref="L281:L282"/>
    <mergeCell ref="M281:N282"/>
    <mergeCell ref="P279:P280"/>
    <mergeCell ref="Q279:Q280"/>
    <mergeCell ref="R279:R280"/>
    <mergeCell ref="S279:S280"/>
    <mergeCell ref="T279:T280"/>
    <mergeCell ref="U279:U280"/>
    <mergeCell ref="J279:J280"/>
    <mergeCell ref="K279:K280"/>
    <mergeCell ref="L279:L280"/>
    <mergeCell ref="M279:M280"/>
    <mergeCell ref="N279:N280"/>
    <mergeCell ref="O279:O280"/>
    <mergeCell ref="B279:D280"/>
    <mergeCell ref="E279:E280"/>
    <mergeCell ref="W281:W282"/>
    <mergeCell ref="U278:W278"/>
    <mergeCell ref="B277:D277"/>
    <mergeCell ref="E277:G277"/>
    <mergeCell ref="I277:K277"/>
    <mergeCell ref="M277:O277"/>
    <mergeCell ref="Q277:S277"/>
    <mergeCell ref="U277:W277"/>
    <mergeCell ref="R275:R276"/>
    <mergeCell ref="S275:S276"/>
    <mergeCell ref="T275:T276"/>
    <mergeCell ref="U275:U276"/>
    <mergeCell ref="V275:V276"/>
    <mergeCell ref="W275:W276"/>
    <mergeCell ref="L275:L276"/>
    <mergeCell ref="M275:M276"/>
    <mergeCell ref="N275:N276"/>
    <mergeCell ref="O275:O276"/>
    <mergeCell ref="P275:P276"/>
    <mergeCell ref="Q275:Q276"/>
    <mergeCell ref="B272:D272"/>
    <mergeCell ref="E272:G272"/>
    <mergeCell ref="I272:K272"/>
    <mergeCell ref="B273:D274"/>
    <mergeCell ref="E273:E274"/>
    <mergeCell ref="M272:O272"/>
    <mergeCell ref="Q272:S272"/>
    <mergeCell ref="V273:V274"/>
    <mergeCell ref="W273:W274"/>
    <mergeCell ref="B275:D276"/>
    <mergeCell ref="E275:E276"/>
    <mergeCell ref="F275:F276"/>
    <mergeCell ref="G275:G276"/>
    <mergeCell ref="H275:H276"/>
    <mergeCell ref="I275:I276"/>
    <mergeCell ref="J275:J276"/>
    <mergeCell ref="K275:K276"/>
    <mergeCell ref="P273:P274"/>
    <mergeCell ref="Q273:Q274"/>
    <mergeCell ref="R273:R274"/>
    <mergeCell ref="S273:S274"/>
    <mergeCell ref="T273:T274"/>
    <mergeCell ref="U273:U274"/>
    <mergeCell ref="J273:J274"/>
    <mergeCell ref="K273:K274"/>
    <mergeCell ref="L273:L274"/>
    <mergeCell ref="M273:M274"/>
    <mergeCell ref="N273:N274"/>
    <mergeCell ref="U272:W272"/>
    <mergeCell ref="O273:O274"/>
    <mergeCell ref="F273:F274"/>
    <mergeCell ref="G273:G274"/>
    <mergeCell ref="T269:T270"/>
    <mergeCell ref="U269:V270"/>
    <mergeCell ref="W269:W270"/>
    <mergeCell ref="B271:D271"/>
    <mergeCell ref="E271:G271"/>
    <mergeCell ref="I271:K271"/>
    <mergeCell ref="M271:O271"/>
    <mergeCell ref="Q271:S271"/>
    <mergeCell ref="U271:W271"/>
    <mergeCell ref="L269:L270"/>
    <mergeCell ref="M269:N270"/>
    <mergeCell ref="O269:O270"/>
    <mergeCell ref="P269:P270"/>
    <mergeCell ref="Q269:R270"/>
    <mergeCell ref="S269:S270"/>
    <mergeCell ref="B269:D270"/>
    <mergeCell ref="E269:F270"/>
    <mergeCell ref="G269:G270"/>
    <mergeCell ref="H269:H270"/>
    <mergeCell ref="I269:J270"/>
    <mergeCell ref="K269:K270"/>
    <mergeCell ref="P267:P268"/>
    <mergeCell ref="Q267:R268"/>
    <mergeCell ref="S267:S268"/>
    <mergeCell ref="T267:T268"/>
    <mergeCell ref="U267:V268"/>
    <mergeCell ref="W267:W268"/>
    <mergeCell ref="W265:W266"/>
    <mergeCell ref="B267:D268"/>
    <mergeCell ref="E267:F268"/>
    <mergeCell ref="G267:G268"/>
    <mergeCell ref="H267:H268"/>
    <mergeCell ref="I267:J268"/>
    <mergeCell ref="K267:K268"/>
    <mergeCell ref="L267:L268"/>
    <mergeCell ref="M267:N268"/>
    <mergeCell ref="O267:O268"/>
    <mergeCell ref="O265:O266"/>
    <mergeCell ref="P265:P266"/>
    <mergeCell ref="Q265:R266"/>
    <mergeCell ref="S265:S266"/>
    <mergeCell ref="T265:T266"/>
    <mergeCell ref="U265:V266"/>
    <mergeCell ref="B265:D266"/>
    <mergeCell ref="E265:F266"/>
    <mergeCell ref="G265:G266"/>
    <mergeCell ref="H265:H266"/>
    <mergeCell ref="I265:J266"/>
    <mergeCell ref="K265:K266"/>
    <mergeCell ref="L265:L266"/>
    <mergeCell ref="M265:N266"/>
    <mergeCell ref="M263:N264"/>
    <mergeCell ref="T261:T262"/>
    <mergeCell ref="U261:V262"/>
    <mergeCell ref="W261:W262"/>
    <mergeCell ref="B263:D264"/>
    <mergeCell ref="E263:F264"/>
    <mergeCell ref="G263:G264"/>
    <mergeCell ref="H263:H264"/>
    <mergeCell ref="I263:J264"/>
    <mergeCell ref="K263:K264"/>
    <mergeCell ref="L263:L264"/>
    <mergeCell ref="L261:L262"/>
    <mergeCell ref="M261:N262"/>
    <mergeCell ref="O261:O262"/>
    <mergeCell ref="P261:P262"/>
    <mergeCell ref="Q261:R262"/>
    <mergeCell ref="S261:S262"/>
    <mergeCell ref="B261:D262"/>
    <mergeCell ref="E261:F262"/>
    <mergeCell ref="G261:G262"/>
    <mergeCell ref="H261:H262"/>
    <mergeCell ref="I261:J262"/>
    <mergeCell ref="B259:D260"/>
    <mergeCell ref="E259:F260"/>
    <mergeCell ref="G259:G260"/>
    <mergeCell ref="H259:H260"/>
    <mergeCell ref="I259:J260"/>
    <mergeCell ref="K259:K260"/>
    <mergeCell ref="L259:L260"/>
    <mergeCell ref="M259:N260"/>
    <mergeCell ref="O259:O260"/>
    <mergeCell ref="K261:K262"/>
    <mergeCell ref="U263:V264"/>
    <mergeCell ref="W263:W264"/>
    <mergeCell ref="E255:E256"/>
    <mergeCell ref="P259:P260"/>
    <mergeCell ref="Q259:R260"/>
    <mergeCell ref="S259:S260"/>
    <mergeCell ref="T259:T260"/>
    <mergeCell ref="U259:V260"/>
    <mergeCell ref="W259:W260"/>
    <mergeCell ref="W257:W258"/>
    <mergeCell ref="O257:O258"/>
    <mergeCell ref="P257:P258"/>
    <mergeCell ref="Q257:R258"/>
    <mergeCell ref="S257:S258"/>
    <mergeCell ref="T257:T258"/>
    <mergeCell ref="U257:V258"/>
    <mergeCell ref="O263:O264"/>
    <mergeCell ref="P263:P264"/>
    <mergeCell ref="Q263:R264"/>
    <mergeCell ref="S263:S264"/>
    <mergeCell ref="T263:T264"/>
    <mergeCell ref="B257:D258"/>
    <mergeCell ref="E257:F258"/>
    <mergeCell ref="G257:G258"/>
    <mergeCell ref="H257:H258"/>
    <mergeCell ref="I257:J258"/>
    <mergeCell ref="K257:K258"/>
    <mergeCell ref="L257:L258"/>
    <mergeCell ref="M257:N258"/>
    <mergeCell ref="P255:P256"/>
    <mergeCell ref="Q255:Q256"/>
    <mergeCell ref="R255:R256"/>
    <mergeCell ref="S255:S256"/>
    <mergeCell ref="T255:T256"/>
    <mergeCell ref="U255:U256"/>
    <mergeCell ref="J255:J256"/>
    <mergeCell ref="K255:K256"/>
    <mergeCell ref="L255:L256"/>
    <mergeCell ref="M255:M256"/>
    <mergeCell ref="N255:N256"/>
    <mergeCell ref="O255:O256"/>
    <mergeCell ref="B255:D256"/>
    <mergeCell ref="D38:G38"/>
    <mergeCell ref="I38:L38"/>
    <mergeCell ref="K252:K253"/>
    <mergeCell ref="F255:F256"/>
    <mergeCell ref="G255:G256"/>
    <mergeCell ref="H255:H256"/>
    <mergeCell ref="I255:I256"/>
    <mergeCell ref="T252:T253"/>
    <mergeCell ref="U252:V253"/>
    <mergeCell ref="W252:W253"/>
    <mergeCell ref="B254:D254"/>
    <mergeCell ref="E254:G254"/>
    <mergeCell ref="I254:K254"/>
    <mergeCell ref="M254:O254"/>
    <mergeCell ref="Q254:S254"/>
    <mergeCell ref="U254:W254"/>
    <mergeCell ref="L252:L253"/>
    <mergeCell ref="M252:N253"/>
    <mergeCell ref="O252:O253"/>
    <mergeCell ref="P252:P253"/>
    <mergeCell ref="Q252:R253"/>
    <mergeCell ref="S252:S253"/>
    <mergeCell ref="B252:D253"/>
    <mergeCell ref="E252:F253"/>
    <mergeCell ref="G252:G253"/>
    <mergeCell ref="H252:H253"/>
    <mergeCell ref="I252:J253"/>
    <mergeCell ref="V255:V256"/>
    <mergeCell ref="W255:W256"/>
    <mergeCell ref="I177:I178"/>
    <mergeCell ref="J177:J178"/>
  </mergeCells>
  <phoneticPr fontId="1" type="noConversion"/>
  <hyperlinks>
    <hyperlink ref="B6" r:id="rId1" xr:uid="{00000000-0004-0000-0D00-000000000000}"/>
    <hyperlink ref="B9" r:id="rId2" xr:uid="{00000000-0004-0000-0D00-000001000000}"/>
    <hyperlink ref="B12" r:id="rId3" xr:uid="{00000000-0004-0000-0D00-000002000000}"/>
  </hyperlinks>
  <pageMargins left="0.7" right="0.7" top="0.75" bottom="0.75" header="0.3" footer="0.3"/>
  <customProperties>
    <customPr name="Guid" r:id="rId4"/>
  </customProperties>
  <legacy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3399FF"/>
  </sheetPr>
  <dimension ref="A1"/>
  <sheetViews>
    <sheetView workbookViewId="0"/>
  </sheetViews>
  <sheetFormatPr defaultRowHeight="17.399999999999999" x14ac:dyDescent="0.4"/>
  <cols>
    <col min="1" max="1" width="96" customWidth="1"/>
  </cols>
  <sheetData>
    <row r="1" spans="1:1" ht="109.5" customHeight="1" x14ac:dyDescent="0.8">
      <c r="A1" s="248" t="s">
        <v>1030</v>
      </c>
    </row>
  </sheetData>
  <phoneticPr fontId="1"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3399FF"/>
    <outlinePr summaryBelow="0" summaryRight="0"/>
    <pageSetUpPr autoPageBreaks="0"/>
  </sheetPr>
  <dimension ref="A5:IU92"/>
  <sheetViews>
    <sheetView topLeftCell="A71" zoomScale="130" zoomScaleNormal="130" workbookViewId="0">
      <selection activeCell="A85" sqref="A85"/>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5" width="13" style="79" customWidth="1"/>
    <col min="266" max="512" width="9" style="79"/>
    <col min="513" max="513" width="40.09765625" style="79" customWidth="1"/>
    <col min="514" max="521" width="13" style="79" customWidth="1"/>
    <col min="522" max="768" width="9" style="79"/>
    <col min="769" max="769" width="40.09765625" style="79" customWidth="1"/>
    <col min="770" max="777" width="13" style="79" customWidth="1"/>
    <col min="778" max="1024" width="9" style="79"/>
    <col min="1025" max="1025" width="40.09765625" style="79" customWidth="1"/>
    <col min="1026" max="1033" width="13" style="79" customWidth="1"/>
    <col min="1034" max="1280" width="9" style="79"/>
    <col min="1281" max="1281" width="40.09765625" style="79" customWidth="1"/>
    <col min="1282" max="1289" width="13" style="79" customWidth="1"/>
    <col min="1290" max="1536" width="9" style="79"/>
    <col min="1537" max="1537" width="40.09765625" style="79" customWidth="1"/>
    <col min="1538" max="1545" width="13" style="79" customWidth="1"/>
    <col min="1546" max="1792" width="9" style="79"/>
    <col min="1793" max="1793" width="40.09765625" style="79" customWidth="1"/>
    <col min="1794" max="1801" width="13" style="79" customWidth="1"/>
    <col min="1802" max="2048" width="9" style="79"/>
    <col min="2049" max="2049" width="40.09765625" style="79" customWidth="1"/>
    <col min="2050" max="2057" width="13" style="79" customWidth="1"/>
    <col min="2058" max="2304" width="9" style="79"/>
    <col min="2305" max="2305" width="40.09765625" style="79" customWidth="1"/>
    <col min="2306" max="2313" width="13" style="79" customWidth="1"/>
    <col min="2314" max="2560" width="9" style="79"/>
    <col min="2561" max="2561" width="40.09765625" style="79" customWidth="1"/>
    <col min="2562" max="2569" width="13" style="79" customWidth="1"/>
    <col min="2570" max="2816" width="9" style="79"/>
    <col min="2817" max="2817" width="40.09765625" style="79" customWidth="1"/>
    <col min="2818" max="2825" width="13" style="79" customWidth="1"/>
    <col min="2826" max="3072" width="9" style="79"/>
    <col min="3073" max="3073" width="40.09765625" style="79" customWidth="1"/>
    <col min="3074" max="3081" width="13" style="79" customWidth="1"/>
    <col min="3082" max="3328" width="9" style="79"/>
    <col min="3329" max="3329" width="40.09765625" style="79" customWidth="1"/>
    <col min="3330" max="3337" width="13" style="79" customWidth="1"/>
    <col min="3338" max="3584" width="9" style="79"/>
    <col min="3585" max="3585" width="40.09765625" style="79" customWidth="1"/>
    <col min="3586" max="3593" width="13" style="79" customWidth="1"/>
    <col min="3594" max="3840" width="9" style="79"/>
    <col min="3841" max="3841" width="40.09765625" style="79" customWidth="1"/>
    <col min="3842" max="3849" width="13" style="79" customWidth="1"/>
    <col min="3850" max="4096" width="9" style="79"/>
    <col min="4097" max="4097" width="40.09765625" style="79" customWidth="1"/>
    <col min="4098" max="4105" width="13" style="79" customWidth="1"/>
    <col min="4106" max="4352" width="9" style="79"/>
    <col min="4353" max="4353" width="40.09765625" style="79" customWidth="1"/>
    <col min="4354" max="4361" width="13" style="79" customWidth="1"/>
    <col min="4362" max="4608" width="9" style="79"/>
    <col min="4609" max="4609" width="40.09765625" style="79" customWidth="1"/>
    <col min="4610" max="4617" width="13" style="79" customWidth="1"/>
    <col min="4618" max="4864" width="9" style="79"/>
    <col min="4865" max="4865" width="40.09765625" style="79" customWidth="1"/>
    <col min="4866" max="4873" width="13" style="79" customWidth="1"/>
    <col min="4874" max="5120" width="9" style="79"/>
    <col min="5121" max="5121" width="40.09765625" style="79" customWidth="1"/>
    <col min="5122" max="5129" width="13" style="79" customWidth="1"/>
    <col min="5130" max="5376" width="9" style="79"/>
    <col min="5377" max="5377" width="40.09765625" style="79" customWidth="1"/>
    <col min="5378" max="5385" width="13" style="79" customWidth="1"/>
    <col min="5386" max="5632" width="9" style="79"/>
    <col min="5633" max="5633" width="40.09765625" style="79" customWidth="1"/>
    <col min="5634" max="5641" width="13" style="79" customWidth="1"/>
    <col min="5642" max="5888" width="9" style="79"/>
    <col min="5889" max="5889" width="40.09765625" style="79" customWidth="1"/>
    <col min="5890" max="5897" width="13" style="79" customWidth="1"/>
    <col min="5898" max="6144" width="9" style="79"/>
    <col min="6145" max="6145" width="40.09765625" style="79" customWidth="1"/>
    <col min="6146" max="6153" width="13" style="79" customWidth="1"/>
    <col min="6154" max="6400" width="9" style="79"/>
    <col min="6401" max="6401" width="40.09765625" style="79" customWidth="1"/>
    <col min="6402" max="6409" width="13" style="79" customWidth="1"/>
    <col min="6410" max="6656" width="9" style="79"/>
    <col min="6657" max="6657" width="40.09765625" style="79" customWidth="1"/>
    <col min="6658" max="6665" width="13" style="79" customWidth="1"/>
    <col min="6666" max="6912" width="9" style="79"/>
    <col min="6913" max="6913" width="40.09765625" style="79" customWidth="1"/>
    <col min="6914" max="6921" width="13" style="79" customWidth="1"/>
    <col min="6922" max="7168" width="9" style="79"/>
    <col min="7169" max="7169" width="40.09765625" style="79" customWidth="1"/>
    <col min="7170" max="7177" width="13" style="79" customWidth="1"/>
    <col min="7178" max="7424" width="9" style="79"/>
    <col min="7425" max="7425" width="40.09765625" style="79" customWidth="1"/>
    <col min="7426" max="7433" width="13" style="79" customWidth="1"/>
    <col min="7434" max="7680" width="9" style="79"/>
    <col min="7681" max="7681" width="40.09765625" style="79" customWidth="1"/>
    <col min="7682" max="7689" width="13" style="79" customWidth="1"/>
    <col min="7690" max="7936" width="9" style="79"/>
    <col min="7937" max="7937" width="40.09765625" style="79" customWidth="1"/>
    <col min="7938" max="7945" width="13" style="79" customWidth="1"/>
    <col min="7946" max="8192" width="9" style="79"/>
    <col min="8193" max="8193" width="40.09765625" style="79" customWidth="1"/>
    <col min="8194" max="8201" width="13" style="79" customWidth="1"/>
    <col min="8202" max="8448" width="9" style="79"/>
    <col min="8449" max="8449" width="40.09765625" style="79" customWidth="1"/>
    <col min="8450" max="8457" width="13" style="79" customWidth="1"/>
    <col min="8458" max="8704" width="9" style="79"/>
    <col min="8705" max="8705" width="40.09765625" style="79" customWidth="1"/>
    <col min="8706" max="8713" width="13" style="79" customWidth="1"/>
    <col min="8714" max="8960" width="9" style="79"/>
    <col min="8961" max="8961" width="40.09765625" style="79" customWidth="1"/>
    <col min="8962" max="8969" width="13" style="79" customWidth="1"/>
    <col min="8970" max="9216" width="9" style="79"/>
    <col min="9217" max="9217" width="40.09765625" style="79" customWidth="1"/>
    <col min="9218" max="9225" width="13" style="79" customWidth="1"/>
    <col min="9226" max="9472" width="9" style="79"/>
    <col min="9473" max="9473" width="40.09765625" style="79" customWidth="1"/>
    <col min="9474" max="9481" width="13" style="79" customWidth="1"/>
    <col min="9482" max="9728" width="9" style="79"/>
    <col min="9729" max="9729" width="40.09765625" style="79" customWidth="1"/>
    <col min="9730" max="9737" width="13" style="79" customWidth="1"/>
    <col min="9738" max="9984" width="9" style="79"/>
    <col min="9985" max="9985" width="40.09765625" style="79" customWidth="1"/>
    <col min="9986" max="9993" width="13" style="79" customWidth="1"/>
    <col min="9994" max="10240" width="9" style="79"/>
    <col min="10241" max="10241" width="40.09765625" style="79" customWidth="1"/>
    <col min="10242" max="10249" width="13" style="79" customWidth="1"/>
    <col min="10250" max="10496" width="9" style="79"/>
    <col min="10497" max="10497" width="40.09765625" style="79" customWidth="1"/>
    <col min="10498" max="10505" width="13" style="79" customWidth="1"/>
    <col min="10506" max="10752" width="9" style="79"/>
    <col min="10753" max="10753" width="40.09765625" style="79" customWidth="1"/>
    <col min="10754" max="10761" width="13" style="79" customWidth="1"/>
    <col min="10762" max="11008" width="9" style="79"/>
    <col min="11009" max="11009" width="40.09765625" style="79" customWidth="1"/>
    <col min="11010" max="11017" width="13" style="79" customWidth="1"/>
    <col min="11018" max="11264" width="9" style="79"/>
    <col min="11265" max="11265" width="40.09765625" style="79" customWidth="1"/>
    <col min="11266" max="11273" width="13" style="79" customWidth="1"/>
    <col min="11274" max="11520" width="9" style="79"/>
    <col min="11521" max="11521" width="40.09765625" style="79" customWidth="1"/>
    <col min="11522" max="11529" width="13" style="79" customWidth="1"/>
    <col min="11530" max="11776" width="9" style="79"/>
    <col min="11777" max="11777" width="40.09765625" style="79" customWidth="1"/>
    <col min="11778" max="11785" width="13" style="79" customWidth="1"/>
    <col min="11786" max="12032" width="9" style="79"/>
    <col min="12033" max="12033" width="40.09765625" style="79" customWidth="1"/>
    <col min="12034" max="12041" width="13" style="79" customWidth="1"/>
    <col min="12042" max="12288" width="9" style="79"/>
    <col min="12289" max="12289" width="40.09765625" style="79" customWidth="1"/>
    <col min="12290" max="12297" width="13" style="79" customWidth="1"/>
    <col min="12298" max="12544" width="9" style="79"/>
    <col min="12545" max="12545" width="40.09765625" style="79" customWidth="1"/>
    <col min="12546" max="12553" width="13" style="79" customWidth="1"/>
    <col min="12554" max="12800" width="9" style="79"/>
    <col min="12801" max="12801" width="40.09765625" style="79" customWidth="1"/>
    <col min="12802" max="12809" width="13" style="79" customWidth="1"/>
    <col min="12810" max="13056" width="9" style="79"/>
    <col min="13057" max="13057" width="40.09765625" style="79" customWidth="1"/>
    <col min="13058" max="13065" width="13" style="79" customWidth="1"/>
    <col min="13066" max="13312" width="9" style="79"/>
    <col min="13313" max="13313" width="40.09765625" style="79" customWidth="1"/>
    <col min="13314" max="13321" width="13" style="79" customWidth="1"/>
    <col min="13322" max="13568" width="9" style="79"/>
    <col min="13569" max="13569" width="40.09765625" style="79" customWidth="1"/>
    <col min="13570" max="13577" width="13" style="79" customWidth="1"/>
    <col min="13578" max="13824" width="9" style="79"/>
    <col min="13825" max="13825" width="40.09765625" style="79" customWidth="1"/>
    <col min="13826" max="13833" width="13" style="79" customWidth="1"/>
    <col min="13834" max="14080" width="9" style="79"/>
    <col min="14081" max="14081" width="40.09765625" style="79" customWidth="1"/>
    <col min="14082" max="14089" width="13" style="79" customWidth="1"/>
    <col min="14090" max="14336" width="9" style="79"/>
    <col min="14337" max="14337" width="40.09765625" style="79" customWidth="1"/>
    <col min="14338" max="14345" width="13" style="79" customWidth="1"/>
    <col min="14346" max="14592" width="9" style="79"/>
    <col min="14593" max="14593" width="40.09765625" style="79" customWidth="1"/>
    <col min="14594" max="14601" width="13" style="79" customWidth="1"/>
    <col min="14602" max="14848" width="9" style="79"/>
    <col min="14849" max="14849" width="40.09765625" style="79" customWidth="1"/>
    <col min="14850" max="14857" width="13" style="79" customWidth="1"/>
    <col min="14858" max="15104" width="9" style="79"/>
    <col min="15105" max="15105" width="40.09765625" style="79" customWidth="1"/>
    <col min="15106" max="15113" width="13" style="79" customWidth="1"/>
    <col min="15114" max="15360" width="9" style="79"/>
    <col min="15361" max="15361" width="40.09765625" style="79" customWidth="1"/>
    <col min="15362" max="15369" width="13" style="79" customWidth="1"/>
    <col min="15370" max="15616" width="9" style="79"/>
    <col min="15617" max="15617" width="40.09765625" style="79" customWidth="1"/>
    <col min="15618" max="15625" width="13" style="79" customWidth="1"/>
    <col min="15626" max="15872" width="9" style="79"/>
    <col min="15873" max="15873" width="40.09765625" style="79" customWidth="1"/>
    <col min="15874" max="15881" width="13" style="79" customWidth="1"/>
    <col min="15882" max="16128" width="9" style="79"/>
    <col min="16129" max="16129" width="40.09765625" style="79" customWidth="1"/>
    <col min="16130" max="16137" width="13" style="79" customWidth="1"/>
    <col min="16138" max="16384" width="9" style="79"/>
  </cols>
  <sheetData>
    <row r="5" spans="1:255" ht="16.2" x14ac:dyDescent="0.25">
      <c r="A5" s="78" t="s">
        <v>283</v>
      </c>
    </row>
    <row r="7" spans="1:255" ht="20.399999999999999" x14ac:dyDescent="0.2">
      <c r="A7" s="80" t="s">
        <v>284</v>
      </c>
      <c r="B7" s="81" t="s">
        <v>285</v>
      </c>
      <c r="C7" s="79" t="s">
        <v>286</v>
      </c>
      <c r="D7" s="82" t="s">
        <v>287</v>
      </c>
      <c r="E7" s="81" t="s">
        <v>288</v>
      </c>
      <c r="F7" s="79" t="s">
        <v>289</v>
      </c>
    </row>
    <row r="8" spans="1:255" x14ac:dyDescent="0.2">
      <c r="A8" s="82"/>
      <c r="B8" s="81" t="s">
        <v>290</v>
      </c>
      <c r="C8" s="79" t="s">
        <v>291</v>
      </c>
      <c r="D8" s="82" t="s">
        <v>287</v>
      </c>
      <c r="E8" s="81" t="s">
        <v>292</v>
      </c>
      <c r="F8" s="79" t="s">
        <v>293</v>
      </c>
    </row>
    <row r="9" spans="1:255" x14ac:dyDescent="0.2">
      <c r="A9" s="82"/>
      <c r="B9" s="81" t="s">
        <v>294</v>
      </c>
      <c r="C9" s="83" t="s">
        <v>295</v>
      </c>
      <c r="D9" s="82" t="s">
        <v>287</v>
      </c>
      <c r="E9" s="81" t="s">
        <v>296</v>
      </c>
      <c r="F9" s="79" t="s">
        <v>297</v>
      </c>
    </row>
    <row r="12" spans="1:255" x14ac:dyDescent="0.2">
      <c r="A12" s="84" t="s">
        <v>298</v>
      </c>
      <c r="B12" s="84"/>
      <c r="C12" s="84"/>
      <c r="D12" s="84"/>
      <c r="E12" s="84"/>
      <c r="F12" s="84"/>
      <c r="G12" s="84"/>
      <c r="H12" s="84"/>
      <c r="I12" s="84"/>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5"/>
      <c r="FO12" s="85"/>
      <c r="FP12" s="85"/>
      <c r="FQ12" s="85"/>
      <c r="FR12" s="85"/>
      <c r="FS12" s="85"/>
      <c r="FT12" s="85"/>
      <c r="FU12" s="85"/>
      <c r="FV12" s="85"/>
      <c r="FW12" s="85"/>
      <c r="FX12" s="85"/>
      <c r="FY12" s="85"/>
      <c r="FZ12" s="85"/>
      <c r="GA12" s="85"/>
      <c r="GB12" s="85"/>
      <c r="GC12" s="85"/>
      <c r="GD12" s="85"/>
      <c r="GE12" s="85"/>
      <c r="GF12" s="85"/>
      <c r="GG12" s="85"/>
      <c r="GH12" s="85"/>
      <c r="GI12" s="85"/>
      <c r="GJ12" s="85"/>
      <c r="GK12" s="85"/>
      <c r="GL12" s="85"/>
      <c r="GM12" s="85"/>
      <c r="GN12" s="85"/>
      <c r="GO12" s="85"/>
      <c r="GP12" s="85"/>
      <c r="GQ12" s="85"/>
      <c r="GR12" s="85"/>
      <c r="GS12" s="85"/>
      <c r="GT12" s="85"/>
      <c r="GU12" s="85"/>
      <c r="GV12" s="85"/>
      <c r="GW12" s="85"/>
      <c r="GX12" s="85"/>
      <c r="GY12" s="85"/>
      <c r="GZ12" s="85"/>
      <c r="HA12" s="85"/>
      <c r="HB12" s="85"/>
      <c r="HC12" s="85"/>
      <c r="HD12" s="85"/>
      <c r="HE12" s="85"/>
      <c r="HF12" s="85"/>
      <c r="HG12" s="85"/>
      <c r="HH12" s="85"/>
      <c r="HI12" s="85"/>
      <c r="HJ12" s="85"/>
      <c r="HK12" s="85"/>
      <c r="HL12" s="85"/>
      <c r="HM12" s="85"/>
      <c r="HN12" s="85"/>
      <c r="HO12" s="85"/>
      <c r="HP12" s="85"/>
      <c r="HQ12" s="85"/>
      <c r="HR12" s="85"/>
      <c r="HS12" s="85"/>
      <c r="HT12" s="85"/>
      <c r="HU12" s="85"/>
      <c r="HV12" s="85"/>
      <c r="HW12" s="85"/>
      <c r="HX12" s="85"/>
      <c r="HY12" s="85"/>
      <c r="HZ12" s="85"/>
      <c r="IA12" s="85"/>
      <c r="IB12" s="85"/>
      <c r="IC12" s="85"/>
      <c r="ID12" s="85"/>
      <c r="IE12" s="85"/>
      <c r="IF12" s="85"/>
      <c r="IG12" s="85"/>
      <c r="IH12" s="85"/>
      <c r="II12" s="85"/>
      <c r="IJ12" s="85"/>
      <c r="IK12" s="85"/>
      <c r="IL12" s="85"/>
      <c r="IM12" s="85"/>
      <c r="IN12" s="85"/>
      <c r="IO12" s="85"/>
      <c r="IP12" s="85"/>
      <c r="IQ12" s="85"/>
      <c r="IR12" s="85"/>
      <c r="IS12" s="85"/>
      <c r="IT12" s="85"/>
      <c r="IU12" s="85"/>
    </row>
    <row r="13" spans="1:255" ht="30.6" x14ac:dyDescent="0.2">
      <c r="A13" s="249" t="s">
        <v>299</v>
      </c>
      <c r="B13" s="250" t="s">
        <v>300</v>
      </c>
      <c r="C13" s="250" t="s">
        <v>301</v>
      </c>
      <c r="D13" s="250" t="s">
        <v>302</v>
      </c>
      <c r="E13" s="250" t="s">
        <v>303</v>
      </c>
      <c r="F13" s="250" t="s">
        <v>304</v>
      </c>
      <c r="G13" s="250" t="s">
        <v>305</v>
      </c>
      <c r="H13" s="250" t="s">
        <v>306</v>
      </c>
      <c r="I13" s="250" t="s">
        <v>307</v>
      </c>
    </row>
    <row r="14" spans="1:255" x14ac:dyDescent="0.2">
      <c r="A14" s="251" t="s">
        <v>308</v>
      </c>
      <c r="B14" s="252" t="s">
        <v>309</v>
      </c>
      <c r="C14" s="252" t="s">
        <v>309</v>
      </c>
      <c r="D14" s="252" t="s">
        <v>309</v>
      </c>
      <c r="E14" s="252" t="s">
        <v>309</v>
      </c>
      <c r="F14" s="252" t="s">
        <v>309</v>
      </c>
      <c r="G14" s="252" t="s">
        <v>309</v>
      </c>
      <c r="H14" s="252" t="s">
        <v>309</v>
      </c>
      <c r="I14" s="252" t="s">
        <v>309</v>
      </c>
    </row>
    <row r="15" spans="1:255" x14ac:dyDescent="0.2">
      <c r="A15" s="90"/>
      <c r="B15" s="82"/>
      <c r="C15" s="82"/>
      <c r="D15" s="82"/>
      <c r="E15" s="82"/>
      <c r="F15" s="82"/>
      <c r="G15" s="82"/>
      <c r="H15" s="82"/>
      <c r="I15" s="82"/>
    </row>
    <row r="16" spans="1:255" x14ac:dyDescent="0.2">
      <c r="A16" s="90" t="s">
        <v>261</v>
      </c>
      <c r="B16" s="91">
        <v>57038</v>
      </c>
      <c r="C16" s="91">
        <v>82456</v>
      </c>
      <c r="D16" s="91">
        <v>118530</v>
      </c>
      <c r="E16" s="91">
        <v>190592</v>
      </c>
      <c r="F16" s="91">
        <v>268475</v>
      </c>
      <c r="G16" s="91">
        <v>358810</v>
      </c>
      <c r="H16" s="91">
        <v>381177</v>
      </c>
      <c r="I16" s="92">
        <v>452403.1</v>
      </c>
    </row>
    <row r="17" spans="1:9" x14ac:dyDescent="0.2">
      <c r="A17" s="93" t="s">
        <v>310</v>
      </c>
      <c r="B17" s="94" t="s">
        <v>311</v>
      </c>
      <c r="C17" s="95">
        <v>0.44563199999999997</v>
      </c>
      <c r="D17" s="95">
        <v>0.43749300000000002</v>
      </c>
      <c r="E17" s="95">
        <v>0.60796399999999995</v>
      </c>
      <c r="F17" s="95">
        <v>0.40863699999999997</v>
      </c>
      <c r="G17" s="95">
        <v>0.336474</v>
      </c>
      <c r="H17" s="95">
        <v>0.30962099999999998</v>
      </c>
      <c r="I17" s="96">
        <v>0.26084306457500001</v>
      </c>
    </row>
    <row r="18" spans="1:9" x14ac:dyDescent="0.2">
      <c r="A18" s="82"/>
      <c r="B18" s="82"/>
      <c r="C18" s="82"/>
      <c r="D18" s="82"/>
      <c r="E18" s="82"/>
      <c r="F18" s="82"/>
      <c r="G18" s="82"/>
      <c r="H18" s="82"/>
      <c r="I18" s="82"/>
    </row>
    <row r="19" spans="1:9" x14ac:dyDescent="0.2">
      <c r="A19" s="90" t="s">
        <v>312</v>
      </c>
      <c r="B19" s="91">
        <v>20775</v>
      </c>
      <c r="C19" s="91">
        <v>31603</v>
      </c>
      <c r="D19" s="91">
        <v>44540</v>
      </c>
      <c r="E19" s="91">
        <v>76554</v>
      </c>
      <c r="F19" s="91">
        <v>107363</v>
      </c>
      <c r="G19" s="91">
        <v>140536</v>
      </c>
      <c r="H19" s="91">
        <v>150895</v>
      </c>
      <c r="I19" s="91" t="s">
        <v>313</v>
      </c>
    </row>
    <row r="20" spans="1:9" x14ac:dyDescent="0.2">
      <c r="A20" s="93" t="s">
        <v>314</v>
      </c>
      <c r="B20" s="95">
        <v>0.36423</v>
      </c>
      <c r="C20" s="95">
        <v>0.38327099999999997</v>
      </c>
      <c r="D20" s="95">
        <v>0.37576900000000002</v>
      </c>
      <c r="E20" s="95">
        <v>0.40166400000000002</v>
      </c>
      <c r="F20" s="95">
        <v>0.399899</v>
      </c>
      <c r="G20" s="95">
        <v>0.39167200000000002</v>
      </c>
      <c r="H20" s="95">
        <v>0.39586500000000002</v>
      </c>
      <c r="I20" s="96">
        <v>0.2535</v>
      </c>
    </row>
    <row r="21" spans="1:9" x14ac:dyDescent="0.2">
      <c r="A21" s="82"/>
      <c r="B21" s="82"/>
      <c r="C21" s="82"/>
      <c r="D21" s="82"/>
      <c r="E21" s="82"/>
      <c r="F21" s="82"/>
      <c r="G21" s="82"/>
      <c r="H21" s="82"/>
      <c r="I21" s="82"/>
    </row>
    <row r="22" spans="1:9" x14ac:dyDescent="0.2">
      <c r="A22" s="90" t="s">
        <v>121</v>
      </c>
      <c r="B22" s="91">
        <v>6848</v>
      </c>
      <c r="C22" s="91">
        <v>11555</v>
      </c>
      <c r="D22" s="91">
        <v>9057</v>
      </c>
      <c r="E22" s="91">
        <v>30580</v>
      </c>
      <c r="F22" s="91">
        <v>42341</v>
      </c>
      <c r="G22" s="91">
        <v>56789</v>
      </c>
      <c r="H22" s="91">
        <v>60600</v>
      </c>
      <c r="I22" s="92">
        <v>63724.59</v>
      </c>
    </row>
    <row r="23" spans="1:9" x14ac:dyDescent="0.2">
      <c r="A23" s="93" t="s">
        <v>314</v>
      </c>
      <c r="B23" s="95">
        <v>0.12006</v>
      </c>
      <c r="C23" s="95">
        <v>0.14013500000000001</v>
      </c>
      <c r="D23" s="95">
        <v>7.6411000000000007E-2</v>
      </c>
      <c r="E23" s="95">
        <v>0.16044700000000001</v>
      </c>
      <c r="F23" s="95">
        <v>0.15770899999999999</v>
      </c>
      <c r="G23" s="95">
        <v>0.15826999999999999</v>
      </c>
      <c r="H23" s="95">
        <v>0.15898100000000001</v>
      </c>
      <c r="I23" s="96">
        <v>0.14085798704700001</v>
      </c>
    </row>
    <row r="24" spans="1:9" x14ac:dyDescent="0.2">
      <c r="A24" s="82"/>
      <c r="B24" s="82"/>
      <c r="C24" s="82"/>
      <c r="D24" s="82"/>
      <c r="E24" s="82"/>
      <c r="F24" s="82"/>
      <c r="G24" s="82"/>
      <c r="H24" s="82"/>
      <c r="I24" s="82"/>
    </row>
    <row r="25" spans="1:9" x14ac:dyDescent="0.2">
      <c r="A25" s="90" t="s">
        <v>315</v>
      </c>
      <c r="B25" s="91">
        <v>4686</v>
      </c>
      <c r="C25" s="91">
        <v>8014</v>
      </c>
      <c r="D25" s="91">
        <v>3248</v>
      </c>
      <c r="E25" s="91">
        <v>20358</v>
      </c>
      <c r="F25" s="91">
        <v>27839</v>
      </c>
      <c r="G25" s="91">
        <v>35085</v>
      </c>
      <c r="H25" s="91">
        <v>37146</v>
      </c>
      <c r="I25" s="92">
        <v>28796.41</v>
      </c>
    </row>
    <row r="26" spans="1:9" x14ac:dyDescent="0.2">
      <c r="A26" s="93" t="s">
        <v>314</v>
      </c>
      <c r="B26" s="95">
        <v>8.2155000000000006E-2</v>
      </c>
      <c r="C26" s="95">
        <v>9.7191E-2</v>
      </c>
      <c r="D26" s="95">
        <v>2.7401999999999999E-2</v>
      </c>
      <c r="E26" s="95">
        <v>0.10681400000000001</v>
      </c>
      <c r="F26" s="95">
        <v>0.10369299999999999</v>
      </c>
      <c r="G26" s="95">
        <v>9.7781000000000007E-2</v>
      </c>
      <c r="H26" s="95">
        <v>9.7449999999999995E-2</v>
      </c>
      <c r="I26" s="96">
        <v>6.3652105831999997E-2</v>
      </c>
    </row>
    <row r="27" spans="1:9" x14ac:dyDescent="0.2">
      <c r="A27" s="82"/>
      <c r="B27" s="82"/>
      <c r="C27" s="82"/>
      <c r="D27" s="82"/>
      <c r="E27" s="82"/>
      <c r="F27" s="82"/>
      <c r="G27" s="82"/>
      <c r="H27" s="82"/>
      <c r="I27" s="82"/>
    </row>
    <row r="28" spans="1:9" x14ac:dyDescent="0.2">
      <c r="A28" s="90" t="s">
        <v>316</v>
      </c>
      <c r="B28" s="91">
        <v>4133</v>
      </c>
      <c r="C28" s="91">
        <v>5423</v>
      </c>
      <c r="D28" s="91">
        <v>2118</v>
      </c>
      <c r="E28" s="91">
        <v>3124</v>
      </c>
      <c r="F28" s="91">
        <v>22146</v>
      </c>
      <c r="G28" s="91">
        <v>8884</v>
      </c>
      <c r="H28" s="91">
        <v>10001</v>
      </c>
      <c r="I28" s="91" t="s">
        <v>313</v>
      </c>
    </row>
    <row r="29" spans="1:9" x14ac:dyDescent="0.2">
      <c r="A29" s="93" t="s">
        <v>314</v>
      </c>
      <c r="B29" s="95">
        <v>7.2459999999999997E-2</v>
      </c>
      <c r="C29" s="95">
        <v>6.5767999999999993E-2</v>
      </c>
      <c r="D29" s="95">
        <v>1.7867999999999998E-2</v>
      </c>
      <c r="E29" s="95">
        <v>1.6390999999999999E-2</v>
      </c>
      <c r="F29" s="95">
        <v>8.2488000000000006E-2</v>
      </c>
      <c r="G29" s="95">
        <v>2.4759E-2</v>
      </c>
      <c r="H29" s="95">
        <v>2.6237E-2</v>
      </c>
      <c r="I29" s="94" t="s">
        <v>313</v>
      </c>
    </row>
    <row r="30" spans="1:9" x14ac:dyDescent="0.2">
      <c r="A30" s="82"/>
      <c r="B30" s="82"/>
      <c r="C30" s="82"/>
      <c r="D30" s="82"/>
      <c r="E30" s="82"/>
      <c r="F30" s="82"/>
      <c r="G30" s="82"/>
      <c r="H30" s="82"/>
      <c r="I30" s="82"/>
    </row>
    <row r="31" spans="1:9" x14ac:dyDescent="0.2">
      <c r="A31" s="90" t="s">
        <v>317</v>
      </c>
      <c r="B31" s="91">
        <v>4133</v>
      </c>
      <c r="C31" s="91">
        <v>5423</v>
      </c>
      <c r="D31" s="91">
        <v>2118</v>
      </c>
      <c r="E31" s="91">
        <v>-8776</v>
      </c>
      <c r="F31" s="91">
        <v>12446</v>
      </c>
      <c r="G31" s="91">
        <v>-320</v>
      </c>
      <c r="H31" s="91">
        <v>921</v>
      </c>
      <c r="I31" s="92">
        <v>20156.63</v>
      </c>
    </row>
    <row r="32" spans="1:9" x14ac:dyDescent="0.2">
      <c r="A32" s="93" t="s">
        <v>314</v>
      </c>
      <c r="B32" s="95">
        <v>7.2459999999999997E-2</v>
      </c>
      <c r="C32" s="95">
        <v>6.5767999999999993E-2</v>
      </c>
      <c r="D32" s="95">
        <v>1.7867999999999998E-2</v>
      </c>
      <c r="E32" s="95">
        <v>-4.6045999999999997E-2</v>
      </c>
      <c r="F32" s="95">
        <v>4.6358000000000003E-2</v>
      </c>
      <c r="G32" s="95">
        <v>-8.9099999999999997E-4</v>
      </c>
      <c r="H32" s="95">
        <v>2.4160000000000002E-3</v>
      </c>
      <c r="I32" s="96">
        <v>4.4554579753999998E-2</v>
      </c>
    </row>
    <row r="33" spans="1:255" x14ac:dyDescent="0.2">
      <c r="A33" s="82"/>
      <c r="B33" s="82"/>
      <c r="C33" s="82"/>
      <c r="D33" s="82"/>
      <c r="E33" s="82"/>
      <c r="F33" s="82"/>
      <c r="G33" s="82"/>
      <c r="H33" s="82"/>
      <c r="I33" s="82"/>
    </row>
    <row r="34" spans="1:255" x14ac:dyDescent="0.2">
      <c r="A34" s="90" t="s">
        <v>318</v>
      </c>
      <c r="B34" s="92" t="s">
        <v>311</v>
      </c>
      <c r="C34" s="92">
        <v>0.18</v>
      </c>
      <c r="D34" s="92">
        <v>7.0314000000000002E-2</v>
      </c>
      <c r="E34" s="92">
        <v>-0.65</v>
      </c>
      <c r="F34" s="92">
        <v>0.53</v>
      </c>
      <c r="G34" s="92">
        <v>-0.01</v>
      </c>
      <c r="H34" s="92">
        <v>3.5028999999999998E-2</v>
      </c>
      <c r="I34" s="92">
        <v>0.54317000000000004</v>
      </c>
    </row>
    <row r="35" spans="1:255" x14ac:dyDescent="0.2">
      <c r="A35" s="93" t="s">
        <v>310</v>
      </c>
      <c r="B35" s="94" t="s">
        <v>311</v>
      </c>
      <c r="C35" s="94" t="s">
        <v>311</v>
      </c>
      <c r="D35" s="95">
        <v>-0.60936699999999999</v>
      </c>
      <c r="E35" s="95" t="s">
        <v>319</v>
      </c>
      <c r="F35" s="95" t="s">
        <v>319</v>
      </c>
      <c r="G35" s="95" t="s">
        <v>319</v>
      </c>
      <c r="H35" s="95">
        <v>-0.93489</v>
      </c>
      <c r="I35" s="96">
        <v>-4.7070175439000002E-2</v>
      </c>
    </row>
    <row r="36" spans="1:255" x14ac:dyDescent="0.2">
      <c r="A36" s="82"/>
      <c r="B36" s="82"/>
      <c r="C36" s="82"/>
      <c r="D36" s="82"/>
      <c r="E36" s="82"/>
      <c r="F36" s="82"/>
      <c r="G36" s="82"/>
      <c r="H36" s="82"/>
      <c r="I36" s="82"/>
    </row>
    <row r="37" spans="1:255" x14ac:dyDescent="0.2">
      <c r="A37" s="82"/>
      <c r="B37" s="82" t="s">
        <v>320</v>
      </c>
      <c r="C37" s="82" t="s">
        <v>320</v>
      </c>
      <c r="D37" s="82" t="s">
        <v>320</v>
      </c>
      <c r="E37" s="82" t="s">
        <v>320</v>
      </c>
      <c r="F37" s="82" t="s">
        <v>320</v>
      </c>
      <c r="G37" s="82" t="s">
        <v>320</v>
      </c>
      <c r="H37" s="82" t="s">
        <v>320</v>
      </c>
      <c r="I37" s="82" t="s">
        <v>320</v>
      </c>
    </row>
    <row r="38" spans="1:255" x14ac:dyDescent="0.2">
      <c r="A38" s="82" t="s">
        <v>308</v>
      </c>
      <c r="B38" s="97" t="s">
        <v>309</v>
      </c>
      <c r="C38" s="97" t="s">
        <v>309</v>
      </c>
      <c r="D38" s="97" t="s">
        <v>309</v>
      </c>
      <c r="E38" s="97" t="s">
        <v>309</v>
      </c>
      <c r="F38" s="97" t="s">
        <v>309</v>
      </c>
      <c r="G38" s="97" t="s">
        <v>309</v>
      </c>
      <c r="H38" s="97" t="s">
        <v>309</v>
      </c>
      <c r="I38" s="97" t="s">
        <v>309</v>
      </c>
    </row>
    <row r="39" spans="1:255" x14ac:dyDescent="0.2">
      <c r="A39" s="82" t="s">
        <v>321</v>
      </c>
      <c r="B39" s="98">
        <v>1</v>
      </c>
      <c r="C39" s="98">
        <v>1</v>
      </c>
      <c r="D39" s="98">
        <v>1</v>
      </c>
      <c r="E39" s="98">
        <v>1</v>
      </c>
      <c r="F39" s="98">
        <v>1</v>
      </c>
      <c r="G39" s="98">
        <v>1</v>
      </c>
      <c r="H39" s="98">
        <v>1</v>
      </c>
      <c r="I39" s="98">
        <v>1</v>
      </c>
    </row>
    <row r="40" spans="1:255" x14ac:dyDescent="0.2">
      <c r="A40" s="82" t="s">
        <v>322</v>
      </c>
      <c r="B40" s="97" t="s">
        <v>323</v>
      </c>
      <c r="C40" s="97" t="s">
        <v>323</v>
      </c>
      <c r="D40" s="97" t="s">
        <v>323</v>
      </c>
      <c r="E40" s="97" t="s">
        <v>323</v>
      </c>
      <c r="F40" s="97" t="s">
        <v>323</v>
      </c>
      <c r="G40" s="97" t="s">
        <v>323</v>
      </c>
      <c r="H40" s="97" t="s">
        <v>323</v>
      </c>
      <c r="I40" s="97" t="s">
        <v>324</v>
      </c>
    </row>
    <row r="41" spans="1:255" x14ac:dyDescent="0.2">
      <c r="A41" s="99"/>
      <c r="B41" s="99"/>
      <c r="C41" s="99"/>
      <c r="D41" s="99"/>
      <c r="E41" s="99"/>
      <c r="F41" s="99"/>
      <c r="G41" s="99"/>
      <c r="H41" s="99"/>
      <c r="I41" s="99"/>
    </row>
    <row r="42" spans="1:255" x14ac:dyDescent="0.2">
      <c r="A42" s="79" t="s">
        <v>325</v>
      </c>
    </row>
    <row r="43" spans="1:255" x14ac:dyDescent="0.2">
      <c r="A43" s="79" t="s">
        <v>326</v>
      </c>
    </row>
    <row r="44" spans="1:255" x14ac:dyDescent="0.2">
      <c r="A44" s="79" t="s">
        <v>327</v>
      </c>
    </row>
    <row r="45" spans="1:255" x14ac:dyDescent="0.2">
      <c r="A45" s="79" t="s">
        <v>328</v>
      </c>
    </row>
    <row r="46" spans="1:255" x14ac:dyDescent="0.2">
      <c r="A46" s="79" t="s">
        <v>329</v>
      </c>
    </row>
    <row r="48" spans="1:255" x14ac:dyDescent="0.2">
      <c r="A48" s="84" t="s">
        <v>330</v>
      </c>
      <c r="B48" s="84"/>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c r="CY48" s="85"/>
      <c r="CZ48" s="85"/>
      <c r="DA48" s="85"/>
      <c r="DB48" s="85"/>
      <c r="DC48" s="85"/>
      <c r="DD48" s="85"/>
      <c r="DE48" s="85"/>
      <c r="DF48" s="85"/>
      <c r="DG48" s="85"/>
      <c r="DH48" s="85"/>
      <c r="DI48" s="85"/>
      <c r="DJ48" s="85"/>
      <c r="DK48" s="85"/>
      <c r="DL48" s="85"/>
      <c r="DM48" s="85"/>
      <c r="DN48" s="85"/>
      <c r="DO48" s="85"/>
      <c r="DP48" s="85"/>
      <c r="DQ48" s="85"/>
      <c r="DR48" s="85"/>
      <c r="DS48" s="85"/>
      <c r="DT48" s="85"/>
      <c r="DU48" s="85"/>
      <c r="DV48" s="85"/>
      <c r="DW48" s="85"/>
      <c r="DX48" s="85"/>
      <c r="DY48" s="85"/>
      <c r="DZ48" s="85"/>
      <c r="EA48" s="85"/>
      <c r="EB48" s="85"/>
      <c r="EC48" s="85"/>
      <c r="ED48" s="85"/>
      <c r="EE48" s="85"/>
      <c r="EF48" s="85"/>
      <c r="EG48" s="85"/>
      <c r="EH48" s="85"/>
      <c r="EI48" s="85"/>
      <c r="EJ48" s="85"/>
      <c r="EK48" s="85"/>
      <c r="EL48" s="85"/>
      <c r="EM48" s="85"/>
      <c r="EN48" s="85"/>
      <c r="EO48" s="85"/>
      <c r="EP48" s="85"/>
      <c r="EQ48" s="85"/>
      <c r="ER48" s="85"/>
      <c r="ES48" s="85"/>
      <c r="ET48" s="85"/>
      <c r="EU48" s="85"/>
      <c r="EV48" s="85"/>
      <c r="EW48" s="85"/>
      <c r="EX48" s="85"/>
      <c r="EY48" s="85"/>
      <c r="EZ48" s="85"/>
      <c r="FA48" s="85"/>
      <c r="FB48" s="85"/>
      <c r="FC48" s="85"/>
      <c r="FD48" s="85"/>
      <c r="FE48" s="85"/>
      <c r="FF48" s="85"/>
      <c r="FG48" s="85"/>
      <c r="FH48" s="85"/>
      <c r="FI48" s="85"/>
      <c r="FJ48" s="85"/>
      <c r="FK48" s="85"/>
      <c r="FL48" s="85"/>
      <c r="FM48" s="85"/>
      <c r="FN48" s="85"/>
      <c r="FO48" s="85"/>
      <c r="FP48" s="85"/>
      <c r="FQ48" s="85"/>
      <c r="FR48" s="85"/>
      <c r="FS48" s="85"/>
      <c r="FT48" s="85"/>
      <c r="FU48" s="85"/>
      <c r="FV48" s="85"/>
      <c r="FW48" s="85"/>
      <c r="FX48" s="85"/>
      <c r="FY48" s="85"/>
      <c r="FZ48" s="85"/>
      <c r="GA48" s="85"/>
      <c r="GB48" s="85"/>
      <c r="GC48" s="85"/>
      <c r="GD48" s="85"/>
      <c r="GE48" s="85"/>
      <c r="GF48" s="85"/>
      <c r="GG48" s="85"/>
      <c r="GH48" s="85"/>
      <c r="GI48" s="85"/>
      <c r="GJ48" s="85"/>
      <c r="GK48" s="85"/>
      <c r="GL48" s="85"/>
      <c r="GM48" s="85"/>
      <c r="GN48" s="85"/>
      <c r="GO48" s="85"/>
      <c r="GP48" s="85"/>
      <c r="GQ48" s="85"/>
      <c r="GR48" s="85"/>
      <c r="GS48" s="85"/>
      <c r="GT48" s="85"/>
      <c r="GU48" s="85"/>
      <c r="GV48" s="85"/>
      <c r="GW48" s="85"/>
      <c r="GX48" s="85"/>
      <c r="GY48" s="85"/>
      <c r="GZ48" s="85"/>
      <c r="HA48" s="85"/>
      <c r="HB48" s="85"/>
      <c r="HC48" s="85"/>
      <c r="HD48" s="85"/>
      <c r="HE48" s="85"/>
      <c r="HF48" s="85"/>
      <c r="HG48" s="85"/>
      <c r="HH48" s="85"/>
      <c r="HI48" s="85"/>
      <c r="HJ48" s="85"/>
      <c r="HK48" s="85"/>
      <c r="HL48" s="85"/>
      <c r="HM48" s="85"/>
      <c r="HN48" s="85"/>
      <c r="HO48" s="85"/>
      <c r="HP48" s="85"/>
      <c r="HQ48" s="85"/>
      <c r="HR48" s="85"/>
      <c r="HS48" s="85"/>
      <c r="HT48" s="85"/>
      <c r="HU48" s="85"/>
      <c r="HV48" s="85"/>
      <c r="HW48" s="85"/>
      <c r="HX48" s="85"/>
      <c r="HY48" s="85"/>
      <c r="HZ48" s="85"/>
      <c r="IA48" s="85"/>
      <c r="IB48" s="85"/>
      <c r="IC48" s="85"/>
      <c r="ID48" s="85"/>
      <c r="IE48" s="85"/>
      <c r="IF48" s="85"/>
      <c r="IG48" s="85"/>
      <c r="IH48" s="85"/>
      <c r="II48" s="85"/>
      <c r="IJ48" s="85"/>
      <c r="IK48" s="85"/>
      <c r="IL48" s="85"/>
      <c r="IM48" s="85"/>
      <c r="IN48" s="85"/>
      <c r="IO48" s="85"/>
      <c r="IP48" s="85"/>
      <c r="IQ48" s="85"/>
      <c r="IR48" s="85"/>
      <c r="IS48" s="85"/>
      <c r="IT48" s="85"/>
      <c r="IU48" s="85"/>
    </row>
    <row r="49" spans="1:2" x14ac:dyDescent="0.2">
      <c r="A49" s="251" t="s">
        <v>308</v>
      </c>
      <c r="B49" s="252" t="s">
        <v>309</v>
      </c>
    </row>
    <row r="50" spans="1:2" x14ac:dyDescent="0.2">
      <c r="A50" s="82" t="s">
        <v>331</v>
      </c>
      <c r="B50" s="100">
        <v>65.260000000000005</v>
      </c>
    </row>
    <row r="51" spans="1:2" x14ac:dyDescent="0.2">
      <c r="A51" s="82" t="s">
        <v>332</v>
      </c>
      <c r="B51" s="98">
        <v>27811.48</v>
      </c>
    </row>
    <row r="52" spans="1:2" x14ac:dyDescent="0.2">
      <c r="A52" s="82"/>
      <c r="B52" s="82"/>
    </row>
    <row r="53" spans="1:2" x14ac:dyDescent="0.2">
      <c r="A53" s="90" t="s">
        <v>333</v>
      </c>
      <c r="B53" s="91">
        <v>1814977.1839999999</v>
      </c>
    </row>
    <row r="54" spans="1:2" x14ac:dyDescent="0.2">
      <c r="A54" s="82" t="s">
        <v>334</v>
      </c>
      <c r="B54" s="98">
        <v>87752</v>
      </c>
    </row>
    <row r="55" spans="1:2" x14ac:dyDescent="0.2">
      <c r="A55" s="82" t="s">
        <v>335</v>
      </c>
      <c r="B55" s="98">
        <v>17030</v>
      </c>
    </row>
    <row r="56" spans="1:2" x14ac:dyDescent="0.2">
      <c r="A56" s="82" t="s">
        <v>336</v>
      </c>
      <c r="B56" s="98" t="s">
        <v>313</v>
      </c>
    </row>
    <row r="57" spans="1:2" x14ac:dyDescent="0.2">
      <c r="A57" s="82" t="s">
        <v>337</v>
      </c>
      <c r="B57" s="98">
        <v>50991</v>
      </c>
    </row>
    <row r="58" spans="1:2" x14ac:dyDescent="0.2">
      <c r="A58" s="90" t="s">
        <v>338</v>
      </c>
      <c r="B58" s="91">
        <v>1795246.1839999999</v>
      </c>
    </row>
    <row r="59" spans="1:2" x14ac:dyDescent="0.2">
      <c r="A59" s="82"/>
      <c r="B59" s="82"/>
    </row>
    <row r="60" spans="1:2" x14ac:dyDescent="0.2">
      <c r="A60" s="90" t="s">
        <v>339</v>
      </c>
      <c r="B60" s="91">
        <v>36981.716</v>
      </c>
    </row>
    <row r="61" spans="1:2" x14ac:dyDescent="0.2">
      <c r="A61" s="90" t="s">
        <v>340</v>
      </c>
      <c r="B61" s="91">
        <v>2413426.7850000001</v>
      </c>
    </row>
    <row r="62" spans="1:2" x14ac:dyDescent="0.2">
      <c r="A62" s="82" t="s">
        <v>341</v>
      </c>
      <c r="B62" s="98">
        <v>182142</v>
      </c>
    </row>
    <row r="63" spans="1:2" x14ac:dyDescent="0.2">
      <c r="A63" s="82" t="s">
        <v>336</v>
      </c>
      <c r="B63" s="98" t="s">
        <v>313</v>
      </c>
    </row>
    <row r="64" spans="1:2" x14ac:dyDescent="0.2">
      <c r="A64" s="82" t="s">
        <v>337</v>
      </c>
      <c r="B64" s="98">
        <v>50991</v>
      </c>
    </row>
    <row r="65" spans="1:255" x14ac:dyDescent="0.2">
      <c r="A65" s="82" t="s">
        <v>335</v>
      </c>
      <c r="B65" s="98">
        <v>17030</v>
      </c>
    </row>
    <row r="66" spans="1:255" x14ac:dyDescent="0.2">
      <c r="A66" s="90" t="s">
        <v>342</v>
      </c>
      <c r="B66" s="91">
        <v>250163</v>
      </c>
    </row>
    <row r="67" spans="1:255" x14ac:dyDescent="0.2">
      <c r="A67" s="82"/>
      <c r="B67" s="82"/>
    </row>
    <row r="68" spans="1:255" ht="81.599999999999994" x14ac:dyDescent="0.2">
      <c r="A68" s="99" t="s">
        <v>343</v>
      </c>
      <c r="B68" s="99"/>
    </row>
    <row r="69" spans="1:255" x14ac:dyDescent="0.2">
      <c r="A69" s="79" t="s">
        <v>344</v>
      </c>
    </row>
    <row r="70" spans="1:255" ht="200.1" customHeight="1" x14ac:dyDescent="0.2">
      <c r="A70" s="101"/>
    </row>
    <row r="71" spans="1:255" x14ac:dyDescent="0.2">
      <c r="A71" s="79" t="s">
        <v>345</v>
      </c>
    </row>
    <row r="72" spans="1:255" x14ac:dyDescent="0.2">
      <c r="A72" s="79" t="s">
        <v>346</v>
      </c>
    </row>
    <row r="73" spans="1:255" x14ac:dyDescent="0.2">
      <c r="A73" s="79" t="s">
        <v>347</v>
      </c>
    </row>
    <row r="74" spans="1:255" x14ac:dyDescent="0.2">
      <c r="A74" s="79" t="s">
        <v>348</v>
      </c>
    </row>
    <row r="75" spans="1:255" x14ac:dyDescent="0.2">
      <c r="A75" s="79" t="s">
        <v>349</v>
      </c>
    </row>
    <row r="77" spans="1:255" x14ac:dyDescent="0.2">
      <c r="A77" s="84" t="s">
        <v>350</v>
      </c>
      <c r="B77" s="84"/>
      <c r="C77" s="84"/>
      <c r="D77" s="84"/>
      <c r="E77" s="84"/>
      <c r="F77" s="84"/>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5"/>
      <c r="AT77" s="85"/>
      <c r="AU77" s="85"/>
      <c r="AV77" s="85"/>
      <c r="AW77" s="85"/>
      <c r="AX77" s="85"/>
      <c r="AY77" s="85"/>
      <c r="AZ77" s="85"/>
      <c r="BA77" s="85"/>
      <c r="BB77" s="85"/>
      <c r="BC77" s="85"/>
      <c r="BD77" s="85"/>
      <c r="BE77" s="85"/>
      <c r="BF77" s="85"/>
      <c r="BG77" s="85"/>
      <c r="BH77" s="85"/>
      <c r="BI77" s="85"/>
      <c r="BJ77" s="85"/>
      <c r="BK77" s="85"/>
      <c r="BL77" s="85"/>
      <c r="BM77" s="85"/>
      <c r="BN77" s="85"/>
      <c r="BO77" s="85"/>
      <c r="BP77" s="85"/>
      <c r="BQ77" s="85"/>
      <c r="BR77" s="85"/>
      <c r="BS77" s="85"/>
      <c r="BT77" s="85"/>
      <c r="BU77" s="85"/>
      <c r="BV77" s="85"/>
      <c r="BW77" s="85"/>
      <c r="BX77" s="85"/>
      <c r="BY77" s="85"/>
      <c r="BZ77" s="85"/>
      <c r="CA77" s="85"/>
      <c r="CB77" s="85"/>
      <c r="CC77" s="85"/>
      <c r="CD77" s="85"/>
      <c r="CE77" s="85"/>
      <c r="CF77" s="85"/>
      <c r="CG77" s="85"/>
      <c r="CH77" s="85"/>
      <c r="CI77" s="85"/>
      <c r="CJ77" s="85"/>
      <c r="CK77" s="85"/>
      <c r="CL77" s="85"/>
      <c r="CM77" s="85"/>
      <c r="CN77" s="85"/>
      <c r="CO77" s="85"/>
      <c r="CP77" s="85"/>
      <c r="CQ77" s="85"/>
      <c r="CR77" s="85"/>
      <c r="CS77" s="85"/>
      <c r="CT77" s="85"/>
      <c r="CU77" s="85"/>
      <c r="CV77" s="85"/>
      <c r="CW77" s="85"/>
      <c r="CX77" s="85"/>
      <c r="CY77" s="85"/>
      <c r="CZ77" s="85"/>
      <c r="DA77" s="85"/>
      <c r="DB77" s="85"/>
      <c r="DC77" s="85"/>
      <c r="DD77" s="85"/>
      <c r="DE77" s="85"/>
      <c r="DF77" s="85"/>
      <c r="DG77" s="85"/>
      <c r="DH77" s="85"/>
      <c r="DI77" s="85"/>
      <c r="DJ77" s="85"/>
      <c r="DK77" s="85"/>
      <c r="DL77" s="85"/>
      <c r="DM77" s="85"/>
      <c r="DN77" s="85"/>
      <c r="DO77" s="85"/>
      <c r="DP77" s="85"/>
      <c r="DQ77" s="85"/>
      <c r="DR77" s="85"/>
      <c r="DS77" s="85"/>
      <c r="DT77" s="85"/>
      <c r="DU77" s="85"/>
      <c r="DV77" s="85"/>
      <c r="DW77" s="85"/>
      <c r="DX77" s="85"/>
      <c r="DY77" s="85"/>
      <c r="DZ77" s="85"/>
      <c r="EA77" s="85"/>
      <c r="EB77" s="85"/>
      <c r="EC77" s="85"/>
      <c r="ED77" s="85"/>
      <c r="EE77" s="85"/>
      <c r="EF77" s="85"/>
      <c r="EG77" s="85"/>
      <c r="EH77" s="85"/>
      <c r="EI77" s="85"/>
      <c r="EJ77" s="85"/>
      <c r="EK77" s="85"/>
      <c r="EL77" s="85"/>
      <c r="EM77" s="85"/>
      <c r="EN77" s="85"/>
      <c r="EO77" s="85"/>
      <c r="EP77" s="85"/>
      <c r="EQ77" s="85"/>
      <c r="ER77" s="85"/>
      <c r="ES77" s="85"/>
      <c r="ET77" s="85"/>
      <c r="EU77" s="85"/>
      <c r="EV77" s="85"/>
      <c r="EW77" s="85"/>
      <c r="EX77" s="85"/>
      <c r="EY77" s="85"/>
      <c r="EZ77" s="85"/>
      <c r="FA77" s="85"/>
      <c r="FB77" s="85"/>
      <c r="FC77" s="85"/>
      <c r="FD77" s="85"/>
      <c r="FE77" s="85"/>
      <c r="FF77" s="85"/>
      <c r="FG77" s="85"/>
      <c r="FH77" s="85"/>
      <c r="FI77" s="85"/>
      <c r="FJ77" s="85"/>
      <c r="FK77" s="85"/>
      <c r="FL77" s="85"/>
      <c r="FM77" s="85"/>
      <c r="FN77" s="85"/>
      <c r="FO77" s="85"/>
      <c r="FP77" s="85"/>
      <c r="FQ77" s="85"/>
      <c r="FR77" s="85"/>
      <c r="FS77" s="85"/>
      <c r="FT77" s="85"/>
      <c r="FU77" s="85"/>
      <c r="FV77" s="85"/>
      <c r="FW77" s="85"/>
      <c r="FX77" s="85"/>
      <c r="FY77" s="85"/>
      <c r="FZ77" s="85"/>
      <c r="GA77" s="85"/>
      <c r="GB77" s="85"/>
      <c r="GC77" s="85"/>
      <c r="GD77" s="85"/>
      <c r="GE77" s="85"/>
      <c r="GF77" s="85"/>
      <c r="GG77" s="85"/>
      <c r="GH77" s="85"/>
      <c r="GI77" s="85"/>
      <c r="GJ77" s="85"/>
      <c r="GK77" s="85"/>
      <c r="GL77" s="85"/>
      <c r="GM77" s="85"/>
      <c r="GN77" s="85"/>
      <c r="GO77" s="85"/>
      <c r="GP77" s="85"/>
      <c r="GQ77" s="85"/>
      <c r="GR77" s="85"/>
      <c r="GS77" s="85"/>
      <c r="GT77" s="85"/>
      <c r="GU77" s="85"/>
      <c r="GV77" s="85"/>
      <c r="GW77" s="85"/>
      <c r="GX77" s="85"/>
      <c r="GY77" s="85"/>
      <c r="GZ77" s="85"/>
      <c r="HA77" s="85"/>
      <c r="HB77" s="85"/>
      <c r="HC77" s="85"/>
      <c r="HD77" s="85"/>
      <c r="HE77" s="85"/>
      <c r="HF77" s="85"/>
      <c r="HG77" s="85"/>
      <c r="HH77" s="85"/>
      <c r="HI77" s="85"/>
      <c r="HJ77" s="85"/>
      <c r="HK77" s="85"/>
      <c r="HL77" s="85"/>
      <c r="HM77" s="85"/>
      <c r="HN77" s="85"/>
      <c r="HO77" s="85"/>
      <c r="HP77" s="85"/>
      <c r="HQ77" s="85"/>
      <c r="HR77" s="85"/>
      <c r="HS77" s="85"/>
      <c r="HT77" s="85"/>
      <c r="HU77" s="85"/>
      <c r="HV77" s="85"/>
      <c r="HW77" s="85"/>
      <c r="HX77" s="85"/>
      <c r="HY77" s="85"/>
      <c r="HZ77" s="85"/>
      <c r="IA77" s="85"/>
      <c r="IB77" s="85"/>
      <c r="IC77" s="85"/>
      <c r="ID77" s="85"/>
      <c r="IE77" s="85"/>
      <c r="IF77" s="85"/>
      <c r="IG77" s="85"/>
      <c r="IH77" s="85"/>
      <c r="II77" s="85"/>
      <c r="IJ77" s="85"/>
      <c r="IK77" s="85"/>
      <c r="IL77" s="85"/>
      <c r="IM77" s="85"/>
      <c r="IN77" s="85"/>
      <c r="IO77" s="85"/>
      <c r="IP77" s="85"/>
      <c r="IQ77" s="85"/>
      <c r="IR77" s="85"/>
      <c r="IS77" s="85"/>
      <c r="IT77" s="85"/>
      <c r="IU77" s="85"/>
    </row>
    <row r="78" spans="1:255" ht="30.6" x14ac:dyDescent="0.2">
      <c r="A78" s="86" t="s">
        <v>299</v>
      </c>
      <c r="B78" s="87" t="s">
        <v>305</v>
      </c>
      <c r="C78" s="87" t="s">
        <v>351</v>
      </c>
      <c r="D78" s="87" t="s">
        <v>352</v>
      </c>
      <c r="E78" s="87" t="s">
        <v>353</v>
      </c>
      <c r="F78" s="87" t="s">
        <v>354</v>
      </c>
    </row>
    <row r="79" spans="1:255" x14ac:dyDescent="0.2">
      <c r="A79" s="90" t="s">
        <v>355</v>
      </c>
      <c r="B79" s="102">
        <v>5.016413</v>
      </c>
      <c r="C79" s="102">
        <v>4.7097439999999997</v>
      </c>
      <c r="D79" s="103">
        <v>3.9682446583590001</v>
      </c>
      <c r="E79" s="103">
        <v>3.0784030937570002</v>
      </c>
      <c r="F79" s="103">
        <v>2.495006030346</v>
      </c>
    </row>
    <row r="80" spans="1:255" x14ac:dyDescent="0.2">
      <c r="A80" s="82"/>
      <c r="B80" s="82"/>
      <c r="C80" s="82"/>
      <c r="D80" s="82"/>
      <c r="E80" s="82"/>
      <c r="F80" s="82"/>
    </row>
    <row r="81" spans="1:6" x14ac:dyDescent="0.2">
      <c r="A81" s="90" t="s">
        <v>356</v>
      </c>
      <c r="B81" s="102">
        <v>31.695208000000001</v>
      </c>
      <c r="C81" s="102">
        <v>29.624524000000001</v>
      </c>
      <c r="D81" s="103">
        <v>28.171953479810998</v>
      </c>
      <c r="E81" s="103">
        <v>21.256001599369</v>
      </c>
      <c r="F81" s="103">
        <v>16.575428307576999</v>
      </c>
    </row>
    <row r="82" spans="1:6" x14ac:dyDescent="0.2">
      <c r="A82" s="82"/>
      <c r="B82" s="82"/>
      <c r="C82" s="82"/>
      <c r="D82" s="82"/>
      <c r="E82" s="82"/>
      <c r="F82" s="82"/>
    </row>
    <row r="83" spans="1:6" x14ac:dyDescent="0.2">
      <c r="A83" s="90" t="s">
        <v>357</v>
      </c>
      <c r="B83" s="102">
        <v>51.302242</v>
      </c>
      <c r="C83" s="102">
        <v>48.329461000000002</v>
      </c>
      <c r="D83" s="103">
        <v>62.342708170914001</v>
      </c>
      <c r="E83" s="103">
        <v>44.707488386363003</v>
      </c>
      <c r="F83" s="103">
        <v>34.712742334707997</v>
      </c>
    </row>
    <row r="84" spans="1:6" x14ac:dyDescent="0.2">
      <c r="A84" s="82"/>
      <c r="B84" s="82"/>
      <c r="C84" s="82"/>
      <c r="D84" s="82"/>
      <c r="E84" s="82"/>
      <c r="F84" s="82"/>
    </row>
    <row r="85" spans="1:6" x14ac:dyDescent="0.2">
      <c r="A85" s="90" t="s">
        <v>358</v>
      </c>
      <c r="B85" s="97" t="s">
        <v>319</v>
      </c>
      <c r="C85" s="97" t="s">
        <v>319</v>
      </c>
      <c r="D85" s="103">
        <v>120.14654712152701</v>
      </c>
      <c r="E85" s="103">
        <v>85.995150748471005</v>
      </c>
      <c r="F85" s="103">
        <v>66.712327366775</v>
      </c>
    </row>
    <row r="86" spans="1:6" x14ac:dyDescent="0.2">
      <c r="A86" s="82"/>
      <c r="B86" s="82"/>
      <c r="C86" s="82"/>
      <c r="D86" s="82"/>
      <c r="E86" s="82"/>
      <c r="F86" s="82"/>
    </row>
    <row r="87" spans="1:6" x14ac:dyDescent="0.2">
      <c r="A87" s="90" t="s">
        <v>359</v>
      </c>
      <c r="B87" s="102">
        <v>10.213953</v>
      </c>
      <c r="C87" s="102">
        <v>9.8987280000000002</v>
      </c>
      <c r="D87" s="103">
        <v>12.647286821705</v>
      </c>
      <c r="E87" s="103">
        <v>10.813587406793999</v>
      </c>
      <c r="F87" s="103">
        <v>8.8910081743870002</v>
      </c>
    </row>
    <row r="88" spans="1:6" x14ac:dyDescent="0.2">
      <c r="A88" s="82"/>
      <c r="B88" s="82"/>
      <c r="C88" s="82"/>
      <c r="D88" s="82"/>
      <c r="E88" s="82"/>
      <c r="F88" s="82"/>
    </row>
    <row r="89" spans="1:6" x14ac:dyDescent="0.2">
      <c r="A89" s="90" t="s">
        <v>360</v>
      </c>
      <c r="B89" s="102">
        <v>10.268113</v>
      </c>
      <c r="C89" s="102">
        <v>9.8987280000000002</v>
      </c>
      <c r="D89" s="97" t="s">
        <v>313</v>
      </c>
      <c r="E89" s="97" t="s">
        <v>313</v>
      </c>
      <c r="F89" s="97" t="s">
        <v>313</v>
      </c>
    </row>
    <row r="90" spans="1:6" x14ac:dyDescent="0.2">
      <c r="A90" s="82"/>
      <c r="B90" s="82"/>
      <c r="C90" s="82"/>
      <c r="D90" s="82"/>
      <c r="E90" s="82"/>
      <c r="F90" s="82"/>
    </row>
    <row r="91" spans="1:6" x14ac:dyDescent="0.2">
      <c r="A91" s="99"/>
      <c r="B91" s="99"/>
      <c r="C91" s="99"/>
      <c r="D91" s="99"/>
      <c r="E91" s="99"/>
      <c r="F91" s="99"/>
    </row>
    <row r="92" spans="1:6" x14ac:dyDescent="0.2">
      <c r="A92" s="104" t="s">
        <v>361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3399FF"/>
    <outlinePr summaryBelow="0" summaryRight="0"/>
    <pageSetUpPr autoPageBreaks="0"/>
  </sheetPr>
  <dimension ref="A5:IU112"/>
  <sheetViews>
    <sheetView topLeftCell="A15" workbookViewId="0">
      <selection activeCell="A29" sqref="A29"/>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4" width="13" style="79" customWidth="1"/>
    <col min="265" max="512" width="9" style="79"/>
    <col min="513" max="513" width="40.09765625" style="79" customWidth="1"/>
    <col min="514" max="520" width="13" style="79" customWidth="1"/>
    <col min="521" max="768" width="9" style="79"/>
    <col min="769" max="769" width="40.09765625" style="79" customWidth="1"/>
    <col min="770" max="776" width="13" style="79" customWidth="1"/>
    <col min="777" max="1024" width="9" style="79"/>
    <col min="1025" max="1025" width="40.09765625" style="79" customWidth="1"/>
    <col min="1026" max="1032" width="13" style="79" customWidth="1"/>
    <col min="1033" max="1280" width="9" style="79"/>
    <col min="1281" max="1281" width="40.09765625" style="79" customWidth="1"/>
    <col min="1282" max="1288" width="13" style="79" customWidth="1"/>
    <col min="1289" max="1536" width="9" style="79"/>
    <col min="1537" max="1537" width="40.09765625" style="79" customWidth="1"/>
    <col min="1538" max="1544" width="13" style="79" customWidth="1"/>
    <col min="1545" max="1792" width="9" style="79"/>
    <col min="1793" max="1793" width="40.09765625" style="79" customWidth="1"/>
    <col min="1794" max="1800" width="13" style="79" customWidth="1"/>
    <col min="1801" max="2048" width="9" style="79"/>
    <col min="2049" max="2049" width="40.09765625" style="79" customWidth="1"/>
    <col min="2050" max="2056" width="13" style="79" customWidth="1"/>
    <col min="2057" max="2304" width="9" style="79"/>
    <col min="2305" max="2305" width="40.09765625" style="79" customWidth="1"/>
    <col min="2306" max="2312" width="13" style="79" customWidth="1"/>
    <col min="2313" max="2560" width="9" style="79"/>
    <col min="2561" max="2561" width="40.09765625" style="79" customWidth="1"/>
    <col min="2562" max="2568" width="13" style="79" customWidth="1"/>
    <col min="2569" max="2816" width="9" style="79"/>
    <col min="2817" max="2817" width="40.09765625" style="79" customWidth="1"/>
    <col min="2818" max="2824" width="13" style="79" customWidth="1"/>
    <col min="2825" max="3072" width="9" style="79"/>
    <col min="3073" max="3073" width="40.09765625" style="79" customWidth="1"/>
    <col min="3074" max="3080" width="13" style="79" customWidth="1"/>
    <col min="3081" max="3328" width="9" style="79"/>
    <col min="3329" max="3329" width="40.09765625" style="79" customWidth="1"/>
    <col min="3330" max="3336" width="13" style="79" customWidth="1"/>
    <col min="3337" max="3584" width="9" style="79"/>
    <col min="3585" max="3585" width="40.09765625" style="79" customWidth="1"/>
    <col min="3586" max="3592" width="13" style="79" customWidth="1"/>
    <col min="3593" max="3840" width="9" style="79"/>
    <col min="3841" max="3841" width="40.09765625" style="79" customWidth="1"/>
    <col min="3842" max="3848" width="13" style="79" customWidth="1"/>
    <col min="3849" max="4096" width="9" style="79"/>
    <col min="4097" max="4097" width="40.09765625" style="79" customWidth="1"/>
    <col min="4098" max="4104" width="13" style="79" customWidth="1"/>
    <col min="4105" max="4352" width="9" style="79"/>
    <col min="4353" max="4353" width="40.09765625" style="79" customWidth="1"/>
    <col min="4354" max="4360" width="13" style="79" customWidth="1"/>
    <col min="4361" max="4608" width="9" style="79"/>
    <col min="4609" max="4609" width="40.09765625" style="79" customWidth="1"/>
    <col min="4610" max="4616" width="13" style="79" customWidth="1"/>
    <col min="4617" max="4864" width="9" style="79"/>
    <col min="4865" max="4865" width="40.09765625" style="79" customWidth="1"/>
    <col min="4866" max="4872" width="13" style="79" customWidth="1"/>
    <col min="4873" max="5120" width="9" style="79"/>
    <col min="5121" max="5121" width="40.09765625" style="79" customWidth="1"/>
    <col min="5122" max="5128" width="13" style="79" customWidth="1"/>
    <col min="5129" max="5376" width="9" style="79"/>
    <col min="5377" max="5377" width="40.09765625" style="79" customWidth="1"/>
    <col min="5378" max="5384" width="13" style="79" customWidth="1"/>
    <col min="5385" max="5632" width="9" style="79"/>
    <col min="5633" max="5633" width="40.09765625" style="79" customWidth="1"/>
    <col min="5634" max="5640" width="13" style="79" customWidth="1"/>
    <col min="5641" max="5888" width="9" style="79"/>
    <col min="5889" max="5889" width="40.09765625" style="79" customWidth="1"/>
    <col min="5890" max="5896" width="13" style="79" customWidth="1"/>
    <col min="5897" max="6144" width="9" style="79"/>
    <col min="6145" max="6145" width="40.09765625" style="79" customWidth="1"/>
    <col min="6146" max="6152" width="13" style="79" customWidth="1"/>
    <col min="6153" max="6400" width="9" style="79"/>
    <col min="6401" max="6401" width="40.09765625" style="79" customWidth="1"/>
    <col min="6402" max="6408" width="13" style="79" customWidth="1"/>
    <col min="6409" max="6656" width="9" style="79"/>
    <col min="6657" max="6657" width="40.09765625" style="79" customWidth="1"/>
    <col min="6658" max="6664" width="13" style="79" customWidth="1"/>
    <col min="6665" max="6912" width="9" style="79"/>
    <col min="6913" max="6913" width="40.09765625" style="79" customWidth="1"/>
    <col min="6914" max="6920" width="13" style="79" customWidth="1"/>
    <col min="6921" max="7168" width="9" style="79"/>
    <col min="7169" max="7169" width="40.09765625" style="79" customWidth="1"/>
    <col min="7170" max="7176" width="13" style="79" customWidth="1"/>
    <col min="7177" max="7424" width="9" style="79"/>
    <col min="7425" max="7425" width="40.09765625" style="79" customWidth="1"/>
    <col min="7426" max="7432" width="13" style="79" customWidth="1"/>
    <col min="7433" max="7680" width="9" style="79"/>
    <col min="7681" max="7681" width="40.09765625" style="79" customWidth="1"/>
    <col min="7682" max="7688" width="13" style="79" customWidth="1"/>
    <col min="7689" max="7936" width="9" style="79"/>
    <col min="7937" max="7937" width="40.09765625" style="79" customWidth="1"/>
    <col min="7938" max="7944" width="13" style="79" customWidth="1"/>
    <col min="7945" max="8192" width="9" style="79"/>
    <col min="8193" max="8193" width="40.09765625" style="79" customWidth="1"/>
    <col min="8194" max="8200" width="13" style="79" customWidth="1"/>
    <col min="8201" max="8448" width="9" style="79"/>
    <col min="8449" max="8449" width="40.09765625" style="79" customWidth="1"/>
    <col min="8450" max="8456" width="13" style="79" customWidth="1"/>
    <col min="8457" max="8704" width="9" style="79"/>
    <col min="8705" max="8705" width="40.09765625" style="79" customWidth="1"/>
    <col min="8706" max="8712" width="13" style="79" customWidth="1"/>
    <col min="8713" max="8960" width="9" style="79"/>
    <col min="8961" max="8961" width="40.09765625" style="79" customWidth="1"/>
    <col min="8962" max="8968" width="13" style="79" customWidth="1"/>
    <col min="8969" max="9216" width="9" style="79"/>
    <col min="9217" max="9217" width="40.09765625" style="79" customWidth="1"/>
    <col min="9218" max="9224" width="13" style="79" customWidth="1"/>
    <col min="9225" max="9472" width="9" style="79"/>
    <col min="9473" max="9473" width="40.09765625" style="79" customWidth="1"/>
    <col min="9474" max="9480" width="13" style="79" customWidth="1"/>
    <col min="9481" max="9728" width="9" style="79"/>
    <col min="9729" max="9729" width="40.09765625" style="79" customWidth="1"/>
    <col min="9730" max="9736" width="13" style="79" customWidth="1"/>
    <col min="9737" max="9984" width="9" style="79"/>
    <col min="9985" max="9985" width="40.09765625" style="79" customWidth="1"/>
    <col min="9986" max="9992" width="13" style="79" customWidth="1"/>
    <col min="9993" max="10240" width="9" style="79"/>
    <col min="10241" max="10241" width="40.09765625" style="79" customWidth="1"/>
    <col min="10242" max="10248" width="13" style="79" customWidth="1"/>
    <col min="10249" max="10496" width="9" style="79"/>
    <col min="10497" max="10497" width="40.09765625" style="79" customWidth="1"/>
    <col min="10498" max="10504" width="13" style="79" customWidth="1"/>
    <col min="10505" max="10752" width="9" style="79"/>
    <col min="10753" max="10753" width="40.09765625" style="79" customWidth="1"/>
    <col min="10754" max="10760" width="13" style="79" customWidth="1"/>
    <col min="10761" max="11008" width="9" style="79"/>
    <col min="11009" max="11009" width="40.09765625" style="79" customWidth="1"/>
    <col min="11010" max="11016" width="13" style="79" customWidth="1"/>
    <col min="11017" max="11264" width="9" style="79"/>
    <col min="11265" max="11265" width="40.09765625" style="79" customWidth="1"/>
    <col min="11266" max="11272" width="13" style="79" customWidth="1"/>
    <col min="11273" max="11520" width="9" style="79"/>
    <col min="11521" max="11521" width="40.09765625" style="79" customWidth="1"/>
    <col min="11522" max="11528" width="13" style="79" customWidth="1"/>
    <col min="11529" max="11776" width="9" style="79"/>
    <col min="11777" max="11777" width="40.09765625" style="79" customWidth="1"/>
    <col min="11778" max="11784" width="13" style="79" customWidth="1"/>
    <col min="11785" max="12032" width="9" style="79"/>
    <col min="12033" max="12033" width="40.09765625" style="79" customWidth="1"/>
    <col min="12034" max="12040" width="13" style="79" customWidth="1"/>
    <col min="12041" max="12288" width="9" style="79"/>
    <col min="12289" max="12289" width="40.09765625" style="79" customWidth="1"/>
    <col min="12290" max="12296" width="13" style="79" customWidth="1"/>
    <col min="12297" max="12544" width="9" style="79"/>
    <col min="12545" max="12545" width="40.09765625" style="79" customWidth="1"/>
    <col min="12546" max="12552" width="13" style="79" customWidth="1"/>
    <col min="12553" max="12800" width="9" style="79"/>
    <col min="12801" max="12801" width="40.09765625" style="79" customWidth="1"/>
    <col min="12802" max="12808" width="13" style="79" customWidth="1"/>
    <col min="12809" max="13056" width="9" style="79"/>
    <col min="13057" max="13057" width="40.09765625" style="79" customWidth="1"/>
    <col min="13058" max="13064" width="13" style="79" customWidth="1"/>
    <col min="13065" max="13312" width="9" style="79"/>
    <col min="13313" max="13313" width="40.09765625" style="79" customWidth="1"/>
    <col min="13314" max="13320" width="13" style="79" customWidth="1"/>
    <col min="13321" max="13568" width="9" style="79"/>
    <col min="13569" max="13569" width="40.09765625" style="79" customWidth="1"/>
    <col min="13570" max="13576" width="13" style="79" customWidth="1"/>
    <col min="13577" max="13824" width="9" style="79"/>
    <col min="13825" max="13825" width="40.09765625" style="79" customWidth="1"/>
    <col min="13826" max="13832" width="13" style="79" customWidth="1"/>
    <col min="13833" max="14080" width="9" style="79"/>
    <col min="14081" max="14081" width="40.09765625" style="79" customWidth="1"/>
    <col min="14082" max="14088" width="13" style="79" customWidth="1"/>
    <col min="14089" max="14336" width="9" style="79"/>
    <col min="14337" max="14337" width="40.09765625" style="79" customWidth="1"/>
    <col min="14338" max="14344" width="13" style="79" customWidth="1"/>
    <col min="14345" max="14592" width="9" style="79"/>
    <col min="14593" max="14593" width="40.09765625" style="79" customWidth="1"/>
    <col min="14594" max="14600" width="13" style="79" customWidth="1"/>
    <col min="14601" max="14848" width="9" style="79"/>
    <col min="14849" max="14849" width="40.09765625" style="79" customWidth="1"/>
    <col min="14850" max="14856" width="13" style="79" customWidth="1"/>
    <col min="14857" max="15104" width="9" style="79"/>
    <col min="15105" max="15105" width="40.09765625" style="79" customWidth="1"/>
    <col min="15106" max="15112" width="13" style="79" customWidth="1"/>
    <col min="15113" max="15360" width="9" style="79"/>
    <col min="15361" max="15361" width="40.09765625" style="79" customWidth="1"/>
    <col min="15362" max="15368" width="13" style="79" customWidth="1"/>
    <col min="15369" max="15616" width="9" style="79"/>
    <col min="15617" max="15617" width="40.09765625" style="79" customWidth="1"/>
    <col min="15618" max="15624" width="13" style="79" customWidth="1"/>
    <col min="15625" max="15872" width="9" style="79"/>
    <col min="15873" max="15873" width="40.09765625" style="79" customWidth="1"/>
    <col min="15874" max="15880" width="13" style="79" customWidth="1"/>
    <col min="15881" max="16128" width="9" style="79"/>
    <col min="16129" max="16129" width="40.09765625" style="79" customWidth="1"/>
    <col min="16130" max="16136" width="13" style="79" customWidth="1"/>
    <col min="16137" max="16384" width="9" style="79"/>
  </cols>
  <sheetData>
    <row r="5" spans="1:255" ht="16.2" x14ac:dyDescent="0.25">
      <c r="A5" s="78" t="s">
        <v>362</v>
      </c>
    </row>
    <row r="7" spans="1:255" ht="20.399999999999999" x14ac:dyDescent="0.2">
      <c r="A7" s="80" t="s">
        <v>363</v>
      </c>
      <c r="B7" s="81" t="s">
        <v>364</v>
      </c>
      <c r="C7" s="79" t="s">
        <v>365</v>
      </c>
      <c r="D7" s="82" t="s">
        <v>287</v>
      </c>
      <c r="E7" s="81" t="s">
        <v>366</v>
      </c>
      <c r="F7" s="79" t="s">
        <v>367</v>
      </c>
    </row>
    <row r="8" spans="1:255" x14ac:dyDescent="0.2">
      <c r="A8" s="82"/>
      <c r="B8" s="81" t="s">
        <v>368</v>
      </c>
      <c r="C8" s="79" t="s">
        <v>369</v>
      </c>
      <c r="D8" s="82" t="s">
        <v>287</v>
      </c>
      <c r="E8" s="81" t="s">
        <v>290</v>
      </c>
      <c r="F8" s="79" t="s">
        <v>291</v>
      </c>
    </row>
    <row r="9" spans="1:255" x14ac:dyDescent="0.2">
      <c r="A9" s="82"/>
      <c r="B9" s="81" t="s">
        <v>285</v>
      </c>
      <c r="C9" s="79" t="s">
        <v>370</v>
      </c>
      <c r="D9" s="82" t="s">
        <v>287</v>
      </c>
      <c r="E9" s="81" t="s">
        <v>288</v>
      </c>
      <c r="F9" s="79" t="s">
        <v>289</v>
      </c>
    </row>
    <row r="10" spans="1:255" x14ac:dyDescent="0.2">
      <c r="A10" s="82"/>
      <c r="B10" s="81" t="s">
        <v>292</v>
      </c>
      <c r="C10" s="79" t="s">
        <v>293</v>
      </c>
      <c r="D10" s="82" t="s">
        <v>287</v>
      </c>
      <c r="E10" s="81" t="s">
        <v>294</v>
      </c>
      <c r="F10" s="83" t="s">
        <v>295</v>
      </c>
    </row>
    <row r="11" spans="1:255" x14ac:dyDescent="0.2">
      <c r="A11" s="82"/>
      <c r="B11" s="81" t="s">
        <v>371</v>
      </c>
      <c r="C11" s="79" t="s">
        <v>372</v>
      </c>
      <c r="D11" s="82" t="s">
        <v>287</v>
      </c>
      <c r="E11" s="105"/>
      <c r="F11" s="105"/>
    </row>
    <row r="14" spans="1:255" x14ac:dyDescent="0.2">
      <c r="A14" s="84" t="s">
        <v>227</v>
      </c>
      <c r="B14" s="84"/>
      <c r="C14" s="84"/>
      <c r="D14" s="84"/>
      <c r="E14" s="84"/>
      <c r="F14" s="84"/>
      <c r="G14" s="84"/>
      <c r="H14" s="84"/>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c r="CY14" s="85"/>
      <c r="CZ14" s="85"/>
      <c r="DA14" s="85"/>
      <c r="DB14" s="85"/>
      <c r="DC14" s="85"/>
      <c r="DD14" s="85"/>
      <c r="DE14" s="85"/>
      <c r="DF14" s="85"/>
      <c r="DG14" s="85"/>
      <c r="DH14" s="85"/>
      <c r="DI14" s="85"/>
      <c r="DJ14" s="85"/>
      <c r="DK14" s="85"/>
      <c r="DL14" s="85"/>
      <c r="DM14" s="85"/>
      <c r="DN14" s="85"/>
      <c r="DO14" s="85"/>
      <c r="DP14" s="85"/>
      <c r="DQ14" s="85"/>
      <c r="DR14" s="85"/>
      <c r="DS14" s="85"/>
      <c r="DT14" s="85"/>
      <c r="DU14" s="85"/>
      <c r="DV14" s="85"/>
      <c r="DW14" s="85"/>
      <c r="DX14" s="85"/>
      <c r="DY14" s="85"/>
      <c r="DZ14" s="85"/>
      <c r="EA14" s="85"/>
      <c r="EB14" s="85"/>
      <c r="EC14" s="85"/>
      <c r="ED14" s="85"/>
      <c r="EE14" s="85"/>
      <c r="EF14" s="85"/>
      <c r="EG14" s="85"/>
      <c r="EH14" s="85"/>
      <c r="EI14" s="85"/>
      <c r="EJ14" s="85"/>
      <c r="EK14" s="85"/>
      <c r="EL14" s="85"/>
      <c r="EM14" s="85"/>
      <c r="EN14" s="85"/>
      <c r="EO14" s="85"/>
      <c r="EP14" s="85"/>
      <c r="EQ14" s="85"/>
      <c r="ER14" s="85"/>
      <c r="ES14" s="85"/>
      <c r="ET14" s="85"/>
      <c r="EU14" s="85"/>
      <c r="EV14" s="85"/>
      <c r="EW14" s="85"/>
      <c r="EX14" s="85"/>
      <c r="EY14" s="85"/>
      <c r="EZ14" s="85"/>
      <c r="FA14" s="85"/>
      <c r="FB14" s="85"/>
      <c r="FC14" s="85"/>
      <c r="FD14" s="85"/>
      <c r="FE14" s="85"/>
      <c r="FF14" s="85"/>
      <c r="FG14" s="85"/>
      <c r="FH14" s="85"/>
      <c r="FI14" s="85"/>
      <c r="FJ14" s="85"/>
      <c r="FK14" s="85"/>
      <c r="FL14" s="85"/>
      <c r="FM14" s="85"/>
      <c r="FN14" s="85"/>
      <c r="FO14" s="85"/>
      <c r="FP14" s="85"/>
      <c r="FQ14" s="85"/>
      <c r="FR14" s="85"/>
      <c r="FS14" s="85"/>
      <c r="FT14" s="85"/>
      <c r="FU14" s="85"/>
      <c r="FV14" s="85"/>
      <c r="FW14" s="85"/>
      <c r="FX14" s="85"/>
      <c r="FY14" s="85"/>
      <c r="FZ14" s="85"/>
      <c r="GA14" s="85"/>
      <c r="GB14" s="85"/>
      <c r="GC14" s="85"/>
      <c r="GD14" s="85"/>
      <c r="GE14" s="85"/>
      <c r="GF14" s="85"/>
      <c r="GG14" s="85"/>
      <c r="GH14" s="85"/>
      <c r="GI14" s="85"/>
      <c r="GJ14" s="85"/>
      <c r="GK14" s="85"/>
      <c r="GL14" s="85"/>
      <c r="GM14" s="85"/>
      <c r="GN14" s="85"/>
      <c r="GO14" s="85"/>
      <c r="GP14" s="85"/>
      <c r="GQ14" s="85"/>
      <c r="GR14" s="85"/>
      <c r="GS14" s="85"/>
      <c r="GT14" s="85"/>
      <c r="GU14" s="85"/>
      <c r="GV14" s="85"/>
      <c r="GW14" s="85"/>
      <c r="GX14" s="85"/>
      <c r="GY14" s="85"/>
      <c r="GZ14" s="85"/>
      <c r="HA14" s="85"/>
      <c r="HB14" s="85"/>
      <c r="HC14" s="85"/>
      <c r="HD14" s="85"/>
      <c r="HE14" s="85"/>
      <c r="HF14" s="85"/>
      <c r="HG14" s="85"/>
      <c r="HH14" s="85"/>
      <c r="HI14" s="85"/>
      <c r="HJ14" s="85"/>
      <c r="HK14" s="85"/>
      <c r="HL14" s="85"/>
      <c r="HM14" s="85"/>
      <c r="HN14" s="85"/>
      <c r="HO14" s="85"/>
      <c r="HP14" s="85"/>
      <c r="HQ14" s="85"/>
      <c r="HR14" s="85"/>
      <c r="HS14" s="85"/>
      <c r="HT14" s="85"/>
      <c r="HU14" s="85"/>
      <c r="HV14" s="85"/>
      <c r="HW14" s="85"/>
      <c r="HX14" s="85"/>
      <c r="HY14" s="85"/>
      <c r="HZ14" s="85"/>
      <c r="IA14" s="85"/>
      <c r="IB14" s="85"/>
      <c r="IC14" s="85"/>
      <c r="ID14" s="85"/>
      <c r="IE14" s="85"/>
      <c r="IF14" s="85"/>
      <c r="IG14" s="85"/>
      <c r="IH14" s="85"/>
      <c r="II14" s="85"/>
      <c r="IJ14" s="85"/>
      <c r="IK14" s="85"/>
      <c r="IL14" s="85"/>
      <c r="IM14" s="85"/>
      <c r="IN14" s="85"/>
      <c r="IO14" s="85"/>
      <c r="IP14" s="85"/>
      <c r="IQ14" s="85"/>
      <c r="IR14" s="85"/>
      <c r="IS14" s="85"/>
      <c r="IT14" s="85"/>
      <c r="IU14" s="85"/>
    </row>
    <row r="15" spans="1:255" ht="30.6" x14ac:dyDescent="0.2">
      <c r="A15" s="249" t="s">
        <v>299</v>
      </c>
      <c r="B15" s="250" t="s">
        <v>373</v>
      </c>
      <c r="C15" s="250" t="s">
        <v>374</v>
      </c>
      <c r="D15" s="250" t="s">
        <v>375</v>
      </c>
      <c r="E15" s="250" t="s">
        <v>376</v>
      </c>
      <c r="F15" s="250" t="s">
        <v>377</v>
      </c>
      <c r="G15" s="250" t="s">
        <v>378</v>
      </c>
      <c r="H15" s="250" t="s">
        <v>379</v>
      </c>
    </row>
    <row r="16" spans="1:255" x14ac:dyDescent="0.2">
      <c r="A16" s="251" t="s">
        <v>308</v>
      </c>
      <c r="B16" s="252" t="s">
        <v>309</v>
      </c>
      <c r="C16" s="252" t="s">
        <v>309</v>
      </c>
      <c r="D16" s="252" t="s">
        <v>309</v>
      </c>
      <c r="E16" s="252" t="s">
        <v>309</v>
      </c>
      <c r="F16" s="252" t="s">
        <v>309</v>
      </c>
      <c r="G16" s="252" t="s">
        <v>309</v>
      </c>
      <c r="H16" s="252" t="s">
        <v>309</v>
      </c>
    </row>
    <row r="17" spans="1:8" x14ac:dyDescent="0.2">
      <c r="A17" s="90" t="s">
        <v>320</v>
      </c>
      <c r="B17" s="82"/>
      <c r="C17" s="82"/>
      <c r="D17" s="82"/>
      <c r="E17" s="82"/>
      <c r="F17" s="82"/>
      <c r="G17" s="82"/>
      <c r="H17" s="82"/>
    </row>
    <row r="18" spans="1:8" x14ac:dyDescent="0.2">
      <c r="A18" s="82" t="s">
        <v>244</v>
      </c>
      <c r="B18" s="98">
        <v>57038</v>
      </c>
      <c r="C18" s="98">
        <v>82456</v>
      </c>
      <c r="D18" s="98">
        <v>118530</v>
      </c>
      <c r="E18" s="98">
        <v>190592</v>
      </c>
      <c r="F18" s="98">
        <v>268475</v>
      </c>
      <c r="G18" s="98">
        <v>358810</v>
      </c>
      <c r="H18" s="98">
        <v>381177</v>
      </c>
    </row>
    <row r="19" spans="1:8" x14ac:dyDescent="0.2">
      <c r="A19" s="82" t="s">
        <v>380</v>
      </c>
      <c r="B19" s="98" t="s">
        <v>313</v>
      </c>
      <c r="C19" s="98" t="s">
        <v>313</v>
      </c>
      <c r="D19" s="98" t="s">
        <v>313</v>
      </c>
      <c r="E19" s="98" t="s">
        <v>313</v>
      </c>
      <c r="F19" s="98" t="s">
        <v>313</v>
      </c>
      <c r="G19" s="98" t="s">
        <v>313</v>
      </c>
      <c r="H19" s="98" t="s">
        <v>313</v>
      </c>
    </row>
    <row r="20" spans="1:8" x14ac:dyDescent="0.2">
      <c r="A20" s="90" t="s">
        <v>381</v>
      </c>
      <c r="B20" s="106">
        <v>57038</v>
      </c>
      <c r="C20" s="106">
        <v>82456</v>
      </c>
      <c r="D20" s="106">
        <v>118530</v>
      </c>
      <c r="E20" s="106">
        <v>190592</v>
      </c>
      <c r="F20" s="106">
        <v>268475</v>
      </c>
      <c r="G20" s="106">
        <v>358810</v>
      </c>
      <c r="H20" s="106">
        <v>381177</v>
      </c>
    </row>
    <row r="21" spans="1:8" x14ac:dyDescent="0.2">
      <c r="A21" s="82"/>
      <c r="B21" s="82"/>
      <c r="C21" s="82"/>
      <c r="D21" s="82"/>
      <c r="E21" s="82"/>
      <c r="F21" s="82"/>
      <c r="G21" s="82"/>
      <c r="H21" s="82"/>
    </row>
    <row r="22" spans="1:8" x14ac:dyDescent="0.2">
      <c r="A22" s="82" t="s">
        <v>382</v>
      </c>
      <c r="B22" s="98">
        <v>36263</v>
      </c>
      <c r="C22" s="98">
        <v>50853</v>
      </c>
      <c r="D22" s="98">
        <v>73990</v>
      </c>
      <c r="E22" s="98">
        <v>114038</v>
      </c>
      <c r="F22" s="98">
        <v>161112</v>
      </c>
      <c r="G22" s="98">
        <v>218274</v>
      </c>
      <c r="H22" s="98">
        <v>230282</v>
      </c>
    </row>
    <row r="23" spans="1:8" x14ac:dyDescent="0.2">
      <c r="A23" s="90" t="s">
        <v>383</v>
      </c>
      <c r="B23" s="106">
        <v>20775</v>
      </c>
      <c r="C23" s="106">
        <v>31603</v>
      </c>
      <c r="D23" s="106">
        <v>44540</v>
      </c>
      <c r="E23" s="106">
        <v>76554</v>
      </c>
      <c r="F23" s="106">
        <v>107363</v>
      </c>
      <c r="G23" s="106">
        <v>140536</v>
      </c>
      <c r="H23" s="106">
        <v>150895</v>
      </c>
    </row>
    <row r="24" spans="1:8" x14ac:dyDescent="0.2">
      <c r="A24" s="82"/>
      <c r="B24" s="82"/>
      <c r="C24" s="82"/>
      <c r="D24" s="82"/>
      <c r="E24" s="82"/>
      <c r="F24" s="82"/>
      <c r="G24" s="82"/>
      <c r="H24" s="82"/>
    </row>
    <row r="25" spans="1:8" x14ac:dyDescent="0.2">
      <c r="A25" s="82" t="s">
        <v>384</v>
      </c>
      <c r="B25" s="98">
        <v>6988</v>
      </c>
      <c r="C25" s="98">
        <v>10399</v>
      </c>
      <c r="D25" s="98">
        <v>18187</v>
      </c>
      <c r="E25" s="98">
        <v>24237</v>
      </c>
      <c r="F25" s="98">
        <v>30556</v>
      </c>
      <c r="G25" s="98">
        <v>38339</v>
      </c>
      <c r="H25" s="98">
        <v>42179</v>
      </c>
    </row>
    <row r="26" spans="1:8" x14ac:dyDescent="0.2">
      <c r="A26" s="82" t="s">
        <v>385</v>
      </c>
      <c r="B26" s="98">
        <v>1858</v>
      </c>
      <c r="C26" s="98">
        <v>2334</v>
      </c>
      <c r="D26" s="98">
        <v>6105</v>
      </c>
      <c r="E26" s="98">
        <v>5430</v>
      </c>
      <c r="F26" s="98">
        <v>9520</v>
      </c>
      <c r="G26" s="98">
        <v>9603</v>
      </c>
      <c r="H26" s="98">
        <v>9217</v>
      </c>
    </row>
    <row r="27" spans="1:8" x14ac:dyDescent="0.2">
      <c r="A27" s="82" t="s">
        <v>386</v>
      </c>
      <c r="B27" s="98" t="s">
        <v>313</v>
      </c>
      <c r="C27" s="98" t="s">
        <v>313</v>
      </c>
      <c r="D27" s="98" t="s">
        <v>313</v>
      </c>
      <c r="E27" s="98" t="s">
        <v>313</v>
      </c>
      <c r="F27" s="98" t="s">
        <v>313</v>
      </c>
      <c r="G27" s="98" t="s">
        <v>313</v>
      </c>
      <c r="H27" s="98" t="s">
        <v>313</v>
      </c>
    </row>
    <row r="28" spans="1:8" x14ac:dyDescent="0.2">
      <c r="A28" s="82" t="s">
        <v>387</v>
      </c>
      <c r="B28" s="98">
        <v>2162</v>
      </c>
      <c r="C28" s="98">
        <v>3541</v>
      </c>
      <c r="D28" s="98">
        <v>5809</v>
      </c>
      <c r="E28" s="98">
        <v>10222</v>
      </c>
      <c r="F28" s="98">
        <v>14502</v>
      </c>
      <c r="G28" s="98">
        <v>21704</v>
      </c>
      <c r="H28" s="98">
        <v>23454</v>
      </c>
    </row>
    <row r="29" spans="1:8" x14ac:dyDescent="0.2">
      <c r="A29" s="82" t="s">
        <v>388</v>
      </c>
      <c r="B29" s="98">
        <v>5081</v>
      </c>
      <c r="C29" s="98">
        <v>7315</v>
      </c>
      <c r="D29" s="98">
        <v>11191</v>
      </c>
      <c r="E29" s="98">
        <v>16307</v>
      </c>
      <c r="F29" s="98">
        <v>24946</v>
      </c>
      <c r="G29" s="98">
        <v>35805</v>
      </c>
      <c r="H29" s="98">
        <v>38899</v>
      </c>
    </row>
    <row r="30" spans="1:8" x14ac:dyDescent="0.2">
      <c r="A30" s="82"/>
      <c r="B30" s="82"/>
      <c r="C30" s="82"/>
      <c r="D30" s="82"/>
      <c r="E30" s="82"/>
      <c r="F30" s="82"/>
      <c r="G30" s="82"/>
      <c r="H30" s="82"/>
    </row>
    <row r="31" spans="1:8" x14ac:dyDescent="0.2">
      <c r="A31" s="90" t="s">
        <v>389</v>
      </c>
      <c r="B31" s="106">
        <v>16089</v>
      </c>
      <c r="C31" s="106">
        <v>23589</v>
      </c>
      <c r="D31" s="106">
        <v>41292</v>
      </c>
      <c r="E31" s="106">
        <v>56196</v>
      </c>
      <c r="F31" s="106">
        <v>79524</v>
      </c>
      <c r="G31" s="106">
        <v>105451</v>
      </c>
      <c r="H31" s="106">
        <v>113749</v>
      </c>
    </row>
    <row r="32" spans="1:8" x14ac:dyDescent="0.2">
      <c r="A32" s="82"/>
      <c r="B32" s="82"/>
      <c r="C32" s="82"/>
      <c r="D32" s="82"/>
      <c r="E32" s="82"/>
      <c r="F32" s="82"/>
      <c r="G32" s="82"/>
      <c r="H32" s="82"/>
    </row>
    <row r="33" spans="1:8" x14ac:dyDescent="0.2">
      <c r="A33" s="90" t="s">
        <v>390</v>
      </c>
      <c r="B33" s="91">
        <v>4686</v>
      </c>
      <c r="C33" s="91">
        <v>8014</v>
      </c>
      <c r="D33" s="91">
        <v>3248</v>
      </c>
      <c r="E33" s="91">
        <v>20358</v>
      </c>
      <c r="F33" s="91">
        <v>27839</v>
      </c>
      <c r="G33" s="91">
        <v>35085</v>
      </c>
      <c r="H33" s="91">
        <v>37146</v>
      </c>
    </row>
    <row r="34" spans="1:8" x14ac:dyDescent="0.2">
      <c r="A34" s="82"/>
      <c r="B34" s="82"/>
      <c r="C34" s="82"/>
      <c r="D34" s="82"/>
      <c r="E34" s="82"/>
      <c r="F34" s="82"/>
      <c r="G34" s="82"/>
      <c r="H34" s="82"/>
    </row>
    <row r="35" spans="1:8" x14ac:dyDescent="0.2">
      <c r="A35" s="82" t="s">
        <v>391</v>
      </c>
      <c r="B35" s="98">
        <v>-156</v>
      </c>
      <c r="C35" s="98">
        <v>-52</v>
      </c>
      <c r="D35" s="98">
        <v>-365</v>
      </c>
      <c r="E35" s="98">
        <v>-332</v>
      </c>
      <c r="F35" s="98">
        <v>-374</v>
      </c>
      <c r="G35" s="98">
        <v>-1643</v>
      </c>
      <c r="H35" s="98">
        <v>-1905</v>
      </c>
    </row>
    <row r="36" spans="1:8" x14ac:dyDescent="0.2">
      <c r="A36" s="82" t="s">
        <v>392</v>
      </c>
      <c r="B36" s="98" t="s">
        <v>313</v>
      </c>
      <c r="C36" s="98" t="s">
        <v>313</v>
      </c>
      <c r="D36" s="98" t="s">
        <v>313</v>
      </c>
      <c r="E36" s="98">
        <v>7</v>
      </c>
      <c r="F36" s="98">
        <v>384</v>
      </c>
      <c r="G36" s="98">
        <v>907</v>
      </c>
      <c r="H36" s="98">
        <v>991</v>
      </c>
    </row>
    <row r="37" spans="1:8" x14ac:dyDescent="0.2">
      <c r="A37" s="90" t="s">
        <v>393</v>
      </c>
      <c r="B37" s="106">
        <v>-156</v>
      </c>
      <c r="C37" s="106">
        <v>-52</v>
      </c>
      <c r="D37" s="106">
        <v>-365</v>
      </c>
      <c r="E37" s="106">
        <v>-325</v>
      </c>
      <c r="F37" s="106">
        <v>10</v>
      </c>
      <c r="G37" s="106">
        <v>-736</v>
      </c>
      <c r="H37" s="106">
        <v>-914</v>
      </c>
    </row>
    <row r="38" spans="1:8" x14ac:dyDescent="0.2">
      <c r="A38" s="82"/>
      <c r="B38" s="82"/>
      <c r="C38" s="82"/>
      <c r="D38" s="82"/>
      <c r="E38" s="82"/>
      <c r="F38" s="82"/>
      <c r="G38" s="82"/>
      <c r="H38" s="82"/>
    </row>
    <row r="39" spans="1:8" x14ac:dyDescent="0.2">
      <c r="A39" s="82" t="s">
        <v>394</v>
      </c>
      <c r="B39" s="98" t="s">
        <v>313</v>
      </c>
      <c r="C39" s="98" t="s">
        <v>313</v>
      </c>
      <c r="D39" s="98">
        <v>2</v>
      </c>
      <c r="E39" s="98" t="s">
        <v>313</v>
      </c>
      <c r="F39" s="98" t="s">
        <v>313</v>
      </c>
      <c r="G39" s="98" t="s">
        <v>313</v>
      </c>
      <c r="H39" s="98" t="s">
        <v>313</v>
      </c>
    </row>
    <row r="40" spans="1:8" x14ac:dyDescent="0.2">
      <c r="A40" s="90" t="s">
        <v>395</v>
      </c>
      <c r="B40" s="106">
        <v>4530</v>
      </c>
      <c r="C40" s="106">
        <v>7962</v>
      </c>
      <c r="D40" s="106">
        <v>2885</v>
      </c>
      <c r="E40" s="106">
        <v>20033</v>
      </c>
      <c r="F40" s="106">
        <v>27849</v>
      </c>
      <c r="G40" s="106">
        <v>34349</v>
      </c>
      <c r="H40" s="106">
        <v>36232</v>
      </c>
    </row>
    <row r="41" spans="1:8" x14ac:dyDescent="0.2">
      <c r="A41" s="82"/>
      <c r="B41" s="82"/>
      <c r="C41" s="82"/>
      <c r="D41" s="82"/>
      <c r="E41" s="82"/>
      <c r="F41" s="82"/>
      <c r="G41" s="82"/>
      <c r="H41" s="82"/>
    </row>
    <row r="42" spans="1:8" x14ac:dyDescent="0.2">
      <c r="A42" s="82" t="s">
        <v>396</v>
      </c>
      <c r="B42" s="98" t="s">
        <v>313</v>
      </c>
      <c r="C42" s="98" t="s">
        <v>313</v>
      </c>
      <c r="D42" s="98" t="s">
        <v>313</v>
      </c>
      <c r="E42" s="98" t="s">
        <v>313</v>
      </c>
      <c r="F42" s="98" t="s">
        <v>313</v>
      </c>
      <c r="G42" s="98" t="s">
        <v>313</v>
      </c>
      <c r="H42" s="98" t="s">
        <v>313</v>
      </c>
    </row>
    <row r="43" spans="1:8" x14ac:dyDescent="0.2">
      <c r="A43" s="82" t="s">
        <v>397</v>
      </c>
      <c r="B43" s="98" t="s">
        <v>313</v>
      </c>
      <c r="C43" s="98" t="s">
        <v>313</v>
      </c>
      <c r="D43" s="98" t="s">
        <v>313</v>
      </c>
      <c r="E43" s="98" t="s">
        <v>313</v>
      </c>
      <c r="F43" s="98">
        <v>-7</v>
      </c>
      <c r="G43" s="98">
        <v>-5</v>
      </c>
      <c r="H43" s="98">
        <v>-56</v>
      </c>
    </row>
    <row r="44" spans="1:8" x14ac:dyDescent="0.2">
      <c r="A44" s="82" t="s">
        <v>398</v>
      </c>
      <c r="B44" s="98" t="s">
        <v>313</v>
      </c>
      <c r="C44" s="98">
        <v>-25</v>
      </c>
      <c r="D44" s="98">
        <v>-105</v>
      </c>
      <c r="E44" s="98">
        <v>-17</v>
      </c>
      <c r="F44" s="98">
        <v>-34</v>
      </c>
      <c r="G44" s="98">
        <v>-608</v>
      </c>
      <c r="H44" s="98">
        <v>-785</v>
      </c>
    </row>
    <row r="45" spans="1:8" x14ac:dyDescent="0.2">
      <c r="A45" s="82" t="s">
        <v>399</v>
      </c>
      <c r="B45" s="98" t="s">
        <v>313</v>
      </c>
      <c r="C45" s="98" t="s">
        <v>313</v>
      </c>
      <c r="D45" s="98" t="s">
        <v>313</v>
      </c>
      <c r="E45" s="98">
        <v>-770</v>
      </c>
      <c r="F45" s="98" t="s">
        <v>313</v>
      </c>
      <c r="G45" s="98" t="s">
        <v>313</v>
      </c>
      <c r="H45" s="98" t="s">
        <v>313</v>
      </c>
    </row>
    <row r="46" spans="1:8" x14ac:dyDescent="0.2">
      <c r="A46" s="82" t="s">
        <v>400</v>
      </c>
      <c r="B46" s="98" t="s">
        <v>313</v>
      </c>
      <c r="C46" s="98">
        <v>-2054</v>
      </c>
      <c r="D46" s="98" t="s">
        <v>313</v>
      </c>
      <c r="E46" s="98">
        <v>-12818</v>
      </c>
      <c r="F46" s="98">
        <v>688</v>
      </c>
      <c r="G46" s="98">
        <v>126557</v>
      </c>
      <c r="H46" s="98">
        <v>125559</v>
      </c>
    </row>
    <row r="47" spans="1:8" x14ac:dyDescent="0.2">
      <c r="A47" s="90" t="s">
        <v>401</v>
      </c>
      <c r="B47" s="106">
        <v>4530</v>
      </c>
      <c r="C47" s="106">
        <v>5883</v>
      </c>
      <c r="D47" s="106">
        <v>2780</v>
      </c>
      <c r="E47" s="106">
        <v>6428</v>
      </c>
      <c r="F47" s="106">
        <v>28496</v>
      </c>
      <c r="G47" s="106">
        <v>160293</v>
      </c>
      <c r="H47" s="106">
        <v>160950</v>
      </c>
    </row>
    <row r="48" spans="1:8" x14ac:dyDescent="0.2">
      <c r="A48" s="82"/>
      <c r="B48" s="82"/>
      <c r="C48" s="82"/>
      <c r="D48" s="82"/>
      <c r="E48" s="82"/>
      <c r="F48" s="82"/>
      <c r="G48" s="82"/>
      <c r="H48" s="82"/>
    </row>
    <row r="49" spans="1:8" x14ac:dyDescent="0.2">
      <c r="A49" s="82" t="s">
        <v>402</v>
      </c>
      <c r="B49" s="98">
        <v>397</v>
      </c>
      <c r="C49" s="98">
        <v>460</v>
      </c>
      <c r="D49" s="98">
        <v>662</v>
      </c>
      <c r="E49" s="98">
        <v>3304</v>
      </c>
      <c r="F49" s="98">
        <v>6350</v>
      </c>
      <c r="G49" s="98">
        <v>151409</v>
      </c>
      <c r="H49" s="98">
        <v>150949</v>
      </c>
    </row>
    <row r="50" spans="1:8" x14ac:dyDescent="0.2">
      <c r="A50" s="90" t="s">
        <v>403</v>
      </c>
      <c r="B50" s="106">
        <v>4133</v>
      </c>
      <c r="C50" s="106">
        <v>5423</v>
      </c>
      <c r="D50" s="106">
        <v>2118</v>
      </c>
      <c r="E50" s="106">
        <v>3124</v>
      </c>
      <c r="F50" s="106">
        <v>22146</v>
      </c>
      <c r="G50" s="106">
        <v>8884</v>
      </c>
      <c r="H50" s="106">
        <v>10001</v>
      </c>
    </row>
    <row r="51" spans="1:8" x14ac:dyDescent="0.2">
      <c r="A51" s="82"/>
      <c r="B51" s="82"/>
      <c r="C51" s="82"/>
      <c r="D51" s="82"/>
      <c r="E51" s="82"/>
      <c r="F51" s="82"/>
      <c r="G51" s="82"/>
      <c r="H51" s="82"/>
    </row>
    <row r="52" spans="1:8" x14ac:dyDescent="0.2">
      <c r="A52" s="82" t="s">
        <v>404</v>
      </c>
      <c r="B52" s="98" t="s">
        <v>313</v>
      </c>
      <c r="C52" s="98" t="s">
        <v>313</v>
      </c>
      <c r="D52" s="98" t="s">
        <v>313</v>
      </c>
      <c r="E52" s="98" t="s">
        <v>313</v>
      </c>
      <c r="F52" s="98" t="s">
        <v>313</v>
      </c>
      <c r="G52" s="98" t="s">
        <v>313</v>
      </c>
      <c r="H52" s="98" t="s">
        <v>313</v>
      </c>
    </row>
    <row r="53" spans="1:8" x14ac:dyDescent="0.2">
      <c r="A53" s="82" t="s">
        <v>405</v>
      </c>
      <c r="B53" s="98" t="s">
        <v>313</v>
      </c>
      <c r="C53" s="98" t="s">
        <v>313</v>
      </c>
      <c r="D53" s="98" t="s">
        <v>313</v>
      </c>
      <c r="E53" s="98" t="s">
        <v>313</v>
      </c>
      <c r="F53" s="98" t="s">
        <v>313</v>
      </c>
      <c r="G53" s="98" t="s">
        <v>313</v>
      </c>
      <c r="H53" s="98" t="s">
        <v>313</v>
      </c>
    </row>
    <row r="54" spans="1:8" x14ac:dyDescent="0.2">
      <c r="A54" s="90" t="s">
        <v>406</v>
      </c>
      <c r="B54" s="106">
        <v>4133</v>
      </c>
      <c r="C54" s="106">
        <v>5423</v>
      </c>
      <c r="D54" s="106">
        <v>2118</v>
      </c>
      <c r="E54" s="106">
        <v>3124</v>
      </c>
      <c r="F54" s="106">
        <v>22146</v>
      </c>
      <c r="G54" s="106">
        <v>8884</v>
      </c>
      <c r="H54" s="106">
        <v>10001</v>
      </c>
    </row>
    <row r="55" spans="1:8" x14ac:dyDescent="0.2">
      <c r="A55" s="82"/>
      <c r="B55" s="82"/>
      <c r="C55" s="82"/>
      <c r="D55" s="82"/>
      <c r="E55" s="82"/>
      <c r="F55" s="82"/>
      <c r="G55" s="82"/>
      <c r="H55" s="82"/>
    </row>
    <row r="56" spans="1:8" x14ac:dyDescent="0.2">
      <c r="A56" s="82" t="s">
        <v>407</v>
      </c>
      <c r="B56" s="98" t="s">
        <v>313</v>
      </c>
      <c r="C56" s="98" t="s">
        <v>313</v>
      </c>
      <c r="D56" s="98" t="s">
        <v>313</v>
      </c>
      <c r="E56" s="98">
        <v>-11900</v>
      </c>
      <c r="F56" s="98">
        <v>-9700</v>
      </c>
      <c r="G56" s="98">
        <v>-9204</v>
      </c>
      <c r="H56" s="98">
        <v>-9080</v>
      </c>
    </row>
    <row r="57" spans="1:8" x14ac:dyDescent="0.2">
      <c r="A57" s="90" t="s">
        <v>408</v>
      </c>
      <c r="B57" s="107">
        <v>4133</v>
      </c>
      <c r="C57" s="107">
        <v>5423</v>
      </c>
      <c r="D57" s="107">
        <v>2118</v>
      </c>
      <c r="E57" s="107">
        <v>-8776</v>
      </c>
      <c r="F57" s="107">
        <v>12446</v>
      </c>
      <c r="G57" s="107">
        <v>-320</v>
      </c>
      <c r="H57" s="107">
        <v>921</v>
      </c>
    </row>
    <row r="58" spans="1:8" x14ac:dyDescent="0.2">
      <c r="A58" s="82"/>
      <c r="B58" s="82"/>
      <c r="C58" s="82"/>
      <c r="D58" s="82"/>
      <c r="E58" s="82"/>
      <c r="F58" s="82"/>
      <c r="G58" s="82"/>
      <c r="H58" s="82"/>
    </row>
    <row r="59" spans="1:8" x14ac:dyDescent="0.2">
      <c r="A59" s="82" t="s">
        <v>409</v>
      </c>
      <c r="B59" s="98" t="s">
        <v>313</v>
      </c>
      <c r="C59" s="98" t="s">
        <v>313</v>
      </c>
      <c r="D59" s="98" t="s">
        <v>313</v>
      </c>
      <c r="E59" s="98" t="s">
        <v>313</v>
      </c>
      <c r="F59" s="98" t="s">
        <v>313</v>
      </c>
      <c r="G59" s="98" t="s">
        <v>313</v>
      </c>
      <c r="H59" s="98" t="s">
        <v>313</v>
      </c>
    </row>
    <row r="60" spans="1:8" x14ac:dyDescent="0.2">
      <c r="A60" s="82"/>
      <c r="B60" s="82"/>
      <c r="C60" s="82"/>
      <c r="D60" s="82"/>
      <c r="E60" s="82"/>
      <c r="F60" s="82"/>
      <c r="G60" s="82"/>
      <c r="H60" s="82"/>
    </row>
    <row r="61" spans="1:8" x14ac:dyDescent="0.2">
      <c r="A61" s="90" t="s">
        <v>410</v>
      </c>
      <c r="B61" s="91">
        <v>4133</v>
      </c>
      <c r="C61" s="91">
        <v>5423</v>
      </c>
      <c r="D61" s="91">
        <v>2118</v>
      </c>
      <c r="E61" s="91">
        <v>-8776</v>
      </c>
      <c r="F61" s="91">
        <v>12446</v>
      </c>
      <c r="G61" s="91">
        <v>-320</v>
      </c>
      <c r="H61" s="91">
        <v>921</v>
      </c>
    </row>
    <row r="62" spans="1:8" x14ac:dyDescent="0.2">
      <c r="A62" s="90" t="s">
        <v>411</v>
      </c>
      <c r="B62" s="91">
        <v>4133</v>
      </c>
      <c r="C62" s="91">
        <v>5423</v>
      </c>
      <c r="D62" s="91">
        <v>2118</v>
      </c>
      <c r="E62" s="91">
        <v>-8776</v>
      </c>
      <c r="F62" s="91">
        <v>12446</v>
      </c>
      <c r="G62" s="91">
        <v>-320</v>
      </c>
      <c r="H62" s="91">
        <v>921</v>
      </c>
    </row>
    <row r="63" spans="1:8" x14ac:dyDescent="0.2">
      <c r="A63" s="82"/>
      <c r="B63" s="82"/>
      <c r="C63" s="82"/>
      <c r="D63" s="82"/>
      <c r="E63" s="82"/>
      <c r="F63" s="82"/>
      <c r="G63" s="82"/>
      <c r="H63" s="82"/>
    </row>
    <row r="64" spans="1:8" x14ac:dyDescent="0.2">
      <c r="A64" s="90" t="s">
        <v>412</v>
      </c>
      <c r="B64" s="82"/>
      <c r="C64" s="82"/>
      <c r="D64" s="82"/>
      <c r="E64" s="82"/>
      <c r="F64" s="82"/>
      <c r="G64" s="82"/>
      <c r="H64" s="82"/>
    </row>
    <row r="65" spans="1:8" x14ac:dyDescent="0.2">
      <c r="A65" s="82" t="s">
        <v>413</v>
      </c>
      <c r="B65" s="108" t="s">
        <v>311</v>
      </c>
      <c r="C65" s="100">
        <v>0.18</v>
      </c>
      <c r="D65" s="100">
        <v>7.0000000000000007E-2</v>
      </c>
      <c r="E65" s="100">
        <v>-0.65</v>
      </c>
      <c r="F65" s="100">
        <v>0.54</v>
      </c>
      <c r="G65" s="100">
        <v>-0.01</v>
      </c>
      <c r="H65" s="100">
        <v>0.04</v>
      </c>
    </row>
    <row r="66" spans="1:8" x14ac:dyDescent="0.2">
      <c r="A66" s="82" t="s">
        <v>414</v>
      </c>
      <c r="B66" s="108" t="s">
        <v>311</v>
      </c>
      <c r="C66" s="108">
        <v>0.18116499999999999</v>
      </c>
      <c r="D66" s="108">
        <v>7.0653999999999995E-2</v>
      </c>
      <c r="E66" s="108">
        <v>-0.65</v>
      </c>
      <c r="F66" s="108">
        <v>0.54216699999999995</v>
      </c>
      <c r="G66" s="108">
        <v>-0.01</v>
      </c>
      <c r="H66" s="108">
        <v>3.5028999999999998E-2</v>
      </c>
    </row>
    <row r="67" spans="1:8" x14ac:dyDescent="0.2">
      <c r="A67" s="82" t="s">
        <v>415</v>
      </c>
      <c r="B67" s="98" t="s">
        <v>311</v>
      </c>
      <c r="C67" s="98">
        <v>29934</v>
      </c>
      <c r="D67" s="98">
        <v>29977</v>
      </c>
      <c r="E67" s="98">
        <v>13588</v>
      </c>
      <c r="F67" s="98">
        <v>22956</v>
      </c>
      <c r="G67" s="98">
        <v>25876</v>
      </c>
      <c r="H67" s="98">
        <v>26291.75</v>
      </c>
    </row>
    <row r="68" spans="1:8" x14ac:dyDescent="0.2">
      <c r="A68" s="82"/>
      <c r="B68" s="82"/>
      <c r="C68" s="82"/>
      <c r="D68" s="82"/>
      <c r="E68" s="82"/>
      <c r="F68" s="82"/>
      <c r="G68" s="82"/>
      <c r="H68" s="82"/>
    </row>
    <row r="69" spans="1:8" x14ac:dyDescent="0.2">
      <c r="A69" s="82" t="s">
        <v>416</v>
      </c>
      <c r="B69" s="108" t="s">
        <v>311</v>
      </c>
      <c r="C69" s="100">
        <v>0.18</v>
      </c>
      <c r="D69" s="100">
        <v>7.0000000000000007E-2</v>
      </c>
      <c r="E69" s="100">
        <v>-0.65</v>
      </c>
      <c r="F69" s="100">
        <v>0.53</v>
      </c>
      <c r="G69" s="100">
        <v>-0.01</v>
      </c>
      <c r="H69" s="100">
        <v>0.04</v>
      </c>
    </row>
    <row r="70" spans="1:8" x14ac:dyDescent="0.2">
      <c r="A70" s="82" t="s">
        <v>417</v>
      </c>
      <c r="B70" s="108" t="s">
        <v>311</v>
      </c>
      <c r="C70" s="108">
        <v>0.18</v>
      </c>
      <c r="D70" s="108">
        <v>7.0314000000000002E-2</v>
      </c>
      <c r="E70" s="108">
        <v>-0.65</v>
      </c>
      <c r="F70" s="108">
        <v>0.53</v>
      </c>
      <c r="G70" s="108">
        <v>-0.01</v>
      </c>
      <c r="H70" s="108">
        <v>3.5028999999999998E-2</v>
      </c>
    </row>
    <row r="71" spans="1:8" x14ac:dyDescent="0.2">
      <c r="A71" s="82" t="s">
        <v>418</v>
      </c>
      <c r="B71" s="98" t="s">
        <v>311</v>
      </c>
      <c r="C71" s="98">
        <v>30018</v>
      </c>
      <c r="D71" s="98">
        <v>30122</v>
      </c>
      <c r="E71" s="98">
        <v>13588</v>
      </c>
      <c r="F71" s="98">
        <v>23449</v>
      </c>
      <c r="G71" s="98">
        <v>25876</v>
      </c>
      <c r="H71" s="98">
        <v>26342.75</v>
      </c>
    </row>
    <row r="72" spans="1:8" x14ac:dyDescent="0.2">
      <c r="A72" s="82"/>
      <c r="B72" s="82"/>
      <c r="C72" s="82"/>
      <c r="D72" s="82"/>
      <c r="E72" s="82"/>
      <c r="F72" s="82"/>
      <c r="G72" s="82"/>
      <c r="H72" s="82"/>
    </row>
    <row r="73" spans="1:8" x14ac:dyDescent="0.2">
      <c r="A73" s="82" t="s">
        <v>419</v>
      </c>
      <c r="B73" s="108" t="s">
        <v>311</v>
      </c>
      <c r="C73" s="100">
        <v>0.17</v>
      </c>
      <c r="D73" s="100">
        <v>0.06</v>
      </c>
      <c r="E73" s="100">
        <v>0.05</v>
      </c>
      <c r="F73" s="100">
        <v>0.34</v>
      </c>
      <c r="G73" s="100">
        <v>0.47</v>
      </c>
      <c r="H73" s="100">
        <v>0.52</v>
      </c>
    </row>
    <row r="74" spans="1:8" x14ac:dyDescent="0.2">
      <c r="A74" s="82" t="s">
        <v>420</v>
      </c>
      <c r="B74" s="108" t="s">
        <v>311</v>
      </c>
      <c r="C74" s="108">
        <v>0.16577500000000001</v>
      </c>
      <c r="D74" s="108">
        <v>5.9859999999999997E-2</v>
      </c>
      <c r="E74" s="108">
        <v>4.5673999999999999E-2</v>
      </c>
      <c r="F74" s="108">
        <v>0.32861200000000002</v>
      </c>
      <c r="G74" s="108">
        <v>0.47395700000000002</v>
      </c>
      <c r="H74" s="108">
        <v>0.51494200000000001</v>
      </c>
    </row>
    <row r="75" spans="1:8" x14ac:dyDescent="0.2">
      <c r="A75" s="82"/>
      <c r="B75" s="82"/>
      <c r="C75" s="82"/>
      <c r="D75" s="82"/>
      <c r="E75" s="82"/>
      <c r="F75" s="82"/>
      <c r="G75" s="82"/>
      <c r="H75" s="82"/>
    </row>
    <row r="76" spans="1:8" x14ac:dyDescent="0.2">
      <c r="A76" s="82" t="s">
        <v>421</v>
      </c>
      <c r="B76" s="108" t="s">
        <v>311</v>
      </c>
      <c r="C76" s="108" t="s">
        <v>311</v>
      </c>
      <c r="D76" s="108" t="s">
        <v>311</v>
      </c>
      <c r="E76" s="108" t="s">
        <v>311</v>
      </c>
      <c r="F76" s="108" t="s">
        <v>311</v>
      </c>
      <c r="G76" s="108" t="s">
        <v>311</v>
      </c>
      <c r="H76" s="108" t="s">
        <v>311</v>
      </c>
    </row>
    <row r="77" spans="1:8" x14ac:dyDescent="0.2">
      <c r="A77" s="82" t="s">
        <v>422</v>
      </c>
      <c r="B77" s="97" t="s">
        <v>311</v>
      </c>
      <c r="C77" s="97" t="s">
        <v>311</v>
      </c>
      <c r="D77" s="109">
        <v>12.780925</v>
      </c>
      <c r="E77" s="97" t="s">
        <v>311</v>
      </c>
      <c r="F77" s="97" t="s">
        <v>311</v>
      </c>
      <c r="G77" s="97" t="s">
        <v>311</v>
      </c>
      <c r="H77" s="97" t="s">
        <v>311</v>
      </c>
    </row>
    <row r="78" spans="1:8" x14ac:dyDescent="0.2">
      <c r="A78" s="82"/>
      <c r="B78" s="82"/>
      <c r="C78" s="82"/>
      <c r="D78" s="82"/>
      <c r="E78" s="82"/>
      <c r="F78" s="82"/>
      <c r="G78" s="82"/>
      <c r="H78" s="82"/>
    </row>
    <row r="79" spans="1:8" x14ac:dyDescent="0.2">
      <c r="A79" s="90" t="s">
        <v>423</v>
      </c>
      <c r="B79" s="82"/>
      <c r="C79" s="82"/>
      <c r="D79" s="82"/>
      <c r="E79" s="82"/>
      <c r="F79" s="82"/>
      <c r="G79" s="82"/>
      <c r="H79" s="82"/>
    </row>
    <row r="80" spans="1:8" x14ac:dyDescent="0.2">
      <c r="A80" s="82" t="s">
        <v>121</v>
      </c>
      <c r="B80" s="98">
        <v>6848</v>
      </c>
      <c r="C80" s="98">
        <v>11555</v>
      </c>
      <c r="D80" s="98">
        <v>9057</v>
      </c>
      <c r="E80" s="98">
        <v>30580</v>
      </c>
      <c r="F80" s="98">
        <v>42341</v>
      </c>
      <c r="G80" s="98">
        <v>56789</v>
      </c>
      <c r="H80" s="98">
        <v>60600</v>
      </c>
    </row>
    <row r="81" spans="1:8" x14ac:dyDescent="0.2">
      <c r="A81" s="82" t="s">
        <v>424</v>
      </c>
      <c r="B81" s="98">
        <v>4686</v>
      </c>
      <c r="C81" s="98">
        <v>8014</v>
      </c>
      <c r="D81" s="98">
        <v>3248</v>
      </c>
      <c r="E81" s="98">
        <v>20358</v>
      </c>
      <c r="F81" s="98">
        <v>27839</v>
      </c>
      <c r="G81" s="98">
        <v>35085</v>
      </c>
      <c r="H81" s="98">
        <v>37146</v>
      </c>
    </row>
    <row r="82" spans="1:8" x14ac:dyDescent="0.2">
      <c r="A82" s="82" t="s">
        <v>315</v>
      </c>
      <c r="B82" s="98">
        <v>4686</v>
      </c>
      <c r="C82" s="98">
        <v>8014</v>
      </c>
      <c r="D82" s="98">
        <v>3248</v>
      </c>
      <c r="E82" s="98">
        <v>20358</v>
      </c>
      <c r="F82" s="98">
        <v>27839</v>
      </c>
      <c r="G82" s="98">
        <v>35085</v>
      </c>
      <c r="H82" s="98">
        <v>37146</v>
      </c>
    </row>
    <row r="83" spans="1:8" x14ac:dyDescent="0.2">
      <c r="A83" s="82" t="s">
        <v>425</v>
      </c>
      <c r="B83" s="98">
        <v>11722</v>
      </c>
      <c r="C83" s="98">
        <v>18663</v>
      </c>
      <c r="D83" s="98">
        <v>20267</v>
      </c>
      <c r="E83" s="98">
        <v>45817</v>
      </c>
      <c r="F83" s="98">
        <v>64165</v>
      </c>
      <c r="G83" s="98">
        <v>82950</v>
      </c>
      <c r="H83" s="98" t="s">
        <v>311</v>
      </c>
    </row>
    <row r="84" spans="1:8" x14ac:dyDescent="0.2">
      <c r="A84" s="82" t="s">
        <v>426</v>
      </c>
      <c r="B84" s="98">
        <v>57038</v>
      </c>
      <c r="C84" s="98">
        <v>82456</v>
      </c>
      <c r="D84" s="98">
        <v>118530</v>
      </c>
      <c r="E84" s="98">
        <v>190592</v>
      </c>
      <c r="F84" s="98">
        <v>268475</v>
      </c>
      <c r="G84" s="98">
        <v>358810</v>
      </c>
      <c r="H84" s="98">
        <v>381177</v>
      </c>
    </row>
    <row r="85" spans="1:8" x14ac:dyDescent="0.2">
      <c r="A85" s="82" t="s">
        <v>427</v>
      </c>
      <c r="B85" s="109">
        <v>8.7637000000000007E-2</v>
      </c>
      <c r="C85" s="109">
        <v>7.8190999999999997E-2</v>
      </c>
      <c r="D85" s="109">
        <v>0.23812900000000001</v>
      </c>
      <c r="E85" s="109">
        <v>0.51400100000000004</v>
      </c>
      <c r="F85" s="109">
        <v>0.22283800000000001</v>
      </c>
      <c r="G85" s="109">
        <v>0.94457599999999997</v>
      </c>
      <c r="H85" s="109">
        <v>0.93786199999999997</v>
      </c>
    </row>
    <row r="86" spans="1:8" x14ac:dyDescent="0.2">
      <c r="A86" s="82" t="s">
        <v>428</v>
      </c>
      <c r="B86" s="98">
        <v>308</v>
      </c>
      <c r="C86" s="98">
        <v>266</v>
      </c>
      <c r="D86" s="98">
        <v>194</v>
      </c>
      <c r="E86" s="98">
        <v>3605</v>
      </c>
      <c r="F86" s="98">
        <v>6206</v>
      </c>
      <c r="G86" s="98">
        <v>4133</v>
      </c>
      <c r="H86" s="98">
        <v>4133</v>
      </c>
    </row>
    <row r="87" spans="1:8" x14ac:dyDescent="0.2">
      <c r="A87" s="82" t="s">
        <v>429</v>
      </c>
      <c r="B87" s="98">
        <v>123</v>
      </c>
      <c r="C87" s="98">
        <v>187</v>
      </c>
      <c r="D87" s="98">
        <v>561</v>
      </c>
      <c r="E87" s="98">
        <v>433</v>
      </c>
      <c r="F87" s="98">
        <v>667</v>
      </c>
      <c r="G87" s="98">
        <v>942</v>
      </c>
      <c r="H87" s="98">
        <v>942</v>
      </c>
    </row>
    <row r="88" spans="1:8" x14ac:dyDescent="0.2">
      <c r="A88" s="82" t="s">
        <v>430</v>
      </c>
      <c r="B88" s="98">
        <v>431</v>
      </c>
      <c r="C88" s="98">
        <v>453</v>
      </c>
      <c r="D88" s="98">
        <v>755</v>
      </c>
      <c r="E88" s="98">
        <v>4038</v>
      </c>
      <c r="F88" s="98">
        <v>6873</v>
      </c>
      <c r="G88" s="98">
        <v>5075</v>
      </c>
      <c r="H88" s="98">
        <v>5075</v>
      </c>
    </row>
    <row r="89" spans="1:8" x14ac:dyDescent="0.2">
      <c r="A89" s="82" t="s">
        <v>431</v>
      </c>
      <c r="B89" s="98">
        <v>-34</v>
      </c>
      <c r="C89" s="98">
        <v>7</v>
      </c>
      <c r="D89" s="98">
        <v>-93</v>
      </c>
      <c r="E89" s="98">
        <v>-734</v>
      </c>
      <c r="F89" s="98">
        <v>-523</v>
      </c>
      <c r="G89" s="98">
        <v>146334</v>
      </c>
      <c r="H89" s="98">
        <v>146334</v>
      </c>
    </row>
    <row r="90" spans="1:8" x14ac:dyDescent="0.2">
      <c r="A90" s="82" t="s">
        <v>432</v>
      </c>
      <c r="B90" s="98">
        <v>-34</v>
      </c>
      <c r="C90" s="98">
        <v>7</v>
      </c>
      <c r="D90" s="98">
        <v>-93</v>
      </c>
      <c r="E90" s="98">
        <v>-734</v>
      </c>
      <c r="F90" s="98">
        <v>-523</v>
      </c>
      <c r="G90" s="98">
        <v>146334</v>
      </c>
      <c r="H90" s="98">
        <v>146334</v>
      </c>
    </row>
    <row r="91" spans="1:8" x14ac:dyDescent="0.2">
      <c r="A91" s="82"/>
      <c r="B91" s="82"/>
      <c r="C91" s="82"/>
      <c r="D91" s="82"/>
      <c r="E91" s="82"/>
      <c r="F91" s="82"/>
      <c r="G91" s="82"/>
      <c r="H91" s="82"/>
    </row>
    <row r="92" spans="1:8" x14ac:dyDescent="0.2">
      <c r="A92" s="82" t="s">
        <v>433</v>
      </c>
      <c r="B92" s="98">
        <v>2831.25</v>
      </c>
      <c r="C92" s="98">
        <v>4976.25</v>
      </c>
      <c r="D92" s="98">
        <v>1803.125</v>
      </c>
      <c r="E92" s="98">
        <v>620.625</v>
      </c>
      <c r="F92" s="98">
        <v>7705.625</v>
      </c>
      <c r="G92" s="98">
        <v>12264.125</v>
      </c>
      <c r="H92" s="98">
        <v>13565</v>
      </c>
    </row>
    <row r="93" spans="1:8" x14ac:dyDescent="0.2">
      <c r="A93" s="82" t="s">
        <v>434</v>
      </c>
      <c r="B93" s="98" t="s">
        <v>311</v>
      </c>
      <c r="C93" s="98" t="s">
        <v>311</v>
      </c>
      <c r="D93" s="98" t="s">
        <v>311</v>
      </c>
      <c r="E93" s="98">
        <v>108</v>
      </c>
      <c r="F93" s="98" t="s">
        <v>311</v>
      </c>
      <c r="G93" s="98">
        <v>164</v>
      </c>
      <c r="H93" s="98" t="s">
        <v>311</v>
      </c>
    </row>
    <row r="94" spans="1:8" x14ac:dyDescent="0.2">
      <c r="A94" s="82" t="s">
        <v>435</v>
      </c>
      <c r="B94" s="98" t="s">
        <v>311</v>
      </c>
      <c r="C94" s="98" t="s">
        <v>311</v>
      </c>
      <c r="D94" s="98">
        <v>365</v>
      </c>
      <c r="E94" s="98">
        <v>440</v>
      </c>
      <c r="F94" s="98">
        <v>374</v>
      </c>
      <c r="G94" s="98">
        <v>1806</v>
      </c>
      <c r="H94" s="98" t="s">
        <v>311</v>
      </c>
    </row>
    <row r="95" spans="1:8" x14ac:dyDescent="0.2">
      <c r="A95" s="82" t="s">
        <v>436</v>
      </c>
      <c r="B95" s="110">
        <v>42090</v>
      </c>
      <c r="C95" s="110">
        <v>42459</v>
      </c>
      <c r="D95" s="110">
        <v>42807</v>
      </c>
      <c r="E95" s="110">
        <v>43157</v>
      </c>
      <c r="F95" s="110">
        <v>43157</v>
      </c>
      <c r="G95" s="110">
        <v>43157</v>
      </c>
      <c r="H95" s="110">
        <v>43227</v>
      </c>
    </row>
    <row r="96" spans="1:8" x14ac:dyDescent="0.2">
      <c r="A96" s="82" t="s">
        <v>437</v>
      </c>
      <c r="B96" s="97" t="s">
        <v>438</v>
      </c>
      <c r="C96" s="97" t="s">
        <v>439</v>
      </c>
      <c r="D96" s="97" t="s">
        <v>438</v>
      </c>
      <c r="E96" s="97" t="s">
        <v>439</v>
      </c>
      <c r="F96" s="97" t="s">
        <v>438</v>
      </c>
      <c r="G96" s="97" t="s">
        <v>440</v>
      </c>
      <c r="H96" s="97" t="s">
        <v>440</v>
      </c>
    </row>
    <row r="97" spans="1:8" x14ac:dyDescent="0.2">
      <c r="A97" s="82" t="s">
        <v>441</v>
      </c>
      <c r="B97" s="97" t="s">
        <v>442</v>
      </c>
      <c r="C97" s="97" t="s">
        <v>442</v>
      </c>
      <c r="D97" s="97" t="s">
        <v>442</v>
      </c>
      <c r="E97" s="97" t="s">
        <v>442</v>
      </c>
      <c r="F97" s="97" t="s">
        <v>442</v>
      </c>
      <c r="G97" s="97" t="s">
        <v>442</v>
      </c>
      <c r="H97" s="97" t="s">
        <v>443</v>
      </c>
    </row>
    <row r="98" spans="1:8" x14ac:dyDescent="0.2">
      <c r="A98" s="82"/>
      <c r="B98" s="82"/>
      <c r="C98" s="82"/>
      <c r="D98" s="82"/>
      <c r="E98" s="82"/>
      <c r="F98" s="82"/>
      <c r="G98" s="82"/>
      <c r="H98" s="82"/>
    </row>
    <row r="99" spans="1:8" x14ac:dyDescent="0.2">
      <c r="A99" s="90" t="s">
        <v>444</v>
      </c>
      <c r="B99" s="82"/>
      <c r="C99" s="82"/>
      <c r="D99" s="82"/>
      <c r="E99" s="82"/>
      <c r="F99" s="82"/>
      <c r="G99" s="82"/>
      <c r="H99" s="82"/>
    </row>
    <row r="100" spans="1:8" x14ac:dyDescent="0.2">
      <c r="A100" s="82" t="s">
        <v>445</v>
      </c>
      <c r="B100" s="98">
        <v>564</v>
      </c>
      <c r="C100" s="98">
        <v>794</v>
      </c>
      <c r="D100" s="98">
        <v>87</v>
      </c>
      <c r="E100" s="98">
        <v>149</v>
      </c>
      <c r="F100" s="98">
        <v>147</v>
      </c>
      <c r="G100" s="98">
        <v>357</v>
      </c>
      <c r="H100" s="98" t="s">
        <v>311</v>
      </c>
    </row>
    <row r="101" spans="1:8" x14ac:dyDescent="0.2">
      <c r="A101" s="82" t="s">
        <v>446</v>
      </c>
      <c r="B101" s="98">
        <v>6928</v>
      </c>
      <c r="C101" s="98">
        <v>10163</v>
      </c>
      <c r="D101" s="98">
        <v>18149</v>
      </c>
      <c r="E101" s="98">
        <v>24237</v>
      </c>
      <c r="F101" s="98">
        <v>30556</v>
      </c>
      <c r="G101" s="98">
        <v>38339</v>
      </c>
      <c r="H101" s="98">
        <v>40680</v>
      </c>
    </row>
    <row r="102" spans="1:8" x14ac:dyDescent="0.2">
      <c r="A102" s="82" t="s">
        <v>447</v>
      </c>
      <c r="B102" s="98">
        <v>4874</v>
      </c>
      <c r="C102" s="98">
        <v>7108</v>
      </c>
      <c r="D102" s="98">
        <v>11210</v>
      </c>
      <c r="E102" s="98">
        <v>15237</v>
      </c>
      <c r="F102" s="98">
        <v>21824</v>
      </c>
      <c r="G102" s="98">
        <v>26161</v>
      </c>
      <c r="H102" s="98" t="s">
        <v>311</v>
      </c>
    </row>
    <row r="103" spans="1:8" x14ac:dyDescent="0.2">
      <c r="A103" s="82" t="s">
        <v>448</v>
      </c>
      <c r="B103" s="98" t="s">
        <v>313</v>
      </c>
      <c r="C103" s="98" t="s">
        <v>313</v>
      </c>
      <c r="D103" s="98">
        <v>2006.5</v>
      </c>
      <c r="E103" s="98">
        <v>3287.779</v>
      </c>
      <c r="F103" s="98">
        <v>56290.73</v>
      </c>
      <c r="G103" s="98">
        <v>45770.866999999998</v>
      </c>
      <c r="H103" s="98" t="s">
        <v>313</v>
      </c>
    </row>
    <row r="104" spans="1:8" x14ac:dyDescent="0.2">
      <c r="A104" s="82" t="s">
        <v>449</v>
      </c>
      <c r="B104" s="98" t="s">
        <v>313</v>
      </c>
      <c r="C104" s="98" t="s">
        <v>313</v>
      </c>
      <c r="D104" s="98">
        <v>9203.5</v>
      </c>
      <c r="E104" s="98">
        <v>11949.221</v>
      </c>
      <c r="F104" s="98">
        <v>-34466.699999999997</v>
      </c>
      <c r="G104" s="98">
        <v>-19609.900000000001</v>
      </c>
      <c r="H104" s="98" t="s">
        <v>313</v>
      </c>
    </row>
    <row r="105" spans="1:8" x14ac:dyDescent="0.2">
      <c r="A105" s="82"/>
      <c r="B105" s="82"/>
      <c r="C105" s="82"/>
      <c r="D105" s="82"/>
      <c r="E105" s="82"/>
      <c r="F105" s="82"/>
      <c r="G105" s="82"/>
      <c r="H105" s="82"/>
    </row>
    <row r="106" spans="1:8" x14ac:dyDescent="0.2">
      <c r="A106" s="82" t="s">
        <v>450</v>
      </c>
      <c r="B106" s="98">
        <v>450</v>
      </c>
      <c r="C106" s="98">
        <v>93</v>
      </c>
      <c r="D106" s="98" t="s">
        <v>313</v>
      </c>
      <c r="E106" s="98">
        <v>12367</v>
      </c>
      <c r="F106" s="98" t="s">
        <v>313</v>
      </c>
      <c r="G106" s="98" t="s">
        <v>313</v>
      </c>
      <c r="H106" s="98" t="s">
        <v>313</v>
      </c>
    </row>
    <row r="107" spans="1:8" x14ac:dyDescent="0.2">
      <c r="A107" s="82" t="s">
        <v>451</v>
      </c>
      <c r="B107" s="98" t="s">
        <v>313</v>
      </c>
      <c r="C107" s="98" t="s">
        <v>313</v>
      </c>
      <c r="D107" s="98">
        <v>165</v>
      </c>
      <c r="E107" s="98">
        <v>4314</v>
      </c>
      <c r="F107" s="98">
        <v>5354</v>
      </c>
      <c r="G107" s="98">
        <v>5623</v>
      </c>
      <c r="H107" s="98">
        <v>5811</v>
      </c>
    </row>
    <row r="108" spans="1:8" x14ac:dyDescent="0.2">
      <c r="A108" s="90" t="s">
        <v>452</v>
      </c>
      <c r="B108" s="91">
        <v>450</v>
      </c>
      <c r="C108" s="91">
        <v>93</v>
      </c>
      <c r="D108" s="91">
        <v>165</v>
      </c>
      <c r="E108" s="91">
        <v>16681</v>
      </c>
      <c r="F108" s="91">
        <v>5354</v>
      </c>
      <c r="G108" s="91">
        <v>5623</v>
      </c>
      <c r="H108" s="91">
        <v>5811</v>
      </c>
    </row>
    <row r="109" spans="1:8" x14ac:dyDescent="0.2">
      <c r="A109" s="82"/>
      <c r="B109" s="82"/>
      <c r="C109" s="82"/>
      <c r="D109" s="82"/>
      <c r="E109" s="82"/>
      <c r="F109" s="82"/>
      <c r="G109" s="82"/>
      <c r="H109" s="82"/>
    </row>
    <row r="110" spans="1:8" x14ac:dyDescent="0.2">
      <c r="A110" s="111" t="s">
        <v>453</v>
      </c>
      <c r="B110" s="99"/>
      <c r="C110" s="99"/>
      <c r="D110" s="99"/>
      <c r="E110" s="99"/>
      <c r="F110" s="99"/>
      <c r="G110" s="99"/>
      <c r="H110" s="99"/>
    </row>
    <row r="111" spans="1:8" x14ac:dyDescent="0.2">
      <c r="A111" s="79" t="s">
        <v>454</v>
      </c>
    </row>
    <row r="112" spans="1:8" x14ac:dyDescent="0.2">
      <c r="A112" s="104" t="s">
        <v>361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3399FF"/>
    <outlinePr summaryBelow="0" summaryRight="0"/>
    <pageSetUpPr autoPageBreaks="0"/>
  </sheetPr>
  <dimension ref="A5:IU90"/>
  <sheetViews>
    <sheetView zoomScale="122" workbookViewId="0">
      <selection activeCell="C1" sqref="C1"/>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4" width="13" style="79" customWidth="1"/>
    <col min="265" max="512" width="9" style="79"/>
    <col min="513" max="513" width="40.09765625" style="79" customWidth="1"/>
    <col min="514" max="520" width="13" style="79" customWidth="1"/>
    <col min="521" max="768" width="9" style="79"/>
    <col min="769" max="769" width="40.09765625" style="79" customWidth="1"/>
    <col min="770" max="776" width="13" style="79" customWidth="1"/>
    <col min="777" max="1024" width="9" style="79"/>
    <col min="1025" max="1025" width="40.09765625" style="79" customWidth="1"/>
    <col min="1026" max="1032" width="13" style="79" customWidth="1"/>
    <col min="1033" max="1280" width="9" style="79"/>
    <col min="1281" max="1281" width="40.09765625" style="79" customWidth="1"/>
    <col min="1282" max="1288" width="13" style="79" customWidth="1"/>
    <col min="1289" max="1536" width="9" style="79"/>
    <col min="1537" max="1537" width="40.09765625" style="79" customWidth="1"/>
    <col min="1538" max="1544" width="13" style="79" customWidth="1"/>
    <col min="1545" max="1792" width="9" style="79"/>
    <col min="1793" max="1793" width="40.09765625" style="79" customWidth="1"/>
    <col min="1794" max="1800" width="13" style="79" customWidth="1"/>
    <col min="1801" max="2048" width="9" style="79"/>
    <col min="2049" max="2049" width="40.09765625" style="79" customWidth="1"/>
    <col min="2050" max="2056" width="13" style="79" customWidth="1"/>
    <col min="2057" max="2304" width="9" style="79"/>
    <col min="2305" max="2305" width="40.09765625" style="79" customWidth="1"/>
    <col min="2306" max="2312" width="13" style="79" customWidth="1"/>
    <col min="2313" max="2560" width="9" style="79"/>
    <col min="2561" max="2561" width="40.09765625" style="79" customWidth="1"/>
    <col min="2562" max="2568" width="13" style="79" customWidth="1"/>
    <col min="2569" max="2816" width="9" style="79"/>
    <col min="2817" max="2817" width="40.09765625" style="79" customWidth="1"/>
    <col min="2818" max="2824" width="13" style="79" customWidth="1"/>
    <col min="2825" max="3072" width="9" style="79"/>
    <col min="3073" max="3073" width="40.09765625" style="79" customWidth="1"/>
    <col min="3074" max="3080" width="13" style="79" customWidth="1"/>
    <col min="3081" max="3328" width="9" style="79"/>
    <col min="3329" max="3329" width="40.09765625" style="79" customWidth="1"/>
    <col min="3330" max="3336" width="13" style="79" customWidth="1"/>
    <col min="3337" max="3584" width="9" style="79"/>
    <col min="3585" max="3585" width="40.09765625" style="79" customWidth="1"/>
    <col min="3586" max="3592" width="13" style="79" customWidth="1"/>
    <col min="3593" max="3840" width="9" style="79"/>
    <col min="3841" max="3841" width="40.09765625" style="79" customWidth="1"/>
    <col min="3842" max="3848" width="13" style="79" customWidth="1"/>
    <col min="3849" max="4096" width="9" style="79"/>
    <col min="4097" max="4097" width="40.09765625" style="79" customWidth="1"/>
    <col min="4098" max="4104" width="13" style="79" customWidth="1"/>
    <col min="4105" max="4352" width="9" style="79"/>
    <col min="4353" max="4353" width="40.09765625" style="79" customWidth="1"/>
    <col min="4354" max="4360" width="13" style="79" customWidth="1"/>
    <col min="4361" max="4608" width="9" style="79"/>
    <col min="4609" max="4609" width="40.09765625" style="79" customWidth="1"/>
    <col min="4610" max="4616" width="13" style="79" customWidth="1"/>
    <col min="4617" max="4864" width="9" style="79"/>
    <col min="4865" max="4865" width="40.09765625" style="79" customWidth="1"/>
    <col min="4866" max="4872" width="13" style="79" customWidth="1"/>
    <col min="4873" max="5120" width="9" style="79"/>
    <col min="5121" max="5121" width="40.09765625" style="79" customWidth="1"/>
    <col min="5122" max="5128" width="13" style="79" customWidth="1"/>
    <col min="5129" max="5376" width="9" style="79"/>
    <col min="5377" max="5377" width="40.09765625" style="79" customWidth="1"/>
    <col min="5378" max="5384" width="13" style="79" customWidth="1"/>
    <col min="5385" max="5632" width="9" style="79"/>
    <col min="5633" max="5633" width="40.09765625" style="79" customWidth="1"/>
    <col min="5634" max="5640" width="13" style="79" customWidth="1"/>
    <col min="5641" max="5888" width="9" style="79"/>
    <col min="5889" max="5889" width="40.09765625" style="79" customWidth="1"/>
    <col min="5890" max="5896" width="13" style="79" customWidth="1"/>
    <col min="5897" max="6144" width="9" style="79"/>
    <col min="6145" max="6145" width="40.09765625" style="79" customWidth="1"/>
    <col min="6146" max="6152" width="13" style="79" customWidth="1"/>
    <col min="6153" max="6400" width="9" style="79"/>
    <col min="6401" max="6401" width="40.09765625" style="79" customWidth="1"/>
    <col min="6402" max="6408" width="13" style="79" customWidth="1"/>
    <col min="6409" max="6656" width="9" style="79"/>
    <col min="6657" max="6657" width="40.09765625" style="79" customWidth="1"/>
    <col min="6658" max="6664" width="13" style="79" customWidth="1"/>
    <col min="6665" max="6912" width="9" style="79"/>
    <col min="6913" max="6913" width="40.09765625" style="79" customWidth="1"/>
    <col min="6914" max="6920" width="13" style="79" customWidth="1"/>
    <col min="6921" max="7168" width="9" style="79"/>
    <col min="7169" max="7169" width="40.09765625" style="79" customWidth="1"/>
    <col min="7170" max="7176" width="13" style="79" customWidth="1"/>
    <col min="7177" max="7424" width="9" style="79"/>
    <col min="7425" max="7425" width="40.09765625" style="79" customWidth="1"/>
    <col min="7426" max="7432" width="13" style="79" customWidth="1"/>
    <col min="7433" max="7680" width="9" style="79"/>
    <col min="7681" max="7681" width="40.09765625" style="79" customWidth="1"/>
    <col min="7682" max="7688" width="13" style="79" customWidth="1"/>
    <col min="7689" max="7936" width="9" style="79"/>
    <col min="7937" max="7937" width="40.09765625" style="79" customWidth="1"/>
    <col min="7938" max="7944" width="13" style="79" customWidth="1"/>
    <col min="7945" max="8192" width="9" style="79"/>
    <col min="8193" max="8193" width="40.09765625" style="79" customWidth="1"/>
    <col min="8194" max="8200" width="13" style="79" customWidth="1"/>
    <col min="8201" max="8448" width="9" style="79"/>
    <col min="8449" max="8449" width="40.09765625" style="79" customWidth="1"/>
    <col min="8450" max="8456" width="13" style="79" customWidth="1"/>
    <col min="8457" max="8704" width="9" style="79"/>
    <col min="8705" max="8705" width="40.09765625" style="79" customWidth="1"/>
    <col min="8706" max="8712" width="13" style="79" customWidth="1"/>
    <col min="8713" max="8960" width="9" style="79"/>
    <col min="8961" max="8961" width="40.09765625" style="79" customWidth="1"/>
    <col min="8962" max="8968" width="13" style="79" customWidth="1"/>
    <col min="8969" max="9216" width="9" style="79"/>
    <col min="9217" max="9217" width="40.09765625" style="79" customWidth="1"/>
    <col min="9218" max="9224" width="13" style="79" customWidth="1"/>
    <col min="9225" max="9472" width="9" style="79"/>
    <col min="9473" max="9473" width="40.09765625" style="79" customWidth="1"/>
    <col min="9474" max="9480" width="13" style="79" customWidth="1"/>
    <col min="9481" max="9728" width="9" style="79"/>
    <col min="9729" max="9729" width="40.09765625" style="79" customWidth="1"/>
    <col min="9730" max="9736" width="13" style="79" customWidth="1"/>
    <col min="9737" max="9984" width="9" style="79"/>
    <col min="9985" max="9985" width="40.09765625" style="79" customWidth="1"/>
    <col min="9986" max="9992" width="13" style="79" customWidth="1"/>
    <col min="9993" max="10240" width="9" style="79"/>
    <col min="10241" max="10241" width="40.09765625" style="79" customWidth="1"/>
    <col min="10242" max="10248" width="13" style="79" customWidth="1"/>
    <col min="10249" max="10496" width="9" style="79"/>
    <col min="10497" max="10497" width="40.09765625" style="79" customWidth="1"/>
    <col min="10498" max="10504" width="13" style="79" customWidth="1"/>
    <col min="10505" max="10752" width="9" style="79"/>
    <col min="10753" max="10753" width="40.09765625" style="79" customWidth="1"/>
    <col min="10754" max="10760" width="13" style="79" customWidth="1"/>
    <col min="10761" max="11008" width="9" style="79"/>
    <col min="11009" max="11009" width="40.09765625" style="79" customWidth="1"/>
    <col min="11010" max="11016" width="13" style="79" customWidth="1"/>
    <col min="11017" max="11264" width="9" style="79"/>
    <col min="11265" max="11265" width="40.09765625" style="79" customWidth="1"/>
    <col min="11266" max="11272" width="13" style="79" customWidth="1"/>
    <col min="11273" max="11520" width="9" style="79"/>
    <col min="11521" max="11521" width="40.09765625" style="79" customWidth="1"/>
    <col min="11522" max="11528" width="13" style="79" customWidth="1"/>
    <col min="11529" max="11776" width="9" style="79"/>
    <col min="11777" max="11777" width="40.09765625" style="79" customWidth="1"/>
    <col min="11778" max="11784" width="13" style="79" customWidth="1"/>
    <col min="11785" max="12032" width="9" style="79"/>
    <col min="12033" max="12033" width="40.09765625" style="79" customWidth="1"/>
    <col min="12034" max="12040" width="13" style="79" customWidth="1"/>
    <col min="12041" max="12288" width="9" style="79"/>
    <col min="12289" max="12289" width="40.09765625" style="79" customWidth="1"/>
    <col min="12290" max="12296" width="13" style="79" customWidth="1"/>
    <col min="12297" max="12544" width="9" style="79"/>
    <col min="12545" max="12545" width="40.09765625" style="79" customWidth="1"/>
    <col min="12546" max="12552" width="13" style="79" customWidth="1"/>
    <col min="12553" max="12800" width="9" style="79"/>
    <col min="12801" max="12801" width="40.09765625" style="79" customWidth="1"/>
    <col min="12802" max="12808" width="13" style="79" customWidth="1"/>
    <col min="12809" max="13056" width="9" style="79"/>
    <col min="13057" max="13057" width="40.09765625" style="79" customWidth="1"/>
    <col min="13058" max="13064" width="13" style="79" customWidth="1"/>
    <col min="13065" max="13312" width="9" style="79"/>
    <col min="13313" max="13313" width="40.09765625" style="79" customWidth="1"/>
    <col min="13314" max="13320" width="13" style="79" customWidth="1"/>
    <col min="13321" max="13568" width="9" style="79"/>
    <col min="13569" max="13569" width="40.09765625" style="79" customWidth="1"/>
    <col min="13570" max="13576" width="13" style="79" customWidth="1"/>
    <col min="13577" max="13824" width="9" style="79"/>
    <col min="13825" max="13825" width="40.09765625" style="79" customWidth="1"/>
    <col min="13826" max="13832" width="13" style="79" customWidth="1"/>
    <col min="13833" max="14080" width="9" style="79"/>
    <col min="14081" max="14081" width="40.09765625" style="79" customWidth="1"/>
    <col min="14082" max="14088" width="13" style="79" customWidth="1"/>
    <col min="14089" max="14336" width="9" style="79"/>
    <col min="14337" max="14337" width="40.09765625" style="79" customWidth="1"/>
    <col min="14338" max="14344" width="13" style="79" customWidth="1"/>
    <col min="14345" max="14592" width="9" style="79"/>
    <col min="14593" max="14593" width="40.09765625" style="79" customWidth="1"/>
    <col min="14594" max="14600" width="13" style="79" customWidth="1"/>
    <col min="14601" max="14848" width="9" style="79"/>
    <col min="14849" max="14849" width="40.09765625" style="79" customWidth="1"/>
    <col min="14850" max="14856" width="13" style="79" customWidth="1"/>
    <col min="14857" max="15104" width="9" style="79"/>
    <col min="15105" max="15105" width="40.09765625" style="79" customWidth="1"/>
    <col min="15106" max="15112" width="13" style="79" customWidth="1"/>
    <col min="15113" max="15360" width="9" style="79"/>
    <col min="15361" max="15361" width="40.09765625" style="79" customWidth="1"/>
    <col min="15362" max="15368" width="13" style="79" customWidth="1"/>
    <col min="15369" max="15616" width="9" style="79"/>
    <col min="15617" max="15617" width="40.09765625" style="79" customWidth="1"/>
    <col min="15618" max="15624" width="13" style="79" customWidth="1"/>
    <col min="15625" max="15872" width="9" style="79"/>
    <col min="15873" max="15873" width="40.09765625" style="79" customWidth="1"/>
    <col min="15874" max="15880" width="13" style="79" customWidth="1"/>
    <col min="15881" max="16128" width="9" style="79"/>
    <col min="16129" max="16129" width="40.09765625" style="79" customWidth="1"/>
    <col min="16130" max="16136" width="13" style="79" customWidth="1"/>
    <col min="16137" max="16384" width="9" style="79"/>
  </cols>
  <sheetData>
    <row r="5" spans="1:255" ht="16.2" x14ac:dyDescent="0.25">
      <c r="A5" s="78" t="s">
        <v>455</v>
      </c>
    </row>
    <row r="7" spans="1:255" ht="20.399999999999999" x14ac:dyDescent="0.2">
      <c r="A7" s="80" t="s">
        <v>363</v>
      </c>
      <c r="B7" s="81" t="s">
        <v>364</v>
      </c>
      <c r="C7" s="79" t="s">
        <v>365</v>
      </c>
      <c r="D7" s="82" t="s">
        <v>287</v>
      </c>
      <c r="E7" s="81" t="s">
        <v>366</v>
      </c>
      <c r="F7" s="79" t="s">
        <v>367</v>
      </c>
    </row>
    <row r="8" spans="1:255" x14ac:dyDescent="0.2">
      <c r="A8" s="82"/>
      <c r="B8" s="81" t="s">
        <v>368</v>
      </c>
      <c r="C8" s="79" t="s">
        <v>369</v>
      </c>
      <c r="D8" s="82" t="s">
        <v>287</v>
      </c>
      <c r="E8" s="81" t="s">
        <v>290</v>
      </c>
      <c r="F8" s="79" t="s">
        <v>291</v>
      </c>
    </row>
    <row r="9" spans="1:255" x14ac:dyDescent="0.2">
      <c r="A9" s="82"/>
      <c r="B9" s="81" t="s">
        <v>285</v>
      </c>
      <c r="C9" s="79" t="s">
        <v>370</v>
      </c>
      <c r="D9" s="82" t="s">
        <v>287</v>
      </c>
      <c r="E9" s="81" t="s">
        <v>288</v>
      </c>
      <c r="F9" s="79" t="s">
        <v>289</v>
      </c>
    </row>
    <row r="10" spans="1:255" x14ac:dyDescent="0.2">
      <c r="A10" s="82"/>
      <c r="B10" s="81" t="s">
        <v>292</v>
      </c>
      <c r="C10" s="79" t="s">
        <v>293</v>
      </c>
      <c r="D10" s="82" t="s">
        <v>287</v>
      </c>
      <c r="E10" s="81" t="s">
        <v>294</v>
      </c>
      <c r="F10" s="83" t="s">
        <v>295</v>
      </c>
    </row>
    <row r="11" spans="1:255" x14ac:dyDescent="0.2">
      <c r="A11" s="82"/>
      <c r="B11" s="81" t="s">
        <v>371</v>
      </c>
      <c r="C11" s="79" t="s">
        <v>372</v>
      </c>
      <c r="D11" s="82" t="s">
        <v>287</v>
      </c>
      <c r="E11" s="105"/>
      <c r="F11" s="105"/>
    </row>
    <row r="14" spans="1:255" x14ac:dyDescent="0.2">
      <c r="A14" s="84" t="s">
        <v>230</v>
      </c>
      <c r="B14" s="84"/>
      <c r="C14" s="84"/>
      <c r="D14" s="84"/>
      <c r="E14" s="84"/>
      <c r="F14" s="84"/>
      <c r="G14" s="84"/>
      <c r="H14" s="84"/>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c r="CY14" s="85"/>
      <c r="CZ14" s="85"/>
      <c r="DA14" s="85"/>
      <c r="DB14" s="85"/>
      <c r="DC14" s="85"/>
      <c r="DD14" s="85"/>
      <c r="DE14" s="85"/>
      <c r="DF14" s="85"/>
      <c r="DG14" s="85"/>
      <c r="DH14" s="85"/>
      <c r="DI14" s="85"/>
      <c r="DJ14" s="85"/>
      <c r="DK14" s="85"/>
      <c r="DL14" s="85"/>
      <c r="DM14" s="85"/>
      <c r="DN14" s="85"/>
      <c r="DO14" s="85"/>
      <c r="DP14" s="85"/>
      <c r="DQ14" s="85"/>
      <c r="DR14" s="85"/>
      <c r="DS14" s="85"/>
      <c r="DT14" s="85"/>
      <c r="DU14" s="85"/>
      <c r="DV14" s="85"/>
      <c r="DW14" s="85"/>
      <c r="DX14" s="85"/>
      <c r="DY14" s="85"/>
      <c r="DZ14" s="85"/>
      <c r="EA14" s="85"/>
      <c r="EB14" s="85"/>
      <c r="EC14" s="85"/>
      <c r="ED14" s="85"/>
      <c r="EE14" s="85"/>
      <c r="EF14" s="85"/>
      <c r="EG14" s="85"/>
      <c r="EH14" s="85"/>
      <c r="EI14" s="85"/>
      <c r="EJ14" s="85"/>
      <c r="EK14" s="85"/>
      <c r="EL14" s="85"/>
      <c r="EM14" s="85"/>
      <c r="EN14" s="85"/>
      <c r="EO14" s="85"/>
      <c r="EP14" s="85"/>
      <c r="EQ14" s="85"/>
      <c r="ER14" s="85"/>
      <c r="ES14" s="85"/>
      <c r="ET14" s="85"/>
      <c r="EU14" s="85"/>
      <c r="EV14" s="85"/>
      <c r="EW14" s="85"/>
      <c r="EX14" s="85"/>
      <c r="EY14" s="85"/>
      <c r="EZ14" s="85"/>
      <c r="FA14" s="85"/>
      <c r="FB14" s="85"/>
      <c r="FC14" s="85"/>
      <c r="FD14" s="85"/>
      <c r="FE14" s="85"/>
      <c r="FF14" s="85"/>
      <c r="FG14" s="85"/>
      <c r="FH14" s="85"/>
      <c r="FI14" s="85"/>
      <c r="FJ14" s="85"/>
      <c r="FK14" s="85"/>
      <c r="FL14" s="85"/>
      <c r="FM14" s="85"/>
      <c r="FN14" s="85"/>
      <c r="FO14" s="85"/>
      <c r="FP14" s="85"/>
      <c r="FQ14" s="85"/>
      <c r="FR14" s="85"/>
      <c r="FS14" s="85"/>
      <c r="FT14" s="85"/>
      <c r="FU14" s="85"/>
      <c r="FV14" s="85"/>
      <c r="FW14" s="85"/>
      <c r="FX14" s="85"/>
      <c r="FY14" s="85"/>
      <c r="FZ14" s="85"/>
      <c r="GA14" s="85"/>
      <c r="GB14" s="85"/>
      <c r="GC14" s="85"/>
      <c r="GD14" s="85"/>
      <c r="GE14" s="85"/>
      <c r="GF14" s="85"/>
      <c r="GG14" s="85"/>
      <c r="GH14" s="85"/>
      <c r="GI14" s="85"/>
      <c r="GJ14" s="85"/>
      <c r="GK14" s="85"/>
      <c r="GL14" s="85"/>
      <c r="GM14" s="85"/>
      <c r="GN14" s="85"/>
      <c r="GO14" s="85"/>
      <c r="GP14" s="85"/>
      <c r="GQ14" s="85"/>
      <c r="GR14" s="85"/>
      <c r="GS14" s="85"/>
      <c r="GT14" s="85"/>
      <c r="GU14" s="85"/>
      <c r="GV14" s="85"/>
      <c r="GW14" s="85"/>
      <c r="GX14" s="85"/>
      <c r="GY14" s="85"/>
      <c r="GZ14" s="85"/>
      <c r="HA14" s="85"/>
      <c r="HB14" s="85"/>
      <c r="HC14" s="85"/>
      <c r="HD14" s="85"/>
      <c r="HE14" s="85"/>
      <c r="HF14" s="85"/>
      <c r="HG14" s="85"/>
      <c r="HH14" s="85"/>
      <c r="HI14" s="85"/>
      <c r="HJ14" s="85"/>
      <c r="HK14" s="85"/>
      <c r="HL14" s="85"/>
      <c r="HM14" s="85"/>
      <c r="HN14" s="85"/>
      <c r="HO14" s="85"/>
      <c r="HP14" s="85"/>
      <c r="HQ14" s="85"/>
      <c r="HR14" s="85"/>
      <c r="HS14" s="85"/>
      <c r="HT14" s="85"/>
      <c r="HU14" s="85"/>
      <c r="HV14" s="85"/>
      <c r="HW14" s="85"/>
      <c r="HX14" s="85"/>
      <c r="HY14" s="85"/>
      <c r="HZ14" s="85"/>
      <c r="IA14" s="85"/>
      <c r="IB14" s="85"/>
      <c r="IC14" s="85"/>
      <c r="ID14" s="85"/>
      <c r="IE14" s="85"/>
      <c r="IF14" s="85"/>
      <c r="IG14" s="85"/>
      <c r="IH14" s="85"/>
      <c r="II14" s="85"/>
      <c r="IJ14" s="85"/>
      <c r="IK14" s="85"/>
      <c r="IL14" s="85"/>
      <c r="IM14" s="85"/>
      <c r="IN14" s="85"/>
      <c r="IO14" s="85"/>
      <c r="IP14" s="85"/>
      <c r="IQ14" s="85"/>
      <c r="IR14" s="85"/>
      <c r="IS14" s="85"/>
      <c r="IT14" s="85"/>
      <c r="IU14" s="85"/>
    </row>
    <row r="15" spans="1:255" ht="20.399999999999999" x14ac:dyDescent="0.2">
      <c r="A15" s="249" t="s">
        <v>456</v>
      </c>
      <c r="B15" s="253">
        <v>41269</v>
      </c>
      <c r="C15" s="253">
        <v>41633</v>
      </c>
      <c r="D15" s="250" t="s">
        <v>457</v>
      </c>
      <c r="E15" s="253">
        <v>42368</v>
      </c>
      <c r="F15" s="253">
        <v>42732</v>
      </c>
      <c r="G15" s="253">
        <v>43096</v>
      </c>
      <c r="H15" s="253">
        <v>43187</v>
      </c>
    </row>
    <row r="16" spans="1:255" x14ac:dyDescent="0.2">
      <c r="A16" s="251" t="s">
        <v>308</v>
      </c>
      <c r="B16" s="252" t="s">
        <v>309</v>
      </c>
      <c r="C16" s="252" t="s">
        <v>309</v>
      </c>
      <c r="D16" s="252" t="s">
        <v>309</v>
      </c>
      <c r="E16" s="252" t="s">
        <v>309</v>
      </c>
      <c r="F16" s="252" t="s">
        <v>309</v>
      </c>
      <c r="G16" s="252" t="s">
        <v>309</v>
      </c>
      <c r="H16" s="252" t="s">
        <v>309</v>
      </c>
    </row>
    <row r="17" spans="1:8" x14ac:dyDescent="0.2">
      <c r="A17" s="90" t="s">
        <v>458</v>
      </c>
      <c r="B17" s="82"/>
      <c r="C17" s="82"/>
      <c r="D17" s="82"/>
      <c r="E17" s="82"/>
      <c r="F17" s="82"/>
      <c r="G17" s="82"/>
      <c r="H17" s="82"/>
    </row>
    <row r="18" spans="1:8" x14ac:dyDescent="0.2">
      <c r="A18" s="82" t="s">
        <v>459</v>
      </c>
      <c r="B18" s="98">
        <v>16033</v>
      </c>
      <c r="C18" s="98">
        <v>13076</v>
      </c>
      <c r="D18" s="98">
        <v>2677</v>
      </c>
      <c r="E18" s="98">
        <v>70849</v>
      </c>
      <c r="F18" s="98">
        <v>11607</v>
      </c>
      <c r="G18" s="98">
        <v>21507</v>
      </c>
      <c r="H18" s="98">
        <v>26624</v>
      </c>
    </row>
    <row r="19" spans="1:8" x14ac:dyDescent="0.2">
      <c r="A19" s="82" t="s">
        <v>460</v>
      </c>
      <c r="B19" s="98" t="s">
        <v>313</v>
      </c>
      <c r="C19" s="98" t="s">
        <v>313</v>
      </c>
      <c r="D19" s="98" t="s">
        <v>313</v>
      </c>
      <c r="E19" s="98">
        <v>275</v>
      </c>
      <c r="F19" s="98">
        <v>62040</v>
      </c>
      <c r="G19" s="98">
        <v>63036</v>
      </c>
      <c r="H19" s="98">
        <v>61128</v>
      </c>
    </row>
    <row r="20" spans="1:8" x14ac:dyDescent="0.2">
      <c r="A20" s="90" t="s">
        <v>461</v>
      </c>
      <c r="B20" s="106">
        <v>16033</v>
      </c>
      <c r="C20" s="106">
        <v>13076</v>
      </c>
      <c r="D20" s="106">
        <v>2677</v>
      </c>
      <c r="E20" s="106">
        <v>71124</v>
      </c>
      <c r="F20" s="106">
        <v>73647</v>
      </c>
      <c r="G20" s="106">
        <v>84543</v>
      </c>
      <c r="H20" s="106">
        <v>87752</v>
      </c>
    </row>
    <row r="21" spans="1:8" x14ac:dyDescent="0.2">
      <c r="A21" s="82"/>
      <c r="B21" s="82"/>
      <c r="C21" s="82"/>
      <c r="D21" s="82"/>
      <c r="E21" s="82"/>
      <c r="F21" s="82"/>
      <c r="G21" s="82"/>
      <c r="H21" s="82"/>
    </row>
    <row r="22" spans="1:8" x14ac:dyDescent="0.2">
      <c r="A22" s="82" t="s">
        <v>462</v>
      </c>
      <c r="B22" s="98">
        <v>1553</v>
      </c>
      <c r="C22" s="98">
        <v>1107</v>
      </c>
      <c r="D22" s="98">
        <v>1482</v>
      </c>
      <c r="E22" s="98">
        <v>2692</v>
      </c>
      <c r="F22" s="98">
        <v>2878</v>
      </c>
      <c r="G22" s="98">
        <v>3458</v>
      </c>
      <c r="H22" s="98">
        <v>5057</v>
      </c>
    </row>
    <row r="23" spans="1:8" x14ac:dyDescent="0.2">
      <c r="A23" s="82" t="s">
        <v>463</v>
      </c>
      <c r="B23" s="98" t="s">
        <v>313</v>
      </c>
      <c r="C23" s="98">
        <v>420</v>
      </c>
      <c r="D23" s="98">
        <v>1796</v>
      </c>
      <c r="E23" s="98">
        <v>1525</v>
      </c>
      <c r="F23" s="98">
        <v>3139</v>
      </c>
      <c r="G23" s="98">
        <v>2201</v>
      </c>
      <c r="H23" s="98" t="s">
        <v>313</v>
      </c>
    </row>
    <row r="24" spans="1:8" x14ac:dyDescent="0.2">
      <c r="A24" s="90" t="s">
        <v>464</v>
      </c>
      <c r="B24" s="106">
        <v>1553</v>
      </c>
      <c r="C24" s="106">
        <v>1527</v>
      </c>
      <c r="D24" s="106">
        <v>3278</v>
      </c>
      <c r="E24" s="106">
        <v>4217</v>
      </c>
      <c r="F24" s="106">
        <v>6017</v>
      </c>
      <c r="G24" s="106">
        <v>5659</v>
      </c>
      <c r="H24" s="106">
        <v>5057</v>
      </c>
    </row>
    <row r="25" spans="1:8" x14ac:dyDescent="0.2">
      <c r="A25" s="82"/>
      <c r="B25" s="82"/>
      <c r="C25" s="82"/>
      <c r="D25" s="82"/>
      <c r="E25" s="82"/>
      <c r="F25" s="82"/>
      <c r="G25" s="82"/>
      <c r="H25" s="82"/>
    </row>
    <row r="26" spans="1:8" x14ac:dyDescent="0.2">
      <c r="A26" s="82" t="s">
        <v>465</v>
      </c>
      <c r="B26" s="98">
        <v>243</v>
      </c>
      <c r="C26" s="98">
        <v>331</v>
      </c>
      <c r="D26" s="98">
        <v>529</v>
      </c>
      <c r="E26" s="98">
        <v>543</v>
      </c>
      <c r="F26" s="98">
        <v>806</v>
      </c>
      <c r="G26" s="98">
        <v>1258</v>
      </c>
      <c r="H26" s="98">
        <v>1175</v>
      </c>
    </row>
    <row r="27" spans="1:8" x14ac:dyDescent="0.2">
      <c r="A27" s="82" t="s">
        <v>466</v>
      </c>
      <c r="B27" s="98">
        <v>155</v>
      </c>
      <c r="C27" s="98">
        <v>273</v>
      </c>
      <c r="D27" s="98">
        <v>1441</v>
      </c>
      <c r="E27" s="98">
        <v>3050</v>
      </c>
      <c r="F27" s="98">
        <v>3474</v>
      </c>
      <c r="G27" s="98">
        <v>1739</v>
      </c>
      <c r="H27" s="98">
        <v>1665</v>
      </c>
    </row>
    <row r="28" spans="1:8" x14ac:dyDescent="0.2">
      <c r="A28" s="82" t="s">
        <v>467</v>
      </c>
      <c r="B28" s="98" t="s">
        <v>313</v>
      </c>
      <c r="C28" s="98" t="s">
        <v>313</v>
      </c>
      <c r="D28" s="98" t="s">
        <v>313</v>
      </c>
      <c r="E28" s="98" t="s">
        <v>313</v>
      </c>
      <c r="F28" s="98" t="s">
        <v>313</v>
      </c>
      <c r="G28" s="98" t="s">
        <v>313</v>
      </c>
      <c r="H28" s="98" t="s">
        <v>313</v>
      </c>
    </row>
    <row r="29" spans="1:8" x14ac:dyDescent="0.2">
      <c r="A29" s="90" t="s">
        <v>468</v>
      </c>
      <c r="B29" s="106">
        <v>17984</v>
      </c>
      <c r="C29" s="106">
        <v>15207</v>
      </c>
      <c r="D29" s="106">
        <v>7925</v>
      </c>
      <c r="E29" s="106">
        <v>78934</v>
      </c>
      <c r="F29" s="106">
        <v>83944</v>
      </c>
      <c r="G29" s="106">
        <v>93199</v>
      </c>
      <c r="H29" s="106">
        <v>95649</v>
      </c>
    </row>
    <row r="30" spans="1:8" x14ac:dyDescent="0.2">
      <c r="A30" s="82"/>
      <c r="B30" s="82"/>
      <c r="C30" s="82"/>
      <c r="D30" s="82"/>
      <c r="E30" s="82"/>
      <c r="F30" s="82"/>
      <c r="G30" s="82"/>
      <c r="H30" s="82"/>
    </row>
    <row r="31" spans="1:8" x14ac:dyDescent="0.2">
      <c r="A31" s="82" t="s">
        <v>469</v>
      </c>
      <c r="B31" s="98">
        <v>29891</v>
      </c>
      <c r="C31" s="98">
        <v>46271</v>
      </c>
      <c r="D31" s="98">
        <v>83467</v>
      </c>
      <c r="E31" s="98">
        <v>116560</v>
      </c>
      <c r="F31" s="98">
        <v>173385</v>
      </c>
      <c r="G31" s="98">
        <v>245350</v>
      </c>
      <c r="H31" s="98">
        <v>263819</v>
      </c>
    </row>
    <row r="32" spans="1:8" x14ac:dyDescent="0.2">
      <c r="A32" s="82" t="s">
        <v>470</v>
      </c>
      <c r="B32" s="98">
        <v>-4816</v>
      </c>
      <c r="C32" s="98">
        <v>-8333</v>
      </c>
      <c r="D32" s="98">
        <v>-13343</v>
      </c>
      <c r="E32" s="98">
        <v>-23519</v>
      </c>
      <c r="F32" s="98">
        <v>-37121</v>
      </c>
      <c r="G32" s="98">
        <v>-58255</v>
      </c>
      <c r="H32" s="98">
        <v>-63941</v>
      </c>
    </row>
    <row r="33" spans="1:8" x14ac:dyDescent="0.2">
      <c r="A33" s="90" t="s">
        <v>471</v>
      </c>
      <c r="B33" s="106">
        <v>25075</v>
      </c>
      <c r="C33" s="106">
        <v>37938</v>
      </c>
      <c r="D33" s="106">
        <v>70124</v>
      </c>
      <c r="E33" s="106">
        <v>93041</v>
      </c>
      <c r="F33" s="106">
        <v>136264</v>
      </c>
      <c r="G33" s="106">
        <v>187095</v>
      </c>
      <c r="H33" s="106">
        <v>199878</v>
      </c>
    </row>
    <row r="34" spans="1:8" x14ac:dyDescent="0.2">
      <c r="A34" s="82"/>
      <c r="B34" s="82"/>
      <c r="C34" s="82"/>
      <c r="D34" s="82"/>
      <c r="E34" s="82"/>
      <c r="F34" s="82"/>
      <c r="G34" s="82"/>
      <c r="H34" s="82"/>
    </row>
    <row r="35" spans="1:8" x14ac:dyDescent="0.2">
      <c r="A35" s="82" t="s">
        <v>472</v>
      </c>
      <c r="B35" s="98" t="s">
        <v>313</v>
      </c>
      <c r="C35" s="98" t="s">
        <v>313</v>
      </c>
      <c r="D35" s="98">
        <v>701</v>
      </c>
      <c r="E35" s="98">
        <v>701</v>
      </c>
      <c r="F35" s="98">
        <v>701</v>
      </c>
      <c r="G35" s="98">
        <v>894</v>
      </c>
      <c r="H35" s="98" t="s">
        <v>313</v>
      </c>
    </row>
    <row r="36" spans="1:8" x14ac:dyDescent="0.2">
      <c r="A36" s="82" t="s">
        <v>473</v>
      </c>
      <c r="B36" s="98">
        <v>74</v>
      </c>
      <c r="C36" s="98">
        <v>67</v>
      </c>
      <c r="D36" s="98">
        <v>161</v>
      </c>
      <c r="E36" s="98">
        <v>201957</v>
      </c>
      <c r="F36" s="98">
        <v>313207</v>
      </c>
      <c r="G36" s="98">
        <v>185914</v>
      </c>
      <c r="H36" s="98">
        <v>200622</v>
      </c>
    </row>
    <row r="37" spans="1:8" x14ac:dyDescent="0.2">
      <c r="A37" s="82" t="s">
        <v>474</v>
      </c>
      <c r="B37" s="98">
        <v>246</v>
      </c>
      <c r="C37" s="98" t="s">
        <v>313</v>
      </c>
      <c r="D37" s="98" t="s">
        <v>313</v>
      </c>
      <c r="E37" s="98" t="s">
        <v>313</v>
      </c>
      <c r="F37" s="98" t="s">
        <v>313</v>
      </c>
      <c r="G37" s="98" t="s">
        <v>313</v>
      </c>
      <c r="H37" s="98" t="s">
        <v>313</v>
      </c>
    </row>
    <row r="38" spans="1:8" x14ac:dyDescent="0.2">
      <c r="A38" s="82" t="s">
        <v>475</v>
      </c>
      <c r="B38" s="98">
        <v>689</v>
      </c>
      <c r="C38" s="98">
        <v>2007</v>
      </c>
      <c r="D38" s="98">
        <v>4051</v>
      </c>
      <c r="E38" s="98">
        <v>4914</v>
      </c>
      <c r="F38" s="98">
        <v>4078</v>
      </c>
      <c r="G38" s="98">
        <v>3504</v>
      </c>
      <c r="H38" s="98">
        <v>4145</v>
      </c>
    </row>
    <row r="39" spans="1:8" x14ac:dyDescent="0.2">
      <c r="A39" s="90" t="s">
        <v>476</v>
      </c>
      <c r="B39" s="107">
        <v>44068</v>
      </c>
      <c r="C39" s="107">
        <v>55219</v>
      </c>
      <c r="D39" s="107">
        <v>82962</v>
      </c>
      <c r="E39" s="107">
        <v>379547</v>
      </c>
      <c r="F39" s="107">
        <v>538194</v>
      </c>
      <c r="G39" s="107">
        <v>470606</v>
      </c>
      <c r="H39" s="107">
        <v>500294</v>
      </c>
    </row>
    <row r="40" spans="1:8" x14ac:dyDescent="0.2">
      <c r="A40" s="82"/>
      <c r="B40" s="82"/>
      <c r="C40" s="82"/>
      <c r="D40" s="82"/>
      <c r="E40" s="82"/>
      <c r="F40" s="82"/>
      <c r="G40" s="82"/>
      <c r="H40" s="82"/>
    </row>
    <row r="41" spans="1:8" x14ac:dyDescent="0.2">
      <c r="A41" s="90" t="s">
        <v>477</v>
      </c>
      <c r="B41" s="82"/>
      <c r="C41" s="82"/>
      <c r="D41" s="82"/>
      <c r="E41" s="82"/>
      <c r="F41" s="82"/>
      <c r="G41" s="82"/>
      <c r="H41" s="82"/>
    </row>
    <row r="42" spans="1:8" x14ac:dyDescent="0.2">
      <c r="A42" s="82" t="s">
        <v>478</v>
      </c>
      <c r="B42" s="98">
        <v>1174</v>
      </c>
      <c r="C42" s="98">
        <v>2393</v>
      </c>
      <c r="D42" s="98">
        <v>6440</v>
      </c>
      <c r="E42" s="98">
        <v>6786</v>
      </c>
      <c r="F42" s="98">
        <v>6921</v>
      </c>
      <c r="G42" s="98">
        <v>8210</v>
      </c>
      <c r="H42" s="98">
        <v>6738</v>
      </c>
    </row>
    <row r="43" spans="1:8" x14ac:dyDescent="0.2">
      <c r="A43" s="82" t="s">
        <v>479</v>
      </c>
      <c r="B43" s="98">
        <v>3531</v>
      </c>
      <c r="C43" s="98">
        <v>3483</v>
      </c>
      <c r="D43" s="98">
        <v>8724</v>
      </c>
      <c r="E43" s="98">
        <v>13678</v>
      </c>
      <c r="F43" s="98">
        <v>15946</v>
      </c>
      <c r="G43" s="98">
        <v>19690</v>
      </c>
      <c r="H43" s="98">
        <v>21757</v>
      </c>
    </row>
    <row r="44" spans="1:8" x14ac:dyDescent="0.2">
      <c r="A44" s="82" t="s">
        <v>480</v>
      </c>
      <c r="B44" s="98" t="s">
        <v>313</v>
      </c>
      <c r="C44" s="98" t="s">
        <v>313</v>
      </c>
      <c r="D44" s="98">
        <v>32000</v>
      </c>
      <c r="E44" s="98" t="s">
        <v>313</v>
      </c>
      <c r="F44" s="98" t="s">
        <v>313</v>
      </c>
      <c r="G44" s="98" t="s">
        <v>313</v>
      </c>
      <c r="H44" s="98" t="s">
        <v>313</v>
      </c>
    </row>
    <row r="45" spans="1:8" x14ac:dyDescent="0.2">
      <c r="A45" s="82" t="s">
        <v>481</v>
      </c>
      <c r="B45" s="98">
        <v>628</v>
      </c>
      <c r="C45" s="98" t="s">
        <v>313</v>
      </c>
      <c r="D45" s="98">
        <v>625</v>
      </c>
      <c r="E45" s="98">
        <v>833</v>
      </c>
      <c r="F45" s="98">
        <v>1153</v>
      </c>
      <c r="G45" s="98">
        <v>1472</v>
      </c>
      <c r="H45" s="98">
        <v>1310</v>
      </c>
    </row>
    <row r="46" spans="1:8" x14ac:dyDescent="0.2">
      <c r="A46" s="82" t="s">
        <v>482</v>
      </c>
      <c r="B46" s="98">
        <v>234</v>
      </c>
      <c r="C46" s="98">
        <v>1329</v>
      </c>
      <c r="D46" s="98">
        <v>388</v>
      </c>
      <c r="E46" s="98">
        <v>2708</v>
      </c>
      <c r="F46" s="98">
        <v>7696</v>
      </c>
      <c r="G46" s="98">
        <v>4652</v>
      </c>
      <c r="H46" s="98">
        <v>3652</v>
      </c>
    </row>
    <row r="47" spans="1:8" x14ac:dyDescent="0.2">
      <c r="A47" s="90" t="s">
        <v>483</v>
      </c>
      <c r="B47" s="106">
        <v>5567</v>
      </c>
      <c r="C47" s="106">
        <v>7205</v>
      </c>
      <c r="D47" s="106">
        <v>48177</v>
      </c>
      <c r="E47" s="106">
        <v>24005</v>
      </c>
      <c r="F47" s="106">
        <v>31716</v>
      </c>
      <c r="G47" s="106">
        <v>34024</v>
      </c>
      <c r="H47" s="106">
        <v>33457</v>
      </c>
    </row>
    <row r="48" spans="1:8" x14ac:dyDescent="0.2">
      <c r="A48" s="82"/>
      <c r="B48" s="82"/>
      <c r="C48" s="82"/>
      <c r="D48" s="82"/>
      <c r="E48" s="82"/>
      <c r="F48" s="82"/>
      <c r="G48" s="82"/>
      <c r="H48" s="82"/>
    </row>
    <row r="49" spans="1:8" x14ac:dyDescent="0.2">
      <c r="A49" s="82" t="s">
        <v>484</v>
      </c>
      <c r="B49" s="98" t="s">
        <v>313</v>
      </c>
      <c r="C49" s="98">
        <v>313</v>
      </c>
      <c r="D49" s="98">
        <v>313</v>
      </c>
      <c r="E49" s="98">
        <v>313</v>
      </c>
      <c r="F49" s="98" t="s">
        <v>313</v>
      </c>
      <c r="G49" s="98" t="s">
        <v>313</v>
      </c>
      <c r="H49" s="98" t="s">
        <v>313</v>
      </c>
    </row>
    <row r="50" spans="1:8" x14ac:dyDescent="0.2">
      <c r="A50" s="82" t="s">
        <v>199</v>
      </c>
      <c r="B50" s="98" t="s">
        <v>313</v>
      </c>
      <c r="C50" s="98" t="s">
        <v>313</v>
      </c>
      <c r="D50" s="98" t="s">
        <v>313</v>
      </c>
      <c r="E50" s="98" t="s">
        <v>313</v>
      </c>
      <c r="F50" s="98">
        <v>2007</v>
      </c>
      <c r="G50" s="98">
        <v>14518</v>
      </c>
      <c r="H50" s="98">
        <v>17030</v>
      </c>
    </row>
    <row r="51" spans="1:8" x14ac:dyDescent="0.2">
      <c r="A51" s="82" t="s">
        <v>485</v>
      </c>
      <c r="B51" s="98">
        <v>1725</v>
      </c>
      <c r="C51" s="98" t="s">
        <v>313</v>
      </c>
      <c r="D51" s="98" t="s">
        <v>313</v>
      </c>
      <c r="E51" s="98" t="s">
        <v>313</v>
      </c>
      <c r="F51" s="98" t="s">
        <v>313</v>
      </c>
      <c r="G51" s="98" t="s">
        <v>313</v>
      </c>
      <c r="H51" s="98" t="s">
        <v>313</v>
      </c>
    </row>
    <row r="52" spans="1:8" x14ac:dyDescent="0.2">
      <c r="A52" s="82" t="s">
        <v>486</v>
      </c>
      <c r="B52" s="98">
        <v>4905</v>
      </c>
      <c r="C52" s="98">
        <v>10314</v>
      </c>
      <c r="D52" s="98">
        <v>21872</v>
      </c>
      <c r="E52" s="98">
        <v>198210</v>
      </c>
      <c r="F52" s="98">
        <v>303118</v>
      </c>
      <c r="G52" s="98">
        <v>197585</v>
      </c>
      <c r="H52" s="98">
        <v>216674</v>
      </c>
    </row>
    <row r="53" spans="1:8" x14ac:dyDescent="0.2">
      <c r="A53" s="90" t="s">
        <v>487</v>
      </c>
      <c r="B53" s="106">
        <v>12197</v>
      </c>
      <c r="C53" s="106">
        <v>17832</v>
      </c>
      <c r="D53" s="106">
        <v>70362</v>
      </c>
      <c r="E53" s="106">
        <v>222528</v>
      </c>
      <c r="F53" s="106">
        <v>336841</v>
      </c>
      <c r="G53" s="106">
        <v>246127</v>
      </c>
      <c r="H53" s="106">
        <v>267161</v>
      </c>
    </row>
    <row r="54" spans="1:8" x14ac:dyDescent="0.2">
      <c r="A54" s="82"/>
      <c r="B54" s="82"/>
      <c r="C54" s="82"/>
      <c r="D54" s="82"/>
      <c r="E54" s="82"/>
      <c r="F54" s="82"/>
      <c r="G54" s="82"/>
      <c r="H54" s="82"/>
    </row>
    <row r="55" spans="1:8" x14ac:dyDescent="0.2">
      <c r="A55" s="82" t="s">
        <v>488</v>
      </c>
      <c r="B55" s="98">
        <v>31871</v>
      </c>
      <c r="C55" s="98">
        <v>37387</v>
      </c>
      <c r="D55" s="98">
        <v>12600</v>
      </c>
      <c r="E55" s="98">
        <v>36</v>
      </c>
      <c r="F55" s="98">
        <v>36</v>
      </c>
      <c r="G55" s="98">
        <v>37</v>
      </c>
      <c r="H55" s="98">
        <v>37</v>
      </c>
    </row>
    <row r="56" spans="1:8" x14ac:dyDescent="0.2">
      <c r="A56" s="82" t="s">
        <v>489</v>
      </c>
      <c r="B56" s="98" t="s">
        <v>313</v>
      </c>
      <c r="C56" s="98" t="s">
        <v>313</v>
      </c>
      <c r="D56" s="98" t="s">
        <v>313</v>
      </c>
      <c r="E56" s="98">
        <v>96311</v>
      </c>
      <c r="F56" s="98">
        <v>135448</v>
      </c>
      <c r="G56" s="98">
        <v>153105</v>
      </c>
      <c r="H56" s="98">
        <v>163372</v>
      </c>
    </row>
    <row r="57" spans="1:8" x14ac:dyDescent="0.2">
      <c r="A57" s="82" t="s">
        <v>490</v>
      </c>
      <c r="B57" s="98" t="s">
        <v>313</v>
      </c>
      <c r="C57" s="98" t="s">
        <v>313</v>
      </c>
      <c r="D57" s="98" t="s">
        <v>313</v>
      </c>
      <c r="E57" s="98">
        <v>4273</v>
      </c>
      <c r="F57" s="98">
        <v>16719</v>
      </c>
      <c r="G57" s="98">
        <v>16399</v>
      </c>
      <c r="H57" s="98">
        <v>18733</v>
      </c>
    </row>
    <row r="58" spans="1:8" x14ac:dyDescent="0.2">
      <c r="A58" s="82" t="s">
        <v>491</v>
      </c>
      <c r="B58" s="98" t="s">
        <v>313</v>
      </c>
      <c r="C58" s="98" t="s">
        <v>313</v>
      </c>
      <c r="D58" s="98" t="s">
        <v>313</v>
      </c>
      <c r="E58" s="98" t="s">
        <v>313</v>
      </c>
      <c r="F58" s="98" t="s">
        <v>313</v>
      </c>
      <c r="G58" s="98" t="s">
        <v>313</v>
      </c>
      <c r="H58" s="98" t="s">
        <v>313</v>
      </c>
    </row>
    <row r="59" spans="1:8" x14ac:dyDescent="0.2">
      <c r="A59" s="82" t="s">
        <v>492</v>
      </c>
      <c r="B59" s="98" t="s">
        <v>313</v>
      </c>
      <c r="C59" s="98" t="s">
        <v>313</v>
      </c>
      <c r="D59" s="98" t="s">
        <v>313</v>
      </c>
      <c r="E59" s="98">
        <v>-5</v>
      </c>
      <c r="F59" s="98">
        <v>-15</v>
      </c>
      <c r="G59" s="98">
        <v>-49</v>
      </c>
      <c r="H59" s="98" t="s">
        <v>313</v>
      </c>
    </row>
    <row r="60" spans="1:8" x14ac:dyDescent="0.2">
      <c r="A60" s="90" t="s">
        <v>493</v>
      </c>
      <c r="B60" s="106">
        <v>31871</v>
      </c>
      <c r="C60" s="106">
        <v>37387</v>
      </c>
      <c r="D60" s="106">
        <v>12600</v>
      </c>
      <c r="E60" s="106">
        <v>100615</v>
      </c>
      <c r="F60" s="106">
        <v>152188</v>
      </c>
      <c r="G60" s="106">
        <v>169492</v>
      </c>
      <c r="H60" s="106">
        <v>182142</v>
      </c>
    </row>
    <row r="61" spans="1:8" x14ac:dyDescent="0.2">
      <c r="A61" s="82"/>
      <c r="B61" s="82"/>
      <c r="C61" s="82"/>
      <c r="D61" s="82"/>
      <c r="E61" s="82"/>
      <c r="F61" s="82"/>
      <c r="G61" s="82"/>
      <c r="H61" s="82"/>
    </row>
    <row r="62" spans="1:8" x14ac:dyDescent="0.2">
      <c r="A62" s="82" t="s">
        <v>494</v>
      </c>
      <c r="B62" s="98" t="s">
        <v>313</v>
      </c>
      <c r="C62" s="98" t="s">
        <v>313</v>
      </c>
      <c r="D62" s="98" t="s">
        <v>313</v>
      </c>
      <c r="E62" s="98">
        <v>56404</v>
      </c>
      <c r="F62" s="98">
        <v>49165</v>
      </c>
      <c r="G62" s="98">
        <v>54987</v>
      </c>
      <c r="H62" s="98">
        <v>50991</v>
      </c>
    </row>
    <row r="63" spans="1:8" x14ac:dyDescent="0.2">
      <c r="A63" s="82"/>
      <c r="B63" s="82"/>
      <c r="C63" s="82"/>
      <c r="D63" s="82"/>
      <c r="E63" s="82"/>
      <c r="F63" s="82"/>
      <c r="G63" s="82"/>
      <c r="H63" s="82"/>
    </row>
    <row r="64" spans="1:8" x14ac:dyDescent="0.2">
      <c r="A64" s="90" t="s">
        <v>495</v>
      </c>
      <c r="B64" s="112">
        <v>31871</v>
      </c>
      <c r="C64" s="112">
        <v>37387</v>
      </c>
      <c r="D64" s="112">
        <v>12600</v>
      </c>
      <c r="E64" s="112">
        <v>157019</v>
      </c>
      <c r="F64" s="112">
        <v>201353</v>
      </c>
      <c r="G64" s="112">
        <v>224479</v>
      </c>
      <c r="H64" s="112">
        <v>233133</v>
      </c>
    </row>
    <row r="65" spans="1:8" x14ac:dyDescent="0.2">
      <c r="A65" s="82"/>
      <c r="B65" s="82"/>
      <c r="C65" s="82"/>
      <c r="D65" s="82"/>
      <c r="E65" s="82"/>
      <c r="F65" s="82"/>
      <c r="G65" s="82"/>
      <c r="H65" s="82"/>
    </row>
    <row r="66" spans="1:8" x14ac:dyDescent="0.2">
      <c r="A66" s="90" t="s">
        <v>496</v>
      </c>
      <c r="B66" s="113">
        <v>44068</v>
      </c>
      <c r="C66" s="113">
        <v>55219</v>
      </c>
      <c r="D66" s="113">
        <v>82962</v>
      </c>
      <c r="E66" s="113">
        <v>379547</v>
      </c>
      <c r="F66" s="113">
        <v>538194</v>
      </c>
      <c r="G66" s="113">
        <v>470606</v>
      </c>
      <c r="H66" s="113">
        <v>500294</v>
      </c>
    </row>
    <row r="67" spans="1:8" x14ac:dyDescent="0.2">
      <c r="A67" s="82"/>
      <c r="B67" s="82"/>
      <c r="C67" s="82"/>
      <c r="D67" s="82"/>
      <c r="E67" s="82"/>
      <c r="F67" s="82"/>
      <c r="G67" s="82"/>
      <c r="H67" s="82"/>
    </row>
    <row r="68" spans="1:8" x14ac:dyDescent="0.2">
      <c r="A68" s="90" t="s">
        <v>423</v>
      </c>
      <c r="B68" s="82"/>
      <c r="C68" s="82"/>
      <c r="D68" s="82"/>
      <c r="E68" s="82"/>
      <c r="F68" s="82"/>
      <c r="G68" s="82"/>
      <c r="H68" s="82"/>
    </row>
    <row r="69" spans="1:8" x14ac:dyDescent="0.2">
      <c r="A69" s="82" t="s">
        <v>497</v>
      </c>
      <c r="B69" s="98" t="s">
        <v>311</v>
      </c>
      <c r="C69" s="98">
        <v>29934</v>
      </c>
      <c r="D69" s="98">
        <v>12058.147000000001</v>
      </c>
      <c r="E69" s="98">
        <v>20982.881000000001</v>
      </c>
      <c r="F69" s="98">
        <v>25151.383999999998</v>
      </c>
      <c r="G69" s="98">
        <v>27078.149000000001</v>
      </c>
      <c r="H69" s="98">
        <v>27647.588</v>
      </c>
    </row>
    <row r="70" spans="1:8" x14ac:dyDescent="0.2">
      <c r="A70" s="82" t="s">
        <v>498</v>
      </c>
      <c r="B70" s="98" t="s">
        <v>311</v>
      </c>
      <c r="C70" s="98">
        <v>29934</v>
      </c>
      <c r="D70" s="98">
        <v>12058.147000000001</v>
      </c>
      <c r="E70" s="98">
        <v>19789.258999999998</v>
      </c>
      <c r="F70" s="98">
        <v>25151.383999999998</v>
      </c>
      <c r="G70" s="98">
        <v>26527.476999999999</v>
      </c>
      <c r="H70" s="98">
        <v>27627.553</v>
      </c>
    </row>
    <row r="71" spans="1:8" x14ac:dyDescent="0.2">
      <c r="A71" s="82" t="s">
        <v>499</v>
      </c>
      <c r="B71" s="108" t="s">
        <v>311</v>
      </c>
      <c r="C71" s="108" t="s">
        <v>311</v>
      </c>
      <c r="D71" s="100">
        <v>1.04</v>
      </c>
      <c r="E71" s="100">
        <v>5.08</v>
      </c>
      <c r="F71" s="100">
        <v>6.05</v>
      </c>
      <c r="G71" s="100">
        <v>6.39</v>
      </c>
      <c r="H71" s="100">
        <v>6.59</v>
      </c>
    </row>
    <row r="72" spans="1:8" x14ac:dyDescent="0.2">
      <c r="A72" s="82" t="s">
        <v>500</v>
      </c>
      <c r="B72" s="98">
        <v>31871</v>
      </c>
      <c r="C72" s="98">
        <v>37387</v>
      </c>
      <c r="D72" s="98">
        <v>11899</v>
      </c>
      <c r="E72" s="98">
        <v>99914</v>
      </c>
      <c r="F72" s="98">
        <v>151487</v>
      </c>
      <c r="G72" s="98">
        <v>168598</v>
      </c>
      <c r="H72" s="98">
        <v>182142</v>
      </c>
    </row>
    <row r="73" spans="1:8" x14ac:dyDescent="0.2">
      <c r="A73" s="82" t="s">
        <v>501</v>
      </c>
      <c r="B73" s="108" t="s">
        <v>311</v>
      </c>
      <c r="C73" s="108" t="s">
        <v>311</v>
      </c>
      <c r="D73" s="100">
        <v>0.99</v>
      </c>
      <c r="E73" s="100">
        <v>5.05</v>
      </c>
      <c r="F73" s="100">
        <v>6.02</v>
      </c>
      <c r="G73" s="100">
        <v>6.36</v>
      </c>
      <c r="H73" s="100">
        <v>6.59</v>
      </c>
    </row>
    <row r="74" spans="1:8" x14ac:dyDescent="0.2">
      <c r="A74" s="82" t="s">
        <v>502</v>
      </c>
      <c r="B74" s="98">
        <v>0</v>
      </c>
      <c r="C74" s="98">
        <v>313</v>
      </c>
      <c r="D74" s="98">
        <v>32313</v>
      </c>
      <c r="E74" s="98">
        <v>313</v>
      </c>
      <c r="F74" s="98">
        <v>2007</v>
      </c>
      <c r="G74" s="98">
        <v>14518</v>
      </c>
      <c r="H74" s="98">
        <v>17030</v>
      </c>
    </row>
    <row r="75" spans="1:8" x14ac:dyDescent="0.2">
      <c r="A75" s="82" t="s">
        <v>503</v>
      </c>
      <c r="B75" s="98">
        <v>-16033</v>
      </c>
      <c r="C75" s="98">
        <v>-12763</v>
      </c>
      <c r="D75" s="98">
        <v>29636</v>
      </c>
      <c r="E75" s="98">
        <v>-70811</v>
      </c>
      <c r="F75" s="98">
        <v>-71640</v>
      </c>
      <c r="G75" s="98">
        <v>-70025</v>
      </c>
      <c r="H75" s="98">
        <v>-70722</v>
      </c>
    </row>
    <row r="76" spans="1:8" x14ac:dyDescent="0.2">
      <c r="A76" s="82" t="s">
        <v>504</v>
      </c>
      <c r="B76" s="98">
        <v>38992</v>
      </c>
      <c r="C76" s="98">
        <v>56864</v>
      </c>
      <c r="D76" s="98">
        <v>89680</v>
      </c>
      <c r="E76" s="98">
        <v>121896</v>
      </c>
      <c r="F76" s="98">
        <v>174592</v>
      </c>
      <c r="G76" s="98">
        <v>209288</v>
      </c>
      <c r="H76" s="98" t="s">
        <v>311</v>
      </c>
    </row>
    <row r="77" spans="1:8" x14ac:dyDescent="0.2">
      <c r="A77" s="82" t="s">
        <v>505</v>
      </c>
      <c r="B77" s="98" t="s">
        <v>311</v>
      </c>
      <c r="C77" s="98" t="s">
        <v>311</v>
      </c>
      <c r="D77" s="98" t="s">
        <v>311</v>
      </c>
      <c r="E77" s="98">
        <v>56404</v>
      </c>
      <c r="F77" s="98">
        <v>49165</v>
      </c>
      <c r="G77" s="98">
        <v>54987</v>
      </c>
      <c r="H77" s="98">
        <v>50991</v>
      </c>
    </row>
    <row r="78" spans="1:8" x14ac:dyDescent="0.2">
      <c r="A78" s="82" t="s">
        <v>506</v>
      </c>
      <c r="B78" s="97" t="s">
        <v>311</v>
      </c>
      <c r="C78" s="97" t="s">
        <v>507</v>
      </c>
      <c r="D78" s="97" t="s">
        <v>507</v>
      </c>
      <c r="E78" s="97" t="s">
        <v>507</v>
      </c>
      <c r="F78" s="97" t="s">
        <v>507</v>
      </c>
      <c r="G78" s="97" t="s">
        <v>507</v>
      </c>
      <c r="H78" s="97" t="s">
        <v>311</v>
      </c>
    </row>
    <row r="79" spans="1:8" x14ac:dyDescent="0.2">
      <c r="A79" s="82" t="s">
        <v>508</v>
      </c>
      <c r="B79" s="98">
        <v>243</v>
      </c>
      <c r="C79" s="98">
        <v>331</v>
      </c>
      <c r="D79" s="98">
        <v>529</v>
      </c>
      <c r="E79" s="98">
        <v>543</v>
      </c>
      <c r="F79" s="98">
        <v>806</v>
      </c>
      <c r="G79" s="98">
        <v>1258</v>
      </c>
      <c r="H79" s="98">
        <v>1175</v>
      </c>
    </row>
    <row r="80" spans="1:8" x14ac:dyDescent="0.2">
      <c r="A80" s="82" t="s">
        <v>509</v>
      </c>
      <c r="B80" s="98">
        <v>7372</v>
      </c>
      <c r="C80" s="98">
        <v>11591</v>
      </c>
      <c r="D80" s="98">
        <v>18886</v>
      </c>
      <c r="E80" s="98">
        <v>27065</v>
      </c>
      <c r="F80" s="98">
        <v>39246</v>
      </c>
      <c r="G80" s="98">
        <v>54457</v>
      </c>
      <c r="H80" s="98">
        <v>56588</v>
      </c>
    </row>
    <row r="81" spans="1:8" x14ac:dyDescent="0.2">
      <c r="A81" s="82" t="s">
        <v>510</v>
      </c>
      <c r="B81" s="98">
        <v>1663</v>
      </c>
      <c r="C81" s="98">
        <v>2277</v>
      </c>
      <c r="D81" s="98">
        <v>6309</v>
      </c>
      <c r="E81" s="98">
        <v>6591</v>
      </c>
      <c r="F81" s="98">
        <v>13510</v>
      </c>
      <c r="G81" s="98">
        <v>16458</v>
      </c>
      <c r="H81" s="98">
        <v>22860</v>
      </c>
    </row>
    <row r="82" spans="1:8" x14ac:dyDescent="0.2">
      <c r="A82" s="82" t="s">
        <v>511</v>
      </c>
      <c r="B82" s="98">
        <v>20856</v>
      </c>
      <c r="C82" s="98">
        <v>32403</v>
      </c>
      <c r="D82" s="98">
        <v>58272</v>
      </c>
      <c r="E82" s="98">
        <v>82904</v>
      </c>
      <c r="F82" s="98">
        <v>120629</v>
      </c>
      <c r="G82" s="98">
        <v>166963</v>
      </c>
      <c r="H82" s="98">
        <v>173422</v>
      </c>
    </row>
    <row r="83" spans="1:8" x14ac:dyDescent="0.2">
      <c r="A83" s="82" t="s">
        <v>512</v>
      </c>
      <c r="B83" s="114" t="s">
        <v>311</v>
      </c>
      <c r="C83" s="114">
        <v>1590</v>
      </c>
      <c r="D83" s="114">
        <v>1680</v>
      </c>
      <c r="E83" s="114">
        <v>2215</v>
      </c>
      <c r="F83" s="114">
        <v>3521</v>
      </c>
      <c r="G83" s="114">
        <v>4440</v>
      </c>
      <c r="H83" s="114" t="s">
        <v>311</v>
      </c>
    </row>
    <row r="84" spans="1:8" x14ac:dyDescent="0.2">
      <c r="A84" s="82" t="s">
        <v>436</v>
      </c>
      <c r="B84" s="110">
        <v>42090</v>
      </c>
      <c r="C84" s="110">
        <v>42459</v>
      </c>
      <c r="D84" s="110">
        <v>42807</v>
      </c>
      <c r="E84" s="110">
        <v>43157</v>
      </c>
      <c r="F84" s="110">
        <v>43157</v>
      </c>
      <c r="G84" s="110">
        <v>43157</v>
      </c>
      <c r="H84" s="110">
        <v>43227</v>
      </c>
    </row>
    <row r="85" spans="1:8" x14ac:dyDescent="0.2">
      <c r="A85" s="82" t="s">
        <v>437</v>
      </c>
      <c r="B85" s="97" t="s">
        <v>438</v>
      </c>
      <c r="C85" s="97" t="s">
        <v>438</v>
      </c>
      <c r="D85" s="97" t="s">
        <v>439</v>
      </c>
      <c r="E85" s="97" t="s">
        <v>438</v>
      </c>
      <c r="F85" s="97" t="s">
        <v>438</v>
      </c>
      <c r="G85" s="97" t="s">
        <v>440</v>
      </c>
      <c r="H85" s="97" t="s">
        <v>440</v>
      </c>
    </row>
    <row r="86" spans="1:8" x14ac:dyDescent="0.2">
      <c r="A86" s="82" t="s">
        <v>441</v>
      </c>
      <c r="B86" s="97" t="s">
        <v>513</v>
      </c>
      <c r="C86" s="97" t="s">
        <v>513</v>
      </c>
      <c r="D86" s="97" t="s">
        <v>513</v>
      </c>
      <c r="E86" s="97" t="s">
        <v>513</v>
      </c>
      <c r="F86" s="97" t="s">
        <v>442</v>
      </c>
      <c r="G86" s="97" t="s">
        <v>442</v>
      </c>
      <c r="H86" s="97" t="s">
        <v>442</v>
      </c>
    </row>
    <row r="87" spans="1:8" x14ac:dyDescent="0.2">
      <c r="A87" s="82"/>
      <c r="B87" s="82"/>
      <c r="C87" s="82"/>
      <c r="D87" s="82"/>
      <c r="E87" s="82"/>
      <c r="F87" s="82"/>
      <c r="G87" s="82"/>
      <c r="H87" s="82"/>
    </row>
    <row r="88" spans="1:8" x14ac:dyDescent="0.2">
      <c r="A88" s="99"/>
      <c r="B88" s="99"/>
      <c r="C88" s="99"/>
      <c r="D88" s="99"/>
      <c r="E88" s="99"/>
      <c r="F88" s="99"/>
      <c r="G88" s="99"/>
      <c r="H88" s="99"/>
    </row>
    <row r="89" spans="1:8" x14ac:dyDescent="0.2">
      <c r="A89" s="79" t="s">
        <v>514</v>
      </c>
    </row>
    <row r="90" spans="1:8" x14ac:dyDescent="0.2">
      <c r="A90" s="104" t="s">
        <v>361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3399FF"/>
    <outlinePr summaryBelow="0" summaryRight="0"/>
    <pageSetUpPr autoPageBreaks="0"/>
  </sheetPr>
  <dimension ref="A5:IU70"/>
  <sheetViews>
    <sheetView topLeftCell="A15" zoomScale="122" workbookViewId="0">
      <selection activeCell="A18" sqref="A18"/>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4" width="13" style="79" customWidth="1"/>
    <col min="265" max="512" width="9" style="79"/>
    <col min="513" max="513" width="40.09765625" style="79" customWidth="1"/>
    <col min="514" max="520" width="13" style="79" customWidth="1"/>
    <col min="521" max="768" width="9" style="79"/>
    <col min="769" max="769" width="40.09765625" style="79" customWidth="1"/>
    <col min="770" max="776" width="13" style="79" customWidth="1"/>
    <col min="777" max="1024" width="9" style="79"/>
    <col min="1025" max="1025" width="40.09765625" style="79" customWidth="1"/>
    <col min="1026" max="1032" width="13" style="79" customWidth="1"/>
    <col min="1033" max="1280" width="9" style="79"/>
    <col min="1281" max="1281" width="40.09765625" style="79" customWidth="1"/>
    <col min="1282" max="1288" width="13" style="79" customWidth="1"/>
    <col min="1289" max="1536" width="9" style="79"/>
    <col min="1537" max="1537" width="40.09765625" style="79" customWidth="1"/>
    <col min="1538" max="1544" width="13" style="79" customWidth="1"/>
    <col min="1545" max="1792" width="9" style="79"/>
    <col min="1793" max="1793" width="40.09765625" style="79" customWidth="1"/>
    <col min="1794" max="1800" width="13" style="79" customWidth="1"/>
    <col min="1801" max="2048" width="9" style="79"/>
    <col min="2049" max="2049" width="40.09765625" style="79" customWidth="1"/>
    <col min="2050" max="2056" width="13" style="79" customWidth="1"/>
    <col min="2057" max="2304" width="9" style="79"/>
    <col min="2305" max="2305" width="40.09765625" style="79" customWidth="1"/>
    <col min="2306" max="2312" width="13" style="79" customWidth="1"/>
    <col min="2313" max="2560" width="9" style="79"/>
    <col min="2561" max="2561" width="40.09765625" style="79" customWidth="1"/>
    <col min="2562" max="2568" width="13" style="79" customWidth="1"/>
    <col min="2569" max="2816" width="9" style="79"/>
    <col min="2817" max="2817" width="40.09765625" style="79" customWidth="1"/>
    <col min="2818" max="2824" width="13" style="79" customWidth="1"/>
    <col min="2825" max="3072" width="9" style="79"/>
    <col min="3073" max="3073" width="40.09765625" style="79" customWidth="1"/>
    <col min="3074" max="3080" width="13" style="79" customWidth="1"/>
    <col min="3081" max="3328" width="9" style="79"/>
    <col min="3329" max="3329" width="40.09765625" style="79" customWidth="1"/>
    <col min="3330" max="3336" width="13" style="79" customWidth="1"/>
    <col min="3337" max="3584" width="9" style="79"/>
    <col min="3585" max="3585" width="40.09765625" style="79" customWidth="1"/>
    <col min="3586" max="3592" width="13" style="79" customWidth="1"/>
    <col min="3593" max="3840" width="9" style="79"/>
    <col min="3841" max="3841" width="40.09765625" style="79" customWidth="1"/>
    <col min="3842" max="3848" width="13" style="79" customWidth="1"/>
    <col min="3849" max="4096" width="9" style="79"/>
    <col min="4097" max="4097" width="40.09765625" style="79" customWidth="1"/>
    <col min="4098" max="4104" width="13" style="79" customWidth="1"/>
    <col min="4105" max="4352" width="9" style="79"/>
    <col min="4353" max="4353" width="40.09765625" style="79" customWidth="1"/>
    <col min="4354" max="4360" width="13" style="79" customWidth="1"/>
    <col min="4361" max="4608" width="9" style="79"/>
    <col min="4609" max="4609" width="40.09765625" style="79" customWidth="1"/>
    <col min="4610" max="4616" width="13" style="79" customWidth="1"/>
    <col min="4617" max="4864" width="9" style="79"/>
    <col min="4865" max="4865" width="40.09765625" style="79" customWidth="1"/>
    <col min="4866" max="4872" width="13" style="79" customWidth="1"/>
    <col min="4873" max="5120" width="9" style="79"/>
    <col min="5121" max="5121" width="40.09765625" style="79" customWidth="1"/>
    <col min="5122" max="5128" width="13" style="79" customWidth="1"/>
    <col min="5129" max="5376" width="9" style="79"/>
    <col min="5377" max="5377" width="40.09765625" style="79" customWidth="1"/>
    <col min="5378" max="5384" width="13" style="79" customWidth="1"/>
    <col min="5385" max="5632" width="9" style="79"/>
    <col min="5633" max="5633" width="40.09765625" style="79" customWidth="1"/>
    <col min="5634" max="5640" width="13" style="79" customWidth="1"/>
    <col min="5641" max="5888" width="9" style="79"/>
    <col min="5889" max="5889" width="40.09765625" style="79" customWidth="1"/>
    <col min="5890" max="5896" width="13" style="79" customWidth="1"/>
    <col min="5897" max="6144" width="9" style="79"/>
    <col min="6145" max="6145" width="40.09765625" style="79" customWidth="1"/>
    <col min="6146" max="6152" width="13" style="79" customWidth="1"/>
    <col min="6153" max="6400" width="9" style="79"/>
    <col min="6401" max="6401" width="40.09765625" style="79" customWidth="1"/>
    <col min="6402" max="6408" width="13" style="79" customWidth="1"/>
    <col min="6409" max="6656" width="9" style="79"/>
    <col min="6657" max="6657" width="40.09765625" style="79" customWidth="1"/>
    <col min="6658" max="6664" width="13" style="79" customWidth="1"/>
    <col min="6665" max="6912" width="9" style="79"/>
    <col min="6913" max="6913" width="40.09765625" style="79" customWidth="1"/>
    <col min="6914" max="6920" width="13" style="79" customWidth="1"/>
    <col min="6921" max="7168" width="9" style="79"/>
    <col min="7169" max="7169" width="40.09765625" style="79" customWidth="1"/>
    <col min="7170" max="7176" width="13" style="79" customWidth="1"/>
    <col min="7177" max="7424" width="9" style="79"/>
    <col min="7425" max="7425" width="40.09765625" style="79" customWidth="1"/>
    <col min="7426" max="7432" width="13" style="79" customWidth="1"/>
    <col min="7433" max="7680" width="9" style="79"/>
    <col min="7681" max="7681" width="40.09765625" style="79" customWidth="1"/>
    <col min="7682" max="7688" width="13" style="79" customWidth="1"/>
    <col min="7689" max="7936" width="9" style="79"/>
    <col min="7937" max="7937" width="40.09765625" style="79" customWidth="1"/>
    <col min="7938" max="7944" width="13" style="79" customWidth="1"/>
    <col min="7945" max="8192" width="9" style="79"/>
    <col min="8193" max="8193" width="40.09765625" style="79" customWidth="1"/>
    <col min="8194" max="8200" width="13" style="79" customWidth="1"/>
    <col min="8201" max="8448" width="9" style="79"/>
    <col min="8449" max="8449" width="40.09765625" style="79" customWidth="1"/>
    <col min="8450" max="8456" width="13" style="79" customWidth="1"/>
    <col min="8457" max="8704" width="9" style="79"/>
    <col min="8705" max="8705" width="40.09765625" style="79" customWidth="1"/>
    <col min="8706" max="8712" width="13" style="79" customWidth="1"/>
    <col min="8713" max="8960" width="9" style="79"/>
    <col min="8961" max="8961" width="40.09765625" style="79" customWidth="1"/>
    <col min="8962" max="8968" width="13" style="79" customWidth="1"/>
    <col min="8969" max="9216" width="9" style="79"/>
    <col min="9217" max="9217" width="40.09765625" style="79" customWidth="1"/>
    <col min="9218" max="9224" width="13" style="79" customWidth="1"/>
    <col min="9225" max="9472" width="9" style="79"/>
    <col min="9473" max="9473" width="40.09765625" style="79" customWidth="1"/>
    <col min="9474" max="9480" width="13" style="79" customWidth="1"/>
    <col min="9481" max="9728" width="9" style="79"/>
    <col min="9729" max="9729" width="40.09765625" style="79" customWidth="1"/>
    <col min="9730" max="9736" width="13" style="79" customWidth="1"/>
    <col min="9737" max="9984" width="9" style="79"/>
    <col min="9985" max="9985" width="40.09765625" style="79" customWidth="1"/>
    <col min="9986" max="9992" width="13" style="79" customWidth="1"/>
    <col min="9993" max="10240" width="9" style="79"/>
    <col min="10241" max="10241" width="40.09765625" style="79" customWidth="1"/>
    <col min="10242" max="10248" width="13" style="79" customWidth="1"/>
    <col min="10249" max="10496" width="9" style="79"/>
    <col min="10497" max="10497" width="40.09765625" style="79" customWidth="1"/>
    <col min="10498" max="10504" width="13" style="79" customWidth="1"/>
    <col min="10505" max="10752" width="9" style="79"/>
    <col min="10753" max="10753" width="40.09765625" style="79" customWidth="1"/>
    <col min="10754" max="10760" width="13" style="79" customWidth="1"/>
    <col min="10761" max="11008" width="9" style="79"/>
    <col min="11009" max="11009" width="40.09765625" style="79" customWidth="1"/>
    <col min="11010" max="11016" width="13" style="79" customWidth="1"/>
    <col min="11017" max="11264" width="9" style="79"/>
    <col min="11265" max="11265" width="40.09765625" style="79" customWidth="1"/>
    <col min="11266" max="11272" width="13" style="79" customWidth="1"/>
    <col min="11273" max="11520" width="9" style="79"/>
    <col min="11521" max="11521" width="40.09765625" style="79" customWidth="1"/>
    <col min="11522" max="11528" width="13" style="79" customWidth="1"/>
    <col min="11529" max="11776" width="9" style="79"/>
    <col min="11777" max="11777" width="40.09765625" style="79" customWidth="1"/>
    <col min="11778" max="11784" width="13" style="79" customWidth="1"/>
    <col min="11785" max="12032" width="9" style="79"/>
    <col min="12033" max="12033" width="40.09765625" style="79" customWidth="1"/>
    <col min="12034" max="12040" width="13" style="79" customWidth="1"/>
    <col min="12041" max="12288" width="9" style="79"/>
    <col min="12289" max="12289" width="40.09765625" style="79" customWidth="1"/>
    <col min="12290" max="12296" width="13" style="79" customWidth="1"/>
    <col min="12297" max="12544" width="9" style="79"/>
    <col min="12545" max="12545" width="40.09765625" style="79" customWidth="1"/>
    <col min="12546" max="12552" width="13" style="79" customWidth="1"/>
    <col min="12553" max="12800" width="9" style="79"/>
    <col min="12801" max="12801" width="40.09765625" style="79" customWidth="1"/>
    <col min="12802" max="12808" width="13" style="79" customWidth="1"/>
    <col min="12809" max="13056" width="9" style="79"/>
    <col min="13057" max="13057" width="40.09765625" style="79" customWidth="1"/>
    <col min="13058" max="13064" width="13" style="79" customWidth="1"/>
    <col min="13065" max="13312" width="9" style="79"/>
    <col min="13313" max="13313" width="40.09765625" style="79" customWidth="1"/>
    <col min="13314" max="13320" width="13" style="79" customWidth="1"/>
    <col min="13321" max="13568" width="9" style="79"/>
    <col min="13569" max="13569" width="40.09765625" style="79" customWidth="1"/>
    <col min="13570" max="13576" width="13" style="79" customWidth="1"/>
    <col min="13577" max="13824" width="9" style="79"/>
    <col min="13825" max="13825" width="40.09765625" style="79" customWidth="1"/>
    <col min="13826" max="13832" width="13" style="79" customWidth="1"/>
    <col min="13833" max="14080" width="9" style="79"/>
    <col min="14081" max="14081" width="40.09765625" style="79" customWidth="1"/>
    <col min="14082" max="14088" width="13" style="79" customWidth="1"/>
    <col min="14089" max="14336" width="9" style="79"/>
    <col min="14337" max="14337" width="40.09765625" style="79" customWidth="1"/>
    <col min="14338" max="14344" width="13" style="79" customWidth="1"/>
    <col min="14345" max="14592" width="9" style="79"/>
    <col min="14593" max="14593" width="40.09765625" style="79" customWidth="1"/>
    <col min="14594" max="14600" width="13" style="79" customWidth="1"/>
    <col min="14601" max="14848" width="9" style="79"/>
    <col min="14849" max="14849" width="40.09765625" style="79" customWidth="1"/>
    <col min="14850" max="14856" width="13" style="79" customWidth="1"/>
    <col min="14857" max="15104" width="9" style="79"/>
    <col min="15105" max="15105" width="40.09765625" style="79" customWidth="1"/>
    <col min="15106" max="15112" width="13" style="79" customWidth="1"/>
    <col min="15113" max="15360" width="9" style="79"/>
    <col min="15361" max="15361" width="40.09765625" style="79" customWidth="1"/>
    <col min="15362" max="15368" width="13" style="79" customWidth="1"/>
    <col min="15369" max="15616" width="9" style="79"/>
    <col min="15617" max="15617" width="40.09765625" style="79" customWidth="1"/>
    <col min="15618" max="15624" width="13" style="79" customWidth="1"/>
    <col min="15625" max="15872" width="9" style="79"/>
    <col min="15873" max="15873" width="40.09765625" style="79" customWidth="1"/>
    <col min="15874" max="15880" width="13" style="79" customWidth="1"/>
    <col min="15881" max="16128" width="9" style="79"/>
    <col min="16129" max="16129" width="40.09765625" style="79" customWidth="1"/>
    <col min="16130" max="16136" width="13" style="79" customWidth="1"/>
    <col min="16137" max="16384" width="9" style="79"/>
  </cols>
  <sheetData>
    <row r="5" spans="1:255" ht="16.2" x14ac:dyDescent="0.25">
      <c r="A5" s="78" t="s">
        <v>515</v>
      </c>
    </row>
    <row r="7" spans="1:255" ht="20.399999999999999" x14ac:dyDescent="0.2">
      <c r="A7" s="80" t="s">
        <v>363</v>
      </c>
      <c r="B7" s="81" t="s">
        <v>364</v>
      </c>
      <c r="C7" s="79" t="s">
        <v>365</v>
      </c>
      <c r="D7" s="82" t="s">
        <v>287</v>
      </c>
      <c r="E7" s="81" t="s">
        <v>366</v>
      </c>
      <c r="F7" s="79" t="s">
        <v>367</v>
      </c>
    </row>
    <row r="8" spans="1:255" x14ac:dyDescent="0.2">
      <c r="A8" s="82"/>
      <c r="B8" s="81" t="s">
        <v>368</v>
      </c>
      <c r="C8" s="79" t="s">
        <v>369</v>
      </c>
      <c r="D8" s="82" t="s">
        <v>287</v>
      </c>
      <c r="E8" s="81" t="s">
        <v>290</v>
      </c>
      <c r="F8" s="79" t="s">
        <v>291</v>
      </c>
    </row>
    <row r="9" spans="1:255" x14ac:dyDescent="0.2">
      <c r="A9" s="82"/>
      <c r="B9" s="81" t="s">
        <v>285</v>
      </c>
      <c r="C9" s="79" t="s">
        <v>370</v>
      </c>
      <c r="D9" s="82" t="s">
        <v>287</v>
      </c>
      <c r="E9" s="81" t="s">
        <v>288</v>
      </c>
      <c r="F9" s="79" t="s">
        <v>289</v>
      </c>
    </row>
    <row r="10" spans="1:255" x14ac:dyDescent="0.2">
      <c r="A10" s="82"/>
      <c r="B10" s="81" t="s">
        <v>292</v>
      </c>
      <c r="C10" s="79" t="s">
        <v>293</v>
      </c>
      <c r="D10" s="82" t="s">
        <v>287</v>
      </c>
      <c r="E10" s="81" t="s">
        <v>294</v>
      </c>
      <c r="F10" s="83" t="s">
        <v>295</v>
      </c>
    </row>
    <row r="11" spans="1:255" x14ac:dyDescent="0.2">
      <c r="A11" s="82"/>
      <c r="B11" s="81" t="s">
        <v>371</v>
      </c>
      <c r="C11" s="79" t="s">
        <v>372</v>
      </c>
      <c r="D11" s="82" t="s">
        <v>287</v>
      </c>
      <c r="E11" s="105"/>
      <c r="F11" s="105"/>
    </row>
    <row r="14" spans="1:255" x14ac:dyDescent="0.2">
      <c r="A14" s="84" t="s">
        <v>516</v>
      </c>
      <c r="B14" s="84"/>
      <c r="C14" s="84"/>
      <c r="D14" s="84"/>
      <c r="E14" s="84"/>
      <c r="F14" s="84"/>
      <c r="G14" s="84"/>
      <c r="H14" s="84"/>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c r="CY14" s="85"/>
      <c r="CZ14" s="85"/>
      <c r="DA14" s="85"/>
      <c r="DB14" s="85"/>
      <c r="DC14" s="85"/>
      <c r="DD14" s="85"/>
      <c r="DE14" s="85"/>
      <c r="DF14" s="85"/>
      <c r="DG14" s="85"/>
      <c r="DH14" s="85"/>
      <c r="DI14" s="85"/>
      <c r="DJ14" s="85"/>
      <c r="DK14" s="85"/>
      <c r="DL14" s="85"/>
      <c r="DM14" s="85"/>
      <c r="DN14" s="85"/>
      <c r="DO14" s="85"/>
      <c r="DP14" s="85"/>
      <c r="DQ14" s="85"/>
      <c r="DR14" s="85"/>
      <c r="DS14" s="85"/>
      <c r="DT14" s="85"/>
      <c r="DU14" s="85"/>
      <c r="DV14" s="85"/>
      <c r="DW14" s="85"/>
      <c r="DX14" s="85"/>
      <c r="DY14" s="85"/>
      <c r="DZ14" s="85"/>
      <c r="EA14" s="85"/>
      <c r="EB14" s="85"/>
      <c r="EC14" s="85"/>
      <c r="ED14" s="85"/>
      <c r="EE14" s="85"/>
      <c r="EF14" s="85"/>
      <c r="EG14" s="85"/>
      <c r="EH14" s="85"/>
      <c r="EI14" s="85"/>
      <c r="EJ14" s="85"/>
      <c r="EK14" s="85"/>
      <c r="EL14" s="85"/>
      <c r="EM14" s="85"/>
      <c r="EN14" s="85"/>
      <c r="EO14" s="85"/>
      <c r="EP14" s="85"/>
      <c r="EQ14" s="85"/>
      <c r="ER14" s="85"/>
      <c r="ES14" s="85"/>
      <c r="ET14" s="85"/>
      <c r="EU14" s="85"/>
      <c r="EV14" s="85"/>
      <c r="EW14" s="85"/>
      <c r="EX14" s="85"/>
      <c r="EY14" s="85"/>
      <c r="EZ14" s="85"/>
      <c r="FA14" s="85"/>
      <c r="FB14" s="85"/>
      <c r="FC14" s="85"/>
      <c r="FD14" s="85"/>
      <c r="FE14" s="85"/>
      <c r="FF14" s="85"/>
      <c r="FG14" s="85"/>
      <c r="FH14" s="85"/>
      <c r="FI14" s="85"/>
      <c r="FJ14" s="85"/>
      <c r="FK14" s="85"/>
      <c r="FL14" s="85"/>
      <c r="FM14" s="85"/>
      <c r="FN14" s="85"/>
      <c r="FO14" s="85"/>
      <c r="FP14" s="85"/>
      <c r="FQ14" s="85"/>
      <c r="FR14" s="85"/>
      <c r="FS14" s="85"/>
      <c r="FT14" s="85"/>
      <c r="FU14" s="85"/>
      <c r="FV14" s="85"/>
      <c r="FW14" s="85"/>
      <c r="FX14" s="85"/>
      <c r="FY14" s="85"/>
      <c r="FZ14" s="85"/>
      <c r="GA14" s="85"/>
      <c r="GB14" s="85"/>
      <c r="GC14" s="85"/>
      <c r="GD14" s="85"/>
      <c r="GE14" s="85"/>
      <c r="GF14" s="85"/>
      <c r="GG14" s="85"/>
      <c r="GH14" s="85"/>
      <c r="GI14" s="85"/>
      <c r="GJ14" s="85"/>
      <c r="GK14" s="85"/>
      <c r="GL14" s="85"/>
      <c r="GM14" s="85"/>
      <c r="GN14" s="85"/>
      <c r="GO14" s="85"/>
      <c r="GP14" s="85"/>
      <c r="GQ14" s="85"/>
      <c r="GR14" s="85"/>
      <c r="GS14" s="85"/>
      <c r="GT14" s="85"/>
      <c r="GU14" s="85"/>
      <c r="GV14" s="85"/>
      <c r="GW14" s="85"/>
      <c r="GX14" s="85"/>
      <c r="GY14" s="85"/>
      <c r="GZ14" s="85"/>
      <c r="HA14" s="85"/>
      <c r="HB14" s="85"/>
      <c r="HC14" s="85"/>
      <c r="HD14" s="85"/>
      <c r="HE14" s="85"/>
      <c r="HF14" s="85"/>
      <c r="HG14" s="85"/>
      <c r="HH14" s="85"/>
      <c r="HI14" s="85"/>
      <c r="HJ14" s="85"/>
      <c r="HK14" s="85"/>
      <c r="HL14" s="85"/>
      <c r="HM14" s="85"/>
      <c r="HN14" s="85"/>
      <c r="HO14" s="85"/>
      <c r="HP14" s="85"/>
      <c r="HQ14" s="85"/>
      <c r="HR14" s="85"/>
      <c r="HS14" s="85"/>
      <c r="HT14" s="85"/>
      <c r="HU14" s="85"/>
      <c r="HV14" s="85"/>
      <c r="HW14" s="85"/>
      <c r="HX14" s="85"/>
      <c r="HY14" s="85"/>
      <c r="HZ14" s="85"/>
      <c r="IA14" s="85"/>
      <c r="IB14" s="85"/>
      <c r="IC14" s="85"/>
      <c r="ID14" s="85"/>
      <c r="IE14" s="85"/>
      <c r="IF14" s="85"/>
      <c r="IG14" s="85"/>
      <c r="IH14" s="85"/>
      <c r="II14" s="85"/>
      <c r="IJ14" s="85"/>
      <c r="IK14" s="85"/>
      <c r="IL14" s="85"/>
      <c r="IM14" s="85"/>
      <c r="IN14" s="85"/>
      <c r="IO14" s="85"/>
      <c r="IP14" s="85"/>
      <c r="IQ14" s="85"/>
      <c r="IR14" s="85"/>
      <c r="IS14" s="85"/>
      <c r="IT14" s="85"/>
      <c r="IU14" s="85"/>
    </row>
    <row r="15" spans="1:255" ht="30.6" x14ac:dyDescent="0.2">
      <c r="A15" s="249" t="s">
        <v>299</v>
      </c>
      <c r="B15" s="250" t="s">
        <v>373</v>
      </c>
      <c r="C15" s="250" t="s">
        <v>517</v>
      </c>
      <c r="D15" s="250" t="s">
        <v>375</v>
      </c>
      <c r="E15" s="250" t="s">
        <v>518</v>
      </c>
      <c r="F15" s="250" t="s">
        <v>377</v>
      </c>
      <c r="G15" s="250" t="s">
        <v>378</v>
      </c>
      <c r="H15" s="250" t="s">
        <v>379</v>
      </c>
    </row>
    <row r="16" spans="1:255" x14ac:dyDescent="0.2">
      <c r="A16" s="251" t="s">
        <v>308</v>
      </c>
      <c r="B16" s="252" t="s">
        <v>309</v>
      </c>
      <c r="C16" s="252" t="s">
        <v>309</v>
      </c>
      <c r="D16" s="252" t="s">
        <v>309</v>
      </c>
      <c r="E16" s="252" t="s">
        <v>309</v>
      </c>
      <c r="F16" s="252" t="s">
        <v>309</v>
      </c>
      <c r="G16" s="252" t="s">
        <v>309</v>
      </c>
      <c r="H16" s="252" t="s">
        <v>309</v>
      </c>
    </row>
    <row r="17" spans="1:8" x14ac:dyDescent="0.2">
      <c r="A17" s="90" t="s">
        <v>320</v>
      </c>
      <c r="B17" s="82"/>
      <c r="C17" s="82"/>
      <c r="D17" s="82"/>
      <c r="E17" s="82"/>
      <c r="F17" s="82"/>
      <c r="G17" s="82"/>
      <c r="H17" s="82"/>
    </row>
    <row r="18" spans="1:8" x14ac:dyDescent="0.2">
      <c r="A18" s="90" t="s">
        <v>317</v>
      </c>
      <c r="B18" s="91">
        <v>4133</v>
      </c>
      <c r="C18" s="91">
        <v>5423</v>
      </c>
      <c r="D18" s="91">
        <v>2118</v>
      </c>
      <c r="E18" s="91">
        <v>-8776</v>
      </c>
      <c r="F18" s="91">
        <v>12446</v>
      </c>
      <c r="G18" s="91">
        <v>-320</v>
      </c>
      <c r="H18" s="91">
        <v>921</v>
      </c>
    </row>
    <row r="19" spans="1:8" x14ac:dyDescent="0.2">
      <c r="A19" s="82" t="s">
        <v>387</v>
      </c>
      <c r="B19" s="98">
        <v>2162</v>
      </c>
      <c r="C19" s="98">
        <v>3541</v>
      </c>
      <c r="D19" s="98">
        <v>5809</v>
      </c>
      <c r="E19" s="98">
        <v>10222</v>
      </c>
      <c r="F19" s="98">
        <v>14502</v>
      </c>
      <c r="G19" s="98">
        <v>21704</v>
      </c>
      <c r="H19" s="98">
        <v>23454</v>
      </c>
    </row>
    <row r="20" spans="1:8" x14ac:dyDescent="0.2">
      <c r="A20" s="90" t="s">
        <v>519</v>
      </c>
      <c r="B20" s="106">
        <v>2162</v>
      </c>
      <c r="C20" s="106">
        <v>3541</v>
      </c>
      <c r="D20" s="106">
        <v>5809</v>
      </c>
      <c r="E20" s="106">
        <v>10222</v>
      </c>
      <c r="F20" s="106">
        <v>14502</v>
      </c>
      <c r="G20" s="106">
        <v>21704</v>
      </c>
      <c r="H20" s="106">
        <v>23454</v>
      </c>
    </row>
    <row r="21" spans="1:8" x14ac:dyDescent="0.2">
      <c r="A21" s="82"/>
      <c r="B21" s="82"/>
      <c r="C21" s="82"/>
      <c r="D21" s="82"/>
      <c r="E21" s="82"/>
      <c r="F21" s="82"/>
      <c r="G21" s="82"/>
      <c r="H21" s="82"/>
    </row>
    <row r="22" spans="1:8" x14ac:dyDescent="0.2">
      <c r="A22" s="82" t="s">
        <v>520</v>
      </c>
      <c r="B22" s="98" t="s">
        <v>313</v>
      </c>
      <c r="C22" s="98">
        <v>25</v>
      </c>
      <c r="D22" s="98">
        <v>105</v>
      </c>
      <c r="E22" s="98">
        <v>17</v>
      </c>
      <c r="F22" s="98">
        <v>34</v>
      </c>
      <c r="G22" s="98">
        <v>608</v>
      </c>
      <c r="H22" s="98">
        <v>1457</v>
      </c>
    </row>
    <row r="23" spans="1:8" x14ac:dyDescent="0.2">
      <c r="A23" s="82" t="s">
        <v>521</v>
      </c>
      <c r="B23" s="98" t="s">
        <v>313</v>
      </c>
      <c r="C23" s="98" t="s">
        <v>313</v>
      </c>
      <c r="D23" s="98" t="s">
        <v>313</v>
      </c>
      <c r="E23" s="98" t="s">
        <v>313</v>
      </c>
      <c r="F23" s="98">
        <v>18</v>
      </c>
      <c r="G23" s="98">
        <v>5</v>
      </c>
      <c r="H23" s="98">
        <v>56</v>
      </c>
    </row>
    <row r="24" spans="1:8" x14ac:dyDescent="0.2">
      <c r="A24" s="82" t="s">
        <v>522</v>
      </c>
      <c r="B24" s="98">
        <v>450</v>
      </c>
      <c r="C24" s="98">
        <v>93</v>
      </c>
      <c r="D24" s="98">
        <v>165</v>
      </c>
      <c r="E24" s="98">
        <v>16681</v>
      </c>
      <c r="F24" s="98">
        <v>5354</v>
      </c>
      <c r="G24" s="98">
        <v>5623</v>
      </c>
      <c r="H24" s="98">
        <v>5811</v>
      </c>
    </row>
    <row r="25" spans="1:8" x14ac:dyDescent="0.2">
      <c r="A25" s="82" t="s">
        <v>523</v>
      </c>
      <c r="B25" s="98" t="s">
        <v>313</v>
      </c>
      <c r="C25" s="98" t="s">
        <v>313</v>
      </c>
      <c r="D25" s="98" t="s">
        <v>313</v>
      </c>
      <c r="E25" s="98" t="s">
        <v>313</v>
      </c>
      <c r="F25" s="98">
        <v>-33</v>
      </c>
      <c r="G25" s="98" t="s">
        <v>313</v>
      </c>
      <c r="H25" s="98" t="s">
        <v>313</v>
      </c>
    </row>
    <row r="26" spans="1:8" x14ac:dyDescent="0.2">
      <c r="A26" s="82" t="s">
        <v>524</v>
      </c>
      <c r="B26" s="98">
        <v>62</v>
      </c>
      <c r="C26" s="98">
        <v>44</v>
      </c>
      <c r="D26" s="98">
        <v>99</v>
      </c>
      <c r="E26" s="98">
        <v>11439</v>
      </c>
      <c r="F26" s="98">
        <v>8793</v>
      </c>
      <c r="G26" s="98">
        <v>28634</v>
      </c>
      <c r="H26" s="98">
        <v>29215</v>
      </c>
    </row>
    <row r="27" spans="1:8" x14ac:dyDescent="0.2">
      <c r="A27" s="82" t="s">
        <v>525</v>
      </c>
      <c r="B27" s="98">
        <v>-1076</v>
      </c>
      <c r="C27" s="98">
        <v>26</v>
      </c>
      <c r="D27" s="98">
        <v>-1751</v>
      </c>
      <c r="E27" s="98">
        <v>775</v>
      </c>
      <c r="F27" s="98">
        <v>2974</v>
      </c>
      <c r="G27" s="98">
        <v>6421</v>
      </c>
      <c r="H27" s="98">
        <v>7220</v>
      </c>
    </row>
    <row r="28" spans="1:8" x14ac:dyDescent="0.2">
      <c r="A28" s="82" t="s">
        <v>526</v>
      </c>
      <c r="B28" s="98">
        <v>-35</v>
      </c>
      <c r="C28" s="98">
        <v>-88</v>
      </c>
      <c r="D28" s="98">
        <v>-198</v>
      </c>
      <c r="E28" s="98">
        <v>-14</v>
      </c>
      <c r="F28" s="98">
        <v>-263</v>
      </c>
      <c r="G28" s="98">
        <v>-452</v>
      </c>
      <c r="H28" s="98">
        <v>-272</v>
      </c>
    </row>
    <row r="29" spans="1:8" x14ac:dyDescent="0.2">
      <c r="A29" s="82" t="s">
        <v>527</v>
      </c>
      <c r="B29" s="98">
        <v>-210</v>
      </c>
      <c r="C29" s="98">
        <v>1219</v>
      </c>
      <c r="D29" s="98">
        <v>1210</v>
      </c>
      <c r="E29" s="98">
        <v>201</v>
      </c>
      <c r="F29" s="98">
        <v>839</v>
      </c>
      <c r="G29" s="98">
        <v>1235</v>
      </c>
      <c r="H29" s="98">
        <v>835</v>
      </c>
    </row>
    <row r="30" spans="1:8" x14ac:dyDescent="0.2">
      <c r="A30" s="82" t="s">
        <v>528</v>
      </c>
      <c r="B30" s="98">
        <v>6192</v>
      </c>
      <c r="C30" s="98">
        <v>2641</v>
      </c>
      <c r="D30" s="98">
        <v>6027</v>
      </c>
      <c r="E30" s="98">
        <v>10713</v>
      </c>
      <c r="F30" s="98">
        <v>9621</v>
      </c>
      <c r="G30" s="98">
        <v>7420</v>
      </c>
      <c r="H30" s="98">
        <v>11635</v>
      </c>
    </row>
    <row r="31" spans="1:8" x14ac:dyDescent="0.2">
      <c r="A31" s="90" t="s">
        <v>529</v>
      </c>
      <c r="B31" s="106">
        <v>11678</v>
      </c>
      <c r="C31" s="106">
        <v>12924</v>
      </c>
      <c r="D31" s="106">
        <v>13584</v>
      </c>
      <c r="E31" s="106">
        <v>41258</v>
      </c>
      <c r="F31" s="106">
        <v>54285</v>
      </c>
      <c r="G31" s="106">
        <v>70878</v>
      </c>
      <c r="H31" s="106">
        <v>80332</v>
      </c>
    </row>
    <row r="32" spans="1:8" x14ac:dyDescent="0.2">
      <c r="A32" s="82"/>
      <c r="B32" s="82"/>
      <c r="C32" s="82"/>
      <c r="D32" s="82"/>
      <c r="E32" s="82"/>
      <c r="F32" s="82"/>
      <c r="G32" s="82"/>
      <c r="H32" s="82"/>
    </row>
    <row r="33" spans="1:8" x14ac:dyDescent="0.2">
      <c r="A33" s="82" t="s">
        <v>281</v>
      </c>
      <c r="B33" s="98">
        <v>-11036</v>
      </c>
      <c r="C33" s="98">
        <v>-16194</v>
      </c>
      <c r="D33" s="98">
        <v>-28515</v>
      </c>
      <c r="E33" s="98">
        <v>-32117</v>
      </c>
      <c r="F33" s="98">
        <v>-54433</v>
      </c>
      <c r="G33" s="98">
        <v>-61533</v>
      </c>
      <c r="H33" s="98">
        <v>-66119</v>
      </c>
    </row>
    <row r="34" spans="1:8" x14ac:dyDescent="0.2">
      <c r="A34" s="82" t="s">
        <v>530</v>
      </c>
      <c r="B34" s="98" t="s">
        <v>313</v>
      </c>
      <c r="C34" s="98" t="s">
        <v>313</v>
      </c>
      <c r="D34" s="98" t="s">
        <v>313</v>
      </c>
      <c r="E34" s="98" t="s">
        <v>313</v>
      </c>
      <c r="F34" s="98" t="s">
        <v>313</v>
      </c>
      <c r="G34" s="98" t="s">
        <v>313</v>
      </c>
      <c r="H34" s="98" t="s">
        <v>313</v>
      </c>
    </row>
    <row r="35" spans="1:8" x14ac:dyDescent="0.2">
      <c r="A35" s="82" t="s">
        <v>531</v>
      </c>
      <c r="B35" s="98" t="s">
        <v>313</v>
      </c>
      <c r="C35" s="98" t="s">
        <v>313</v>
      </c>
      <c r="D35" s="98" t="s">
        <v>313</v>
      </c>
      <c r="E35" s="98" t="s">
        <v>313</v>
      </c>
      <c r="F35" s="98" t="s">
        <v>313</v>
      </c>
      <c r="G35" s="98" t="s">
        <v>313</v>
      </c>
      <c r="H35" s="98" t="s">
        <v>313</v>
      </c>
    </row>
    <row r="36" spans="1:8" x14ac:dyDescent="0.2">
      <c r="A36" s="82" t="s">
        <v>532</v>
      </c>
      <c r="B36" s="98" t="s">
        <v>313</v>
      </c>
      <c r="C36" s="98" t="s">
        <v>313</v>
      </c>
      <c r="D36" s="98" t="s">
        <v>313</v>
      </c>
      <c r="E36" s="98">
        <v>-2397</v>
      </c>
      <c r="F36" s="98">
        <v>-60328</v>
      </c>
      <c r="G36" s="98">
        <v>-410</v>
      </c>
      <c r="H36" s="98">
        <v>-3373</v>
      </c>
    </row>
    <row r="37" spans="1:8" x14ac:dyDescent="0.2">
      <c r="A37" s="82" t="s">
        <v>533</v>
      </c>
      <c r="B37" s="98" t="s">
        <v>313</v>
      </c>
      <c r="C37" s="98" t="s">
        <v>313</v>
      </c>
      <c r="D37" s="98" t="s">
        <v>313</v>
      </c>
      <c r="E37" s="98" t="s">
        <v>313</v>
      </c>
      <c r="F37" s="98" t="s">
        <v>313</v>
      </c>
      <c r="G37" s="98" t="s">
        <v>313</v>
      </c>
      <c r="H37" s="98" t="s">
        <v>313</v>
      </c>
    </row>
    <row r="38" spans="1:8" x14ac:dyDescent="0.2">
      <c r="A38" s="82" t="s">
        <v>534</v>
      </c>
      <c r="B38" s="98" t="s">
        <v>313</v>
      </c>
      <c r="C38" s="98" t="s">
        <v>313</v>
      </c>
      <c r="D38" s="98" t="s">
        <v>313</v>
      </c>
      <c r="E38" s="98" t="s">
        <v>313</v>
      </c>
      <c r="F38" s="98" t="s">
        <v>313</v>
      </c>
      <c r="G38" s="98" t="s">
        <v>313</v>
      </c>
      <c r="H38" s="98" t="s">
        <v>313</v>
      </c>
    </row>
    <row r="39" spans="1:8" x14ac:dyDescent="0.2">
      <c r="A39" s="90" t="s">
        <v>535</v>
      </c>
      <c r="B39" s="106">
        <v>-11036</v>
      </c>
      <c r="C39" s="106">
        <v>-16194</v>
      </c>
      <c r="D39" s="106">
        <v>-28515</v>
      </c>
      <c r="E39" s="106">
        <v>-34514</v>
      </c>
      <c r="F39" s="106">
        <v>-114761</v>
      </c>
      <c r="G39" s="106">
        <v>-61943</v>
      </c>
      <c r="H39" s="106">
        <v>-69492</v>
      </c>
    </row>
    <row r="40" spans="1:8" x14ac:dyDescent="0.2">
      <c r="A40" s="82"/>
      <c r="B40" s="82"/>
      <c r="C40" s="82"/>
      <c r="D40" s="82"/>
      <c r="E40" s="82"/>
      <c r="F40" s="82"/>
      <c r="G40" s="82"/>
      <c r="H40" s="82"/>
    </row>
    <row r="41" spans="1:8" x14ac:dyDescent="0.2">
      <c r="A41" s="82" t="s">
        <v>536</v>
      </c>
      <c r="B41" s="98" t="s">
        <v>313</v>
      </c>
      <c r="C41" s="98" t="s">
        <v>313</v>
      </c>
      <c r="D41" s="98">
        <v>32000</v>
      </c>
      <c r="E41" s="98">
        <v>4000</v>
      </c>
      <c r="F41" s="98" t="s">
        <v>313</v>
      </c>
      <c r="G41" s="98" t="s">
        <v>313</v>
      </c>
      <c r="H41" s="98" t="s">
        <v>313</v>
      </c>
    </row>
    <row r="42" spans="1:8" x14ac:dyDescent="0.2">
      <c r="A42" s="82" t="s">
        <v>537</v>
      </c>
      <c r="B42" s="98" t="s">
        <v>313</v>
      </c>
      <c r="C42" s="98">
        <v>313</v>
      </c>
      <c r="D42" s="98" t="s">
        <v>313</v>
      </c>
      <c r="E42" s="98" t="s">
        <v>313</v>
      </c>
      <c r="F42" s="98">
        <v>65</v>
      </c>
      <c r="G42" s="98">
        <v>1183</v>
      </c>
      <c r="H42" s="98" t="s">
        <v>313</v>
      </c>
    </row>
    <row r="43" spans="1:8" x14ac:dyDescent="0.2">
      <c r="A43" s="90" t="s">
        <v>538</v>
      </c>
      <c r="B43" s="106" t="s">
        <v>313</v>
      </c>
      <c r="C43" s="106">
        <v>313</v>
      </c>
      <c r="D43" s="106">
        <v>32000</v>
      </c>
      <c r="E43" s="106">
        <v>4000</v>
      </c>
      <c r="F43" s="106">
        <v>65</v>
      </c>
      <c r="G43" s="106">
        <v>1183</v>
      </c>
      <c r="H43" s="106">
        <v>1411</v>
      </c>
    </row>
    <row r="44" spans="1:8" x14ac:dyDescent="0.2">
      <c r="A44" s="82" t="s">
        <v>539</v>
      </c>
      <c r="B44" s="98">
        <v>-1925</v>
      </c>
      <c r="C44" s="98" t="s">
        <v>313</v>
      </c>
      <c r="D44" s="98" t="s">
        <v>313</v>
      </c>
      <c r="E44" s="98">
        <v>-36000</v>
      </c>
      <c r="F44" s="98" t="s">
        <v>313</v>
      </c>
      <c r="G44" s="98" t="s">
        <v>313</v>
      </c>
      <c r="H44" s="98" t="s">
        <v>313</v>
      </c>
    </row>
    <row r="45" spans="1:8" x14ac:dyDescent="0.2">
      <c r="A45" s="82" t="s">
        <v>540</v>
      </c>
      <c r="B45" s="98" t="s">
        <v>313</v>
      </c>
      <c r="C45" s="98" t="s">
        <v>313</v>
      </c>
      <c r="D45" s="98" t="s">
        <v>313</v>
      </c>
      <c r="E45" s="98" t="s">
        <v>313</v>
      </c>
      <c r="F45" s="98">
        <v>-313</v>
      </c>
      <c r="G45" s="98">
        <v>-266</v>
      </c>
      <c r="H45" s="98" t="s">
        <v>313</v>
      </c>
    </row>
    <row r="46" spans="1:8" x14ac:dyDescent="0.2">
      <c r="A46" s="90" t="s">
        <v>541</v>
      </c>
      <c r="B46" s="106">
        <v>-1925</v>
      </c>
      <c r="C46" s="106" t="s">
        <v>313</v>
      </c>
      <c r="D46" s="106" t="s">
        <v>313</v>
      </c>
      <c r="E46" s="106">
        <v>-36000</v>
      </c>
      <c r="F46" s="106">
        <v>-313</v>
      </c>
      <c r="G46" s="106">
        <v>-266</v>
      </c>
      <c r="H46" s="106">
        <v>-309</v>
      </c>
    </row>
    <row r="47" spans="1:8" x14ac:dyDescent="0.2">
      <c r="A47" s="82"/>
      <c r="B47" s="82"/>
      <c r="C47" s="82"/>
      <c r="D47" s="82"/>
      <c r="E47" s="82"/>
      <c r="F47" s="82"/>
      <c r="G47" s="82"/>
      <c r="H47" s="82"/>
    </row>
    <row r="48" spans="1:8" x14ac:dyDescent="0.2">
      <c r="A48" s="82" t="s">
        <v>542</v>
      </c>
      <c r="B48" s="98" t="s">
        <v>313</v>
      </c>
      <c r="C48" s="98" t="s">
        <v>313</v>
      </c>
      <c r="D48" s="98" t="s">
        <v>313</v>
      </c>
      <c r="E48" s="98">
        <v>109292</v>
      </c>
      <c r="F48" s="98">
        <v>3194</v>
      </c>
      <c r="G48" s="98">
        <v>7585</v>
      </c>
      <c r="H48" s="98">
        <v>4765</v>
      </c>
    </row>
    <row r="49" spans="1:8" x14ac:dyDescent="0.2">
      <c r="A49" s="82"/>
      <c r="B49" s="82"/>
      <c r="C49" s="82"/>
      <c r="D49" s="82"/>
      <c r="E49" s="82"/>
      <c r="F49" s="82"/>
      <c r="G49" s="82"/>
      <c r="H49" s="82"/>
    </row>
    <row r="50" spans="1:8" x14ac:dyDescent="0.2">
      <c r="A50" s="82" t="s">
        <v>543</v>
      </c>
      <c r="B50" s="98" t="s">
        <v>313</v>
      </c>
      <c r="C50" s="98" t="s">
        <v>313</v>
      </c>
      <c r="D50" s="98">
        <v>-27070</v>
      </c>
      <c r="E50" s="98" t="s">
        <v>313</v>
      </c>
      <c r="F50" s="98" t="s">
        <v>313</v>
      </c>
      <c r="G50" s="98" t="s">
        <v>313</v>
      </c>
      <c r="H50" s="98" t="s">
        <v>313</v>
      </c>
    </row>
    <row r="51" spans="1:8" x14ac:dyDescent="0.2">
      <c r="A51" s="90" t="s">
        <v>544</v>
      </c>
      <c r="B51" s="106" t="s">
        <v>313</v>
      </c>
      <c r="C51" s="106" t="s">
        <v>313</v>
      </c>
      <c r="D51" s="106">
        <v>-27070</v>
      </c>
      <c r="E51" s="106" t="s">
        <v>313</v>
      </c>
      <c r="F51" s="106" t="s">
        <v>313</v>
      </c>
      <c r="G51" s="106" t="s">
        <v>313</v>
      </c>
      <c r="H51" s="106" t="s">
        <v>313</v>
      </c>
    </row>
    <row r="52" spans="1:8" x14ac:dyDescent="0.2">
      <c r="A52" s="82"/>
      <c r="B52" s="82"/>
      <c r="C52" s="82"/>
      <c r="D52" s="82"/>
      <c r="E52" s="82"/>
      <c r="F52" s="82"/>
      <c r="G52" s="82"/>
      <c r="H52" s="82"/>
    </row>
    <row r="53" spans="1:8" x14ac:dyDescent="0.2">
      <c r="A53" s="82" t="s">
        <v>545</v>
      </c>
      <c r="B53" s="98" t="s">
        <v>313</v>
      </c>
      <c r="C53" s="98" t="s">
        <v>313</v>
      </c>
      <c r="D53" s="98" t="s">
        <v>313</v>
      </c>
      <c r="E53" s="98">
        <v>-11125</v>
      </c>
      <c r="F53" s="98" t="s">
        <v>313</v>
      </c>
      <c r="G53" s="98" t="s">
        <v>313</v>
      </c>
      <c r="H53" s="98" t="s">
        <v>313</v>
      </c>
    </row>
    <row r="54" spans="1:8" x14ac:dyDescent="0.2">
      <c r="A54" s="82" t="s">
        <v>546</v>
      </c>
      <c r="B54" s="98">
        <v>-246</v>
      </c>
      <c r="C54" s="98" t="s">
        <v>313</v>
      </c>
      <c r="D54" s="98">
        <v>-398</v>
      </c>
      <c r="E54" s="98">
        <v>-4739</v>
      </c>
      <c r="F54" s="98">
        <v>-1712</v>
      </c>
      <c r="G54" s="98">
        <v>-7537</v>
      </c>
      <c r="H54" s="98">
        <v>-5794</v>
      </c>
    </row>
    <row r="55" spans="1:8" x14ac:dyDescent="0.2">
      <c r="A55" s="90" t="s">
        <v>547</v>
      </c>
      <c r="B55" s="106">
        <v>-2171</v>
      </c>
      <c r="C55" s="106">
        <v>313</v>
      </c>
      <c r="D55" s="106">
        <v>4532</v>
      </c>
      <c r="E55" s="106">
        <v>61428</v>
      </c>
      <c r="F55" s="106">
        <v>1234</v>
      </c>
      <c r="G55" s="106">
        <v>965</v>
      </c>
      <c r="H55" s="106">
        <v>73</v>
      </c>
    </row>
    <row r="56" spans="1:8" x14ac:dyDescent="0.2">
      <c r="A56" s="82"/>
      <c r="B56" s="82"/>
      <c r="C56" s="82"/>
      <c r="D56" s="82"/>
      <c r="E56" s="82"/>
      <c r="F56" s="82"/>
      <c r="G56" s="82"/>
      <c r="H56" s="82"/>
    </row>
    <row r="57" spans="1:8" x14ac:dyDescent="0.2">
      <c r="A57" s="90" t="s">
        <v>548</v>
      </c>
      <c r="B57" s="107">
        <v>-1529</v>
      </c>
      <c r="C57" s="107">
        <v>-2957</v>
      </c>
      <c r="D57" s="107">
        <v>-10399</v>
      </c>
      <c r="E57" s="107">
        <v>68172</v>
      </c>
      <c r="F57" s="107">
        <v>-59242</v>
      </c>
      <c r="G57" s="107">
        <v>9900</v>
      </c>
      <c r="H57" s="107">
        <v>10913</v>
      </c>
    </row>
    <row r="58" spans="1:8" x14ac:dyDescent="0.2">
      <c r="A58" s="82"/>
      <c r="B58" s="82"/>
      <c r="C58" s="82"/>
      <c r="D58" s="82"/>
      <c r="E58" s="82"/>
      <c r="F58" s="82"/>
      <c r="G58" s="82"/>
      <c r="H58" s="82"/>
    </row>
    <row r="59" spans="1:8" x14ac:dyDescent="0.2">
      <c r="A59" s="90" t="s">
        <v>423</v>
      </c>
      <c r="B59" s="82"/>
      <c r="C59" s="82"/>
      <c r="D59" s="82"/>
      <c r="E59" s="82"/>
      <c r="F59" s="82"/>
      <c r="G59" s="82"/>
      <c r="H59" s="82"/>
    </row>
    <row r="60" spans="1:8" x14ac:dyDescent="0.2">
      <c r="A60" s="82" t="s">
        <v>549</v>
      </c>
      <c r="B60" s="98">
        <v>59</v>
      </c>
      <c r="C60" s="98">
        <v>19</v>
      </c>
      <c r="D60" s="98">
        <v>123</v>
      </c>
      <c r="E60" s="98">
        <v>92</v>
      </c>
      <c r="F60" s="98">
        <v>54</v>
      </c>
      <c r="G60" s="98">
        <v>1106</v>
      </c>
      <c r="H60" s="98">
        <v>1650</v>
      </c>
    </row>
    <row r="61" spans="1:8" x14ac:dyDescent="0.2">
      <c r="A61" s="82" t="s">
        <v>550</v>
      </c>
      <c r="B61" s="98">
        <v>198</v>
      </c>
      <c r="C61" s="98">
        <v>639</v>
      </c>
      <c r="D61" s="98">
        <v>836</v>
      </c>
      <c r="E61" s="98">
        <v>416</v>
      </c>
      <c r="F61" s="98">
        <v>1823</v>
      </c>
      <c r="G61" s="98">
        <v>2261</v>
      </c>
      <c r="H61" s="98">
        <v>2022</v>
      </c>
    </row>
    <row r="62" spans="1:8" x14ac:dyDescent="0.2">
      <c r="A62" s="82" t="s">
        <v>551</v>
      </c>
      <c r="B62" s="98" t="s">
        <v>311</v>
      </c>
      <c r="C62" s="98">
        <v>-6125.8</v>
      </c>
      <c r="D62" s="98">
        <v>-14884.1</v>
      </c>
      <c r="E62" s="98">
        <v>12568.25</v>
      </c>
      <c r="F62" s="98">
        <v>-12187.4</v>
      </c>
      <c r="G62" s="98">
        <v>-9355.7999999999993</v>
      </c>
      <c r="H62" s="98">
        <v>-7835.4</v>
      </c>
    </row>
    <row r="63" spans="1:8" x14ac:dyDescent="0.2">
      <c r="A63" s="82" t="s">
        <v>552</v>
      </c>
      <c r="B63" s="98" t="s">
        <v>311</v>
      </c>
      <c r="C63" s="98">
        <v>-6093.3</v>
      </c>
      <c r="D63" s="98">
        <v>-14656</v>
      </c>
      <c r="E63" s="98">
        <v>12775.75</v>
      </c>
      <c r="F63" s="98">
        <v>-11953.6</v>
      </c>
      <c r="G63" s="98">
        <v>-8328.9</v>
      </c>
      <c r="H63" s="98">
        <v>-6644.8</v>
      </c>
    </row>
    <row r="64" spans="1:8" x14ac:dyDescent="0.2">
      <c r="A64" s="82" t="s">
        <v>553</v>
      </c>
      <c r="B64" s="98" t="s">
        <v>311</v>
      </c>
      <c r="C64" s="98">
        <v>-1458</v>
      </c>
      <c r="D64" s="98">
        <v>-5855</v>
      </c>
      <c r="E64" s="98">
        <v>-5266</v>
      </c>
      <c r="F64" s="98">
        <v>-5224</v>
      </c>
      <c r="G64" s="98">
        <v>-3949</v>
      </c>
      <c r="H64" s="98">
        <v>-6993</v>
      </c>
    </row>
    <row r="65" spans="1:8" x14ac:dyDescent="0.2">
      <c r="A65" s="82" t="s">
        <v>554</v>
      </c>
      <c r="B65" s="98">
        <v>-1925</v>
      </c>
      <c r="C65" s="98">
        <v>313</v>
      </c>
      <c r="D65" s="98">
        <v>32000</v>
      </c>
      <c r="E65" s="98">
        <v>-32000</v>
      </c>
      <c r="F65" s="98">
        <v>-248</v>
      </c>
      <c r="G65" s="98">
        <v>917</v>
      </c>
      <c r="H65" s="98">
        <v>1102</v>
      </c>
    </row>
    <row r="66" spans="1:8" x14ac:dyDescent="0.2">
      <c r="A66" s="82" t="s">
        <v>436</v>
      </c>
      <c r="B66" s="110">
        <v>42090</v>
      </c>
      <c r="C66" s="110">
        <v>42459</v>
      </c>
      <c r="D66" s="110">
        <v>42807</v>
      </c>
      <c r="E66" s="110">
        <v>43157</v>
      </c>
      <c r="F66" s="110">
        <v>43157</v>
      </c>
      <c r="G66" s="110">
        <v>43157</v>
      </c>
      <c r="H66" s="110">
        <v>43227</v>
      </c>
    </row>
    <row r="67" spans="1:8" x14ac:dyDescent="0.2">
      <c r="A67" s="82" t="s">
        <v>437</v>
      </c>
      <c r="B67" s="97" t="s">
        <v>438</v>
      </c>
      <c r="C67" s="97" t="s">
        <v>438</v>
      </c>
      <c r="D67" s="97" t="s">
        <v>438</v>
      </c>
      <c r="E67" s="97" t="s">
        <v>438</v>
      </c>
      <c r="F67" s="97" t="s">
        <v>438</v>
      </c>
      <c r="G67" s="97" t="s">
        <v>440</v>
      </c>
      <c r="H67" s="97" t="s">
        <v>440</v>
      </c>
    </row>
    <row r="68" spans="1:8" x14ac:dyDescent="0.2">
      <c r="A68" s="82" t="s">
        <v>441</v>
      </c>
      <c r="B68" s="97" t="s">
        <v>442</v>
      </c>
      <c r="C68" s="97" t="s">
        <v>442</v>
      </c>
      <c r="D68" s="97" t="s">
        <v>442</v>
      </c>
      <c r="E68" s="97" t="s">
        <v>442</v>
      </c>
      <c r="F68" s="97" t="s">
        <v>442</v>
      </c>
      <c r="G68" s="97" t="s">
        <v>442</v>
      </c>
      <c r="H68" s="97" t="s">
        <v>443</v>
      </c>
    </row>
    <row r="69" spans="1:8" x14ac:dyDescent="0.2">
      <c r="A69" s="82"/>
      <c r="B69" s="82"/>
      <c r="C69" s="82"/>
      <c r="D69" s="82"/>
      <c r="E69" s="82"/>
      <c r="F69" s="82"/>
      <c r="G69" s="82"/>
      <c r="H69" s="82"/>
    </row>
    <row r="70" spans="1:8" ht="61.2" x14ac:dyDescent="0.2">
      <c r="A70" s="115" t="s">
        <v>361</v>
      </c>
      <c r="B70" s="99"/>
      <c r="C70" s="99"/>
      <c r="D70" s="99"/>
      <c r="E70" s="99"/>
      <c r="F70" s="99"/>
      <c r="G70" s="99"/>
      <c r="H70" s="99"/>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3399FF"/>
    <outlinePr summaryBelow="0" summaryRight="0"/>
    <pageSetUpPr autoPageBreaks="0"/>
  </sheetPr>
  <dimension ref="A5:IU91"/>
  <sheetViews>
    <sheetView topLeftCell="A2" workbookViewId="0">
      <selection activeCell="B2" sqref="B2"/>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73" width="13" style="79" customWidth="1"/>
    <col min="274" max="512" width="9" style="79"/>
    <col min="513" max="513" width="40.09765625" style="79" customWidth="1"/>
    <col min="514" max="529" width="13" style="79" customWidth="1"/>
    <col min="530" max="768" width="9" style="79"/>
    <col min="769" max="769" width="40.09765625" style="79" customWidth="1"/>
    <col min="770" max="785" width="13" style="79" customWidth="1"/>
    <col min="786" max="1024" width="9" style="79"/>
    <col min="1025" max="1025" width="40.09765625" style="79" customWidth="1"/>
    <col min="1026" max="1041" width="13" style="79" customWidth="1"/>
    <col min="1042" max="1280" width="9" style="79"/>
    <col min="1281" max="1281" width="40.09765625" style="79" customWidth="1"/>
    <col min="1282" max="1297" width="13" style="79" customWidth="1"/>
    <col min="1298" max="1536" width="9" style="79"/>
    <col min="1537" max="1537" width="40.09765625" style="79" customWidth="1"/>
    <col min="1538" max="1553" width="13" style="79" customWidth="1"/>
    <col min="1554" max="1792" width="9" style="79"/>
    <col min="1793" max="1793" width="40.09765625" style="79" customWidth="1"/>
    <col min="1794" max="1809" width="13" style="79" customWidth="1"/>
    <col min="1810" max="2048" width="9" style="79"/>
    <col min="2049" max="2049" width="40.09765625" style="79" customWidth="1"/>
    <col min="2050" max="2065" width="13" style="79" customWidth="1"/>
    <col min="2066" max="2304" width="9" style="79"/>
    <col min="2305" max="2305" width="40.09765625" style="79" customWidth="1"/>
    <col min="2306" max="2321" width="13" style="79" customWidth="1"/>
    <col min="2322" max="2560" width="9" style="79"/>
    <col min="2561" max="2561" width="40.09765625" style="79" customWidth="1"/>
    <col min="2562" max="2577" width="13" style="79" customWidth="1"/>
    <col min="2578" max="2816" width="9" style="79"/>
    <col min="2817" max="2817" width="40.09765625" style="79" customWidth="1"/>
    <col min="2818" max="2833" width="13" style="79" customWidth="1"/>
    <col min="2834" max="3072" width="9" style="79"/>
    <col min="3073" max="3073" width="40.09765625" style="79" customWidth="1"/>
    <col min="3074" max="3089" width="13" style="79" customWidth="1"/>
    <col min="3090" max="3328" width="9" style="79"/>
    <col min="3329" max="3329" width="40.09765625" style="79" customWidth="1"/>
    <col min="3330" max="3345" width="13" style="79" customWidth="1"/>
    <col min="3346" max="3584" width="9" style="79"/>
    <col min="3585" max="3585" width="40.09765625" style="79" customWidth="1"/>
    <col min="3586" max="3601" width="13" style="79" customWidth="1"/>
    <col min="3602" max="3840" width="9" style="79"/>
    <col min="3841" max="3841" width="40.09765625" style="79" customWidth="1"/>
    <col min="3842" max="3857" width="13" style="79" customWidth="1"/>
    <col min="3858" max="4096" width="9" style="79"/>
    <col min="4097" max="4097" width="40.09765625" style="79" customWidth="1"/>
    <col min="4098" max="4113" width="13" style="79" customWidth="1"/>
    <col min="4114" max="4352" width="9" style="79"/>
    <col min="4353" max="4353" width="40.09765625" style="79" customWidth="1"/>
    <col min="4354" max="4369" width="13" style="79" customWidth="1"/>
    <col min="4370" max="4608" width="9" style="79"/>
    <col min="4609" max="4609" width="40.09765625" style="79" customWidth="1"/>
    <col min="4610" max="4625" width="13" style="79" customWidth="1"/>
    <col min="4626" max="4864" width="9" style="79"/>
    <col min="4865" max="4865" width="40.09765625" style="79" customWidth="1"/>
    <col min="4866" max="4881" width="13" style="79" customWidth="1"/>
    <col min="4882" max="5120" width="9" style="79"/>
    <col min="5121" max="5121" width="40.09765625" style="79" customWidth="1"/>
    <col min="5122" max="5137" width="13" style="79" customWidth="1"/>
    <col min="5138" max="5376" width="9" style="79"/>
    <col min="5377" max="5377" width="40.09765625" style="79" customWidth="1"/>
    <col min="5378" max="5393" width="13" style="79" customWidth="1"/>
    <col min="5394" max="5632" width="9" style="79"/>
    <col min="5633" max="5633" width="40.09765625" style="79" customWidth="1"/>
    <col min="5634" max="5649" width="13" style="79" customWidth="1"/>
    <col min="5650" max="5888" width="9" style="79"/>
    <col min="5889" max="5889" width="40.09765625" style="79" customWidth="1"/>
    <col min="5890" max="5905" width="13" style="79" customWidth="1"/>
    <col min="5906" max="6144" width="9" style="79"/>
    <col min="6145" max="6145" width="40.09765625" style="79" customWidth="1"/>
    <col min="6146" max="6161" width="13" style="79" customWidth="1"/>
    <col min="6162" max="6400" width="9" style="79"/>
    <col min="6401" max="6401" width="40.09765625" style="79" customWidth="1"/>
    <col min="6402" max="6417" width="13" style="79" customWidth="1"/>
    <col min="6418" max="6656" width="9" style="79"/>
    <col min="6657" max="6657" width="40.09765625" style="79" customWidth="1"/>
    <col min="6658" max="6673" width="13" style="79" customWidth="1"/>
    <col min="6674" max="6912" width="9" style="79"/>
    <col min="6913" max="6913" width="40.09765625" style="79" customWidth="1"/>
    <col min="6914" max="6929" width="13" style="79" customWidth="1"/>
    <col min="6930" max="7168" width="9" style="79"/>
    <col min="7169" max="7169" width="40.09765625" style="79" customWidth="1"/>
    <col min="7170" max="7185" width="13" style="79" customWidth="1"/>
    <col min="7186" max="7424" width="9" style="79"/>
    <col min="7425" max="7425" width="40.09765625" style="79" customWidth="1"/>
    <col min="7426" max="7441" width="13" style="79" customWidth="1"/>
    <col min="7442" max="7680" width="9" style="79"/>
    <col min="7681" max="7681" width="40.09765625" style="79" customWidth="1"/>
    <col min="7682" max="7697" width="13" style="79" customWidth="1"/>
    <col min="7698" max="7936" width="9" style="79"/>
    <col min="7937" max="7937" width="40.09765625" style="79" customWidth="1"/>
    <col min="7938" max="7953" width="13" style="79" customWidth="1"/>
    <col min="7954" max="8192" width="9" style="79"/>
    <col min="8193" max="8193" width="40.09765625" style="79" customWidth="1"/>
    <col min="8194" max="8209" width="13" style="79" customWidth="1"/>
    <col min="8210" max="8448" width="9" style="79"/>
    <col min="8449" max="8449" width="40.09765625" style="79" customWidth="1"/>
    <col min="8450" max="8465" width="13" style="79" customWidth="1"/>
    <col min="8466" max="8704" width="9" style="79"/>
    <col min="8705" max="8705" width="40.09765625" style="79" customWidth="1"/>
    <col min="8706" max="8721" width="13" style="79" customWidth="1"/>
    <col min="8722" max="8960" width="9" style="79"/>
    <col min="8961" max="8961" width="40.09765625" style="79" customWidth="1"/>
    <col min="8962" max="8977" width="13" style="79" customWidth="1"/>
    <col min="8978" max="9216" width="9" style="79"/>
    <col min="9217" max="9217" width="40.09765625" style="79" customWidth="1"/>
    <col min="9218" max="9233" width="13" style="79" customWidth="1"/>
    <col min="9234" max="9472" width="9" style="79"/>
    <col min="9473" max="9473" width="40.09765625" style="79" customWidth="1"/>
    <col min="9474" max="9489" width="13" style="79" customWidth="1"/>
    <col min="9490" max="9728" width="9" style="79"/>
    <col min="9729" max="9729" width="40.09765625" style="79" customWidth="1"/>
    <col min="9730" max="9745" width="13" style="79" customWidth="1"/>
    <col min="9746" max="9984" width="9" style="79"/>
    <col min="9985" max="9985" width="40.09765625" style="79" customWidth="1"/>
    <col min="9986" max="10001" width="13" style="79" customWidth="1"/>
    <col min="10002" max="10240" width="9" style="79"/>
    <col min="10241" max="10241" width="40.09765625" style="79" customWidth="1"/>
    <col min="10242" max="10257" width="13" style="79" customWidth="1"/>
    <col min="10258" max="10496" width="9" style="79"/>
    <col min="10497" max="10497" width="40.09765625" style="79" customWidth="1"/>
    <col min="10498" max="10513" width="13" style="79" customWidth="1"/>
    <col min="10514" max="10752" width="9" style="79"/>
    <col min="10753" max="10753" width="40.09765625" style="79" customWidth="1"/>
    <col min="10754" max="10769" width="13" style="79" customWidth="1"/>
    <col min="10770" max="11008" width="9" style="79"/>
    <col min="11009" max="11009" width="40.09765625" style="79" customWidth="1"/>
    <col min="11010" max="11025" width="13" style="79" customWidth="1"/>
    <col min="11026" max="11264" width="9" style="79"/>
    <col min="11265" max="11265" width="40.09765625" style="79" customWidth="1"/>
    <col min="11266" max="11281" width="13" style="79" customWidth="1"/>
    <col min="11282" max="11520" width="9" style="79"/>
    <col min="11521" max="11521" width="40.09765625" style="79" customWidth="1"/>
    <col min="11522" max="11537" width="13" style="79" customWidth="1"/>
    <col min="11538" max="11776" width="9" style="79"/>
    <col min="11777" max="11777" width="40.09765625" style="79" customWidth="1"/>
    <col min="11778" max="11793" width="13" style="79" customWidth="1"/>
    <col min="11794" max="12032" width="9" style="79"/>
    <col min="12033" max="12033" width="40.09765625" style="79" customWidth="1"/>
    <col min="12034" max="12049" width="13" style="79" customWidth="1"/>
    <col min="12050" max="12288" width="9" style="79"/>
    <col min="12289" max="12289" width="40.09765625" style="79" customWidth="1"/>
    <col min="12290" max="12305" width="13" style="79" customWidth="1"/>
    <col min="12306" max="12544" width="9" style="79"/>
    <col min="12545" max="12545" width="40.09765625" style="79" customWidth="1"/>
    <col min="12546" max="12561" width="13" style="79" customWidth="1"/>
    <col min="12562" max="12800" width="9" style="79"/>
    <col min="12801" max="12801" width="40.09765625" style="79" customWidth="1"/>
    <col min="12802" max="12817" width="13" style="79" customWidth="1"/>
    <col min="12818" max="13056" width="9" style="79"/>
    <col min="13057" max="13057" width="40.09765625" style="79" customWidth="1"/>
    <col min="13058" max="13073" width="13" style="79" customWidth="1"/>
    <col min="13074" max="13312" width="9" style="79"/>
    <col min="13313" max="13313" width="40.09765625" style="79" customWidth="1"/>
    <col min="13314" max="13329" width="13" style="79" customWidth="1"/>
    <col min="13330" max="13568" width="9" style="79"/>
    <col min="13569" max="13569" width="40.09765625" style="79" customWidth="1"/>
    <col min="13570" max="13585" width="13" style="79" customWidth="1"/>
    <col min="13586" max="13824" width="9" style="79"/>
    <col min="13825" max="13825" width="40.09765625" style="79" customWidth="1"/>
    <col min="13826" max="13841" width="13" style="79" customWidth="1"/>
    <col min="13842" max="14080" width="9" style="79"/>
    <col min="14081" max="14081" width="40.09765625" style="79" customWidth="1"/>
    <col min="14082" max="14097" width="13" style="79" customWidth="1"/>
    <col min="14098" max="14336" width="9" style="79"/>
    <col min="14337" max="14337" width="40.09765625" style="79" customWidth="1"/>
    <col min="14338" max="14353" width="13" style="79" customWidth="1"/>
    <col min="14354" max="14592" width="9" style="79"/>
    <col min="14593" max="14593" width="40.09765625" style="79" customWidth="1"/>
    <col min="14594" max="14609" width="13" style="79" customWidth="1"/>
    <col min="14610" max="14848" width="9" style="79"/>
    <col min="14849" max="14849" width="40.09765625" style="79" customWidth="1"/>
    <col min="14850" max="14865" width="13" style="79" customWidth="1"/>
    <col min="14866" max="15104" width="9" style="79"/>
    <col min="15105" max="15105" width="40.09765625" style="79" customWidth="1"/>
    <col min="15106" max="15121" width="13" style="79" customWidth="1"/>
    <col min="15122" max="15360" width="9" style="79"/>
    <col min="15361" max="15361" width="40.09765625" style="79" customWidth="1"/>
    <col min="15362" max="15377" width="13" style="79" customWidth="1"/>
    <col min="15378" max="15616" width="9" style="79"/>
    <col min="15617" max="15617" width="40.09765625" style="79" customWidth="1"/>
    <col min="15618" max="15633" width="13" style="79" customWidth="1"/>
    <col min="15634" max="15872" width="9" style="79"/>
    <col min="15873" max="15873" width="40.09765625" style="79" customWidth="1"/>
    <col min="15874" max="15889" width="13" style="79" customWidth="1"/>
    <col min="15890" max="16128" width="9" style="79"/>
    <col min="16129" max="16129" width="40.09765625" style="79" customWidth="1"/>
    <col min="16130" max="16145" width="13" style="79" customWidth="1"/>
    <col min="16146" max="16384" width="9" style="79"/>
  </cols>
  <sheetData>
    <row r="5" spans="1:255" ht="16.2" x14ac:dyDescent="0.25">
      <c r="A5" s="78" t="s">
        <v>555</v>
      </c>
    </row>
    <row r="7" spans="1:255" x14ac:dyDescent="0.2">
      <c r="A7" s="82"/>
      <c r="B7" s="81" t="s">
        <v>556</v>
      </c>
      <c r="C7" s="79" t="s">
        <v>557</v>
      </c>
      <c r="D7" s="82" t="s">
        <v>287</v>
      </c>
      <c r="E7" s="81" t="s">
        <v>558</v>
      </c>
      <c r="F7" s="79" t="s">
        <v>559</v>
      </c>
    </row>
    <row r="8" spans="1:255" x14ac:dyDescent="0.2">
      <c r="A8" s="82"/>
      <c r="B8" s="81" t="s">
        <v>290</v>
      </c>
      <c r="C8" s="79" t="s">
        <v>291</v>
      </c>
      <c r="D8" s="82" t="s">
        <v>287</v>
      </c>
      <c r="E8" s="81" t="s">
        <v>294</v>
      </c>
      <c r="F8" s="83" t="s">
        <v>295</v>
      </c>
    </row>
    <row r="9" spans="1:255" x14ac:dyDescent="0.2">
      <c r="A9" s="82"/>
      <c r="B9" s="81" t="s">
        <v>296</v>
      </c>
      <c r="C9" s="79" t="s">
        <v>297</v>
      </c>
      <c r="D9" s="82" t="s">
        <v>287</v>
      </c>
      <c r="E9" s="105"/>
      <c r="F9" s="105"/>
    </row>
    <row r="12" spans="1:255" x14ac:dyDescent="0.2">
      <c r="A12" s="84" t="s">
        <v>560</v>
      </c>
      <c r="B12" s="84"/>
      <c r="C12" s="84"/>
      <c r="D12" s="84"/>
      <c r="E12" s="84"/>
      <c r="F12" s="84"/>
      <c r="G12" s="84"/>
      <c r="H12" s="84"/>
      <c r="I12" s="84"/>
      <c r="J12" s="84"/>
      <c r="K12" s="84"/>
      <c r="L12" s="84"/>
      <c r="M12" s="84"/>
      <c r="N12" s="84"/>
      <c r="O12" s="84"/>
      <c r="P12" s="84"/>
      <c r="Q12" s="84"/>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5"/>
      <c r="FO12" s="85"/>
      <c r="FP12" s="85"/>
      <c r="FQ12" s="85"/>
      <c r="FR12" s="85"/>
      <c r="FS12" s="85"/>
      <c r="FT12" s="85"/>
      <c r="FU12" s="85"/>
      <c r="FV12" s="85"/>
      <c r="FW12" s="85"/>
      <c r="FX12" s="85"/>
      <c r="FY12" s="85"/>
      <c r="FZ12" s="85"/>
      <c r="GA12" s="85"/>
      <c r="GB12" s="85"/>
      <c r="GC12" s="85"/>
      <c r="GD12" s="85"/>
      <c r="GE12" s="85"/>
      <c r="GF12" s="85"/>
      <c r="GG12" s="85"/>
      <c r="GH12" s="85"/>
      <c r="GI12" s="85"/>
      <c r="GJ12" s="85"/>
      <c r="GK12" s="85"/>
      <c r="GL12" s="85"/>
      <c r="GM12" s="85"/>
      <c r="GN12" s="85"/>
      <c r="GO12" s="85"/>
      <c r="GP12" s="85"/>
      <c r="GQ12" s="85"/>
      <c r="GR12" s="85"/>
      <c r="GS12" s="85"/>
      <c r="GT12" s="85"/>
      <c r="GU12" s="85"/>
      <c r="GV12" s="85"/>
      <c r="GW12" s="85"/>
      <c r="GX12" s="85"/>
      <c r="GY12" s="85"/>
      <c r="GZ12" s="85"/>
      <c r="HA12" s="85"/>
      <c r="HB12" s="85"/>
      <c r="HC12" s="85"/>
      <c r="HD12" s="85"/>
      <c r="HE12" s="85"/>
      <c r="HF12" s="85"/>
      <c r="HG12" s="85"/>
      <c r="HH12" s="85"/>
      <c r="HI12" s="85"/>
      <c r="HJ12" s="85"/>
      <c r="HK12" s="85"/>
      <c r="HL12" s="85"/>
      <c r="HM12" s="85"/>
      <c r="HN12" s="85"/>
      <c r="HO12" s="85"/>
      <c r="HP12" s="85"/>
      <c r="HQ12" s="85"/>
      <c r="HR12" s="85"/>
      <c r="HS12" s="85"/>
      <c r="HT12" s="85"/>
      <c r="HU12" s="85"/>
      <c r="HV12" s="85"/>
      <c r="HW12" s="85"/>
      <c r="HX12" s="85"/>
      <c r="HY12" s="85"/>
      <c r="HZ12" s="85"/>
      <c r="IA12" s="85"/>
      <c r="IB12" s="85"/>
      <c r="IC12" s="85"/>
      <c r="ID12" s="85"/>
      <c r="IE12" s="85"/>
      <c r="IF12" s="85"/>
      <c r="IG12" s="85"/>
      <c r="IH12" s="85"/>
      <c r="II12" s="85"/>
      <c r="IJ12" s="85"/>
      <c r="IK12" s="85"/>
      <c r="IL12" s="85"/>
      <c r="IM12" s="85"/>
      <c r="IN12" s="85"/>
      <c r="IO12" s="85"/>
      <c r="IP12" s="85"/>
      <c r="IQ12" s="85"/>
      <c r="IR12" s="85"/>
      <c r="IS12" s="85"/>
      <c r="IT12" s="85"/>
      <c r="IU12" s="85"/>
    </row>
    <row r="13" spans="1:255" ht="12" x14ac:dyDescent="0.35">
      <c r="A13" s="258"/>
      <c r="B13" s="254"/>
      <c r="C13" s="254"/>
      <c r="D13" s="254"/>
      <c r="E13" s="254"/>
      <c r="F13" s="254"/>
      <c r="G13" s="254"/>
      <c r="H13" s="254"/>
      <c r="I13" s="254"/>
      <c r="J13" s="254"/>
      <c r="K13" s="254"/>
      <c r="L13" s="254"/>
      <c r="M13" s="254"/>
      <c r="N13" s="254"/>
      <c r="O13" s="254"/>
      <c r="P13" s="254"/>
      <c r="Q13" s="254"/>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row>
    <row r="14" spans="1:255" x14ac:dyDescent="0.2">
      <c r="A14" s="257" t="s">
        <v>561</v>
      </c>
      <c r="B14" s="255"/>
      <c r="C14" s="256">
        <v>42094</v>
      </c>
      <c r="D14" s="256">
        <v>42185</v>
      </c>
      <c r="E14" s="256">
        <v>42277</v>
      </c>
      <c r="F14" s="256">
        <v>42369</v>
      </c>
      <c r="G14" s="256">
        <v>42460</v>
      </c>
      <c r="H14" s="256">
        <v>42551</v>
      </c>
      <c r="I14" s="256">
        <v>42643</v>
      </c>
      <c r="J14" s="256">
        <v>42734</v>
      </c>
      <c r="K14" s="256">
        <v>42825</v>
      </c>
      <c r="L14" s="256">
        <v>42916</v>
      </c>
      <c r="M14" s="256">
        <v>43007</v>
      </c>
      <c r="N14" s="256">
        <v>43098</v>
      </c>
      <c r="O14" s="256">
        <v>43188</v>
      </c>
      <c r="P14" s="256">
        <v>43280</v>
      </c>
      <c r="Q14" s="256">
        <v>43286</v>
      </c>
    </row>
    <row r="15" spans="1:255" x14ac:dyDescent="0.2">
      <c r="A15" s="116" t="s">
        <v>562</v>
      </c>
      <c r="B15" s="117" t="s">
        <v>563</v>
      </c>
      <c r="C15" s="118">
        <v>4.5920168809523814</v>
      </c>
      <c r="D15" s="118">
        <v>6.4147763968253972</v>
      </c>
      <c r="E15" s="118">
        <v>4.6529702500000001</v>
      </c>
      <c r="F15" s="118">
        <v>3.8995765312500001</v>
      </c>
      <c r="G15" s="118">
        <v>3.5788120819672131</v>
      </c>
      <c r="H15" s="118">
        <v>3.900206796875</v>
      </c>
      <c r="I15" s="118">
        <v>3.891455390625</v>
      </c>
      <c r="J15" s="118">
        <v>3.5294063968253968</v>
      </c>
      <c r="K15" s="118">
        <v>3.3175419354838711</v>
      </c>
      <c r="L15" s="118">
        <v>3.179590984126984</v>
      </c>
      <c r="M15" s="118">
        <v>2.7095606984126985</v>
      </c>
      <c r="N15" s="118">
        <v>3.0098017777777777</v>
      </c>
      <c r="O15" s="118">
        <v>3.1255770983606559</v>
      </c>
      <c r="P15" s="118">
        <v>4.0317017812499998</v>
      </c>
      <c r="Q15" s="118">
        <v>4.7077980000000004</v>
      </c>
    </row>
    <row r="16" spans="1:255" x14ac:dyDescent="0.2">
      <c r="A16" s="117"/>
      <c r="B16" s="117" t="s">
        <v>564</v>
      </c>
      <c r="C16" s="119">
        <v>5.3416540000000001</v>
      </c>
      <c r="D16" s="119">
        <v>8.2215539999999994</v>
      </c>
      <c r="E16" s="119">
        <v>6.0704969999999996</v>
      </c>
      <c r="F16" s="119">
        <v>4.5834840000000003</v>
      </c>
      <c r="G16" s="119">
        <v>4.407273</v>
      </c>
      <c r="H16" s="119">
        <v>4.2008080000000003</v>
      </c>
      <c r="I16" s="119">
        <v>4.4270360000000002</v>
      </c>
      <c r="J16" s="119">
        <v>3.7857789999999998</v>
      </c>
      <c r="K16" s="119">
        <v>3.8920300000000001</v>
      </c>
      <c r="L16" s="119">
        <v>3.4222329999999999</v>
      </c>
      <c r="M16" s="119">
        <v>3.0894569999999999</v>
      </c>
      <c r="N16" s="119">
        <v>3.560216</v>
      </c>
      <c r="O16" s="119">
        <v>3.605442</v>
      </c>
      <c r="P16" s="119">
        <v>4.9986740000000003</v>
      </c>
      <c r="Q16" s="119">
        <v>4.7301729999999997</v>
      </c>
    </row>
    <row r="17" spans="1:17" x14ac:dyDescent="0.2">
      <c r="A17" s="117"/>
      <c r="B17" s="117" t="s">
        <v>565</v>
      </c>
      <c r="C17" s="119">
        <v>4.1121460000000001</v>
      </c>
      <c r="D17" s="119">
        <v>5.0329680000000003</v>
      </c>
      <c r="E17" s="119">
        <v>3.8946209999999999</v>
      </c>
      <c r="F17" s="119">
        <v>3.2054420000000001</v>
      </c>
      <c r="G17" s="119">
        <v>2.8027769999999999</v>
      </c>
      <c r="H17" s="119">
        <v>3.4415740000000001</v>
      </c>
      <c r="I17" s="119">
        <v>3.5492530000000002</v>
      </c>
      <c r="J17" s="119">
        <v>3.1606640000000001</v>
      </c>
      <c r="K17" s="119">
        <v>2.8200660000000002</v>
      </c>
      <c r="L17" s="119">
        <v>2.8463470000000002</v>
      </c>
      <c r="M17" s="119">
        <v>2.4442940000000002</v>
      </c>
      <c r="N17" s="119">
        <v>2.640984</v>
      </c>
      <c r="O17" s="119">
        <v>2.660946</v>
      </c>
      <c r="P17" s="119">
        <v>3.0325959999999998</v>
      </c>
      <c r="Q17" s="119">
        <v>4.6834769999999999</v>
      </c>
    </row>
    <row r="18" spans="1:17" x14ac:dyDescent="0.2">
      <c r="A18" s="117"/>
      <c r="B18" s="117" t="s">
        <v>566</v>
      </c>
      <c r="C18" s="119">
        <v>5.3416540000000001</v>
      </c>
      <c r="D18" s="119">
        <v>5.0329680000000003</v>
      </c>
      <c r="E18" s="119">
        <v>4.3137619999999997</v>
      </c>
      <c r="F18" s="119">
        <v>3.5637470000000002</v>
      </c>
      <c r="G18" s="119">
        <v>4.034529</v>
      </c>
      <c r="H18" s="119">
        <v>3.8718439999999998</v>
      </c>
      <c r="I18" s="119">
        <v>3.609934</v>
      </c>
      <c r="J18" s="119">
        <v>3.521668</v>
      </c>
      <c r="K18" s="119">
        <v>3.0849160000000002</v>
      </c>
      <c r="L18" s="119">
        <v>3.035469</v>
      </c>
      <c r="M18" s="119">
        <v>2.6748609999999999</v>
      </c>
      <c r="N18" s="119">
        <v>3.3028940000000002</v>
      </c>
      <c r="O18" s="119">
        <v>3.099761</v>
      </c>
      <c r="P18" s="119">
        <v>4.7768689999999996</v>
      </c>
      <c r="Q18" s="119">
        <v>4.7097439999999997</v>
      </c>
    </row>
    <row r="19" spans="1:17" x14ac:dyDescent="0.2">
      <c r="A19" s="116"/>
      <c r="B19" s="117"/>
      <c r="C19" s="117"/>
      <c r="D19" s="117"/>
      <c r="E19" s="117"/>
      <c r="F19" s="117"/>
      <c r="G19" s="117"/>
      <c r="H19" s="117"/>
      <c r="I19" s="117"/>
      <c r="J19" s="117"/>
      <c r="K19" s="117"/>
      <c r="L19" s="117"/>
      <c r="M19" s="117"/>
      <c r="N19" s="117"/>
      <c r="O19" s="117"/>
      <c r="P19" s="117"/>
      <c r="Q19" s="117"/>
    </row>
    <row r="20" spans="1:17" x14ac:dyDescent="0.2">
      <c r="A20" s="116" t="s">
        <v>567</v>
      </c>
      <c r="B20" s="117" t="s">
        <v>563</v>
      </c>
      <c r="C20" s="118">
        <v>3.282823</v>
      </c>
      <c r="D20" s="118">
        <v>4.6550700000000003</v>
      </c>
      <c r="E20" s="118">
        <v>3.4296199999999999</v>
      </c>
      <c r="F20" s="118">
        <v>2.9931610000000002</v>
      </c>
      <c r="G20" s="118">
        <v>2.7770700000000001</v>
      </c>
      <c r="H20" s="118">
        <v>3.0618409999999998</v>
      </c>
      <c r="I20" s="118">
        <v>2.9847950000000001</v>
      </c>
      <c r="J20" s="118">
        <v>2.6455380000000002</v>
      </c>
      <c r="K20" s="118">
        <v>2.4777749999999998</v>
      </c>
      <c r="L20" s="118">
        <v>2.431864</v>
      </c>
      <c r="M20" s="118">
        <v>2.1420409999999999</v>
      </c>
      <c r="N20" s="118">
        <v>2.3870290000000001</v>
      </c>
      <c r="O20" s="118">
        <v>2.4716809999999998</v>
      </c>
      <c r="P20" s="118">
        <v>3.187265</v>
      </c>
      <c r="Q20" s="118">
        <v>3.7036280000000001</v>
      </c>
    </row>
    <row r="21" spans="1:17" x14ac:dyDescent="0.2">
      <c r="A21" s="117"/>
      <c r="B21" s="117" t="s">
        <v>564</v>
      </c>
      <c r="C21" s="119">
        <v>3.843232</v>
      </c>
      <c r="D21" s="119">
        <v>5.9143749999999997</v>
      </c>
      <c r="E21" s="119">
        <v>4.4289709999999998</v>
      </c>
      <c r="F21" s="119">
        <v>3.4036849999999998</v>
      </c>
      <c r="G21" s="119">
        <v>3.3989539999999998</v>
      </c>
      <c r="H21" s="119">
        <v>3.303067</v>
      </c>
      <c r="I21" s="119">
        <v>3.4258579999999998</v>
      </c>
      <c r="J21" s="119">
        <v>2.810505</v>
      </c>
      <c r="K21" s="119">
        <v>2.9061659999999998</v>
      </c>
      <c r="L21" s="119">
        <v>2.6397680000000001</v>
      </c>
      <c r="M21" s="119">
        <v>2.3851140000000002</v>
      </c>
      <c r="N21" s="119">
        <v>2.809796</v>
      </c>
      <c r="O21" s="119">
        <v>2.8315709999999998</v>
      </c>
      <c r="P21" s="119">
        <v>3.9324599999999998</v>
      </c>
      <c r="Q21" s="119">
        <v>3.721231</v>
      </c>
    </row>
    <row r="22" spans="1:17" x14ac:dyDescent="0.2">
      <c r="A22" s="117"/>
      <c r="B22" s="117" t="s">
        <v>565</v>
      </c>
      <c r="C22" s="119">
        <v>2.9156620000000002</v>
      </c>
      <c r="D22" s="119">
        <v>3.6733509999999998</v>
      </c>
      <c r="E22" s="119">
        <v>2.8888729999999998</v>
      </c>
      <c r="F22" s="119">
        <v>2.5167709999999999</v>
      </c>
      <c r="G22" s="119">
        <v>2.1602600000000001</v>
      </c>
      <c r="H22" s="119">
        <v>2.7398530000000001</v>
      </c>
      <c r="I22" s="119">
        <v>2.692183</v>
      </c>
      <c r="J22" s="119">
        <v>2.4676100000000001</v>
      </c>
      <c r="K22" s="119">
        <v>2.1224880000000002</v>
      </c>
      <c r="L22" s="119">
        <v>2.1905860000000001</v>
      </c>
      <c r="M22" s="119">
        <v>1.9606209999999999</v>
      </c>
      <c r="N22" s="119">
        <v>2.1183900000000002</v>
      </c>
      <c r="O22" s="119">
        <v>2.1231149999999999</v>
      </c>
      <c r="P22" s="119">
        <v>2.422784</v>
      </c>
      <c r="Q22" s="119">
        <v>3.6844950000000001</v>
      </c>
    </row>
    <row r="23" spans="1:17" x14ac:dyDescent="0.2">
      <c r="A23" s="117"/>
      <c r="B23" s="117" t="s">
        <v>566</v>
      </c>
      <c r="C23" s="119">
        <v>3.843232</v>
      </c>
      <c r="D23" s="119">
        <v>3.6733509999999998</v>
      </c>
      <c r="E23" s="119">
        <v>3.2033900000000002</v>
      </c>
      <c r="F23" s="119">
        <v>2.7831489999999999</v>
      </c>
      <c r="G23" s="119">
        <v>3.1734749999999998</v>
      </c>
      <c r="H23" s="119">
        <v>3.0306129999999998</v>
      </c>
      <c r="I23" s="119">
        <v>2.7357209999999998</v>
      </c>
      <c r="J23" s="119">
        <v>2.6182319999999999</v>
      </c>
      <c r="K23" s="119">
        <v>2.3229069999999998</v>
      </c>
      <c r="L23" s="119">
        <v>2.3434339999999998</v>
      </c>
      <c r="M23" s="119">
        <v>2.1455630000000001</v>
      </c>
      <c r="N23" s="119">
        <v>2.6016759999999999</v>
      </c>
      <c r="O23" s="119">
        <v>2.4763269999999999</v>
      </c>
      <c r="P23" s="119">
        <v>3.7579660000000001</v>
      </c>
      <c r="Q23" s="119">
        <v>3.7051590000000001</v>
      </c>
    </row>
    <row r="24" spans="1:17" x14ac:dyDescent="0.2">
      <c r="A24" s="116"/>
      <c r="B24" s="117"/>
      <c r="C24" s="117"/>
      <c r="D24" s="117"/>
      <c r="E24" s="117"/>
      <c r="F24" s="117"/>
      <c r="G24" s="117"/>
      <c r="H24" s="117"/>
      <c r="I24" s="117"/>
      <c r="J24" s="117"/>
      <c r="K24" s="117"/>
      <c r="L24" s="117"/>
      <c r="M24" s="117"/>
      <c r="N24" s="117"/>
      <c r="O24" s="117"/>
      <c r="P24" s="117"/>
      <c r="Q24" s="117"/>
    </row>
    <row r="25" spans="1:17" x14ac:dyDescent="0.2">
      <c r="A25" s="116" t="s">
        <v>568</v>
      </c>
      <c r="B25" s="117" t="s">
        <v>563</v>
      </c>
      <c r="C25" s="118">
        <v>68.171591880952377</v>
      </c>
      <c r="D25" s="118">
        <v>81.731589761904758</v>
      </c>
      <c r="E25" s="118">
        <v>50.497726562499999</v>
      </c>
      <c r="F25" s="118">
        <v>32.647252281249997</v>
      </c>
      <c r="G25" s="118">
        <v>30.209721639344263</v>
      </c>
      <c r="H25" s="118">
        <v>39.541643484375001</v>
      </c>
      <c r="I25" s="118">
        <v>35.781850468750001</v>
      </c>
      <c r="J25" s="118">
        <v>31.373138523809523</v>
      </c>
      <c r="K25" s="118">
        <v>26.808762693548388</v>
      </c>
      <c r="L25" s="118">
        <v>20.46276107936508</v>
      </c>
      <c r="M25" s="118">
        <v>17.363571793650795</v>
      </c>
      <c r="N25" s="118">
        <v>18.894772269841269</v>
      </c>
      <c r="O25" s="118">
        <v>19.661783147540984</v>
      </c>
      <c r="P25" s="118">
        <v>25.418745734375001</v>
      </c>
      <c r="Q25" s="118">
        <v>29.612285666666665</v>
      </c>
    </row>
    <row r="26" spans="1:17" x14ac:dyDescent="0.2">
      <c r="A26" s="117"/>
      <c r="B26" s="117" t="s">
        <v>564</v>
      </c>
      <c r="C26" s="119">
        <v>75.912814999999995</v>
      </c>
      <c r="D26" s="119">
        <v>107.596431</v>
      </c>
      <c r="E26" s="119">
        <v>75.306764000000001</v>
      </c>
      <c r="F26" s="119">
        <v>63.408794999999998</v>
      </c>
      <c r="G26" s="119">
        <v>46.934615000000001</v>
      </c>
      <c r="H26" s="119">
        <v>45.076034</v>
      </c>
      <c r="I26" s="119">
        <v>42.569035999999997</v>
      </c>
      <c r="J26" s="119">
        <v>33.779165999999996</v>
      </c>
      <c r="K26" s="119">
        <v>34.727209999999999</v>
      </c>
      <c r="L26" s="119">
        <v>22.179290999999999</v>
      </c>
      <c r="M26" s="119">
        <v>20.022587000000001</v>
      </c>
      <c r="N26" s="119">
        <v>22.205991999999998</v>
      </c>
      <c r="O26" s="119">
        <v>22.48808</v>
      </c>
      <c r="P26" s="119">
        <v>31.441908000000002</v>
      </c>
      <c r="Q26" s="119">
        <v>29.753025999999998</v>
      </c>
    </row>
    <row r="27" spans="1:17" x14ac:dyDescent="0.2">
      <c r="A27" s="117"/>
      <c r="B27" s="117" t="s">
        <v>565</v>
      </c>
      <c r="C27" s="119">
        <v>59.476699000000004</v>
      </c>
      <c r="D27" s="119">
        <v>62.435834999999997</v>
      </c>
      <c r="E27" s="119">
        <v>37.549666999999999</v>
      </c>
      <c r="F27" s="119">
        <v>23.241188999999999</v>
      </c>
      <c r="G27" s="119">
        <v>20.321650999999999</v>
      </c>
      <c r="H27" s="119">
        <v>33.961824</v>
      </c>
      <c r="I27" s="119">
        <v>23.889054000000002</v>
      </c>
      <c r="J27" s="119">
        <v>19.265884</v>
      </c>
      <c r="K27" s="119">
        <v>17.948705</v>
      </c>
      <c r="L27" s="119">
        <v>18.919899999999998</v>
      </c>
      <c r="M27" s="119">
        <v>15.546426</v>
      </c>
      <c r="N27" s="119">
        <v>16.797433999999999</v>
      </c>
      <c r="O27" s="119">
        <v>17.285882999999998</v>
      </c>
      <c r="P27" s="119">
        <v>19.160854</v>
      </c>
      <c r="Q27" s="119">
        <v>29.459306999999999</v>
      </c>
    </row>
    <row r="28" spans="1:17" x14ac:dyDescent="0.2">
      <c r="A28" s="117"/>
      <c r="B28" s="117" t="s">
        <v>566</v>
      </c>
      <c r="C28" s="119">
        <v>69.906840000000003</v>
      </c>
      <c r="D28" s="119">
        <v>62.435834999999997</v>
      </c>
      <c r="E28" s="119">
        <v>41.590772000000001</v>
      </c>
      <c r="F28" s="119">
        <v>25.839096999999999</v>
      </c>
      <c r="G28" s="119">
        <v>43.291809000000001</v>
      </c>
      <c r="H28" s="119">
        <v>37.230474999999998</v>
      </c>
      <c r="I28" s="119">
        <v>32.268376000000004</v>
      </c>
      <c r="J28" s="119">
        <v>31.422601</v>
      </c>
      <c r="K28" s="119">
        <v>19.560780000000001</v>
      </c>
      <c r="L28" s="119">
        <v>19.672695999999998</v>
      </c>
      <c r="M28" s="119">
        <v>17.012899000000001</v>
      </c>
      <c r="N28" s="119">
        <v>20.601009999999999</v>
      </c>
      <c r="O28" s="119">
        <v>19.585224</v>
      </c>
      <c r="P28" s="119">
        <v>30.046744</v>
      </c>
      <c r="Q28" s="119">
        <v>29.624524000000001</v>
      </c>
    </row>
    <row r="29" spans="1:17" x14ac:dyDescent="0.2">
      <c r="A29" s="116"/>
      <c r="B29" s="117"/>
      <c r="C29" s="117"/>
      <c r="D29" s="117"/>
      <c r="E29" s="117"/>
      <c r="F29" s="117"/>
      <c r="G29" s="117"/>
      <c r="H29" s="117"/>
      <c r="I29" s="117"/>
      <c r="J29" s="117"/>
      <c r="K29" s="117"/>
      <c r="L29" s="117"/>
      <c r="M29" s="117"/>
      <c r="N29" s="117"/>
      <c r="O29" s="117"/>
      <c r="P29" s="117"/>
      <c r="Q29" s="117"/>
    </row>
    <row r="30" spans="1:17" x14ac:dyDescent="0.2">
      <c r="A30" s="116" t="s">
        <v>569</v>
      </c>
      <c r="B30" s="117" t="s">
        <v>563</v>
      </c>
      <c r="C30" s="118">
        <v>44.680719000000003</v>
      </c>
      <c r="D30" s="118">
        <v>50.854472999999999</v>
      </c>
      <c r="E30" s="118">
        <v>27.714753000000002</v>
      </c>
      <c r="F30" s="118">
        <v>18.505282000000001</v>
      </c>
      <c r="G30" s="118">
        <v>16.007642000000001</v>
      </c>
      <c r="H30" s="118">
        <v>17.091266999999998</v>
      </c>
      <c r="I30" s="118">
        <v>17.064819</v>
      </c>
      <c r="J30" s="118">
        <v>16.205421999999999</v>
      </c>
      <c r="K30" s="118">
        <v>15.314615</v>
      </c>
      <c r="L30" s="118">
        <v>15.340441999999999</v>
      </c>
      <c r="M30" s="118">
        <v>13.502986</v>
      </c>
      <c r="N30" s="118">
        <v>15.349637</v>
      </c>
      <c r="O30" s="118">
        <v>16.947151000000002</v>
      </c>
      <c r="P30" s="118">
        <v>22.820651999999999</v>
      </c>
      <c r="Q30" s="118">
        <v>26.088412999999999</v>
      </c>
    </row>
    <row r="31" spans="1:17" x14ac:dyDescent="0.2">
      <c r="A31" s="117"/>
      <c r="B31" s="117" t="s">
        <v>564</v>
      </c>
      <c r="C31" s="119">
        <v>53.117953</v>
      </c>
      <c r="D31" s="119">
        <v>70.176033000000004</v>
      </c>
      <c r="E31" s="119">
        <v>44.689005999999999</v>
      </c>
      <c r="F31" s="119">
        <v>21.711974000000001</v>
      </c>
      <c r="G31" s="119">
        <v>19.586760999999999</v>
      </c>
      <c r="H31" s="119">
        <v>19.577387000000002</v>
      </c>
      <c r="I31" s="119">
        <v>18.507376000000001</v>
      </c>
      <c r="J31" s="119">
        <v>17.301015</v>
      </c>
      <c r="K31" s="119">
        <v>18.042113000000001</v>
      </c>
      <c r="L31" s="119">
        <v>16.774000000000001</v>
      </c>
      <c r="M31" s="119">
        <v>15.236243999999999</v>
      </c>
      <c r="N31" s="119">
        <v>18.232993</v>
      </c>
      <c r="O31" s="119">
        <v>18.637584</v>
      </c>
      <c r="P31" s="119">
        <v>27.700310000000002</v>
      </c>
      <c r="Q31" s="119">
        <v>26.212405</v>
      </c>
    </row>
    <row r="32" spans="1:17" x14ac:dyDescent="0.2">
      <c r="A32" s="117"/>
      <c r="B32" s="117" t="s">
        <v>565</v>
      </c>
      <c r="C32" s="119">
        <v>37.136916999999997</v>
      </c>
      <c r="D32" s="119">
        <v>37.05106</v>
      </c>
      <c r="E32" s="119">
        <v>17.859625000000001</v>
      </c>
      <c r="F32" s="119">
        <v>15.20392</v>
      </c>
      <c r="G32" s="119">
        <v>12.044181999999999</v>
      </c>
      <c r="H32" s="119">
        <v>14.632726999999999</v>
      </c>
      <c r="I32" s="119">
        <v>15.500358</v>
      </c>
      <c r="J32" s="119">
        <v>14.724729999999999</v>
      </c>
      <c r="K32" s="119">
        <v>12.949983</v>
      </c>
      <c r="L32" s="119">
        <v>13.183291000000001</v>
      </c>
      <c r="M32" s="119">
        <v>12.239779</v>
      </c>
      <c r="N32" s="119">
        <v>13.266446</v>
      </c>
      <c r="O32" s="119">
        <v>15.084662</v>
      </c>
      <c r="P32" s="119">
        <v>17.718349</v>
      </c>
      <c r="Q32" s="119">
        <v>25.953638999999999</v>
      </c>
    </row>
    <row r="33" spans="1:17" x14ac:dyDescent="0.2">
      <c r="A33" s="117"/>
      <c r="B33" s="117" t="s">
        <v>566</v>
      </c>
      <c r="C33" s="119">
        <v>45.594307000000001</v>
      </c>
      <c r="D33" s="119">
        <v>37.05106</v>
      </c>
      <c r="E33" s="119">
        <v>20.4343</v>
      </c>
      <c r="F33" s="119">
        <v>17.002105</v>
      </c>
      <c r="G33" s="119">
        <v>18.732610000000001</v>
      </c>
      <c r="H33" s="119">
        <v>16.277923999999999</v>
      </c>
      <c r="I33" s="119">
        <v>16.662061000000001</v>
      </c>
      <c r="J33" s="119">
        <v>16.09403</v>
      </c>
      <c r="K33" s="119">
        <v>14.402863999999999</v>
      </c>
      <c r="L33" s="119">
        <v>14.925387000000001</v>
      </c>
      <c r="M33" s="119">
        <v>13.436617999999999</v>
      </c>
      <c r="N33" s="119">
        <v>17.068031000000001</v>
      </c>
      <c r="O33" s="119">
        <v>17.741876999999999</v>
      </c>
      <c r="P33" s="119">
        <v>26.471170999999998</v>
      </c>
      <c r="Q33" s="119">
        <v>26.099195000000002</v>
      </c>
    </row>
    <row r="34" spans="1:17" x14ac:dyDescent="0.2">
      <c r="A34" s="116"/>
      <c r="B34" s="117"/>
      <c r="C34" s="117"/>
      <c r="D34" s="117"/>
      <c r="E34" s="117"/>
      <c r="F34" s="117"/>
      <c r="G34" s="117"/>
      <c r="H34" s="117"/>
      <c r="I34" s="117"/>
      <c r="J34" s="117"/>
      <c r="K34" s="117"/>
      <c r="L34" s="117"/>
      <c r="M34" s="117"/>
      <c r="N34" s="117"/>
      <c r="O34" s="117"/>
      <c r="P34" s="117"/>
      <c r="Q34" s="117"/>
    </row>
    <row r="35" spans="1:17" x14ac:dyDescent="0.2">
      <c r="A35" s="116" t="s">
        <v>570</v>
      </c>
      <c r="B35" s="117" t="s">
        <v>563</v>
      </c>
      <c r="C35" s="118">
        <v>239.00043053846153</v>
      </c>
      <c r="D35" s="118">
        <v>224.53680756451612</v>
      </c>
      <c r="E35" s="118">
        <v>119.51354628125</v>
      </c>
      <c r="F35" s="118">
        <v>57.583150888888888</v>
      </c>
      <c r="G35" s="118">
        <v>57.882572803278691</v>
      </c>
      <c r="H35" s="118">
        <v>87.369021578125</v>
      </c>
      <c r="I35" s="118">
        <v>71.182186718750003</v>
      </c>
      <c r="J35" s="118">
        <v>60.052131000000003</v>
      </c>
      <c r="K35" s="118">
        <v>48.463105338709674</v>
      </c>
      <c r="L35" s="118">
        <v>31.658970968253968</v>
      </c>
      <c r="M35" s="118">
        <v>27.178493476190475</v>
      </c>
      <c r="N35" s="118">
        <v>29.852132920634922</v>
      </c>
      <c r="O35" s="118">
        <v>31.4540838852459</v>
      </c>
      <c r="P35" s="118">
        <v>41.363487531250001</v>
      </c>
      <c r="Q35" s="118">
        <v>48.309495666666663</v>
      </c>
    </row>
    <row r="36" spans="1:17" x14ac:dyDescent="0.2">
      <c r="A36" s="117"/>
      <c r="B36" s="117" t="s">
        <v>564</v>
      </c>
      <c r="C36" s="119">
        <v>299.48391299999997</v>
      </c>
      <c r="D36" s="119">
        <v>289.97035</v>
      </c>
      <c r="E36" s="119">
        <v>206.584509</v>
      </c>
      <c r="F36" s="119">
        <v>87.883651999999998</v>
      </c>
      <c r="G36" s="119">
        <v>114.172881</v>
      </c>
      <c r="H36" s="119">
        <v>106.18574599999999</v>
      </c>
      <c r="I36" s="119">
        <v>88.220586999999995</v>
      </c>
      <c r="J36" s="119">
        <v>64.640158</v>
      </c>
      <c r="K36" s="119">
        <v>66.454342999999994</v>
      </c>
      <c r="L36" s="119">
        <v>34.626711999999998</v>
      </c>
      <c r="M36" s="119">
        <v>31.259625</v>
      </c>
      <c r="N36" s="119">
        <v>35.200333999999998</v>
      </c>
      <c r="O36" s="119">
        <v>35.647492</v>
      </c>
      <c r="P36" s="119">
        <v>51.294342</v>
      </c>
      <c r="Q36" s="119">
        <v>48.539099</v>
      </c>
    </row>
    <row r="37" spans="1:17" x14ac:dyDescent="0.2">
      <c r="A37" s="117"/>
      <c r="B37" s="117" t="s">
        <v>565</v>
      </c>
      <c r="C37" s="119">
        <v>158.77541199999999</v>
      </c>
      <c r="D37" s="119">
        <v>171.276466</v>
      </c>
      <c r="E37" s="119">
        <v>74.675416999999996</v>
      </c>
      <c r="F37" s="119">
        <v>37.188378999999998</v>
      </c>
      <c r="G37" s="119">
        <v>32.516806000000003</v>
      </c>
      <c r="H37" s="119">
        <v>68.582609000000005</v>
      </c>
      <c r="I37" s="119">
        <v>34.772542999999999</v>
      </c>
      <c r="J37" s="119">
        <v>28.573143000000002</v>
      </c>
      <c r="K37" s="119">
        <v>27.196285</v>
      </c>
      <c r="L37" s="119">
        <v>28.799803000000001</v>
      </c>
      <c r="M37" s="119">
        <v>24.381430000000002</v>
      </c>
      <c r="N37" s="119">
        <v>26.343382999999999</v>
      </c>
      <c r="O37" s="119">
        <v>27.738130000000002</v>
      </c>
      <c r="P37" s="119">
        <v>31.013988000000001</v>
      </c>
      <c r="Q37" s="119">
        <v>48.059927000000002</v>
      </c>
    </row>
    <row r="38" spans="1:17" x14ac:dyDescent="0.2">
      <c r="A38" s="117"/>
      <c r="B38" s="117" t="s">
        <v>566</v>
      </c>
      <c r="C38" s="119">
        <v>194.934192</v>
      </c>
      <c r="D38" s="119">
        <v>171.276466</v>
      </c>
      <c r="E38" s="119">
        <v>82.712005000000005</v>
      </c>
      <c r="F38" s="119">
        <v>41.345306999999998</v>
      </c>
      <c r="G38" s="119">
        <v>101.982641</v>
      </c>
      <c r="H38" s="119">
        <v>77.156889000000007</v>
      </c>
      <c r="I38" s="119">
        <v>62.117981999999998</v>
      </c>
      <c r="J38" s="119">
        <v>60.130609999999997</v>
      </c>
      <c r="K38" s="119">
        <v>29.750457000000001</v>
      </c>
      <c r="L38" s="119">
        <v>30.713369</v>
      </c>
      <c r="M38" s="119">
        <v>26.681297000000001</v>
      </c>
      <c r="N38" s="119">
        <v>32.65616</v>
      </c>
      <c r="O38" s="119">
        <v>31.700879</v>
      </c>
      <c r="P38" s="119">
        <v>49.018272000000003</v>
      </c>
      <c r="Q38" s="119">
        <v>48.329461000000002</v>
      </c>
    </row>
    <row r="39" spans="1:17" x14ac:dyDescent="0.2">
      <c r="A39" s="116"/>
      <c r="B39" s="117"/>
      <c r="C39" s="117"/>
      <c r="D39" s="117"/>
      <c r="E39" s="117"/>
      <c r="F39" s="117"/>
      <c r="G39" s="117"/>
      <c r="H39" s="117"/>
      <c r="I39" s="117"/>
      <c r="J39" s="117"/>
      <c r="K39" s="117"/>
      <c r="L39" s="117"/>
      <c r="M39" s="117"/>
      <c r="N39" s="117"/>
      <c r="O39" s="117"/>
      <c r="P39" s="117"/>
      <c r="Q39" s="117"/>
    </row>
    <row r="40" spans="1:17" x14ac:dyDescent="0.2">
      <c r="A40" s="116" t="s">
        <v>571</v>
      </c>
      <c r="B40" s="117" t="s">
        <v>563</v>
      </c>
      <c r="C40" s="118">
        <v>206.90286800000001</v>
      </c>
      <c r="D40" s="118">
        <v>160.71916899999999</v>
      </c>
      <c r="E40" s="118">
        <v>50.014569000000002</v>
      </c>
      <c r="F40" s="118">
        <v>27.974848000000001</v>
      </c>
      <c r="G40" s="118">
        <v>25.819448000000001</v>
      </c>
      <c r="H40" s="118">
        <v>28.952670000000001</v>
      </c>
      <c r="I40" s="118">
        <v>27.372298000000001</v>
      </c>
      <c r="J40" s="118">
        <v>24.736699000000002</v>
      </c>
      <c r="K40" s="118">
        <v>25.023586999999999</v>
      </c>
      <c r="L40" s="118">
        <v>27.07057</v>
      </c>
      <c r="M40" s="118">
        <v>24.130115</v>
      </c>
      <c r="N40" s="118">
        <v>27.477397</v>
      </c>
      <c r="O40" s="118">
        <v>35.364778999999999</v>
      </c>
      <c r="P40" s="118">
        <v>51.922721000000003</v>
      </c>
      <c r="Q40" s="118">
        <v>58.601424000000002</v>
      </c>
    </row>
    <row r="41" spans="1:17" x14ac:dyDescent="0.2">
      <c r="A41" s="117"/>
      <c r="B41" s="117" t="s">
        <v>564</v>
      </c>
      <c r="C41" s="119">
        <v>265.589766</v>
      </c>
      <c r="D41" s="119">
        <v>294.89218099999999</v>
      </c>
      <c r="E41" s="119">
        <v>89.263633999999996</v>
      </c>
      <c r="F41" s="119">
        <v>34.188530999999998</v>
      </c>
      <c r="G41" s="119">
        <v>31.623795999999999</v>
      </c>
      <c r="H41" s="119">
        <v>32.625658999999999</v>
      </c>
      <c r="I41" s="119">
        <v>31.771771000000001</v>
      </c>
      <c r="J41" s="119">
        <v>26.776600999999999</v>
      </c>
      <c r="K41" s="119">
        <v>28.054917</v>
      </c>
      <c r="L41" s="119">
        <v>29.631066000000001</v>
      </c>
      <c r="M41" s="119">
        <v>27.009599000000001</v>
      </c>
      <c r="N41" s="119">
        <v>32.607244000000001</v>
      </c>
      <c r="O41" s="119">
        <v>43.279175000000002</v>
      </c>
      <c r="P41" s="119">
        <v>62.222166999999999</v>
      </c>
      <c r="Q41" s="119">
        <v>58.879942999999997</v>
      </c>
    </row>
    <row r="42" spans="1:17" x14ac:dyDescent="0.2">
      <c r="A42" s="117"/>
      <c r="B42" s="117" t="s">
        <v>565</v>
      </c>
      <c r="C42" s="119">
        <v>163.17376999999999</v>
      </c>
      <c r="D42" s="119">
        <v>73.475835000000004</v>
      </c>
      <c r="E42" s="119">
        <v>28.303329999999999</v>
      </c>
      <c r="F42" s="119">
        <v>22.435779</v>
      </c>
      <c r="G42" s="119">
        <v>19.516552999999998</v>
      </c>
      <c r="H42" s="119">
        <v>25.242522999999998</v>
      </c>
      <c r="I42" s="119">
        <v>24.567678000000001</v>
      </c>
      <c r="J42" s="119">
        <v>21.970841</v>
      </c>
      <c r="K42" s="119">
        <v>22.970473999999999</v>
      </c>
      <c r="L42" s="119">
        <v>23.579131</v>
      </c>
      <c r="M42" s="119">
        <v>22.018304000000001</v>
      </c>
      <c r="N42" s="119">
        <v>23.925798</v>
      </c>
      <c r="O42" s="119">
        <v>27.477712</v>
      </c>
      <c r="P42" s="119">
        <v>41.477739999999997</v>
      </c>
      <c r="Q42" s="119">
        <v>58.298687000000001</v>
      </c>
    </row>
    <row r="43" spans="1:17" x14ac:dyDescent="0.2">
      <c r="A43" s="117"/>
      <c r="B43" s="117" t="s">
        <v>566</v>
      </c>
      <c r="C43" s="119">
        <v>200.33421100000001</v>
      </c>
      <c r="D43" s="119">
        <v>73.475835000000004</v>
      </c>
      <c r="E43" s="119">
        <v>32.176654999999997</v>
      </c>
      <c r="F43" s="119">
        <v>25.034635999999999</v>
      </c>
      <c r="G43" s="119">
        <v>31.385408999999999</v>
      </c>
      <c r="H43" s="119">
        <v>27.409924</v>
      </c>
      <c r="I43" s="119">
        <v>24.945035000000001</v>
      </c>
      <c r="J43" s="119">
        <v>24.908560999999999</v>
      </c>
      <c r="K43" s="119">
        <v>25.294433999999999</v>
      </c>
      <c r="L43" s="119">
        <v>26.408947999999999</v>
      </c>
      <c r="M43" s="119">
        <v>24.232700000000001</v>
      </c>
      <c r="N43" s="119">
        <v>30.798359999999999</v>
      </c>
      <c r="O43" s="119">
        <v>42.401713000000001</v>
      </c>
      <c r="P43" s="119">
        <v>59.461199999999998</v>
      </c>
      <c r="Q43" s="119">
        <v>58.625644000000001</v>
      </c>
    </row>
    <row r="44" spans="1:17" x14ac:dyDescent="0.2">
      <c r="A44" s="116"/>
      <c r="B44" s="117"/>
      <c r="C44" s="117"/>
      <c r="D44" s="117"/>
      <c r="E44" s="117"/>
      <c r="F44" s="117"/>
      <c r="G44" s="117"/>
      <c r="H44" s="117"/>
      <c r="I44" s="117"/>
      <c r="J44" s="117"/>
      <c r="K44" s="117"/>
      <c r="L44" s="117"/>
      <c r="M44" s="117"/>
      <c r="N44" s="117"/>
      <c r="O44" s="117"/>
      <c r="P44" s="117"/>
      <c r="Q44" s="117"/>
    </row>
    <row r="45" spans="1:17" x14ac:dyDescent="0.2">
      <c r="A45" s="116" t="s">
        <v>572</v>
      </c>
      <c r="B45" s="117" t="s">
        <v>563</v>
      </c>
      <c r="C45" s="118">
        <v>282.13624133333332</v>
      </c>
      <c r="D45" s="118">
        <v>281.96002342857145</v>
      </c>
      <c r="E45" s="120" t="s">
        <v>319</v>
      </c>
      <c r="F45" s="120" t="s">
        <v>319</v>
      </c>
      <c r="G45" s="120" t="s">
        <v>319</v>
      </c>
      <c r="H45" s="118">
        <v>108.01605822857142</v>
      </c>
      <c r="I45" s="118">
        <v>99.896446453124994</v>
      </c>
      <c r="J45" s="118">
        <v>80.801179555555549</v>
      </c>
      <c r="K45" s="118">
        <v>72.16845501612903</v>
      </c>
      <c r="L45" s="118">
        <v>66.836142428571435</v>
      </c>
      <c r="M45" s="118">
        <v>58.430773126984128</v>
      </c>
      <c r="N45" s="118">
        <v>64.264724253968254</v>
      </c>
      <c r="O45" s="118">
        <v>69.255478419354844</v>
      </c>
      <c r="P45" s="120" t="s">
        <v>319</v>
      </c>
      <c r="Q45" s="120" t="s">
        <v>319</v>
      </c>
    </row>
    <row r="46" spans="1:17" x14ac:dyDescent="0.2">
      <c r="A46" s="117"/>
      <c r="B46" s="117" t="s">
        <v>564</v>
      </c>
      <c r="C46" s="119">
        <v>284.94488899999999</v>
      </c>
      <c r="D46" s="119">
        <v>287.392967</v>
      </c>
      <c r="E46" s="121" t="s">
        <v>319</v>
      </c>
      <c r="F46" s="121" t="s">
        <v>319</v>
      </c>
      <c r="G46" s="121" t="s">
        <v>319</v>
      </c>
      <c r="H46" s="119">
        <v>114.51817</v>
      </c>
      <c r="I46" s="119">
        <v>124.098658</v>
      </c>
      <c r="J46" s="119">
        <v>85.000444000000002</v>
      </c>
      <c r="K46" s="119">
        <v>86.620672999999996</v>
      </c>
      <c r="L46" s="119">
        <v>72.956609999999998</v>
      </c>
      <c r="M46" s="119">
        <v>65.967646000000002</v>
      </c>
      <c r="N46" s="119">
        <v>75.350988999999998</v>
      </c>
      <c r="O46" s="119">
        <v>76.290851000000004</v>
      </c>
      <c r="P46" s="121" t="s">
        <v>319</v>
      </c>
      <c r="Q46" s="121" t="s">
        <v>319</v>
      </c>
    </row>
    <row r="47" spans="1:17" x14ac:dyDescent="0.2">
      <c r="A47" s="117"/>
      <c r="B47" s="117" t="s">
        <v>565</v>
      </c>
      <c r="C47" s="119">
        <v>278.96702399999998</v>
      </c>
      <c r="D47" s="119">
        <v>274.64018900000002</v>
      </c>
      <c r="E47" s="121" t="s">
        <v>319</v>
      </c>
      <c r="F47" s="121" t="s">
        <v>319</v>
      </c>
      <c r="G47" s="121" t="s">
        <v>319</v>
      </c>
      <c r="H47" s="119">
        <v>99.863902999999993</v>
      </c>
      <c r="I47" s="119">
        <v>84.136869000000004</v>
      </c>
      <c r="J47" s="119">
        <v>73.029241999999996</v>
      </c>
      <c r="K47" s="119">
        <v>57.962263999999998</v>
      </c>
      <c r="L47" s="119">
        <v>61.226415000000003</v>
      </c>
      <c r="M47" s="119">
        <v>53.334262000000003</v>
      </c>
      <c r="N47" s="119">
        <v>57.203611000000002</v>
      </c>
      <c r="O47" s="119">
        <v>61.917447000000003</v>
      </c>
      <c r="P47" s="121" t="s">
        <v>319</v>
      </c>
      <c r="Q47" s="121" t="s">
        <v>319</v>
      </c>
    </row>
    <row r="48" spans="1:17" x14ac:dyDescent="0.2">
      <c r="A48" s="117"/>
      <c r="B48" s="117" t="s">
        <v>566</v>
      </c>
      <c r="C48" s="119">
        <v>284.94488899999999</v>
      </c>
      <c r="D48" s="121" t="s">
        <v>319</v>
      </c>
      <c r="E48" s="121" t="s">
        <v>319</v>
      </c>
      <c r="F48" s="121" t="s">
        <v>319</v>
      </c>
      <c r="G48" s="121" t="s">
        <v>319</v>
      </c>
      <c r="H48" s="119">
        <v>108.728093</v>
      </c>
      <c r="I48" s="119">
        <v>85.543261999999999</v>
      </c>
      <c r="J48" s="119">
        <v>78.584383000000003</v>
      </c>
      <c r="K48" s="119">
        <v>63.018867</v>
      </c>
      <c r="L48" s="119">
        <v>64.833798000000002</v>
      </c>
      <c r="M48" s="119">
        <v>57.918219999999998</v>
      </c>
      <c r="N48" s="119">
        <v>70.003500000000003</v>
      </c>
      <c r="O48" s="121" t="s">
        <v>319</v>
      </c>
      <c r="P48" s="121" t="s">
        <v>319</v>
      </c>
      <c r="Q48" s="121" t="s">
        <v>319</v>
      </c>
    </row>
    <row r="49" spans="1:17" x14ac:dyDescent="0.2">
      <c r="A49" s="116"/>
      <c r="B49" s="117"/>
      <c r="C49" s="117"/>
      <c r="D49" s="117"/>
      <c r="E49" s="117"/>
      <c r="F49" s="117"/>
      <c r="G49" s="117"/>
      <c r="H49" s="117"/>
      <c r="I49" s="117"/>
      <c r="J49" s="117"/>
      <c r="K49" s="117"/>
      <c r="L49" s="117"/>
      <c r="M49" s="117"/>
      <c r="N49" s="117"/>
      <c r="O49" s="117"/>
      <c r="P49" s="117"/>
      <c r="Q49" s="117"/>
    </row>
    <row r="50" spans="1:17" x14ac:dyDescent="0.2">
      <c r="A50" s="116" t="s">
        <v>573</v>
      </c>
      <c r="B50" s="117" t="s">
        <v>563</v>
      </c>
      <c r="C50" s="120" t="s">
        <v>319</v>
      </c>
      <c r="D50" s="120" t="s">
        <v>319</v>
      </c>
      <c r="E50" s="118">
        <v>184.67867200000001</v>
      </c>
      <c r="F50" s="118">
        <v>134.04883000000001</v>
      </c>
      <c r="G50" s="118">
        <v>94.346648999999999</v>
      </c>
      <c r="H50" s="118">
        <v>87.055930000000004</v>
      </c>
      <c r="I50" s="118">
        <v>75.400746999999996</v>
      </c>
      <c r="J50" s="118">
        <v>66.011460999999997</v>
      </c>
      <c r="K50" s="118">
        <v>65.602058999999997</v>
      </c>
      <c r="L50" s="118">
        <v>71.202832000000001</v>
      </c>
      <c r="M50" s="118">
        <v>63.191910999999998</v>
      </c>
      <c r="N50" s="118">
        <v>73.031588999999997</v>
      </c>
      <c r="O50" s="118">
        <v>78.518067000000002</v>
      </c>
      <c r="P50" s="118">
        <v>101.61298600000001</v>
      </c>
      <c r="Q50" s="118">
        <v>113.33101600000001</v>
      </c>
    </row>
    <row r="51" spans="1:17" x14ac:dyDescent="0.2">
      <c r="A51" s="117"/>
      <c r="B51" s="117" t="s">
        <v>564</v>
      </c>
      <c r="C51" s="121" t="s">
        <v>319</v>
      </c>
      <c r="D51" s="121" t="s">
        <v>319</v>
      </c>
      <c r="E51" s="119">
        <v>262.179732</v>
      </c>
      <c r="F51" s="119">
        <v>180.772006</v>
      </c>
      <c r="G51" s="119">
        <v>109.17836699999999</v>
      </c>
      <c r="H51" s="119">
        <v>102.14767999999999</v>
      </c>
      <c r="I51" s="119">
        <v>90.07799</v>
      </c>
      <c r="J51" s="119">
        <v>71.122696000000005</v>
      </c>
      <c r="K51" s="119">
        <v>73.245451000000003</v>
      </c>
      <c r="L51" s="119">
        <v>77.969804999999994</v>
      </c>
      <c r="M51" s="119">
        <v>70.753589000000005</v>
      </c>
      <c r="N51" s="119">
        <v>84.869501999999997</v>
      </c>
      <c r="O51" s="119">
        <v>86.848077000000004</v>
      </c>
      <c r="P51" s="119">
        <v>120.25712300000001</v>
      </c>
      <c r="Q51" s="119">
        <v>113.863794</v>
      </c>
    </row>
    <row r="52" spans="1:17" x14ac:dyDescent="0.2">
      <c r="A52" s="117"/>
      <c r="B52" s="117" t="s">
        <v>565</v>
      </c>
      <c r="C52" s="121" t="s">
        <v>319</v>
      </c>
      <c r="D52" s="121" t="s">
        <v>319</v>
      </c>
      <c r="E52" s="119">
        <v>160.14983899999999</v>
      </c>
      <c r="F52" s="119">
        <v>102.303777</v>
      </c>
      <c r="G52" s="119">
        <v>83.560209</v>
      </c>
      <c r="H52" s="119">
        <v>72.929381000000006</v>
      </c>
      <c r="I52" s="119">
        <v>66.110895999999997</v>
      </c>
      <c r="J52" s="119">
        <v>60.759956000000003</v>
      </c>
      <c r="K52" s="119">
        <v>60.440317</v>
      </c>
      <c r="L52" s="119">
        <v>62.727272999999997</v>
      </c>
      <c r="M52" s="119">
        <v>58.020477999999997</v>
      </c>
      <c r="N52" s="119">
        <v>62.502380000000002</v>
      </c>
      <c r="O52" s="119">
        <v>67.401657999999998</v>
      </c>
      <c r="P52" s="119">
        <v>83.290740999999997</v>
      </c>
      <c r="Q52" s="119">
        <v>112.75191100000001</v>
      </c>
    </row>
    <row r="53" spans="1:17" x14ac:dyDescent="0.2">
      <c r="A53" s="117"/>
      <c r="B53" s="117" t="s">
        <v>566</v>
      </c>
      <c r="C53" s="121" t="s">
        <v>319</v>
      </c>
      <c r="D53" s="121" t="s">
        <v>319</v>
      </c>
      <c r="E53" s="119">
        <v>170.99567099999999</v>
      </c>
      <c r="F53" s="119">
        <v>106.0809</v>
      </c>
      <c r="G53" s="119">
        <v>99.197277999999997</v>
      </c>
      <c r="H53" s="119">
        <v>78.869884999999996</v>
      </c>
      <c r="I53" s="119">
        <v>67.215975</v>
      </c>
      <c r="J53" s="119">
        <v>65.863084000000001</v>
      </c>
      <c r="K53" s="119">
        <v>66.305362000000002</v>
      </c>
      <c r="L53" s="119">
        <v>69.537480000000002</v>
      </c>
      <c r="M53" s="119">
        <v>63.235014</v>
      </c>
      <c r="N53" s="119">
        <v>79.484820999999997</v>
      </c>
      <c r="O53" s="119">
        <v>85.110298</v>
      </c>
      <c r="P53" s="119">
        <v>114.975678</v>
      </c>
      <c r="Q53" s="119">
        <v>113.37734500000001</v>
      </c>
    </row>
    <row r="54" spans="1:17" x14ac:dyDescent="0.2">
      <c r="A54" s="116"/>
      <c r="B54" s="117"/>
      <c r="C54" s="117"/>
      <c r="D54" s="117"/>
      <c r="E54" s="117"/>
      <c r="F54" s="117"/>
      <c r="G54" s="117"/>
      <c r="H54" s="117"/>
      <c r="I54" s="117"/>
      <c r="J54" s="117"/>
      <c r="K54" s="117"/>
      <c r="L54" s="117"/>
      <c r="M54" s="117"/>
      <c r="N54" s="117"/>
      <c r="O54" s="117"/>
      <c r="P54" s="117"/>
      <c r="Q54" s="117"/>
    </row>
    <row r="55" spans="1:17" x14ac:dyDescent="0.2">
      <c r="A55" s="116" t="s">
        <v>574</v>
      </c>
      <c r="B55" s="117" t="s">
        <v>563</v>
      </c>
      <c r="C55" s="120" t="s">
        <v>319</v>
      </c>
      <c r="D55" s="120" t="s">
        <v>319</v>
      </c>
      <c r="E55" s="120" t="s">
        <v>319</v>
      </c>
      <c r="F55" s="120" t="s">
        <v>319</v>
      </c>
      <c r="G55" s="120" t="s">
        <v>319</v>
      </c>
      <c r="H55" s="120" t="s">
        <v>319</v>
      </c>
      <c r="I55" s="118">
        <v>172.579058</v>
      </c>
      <c r="J55" s="118">
        <v>101.415425</v>
      </c>
      <c r="K55" s="118">
        <v>93.539789782608693</v>
      </c>
      <c r="L55" s="118">
        <v>100.02531542857143</v>
      </c>
      <c r="M55" s="118">
        <v>82.597563873015872</v>
      </c>
      <c r="N55" s="118">
        <v>86.30991898412698</v>
      </c>
      <c r="O55" s="118">
        <v>88.887638737704918</v>
      </c>
      <c r="P55" s="118">
        <v>110.45309065625</v>
      </c>
      <c r="Q55" s="118">
        <v>126.680933</v>
      </c>
    </row>
    <row r="56" spans="1:17" x14ac:dyDescent="0.2">
      <c r="A56" s="117"/>
      <c r="B56" s="117" t="s">
        <v>564</v>
      </c>
      <c r="C56" s="121" t="s">
        <v>319</v>
      </c>
      <c r="D56" s="121" t="s">
        <v>319</v>
      </c>
      <c r="E56" s="121" t="s">
        <v>319</v>
      </c>
      <c r="F56" s="121" t="s">
        <v>319</v>
      </c>
      <c r="G56" s="121" t="s">
        <v>319</v>
      </c>
      <c r="H56" s="121" t="s">
        <v>319</v>
      </c>
      <c r="I56" s="119">
        <v>172.579058</v>
      </c>
      <c r="J56" s="119">
        <v>101.415425</v>
      </c>
      <c r="K56" s="119">
        <v>104.16336200000001</v>
      </c>
      <c r="L56" s="119">
        <v>108.070751</v>
      </c>
      <c r="M56" s="119">
        <v>97.717985999999996</v>
      </c>
      <c r="N56" s="119">
        <v>100.08415599999999</v>
      </c>
      <c r="O56" s="119">
        <v>101.33251799999999</v>
      </c>
      <c r="P56" s="119">
        <v>134.42290499999999</v>
      </c>
      <c r="Q56" s="119">
        <v>127.27646900000001</v>
      </c>
    </row>
    <row r="57" spans="1:17" x14ac:dyDescent="0.2">
      <c r="A57" s="117"/>
      <c r="B57" s="117" t="s">
        <v>565</v>
      </c>
      <c r="C57" s="121" t="s">
        <v>319</v>
      </c>
      <c r="D57" s="121" t="s">
        <v>319</v>
      </c>
      <c r="E57" s="121" t="s">
        <v>319</v>
      </c>
      <c r="F57" s="121" t="s">
        <v>319</v>
      </c>
      <c r="G57" s="121" t="s">
        <v>319</v>
      </c>
      <c r="H57" s="121" t="s">
        <v>319</v>
      </c>
      <c r="I57" s="119">
        <v>172.579058</v>
      </c>
      <c r="J57" s="119">
        <v>101.415425</v>
      </c>
      <c r="K57" s="119">
        <v>88.543272000000002</v>
      </c>
      <c r="L57" s="119">
        <v>91.211527000000004</v>
      </c>
      <c r="M57" s="119">
        <v>73.140998999999994</v>
      </c>
      <c r="N57" s="119">
        <v>77.269272999999998</v>
      </c>
      <c r="O57" s="119">
        <v>81.083304999999996</v>
      </c>
      <c r="P57" s="119">
        <v>85.957164000000006</v>
      </c>
      <c r="Q57" s="119">
        <v>126.03361099999999</v>
      </c>
    </row>
    <row r="58" spans="1:17" x14ac:dyDescent="0.2">
      <c r="A58" s="117"/>
      <c r="B58" s="117" t="s">
        <v>566</v>
      </c>
      <c r="C58" s="121" t="s">
        <v>319</v>
      </c>
      <c r="D58" s="121" t="s">
        <v>319</v>
      </c>
      <c r="E58" s="121" t="s">
        <v>319</v>
      </c>
      <c r="F58" s="121" t="s">
        <v>319</v>
      </c>
      <c r="G58" s="121" t="s">
        <v>319</v>
      </c>
      <c r="H58" s="121" t="s">
        <v>319</v>
      </c>
      <c r="I58" s="121" t="s">
        <v>319</v>
      </c>
      <c r="J58" s="121" t="s">
        <v>319</v>
      </c>
      <c r="K58" s="119">
        <v>96.267751000000004</v>
      </c>
      <c r="L58" s="119">
        <v>96.038415000000001</v>
      </c>
      <c r="M58" s="119">
        <v>79.427301</v>
      </c>
      <c r="N58" s="119">
        <v>92.981409999999997</v>
      </c>
      <c r="O58" s="119">
        <v>87.834971999999993</v>
      </c>
      <c r="P58" s="119">
        <v>128.519328</v>
      </c>
      <c r="Q58" s="119">
        <v>126.732719</v>
      </c>
    </row>
    <row r="59" spans="1:17" x14ac:dyDescent="0.2">
      <c r="A59" s="116"/>
      <c r="B59" s="117"/>
      <c r="C59" s="117"/>
      <c r="D59" s="117"/>
      <c r="E59" s="117"/>
      <c r="F59" s="117"/>
      <c r="G59" s="117"/>
      <c r="H59" s="117"/>
      <c r="I59" s="117"/>
      <c r="J59" s="117"/>
      <c r="K59" s="117"/>
      <c r="L59" s="117"/>
      <c r="M59" s="117"/>
      <c r="N59" s="117"/>
      <c r="O59" s="117"/>
      <c r="P59" s="117"/>
      <c r="Q59" s="117"/>
    </row>
    <row r="60" spans="1:17" x14ac:dyDescent="0.2">
      <c r="A60" s="116" t="s">
        <v>359</v>
      </c>
      <c r="B60" s="117" t="s">
        <v>563</v>
      </c>
      <c r="C60" s="118">
        <v>17.476413047619047</v>
      </c>
      <c r="D60" s="118">
        <v>33.469235111111111</v>
      </c>
      <c r="E60" s="118">
        <v>5.8961510625000004</v>
      </c>
      <c r="F60" s="118">
        <v>4.9232515781249999</v>
      </c>
      <c r="G60" s="118">
        <v>4.2660061475409838</v>
      </c>
      <c r="H60" s="118">
        <v>7.0483578437499999</v>
      </c>
      <c r="I60" s="118">
        <v>6.8971724375000001</v>
      </c>
      <c r="J60" s="118">
        <v>6.1870537936507937</v>
      </c>
      <c r="K60" s="118">
        <v>5.9095897419354841</v>
      </c>
      <c r="L60" s="118">
        <v>5.7791227936507941</v>
      </c>
      <c r="M60" s="118">
        <v>5.0993396031746032</v>
      </c>
      <c r="N60" s="118">
        <v>5.8031140793650797</v>
      </c>
      <c r="O60" s="118">
        <v>6.2861893442622954</v>
      </c>
      <c r="P60" s="118">
        <v>8.4918022187499993</v>
      </c>
      <c r="Q60" s="118">
        <v>9.8946833333333331</v>
      </c>
    </row>
    <row r="61" spans="1:17" x14ac:dyDescent="0.2">
      <c r="A61" s="117"/>
      <c r="B61" s="117" t="s">
        <v>564</v>
      </c>
      <c r="C61" s="119">
        <v>47.897669999999998</v>
      </c>
      <c r="D61" s="119">
        <v>74.990238000000005</v>
      </c>
      <c r="E61" s="119">
        <v>7.8397430000000004</v>
      </c>
      <c r="F61" s="119">
        <v>5.78918</v>
      </c>
      <c r="G61" s="119">
        <v>7.3402099999999999</v>
      </c>
      <c r="H61" s="119">
        <v>7.5585279999999999</v>
      </c>
      <c r="I61" s="119">
        <v>7.9598930000000001</v>
      </c>
      <c r="J61" s="119">
        <v>6.6298440000000003</v>
      </c>
      <c r="K61" s="119">
        <v>6.8111290000000002</v>
      </c>
      <c r="L61" s="119">
        <v>6.2631319999999997</v>
      </c>
      <c r="M61" s="119">
        <v>5.6631479999999996</v>
      </c>
      <c r="N61" s="119">
        <v>6.8798690000000002</v>
      </c>
      <c r="O61" s="119">
        <v>6.9656830000000003</v>
      </c>
      <c r="P61" s="119">
        <v>10.499385999999999</v>
      </c>
      <c r="Q61" s="119">
        <v>9.9411989999999992</v>
      </c>
    </row>
    <row r="62" spans="1:17" x14ac:dyDescent="0.2">
      <c r="A62" s="117"/>
      <c r="B62" s="117" t="s">
        <v>565</v>
      </c>
      <c r="C62" s="119">
        <v>13.307511</v>
      </c>
      <c r="D62" s="119">
        <v>6.5954959999999998</v>
      </c>
      <c r="E62" s="119">
        <v>4.8121530000000003</v>
      </c>
      <c r="F62" s="119">
        <v>4.4226599999999996</v>
      </c>
      <c r="G62" s="119">
        <v>3.6965520000000001</v>
      </c>
      <c r="H62" s="119">
        <v>6.4054359999999999</v>
      </c>
      <c r="I62" s="119">
        <v>6.1961329999999997</v>
      </c>
      <c r="J62" s="119">
        <v>5.7055300000000004</v>
      </c>
      <c r="K62" s="119">
        <v>5.0769479999999998</v>
      </c>
      <c r="L62" s="119">
        <v>5.362857</v>
      </c>
      <c r="M62" s="119">
        <v>4.697165</v>
      </c>
      <c r="N62" s="119">
        <v>5.0379399999999999</v>
      </c>
      <c r="O62" s="119">
        <v>5.5172109999999996</v>
      </c>
      <c r="P62" s="119">
        <v>6.3762860000000003</v>
      </c>
      <c r="Q62" s="119">
        <v>9.8441229999999997</v>
      </c>
    </row>
    <row r="63" spans="1:17" x14ac:dyDescent="0.2">
      <c r="A63" s="117"/>
      <c r="B63" s="117" t="s">
        <v>566</v>
      </c>
      <c r="C63" s="119">
        <v>47.897669999999998</v>
      </c>
      <c r="D63" s="119">
        <v>6.5954959999999998</v>
      </c>
      <c r="E63" s="119">
        <v>5.0812220000000003</v>
      </c>
      <c r="F63" s="119">
        <v>4.5859480000000001</v>
      </c>
      <c r="G63" s="119">
        <v>7.3402099999999999</v>
      </c>
      <c r="H63" s="119">
        <v>6.9739990000000001</v>
      </c>
      <c r="I63" s="119">
        <v>6.2997050000000003</v>
      </c>
      <c r="J63" s="119">
        <v>6.1792220000000002</v>
      </c>
      <c r="K63" s="119">
        <v>5.5198590000000003</v>
      </c>
      <c r="L63" s="119">
        <v>5.5658099999999999</v>
      </c>
      <c r="M63" s="119">
        <v>5.1008760000000004</v>
      </c>
      <c r="N63" s="119">
        <v>6.3916199999999996</v>
      </c>
      <c r="O63" s="119">
        <v>6.5155810000000001</v>
      </c>
      <c r="P63" s="119">
        <v>10.038275000000001</v>
      </c>
      <c r="Q63" s="119">
        <v>9.8987280000000002</v>
      </c>
    </row>
    <row r="64" spans="1:17" x14ac:dyDescent="0.2">
      <c r="A64" s="116"/>
      <c r="B64" s="117"/>
      <c r="C64" s="117"/>
      <c r="D64" s="117"/>
      <c r="E64" s="117"/>
      <c r="F64" s="117"/>
      <c r="G64" s="117"/>
      <c r="H64" s="117"/>
      <c r="I64" s="117"/>
      <c r="J64" s="117"/>
      <c r="K64" s="117"/>
      <c r="L64" s="117"/>
      <c r="M64" s="117"/>
      <c r="N64" s="117"/>
      <c r="O64" s="117"/>
      <c r="P64" s="117"/>
      <c r="Q64" s="117"/>
    </row>
    <row r="65" spans="1:17" x14ac:dyDescent="0.2">
      <c r="A65" s="116" t="s">
        <v>575</v>
      </c>
      <c r="B65" s="117" t="s">
        <v>563</v>
      </c>
      <c r="C65" s="118">
        <v>17.476413047619047</v>
      </c>
      <c r="D65" s="118">
        <v>33.469235111111111</v>
      </c>
      <c r="E65" s="118">
        <v>5.8961510625000004</v>
      </c>
      <c r="F65" s="118">
        <v>4.9232515781249999</v>
      </c>
      <c r="G65" s="118">
        <v>4.2676595737704917</v>
      </c>
      <c r="H65" s="118">
        <v>7.0727339843749997</v>
      </c>
      <c r="I65" s="118">
        <v>6.8971724375000001</v>
      </c>
      <c r="J65" s="118">
        <v>6.1870537936507937</v>
      </c>
      <c r="K65" s="118">
        <v>5.9155446612903226</v>
      </c>
      <c r="L65" s="118">
        <v>5.788458603174603</v>
      </c>
      <c r="M65" s="118">
        <v>5.0993396031746032</v>
      </c>
      <c r="N65" s="118">
        <v>5.8031140793650797</v>
      </c>
      <c r="O65" s="118">
        <v>6.2995176393442627</v>
      </c>
      <c r="P65" s="118">
        <v>8.5062359999999995</v>
      </c>
      <c r="Q65" s="118">
        <v>9.8946833333333331</v>
      </c>
    </row>
    <row r="66" spans="1:17" x14ac:dyDescent="0.2">
      <c r="A66" s="117"/>
      <c r="B66" s="117" t="s">
        <v>564</v>
      </c>
      <c r="C66" s="119">
        <v>47.897669999999998</v>
      </c>
      <c r="D66" s="119">
        <v>74.990238000000005</v>
      </c>
      <c r="E66" s="119">
        <v>7.8397430000000004</v>
      </c>
      <c r="F66" s="119">
        <v>5.78918</v>
      </c>
      <c r="G66" s="119">
        <v>7.3917089999999996</v>
      </c>
      <c r="H66" s="119">
        <v>7.6115579999999996</v>
      </c>
      <c r="I66" s="119">
        <v>7.9598930000000001</v>
      </c>
      <c r="J66" s="119">
        <v>6.6298440000000003</v>
      </c>
      <c r="K66" s="119">
        <v>6.8111290000000002</v>
      </c>
      <c r="L66" s="119">
        <v>6.2631319999999997</v>
      </c>
      <c r="M66" s="119">
        <v>5.6631479999999996</v>
      </c>
      <c r="N66" s="119">
        <v>6.8798690000000002</v>
      </c>
      <c r="O66" s="119">
        <v>6.9656830000000003</v>
      </c>
      <c r="P66" s="119">
        <v>10.499385999999999</v>
      </c>
      <c r="Q66" s="119">
        <v>9.9411989999999992</v>
      </c>
    </row>
    <row r="67" spans="1:17" x14ac:dyDescent="0.2">
      <c r="A67" s="117"/>
      <c r="B67" s="117" t="s">
        <v>565</v>
      </c>
      <c r="C67" s="119">
        <v>13.307511</v>
      </c>
      <c r="D67" s="119">
        <v>6.5954959999999998</v>
      </c>
      <c r="E67" s="119">
        <v>4.8121530000000003</v>
      </c>
      <c r="F67" s="119">
        <v>4.4226599999999996</v>
      </c>
      <c r="G67" s="119">
        <v>3.6965520000000001</v>
      </c>
      <c r="H67" s="119">
        <v>6.4054359999999999</v>
      </c>
      <c r="I67" s="119">
        <v>6.1961329999999997</v>
      </c>
      <c r="J67" s="119">
        <v>5.7055300000000004</v>
      </c>
      <c r="K67" s="119">
        <v>5.100441</v>
      </c>
      <c r="L67" s="119">
        <v>5.3876730000000004</v>
      </c>
      <c r="M67" s="119">
        <v>4.697165</v>
      </c>
      <c r="N67" s="119">
        <v>5.0379399999999999</v>
      </c>
      <c r="O67" s="119">
        <v>5.5172109999999996</v>
      </c>
      <c r="P67" s="119">
        <v>6.4100970000000004</v>
      </c>
      <c r="Q67" s="119">
        <v>9.8441229999999997</v>
      </c>
    </row>
    <row r="68" spans="1:17" x14ac:dyDescent="0.2">
      <c r="A68" s="117"/>
      <c r="B68" s="117" t="s">
        <v>566</v>
      </c>
      <c r="C68" s="119">
        <v>47.897669999999998</v>
      </c>
      <c r="D68" s="119">
        <v>6.5954959999999998</v>
      </c>
      <c r="E68" s="119">
        <v>5.0812220000000003</v>
      </c>
      <c r="F68" s="119">
        <v>4.5859480000000001</v>
      </c>
      <c r="G68" s="119">
        <v>7.3917089999999996</v>
      </c>
      <c r="H68" s="119">
        <v>6.9739990000000001</v>
      </c>
      <c r="I68" s="119">
        <v>6.2997050000000003</v>
      </c>
      <c r="J68" s="119">
        <v>6.1792220000000002</v>
      </c>
      <c r="K68" s="119">
        <v>5.545401</v>
      </c>
      <c r="L68" s="119">
        <v>5.5658099999999999</v>
      </c>
      <c r="M68" s="119">
        <v>5.1008760000000004</v>
      </c>
      <c r="N68" s="119">
        <v>6.3916199999999996</v>
      </c>
      <c r="O68" s="119">
        <v>6.5501310000000004</v>
      </c>
      <c r="P68" s="119">
        <v>10.038275000000001</v>
      </c>
      <c r="Q68" s="119">
        <v>9.8987280000000002</v>
      </c>
    </row>
    <row r="69" spans="1:17" x14ac:dyDescent="0.2">
      <c r="A69" s="116"/>
      <c r="B69" s="117"/>
      <c r="C69" s="117"/>
      <c r="D69" s="117"/>
      <c r="E69" s="117"/>
      <c r="F69" s="117"/>
      <c r="G69" s="117"/>
      <c r="H69" s="117"/>
      <c r="I69" s="117"/>
      <c r="J69" s="117"/>
      <c r="K69" s="117"/>
      <c r="L69" s="117"/>
      <c r="M69" s="117"/>
      <c r="N69" s="117"/>
      <c r="O69" s="117"/>
      <c r="P69" s="117"/>
      <c r="Q69" s="117"/>
    </row>
    <row r="70" spans="1:17" x14ac:dyDescent="0.2">
      <c r="A70" s="116" t="s">
        <v>576</v>
      </c>
      <c r="B70" s="117" t="s">
        <v>563</v>
      </c>
      <c r="C70" s="120" t="s">
        <v>313</v>
      </c>
      <c r="D70" s="120" t="s">
        <v>313</v>
      </c>
      <c r="E70" s="120" t="s">
        <v>313</v>
      </c>
      <c r="F70" s="120" t="s">
        <v>313</v>
      </c>
      <c r="G70" s="120" t="s">
        <v>313</v>
      </c>
      <c r="H70" s="118">
        <v>29.350753999999998</v>
      </c>
      <c r="I70" s="118">
        <v>28.887022000000002</v>
      </c>
      <c r="J70" s="118">
        <v>26.019428000000001</v>
      </c>
      <c r="K70" s="118">
        <v>25.035399999999999</v>
      </c>
      <c r="L70" s="120" t="s">
        <v>313</v>
      </c>
      <c r="M70" s="120" t="s">
        <v>313</v>
      </c>
      <c r="N70" s="120" t="s">
        <v>313</v>
      </c>
      <c r="O70" s="120" t="s">
        <v>313</v>
      </c>
      <c r="P70" s="120" t="s">
        <v>313</v>
      </c>
      <c r="Q70" s="120" t="s">
        <v>313</v>
      </c>
    </row>
    <row r="71" spans="1:17" x14ac:dyDescent="0.2">
      <c r="A71" s="117"/>
      <c r="B71" s="117" t="s">
        <v>564</v>
      </c>
      <c r="C71" s="121" t="s">
        <v>313</v>
      </c>
      <c r="D71" s="121" t="s">
        <v>313</v>
      </c>
      <c r="E71" s="121" t="s">
        <v>313</v>
      </c>
      <c r="F71" s="121" t="s">
        <v>313</v>
      </c>
      <c r="G71" s="121" t="s">
        <v>313</v>
      </c>
      <c r="H71" s="119">
        <v>30.089068999999999</v>
      </c>
      <c r="I71" s="119">
        <v>33.804878000000002</v>
      </c>
      <c r="J71" s="119">
        <v>28.131868000000001</v>
      </c>
      <c r="K71" s="119">
        <v>28.901098999999999</v>
      </c>
      <c r="L71" s="121" t="s">
        <v>313</v>
      </c>
      <c r="M71" s="121" t="s">
        <v>313</v>
      </c>
      <c r="N71" s="121" t="s">
        <v>313</v>
      </c>
      <c r="O71" s="121" t="s">
        <v>313</v>
      </c>
      <c r="P71" s="121" t="s">
        <v>313</v>
      </c>
      <c r="Q71" s="121" t="s">
        <v>313</v>
      </c>
    </row>
    <row r="72" spans="1:17" x14ac:dyDescent="0.2">
      <c r="A72" s="117"/>
      <c r="B72" s="117" t="s">
        <v>565</v>
      </c>
      <c r="C72" s="121" t="s">
        <v>313</v>
      </c>
      <c r="D72" s="121" t="s">
        <v>313</v>
      </c>
      <c r="E72" s="121" t="s">
        <v>313</v>
      </c>
      <c r="F72" s="121" t="s">
        <v>313</v>
      </c>
      <c r="G72" s="121" t="s">
        <v>313</v>
      </c>
      <c r="H72" s="119">
        <v>27.40081</v>
      </c>
      <c r="I72" s="119">
        <v>25.735849000000002</v>
      </c>
      <c r="J72" s="119">
        <v>23.787879</v>
      </c>
      <c r="K72" s="119">
        <v>21.787234000000002</v>
      </c>
      <c r="L72" s="121" t="s">
        <v>313</v>
      </c>
      <c r="M72" s="121" t="s">
        <v>313</v>
      </c>
      <c r="N72" s="121" t="s">
        <v>313</v>
      </c>
      <c r="O72" s="121" t="s">
        <v>313</v>
      </c>
      <c r="P72" s="121" t="s">
        <v>313</v>
      </c>
      <c r="Q72" s="121" t="s">
        <v>313</v>
      </c>
    </row>
    <row r="73" spans="1:17" x14ac:dyDescent="0.2">
      <c r="A73" s="117"/>
      <c r="B73" s="117" t="s">
        <v>566</v>
      </c>
      <c r="C73" s="121" t="s">
        <v>313</v>
      </c>
      <c r="D73" s="121" t="s">
        <v>313</v>
      </c>
      <c r="E73" s="121" t="s">
        <v>313</v>
      </c>
      <c r="F73" s="121" t="s">
        <v>313</v>
      </c>
      <c r="G73" s="121" t="s">
        <v>313</v>
      </c>
      <c r="H73" s="119">
        <v>29.497976000000001</v>
      </c>
      <c r="I73" s="119">
        <v>26.166038</v>
      </c>
      <c r="J73" s="119">
        <v>26.21978</v>
      </c>
      <c r="K73" s="119">
        <v>23.687943000000001</v>
      </c>
      <c r="L73" s="121" t="s">
        <v>313</v>
      </c>
      <c r="M73" s="121" t="s">
        <v>313</v>
      </c>
      <c r="N73" s="121" t="s">
        <v>313</v>
      </c>
      <c r="O73" s="121" t="s">
        <v>313</v>
      </c>
      <c r="P73" s="121" t="s">
        <v>313</v>
      </c>
      <c r="Q73" s="121" t="s">
        <v>313</v>
      </c>
    </row>
    <row r="74" spans="1:17" x14ac:dyDescent="0.2">
      <c r="A74" s="116"/>
      <c r="B74" s="117"/>
      <c r="C74" s="117"/>
      <c r="D74" s="117"/>
      <c r="E74" s="117"/>
      <c r="F74" s="117"/>
      <c r="G74" s="117"/>
      <c r="H74" s="117"/>
      <c r="I74" s="117"/>
      <c r="J74" s="117"/>
      <c r="K74" s="117"/>
      <c r="L74" s="117"/>
      <c r="M74" s="117"/>
      <c r="N74" s="117"/>
      <c r="O74" s="117"/>
      <c r="P74" s="117"/>
      <c r="Q74" s="117"/>
    </row>
    <row r="75" spans="1:17" x14ac:dyDescent="0.2">
      <c r="A75" s="116" t="s">
        <v>577</v>
      </c>
      <c r="B75" s="117" t="s">
        <v>563</v>
      </c>
      <c r="C75" s="120" t="s">
        <v>319</v>
      </c>
      <c r="D75" s="120" t="s">
        <v>313</v>
      </c>
      <c r="E75" s="120" t="s">
        <v>319</v>
      </c>
      <c r="F75" s="120" t="s">
        <v>319</v>
      </c>
      <c r="G75" s="118">
        <v>167.655058</v>
      </c>
      <c r="H75" s="118">
        <v>168.94387524137932</v>
      </c>
      <c r="I75" s="120" t="s">
        <v>319</v>
      </c>
      <c r="J75" s="120" t="s">
        <v>319</v>
      </c>
      <c r="K75" s="120" t="s">
        <v>319</v>
      </c>
      <c r="L75" s="120" t="s">
        <v>319</v>
      </c>
      <c r="M75" s="120" t="s">
        <v>319</v>
      </c>
      <c r="N75" s="120" t="s">
        <v>319</v>
      </c>
      <c r="O75" s="120" t="s">
        <v>319</v>
      </c>
      <c r="P75" s="120" t="s">
        <v>319</v>
      </c>
      <c r="Q75" s="120" t="s">
        <v>319</v>
      </c>
    </row>
    <row r="76" spans="1:17" x14ac:dyDescent="0.2">
      <c r="A76" s="117"/>
      <c r="B76" s="117" t="s">
        <v>564</v>
      </c>
      <c r="C76" s="121" t="s">
        <v>319</v>
      </c>
      <c r="D76" s="121" t="s">
        <v>313</v>
      </c>
      <c r="E76" s="121" t="s">
        <v>319</v>
      </c>
      <c r="F76" s="121" t="s">
        <v>319</v>
      </c>
      <c r="G76" s="119">
        <v>171.27722800000001</v>
      </c>
      <c r="H76" s="119">
        <v>178.33623499999999</v>
      </c>
      <c r="I76" s="121" t="s">
        <v>319</v>
      </c>
      <c r="J76" s="121" t="s">
        <v>319</v>
      </c>
      <c r="K76" s="121" t="s">
        <v>319</v>
      </c>
      <c r="L76" s="121" t="s">
        <v>319</v>
      </c>
      <c r="M76" s="121" t="s">
        <v>319</v>
      </c>
      <c r="N76" s="121" t="s">
        <v>319</v>
      </c>
      <c r="O76" s="121" t="s">
        <v>319</v>
      </c>
      <c r="P76" s="121" t="s">
        <v>319</v>
      </c>
      <c r="Q76" s="121" t="s">
        <v>319</v>
      </c>
    </row>
    <row r="77" spans="1:17" x14ac:dyDescent="0.2">
      <c r="A77" s="117"/>
      <c r="B77" s="117" t="s">
        <v>565</v>
      </c>
      <c r="C77" s="121" t="s">
        <v>319</v>
      </c>
      <c r="D77" s="121" t="s">
        <v>313</v>
      </c>
      <c r="E77" s="121" t="s">
        <v>319</v>
      </c>
      <c r="F77" s="121" t="s">
        <v>319</v>
      </c>
      <c r="G77" s="119">
        <v>164.03288800000001</v>
      </c>
      <c r="H77" s="119">
        <v>158.78526299999999</v>
      </c>
      <c r="I77" s="121" t="s">
        <v>319</v>
      </c>
      <c r="J77" s="121" t="s">
        <v>319</v>
      </c>
      <c r="K77" s="121" t="s">
        <v>319</v>
      </c>
      <c r="L77" s="121" t="s">
        <v>319</v>
      </c>
      <c r="M77" s="121" t="s">
        <v>319</v>
      </c>
      <c r="N77" s="121" t="s">
        <v>319</v>
      </c>
      <c r="O77" s="121" t="s">
        <v>319</v>
      </c>
      <c r="P77" s="121" t="s">
        <v>319</v>
      </c>
      <c r="Q77" s="121" t="s">
        <v>319</v>
      </c>
    </row>
    <row r="78" spans="1:17" x14ac:dyDescent="0.2">
      <c r="A78" s="117"/>
      <c r="B78" s="117" t="s">
        <v>566</v>
      </c>
      <c r="C78" s="121" t="s">
        <v>319</v>
      </c>
      <c r="D78" s="121" t="s">
        <v>313</v>
      </c>
      <c r="E78" s="121" t="s">
        <v>319</v>
      </c>
      <c r="F78" s="121" t="s">
        <v>319</v>
      </c>
      <c r="G78" s="119">
        <v>171.27722800000001</v>
      </c>
      <c r="H78" s="121" t="s">
        <v>319</v>
      </c>
      <c r="I78" s="121" t="s">
        <v>319</v>
      </c>
      <c r="J78" s="121" t="s">
        <v>319</v>
      </c>
      <c r="K78" s="121" t="s">
        <v>319</v>
      </c>
      <c r="L78" s="121" t="s">
        <v>319</v>
      </c>
      <c r="M78" s="121" t="s">
        <v>319</v>
      </c>
      <c r="N78" s="121" t="s">
        <v>319</v>
      </c>
      <c r="O78" s="121" t="s">
        <v>319</v>
      </c>
      <c r="P78" s="121" t="s">
        <v>319</v>
      </c>
      <c r="Q78" s="121" t="s">
        <v>319</v>
      </c>
    </row>
    <row r="79" spans="1:17" x14ac:dyDescent="0.2">
      <c r="A79" s="116"/>
      <c r="B79" s="117"/>
      <c r="C79" s="117"/>
      <c r="D79" s="117"/>
      <c r="E79" s="117"/>
      <c r="F79" s="117"/>
      <c r="G79" s="117"/>
      <c r="H79" s="117"/>
      <c r="I79" s="117"/>
      <c r="J79" s="117"/>
      <c r="K79" s="117"/>
      <c r="L79" s="117"/>
      <c r="M79" s="117"/>
      <c r="N79" s="117"/>
      <c r="O79" s="117"/>
      <c r="P79" s="117"/>
      <c r="Q79" s="117"/>
    </row>
    <row r="80" spans="1:17" x14ac:dyDescent="0.2">
      <c r="A80" s="116" t="s">
        <v>578</v>
      </c>
      <c r="B80" s="117" t="s">
        <v>563</v>
      </c>
      <c r="C80" s="120" t="s">
        <v>319</v>
      </c>
      <c r="D80" s="120" t="s">
        <v>313</v>
      </c>
      <c r="E80" s="120" t="s">
        <v>319</v>
      </c>
      <c r="F80" s="120" t="s">
        <v>319</v>
      </c>
      <c r="G80" s="118">
        <v>178.89694249999999</v>
      </c>
      <c r="H80" s="118">
        <v>180.2468352413793</v>
      </c>
      <c r="I80" s="120" t="s">
        <v>319</v>
      </c>
      <c r="J80" s="120" t="s">
        <v>319</v>
      </c>
      <c r="K80" s="120" t="s">
        <v>319</v>
      </c>
      <c r="L80" s="120" t="s">
        <v>319</v>
      </c>
      <c r="M80" s="120" t="s">
        <v>319</v>
      </c>
      <c r="N80" s="120" t="s">
        <v>319</v>
      </c>
      <c r="O80" s="120" t="s">
        <v>319</v>
      </c>
      <c r="P80" s="120" t="s">
        <v>319</v>
      </c>
      <c r="Q80" s="120" t="s">
        <v>319</v>
      </c>
    </row>
    <row r="81" spans="1:17" x14ac:dyDescent="0.2">
      <c r="A81" s="117"/>
      <c r="B81" s="117" t="s">
        <v>564</v>
      </c>
      <c r="C81" s="121" t="s">
        <v>319</v>
      </c>
      <c r="D81" s="121" t="s">
        <v>313</v>
      </c>
      <c r="E81" s="121" t="s">
        <v>319</v>
      </c>
      <c r="F81" s="121" t="s">
        <v>319</v>
      </c>
      <c r="G81" s="119">
        <v>182.69076200000001</v>
      </c>
      <c r="H81" s="119">
        <v>190.08428499999999</v>
      </c>
      <c r="I81" s="121" t="s">
        <v>319</v>
      </c>
      <c r="J81" s="121" t="s">
        <v>319</v>
      </c>
      <c r="K81" s="121" t="s">
        <v>319</v>
      </c>
      <c r="L81" s="121" t="s">
        <v>319</v>
      </c>
      <c r="M81" s="121" t="s">
        <v>319</v>
      </c>
      <c r="N81" s="121" t="s">
        <v>319</v>
      </c>
      <c r="O81" s="121" t="s">
        <v>319</v>
      </c>
      <c r="P81" s="121" t="s">
        <v>319</v>
      </c>
      <c r="Q81" s="121" t="s">
        <v>319</v>
      </c>
    </row>
    <row r="82" spans="1:17" x14ac:dyDescent="0.2">
      <c r="A82" s="117"/>
      <c r="B82" s="117" t="s">
        <v>565</v>
      </c>
      <c r="C82" s="121" t="s">
        <v>319</v>
      </c>
      <c r="D82" s="121" t="s">
        <v>313</v>
      </c>
      <c r="E82" s="121" t="s">
        <v>319</v>
      </c>
      <c r="F82" s="121" t="s">
        <v>319</v>
      </c>
      <c r="G82" s="119">
        <v>175.10312300000001</v>
      </c>
      <c r="H82" s="119">
        <v>169.606821</v>
      </c>
      <c r="I82" s="121" t="s">
        <v>319</v>
      </c>
      <c r="J82" s="121" t="s">
        <v>319</v>
      </c>
      <c r="K82" s="121" t="s">
        <v>319</v>
      </c>
      <c r="L82" s="121" t="s">
        <v>319</v>
      </c>
      <c r="M82" s="121" t="s">
        <v>319</v>
      </c>
      <c r="N82" s="121" t="s">
        <v>319</v>
      </c>
      <c r="O82" s="121" t="s">
        <v>319</v>
      </c>
      <c r="P82" s="121" t="s">
        <v>319</v>
      </c>
      <c r="Q82" s="121" t="s">
        <v>319</v>
      </c>
    </row>
    <row r="83" spans="1:17" x14ac:dyDescent="0.2">
      <c r="A83" s="117"/>
      <c r="B83" s="117" t="s">
        <v>566</v>
      </c>
      <c r="C83" s="121" t="s">
        <v>319</v>
      </c>
      <c r="D83" s="121" t="s">
        <v>313</v>
      </c>
      <c r="E83" s="121" t="s">
        <v>319</v>
      </c>
      <c r="F83" s="121" t="s">
        <v>319</v>
      </c>
      <c r="G83" s="119">
        <v>182.69076200000001</v>
      </c>
      <c r="H83" s="121" t="s">
        <v>319</v>
      </c>
      <c r="I83" s="121" t="s">
        <v>319</v>
      </c>
      <c r="J83" s="121" t="s">
        <v>319</v>
      </c>
      <c r="K83" s="121" t="s">
        <v>319</v>
      </c>
      <c r="L83" s="121" t="s">
        <v>319</v>
      </c>
      <c r="M83" s="121" t="s">
        <v>319</v>
      </c>
      <c r="N83" s="121" t="s">
        <v>319</v>
      </c>
      <c r="O83" s="121" t="s">
        <v>319</v>
      </c>
      <c r="P83" s="121" t="s">
        <v>319</v>
      </c>
      <c r="Q83" s="121" t="s">
        <v>319</v>
      </c>
    </row>
    <row r="84" spans="1:17" x14ac:dyDescent="0.2">
      <c r="A84" s="116"/>
      <c r="B84" s="117"/>
      <c r="C84" s="117"/>
      <c r="D84" s="117"/>
      <c r="E84" s="117"/>
      <c r="F84" s="117"/>
      <c r="G84" s="117"/>
      <c r="H84" s="117"/>
      <c r="I84" s="117"/>
      <c r="J84" s="117"/>
      <c r="K84" s="117"/>
      <c r="L84" s="117"/>
      <c r="M84" s="117"/>
      <c r="N84" s="117"/>
      <c r="O84" s="117"/>
      <c r="P84" s="117"/>
      <c r="Q84" s="117"/>
    </row>
    <row r="85" spans="1:17" x14ac:dyDescent="0.2">
      <c r="A85" s="122" t="s">
        <v>579</v>
      </c>
    </row>
    <row r="87" spans="1:17" x14ac:dyDescent="0.2">
      <c r="A87" s="122" t="s">
        <v>580</v>
      </c>
    </row>
    <row r="91" spans="1:17" ht="25.05" customHeight="1" x14ac:dyDescent="0.2">
      <c r="A91" s="123" t="s">
        <v>581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3399FF"/>
    <outlinePr summaryBelow="0" summaryRight="0"/>
    <pageSetUpPr autoPageBreaks="0"/>
  </sheetPr>
  <dimension ref="A5:IU41"/>
  <sheetViews>
    <sheetView topLeftCell="F10" workbookViewId="0">
      <selection activeCell="H18" sqref="H18"/>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73" width="13" style="79" customWidth="1"/>
    <col min="274" max="512" width="9" style="79"/>
    <col min="513" max="513" width="40.09765625" style="79" customWidth="1"/>
    <col min="514" max="529" width="13" style="79" customWidth="1"/>
    <col min="530" max="768" width="9" style="79"/>
    <col min="769" max="769" width="40.09765625" style="79" customWidth="1"/>
    <col min="770" max="785" width="13" style="79" customWidth="1"/>
    <col min="786" max="1024" width="9" style="79"/>
    <col min="1025" max="1025" width="40.09765625" style="79" customWidth="1"/>
    <col min="1026" max="1041" width="13" style="79" customWidth="1"/>
    <col min="1042" max="1280" width="9" style="79"/>
    <col min="1281" max="1281" width="40.09765625" style="79" customWidth="1"/>
    <col min="1282" max="1297" width="13" style="79" customWidth="1"/>
    <col min="1298" max="1536" width="9" style="79"/>
    <col min="1537" max="1537" width="40.09765625" style="79" customWidth="1"/>
    <col min="1538" max="1553" width="13" style="79" customWidth="1"/>
    <col min="1554" max="1792" width="9" style="79"/>
    <col min="1793" max="1793" width="40.09765625" style="79" customWidth="1"/>
    <col min="1794" max="1809" width="13" style="79" customWidth="1"/>
    <col min="1810" max="2048" width="9" style="79"/>
    <col min="2049" max="2049" width="40.09765625" style="79" customWidth="1"/>
    <col min="2050" max="2065" width="13" style="79" customWidth="1"/>
    <col min="2066" max="2304" width="9" style="79"/>
    <col min="2305" max="2305" width="40.09765625" style="79" customWidth="1"/>
    <col min="2306" max="2321" width="13" style="79" customWidth="1"/>
    <col min="2322" max="2560" width="9" style="79"/>
    <col min="2561" max="2561" width="40.09765625" style="79" customWidth="1"/>
    <col min="2562" max="2577" width="13" style="79" customWidth="1"/>
    <col min="2578" max="2816" width="9" style="79"/>
    <col min="2817" max="2817" width="40.09765625" style="79" customWidth="1"/>
    <col min="2818" max="2833" width="13" style="79" customWidth="1"/>
    <col min="2834" max="3072" width="9" style="79"/>
    <col min="3073" max="3073" width="40.09765625" style="79" customWidth="1"/>
    <col min="3074" max="3089" width="13" style="79" customWidth="1"/>
    <col min="3090" max="3328" width="9" style="79"/>
    <col min="3329" max="3329" width="40.09765625" style="79" customWidth="1"/>
    <col min="3330" max="3345" width="13" style="79" customWidth="1"/>
    <col min="3346" max="3584" width="9" style="79"/>
    <col min="3585" max="3585" width="40.09765625" style="79" customWidth="1"/>
    <col min="3586" max="3601" width="13" style="79" customWidth="1"/>
    <col min="3602" max="3840" width="9" style="79"/>
    <col min="3841" max="3841" width="40.09765625" style="79" customWidth="1"/>
    <col min="3842" max="3857" width="13" style="79" customWidth="1"/>
    <col min="3858" max="4096" width="9" style="79"/>
    <col min="4097" max="4097" width="40.09765625" style="79" customWidth="1"/>
    <col min="4098" max="4113" width="13" style="79" customWidth="1"/>
    <col min="4114" max="4352" width="9" style="79"/>
    <col min="4353" max="4353" width="40.09765625" style="79" customWidth="1"/>
    <col min="4354" max="4369" width="13" style="79" customWidth="1"/>
    <col min="4370" max="4608" width="9" style="79"/>
    <col min="4609" max="4609" width="40.09765625" style="79" customWidth="1"/>
    <col min="4610" max="4625" width="13" style="79" customWidth="1"/>
    <col min="4626" max="4864" width="9" style="79"/>
    <col min="4865" max="4865" width="40.09765625" style="79" customWidth="1"/>
    <col min="4866" max="4881" width="13" style="79" customWidth="1"/>
    <col min="4882" max="5120" width="9" style="79"/>
    <col min="5121" max="5121" width="40.09765625" style="79" customWidth="1"/>
    <col min="5122" max="5137" width="13" style="79" customWidth="1"/>
    <col min="5138" max="5376" width="9" style="79"/>
    <col min="5377" max="5377" width="40.09765625" style="79" customWidth="1"/>
    <col min="5378" max="5393" width="13" style="79" customWidth="1"/>
    <col min="5394" max="5632" width="9" style="79"/>
    <col min="5633" max="5633" width="40.09765625" style="79" customWidth="1"/>
    <col min="5634" max="5649" width="13" style="79" customWidth="1"/>
    <col min="5650" max="5888" width="9" style="79"/>
    <col min="5889" max="5889" width="40.09765625" style="79" customWidth="1"/>
    <col min="5890" max="5905" width="13" style="79" customWidth="1"/>
    <col min="5906" max="6144" width="9" style="79"/>
    <col min="6145" max="6145" width="40.09765625" style="79" customWidth="1"/>
    <col min="6146" max="6161" width="13" style="79" customWidth="1"/>
    <col min="6162" max="6400" width="9" style="79"/>
    <col min="6401" max="6401" width="40.09765625" style="79" customWidth="1"/>
    <col min="6402" max="6417" width="13" style="79" customWidth="1"/>
    <col min="6418" max="6656" width="9" style="79"/>
    <col min="6657" max="6657" width="40.09765625" style="79" customWidth="1"/>
    <col min="6658" max="6673" width="13" style="79" customWidth="1"/>
    <col min="6674" max="6912" width="9" style="79"/>
    <col min="6913" max="6913" width="40.09765625" style="79" customWidth="1"/>
    <col min="6914" max="6929" width="13" style="79" customWidth="1"/>
    <col min="6930" max="7168" width="9" style="79"/>
    <col min="7169" max="7169" width="40.09765625" style="79" customWidth="1"/>
    <col min="7170" max="7185" width="13" style="79" customWidth="1"/>
    <col min="7186" max="7424" width="9" style="79"/>
    <col min="7425" max="7425" width="40.09765625" style="79" customWidth="1"/>
    <col min="7426" max="7441" width="13" style="79" customWidth="1"/>
    <col min="7442" max="7680" width="9" style="79"/>
    <col min="7681" max="7681" width="40.09765625" style="79" customWidth="1"/>
    <col min="7682" max="7697" width="13" style="79" customWidth="1"/>
    <col min="7698" max="7936" width="9" style="79"/>
    <col min="7937" max="7937" width="40.09765625" style="79" customWidth="1"/>
    <col min="7938" max="7953" width="13" style="79" customWidth="1"/>
    <col min="7954" max="8192" width="9" style="79"/>
    <col min="8193" max="8193" width="40.09765625" style="79" customWidth="1"/>
    <col min="8194" max="8209" width="13" style="79" customWidth="1"/>
    <col min="8210" max="8448" width="9" style="79"/>
    <col min="8449" max="8449" width="40.09765625" style="79" customWidth="1"/>
    <col min="8450" max="8465" width="13" style="79" customWidth="1"/>
    <col min="8466" max="8704" width="9" style="79"/>
    <col min="8705" max="8705" width="40.09765625" style="79" customWidth="1"/>
    <col min="8706" max="8721" width="13" style="79" customWidth="1"/>
    <col min="8722" max="8960" width="9" style="79"/>
    <col min="8961" max="8961" width="40.09765625" style="79" customWidth="1"/>
    <col min="8962" max="8977" width="13" style="79" customWidth="1"/>
    <col min="8978" max="9216" width="9" style="79"/>
    <col min="9217" max="9217" width="40.09765625" style="79" customWidth="1"/>
    <col min="9218" max="9233" width="13" style="79" customWidth="1"/>
    <col min="9234" max="9472" width="9" style="79"/>
    <col min="9473" max="9473" width="40.09765625" style="79" customWidth="1"/>
    <col min="9474" max="9489" width="13" style="79" customWidth="1"/>
    <col min="9490" max="9728" width="9" style="79"/>
    <col min="9729" max="9729" width="40.09765625" style="79" customWidth="1"/>
    <col min="9730" max="9745" width="13" style="79" customWidth="1"/>
    <col min="9746" max="9984" width="9" style="79"/>
    <col min="9985" max="9985" width="40.09765625" style="79" customWidth="1"/>
    <col min="9986" max="10001" width="13" style="79" customWidth="1"/>
    <col min="10002" max="10240" width="9" style="79"/>
    <col min="10241" max="10241" width="40.09765625" style="79" customWidth="1"/>
    <col min="10242" max="10257" width="13" style="79" customWidth="1"/>
    <col min="10258" max="10496" width="9" style="79"/>
    <col min="10497" max="10497" width="40.09765625" style="79" customWidth="1"/>
    <col min="10498" max="10513" width="13" style="79" customWidth="1"/>
    <col min="10514" max="10752" width="9" style="79"/>
    <col min="10753" max="10753" width="40.09765625" style="79" customWidth="1"/>
    <col min="10754" max="10769" width="13" style="79" customWidth="1"/>
    <col min="10770" max="11008" width="9" style="79"/>
    <col min="11009" max="11009" width="40.09765625" style="79" customWidth="1"/>
    <col min="11010" max="11025" width="13" style="79" customWidth="1"/>
    <col min="11026" max="11264" width="9" style="79"/>
    <col min="11265" max="11265" width="40.09765625" style="79" customWidth="1"/>
    <col min="11266" max="11281" width="13" style="79" customWidth="1"/>
    <col min="11282" max="11520" width="9" style="79"/>
    <col min="11521" max="11521" width="40.09765625" style="79" customWidth="1"/>
    <col min="11522" max="11537" width="13" style="79" customWidth="1"/>
    <col min="11538" max="11776" width="9" style="79"/>
    <col min="11777" max="11777" width="40.09765625" style="79" customWidth="1"/>
    <col min="11778" max="11793" width="13" style="79" customWidth="1"/>
    <col min="11794" max="12032" width="9" style="79"/>
    <col min="12033" max="12033" width="40.09765625" style="79" customWidth="1"/>
    <col min="12034" max="12049" width="13" style="79" customWidth="1"/>
    <col min="12050" max="12288" width="9" style="79"/>
    <col min="12289" max="12289" width="40.09765625" style="79" customWidth="1"/>
    <col min="12290" max="12305" width="13" style="79" customWidth="1"/>
    <col min="12306" max="12544" width="9" style="79"/>
    <col min="12545" max="12545" width="40.09765625" style="79" customWidth="1"/>
    <col min="12546" max="12561" width="13" style="79" customWidth="1"/>
    <col min="12562" max="12800" width="9" style="79"/>
    <col min="12801" max="12801" width="40.09765625" style="79" customWidth="1"/>
    <col min="12802" max="12817" width="13" style="79" customWidth="1"/>
    <col min="12818" max="13056" width="9" style="79"/>
    <col min="13057" max="13057" width="40.09765625" style="79" customWidth="1"/>
    <col min="13058" max="13073" width="13" style="79" customWidth="1"/>
    <col min="13074" max="13312" width="9" style="79"/>
    <col min="13313" max="13313" width="40.09765625" style="79" customWidth="1"/>
    <col min="13314" max="13329" width="13" style="79" customWidth="1"/>
    <col min="13330" max="13568" width="9" style="79"/>
    <col min="13569" max="13569" width="40.09765625" style="79" customWidth="1"/>
    <col min="13570" max="13585" width="13" style="79" customWidth="1"/>
    <col min="13586" max="13824" width="9" style="79"/>
    <col min="13825" max="13825" width="40.09765625" style="79" customWidth="1"/>
    <col min="13826" max="13841" width="13" style="79" customWidth="1"/>
    <col min="13842" max="14080" width="9" style="79"/>
    <col min="14081" max="14081" width="40.09765625" style="79" customWidth="1"/>
    <col min="14082" max="14097" width="13" style="79" customWidth="1"/>
    <col min="14098" max="14336" width="9" style="79"/>
    <col min="14337" max="14337" width="40.09765625" style="79" customWidth="1"/>
    <col min="14338" max="14353" width="13" style="79" customWidth="1"/>
    <col min="14354" max="14592" width="9" style="79"/>
    <col min="14593" max="14593" width="40.09765625" style="79" customWidth="1"/>
    <col min="14594" max="14609" width="13" style="79" customWidth="1"/>
    <col min="14610" max="14848" width="9" style="79"/>
    <col min="14849" max="14849" width="40.09765625" style="79" customWidth="1"/>
    <col min="14850" max="14865" width="13" style="79" customWidth="1"/>
    <col min="14866" max="15104" width="9" style="79"/>
    <col min="15105" max="15105" width="40.09765625" style="79" customWidth="1"/>
    <col min="15106" max="15121" width="13" style="79" customWidth="1"/>
    <col min="15122" max="15360" width="9" style="79"/>
    <col min="15361" max="15361" width="40.09765625" style="79" customWidth="1"/>
    <col min="15362" max="15377" width="13" style="79" customWidth="1"/>
    <col min="15378" max="15616" width="9" style="79"/>
    <col min="15617" max="15617" width="40.09765625" style="79" customWidth="1"/>
    <col min="15618" max="15633" width="13" style="79" customWidth="1"/>
    <col min="15634" max="15872" width="9" style="79"/>
    <col min="15873" max="15873" width="40.09765625" style="79" customWidth="1"/>
    <col min="15874" max="15889" width="13" style="79" customWidth="1"/>
    <col min="15890" max="16128" width="9" style="79"/>
    <col min="16129" max="16129" width="40.09765625" style="79" customWidth="1"/>
    <col min="16130" max="16145" width="13" style="79" customWidth="1"/>
    <col min="16146" max="16384" width="9" style="79"/>
  </cols>
  <sheetData>
    <row r="5" spans="1:255" ht="16.2" x14ac:dyDescent="0.25">
      <c r="A5" s="78" t="s">
        <v>582</v>
      </c>
    </row>
    <row r="7" spans="1:255" ht="20.399999999999999" x14ac:dyDescent="0.2">
      <c r="A7" s="80" t="s">
        <v>284</v>
      </c>
      <c r="B7" s="81" t="s">
        <v>558</v>
      </c>
      <c r="C7" s="79" t="s">
        <v>559</v>
      </c>
      <c r="D7" s="82" t="s">
        <v>287</v>
      </c>
      <c r="E7" s="81" t="s">
        <v>290</v>
      </c>
      <c r="F7" s="79" t="s">
        <v>291</v>
      </c>
    </row>
    <row r="8" spans="1:255" x14ac:dyDescent="0.2">
      <c r="A8" s="82"/>
      <c r="B8" s="81" t="s">
        <v>285</v>
      </c>
      <c r="C8" s="79" t="s">
        <v>286</v>
      </c>
      <c r="D8" s="82" t="s">
        <v>287</v>
      </c>
      <c r="E8" s="81" t="s">
        <v>288</v>
      </c>
      <c r="F8" s="79" t="s">
        <v>289</v>
      </c>
    </row>
    <row r="9" spans="1:255" x14ac:dyDescent="0.2">
      <c r="A9" s="82"/>
      <c r="B9" s="81" t="s">
        <v>292</v>
      </c>
      <c r="C9" s="79" t="s">
        <v>293</v>
      </c>
      <c r="D9" s="82" t="s">
        <v>287</v>
      </c>
      <c r="E9" s="81" t="s">
        <v>294</v>
      </c>
      <c r="F9" s="83" t="s">
        <v>295</v>
      </c>
    </row>
    <row r="10" spans="1:255" x14ac:dyDescent="0.2">
      <c r="A10" s="82"/>
      <c r="B10" s="81" t="s">
        <v>296</v>
      </c>
      <c r="C10" s="79" t="s">
        <v>297</v>
      </c>
      <c r="D10" s="82" t="s">
        <v>287</v>
      </c>
      <c r="E10" s="105"/>
      <c r="F10" s="105"/>
    </row>
    <row r="13" spans="1:255" x14ac:dyDescent="0.2">
      <c r="A13" s="84" t="s">
        <v>583</v>
      </c>
      <c r="B13" s="84"/>
      <c r="C13" s="84"/>
      <c r="D13" s="84"/>
      <c r="E13" s="84"/>
      <c r="F13" s="84"/>
      <c r="G13" s="84"/>
      <c r="H13" s="84"/>
      <c r="I13" s="84"/>
      <c r="J13" s="84"/>
      <c r="K13" s="84"/>
      <c r="L13" s="84"/>
      <c r="M13" s="84"/>
      <c r="N13" s="84"/>
      <c r="O13" s="84"/>
      <c r="P13" s="84"/>
      <c r="Q13" s="84"/>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row>
    <row r="14" spans="1:255" ht="20.399999999999999" x14ac:dyDescent="0.2">
      <c r="A14" s="249" t="s">
        <v>456</v>
      </c>
      <c r="B14" s="253">
        <v>41633</v>
      </c>
      <c r="C14" s="253">
        <v>41906</v>
      </c>
      <c r="D14" s="253">
        <v>42004</v>
      </c>
      <c r="E14" s="253">
        <v>42095</v>
      </c>
      <c r="F14" s="253">
        <v>42186</v>
      </c>
      <c r="G14" s="253">
        <v>42277</v>
      </c>
      <c r="H14" s="253">
        <v>42368</v>
      </c>
      <c r="I14" s="253">
        <v>42459</v>
      </c>
      <c r="J14" s="253">
        <v>42550</v>
      </c>
      <c r="K14" s="253">
        <v>42641</v>
      </c>
      <c r="L14" s="253">
        <v>42732</v>
      </c>
      <c r="M14" s="253">
        <v>42823</v>
      </c>
      <c r="N14" s="253">
        <v>42914</v>
      </c>
      <c r="O14" s="253">
        <v>43005</v>
      </c>
      <c r="P14" s="253">
        <v>43096</v>
      </c>
      <c r="Q14" s="253">
        <v>43187</v>
      </c>
    </row>
    <row r="15" spans="1:255" x14ac:dyDescent="0.2">
      <c r="A15" s="249" t="s">
        <v>584</v>
      </c>
      <c r="B15" s="250"/>
      <c r="C15" s="250"/>
      <c r="D15" s="253">
        <v>42090</v>
      </c>
      <c r="E15" s="253">
        <v>42139</v>
      </c>
      <c r="F15" s="253">
        <v>42226</v>
      </c>
      <c r="G15" s="253">
        <v>42314</v>
      </c>
      <c r="H15" s="253">
        <v>42459</v>
      </c>
      <c r="I15" s="253">
        <v>42506</v>
      </c>
      <c r="J15" s="253">
        <v>42593</v>
      </c>
      <c r="K15" s="253">
        <v>42684</v>
      </c>
      <c r="L15" s="253">
        <v>42807</v>
      </c>
      <c r="M15" s="253">
        <v>42860</v>
      </c>
      <c r="N15" s="253">
        <v>42951</v>
      </c>
      <c r="O15" s="253">
        <v>43041</v>
      </c>
      <c r="P15" s="253">
        <v>43157</v>
      </c>
      <c r="Q15" s="253">
        <v>43227</v>
      </c>
    </row>
    <row r="16" spans="1:255" x14ac:dyDescent="0.2">
      <c r="A16" s="251" t="s">
        <v>308</v>
      </c>
      <c r="B16" s="252" t="s">
        <v>309</v>
      </c>
      <c r="C16" s="252" t="s">
        <v>309</v>
      </c>
      <c r="D16" s="252" t="s">
        <v>309</v>
      </c>
      <c r="E16" s="252" t="s">
        <v>309</v>
      </c>
      <c r="F16" s="252" t="s">
        <v>309</v>
      </c>
      <c r="G16" s="252" t="s">
        <v>309</v>
      </c>
      <c r="H16" s="252" t="s">
        <v>309</v>
      </c>
      <c r="I16" s="252" t="s">
        <v>309</v>
      </c>
      <c r="J16" s="252" t="s">
        <v>309</v>
      </c>
      <c r="K16" s="252" t="s">
        <v>309</v>
      </c>
      <c r="L16" s="252" t="s">
        <v>309</v>
      </c>
      <c r="M16" s="252" t="s">
        <v>309</v>
      </c>
      <c r="N16" s="252" t="s">
        <v>309</v>
      </c>
      <c r="O16" s="252" t="s">
        <v>309</v>
      </c>
      <c r="P16" s="252" t="s">
        <v>309</v>
      </c>
      <c r="Q16" s="252" t="s">
        <v>309</v>
      </c>
    </row>
    <row r="17" spans="1:17" x14ac:dyDescent="0.2">
      <c r="A17" s="90" t="s">
        <v>585</v>
      </c>
      <c r="B17" s="82"/>
      <c r="C17" s="82"/>
      <c r="D17" s="82"/>
      <c r="E17" s="82"/>
      <c r="F17" s="82"/>
      <c r="G17" s="82"/>
      <c r="H17" s="82"/>
      <c r="I17" s="82"/>
      <c r="J17" s="82"/>
      <c r="K17" s="82"/>
      <c r="L17" s="82"/>
      <c r="M17" s="82"/>
      <c r="N17" s="82"/>
      <c r="O17" s="82"/>
      <c r="P17" s="82"/>
      <c r="Q17" s="82"/>
    </row>
    <row r="18" spans="1:17" x14ac:dyDescent="0.2">
      <c r="A18" s="82" t="s">
        <v>331</v>
      </c>
      <c r="B18" s="108" t="s">
        <v>313</v>
      </c>
      <c r="C18" s="108" t="s">
        <v>313</v>
      </c>
      <c r="D18" s="100">
        <v>49</v>
      </c>
      <c r="E18" s="100">
        <v>69.39</v>
      </c>
      <c r="F18" s="100">
        <v>70.64</v>
      </c>
      <c r="G18" s="100">
        <v>49.99</v>
      </c>
      <c r="H18" s="100">
        <v>35.770000000000003</v>
      </c>
      <c r="I18" s="100">
        <v>35.75</v>
      </c>
      <c r="J18" s="100">
        <v>38.340000000000003</v>
      </c>
      <c r="K18" s="100">
        <v>36.81</v>
      </c>
      <c r="L18" s="100">
        <v>31.15</v>
      </c>
      <c r="M18" s="100">
        <v>36.17</v>
      </c>
      <c r="N18" s="100">
        <v>31.35</v>
      </c>
      <c r="O18" s="100">
        <v>35.9</v>
      </c>
      <c r="P18" s="100">
        <v>39</v>
      </c>
      <c r="Q18" s="100">
        <v>57.1</v>
      </c>
    </row>
    <row r="19" spans="1:17" x14ac:dyDescent="0.2">
      <c r="A19" s="82" t="s">
        <v>332</v>
      </c>
      <c r="B19" s="98" t="s">
        <v>313</v>
      </c>
      <c r="C19" s="98" t="s">
        <v>313</v>
      </c>
      <c r="D19" s="98">
        <v>12058.147000000001</v>
      </c>
      <c r="E19" s="98">
        <v>12058.147000000001</v>
      </c>
      <c r="F19" s="98">
        <v>12058.147000000001</v>
      </c>
      <c r="G19" s="98">
        <v>15213.42</v>
      </c>
      <c r="H19" s="98">
        <v>20982.881000000001</v>
      </c>
      <c r="I19" s="98">
        <v>22313.896000000001</v>
      </c>
      <c r="J19" s="98">
        <v>23953.851999999999</v>
      </c>
      <c r="K19" s="98">
        <v>24921.901999999998</v>
      </c>
      <c r="L19" s="98">
        <v>25470.089</v>
      </c>
      <c r="M19" s="98">
        <v>25757.063999999998</v>
      </c>
      <c r="N19" s="98">
        <v>25964.866000000002</v>
      </c>
      <c r="O19" s="98">
        <v>26195.741000000002</v>
      </c>
      <c r="P19" s="98">
        <v>27078.149000000001</v>
      </c>
      <c r="Q19" s="98">
        <v>27647.588</v>
      </c>
    </row>
    <row r="20" spans="1:17" x14ac:dyDescent="0.2">
      <c r="A20" s="82"/>
      <c r="B20" s="82"/>
      <c r="C20" s="82"/>
      <c r="D20" s="82"/>
      <c r="E20" s="82"/>
      <c r="F20" s="82"/>
      <c r="G20" s="82"/>
      <c r="H20" s="82"/>
      <c r="I20" s="82"/>
      <c r="J20" s="82"/>
      <c r="K20" s="82"/>
      <c r="L20" s="82"/>
      <c r="M20" s="82"/>
      <c r="N20" s="82"/>
      <c r="O20" s="82"/>
      <c r="P20" s="82"/>
      <c r="Q20" s="82"/>
    </row>
    <row r="21" spans="1:17" x14ac:dyDescent="0.2">
      <c r="A21" s="90" t="s">
        <v>333</v>
      </c>
      <c r="B21" s="91" t="s">
        <v>313</v>
      </c>
      <c r="C21" s="91" t="s">
        <v>313</v>
      </c>
      <c r="D21" s="91">
        <v>590849.20299999998</v>
      </c>
      <c r="E21" s="91">
        <v>836714.82</v>
      </c>
      <c r="F21" s="91">
        <v>851787.50399999996</v>
      </c>
      <c r="G21" s="91">
        <v>760518.86499999999</v>
      </c>
      <c r="H21" s="91">
        <v>750557.65300000005</v>
      </c>
      <c r="I21" s="91">
        <v>797721.78200000001</v>
      </c>
      <c r="J21" s="91">
        <v>918390.68500000006</v>
      </c>
      <c r="K21" s="91">
        <v>917375.21200000006</v>
      </c>
      <c r="L21" s="91">
        <v>793393.272</v>
      </c>
      <c r="M21" s="91">
        <v>931633.00399999996</v>
      </c>
      <c r="N21" s="91">
        <v>813998.549</v>
      </c>
      <c r="O21" s="91">
        <v>940427.10100000002</v>
      </c>
      <c r="P21" s="91">
        <v>1056047.811</v>
      </c>
      <c r="Q21" s="91">
        <v>1578677.274</v>
      </c>
    </row>
    <row r="22" spans="1:17" x14ac:dyDescent="0.2">
      <c r="A22" s="82" t="s">
        <v>334</v>
      </c>
      <c r="B22" s="98">
        <v>13076</v>
      </c>
      <c r="C22" s="98">
        <v>6107</v>
      </c>
      <c r="D22" s="98">
        <v>2677</v>
      </c>
      <c r="E22" s="98">
        <v>60834</v>
      </c>
      <c r="F22" s="98">
        <v>64919</v>
      </c>
      <c r="G22" s="98">
        <v>69821</v>
      </c>
      <c r="H22" s="98">
        <v>70849</v>
      </c>
      <c r="I22" s="98">
        <v>65855</v>
      </c>
      <c r="J22" s="98">
        <v>68371</v>
      </c>
      <c r="K22" s="98">
        <v>73575</v>
      </c>
      <c r="L22" s="98">
        <v>73647</v>
      </c>
      <c r="M22" s="98">
        <v>73551</v>
      </c>
      <c r="N22" s="98">
        <v>85542</v>
      </c>
      <c r="O22" s="98">
        <v>90186</v>
      </c>
      <c r="P22" s="98">
        <v>84543</v>
      </c>
      <c r="Q22" s="98">
        <v>87752</v>
      </c>
    </row>
    <row r="23" spans="1:17" x14ac:dyDescent="0.2">
      <c r="A23" s="82" t="s">
        <v>335</v>
      </c>
      <c r="B23" s="98">
        <v>313</v>
      </c>
      <c r="C23" s="98">
        <v>5313</v>
      </c>
      <c r="D23" s="98">
        <v>32313</v>
      </c>
      <c r="E23" s="98">
        <v>313</v>
      </c>
      <c r="F23" s="98">
        <v>313</v>
      </c>
      <c r="G23" s="98">
        <v>313</v>
      </c>
      <c r="H23" s="98">
        <v>313</v>
      </c>
      <c r="I23" s="98">
        <v>313</v>
      </c>
      <c r="J23" s="98">
        <v>0</v>
      </c>
      <c r="K23" s="98">
        <v>0</v>
      </c>
      <c r="L23" s="98">
        <v>2007</v>
      </c>
      <c r="M23" s="98">
        <v>8016</v>
      </c>
      <c r="N23" s="98">
        <v>11166</v>
      </c>
      <c r="O23" s="98">
        <v>13162</v>
      </c>
      <c r="P23" s="98">
        <v>14518</v>
      </c>
      <c r="Q23" s="98">
        <v>17030</v>
      </c>
    </row>
    <row r="24" spans="1:17" x14ac:dyDescent="0.2">
      <c r="A24" s="82" t="s">
        <v>336</v>
      </c>
      <c r="B24" s="98" t="s">
        <v>313</v>
      </c>
      <c r="C24" s="98" t="s">
        <v>313</v>
      </c>
      <c r="D24" s="98" t="s">
        <v>313</v>
      </c>
      <c r="E24" s="98" t="s">
        <v>313</v>
      </c>
      <c r="F24" s="98" t="s">
        <v>313</v>
      </c>
      <c r="G24" s="98" t="s">
        <v>313</v>
      </c>
      <c r="H24" s="98" t="s">
        <v>313</v>
      </c>
      <c r="I24" s="98" t="s">
        <v>313</v>
      </c>
      <c r="J24" s="98" t="s">
        <v>313</v>
      </c>
      <c r="K24" s="98" t="s">
        <v>313</v>
      </c>
      <c r="L24" s="98" t="s">
        <v>313</v>
      </c>
      <c r="M24" s="98" t="s">
        <v>313</v>
      </c>
      <c r="N24" s="98" t="s">
        <v>313</v>
      </c>
      <c r="O24" s="98" t="s">
        <v>313</v>
      </c>
      <c r="P24" s="98" t="s">
        <v>313</v>
      </c>
      <c r="Q24" s="98" t="s">
        <v>313</v>
      </c>
    </row>
    <row r="25" spans="1:17" x14ac:dyDescent="0.2">
      <c r="A25" s="82" t="s">
        <v>337</v>
      </c>
      <c r="B25" s="98" t="s">
        <v>313</v>
      </c>
      <c r="C25" s="98" t="s">
        <v>313</v>
      </c>
      <c r="D25" s="98" t="s">
        <v>313</v>
      </c>
      <c r="E25" s="98">
        <v>-1157</v>
      </c>
      <c r="F25" s="98">
        <v>2870</v>
      </c>
      <c r="G25" s="98">
        <v>6758</v>
      </c>
      <c r="H25" s="98">
        <v>56404</v>
      </c>
      <c r="I25" s="98">
        <v>54063</v>
      </c>
      <c r="J25" s="98">
        <v>50155</v>
      </c>
      <c r="K25" s="98">
        <v>48952</v>
      </c>
      <c r="L25" s="98">
        <v>49165</v>
      </c>
      <c r="M25" s="98">
        <v>50527</v>
      </c>
      <c r="N25" s="98">
        <v>52011</v>
      </c>
      <c r="O25" s="98">
        <v>54959</v>
      </c>
      <c r="P25" s="98">
        <v>54987</v>
      </c>
      <c r="Q25" s="98">
        <v>50991</v>
      </c>
    </row>
    <row r="26" spans="1:17" x14ac:dyDescent="0.2">
      <c r="A26" s="90" t="s">
        <v>338</v>
      </c>
      <c r="B26" s="106" t="s">
        <v>313</v>
      </c>
      <c r="C26" s="106" t="s">
        <v>313</v>
      </c>
      <c r="D26" s="106">
        <v>620485.20299999998</v>
      </c>
      <c r="E26" s="106">
        <v>775036.82</v>
      </c>
      <c r="F26" s="106">
        <v>790051.50399999996</v>
      </c>
      <c r="G26" s="106">
        <v>697768.86499999999</v>
      </c>
      <c r="H26" s="106">
        <v>736425.65300000005</v>
      </c>
      <c r="I26" s="106">
        <v>786242.78200000001</v>
      </c>
      <c r="J26" s="106">
        <v>900174.68500000006</v>
      </c>
      <c r="K26" s="106">
        <v>892752.21200000006</v>
      </c>
      <c r="L26" s="106">
        <v>770918.272</v>
      </c>
      <c r="M26" s="106">
        <v>916625.00399999996</v>
      </c>
      <c r="N26" s="106">
        <v>791633.549</v>
      </c>
      <c r="O26" s="106">
        <v>918362.10100000002</v>
      </c>
      <c r="P26" s="106">
        <v>1041009.811</v>
      </c>
      <c r="Q26" s="106">
        <v>1558946.274</v>
      </c>
    </row>
    <row r="27" spans="1:17" x14ac:dyDescent="0.2">
      <c r="A27" s="82"/>
      <c r="B27" s="82"/>
      <c r="C27" s="82"/>
      <c r="D27" s="82"/>
      <c r="E27" s="82"/>
      <c r="F27" s="82"/>
      <c r="G27" s="82"/>
      <c r="H27" s="82"/>
      <c r="I27" s="82"/>
      <c r="J27" s="82"/>
      <c r="K27" s="82"/>
      <c r="L27" s="82"/>
      <c r="M27" s="82"/>
      <c r="N27" s="82"/>
      <c r="O27" s="82"/>
      <c r="P27" s="82"/>
      <c r="Q27" s="82"/>
    </row>
    <row r="28" spans="1:17" x14ac:dyDescent="0.2">
      <c r="A28" s="82" t="s">
        <v>586</v>
      </c>
      <c r="B28" s="98" t="s">
        <v>313</v>
      </c>
      <c r="C28" s="98" t="s">
        <v>313</v>
      </c>
      <c r="D28" s="98">
        <v>36250</v>
      </c>
      <c r="E28" s="98">
        <v>36250</v>
      </c>
      <c r="F28" s="98">
        <v>36250</v>
      </c>
      <c r="G28" s="98">
        <v>39405.273000000001</v>
      </c>
      <c r="H28" s="98">
        <v>37443.622000000003</v>
      </c>
      <c r="I28" s="98">
        <v>36896.781999999999</v>
      </c>
      <c r="J28" s="98">
        <v>36937.447999999997</v>
      </c>
      <c r="K28" s="98">
        <v>36675.980000000003</v>
      </c>
      <c r="L28" s="98">
        <v>36723.680999999997</v>
      </c>
      <c r="M28" s="98">
        <v>36636.656000000003</v>
      </c>
      <c r="N28" s="98">
        <v>36735.858</v>
      </c>
      <c r="O28" s="98">
        <v>36730.533000000003</v>
      </c>
      <c r="P28" s="98">
        <v>36779.964</v>
      </c>
      <c r="Q28" s="98">
        <v>36852.824000000001</v>
      </c>
    </row>
    <row r="29" spans="1:17" x14ac:dyDescent="0.2">
      <c r="A29" s="90" t="s">
        <v>587</v>
      </c>
      <c r="B29" s="91" t="s">
        <v>313</v>
      </c>
      <c r="C29" s="91" t="s">
        <v>313</v>
      </c>
      <c r="D29" s="91">
        <v>1776250</v>
      </c>
      <c r="E29" s="91">
        <v>2515387.5</v>
      </c>
      <c r="F29" s="91">
        <v>2560700</v>
      </c>
      <c r="G29" s="91">
        <v>1969869.5959999999</v>
      </c>
      <c r="H29" s="91">
        <v>1339358.3589999999</v>
      </c>
      <c r="I29" s="91">
        <v>1319059.9569999999</v>
      </c>
      <c r="J29" s="91">
        <v>1416181.7560000001</v>
      </c>
      <c r="K29" s="91">
        <v>1350042.8230000001</v>
      </c>
      <c r="L29" s="91">
        <v>1143942.6629999999</v>
      </c>
      <c r="M29" s="91">
        <v>1325147.8470000001</v>
      </c>
      <c r="N29" s="91">
        <v>1151669.148</v>
      </c>
      <c r="O29" s="91">
        <v>1318626.1340000001</v>
      </c>
      <c r="P29" s="91">
        <v>1434418.5959999999</v>
      </c>
      <c r="Q29" s="91">
        <v>2104296.25</v>
      </c>
    </row>
    <row r="30" spans="1:17" x14ac:dyDescent="0.2">
      <c r="A30" s="82" t="s">
        <v>341</v>
      </c>
      <c r="B30" s="98">
        <v>37387</v>
      </c>
      <c r="C30" s="98">
        <v>35837</v>
      </c>
      <c r="D30" s="98">
        <v>12600</v>
      </c>
      <c r="E30" s="98">
        <v>110188</v>
      </c>
      <c r="F30" s="98">
        <v>112484</v>
      </c>
      <c r="G30" s="98">
        <v>131369</v>
      </c>
      <c r="H30" s="98">
        <v>100615</v>
      </c>
      <c r="I30" s="98">
        <v>113355</v>
      </c>
      <c r="J30" s="98">
        <v>128474</v>
      </c>
      <c r="K30" s="98">
        <v>142470</v>
      </c>
      <c r="L30" s="98">
        <v>152188</v>
      </c>
      <c r="M30" s="98">
        <v>160944</v>
      </c>
      <c r="N30" s="98">
        <v>168987</v>
      </c>
      <c r="O30" s="98">
        <v>176819</v>
      </c>
      <c r="P30" s="98">
        <v>169492</v>
      </c>
      <c r="Q30" s="98">
        <v>182142</v>
      </c>
    </row>
    <row r="31" spans="1:17" x14ac:dyDescent="0.2">
      <c r="A31" s="82" t="s">
        <v>336</v>
      </c>
      <c r="B31" s="98" t="s">
        <v>313</v>
      </c>
      <c r="C31" s="98" t="s">
        <v>313</v>
      </c>
      <c r="D31" s="98" t="s">
        <v>313</v>
      </c>
      <c r="E31" s="98" t="s">
        <v>313</v>
      </c>
      <c r="F31" s="98" t="s">
        <v>313</v>
      </c>
      <c r="G31" s="98" t="s">
        <v>313</v>
      </c>
      <c r="H31" s="98" t="s">
        <v>313</v>
      </c>
      <c r="I31" s="98" t="s">
        <v>313</v>
      </c>
      <c r="J31" s="98" t="s">
        <v>313</v>
      </c>
      <c r="K31" s="98" t="s">
        <v>313</v>
      </c>
      <c r="L31" s="98" t="s">
        <v>313</v>
      </c>
      <c r="M31" s="98" t="s">
        <v>313</v>
      </c>
      <c r="N31" s="98" t="s">
        <v>313</v>
      </c>
      <c r="O31" s="98" t="s">
        <v>313</v>
      </c>
      <c r="P31" s="98" t="s">
        <v>313</v>
      </c>
      <c r="Q31" s="98" t="s">
        <v>313</v>
      </c>
    </row>
    <row r="32" spans="1:17" x14ac:dyDescent="0.2">
      <c r="A32" s="82" t="s">
        <v>337</v>
      </c>
      <c r="B32" s="98" t="s">
        <v>313</v>
      </c>
      <c r="C32" s="98" t="s">
        <v>313</v>
      </c>
      <c r="D32" s="98" t="s">
        <v>313</v>
      </c>
      <c r="E32" s="98">
        <v>-1157</v>
      </c>
      <c r="F32" s="98">
        <v>2870</v>
      </c>
      <c r="G32" s="98">
        <v>6758</v>
      </c>
      <c r="H32" s="98">
        <v>56404</v>
      </c>
      <c r="I32" s="98">
        <v>54063</v>
      </c>
      <c r="J32" s="98">
        <v>50155</v>
      </c>
      <c r="K32" s="98">
        <v>48952</v>
      </c>
      <c r="L32" s="98">
        <v>49165</v>
      </c>
      <c r="M32" s="98">
        <v>50527</v>
      </c>
      <c r="N32" s="98">
        <v>52011</v>
      </c>
      <c r="O32" s="98">
        <v>54959</v>
      </c>
      <c r="P32" s="98">
        <v>54987</v>
      </c>
      <c r="Q32" s="98">
        <v>50991</v>
      </c>
    </row>
    <row r="33" spans="1:17" x14ac:dyDescent="0.2">
      <c r="A33" s="82" t="s">
        <v>335</v>
      </c>
      <c r="B33" s="98">
        <v>313</v>
      </c>
      <c r="C33" s="98">
        <v>5313</v>
      </c>
      <c r="D33" s="98">
        <v>32313</v>
      </c>
      <c r="E33" s="98">
        <v>313</v>
      </c>
      <c r="F33" s="98">
        <v>313</v>
      </c>
      <c r="G33" s="98">
        <v>313</v>
      </c>
      <c r="H33" s="98">
        <v>313</v>
      </c>
      <c r="I33" s="98">
        <v>313</v>
      </c>
      <c r="J33" s="98">
        <v>0</v>
      </c>
      <c r="K33" s="98">
        <v>0</v>
      </c>
      <c r="L33" s="98">
        <v>2007</v>
      </c>
      <c r="M33" s="98">
        <v>8016</v>
      </c>
      <c r="N33" s="98">
        <v>11166</v>
      </c>
      <c r="O33" s="98">
        <v>13162</v>
      </c>
      <c r="P33" s="98">
        <v>14518</v>
      </c>
      <c r="Q33" s="98">
        <v>17030</v>
      </c>
    </row>
    <row r="34" spans="1:17" x14ac:dyDescent="0.2">
      <c r="A34" s="90" t="s">
        <v>342</v>
      </c>
      <c r="B34" s="106">
        <v>37700</v>
      </c>
      <c r="C34" s="106">
        <v>41150</v>
      </c>
      <c r="D34" s="106">
        <v>44913</v>
      </c>
      <c r="E34" s="106">
        <v>109344</v>
      </c>
      <c r="F34" s="106">
        <v>115667</v>
      </c>
      <c r="G34" s="106">
        <v>138440</v>
      </c>
      <c r="H34" s="106">
        <v>157332</v>
      </c>
      <c r="I34" s="106">
        <v>167731</v>
      </c>
      <c r="J34" s="106">
        <v>178629</v>
      </c>
      <c r="K34" s="106">
        <v>191422</v>
      </c>
      <c r="L34" s="106">
        <v>203360</v>
      </c>
      <c r="M34" s="106">
        <v>219487</v>
      </c>
      <c r="N34" s="106">
        <v>232164</v>
      </c>
      <c r="O34" s="106">
        <v>244940</v>
      </c>
      <c r="P34" s="106">
        <v>238997</v>
      </c>
      <c r="Q34" s="106">
        <v>250163</v>
      </c>
    </row>
    <row r="35" spans="1:17" x14ac:dyDescent="0.2">
      <c r="A35" s="82"/>
      <c r="B35" s="82"/>
      <c r="C35" s="82"/>
      <c r="D35" s="82"/>
      <c r="E35" s="82"/>
      <c r="F35" s="82"/>
      <c r="G35" s="82"/>
      <c r="H35" s="82"/>
      <c r="I35" s="82"/>
      <c r="J35" s="82"/>
      <c r="K35" s="82"/>
      <c r="L35" s="82"/>
      <c r="M35" s="82"/>
      <c r="N35" s="82"/>
      <c r="O35" s="82"/>
      <c r="P35" s="82"/>
      <c r="Q35" s="82"/>
    </row>
    <row r="36" spans="1:17" x14ac:dyDescent="0.2">
      <c r="A36" s="99"/>
      <c r="B36" s="99"/>
      <c r="C36" s="99"/>
      <c r="D36" s="99"/>
      <c r="E36" s="99"/>
      <c r="F36" s="99"/>
      <c r="G36" s="99"/>
      <c r="H36" s="99"/>
      <c r="I36" s="99"/>
      <c r="J36" s="99"/>
      <c r="K36" s="99"/>
      <c r="L36" s="99"/>
      <c r="M36" s="99"/>
      <c r="N36" s="99"/>
      <c r="O36" s="99"/>
      <c r="P36" s="99"/>
      <c r="Q36" s="99"/>
    </row>
    <row r="37" spans="1:17" ht="112.2" x14ac:dyDescent="0.2">
      <c r="A37" s="124" t="s">
        <v>588</v>
      </c>
    </row>
    <row r="38" spans="1:17" ht="81.599999999999994" x14ac:dyDescent="0.2">
      <c r="A38" s="124" t="s">
        <v>589</v>
      </c>
    </row>
    <row r="39" spans="1:17" ht="30.6" x14ac:dyDescent="0.2">
      <c r="A39" s="124" t="s">
        <v>590</v>
      </c>
    </row>
    <row r="41" spans="1:17" ht="25.05" customHeight="1" x14ac:dyDescent="0.2">
      <c r="A41" s="123" t="s">
        <v>581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3399FF"/>
    <outlinePr summaryBelow="0" summaryRight="0"/>
    <pageSetUpPr autoPageBreaks="0"/>
  </sheetPr>
  <dimension ref="A5:IU98"/>
  <sheetViews>
    <sheetView topLeftCell="A37" workbookViewId="0">
      <selection activeCell="D74" sqref="D74"/>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71" width="13" style="79" customWidth="1"/>
    <col min="272" max="512" width="9" style="79"/>
    <col min="513" max="513" width="40.09765625" style="79" customWidth="1"/>
    <col min="514" max="527" width="13" style="79" customWidth="1"/>
    <col min="528" max="768" width="9" style="79"/>
    <col min="769" max="769" width="40.09765625" style="79" customWidth="1"/>
    <col min="770" max="783" width="13" style="79" customWidth="1"/>
    <col min="784" max="1024" width="9" style="79"/>
    <col min="1025" max="1025" width="40.09765625" style="79" customWidth="1"/>
    <col min="1026" max="1039" width="13" style="79" customWidth="1"/>
    <col min="1040" max="1280" width="9" style="79"/>
    <col min="1281" max="1281" width="40.09765625" style="79" customWidth="1"/>
    <col min="1282" max="1295" width="13" style="79" customWidth="1"/>
    <col min="1296" max="1536" width="9" style="79"/>
    <col min="1537" max="1537" width="40.09765625" style="79" customWidth="1"/>
    <col min="1538" max="1551" width="13" style="79" customWidth="1"/>
    <col min="1552" max="1792" width="9" style="79"/>
    <col min="1793" max="1793" width="40.09765625" style="79" customWidth="1"/>
    <col min="1794" max="1807" width="13" style="79" customWidth="1"/>
    <col min="1808" max="2048" width="9" style="79"/>
    <col min="2049" max="2049" width="40.09765625" style="79" customWidth="1"/>
    <col min="2050" max="2063" width="13" style="79" customWidth="1"/>
    <col min="2064" max="2304" width="9" style="79"/>
    <col min="2305" max="2305" width="40.09765625" style="79" customWidth="1"/>
    <col min="2306" max="2319" width="13" style="79" customWidth="1"/>
    <col min="2320" max="2560" width="9" style="79"/>
    <col min="2561" max="2561" width="40.09765625" style="79" customWidth="1"/>
    <col min="2562" max="2575" width="13" style="79" customWidth="1"/>
    <col min="2576" max="2816" width="9" style="79"/>
    <col min="2817" max="2817" width="40.09765625" style="79" customWidth="1"/>
    <col min="2818" max="2831" width="13" style="79" customWidth="1"/>
    <col min="2832" max="3072" width="9" style="79"/>
    <col min="3073" max="3073" width="40.09765625" style="79" customWidth="1"/>
    <col min="3074" max="3087" width="13" style="79" customWidth="1"/>
    <col min="3088" max="3328" width="9" style="79"/>
    <col min="3329" max="3329" width="40.09765625" style="79" customWidth="1"/>
    <col min="3330" max="3343" width="13" style="79" customWidth="1"/>
    <col min="3344" max="3584" width="9" style="79"/>
    <col min="3585" max="3585" width="40.09765625" style="79" customWidth="1"/>
    <col min="3586" max="3599" width="13" style="79" customWidth="1"/>
    <col min="3600" max="3840" width="9" style="79"/>
    <col min="3841" max="3841" width="40.09765625" style="79" customWidth="1"/>
    <col min="3842" max="3855" width="13" style="79" customWidth="1"/>
    <col min="3856" max="4096" width="9" style="79"/>
    <col min="4097" max="4097" width="40.09765625" style="79" customWidth="1"/>
    <col min="4098" max="4111" width="13" style="79" customWidth="1"/>
    <col min="4112" max="4352" width="9" style="79"/>
    <col min="4353" max="4353" width="40.09765625" style="79" customWidth="1"/>
    <col min="4354" max="4367" width="13" style="79" customWidth="1"/>
    <col min="4368" max="4608" width="9" style="79"/>
    <col min="4609" max="4609" width="40.09765625" style="79" customWidth="1"/>
    <col min="4610" max="4623" width="13" style="79" customWidth="1"/>
    <col min="4624" max="4864" width="9" style="79"/>
    <col min="4865" max="4865" width="40.09765625" style="79" customWidth="1"/>
    <col min="4866" max="4879" width="13" style="79" customWidth="1"/>
    <col min="4880" max="5120" width="9" style="79"/>
    <col min="5121" max="5121" width="40.09765625" style="79" customWidth="1"/>
    <col min="5122" max="5135" width="13" style="79" customWidth="1"/>
    <col min="5136" max="5376" width="9" style="79"/>
    <col min="5377" max="5377" width="40.09765625" style="79" customWidth="1"/>
    <col min="5378" max="5391" width="13" style="79" customWidth="1"/>
    <col min="5392" max="5632" width="9" style="79"/>
    <col min="5633" max="5633" width="40.09765625" style="79" customWidth="1"/>
    <col min="5634" max="5647" width="13" style="79" customWidth="1"/>
    <col min="5648" max="5888" width="9" style="79"/>
    <col min="5889" max="5889" width="40.09765625" style="79" customWidth="1"/>
    <col min="5890" max="5903" width="13" style="79" customWidth="1"/>
    <col min="5904" max="6144" width="9" style="79"/>
    <col min="6145" max="6145" width="40.09765625" style="79" customWidth="1"/>
    <col min="6146" max="6159" width="13" style="79" customWidth="1"/>
    <col min="6160" max="6400" width="9" style="79"/>
    <col min="6401" max="6401" width="40.09765625" style="79" customWidth="1"/>
    <col min="6402" max="6415" width="13" style="79" customWidth="1"/>
    <col min="6416" max="6656" width="9" style="79"/>
    <col min="6657" max="6657" width="40.09765625" style="79" customWidth="1"/>
    <col min="6658" max="6671" width="13" style="79" customWidth="1"/>
    <col min="6672" max="6912" width="9" style="79"/>
    <col min="6913" max="6913" width="40.09765625" style="79" customWidth="1"/>
    <col min="6914" max="6927" width="13" style="79" customWidth="1"/>
    <col min="6928" max="7168" width="9" style="79"/>
    <col min="7169" max="7169" width="40.09765625" style="79" customWidth="1"/>
    <col min="7170" max="7183" width="13" style="79" customWidth="1"/>
    <col min="7184" max="7424" width="9" style="79"/>
    <col min="7425" max="7425" width="40.09765625" style="79" customWidth="1"/>
    <col min="7426" max="7439" width="13" style="79" customWidth="1"/>
    <col min="7440" max="7680" width="9" style="79"/>
    <col min="7681" max="7681" width="40.09765625" style="79" customWidth="1"/>
    <col min="7682" max="7695" width="13" style="79" customWidth="1"/>
    <col min="7696" max="7936" width="9" style="79"/>
    <col min="7937" max="7937" width="40.09765625" style="79" customWidth="1"/>
    <col min="7938" max="7951" width="13" style="79" customWidth="1"/>
    <col min="7952" max="8192" width="9" style="79"/>
    <col min="8193" max="8193" width="40.09765625" style="79" customWidth="1"/>
    <col min="8194" max="8207" width="13" style="79" customWidth="1"/>
    <col min="8208" max="8448" width="9" style="79"/>
    <col min="8449" max="8449" width="40.09765625" style="79" customWidth="1"/>
    <col min="8450" max="8463" width="13" style="79" customWidth="1"/>
    <col min="8464" max="8704" width="9" style="79"/>
    <col min="8705" max="8705" width="40.09765625" style="79" customWidth="1"/>
    <col min="8706" max="8719" width="13" style="79" customWidth="1"/>
    <col min="8720" max="8960" width="9" style="79"/>
    <col min="8961" max="8961" width="40.09765625" style="79" customWidth="1"/>
    <col min="8962" max="8975" width="13" style="79" customWidth="1"/>
    <col min="8976" max="9216" width="9" style="79"/>
    <col min="9217" max="9217" width="40.09765625" style="79" customWidth="1"/>
    <col min="9218" max="9231" width="13" style="79" customWidth="1"/>
    <col min="9232" max="9472" width="9" style="79"/>
    <col min="9473" max="9473" width="40.09765625" style="79" customWidth="1"/>
    <col min="9474" max="9487" width="13" style="79" customWidth="1"/>
    <col min="9488" max="9728" width="9" style="79"/>
    <col min="9729" max="9729" width="40.09765625" style="79" customWidth="1"/>
    <col min="9730" max="9743" width="13" style="79" customWidth="1"/>
    <col min="9744" max="9984" width="9" style="79"/>
    <col min="9985" max="9985" width="40.09765625" style="79" customWidth="1"/>
    <col min="9986" max="9999" width="13" style="79" customWidth="1"/>
    <col min="10000" max="10240" width="9" style="79"/>
    <col min="10241" max="10241" width="40.09765625" style="79" customWidth="1"/>
    <col min="10242" max="10255" width="13" style="79" customWidth="1"/>
    <col min="10256" max="10496" width="9" style="79"/>
    <col min="10497" max="10497" width="40.09765625" style="79" customWidth="1"/>
    <col min="10498" max="10511" width="13" style="79" customWidth="1"/>
    <col min="10512" max="10752" width="9" style="79"/>
    <col min="10753" max="10753" width="40.09765625" style="79" customWidth="1"/>
    <col min="10754" max="10767" width="13" style="79" customWidth="1"/>
    <col min="10768" max="11008" width="9" style="79"/>
    <col min="11009" max="11009" width="40.09765625" style="79" customWidth="1"/>
    <col min="11010" max="11023" width="13" style="79" customWidth="1"/>
    <col min="11024" max="11264" width="9" style="79"/>
    <col min="11265" max="11265" width="40.09765625" style="79" customWidth="1"/>
    <col min="11266" max="11279" width="13" style="79" customWidth="1"/>
    <col min="11280" max="11520" width="9" style="79"/>
    <col min="11521" max="11521" width="40.09765625" style="79" customWidth="1"/>
    <col min="11522" max="11535" width="13" style="79" customWidth="1"/>
    <col min="11536" max="11776" width="9" style="79"/>
    <col min="11777" max="11777" width="40.09765625" style="79" customWidth="1"/>
    <col min="11778" max="11791" width="13" style="79" customWidth="1"/>
    <col min="11792" max="12032" width="9" style="79"/>
    <col min="12033" max="12033" width="40.09765625" style="79" customWidth="1"/>
    <col min="12034" max="12047" width="13" style="79" customWidth="1"/>
    <col min="12048" max="12288" width="9" style="79"/>
    <col min="12289" max="12289" width="40.09765625" style="79" customWidth="1"/>
    <col min="12290" max="12303" width="13" style="79" customWidth="1"/>
    <col min="12304" max="12544" width="9" style="79"/>
    <col min="12545" max="12545" width="40.09765625" style="79" customWidth="1"/>
    <col min="12546" max="12559" width="13" style="79" customWidth="1"/>
    <col min="12560" max="12800" width="9" style="79"/>
    <col min="12801" max="12801" width="40.09765625" style="79" customWidth="1"/>
    <col min="12802" max="12815" width="13" style="79" customWidth="1"/>
    <col min="12816" max="13056" width="9" style="79"/>
    <col min="13057" max="13057" width="40.09765625" style="79" customWidth="1"/>
    <col min="13058" max="13071" width="13" style="79" customWidth="1"/>
    <col min="13072" max="13312" width="9" style="79"/>
    <col min="13313" max="13313" width="40.09765625" style="79" customWidth="1"/>
    <col min="13314" max="13327" width="13" style="79" customWidth="1"/>
    <col min="13328" max="13568" width="9" style="79"/>
    <col min="13569" max="13569" width="40.09765625" style="79" customWidth="1"/>
    <col min="13570" max="13583" width="13" style="79" customWidth="1"/>
    <col min="13584" max="13824" width="9" style="79"/>
    <col min="13825" max="13825" width="40.09765625" style="79" customWidth="1"/>
    <col min="13826" max="13839" width="13" style="79" customWidth="1"/>
    <col min="13840" max="14080" width="9" style="79"/>
    <col min="14081" max="14081" width="40.09765625" style="79" customWidth="1"/>
    <col min="14082" max="14095" width="13" style="79" customWidth="1"/>
    <col min="14096" max="14336" width="9" style="79"/>
    <col min="14337" max="14337" width="40.09765625" style="79" customWidth="1"/>
    <col min="14338" max="14351" width="13" style="79" customWidth="1"/>
    <col min="14352" max="14592" width="9" style="79"/>
    <col min="14593" max="14593" width="40.09765625" style="79" customWidth="1"/>
    <col min="14594" max="14607" width="13" style="79" customWidth="1"/>
    <col min="14608" max="14848" width="9" style="79"/>
    <col min="14849" max="14849" width="40.09765625" style="79" customWidth="1"/>
    <col min="14850" max="14863" width="13" style="79" customWidth="1"/>
    <col min="14864" max="15104" width="9" style="79"/>
    <col min="15105" max="15105" width="40.09765625" style="79" customWidth="1"/>
    <col min="15106" max="15119" width="13" style="79" customWidth="1"/>
    <col min="15120" max="15360" width="9" style="79"/>
    <col min="15361" max="15361" width="40.09765625" style="79" customWidth="1"/>
    <col min="15362" max="15375" width="13" style="79" customWidth="1"/>
    <col min="15376" max="15616" width="9" style="79"/>
    <col min="15617" max="15617" width="40.09765625" style="79" customWidth="1"/>
    <col min="15618" max="15631" width="13" style="79" customWidth="1"/>
    <col min="15632" max="15872" width="9" style="79"/>
    <col min="15873" max="15873" width="40.09765625" style="79" customWidth="1"/>
    <col min="15874" max="15887" width="13" style="79" customWidth="1"/>
    <col min="15888" max="16128" width="9" style="79"/>
    <col min="16129" max="16129" width="40.09765625" style="79" customWidth="1"/>
    <col min="16130" max="16143" width="13" style="79" customWidth="1"/>
    <col min="16144" max="16384" width="9" style="79"/>
  </cols>
  <sheetData>
    <row r="5" spans="1:255" ht="16.2" x14ac:dyDescent="0.25">
      <c r="A5" s="78" t="s">
        <v>591</v>
      </c>
    </row>
    <row r="7" spans="1:255" ht="20.399999999999999" x14ac:dyDescent="0.2">
      <c r="A7" s="80" t="s">
        <v>592</v>
      </c>
      <c r="B7" s="81" t="s">
        <v>366</v>
      </c>
      <c r="C7" s="79" t="s">
        <v>367</v>
      </c>
      <c r="D7" s="82" t="s">
        <v>287</v>
      </c>
      <c r="E7" s="81" t="s">
        <v>368</v>
      </c>
      <c r="F7" s="79" t="s">
        <v>369</v>
      </c>
    </row>
    <row r="8" spans="1:255" x14ac:dyDescent="0.2">
      <c r="A8" s="82"/>
      <c r="B8" s="81" t="s">
        <v>285</v>
      </c>
      <c r="C8" s="79" t="s">
        <v>370</v>
      </c>
      <c r="D8" s="82" t="s">
        <v>287</v>
      </c>
      <c r="E8" s="81" t="s">
        <v>288</v>
      </c>
      <c r="F8" s="79" t="s">
        <v>289</v>
      </c>
    </row>
    <row r="9" spans="1:255" x14ac:dyDescent="0.2">
      <c r="A9" s="82"/>
      <c r="B9" s="81" t="s">
        <v>292</v>
      </c>
      <c r="C9" s="79" t="s">
        <v>293</v>
      </c>
      <c r="D9" s="82" t="s">
        <v>287</v>
      </c>
      <c r="E9" s="81" t="s">
        <v>294</v>
      </c>
      <c r="F9" s="83" t="s">
        <v>295</v>
      </c>
    </row>
    <row r="10" spans="1:255" x14ac:dyDescent="0.2">
      <c r="A10" s="82"/>
      <c r="B10" s="81" t="s">
        <v>290</v>
      </c>
      <c r="C10" s="79" t="s">
        <v>291</v>
      </c>
      <c r="D10" s="82" t="s">
        <v>287</v>
      </c>
      <c r="E10" s="105"/>
      <c r="F10" s="105"/>
    </row>
    <row r="13" spans="1:255" x14ac:dyDescent="0.2">
      <c r="A13" s="84" t="s">
        <v>593</v>
      </c>
      <c r="B13" s="84"/>
      <c r="C13" s="84"/>
      <c r="D13" s="84"/>
      <c r="E13" s="84"/>
      <c r="F13" s="84"/>
      <c r="G13" s="84"/>
      <c r="H13" s="84"/>
      <c r="I13" s="84"/>
      <c r="J13" s="84"/>
      <c r="K13" s="84"/>
      <c r="L13" s="84"/>
      <c r="M13" s="84"/>
      <c r="N13" s="84"/>
      <c r="O13" s="84"/>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row>
    <row r="14" spans="1:255" ht="20.399999999999999" x14ac:dyDescent="0.2">
      <c r="A14" s="249" t="s">
        <v>594</v>
      </c>
      <c r="B14" s="675" t="s">
        <v>595</v>
      </c>
      <c r="C14" s="676"/>
      <c r="D14" s="675" t="s">
        <v>596</v>
      </c>
      <c r="E14" s="676"/>
      <c r="F14" s="675" t="s">
        <v>597</v>
      </c>
      <c r="G14" s="676"/>
      <c r="H14" s="675" t="s">
        <v>598</v>
      </c>
      <c r="I14" s="674"/>
      <c r="J14" s="673" t="s">
        <v>599</v>
      </c>
      <c r="K14" s="674"/>
      <c r="L14" s="673" t="s">
        <v>600</v>
      </c>
      <c r="M14" s="674"/>
      <c r="N14" s="673" t="s">
        <v>601</v>
      </c>
      <c r="O14" s="674"/>
    </row>
    <row r="15" spans="1:255" x14ac:dyDescent="0.2">
      <c r="A15" s="251" t="s">
        <v>602</v>
      </c>
      <c r="B15" s="252" t="s">
        <v>603</v>
      </c>
      <c r="C15" s="252"/>
      <c r="D15" s="252" t="s">
        <v>603</v>
      </c>
      <c r="E15" s="252"/>
      <c r="F15" s="252" t="s">
        <v>603</v>
      </c>
      <c r="G15" s="252"/>
      <c r="H15" s="252" t="s">
        <v>603</v>
      </c>
      <c r="I15" s="259"/>
      <c r="J15" s="259" t="s">
        <v>603</v>
      </c>
      <c r="K15" s="259"/>
      <c r="L15" s="259" t="s">
        <v>603</v>
      </c>
      <c r="M15" s="259"/>
      <c r="N15" s="259" t="s">
        <v>603</v>
      </c>
      <c r="O15" s="259"/>
    </row>
    <row r="16" spans="1:255" x14ac:dyDescent="0.2">
      <c r="A16" s="249" t="s">
        <v>604</v>
      </c>
      <c r="B16" s="250" t="s">
        <v>605</v>
      </c>
      <c r="C16" s="250" t="s">
        <v>606</v>
      </c>
      <c r="D16" s="250" t="s">
        <v>605</v>
      </c>
      <c r="E16" s="250" t="s">
        <v>606</v>
      </c>
      <c r="F16" s="250" t="s">
        <v>605</v>
      </c>
      <c r="G16" s="250" t="s">
        <v>606</v>
      </c>
      <c r="H16" s="250" t="s">
        <v>605</v>
      </c>
      <c r="I16" s="260" t="s">
        <v>606</v>
      </c>
      <c r="J16" s="260" t="s">
        <v>605</v>
      </c>
      <c r="K16" s="260" t="s">
        <v>606</v>
      </c>
      <c r="L16" s="260" t="s">
        <v>605</v>
      </c>
      <c r="M16" s="260" t="s">
        <v>606</v>
      </c>
      <c r="N16" s="260" t="s">
        <v>605</v>
      </c>
      <c r="O16" s="260" t="s">
        <v>606</v>
      </c>
    </row>
    <row r="17" spans="1:255" x14ac:dyDescent="0.2">
      <c r="A17" s="90" t="s">
        <v>320</v>
      </c>
      <c r="B17" s="82"/>
      <c r="C17" s="125"/>
      <c r="D17" s="82"/>
      <c r="E17" s="125"/>
      <c r="F17" s="82"/>
      <c r="G17" s="125"/>
      <c r="H17" s="82"/>
      <c r="J17" s="122"/>
      <c r="L17" s="122"/>
      <c r="N17" s="122"/>
    </row>
    <row r="18" spans="1:255" x14ac:dyDescent="0.2">
      <c r="A18" s="82" t="s">
        <v>502</v>
      </c>
      <c r="B18" s="98">
        <v>0</v>
      </c>
      <c r="C18" s="95">
        <v>0</v>
      </c>
      <c r="D18" s="98">
        <v>313</v>
      </c>
      <c r="E18" s="95">
        <v>8.3023872680000003E-3</v>
      </c>
      <c r="F18" s="98">
        <v>32313</v>
      </c>
      <c r="G18" s="95">
        <v>0.71945761806200004</v>
      </c>
      <c r="H18" s="98">
        <v>313</v>
      </c>
      <c r="I18" s="126">
        <v>1.9894236390000002E-3</v>
      </c>
      <c r="J18" s="127">
        <v>2007</v>
      </c>
      <c r="K18" s="126">
        <v>9.8691974820000004E-3</v>
      </c>
      <c r="L18" s="127">
        <v>14518</v>
      </c>
      <c r="M18" s="126">
        <v>6.0745532370999999E-2</v>
      </c>
      <c r="N18" s="127">
        <v>17030</v>
      </c>
      <c r="O18" s="126">
        <v>6.8075614699000003E-2</v>
      </c>
    </row>
    <row r="19" spans="1:255" x14ac:dyDescent="0.2">
      <c r="A19" s="82" t="s">
        <v>607</v>
      </c>
      <c r="B19" s="98">
        <v>31871</v>
      </c>
      <c r="C19" s="95">
        <v>1</v>
      </c>
      <c r="D19" s="98">
        <v>37387</v>
      </c>
      <c r="E19" s="95">
        <v>0.99169761273199997</v>
      </c>
      <c r="F19" s="98">
        <v>12600</v>
      </c>
      <c r="G19" s="95">
        <v>0.28054238193800002</v>
      </c>
      <c r="H19" s="98">
        <v>100615</v>
      </c>
      <c r="I19" s="126">
        <v>0.63950753819899997</v>
      </c>
      <c r="J19" s="127">
        <v>152188</v>
      </c>
      <c r="K19" s="126">
        <v>0.74836742722299998</v>
      </c>
      <c r="L19" s="127">
        <v>169492</v>
      </c>
      <c r="M19" s="126">
        <v>0.70918044996399998</v>
      </c>
      <c r="N19" s="127">
        <v>182142</v>
      </c>
      <c r="O19" s="126">
        <v>0.72809328317900002</v>
      </c>
    </row>
    <row r="20" spans="1:255" x14ac:dyDescent="0.2">
      <c r="A20" s="82" t="s">
        <v>505</v>
      </c>
      <c r="B20" s="98" t="s">
        <v>313</v>
      </c>
      <c r="C20" s="95" t="s">
        <v>313</v>
      </c>
      <c r="D20" s="98" t="s">
        <v>313</v>
      </c>
      <c r="E20" s="95" t="s">
        <v>313</v>
      </c>
      <c r="F20" s="98" t="s">
        <v>313</v>
      </c>
      <c r="G20" s="95" t="s">
        <v>313</v>
      </c>
      <c r="H20" s="98">
        <v>56404</v>
      </c>
      <c r="I20" s="126">
        <v>0.35850303816099999</v>
      </c>
      <c r="J20" s="127">
        <v>49165</v>
      </c>
      <c r="K20" s="126">
        <v>0.241763375295</v>
      </c>
      <c r="L20" s="127">
        <v>54987</v>
      </c>
      <c r="M20" s="126">
        <v>0.23007401766499999</v>
      </c>
      <c r="N20" s="127">
        <v>50991</v>
      </c>
      <c r="O20" s="126">
        <v>0.203831102121</v>
      </c>
    </row>
    <row r="21" spans="1:255" x14ac:dyDescent="0.2">
      <c r="A21" s="90" t="s">
        <v>608</v>
      </c>
      <c r="B21" s="91">
        <v>31871</v>
      </c>
      <c r="C21" s="128">
        <v>1</v>
      </c>
      <c r="D21" s="91">
        <v>37700</v>
      </c>
      <c r="E21" s="128">
        <v>1</v>
      </c>
      <c r="F21" s="91">
        <v>44913</v>
      </c>
      <c r="G21" s="128">
        <v>1</v>
      </c>
      <c r="H21" s="91">
        <v>157332</v>
      </c>
      <c r="I21" s="129">
        <v>1</v>
      </c>
      <c r="J21" s="130">
        <v>203360</v>
      </c>
      <c r="K21" s="129">
        <v>1</v>
      </c>
      <c r="L21" s="130">
        <v>238997</v>
      </c>
      <c r="M21" s="129">
        <v>1</v>
      </c>
      <c r="N21" s="130">
        <v>250163</v>
      </c>
      <c r="O21" s="129">
        <v>1</v>
      </c>
    </row>
    <row r="22" spans="1:255" x14ac:dyDescent="0.2">
      <c r="A22" s="82"/>
      <c r="B22" s="82"/>
      <c r="C22" s="125"/>
      <c r="D22" s="82"/>
      <c r="E22" s="125"/>
      <c r="F22" s="82"/>
      <c r="G22" s="125"/>
      <c r="H22" s="82"/>
      <c r="J22" s="122"/>
      <c r="L22" s="122"/>
      <c r="N22" s="122"/>
    </row>
    <row r="23" spans="1:255" x14ac:dyDescent="0.2">
      <c r="A23" s="99"/>
      <c r="B23" s="99"/>
      <c r="C23" s="99"/>
      <c r="D23" s="99"/>
      <c r="E23" s="99"/>
      <c r="F23" s="99"/>
      <c r="G23" s="99"/>
      <c r="H23" s="99"/>
    </row>
    <row r="25" spans="1:255" x14ac:dyDescent="0.2">
      <c r="A25" s="84" t="s">
        <v>609</v>
      </c>
      <c r="B25" s="84"/>
      <c r="C25" s="84"/>
      <c r="D25" s="84"/>
      <c r="E25" s="84"/>
      <c r="F25" s="84"/>
      <c r="G25" s="84"/>
      <c r="H25" s="84"/>
      <c r="I25" s="84"/>
      <c r="J25" s="84"/>
      <c r="K25" s="84"/>
      <c r="L25" s="84"/>
      <c r="M25" s="84"/>
      <c r="N25" s="84"/>
      <c r="O25" s="84"/>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c r="CY25" s="85"/>
      <c r="CZ25" s="85"/>
      <c r="DA25" s="85"/>
      <c r="DB25" s="85"/>
      <c r="DC25" s="85"/>
      <c r="DD25" s="85"/>
      <c r="DE25" s="85"/>
      <c r="DF25" s="85"/>
      <c r="DG25" s="85"/>
      <c r="DH25" s="85"/>
      <c r="DI25" s="85"/>
      <c r="DJ25" s="85"/>
      <c r="DK25" s="85"/>
      <c r="DL25" s="85"/>
      <c r="DM25" s="85"/>
      <c r="DN25" s="85"/>
      <c r="DO25" s="85"/>
      <c r="DP25" s="85"/>
      <c r="DQ25" s="85"/>
      <c r="DR25" s="85"/>
      <c r="DS25" s="85"/>
      <c r="DT25" s="85"/>
      <c r="DU25" s="85"/>
      <c r="DV25" s="85"/>
      <c r="DW25" s="85"/>
      <c r="DX25" s="85"/>
      <c r="DY25" s="85"/>
      <c r="DZ25" s="85"/>
      <c r="EA25" s="85"/>
      <c r="EB25" s="85"/>
      <c r="EC25" s="85"/>
      <c r="ED25" s="85"/>
      <c r="EE25" s="85"/>
      <c r="EF25" s="85"/>
      <c r="EG25" s="85"/>
      <c r="EH25" s="85"/>
      <c r="EI25" s="85"/>
      <c r="EJ25" s="85"/>
      <c r="EK25" s="85"/>
      <c r="EL25" s="85"/>
      <c r="EM25" s="85"/>
      <c r="EN25" s="85"/>
      <c r="EO25" s="85"/>
      <c r="EP25" s="85"/>
      <c r="EQ25" s="85"/>
      <c r="ER25" s="85"/>
      <c r="ES25" s="85"/>
      <c r="ET25" s="85"/>
      <c r="EU25" s="85"/>
      <c r="EV25" s="85"/>
      <c r="EW25" s="85"/>
      <c r="EX25" s="85"/>
      <c r="EY25" s="85"/>
      <c r="EZ25" s="85"/>
      <c r="FA25" s="85"/>
      <c r="FB25" s="85"/>
      <c r="FC25" s="85"/>
      <c r="FD25" s="85"/>
      <c r="FE25" s="85"/>
      <c r="FF25" s="85"/>
      <c r="FG25" s="85"/>
      <c r="FH25" s="85"/>
      <c r="FI25" s="85"/>
      <c r="FJ25" s="85"/>
      <c r="FK25" s="85"/>
      <c r="FL25" s="85"/>
      <c r="FM25" s="85"/>
      <c r="FN25" s="85"/>
      <c r="FO25" s="85"/>
      <c r="FP25" s="85"/>
      <c r="FQ25" s="85"/>
      <c r="FR25" s="85"/>
      <c r="FS25" s="85"/>
      <c r="FT25" s="85"/>
      <c r="FU25" s="85"/>
      <c r="FV25" s="85"/>
      <c r="FW25" s="85"/>
      <c r="FX25" s="85"/>
      <c r="FY25" s="85"/>
      <c r="FZ25" s="85"/>
      <c r="GA25" s="85"/>
      <c r="GB25" s="85"/>
      <c r="GC25" s="85"/>
      <c r="GD25" s="85"/>
      <c r="GE25" s="85"/>
      <c r="GF25" s="85"/>
      <c r="GG25" s="85"/>
      <c r="GH25" s="85"/>
      <c r="GI25" s="85"/>
      <c r="GJ25" s="85"/>
      <c r="GK25" s="85"/>
      <c r="GL25" s="85"/>
      <c r="GM25" s="85"/>
      <c r="GN25" s="85"/>
      <c r="GO25" s="85"/>
      <c r="GP25" s="85"/>
      <c r="GQ25" s="85"/>
      <c r="GR25" s="85"/>
      <c r="GS25" s="85"/>
      <c r="GT25" s="85"/>
      <c r="GU25" s="85"/>
      <c r="GV25" s="85"/>
      <c r="GW25" s="85"/>
      <c r="GX25" s="85"/>
      <c r="GY25" s="85"/>
      <c r="GZ25" s="85"/>
      <c r="HA25" s="85"/>
      <c r="HB25" s="85"/>
      <c r="HC25" s="85"/>
      <c r="HD25" s="85"/>
      <c r="HE25" s="85"/>
      <c r="HF25" s="85"/>
      <c r="HG25" s="85"/>
      <c r="HH25" s="85"/>
      <c r="HI25" s="85"/>
      <c r="HJ25" s="85"/>
      <c r="HK25" s="85"/>
      <c r="HL25" s="85"/>
      <c r="HM25" s="85"/>
      <c r="HN25" s="85"/>
      <c r="HO25" s="85"/>
      <c r="HP25" s="85"/>
      <c r="HQ25" s="85"/>
      <c r="HR25" s="85"/>
      <c r="HS25" s="85"/>
      <c r="HT25" s="85"/>
      <c r="HU25" s="85"/>
      <c r="HV25" s="85"/>
      <c r="HW25" s="85"/>
      <c r="HX25" s="85"/>
      <c r="HY25" s="85"/>
      <c r="HZ25" s="85"/>
      <c r="IA25" s="85"/>
      <c r="IB25" s="85"/>
      <c r="IC25" s="85"/>
      <c r="ID25" s="85"/>
      <c r="IE25" s="85"/>
      <c r="IF25" s="85"/>
      <c r="IG25" s="85"/>
      <c r="IH25" s="85"/>
      <c r="II25" s="85"/>
      <c r="IJ25" s="85"/>
      <c r="IK25" s="85"/>
      <c r="IL25" s="85"/>
      <c r="IM25" s="85"/>
      <c r="IN25" s="85"/>
      <c r="IO25" s="85"/>
      <c r="IP25" s="85"/>
      <c r="IQ25" s="85"/>
      <c r="IR25" s="85"/>
      <c r="IS25" s="85"/>
      <c r="IT25" s="85"/>
      <c r="IU25" s="85"/>
    </row>
    <row r="26" spans="1:255" ht="20.399999999999999" x14ac:dyDescent="0.2">
      <c r="A26" s="249" t="s">
        <v>594</v>
      </c>
      <c r="B26" s="675" t="s">
        <v>595</v>
      </c>
      <c r="C26" s="676"/>
      <c r="D26" s="675" t="s">
        <v>596</v>
      </c>
      <c r="E26" s="676"/>
      <c r="F26" s="675" t="s">
        <v>597</v>
      </c>
      <c r="G26" s="676"/>
      <c r="H26" s="675" t="s">
        <v>598</v>
      </c>
      <c r="I26" s="674"/>
      <c r="J26" s="673" t="s">
        <v>599</v>
      </c>
      <c r="K26" s="674"/>
      <c r="L26" s="673" t="s">
        <v>600</v>
      </c>
      <c r="M26" s="674"/>
      <c r="N26" s="673" t="s">
        <v>601</v>
      </c>
      <c r="O26" s="674"/>
    </row>
    <row r="27" spans="1:255" x14ac:dyDescent="0.2">
      <c r="A27" s="251" t="s">
        <v>602</v>
      </c>
      <c r="B27" s="252" t="s">
        <v>603</v>
      </c>
      <c r="C27" s="252"/>
      <c r="D27" s="252" t="s">
        <v>603</v>
      </c>
      <c r="E27" s="252"/>
      <c r="F27" s="252" t="s">
        <v>603</v>
      </c>
      <c r="G27" s="252"/>
      <c r="H27" s="252" t="s">
        <v>603</v>
      </c>
      <c r="I27" s="259"/>
      <c r="J27" s="259" t="s">
        <v>603</v>
      </c>
      <c r="K27" s="259"/>
      <c r="L27" s="259" t="s">
        <v>603</v>
      </c>
      <c r="M27" s="259"/>
      <c r="N27" s="259" t="s">
        <v>603</v>
      </c>
      <c r="O27" s="259"/>
    </row>
    <row r="28" spans="1:255" x14ac:dyDescent="0.2">
      <c r="A28" s="249" t="s">
        <v>604</v>
      </c>
      <c r="B28" s="250" t="s">
        <v>605</v>
      </c>
      <c r="C28" s="250" t="s">
        <v>606</v>
      </c>
      <c r="D28" s="250" t="s">
        <v>605</v>
      </c>
      <c r="E28" s="250" t="s">
        <v>606</v>
      </c>
      <c r="F28" s="250" t="s">
        <v>605</v>
      </c>
      <c r="G28" s="250" t="s">
        <v>606</v>
      </c>
      <c r="H28" s="250" t="s">
        <v>605</v>
      </c>
      <c r="I28" s="260" t="s">
        <v>606</v>
      </c>
      <c r="J28" s="260" t="s">
        <v>605</v>
      </c>
      <c r="K28" s="260" t="s">
        <v>606</v>
      </c>
      <c r="L28" s="260" t="s">
        <v>605</v>
      </c>
      <c r="M28" s="260" t="s">
        <v>606</v>
      </c>
      <c r="N28" s="260" t="s">
        <v>605</v>
      </c>
      <c r="O28" s="260" t="s">
        <v>606</v>
      </c>
    </row>
    <row r="29" spans="1:255" x14ac:dyDescent="0.2">
      <c r="A29" s="90" t="s">
        <v>320</v>
      </c>
      <c r="B29" s="82"/>
      <c r="C29" s="125"/>
      <c r="D29" s="82"/>
      <c r="E29" s="125"/>
      <c r="F29" s="82"/>
      <c r="G29" s="125"/>
      <c r="H29" s="82"/>
      <c r="J29" s="122"/>
      <c r="L29" s="122"/>
      <c r="N29" s="122"/>
    </row>
    <row r="30" spans="1:255" x14ac:dyDescent="0.2">
      <c r="A30" s="82" t="s">
        <v>610</v>
      </c>
      <c r="B30" s="98">
        <v>0</v>
      </c>
      <c r="C30" s="95" t="s">
        <v>313</v>
      </c>
      <c r="D30" s="98">
        <v>0</v>
      </c>
      <c r="E30" s="95">
        <v>0</v>
      </c>
      <c r="F30" s="98">
        <v>32000</v>
      </c>
      <c r="G30" s="95">
        <v>0.990313</v>
      </c>
      <c r="H30" s="98">
        <v>0</v>
      </c>
      <c r="I30" s="126">
        <v>0</v>
      </c>
      <c r="J30" s="127">
        <v>0</v>
      </c>
      <c r="K30" s="126">
        <v>0</v>
      </c>
      <c r="L30" s="127">
        <v>0</v>
      </c>
      <c r="M30" s="126">
        <v>0</v>
      </c>
      <c r="N30" s="127">
        <v>0</v>
      </c>
      <c r="O30" s="126">
        <v>0</v>
      </c>
    </row>
    <row r="31" spans="1:255" x14ac:dyDescent="0.2">
      <c r="A31" s="82" t="s">
        <v>611</v>
      </c>
      <c r="B31" s="98" t="s">
        <v>313</v>
      </c>
      <c r="C31" s="95" t="s">
        <v>313</v>
      </c>
      <c r="D31" s="98">
        <v>313</v>
      </c>
      <c r="E31" s="95">
        <v>1</v>
      </c>
      <c r="F31" s="98">
        <v>313</v>
      </c>
      <c r="G31" s="95">
        <v>9.6860000000000002E-3</v>
      </c>
      <c r="H31" s="98">
        <v>313</v>
      </c>
      <c r="I31" s="126">
        <v>1</v>
      </c>
      <c r="J31" s="127" t="s">
        <v>313</v>
      </c>
      <c r="K31" s="126" t="s">
        <v>313</v>
      </c>
      <c r="L31" s="127" t="s">
        <v>313</v>
      </c>
      <c r="M31" s="126" t="s">
        <v>313</v>
      </c>
      <c r="N31" s="127" t="s">
        <v>313</v>
      </c>
      <c r="O31" s="126" t="s">
        <v>313</v>
      </c>
    </row>
    <row r="32" spans="1:255" x14ac:dyDescent="0.2">
      <c r="A32" s="82" t="s">
        <v>612</v>
      </c>
      <c r="B32" s="98" t="s">
        <v>313</v>
      </c>
      <c r="C32" s="95" t="s">
        <v>313</v>
      </c>
      <c r="D32" s="98" t="s">
        <v>313</v>
      </c>
      <c r="E32" s="95" t="s">
        <v>313</v>
      </c>
      <c r="F32" s="98" t="s">
        <v>313</v>
      </c>
      <c r="G32" s="95" t="s">
        <v>313</v>
      </c>
      <c r="H32" s="98" t="s">
        <v>313</v>
      </c>
      <c r="I32" s="126" t="s">
        <v>313</v>
      </c>
      <c r="J32" s="127">
        <v>2007</v>
      </c>
      <c r="K32" s="126">
        <v>1</v>
      </c>
      <c r="L32" s="127">
        <v>14518</v>
      </c>
      <c r="M32" s="126">
        <v>1</v>
      </c>
      <c r="N32" s="127">
        <v>17030</v>
      </c>
      <c r="O32" s="126">
        <v>1</v>
      </c>
    </row>
    <row r="33" spans="1:15" x14ac:dyDescent="0.2">
      <c r="A33" s="90" t="s">
        <v>613</v>
      </c>
      <c r="B33" s="91">
        <v>0</v>
      </c>
      <c r="C33" s="128" t="s">
        <v>313</v>
      </c>
      <c r="D33" s="91">
        <v>313</v>
      </c>
      <c r="E33" s="128">
        <v>1</v>
      </c>
      <c r="F33" s="91">
        <v>32313</v>
      </c>
      <c r="G33" s="128">
        <v>1</v>
      </c>
      <c r="H33" s="91">
        <v>313</v>
      </c>
      <c r="I33" s="129">
        <v>1</v>
      </c>
      <c r="J33" s="130">
        <v>2007</v>
      </c>
      <c r="K33" s="129">
        <v>1</v>
      </c>
      <c r="L33" s="130">
        <v>14518</v>
      </c>
      <c r="M33" s="129">
        <v>1</v>
      </c>
      <c r="N33" s="130">
        <v>17030</v>
      </c>
      <c r="O33" s="129">
        <v>1</v>
      </c>
    </row>
    <row r="34" spans="1:15" x14ac:dyDescent="0.2">
      <c r="A34" s="82"/>
      <c r="B34" s="82"/>
      <c r="C34" s="125"/>
      <c r="D34" s="82"/>
      <c r="E34" s="125"/>
      <c r="F34" s="82"/>
      <c r="G34" s="125"/>
      <c r="H34" s="82"/>
      <c r="J34" s="122"/>
      <c r="L34" s="122"/>
      <c r="N34" s="122"/>
    </row>
    <row r="35" spans="1:15" x14ac:dyDescent="0.2">
      <c r="A35" s="90" t="s">
        <v>614</v>
      </c>
      <c r="B35" s="91">
        <v>0</v>
      </c>
      <c r="C35" s="128">
        <v>1</v>
      </c>
      <c r="D35" s="91">
        <v>313</v>
      </c>
      <c r="E35" s="128">
        <v>1</v>
      </c>
      <c r="F35" s="91">
        <v>32313</v>
      </c>
      <c r="G35" s="128">
        <v>1</v>
      </c>
      <c r="H35" s="91">
        <v>313</v>
      </c>
      <c r="I35" s="129">
        <v>1</v>
      </c>
      <c r="J35" s="130">
        <v>2007</v>
      </c>
      <c r="K35" s="129">
        <v>1</v>
      </c>
      <c r="L35" s="130">
        <v>14518</v>
      </c>
      <c r="M35" s="129">
        <v>1</v>
      </c>
      <c r="N35" s="130">
        <v>17030</v>
      </c>
      <c r="O35" s="129">
        <v>1</v>
      </c>
    </row>
    <row r="36" spans="1:15" x14ac:dyDescent="0.2">
      <c r="A36" s="82"/>
      <c r="B36" s="82"/>
      <c r="C36" s="125"/>
      <c r="D36" s="82"/>
      <c r="E36" s="125"/>
      <c r="F36" s="82"/>
      <c r="G36" s="125"/>
      <c r="H36" s="82"/>
      <c r="J36" s="122"/>
      <c r="L36" s="122"/>
      <c r="N36" s="122"/>
    </row>
    <row r="37" spans="1:15" x14ac:dyDescent="0.2">
      <c r="A37" s="90" t="s">
        <v>615</v>
      </c>
      <c r="B37" s="82"/>
      <c r="C37" s="125"/>
      <c r="D37" s="82"/>
      <c r="E37" s="125"/>
      <c r="F37" s="82"/>
      <c r="G37" s="125"/>
      <c r="H37" s="82"/>
      <c r="J37" s="122"/>
      <c r="L37" s="122"/>
      <c r="N37" s="122"/>
    </row>
    <row r="38" spans="1:15" x14ac:dyDescent="0.2">
      <c r="A38" s="82" t="s">
        <v>616</v>
      </c>
      <c r="B38" s="98" t="s">
        <v>313</v>
      </c>
      <c r="C38" s="95" t="s">
        <v>313</v>
      </c>
      <c r="D38" s="98" t="s">
        <v>313</v>
      </c>
      <c r="E38" s="95" t="s">
        <v>313</v>
      </c>
      <c r="F38" s="98" t="s">
        <v>313</v>
      </c>
      <c r="G38" s="95" t="s">
        <v>313</v>
      </c>
      <c r="H38" s="98" t="s">
        <v>313</v>
      </c>
      <c r="I38" s="126" t="s">
        <v>313</v>
      </c>
      <c r="J38" s="127" t="s">
        <v>313</v>
      </c>
      <c r="K38" s="126" t="s">
        <v>313</v>
      </c>
      <c r="L38" s="127">
        <v>19317</v>
      </c>
      <c r="M38" s="126" t="s">
        <v>313</v>
      </c>
      <c r="N38" s="127">
        <v>19317</v>
      </c>
      <c r="O38" s="126" t="s">
        <v>313</v>
      </c>
    </row>
    <row r="39" spans="1:15" x14ac:dyDescent="0.2">
      <c r="A39" s="90" t="s">
        <v>617</v>
      </c>
      <c r="B39" s="91" t="s">
        <v>313</v>
      </c>
      <c r="C39" s="128" t="s">
        <v>313</v>
      </c>
      <c r="D39" s="91" t="s">
        <v>313</v>
      </c>
      <c r="E39" s="128" t="s">
        <v>313</v>
      </c>
      <c r="F39" s="91" t="s">
        <v>313</v>
      </c>
      <c r="G39" s="128" t="s">
        <v>313</v>
      </c>
      <c r="H39" s="91" t="s">
        <v>313</v>
      </c>
      <c r="I39" s="129" t="s">
        <v>313</v>
      </c>
      <c r="J39" s="130" t="s">
        <v>313</v>
      </c>
      <c r="K39" s="129" t="s">
        <v>313</v>
      </c>
      <c r="L39" s="130">
        <v>19317</v>
      </c>
      <c r="M39" s="129" t="s">
        <v>313</v>
      </c>
      <c r="N39" s="130">
        <v>19317</v>
      </c>
      <c r="O39" s="129" t="s">
        <v>313</v>
      </c>
    </row>
    <row r="40" spans="1:15" x14ac:dyDescent="0.2">
      <c r="A40" s="82"/>
      <c r="B40" s="82"/>
      <c r="C40" s="125"/>
      <c r="D40" s="82"/>
      <c r="E40" s="125"/>
      <c r="F40" s="82"/>
      <c r="G40" s="125"/>
      <c r="H40" s="82"/>
      <c r="J40" s="122"/>
      <c r="L40" s="122"/>
      <c r="N40" s="122"/>
    </row>
    <row r="41" spans="1:15" x14ac:dyDescent="0.2">
      <c r="A41" s="90" t="s">
        <v>618</v>
      </c>
      <c r="B41" s="82"/>
      <c r="C41" s="125"/>
      <c r="D41" s="82"/>
      <c r="E41" s="125"/>
      <c r="F41" s="82"/>
      <c r="G41" s="125"/>
      <c r="H41" s="82"/>
      <c r="J41" s="122"/>
      <c r="L41" s="122"/>
      <c r="N41" s="122"/>
    </row>
    <row r="42" spans="1:15" x14ac:dyDescent="0.2">
      <c r="A42" s="82" t="s">
        <v>619</v>
      </c>
      <c r="B42" s="98">
        <v>16033</v>
      </c>
      <c r="C42" s="95" t="s">
        <v>313</v>
      </c>
      <c r="D42" s="98">
        <v>13076</v>
      </c>
      <c r="E42" s="95" t="s">
        <v>313</v>
      </c>
      <c r="F42" s="98">
        <v>2677</v>
      </c>
      <c r="G42" s="95" t="s">
        <v>313</v>
      </c>
      <c r="H42" s="98">
        <v>71124</v>
      </c>
      <c r="I42" s="126" t="s">
        <v>313</v>
      </c>
      <c r="J42" s="127">
        <v>73647</v>
      </c>
      <c r="K42" s="126" t="s">
        <v>313</v>
      </c>
      <c r="L42" s="127">
        <v>84543</v>
      </c>
      <c r="M42" s="126" t="s">
        <v>313</v>
      </c>
      <c r="N42" s="127">
        <v>87752</v>
      </c>
      <c r="O42" s="126" t="s">
        <v>313</v>
      </c>
    </row>
    <row r="43" spans="1:15" x14ac:dyDescent="0.2">
      <c r="A43" s="82" t="s">
        <v>503</v>
      </c>
      <c r="B43" s="98">
        <v>-16033</v>
      </c>
      <c r="C43" s="95" t="s">
        <v>313</v>
      </c>
      <c r="D43" s="98">
        <v>-12763</v>
      </c>
      <c r="E43" s="95" t="s">
        <v>313</v>
      </c>
      <c r="F43" s="98">
        <v>29636</v>
      </c>
      <c r="G43" s="95" t="s">
        <v>313</v>
      </c>
      <c r="H43" s="98">
        <v>-70811</v>
      </c>
      <c r="I43" s="126" t="s">
        <v>313</v>
      </c>
      <c r="J43" s="127">
        <v>-71640</v>
      </c>
      <c r="K43" s="126" t="s">
        <v>313</v>
      </c>
      <c r="L43" s="127">
        <v>-70025</v>
      </c>
      <c r="M43" s="126" t="s">
        <v>313</v>
      </c>
      <c r="N43" s="127">
        <v>-70722</v>
      </c>
      <c r="O43" s="126" t="s">
        <v>313</v>
      </c>
    </row>
    <row r="44" spans="1:15" x14ac:dyDescent="0.2">
      <c r="A44" s="82" t="s">
        <v>620</v>
      </c>
      <c r="B44" s="98">
        <v>0</v>
      </c>
      <c r="C44" s="95" t="s">
        <v>313</v>
      </c>
      <c r="D44" s="98">
        <v>313</v>
      </c>
      <c r="E44" s="95">
        <v>1</v>
      </c>
      <c r="F44" s="98">
        <v>32313</v>
      </c>
      <c r="G44" s="95">
        <v>1</v>
      </c>
      <c r="H44" s="98">
        <v>313</v>
      </c>
      <c r="I44" s="126">
        <v>1</v>
      </c>
      <c r="J44" s="127">
        <v>2007</v>
      </c>
      <c r="K44" s="126">
        <v>1</v>
      </c>
      <c r="L44" s="127">
        <v>14518</v>
      </c>
      <c r="M44" s="126">
        <v>1</v>
      </c>
      <c r="N44" s="127">
        <v>17030</v>
      </c>
      <c r="O44" s="126">
        <v>1</v>
      </c>
    </row>
    <row r="45" spans="1:15" x14ac:dyDescent="0.2">
      <c r="A45" s="82" t="s">
        <v>621</v>
      </c>
      <c r="B45" s="98">
        <v>0</v>
      </c>
      <c r="C45" s="95" t="s">
        <v>313</v>
      </c>
      <c r="D45" s="98">
        <v>0</v>
      </c>
      <c r="E45" s="95">
        <v>0</v>
      </c>
      <c r="F45" s="98">
        <v>32000</v>
      </c>
      <c r="G45" s="95">
        <v>0.990313</v>
      </c>
      <c r="H45" s="98">
        <v>0</v>
      </c>
      <c r="I45" s="126">
        <v>0</v>
      </c>
      <c r="J45" s="127">
        <v>0</v>
      </c>
      <c r="K45" s="126">
        <v>0</v>
      </c>
      <c r="L45" s="127">
        <v>0</v>
      </c>
      <c r="M45" s="126">
        <v>0</v>
      </c>
      <c r="N45" s="127">
        <v>0</v>
      </c>
      <c r="O45" s="126">
        <v>0</v>
      </c>
    </row>
    <row r="46" spans="1:15" x14ac:dyDescent="0.2">
      <c r="A46" s="82" t="s">
        <v>622</v>
      </c>
      <c r="B46" s="98" t="s">
        <v>313</v>
      </c>
      <c r="C46" s="95" t="s">
        <v>313</v>
      </c>
      <c r="D46" s="98" t="s">
        <v>313</v>
      </c>
      <c r="E46" s="95" t="s">
        <v>313</v>
      </c>
      <c r="F46" s="98">
        <v>32000</v>
      </c>
      <c r="G46" s="95">
        <v>0.990313</v>
      </c>
      <c r="H46" s="98" t="s">
        <v>313</v>
      </c>
      <c r="I46" s="126" t="s">
        <v>313</v>
      </c>
      <c r="J46" s="127" t="s">
        <v>313</v>
      </c>
      <c r="K46" s="126" t="s">
        <v>313</v>
      </c>
      <c r="L46" s="127" t="s">
        <v>313</v>
      </c>
      <c r="M46" s="126" t="s">
        <v>313</v>
      </c>
      <c r="N46" s="127" t="s">
        <v>313</v>
      </c>
      <c r="O46" s="126" t="s">
        <v>313</v>
      </c>
    </row>
    <row r="47" spans="1:15" x14ac:dyDescent="0.2">
      <c r="A47" s="82" t="s">
        <v>623</v>
      </c>
      <c r="B47" s="98" t="s">
        <v>313</v>
      </c>
      <c r="C47" s="95" t="s">
        <v>313</v>
      </c>
      <c r="D47" s="98">
        <v>313</v>
      </c>
      <c r="E47" s="95">
        <v>1</v>
      </c>
      <c r="F47" s="98">
        <v>313</v>
      </c>
      <c r="G47" s="95">
        <v>9.6860000000000002E-3</v>
      </c>
      <c r="H47" s="98">
        <v>313</v>
      </c>
      <c r="I47" s="126">
        <v>1</v>
      </c>
      <c r="J47" s="127">
        <v>2007</v>
      </c>
      <c r="K47" s="126">
        <v>1</v>
      </c>
      <c r="L47" s="127">
        <v>14518</v>
      </c>
      <c r="M47" s="126">
        <v>1</v>
      </c>
      <c r="N47" s="127">
        <v>17030</v>
      </c>
      <c r="O47" s="126">
        <v>1</v>
      </c>
    </row>
    <row r="48" spans="1:15" x14ac:dyDescent="0.2">
      <c r="A48" s="82" t="s">
        <v>624</v>
      </c>
      <c r="B48" s="98">
        <v>0</v>
      </c>
      <c r="C48" s="95" t="s">
        <v>313</v>
      </c>
      <c r="D48" s="98">
        <v>0</v>
      </c>
      <c r="E48" s="95">
        <v>0</v>
      </c>
      <c r="F48" s="98">
        <v>32000</v>
      </c>
      <c r="G48" s="95">
        <v>0.990313</v>
      </c>
      <c r="H48" s="98">
        <v>0</v>
      </c>
      <c r="I48" s="126">
        <v>0</v>
      </c>
      <c r="J48" s="127">
        <v>0</v>
      </c>
      <c r="K48" s="126">
        <v>0</v>
      </c>
      <c r="L48" s="127">
        <v>0</v>
      </c>
      <c r="M48" s="126">
        <v>0</v>
      </c>
      <c r="N48" s="127">
        <v>0</v>
      </c>
      <c r="O48" s="126">
        <v>0</v>
      </c>
    </row>
    <row r="49" spans="1:15" x14ac:dyDescent="0.2">
      <c r="A49" s="82" t="s">
        <v>625</v>
      </c>
      <c r="B49" s="98">
        <v>0</v>
      </c>
      <c r="C49" s="95" t="s">
        <v>313</v>
      </c>
      <c r="D49" s="98">
        <v>0</v>
      </c>
      <c r="E49" s="95">
        <v>0</v>
      </c>
      <c r="F49" s="98">
        <v>32000</v>
      </c>
      <c r="G49" s="95">
        <v>0.990313</v>
      </c>
      <c r="H49" s="98">
        <v>0</v>
      </c>
      <c r="I49" s="126">
        <v>0</v>
      </c>
      <c r="J49" s="127">
        <v>2007</v>
      </c>
      <c r="K49" s="126">
        <v>1</v>
      </c>
      <c r="L49" s="127">
        <v>14518</v>
      </c>
      <c r="M49" s="126">
        <v>1</v>
      </c>
      <c r="N49" s="127">
        <v>17030</v>
      </c>
      <c r="O49" s="126">
        <v>1</v>
      </c>
    </row>
    <row r="50" spans="1:15" x14ac:dyDescent="0.2">
      <c r="A50" s="82" t="s">
        <v>626</v>
      </c>
      <c r="B50" s="98">
        <v>0</v>
      </c>
      <c r="C50" s="95" t="s">
        <v>313</v>
      </c>
      <c r="D50" s="98">
        <v>0</v>
      </c>
      <c r="E50" s="95">
        <v>0</v>
      </c>
      <c r="F50" s="98">
        <v>32000</v>
      </c>
      <c r="G50" s="95">
        <v>0.990313</v>
      </c>
      <c r="H50" s="98">
        <v>0</v>
      </c>
      <c r="I50" s="126">
        <v>0</v>
      </c>
      <c r="J50" s="127">
        <v>0</v>
      </c>
      <c r="K50" s="126">
        <v>0</v>
      </c>
      <c r="L50" s="127">
        <v>0</v>
      </c>
      <c r="M50" s="126">
        <v>0</v>
      </c>
      <c r="N50" s="127">
        <v>0</v>
      </c>
      <c r="O50" s="126">
        <v>0</v>
      </c>
    </row>
    <row r="51" spans="1:15" x14ac:dyDescent="0.2">
      <c r="A51" s="82" t="s">
        <v>627</v>
      </c>
      <c r="B51" s="98">
        <v>0</v>
      </c>
      <c r="C51" s="95" t="s">
        <v>313</v>
      </c>
      <c r="D51" s="98">
        <v>0</v>
      </c>
      <c r="E51" s="95">
        <v>0</v>
      </c>
      <c r="F51" s="98">
        <v>32000</v>
      </c>
      <c r="G51" s="95">
        <v>0.990313</v>
      </c>
      <c r="H51" s="98">
        <v>0</v>
      </c>
      <c r="I51" s="126">
        <v>0</v>
      </c>
      <c r="J51" s="127">
        <v>2007</v>
      </c>
      <c r="K51" s="126">
        <v>1</v>
      </c>
      <c r="L51" s="127">
        <v>14518</v>
      </c>
      <c r="M51" s="126">
        <v>1</v>
      </c>
      <c r="N51" s="127">
        <v>17030</v>
      </c>
      <c r="O51" s="126">
        <v>1</v>
      </c>
    </row>
    <row r="52" spans="1:15" x14ac:dyDescent="0.2">
      <c r="A52" s="82" t="s">
        <v>628</v>
      </c>
      <c r="B52" s="98" t="s">
        <v>313</v>
      </c>
      <c r="C52" s="95" t="s">
        <v>313</v>
      </c>
      <c r="D52" s="98">
        <v>313</v>
      </c>
      <c r="E52" s="95">
        <v>1</v>
      </c>
      <c r="F52" s="98">
        <v>313</v>
      </c>
      <c r="G52" s="95">
        <v>9.6860000000000002E-3</v>
      </c>
      <c r="H52" s="98">
        <v>313</v>
      </c>
      <c r="I52" s="126">
        <v>1</v>
      </c>
      <c r="J52" s="127" t="s">
        <v>313</v>
      </c>
      <c r="K52" s="126" t="s">
        <v>313</v>
      </c>
      <c r="L52" s="127" t="s">
        <v>313</v>
      </c>
      <c r="M52" s="126" t="s">
        <v>313</v>
      </c>
      <c r="N52" s="127" t="s">
        <v>313</v>
      </c>
      <c r="O52" s="126" t="s">
        <v>313</v>
      </c>
    </row>
    <row r="53" spans="1:15" x14ac:dyDescent="0.2">
      <c r="A53" s="82" t="s">
        <v>629</v>
      </c>
      <c r="B53" s="98" t="s">
        <v>313</v>
      </c>
      <c r="C53" s="95" t="s">
        <v>313</v>
      </c>
      <c r="D53" s="98">
        <v>313</v>
      </c>
      <c r="E53" s="95">
        <v>1</v>
      </c>
      <c r="F53" s="98">
        <v>313</v>
      </c>
      <c r="G53" s="95">
        <v>9.6860000000000002E-3</v>
      </c>
      <c r="H53" s="98">
        <v>313</v>
      </c>
      <c r="I53" s="126">
        <v>1</v>
      </c>
      <c r="J53" s="127" t="s">
        <v>313</v>
      </c>
      <c r="K53" s="126" t="s">
        <v>313</v>
      </c>
      <c r="L53" s="127" t="s">
        <v>313</v>
      </c>
      <c r="M53" s="126" t="s">
        <v>313</v>
      </c>
      <c r="N53" s="127" t="s">
        <v>313</v>
      </c>
      <c r="O53" s="126" t="s">
        <v>313</v>
      </c>
    </row>
    <row r="54" spans="1:15" x14ac:dyDescent="0.2">
      <c r="A54" s="82" t="s">
        <v>630</v>
      </c>
      <c r="B54" s="98" t="s">
        <v>313</v>
      </c>
      <c r="C54" s="95" t="s">
        <v>313</v>
      </c>
      <c r="D54" s="98">
        <v>313</v>
      </c>
      <c r="E54" s="95">
        <v>1</v>
      </c>
      <c r="F54" s="98">
        <v>313</v>
      </c>
      <c r="G54" s="95">
        <v>9.6860000000000002E-3</v>
      </c>
      <c r="H54" s="98">
        <v>313</v>
      </c>
      <c r="I54" s="126">
        <v>1</v>
      </c>
      <c r="J54" s="127" t="s">
        <v>313</v>
      </c>
      <c r="K54" s="126" t="s">
        <v>313</v>
      </c>
      <c r="L54" s="127" t="s">
        <v>313</v>
      </c>
      <c r="M54" s="126" t="s">
        <v>313</v>
      </c>
      <c r="N54" s="127" t="s">
        <v>313</v>
      </c>
      <c r="O54" s="126" t="s">
        <v>313</v>
      </c>
    </row>
    <row r="55" spans="1:15" x14ac:dyDescent="0.2">
      <c r="A55" s="82" t="s">
        <v>631</v>
      </c>
      <c r="B55" s="98">
        <v>0</v>
      </c>
      <c r="C55" s="95" t="s">
        <v>313</v>
      </c>
      <c r="D55" s="98">
        <v>0</v>
      </c>
      <c r="E55" s="95">
        <v>0</v>
      </c>
      <c r="F55" s="98">
        <v>32000</v>
      </c>
      <c r="G55" s="95">
        <v>0.990313</v>
      </c>
      <c r="H55" s="98">
        <v>0</v>
      </c>
      <c r="I55" s="126">
        <v>0</v>
      </c>
      <c r="J55" s="127">
        <v>0</v>
      </c>
      <c r="K55" s="126">
        <v>0</v>
      </c>
      <c r="L55" s="127">
        <v>0</v>
      </c>
      <c r="M55" s="126">
        <v>0</v>
      </c>
      <c r="N55" s="127">
        <v>0</v>
      </c>
      <c r="O55" s="126">
        <v>0</v>
      </c>
    </row>
    <row r="56" spans="1:15" x14ac:dyDescent="0.2">
      <c r="A56" s="82"/>
      <c r="B56" s="82"/>
      <c r="C56" s="125"/>
      <c r="D56" s="82"/>
      <c r="E56" s="125"/>
      <c r="F56" s="82"/>
      <c r="G56" s="125"/>
      <c r="H56" s="82"/>
      <c r="J56" s="122"/>
      <c r="L56" s="122"/>
      <c r="N56" s="122"/>
    </row>
    <row r="57" spans="1:15" x14ac:dyDescent="0.2">
      <c r="A57" s="90" t="s">
        <v>632</v>
      </c>
      <c r="B57" s="82"/>
      <c r="C57" s="125"/>
      <c r="D57" s="82"/>
      <c r="E57" s="125"/>
      <c r="F57" s="82"/>
      <c r="G57" s="125"/>
      <c r="H57" s="82"/>
      <c r="J57" s="122"/>
      <c r="L57" s="122"/>
      <c r="N57" s="122"/>
    </row>
    <row r="58" spans="1:15" x14ac:dyDescent="0.2">
      <c r="A58" s="82" t="s">
        <v>633</v>
      </c>
      <c r="B58" s="97" t="s">
        <v>319</v>
      </c>
      <c r="C58" s="95" t="s">
        <v>313</v>
      </c>
      <c r="D58" s="97" t="s">
        <v>319</v>
      </c>
      <c r="E58" s="95" t="s">
        <v>313</v>
      </c>
      <c r="F58" s="102">
        <v>3.2721650000000002</v>
      </c>
      <c r="G58" s="95" t="s">
        <v>313</v>
      </c>
      <c r="H58" s="97" t="s">
        <v>319</v>
      </c>
      <c r="I58" s="126" t="s">
        <v>313</v>
      </c>
      <c r="J58" s="121" t="s">
        <v>319</v>
      </c>
      <c r="K58" s="126" t="s">
        <v>313</v>
      </c>
      <c r="L58" s="121" t="s">
        <v>319</v>
      </c>
      <c r="M58" s="126" t="s">
        <v>313</v>
      </c>
      <c r="N58" s="121" t="s">
        <v>319</v>
      </c>
      <c r="O58" s="126" t="s">
        <v>313</v>
      </c>
    </row>
    <row r="59" spans="1:15" x14ac:dyDescent="0.2">
      <c r="A59" s="82" t="s">
        <v>634</v>
      </c>
      <c r="B59" s="97" t="s">
        <v>313</v>
      </c>
      <c r="C59" s="95" t="s">
        <v>313</v>
      </c>
      <c r="D59" s="102">
        <v>2.7087E-2</v>
      </c>
      <c r="E59" s="95" t="s">
        <v>313</v>
      </c>
      <c r="F59" s="102">
        <v>3.5677370000000002</v>
      </c>
      <c r="G59" s="95" t="s">
        <v>313</v>
      </c>
      <c r="H59" s="102">
        <v>1.0234999999999999E-2</v>
      </c>
      <c r="I59" s="126" t="s">
        <v>313</v>
      </c>
      <c r="J59" s="131">
        <v>4.7399999999999998E-2</v>
      </c>
      <c r="K59" s="126" t="s">
        <v>313</v>
      </c>
      <c r="L59" s="131">
        <v>0.25564799999999999</v>
      </c>
      <c r="M59" s="126" t="s">
        <v>313</v>
      </c>
      <c r="N59" s="131">
        <v>0.29982399999999998</v>
      </c>
      <c r="O59" s="126" t="s">
        <v>313</v>
      </c>
    </row>
    <row r="60" spans="1:15" x14ac:dyDescent="0.2">
      <c r="A60" s="82" t="s">
        <v>635</v>
      </c>
      <c r="B60" s="102" t="s">
        <v>319</v>
      </c>
      <c r="C60" s="95" t="s">
        <v>313</v>
      </c>
      <c r="D60" s="102">
        <v>2.7087E-2</v>
      </c>
      <c r="E60" s="95" t="s">
        <v>313</v>
      </c>
      <c r="F60" s="102">
        <v>3.5677370000000002</v>
      </c>
      <c r="G60" s="95" t="s">
        <v>313</v>
      </c>
      <c r="H60" s="102">
        <v>1.0234999999999999E-2</v>
      </c>
      <c r="I60" s="126" t="s">
        <v>313</v>
      </c>
      <c r="J60" s="131">
        <v>4.7399999999999998E-2</v>
      </c>
      <c r="K60" s="126" t="s">
        <v>313</v>
      </c>
      <c r="L60" s="131">
        <v>0.25564799999999999</v>
      </c>
      <c r="M60" s="126" t="s">
        <v>313</v>
      </c>
      <c r="N60" s="131">
        <v>0.29982399999999998</v>
      </c>
      <c r="O60" s="126" t="s">
        <v>313</v>
      </c>
    </row>
    <row r="61" spans="1:15" x14ac:dyDescent="0.2">
      <c r="A61" s="82" t="s">
        <v>636</v>
      </c>
      <c r="B61" s="102" t="s">
        <v>319</v>
      </c>
      <c r="C61" s="95" t="s">
        <v>313</v>
      </c>
      <c r="D61" s="102" t="s">
        <v>319</v>
      </c>
      <c r="E61" s="95" t="s">
        <v>313</v>
      </c>
      <c r="F61" s="102">
        <v>3.5331779999999999</v>
      </c>
      <c r="G61" s="95" t="s">
        <v>313</v>
      </c>
      <c r="H61" s="102" t="s">
        <v>319</v>
      </c>
      <c r="I61" s="126" t="s">
        <v>313</v>
      </c>
      <c r="J61" s="131">
        <v>4.7399999999999998E-2</v>
      </c>
      <c r="K61" s="126" t="s">
        <v>313</v>
      </c>
      <c r="L61" s="131">
        <v>0.25564799999999999</v>
      </c>
      <c r="M61" s="126" t="s">
        <v>313</v>
      </c>
      <c r="N61" s="131">
        <v>0.29982399999999998</v>
      </c>
      <c r="O61" s="126" t="s">
        <v>313</v>
      </c>
    </row>
    <row r="62" spans="1:15" x14ac:dyDescent="0.2">
      <c r="A62" s="82" t="s">
        <v>637</v>
      </c>
      <c r="B62" s="97" t="s">
        <v>319</v>
      </c>
      <c r="C62" s="95" t="s">
        <v>313</v>
      </c>
      <c r="D62" s="97" t="s">
        <v>319</v>
      </c>
      <c r="E62" s="95" t="s">
        <v>313</v>
      </c>
      <c r="F62" s="97" t="s">
        <v>319</v>
      </c>
      <c r="G62" s="95" t="s">
        <v>313</v>
      </c>
      <c r="H62" s="97" t="s">
        <v>319</v>
      </c>
      <c r="I62" s="126" t="s">
        <v>313</v>
      </c>
      <c r="J62" s="121" t="s">
        <v>319</v>
      </c>
      <c r="K62" s="126" t="s">
        <v>313</v>
      </c>
      <c r="L62" s="121" t="s">
        <v>319</v>
      </c>
      <c r="M62" s="126" t="s">
        <v>313</v>
      </c>
      <c r="N62" s="121" t="s">
        <v>319</v>
      </c>
      <c r="O62" s="126" t="s">
        <v>313</v>
      </c>
    </row>
    <row r="63" spans="1:15" x14ac:dyDescent="0.2">
      <c r="A63" s="82" t="s">
        <v>638</v>
      </c>
      <c r="B63" s="97" t="s">
        <v>313</v>
      </c>
      <c r="C63" s="95" t="s">
        <v>313</v>
      </c>
      <c r="D63" s="97" t="s">
        <v>319</v>
      </c>
      <c r="E63" s="95" t="s">
        <v>313</v>
      </c>
      <c r="F63" s="97" t="s">
        <v>319</v>
      </c>
      <c r="G63" s="95" t="s">
        <v>313</v>
      </c>
      <c r="H63" s="97" t="s">
        <v>319</v>
      </c>
      <c r="I63" s="126" t="s">
        <v>313</v>
      </c>
      <c r="J63" s="121" t="s">
        <v>319</v>
      </c>
      <c r="K63" s="126" t="s">
        <v>313</v>
      </c>
      <c r="L63" s="121" t="s">
        <v>319</v>
      </c>
      <c r="M63" s="126" t="s">
        <v>313</v>
      </c>
      <c r="N63" s="121" t="s">
        <v>319</v>
      </c>
      <c r="O63" s="126" t="s">
        <v>313</v>
      </c>
    </row>
    <row r="64" spans="1:15" x14ac:dyDescent="0.2">
      <c r="A64" s="82" t="s">
        <v>639</v>
      </c>
      <c r="B64" s="97" t="s">
        <v>319</v>
      </c>
      <c r="C64" s="95" t="s">
        <v>313</v>
      </c>
      <c r="D64" s="97" t="s">
        <v>319</v>
      </c>
      <c r="E64" s="95" t="s">
        <v>313</v>
      </c>
      <c r="F64" s="97" t="s">
        <v>319</v>
      </c>
      <c r="G64" s="95" t="s">
        <v>313</v>
      </c>
      <c r="H64" s="97" t="s">
        <v>319</v>
      </c>
      <c r="I64" s="126" t="s">
        <v>313</v>
      </c>
      <c r="J64" s="121" t="s">
        <v>319</v>
      </c>
      <c r="K64" s="126" t="s">
        <v>313</v>
      </c>
      <c r="L64" s="121" t="s">
        <v>319</v>
      </c>
      <c r="M64" s="126" t="s">
        <v>313</v>
      </c>
      <c r="N64" s="121" t="s">
        <v>319</v>
      </c>
      <c r="O64" s="126" t="s">
        <v>313</v>
      </c>
    </row>
    <row r="65" spans="1:15" x14ac:dyDescent="0.2">
      <c r="A65" s="82" t="s">
        <v>640</v>
      </c>
      <c r="B65" s="102" t="s">
        <v>319</v>
      </c>
      <c r="C65" s="95" t="s">
        <v>313</v>
      </c>
      <c r="D65" s="102" t="s">
        <v>319</v>
      </c>
      <c r="E65" s="95" t="s">
        <v>313</v>
      </c>
      <c r="F65" s="102" t="s">
        <v>319</v>
      </c>
      <c r="G65" s="95" t="s">
        <v>313</v>
      </c>
      <c r="H65" s="102" t="s">
        <v>319</v>
      </c>
      <c r="I65" s="126" t="s">
        <v>313</v>
      </c>
      <c r="J65" s="131" t="s">
        <v>319</v>
      </c>
      <c r="K65" s="126" t="s">
        <v>313</v>
      </c>
      <c r="L65" s="131" t="s">
        <v>319</v>
      </c>
      <c r="M65" s="126" t="s">
        <v>313</v>
      </c>
      <c r="N65" s="131" t="s">
        <v>319</v>
      </c>
      <c r="O65" s="126" t="s">
        <v>313</v>
      </c>
    </row>
    <row r="66" spans="1:15" x14ac:dyDescent="0.2">
      <c r="A66" s="82"/>
      <c r="B66" s="82"/>
      <c r="C66" s="125"/>
      <c r="D66" s="82"/>
      <c r="E66" s="125"/>
      <c r="F66" s="82"/>
      <c r="G66" s="125"/>
      <c r="H66" s="82"/>
      <c r="J66" s="122"/>
      <c r="L66" s="122"/>
      <c r="N66" s="122"/>
    </row>
    <row r="67" spans="1:15" x14ac:dyDescent="0.2">
      <c r="A67" s="90" t="s">
        <v>641</v>
      </c>
      <c r="B67" s="82"/>
      <c r="C67" s="125"/>
      <c r="D67" s="82"/>
      <c r="E67" s="125"/>
      <c r="F67" s="82"/>
      <c r="G67" s="125"/>
      <c r="H67" s="82"/>
      <c r="J67" s="122"/>
      <c r="L67" s="122"/>
      <c r="N67" s="122"/>
    </row>
    <row r="68" spans="1:15" x14ac:dyDescent="0.2">
      <c r="A68" s="82" t="s">
        <v>642</v>
      </c>
      <c r="B68" s="98" t="s">
        <v>313</v>
      </c>
      <c r="C68" s="95" t="s">
        <v>313</v>
      </c>
      <c r="D68" s="98" t="s">
        <v>313</v>
      </c>
      <c r="E68" s="95" t="s">
        <v>313</v>
      </c>
      <c r="F68" s="98">
        <v>313</v>
      </c>
      <c r="G68" s="95">
        <v>9.6865038840000008E-3</v>
      </c>
      <c r="H68" s="98">
        <v>313</v>
      </c>
      <c r="I68" s="126">
        <v>1</v>
      </c>
      <c r="J68" s="127" t="s">
        <v>313</v>
      </c>
      <c r="K68" s="126" t="s">
        <v>313</v>
      </c>
      <c r="L68" s="127" t="s">
        <v>313</v>
      </c>
      <c r="M68" s="126" t="s">
        <v>313</v>
      </c>
      <c r="N68" s="127" t="s">
        <v>313</v>
      </c>
      <c r="O68" s="126" t="s">
        <v>313</v>
      </c>
    </row>
    <row r="69" spans="1:15" x14ac:dyDescent="0.2">
      <c r="A69" s="82"/>
      <c r="B69" s="82"/>
      <c r="C69" s="125"/>
      <c r="D69" s="82"/>
      <c r="E69" s="125"/>
      <c r="F69" s="82"/>
      <c r="G69" s="125"/>
      <c r="H69" s="82"/>
      <c r="J69" s="122"/>
      <c r="L69" s="122"/>
      <c r="N69" s="122"/>
    </row>
    <row r="70" spans="1:15" x14ac:dyDescent="0.2">
      <c r="A70" s="82" t="s">
        <v>643</v>
      </c>
      <c r="B70" s="98" t="s">
        <v>313</v>
      </c>
      <c r="C70" s="95" t="s">
        <v>313</v>
      </c>
      <c r="D70" s="98" t="s">
        <v>313</v>
      </c>
      <c r="E70" s="95" t="s">
        <v>313</v>
      </c>
      <c r="F70" s="98" t="s">
        <v>313</v>
      </c>
      <c r="G70" s="95" t="s">
        <v>313</v>
      </c>
      <c r="H70" s="98" t="s">
        <v>313</v>
      </c>
      <c r="I70" s="126" t="s">
        <v>313</v>
      </c>
      <c r="J70" s="127">
        <v>67.498999999999995</v>
      </c>
      <c r="K70" s="126" t="s">
        <v>313</v>
      </c>
      <c r="L70" s="127">
        <v>1068.47</v>
      </c>
      <c r="M70" s="126" t="s">
        <v>313</v>
      </c>
      <c r="N70" s="127" t="s">
        <v>313</v>
      </c>
      <c r="O70" s="126" t="s">
        <v>313</v>
      </c>
    </row>
    <row r="71" spans="1:15" x14ac:dyDescent="0.2">
      <c r="A71" s="82" t="s">
        <v>644</v>
      </c>
      <c r="B71" s="98" t="s">
        <v>313</v>
      </c>
      <c r="C71" s="95" t="s">
        <v>313</v>
      </c>
      <c r="D71" s="98" t="s">
        <v>313</v>
      </c>
      <c r="E71" s="95" t="s">
        <v>313</v>
      </c>
      <c r="F71" s="98" t="s">
        <v>313</v>
      </c>
      <c r="G71" s="95" t="s">
        <v>313</v>
      </c>
      <c r="H71" s="98" t="s">
        <v>313</v>
      </c>
      <c r="I71" s="126" t="s">
        <v>313</v>
      </c>
      <c r="J71" s="127">
        <v>163.67500000000001</v>
      </c>
      <c r="K71" s="126" t="s">
        <v>313</v>
      </c>
      <c r="L71" s="127">
        <v>1340.0160000000001</v>
      </c>
      <c r="M71" s="126" t="s">
        <v>313</v>
      </c>
      <c r="N71" s="127" t="s">
        <v>313</v>
      </c>
      <c r="O71" s="126" t="s">
        <v>313</v>
      </c>
    </row>
    <row r="72" spans="1:15" x14ac:dyDescent="0.2">
      <c r="A72" s="82" t="s">
        <v>645</v>
      </c>
      <c r="B72" s="98" t="s">
        <v>313</v>
      </c>
      <c r="C72" s="95" t="s">
        <v>313</v>
      </c>
      <c r="D72" s="98" t="s">
        <v>313</v>
      </c>
      <c r="E72" s="95" t="s">
        <v>313</v>
      </c>
      <c r="F72" s="98" t="s">
        <v>313</v>
      </c>
      <c r="G72" s="95" t="s">
        <v>313</v>
      </c>
      <c r="H72" s="98" t="s">
        <v>313</v>
      </c>
      <c r="I72" s="126" t="s">
        <v>313</v>
      </c>
      <c r="J72" s="127">
        <v>178.01300000000001</v>
      </c>
      <c r="K72" s="126" t="s">
        <v>313</v>
      </c>
      <c r="L72" s="127">
        <v>1363.54</v>
      </c>
      <c r="M72" s="126" t="s">
        <v>313</v>
      </c>
      <c r="N72" s="127" t="s">
        <v>313</v>
      </c>
      <c r="O72" s="126" t="s">
        <v>313</v>
      </c>
    </row>
    <row r="73" spans="1:15" x14ac:dyDescent="0.2">
      <c r="A73" s="82" t="s">
        <v>646</v>
      </c>
      <c r="B73" s="98" t="s">
        <v>313</v>
      </c>
      <c r="C73" s="95" t="s">
        <v>313</v>
      </c>
      <c r="D73" s="98" t="s">
        <v>313</v>
      </c>
      <c r="E73" s="95" t="s">
        <v>313</v>
      </c>
      <c r="F73" s="98" t="s">
        <v>313</v>
      </c>
      <c r="G73" s="95" t="s">
        <v>313</v>
      </c>
      <c r="H73" s="98" t="s">
        <v>313</v>
      </c>
      <c r="I73" s="126" t="s">
        <v>313</v>
      </c>
      <c r="J73" s="127">
        <v>181.101</v>
      </c>
      <c r="K73" s="126" t="s">
        <v>313</v>
      </c>
      <c r="L73" s="127">
        <v>1378.6420000000001</v>
      </c>
      <c r="M73" s="126" t="s">
        <v>313</v>
      </c>
      <c r="N73" s="127" t="s">
        <v>313</v>
      </c>
      <c r="O73" s="126" t="s">
        <v>313</v>
      </c>
    </row>
    <row r="74" spans="1:15" x14ac:dyDescent="0.2">
      <c r="A74" s="82" t="s">
        <v>647</v>
      </c>
      <c r="B74" s="98" t="s">
        <v>313</v>
      </c>
      <c r="C74" s="95" t="s">
        <v>313</v>
      </c>
      <c r="D74" s="98" t="s">
        <v>313</v>
      </c>
      <c r="E74" s="95" t="s">
        <v>313</v>
      </c>
      <c r="F74" s="98" t="s">
        <v>313</v>
      </c>
      <c r="G74" s="95" t="s">
        <v>313</v>
      </c>
      <c r="H74" s="98" t="s">
        <v>313</v>
      </c>
      <c r="I74" s="126" t="s">
        <v>313</v>
      </c>
      <c r="J74" s="127">
        <v>184.18899999999999</v>
      </c>
      <c r="K74" s="126" t="s">
        <v>313</v>
      </c>
      <c r="L74" s="127">
        <v>1398.681</v>
      </c>
      <c r="M74" s="126" t="s">
        <v>313</v>
      </c>
      <c r="N74" s="127" t="s">
        <v>313</v>
      </c>
      <c r="O74" s="126" t="s">
        <v>313</v>
      </c>
    </row>
    <row r="75" spans="1:15" x14ac:dyDescent="0.2">
      <c r="A75" s="82" t="s">
        <v>648</v>
      </c>
      <c r="B75" s="98" t="s">
        <v>313</v>
      </c>
      <c r="C75" s="95" t="s">
        <v>313</v>
      </c>
      <c r="D75" s="98" t="s">
        <v>313</v>
      </c>
      <c r="E75" s="95" t="s">
        <v>313</v>
      </c>
      <c r="F75" s="98" t="s">
        <v>313</v>
      </c>
      <c r="G75" s="95" t="s">
        <v>313</v>
      </c>
      <c r="H75" s="98" t="s">
        <v>313</v>
      </c>
      <c r="I75" s="126" t="s">
        <v>313</v>
      </c>
      <c r="J75" s="127">
        <v>774.47699999999998</v>
      </c>
      <c r="K75" s="126" t="s">
        <v>313</v>
      </c>
      <c r="L75" s="127">
        <v>6549.3490000000002</v>
      </c>
      <c r="M75" s="126" t="s">
        <v>313</v>
      </c>
      <c r="N75" s="127" t="s">
        <v>313</v>
      </c>
      <c r="O75" s="126" t="s">
        <v>313</v>
      </c>
    </row>
    <row r="76" spans="1:15" x14ac:dyDescent="0.2">
      <c r="A76" s="82" t="s">
        <v>649</v>
      </c>
      <c r="B76" s="98" t="s">
        <v>313</v>
      </c>
      <c r="C76" s="95" t="s">
        <v>313</v>
      </c>
      <c r="D76" s="98" t="s">
        <v>313</v>
      </c>
      <c r="E76" s="95" t="s">
        <v>313</v>
      </c>
      <c r="F76" s="98" t="s">
        <v>313</v>
      </c>
      <c r="G76" s="95" t="s">
        <v>313</v>
      </c>
      <c r="H76" s="98" t="s">
        <v>313</v>
      </c>
      <c r="I76" s="126" t="s">
        <v>313</v>
      </c>
      <c r="J76" s="127">
        <v>1232.5229999999999</v>
      </c>
      <c r="K76" s="126" t="s">
        <v>313</v>
      </c>
      <c r="L76" s="127">
        <v>7968.6509999999998</v>
      </c>
      <c r="M76" s="126" t="s">
        <v>313</v>
      </c>
      <c r="N76" s="127">
        <v>17030</v>
      </c>
      <c r="O76" s="126" t="s">
        <v>313</v>
      </c>
    </row>
    <row r="77" spans="1:15" x14ac:dyDescent="0.2">
      <c r="A77" s="82" t="s">
        <v>650</v>
      </c>
      <c r="B77" s="98" t="s">
        <v>313</v>
      </c>
      <c r="C77" s="95" t="s">
        <v>313</v>
      </c>
      <c r="D77" s="98" t="s">
        <v>313</v>
      </c>
      <c r="E77" s="95" t="s">
        <v>313</v>
      </c>
      <c r="F77" s="98" t="s">
        <v>313</v>
      </c>
      <c r="G77" s="95" t="s">
        <v>313</v>
      </c>
      <c r="H77" s="98" t="s">
        <v>313</v>
      </c>
      <c r="I77" s="126" t="s">
        <v>313</v>
      </c>
      <c r="J77" s="127" t="s">
        <v>313</v>
      </c>
      <c r="K77" s="126" t="s">
        <v>313</v>
      </c>
      <c r="L77" s="127">
        <v>3679</v>
      </c>
      <c r="M77" s="126" t="s">
        <v>313</v>
      </c>
      <c r="N77" s="127" t="s">
        <v>313</v>
      </c>
      <c r="O77" s="126" t="s">
        <v>313</v>
      </c>
    </row>
    <row r="78" spans="1:15" x14ac:dyDescent="0.2">
      <c r="A78" s="82"/>
      <c r="B78" s="82"/>
      <c r="C78" s="125"/>
      <c r="D78" s="82"/>
      <c r="E78" s="125"/>
      <c r="F78" s="82"/>
      <c r="G78" s="125"/>
      <c r="H78" s="82"/>
      <c r="J78" s="122"/>
      <c r="L78" s="122"/>
      <c r="N78" s="122"/>
    </row>
    <row r="79" spans="1:15" x14ac:dyDescent="0.2">
      <c r="A79" s="82" t="s">
        <v>651</v>
      </c>
      <c r="B79" s="98" t="s">
        <v>313</v>
      </c>
      <c r="C79" s="95" t="s">
        <v>313</v>
      </c>
      <c r="D79" s="98">
        <v>6464</v>
      </c>
      <c r="E79" s="95" t="s">
        <v>313</v>
      </c>
      <c r="F79" s="98">
        <v>10690</v>
      </c>
      <c r="G79" s="95" t="s">
        <v>313</v>
      </c>
      <c r="H79" s="98">
        <v>14199</v>
      </c>
      <c r="I79" s="126" t="s">
        <v>313</v>
      </c>
      <c r="J79" s="127">
        <v>20688</v>
      </c>
      <c r="K79" s="126" t="s">
        <v>313</v>
      </c>
      <c r="L79" s="127">
        <v>24123</v>
      </c>
      <c r="M79" s="126" t="s">
        <v>313</v>
      </c>
      <c r="N79" s="127" t="s">
        <v>313</v>
      </c>
      <c r="O79" s="126" t="s">
        <v>313</v>
      </c>
    </row>
    <row r="80" spans="1:15" x14ac:dyDescent="0.2">
      <c r="A80" s="82" t="s">
        <v>652</v>
      </c>
      <c r="B80" s="98" t="s">
        <v>313</v>
      </c>
      <c r="C80" s="95" t="s">
        <v>313</v>
      </c>
      <c r="D80" s="98">
        <v>10349</v>
      </c>
      <c r="E80" s="95" t="s">
        <v>313</v>
      </c>
      <c r="F80" s="98">
        <v>13152</v>
      </c>
      <c r="G80" s="95" t="s">
        <v>313</v>
      </c>
      <c r="H80" s="98">
        <v>15664</v>
      </c>
      <c r="I80" s="126" t="s">
        <v>313</v>
      </c>
      <c r="J80" s="127">
        <v>21872</v>
      </c>
      <c r="K80" s="126" t="s">
        <v>313</v>
      </c>
      <c r="L80" s="127">
        <v>26045</v>
      </c>
      <c r="M80" s="126" t="s">
        <v>313</v>
      </c>
      <c r="N80" s="127" t="s">
        <v>313</v>
      </c>
      <c r="O80" s="126" t="s">
        <v>313</v>
      </c>
    </row>
    <row r="81" spans="1:15" x14ac:dyDescent="0.2">
      <c r="A81" s="82" t="s">
        <v>653</v>
      </c>
      <c r="B81" s="98" t="s">
        <v>313</v>
      </c>
      <c r="C81" s="95" t="s">
        <v>313</v>
      </c>
      <c r="D81" s="98">
        <v>12729</v>
      </c>
      <c r="E81" s="95" t="s">
        <v>313</v>
      </c>
      <c r="F81" s="98">
        <v>14059</v>
      </c>
      <c r="G81" s="95" t="s">
        <v>313</v>
      </c>
      <c r="H81" s="98">
        <v>16329</v>
      </c>
      <c r="I81" s="126" t="s">
        <v>313</v>
      </c>
      <c r="J81" s="127">
        <v>22173</v>
      </c>
      <c r="K81" s="126" t="s">
        <v>313</v>
      </c>
      <c r="L81" s="127">
        <v>25817</v>
      </c>
      <c r="M81" s="126" t="s">
        <v>313</v>
      </c>
      <c r="N81" s="127" t="s">
        <v>313</v>
      </c>
      <c r="O81" s="126" t="s">
        <v>313</v>
      </c>
    </row>
    <row r="82" spans="1:15" x14ac:dyDescent="0.2">
      <c r="A82" s="82" t="s">
        <v>654</v>
      </c>
      <c r="B82" s="98" t="s">
        <v>313</v>
      </c>
      <c r="C82" s="95" t="s">
        <v>313</v>
      </c>
      <c r="D82" s="98">
        <v>13595</v>
      </c>
      <c r="E82" s="95" t="s">
        <v>313</v>
      </c>
      <c r="F82" s="98">
        <v>14440</v>
      </c>
      <c r="G82" s="95" t="s">
        <v>313</v>
      </c>
      <c r="H82" s="98">
        <v>16507</v>
      </c>
      <c r="I82" s="126" t="s">
        <v>313</v>
      </c>
      <c r="J82" s="127">
        <v>21766</v>
      </c>
      <c r="K82" s="126" t="s">
        <v>313</v>
      </c>
      <c r="L82" s="127">
        <v>26076</v>
      </c>
      <c r="M82" s="126" t="s">
        <v>313</v>
      </c>
      <c r="N82" s="127" t="s">
        <v>313</v>
      </c>
      <c r="O82" s="126" t="s">
        <v>313</v>
      </c>
    </row>
    <row r="83" spans="1:15" x14ac:dyDescent="0.2">
      <c r="A83" s="82" t="s">
        <v>655</v>
      </c>
      <c r="B83" s="98" t="s">
        <v>313</v>
      </c>
      <c r="C83" s="95" t="s">
        <v>313</v>
      </c>
      <c r="D83" s="98">
        <v>13973</v>
      </c>
      <c r="E83" s="95" t="s">
        <v>313</v>
      </c>
      <c r="F83" s="98">
        <v>14603</v>
      </c>
      <c r="G83" s="95" t="s">
        <v>313</v>
      </c>
      <c r="H83" s="98">
        <v>15982</v>
      </c>
      <c r="I83" s="126" t="s">
        <v>313</v>
      </c>
      <c r="J83" s="127">
        <v>21965</v>
      </c>
      <c r="K83" s="126" t="s">
        <v>313</v>
      </c>
      <c r="L83" s="127">
        <v>26506</v>
      </c>
      <c r="M83" s="126" t="s">
        <v>313</v>
      </c>
      <c r="N83" s="127" t="s">
        <v>313</v>
      </c>
      <c r="O83" s="126" t="s">
        <v>313</v>
      </c>
    </row>
    <row r="84" spans="1:15" x14ac:dyDescent="0.2">
      <c r="A84" s="82" t="s">
        <v>656</v>
      </c>
      <c r="B84" s="98" t="s">
        <v>313</v>
      </c>
      <c r="C84" s="95" t="s">
        <v>313</v>
      </c>
      <c r="D84" s="98">
        <v>57110</v>
      </c>
      <c r="E84" s="95" t="s">
        <v>313</v>
      </c>
      <c r="F84" s="98">
        <v>66944</v>
      </c>
      <c r="G84" s="95" t="s">
        <v>313</v>
      </c>
      <c r="H84" s="98">
        <v>78681</v>
      </c>
      <c r="I84" s="126" t="s">
        <v>313</v>
      </c>
      <c r="J84" s="127">
        <v>108464</v>
      </c>
      <c r="K84" s="126" t="s">
        <v>313</v>
      </c>
      <c r="L84" s="127">
        <v>128567</v>
      </c>
      <c r="M84" s="126" t="s">
        <v>313</v>
      </c>
      <c r="N84" s="127" t="s">
        <v>313</v>
      </c>
      <c r="O84" s="126" t="s">
        <v>313</v>
      </c>
    </row>
    <row r="85" spans="1:15" x14ac:dyDescent="0.2">
      <c r="A85" s="82" t="s">
        <v>657</v>
      </c>
      <c r="B85" s="98" t="s">
        <v>313</v>
      </c>
      <c r="C85" s="95" t="s">
        <v>313</v>
      </c>
      <c r="D85" s="98">
        <v>109105</v>
      </c>
      <c r="E85" s="95" t="s">
        <v>313</v>
      </c>
      <c r="F85" s="98">
        <v>99093</v>
      </c>
      <c r="G85" s="95" t="s">
        <v>313</v>
      </c>
      <c r="H85" s="98">
        <v>97415</v>
      </c>
      <c r="I85" s="126" t="s">
        <v>313</v>
      </c>
      <c r="J85" s="127">
        <v>123372</v>
      </c>
      <c r="K85" s="126" t="s">
        <v>313</v>
      </c>
      <c r="L85" s="127">
        <v>143244</v>
      </c>
      <c r="M85" s="126" t="s">
        <v>313</v>
      </c>
      <c r="N85" s="127" t="s">
        <v>313</v>
      </c>
      <c r="O85" s="126" t="s">
        <v>313</v>
      </c>
    </row>
    <row r="86" spans="1:15" x14ac:dyDescent="0.2">
      <c r="A86" s="82"/>
      <c r="B86" s="82"/>
      <c r="C86" s="125"/>
      <c r="D86" s="82"/>
      <c r="E86" s="125"/>
      <c r="F86" s="82"/>
      <c r="G86" s="125"/>
      <c r="H86" s="82"/>
      <c r="J86" s="122"/>
      <c r="L86" s="122"/>
      <c r="N86" s="122"/>
    </row>
    <row r="87" spans="1:15" x14ac:dyDescent="0.2">
      <c r="A87" s="82" t="s">
        <v>658</v>
      </c>
      <c r="B87" s="98" t="s">
        <v>313</v>
      </c>
      <c r="C87" s="95" t="s">
        <v>313</v>
      </c>
      <c r="D87" s="98" t="s">
        <v>313</v>
      </c>
      <c r="E87" s="95" t="s">
        <v>313</v>
      </c>
      <c r="F87" s="98">
        <v>42785</v>
      </c>
      <c r="G87" s="95" t="s">
        <v>313</v>
      </c>
      <c r="H87" s="98">
        <v>20888</v>
      </c>
      <c r="I87" s="126" t="s">
        <v>313</v>
      </c>
      <c r="J87" s="127">
        <v>37072</v>
      </c>
      <c r="K87" s="126" t="s">
        <v>313</v>
      </c>
      <c r="L87" s="127">
        <v>85948</v>
      </c>
      <c r="M87" s="126" t="s">
        <v>313</v>
      </c>
      <c r="N87" s="127" t="s">
        <v>313</v>
      </c>
      <c r="O87" s="126" t="s">
        <v>313</v>
      </c>
    </row>
    <row r="88" spans="1:15" x14ac:dyDescent="0.2">
      <c r="A88" s="82" t="s">
        <v>659</v>
      </c>
      <c r="B88" s="98" t="s">
        <v>313</v>
      </c>
      <c r="C88" s="95" t="s">
        <v>313</v>
      </c>
      <c r="D88" s="98" t="s">
        <v>313</v>
      </c>
      <c r="E88" s="95" t="s">
        <v>313</v>
      </c>
      <c r="F88" s="98">
        <v>891</v>
      </c>
      <c r="G88" s="95" t="s">
        <v>313</v>
      </c>
      <c r="H88" s="98">
        <v>13740</v>
      </c>
      <c r="I88" s="126" t="s">
        <v>313</v>
      </c>
      <c r="J88" s="127">
        <v>30780</v>
      </c>
      <c r="K88" s="126" t="s">
        <v>313</v>
      </c>
      <c r="L88" s="127">
        <v>14238</v>
      </c>
      <c r="M88" s="126" t="s">
        <v>313</v>
      </c>
      <c r="N88" s="127" t="s">
        <v>313</v>
      </c>
      <c r="O88" s="126" t="s">
        <v>313</v>
      </c>
    </row>
    <row r="89" spans="1:15" x14ac:dyDescent="0.2">
      <c r="A89" s="82" t="s">
        <v>660</v>
      </c>
      <c r="B89" s="98" t="s">
        <v>313</v>
      </c>
      <c r="C89" s="95" t="s">
        <v>313</v>
      </c>
      <c r="D89" s="98" t="s">
        <v>313</v>
      </c>
      <c r="E89" s="95" t="s">
        <v>313</v>
      </c>
      <c r="F89" s="98">
        <v>891</v>
      </c>
      <c r="G89" s="95" t="s">
        <v>313</v>
      </c>
      <c r="H89" s="98">
        <v>13740</v>
      </c>
      <c r="I89" s="126" t="s">
        <v>313</v>
      </c>
      <c r="J89" s="127">
        <v>30780</v>
      </c>
      <c r="K89" s="126" t="s">
        <v>313</v>
      </c>
      <c r="L89" s="127">
        <v>14238</v>
      </c>
      <c r="M89" s="126" t="s">
        <v>313</v>
      </c>
      <c r="N89" s="127" t="s">
        <v>313</v>
      </c>
      <c r="O89" s="126" t="s">
        <v>313</v>
      </c>
    </row>
    <row r="90" spans="1:15" x14ac:dyDescent="0.2">
      <c r="A90" s="82" t="s">
        <v>661</v>
      </c>
      <c r="B90" s="98" t="s">
        <v>313</v>
      </c>
      <c r="C90" s="95" t="s">
        <v>313</v>
      </c>
      <c r="D90" s="98">
        <v>1225</v>
      </c>
      <c r="E90" s="95" t="s">
        <v>313</v>
      </c>
      <c r="F90" s="98">
        <v>1225</v>
      </c>
      <c r="G90" s="95" t="s">
        <v>313</v>
      </c>
      <c r="H90" s="98">
        <v>12849</v>
      </c>
      <c r="I90" s="126" t="s">
        <v>313</v>
      </c>
      <c r="J90" s="127">
        <v>15824.5</v>
      </c>
      <c r="K90" s="126" t="s">
        <v>313</v>
      </c>
      <c r="L90" s="127">
        <v>15609</v>
      </c>
      <c r="M90" s="126" t="s">
        <v>313</v>
      </c>
      <c r="N90" s="127" t="s">
        <v>313</v>
      </c>
      <c r="O90" s="126" t="s">
        <v>313</v>
      </c>
    </row>
    <row r="91" spans="1:15" x14ac:dyDescent="0.2">
      <c r="A91" s="82" t="s">
        <v>662</v>
      </c>
      <c r="B91" s="98" t="s">
        <v>313</v>
      </c>
      <c r="C91" s="95" t="s">
        <v>313</v>
      </c>
      <c r="D91" s="98">
        <v>1225</v>
      </c>
      <c r="E91" s="95" t="s">
        <v>313</v>
      </c>
      <c r="F91" s="98">
        <v>1225</v>
      </c>
      <c r="G91" s="95" t="s">
        <v>313</v>
      </c>
      <c r="H91" s="98">
        <v>12849</v>
      </c>
      <c r="I91" s="126" t="s">
        <v>313</v>
      </c>
      <c r="J91" s="127">
        <v>15824.5</v>
      </c>
      <c r="K91" s="126" t="s">
        <v>313</v>
      </c>
      <c r="L91" s="127">
        <v>15609</v>
      </c>
      <c r="M91" s="126" t="s">
        <v>313</v>
      </c>
      <c r="N91" s="127" t="s">
        <v>313</v>
      </c>
      <c r="O91" s="126" t="s">
        <v>313</v>
      </c>
    </row>
    <row r="92" spans="1:15" x14ac:dyDescent="0.2">
      <c r="A92" s="82" t="s">
        <v>663</v>
      </c>
      <c r="B92" s="98" t="s">
        <v>313</v>
      </c>
      <c r="C92" s="95" t="s">
        <v>313</v>
      </c>
      <c r="D92" s="98">
        <v>2450</v>
      </c>
      <c r="E92" s="95" t="s">
        <v>313</v>
      </c>
      <c r="F92" s="98">
        <v>47017</v>
      </c>
      <c r="G92" s="95" t="s">
        <v>313</v>
      </c>
      <c r="H92" s="98">
        <v>74066</v>
      </c>
      <c r="I92" s="126" t="s">
        <v>313</v>
      </c>
      <c r="J92" s="127">
        <v>130281</v>
      </c>
      <c r="K92" s="126" t="s">
        <v>313</v>
      </c>
      <c r="L92" s="127">
        <v>145642</v>
      </c>
      <c r="M92" s="126" t="s">
        <v>313</v>
      </c>
      <c r="N92" s="127" t="s">
        <v>313</v>
      </c>
      <c r="O92" s="126" t="s">
        <v>313</v>
      </c>
    </row>
    <row r="93" spans="1:15" x14ac:dyDescent="0.2">
      <c r="A93" s="82" t="s">
        <v>664</v>
      </c>
      <c r="B93" s="98" t="s">
        <v>313</v>
      </c>
      <c r="C93" s="95" t="s">
        <v>313</v>
      </c>
      <c r="D93" s="98" t="s">
        <v>313</v>
      </c>
      <c r="E93" s="95" t="s">
        <v>313</v>
      </c>
      <c r="F93" s="98" t="s">
        <v>313</v>
      </c>
      <c r="G93" s="95" t="s">
        <v>313</v>
      </c>
      <c r="H93" s="98">
        <v>175157</v>
      </c>
      <c r="I93" s="126" t="s">
        <v>313</v>
      </c>
      <c r="J93" s="127">
        <v>234837</v>
      </c>
      <c r="K93" s="126" t="s">
        <v>313</v>
      </c>
      <c r="L93" s="127">
        <v>183244</v>
      </c>
      <c r="M93" s="126" t="s">
        <v>313</v>
      </c>
      <c r="N93" s="127" t="s">
        <v>313</v>
      </c>
      <c r="O93" s="126" t="s">
        <v>313</v>
      </c>
    </row>
    <row r="94" spans="1:15" x14ac:dyDescent="0.2">
      <c r="A94" s="82" t="s">
        <v>665</v>
      </c>
      <c r="B94" s="98" t="s">
        <v>313</v>
      </c>
      <c r="C94" s="95" t="s">
        <v>313</v>
      </c>
      <c r="D94" s="98">
        <v>2450</v>
      </c>
      <c r="E94" s="95" t="s">
        <v>313</v>
      </c>
      <c r="F94" s="98">
        <v>47017</v>
      </c>
      <c r="G94" s="95" t="s">
        <v>313</v>
      </c>
      <c r="H94" s="98">
        <v>249223</v>
      </c>
      <c r="I94" s="126" t="s">
        <v>313</v>
      </c>
      <c r="J94" s="127">
        <v>365118</v>
      </c>
      <c r="K94" s="126" t="s">
        <v>313</v>
      </c>
      <c r="L94" s="127">
        <v>328886</v>
      </c>
      <c r="M94" s="126" t="s">
        <v>313</v>
      </c>
      <c r="N94" s="127" t="s">
        <v>313</v>
      </c>
      <c r="O94" s="126" t="s">
        <v>313</v>
      </c>
    </row>
    <row r="95" spans="1:15" x14ac:dyDescent="0.2">
      <c r="A95" s="82"/>
      <c r="B95" s="82"/>
      <c r="C95" s="125"/>
      <c r="D95" s="82"/>
      <c r="E95" s="125"/>
      <c r="F95" s="82"/>
      <c r="G95" s="125"/>
      <c r="H95" s="82"/>
      <c r="J95" s="122"/>
      <c r="L95" s="122"/>
      <c r="N95" s="122"/>
    </row>
    <row r="96" spans="1:15" x14ac:dyDescent="0.2">
      <c r="A96" s="90" t="s">
        <v>666</v>
      </c>
      <c r="B96" s="82"/>
      <c r="C96" s="125"/>
      <c r="D96" s="82"/>
      <c r="E96" s="125"/>
      <c r="F96" s="82"/>
      <c r="G96" s="125"/>
      <c r="H96" s="82"/>
      <c r="J96" s="122"/>
      <c r="L96" s="122"/>
      <c r="N96" s="122"/>
    </row>
    <row r="97" spans="1:15" x14ac:dyDescent="0.2">
      <c r="A97" s="82" t="s">
        <v>436</v>
      </c>
      <c r="B97" s="110">
        <v>42090</v>
      </c>
      <c r="C97" s="95" t="s">
        <v>313</v>
      </c>
      <c r="D97" s="110">
        <v>42459</v>
      </c>
      <c r="E97" s="95" t="s">
        <v>313</v>
      </c>
      <c r="F97" s="110">
        <v>42807</v>
      </c>
      <c r="G97" s="95" t="s">
        <v>313</v>
      </c>
      <c r="H97" s="110">
        <v>43157</v>
      </c>
      <c r="I97" s="126" t="s">
        <v>313</v>
      </c>
      <c r="J97" s="132">
        <v>43157</v>
      </c>
      <c r="K97" s="126" t="s">
        <v>313</v>
      </c>
      <c r="L97" s="132">
        <v>43157</v>
      </c>
      <c r="M97" s="126" t="s">
        <v>313</v>
      </c>
      <c r="N97" s="132">
        <v>43227</v>
      </c>
      <c r="O97" s="126" t="s">
        <v>313</v>
      </c>
    </row>
    <row r="98" spans="1:15" ht="61.2" x14ac:dyDescent="0.2">
      <c r="A98" s="115" t="s">
        <v>361</v>
      </c>
      <c r="B98" s="99"/>
      <c r="C98" s="99"/>
      <c r="D98" s="99"/>
      <c r="E98" s="99"/>
      <c r="F98" s="99"/>
      <c r="G98" s="99"/>
      <c r="H98" s="99"/>
    </row>
  </sheetData>
  <mergeCells count="14">
    <mergeCell ref="N14:O14"/>
    <mergeCell ref="B26:C26"/>
    <mergeCell ref="D26:E26"/>
    <mergeCell ref="F26:G26"/>
    <mergeCell ref="H26:I26"/>
    <mergeCell ref="J26:K26"/>
    <mergeCell ref="L26:M26"/>
    <mergeCell ref="N26:O26"/>
    <mergeCell ref="B14:C14"/>
    <mergeCell ref="D14:E14"/>
    <mergeCell ref="F14:G14"/>
    <mergeCell ref="H14:I14"/>
    <mergeCell ref="J14:K14"/>
    <mergeCell ref="L14:M14"/>
  </mergeCells>
  <phoneticPr fontId="1" type="noConversion"/>
  <pageMargins left="0.2" right="0.2" top="0.5" bottom="0.5" header="0.5" footer="0.5"/>
  <pageSetup fitToWidth="0" fitToHeight="0"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3399FF"/>
    <outlinePr summaryBelow="0" summaryRight="0"/>
    <pageSetUpPr autoPageBreaks="0"/>
  </sheetPr>
  <dimension ref="A5:IU25"/>
  <sheetViews>
    <sheetView workbookViewId="0">
      <selection activeCell="C15" sqref="C15"/>
    </sheetView>
  </sheetViews>
  <sheetFormatPr defaultRowHeight="10.199999999999999" x14ac:dyDescent="0.2"/>
  <cols>
    <col min="1" max="1" width="30.59765625" style="79" customWidth="1"/>
    <col min="2" max="25" width="11.59765625" style="79" customWidth="1"/>
    <col min="26" max="256" width="9" style="79"/>
    <col min="257" max="257" width="18.19921875" style="79" customWidth="1"/>
    <col min="258" max="258" width="20" style="79" customWidth="1"/>
    <col min="259" max="259" width="13.796875" style="79" customWidth="1"/>
    <col min="260" max="260" width="11.19921875" style="79" customWidth="1"/>
    <col min="261" max="261" width="17.296875" style="79" customWidth="1"/>
    <col min="262" max="263" width="13.796875" style="79" customWidth="1"/>
    <col min="264" max="264" width="9.5" style="79" customWidth="1"/>
    <col min="265" max="265" width="14.69921875" style="79" customWidth="1"/>
    <col min="266" max="266" width="6.796875" style="79" customWidth="1"/>
    <col min="267" max="512" width="9" style="79"/>
    <col min="513" max="513" width="18.19921875" style="79" customWidth="1"/>
    <col min="514" max="514" width="20" style="79" customWidth="1"/>
    <col min="515" max="515" width="13.796875" style="79" customWidth="1"/>
    <col min="516" max="516" width="11.19921875" style="79" customWidth="1"/>
    <col min="517" max="517" width="17.296875" style="79" customWidth="1"/>
    <col min="518" max="519" width="13.796875" style="79" customWidth="1"/>
    <col min="520" max="520" width="9.5" style="79" customWidth="1"/>
    <col min="521" max="521" width="14.69921875" style="79" customWidth="1"/>
    <col min="522" max="522" width="6.796875" style="79" customWidth="1"/>
    <col min="523" max="768" width="9" style="79"/>
    <col min="769" max="769" width="18.19921875" style="79" customWidth="1"/>
    <col min="770" max="770" width="20" style="79" customWidth="1"/>
    <col min="771" max="771" width="13.796875" style="79" customWidth="1"/>
    <col min="772" max="772" width="11.19921875" style="79" customWidth="1"/>
    <col min="773" max="773" width="17.296875" style="79" customWidth="1"/>
    <col min="774" max="775" width="13.796875" style="79" customWidth="1"/>
    <col min="776" max="776" width="9.5" style="79" customWidth="1"/>
    <col min="777" max="777" width="14.69921875" style="79" customWidth="1"/>
    <col min="778" max="778" width="6.796875" style="79" customWidth="1"/>
    <col min="779" max="1024" width="9" style="79"/>
    <col min="1025" max="1025" width="18.19921875" style="79" customWidth="1"/>
    <col min="1026" max="1026" width="20" style="79" customWidth="1"/>
    <col min="1027" max="1027" width="13.796875" style="79" customWidth="1"/>
    <col min="1028" max="1028" width="11.19921875" style="79" customWidth="1"/>
    <col min="1029" max="1029" width="17.296875" style="79" customWidth="1"/>
    <col min="1030" max="1031" width="13.796875" style="79" customWidth="1"/>
    <col min="1032" max="1032" width="9.5" style="79" customWidth="1"/>
    <col min="1033" max="1033" width="14.69921875" style="79" customWidth="1"/>
    <col min="1034" max="1034" width="6.796875" style="79" customWidth="1"/>
    <col min="1035" max="1280" width="9" style="79"/>
    <col min="1281" max="1281" width="18.19921875" style="79" customWidth="1"/>
    <col min="1282" max="1282" width="20" style="79" customWidth="1"/>
    <col min="1283" max="1283" width="13.796875" style="79" customWidth="1"/>
    <col min="1284" max="1284" width="11.19921875" style="79" customWidth="1"/>
    <col min="1285" max="1285" width="17.296875" style="79" customWidth="1"/>
    <col min="1286" max="1287" width="13.796875" style="79" customWidth="1"/>
    <col min="1288" max="1288" width="9.5" style="79" customWidth="1"/>
    <col min="1289" max="1289" width="14.69921875" style="79" customWidth="1"/>
    <col min="1290" max="1290" width="6.796875" style="79" customWidth="1"/>
    <col min="1291" max="1536" width="9" style="79"/>
    <col min="1537" max="1537" width="18.19921875" style="79" customWidth="1"/>
    <col min="1538" max="1538" width="20" style="79" customWidth="1"/>
    <col min="1539" max="1539" width="13.796875" style="79" customWidth="1"/>
    <col min="1540" max="1540" width="11.19921875" style="79" customWidth="1"/>
    <col min="1541" max="1541" width="17.296875" style="79" customWidth="1"/>
    <col min="1542" max="1543" width="13.796875" style="79" customWidth="1"/>
    <col min="1544" max="1544" width="9.5" style="79" customWidth="1"/>
    <col min="1545" max="1545" width="14.69921875" style="79" customWidth="1"/>
    <col min="1546" max="1546" width="6.796875" style="79" customWidth="1"/>
    <col min="1547" max="1792" width="9" style="79"/>
    <col min="1793" max="1793" width="18.19921875" style="79" customWidth="1"/>
    <col min="1794" max="1794" width="20" style="79" customWidth="1"/>
    <col min="1795" max="1795" width="13.796875" style="79" customWidth="1"/>
    <col min="1796" max="1796" width="11.19921875" style="79" customWidth="1"/>
    <col min="1797" max="1797" width="17.296875" style="79" customWidth="1"/>
    <col min="1798" max="1799" width="13.796875" style="79" customWidth="1"/>
    <col min="1800" max="1800" width="9.5" style="79" customWidth="1"/>
    <col min="1801" max="1801" width="14.69921875" style="79" customWidth="1"/>
    <col min="1802" max="1802" width="6.796875" style="79" customWidth="1"/>
    <col min="1803" max="2048" width="9" style="79"/>
    <col min="2049" max="2049" width="18.19921875" style="79" customWidth="1"/>
    <col min="2050" max="2050" width="20" style="79" customWidth="1"/>
    <col min="2051" max="2051" width="13.796875" style="79" customWidth="1"/>
    <col min="2052" max="2052" width="11.19921875" style="79" customWidth="1"/>
    <col min="2053" max="2053" width="17.296875" style="79" customWidth="1"/>
    <col min="2054" max="2055" width="13.796875" style="79" customWidth="1"/>
    <col min="2056" max="2056" width="9.5" style="79" customWidth="1"/>
    <col min="2057" max="2057" width="14.69921875" style="79" customWidth="1"/>
    <col min="2058" max="2058" width="6.796875" style="79" customWidth="1"/>
    <col min="2059" max="2304" width="9" style="79"/>
    <col min="2305" max="2305" width="18.19921875" style="79" customWidth="1"/>
    <col min="2306" max="2306" width="20" style="79" customWidth="1"/>
    <col min="2307" max="2307" width="13.796875" style="79" customWidth="1"/>
    <col min="2308" max="2308" width="11.19921875" style="79" customWidth="1"/>
    <col min="2309" max="2309" width="17.296875" style="79" customWidth="1"/>
    <col min="2310" max="2311" width="13.796875" style="79" customWidth="1"/>
    <col min="2312" max="2312" width="9.5" style="79" customWidth="1"/>
    <col min="2313" max="2313" width="14.69921875" style="79" customWidth="1"/>
    <col min="2314" max="2314" width="6.796875" style="79" customWidth="1"/>
    <col min="2315" max="2560" width="9" style="79"/>
    <col min="2561" max="2561" width="18.19921875" style="79" customWidth="1"/>
    <col min="2562" max="2562" width="20" style="79" customWidth="1"/>
    <col min="2563" max="2563" width="13.796875" style="79" customWidth="1"/>
    <col min="2564" max="2564" width="11.19921875" style="79" customWidth="1"/>
    <col min="2565" max="2565" width="17.296875" style="79" customWidth="1"/>
    <col min="2566" max="2567" width="13.796875" style="79" customWidth="1"/>
    <col min="2568" max="2568" width="9.5" style="79" customWidth="1"/>
    <col min="2569" max="2569" width="14.69921875" style="79" customWidth="1"/>
    <col min="2570" max="2570" width="6.796875" style="79" customWidth="1"/>
    <col min="2571" max="2816" width="9" style="79"/>
    <col min="2817" max="2817" width="18.19921875" style="79" customWidth="1"/>
    <col min="2818" max="2818" width="20" style="79" customWidth="1"/>
    <col min="2819" max="2819" width="13.796875" style="79" customWidth="1"/>
    <col min="2820" max="2820" width="11.19921875" style="79" customWidth="1"/>
    <col min="2821" max="2821" width="17.296875" style="79" customWidth="1"/>
    <col min="2822" max="2823" width="13.796875" style="79" customWidth="1"/>
    <col min="2824" max="2824" width="9.5" style="79" customWidth="1"/>
    <col min="2825" max="2825" width="14.69921875" style="79" customWidth="1"/>
    <col min="2826" max="2826" width="6.796875" style="79" customWidth="1"/>
    <col min="2827" max="3072" width="9" style="79"/>
    <col min="3073" max="3073" width="18.19921875" style="79" customWidth="1"/>
    <col min="3074" max="3074" width="20" style="79" customWidth="1"/>
    <col min="3075" max="3075" width="13.796875" style="79" customWidth="1"/>
    <col min="3076" max="3076" width="11.19921875" style="79" customWidth="1"/>
    <col min="3077" max="3077" width="17.296875" style="79" customWidth="1"/>
    <col min="3078" max="3079" width="13.796875" style="79" customWidth="1"/>
    <col min="3080" max="3080" width="9.5" style="79" customWidth="1"/>
    <col min="3081" max="3081" width="14.69921875" style="79" customWidth="1"/>
    <col min="3082" max="3082" width="6.796875" style="79" customWidth="1"/>
    <col min="3083" max="3328" width="9" style="79"/>
    <col min="3329" max="3329" width="18.19921875" style="79" customWidth="1"/>
    <col min="3330" max="3330" width="20" style="79" customWidth="1"/>
    <col min="3331" max="3331" width="13.796875" style="79" customWidth="1"/>
    <col min="3332" max="3332" width="11.19921875" style="79" customWidth="1"/>
    <col min="3333" max="3333" width="17.296875" style="79" customWidth="1"/>
    <col min="3334" max="3335" width="13.796875" style="79" customWidth="1"/>
    <col min="3336" max="3336" width="9.5" style="79" customWidth="1"/>
    <col min="3337" max="3337" width="14.69921875" style="79" customWidth="1"/>
    <col min="3338" max="3338" width="6.796875" style="79" customWidth="1"/>
    <col min="3339" max="3584" width="9" style="79"/>
    <col min="3585" max="3585" width="18.19921875" style="79" customWidth="1"/>
    <col min="3586" max="3586" width="20" style="79" customWidth="1"/>
    <col min="3587" max="3587" width="13.796875" style="79" customWidth="1"/>
    <col min="3588" max="3588" width="11.19921875" style="79" customWidth="1"/>
    <col min="3589" max="3589" width="17.296875" style="79" customWidth="1"/>
    <col min="3590" max="3591" width="13.796875" style="79" customWidth="1"/>
    <col min="3592" max="3592" width="9.5" style="79" customWidth="1"/>
    <col min="3593" max="3593" width="14.69921875" style="79" customWidth="1"/>
    <col min="3594" max="3594" width="6.796875" style="79" customWidth="1"/>
    <col min="3595" max="3840" width="9" style="79"/>
    <col min="3841" max="3841" width="18.19921875" style="79" customWidth="1"/>
    <col min="3842" max="3842" width="20" style="79" customWidth="1"/>
    <col min="3843" max="3843" width="13.796875" style="79" customWidth="1"/>
    <col min="3844" max="3844" width="11.19921875" style="79" customWidth="1"/>
    <col min="3845" max="3845" width="17.296875" style="79" customWidth="1"/>
    <col min="3846" max="3847" width="13.796875" style="79" customWidth="1"/>
    <col min="3848" max="3848" width="9.5" style="79" customWidth="1"/>
    <col min="3849" max="3849" width="14.69921875" style="79" customWidth="1"/>
    <col min="3850" max="3850" width="6.796875" style="79" customWidth="1"/>
    <col min="3851" max="4096" width="9" style="79"/>
    <col min="4097" max="4097" width="18.19921875" style="79" customWidth="1"/>
    <col min="4098" max="4098" width="20" style="79" customWidth="1"/>
    <col min="4099" max="4099" width="13.796875" style="79" customWidth="1"/>
    <col min="4100" max="4100" width="11.19921875" style="79" customWidth="1"/>
    <col min="4101" max="4101" width="17.296875" style="79" customWidth="1"/>
    <col min="4102" max="4103" width="13.796875" style="79" customWidth="1"/>
    <col min="4104" max="4104" width="9.5" style="79" customWidth="1"/>
    <col min="4105" max="4105" width="14.69921875" style="79" customWidth="1"/>
    <col min="4106" max="4106" width="6.796875" style="79" customWidth="1"/>
    <col min="4107" max="4352" width="9" style="79"/>
    <col min="4353" max="4353" width="18.19921875" style="79" customWidth="1"/>
    <col min="4354" max="4354" width="20" style="79" customWidth="1"/>
    <col min="4355" max="4355" width="13.796875" style="79" customWidth="1"/>
    <col min="4356" max="4356" width="11.19921875" style="79" customWidth="1"/>
    <col min="4357" max="4357" width="17.296875" style="79" customWidth="1"/>
    <col min="4358" max="4359" width="13.796875" style="79" customWidth="1"/>
    <col min="4360" max="4360" width="9.5" style="79" customWidth="1"/>
    <col min="4361" max="4361" width="14.69921875" style="79" customWidth="1"/>
    <col min="4362" max="4362" width="6.796875" style="79" customWidth="1"/>
    <col min="4363" max="4608" width="9" style="79"/>
    <col min="4609" max="4609" width="18.19921875" style="79" customWidth="1"/>
    <col min="4610" max="4610" width="20" style="79" customWidth="1"/>
    <col min="4611" max="4611" width="13.796875" style="79" customWidth="1"/>
    <col min="4612" max="4612" width="11.19921875" style="79" customWidth="1"/>
    <col min="4613" max="4613" width="17.296875" style="79" customWidth="1"/>
    <col min="4614" max="4615" width="13.796875" style="79" customWidth="1"/>
    <col min="4616" max="4616" width="9.5" style="79" customWidth="1"/>
    <col min="4617" max="4617" width="14.69921875" style="79" customWidth="1"/>
    <col min="4618" max="4618" width="6.796875" style="79" customWidth="1"/>
    <col min="4619" max="4864" width="9" style="79"/>
    <col min="4865" max="4865" width="18.19921875" style="79" customWidth="1"/>
    <col min="4866" max="4866" width="20" style="79" customWidth="1"/>
    <col min="4867" max="4867" width="13.796875" style="79" customWidth="1"/>
    <col min="4868" max="4868" width="11.19921875" style="79" customWidth="1"/>
    <col min="4869" max="4869" width="17.296875" style="79" customWidth="1"/>
    <col min="4870" max="4871" width="13.796875" style="79" customWidth="1"/>
    <col min="4872" max="4872" width="9.5" style="79" customWidth="1"/>
    <col min="4873" max="4873" width="14.69921875" style="79" customWidth="1"/>
    <col min="4874" max="4874" width="6.796875" style="79" customWidth="1"/>
    <col min="4875" max="5120" width="9" style="79"/>
    <col min="5121" max="5121" width="18.19921875" style="79" customWidth="1"/>
    <col min="5122" max="5122" width="20" style="79" customWidth="1"/>
    <col min="5123" max="5123" width="13.796875" style="79" customWidth="1"/>
    <col min="5124" max="5124" width="11.19921875" style="79" customWidth="1"/>
    <col min="5125" max="5125" width="17.296875" style="79" customWidth="1"/>
    <col min="5126" max="5127" width="13.796875" style="79" customWidth="1"/>
    <col min="5128" max="5128" width="9.5" style="79" customWidth="1"/>
    <col min="5129" max="5129" width="14.69921875" style="79" customWidth="1"/>
    <col min="5130" max="5130" width="6.796875" style="79" customWidth="1"/>
    <col min="5131" max="5376" width="9" style="79"/>
    <col min="5377" max="5377" width="18.19921875" style="79" customWidth="1"/>
    <col min="5378" max="5378" width="20" style="79" customWidth="1"/>
    <col min="5379" max="5379" width="13.796875" style="79" customWidth="1"/>
    <col min="5380" max="5380" width="11.19921875" style="79" customWidth="1"/>
    <col min="5381" max="5381" width="17.296875" style="79" customWidth="1"/>
    <col min="5382" max="5383" width="13.796875" style="79" customWidth="1"/>
    <col min="5384" max="5384" width="9.5" style="79" customWidth="1"/>
    <col min="5385" max="5385" width="14.69921875" style="79" customWidth="1"/>
    <col min="5386" max="5386" width="6.796875" style="79" customWidth="1"/>
    <col min="5387" max="5632" width="9" style="79"/>
    <col min="5633" max="5633" width="18.19921875" style="79" customWidth="1"/>
    <col min="5634" max="5634" width="20" style="79" customWidth="1"/>
    <col min="5635" max="5635" width="13.796875" style="79" customWidth="1"/>
    <col min="5636" max="5636" width="11.19921875" style="79" customWidth="1"/>
    <col min="5637" max="5637" width="17.296875" style="79" customWidth="1"/>
    <col min="5638" max="5639" width="13.796875" style="79" customWidth="1"/>
    <col min="5640" max="5640" width="9.5" style="79" customWidth="1"/>
    <col min="5641" max="5641" width="14.69921875" style="79" customWidth="1"/>
    <col min="5642" max="5642" width="6.796875" style="79" customWidth="1"/>
    <col min="5643" max="5888" width="9" style="79"/>
    <col min="5889" max="5889" width="18.19921875" style="79" customWidth="1"/>
    <col min="5890" max="5890" width="20" style="79" customWidth="1"/>
    <col min="5891" max="5891" width="13.796875" style="79" customWidth="1"/>
    <col min="5892" max="5892" width="11.19921875" style="79" customWidth="1"/>
    <col min="5893" max="5893" width="17.296875" style="79" customWidth="1"/>
    <col min="5894" max="5895" width="13.796875" style="79" customWidth="1"/>
    <col min="5896" max="5896" width="9.5" style="79" customWidth="1"/>
    <col min="5897" max="5897" width="14.69921875" style="79" customWidth="1"/>
    <col min="5898" max="5898" width="6.796875" style="79" customWidth="1"/>
    <col min="5899" max="6144" width="9" style="79"/>
    <col min="6145" max="6145" width="18.19921875" style="79" customWidth="1"/>
    <col min="6146" max="6146" width="20" style="79" customWidth="1"/>
    <col min="6147" max="6147" width="13.796875" style="79" customWidth="1"/>
    <col min="6148" max="6148" width="11.19921875" style="79" customWidth="1"/>
    <col min="6149" max="6149" width="17.296875" style="79" customWidth="1"/>
    <col min="6150" max="6151" width="13.796875" style="79" customWidth="1"/>
    <col min="6152" max="6152" width="9.5" style="79" customWidth="1"/>
    <col min="6153" max="6153" width="14.69921875" style="79" customWidth="1"/>
    <col min="6154" max="6154" width="6.796875" style="79" customWidth="1"/>
    <col min="6155" max="6400" width="9" style="79"/>
    <col min="6401" max="6401" width="18.19921875" style="79" customWidth="1"/>
    <col min="6402" max="6402" width="20" style="79" customWidth="1"/>
    <col min="6403" max="6403" width="13.796875" style="79" customWidth="1"/>
    <col min="6404" max="6404" width="11.19921875" style="79" customWidth="1"/>
    <col min="6405" max="6405" width="17.296875" style="79" customWidth="1"/>
    <col min="6406" max="6407" width="13.796875" style="79" customWidth="1"/>
    <col min="6408" max="6408" width="9.5" style="79" customWidth="1"/>
    <col min="6409" max="6409" width="14.69921875" style="79" customWidth="1"/>
    <col min="6410" max="6410" width="6.796875" style="79" customWidth="1"/>
    <col min="6411" max="6656" width="9" style="79"/>
    <col min="6657" max="6657" width="18.19921875" style="79" customWidth="1"/>
    <col min="6658" max="6658" width="20" style="79" customWidth="1"/>
    <col min="6659" max="6659" width="13.796875" style="79" customWidth="1"/>
    <col min="6660" max="6660" width="11.19921875" style="79" customWidth="1"/>
    <col min="6661" max="6661" width="17.296875" style="79" customWidth="1"/>
    <col min="6662" max="6663" width="13.796875" style="79" customWidth="1"/>
    <col min="6664" max="6664" width="9.5" style="79" customWidth="1"/>
    <col min="6665" max="6665" width="14.69921875" style="79" customWidth="1"/>
    <col min="6666" max="6666" width="6.796875" style="79" customWidth="1"/>
    <col min="6667" max="6912" width="9" style="79"/>
    <col min="6913" max="6913" width="18.19921875" style="79" customWidth="1"/>
    <col min="6914" max="6914" width="20" style="79" customWidth="1"/>
    <col min="6915" max="6915" width="13.796875" style="79" customWidth="1"/>
    <col min="6916" max="6916" width="11.19921875" style="79" customWidth="1"/>
    <col min="6917" max="6917" width="17.296875" style="79" customWidth="1"/>
    <col min="6918" max="6919" width="13.796875" style="79" customWidth="1"/>
    <col min="6920" max="6920" width="9.5" style="79" customWidth="1"/>
    <col min="6921" max="6921" width="14.69921875" style="79" customWidth="1"/>
    <col min="6922" max="6922" width="6.796875" style="79" customWidth="1"/>
    <col min="6923" max="7168" width="9" style="79"/>
    <col min="7169" max="7169" width="18.19921875" style="79" customWidth="1"/>
    <col min="7170" max="7170" width="20" style="79" customWidth="1"/>
    <col min="7171" max="7171" width="13.796875" style="79" customWidth="1"/>
    <col min="7172" max="7172" width="11.19921875" style="79" customWidth="1"/>
    <col min="7173" max="7173" width="17.296875" style="79" customWidth="1"/>
    <col min="7174" max="7175" width="13.796875" style="79" customWidth="1"/>
    <col min="7176" max="7176" width="9.5" style="79" customWidth="1"/>
    <col min="7177" max="7177" width="14.69921875" style="79" customWidth="1"/>
    <col min="7178" max="7178" width="6.796875" style="79" customWidth="1"/>
    <col min="7179" max="7424" width="9" style="79"/>
    <col min="7425" max="7425" width="18.19921875" style="79" customWidth="1"/>
    <col min="7426" max="7426" width="20" style="79" customWidth="1"/>
    <col min="7427" max="7427" width="13.796875" style="79" customWidth="1"/>
    <col min="7428" max="7428" width="11.19921875" style="79" customWidth="1"/>
    <col min="7429" max="7429" width="17.296875" style="79" customWidth="1"/>
    <col min="7430" max="7431" width="13.796875" style="79" customWidth="1"/>
    <col min="7432" max="7432" width="9.5" style="79" customWidth="1"/>
    <col min="7433" max="7433" width="14.69921875" style="79" customWidth="1"/>
    <col min="7434" max="7434" width="6.796875" style="79" customWidth="1"/>
    <col min="7435" max="7680" width="9" style="79"/>
    <col min="7681" max="7681" width="18.19921875" style="79" customWidth="1"/>
    <col min="7682" max="7682" width="20" style="79" customWidth="1"/>
    <col min="7683" max="7683" width="13.796875" style="79" customWidth="1"/>
    <col min="7684" max="7684" width="11.19921875" style="79" customWidth="1"/>
    <col min="7685" max="7685" width="17.296875" style="79" customWidth="1"/>
    <col min="7686" max="7687" width="13.796875" style="79" customWidth="1"/>
    <col min="7688" max="7688" width="9.5" style="79" customWidth="1"/>
    <col min="7689" max="7689" width="14.69921875" style="79" customWidth="1"/>
    <col min="7690" max="7690" width="6.796875" style="79" customWidth="1"/>
    <col min="7691" max="7936" width="9" style="79"/>
    <col min="7937" max="7937" width="18.19921875" style="79" customWidth="1"/>
    <col min="7938" max="7938" width="20" style="79" customWidth="1"/>
    <col min="7939" max="7939" width="13.796875" style="79" customWidth="1"/>
    <col min="7940" max="7940" width="11.19921875" style="79" customWidth="1"/>
    <col min="7941" max="7941" width="17.296875" style="79" customWidth="1"/>
    <col min="7942" max="7943" width="13.796875" style="79" customWidth="1"/>
    <col min="7944" max="7944" width="9.5" style="79" customWidth="1"/>
    <col min="7945" max="7945" width="14.69921875" style="79" customWidth="1"/>
    <col min="7946" max="7946" width="6.796875" style="79" customWidth="1"/>
    <col min="7947" max="8192" width="9" style="79"/>
    <col min="8193" max="8193" width="18.19921875" style="79" customWidth="1"/>
    <col min="8194" max="8194" width="20" style="79" customWidth="1"/>
    <col min="8195" max="8195" width="13.796875" style="79" customWidth="1"/>
    <col min="8196" max="8196" width="11.19921875" style="79" customWidth="1"/>
    <col min="8197" max="8197" width="17.296875" style="79" customWidth="1"/>
    <col min="8198" max="8199" width="13.796875" style="79" customWidth="1"/>
    <col min="8200" max="8200" width="9.5" style="79" customWidth="1"/>
    <col min="8201" max="8201" width="14.69921875" style="79" customWidth="1"/>
    <col min="8202" max="8202" width="6.796875" style="79" customWidth="1"/>
    <col min="8203" max="8448" width="9" style="79"/>
    <col min="8449" max="8449" width="18.19921875" style="79" customWidth="1"/>
    <col min="8450" max="8450" width="20" style="79" customWidth="1"/>
    <col min="8451" max="8451" width="13.796875" style="79" customWidth="1"/>
    <col min="8452" max="8452" width="11.19921875" style="79" customWidth="1"/>
    <col min="8453" max="8453" width="17.296875" style="79" customWidth="1"/>
    <col min="8454" max="8455" width="13.796875" style="79" customWidth="1"/>
    <col min="8456" max="8456" width="9.5" style="79" customWidth="1"/>
    <col min="8457" max="8457" width="14.69921875" style="79" customWidth="1"/>
    <col min="8458" max="8458" width="6.796875" style="79" customWidth="1"/>
    <col min="8459" max="8704" width="9" style="79"/>
    <col min="8705" max="8705" width="18.19921875" style="79" customWidth="1"/>
    <col min="8706" max="8706" width="20" style="79" customWidth="1"/>
    <col min="8707" max="8707" width="13.796875" style="79" customWidth="1"/>
    <col min="8708" max="8708" width="11.19921875" style="79" customWidth="1"/>
    <col min="8709" max="8709" width="17.296875" style="79" customWidth="1"/>
    <col min="8710" max="8711" width="13.796875" style="79" customWidth="1"/>
    <col min="8712" max="8712" width="9.5" style="79" customWidth="1"/>
    <col min="8713" max="8713" width="14.69921875" style="79" customWidth="1"/>
    <col min="8714" max="8714" width="6.796875" style="79" customWidth="1"/>
    <col min="8715" max="8960" width="9" style="79"/>
    <col min="8961" max="8961" width="18.19921875" style="79" customWidth="1"/>
    <col min="8962" max="8962" width="20" style="79" customWidth="1"/>
    <col min="8963" max="8963" width="13.796875" style="79" customWidth="1"/>
    <col min="8964" max="8964" width="11.19921875" style="79" customWidth="1"/>
    <col min="8965" max="8965" width="17.296875" style="79" customWidth="1"/>
    <col min="8966" max="8967" width="13.796875" style="79" customWidth="1"/>
    <col min="8968" max="8968" width="9.5" style="79" customWidth="1"/>
    <col min="8969" max="8969" width="14.69921875" style="79" customWidth="1"/>
    <col min="8970" max="8970" width="6.796875" style="79" customWidth="1"/>
    <col min="8971" max="9216" width="9" style="79"/>
    <col min="9217" max="9217" width="18.19921875" style="79" customWidth="1"/>
    <col min="9218" max="9218" width="20" style="79" customWidth="1"/>
    <col min="9219" max="9219" width="13.796875" style="79" customWidth="1"/>
    <col min="9220" max="9220" width="11.19921875" style="79" customWidth="1"/>
    <col min="9221" max="9221" width="17.296875" style="79" customWidth="1"/>
    <col min="9222" max="9223" width="13.796875" style="79" customWidth="1"/>
    <col min="9224" max="9224" width="9.5" style="79" customWidth="1"/>
    <col min="9225" max="9225" width="14.69921875" style="79" customWidth="1"/>
    <col min="9226" max="9226" width="6.796875" style="79" customWidth="1"/>
    <col min="9227" max="9472" width="9" style="79"/>
    <col min="9473" max="9473" width="18.19921875" style="79" customWidth="1"/>
    <col min="9474" max="9474" width="20" style="79" customWidth="1"/>
    <col min="9475" max="9475" width="13.796875" style="79" customWidth="1"/>
    <col min="9476" max="9476" width="11.19921875" style="79" customWidth="1"/>
    <col min="9477" max="9477" width="17.296875" style="79" customWidth="1"/>
    <col min="9478" max="9479" width="13.796875" style="79" customWidth="1"/>
    <col min="9480" max="9480" width="9.5" style="79" customWidth="1"/>
    <col min="9481" max="9481" width="14.69921875" style="79" customWidth="1"/>
    <col min="9482" max="9482" width="6.796875" style="79" customWidth="1"/>
    <col min="9483" max="9728" width="9" style="79"/>
    <col min="9729" max="9729" width="18.19921875" style="79" customWidth="1"/>
    <col min="9730" max="9730" width="20" style="79" customWidth="1"/>
    <col min="9731" max="9731" width="13.796875" style="79" customWidth="1"/>
    <col min="9732" max="9732" width="11.19921875" style="79" customWidth="1"/>
    <col min="9733" max="9733" width="17.296875" style="79" customWidth="1"/>
    <col min="9734" max="9735" width="13.796875" style="79" customWidth="1"/>
    <col min="9736" max="9736" width="9.5" style="79" customWidth="1"/>
    <col min="9737" max="9737" width="14.69921875" style="79" customWidth="1"/>
    <col min="9738" max="9738" width="6.796875" style="79" customWidth="1"/>
    <col min="9739" max="9984" width="9" style="79"/>
    <col min="9985" max="9985" width="18.19921875" style="79" customWidth="1"/>
    <col min="9986" max="9986" width="20" style="79" customWidth="1"/>
    <col min="9987" max="9987" width="13.796875" style="79" customWidth="1"/>
    <col min="9988" max="9988" width="11.19921875" style="79" customWidth="1"/>
    <col min="9989" max="9989" width="17.296875" style="79" customWidth="1"/>
    <col min="9990" max="9991" width="13.796875" style="79" customWidth="1"/>
    <col min="9992" max="9992" width="9.5" style="79" customWidth="1"/>
    <col min="9993" max="9993" width="14.69921875" style="79" customWidth="1"/>
    <col min="9994" max="9994" width="6.796875" style="79" customWidth="1"/>
    <col min="9995" max="10240" width="9" style="79"/>
    <col min="10241" max="10241" width="18.19921875" style="79" customWidth="1"/>
    <col min="10242" max="10242" width="20" style="79" customWidth="1"/>
    <col min="10243" max="10243" width="13.796875" style="79" customWidth="1"/>
    <col min="10244" max="10244" width="11.19921875" style="79" customWidth="1"/>
    <col min="10245" max="10245" width="17.296875" style="79" customWidth="1"/>
    <col min="10246" max="10247" width="13.796875" style="79" customWidth="1"/>
    <col min="10248" max="10248" width="9.5" style="79" customWidth="1"/>
    <col min="10249" max="10249" width="14.69921875" style="79" customWidth="1"/>
    <col min="10250" max="10250" width="6.796875" style="79" customWidth="1"/>
    <col min="10251" max="10496" width="9" style="79"/>
    <col min="10497" max="10497" width="18.19921875" style="79" customWidth="1"/>
    <col min="10498" max="10498" width="20" style="79" customWidth="1"/>
    <col min="10499" max="10499" width="13.796875" style="79" customWidth="1"/>
    <col min="10500" max="10500" width="11.19921875" style="79" customWidth="1"/>
    <col min="10501" max="10501" width="17.296875" style="79" customWidth="1"/>
    <col min="10502" max="10503" width="13.796875" style="79" customWidth="1"/>
    <col min="10504" max="10504" width="9.5" style="79" customWidth="1"/>
    <col min="10505" max="10505" width="14.69921875" style="79" customWidth="1"/>
    <col min="10506" max="10506" width="6.796875" style="79" customWidth="1"/>
    <col min="10507" max="10752" width="9" style="79"/>
    <col min="10753" max="10753" width="18.19921875" style="79" customWidth="1"/>
    <col min="10754" max="10754" width="20" style="79" customWidth="1"/>
    <col min="10755" max="10755" width="13.796875" style="79" customWidth="1"/>
    <col min="10756" max="10756" width="11.19921875" style="79" customWidth="1"/>
    <col min="10757" max="10757" width="17.296875" style="79" customWidth="1"/>
    <col min="10758" max="10759" width="13.796875" style="79" customWidth="1"/>
    <col min="10760" max="10760" width="9.5" style="79" customWidth="1"/>
    <col min="10761" max="10761" width="14.69921875" style="79" customWidth="1"/>
    <col min="10762" max="10762" width="6.796875" style="79" customWidth="1"/>
    <col min="10763" max="11008" width="9" style="79"/>
    <col min="11009" max="11009" width="18.19921875" style="79" customWidth="1"/>
    <col min="11010" max="11010" width="20" style="79" customWidth="1"/>
    <col min="11011" max="11011" width="13.796875" style="79" customWidth="1"/>
    <col min="11012" max="11012" width="11.19921875" style="79" customWidth="1"/>
    <col min="11013" max="11013" width="17.296875" style="79" customWidth="1"/>
    <col min="11014" max="11015" width="13.796875" style="79" customWidth="1"/>
    <col min="11016" max="11016" width="9.5" style="79" customWidth="1"/>
    <col min="11017" max="11017" width="14.69921875" style="79" customWidth="1"/>
    <col min="11018" max="11018" width="6.796875" style="79" customWidth="1"/>
    <col min="11019" max="11264" width="9" style="79"/>
    <col min="11265" max="11265" width="18.19921875" style="79" customWidth="1"/>
    <col min="11266" max="11266" width="20" style="79" customWidth="1"/>
    <col min="11267" max="11267" width="13.796875" style="79" customWidth="1"/>
    <col min="11268" max="11268" width="11.19921875" style="79" customWidth="1"/>
    <col min="11269" max="11269" width="17.296875" style="79" customWidth="1"/>
    <col min="11270" max="11271" width="13.796875" style="79" customWidth="1"/>
    <col min="11272" max="11272" width="9.5" style="79" customWidth="1"/>
    <col min="11273" max="11273" width="14.69921875" style="79" customWidth="1"/>
    <col min="11274" max="11274" width="6.796875" style="79" customWidth="1"/>
    <col min="11275" max="11520" width="9" style="79"/>
    <col min="11521" max="11521" width="18.19921875" style="79" customWidth="1"/>
    <col min="11522" max="11522" width="20" style="79" customWidth="1"/>
    <col min="11523" max="11523" width="13.796875" style="79" customWidth="1"/>
    <col min="11524" max="11524" width="11.19921875" style="79" customWidth="1"/>
    <col min="11525" max="11525" width="17.296875" style="79" customWidth="1"/>
    <col min="11526" max="11527" width="13.796875" style="79" customWidth="1"/>
    <col min="11528" max="11528" width="9.5" style="79" customWidth="1"/>
    <col min="11529" max="11529" width="14.69921875" style="79" customWidth="1"/>
    <col min="11530" max="11530" width="6.796875" style="79" customWidth="1"/>
    <col min="11531" max="11776" width="9" style="79"/>
    <col min="11777" max="11777" width="18.19921875" style="79" customWidth="1"/>
    <col min="11778" max="11778" width="20" style="79" customWidth="1"/>
    <col min="11779" max="11779" width="13.796875" style="79" customWidth="1"/>
    <col min="11780" max="11780" width="11.19921875" style="79" customWidth="1"/>
    <col min="11781" max="11781" width="17.296875" style="79" customWidth="1"/>
    <col min="11782" max="11783" width="13.796875" style="79" customWidth="1"/>
    <col min="11784" max="11784" width="9.5" style="79" customWidth="1"/>
    <col min="11785" max="11785" width="14.69921875" style="79" customWidth="1"/>
    <col min="11786" max="11786" width="6.796875" style="79" customWidth="1"/>
    <col min="11787" max="12032" width="9" style="79"/>
    <col min="12033" max="12033" width="18.19921875" style="79" customWidth="1"/>
    <col min="12034" max="12034" width="20" style="79" customWidth="1"/>
    <col min="12035" max="12035" width="13.796875" style="79" customWidth="1"/>
    <col min="12036" max="12036" width="11.19921875" style="79" customWidth="1"/>
    <col min="12037" max="12037" width="17.296875" style="79" customWidth="1"/>
    <col min="12038" max="12039" width="13.796875" style="79" customWidth="1"/>
    <col min="12040" max="12040" width="9.5" style="79" customWidth="1"/>
    <col min="12041" max="12041" width="14.69921875" style="79" customWidth="1"/>
    <col min="12042" max="12042" width="6.796875" style="79" customWidth="1"/>
    <col min="12043" max="12288" width="9" style="79"/>
    <col min="12289" max="12289" width="18.19921875" style="79" customWidth="1"/>
    <col min="12290" max="12290" width="20" style="79" customWidth="1"/>
    <col min="12291" max="12291" width="13.796875" style="79" customWidth="1"/>
    <col min="12292" max="12292" width="11.19921875" style="79" customWidth="1"/>
    <col min="12293" max="12293" width="17.296875" style="79" customWidth="1"/>
    <col min="12294" max="12295" width="13.796875" style="79" customWidth="1"/>
    <col min="12296" max="12296" width="9.5" style="79" customWidth="1"/>
    <col min="12297" max="12297" width="14.69921875" style="79" customWidth="1"/>
    <col min="12298" max="12298" width="6.796875" style="79" customWidth="1"/>
    <col min="12299" max="12544" width="9" style="79"/>
    <col min="12545" max="12545" width="18.19921875" style="79" customWidth="1"/>
    <col min="12546" max="12546" width="20" style="79" customWidth="1"/>
    <col min="12547" max="12547" width="13.796875" style="79" customWidth="1"/>
    <col min="12548" max="12548" width="11.19921875" style="79" customWidth="1"/>
    <col min="12549" max="12549" width="17.296875" style="79" customWidth="1"/>
    <col min="12550" max="12551" width="13.796875" style="79" customWidth="1"/>
    <col min="12552" max="12552" width="9.5" style="79" customWidth="1"/>
    <col min="12553" max="12553" width="14.69921875" style="79" customWidth="1"/>
    <col min="12554" max="12554" width="6.796875" style="79" customWidth="1"/>
    <col min="12555" max="12800" width="9" style="79"/>
    <col min="12801" max="12801" width="18.19921875" style="79" customWidth="1"/>
    <col min="12802" max="12802" width="20" style="79" customWidth="1"/>
    <col min="12803" max="12803" width="13.796875" style="79" customWidth="1"/>
    <col min="12804" max="12804" width="11.19921875" style="79" customWidth="1"/>
    <col min="12805" max="12805" width="17.296875" style="79" customWidth="1"/>
    <col min="12806" max="12807" width="13.796875" style="79" customWidth="1"/>
    <col min="12808" max="12808" width="9.5" style="79" customWidth="1"/>
    <col min="12809" max="12809" width="14.69921875" style="79" customWidth="1"/>
    <col min="12810" max="12810" width="6.796875" style="79" customWidth="1"/>
    <col min="12811" max="13056" width="9" style="79"/>
    <col min="13057" max="13057" width="18.19921875" style="79" customWidth="1"/>
    <col min="13058" max="13058" width="20" style="79" customWidth="1"/>
    <col min="13059" max="13059" width="13.796875" style="79" customWidth="1"/>
    <col min="13060" max="13060" width="11.19921875" style="79" customWidth="1"/>
    <col min="13061" max="13061" width="17.296875" style="79" customWidth="1"/>
    <col min="13062" max="13063" width="13.796875" style="79" customWidth="1"/>
    <col min="13064" max="13064" width="9.5" style="79" customWidth="1"/>
    <col min="13065" max="13065" width="14.69921875" style="79" customWidth="1"/>
    <col min="13066" max="13066" width="6.796875" style="79" customWidth="1"/>
    <col min="13067" max="13312" width="9" style="79"/>
    <col min="13313" max="13313" width="18.19921875" style="79" customWidth="1"/>
    <col min="13314" max="13314" width="20" style="79" customWidth="1"/>
    <col min="13315" max="13315" width="13.796875" style="79" customWidth="1"/>
    <col min="13316" max="13316" width="11.19921875" style="79" customWidth="1"/>
    <col min="13317" max="13317" width="17.296875" style="79" customWidth="1"/>
    <col min="13318" max="13319" width="13.796875" style="79" customWidth="1"/>
    <col min="13320" max="13320" width="9.5" style="79" customWidth="1"/>
    <col min="13321" max="13321" width="14.69921875" style="79" customWidth="1"/>
    <col min="13322" max="13322" width="6.796875" style="79" customWidth="1"/>
    <col min="13323" max="13568" width="9" style="79"/>
    <col min="13569" max="13569" width="18.19921875" style="79" customWidth="1"/>
    <col min="13570" max="13570" width="20" style="79" customWidth="1"/>
    <col min="13571" max="13571" width="13.796875" style="79" customWidth="1"/>
    <col min="13572" max="13572" width="11.19921875" style="79" customWidth="1"/>
    <col min="13573" max="13573" width="17.296875" style="79" customWidth="1"/>
    <col min="13574" max="13575" width="13.796875" style="79" customWidth="1"/>
    <col min="13576" max="13576" width="9.5" style="79" customWidth="1"/>
    <col min="13577" max="13577" width="14.69921875" style="79" customWidth="1"/>
    <col min="13578" max="13578" width="6.796875" style="79" customWidth="1"/>
    <col min="13579" max="13824" width="9" style="79"/>
    <col min="13825" max="13825" width="18.19921875" style="79" customWidth="1"/>
    <col min="13826" max="13826" width="20" style="79" customWidth="1"/>
    <col min="13827" max="13827" width="13.796875" style="79" customWidth="1"/>
    <col min="13828" max="13828" width="11.19921875" style="79" customWidth="1"/>
    <col min="13829" max="13829" width="17.296875" style="79" customWidth="1"/>
    <col min="13830" max="13831" width="13.796875" style="79" customWidth="1"/>
    <col min="13832" max="13832" width="9.5" style="79" customWidth="1"/>
    <col min="13833" max="13833" width="14.69921875" style="79" customWidth="1"/>
    <col min="13834" max="13834" width="6.796875" style="79" customWidth="1"/>
    <col min="13835" max="14080" width="9" style="79"/>
    <col min="14081" max="14081" width="18.19921875" style="79" customWidth="1"/>
    <col min="14082" max="14082" width="20" style="79" customWidth="1"/>
    <col min="14083" max="14083" width="13.796875" style="79" customWidth="1"/>
    <col min="14084" max="14084" width="11.19921875" style="79" customWidth="1"/>
    <col min="14085" max="14085" width="17.296875" style="79" customWidth="1"/>
    <col min="14086" max="14087" width="13.796875" style="79" customWidth="1"/>
    <col min="14088" max="14088" width="9.5" style="79" customWidth="1"/>
    <col min="14089" max="14089" width="14.69921875" style="79" customWidth="1"/>
    <col min="14090" max="14090" width="6.796875" style="79" customWidth="1"/>
    <col min="14091" max="14336" width="9" style="79"/>
    <col min="14337" max="14337" width="18.19921875" style="79" customWidth="1"/>
    <col min="14338" max="14338" width="20" style="79" customWidth="1"/>
    <col min="14339" max="14339" width="13.796875" style="79" customWidth="1"/>
    <col min="14340" max="14340" width="11.19921875" style="79" customWidth="1"/>
    <col min="14341" max="14341" width="17.296875" style="79" customWidth="1"/>
    <col min="14342" max="14343" width="13.796875" style="79" customWidth="1"/>
    <col min="14344" max="14344" width="9.5" style="79" customWidth="1"/>
    <col min="14345" max="14345" width="14.69921875" style="79" customWidth="1"/>
    <col min="14346" max="14346" width="6.796875" style="79" customWidth="1"/>
    <col min="14347" max="14592" width="9" style="79"/>
    <col min="14593" max="14593" width="18.19921875" style="79" customWidth="1"/>
    <col min="14594" max="14594" width="20" style="79" customWidth="1"/>
    <col min="14595" max="14595" width="13.796875" style="79" customWidth="1"/>
    <col min="14596" max="14596" width="11.19921875" style="79" customWidth="1"/>
    <col min="14597" max="14597" width="17.296875" style="79" customWidth="1"/>
    <col min="14598" max="14599" width="13.796875" style="79" customWidth="1"/>
    <col min="14600" max="14600" width="9.5" style="79" customWidth="1"/>
    <col min="14601" max="14601" width="14.69921875" style="79" customWidth="1"/>
    <col min="14602" max="14602" width="6.796875" style="79" customWidth="1"/>
    <col min="14603" max="14848" width="9" style="79"/>
    <col min="14849" max="14849" width="18.19921875" style="79" customWidth="1"/>
    <col min="14850" max="14850" width="20" style="79" customWidth="1"/>
    <col min="14851" max="14851" width="13.796875" style="79" customWidth="1"/>
    <col min="14852" max="14852" width="11.19921875" style="79" customWidth="1"/>
    <col min="14853" max="14853" width="17.296875" style="79" customWidth="1"/>
    <col min="14854" max="14855" width="13.796875" style="79" customWidth="1"/>
    <col min="14856" max="14856" width="9.5" style="79" customWidth="1"/>
    <col min="14857" max="14857" width="14.69921875" style="79" customWidth="1"/>
    <col min="14858" max="14858" width="6.796875" style="79" customWidth="1"/>
    <col min="14859" max="15104" width="9" style="79"/>
    <col min="15105" max="15105" width="18.19921875" style="79" customWidth="1"/>
    <col min="15106" max="15106" width="20" style="79" customWidth="1"/>
    <col min="15107" max="15107" width="13.796875" style="79" customWidth="1"/>
    <col min="15108" max="15108" width="11.19921875" style="79" customWidth="1"/>
    <col min="15109" max="15109" width="17.296875" style="79" customWidth="1"/>
    <col min="15110" max="15111" width="13.796875" style="79" customWidth="1"/>
    <col min="15112" max="15112" width="9.5" style="79" customWidth="1"/>
    <col min="15113" max="15113" width="14.69921875" style="79" customWidth="1"/>
    <col min="15114" max="15114" width="6.796875" style="79" customWidth="1"/>
    <col min="15115" max="15360" width="9" style="79"/>
    <col min="15361" max="15361" width="18.19921875" style="79" customWidth="1"/>
    <col min="15362" max="15362" width="20" style="79" customWidth="1"/>
    <col min="15363" max="15363" width="13.796875" style="79" customWidth="1"/>
    <col min="15364" max="15364" width="11.19921875" style="79" customWidth="1"/>
    <col min="15365" max="15365" width="17.296875" style="79" customWidth="1"/>
    <col min="15366" max="15367" width="13.796875" style="79" customWidth="1"/>
    <col min="15368" max="15368" width="9.5" style="79" customWidth="1"/>
    <col min="15369" max="15369" width="14.69921875" style="79" customWidth="1"/>
    <col min="15370" max="15370" width="6.796875" style="79" customWidth="1"/>
    <col min="15371" max="15616" width="9" style="79"/>
    <col min="15617" max="15617" width="18.19921875" style="79" customWidth="1"/>
    <col min="15618" max="15618" width="20" style="79" customWidth="1"/>
    <col min="15619" max="15619" width="13.796875" style="79" customWidth="1"/>
    <col min="15620" max="15620" width="11.19921875" style="79" customWidth="1"/>
    <col min="15621" max="15621" width="17.296875" style="79" customWidth="1"/>
    <col min="15622" max="15623" width="13.796875" style="79" customWidth="1"/>
    <col min="15624" max="15624" width="9.5" style="79" customWidth="1"/>
    <col min="15625" max="15625" width="14.69921875" style="79" customWidth="1"/>
    <col min="15626" max="15626" width="6.796875" style="79" customWidth="1"/>
    <col min="15627" max="15872" width="9" style="79"/>
    <col min="15873" max="15873" width="18.19921875" style="79" customWidth="1"/>
    <col min="15874" max="15874" width="20" style="79" customWidth="1"/>
    <col min="15875" max="15875" width="13.796875" style="79" customWidth="1"/>
    <col min="15876" max="15876" width="11.19921875" style="79" customWidth="1"/>
    <col min="15877" max="15877" width="17.296875" style="79" customWidth="1"/>
    <col min="15878" max="15879" width="13.796875" style="79" customWidth="1"/>
    <col min="15880" max="15880" width="9.5" style="79" customWidth="1"/>
    <col min="15881" max="15881" width="14.69921875" style="79" customWidth="1"/>
    <col min="15882" max="15882" width="6.796875" style="79" customWidth="1"/>
    <col min="15883" max="16128" width="9" style="79"/>
    <col min="16129" max="16129" width="18.19921875" style="79" customWidth="1"/>
    <col min="16130" max="16130" width="20" style="79" customWidth="1"/>
    <col min="16131" max="16131" width="13.796875" style="79" customWidth="1"/>
    <col min="16132" max="16132" width="11.19921875" style="79" customWidth="1"/>
    <col min="16133" max="16133" width="17.296875" style="79" customWidth="1"/>
    <col min="16134" max="16135" width="13.796875" style="79" customWidth="1"/>
    <col min="16136" max="16136" width="9.5" style="79" customWidth="1"/>
    <col min="16137" max="16137" width="14.69921875" style="79" customWidth="1"/>
    <col min="16138" max="16138" width="6.796875" style="79" customWidth="1"/>
    <col min="16139" max="16384" width="9" style="79"/>
  </cols>
  <sheetData>
    <row r="5" spans="1:255" ht="16.2" x14ac:dyDescent="0.25">
      <c r="A5" s="78" t="s">
        <v>667</v>
      </c>
    </row>
    <row r="7" spans="1:255" ht="20.399999999999999" x14ac:dyDescent="0.2">
      <c r="A7" s="80" t="s">
        <v>668</v>
      </c>
      <c r="B7" s="81" t="s">
        <v>368</v>
      </c>
      <c r="C7" s="79" t="s">
        <v>369</v>
      </c>
      <c r="D7" s="82" t="s">
        <v>287</v>
      </c>
      <c r="E7" s="81" t="s">
        <v>371</v>
      </c>
      <c r="F7" s="79" t="s">
        <v>669</v>
      </c>
    </row>
    <row r="8" spans="1:255" x14ac:dyDescent="0.2">
      <c r="A8" s="82"/>
      <c r="B8" s="81" t="s">
        <v>285</v>
      </c>
      <c r="C8" s="79" t="s">
        <v>370</v>
      </c>
      <c r="D8" s="82" t="s">
        <v>287</v>
      </c>
      <c r="E8" s="81" t="s">
        <v>288</v>
      </c>
      <c r="F8" s="79" t="s">
        <v>289</v>
      </c>
    </row>
    <row r="9" spans="1:255" x14ac:dyDescent="0.2">
      <c r="A9" s="82"/>
      <c r="B9" s="81" t="s">
        <v>292</v>
      </c>
      <c r="C9" s="79" t="s">
        <v>293</v>
      </c>
      <c r="D9" s="82" t="s">
        <v>287</v>
      </c>
      <c r="E9" s="81" t="s">
        <v>294</v>
      </c>
      <c r="F9" s="83" t="s">
        <v>295</v>
      </c>
    </row>
    <row r="12" spans="1:255" x14ac:dyDescent="0.2">
      <c r="A12" s="84" t="s">
        <v>670</v>
      </c>
      <c r="B12" s="84"/>
      <c r="C12" s="84"/>
      <c r="D12" s="84"/>
      <c r="E12" s="84"/>
      <c r="F12" s="84"/>
      <c r="G12" s="84"/>
      <c r="H12" s="84"/>
      <c r="I12" s="84"/>
      <c r="J12" s="84"/>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5"/>
      <c r="FO12" s="85"/>
      <c r="FP12" s="85"/>
      <c r="FQ12" s="85"/>
      <c r="FR12" s="85"/>
      <c r="FS12" s="85"/>
      <c r="FT12" s="85"/>
      <c r="FU12" s="85"/>
      <c r="FV12" s="85"/>
      <c r="FW12" s="85"/>
      <c r="FX12" s="85"/>
      <c r="FY12" s="85"/>
      <c r="FZ12" s="85"/>
      <c r="GA12" s="85"/>
      <c r="GB12" s="85"/>
      <c r="GC12" s="85"/>
      <c r="GD12" s="85"/>
      <c r="GE12" s="85"/>
      <c r="GF12" s="85"/>
      <c r="GG12" s="85"/>
      <c r="GH12" s="85"/>
      <c r="GI12" s="85"/>
      <c r="GJ12" s="85"/>
      <c r="GK12" s="85"/>
      <c r="GL12" s="85"/>
      <c r="GM12" s="85"/>
      <c r="GN12" s="85"/>
      <c r="GO12" s="85"/>
      <c r="GP12" s="85"/>
      <c r="GQ12" s="85"/>
      <c r="GR12" s="85"/>
      <c r="GS12" s="85"/>
      <c r="GT12" s="85"/>
      <c r="GU12" s="85"/>
      <c r="GV12" s="85"/>
      <c r="GW12" s="85"/>
      <c r="GX12" s="85"/>
      <c r="GY12" s="85"/>
      <c r="GZ12" s="85"/>
      <c r="HA12" s="85"/>
      <c r="HB12" s="85"/>
      <c r="HC12" s="85"/>
      <c r="HD12" s="85"/>
      <c r="HE12" s="85"/>
      <c r="HF12" s="85"/>
      <c r="HG12" s="85"/>
      <c r="HH12" s="85"/>
      <c r="HI12" s="85"/>
      <c r="HJ12" s="85"/>
      <c r="HK12" s="85"/>
      <c r="HL12" s="85"/>
      <c r="HM12" s="85"/>
      <c r="HN12" s="85"/>
      <c r="HO12" s="85"/>
      <c r="HP12" s="85"/>
      <c r="HQ12" s="85"/>
      <c r="HR12" s="85"/>
      <c r="HS12" s="85"/>
      <c r="HT12" s="85"/>
      <c r="HU12" s="85"/>
      <c r="HV12" s="85"/>
      <c r="HW12" s="85"/>
      <c r="HX12" s="85"/>
      <c r="HY12" s="85"/>
      <c r="HZ12" s="85"/>
      <c r="IA12" s="85"/>
      <c r="IB12" s="85"/>
      <c r="IC12" s="85"/>
      <c r="ID12" s="85"/>
      <c r="IE12" s="85"/>
      <c r="IF12" s="85"/>
      <c r="IG12" s="85"/>
      <c r="IH12" s="85"/>
      <c r="II12" s="85"/>
      <c r="IJ12" s="85"/>
      <c r="IK12" s="85"/>
      <c r="IL12" s="85"/>
      <c r="IM12" s="85"/>
      <c r="IN12" s="85"/>
      <c r="IO12" s="85"/>
      <c r="IP12" s="85"/>
      <c r="IQ12" s="85"/>
      <c r="IR12" s="85"/>
      <c r="IS12" s="85"/>
      <c r="IT12" s="85"/>
      <c r="IU12" s="85"/>
    </row>
    <row r="13" spans="1:255" ht="24" x14ac:dyDescent="0.35">
      <c r="A13" s="261" t="s">
        <v>671</v>
      </c>
      <c r="B13" s="261" t="s">
        <v>672</v>
      </c>
      <c r="C13" s="262" t="s">
        <v>673</v>
      </c>
      <c r="D13" s="262" t="s">
        <v>674</v>
      </c>
      <c r="E13" s="262" t="s">
        <v>675</v>
      </c>
      <c r="F13" s="262" t="s">
        <v>676</v>
      </c>
      <c r="G13" s="262" t="s">
        <v>677</v>
      </c>
      <c r="H13" s="262" t="s">
        <v>678</v>
      </c>
      <c r="I13" s="262" t="s">
        <v>679</v>
      </c>
      <c r="J13" s="262" t="s">
        <v>680</v>
      </c>
    </row>
    <row r="14" spans="1:255" x14ac:dyDescent="0.2">
      <c r="A14" s="125" t="s">
        <v>681</v>
      </c>
      <c r="B14" s="125" t="s">
        <v>198</v>
      </c>
      <c r="C14" s="133">
        <v>14518</v>
      </c>
      <c r="D14" s="134" t="s">
        <v>311</v>
      </c>
      <c r="E14" s="134" t="s">
        <v>311</v>
      </c>
      <c r="F14" s="134" t="s">
        <v>313</v>
      </c>
      <c r="G14" s="134" t="s">
        <v>682</v>
      </c>
      <c r="H14" s="134" t="s">
        <v>683</v>
      </c>
      <c r="I14" s="134" t="s">
        <v>684</v>
      </c>
      <c r="J14" s="134" t="s">
        <v>309</v>
      </c>
    </row>
    <row r="15" spans="1:255" x14ac:dyDescent="0.2">
      <c r="A15" s="125" t="s">
        <v>685</v>
      </c>
      <c r="B15" s="125" t="s">
        <v>686</v>
      </c>
      <c r="C15" s="134" t="s">
        <v>313</v>
      </c>
      <c r="D15" s="169">
        <v>3.3000000000000002E-2</v>
      </c>
      <c r="E15" s="134" t="s">
        <v>688</v>
      </c>
      <c r="F15" s="135">
        <v>43865</v>
      </c>
      <c r="G15" s="134" t="s">
        <v>682</v>
      </c>
      <c r="H15" s="134" t="s">
        <v>683</v>
      </c>
      <c r="I15" s="134" t="s">
        <v>689</v>
      </c>
      <c r="J15" s="134" t="s">
        <v>309</v>
      </c>
    </row>
    <row r="16" spans="1:255" x14ac:dyDescent="0.2">
      <c r="A16" s="124"/>
      <c r="B16" s="124"/>
      <c r="C16" s="124"/>
      <c r="D16" s="124"/>
      <c r="E16" s="124"/>
      <c r="F16" s="124"/>
      <c r="G16" s="124"/>
      <c r="H16" s="124"/>
      <c r="I16" s="124"/>
      <c r="J16" s="124"/>
    </row>
    <row r="20" spans="1:255" x14ac:dyDescent="0.2">
      <c r="A20" s="84" t="s">
        <v>690</v>
      </c>
      <c r="B20" s="84"/>
      <c r="C20" s="84"/>
      <c r="D20" s="84"/>
      <c r="E20" s="84"/>
      <c r="F20" s="84"/>
      <c r="G20" s="84"/>
      <c r="H20" s="84"/>
      <c r="I20" s="84"/>
      <c r="J20" s="84"/>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c r="CY20" s="85"/>
      <c r="CZ20" s="85"/>
      <c r="DA20" s="85"/>
      <c r="DB20" s="85"/>
      <c r="DC20" s="85"/>
      <c r="DD20" s="85"/>
      <c r="DE20" s="85"/>
      <c r="DF20" s="85"/>
      <c r="DG20" s="85"/>
      <c r="DH20" s="85"/>
      <c r="DI20" s="85"/>
      <c r="DJ20" s="85"/>
      <c r="DK20" s="85"/>
      <c r="DL20" s="85"/>
      <c r="DM20" s="85"/>
      <c r="DN20" s="85"/>
      <c r="DO20" s="85"/>
      <c r="DP20" s="85"/>
      <c r="DQ20" s="85"/>
      <c r="DR20" s="85"/>
      <c r="DS20" s="85"/>
      <c r="DT20" s="85"/>
      <c r="DU20" s="85"/>
      <c r="DV20" s="85"/>
      <c r="DW20" s="85"/>
      <c r="DX20" s="85"/>
      <c r="DY20" s="85"/>
      <c r="DZ20" s="85"/>
      <c r="EA20" s="85"/>
      <c r="EB20" s="85"/>
      <c r="EC20" s="85"/>
      <c r="ED20" s="85"/>
      <c r="EE20" s="85"/>
      <c r="EF20" s="85"/>
      <c r="EG20" s="85"/>
      <c r="EH20" s="85"/>
      <c r="EI20" s="85"/>
      <c r="EJ20" s="85"/>
      <c r="EK20" s="85"/>
      <c r="EL20" s="85"/>
      <c r="EM20" s="85"/>
      <c r="EN20" s="85"/>
      <c r="EO20" s="85"/>
      <c r="EP20" s="85"/>
      <c r="EQ20" s="85"/>
      <c r="ER20" s="85"/>
      <c r="ES20" s="85"/>
      <c r="ET20" s="85"/>
      <c r="EU20" s="85"/>
      <c r="EV20" s="85"/>
      <c r="EW20" s="85"/>
      <c r="EX20" s="85"/>
      <c r="EY20" s="85"/>
      <c r="EZ20" s="85"/>
      <c r="FA20" s="85"/>
      <c r="FB20" s="85"/>
      <c r="FC20" s="85"/>
      <c r="FD20" s="85"/>
      <c r="FE20" s="85"/>
      <c r="FF20" s="85"/>
      <c r="FG20" s="85"/>
      <c r="FH20" s="85"/>
      <c r="FI20" s="85"/>
      <c r="FJ20" s="85"/>
      <c r="FK20" s="85"/>
      <c r="FL20" s="85"/>
      <c r="FM20" s="85"/>
      <c r="FN20" s="85"/>
      <c r="FO20" s="85"/>
      <c r="FP20" s="85"/>
      <c r="FQ20" s="85"/>
      <c r="FR20" s="85"/>
      <c r="FS20" s="85"/>
      <c r="FT20" s="85"/>
      <c r="FU20" s="85"/>
      <c r="FV20" s="85"/>
      <c r="FW20" s="85"/>
      <c r="FX20" s="85"/>
      <c r="FY20" s="85"/>
      <c r="FZ20" s="85"/>
      <c r="GA20" s="85"/>
      <c r="GB20" s="85"/>
      <c r="GC20" s="85"/>
      <c r="GD20" s="85"/>
      <c r="GE20" s="85"/>
      <c r="GF20" s="85"/>
      <c r="GG20" s="85"/>
      <c r="GH20" s="85"/>
      <c r="GI20" s="85"/>
      <c r="GJ20" s="85"/>
      <c r="GK20" s="85"/>
      <c r="GL20" s="85"/>
      <c r="GM20" s="85"/>
      <c r="GN20" s="85"/>
      <c r="GO20" s="85"/>
      <c r="GP20" s="85"/>
      <c r="GQ20" s="85"/>
      <c r="GR20" s="85"/>
      <c r="GS20" s="85"/>
      <c r="GT20" s="85"/>
      <c r="GU20" s="85"/>
      <c r="GV20" s="85"/>
      <c r="GW20" s="85"/>
      <c r="GX20" s="85"/>
      <c r="GY20" s="85"/>
      <c r="GZ20" s="85"/>
      <c r="HA20" s="85"/>
      <c r="HB20" s="85"/>
      <c r="HC20" s="85"/>
      <c r="HD20" s="85"/>
      <c r="HE20" s="85"/>
      <c r="HF20" s="85"/>
      <c r="HG20" s="85"/>
      <c r="HH20" s="85"/>
      <c r="HI20" s="85"/>
      <c r="HJ20" s="85"/>
      <c r="HK20" s="85"/>
      <c r="HL20" s="85"/>
      <c r="HM20" s="85"/>
      <c r="HN20" s="85"/>
      <c r="HO20" s="85"/>
      <c r="HP20" s="85"/>
      <c r="HQ20" s="85"/>
      <c r="HR20" s="85"/>
      <c r="HS20" s="85"/>
      <c r="HT20" s="85"/>
      <c r="HU20" s="85"/>
      <c r="HV20" s="85"/>
      <c r="HW20" s="85"/>
      <c r="HX20" s="85"/>
      <c r="HY20" s="85"/>
      <c r="HZ20" s="85"/>
      <c r="IA20" s="85"/>
      <c r="IB20" s="85"/>
      <c r="IC20" s="85"/>
      <c r="ID20" s="85"/>
      <c r="IE20" s="85"/>
      <c r="IF20" s="85"/>
      <c r="IG20" s="85"/>
      <c r="IH20" s="85"/>
      <c r="II20" s="85"/>
      <c r="IJ20" s="85"/>
      <c r="IK20" s="85"/>
      <c r="IL20" s="85"/>
      <c r="IM20" s="85"/>
      <c r="IN20" s="85"/>
      <c r="IO20" s="85"/>
      <c r="IP20" s="85"/>
      <c r="IQ20" s="85"/>
      <c r="IR20" s="85"/>
      <c r="IS20" s="85"/>
      <c r="IT20" s="85"/>
      <c r="IU20" s="85"/>
    </row>
    <row r="21" spans="1:255" ht="24" x14ac:dyDescent="0.35">
      <c r="A21" s="261" t="s">
        <v>671</v>
      </c>
      <c r="B21" s="261" t="s">
        <v>672</v>
      </c>
      <c r="C21" s="262" t="s">
        <v>673</v>
      </c>
      <c r="D21" s="262" t="s">
        <v>674</v>
      </c>
      <c r="E21" s="262" t="s">
        <v>675</v>
      </c>
      <c r="F21" s="262" t="s">
        <v>676</v>
      </c>
      <c r="G21" s="262" t="s">
        <v>677</v>
      </c>
      <c r="H21" s="262" t="s">
        <v>678</v>
      </c>
      <c r="I21" s="262" t="s">
        <v>679</v>
      </c>
      <c r="J21" s="262" t="s">
        <v>680</v>
      </c>
    </row>
    <row r="22" spans="1:255" x14ac:dyDescent="0.2">
      <c r="A22" s="125" t="s">
        <v>681</v>
      </c>
      <c r="B22" s="125" t="s">
        <v>198</v>
      </c>
      <c r="C22" s="133">
        <v>2007</v>
      </c>
      <c r="D22" s="134" t="s">
        <v>311</v>
      </c>
      <c r="E22" s="134" t="s">
        <v>311</v>
      </c>
      <c r="F22" s="134" t="s">
        <v>313</v>
      </c>
      <c r="G22" s="134" t="s">
        <v>682</v>
      </c>
      <c r="H22" s="134" t="s">
        <v>683</v>
      </c>
      <c r="I22" s="134" t="s">
        <v>684</v>
      </c>
      <c r="J22" s="134" t="s">
        <v>309</v>
      </c>
    </row>
    <row r="23" spans="1:255" x14ac:dyDescent="0.2">
      <c r="A23" s="125" t="s">
        <v>685</v>
      </c>
      <c r="B23" s="125" t="s">
        <v>686</v>
      </c>
      <c r="C23" s="134" t="s">
        <v>313</v>
      </c>
      <c r="D23" s="134" t="s">
        <v>687</v>
      </c>
      <c r="E23" s="134" t="s">
        <v>688</v>
      </c>
      <c r="F23" s="135">
        <v>43865</v>
      </c>
      <c r="G23" s="134" t="s">
        <v>682</v>
      </c>
      <c r="H23" s="134" t="s">
        <v>683</v>
      </c>
      <c r="I23" s="134" t="s">
        <v>689</v>
      </c>
      <c r="J23" s="134" t="s">
        <v>309</v>
      </c>
    </row>
    <row r="24" spans="1:255" x14ac:dyDescent="0.2">
      <c r="A24" s="124"/>
      <c r="B24" s="124"/>
      <c r="C24" s="124"/>
      <c r="D24" s="124"/>
      <c r="E24" s="124"/>
      <c r="F24" s="124"/>
      <c r="G24" s="124"/>
      <c r="H24" s="124"/>
      <c r="I24" s="124"/>
      <c r="J24" s="124"/>
    </row>
    <row r="25" spans="1:255" x14ac:dyDescent="0.2">
      <c r="A25" s="104" t="s">
        <v>361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3399FF"/>
    <outlinePr summaryBelow="0" summaryRight="0"/>
    <pageSetUpPr autoPageBreaks="0"/>
  </sheetPr>
  <dimension ref="A5:IU161"/>
  <sheetViews>
    <sheetView topLeftCell="A23" workbookViewId="0">
      <selection activeCell="F42" sqref="F42"/>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4" width="13" style="79" customWidth="1"/>
    <col min="265" max="512" width="9" style="79"/>
    <col min="513" max="513" width="40.09765625" style="79" customWidth="1"/>
    <col min="514" max="520" width="13" style="79" customWidth="1"/>
    <col min="521" max="768" width="9" style="79"/>
    <col min="769" max="769" width="40.09765625" style="79" customWidth="1"/>
    <col min="770" max="776" width="13" style="79" customWidth="1"/>
    <col min="777" max="1024" width="9" style="79"/>
    <col min="1025" max="1025" width="40.09765625" style="79" customWidth="1"/>
    <col min="1026" max="1032" width="13" style="79" customWidth="1"/>
    <col min="1033" max="1280" width="9" style="79"/>
    <col min="1281" max="1281" width="40.09765625" style="79" customWidth="1"/>
    <col min="1282" max="1288" width="13" style="79" customWidth="1"/>
    <col min="1289" max="1536" width="9" style="79"/>
    <col min="1537" max="1537" width="40.09765625" style="79" customWidth="1"/>
    <col min="1538" max="1544" width="13" style="79" customWidth="1"/>
    <col min="1545" max="1792" width="9" style="79"/>
    <col min="1793" max="1793" width="40.09765625" style="79" customWidth="1"/>
    <col min="1794" max="1800" width="13" style="79" customWidth="1"/>
    <col min="1801" max="2048" width="9" style="79"/>
    <col min="2049" max="2049" width="40.09765625" style="79" customWidth="1"/>
    <col min="2050" max="2056" width="13" style="79" customWidth="1"/>
    <col min="2057" max="2304" width="9" style="79"/>
    <col min="2305" max="2305" width="40.09765625" style="79" customWidth="1"/>
    <col min="2306" max="2312" width="13" style="79" customWidth="1"/>
    <col min="2313" max="2560" width="9" style="79"/>
    <col min="2561" max="2561" width="40.09765625" style="79" customWidth="1"/>
    <col min="2562" max="2568" width="13" style="79" customWidth="1"/>
    <col min="2569" max="2816" width="9" style="79"/>
    <col min="2817" max="2817" width="40.09765625" style="79" customWidth="1"/>
    <col min="2818" max="2824" width="13" style="79" customWidth="1"/>
    <col min="2825" max="3072" width="9" style="79"/>
    <col min="3073" max="3073" width="40.09765625" style="79" customWidth="1"/>
    <col min="3074" max="3080" width="13" style="79" customWidth="1"/>
    <col min="3081" max="3328" width="9" style="79"/>
    <col min="3329" max="3329" width="40.09765625" style="79" customWidth="1"/>
    <col min="3330" max="3336" width="13" style="79" customWidth="1"/>
    <col min="3337" max="3584" width="9" style="79"/>
    <col min="3585" max="3585" width="40.09765625" style="79" customWidth="1"/>
    <col min="3586" max="3592" width="13" style="79" customWidth="1"/>
    <col min="3593" max="3840" width="9" style="79"/>
    <col min="3841" max="3841" width="40.09765625" style="79" customWidth="1"/>
    <col min="3842" max="3848" width="13" style="79" customWidth="1"/>
    <col min="3849" max="4096" width="9" style="79"/>
    <col min="4097" max="4097" width="40.09765625" style="79" customWidth="1"/>
    <col min="4098" max="4104" width="13" style="79" customWidth="1"/>
    <col min="4105" max="4352" width="9" style="79"/>
    <col min="4353" max="4353" width="40.09765625" style="79" customWidth="1"/>
    <col min="4354" max="4360" width="13" style="79" customWidth="1"/>
    <col min="4361" max="4608" width="9" style="79"/>
    <col min="4609" max="4609" width="40.09765625" style="79" customWidth="1"/>
    <col min="4610" max="4616" width="13" style="79" customWidth="1"/>
    <col min="4617" max="4864" width="9" style="79"/>
    <col min="4865" max="4865" width="40.09765625" style="79" customWidth="1"/>
    <col min="4866" max="4872" width="13" style="79" customWidth="1"/>
    <col min="4873" max="5120" width="9" style="79"/>
    <col min="5121" max="5121" width="40.09765625" style="79" customWidth="1"/>
    <col min="5122" max="5128" width="13" style="79" customWidth="1"/>
    <col min="5129" max="5376" width="9" style="79"/>
    <col min="5377" max="5377" width="40.09765625" style="79" customWidth="1"/>
    <col min="5378" max="5384" width="13" style="79" customWidth="1"/>
    <col min="5385" max="5632" width="9" style="79"/>
    <col min="5633" max="5633" width="40.09765625" style="79" customWidth="1"/>
    <col min="5634" max="5640" width="13" style="79" customWidth="1"/>
    <col min="5641" max="5888" width="9" style="79"/>
    <col min="5889" max="5889" width="40.09765625" style="79" customWidth="1"/>
    <col min="5890" max="5896" width="13" style="79" customWidth="1"/>
    <col min="5897" max="6144" width="9" style="79"/>
    <col min="6145" max="6145" width="40.09765625" style="79" customWidth="1"/>
    <col min="6146" max="6152" width="13" style="79" customWidth="1"/>
    <col min="6153" max="6400" width="9" style="79"/>
    <col min="6401" max="6401" width="40.09765625" style="79" customWidth="1"/>
    <col min="6402" max="6408" width="13" style="79" customWidth="1"/>
    <col min="6409" max="6656" width="9" style="79"/>
    <col min="6657" max="6657" width="40.09765625" style="79" customWidth="1"/>
    <col min="6658" max="6664" width="13" style="79" customWidth="1"/>
    <col min="6665" max="6912" width="9" style="79"/>
    <col min="6913" max="6913" width="40.09765625" style="79" customWidth="1"/>
    <col min="6914" max="6920" width="13" style="79" customWidth="1"/>
    <col min="6921" max="7168" width="9" style="79"/>
    <col min="7169" max="7169" width="40.09765625" style="79" customWidth="1"/>
    <col min="7170" max="7176" width="13" style="79" customWidth="1"/>
    <col min="7177" max="7424" width="9" style="79"/>
    <col min="7425" max="7425" width="40.09765625" style="79" customWidth="1"/>
    <col min="7426" max="7432" width="13" style="79" customWidth="1"/>
    <col min="7433" max="7680" width="9" style="79"/>
    <col min="7681" max="7681" width="40.09765625" style="79" customWidth="1"/>
    <col min="7682" max="7688" width="13" style="79" customWidth="1"/>
    <col min="7689" max="7936" width="9" style="79"/>
    <col min="7937" max="7937" width="40.09765625" style="79" customWidth="1"/>
    <col min="7938" max="7944" width="13" style="79" customWidth="1"/>
    <col min="7945" max="8192" width="9" style="79"/>
    <col min="8193" max="8193" width="40.09765625" style="79" customWidth="1"/>
    <col min="8194" max="8200" width="13" style="79" customWidth="1"/>
    <col min="8201" max="8448" width="9" style="79"/>
    <col min="8449" max="8449" width="40.09765625" style="79" customWidth="1"/>
    <col min="8450" max="8456" width="13" style="79" customWidth="1"/>
    <col min="8457" max="8704" width="9" style="79"/>
    <col min="8705" max="8705" width="40.09765625" style="79" customWidth="1"/>
    <col min="8706" max="8712" width="13" style="79" customWidth="1"/>
    <col min="8713" max="8960" width="9" style="79"/>
    <col min="8961" max="8961" width="40.09765625" style="79" customWidth="1"/>
    <col min="8962" max="8968" width="13" style="79" customWidth="1"/>
    <col min="8969" max="9216" width="9" style="79"/>
    <col min="9217" max="9217" width="40.09765625" style="79" customWidth="1"/>
    <col min="9218" max="9224" width="13" style="79" customWidth="1"/>
    <col min="9225" max="9472" width="9" style="79"/>
    <col min="9473" max="9473" width="40.09765625" style="79" customWidth="1"/>
    <col min="9474" max="9480" width="13" style="79" customWidth="1"/>
    <col min="9481" max="9728" width="9" style="79"/>
    <col min="9729" max="9729" width="40.09765625" style="79" customWidth="1"/>
    <col min="9730" max="9736" width="13" style="79" customWidth="1"/>
    <col min="9737" max="9984" width="9" style="79"/>
    <col min="9985" max="9985" width="40.09765625" style="79" customWidth="1"/>
    <col min="9986" max="9992" width="13" style="79" customWidth="1"/>
    <col min="9993" max="10240" width="9" style="79"/>
    <col min="10241" max="10241" width="40.09765625" style="79" customWidth="1"/>
    <col min="10242" max="10248" width="13" style="79" customWidth="1"/>
    <col min="10249" max="10496" width="9" style="79"/>
    <col min="10497" max="10497" width="40.09765625" style="79" customWidth="1"/>
    <col min="10498" max="10504" width="13" style="79" customWidth="1"/>
    <col min="10505" max="10752" width="9" style="79"/>
    <col min="10753" max="10753" width="40.09765625" style="79" customWidth="1"/>
    <col min="10754" max="10760" width="13" style="79" customWidth="1"/>
    <col min="10761" max="11008" width="9" style="79"/>
    <col min="11009" max="11009" width="40.09765625" style="79" customWidth="1"/>
    <col min="11010" max="11016" width="13" style="79" customWidth="1"/>
    <col min="11017" max="11264" width="9" style="79"/>
    <col min="11265" max="11265" width="40.09765625" style="79" customWidth="1"/>
    <col min="11266" max="11272" width="13" style="79" customWidth="1"/>
    <col min="11273" max="11520" width="9" style="79"/>
    <col min="11521" max="11521" width="40.09765625" style="79" customWidth="1"/>
    <col min="11522" max="11528" width="13" style="79" customWidth="1"/>
    <col min="11529" max="11776" width="9" style="79"/>
    <col min="11777" max="11777" width="40.09765625" style="79" customWidth="1"/>
    <col min="11778" max="11784" width="13" style="79" customWidth="1"/>
    <col min="11785" max="12032" width="9" style="79"/>
    <col min="12033" max="12033" width="40.09765625" style="79" customWidth="1"/>
    <col min="12034" max="12040" width="13" style="79" customWidth="1"/>
    <col min="12041" max="12288" width="9" style="79"/>
    <col min="12289" max="12289" width="40.09765625" style="79" customWidth="1"/>
    <col min="12290" max="12296" width="13" style="79" customWidth="1"/>
    <col min="12297" max="12544" width="9" style="79"/>
    <col min="12545" max="12545" width="40.09765625" style="79" customWidth="1"/>
    <col min="12546" max="12552" width="13" style="79" customWidth="1"/>
    <col min="12553" max="12800" width="9" style="79"/>
    <col min="12801" max="12801" width="40.09765625" style="79" customWidth="1"/>
    <col min="12802" max="12808" width="13" style="79" customWidth="1"/>
    <col min="12809" max="13056" width="9" style="79"/>
    <col min="13057" max="13057" width="40.09765625" style="79" customWidth="1"/>
    <col min="13058" max="13064" width="13" style="79" customWidth="1"/>
    <col min="13065" max="13312" width="9" style="79"/>
    <col min="13313" max="13313" width="40.09765625" style="79" customWidth="1"/>
    <col min="13314" max="13320" width="13" style="79" customWidth="1"/>
    <col min="13321" max="13568" width="9" style="79"/>
    <col min="13569" max="13569" width="40.09765625" style="79" customWidth="1"/>
    <col min="13570" max="13576" width="13" style="79" customWidth="1"/>
    <col min="13577" max="13824" width="9" style="79"/>
    <col min="13825" max="13825" width="40.09765625" style="79" customWidth="1"/>
    <col min="13826" max="13832" width="13" style="79" customWidth="1"/>
    <col min="13833" max="14080" width="9" style="79"/>
    <col min="14081" max="14081" width="40.09765625" style="79" customWidth="1"/>
    <col min="14082" max="14088" width="13" style="79" customWidth="1"/>
    <col min="14089" max="14336" width="9" style="79"/>
    <col min="14337" max="14337" width="40.09765625" style="79" customWidth="1"/>
    <col min="14338" max="14344" width="13" style="79" customWidth="1"/>
    <col min="14345" max="14592" width="9" style="79"/>
    <col min="14593" max="14593" width="40.09765625" style="79" customWidth="1"/>
    <col min="14594" max="14600" width="13" style="79" customWidth="1"/>
    <col min="14601" max="14848" width="9" style="79"/>
    <col min="14849" max="14849" width="40.09765625" style="79" customWidth="1"/>
    <col min="14850" max="14856" width="13" style="79" customWidth="1"/>
    <col min="14857" max="15104" width="9" style="79"/>
    <col min="15105" max="15105" width="40.09765625" style="79" customWidth="1"/>
    <col min="15106" max="15112" width="13" style="79" customWidth="1"/>
    <col min="15113" max="15360" width="9" style="79"/>
    <col min="15361" max="15361" width="40.09765625" style="79" customWidth="1"/>
    <col min="15362" max="15368" width="13" style="79" customWidth="1"/>
    <col min="15369" max="15616" width="9" style="79"/>
    <col min="15617" max="15617" width="40.09765625" style="79" customWidth="1"/>
    <col min="15618" max="15624" width="13" style="79" customWidth="1"/>
    <col min="15625" max="15872" width="9" style="79"/>
    <col min="15873" max="15873" width="40.09765625" style="79" customWidth="1"/>
    <col min="15874" max="15880" width="13" style="79" customWidth="1"/>
    <col min="15881" max="16128" width="9" style="79"/>
    <col min="16129" max="16129" width="40.09765625" style="79" customWidth="1"/>
    <col min="16130" max="16136" width="13" style="79" customWidth="1"/>
    <col min="16137" max="16384" width="9" style="79"/>
  </cols>
  <sheetData>
    <row r="5" spans="1:255" ht="16.2" x14ac:dyDescent="0.25">
      <c r="A5" s="78" t="s">
        <v>691</v>
      </c>
    </row>
    <row r="7" spans="1:255" x14ac:dyDescent="0.2">
      <c r="A7" s="82"/>
      <c r="B7" s="81" t="s">
        <v>366</v>
      </c>
      <c r="C7" s="79" t="s">
        <v>367</v>
      </c>
      <c r="D7" s="82" t="s">
        <v>287</v>
      </c>
      <c r="E7" s="81" t="s">
        <v>368</v>
      </c>
      <c r="F7" s="79" t="s">
        <v>369</v>
      </c>
    </row>
    <row r="8" spans="1:255" x14ac:dyDescent="0.2">
      <c r="A8" s="82"/>
      <c r="B8" s="81" t="s">
        <v>290</v>
      </c>
      <c r="C8" s="79" t="s">
        <v>291</v>
      </c>
      <c r="D8" s="82" t="s">
        <v>287</v>
      </c>
      <c r="E8" s="81" t="s">
        <v>294</v>
      </c>
      <c r="F8" s="83" t="s">
        <v>295</v>
      </c>
    </row>
    <row r="9" spans="1:255" x14ac:dyDescent="0.2">
      <c r="A9" s="82"/>
      <c r="B9" s="81" t="s">
        <v>371</v>
      </c>
      <c r="C9" s="79" t="s">
        <v>372</v>
      </c>
      <c r="D9" s="82" t="s">
        <v>287</v>
      </c>
      <c r="E9" s="105"/>
      <c r="F9" s="105"/>
    </row>
    <row r="12" spans="1:255" x14ac:dyDescent="0.2">
      <c r="A12" s="84" t="s">
        <v>692</v>
      </c>
      <c r="B12" s="84"/>
      <c r="C12" s="84"/>
      <c r="D12" s="84"/>
      <c r="E12" s="84"/>
      <c r="F12" s="84"/>
      <c r="G12" s="84"/>
      <c r="H12" s="84"/>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5"/>
      <c r="FO12" s="85"/>
      <c r="FP12" s="85"/>
      <c r="FQ12" s="85"/>
      <c r="FR12" s="85"/>
      <c r="FS12" s="85"/>
      <c r="FT12" s="85"/>
      <c r="FU12" s="85"/>
      <c r="FV12" s="85"/>
      <c r="FW12" s="85"/>
      <c r="FX12" s="85"/>
      <c r="FY12" s="85"/>
      <c r="FZ12" s="85"/>
      <c r="GA12" s="85"/>
      <c r="GB12" s="85"/>
      <c r="GC12" s="85"/>
      <c r="GD12" s="85"/>
      <c r="GE12" s="85"/>
      <c r="GF12" s="85"/>
      <c r="GG12" s="85"/>
      <c r="GH12" s="85"/>
      <c r="GI12" s="85"/>
      <c r="GJ12" s="85"/>
      <c r="GK12" s="85"/>
      <c r="GL12" s="85"/>
      <c r="GM12" s="85"/>
      <c r="GN12" s="85"/>
      <c r="GO12" s="85"/>
      <c r="GP12" s="85"/>
      <c r="GQ12" s="85"/>
      <c r="GR12" s="85"/>
      <c r="GS12" s="85"/>
      <c r="GT12" s="85"/>
      <c r="GU12" s="85"/>
      <c r="GV12" s="85"/>
      <c r="GW12" s="85"/>
      <c r="GX12" s="85"/>
      <c r="GY12" s="85"/>
      <c r="GZ12" s="85"/>
      <c r="HA12" s="85"/>
      <c r="HB12" s="85"/>
      <c r="HC12" s="85"/>
      <c r="HD12" s="85"/>
      <c r="HE12" s="85"/>
      <c r="HF12" s="85"/>
      <c r="HG12" s="85"/>
      <c r="HH12" s="85"/>
      <c r="HI12" s="85"/>
      <c r="HJ12" s="85"/>
      <c r="HK12" s="85"/>
      <c r="HL12" s="85"/>
      <c r="HM12" s="85"/>
      <c r="HN12" s="85"/>
      <c r="HO12" s="85"/>
      <c r="HP12" s="85"/>
      <c r="HQ12" s="85"/>
      <c r="HR12" s="85"/>
      <c r="HS12" s="85"/>
      <c r="HT12" s="85"/>
      <c r="HU12" s="85"/>
      <c r="HV12" s="85"/>
      <c r="HW12" s="85"/>
      <c r="HX12" s="85"/>
      <c r="HY12" s="85"/>
      <c r="HZ12" s="85"/>
      <c r="IA12" s="85"/>
      <c r="IB12" s="85"/>
      <c r="IC12" s="85"/>
      <c r="ID12" s="85"/>
      <c r="IE12" s="85"/>
      <c r="IF12" s="85"/>
      <c r="IG12" s="85"/>
      <c r="IH12" s="85"/>
      <c r="II12" s="85"/>
      <c r="IJ12" s="85"/>
      <c r="IK12" s="85"/>
      <c r="IL12" s="85"/>
      <c r="IM12" s="85"/>
      <c r="IN12" s="85"/>
      <c r="IO12" s="85"/>
      <c r="IP12" s="85"/>
      <c r="IQ12" s="85"/>
      <c r="IR12" s="85"/>
      <c r="IS12" s="85"/>
      <c r="IT12" s="85"/>
      <c r="IU12" s="85"/>
    </row>
    <row r="13" spans="1:255" ht="30.6" x14ac:dyDescent="0.2">
      <c r="A13" s="249" t="s">
        <v>299</v>
      </c>
      <c r="B13" s="250" t="s">
        <v>373</v>
      </c>
      <c r="C13" s="250" t="s">
        <v>517</v>
      </c>
      <c r="D13" s="250" t="s">
        <v>375</v>
      </c>
      <c r="E13" s="250" t="s">
        <v>518</v>
      </c>
      <c r="F13" s="250" t="s">
        <v>377</v>
      </c>
      <c r="G13" s="250" t="s">
        <v>378</v>
      </c>
      <c r="H13" s="250" t="s">
        <v>379</v>
      </c>
    </row>
    <row r="14" spans="1:255" x14ac:dyDescent="0.2">
      <c r="A14" s="90" t="s">
        <v>693</v>
      </c>
      <c r="B14" s="82"/>
      <c r="C14" s="82"/>
      <c r="D14" s="82"/>
      <c r="E14" s="82"/>
      <c r="F14" s="82"/>
      <c r="G14" s="82"/>
      <c r="H14" s="82"/>
    </row>
    <row r="15" spans="1:255" x14ac:dyDescent="0.2">
      <c r="A15" s="82" t="s">
        <v>694</v>
      </c>
      <c r="B15" s="97" t="s">
        <v>311</v>
      </c>
      <c r="C15" s="109">
        <v>0.100894</v>
      </c>
      <c r="D15" s="109">
        <v>2.9381000000000001E-2</v>
      </c>
      <c r="E15" s="109">
        <v>5.5019999999999999E-2</v>
      </c>
      <c r="F15" s="109">
        <v>3.7916999999999999E-2</v>
      </c>
      <c r="G15" s="109">
        <v>4.3472999999999998E-2</v>
      </c>
      <c r="H15" s="109">
        <v>4.3980999999999999E-2</v>
      </c>
    </row>
    <row r="16" spans="1:255" x14ac:dyDescent="0.2">
      <c r="A16" s="82" t="s">
        <v>695</v>
      </c>
      <c r="B16" s="97" t="s">
        <v>311</v>
      </c>
      <c r="C16" s="109">
        <v>0.14398900000000001</v>
      </c>
      <c r="D16" s="109">
        <v>4.9144E-2</v>
      </c>
      <c r="E16" s="109">
        <v>0.12582499999999999</v>
      </c>
      <c r="F16" s="109">
        <v>9.6476999999999993E-2</v>
      </c>
      <c r="G16" s="109">
        <v>9.9141999999999994E-2</v>
      </c>
      <c r="H16" s="109">
        <v>9.8865999999999996E-2</v>
      </c>
    </row>
    <row r="17" spans="1:8" x14ac:dyDescent="0.2">
      <c r="A17" s="82" t="s">
        <v>696</v>
      </c>
      <c r="B17" s="97" t="s">
        <v>311</v>
      </c>
      <c r="C17" s="109">
        <v>0.15660199999999999</v>
      </c>
      <c r="D17" s="109">
        <v>8.4741999999999998E-2</v>
      </c>
      <c r="E17" s="109">
        <v>3.6835E-2</v>
      </c>
      <c r="F17" s="109">
        <v>0.12359199999999999</v>
      </c>
      <c r="G17" s="109">
        <v>4.1724999999999998E-2</v>
      </c>
      <c r="H17" s="109">
        <v>4.4988E-2</v>
      </c>
    </row>
    <row r="18" spans="1:8" x14ac:dyDescent="0.2">
      <c r="A18" s="82" t="s">
        <v>697</v>
      </c>
      <c r="B18" s="97" t="s">
        <v>311</v>
      </c>
      <c r="C18" s="109">
        <v>0.15660199999999999</v>
      </c>
      <c r="D18" s="109">
        <v>8.4741999999999998E-2</v>
      </c>
      <c r="E18" s="109">
        <v>-0.155032</v>
      </c>
      <c r="F18" s="109">
        <v>9.8463999999999996E-2</v>
      </c>
      <c r="G18" s="109">
        <v>-1.9889999999999999E-3</v>
      </c>
      <c r="H18" s="109">
        <v>5.3680000000000004E-3</v>
      </c>
    </row>
    <row r="19" spans="1:8" x14ac:dyDescent="0.2">
      <c r="A19" s="82"/>
      <c r="B19" s="82"/>
      <c r="C19" s="82"/>
      <c r="D19" s="82"/>
      <c r="E19" s="82"/>
      <c r="F19" s="82"/>
      <c r="G19" s="82"/>
      <c r="H19" s="82"/>
    </row>
    <row r="20" spans="1:8" x14ac:dyDescent="0.2">
      <c r="A20" s="90" t="s">
        <v>698</v>
      </c>
      <c r="B20" s="82"/>
      <c r="C20" s="82"/>
      <c r="D20" s="82"/>
      <c r="E20" s="82"/>
      <c r="F20" s="82"/>
      <c r="G20" s="82"/>
      <c r="H20" s="82"/>
    </row>
    <row r="21" spans="1:8" x14ac:dyDescent="0.2">
      <c r="A21" s="82" t="s">
        <v>699</v>
      </c>
      <c r="B21" s="109">
        <v>0.36423</v>
      </c>
      <c r="C21" s="109">
        <v>0.38327099999999997</v>
      </c>
      <c r="D21" s="109">
        <v>0.37576900000000002</v>
      </c>
      <c r="E21" s="109">
        <v>0.40166400000000002</v>
      </c>
      <c r="F21" s="109">
        <v>0.399899</v>
      </c>
      <c r="G21" s="109">
        <v>0.39167200000000002</v>
      </c>
      <c r="H21" s="109">
        <v>0.39586500000000002</v>
      </c>
    </row>
    <row r="22" spans="1:8" x14ac:dyDescent="0.2">
      <c r="A22" s="82" t="s">
        <v>700</v>
      </c>
      <c r="B22" s="109">
        <v>0.122514</v>
      </c>
      <c r="C22" s="109">
        <v>0.126115</v>
      </c>
      <c r="D22" s="109">
        <v>0.15343699999999999</v>
      </c>
      <c r="E22" s="109">
        <v>0.127166</v>
      </c>
      <c r="F22" s="109">
        <v>0.113813</v>
      </c>
      <c r="G22" s="109">
        <v>0.10685</v>
      </c>
      <c r="H22" s="109">
        <v>0.110654</v>
      </c>
    </row>
    <row r="23" spans="1:8" x14ac:dyDescent="0.2">
      <c r="A23" s="82" t="s">
        <v>701</v>
      </c>
      <c r="B23" s="109">
        <v>0.12006</v>
      </c>
      <c r="C23" s="109">
        <v>0.14013500000000001</v>
      </c>
      <c r="D23" s="109">
        <v>7.6411000000000007E-2</v>
      </c>
      <c r="E23" s="109">
        <v>0.16044700000000001</v>
      </c>
      <c r="F23" s="109">
        <v>0.15770899999999999</v>
      </c>
      <c r="G23" s="109">
        <v>0.15826999999999999</v>
      </c>
      <c r="H23" s="109">
        <v>0.15898100000000001</v>
      </c>
    </row>
    <row r="24" spans="1:8" x14ac:dyDescent="0.2">
      <c r="A24" s="82" t="s">
        <v>702</v>
      </c>
      <c r="B24" s="109">
        <v>8.2155000000000006E-2</v>
      </c>
      <c r="C24" s="109">
        <v>9.7191E-2</v>
      </c>
      <c r="D24" s="109">
        <v>2.7401999999999999E-2</v>
      </c>
      <c r="E24" s="109">
        <v>0.10681400000000001</v>
      </c>
      <c r="F24" s="109">
        <v>0.10369299999999999</v>
      </c>
      <c r="G24" s="109">
        <v>9.7781000000000007E-2</v>
      </c>
      <c r="H24" s="109">
        <v>9.7449999999999995E-2</v>
      </c>
    </row>
    <row r="25" spans="1:8" x14ac:dyDescent="0.2">
      <c r="A25" s="82" t="s">
        <v>703</v>
      </c>
      <c r="B25" s="109">
        <v>8.2155000000000006E-2</v>
      </c>
      <c r="C25" s="109">
        <v>9.7191E-2</v>
      </c>
      <c r="D25" s="109">
        <v>2.7401999999999999E-2</v>
      </c>
      <c r="E25" s="109">
        <v>0.10681400000000001</v>
      </c>
      <c r="F25" s="109">
        <v>0.10369299999999999</v>
      </c>
      <c r="G25" s="109">
        <v>9.7781000000000007E-2</v>
      </c>
      <c r="H25" s="109">
        <v>9.7449999999999995E-2</v>
      </c>
    </row>
    <row r="26" spans="1:8" x14ac:dyDescent="0.2">
      <c r="A26" s="82" t="s">
        <v>704</v>
      </c>
      <c r="B26" s="109">
        <v>7.2459999999999997E-2</v>
      </c>
      <c r="C26" s="109">
        <v>6.5767999999999993E-2</v>
      </c>
      <c r="D26" s="109">
        <v>1.7867999999999998E-2</v>
      </c>
      <c r="E26" s="109">
        <v>1.6390999999999999E-2</v>
      </c>
      <c r="F26" s="109">
        <v>8.2488000000000006E-2</v>
      </c>
      <c r="G26" s="109">
        <v>2.4759E-2</v>
      </c>
      <c r="H26" s="109">
        <v>2.6237E-2</v>
      </c>
    </row>
    <row r="27" spans="1:8" x14ac:dyDescent="0.2">
      <c r="A27" s="82" t="s">
        <v>705</v>
      </c>
      <c r="B27" s="109">
        <v>7.2459999999999997E-2</v>
      </c>
      <c r="C27" s="109">
        <v>6.5767999999999993E-2</v>
      </c>
      <c r="D27" s="109">
        <v>1.7867999999999998E-2</v>
      </c>
      <c r="E27" s="109">
        <v>-4.6045999999999997E-2</v>
      </c>
      <c r="F27" s="109">
        <v>4.6358000000000003E-2</v>
      </c>
      <c r="G27" s="109">
        <v>-8.9099999999999997E-4</v>
      </c>
      <c r="H27" s="109">
        <v>2.4160000000000002E-3</v>
      </c>
    </row>
    <row r="28" spans="1:8" x14ac:dyDescent="0.2">
      <c r="A28" s="82" t="s">
        <v>706</v>
      </c>
      <c r="B28" s="109">
        <v>7.2459999999999997E-2</v>
      </c>
      <c r="C28" s="109">
        <v>6.5767999999999993E-2</v>
      </c>
      <c r="D28" s="109">
        <v>1.7867999999999998E-2</v>
      </c>
      <c r="E28" s="109">
        <v>-4.6045999999999997E-2</v>
      </c>
      <c r="F28" s="109">
        <v>4.6358000000000003E-2</v>
      </c>
      <c r="G28" s="109">
        <v>-8.9099999999999997E-4</v>
      </c>
      <c r="H28" s="109">
        <v>2.4160000000000002E-3</v>
      </c>
    </row>
    <row r="29" spans="1:8" x14ac:dyDescent="0.2">
      <c r="A29" s="82" t="s">
        <v>707</v>
      </c>
      <c r="B29" s="109">
        <v>4.9637000000000001E-2</v>
      </c>
      <c r="C29" s="109">
        <v>6.0350000000000001E-2</v>
      </c>
      <c r="D29" s="109">
        <v>1.5212E-2</v>
      </c>
      <c r="E29" s="109">
        <v>3.2560000000000002E-3</v>
      </c>
      <c r="F29" s="109">
        <v>2.8701000000000001E-2</v>
      </c>
      <c r="G29" s="109">
        <v>3.4179000000000001E-2</v>
      </c>
      <c r="H29" s="109">
        <v>3.5587000000000001E-2</v>
      </c>
    </row>
    <row r="30" spans="1:8" x14ac:dyDescent="0.2">
      <c r="A30" s="82" t="s">
        <v>708</v>
      </c>
      <c r="B30" s="97" t="s">
        <v>311</v>
      </c>
      <c r="C30" s="109">
        <v>-7.4290999999999996E-2</v>
      </c>
      <c r="D30" s="109">
        <v>-0.12557199999999999</v>
      </c>
      <c r="E30" s="109">
        <v>6.5943000000000002E-2</v>
      </c>
      <c r="F30" s="109">
        <v>-4.5393999999999997E-2</v>
      </c>
      <c r="G30" s="109">
        <v>-2.6074E-2</v>
      </c>
      <c r="H30" s="109">
        <v>-2.0555E-2</v>
      </c>
    </row>
    <row r="31" spans="1:8" x14ac:dyDescent="0.2">
      <c r="A31" s="82" t="s">
        <v>709</v>
      </c>
      <c r="B31" s="97" t="s">
        <v>311</v>
      </c>
      <c r="C31" s="109">
        <v>-7.3896000000000003E-2</v>
      </c>
      <c r="D31" s="109">
        <v>-0.12364799999999999</v>
      </c>
      <c r="E31" s="109">
        <v>6.7030999999999993E-2</v>
      </c>
      <c r="F31" s="109">
        <v>-4.4524000000000001E-2</v>
      </c>
      <c r="G31" s="109">
        <v>-2.3212E-2</v>
      </c>
      <c r="H31" s="109">
        <v>-1.7432E-2</v>
      </c>
    </row>
    <row r="32" spans="1:8" x14ac:dyDescent="0.2">
      <c r="A32" s="82"/>
      <c r="B32" s="82"/>
      <c r="C32" s="82"/>
      <c r="D32" s="82"/>
      <c r="E32" s="82"/>
      <c r="F32" s="82"/>
      <c r="G32" s="82"/>
      <c r="H32" s="82"/>
    </row>
    <row r="33" spans="1:8" x14ac:dyDescent="0.2">
      <c r="A33" s="90" t="s">
        <v>710</v>
      </c>
      <c r="B33" s="82"/>
      <c r="C33" s="82"/>
      <c r="D33" s="82"/>
      <c r="E33" s="82"/>
      <c r="F33" s="82"/>
      <c r="G33" s="82"/>
      <c r="H33" s="82"/>
    </row>
    <row r="34" spans="1:8" x14ac:dyDescent="0.2">
      <c r="A34" s="82" t="s">
        <v>711</v>
      </c>
      <c r="B34" s="97" t="s">
        <v>311</v>
      </c>
      <c r="C34" s="102">
        <v>1.660962</v>
      </c>
      <c r="D34" s="102">
        <v>1.7155750000000001</v>
      </c>
      <c r="E34" s="102">
        <v>0.82416500000000004</v>
      </c>
      <c r="F34" s="102">
        <v>0.58507699999999996</v>
      </c>
      <c r="G34" s="102">
        <v>0.71135999999999999</v>
      </c>
      <c r="H34" s="102">
        <v>0.72211599999999998</v>
      </c>
    </row>
    <row r="35" spans="1:8" x14ac:dyDescent="0.2">
      <c r="A35" s="82" t="s">
        <v>712</v>
      </c>
      <c r="B35" s="97" t="s">
        <v>311</v>
      </c>
      <c r="C35" s="102">
        <v>2.6171099999999998</v>
      </c>
      <c r="D35" s="102">
        <v>2.19374</v>
      </c>
      <c r="E35" s="102">
        <v>2.3361869999999998</v>
      </c>
      <c r="F35" s="102">
        <v>2.3416410000000001</v>
      </c>
      <c r="G35" s="102">
        <v>2.2192669999999999</v>
      </c>
      <c r="H35" s="102">
        <v>2.215713</v>
      </c>
    </row>
    <row r="36" spans="1:8" x14ac:dyDescent="0.2">
      <c r="A36" s="82" t="s">
        <v>713</v>
      </c>
      <c r="B36" s="97" t="s">
        <v>311</v>
      </c>
      <c r="C36" s="102">
        <v>61.996991999999999</v>
      </c>
      <c r="D36" s="102">
        <v>91.564310000000006</v>
      </c>
      <c r="E36" s="102">
        <v>91.323430000000002</v>
      </c>
      <c r="F36" s="102">
        <v>96.400358999999995</v>
      </c>
      <c r="G36" s="102">
        <v>113.260732</v>
      </c>
      <c r="H36" s="102">
        <v>75.294222000000005</v>
      </c>
    </row>
    <row r="37" spans="1:8" x14ac:dyDescent="0.2">
      <c r="A37" s="82" t="s">
        <v>714</v>
      </c>
      <c r="B37" s="97" t="s">
        <v>311</v>
      </c>
      <c r="C37" s="102">
        <v>177.188153</v>
      </c>
      <c r="D37" s="102">
        <v>172.06976700000001</v>
      </c>
      <c r="E37" s="102">
        <v>212.757462</v>
      </c>
      <c r="F37" s="102">
        <v>238.861378</v>
      </c>
      <c r="G37" s="102">
        <v>211.50581299999999</v>
      </c>
      <c r="H37" s="102">
        <v>221.638113</v>
      </c>
    </row>
    <row r="38" spans="1:8" x14ac:dyDescent="0.2">
      <c r="A38" s="82"/>
      <c r="B38" s="82"/>
      <c r="C38" s="82"/>
      <c r="D38" s="82"/>
      <c r="E38" s="82"/>
      <c r="F38" s="82"/>
      <c r="G38" s="82"/>
      <c r="H38" s="82"/>
    </row>
    <row r="39" spans="1:8" x14ac:dyDescent="0.2">
      <c r="A39" s="90" t="s">
        <v>715</v>
      </c>
      <c r="B39" s="82"/>
      <c r="C39" s="82"/>
      <c r="D39" s="82"/>
      <c r="E39" s="82"/>
      <c r="F39" s="82"/>
      <c r="G39" s="82"/>
      <c r="H39" s="82"/>
    </row>
    <row r="40" spans="1:8" x14ac:dyDescent="0.2">
      <c r="A40" s="82" t="s">
        <v>716</v>
      </c>
      <c r="B40" s="102">
        <v>3.2304650000000001</v>
      </c>
      <c r="C40" s="102">
        <v>2.110617</v>
      </c>
      <c r="D40" s="102">
        <v>0.164497</v>
      </c>
      <c r="E40" s="102">
        <v>3.2882310000000001</v>
      </c>
      <c r="F40" s="102">
        <v>2.6467390000000002</v>
      </c>
      <c r="G40" s="102">
        <v>2.7392129999999999</v>
      </c>
      <c r="H40" s="102">
        <v>2.8588629999999999</v>
      </c>
    </row>
    <row r="41" spans="1:8" x14ac:dyDescent="0.2">
      <c r="A41" s="82" t="s">
        <v>717</v>
      </c>
      <c r="B41" s="102">
        <v>3.1589719999999999</v>
      </c>
      <c r="C41" s="102">
        <v>2.026786</v>
      </c>
      <c r="D41" s="102">
        <v>0.12360599999999999</v>
      </c>
      <c r="E41" s="102">
        <v>3.1385540000000001</v>
      </c>
      <c r="F41" s="102">
        <v>2.5117919999999998</v>
      </c>
      <c r="G41" s="102">
        <v>2.6511279999999999</v>
      </c>
      <c r="H41" s="102">
        <v>2.7739780000000001</v>
      </c>
    </row>
    <row r="42" spans="1:8" x14ac:dyDescent="0.2">
      <c r="A42" s="82" t="s">
        <v>718</v>
      </c>
      <c r="B42" s="102">
        <v>2.097718</v>
      </c>
      <c r="C42" s="102">
        <v>1.7937540000000001</v>
      </c>
      <c r="D42" s="102">
        <v>0.28195999999999999</v>
      </c>
      <c r="E42" s="102">
        <v>1.7187250000000001</v>
      </c>
      <c r="F42" s="102">
        <v>1.7115959999999999</v>
      </c>
      <c r="G42" s="102">
        <v>2.0831759999999999</v>
      </c>
      <c r="H42" s="102">
        <v>2.401052</v>
      </c>
    </row>
    <row r="43" spans="1:8" x14ac:dyDescent="0.2">
      <c r="A43" s="82" t="s">
        <v>719</v>
      </c>
      <c r="B43" s="98" t="s">
        <v>311</v>
      </c>
      <c r="C43" s="98">
        <v>5.8709559999999996</v>
      </c>
      <c r="D43" s="98">
        <v>4.0516909999999999</v>
      </c>
      <c r="E43" s="98">
        <v>3.9857999999999998</v>
      </c>
      <c r="F43" s="98">
        <v>3.7757719999999999</v>
      </c>
      <c r="G43" s="98">
        <v>3.2137560000000001</v>
      </c>
      <c r="H43" s="98">
        <v>4.8342840000000002</v>
      </c>
    </row>
    <row r="44" spans="1:8" x14ac:dyDescent="0.2">
      <c r="A44" s="82" t="s">
        <v>720</v>
      </c>
      <c r="B44" s="98" t="s">
        <v>311</v>
      </c>
      <c r="C44" s="98">
        <v>2.054052</v>
      </c>
      <c r="D44" s="98">
        <v>2.1558809999999999</v>
      </c>
      <c r="E44" s="98">
        <v>1.7108000000000001</v>
      </c>
      <c r="F44" s="98">
        <v>1.5237039999999999</v>
      </c>
      <c r="G44" s="98">
        <v>1.7209920000000001</v>
      </c>
      <c r="H44" s="98">
        <v>1.642004</v>
      </c>
    </row>
    <row r="45" spans="1:8" x14ac:dyDescent="0.2">
      <c r="A45" s="82" t="s">
        <v>721</v>
      </c>
      <c r="B45" s="98" t="s">
        <v>311</v>
      </c>
      <c r="C45" s="98">
        <v>12.744004</v>
      </c>
      <c r="D45" s="98">
        <v>22.086001</v>
      </c>
      <c r="E45" s="98">
        <v>21.105447999999999</v>
      </c>
      <c r="F45" s="98">
        <v>15.458716000000001</v>
      </c>
      <c r="G45" s="98">
        <v>12.590032000000001</v>
      </c>
      <c r="H45" s="98">
        <v>9.7890519999999999</v>
      </c>
    </row>
    <row r="46" spans="1:8" x14ac:dyDescent="0.2">
      <c r="A46" s="82" t="s">
        <v>722</v>
      </c>
      <c r="B46" s="98" t="s">
        <v>311</v>
      </c>
      <c r="C46" s="98">
        <v>-4.8</v>
      </c>
      <c r="D46" s="98">
        <v>-15.9</v>
      </c>
      <c r="E46" s="98">
        <v>-15.4</v>
      </c>
      <c r="F46" s="98">
        <v>-10.199999999999999</v>
      </c>
      <c r="G46" s="98">
        <v>-7.7</v>
      </c>
      <c r="H46" s="98">
        <v>-3.3</v>
      </c>
    </row>
    <row r="47" spans="1:8" x14ac:dyDescent="0.2">
      <c r="A47" s="82"/>
      <c r="B47" s="82"/>
      <c r="C47" s="82"/>
      <c r="D47" s="82"/>
      <c r="E47" s="82"/>
      <c r="F47" s="82"/>
      <c r="G47" s="82"/>
      <c r="H47" s="82"/>
    </row>
    <row r="48" spans="1:8" x14ac:dyDescent="0.2">
      <c r="A48" s="90" t="s">
        <v>723</v>
      </c>
      <c r="B48" s="82"/>
      <c r="C48" s="82"/>
      <c r="D48" s="82"/>
      <c r="E48" s="82"/>
      <c r="F48" s="82"/>
      <c r="G48" s="82"/>
      <c r="H48" s="82"/>
    </row>
    <row r="49" spans="1:8" x14ac:dyDescent="0.2">
      <c r="A49" s="82" t="s">
        <v>724</v>
      </c>
      <c r="B49" s="97" t="s">
        <v>311</v>
      </c>
      <c r="C49" s="109">
        <v>8.371E-3</v>
      </c>
      <c r="D49" s="109">
        <v>2.5645229999999999</v>
      </c>
      <c r="E49" s="109">
        <v>1.993E-3</v>
      </c>
      <c r="F49" s="109">
        <v>9.9670000000000002E-3</v>
      </c>
      <c r="G49" s="109">
        <v>6.4673999999999995E-2</v>
      </c>
      <c r="H49" s="109">
        <v>7.3048000000000002E-2</v>
      </c>
    </row>
    <row r="50" spans="1:8" x14ac:dyDescent="0.2">
      <c r="A50" s="82" t="s">
        <v>725</v>
      </c>
      <c r="B50" s="97" t="s">
        <v>311</v>
      </c>
      <c r="C50" s="109">
        <v>8.3020000000000004E-3</v>
      </c>
      <c r="D50" s="109">
        <v>0.71945700000000001</v>
      </c>
      <c r="E50" s="109">
        <v>1.9889999999999999E-3</v>
      </c>
      <c r="F50" s="109">
        <v>9.8689999999999993E-3</v>
      </c>
      <c r="G50" s="109">
        <v>6.0745E-2</v>
      </c>
      <c r="H50" s="109">
        <v>6.8074999999999997E-2</v>
      </c>
    </row>
    <row r="51" spans="1:8" x14ac:dyDescent="0.2">
      <c r="A51" s="82" t="s">
        <v>726</v>
      </c>
      <c r="B51" s="97" t="s">
        <v>311</v>
      </c>
      <c r="C51" s="109">
        <v>8.371E-3</v>
      </c>
      <c r="D51" s="109">
        <v>2.4840999999999998E-2</v>
      </c>
      <c r="E51" s="109">
        <v>1.993E-3</v>
      </c>
      <c r="F51" s="109">
        <v>9.9670000000000002E-3</v>
      </c>
      <c r="G51" s="109">
        <v>6.4673999999999995E-2</v>
      </c>
      <c r="H51" s="109">
        <v>7.3048000000000002E-2</v>
      </c>
    </row>
    <row r="52" spans="1:8" x14ac:dyDescent="0.2">
      <c r="A52" s="82" t="s">
        <v>727</v>
      </c>
      <c r="B52" s="97" t="s">
        <v>311</v>
      </c>
      <c r="C52" s="109">
        <v>8.3020000000000004E-3</v>
      </c>
      <c r="D52" s="109">
        <v>6.9690000000000004E-3</v>
      </c>
      <c r="E52" s="109">
        <v>1.9889999999999999E-3</v>
      </c>
      <c r="F52" s="109">
        <v>9.8689999999999993E-3</v>
      </c>
      <c r="G52" s="109">
        <v>6.0745E-2</v>
      </c>
      <c r="H52" s="109">
        <v>6.8074999999999997E-2</v>
      </c>
    </row>
    <row r="53" spans="1:8" x14ac:dyDescent="0.2">
      <c r="A53" s="82" t="s">
        <v>728</v>
      </c>
      <c r="B53" s="109">
        <v>0.27677600000000002</v>
      </c>
      <c r="C53" s="109">
        <v>0.322932</v>
      </c>
      <c r="D53" s="109">
        <v>0.84812299999999996</v>
      </c>
      <c r="E53" s="109">
        <v>0.58629799999999999</v>
      </c>
      <c r="F53" s="109">
        <v>0.62587199999999998</v>
      </c>
      <c r="G53" s="109">
        <v>0.52300000000000002</v>
      </c>
      <c r="H53" s="109">
        <v>0.53400800000000004</v>
      </c>
    </row>
    <row r="54" spans="1:8" x14ac:dyDescent="0.2">
      <c r="A54" s="82"/>
      <c r="B54" s="82"/>
      <c r="C54" s="82"/>
      <c r="D54" s="82"/>
      <c r="E54" s="82"/>
      <c r="F54" s="82"/>
      <c r="G54" s="82"/>
      <c r="H54" s="82"/>
    </row>
    <row r="55" spans="1:8" x14ac:dyDescent="0.2">
      <c r="A55" s="82" t="s">
        <v>729</v>
      </c>
      <c r="B55" s="102">
        <v>30.038461000000002</v>
      </c>
      <c r="C55" s="102">
        <v>154.11538400000001</v>
      </c>
      <c r="D55" s="102">
        <v>8.8986300000000007</v>
      </c>
      <c r="E55" s="102">
        <v>61.319277</v>
      </c>
      <c r="F55" s="102">
        <v>74.435828000000001</v>
      </c>
      <c r="G55" s="102">
        <v>21.354230000000001</v>
      </c>
      <c r="H55" s="102">
        <v>19.499212</v>
      </c>
    </row>
    <row r="56" spans="1:8" x14ac:dyDescent="0.2">
      <c r="A56" s="82" t="s">
        <v>730</v>
      </c>
      <c r="B56" s="102">
        <v>43.897435000000002</v>
      </c>
      <c r="C56" s="102">
        <v>222.21153799999999</v>
      </c>
      <c r="D56" s="102">
        <v>24.813697999999999</v>
      </c>
      <c r="E56" s="102">
        <v>92.108433000000005</v>
      </c>
      <c r="F56" s="102">
        <v>113.211229</v>
      </c>
      <c r="G56" s="102">
        <v>34.564211</v>
      </c>
      <c r="H56" s="102">
        <v>31.811022999999999</v>
      </c>
    </row>
    <row r="57" spans="1:8" x14ac:dyDescent="0.2">
      <c r="A57" s="82" t="s">
        <v>731</v>
      </c>
      <c r="B57" s="97" t="s">
        <v>319</v>
      </c>
      <c r="C57" s="97" t="s">
        <v>319</v>
      </c>
      <c r="D57" s="97" t="s">
        <v>319</v>
      </c>
      <c r="E57" s="97" t="s">
        <v>319</v>
      </c>
      <c r="F57" s="97" t="s">
        <v>319</v>
      </c>
      <c r="G57" s="97" t="s">
        <v>319</v>
      </c>
      <c r="H57" s="97" t="s">
        <v>319</v>
      </c>
    </row>
    <row r="58" spans="1:8" x14ac:dyDescent="0.2">
      <c r="A58" s="82" t="s">
        <v>732</v>
      </c>
      <c r="B58" s="97" t="s">
        <v>311</v>
      </c>
      <c r="C58" s="102">
        <v>2.7087E-2</v>
      </c>
      <c r="D58" s="102">
        <v>3.5677370000000002</v>
      </c>
      <c r="E58" s="102">
        <v>1.0234999999999999E-2</v>
      </c>
      <c r="F58" s="102">
        <v>4.7399999999999998E-2</v>
      </c>
      <c r="G58" s="102">
        <v>0.25564799999999999</v>
      </c>
      <c r="H58" s="102">
        <v>0.28102300000000002</v>
      </c>
    </row>
    <row r="59" spans="1:8" x14ac:dyDescent="0.2">
      <c r="A59" s="82" t="s">
        <v>733</v>
      </c>
      <c r="B59" s="97" t="s">
        <v>319</v>
      </c>
      <c r="C59" s="97" t="s">
        <v>319</v>
      </c>
      <c r="D59" s="102">
        <v>3.2721650000000002</v>
      </c>
      <c r="E59" s="97" t="s">
        <v>319</v>
      </c>
      <c r="F59" s="97" t="s">
        <v>319</v>
      </c>
      <c r="G59" s="97" t="s">
        <v>319</v>
      </c>
      <c r="H59" s="97" t="s">
        <v>319</v>
      </c>
    </row>
    <row r="60" spans="1:8" x14ac:dyDescent="0.2">
      <c r="A60" s="82" t="s">
        <v>734</v>
      </c>
      <c r="B60" s="97" t="s">
        <v>311</v>
      </c>
      <c r="C60" s="97" t="s">
        <v>319</v>
      </c>
      <c r="D60" s="97" t="s">
        <v>319</v>
      </c>
      <c r="E60" s="97" t="s">
        <v>319</v>
      </c>
      <c r="F60" s="97" t="s">
        <v>319</v>
      </c>
      <c r="G60" s="97" t="s">
        <v>319</v>
      </c>
      <c r="H60" s="97" t="s">
        <v>319</v>
      </c>
    </row>
    <row r="61" spans="1:8" x14ac:dyDescent="0.2">
      <c r="A61" s="82" t="s">
        <v>735</v>
      </c>
      <c r="B61" s="97" t="s">
        <v>319</v>
      </c>
      <c r="C61" s="97" t="s">
        <v>319</v>
      </c>
      <c r="D61" s="97" t="s">
        <v>319</v>
      </c>
      <c r="E61" s="97" t="s">
        <v>319</v>
      </c>
      <c r="F61" s="97" t="s">
        <v>319</v>
      </c>
      <c r="G61" s="97" t="s">
        <v>319</v>
      </c>
      <c r="H61" s="97" t="s">
        <v>319</v>
      </c>
    </row>
    <row r="62" spans="1:8" x14ac:dyDescent="0.2">
      <c r="A62" s="82"/>
      <c r="B62" s="82"/>
      <c r="C62" s="82"/>
      <c r="D62" s="82"/>
      <c r="E62" s="82"/>
      <c r="F62" s="82"/>
      <c r="G62" s="82"/>
      <c r="H62" s="82"/>
    </row>
    <row r="63" spans="1:8" x14ac:dyDescent="0.2">
      <c r="A63" s="82" t="s">
        <v>736</v>
      </c>
      <c r="B63" s="108" t="s">
        <v>311</v>
      </c>
      <c r="C63" s="108" t="s">
        <v>311</v>
      </c>
      <c r="D63" s="108" t="s">
        <v>311</v>
      </c>
      <c r="E63" s="108">
        <v>2.7822460000000002</v>
      </c>
      <c r="F63" s="108">
        <v>2.2590819999999998</v>
      </c>
      <c r="G63" s="108">
        <v>3.4266960000000002</v>
      </c>
      <c r="H63" s="108">
        <v>3.3838460000000001</v>
      </c>
    </row>
    <row r="64" spans="1:8" x14ac:dyDescent="0.2">
      <c r="A64" s="82"/>
      <c r="B64" s="82"/>
      <c r="C64" s="82"/>
      <c r="D64" s="82"/>
      <c r="E64" s="82"/>
      <c r="F64" s="82"/>
      <c r="G64" s="82"/>
      <c r="H64" s="82"/>
    </row>
    <row r="65" spans="1:8" x14ac:dyDescent="0.2">
      <c r="A65" s="90" t="s">
        <v>737</v>
      </c>
      <c r="B65" s="82"/>
      <c r="C65" s="82"/>
      <c r="D65" s="82"/>
      <c r="E65" s="82"/>
      <c r="F65" s="82"/>
      <c r="G65" s="82"/>
      <c r="H65" s="82"/>
    </row>
    <row r="66" spans="1:8" x14ac:dyDescent="0.2">
      <c r="A66" s="82" t="s">
        <v>381</v>
      </c>
      <c r="B66" s="97" t="s">
        <v>311</v>
      </c>
      <c r="C66" s="109">
        <v>0.44563199999999997</v>
      </c>
      <c r="D66" s="109">
        <v>0.43749300000000002</v>
      </c>
      <c r="E66" s="109">
        <v>0.60796399999999995</v>
      </c>
      <c r="F66" s="109">
        <v>0.40863699999999997</v>
      </c>
      <c r="G66" s="109">
        <v>0.336474</v>
      </c>
      <c r="H66" s="109">
        <v>0.30962099999999998</v>
      </c>
    </row>
    <row r="67" spans="1:8" x14ac:dyDescent="0.2">
      <c r="A67" s="82" t="s">
        <v>383</v>
      </c>
      <c r="B67" s="97" t="s">
        <v>311</v>
      </c>
      <c r="C67" s="109">
        <v>0.52120299999999997</v>
      </c>
      <c r="D67" s="109">
        <v>0.40935899999999997</v>
      </c>
      <c r="E67" s="109">
        <v>0.71876899999999999</v>
      </c>
      <c r="F67" s="109">
        <v>0.402447</v>
      </c>
      <c r="G67" s="109">
        <v>0.308979</v>
      </c>
      <c r="H67" s="109">
        <v>0.24882000000000001</v>
      </c>
    </row>
    <row r="68" spans="1:8" x14ac:dyDescent="0.2">
      <c r="A68" s="82" t="s">
        <v>738</v>
      </c>
      <c r="B68" s="97" t="s">
        <v>311</v>
      </c>
      <c r="C68" s="109">
        <v>0.68735299999999999</v>
      </c>
      <c r="D68" s="109">
        <v>-0.21618399999999999</v>
      </c>
      <c r="E68" s="109">
        <v>2.3763930000000002</v>
      </c>
      <c r="F68" s="109">
        <v>0.38459700000000002</v>
      </c>
      <c r="G68" s="109">
        <v>0.341229</v>
      </c>
      <c r="H68" s="109">
        <v>0.34936499999999998</v>
      </c>
    </row>
    <row r="69" spans="1:8" x14ac:dyDescent="0.2">
      <c r="A69" s="82" t="s">
        <v>739</v>
      </c>
      <c r="B69" s="97" t="s">
        <v>311</v>
      </c>
      <c r="C69" s="109">
        <v>0.71020000000000005</v>
      </c>
      <c r="D69" s="109">
        <v>-0.59470999999999996</v>
      </c>
      <c r="E69" s="109">
        <v>5.2678570000000002</v>
      </c>
      <c r="F69" s="109">
        <v>0.36747200000000002</v>
      </c>
      <c r="G69" s="109">
        <v>0.26028200000000001</v>
      </c>
      <c r="H69" s="109">
        <v>0.29131600000000002</v>
      </c>
    </row>
    <row r="70" spans="1:8" x14ac:dyDescent="0.2">
      <c r="A70" s="82" t="s">
        <v>740</v>
      </c>
      <c r="B70" s="97" t="s">
        <v>311</v>
      </c>
      <c r="C70" s="109">
        <v>0.71020000000000005</v>
      </c>
      <c r="D70" s="109">
        <v>-0.59470999999999996</v>
      </c>
      <c r="E70" s="109">
        <v>5.2678570000000002</v>
      </c>
      <c r="F70" s="109">
        <v>0.36747200000000002</v>
      </c>
      <c r="G70" s="109">
        <v>0.26028200000000001</v>
      </c>
      <c r="H70" s="109">
        <v>0.29131600000000002</v>
      </c>
    </row>
    <row r="71" spans="1:8" x14ac:dyDescent="0.2">
      <c r="A71" s="82" t="s">
        <v>403</v>
      </c>
      <c r="B71" s="97" t="s">
        <v>311</v>
      </c>
      <c r="C71" s="109">
        <v>0.31212099999999998</v>
      </c>
      <c r="D71" s="109">
        <v>-0.60944200000000004</v>
      </c>
      <c r="E71" s="109">
        <v>0.47497600000000001</v>
      </c>
      <c r="F71" s="109">
        <v>6.0889879999999996</v>
      </c>
      <c r="G71" s="109">
        <v>-0.59884499999999996</v>
      </c>
      <c r="H71" s="109">
        <v>-0.55859199999999998</v>
      </c>
    </row>
    <row r="72" spans="1:8" x14ac:dyDescent="0.2">
      <c r="A72" s="82" t="s">
        <v>408</v>
      </c>
      <c r="B72" s="97" t="s">
        <v>311</v>
      </c>
      <c r="C72" s="109">
        <v>0.31212099999999998</v>
      </c>
      <c r="D72" s="109">
        <v>-0.60944200000000004</v>
      </c>
      <c r="E72" s="109" t="s">
        <v>319</v>
      </c>
      <c r="F72" s="109" t="s">
        <v>319</v>
      </c>
      <c r="G72" s="109" t="s">
        <v>319</v>
      </c>
      <c r="H72" s="109">
        <v>-0.93049599999999999</v>
      </c>
    </row>
    <row r="73" spans="1:8" x14ac:dyDescent="0.2">
      <c r="A73" s="82" t="s">
        <v>741</v>
      </c>
      <c r="B73" s="97" t="s">
        <v>311</v>
      </c>
      <c r="C73" s="109">
        <v>0.75761500000000004</v>
      </c>
      <c r="D73" s="109">
        <v>-0.63765400000000005</v>
      </c>
      <c r="E73" s="109">
        <v>-0.655806</v>
      </c>
      <c r="F73" s="109">
        <v>11.415910999999999</v>
      </c>
      <c r="G73" s="109">
        <v>0.59157999999999999</v>
      </c>
      <c r="H73" s="109">
        <v>0.58592299999999997</v>
      </c>
    </row>
    <row r="74" spans="1:8" x14ac:dyDescent="0.2">
      <c r="A74" s="82" t="s">
        <v>742</v>
      </c>
      <c r="B74" s="97" t="s">
        <v>311</v>
      </c>
      <c r="C74" s="97" t="s">
        <v>311</v>
      </c>
      <c r="D74" s="109">
        <v>-0.60936699999999999</v>
      </c>
      <c r="E74" s="109" t="s">
        <v>319</v>
      </c>
      <c r="F74" s="109" t="s">
        <v>319</v>
      </c>
      <c r="G74" s="109" t="s">
        <v>319</v>
      </c>
      <c r="H74" s="109">
        <v>-0.93489</v>
      </c>
    </row>
    <row r="75" spans="1:8" x14ac:dyDescent="0.2">
      <c r="A75" s="82"/>
      <c r="B75" s="82"/>
      <c r="C75" s="82"/>
      <c r="D75" s="82"/>
      <c r="E75" s="82"/>
      <c r="F75" s="82"/>
      <c r="G75" s="82"/>
      <c r="H75" s="82"/>
    </row>
    <row r="76" spans="1:8" x14ac:dyDescent="0.2">
      <c r="A76" s="82" t="s">
        <v>743</v>
      </c>
      <c r="B76" s="97" t="s">
        <v>311</v>
      </c>
      <c r="C76" s="109">
        <v>-0.28718700000000003</v>
      </c>
      <c r="D76" s="109">
        <v>0.33875300000000003</v>
      </c>
      <c r="E76" s="109">
        <v>0.81646399999999997</v>
      </c>
      <c r="F76" s="109">
        <v>6.9093000000000002E-2</v>
      </c>
      <c r="G76" s="109">
        <v>0.20152800000000001</v>
      </c>
      <c r="H76" s="109">
        <v>-2.1710000000000002E-3</v>
      </c>
    </row>
    <row r="77" spans="1:8" x14ac:dyDescent="0.2">
      <c r="A77" s="82" t="s">
        <v>744</v>
      </c>
      <c r="B77" s="97" t="s">
        <v>311</v>
      </c>
      <c r="C77" s="109">
        <v>0.36213899999999999</v>
      </c>
      <c r="D77" s="109">
        <v>0.59818700000000002</v>
      </c>
      <c r="E77" s="109">
        <v>2.6464999999999999E-2</v>
      </c>
      <c r="F77" s="109">
        <v>0.484346</v>
      </c>
      <c r="G77" s="109">
        <v>0.56079400000000001</v>
      </c>
      <c r="H77" s="109">
        <v>0.30121799999999999</v>
      </c>
    </row>
    <row r="78" spans="1:8" x14ac:dyDescent="0.2">
      <c r="A78" s="82" t="s">
        <v>745</v>
      </c>
      <c r="B78" s="97" t="s">
        <v>311</v>
      </c>
      <c r="C78" s="109">
        <v>0.51298100000000002</v>
      </c>
      <c r="D78" s="109">
        <v>0.84838400000000003</v>
      </c>
      <c r="E78" s="109">
        <v>0.32680599999999999</v>
      </c>
      <c r="F78" s="109">
        <v>0.46455800000000003</v>
      </c>
      <c r="G78" s="109">
        <v>0.373033</v>
      </c>
      <c r="H78" s="109">
        <v>0.38622200000000001</v>
      </c>
    </row>
    <row r="79" spans="1:8" x14ac:dyDescent="0.2">
      <c r="A79" s="82" t="s">
        <v>746</v>
      </c>
      <c r="B79" s="97" t="s">
        <v>311</v>
      </c>
      <c r="C79" s="109">
        <v>0.25303999999999999</v>
      </c>
      <c r="D79" s="109">
        <v>0.502417</v>
      </c>
      <c r="E79" s="109">
        <v>3.5749490000000002</v>
      </c>
      <c r="F79" s="109">
        <v>0.41798999999999997</v>
      </c>
      <c r="G79" s="109">
        <v>-0.125583</v>
      </c>
      <c r="H79" s="109">
        <v>-9.9264000000000005E-2</v>
      </c>
    </row>
    <row r="80" spans="1:8" x14ac:dyDescent="0.2">
      <c r="A80" s="82"/>
      <c r="B80" s="82"/>
      <c r="C80" s="82"/>
      <c r="D80" s="82"/>
      <c r="E80" s="82"/>
      <c r="F80" s="82"/>
      <c r="G80" s="82"/>
      <c r="H80" s="82"/>
    </row>
    <row r="81" spans="1:8" x14ac:dyDescent="0.2">
      <c r="A81" s="82" t="s">
        <v>747</v>
      </c>
      <c r="B81" s="97" t="s">
        <v>311</v>
      </c>
      <c r="C81" s="109">
        <v>0.173072</v>
      </c>
      <c r="D81" s="109">
        <v>-0.68173499999999998</v>
      </c>
      <c r="E81" s="109">
        <v>7.3968400000000001</v>
      </c>
      <c r="F81" s="109">
        <v>0.51617299999999999</v>
      </c>
      <c r="G81" s="109">
        <v>0.112953</v>
      </c>
      <c r="H81" s="109">
        <v>0.13170999999999999</v>
      </c>
    </row>
    <row r="82" spans="1:8" x14ac:dyDescent="0.2">
      <c r="A82" s="82" t="s">
        <v>748</v>
      </c>
      <c r="B82" s="97" t="s">
        <v>311</v>
      </c>
      <c r="C82" s="109">
        <v>0.173072</v>
      </c>
      <c r="D82" s="109">
        <v>-0.66298500000000005</v>
      </c>
      <c r="E82" s="109">
        <v>6.9853170000000002</v>
      </c>
      <c r="F82" s="109">
        <v>0.51257699999999995</v>
      </c>
      <c r="G82" s="109">
        <v>0.113701</v>
      </c>
      <c r="H82" s="109">
        <v>0.13170999999999999</v>
      </c>
    </row>
    <row r="83" spans="1:8" x14ac:dyDescent="0.2">
      <c r="A83" s="82" t="s">
        <v>529</v>
      </c>
      <c r="B83" s="97" t="s">
        <v>311</v>
      </c>
      <c r="C83" s="109">
        <v>0.106696</v>
      </c>
      <c r="D83" s="109">
        <v>5.1067000000000001E-2</v>
      </c>
      <c r="E83" s="109">
        <v>2.0372490000000001</v>
      </c>
      <c r="F83" s="109">
        <v>0.31574400000000002</v>
      </c>
      <c r="G83" s="109">
        <v>0.30566399999999999</v>
      </c>
      <c r="H83" s="109">
        <v>0.44778800000000002</v>
      </c>
    </row>
    <row r="84" spans="1:8" x14ac:dyDescent="0.2">
      <c r="A84" s="82" t="s">
        <v>749</v>
      </c>
      <c r="B84" s="97" t="s">
        <v>311</v>
      </c>
      <c r="C84" s="109">
        <v>0.46737899999999999</v>
      </c>
      <c r="D84" s="109">
        <v>0.76083699999999999</v>
      </c>
      <c r="E84" s="109">
        <v>0.12631899999999999</v>
      </c>
      <c r="F84" s="109">
        <v>0.69483399999999995</v>
      </c>
      <c r="G84" s="109">
        <v>0.130435</v>
      </c>
      <c r="H84" s="109">
        <v>0.23732600000000001</v>
      </c>
    </row>
    <row r="85" spans="1:8" x14ac:dyDescent="0.2">
      <c r="A85" s="82" t="s">
        <v>750</v>
      </c>
      <c r="B85" s="97" t="s">
        <v>311</v>
      </c>
      <c r="C85" s="97" t="s">
        <v>311</v>
      </c>
      <c r="D85" s="109" t="s">
        <v>319</v>
      </c>
      <c r="E85" s="109" t="s">
        <v>319</v>
      </c>
      <c r="F85" s="109" t="s">
        <v>319</v>
      </c>
      <c r="G85" s="109" t="s">
        <v>319</v>
      </c>
      <c r="H85" s="109" t="s">
        <v>319</v>
      </c>
    </row>
    <row r="86" spans="1:8" x14ac:dyDescent="0.2">
      <c r="A86" s="82" t="s">
        <v>751</v>
      </c>
      <c r="B86" s="97" t="s">
        <v>311</v>
      </c>
      <c r="C86" s="97" t="s">
        <v>311</v>
      </c>
      <c r="D86" s="109" t="s">
        <v>319</v>
      </c>
      <c r="E86" s="109" t="s">
        <v>319</v>
      </c>
      <c r="F86" s="109" t="s">
        <v>319</v>
      </c>
      <c r="G86" s="109" t="s">
        <v>319</v>
      </c>
      <c r="H86" s="109" t="s">
        <v>319</v>
      </c>
    </row>
    <row r="87" spans="1:8" x14ac:dyDescent="0.2">
      <c r="A87" s="82" t="s">
        <v>752</v>
      </c>
      <c r="B87" s="97" t="s">
        <v>311</v>
      </c>
      <c r="C87" s="97" t="s">
        <v>311</v>
      </c>
      <c r="D87" s="97" t="s">
        <v>311</v>
      </c>
      <c r="E87" s="97" t="s">
        <v>311</v>
      </c>
      <c r="F87" s="97" t="s">
        <v>311</v>
      </c>
      <c r="G87" s="97" t="s">
        <v>311</v>
      </c>
      <c r="H87" s="97" t="s">
        <v>311</v>
      </c>
    </row>
    <row r="88" spans="1:8" x14ac:dyDescent="0.2">
      <c r="A88" s="82"/>
      <c r="B88" s="82"/>
      <c r="C88" s="82"/>
      <c r="D88" s="82"/>
      <c r="E88" s="82"/>
      <c r="F88" s="82"/>
      <c r="G88" s="82"/>
      <c r="H88" s="82"/>
    </row>
    <row r="89" spans="1:8" x14ac:dyDescent="0.2">
      <c r="A89" s="90" t="s">
        <v>753</v>
      </c>
      <c r="B89" s="82"/>
      <c r="C89" s="82"/>
      <c r="D89" s="82"/>
      <c r="E89" s="82"/>
      <c r="F89" s="82"/>
      <c r="G89" s="82"/>
      <c r="H89" s="82"/>
    </row>
    <row r="90" spans="1:8" x14ac:dyDescent="0.2">
      <c r="A90" s="82" t="s">
        <v>381</v>
      </c>
      <c r="B90" s="97" t="s">
        <v>311</v>
      </c>
      <c r="C90" s="97" t="s">
        <v>311</v>
      </c>
      <c r="D90" s="109">
        <v>0.44155699999999998</v>
      </c>
      <c r="E90" s="109">
        <v>0.52034100000000005</v>
      </c>
      <c r="F90" s="109">
        <v>0.50500400000000001</v>
      </c>
      <c r="G90" s="109">
        <v>0.372081</v>
      </c>
      <c r="H90" s="109">
        <v>0.35716199999999998</v>
      </c>
    </row>
    <row r="91" spans="1:8" x14ac:dyDescent="0.2">
      <c r="A91" s="82" t="s">
        <v>383</v>
      </c>
      <c r="B91" s="97" t="s">
        <v>311</v>
      </c>
      <c r="C91" s="97" t="s">
        <v>311</v>
      </c>
      <c r="D91" s="109">
        <v>0.46421400000000002</v>
      </c>
      <c r="E91" s="109">
        <v>0.55639499999999997</v>
      </c>
      <c r="F91" s="109">
        <v>0.55257299999999998</v>
      </c>
      <c r="G91" s="109">
        <v>0.354908</v>
      </c>
      <c r="H91" s="109">
        <v>0.342831</v>
      </c>
    </row>
    <row r="92" spans="1:8" x14ac:dyDescent="0.2">
      <c r="A92" s="82" t="s">
        <v>738</v>
      </c>
      <c r="B92" s="97" t="s">
        <v>311</v>
      </c>
      <c r="C92" s="97" t="s">
        <v>311</v>
      </c>
      <c r="D92" s="109">
        <v>0.150033</v>
      </c>
      <c r="E92" s="109">
        <v>0.62679799999999997</v>
      </c>
      <c r="F92" s="109">
        <v>1.1621630000000001</v>
      </c>
      <c r="G92" s="109">
        <v>0.36274099999999998</v>
      </c>
      <c r="H92" s="109">
        <v>0.32842199999999999</v>
      </c>
    </row>
    <row r="93" spans="1:8" x14ac:dyDescent="0.2">
      <c r="A93" s="82" t="s">
        <v>739</v>
      </c>
      <c r="B93" s="97" t="s">
        <v>311</v>
      </c>
      <c r="C93" s="97" t="s">
        <v>311</v>
      </c>
      <c r="D93" s="109">
        <v>-0.16745699999999999</v>
      </c>
      <c r="E93" s="109">
        <v>0.59383300000000006</v>
      </c>
      <c r="F93" s="109">
        <v>1.927648</v>
      </c>
      <c r="G93" s="109">
        <v>0.31278400000000001</v>
      </c>
      <c r="H93" s="109">
        <v>0.26527200000000001</v>
      </c>
    </row>
    <row r="94" spans="1:8" x14ac:dyDescent="0.2">
      <c r="A94" s="82" t="s">
        <v>740</v>
      </c>
      <c r="B94" s="97" t="s">
        <v>311</v>
      </c>
      <c r="C94" s="97" t="s">
        <v>311</v>
      </c>
      <c r="D94" s="109">
        <v>-0.16745699999999999</v>
      </c>
      <c r="E94" s="109">
        <v>0.59383300000000006</v>
      </c>
      <c r="F94" s="109">
        <v>1.927648</v>
      </c>
      <c r="G94" s="109">
        <v>0.31278400000000001</v>
      </c>
      <c r="H94" s="109">
        <v>0.26527200000000001</v>
      </c>
    </row>
    <row r="95" spans="1:8" x14ac:dyDescent="0.2">
      <c r="A95" s="82" t="s">
        <v>403</v>
      </c>
      <c r="B95" s="97" t="s">
        <v>311</v>
      </c>
      <c r="C95" s="97" t="s">
        <v>311</v>
      </c>
      <c r="D95" s="109">
        <v>-0.28413699999999997</v>
      </c>
      <c r="E95" s="109">
        <v>-0.241011</v>
      </c>
      <c r="F95" s="109">
        <v>2.2335880000000001</v>
      </c>
      <c r="G95" s="109">
        <v>0.68635400000000002</v>
      </c>
      <c r="H95" s="109">
        <v>-0.249059</v>
      </c>
    </row>
    <row r="96" spans="1:8" x14ac:dyDescent="0.2">
      <c r="A96" s="82" t="s">
        <v>408</v>
      </c>
      <c r="B96" s="97" t="s">
        <v>311</v>
      </c>
      <c r="C96" s="97" t="s">
        <v>311</v>
      </c>
      <c r="D96" s="109">
        <v>-0.28413699999999997</v>
      </c>
      <c r="E96" s="109" t="s">
        <v>319</v>
      </c>
      <c r="F96" s="109">
        <v>1.4241079999999999</v>
      </c>
      <c r="G96" s="109" t="s">
        <v>319</v>
      </c>
      <c r="H96" s="109">
        <v>-0.58524699999999996</v>
      </c>
    </row>
    <row r="97" spans="1:8" x14ac:dyDescent="0.2">
      <c r="A97" s="82" t="s">
        <v>741</v>
      </c>
      <c r="B97" s="97" t="s">
        <v>311</v>
      </c>
      <c r="C97" s="97" t="s">
        <v>311</v>
      </c>
      <c r="D97" s="109">
        <v>-0.201962</v>
      </c>
      <c r="E97" s="109">
        <v>-0.64684699999999995</v>
      </c>
      <c r="F97" s="109">
        <v>1.06724</v>
      </c>
      <c r="G97" s="109">
        <v>3.4453260000000001</v>
      </c>
      <c r="H97" s="109">
        <v>1.653538</v>
      </c>
    </row>
    <row r="98" spans="1:8" x14ac:dyDescent="0.2">
      <c r="A98" s="82" t="s">
        <v>742</v>
      </c>
      <c r="B98" s="97" t="s">
        <v>311</v>
      </c>
      <c r="C98" s="97" t="s">
        <v>311</v>
      </c>
      <c r="D98" s="97" t="s">
        <v>311</v>
      </c>
      <c r="E98" s="109" t="s">
        <v>319</v>
      </c>
      <c r="F98" s="109">
        <v>1.7454719999999999</v>
      </c>
      <c r="G98" s="109" t="s">
        <v>319</v>
      </c>
      <c r="H98" s="109">
        <v>-0.67666400000000004</v>
      </c>
    </row>
    <row r="99" spans="1:8" x14ac:dyDescent="0.2">
      <c r="A99" s="82"/>
      <c r="B99" s="82"/>
      <c r="C99" s="82"/>
      <c r="D99" s="82"/>
      <c r="E99" s="82"/>
      <c r="F99" s="82"/>
      <c r="G99" s="82"/>
      <c r="H99" s="82"/>
    </row>
    <row r="100" spans="1:8" x14ac:dyDescent="0.2">
      <c r="A100" s="82" t="s">
        <v>743</v>
      </c>
      <c r="B100" s="97" t="s">
        <v>311</v>
      </c>
      <c r="C100" s="97" t="s">
        <v>311</v>
      </c>
      <c r="D100" s="109">
        <v>-2.3126000000000001E-2</v>
      </c>
      <c r="E100" s="109">
        <v>0.55942199999999997</v>
      </c>
      <c r="F100" s="109">
        <v>0.39354600000000001</v>
      </c>
      <c r="G100" s="109">
        <v>0.133378</v>
      </c>
      <c r="H100" s="109">
        <v>0.230292</v>
      </c>
    </row>
    <row r="101" spans="1:8" x14ac:dyDescent="0.2">
      <c r="A101" s="82" t="s">
        <v>744</v>
      </c>
      <c r="B101" s="97" t="s">
        <v>311</v>
      </c>
      <c r="C101" s="97" t="s">
        <v>311</v>
      </c>
      <c r="D101" s="109">
        <v>0.47544999999999998</v>
      </c>
      <c r="E101" s="109">
        <v>0.28081299999999998</v>
      </c>
      <c r="F101" s="109">
        <v>0.23435400000000001</v>
      </c>
      <c r="G101" s="109">
        <v>0.52209000000000005</v>
      </c>
      <c r="H101" s="109">
        <v>0.37553999999999998</v>
      </c>
    </row>
    <row r="102" spans="1:8" x14ac:dyDescent="0.2">
      <c r="A102" s="82" t="s">
        <v>745</v>
      </c>
      <c r="B102" s="97" t="s">
        <v>311</v>
      </c>
      <c r="C102" s="97" t="s">
        <v>311</v>
      </c>
      <c r="D102" s="109">
        <v>0.67229499999999998</v>
      </c>
      <c r="E102" s="109">
        <v>0.566029</v>
      </c>
      <c r="F102" s="109">
        <v>0.393982</v>
      </c>
      <c r="G102" s="109">
        <v>0.41805700000000001</v>
      </c>
      <c r="H102" s="109">
        <v>0.39794200000000002</v>
      </c>
    </row>
    <row r="103" spans="1:8" x14ac:dyDescent="0.2">
      <c r="A103" s="82" t="s">
        <v>746</v>
      </c>
      <c r="B103" s="97" t="s">
        <v>311</v>
      </c>
      <c r="C103" s="97" t="s">
        <v>311</v>
      </c>
      <c r="D103" s="109">
        <v>0.37207499999999999</v>
      </c>
      <c r="E103" s="109">
        <v>1.6217330000000001</v>
      </c>
      <c r="F103" s="109">
        <v>1.547005</v>
      </c>
      <c r="G103" s="109">
        <v>0.113514</v>
      </c>
      <c r="H103" s="109">
        <v>8.8163000000000005E-2</v>
      </c>
    </row>
    <row r="104" spans="1:8" x14ac:dyDescent="0.2">
      <c r="A104" s="82"/>
      <c r="B104" s="82"/>
      <c r="C104" s="82"/>
      <c r="D104" s="82"/>
      <c r="E104" s="82"/>
      <c r="F104" s="82"/>
      <c r="G104" s="82"/>
      <c r="H104" s="82"/>
    </row>
    <row r="105" spans="1:8" x14ac:dyDescent="0.2">
      <c r="A105" s="82" t="s">
        <v>747</v>
      </c>
      <c r="B105" s="97" t="s">
        <v>311</v>
      </c>
      <c r="C105" s="97" t="s">
        <v>311</v>
      </c>
      <c r="D105" s="109">
        <v>-0.38897799999999999</v>
      </c>
      <c r="E105" s="109">
        <v>0.63475599999999999</v>
      </c>
      <c r="F105" s="109">
        <v>2.5680619999999998</v>
      </c>
      <c r="G105" s="109">
        <v>0.299012</v>
      </c>
      <c r="H105" s="109">
        <v>0.26760699999999998</v>
      </c>
    </row>
    <row r="106" spans="1:8" x14ac:dyDescent="0.2">
      <c r="A106" s="82" t="s">
        <v>748</v>
      </c>
      <c r="B106" s="97" t="s">
        <v>311</v>
      </c>
      <c r="C106" s="97" t="s">
        <v>311</v>
      </c>
      <c r="D106" s="109">
        <v>-0.37123699999999998</v>
      </c>
      <c r="E106" s="109">
        <v>0.64048000000000005</v>
      </c>
      <c r="F106" s="109">
        <v>2.4754010000000002</v>
      </c>
      <c r="G106" s="109">
        <v>0.297906</v>
      </c>
      <c r="H106" s="109">
        <v>0.26760699999999998</v>
      </c>
    </row>
    <row r="107" spans="1:8" x14ac:dyDescent="0.2">
      <c r="A107" s="82" t="s">
        <v>529</v>
      </c>
      <c r="B107" s="97" t="s">
        <v>311</v>
      </c>
      <c r="C107" s="97" t="s">
        <v>311</v>
      </c>
      <c r="D107" s="109">
        <v>7.8522999999999996E-2</v>
      </c>
      <c r="E107" s="109">
        <v>0.78671599999999997</v>
      </c>
      <c r="F107" s="109">
        <v>0.99906099999999998</v>
      </c>
      <c r="G107" s="109">
        <v>0.310695</v>
      </c>
      <c r="H107" s="109">
        <v>0.34267700000000001</v>
      </c>
    </row>
    <row r="108" spans="1:8" x14ac:dyDescent="0.2">
      <c r="A108" s="82" t="s">
        <v>749</v>
      </c>
      <c r="B108" s="97" t="s">
        <v>311</v>
      </c>
      <c r="C108" s="97" t="s">
        <v>311</v>
      </c>
      <c r="D108" s="109">
        <v>0.60742499999999999</v>
      </c>
      <c r="E108" s="109">
        <v>0.40828399999999998</v>
      </c>
      <c r="F108" s="109">
        <v>0.38163900000000001</v>
      </c>
      <c r="G108" s="109">
        <v>0.38416099999999997</v>
      </c>
      <c r="H108" s="109">
        <v>0.32454699999999997</v>
      </c>
    </row>
    <row r="109" spans="1:8" x14ac:dyDescent="0.2">
      <c r="A109" s="82" t="s">
        <v>750</v>
      </c>
      <c r="B109" s="97" t="s">
        <v>311</v>
      </c>
      <c r="C109" s="97" t="s">
        <v>311</v>
      </c>
      <c r="D109" s="97" t="s">
        <v>311</v>
      </c>
      <c r="E109" s="109" t="s">
        <v>319</v>
      </c>
      <c r="F109" s="109" t="s">
        <v>319</v>
      </c>
      <c r="G109" s="109" t="s">
        <v>319</v>
      </c>
      <c r="H109" s="109" t="s">
        <v>319</v>
      </c>
    </row>
    <row r="110" spans="1:8" x14ac:dyDescent="0.2">
      <c r="A110" s="82" t="s">
        <v>751</v>
      </c>
      <c r="B110" s="97" t="s">
        <v>311</v>
      </c>
      <c r="C110" s="97" t="s">
        <v>311</v>
      </c>
      <c r="D110" s="97" t="s">
        <v>311</v>
      </c>
      <c r="E110" s="109" t="s">
        <v>319</v>
      </c>
      <c r="F110" s="109" t="s">
        <v>319</v>
      </c>
      <c r="G110" s="109" t="s">
        <v>319</v>
      </c>
      <c r="H110" s="109" t="s">
        <v>319</v>
      </c>
    </row>
    <row r="111" spans="1:8" x14ac:dyDescent="0.2">
      <c r="A111" s="82" t="s">
        <v>752</v>
      </c>
      <c r="B111" s="97" t="s">
        <v>311</v>
      </c>
      <c r="C111" s="97" t="s">
        <v>311</v>
      </c>
      <c r="D111" s="97" t="s">
        <v>311</v>
      </c>
      <c r="E111" s="97" t="s">
        <v>311</v>
      </c>
      <c r="F111" s="97" t="s">
        <v>311</v>
      </c>
      <c r="G111" s="97" t="s">
        <v>311</v>
      </c>
      <c r="H111" s="97" t="s">
        <v>311</v>
      </c>
    </row>
    <row r="112" spans="1:8" x14ac:dyDescent="0.2">
      <c r="A112" s="82"/>
      <c r="B112" s="82"/>
      <c r="C112" s="82"/>
      <c r="D112" s="82"/>
      <c r="E112" s="82"/>
      <c r="F112" s="82"/>
      <c r="G112" s="82"/>
      <c r="H112" s="82"/>
    </row>
    <row r="113" spans="1:8" x14ac:dyDescent="0.2">
      <c r="A113" s="90" t="s">
        <v>754</v>
      </c>
      <c r="B113" s="82"/>
      <c r="C113" s="82"/>
      <c r="D113" s="82"/>
      <c r="E113" s="82"/>
      <c r="F113" s="82"/>
      <c r="G113" s="82"/>
      <c r="H113" s="82"/>
    </row>
    <row r="114" spans="1:8" x14ac:dyDescent="0.2">
      <c r="A114" s="82" t="s">
        <v>381</v>
      </c>
      <c r="B114" s="97" t="s">
        <v>311</v>
      </c>
      <c r="C114" s="97" t="s">
        <v>311</v>
      </c>
      <c r="D114" s="97" t="s">
        <v>311</v>
      </c>
      <c r="E114" s="109">
        <v>0.49501899999999999</v>
      </c>
      <c r="F114" s="109">
        <v>0.48215599999999997</v>
      </c>
      <c r="G114" s="109">
        <v>0.44658999999999999</v>
      </c>
      <c r="H114" s="109">
        <v>0.42351499999999997</v>
      </c>
    </row>
    <row r="115" spans="1:8" x14ac:dyDescent="0.2">
      <c r="A115" s="82" t="s">
        <v>383</v>
      </c>
      <c r="B115" s="97" t="s">
        <v>311</v>
      </c>
      <c r="C115" s="97" t="s">
        <v>311</v>
      </c>
      <c r="D115" s="97" t="s">
        <v>311</v>
      </c>
      <c r="E115" s="109">
        <v>0.54457500000000003</v>
      </c>
      <c r="F115" s="109">
        <v>0.50328799999999996</v>
      </c>
      <c r="G115" s="109">
        <v>0.46671499999999999</v>
      </c>
      <c r="H115" s="109">
        <v>0.445855</v>
      </c>
    </row>
    <row r="116" spans="1:8" x14ac:dyDescent="0.2">
      <c r="A116" s="82" t="s">
        <v>738</v>
      </c>
      <c r="B116" s="97" t="s">
        <v>311</v>
      </c>
      <c r="C116" s="97" t="s">
        <v>311</v>
      </c>
      <c r="D116" s="97" t="s">
        <v>311</v>
      </c>
      <c r="E116" s="109">
        <v>0.64673800000000004</v>
      </c>
      <c r="F116" s="109">
        <v>0.54169</v>
      </c>
      <c r="G116" s="109">
        <v>0.84399599999999997</v>
      </c>
      <c r="H116" s="109">
        <v>0.78517400000000004</v>
      </c>
    </row>
    <row r="117" spans="1:8" x14ac:dyDescent="0.2">
      <c r="A117" s="82" t="s">
        <v>739</v>
      </c>
      <c r="B117" s="97" t="s">
        <v>311</v>
      </c>
      <c r="C117" s="97" t="s">
        <v>311</v>
      </c>
      <c r="D117" s="97" t="s">
        <v>311</v>
      </c>
      <c r="E117" s="109">
        <v>0.63171500000000003</v>
      </c>
      <c r="F117" s="109">
        <v>0.51449599999999995</v>
      </c>
      <c r="G117" s="109">
        <v>1.210558</v>
      </c>
      <c r="H117" s="109">
        <v>1.1228279999999999</v>
      </c>
    </row>
    <row r="118" spans="1:8" x14ac:dyDescent="0.2">
      <c r="A118" s="82" t="s">
        <v>740</v>
      </c>
      <c r="B118" s="97" t="s">
        <v>311</v>
      </c>
      <c r="C118" s="97" t="s">
        <v>311</v>
      </c>
      <c r="D118" s="97" t="s">
        <v>311</v>
      </c>
      <c r="E118" s="109">
        <v>0.63171500000000003</v>
      </c>
      <c r="F118" s="109">
        <v>0.51449599999999995</v>
      </c>
      <c r="G118" s="109">
        <v>1.210558</v>
      </c>
      <c r="H118" s="109">
        <v>1.1228279999999999</v>
      </c>
    </row>
    <row r="119" spans="1:8" x14ac:dyDescent="0.2">
      <c r="A119" s="82" t="s">
        <v>403</v>
      </c>
      <c r="B119" s="97" t="s">
        <v>311</v>
      </c>
      <c r="C119" s="97" t="s">
        <v>311</v>
      </c>
      <c r="D119" s="97" t="s">
        <v>311</v>
      </c>
      <c r="E119" s="109">
        <v>-8.9077000000000003E-2</v>
      </c>
      <c r="F119" s="109">
        <v>0.59839900000000001</v>
      </c>
      <c r="G119" s="109">
        <v>0.61272700000000002</v>
      </c>
      <c r="H119" s="109" t="s">
        <v>319</v>
      </c>
    </row>
    <row r="120" spans="1:8" x14ac:dyDescent="0.2">
      <c r="A120" s="82" t="s">
        <v>408</v>
      </c>
      <c r="B120" s="97" t="s">
        <v>311</v>
      </c>
      <c r="C120" s="97" t="s">
        <v>311</v>
      </c>
      <c r="D120" s="97" t="s">
        <v>311</v>
      </c>
      <c r="E120" s="109" t="s">
        <v>319</v>
      </c>
      <c r="F120" s="109">
        <v>0.31905600000000001</v>
      </c>
      <c r="G120" s="109" t="s">
        <v>319</v>
      </c>
      <c r="H120" s="109" t="s">
        <v>319</v>
      </c>
    </row>
    <row r="121" spans="1:8" x14ac:dyDescent="0.2">
      <c r="A121" s="82" t="s">
        <v>741</v>
      </c>
      <c r="B121" s="97" t="s">
        <v>311</v>
      </c>
      <c r="C121" s="97" t="s">
        <v>311</v>
      </c>
      <c r="D121" s="97" t="s">
        <v>311</v>
      </c>
      <c r="E121" s="109">
        <v>-0.39704699999999998</v>
      </c>
      <c r="F121" s="109">
        <v>0.156916</v>
      </c>
      <c r="G121" s="109">
        <v>0.89468400000000003</v>
      </c>
      <c r="H121" s="109">
        <v>1.607529</v>
      </c>
    </row>
    <row r="122" spans="1:8" x14ac:dyDescent="0.2">
      <c r="A122" s="82" t="s">
        <v>742</v>
      </c>
      <c r="B122" s="97" t="s">
        <v>311</v>
      </c>
      <c r="C122" s="97" t="s">
        <v>311</v>
      </c>
      <c r="D122" s="97" t="s">
        <v>311</v>
      </c>
      <c r="E122" s="97" t="s">
        <v>311</v>
      </c>
      <c r="F122" s="109">
        <v>0.43329099999999998</v>
      </c>
      <c r="G122" s="109" t="s">
        <v>319</v>
      </c>
      <c r="H122" s="109" t="s">
        <v>319</v>
      </c>
    </row>
    <row r="123" spans="1:8" x14ac:dyDescent="0.2">
      <c r="A123" s="82"/>
      <c r="B123" s="82"/>
      <c r="C123" s="82"/>
      <c r="D123" s="82"/>
      <c r="E123" s="82"/>
      <c r="F123" s="82"/>
      <c r="G123" s="82"/>
      <c r="H123" s="82"/>
    </row>
    <row r="124" spans="1:8" x14ac:dyDescent="0.2">
      <c r="A124" s="82" t="s">
        <v>743</v>
      </c>
      <c r="B124" s="97" t="s">
        <v>311</v>
      </c>
      <c r="C124" s="97" t="s">
        <v>311</v>
      </c>
      <c r="D124" s="97" t="s">
        <v>311</v>
      </c>
      <c r="E124" s="109">
        <v>0.20125299999999999</v>
      </c>
      <c r="F124" s="109">
        <v>0.37503700000000001</v>
      </c>
      <c r="G124" s="109">
        <v>0.32635199999999998</v>
      </c>
      <c r="H124" s="109">
        <v>0.21177799999999999</v>
      </c>
    </row>
    <row r="125" spans="1:8" x14ac:dyDescent="0.2">
      <c r="A125" s="82" t="s">
        <v>744</v>
      </c>
      <c r="B125" s="97" t="s">
        <v>311</v>
      </c>
      <c r="C125" s="97" t="s">
        <v>311</v>
      </c>
      <c r="D125" s="97" t="s">
        <v>311</v>
      </c>
      <c r="E125" s="109">
        <v>0.30736799999999997</v>
      </c>
      <c r="F125" s="109">
        <v>0.34535100000000002</v>
      </c>
      <c r="G125" s="109">
        <v>0.33477600000000002</v>
      </c>
      <c r="H125" s="109">
        <v>0.427421</v>
      </c>
    </row>
    <row r="126" spans="1:8" x14ac:dyDescent="0.2">
      <c r="A126" s="82" t="s">
        <v>745</v>
      </c>
      <c r="B126" s="97" t="s">
        <v>311</v>
      </c>
      <c r="C126" s="97" t="s">
        <v>311</v>
      </c>
      <c r="D126" s="97" t="s">
        <v>311</v>
      </c>
      <c r="E126" s="109">
        <v>0.54814300000000005</v>
      </c>
      <c r="F126" s="109">
        <v>0.53144800000000003</v>
      </c>
      <c r="G126" s="109">
        <v>0.38696399999999997</v>
      </c>
      <c r="H126" s="109">
        <v>0.382129</v>
      </c>
    </row>
    <row r="127" spans="1:8" x14ac:dyDescent="0.2">
      <c r="A127" s="82" t="s">
        <v>746</v>
      </c>
      <c r="B127" s="97" t="s">
        <v>311</v>
      </c>
      <c r="C127" s="97" t="s">
        <v>311</v>
      </c>
      <c r="D127" s="97" t="s">
        <v>311</v>
      </c>
      <c r="E127" s="109">
        <v>1.049812</v>
      </c>
      <c r="F127" s="109">
        <v>1.1360760000000001</v>
      </c>
      <c r="G127" s="109">
        <v>0.78344400000000003</v>
      </c>
      <c r="H127" s="109">
        <v>0.49110799999999999</v>
      </c>
    </row>
    <row r="128" spans="1:8" x14ac:dyDescent="0.2">
      <c r="A128" s="82"/>
      <c r="B128" s="82"/>
      <c r="C128" s="82"/>
      <c r="D128" s="82"/>
      <c r="E128" s="82"/>
      <c r="F128" s="82"/>
      <c r="G128" s="82"/>
      <c r="H128" s="82"/>
    </row>
    <row r="129" spans="1:8" x14ac:dyDescent="0.2">
      <c r="A129" s="82" t="s">
        <v>747</v>
      </c>
      <c r="B129" s="97" t="s">
        <v>311</v>
      </c>
      <c r="C129" s="97" t="s">
        <v>311</v>
      </c>
      <c r="D129" s="97" t="s">
        <v>311</v>
      </c>
      <c r="E129" s="109">
        <v>0.463559</v>
      </c>
      <c r="F129" s="109">
        <v>0.59423199999999998</v>
      </c>
      <c r="G129" s="109">
        <v>1.419807</v>
      </c>
      <c r="H129" s="109">
        <v>0.18238399999999999</v>
      </c>
    </row>
    <row r="130" spans="1:8" x14ac:dyDescent="0.2">
      <c r="A130" s="82" t="s">
        <v>748</v>
      </c>
      <c r="B130" s="97" t="s">
        <v>311</v>
      </c>
      <c r="C130" s="97" t="s">
        <v>311</v>
      </c>
      <c r="D130" s="97" t="s">
        <v>311</v>
      </c>
      <c r="E130" s="109">
        <v>0.466974</v>
      </c>
      <c r="F130" s="109">
        <v>0.59668699999999997</v>
      </c>
      <c r="G130" s="109">
        <v>1.378261</v>
      </c>
      <c r="H130" s="109">
        <v>0.18238399999999999</v>
      </c>
    </row>
    <row r="131" spans="1:8" x14ac:dyDescent="0.2">
      <c r="A131" s="82" t="s">
        <v>529</v>
      </c>
      <c r="B131" s="97" t="s">
        <v>311</v>
      </c>
      <c r="C131" s="97" t="s">
        <v>311</v>
      </c>
      <c r="D131" s="97" t="s">
        <v>311</v>
      </c>
      <c r="E131" s="109">
        <v>0.52304700000000004</v>
      </c>
      <c r="F131" s="109">
        <v>0.61346999999999996</v>
      </c>
      <c r="G131" s="109">
        <v>0.73444799999999999</v>
      </c>
      <c r="H131" s="109">
        <v>0.66675300000000004</v>
      </c>
    </row>
    <row r="132" spans="1:8" x14ac:dyDescent="0.2">
      <c r="A132" s="82" t="s">
        <v>749</v>
      </c>
      <c r="B132" s="97" t="s">
        <v>311</v>
      </c>
      <c r="C132" s="97" t="s">
        <v>311</v>
      </c>
      <c r="D132" s="97" t="s">
        <v>311</v>
      </c>
      <c r="E132" s="109">
        <v>0.42771300000000001</v>
      </c>
      <c r="F132" s="109">
        <v>0.49796899999999999</v>
      </c>
      <c r="G132" s="109">
        <v>0.29224499999999998</v>
      </c>
      <c r="H132" s="109">
        <v>0.23252900000000001</v>
      </c>
    </row>
    <row r="133" spans="1:8" x14ac:dyDescent="0.2">
      <c r="A133" s="82" t="s">
        <v>750</v>
      </c>
      <c r="B133" s="97" t="s">
        <v>311</v>
      </c>
      <c r="C133" s="97" t="s">
        <v>311</v>
      </c>
      <c r="D133" s="97" t="s">
        <v>311</v>
      </c>
      <c r="E133" s="97" t="s">
        <v>311</v>
      </c>
      <c r="F133" s="109" t="s">
        <v>319</v>
      </c>
      <c r="G133" s="109" t="s">
        <v>319</v>
      </c>
      <c r="H133" s="97" t="s">
        <v>311</v>
      </c>
    </row>
    <row r="134" spans="1:8" x14ac:dyDescent="0.2">
      <c r="A134" s="82" t="s">
        <v>751</v>
      </c>
      <c r="B134" s="97" t="s">
        <v>311</v>
      </c>
      <c r="C134" s="97" t="s">
        <v>311</v>
      </c>
      <c r="D134" s="97" t="s">
        <v>311</v>
      </c>
      <c r="E134" s="97" t="s">
        <v>311</v>
      </c>
      <c r="F134" s="109" t="s">
        <v>319</v>
      </c>
      <c r="G134" s="109" t="s">
        <v>319</v>
      </c>
      <c r="H134" s="97" t="s">
        <v>311</v>
      </c>
    </row>
    <row r="135" spans="1:8" x14ac:dyDescent="0.2">
      <c r="A135" s="82" t="s">
        <v>752</v>
      </c>
      <c r="B135" s="97" t="s">
        <v>311</v>
      </c>
      <c r="C135" s="97" t="s">
        <v>311</v>
      </c>
      <c r="D135" s="97" t="s">
        <v>311</v>
      </c>
      <c r="E135" s="97" t="s">
        <v>311</v>
      </c>
      <c r="F135" s="97" t="s">
        <v>311</v>
      </c>
      <c r="G135" s="97" t="s">
        <v>311</v>
      </c>
      <c r="H135" s="97" t="s">
        <v>311</v>
      </c>
    </row>
    <row r="136" spans="1:8" x14ac:dyDescent="0.2">
      <c r="A136" s="82"/>
      <c r="B136" s="82"/>
      <c r="C136" s="82"/>
      <c r="D136" s="82"/>
      <c r="E136" s="82"/>
      <c r="F136" s="82"/>
      <c r="G136" s="82"/>
      <c r="H136" s="82"/>
    </row>
    <row r="137" spans="1:8" x14ac:dyDescent="0.2">
      <c r="A137" s="90" t="s">
        <v>755</v>
      </c>
      <c r="B137" s="82"/>
      <c r="C137" s="82"/>
      <c r="D137" s="82"/>
      <c r="E137" s="82"/>
      <c r="F137" s="82"/>
      <c r="G137" s="82"/>
      <c r="H137" s="82"/>
    </row>
    <row r="138" spans="1:8" x14ac:dyDescent="0.2">
      <c r="A138" s="82" t="s">
        <v>381</v>
      </c>
      <c r="B138" s="97" t="s">
        <v>311</v>
      </c>
      <c r="C138" s="97" t="s">
        <v>311</v>
      </c>
      <c r="D138" s="97" t="s">
        <v>311</v>
      </c>
      <c r="E138" s="97" t="s">
        <v>311</v>
      </c>
      <c r="F138" s="97" t="s">
        <v>311</v>
      </c>
      <c r="G138" s="109">
        <v>0.444575</v>
      </c>
      <c r="H138" s="97" t="s">
        <v>311</v>
      </c>
    </row>
    <row r="139" spans="1:8" x14ac:dyDescent="0.2">
      <c r="A139" s="82" t="s">
        <v>383</v>
      </c>
      <c r="B139" s="97" t="s">
        <v>311</v>
      </c>
      <c r="C139" s="97" t="s">
        <v>311</v>
      </c>
      <c r="D139" s="97" t="s">
        <v>311</v>
      </c>
      <c r="E139" s="97" t="s">
        <v>311</v>
      </c>
      <c r="F139" s="97" t="s">
        <v>311</v>
      </c>
      <c r="G139" s="109">
        <v>0.46571400000000002</v>
      </c>
      <c r="H139" s="97" t="s">
        <v>311</v>
      </c>
    </row>
    <row r="140" spans="1:8" x14ac:dyDescent="0.2">
      <c r="A140" s="82" t="s">
        <v>738</v>
      </c>
      <c r="B140" s="97" t="s">
        <v>311</v>
      </c>
      <c r="C140" s="97" t="s">
        <v>311</v>
      </c>
      <c r="D140" s="97" t="s">
        <v>311</v>
      </c>
      <c r="E140" s="97" t="s">
        <v>311</v>
      </c>
      <c r="F140" s="97" t="s">
        <v>311</v>
      </c>
      <c r="G140" s="109">
        <v>0.52665200000000001</v>
      </c>
      <c r="H140" s="97" t="s">
        <v>311</v>
      </c>
    </row>
    <row r="141" spans="1:8" x14ac:dyDescent="0.2">
      <c r="A141" s="82" t="s">
        <v>739</v>
      </c>
      <c r="B141" s="97" t="s">
        <v>311</v>
      </c>
      <c r="C141" s="97" t="s">
        <v>311</v>
      </c>
      <c r="D141" s="97" t="s">
        <v>311</v>
      </c>
      <c r="E141" s="97" t="s">
        <v>311</v>
      </c>
      <c r="F141" s="97" t="s">
        <v>311</v>
      </c>
      <c r="G141" s="109">
        <v>0.49576700000000001</v>
      </c>
      <c r="H141" s="97" t="s">
        <v>311</v>
      </c>
    </row>
    <row r="142" spans="1:8" x14ac:dyDescent="0.2">
      <c r="A142" s="82" t="s">
        <v>740</v>
      </c>
      <c r="B142" s="97" t="s">
        <v>311</v>
      </c>
      <c r="C142" s="97" t="s">
        <v>311</v>
      </c>
      <c r="D142" s="97" t="s">
        <v>311</v>
      </c>
      <c r="E142" s="97" t="s">
        <v>311</v>
      </c>
      <c r="F142" s="97" t="s">
        <v>311</v>
      </c>
      <c r="G142" s="109">
        <v>0.49576700000000001</v>
      </c>
      <c r="H142" s="97" t="s">
        <v>311</v>
      </c>
    </row>
    <row r="143" spans="1:8" x14ac:dyDescent="0.2">
      <c r="A143" s="82" t="s">
        <v>403</v>
      </c>
      <c r="B143" s="97" t="s">
        <v>311</v>
      </c>
      <c r="C143" s="97" t="s">
        <v>311</v>
      </c>
      <c r="D143" s="97" t="s">
        <v>311</v>
      </c>
      <c r="E143" s="97" t="s">
        <v>311</v>
      </c>
      <c r="F143" s="97" t="s">
        <v>311</v>
      </c>
      <c r="G143" s="109">
        <v>0.165383</v>
      </c>
      <c r="H143" s="97" t="s">
        <v>311</v>
      </c>
    </row>
    <row r="144" spans="1:8" x14ac:dyDescent="0.2">
      <c r="A144" s="82" t="s">
        <v>408</v>
      </c>
      <c r="B144" s="97" t="s">
        <v>311</v>
      </c>
      <c r="C144" s="97" t="s">
        <v>311</v>
      </c>
      <c r="D144" s="97" t="s">
        <v>311</v>
      </c>
      <c r="E144" s="97" t="s">
        <v>311</v>
      </c>
      <c r="F144" s="97" t="s">
        <v>311</v>
      </c>
      <c r="G144" s="109" t="s">
        <v>319</v>
      </c>
      <c r="H144" s="97" t="s">
        <v>311</v>
      </c>
    </row>
    <row r="145" spans="1:8" x14ac:dyDescent="0.2">
      <c r="A145" s="82" t="s">
        <v>741</v>
      </c>
      <c r="B145" s="97" t="s">
        <v>311</v>
      </c>
      <c r="C145" s="97" t="s">
        <v>311</v>
      </c>
      <c r="D145" s="97" t="s">
        <v>311</v>
      </c>
      <c r="E145" s="97" t="s">
        <v>311</v>
      </c>
      <c r="F145" s="97" t="s">
        <v>311</v>
      </c>
      <c r="G145" s="109">
        <v>0.3407</v>
      </c>
      <c r="H145" s="97" t="s">
        <v>311</v>
      </c>
    </row>
    <row r="146" spans="1:8" x14ac:dyDescent="0.2">
      <c r="A146" s="82" t="s">
        <v>742</v>
      </c>
      <c r="B146" s="97" t="s">
        <v>311</v>
      </c>
      <c r="C146" s="97" t="s">
        <v>311</v>
      </c>
      <c r="D146" s="97" t="s">
        <v>311</v>
      </c>
      <c r="E146" s="97" t="s">
        <v>311</v>
      </c>
      <c r="F146" s="97" t="s">
        <v>311</v>
      </c>
      <c r="G146" s="97" t="s">
        <v>311</v>
      </c>
      <c r="H146" s="97" t="s">
        <v>311</v>
      </c>
    </row>
    <row r="147" spans="1:8" x14ac:dyDescent="0.2">
      <c r="A147" s="82"/>
      <c r="B147" s="82"/>
      <c r="C147" s="82"/>
      <c r="D147" s="82"/>
      <c r="E147" s="82"/>
      <c r="F147" s="82"/>
      <c r="G147" s="82"/>
      <c r="H147" s="82"/>
    </row>
    <row r="148" spans="1:8" x14ac:dyDescent="0.2">
      <c r="A148" s="82" t="s">
        <v>743</v>
      </c>
      <c r="B148" s="97" t="s">
        <v>311</v>
      </c>
      <c r="C148" s="97" t="s">
        <v>311</v>
      </c>
      <c r="D148" s="97" t="s">
        <v>311</v>
      </c>
      <c r="E148" s="97" t="s">
        <v>311</v>
      </c>
      <c r="F148" s="97" t="s">
        <v>311</v>
      </c>
      <c r="G148" s="109">
        <v>0.17362900000000001</v>
      </c>
      <c r="H148" s="97" t="s">
        <v>311</v>
      </c>
    </row>
    <row r="149" spans="1:8" x14ac:dyDescent="0.2">
      <c r="A149" s="82" t="s">
        <v>744</v>
      </c>
      <c r="B149" s="97" t="s">
        <v>311</v>
      </c>
      <c r="C149" s="97" t="s">
        <v>311</v>
      </c>
      <c r="D149" s="97" t="s">
        <v>311</v>
      </c>
      <c r="E149" s="97" t="s">
        <v>311</v>
      </c>
      <c r="F149" s="97" t="s">
        <v>311</v>
      </c>
      <c r="G149" s="109">
        <v>0.38935999999999998</v>
      </c>
      <c r="H149" s="97" t="s">
        <v>311</v>
      </c>
    </row>
    <row r="150" spans="1:8" x14ac:dyDescent="0.2">
      <c r="A150" s="82" t="s">
        <v>745</v>
      </c>
      <c r="B150" s="97" t="s">
        <v>311</v>
      </c>
      <c r="C150" s="97" t="s">
        <v>311</v>
      </c>
      <c r="D150" s="97" t="s">
        <v>311</v>
      </c>
      <c r="E150" s="97" t="s">
        <v>311</v>
      </c>
      <c r="F150" s="97" t="s">
        <v>311</v>
      </c>
      <c r="G150" s="109">
        <v>0.49473499999999998</v>
      </c>
      <c r="H150" s="97" t="s">
        <v>311</v>
      </c>
    </row>
    <row r="151" spans="1:8" x14ac:dyDescent="0.2">
      <c r="A151" s="82" t="s">
        <v>746</v>
      </c>
      <c r="B151" s="97" t="s">
        <v>311</v>
      </c>
      <c r="C151" s="97" t="s">
        <v>311</v>
      </c>
      <c r="D151" s="97" t="s">
        <v>311</v>
      </c>
      <c r="E151" s="97" t="s">
        <v>311</v>
      </c>
      <c r="F151" s="97" t="s">
        <v>311</v>
      </c>
      <c r="G151" s="109">
        <v>0.60585699999999998</v>
      </c>
      <c r="H151" s="97" t="s">
        <v>311</v>
      </c>
    </row>
    <row r="152" spans="1:8" x14ac:dyDescent="0.2">
      <c r="A152" s="82"/>
      <c r="B152" s="82"/>
      <c r="C152" s="82"/>
      <c r="D152" s="82"/>
      <c r="E152" s="82"/>
      <c r="F152" s="82"/>
      <c r="G152" s="82"/>
      <c r="H152" s="82"/>
    </row>
    <row r="153" spans="1:8" x14ac:dyDescent="0.2">
      <c r="A153" s="82" t="s">
        <v>747</v>
      </c>
      <c r="B153" s="97" t="s">
        <v>311</v>
      </c>
      <c r="C153" s="97" t="s">
        <v>311</v>
      </c>
      <c r="D153" s="97" t="s">
        <v>311</v>
      </c>
      <c r="E153" s="97" t="s">
        <v>311</v>
      </c>
      <c r="F153" s="97" t="s">
        <v>311</v>
      </c>
      <c r="G153" s="109">
        <v>0.39537600000000001</v>
      </c>
      <c r="H153" s="97" t="s">
        <v>311</v>
      </c>
    </row>
    <row r="154" spans="1:8" x14ac:dyDescent="0.2">
      <c r="A154" s="82" t="s">
        <v>748</v>
      </c>
      <c r="B154" s="97" t="s">
        <v>311</v>
      </c>
      <c r="C154" s="97" t="s">
        <v>311</v>
      </c>
      <c r="D154" s="97" t="s">
        <v>311</v>
      </c>
      <c r="E154" s="97" t="s">
        <v>311</v>
      </c>
      <c r="F154" s="97" t="s">
        <v>311</v>
      </c>
      <c r="G154" s="109">
        <v>0.39685300000000001</v>
      </c>
      <c r="H154" s="97" t="s">
        <v>311</v>
      </c>
    </row>
    <row r="155" spans="1:8" x14ac:dyDescent="0.2">
      <c r="A155" s="82" t="s">
        <v>529</v>
      </c>
      <c r="B155" s="97" t="s">
        <v>311</v>
      </c>
      <c r="C155" s="97" t="s">
        <v>311</v>
      </c>
      <c r="D155" s="97" t="s">
        <v>311</v>
      </c>
      <c r="E155" s="97" t="s">
        <v>311</v>
      </c>
      <c r="F155" s="97" t="s">
        <v>311</v>
      </c>
      <c r="G155" s="109">
        <v>0.43426199999999998</v>
      </c>
      <c r="H155" s="97" t="s">
        <v>311</v>
      </c>
    </row>
    <row r="156" spans="1:8" x14ac:dyDescent="0.2">
      <c r="A156" s="82" t="s">
        <v>749</v>
      </c>
      <c r="B156" s="97" t="s">
        <v>311</v>
      </c>
      <c r="C156" s="97" t="s">
        <v>311</v>
      </c>
      <c r="D156" s="97" t="s">
        <v>311</v>
      </c>
      <c r="E156" s="97" t="s">
        <v>311</v>
      </c>
      <c r="F156" s="97" t="s">
        <v>311</v>
      </c>
      <c r="G156" s="109">
        <v>0.41012999999999999</v>
      </c>
      <c r="H156" s="97" t="s">
        <v>311</v>
      </c>
    </row>
    <row r="157" spans="1:8" x14ac:dyDescent="0.2">
      <c r="A157" s="82" t="s">
        <v>750</v>
      </c>
      <c r="B157" s="97" t="s">
        <v>311</v>
      </c>
      <c r="C157" s="97" t="s">
        <v>311</v>
      </c>
      <c r="D157" s="97" t="s">
        <v>311</v>
      </c>
      <c r="E157" s="97" t="s">
        <v>311</v>
      </c>
      <c r="F157" s="97" t="s">
        <v>311</v>
      </c>
      <c r="G157" s="97" t="s">
        <v>311</v>
      </c>
      <c r="H157" s="97" t="s">
        <v>311</v>
      </c>
    </row>
    <row r="158" spans="1:8" x14ac:dyDescent="0.2">
      <c r="A158" s="82" t="s">
        <v>751</v>
      </c>
      <c r="B158" s="97" t="s">
        <v>311</v>
      </c>
      <c r="C158" s="97" t="s">
        <v>311</v>
      </c>
      <c r="D158" s="97" t="s">
        <v>311</v>
      </c>
      <c r="E158" s="97" t="s">
        <v>311</v>
      </c>
      <c r="F158" s="97" t="s">
        <v>311</v>
      </c>
      <c r="G158" s="97" t="s">
        <v>311</v>
      </c>
      <c r="H158" s="97" t="s">
        <v>311</v>
      </c>
    </row>
    <row r="159" spans="1:8" x14ac:dyDescent="0.2">
      <c r="A159" s="82" t="s">
        <v>752</v>
      </c>
      <c r="B159" s="97" t="s">
        <v>311</v>
      </c>
      <c r="C159" s="97" t="s">
        <v>311</v>
      </c>
      <c r="D159" s="97" t="s">
        <v>311</v>
      </c>
      <c r="E159" s="97" t="s">
        <v>311</v>
      </c>
      <c r="F159" s="97" t="s">
        <v>311</v>
      </c>
      <c r="G159" s="97" t="s">
        <v>311</v>
      </c>
      <c r="H159" s="97" t="s">
        <v>311</v>
      </c>
    </row>
    <row r="160" spans="1:8" x14ac:dyDescent="0.2">
      <c r="A160" s="82"/>
      <c r="B160" s="82"/>
      <c r="C160" s="82"/>
      <c r="D160" s="82"/>
      <c r="E160" s="82"/>
      <c r="F160" s="82"/>
      <c r="G160" s="82"/>
      <c r="H160" s="82"/>
    </row>
    <row r="161" spans="1:8" ht="61.2" x14ac:dyDescent="0.2">
      <c r="A161" s="115" t="s">
        <v>361</v>
      </c>
      <c r="B161" s="99"/>
      <c r="C161" s="99"/>
      <c r="D161" s="99"/>
      <c r="E161" s="99"/>
      <c r="F161" s="99"/>
      <c r="G161" s="99"/>
      <c r="H161" s="99"/>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3399FF"/>
    <outlinePr summaryBelow="0" summaryRight="0"/>
    <pageSetUpPr autoPageBreaks="0"/>
  </sheetPr>
  <dimension ref="A5:IU60"/>
  <sheetViews>
    <sheetView topLeftCell="D31" zoomScale="128" workbookViewId="0">
      <selection activeCell="G39" sqref="G39"/>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3" width="13" style="79" customWidth="1"/>
    <col min="264" max="512" width="9" style="79"/>
    <col min="513" max="513" width="40.09765625" style="79" customWidth="1"/>
    <col min="514" max="519" width="13" style="79" customWidth="1"/>
    <col min="520" max="768" width="9" style="79"/>
    <col min="769" max="769" width="40.09765625" style="79" customWidth="1"/>
    <col min="770" max="775" width="13" style="79" customWidth="1"/>
    <col min="776" max="1024" width="9" style="79"/>
    <col min="1025" max="1025" width="40.09765625" style="79" customWidth="1"/>
    <col min="1026" max="1031" width="13" style="79" customWidth="1"/>
    <col min="1032" max="1280" width="9" style="79"/>
    <col min="1281" max="1281" width="40.09765625" style="79" customWidth="1"/>
    <col min="1282" max="1287" width="13" style="79" customWidth="1"/>
    <col min="1288" max="1536" width="9" style="79"/>
    <col min="1537" max="1537" width="40.09765625" style="79" customWidth="1"/>
    <col min="1538" max="1543" width="13" style="79" customWidth="1"/>
    <col min="1544" max="1792" width="9" style="79"/>
    <col min="1793" max="1793" width="40.09765625" style="79" customWidth="1"/>
    <col min="1794" max="1799" width="13" style="79" customWidth="1"/>
    <col min="1800" max="2048" width="9" style="79"/>
    <col min="2049" max="2049" width="40.09765625" style="79" customWidth="1"/>
    <col min="2050" max="2055" width="13" style="79" customWidth="1"/>
    <col min="2056" max="2304" width="9" style="79"/>
    <col min="2305" max="2305" width="40.09765625" style="79" customWidth="1"/>
    <col min="2306" max="2311" width="13" style="79" customWidth="1"/>
    <col min="2312" max="2560" width="9" style="79"/>
    <col min="2561" max="2561" width="40.09765625" style="79" customWidth="1"/>
    <col min="2562" max="2567" width="13" style="79" customWidth="1"/>
    <col min="2568" max="2816" width="9" style="79"/>
    <col min="2817" max="2817" width="40.09765625" style="79" customWidth="1"/>
    <col min="2818" max="2823" width="13" style="79" customWidth="1"/>
    <col min="2824" max="3072" width="9" style="79"/>
    <col min="3073" max="3073" width="40.09765625" style="79" customWidth="1"/>
    <col min="3074" max="3079" width="13" style="79" customWidth="1"/>
    <col min="3080" max="3328" width="9" style="79"/>
    <col min="3329" max="3329" width="40.09765625" style="79" customWidth="1"/>
    <col min="3330" max="3335" width="13" style="79" customWidth="1"/>
    <col min="3336" max="3584" width="9" style="79"/>
    <col min="3585" max="3585" width="40.09765625" style="79" customWidth="1"/>
    <col min="3586" max="3591" width="13" style="79" customWidth="1"/>
    <col min="3592" max="3840" width="9" style="79"/>
    <col min="3841" max="3841" width="40.09765625" style="79" customWidth="1"/>
    <col min="3842" max="3847" width="13" style="79" customWidth="1"/>
    <col min="3848" max="4096" width="9" style="79"/>
    <col min="4097" max="4097" width="40.09765625" style="79" customWidth="1"/>
    <col min="4098" max="4103" width="13" style="79" customWidth="1"/>
    <col min="4104" max="4352" width="9" style="79"/>
    <col min="4353" max="4353" width="40.09765625" style="79" customWidth="1"/>
    <col min="4354" max="4359" width="13" style="79" customWidth="1"/>
    <col min="4360" max="4608" width="9" style="79"/>
    <col min="4609" max="4609" width="40.09765625" style="79" customWidth="1"/>
    <col min="4610" max="4615" width="13" style="79" customWidth="1"/>
    <col min="4616" max="4864" width="9" style="79"/>
    <col min="4865" max="4865" width="40.09765625" style="79" customWidth="1"/>
    <col min="4866" max="4871" width="13" style="79" customWidth="1"/>
    <col min="4872" max="5120" width="9" style="79"/>
    <col min="5121" max="5121" width="40.09765625" style="79" customWidth="1"/>
    <col min="5122" max="5127" width="13" style="79" customWidth="1"/>
    <col min="5128" max="5376" width="9" style="79"/>
    <col min="5377" max="5377" width="40.09765625" style="79" customWidth="1"/>
    <col min="5378" max="5383" width="13" style="79" customWidth="1"/>
    <col min="5384" max="5632" width="9" style="79"/>
    <col min="5633" max="5633" width="40.09765625" style="79" customWidth="1"/>
    <col min="5634" max="5639" width="13" style="79" customWidth="1"/>
    <col min="5640" max="5888" width="9" style="79"/>
    <col min="5889" max="5889" width="40.09765625" style="79" customWidth="1"/>
    <col min="5890" max="5895" width="13" style="79" customWidth="1"/>
    <col min="5896" max="6144" width="9" style="79"/>
    <col min="6145" max="6145" width="40.09765625" style="79" customWidth="1"/>
    <col min="6146" max="6151" width="13" style="79" customWidth="1"/>
    <col min="6152" max="6400" width="9" style="79"/>
    <col min="6401" max="6401" width="40.09765625" style="79" customWidth="1"/>
    <col min="6402" max="6407" width="13" style="79" customWidth="1"/>
    <col min="6408" max="6656" width="9" style="79"/>
    <col min="6657" max="6657" width="40.09765625" style="79" customWidth="1"/>
    <col min="6658" max="6663" width="13" style="79" customWidth="1"/>
    <col min="6664" max="6912" width="9" style="79"/>
    <col min="6913" max="6913" width="40.09765625" style="79" customWidth="1"/>
    <col min="6914" max="6919" width="13" style="79" customWidth="1"/>
    <col min="6920" max="7168" width="9" style="79"/>
    <col min="7169" max="7169" width="40.09765625" style="79" customWidth="1"/>
    <col min="7170" max="7175" width="13" style="79" customWidth="1"/>
    <col min="7176" max="7424" width="9" style="79"/>
    <col min="7425" max="7425" width="40.09765625" style="79" customWidth="1"/>
    <col min="7426" max="7431" width="13" style="79" customWidth="1"/>
    <col min="7432" max="7680" width="9" style="79"/>
    <col min="7681" max="7681" width="40.09765625" style="79" customWidth="1"/>
    <col min="7682" max="7687" width="13" style="79" customWidth="1"/>
    <col min="7688" max="7936" width="9" style="79"/>
    <col min="7937" max="7937" width="40.09765625" style="79" customWidth="1"/>
    <col min="7938" max="7943" width="13" style="79" customWidth="1"/>
    <col min="7944" max="8192" width="9" style="79"/>
    <col min="8193" max="8193" width="40.09765625" style="79" customWidth="1"/>
    <col min="8194" max="8199" width="13" style="79" customWidth="1"/>
    <col min="8200" max="8448" width="9" style="79"/>
    <col min="8449" max="8449" width="40.09765625" style="79" customWidth="1"/>
    <col min="8450" max="8455" width="13" style="79" customWidth="1"/>
    <col min="8456" max="8704" width="9" style="79"/>
    <col min="8705" max="8705" width="40.09765625" style="79" customWidth="1"/>
    <col min="8706" max="8711" width="13" style="79" customWidth="1"/>
    <col min="8712" max="8960" width="9" style="79"/>
    <col min="8961" max="8961" width="40.09765625" style="79" customWidth="1"/>
    <col min="8962" max="8967" width="13" style="79" customWidth="1"/>
    <col min="8968" max="9216" width="9" style="79"/>
    <col min="9217" max="9217" width="40.09765625" style="79" customWidth="1"/>
    <col min="9218" max="9223" width="13" style="79" customWidth="1"/>
    <col min="9224" max="9472" width="9" style="79"/>
    <col min="9473" max="9473" width="40.09765625" style="79" customWidth="1"/>
    <col min="9474" max="9479" width="13" style="79" customWidth="1"/>
    <col min="9480" max="9728" width="9" style="79"/>
    <col min="9729" max="9729" width="40.09765625" style="79" customWidth="1"/>
    <col min="9730" max="9735" width="13" style="79" customWidth="1"/>
    <col min="9736" max="9984" width="9" style="79"/>
    <col min="9985" max="9985" width="40.09765625" style="79" customWidth="1"/>
    <col min="9986" max="9991" width="13" style="79" customWidth="1"/>
    <col min="9992" max="10240" width="9" style="79"/>
    <col min="10241" max="10241" width="40.09765625" style="79" customWidth="1"/>
    <col min="10242" max="10247" width="13" style="79" customWidth="1"/>
    <col min="10248" max="10496" width="9" style="79"/>
    <col min="10497" max="10497" width="40.09765625" style="79" customWidth="1"/>
    <col min="10498" max="10503" width="13" style="79" customWidth="1"/>
    <col min="10504" max="10752" width="9" style="79"/>
    <col min="10753" max="10753" width="40.09765625" style="79" customWidth="1"/>
    <col min="10754" max="10759" width="13" style="79" customWidth="1"/>
    <col min="10760" max="11008" width="9" style="79"/>
    <col min="11009" max="11009" width="40.09765625" style="79" customWidth="1"/>
    <col min="11010" max="11015" width="13" style="79" customWidth="1"/>
    <col min="11016" max="11264" width="9" style="79"/>
    <col min="11265" max="11265" width="40.09765625" style="79" customWidth="1"/>
    <col min="11266" max="11271" width="13" style="79" customWidth="1"/>
    <col min="11272" max="11520" width="9" style="79"/>
    <col min="11521" max="11521" width="40.09765625" style="79" customWidth="1"/>
    <col min="11522" max="11527" width="13" style="79" customWidth="1"/>
    <col min="11528" max="11776" width="9" style="79"/>
    <col min="11777" max="11777" width="40.09765625" style="79" customWidth="1"/>
    <col min="11778" max="11783" width="13" style="79" customWidth="1"/>
    <col min="11784" max="12032" width="9" style="79"/>
    <col min="12033" max="12033" width="40.09765625" style="79" customWidth="1"/>
    <col min="12034" max="12039" width="13" style="79" customWidth="1"/>
    <col min="12040" max="12288" width="9" style="79"/>
    <col min="12289" max="12289" width="40.09765625" style="79" customWidth="1"/>
    <col min="12290" max="12295" width="13" style="79" customWidth="1"/>
    <col min="12296" max="12544" width="9" style="79"/>
    <col min="12545" max="12545" width="40.09765625" style="79" customWidth="1"/>
    <col min="12546" max="12551" width="13" style="79" customWidth="1"/>
    <col min="12552" max="12800" width="9" style="79"/>
    <col min="12801" max="12801" width="40.09765625" style="79" customWidth="1"/>
    <col min="12802" max="12807" width="13" style="79" customWidth="1"/>
    <col min="12808" max="13056" width="9" style="79"/>
    <col min="13057" max="13057" width="40.09765625" style="79" customWidth="1"/>
    <col min="13058" max="13063" width="13" style="79" customWidth="1"/>
    <col min="13064" max="13312" width="9" style="79"/>
    <col min="13313" max="13313" width="40.09765625" style="79" customWidth="1"/>
    <col min="13314" max="13319" width="13" style="79" customWidth="1"/>
    <col min="13320" max="13568" width="9" style="79"/>
    <col min="13569" max="13569" width="40.09765625" style="79" customWidth="1"/>
    <col min="13570" max="13575" width="13" style="79" customWidth="1"/>
    <col min="13576" max="13824" width="9" style="79"/>
    <col min="13825" max="13825" width="40.09765625" style="79" customWidth="1"/>
    <col min="13826" max="13831" width="13" style="79" customWidth="1"/>
    <col min="13832" max="14080" width="9" style="79"/>
    <col min="14081" max="14081" width="40.09765625" style="79" customWidth="1"/>
    <col min="14082" max="14087" width="13" style="79" customWidth="1"/>
    <col min="14088" max="14336" width="9" style="79"/>
    <col min="14337" max="14337" width="40.09765625" style="79" customWidth="1"/>
    <col min="14338" max="14343" width="13" style="79" customWidth="1"/>
    <col min="14344" max="14592" width="9" style="79"/>
    <col min="14593" max="14593" width="40.09765625" style="79" customWidth="1"/>
    <col min="14594" max="14599" width="13" style="79" customWidth="1"/>
    <col min="14600" max="14848" width="9" style="79"/>
    <col min="14849" max="14849" width="40.09765625" style="79" customWidth="1"/>
    <col min="14850" max="14855" width="13" style="79" customWidth="1"/>
    <col min="14856" max="15104" width="9" style="79"/>
    <col min="15105" max="15105" width="40.09765625" style="79" customWidth="1"/>
    <col min="15106" max="15111" width="13" style="79" customWidth="1"/>
    <col min="15112" max="15360" width="9" style="79"/>
    <col min="15361" max="15361" width="40.09765625" style="79" customWidth="1"/>
    <col min="15362" max="15367" width="13" style="79" customWidth="1"/>
    <col min="15368" max="15616" width="9" style="79"/>
    <col min="15617" max="15617" width="40.09765625" style="79" customWidth="1"/>
    <col min="15618" max="15623" width="13" style="79" customWidth="1"/>
    <col min="15624" max="15872" width="9" style="79"/>
    <col min="15873" max="15873" width="40.09765625" style="79" customWidth="1"/>
    <col min="15874" max="15879" width="13" style="79" customWidth="1"/>
    <col min="15880" max="16128" width="9" style="79"/>
    <col min="16129" max="16129" width="40.09765625" style="79" customWidth="1"/>
    <col min="16130" max="16135" width="13" style="79" customWidth="1"/>
    <col min="16136" max="16384" width="9" style="79"/>
  </cols>
  <sheetData>
    <row r="5" spans="1:255" ht="16.2" x14ac:dyDescent="0.25">
      <c r="A5" s="78" t="s">
        <v>756</v>
      </c>
    </row>
    <row r="7" spans="1:255" ht="20.399999999999999" x14ac:dyDescent="0.2">
      <c r="A7" s="80" t="s">
        <v>363</v>
      </c>
      <c r="B7" s="81" t="s">
        <v>366</v>
      </c>
      <c r="C7" s="79" t="s">
        <v>367</v>
      </c>
      <c r="D7" s="82" t="s">
        <v>287</v>
      </c>
      <c r="E7" s="81" t="s">
        <v>368</v>
      </c>
      <c r="F7" s="79" t="s">
        <v>369</v>
      </c>
    </row>
    <row r="8" spans="1:255" x14ac:dyDescent="0.2">
      <c r="A8" s="82"/>
      <c r="B8" s="81" t="s">
        <v>285</v>
      </c>
      <c r="C8" s="79" t="s">
        <v>370</v>
      </c>
      <c r="D8" s="82" t="s">
        <v>287</v>
      </c>
      <c r="E8" s="81" t="s">
        <v>288</v>
      </c>
      <c r="F8" s="79" t="s">
        <v>289</v>
      </c>
    </row>
    <row r="9" spans="1:255" x14ac:dyDescent="0.2">
      <c r="A9" s="82"/>
      <c r="B9" s="81" t="s">
        <v>290</v>
      </c>
      <c r="C9" s="79" t="s">
        <v>291</v>
      </c>
      <c r="D9" s="82" t="s">
        <v>287</v>
      </c>
      <c r="E9" s="81" t="s">
        <v>292</v>
      </c>
      <c r="F9" s="79" t="s">
        <v>293</v>
      </c>
    </row>
    <row r="10" spans="1:255" x14ac:dyDescent="0.2">
      <c r="A10" s="82"/>
      <c r="B10" s="81" t="s">
        <v>294</v>
      </c>
      <c r="C10" s="83" t="s">
        <v>295</v>
      </c>
      <c r="D10" s="82" t="s">
        <v>287</v>
      </c>
      <c r="E10" s="81" t="s">
        <v>371</v>
      </c>
      <c r="F10" s="79" t="s">
        <v>372</v>
      </c>
    </row>
    <row r="13" spans="1:255" x14ac:dyDescent="0.2">
      <c r="A13" s="84" t="s">
        <v>757</v>
      </c>
      <c r="B13" s="84"/>
      <c r="C13" s="84"/>
      <c r="D13" s="84"/>
      <c r="E13" s="84"/>
      <c r="F13" s="84"/>
      <c r="G13" s="84"/>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row>
    <row r="14" spans="1:255" ht="20.399999999999999" x14ac:dyDescent="0.2">
      <c r="A14" s="249" t="s">
        <v>299</v>
      </c>
      <c r="B14" s="250" t="s">
        <v>373</v>
      </c>
      <c r="C14" s="250" t="s">
        <v>517</v>
      </c>
      <c r="D14" s="250" t="s">
        <v>375</v>
      </c>
      <c r="E14" s="250" t="s">
        <v>518</v>
      </c>
      <c r="F14" s="250" t="s">
        <v>377</v>
      </c>
      <c r="G14" s="250" t="s">
        <v>378</v>
      </c>
    </row>
    <row r="15" spans="1:255" x14ac:dyDescent="0.2">
      <c r="A15" s="251" t="s">
        <v>308</v>
      </c>
      <c r="B15" s="252" t="s">
        <v>309</v>
      </c>
      <c r="C15" s="252" t="s">
        <v>309</v>
      </c>
      <c r="D15" s="252" t="s">
        <v>309</v>
      </c>
      <c r="E15" s="252" t="s">
        <v>309</v>
      </c>
      <c r="F15" s="252" t="s">
        <v>309</v>
      </c>
      <c r="G15" s="252" t="s">
        <v>309</v>
      </c>
    </row>
    <row r="16" spans="1:255" x14ac:dyDescent="0.2">
      <c r="A16" s="90" t="s">
        <v>758</v>
      </c>
      <c r="B16" s="82"/>
      <c r="C16" s="82"/>
      <c r="D16" s="82"/>
      <c r="E16" s="82"/>
      <c r="F16" s="82"/>
      <c r="G16" s="82"/>
    </row>
    <row r="17" spans="1:7" x14ac:dyDescent="0.2">
      <c r="A17" s="82" t="s">
        <v>759</v>
      </c>
      <c r="B17" s="98" t="s">
        <v>313</v>
      </c>
      <c r="C17" s="98" t="s">
        <v>313</v>
      </c>
      <c r="D17" s="98" t="s">
        <v>313</v>
      </c>
      <c r="E17" s="98" t="s">
        <v>313</v>
      </c>
      <c r="F17" s="98">
        <v>2574.9810000000002</v>
      </c>
      <c r="G17" s="98">
        <v>2364.7220000000002</v>
      </c>
    </row>
    <row r="18" spans="1:7" x14ac:dyDescent="0.2">
      <c r="A18" s="82"/>
      <c r="B18" s="82"/>
      <c r="C18" s="82"/>
      <c r="D18" s="82"/>
      <c r="E18" s="82"/>
      <c r="F18" s="82"/>
      <c r="G18" s="82"/>
    </row>
    <row r="19" spans="1:7" x14ac:dyDescent="0.2">
      <c r="A19" s="82" t="s">
        <v>760</v>
      </c>
      <c r="B19" s="98" t="s">
        <v>313</v>
      </c>
      <c r="C19" s="98" t="s">
        <v>313</v>
      </c>
      <c r="D19" s="98" t="s">
        <v>313</v>
      </c>
      <c r="E19" s="98">
        <v>2622.2809999999999</v>
      </c>
      <c r="F19" s="98">
        <v>16.931000000000001</v>
      </c>
      <c r="G19" s="98">
        <v>5.15</v>
      </c>
    </row>
    <row r="20" spans="1:7" x14ac:dyDescent="0.2">
      <c r="A20" s="82" t="s">
        <v>761</v>
      </c>
      <c r="B20" s="98" t="s">
        <v>313</v>
      </c>
      <c r="C20" s="98" t="s">
        <v>313</v>
      </c>
      <c r="D20" s="98" t="s">
        <v>313</v>
      </c>
      <c r="E20" s="98" t="s">
        <v>313</v>
      </c>
      <c r="F20" s="98">
        <v>160.22999999999999</v>
      </c>
      <c r="G20" s="98">
        <v>359.01100000000002</v>
      </c>
    </row>
    <row r="21" spans="1:7" x14ac:dyDescent="0.2">
      <c r="A21" s="82" t="s">
        <v>762</v>
      </c>
      <c r="B21" s="98" t="s">
        <v>313</v>
      </c>
      <c r="C21" s="98" t="s">
        <v>313</v>
      </c>
      <c r="D21" s="98" t="s">
        <v>313</v>
      </c>
      <c r="E21" s="98">
        <v>47.3</v>
      </c>
      <c r="F21" s="98">
        <v>66.959999999999994</v>
      </c>
      <c r="G21" s="98">
        <v>291.52</v>
      </c>
    </row>
    <row r="22" spans="1:7" x14ac:dyDescent="0.2">
      <c r="A22" s="82" t="s">
        <v>763</v>
      </c>
      <c r="B22" s="98" t="s">
        <v>313</v>
      </c>
      <c r="C22" s="98" t="s">
        <v>313</v>
      </c>
      <c r="D22" s="98" t="s">
        <v>313</v>
      </c>
      <c r="E22" s="98">
        <v>2574.9810000000002</v>
      </c>
      <c r="F22" s="98">
        <v>2364.7220000000002</v>
      </c>
      <c r="G22" s="98">
        <v>1719.3409999999999</v>
      </c>
    </row>
    <row r="23" spans="1:7" x14ac:dyDescent="0.2">
      <c r="A23" s="82" t="s">
        <v>764</v>
      </c>
      <c r="B23" s="108" t="s">
        <v>313</v>
      </c>
      <c r="C23" s="108" t="s">
        <v>313</v>
      </c>
      <c r="D23" s="108" t="s">
        <v>313</v>
      </c>
      <c r="E23" s="100">
        <v>21</v>
      </c>
      <c r="F23" s="100">
        <v>21.1</v>
      </c>
      <c r="G23" s="100">
        <v>21.16</v>
      </c>
    </row>
    <row r="24" spans="1:7" x14ac:dyDescent="0.2">
      <c r="A24" s="82" t="s">
        <v>765</v>
      </c>
      <c r="B24" s="108" t="s">
        <v>313</v>
      </c>
      <c r="C24" s="108" t="s">
        <v>313</v>
      </c>
      <c r="D24" s="108" t="s">
        <v>313</v>
      </c>
      <c r="E24" s="100">
        <v>21</v>
      </c>
      <c r="F24" s="100">
        <v>34.74</v>
      </c>
      <c r="G24" s="100">
        <v>38.909999999999997</v>
      </c>
    </row>
    <row r="25" spans="1:7" x14ac:dyDescent="0.2">
      <c r="A25" s="82"/>
      <c r="B25" s="82"/>
      <c r="C25" s="82"/>
      <c r="D25" s="82"/>
      <c r="E25" s="82"/>
      <c r="F25" s="82"/>
      <c r="G25" s="82"/>
    </row>
    <row r="26" spans="1:7" x14ac:dyDescent="0.2">
      <c r="A26" s="90" t="s">
        <v>766</v>
      </c>
      <c r="B26" s="82"/>
      <c r="C26" s="82"/>
      <c r="D26" s="82"/>
      <c r="E26" s="82"/>
      <c r="F26" s="82"/>
      <c r="G26" s="82"/>
    </row>
    <row r="27" spans="1:7" x14ac:dyDescent="0.2">
      <c r="A27" s="82" t="s">
        <v>759</v>
      </c>
      <c r="B27" s="98" t="s">
        <v>313</v>
      </c>
      <c r="C27" s="98" t="s">
        <v>313</v>
      </c>
      <c r="D27" s="98" t="s">
        <v>313</v>
      </c>
      <c r="E27" s="98" t="s">
        <v>313</v>
      </c>
      <c r="F27" s="98">
        <v>2574.9810000000002</v>
      </c>
      <c r="G27" s="98">
        <v>2364.7220000000002</v>
      </c>
    </row>
    <row r="28" spans="1:7" x14ac:dyDescent="0.2">
      <c r="A28" s="82" t="s">
        <v>760</v>
      </c>
      <c r="B28" s="98" t="s">
        <v>313</v>
      </c>
      <c r="C28" s="98" t="s">
        <v>313</v>
      </c>
      <c r="D28" s="98" t="s">
        <v>313</v>
      </c>
      <c r="E28" s="98">
        <v>2622.2809999999999</v>
      </c>
      <c r="F28" s="98">
        <v>16.931000000000001</v>
      </c>
      <c r="G28" s="98">
        <v>5.15</v>
      </c>
    </row>
    <row r="29" spans="1:7" x14ac:dyDescent="0.2">
      <c r="A29" s="82" t="s">
        <v>761</v>
      </c>
      <c r="B29" s="98" t="s">
        <v>313</v>
      </c>
      <c r="C29" s="98" t="s">
        <v>313</v>
      </c>
      <c r="D29" s="98" t="s">
        <v>313</v>
      </c>
      <c r="E29" s="98" t="s">
        <v>313</v>
      </c>
      <c r="F29" s="98">
        <v>160.22999999999999</v>
      </c>
      <c r="G29" s="98">
        <v>359.01100000000002</v>
      </c>
    </row>
    <row r="30" spans="1:7" x14ac:dyDescent="0.2">
      <c r="A30" s="82" t="s">
        <v>762</v>
      </c>
      <c r="B30" s="98" t="s">
        <v>313</v>
      </c>
      <c r="C30" s="98" t="s">
        <v>313</v>
      </c>
      <c r="D30" s="98" t="s">
        <v>313</v>
      </c>
      <c r="E30" s="98">
        <v>47.3</v>
      </c>
      <c r="F30" s="98">
        <v>66.959999999999994</v>
      </c>
      <c r="G30" s="98">
        <v>291.52</v>
      </c>
    </row>
    <row r="31" spans="1:7" x14ac:dyDescent="0.2">
      <c r="A31" s="82" t="s">
        <v>763</v>
      </c>
      <c r="B31" s="98" t="s">
        <v>313</v>
      </c>
      <c r="C31" s="98" t="s">
        <v>313</v>
      </c>
      <c r="D31" s="98" t="s">
        <v>313</v>
      </c>
      <c r="E31" s="98">
        <v>2574.9810000000002</v>
      </c>
      <c r="F31" s="98">
        <v>2364.7220000000002</v>
      </c>
      <c r="G31" s="98">
        <v>1719.3409999999999</v>
      </c>
    </row>
    <row r="32" spans="1:7" x14ac:dyDescent="0.2">
      <c r="A32" s="82"/>
      <c r="B32" s="82"/>
      <c r="C32" s="82"/>
      <c r="D32" s="82"/>
      <c r="E32" s="82"/>
      <c r="F32" s="82"/>
      <c r="G32" s="82"/>
    </row>
    <row r="33" spans="1:7" x14ac:dyDescent="0.2">
      <c r="A33" s="90" t="s">
        <v>767</v>
      </c>
      <c r="B33" s="82"/>
      <c r="C33" s="82"/>
      <c r="D33" s="82"/>
      <c r="E33" s="82"/>
      <c r="F33" s="82"/>
      <c r="G33" s="82"/>
    </row>
    <row r="34" spans="1:7" x14ac:dyDescent="0.2">
      <c r="A34" s="82" t="s">
        <v>768</v>
      </c>
      <c r="B34" s="98">
        <v>450</v>
      </c>
      <c r="C34" s="98">
        <v>93</v>
      </c>
      <c r="D34" s="98">
        <v>165</v>
      </c>
      <c r="E34" s="98">
        <v>605</v>
      </c>
      <c r="F34" s="98" t="s">
        <v>313</v>
      </c>
      <c r="G34" s="98">
        <v>280</v>
      </c>
    </row>
    <row r="35" spans="1:7" x14ac:dyDescent="0.2">
      <c r="A35" s="82" t="s">
        <v>769</v>
      </c>
      <c r="B35" s="98" t="s">
        <v>313</v>
      </c>
      <c r="C35" s="98">
        <v>-2</v>
      </c>
      <c r="D35" s="98">
        <v>-4</v>
      </c>
      <c r="E35" s="98" t="s">
        <v>313</v>
      </c>
      <c r="F35" s="98" t="s">
        <v>313</v>
      </c>
      <c r="G35" s="98" t="s">
        <v>313</v>
      </c>
    </row>
    <row r="36" spans="1:7" x14ac:dyDescent="0.2">
      <c r="A36" s="82" t="s">
        <v>770</v>
      </c>
      <c r="B36" s="98" t="s">
        <v>313</v>
      </c>
      <c r="C36" s="98">
        <v>91</v>
      </c>
      <c r="D36" s="98">
        <v>161</v>
      </c>
      <c r="E36" s="98" t="s">
        <v>313</v>
      </c>
      <c r="F36" s="98" t="s">
        <v>313</v>
      </c>
      <c r="G36" s="98" t="s">
        <v>313</v>
      </c>
    </row>
    <row r="37" spans="1:7" x14ac:dyDescent="0.2">
      <c r="A37" s="82" t="s">
        <v>771</v>
      </c>
      <c r="B37" s="98" t="s">
        <v>313</v>
      </c>
      <c r="C37" s="98" t="s">
        <v>313</v>
      </c>
      <c r="D37" s="98" t="s">
        <v>313</v>
      </c>
      <c r="E37" s="98">
        <v>4314</v>
      </c>
      <c r="F37" s="98">
        <v>4262</v>
      </c>
      <c r="G37" s="98">
        <v>3474</v>
      </c>
    </row>
    <row r="38" spans="1:7" x14ac:dyDescent="0.2">
      <c r="A38" s="82" t="s">
        <v>772</v>
      </c>
      <c r="B38" s="98">
        <v>450</v>
      </c>
      <c r="C38" s="98">
        <v>93</v>
      </c>
      <c r="D38" s="98">
        <v>165</v>
      </c>
      <c r="E38" s="98">
        <v>16681</v>
      </c>
      <c r="F38" s="98">
        <v>5354</v>
      </c>
      <c r="G38" s="98">
        <v>5623</v>
      </c>
    </row>
    <row r="39" spans="1:7" x14ac:dyDescent="0.2">
      <c r="A39" s="82" t="s">
        <v>773</v>
      </c>
      <c r="B39" s="98" t="s">
        <v>313</v>
      </c>
      <c r="C39" s="98">
        <v>-2</v>
      </c>
      <c r="D39" s="98">
        <v>-4</v>
      </c>
      <c r="E39" s="98">
        <v>-482</v>
      </c>
      <c r="F39" s="98">
        <v>-168</v>
      </c>
      <c r="G39" s="98">
        <v>-198</v>
      </c>
    </row>
    <row r="40" spans="1:7" x14ac:dyDescent="0.2">
      <c r="A40" s="82" t="s">
        <v>774</v>
      </c>
      <c r="B40" s="98" t="s">
        <v>313</v>
      </c>
      <c r="C40" s="98">
        <v>91</v>
      </c>
      <c r="D40" s="98">
        <v>161</v>
      </c>
      <c r="E40" s="98">
        <v>16199</v>
      </c>
      <c r="F40" s="98">
        <v>5186</v>
      </c>
      <c r="G40" s="98">
        <v>5425</v>
      </c>
    </row>
    <row r="41" spans="1:7" x14ac:dyDescent="0.2">
      <c r="A41" s="82"/>
      <c r="B41" s="82"/>
      <c r="C41" s="82"/>
      <c r="D41" s="82"/>
      <c r="E41" s="82"/>
      <c r="F41" s="82"/>
      <c r="G41" s="82"/>
    </row>
    <row r="42" spans="1:7" x14ac:dyDescent="0.2">
      <c r="A42" s="90" t="s">
        <v>775</v>
      </c>
      <c r="B42" s="82"/>
      <c r="C42" s="82"/>
      <c r="D42" s="82"/>
      <c r="E42" s="82"/>
      <c r="F42" s="82"/>
      <c r="G42" s="82"/>
    </row>
    <row r="43" spans="1:7" x14ac:dyDescent="0.2">
      <c r="A43" s="82" t="s">
        <v>776</v>
      </c>
      <c r="B43" s="98" t="s">
        <v>313</v>
      </c>
      <c r="C43" s="98" t="s">
        <v>313</v>
      </c>
      <c r="D43" s="98" t="s">
        <v>313</v>
      </c>
      <c r="E43" s="98" t="s">
        <v>313</v>
      </c>
      <c r="F43" s="98">
        <v>216220</v>
      </c>
      <c r="G43" s="98">
        <v>70834</v>
      </c>
    </row>
    <row r="44" spans="1:7" x14ac:dyDescent="0.2">
      <c r="A44" s="82" t="s">
        <v>777</v>
      </c>
      <c r="B44" s="98" t="s">
        <v>313</v>
      </c>
      <c r="C44" s="98" t="s">
        <v>313</v>
      </c>
      <c r="D44" s="98" t="s">
        <v>313</v>
      </c>
      <c r="E44" s="98" t="s">
        <v>313</v>
      </c>
      <c r="F44" s="98">
        <v>216220</v>
      </c>
      <c r="G44" s="98">
        <v>70834</v>
      </c>
    </row>
    <row r="45" spans="1:7" x14ac:dyDescent="0.2">
      <c r="A45" s="82" t="s">
        <v>778</v>
      </c>
      <c r="B45" s="97" t="s">
        <v>313</v>
      </c>
      <c r="C45" s="97" t="s">
        <v>313</v>
      </c>
      <c r="D45" s="97" t="s">
        <v>313</v>
      </c>
      <c r="E45" s="97" t="s">
        <v>313</v>
      </c>
      <c r="F45" s="136">
        <v>2036</v>
      </c>
      <c r="G45" s="97" t="s">
        <v>313</v>
      </c>
    </row>
    <row r="46" spans="1:7" x14ac:dyDescent="0.2">
      <c r="A46" s="82"/>
      <c r="B46" s="82"/>
      <c r="C46" s="82"/>
      <c r="D46" s="82"/>
      <c r="E46" s="82"/>
      <c r="F46" s="82"/>
      <c r="G46" s="82"/>
    </row>
    <row r="47" spans="1:7" x14ac:dyDescent="0.2">
      <c r="A47" s="82" t="s">
        <v>779</v>
      </c>
      <c r="B47" s="98" t="s">
        <v>313</v>
      </c>
      <c r="C47" s="98" t="s">
        <v>313</v>
      </c>
      <c r="D47" s="98" t="s">
        <v>313</v>
      </c>
      <c r="E47" s="98" t="s">
        <v>313</v>
      </c>
      <c r="F47" s="98">
        <v>1084</v>
      </c>
      <c r="G47" s="98">
        <v>2328</v>
      </c>
    </row>
    <row r="48" spans="1:7" x14ac:dyDescent="0.2">
      <c r="A48" s="82" t="s">
        <v>780</v>
      </c>
      <c r="B48" s="98" t="s">
        <v>313</v>
      </c>
      <c r="C48" s="98" t="s">
        <v>313</v>
      </c>
      <c r="D48" s="98" t="s">
        <v>313</v>
      </c>
      <c r="E48" s="98" t="s">
        <v>313</v>
      </c>
      <c r="F48" s="98">
        <v>1084</v>
      </c>
      <c r="G48" s="98">
        <v>2328</v>
      </c>
    </row>
    <row r="49" spans="1:7" x14ac:dyDescent="0.2">
      <c r="A49" s="82"/>
      <c r="B49" s="82"/>
      <c r="C49" s="82"/>
      <c r="D49" s="82"/>
      <c r="E49" s="82"/>
      <c r="F49" s="82"/>
      <c r="G49" s="82"/>
    </row>
    <row r="50" spans="1:7" x14ac:dyDescent="0.2">
      <c r="A50" s="90" t="s">
        <v>781</v>
      </c>
      <c r="B50" s="82"/>
      <c r="C50" s="82"/>
      <c r="D50" s="82"/>
      <c r="E50" s="82"/>
      <c r="F50" s="82"/>
      <c r="G50" s="82"/>
    </row>
    <row r="51" spans="1:7" x14ac:dyDescent="0.2">
      <c r="A51" s="82" t="s">
        <v>434</v>
      </c>
      <c r="B51" s="98" t="s">
        <v>313</v>
      </c>
      <c r="C51" s="98" t="s">
        <v>313</v>
      </c>
      <c r="D51" s="98" t="s">
        <v>313</v>
      </c>
      <c r="E51" s="98">
        <v>108</v>
      </c>
      <c r="F51" s="98" t="s">
        <v>313</v>
      </c>
      <c r="G51" s="98">
        <v>164</v>
      </c>
    </row>
    <row r="52" spans="1:7" x14ac:dyDescent="0.2">
      <c r="A52" s="82"/>
      <c r="B52" s="82"/>
      <c r="C52" s="82"/>
      <c r="D52" s="82"/>
      <c r="E52" s="82"/>
      <c r="F52" s="82"/>
      <c r="G52" s="82"/>
    </row>
    <row r="53" spans="1:7" x14ac:dyDescent="0.2">
      <c r="A53" s="90" t="s">
        <v>782</v>
      </c>
      <c r="B53" s="82"/>
      <c r="C53" s="82"/>
      <c r="D53" s="82"/>
      <c r="E53" s="82"/>
      <c r="F53" s="82"/>
      <c r="G53" s="82"/>
    </row>
    <row r="54" spans="1:7" x14ac:dyDescent="0.2">
      <c r="A54" s="82" t="s">
        <v>783</v>
      </c>
      <c r="B54" s="98" t="s">
        <v>313</v>
      </c>
      <c r="C54" s="98" t="s">
        <v>313</v>
      </c>
      <c r="D54" s="98" t="s">
        <v>313</v>
      </c>
      <c r="E54" s="98">
        <v>33</v>
      </c>
      <c r="F54" s="98">
        <v>65517</v>
      </c>
      <c r="G54" s="98">
        <v>66293</v>
      </c>
    </row>
    <row r="55" spans="1:7" x14ac:dyDescent="0.2">
      <c r="A55" s="82" t="s">
        <v>784</v>
      </c>
      <c r="B55" s="98" t="s">
        <v>313</v>
      </c>
      <c r="C55" s="98" t="s">
        <v>313</v>
      </c>
      <c r="D55" s="98" t="s">
        <v>313</v>
      </c>
      <c r="E55" s="98">
        <v>2386</v>
      </c>
      <c r="F55" s="98">
        <v>2446</v>
      </c>
      <c r="G55" s="98">
        <v>2112</v>
      </c>
    </row>
    <row r="56" spans="1:7" x14ac:dyDescent="0.2">
      <c r="A56" s="82" t="s">
        <v>785</v>
      </c>
      <c r="B56" s="98" t="s">
        <v>313</v>
      </c>
      <c r="C56" s="98" t="s">
        <v>313</v>
      </c>
      <c r="D56" s="98" t="s">
        <v>313</v>
      </c>
      <c r="E56" s="98">
        <v>2419</v>
      </c>
      <c r="F56" s="98">
        <v>67963</v>
      </c>
      <c r="G56" s="98">
        <v>68405</v>
      </c>
    </row>
    <row r="57" spans="1:7" x14ac:dyDescent="0.2">
      <c r="A57" s="82"/>
      <c r="B57" s="82"/>
      <c r="C57" s="82"/>
      <c r="D57" s="82"/>
      <c r="E57" s="82"/>
      <c r="F57" s="82"/>
      <c r="G57" s="82"/>
    </row>
    <row r="58" spans="1:7" x14ac:dyDescent="0.2">
      <c r="A58" s="82"/>
      <c r="B58" s="82" t="s">
        <v>320</v>
      </c>
      <c r="C58" s="82" t="s">
        <v>320</v>
      </c>
      <c r="D58" s="82" t="s">
        <v>320</v>
      </c>
      <c r="E58" s="82" t="s">
        <v>320</v>
      </c>
      <c r="F58" s="82" t="s">
        <v>320</v>
      </c>
      <c r="G58" s="82" t="s">
        <v>320</v>
      </c>
    </row>
    <row r="59" spans="1:7" x14ac:dyDescent="0.2">
      <c r="A59" s="82" t="s">
        <v>436</v>
      </c>
      <c r="B59" s="110">
        <v>42090</v>
      </c>
      <c r="C59" s="110">
        <v>42459</v>
      </c>
      <c r="D59" s="110">
        <v>42807</v>
      </c>
      <c r="E59" s="110">
        <v>43157</v>
      </c>
      <c r="F59" s="110">
        <v>43157</v>
      </c>
      <c r="G59" s="110">
        <v>43157</v>
      </c>
    </row>
    <row r="60" spans="1:7" ht="61.2" x14ac:dyDescent="0.2">
      <c r="A60" s="115" t="s">
        <v>361</v>
      </c>
      <c r="B60" s="99"/>
      <c r="C60" s="99"/>
      <c r="D60" s="99"/>
      <c r="E60" s="99"/>
      <c r="F60" s="99"/>
      <c r="G60" s="99"/>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3399FF"/>
    <outlinePr summaryBelow="0" summaryRight="0"/>
    <pageSetUpPr autoPageBreaks="0"/>
  </sheetPr>
  <dimension ref="A5:IU71"/>
  <sheetViews>
    <sheetView workbookViewId="0"/>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3" width="13" style="79" customWidth="1"/>
    <col min="264" max="512" width="9" style="79"/>
    <col min="513" max="513" width="40.09765625" style="79" customWidth="1"/>
    <col min="514" max="519" width="13" style="79" customWidth="1"/>
    <col min="520" max="768" width="9" style="79"/>
    <col min="769" max="769" width="40.09765625" style="79" customWidth="1"/>
    <col min="770" max="775" width="13" style="79" customWidth="1"/>
    <col min="776" max="1024" width="9" style="79"/>
    <col min="1025" max="1025" width="40.09765625" style="79" customWidth="1"/>
    <col min="1026" max="1031" width="13" style="79" customWidth="1"/>
    <col min="1032" max="1280" width="9" style="79"/>
    <col min="1281" max="1281" width="40.09765625" style="79" customWidth="1"/>
    <col min="1282" max="1287" width="13" style="79" customWidth="1"/>
    <col min="1288" max="1536" width="9" style="79"/>
    <col min="1537" max="1537" width="40.09765625" style="79" customWidth="1"/>
    <col min="1538" max="1543" width="13" style="79" customWidth="1"/>
    <col min="1544" max="1792" width="9" style="79"/>
    <col min="1793" max="1793" width="40.09765625" style="79" customWidth="1"/>
    <col min="1794" max="1799" width="13" style="79" customWidth="1"/>
    <col min="1800" max="2048" width="9" style="79"/>
    <col min="2049" max="2049" width="40.09765625" style="79" customWidth="1"/>
    <col min="2050" max="2055" width="13" style="79" customWidth="1"/>
    <col min="2056" max="2304" width="9" style="79"/>
    <col min="2305" max="2305" width="40.09765625" style="79" customWidth="1"/>
    <col min="2306" max="2311" width="13" style="79" customWidth="1"/>
    <col min="2312" max="2560" width="9" style="79"/>
    <col min="2561" max="2561" width="40.09765625" style="79" customWidth="1"/>
    <col min="2562" max="2567" width="13" style="79" customWidth="1"/>
    <col min="2568" max="2816" width="9" style="79"/>
    <col min="2817" max="2817" width="40.09765625" style="79" customWidth="1"/>
    <col min="2818" max="2823" width="13" style="79" customWidth="1"/>
    <col min="2824" max="3072" width="9" style="79"/>
    <col min="3073" max="3073" width="40.09765625" style="79" customWidth="1"/>
    <col min="3074" max="3079" width="13" style="79" customWidth="1"/>
    <col min="3080" max="3328" width="9" style="79"/>
    <col min="3329" max="3329" width="40.09765625" style="79" customWidth="1"/>
    <col min="3330" max="3335" width="13" style="79" customWidth="1"/>
    <col min="3336" max="3584" width="9" style="79"/>
    <col min="3585" max="3585" width="40.09765625" style="79" customWidth="1"/>
    <col min="3586" max="3591" width="13" style="79" customWidth="1"/>
    <col min="3592" max="3840" width="9" style="79"/>
    <col min="3841" max="3841" width="40.09765625" style="79" customWidth="1"/>
    <col min="3842" max="3847" width="13" style="79" customWidth="1"/>
    <col min="3848" max="4096" width="9" style="79"/>
    <col min="4097" max="4097" width="40.09765625" style="79" customWidth="1"/>
    <col min="4098" max="4103" width="13" style="79" customWidth="1"/>
    <col min="4104" max="4352" width="9" style="79"/>
    <col min="4353" max="4353" width="40.09765625" style="79" customWidth="1"/>
    <col min="4354" max="4359" width="13" style="79" customWidth="1"/>
    <col min="4360" max="4608" width="9" style="79"/>
    <col min="4609" max="4609" width="40.09765625" style="79" customWidth="1"/>
    <col min="4610" max="4615" width="13" style="79" customWidth="1"/>
    <col min="4616" max="4864" width="9" style="79"/>
    <col min="4865" max="4865" width="40.09765625" style="79" customWidth="1"/>
    <col min="4866" max="4871" width="13" style="79" customWidth="1"/>
    <col min="4872" max="5120" width="9" style="79"/>
    <col min="5121" max="5121" width="40.09765625" style="79" customWidth="1"/>
    <col min="5122" max="5127" width="13" style="79" customWidth="1"/>
    <col min="5128" max="5376" width="9" style="79"/>
    <col min="5377" max="5377" width="40.09765625" style="79" customWidth="1"/>
    <col min="5378" max="5383" width="13" style="79" customWidth="1"/>
    <col min="5384" max="5632" width="9" style="79"/>
    <col min="5633" max="5633" width="40.09765625" style="79" customWidth="1"/>
    <col min="5634" max="5639" width="13" style="79" customWidth="1"/>
    <col min="5640" max="5888" width="9" style="79"/>
    <col min="5889" max="5889" width="40.09765625" style="79" customWidth="1"/>
    <col min="5890" max="5895" width="13" style="79" customWidth="1"/>
    <col min="5896" max="6144" width="9" style="79"/>
    <col min="6145" max="6145" width="40.09765625" style="79" customWidth="1"/>
    <col min="6146" max="6151" width="13" style="79" customWidth="1"/>
    <col min="6152" max="6400" width="9" style="79"/>
    <col min="6401" max="6401" width="40.09765625" style="79" customWidth="1"/>
    <col min="6402" max="6407" width="13" style="79" customWidth="1"/>
    <col min="6408" max="6656" width="9" style="79"/>
    <col min="6657" max="6657" width="40.09765625" style="79" customWidth="1"/>
    <col min="6658" max="6663" width="13" style="79" customWidth="1"/>
    <col min="6664" max="6912" width="9" style="79"/>
    <col min="6913" max="6913" width="40.09765625" style="79" customWidth="1"/>
    <col min="6914" max="6919" width="13" style="79" customWidth="1"/>
    <col min="6920" max="7168" width="9" style="79"/>
    <col min="7169" max="7169" width="40.09765625" style="79" customWidth="1"/>
    <col min="7170" max="7175" width="13" style="79" customWidth="1"/>
    <col min="7176" max="7424" width="9" style="79"/>
    <col min="7425" max="7425" width="40.09765625" style="79" customWidth="1"/>
    <col min="7426" max="7431" width="13" style="79" customWidth="1"/>
    <col min="7432" max="7680" width="9" style="79"/>
    <col min="7681" max="7681" width="40.09765625" style="79" customWidth="1"/>
    <col min="7682" max="7687" width="13" style="79" customWidth="1"/>
    <col min="7688" max="7936" width="9" style="79"/>
    <col min="7937" max="7937" width="40.09765625" style="79" customWidth="1"/>
    <col min="7938" max="7943" width="13" style="79" customWidth="1"/>
    <col min="7944" max="8192" width="9" style="79"/>
    <col min="8193" max="8193" width="40.09765625" style="79" customWidth="1"/>
    <col min="8194" max="8199" width="13" style="79" customWidth="1"/>
    <col min="8200" max="8448" width="9" style="79"/>
    <col min="8449" max="8449" width="40.09765625" style="79" customWidth="1"/>
    <col min="8450" max="8455" width="13" style="79" customWidth="1"/>
    <col min="8456" max="8704" width="9" style="79"/>
    <col min="8705" max="8705" width="40.09765625" style="79" customWidth="1"/>
    <col min="8706" max="8711" width="13" style="79" customWidth="1"/>
    <col min="8712" max="8960" width="9" style="79"/>
    <col min="8961" max="8961" width="40.09765625" style="79" customWidth="1"/>
    <col min="8962" max="8967" width="13" style="79" customWidth="1"/>
    <col min="8968" max="9216" width="9" style="79"/>
    <col min="9217" max="9217" width="40.09765625" style="79" customWidth="1"/>
    <col min="9218" max="9223" width="13" style="79" customWidth="1"/>
    <col min="9224" max="9472" width="9" style="79"/>
    <col min="9473" max="9473" width="40.09765625" style="79" customWidth="1"/>
    <col min="9474" max="9479" width="13" style="79" customWidth="1"/>
    <col min="9480" max="9728" width="9" style="79"/>
    <col min="9729" max="9729" width="40.09765625" style="79" customWidth="1"/>
    <col min="9730" max="9735" width="13" style="79" customWidth="1"/>
    <col min="9736" max="9984" width="9" style="79"/>
    <col min="9985" max="9985" width="40.09765625" style="79" customWidth="1"/>
    <col min="9986" max="9991" width="13" style="79" customWidth="1"/>
    <col min="9992" max="10240" width="9" style="79"/>
    <col min="10241" max="10241" width="40.09765625" style="79" customWidth="1"/>
    <col min="10242" max="10247" width="13" style="79" customWidth="1"/>
    <col min="10248" max="10496" width="9" style="79"/>
    <col min="10497" max="10497" width="40.09765625" style="79" customWidth="1"/>
    <col min="10498" max="10503" width="13" style="79" customWidth="1"/>
    <col min="10504" max="10752" width="9" style="79"/>
    <col min="10753" max="10753" width="40.09765625" style="79" customWidth="1"/>
    <col min="10754" max="10759" width="13" style="79" customWidth="1"/>
    <col min="10760" max="11008" width="9" style="79"/>
    <col min="11009" max="11009" width="40.09765625" style="79" customWidth="1"/>
    <col min="11010" max="11015" width="13" style="79" customWidth="1"/>
    <col min="11016" max="11264" width="9" style="79"/>
    <col min="11265" max="11265" width="40.09765625" style="79" customWidth="1"/>
    <col min="11266" max="11271" width="13" style="79" customWidth="1"/>
    <col min="11272" max="11520" width="9" style="79"/>
    <col min="11521" max="11521" width="40.09765625" style="79" customWidth="1"/>
    <col min="11522" max="11527" width="13" style="79" customWidth="1"/>
    <col min="11528" max="11776" width="9" style="79"/>
    <col min="11777" max="11777" width="40.09765625" style="79" customWidth="1"/>
    <col min="11778" max="11783" width="13" style="79" customWidth="1"/>
    <col min="11784" max="12032" width="9" style="79"/>
    <col min="12033" max="12033" width="40.09765625" style="79" customWidth="1"/>
    <col min="12034" max="12039" width="13" style="79" customWidth="1"/>
    <col min="12040" max="12288" width="9" style="79"/>
    <col min="12289" max="12289" width="40.09765625" style="79" customWidth="1"/>
    <col min="12290" max="12295" width="13" style="79" customWidth="1"/>
    <col min="12296" max="12544" width="9" style="79"/>
    <col min="12545" max="12545" width="40.09765625" style="79" customWidth="1"/>
    <col min="12546" max="12551" width="13" style="79" customWidth="1"/>
    <col min="12552" max="12800" width="9" style="79"/>
    <col min="12801" max="12801" width="40.09765625" style="79" customWidth="1"/>
    <col min="12802" max="12807" width="13" style="79" customWidth="1"/>
    <col min="12808" max="13056" width="9" style="79"/>
    <col min="13057" max="13057" width="40.09765625" style="79" customWidth="1"/>
    <col min="13058" max="13063" width="13" style="79" customWidth="1"/>
    <col min="13064" max="13312" width="9" style="79"/>
    <col min="13313" max="13313" width="40.09765625" style="79" customWidth="1"/>
    <col min="13314" max="13319" width="13" style="79" customWidth="1"/>
    <col min="13320" max="13568" width="9" style="79"/>
    <col min="13569" max="13569" width="40.09765625" style="79" customWidth="1"/>
    <col min="13570" max="13575" width="13" style="79" customWidth="1"/>
    <col min="13576" max="13824" width="9" style="79"/>
    <col min="13825" max="13825" width="40.09765625" style="79" customWidth="1"/>
    <col min="13826" max="13831" width="13" style="79" customWidth="1"/>
    <col min="13832" max="14080" width="9" style="79"/>
    <col min="14081" max="14081" width="40.09765625" style="79" customWidth="1"/>
    <col min="14082" max="14087" width="13" style="79" customWidth="1"/>
    <col min="14088" max="14336" width="9" style="79"/>
    <col min="14337" max="14337" width="40.09765625" style="79" customWidth="1"/>
    <col min="14338" max="14343" width="13" style="79" customWidth="1"/>
    <col min="14344" max="14592" width="9" style="79"/>
    <col min="14593" max="14593" width="40.09765625" style="79" customWidth="1"/>
    <col min="14594" max="14599" width="13" style="79" customWidth="1"/>
    <col min="14600" max="14848" width="9" style="79"/>
    <col min="14849" max="14849" width="40.09765625" style="79" customWidth="1"/>
    <col min="14850" max="14855" width="13" style="79" customWidth="1"/>
    <col min="14856" max="15104" width="9" style="79"/>
    <col min="15105" max="15105" width="40.09765625" style="79" customWidth="1"/>
    <col min="15106" max="15111" width="13" style="79" customWidth="1"/>
    <col min="15112" max="15360" width="9" style="79"/>
    <col min="15361" max="15361" width="40.09765625" style="79" customWidth="1"/>
    <col min="15362" max="15367" width="13" style="79" customWidth="1"/>
    <col min="15368" max="15616" width="9" style="79"/>
    <col min="15617" max="15617" width="40.09765625" style="79" customWidth="1"/>
    <col min="15618" max="15623" width="13" style="79" customWidth="1"/>
    <col min="15624" max="15872" width="9" style="79"/>
    <col min="15873" max="15873" width="40.09765625" style="79" customWidth="1"/>
    <col min="15874" max="15879" width="13" style="79" customWidth="1"/>
    <col min="15880" max="16128" width="9" style="79"/>
    <col min="16129" max="16129" width="40.09765625" style="79" customWidth="1"/>
    <col min="16130" max="16135" width="13" style="79" customWidth="1"/>
    <col min="16136" max="16384" width="9" style="79"/>
  </cols>
  <sheetData>
    <row r="5" spans="1:255" ht="16.2" x14ac:dyDescent="0.25">
      <c r="A5" s="78" t="s">
        <v>786</v>
      </c>
    </row>
    <row r="7" spans="1:255" x14ac:dyDescent="0.2">
      <c r="A7" s="80" t="s">
        <v>787</v>
      </c>
      <c r="B7" s="81" t="s">
        <v>788</v>
      </c>
      <c r="C7" s="79" t="s">
        <v>789</v>
      </c>
      <c r="D7" s="82" t="s">
        <v>287</v>
      </c>
      <c r="E7" s="81" t="s">
        <v>366</v>
      </c>
      <c r="F7" s="79" t="s">
        <v>367</v>
      </c>
    </row>
    <row r="8" spans="1:255" x14ac:dyDescent="0.2">
      <c r="A8" s="82"/>
      <c r="B8" s="81" t="s">
        <v>368</v>
      </c>
      <c r="C8" s="79" t="s">
        <v>369</v>
      </c>
      <c r="D8" s="82" t="s">
        <v>287</v>
      </c>
      <c r="E8" s="81" t="s">
        <v>290</v>
      </c>
      <c r="F8" s="79" t="s">
        <v>291</v>
      </c>
    </row>
    <row r="9" spans="1:255" x14ac:dyDescent="0.2">
      <c r="A9" s="82"/>
      <c r="B9" s="81" t="s">
        <v>285</v>
      </c>
      <c r="C9" s="79" t="s">
        <v>370</v>
      </c>
      <c r="D9" s="82" t="s">
        <v>287</v>
      </c>
      <c r="E9" s="81" t="s">
        <v>288</v>
      </c>
      <c r="F9" s="79" t="s">
        <v>289</v>
      </c>
    </row>
    <row r="10" spans="1:255" x14ac:dyDescent="0.2">
      <c r="A10" s="82"/>
      <c r="B10" s="81" t="s">
        <v>292</v>
      </c>
      <c r="C10" s="79" t="s">
        <v>293</v>
      </c>
      <c r="D10" s="82" t="s">
        <v>287</v>
      </c>
      <c r="E10" s="81" t="s">
        <v>294</v>
      </c>
      <c r="F10" s="83" t="s">
        <v>295</v>
      </c>
    </row>
    <row r="13" spans="1:255" x14ac:dyDescent="0.2">
      <c r="A13" s="84" t="s">
        <v>790</v>
      </c>
      <c r="B13" s="84"/>
      <c r="C13" s="84"/>
      <c r="D13" s="84"/>
      <c r="E13" s="84"/>
      <c r="F13" s="84"/>
      <c r="G13" s="84"/>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row>
    <row r="14" spans="1:255" ht="30.6" x14ac:dyDescent="0.2">
      <c r="A14" s="249" t="s">
        <v>299</v>
      </c>
      <c r="B14" s="250" t="s">
        <v>373</v>
      </c>
      <c r="C14" s="250" t="s">
        <v>374</v>
      </c>
      <c r="D14" s="250" t="s">
        <v>375</v>
      </c>
      <c r="E14" s="250" t="s">
        <v>376</v>
      </c>
      <c r="F14" s="250" t="s">
        <v>377</v>
      </c>
      <c r="G14" s="250" t="s">
        <v>378</v>
      </c>
    </row>
    <row r="15" spans="1:255" x14ac:dyDescent="0.2">
      <c r="A15" s="251" t="s">
        <v>308</v>
      </c>
      <c r="B15" s="252" t="s">
        <v>309</v>
      </c>
      <c r="C15" s="252" t="s">
        <v>309</v>
      </c>
      <c r="D15" s="252" t="s">
        <v>309</v>
      </c>
      <c r="E15" s="252" t="s">
        <v>309</v>
      </c>
      <c r="F15" s="252" t="s">
        <v>309</v>
      </c>
      <c r="G15" s="252" t="s">
        <v>309</v>
      </c>
    </row>
    <row r="16" spans="1:255" x14ac:dyDescent="0.2">
      <c r="A16" s="90" t="s">
        <v>791</v>
      </c>
      <c r="B16" s="82"/>
      <c r="C16" s="82"/>
      <c r="D16" s="82"/>
      <c r="E16" s="82"/>
      <c r="F16" s="82"/>
      <c r="G16" s="82"/>
    </row>
    <row r="17" spans="1:7" x14ac:dyDescent="0.2">
      <c r="A17" s="82" t="s">
        <v>792</v>
      </c>
      <c r="B17" s="98">
        <v>57038</v>
      </c>
      <c r="C17" s="98">
        <v>82456</v>
      </c>
      <c r="D17" s="98">
        <v>118530</v>
      </c>
      <c r="E17" s="98">
        <v>190592</v>
      </c>
      <c r="F17" s="98">
        <v>268475</v>
      </c>
      <c r="G17" s="98">
        <v>358810</v>
      </c>
    </row>
    <row r="18" spans="1:7" x14ac:dyDescent="0.2">
      <c r="A18" s="90" t="s">
        <v>793</v>
      </c>
      <c r="B18" s="91">
        <v>57038</v>
      </c>
      <c r="C18" s="91">
        <v>82456</v>
      </c>
      <c r="D18" s="91">
        <v>118530</v>
      </c>
      <c r="E18" s="91">
        <v>190592</v>
      </c>
      <c r="F18" s="91">
        <v>268475</v>
      </c>
      <c r="G18" s="91">
        <v>358810</v>
      </c>
    </row>
    <row r="19" spans="1:7" x14ac:dyDescent="0.2">
      <c r="A19" s="82"/>
      <c r="B19" s="82"/>
      <c r="C19" s="82"/>
      <c r="D19" s="82"/>
      <c r="E19" s="82"/>
      <c r="F19" s="82"/>
      <c r="G19" s="82"/>
    </row>
    <row r="20" spans="1:7" x14ac:dyDescent="0.2">
      <c r="A20" s="90" t="s">
        <v>794</v>
      </c>
      <c r="B20" s="82"/>
      <c r="C20" s="82"/>
      <c r="D20" s="82"/>
      <c r="E20" s="82"/>
      <c r="F20" s="82"/>
      <c r="G20" s="82"/>
    </row>
    <row r="21" spans="1:7" x14ac:dyDescent="0.2">
      <c r="A21" s="82" t="s">
        <v>792</v>
      </c>
      <c r="B21" s="98">
        <v>4686</v>
      </c>
      <c r="C21" s="98">
        <v>5935</v>
      </c>
      <c r="D21" s="98">
        <v>3143</v>
      </c>
      <c r="E21" s="98">
        <v>6753</v>
      </c>
      <c r="F21" s="98">
        <v>27805</v>
      </c>
      <c r="G21" s="98">
        <v>33813</v>
      </c>
    </row>
    <row r="22" spans="1:7" x14ac:dyDescent="0.2">
      <c r="A22" s="90" t="s">
        <v>795</v>
      </c>
      <c r="B22" s="91">
        <v>4686</v>
      </c>
      <c r="C22" s="91">
        <v>5935</v>
      </c>
      <c r="D22" s="91">
        <v>3143</v>
      </c>
      <c r="E22" s="91">
        <v>6753</v>
      </c>
      <c r="F22" s="91">
        <v>27805</v>
      </c>
      <c r="G22" s="91">
        <v>33813</v>
      </c>
    </row>
    <row r="23" spans="1:7" x14ac:dyDescent="0.2">
      <c r="A23" s="82"/>
      <c r="B23" s="82"/>
      <c r="C23" s="82"/>
      <c r="D23" s="82"/>
      <c r="E23" s="82"/>
      <c r="F23" s="82"/>
      <c r="G23" s="82"/>
    </row>
    <row r="24" spans="1:7" x14ac:dyDescent="0.2">
      <c r="A24" s="90" t="s">
        <v>391</v>
      </c>
      <c r="B24" s="82"/>
      <c r="C24" s="82"/>
      <c r="D24" s="82"/>
      <c r="E24" s="82"/>
      <c r="F24" s="82"/>
      <c r="G24" s="82"/>
    </row>
    <row r="25" spans="1:7" x14ac:dyDescent="0.2">
      <c r="A25" s="82" t="s">
        <v>792</v>
      </c>
      <c r="B25" s="98">
        <v>-156</v>
      </c>
      <c r="C25" s="98">
        <v>-52</v>
      </c>
      <c r="D25" s="98">
        <v>-365</v>
      </c>
      <c r="E25" s="98">
        <v>-332</v>
      </c>
      <c r="F25" s="98">
        <v>-374</v>
      </c>
      <c r="G25" s="98">
        <v>-1643</v>
      </c>
    </row>
    <row r="26" spans="1:7" x14ac:dyDescent="0.2">
      <c r="A26" s="90" t="s">
        <v>796</v>
      </c>
      <c r="B26" s="91">
        <v>-156</v>
      </c>
      <c r="C26" s="91">
        <v>-52</v>
      </c>
      <c r="D26" s="91">
        <v>-365</v>
      </c>
      <c r="E26" s="91">
        <v>-332</v>
      </c>
      <c r="F26" s="91">
        <v>-374</v>
      </c>
      <c r="G26" s="91">
        <v>-1643</v>
      </c>
    </row>
    <row r="27" spans="1:7" x14ac:dyDescent="0.2">
      <c r="A27" s="82"/>
      <c r="B27" s="82"/>
      <c r="C27" s="82"/>
      <c r="D27" s="82"/>
      <c r="E27" s="82"/>
      <c r="F27" s="82"/>
      <c r="G27" s="82"/>
    </row>
    <row r="28" spans="1:7" x14ac:dyDescent="0.2">
      <c r="A28" s="90" t="s">
        <v>797</v>
      </c>
      <c r="B28" s="82"/>
      <c r="C28" s="82"/>
      <c r="D28" s="82"/>
      <c r="E28" s="82"/>
      <c r="F28" s="82"/>
      <c r="G28" s="82"/>
    </row>
    <row r="29" spans="1:7" x14ac:dyDescent="0.2">
      <c r="A29" s="82" t="s">
        <v>792</v>
      </c>
      <c r="B29" s="98">
        <v>4530</v>
      </c>
      <c r="C29" s="98">
        <v>5883</v>
      </c>
      <c r="D29" s="98">
        <v>2780</v>
      </c>
      <c r="E29" s="98">
        <v>6428</v>
      </c>
      <c r="F29" s="98">
        <v>28496</v>
      </c>
      <c r="G29" s="98">
        <v>160293</v>
      </c>
    </row>
    <row r="30" spans="1:7" x14ac:dyDescent="0.2">
      <c r="A30" s="90" t="s">
        <v>798</v>
      </c>
      <c r="B30" s="91">
        <v>4530</v>
      </c>
      <c r="C30" s="91">
        <v>5883</v>
      </c>
      <c r="D30" s="91">
        <v>2780</v>
      </c>
      <c r="E30" s="91">
        <v>6428</v>
      </c>
      <c r="F30" s="91">
        <v>28496</v>
      </c>
      <c r="G30" s="91">
        <v>160293</v>
      </c>
    </row>
    <row r="31" spans="1:7" x14ac:dyDescent="0.2">
      <c r="A31" s="82"/>
      <c r="B31" s="82"/>
      <c r="C31" s="82"/>
      <c r="D31" s="82"/>
      <c r="E31" s="82"/>
      <c r="F31" s="82"/>
      <c r="G31" s="82"/>
    </row>
    <row r="32" spans="1:7" x14ac:dyDescent="0.2">
      <c r="A32" s="90" t="s">
        <v>799</v>
      </c>
      <c r="B32" s="82"/>
      <c r="C32" s="82"/>
      <c r="D32" s="82"/>
      <c r="E32" s="82"/>
      <c r="F32" s="82"/>
      <c r="G32" s="82"/>
    </row>
    <row r="33" spans="1:7" x14ac:dyDescent="0.2">
      <c r="A33" s="82" t="s">
        <v>792</v>
      </c>
      <c r="B33" s="98">
        <v>397</v>
      </c>
      <c r="C33" s="98">
        <v>460</v>
      </c>
      <c r="D33" s="98">
        <v>662</v>
      </c>
      <c r="E33" s="98">
        <v>3304</v>
      </c>
      <c r="F33" s="98">
        <v>6350</v>
      </c>
      <c r="G33" s="98">
        <v>151409</v>
      </c>
    </row>
    <row r="34" spans="1:7" x14ac:dyDescent="0.2">
      <c r="A34" s="90" t="s">
        <v>800</v>
      </c>
      <c r="B34" s="91">
        <v>397</v>
      </c>
      <c r="C34" s="91">
        <v>460</v>
      </c>
      <c r="D34" s="91">
        <v>662</v>
      </c>
      <c r="E34" s="91">
        <v>3304</v>
      </c>
      <c r="F34" s="91">
        <v>6350</v>
      </c>
      <c r="G34" s="91">
        <v>151409</v>
      </c>
    </row>
    <row r="35" spans="1:7" x14ac:dyDescent="0.2">
      <c r="A35" s="82"/>
      <c r="B35" s="82"/>
      <c r="C35" s="82"/>
      <c r="D35" s="82"/>
      <c r="E35" s="82"/>
      <c r="F35" s="82"/>
      <c r="G35" s="82"/>
    </row>
    <row r="36" spans="1:7" x14ac:dyDescent="0.2">
      <c r="A36" s="90" t="s">
        <v>801</v>
      </c>
      <c r="B36" s="82"/>
      <c r="C36" s="82"/>
      <c r="D36" s="82"/>
      <c r="E36" s="82"/>
      <c r="F36" s="82"/>
      <c r="G36" s="82"/>
    </row>
    <row r="37" spans="1:7" x14ac:dyDescent="0.2">
      <c r="A37" s="82" t="s">
        <v>792</v>
      </c>
      <c r="B37" s="98">
        <v>4133</v>
      </c>
      <c r="C37" s="98">
        <v>5423</v>
      </c>
      <c r="D37" s="98">
        <v>2118</v>
      </c>
      <c r="E37" s="98">
        <v>-8776</v>
      </c>
      <c r="F37" s="98">
        <v>12446</v>
      </c>
      <c r="G37" s="98">
        <v>-320</v>
      </c>
    </row>
    <row r="38" spans="1:7" x14ac:dyDescent="0.2">
      <c r="A38" s="90" t="s">
        <v>802</v>
      </c>
      <c r="B38" s="91">
        <v>4133</v>
      </c>
      <c r="C38" s="91">
        <v>5423</v>
      </c>
      <c r="D38" s="91">
        <v>2118</v>
      </c>
      <c r="E38" s="91">
        <v>-8776</v>
      </c>
      <c r="F38" s="91">
        <v>12446</v>
      </c>
      <c r="G38" s="91">
        <v>-320</v>
      </c>
    </row>
    <row r="39" spans="1:7" x14ac:dyDescent="0.2">
      <c r="A39" s="82"/>
      <c r="B39" s="82"/>
      <c r="C39" s="82"/>
      <c r="D39" s="82"/>
      <c r="E39" s="82"/>
      <c r="F39" s="82"/>
      <c r="G39" s="82"/>
    </row>
    <row r="40" spans="1:7" x14ac:dyDescent="0.2">
      <c r="A40" s="90" t="s">
        <v>803</v>
      </c>
      <c r="B40" s="82"/>
      <c r="C40" s="82"/>
      <c r="D40" s="82"/>
      <c r="E40" s="82"/>
      <c r="F40" s="82"/>
      <c r="G40" s="82"/>
    </row>
    <row r="41" spans="1:7" x14ac:dyDescent="0.2">
      <c r="A41" s="82" t="s">
        <v>792</v>
      </c>
      <c r="B41" s="98">
        <v>44068</v>
      </c>
      <c r="C41" s="98">
        <v>55219</v>
      </c>
      <c r="D41" s="98">
        <v>82962</v>
      </c>
      <c r="E41" s="98">
        <v>379547</v>
      </c>
      <c r="F41" s="98">
        <v>538194</v>
      </c>
      <c r="G41" s="98">
        <v>470606</v>
      </c>
    </row>
    <row r="42" spans="1:7" x14ac:dyDescent="0.2">
      <c r="A42" s="90" t="s">
        <v>746</v>
      </c>
      <c r="B42" s="91">
        <v>44068</v>
      </c>
      <c r="C42" s="91">
        <v>55219</v>
      </c>
      <c r="D42" s="91">
        <v>82962</v>
      </c>
      <c r="E42" s="91">
        <v>379547</v>
      </c>
      <c r="F42" s="91">
        <v>538194</v>
      </c>
      <c r="G42" s="91">
        <v>470606</v>
      </c>
    </row>
    <row r="43" spans="1:7" x14ac:dyDescent="0.2">
      <c r="A43" s="82"/>
      <c r="B43" s="82"/>
      <c r="C43" s="82"/>
      <c r="D43" s="82"/>
      <c r="E43" s="82"/>
      <c r="F43" s="82"/>
      <c r="G43" s="82"/>
    </row>
    <row r="44" spans="1:7" x14ac:dyDescent="0.2">
      <c r="A44" s="90" t="s">
        <v>804</v>
      </c>
      <c r="B44" s="82"/>
      <c r="C44" s="82"/>
      <c r="D44" s="82"/>
      <c r="E44" s="82"/>
      <c r="F44" s="82"/>
      <c r="G44" s="82"/>
    </row>
    <row r="45" spans="1:7" x14ac:dyDescent="0.2">
      <c r="A45" s="82" t="s">
        <v>792</v>
      </c>
      <c r="B45" s="98">
        <v>2162</v>
      </c>
      <c r="C45" s="98">
        <v>3541</v>
      </c>
      <c r="D45" s="98">
        <v>5809</v>
      </c>
      <c r="E45" s="98">
        <v>10222</v>
      </c>
      <c r="F45" s="98">
        <v>14502</v>
      </c>
      <c r="G45" s="98">
        <v>21704</v>
      </c>
    </row>
    <row r="46" spans="1:7" x14ac:dyDescent="0.2">
      <c r="A46" s="90" t="s">
        <v>805</v>
      </c>
      <c r="B46" s="91">
        <v>2162</v>
      </c>
      <c r="C46" s="91">
        <v>3541</v>
      </c>
      <c r="D46" s="91">
        <v>5809</v>
      </c>
      <c r="E46" s="91">
        <v>10222</v>
      </c>
      <c r="F46" s="91">
        <v>14502</v>
      </c>
      <c r="G46" s="91">
        <v>21704</v>
      </c>
    </row>
    <row r="47" spans="1:7" x14ac:dyDescent="0.2">
      <c r="A47" s="82"/>
      <c r="B47" s="82"/>
      <c r="C47" s="82"/>
      <c r="D47" s="82"/>
      <c r="E47" s="82"/>
      <c r="F47" s="82"/>
      <c r="G47" s="82"/>
    </row>
    <row r="48" spans="1:7" x14ac:dyDescent="0.2">
      <c r="A48" s="90" t="s">
        <v>281</v>
      </c>
      <c r="B48" s="82"/>
      <c r="C48" s="82"/>
      <c r="D48" s="82"/>
      <c r="E48" s="82"/>
      <c r="F48" s="82"/>
      <c r="G48" s="82"/>
    </row>
    <row r="49" spans="1:255" x14ac:dyDescent="0.2">
      <c r="A49" s="82" t="s">
        <v>792</v>
      </c>
      <c r="B49" s="98">
        <v>-11036</v>
      </c>
      <c r="C49" s="98">
        <v>-16194</v>
      </c>
      <c r="D49" s="98">
        <v>-28515</v>
      </c>
      <c r="E49" s="98">
        <v>-32117</v>
      </c>
      <c r="F49" s="98">
        <v>-54433</v>
      </c>
      <c r="G49" s="98">
        <v>-61533</v>
      </c>
    </row>
    <row r="50" spans="1:255" x14ac:dyDescent="0.2">
      <c r="A50" s="90" t="s">
        <v>806</v>
      </c>
      <c r="B50" s="91">
        <v>-11036</v>
      </c>
      <c r="C50" s="91">
        <v>-16194</v>
      </c>
      <c r="D50" s="91">
        <v>-28515</v>
      </c>
      <c r="E50" s="91">
        <v>-32117</v>
      </c>
      <c r="F50" s="91">
        <v>-54433</v>
      </c>
      <c r="G50" s="91">
        <v>-61533</v>
      </c>
    </row>
    <row r="51" spans="1:255" x14ac:dyDescent="0.2">
      <c r="A51" s="82"/>
      <c r="B51" s="82"/>
      <c r="C51" s="82"/>
      <c r="D51" s="82"/>
      <c r="E51" s="82"/>
      <c r="F51" s="82"/>
      <c r="G51" s="82"/>
    </row>
    <row r="52" spans="1:255" x14ac:dyDescent="0.2">
      <c r="A52" s="82"/>
      <c r="B52" s="82" t="s">
        <v>320</v>
      </c>
      <c r="C52" s="82" t="s">
        <v>320</v>
      </c>
      <c r="D52" s="82" t="s">
        <v>320</v>
      </c>
      <c r="E52" s="82" t="s">
        <v>320</v>
      </c>
      <c r="F52" s="82" t="s">
        <v>320</v>
      </c>
      <c r="G52" s="82" t="s">
        <v>320</v>
      </c>
    </row>
    <row r="53" spans="1:255" x14ac:dyDescent="0.2">
      <c r="A53" s="82" t="s">
        <v>436</v>
      </c>
      <c r="B53" s="110">
        <v>42090</v>
      </c>
      <c r="C53" s="110">
        <v>42459</v>
      </c>
      <c r="D53" s="110">
        <v>42807</v>
      </c>
      <c r="E53" s="110">
        <v>43157</v>
      </c>
      <c r="F53" s="110">
        <v>43157</v>
      </c>
      <c r="G53" s="110">
        <v>43157</v>
      </c>
    </row>
    <row r="54" spans="1:255" x14ac:dyDescent="0.2">
      <c r="A54" s="99"/>
      <c r="B54" s="99"/>
      <c r="C54" s="99"/>
      <c r="D54" s="99"/>
      <c r="E54" s="99"/>
      <c r="F54" s="99"/>
      <c r="G54" s="99"/>
    </row>
    <row r="56" spans="1:255" x14ac:dyDescent="0.2">
      <c r="A56" s="84" t="s">
        <v>807</v>
      </c>
      <c r="B56" s="84"/>
      <c r="C56" s="84"/>
      <c r="D56" s="84"/>
      <c r="E56" s="84"/>
      <c r="F56" s="84"/>
      <c r="G56" s="84"/>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c r="CY56" s="85"/>
      <c r="CZ56" s="85"/>
      <c r="DA56" s="85"/>
      <c r="DB56" s="85"/>
      <c r="DC56" s="85"/>
      <c r="DD56" s="85"/>
      <c r="DE56" s="85"/>
      <c r="DF56" s="85"/>
      <c r="DG56" s="85"/>
      <c r="DH56" s="85"/>
      <c r="DI56" s="85"/>
      <c r="DJ56" s="85"/>
      <c r="DK56" s="85"/>
      <c r="DL56" s="85"/>
      <c r="DM56" s="85"/>
      <c r="DN56" s="85"/>
      <c r="DO56" s="85"/>
      <c r="DP56" s="85"/>
      <c r="DQ56" s="85"/>
      <c r="DR56" s="85"/>
      <c r="DS56" s="85"/>
      <c r="DT56" s="85"/>
      <c r="DU56" s="85"/>
      <c r="DV56" s="85"/>
      <c r="DW56" s="85"/>
      <c r="DX56" s="85"/>
      <c r="DY56" s="85"/>
      <c r="DZ56" s="85"/>
      <c r="EA56" s="85"/>
      <c r="EB56" s="85"/>
      <c r="EC56" s="85"/>
      <c r="ED56" s="85"/>
      <c r="EE56" s="85"/>
      <c r="EF56" s="85"/>
      <c r="EG56" s="85"/>
      <c r="EH56" s="85"/>
      <c r="EI56" s="85"/>
      <c r="EJ56" s="85"/>
      <c r="EK56" s="85"/>
      <c r="EL56" s="85"/>
      <c r="EM56" s="85"/>
      <c r="EN56" s="85"/>
      <c r="EO56" s="85"/>
      <c r="EP56" s="85"/>
      <c r="EQ56" s="85"/>
      <c r="ER56" s="85"/>
      <c r="ES56" s="85"/>
      <c r="ET56" s="85"/>
      <c r="EU56" s="85"/>
      <c r="EV56" s="85"/>
      <c r="EW56" s="85"/>
      <c r="EX56" s="85"/>
      <c r="EY56" s="85"/>
      <c r="EZ56" s="85"/>
      <c r="FA56" s="85"/>
      <c r="FB56" s="85"/>
      <c r="FC56" s="85"/>
      <c r="FD56" s="85"/>
      <c r="FE56" s="85"/>
      <c r="FF56" s="85"/>
      <c r="FG56" s="85"/>
      <c r="FH56" s="85"/>
      <c r="FI56" s="85"/>
      <c r="FJ56" s="85"/>
      <c r="FK56" s="85"/>
      <c r="FL56" s="85"/>
      <c r="FM56" s="85"/>
      <c r="FN56" s="85"/>
      <c r="FO56" s="85"/>
      <c r="FP56" s="85"/>
      <c r="FQ56" s="85"/>
      <c r="FR56" s="85"/>
      <c r="FS56" s="85"/>
      <c r="FT56" s="85"/>
      <c r="FU56" s="85"/>
      <c r="FV56" s="85"/>
      <c r="FW56" s="85"/>
      <c r="FX56" s="85"/>
      <c r="FY56" s="85"/>
      <c r="FZ56" s="85"/>
      <c r="GA56" s="85"/>
      <c r="GB56" s="85"/>
      <c r="GC56" s="85"/>
      <c r="GD56" s="85"/>
      <c r="GE56" s="85"/>
      <c r="GF56" s="85"/>
      <c r="GG56" s="85"/>
      <c r="GH56" s="85"/>
      <c r="GI56" s="85"/>
      <c r="GJ56" s="85"/>
      <c r="GK56" s="85"/>
      <c r="GL56" s="85"/>
      <c r="GM56" s="85"/>
      <c r="GN56" s="85"/>
      <c r="GO56" s="85"/>
      <c r="GP56" s="85"/>
      <c r="GQ56" s="85"/>
      <c r="GR56" s="85"/>
      <c r="GS56" s="85"/>
      <c r="GT56" s="85"/>
      <c r="GU56" s="85"/>
      <c r="GV56" s="85"/>
      <c r="GW56" s="85"/>
      <c r="GX56" s="85"/>
      <c r="GY56" s="85"/>
      <c r="GZ56" s="85"/>
      <c r="HA56" s="85"/>
      <c r="HB56" s="85"/>
      <c r="HC56" s="85"/>
      <c r="HD56" s="85"/>
      <c r="HE56" s="85"/>
      <c r="HF56" s="85"/>
      <c r="HG56" s="85"/>
      <c r="HH56" s="85"/>
      <c r="HI56" s="85"/>
      <c r="HJ56" s="85"/>
      <c r="HK56" s="85"/>
      <c r="HL56" s="85"/>
      <c r="HM56" s="85"/>
      <c r="HN56" s="85"/>
      <c r="HO56" s="85"/>
      <c r="HP56" s="85"/>
      <c r="HQ56" s="85"/>
      <c r="HR56" s="85"/>
      <c r="HS56" s="85"/>
      <c r="HT56" s="85"/>
      <c r="HU56" s="85"/>
      <c r="HV56" s="85"/>
      <c r="HW56" s="85"/>
      <c r="HX56" s="85"/>
      <c r="HY56" s="85"/>
      <c r="HZ56" s="85"/>
      <c r="IA56" s="85"/>
      <c r="IB56" s="85"/>
      <c r="IC56" s="85"/>
      <c r="ID56" s="85"/>
      <c r="IE56" s="85"/>
      <c r="IF56" s="85"/>
      <c r="IG56" s="85"/>
      <c r="IH56" s="85"/>
      <c r="II56" s="85"/>
      <c r="IJ56" s="85"/>
      <c r="IK56" s="85"/>
      <c r="IL56" s="85"/>
      <c r="IM56" s="85"/>
      <c r="IN56" s="85"/>
      <c r="IO56" s="85"/>
      <c r="IP56" s="85"/>
      <c r="IQ56" s="85"/>
      <c r="IR56" s="85"/>
      <c r="IS56" s="85"/>
      <c r="IT56" s="85"/>
      <c r="IU56" s="85"/>
    </row>
    <row r="57" spans="1:255" ht="30.6" x14ac:dyDescent="0.2">
      <c r="A57" s="86" t="s">
        <v>299</v>
      </c>
      <c r="B57" s="87" t="s">
        <v>373</v>
      </c>
      <c r="C57" s="87" t="s">
        <v>374</v>
      </c>
      <c r="D57" s="87" t="s">
        <v>375</v>
      </c>
      <c r="E57" s="87" t="s">
        <v>376</v>
      </c>
      <c r="F57" s="87" t="s">
        <v>377</v>
      </c>
      <c r="G57" s="87" t="s">
        <v>378</v>
      </c>
    </row>
    <row r="58" spans="1:255" x14ac:dyDescent="0.2">
      <c r="A58" s="88" t="s">
        <v>308</v>
      </c>
      <c r="B58" s="89" t="s">
        <v>309</v>
      </c>
      <c r="C58" s="89" t="s">
        <v>309</v>
      </c>
      <c r="D58" s="89" t="s">
        <v>309</v>
      </c>
      <c r="E58" s="89" t="s">
        <v>309</v>
      </c>
      <c r="F58" s="89" t="s">
        <v>309</v>
      </c>
      <c r="G58" s="89" t="s">
        <v>309</v>
      </c>
    </row>
    <row r="59" spans="1:255" x14ac:dyDescent="0.2">
      <c r="A59" s="90" t="s">
        <v>791</v>
      </c>
      <c r="B59" s="82"/>
      <c r="C59" s="82"/>
      <c r="D59" s="82"/>
      <c r="E59" s="82"/>
      <c r="F59" s="82"/>
      <c r="G59" s="82"/>
    </row>
    <row r="60" spans="1:255" x14ac:dyDescent="0.2">
      <c r="A60" s="82" t="s">
        <v>808</v>
      </c>
      <c r="B60" s="98">
        <v>55804</v>
      </c>
      <c r="C60" s="98">
        <v>78937</v>
      </c>
      <c r="D60" s="98">
        <v>112743</v>
      </c>
      <c r="E60" s="98">
        <v>184408</v>
      </c>
      <c r="F60" s="98">
        <v>260602</v>
      </c>
      <c r="G60" s="98">
        <v>348575</v>
      </c>
    </row>
    <row r="61" spans="1:255" x14ac:dyDescent="0.2">
      <c r="A61" s="82" t="s">
        <v>809</v>
      </c>
      <c r="B61" s="98">
        <v>1234</v>
      </c>
      <c r="C61" s="98">
        <v>3519</v>
      </c>
      <c r="D61" s="98">
        <v>5787</v>
      </c>
      <c r="E61" s="98">
        <v>6184</v>
      </c>
      <c r="F61" s="98">
        <v>7873</v>
      </c>
      <c r="G61" s="98">
        <v>10235</v>
      </c>
    </row>
    <row r="62" spans="1:255" x14ac:dyDescent="0.2">
      <c r="A62" s="90" t="s">
        <v>793</v>
      </c>
      <c r="B62" s="91">
        <v>57038</v>
      </c>
      <c r="C62" s="91">
        <v>82456</v>
      </c>
      <c r="D62" s="91">
        <v>118530</v>
      </c>
      <c r="E62" s="91">
        <v>190592</v>
      </c>
      <c r="F62" s="91">
        <v>268475</v>
      </c>
      <c r="G62" s="91">
        <v>358810</v>
      </c>
    </row>
    <row r="63" spans="1:255" x14ac:dyDescent="0.2">
      <c r="A63" s="82"/>
      <c r="B63" s="82"/>
      <c r="C63" s="82"/>
      <c r="D63" s="82"/>
      <c r="E63" s="82"/>
      <c r="F63" s="82"/>
      <c r="G63" s="82"/>
    </row>
    <row r="64" spans="1:255" x14ac:dyDescent="0.2">
      <c r="A64" s="90" t="s">
        <v>803</v>
      </c>
      <c r="B64" s="82"/>
      <c r="C64" s="82"/>
      <c r="D64" s="82"/>
      <c r="E64" s="82"/>
      <c r="F64" s="82"/>
      <c r="G64" s="82"/>
    </row>
    <row r="65" spans="1:7" x14ac:dyDescent="0.2">
      <c r="A65" s="82" t="s">
        <v>808</v>
      </c>
      <c r="B65" s="98" t="s">
        <v>313</v>
      </c>
      <c r="C65" s="98">
        <v>55219</v>
      </c>
      <c r="D65" s="98">
        <v>82962</v>
      </c>
      <c r="E65" s="98">
        <v>379547</v>
      </c>
      <c r="F65" s="98">
        <v>538194</v>
      </c>
      <c r="G65" s="98">
        <v>470606</v>
      </c>
    </row>
    <row r="66" spans="1:7" x14ac:dyDescent="0.2">
      <c r="A66" s="90" t="s">
        <v>746</v>
      </c>
      <c r="B66" s="91" t="s">
        <v>313</v>
      </c>
      <c r="C66" s="91">
        <v>55219</v>
      </c>
      <c r="D66" s="91">
        <v>82962</v>
      </c>
      <c r="E66" s="91">
        <v>379547</v>
      </c>
      <c r="F66" s="91">
        <v>538194</v>
      </c>
      <c r="G66" s="91">
        <v>470606</v>
      </c>
    </row>
    <row r="67" spans="1:7" x14ac:dyDescent="0.2">
      <c r="A67" s="82"/>
      <c r="B67" s="82"/>
      <c r="C67" s="82"/>
      <c r="D67" s="82"/>
      <c r="E67" s="82"/>
      <c r="F67" s="82"/>
      <c r="G67" s="82"/>
    </row>
    <row r="68" spans="1:7" x14ac:dyDescent="0.2">
      <c r="A68" s="82"/>
      <c r="B68" s="82" t="s">
        <v>320</v>
      </c>
      <c r="C68" s="82" t="s">
        <v>320</v>
      </c>
      <c r="D68" s="82" t="s">
        <v>320</v>
      </c>
      <c r="E68" s="82" t="s">
        <v>320</v>
      </c>
      <c r="F68" s="82" t="s">
        <v>320</v>
      </c>
      <c r="G68" s="82" t="s">
        <v>320</v>
      </c>
    </row>
    <row r="69" spans="1:7" x14ac:dyDescent="0.2">
      <c r="A69" s="82" t="s">
        <v>436</v>
      </c>
      <c r="B69" s="110">
        <v>42090</v>
      </c>
      <c r="C69" s="110">
        <v>42459</v>
      </c>
      <c r="D69" s="110">
        <v>42807</v>
      </c>
      <c r="E69" s="110">
        <v>43157</v>
      </c>
      <c r="F69" s="110">
        <v>43157</v>
      </c>
      <c r="G69" s="110">
        <v>43157</v>
      </c>
    </row>
    <row r="70" spans="1:7" x14ac:dyDescent="0.2">
      <c r="A70" s="99"/>
      <c r="B70" s="99"/>
      <c r="C70" s="99"/>
      <c r="D70" s="99"/>
      <c r="E70" s="99"/>
      <c r="F70" s="99"/>
      <c r="G70" s="99"/>
    </row>
    <row r="71" spans="1:7" x14ac:dyDescent="0.2">
      <c r="A71" s="104" t="s">
        <v>361</v>
      </c>
    </row>
  </sheetData>
  <phoneticPr fontId="1" type="noConversion"/>
  <pageMargins left="0.2" right="0.2" top="0.5" bottom="0.5" header="0.5" footer="0.5"/>
  <pageSetup fitToWidth="0" fitToHeight="0" orientation="landscape" horizontalDpi="0" verticalDpi="0" r:id="rId1"/>
  <headerFooter alignWithMargins="0"/>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S512"/>
  <sheetViews>
    <sheetView showGridLines="0" zoomScaleNormal="100" zoomScaleSheetLayoutView="115" workbookViewId="0">
      <pane ySplit="3" topLeftCell="A4" activePane="bottomLeft" state="frozen"/>
      <selection pane="bottomLeft" activeCell="A4" sqref="A4"/>
    </sheetView>
  </sheetViews>
  <sheetFormatPr defaultColWidth="8.09765625" defaultRowHeight="13.2" x14ac:dyDescent="0.25"/>
  <cols>
    <col min="1" max="1" width="10" style="267" customWidth="1"/>
    <col min="2" max="2" width="9.59765625" style="267" customWidth="1"/>
    <col min="3" max="3" width="11.796875" style="267" customWidth="1"/>
    <col min="4" max="4" width="8.09765625" style="267" customWidth="1"/>
    <col min="5" max="5" width="10.796875" style="267" customWidth="1"/>
    <col min="6" max="6" width="1.296875" style="267" customWidth="1"/>
    <col min="7" max="19" width="9.59765625" style="267" customWidth="1"/>
    <col min="20" max="22" width="8.09765625" style="267" customWidth="1"/>
    <col min="23" max="45" width="8.09765625" style="271" customWidth="1"/>
    <col min="46" max="46" width="12.5" style="271" customWidth="1"/>
    <col min="47" max="49" width="8.09765625" style="271" customWidth="1"/>
    <col min="50" max="50" width="12.5" style="271" customWidth="1"/>
    <col min="51" max="51" width="10.5" style="271" customWidth="1"/>
    <col min="52" max="58" width="8.09765625" style="271" customWidth="1"/>
    <col min="59" max="59" width="8.796875" style="271" customWidth="1"/>
    <col min="60" max="66" width="8.09765625" style="271" customWidth="1"/>
    <col min="67" max="67" width="14" style="271" customWidth="1"/>
    <col min="68" max="256" width="8.09765625" style="271"/>
    <col min="257" max="257" width="10" style="271" customWidth="1"/>
    <col min="258" max="258" width="9.59765625" style="271" customWidth="1"/>
    <col min="259" max="259" width="11.796875" style="271" customWidth="1"/>
    <col min="260" max="260" width="8.09765625" style="271" customWidth="1"/>
    <col min="261" max="261" width="10.796875" style="271" customWidth="1"/>
    <col min="262" max="262" width="1.296875" style="271" customWidth="1"/>
    <col min="263" max="275" width="9.59765625" style="271" customWidth="1"/>
    <col min="276" max="301" width="8.09765625" style="271" customWidth="1"/>
    <col min="302" max="302" width="12.5" style="271" customWidth="1"/>
    <col min="303" max="305" width="8.09765625" style="271" customWidth="1"/>
    <col min="306" max="306" width="12.5" style="271" customWidth="1"/>
    <col min="307" max="307" width="10.5" style="271" customWidth="1"/>
    <col min="308" max="314" width="8.09765625" style="271" customWidth="1"/>
    <col min="315" max="315" width="8.796875" style="271" customWidth="1"/>
    <col min="316" max="322" width="8.09765625" style="271" customWidth="1"/>
    <col min="323" max="323" width="14" style="271" customWidth="1"/>
    <col min="324" max="512" width="8.09765625" style="271"/>
    <col min="513" max="513" width="10" style="271" customWidth="1"/>
    <col min="514" max="514" width="9.59765625" style="271" customWidth="1"/>
    <col min="515" max="515" width="11.796875" style="271" customWidth="1"/>
    <col min="516" max="516" width="8.09765625" style="271" customWidth="1"/>
    <col min="517" max="517" width="10.796875" style="271" customWidth="1"/>
    <col min="518" max="518" width="1.296875" style="271" customWidth="1"/>
    <col min="519" max="531" width="9.59765625" style="271" customWidth="1"/>
    <col min="532" max="557" width="8.09765625" style="271" customWidth="1"/>
    <col min="558" max="558" width="12.5" style="271" customWidth="1"/>
    <col min="559" max="561" width="8.09765625" style="271" customWidth="1"/>
    <col min="562" max="562" width="12.5" style="271" customWidth="1"/>
    <col min="563" max="563" width="10.5" style="271" customWidth="1"/>
    <col min="564" max="570" width="8.09765625" style="271" customWidth="1"/>
    <col min="571" max="571" width="8.796875" style="271" customWidth="1"/>
    <col min="572" max="578" width="8.09765625" style="271" customWidth="1"/>
    <col min="579" max="579" width="14" style="271" customWidth="1"/>
    <col min="580" max="768" width="8.09765625" style="271"/>
    <col min="769" max="769" width="10" style="271" customWidth="1"/>
    <col min="770" max="770" width="9.59765625" style="271" customWidth="1"/>
    <col min="771" max="771" width="11.796875" style="271" customWidth="1"/>
    <col min="772" max="772" width="8.09765625" style="271" customWidth="1"/>
    <col min="773" max="773" width="10.796875" style="271" customWidth="1"/>
    <col min="774" max="774" width="1.296875" style="271" customWidth="1"/>
    <col min="775" max="787" width="9.59765625" style="271" customWidth="1"/>
    <col min="788" max="813" width="8.09765625" style="271" customWidth="1"/>
    <col min="814" max="814" width="12.5" style="271" customWidth="1"/>
    <col min="815" max="817" width="8.09765625" style="271" customWidth="1"/>
    <col min="818" max="818" width="12.5" style="271" customWidth="1"/>
    <col min="819" max="819" width="10.5" style="271" customWidth="1"/>
    <col min="820" max="826" width="8.09765625" style="271" customWidth="1"/>
    <col min="827" max="827" width="8.796875" style="271" customWidth="1"/>
    <col min="828" max="834" width="8.09765625" style="271" customWidth="1"/>
    <col min="835" max="835" width="14" style="271" customWidth="1"/>
    <col min="836" max="1024" width="8.09765625" style="271"/>
    <col min="1025" max="1025" width="10" style="271" customWidth="1"/>
    <col min="1026" max="1026" width="9.59765625" style="271" customWidth="1"/>
    <col min="1027" max="1027" width="11.796875" style="271" customWidth="1"/>
    <col min="1028" max="1028" width="8.09765625" style="271" customWidth="1"/>
    <col min="1029" max="1029" width="10.796875" style="271" customWidth="1"/>
    <col min="1030" max="1030" width="1.296875" style="271" customWidth="1"/>
    <col min="1031" max="1043" width="9.59765625" style="271" customWidth="1"/>
    <col min="1044" max="1069" width="8.09765625" style="271" customWidth="1"/>
    <col min="1070" max="1070" width="12.5" style="271" customWidth="1"/>
    <col min="1071" max="1073" width="8.09765625" style="271" customWidth="1"/>
    <col min="1074" max="1074" width="12.5" style="271" customWidth="1"/>
    <col min="1075" max="1075" width="10.5" style="271" customWidth="1"/>
    <col min="1076" max="1082" width="8.09765625" style="271" customWidth="1"/>
    <col min="1083" max="1083" width="8.796875" style="271" customWidth="1"/>
    <col min="1084" max="1090" width="8.09765625" style="271" customWidth="1"/>
    <col min="1091" max="1091" width="14" style="271" customWidth="1"/>
    <col min="1092" max="1280" width="8.09765625" style="271"/>
    <col min="1281" max="1281" width="10" style="271" customWidth="1"/>
    <col min="1282" max="1282" width="9.59765625" style="271" customWidth="1"/>
    <col min="1283" max="1283" width="11.796875" style="271" customWidth="1"/>
    <col min="1284" max="1284" width="8.09765625" style="271" customWidth="1"/>
    <col min="1285" max="1285" width="10.796875" style="271" customWidth="1"/>
    <col min="1286" max="1286" width="1.296875" style="271" customWidth="1"/>
    <col min="1287" max="1299" width="9.59765625" style="271" customWidth="1"/>
    <col min="1300" max="1325" width="8.09765625" style="271" customWidth="1"/>
    <col min="1326" max="1326" width="12.5" style="271" customWidth="1"/>
    <col min="1327" max="1329" width="8.09765625" style="271" customWidth="1"/>
    <col min="1330" max="1330" width="12.5" style="271" customWidth="1"/>
    <col min="1331" max="1331" width="10.5" style="271" customWidth="1"/>
    <col min="1332" max="1338" width="8.09765625" style="271" customWidth="1"/>
    <col min="1339" max="1339" width="8.796875" style="271" customWidth="1"/>
    <col min="1340" max="1346" width="8.09765625" style="271" customWidth="1"/>
    <col min="1347" max="1347" width="14" style="271" customWidth="1"/>
    <col min="1348" max="1536" width="8.09765625" style="271"/>
    <col min="1537" max="1537" width="10" style="271" customWidth="1"/>
    <col min="1538" max="1538" width="9.59765625" style="271" customWidth="1"/>
    <col min="1539" max="1539" width="11.796875" style="271" customWidth="1"/>
    <col min="1540" max="1540" width="8.09765625" style="271" customWidth="1"/>
    <col min="1541" max="1541" width="10.796875" style="271" customWidth="1"/>
    <col min="1542" max="1542" width="1.296875" style="271" customWidth="1"/>
    <col min="1543" max="1555" width="9.59765625" style="271" customWidth="1"/>
    <col min="1556" max="1581" width="8.09765625" style="271" customWidth="1"/>
    <col min="1582" max="1582" width="12.5" style="271" customWidth="1"/>
    <col min="1583" max="1585" width="8.09765625" style="271" customWidth="1"/>
    <col min="1586" max="1586" width="12.5" style="271" customWidth="1"/>
    <col min="1587" max="1587" width="10.5" style="271" customWidth="1"/>
    <col min="1588" max="1594" width="8.09765625" style="271" customWidth="1"/>
    <col min="1595" max="1595" width="8.796875" style="271" customWidth="1"/>
    <col min="1596" max="1602" width="8.09765625" style="271" customWidth="1"/>
    <col min="1603" max="1603" width="14" style="271" customWidth="1"/>
    <col min="1604" max="1792" width="8.09765625" style="271"/>
    <col min="1793" max="1793" width="10" style="271" customWidth="1"/>
    <col min="1794" max="1794" width="9.59765625" style="271" customWidth="1"/>
    <col min="1795" max="1795" width="11.796875" style="271" customWidth="1"/>
    <col min="1796" max="1796" width="8.09765625" style="271" customWidth="1"/>
    <col min="1797" max="1797" width="10.796875" style="271" customWidth="1"/>
    <col min="1798" max="1798" width="1.296875" style="271" customWidth="1"/>
    <col min="1799" max="1811" width="9.59765625" style="271" customWidth="1"/>
    <col min="1812" max="1837" width="8.09765625" style="271" customWidth="1"/>
    <col min="1838" max="1838" width="12.5" style="271" customWidth="1"/>
    <col min="1839" max="1841" width="8.09765625" style="271" customWidth="1"/>
    <col min="1842" max="1842" width="12.5" style="271" customWidth="1"/>
    <col min="1843" max="1843" width="10.5" style="271" customWidth="1"/>
    <col min="1844" max="1850" width="8.09765625" style="271" customWidth="1"/>
    <col min="1851" max="1851" width="8.796875" style="271" customWidth="1"/>
    <col min="1852" max="1858" width="8.09765625" style="271" customWidth="1"/>
    <col min="1859" max="1859" width="14" style="271" customWidth="1"/>
    <col min="1860" max="2048" width="8.09765625" style="271"/>
    <col min="2049" max="2049" width="10" style="271" customWidth="1"/>
    <col min="2050" max="2050" width="9.59765625" style="271" customWidth="1"/>
    <col min="2051" max="2051" width="11.796875" style="271" customWidth="1"/>
    <col min="2052" max="2052" width="8.09765625" style="271" customWidth="1"/>
    <col min="2053" max="2053" width="10.796875" style="271" customWidth="1"/>
    <col min="2054" max="2054" width="1.296875" style="271" customWidth="1"/>
    <col min="2055" max="2067" width="9.59765625" style="271" customWidth="1"/>
    <col min="2068" max="2093" width="8.09765625" style="271" customWidth="1"/>
    <col min="2094" max="2094" width="12.5" style="271" customWidth="1"/>
    <col min="2095" max="2097" width="8.09765625" style="271" customWidth="1"/>
    <col min="2098" max="2098" width="12.5" style="271" customWidth="1"/>
    <col min="2099" max="2099" width="10.5" style="271" customWidth="1"/>
    <col min="2100" max="2106" width="8.09765625" style="271" customWidth="1"/>
    <col min="2107" max="2107" width="8.796875" style="271" customWidth="1"/>
    <col min="2108" max="2114" width="8.09765625" style="271" customWidth="1"/>
    <col min="2115" max="2115" width="14" style="271" customWidth="1"/>
    <col min="2116" max="2304" width="8.09765625" style="271"/>
    <col min="2305" max="2305" width="10" style="271" customWidth="1"/>
    <col min="2306" max="2306" width="9.59765625" style="271" customWidth="1"/>
    <col min="2307" max="2307" width="11.796875" style="271" customWidth="1"/>
    <col min="2308" max="2308" width="8.09765625" style="271" customWidth="1"/>
    <col min="2309" max="2309" width="10.796875" style="271" customWidth="1"/>
    <col min="2310" max="2310" width="1.296875" style="271" customWidth="1"/>
    <col min="2311" max="2323" width="9.59765625" style="271" customWidth="1"/>
    <col min="2324" max="2349" width="8.09765625" style="271" customWidth="1"/>
    <col min="2350" max="2350" width="12.5" style="271" customWidth="1"/>
    <col min="2351" max="2353" width="8.09765625" style="271" customWidth="1"/>
    <col min="2354" max="2354" width="12.5" style="271" customWidth="1"/>
    <col min="2355" max="2355" width="10.5" style="271" customWidth="1"/>
    <col min="2356" max="2362" width="8.09765625" style="271" customWidth="1"/>
    <col min="2363" max="2363" width="8.796875" style="271" customWidth="1"/>
    <col min="2364" max="2370" width="8.09765625" style="271" customWidth="1"/>
    <col min="2371" max="2371" width="14" style="271" customWidth="1"/>
    <col min="2372" max="2560" width="8.09765625" style="271"/>
    <col min="2561" max="2561" width="10" style="271" customWidth="1"/>
    <col min="2562" max="2562" width="9.59765625" style="271" customWidth="1"/>
    <col min="2563" max="2563" width="11.796875" style="271" customWidth="1"/>
    <col min="2564" max="2564" width="8.09765625" style="271" customWidth="1"/>
    <col min="2565" max="2565" width="10.796875" style="271" customWidth="1"/>
    <col min="2566" max="2566" width="1.296875" style="271" customWidth="1"/>
    <col min="2567" max="2579" width="9.59765625" style="271" customWidth="1"/>
    <col min="2580" max="2605" width="8.09765625" style="271" customWidth="1"/>
    <col min="2606" max="2606" width="12.5" style="271" customWidth="1"/>
    <col min="2607" max="2609" width="8.09765625" style="271" customWidth="1"/>
    <col min="2610" max="2610" width="12.5" style="271" customWidth="1"/>
    <col min="2611" max="2611" width="10.5" style="271" customWidth="1"/>
    <col min="2612" max="2618" width="8.09765625" style="271" customWidth="1"/>
    <col min="2619" max="2619" width="8.796875" style="271" customWidth="1"/>
    <col min="2620" max="2626" width="8.09765625" style="271" customWidth="1"/>
    <col min="2627" max="2627" width="14" style="271" customWidth="1"/>
    <col min="2628" max="2816" width="8.09765625" style="271"/>
    <col min="2817" max="2817" width="10" style="271" customWidth="1"/>
    <col min="2818" max="2818" width="9.59765625" style="271" customWidth="1"/>
    <col min="2819" max="2819" width="11.796875" style="271" customWidth="1"/>
    <col min="2820" max="2820" width="8.09765625" style="271" customWidth="1"/>
    <col min="2821" max="2821" width="10.796875" style="271" customWidth="1"/>
    <col min="2822" max="2822" width="1.296875" style="271" customWidth="1"/>
    <col min="2823" max="2835" width="9.59765625" style="271" customWidth="1"/>
    <col min="2836" max="2861" width="8.09765625" style="271" customWidth="1"/>
    <col min="2862" max="2862" width="12.5" style="271" customWidth="1"/>
    <col min="2863" max="2865" width="8.09765625" style="271" customWidth="1"/>
    <col min="2866" max="2866" width="12.5" style="271" customWidth="1"/>
    <col min="2867" max="2867" width="10.5" style="271" customWidth="1"/>
    <col min="2868" max="2874" width="8.09765625" style="271" customWidth="1"/>
    <col min="2875" max="2875" width="8.796875" style="271" customWidth="1"/>
    <col min="2876" max="2882" width="8.09765625" style="271" customWidth="1"/>
    <col min="2883" max="2883" width="14" style="271" customWidth="1"/>
    <col min="2884" max="3072" width="8.09765625" style="271"/>
    <col min="3073" max="3073" width="10" style="271" customWidth="1"/>
    <col min="3074" max="3074" width="9.59765625" style="271" customWidth="1"/>
    <col min="3075" max="3075" width="11.796875" style="271" customWidth="1"/>
    <col min="3076" max="3076" width="8.09765625" style="271" customWidth="1"/>
    <col min="3077" max="3077" width="10.796875" style="271" customWidth="1"/>
    <col min="3078" max="3078" width="1.296875" style="271" customWidth="1"/>
    <col min="3079" max="3091" width="9.59765625" style="271" customWidth="1"/>
    <col min="3092" max="3117" width="8.09765625" style="271" customWidth="1"/>
    <col min="3118" max="3118" width="12.5" style="271" customWidth="1"/>
    <col min="3119" max="3121" width="8.09765625" style="271" customWidth="1"/>
    <col min="3122" max="3122" width="12.5" style="271" customWidth="1"/>
    <col min="3123" max="3123" width="10.5" style="271" customWidth="1"/>
    <col min="3124" max="3130" width="8.09765625" style="271" customWidth="1"/>
    <col min="3131" max="3131" width="8.796875" style="271" customWidth="1"/>
    <col min="3132" max="3138" width="8.09765625" style="271" customWidth="1"/>
    <col min="3139" max="3139" width="14" style="271" customWidth="1"/>
    <col min="3140" max="3328" width="8.09765625" style="271"/>
    <col min="3329" max="3329" width="10" style="271" customWidth="1"/>
    <col min="3330" max="3330" width="9.59765625" style="271" customWidth="1"/>
    <col min="3331" max="3331" width="11.796875" style="271" customWidth="1"/>
    <col min="3332" max="3332" width="8.09765625" style="271" customWidth="1"/>
    <col min="3333" max="3333" width="10.796875" style="271" customWidth="1"/>
    <col min="3334" max="3334" width="1.296875" style="271" customWidth="1"/>
    <col min="3335" max="3347" width="9.59765625" style="271" customWidth="1"/>
    <col min="3348" max="3373" width="8.09765625" style="271" customWidth="1"/>
    <col min="3374" max="3374" width="12.5" style="271" customWidth="1"/>
    <col min="3375" max="3377" width="8.09765625" style="271" customWidth="1"/>
    <col min="3378" max="3378" width="12.5" style="271" customWidth="1"/>
    <col min="3379" max="3379" width="10.5" style="271" customWidth="1"/>
    <col min="3380" max="3386" width="8.09765625" style="271" customWidth="1"/>
    <col min="3387" max="3387" width="8.796875" style="271" customWidth="1"/>
    <col min="3388" max="3394" width="8.09765625" style="271" customWidth="1"/>
    <col min="3395" max="3395" width="14" style="271" customWidth="1"/>
    <col min="3396" max="3584" width="8.09765625" style="271"/>
    <col min="3585" max="3585" width="10" style="271" customWidth="1"/>
    <col min="3586" max="3586" width="9.59765625" style="271" customWidth="1"/>
    <col min="3587" max="3587" width="11.796875" style="271" customWidth="1"/>
    <col min="3588" max="3588" width="8.09765625" style="271" customWidth="1"/>
    <col min="3589" max="3589" width="10.796875" style="271" customWidth="1"/>
    <col min="3590" max="3590" width="1.296875" style="271" customWidth="1"/>
    <col min="3591" max="3603" width="9.59765625" style="271" customWidth="1"/>
    <col min="3604" max="3629" width="8.09765625" style="271" customWidth="1"/>
    <col min="3630" max="3630" width="12.5" style="271" customWidth="1"/>
    <col min="3631" max="3633" width="8.09765625" style="271" customWidth="1"/>
    <col min="3634" max="3634" width="12.5" style="271" customWidth="1"/>
    <col min="3635" max="3635" width="10.5" style="271" customWidth="1"/>
    <col min="3636" max="3642" width="8.09765625" style="271" customWidth="1"/>
    <col min="3643" max="3643" width="8.796875" style="271" customWidth="1"/>
    <col min="3644" max="3650" width="8.09765625" style="271" customWidth="1"/>
    <col min="3651" max="3651" width="14" style="271" customWidth="1"/>
    <col min="3652" max="3840" width="8.09765625" style="271"/>
    <col min="3841" max="3841" width="10" style="271" customWidth="1"/>
    <col min="3842" max="3842" width="9.59765625" style="271" customWidth="1"/>
    <col min="3843" max="3843" width="11.796875" style="271" customWidth="1"/>
    <col min="3844" max="3844" width="8.09765625" style="271" customWidth="1"/>
    <col min="3845" max="3845" width="10.796875" style="271" customWidth="1"/>
    <col min="3846" max="3846" width="1.296875" style="271" customWidth="1"/>
    <col min="3847" max="3859" width="9.59765625" style="271" customWidth="1"/>
    <col min="3860" max="3885" width="8.09765625" style="271" customWidth="1"/>
    <col min="3886" max="3886" width="12.5" style="271" customWidth="1"/>
    <col min="3887" max="3889" width="8.09765625" style="271" customWidth="1"/>
    <col min="3890" max="3890" width="12.5" style="271" customWidth="1"/>
    <col min="3891" max="3891" width="10.5" style="271" customWidth="1"/>
    <col min="3892" max="3898" width="8.09765625" style="271" customWidth="1"/>
    <col min="3899" max="3899" width="8.796875" style="271" customWidth="1"/>
    <col min="3900" max="3906" width="8.09765625" style="271" customWidth="1"/>
    <col min="3907" max="3907" width="14" style="271" customWidth="1"/>
    <col min="3908" max="4096" width="8.09765625" style="271"/>
    <col min="4097" max="4097" width="10" style="271" customWidth="1"/>
    <col min="4098" max="4098" width="9.59765625" style="271" customWidth="1"/>
    <col min="4099" max="4099" width="11.796875" style="271" customWidth="1"/>
    <col min="4100" max="4100" width="8.09765625" style="271" customWidth="1"/>
    <col min="4101" max="4101" width="10.796875" style="271" customWidth="1"/>
    <col min="4102" max="4102" width="1.296875" style="271" customWidth="1"/>
    <col min="4103" max="4115" width="9.59765625" style="271" customWidth="1"/>
    <col min="4116" max="4141" width="8.09765625" style="271" customWidth="1"/>
    <col min="4142" max="4142" width="12.5" style="271" customWidth="1"/>
    <col min="4143" max="4145" width="8.09765625" style="271" customWidth="1"/>
    <col min="4146" max="4146" width="12.5" style="271" customWidth="1"/>
    <col min="4147" max="4147" width="10.5" style="271" customWidth="1"/>
    <col min="4148" max="4154" width="8.09765625" style="271" customWidth="1"/>
    <col min="4155" max="4155" width="8.796875" style="271" customWidth="1"/>
    <col min="4156" max="4162" width="8.09765625" style="271" customWidth="1"/>
    <col min="4163" max="4163" width="14" style="271" customWidth="1"/>
    <col min="4164" max="4352" width="8.09765625" style="271"/>
    <col min="4353" max="4353" width="10" style="271" customWidth="1"/>
    <col min="4354" max="4354" width="9.59765625" style="271" customWidth="1"/>
    <col min="4355" max="4355" width="11.796875" style="271" customWidth="1"/>
    <col min="4356" max="4356" width="8.09765625" style="271" customWidth="1"/>
    <col min="4357" max="4357" width="10.796875" style="271" customWidth="1"/>
    <col min="4358" max="4358" width="1.296875" style="271" customWidth="1"/>
    <col min="4359" max="4371" width="9.59765625" style="271" customWidth="1"/>
    <col min="4372" max="4397" width="8.09765625" style="271" customWidth="1"/>
    <col min="4398" max="4398" width="12.5" style="271" customWidth="1"/>
    <col min="4399" max="4401" width="8.09765625" style="271" customWidth="1"/>
    <col min="4402" max="4402" width="12.5" style="271" customWidth="1"/>
    <col min="4403" max="4403" width="10.5" style="271" customWidth="1"/>
    <col min="4404" max="4410" width="8.09765625" style="271" customWidth="1"/>
    <col min="4411" max="4411" width="8.796875" style="271" customWidth="1"/>
    <col min="4412" max="4418" width="8.09765625" style="271" customWidth="1"/>
    <col min="4419" max="4419" width="14" style="271" customWidth="1"/>
    <col min="4420" max="4608" width="8.09765625" style="271"/>
    <col min="4609" max="4609" width="10" style="271" customWidth="1"/>
    <col min="4610" max="4610" width="9.59765625" style="271" customWidth="1"/>
    <col min="4611" max="4611" width="11.796875" style="271" customWidth="1"/>
    <col min="4612" max="4612" width="8.09765625" style="271" customWidth="1"/>
    <col min="4613" max="4613" width="10.796875" style="271" customWidth="1"/>
    <col min="4614" max="4614" width="1.296875" style="271" customWidth="1"/>
    <col min="4615" max="4627" width="9.59765625" style="271" customWidth="1"/>
    <col min="4628" max="4653" width="8.09765625" style="271" customWidth="1"/>
    <col min="4654" max="4654" width="12.5" style="271" customWidth="1"/>
    <col min="4655" max="4657" width="8.09765625" style="271" customWidth="1"/>
    <col min="4658" max="4658" width="12.5" style="271" customWidth="1"/>
    <col min="4659" max="4659" width="10.5" style="271" customWidth="1"/>
    <col min="4660" max="4666" width="8.09765625" style="271" customWidth="1"/>
    <col min="4667" max="4667" width="8.796875" style="271" customWidth="1"/>
    <col min="4668" max="4674" width="8.09765625" style="271" customWidth="1"/>
    <col min="4675" max="4675" width="14" style="271" customWidth="1"/>
    <col min="4676" max="4864" width="8.09765625" style="271"/>
    <col min="4865" max="4865" width="10" style="271" customWidth="1"/>
    <col min="4866" max="4866" width="9.59765625" style="271" customWidth="1"/>
    <col min="4867" max="4867" width="11.796875" style="271" customWidth="1"/>
    <col min="4868" max="4868" width="8.09765625" style="271" customWidth="1"/>
    <col min="4869" max="4869" width="10.796875" style="271" customWidth="1"/>
    <col min="4870" max="4870" width="1.296875" style="271" customWidth="1"/>
    <col min="4871" max="4883" width="9.59765625" style="271" customWidth="1"/>
    <col min="4884" max="4909" width="8.09765625" style="271" customWidth="1"/>
    <col min="4910" max="4910" width="12.5" style="271" customWidth="1"/>
    <col min="4911" max="4913" width="8.09765625" style="271" customWidth="1"/>
    <col min="4914" max="4914" width="12.5" style="271" customWidth="1"/>
    <col min="4915" max="4915" width="10.5" style="271" customWidth="1"/>
    <col min="4916" max="4922" width="8.09765625" style="271" customWidth="1"/>
    <col min="4923" max="4923" width="8.796875" style="271" customWidth="1"/>
    <col min="4924" max="4930" width="8.09765625" style="271" customWidth="1"/>
    <col min="4931" max="4931" width="14" style="271" customWidth="1"/>
    <col min="4932" max="5120" width="8.09765625" style="271"/>
    <col min="5121" max="5121" width="10" style="271" customWidth="1"/>
    <col min="5122" max="5122" width="9.59765625" style="271" customWidth="1"/>
    <col min="5123" max="5123" width="11.796875" style="271" customWidth="1"/>
    <col min="5124" max="5124" width="8.09765625" style="271" customWidth="1"/>
    <col min="5125" max="5125" width="10.796875" style="271" customWidth="1"/>
    <col min="5126" max="5126" width="1.296875" style="271" customWidth="1"/>
    <col min="5127" max="5139" width="9.59765625" style="271" customWidth="1"/>
    <col min="5140" max="5165" width="8.09765625" style="271" customWidth="1"/>
    <col min="5166" max="5166" width="12.5" style="271" customWidth="1"/>
    <col min="5167" max="5169" width="8.09765625" style="271" customWidth="1"/>
    <col min="5170" max="5170" width="12.5" style="271" customWidth="1"/>
    <col min="5171" max="5171" width="10.5" style="271" customWidth="1"/>
    <col min="5172" max="5178" width="8.09765625" style="271" customWidth="1"/>
    <col min="5179" max="5179" width="8.796875" style="271" customWidth="1"/>
    <col min="5180" max="5186" width="8.09765625" style="271" customWidth="1"/>
    <col min="5187" max="5187" width="14" style="271" customWidth="1"/>
    <col min="5188" max="5376" width="8.09765625" style="271"/>
    <col min="5377" max="5377" width="10" style="271" customWidth="1"/>
    <col min="5378" max="5378" width="9.59765625" style="271" customWidth="1"/>
    <col min="5379" max="5379" width="11.796875" style="271" customWidth="1"/>
    <col min="5380" max="5380" width="8.09765625" style="271" customWidth="1"/>
    <col min="5381" max="5381" width="10.796875" style="271" customWidth="1"/>
    <col min="5382" max="5382" width="1.296875" style="271" customWidth="1"/>
    <col min="5383" max="5395" width="9.59765625" style="271" customWidth="1"/>
    <col min="5396" max="5421" width="8.09765625" style="271" customWidth="1"/>
    <col min="5422" max="5422" width="12.5" style="271" customWidth="1"/>
    <col min="5423" max="5425" width="8.09765625" style="271" customWidth="1"/>
    <col min="5426" max="5426" width="12.5" style="271" customWidth="1"/>
    <col min="5427" max="5427" width="10.5" style="271" customWidth="1"/>
    <col min="5428" max="5434" width="8.09765625" style="271" customWidth="1"/>
    <col min="5435" max="5435" width="8.796875" style="271" customWidth="1"/>
    <col min="5436" max="5442" width="8.09765625" style="271" customWidth="1"/>
    <col min="5443" max="5443" width="14" style="271" customWidth="1"/>
    <col min="5444" max="5632" width="8.09765625" style="271"/>
    <col min="5633" max="5633" width="10" style="271" customWidth="1"/>
    <col min="5634" max="5634" width="9.59765625" style="271" customWidth="1"/>
    <col min="5635" max="5635" width="11.796875" style="271" customWidth="1"/>
    <col min="5636" max="5636" width="8.09765625" style="271" customWidth="1"/>
    <col min="5637" max="5637" width="10.796875" style="271" customWidth="1"/>
    <col min="5638" max="5638" width="1.296875" style="271" customWidth="1"/>
    <col min="5639" max="5651" width="9.59765625" style="271" customWidth="1"/>
    <col min="5652" max="5677" width="8.09765625" style="271" customWidth="1"/>
    <col min="5678" max="5678" width="12.5" style="271" customWidth="1"/>
    <col min="5679" max="5681" width="8.09765625" style="271" customWidth="1"/>
    <col min="5682" max="5682" width="12.5" style="271" customWidth="1"/>
    <col min="5683" max="5683" width="10.5" style="271" customWidth="1"/>
    <col min="5684" max="5690" width="8.09765625" style="271" customWidth="1"/>
    <col min="5691" max="5691" width="8.796875" style="271" customWidth="1"/>
    <col min="5692" max="5698" width="8.09765625" style="271" customWidth="1"/>
    <col min="5699" max="5699" width="14" style="271" customWidth="1"/>
    <col min="5700" max="5888" width="8.09765625" style="271"/>
    <col min="5889" max="5889" width="10" style="271" customWidth="1"/>
    <col min="5890" max="5890" width="9.59765625" style="271" customWidth="1"/>
    <col min="5891" max="5891" width="11.796875" style="271" customWidth="1"/>
    <col min="5892" max="5892" width="8.09765625" style="271" customWidth="1"/>
    <col min="5893" max="5893" width="10.796875" style="271" customWidth="1"/>
    <col min="5894" max="5894" width="1.296875" style="271" customWidth="1"/>
    <col min="5895" max="5907" width="9.59765625" style="271" customWidth="1"/>
    <col min="5908" max="5933" width="8.09765625" style="271" customWidth="1"/>
    <col min="5934" max="5934" width="12.5" style="271" customWidth="1"/>
    <col min="5935" max="5937" width="8.09765625" style="271" customWidth="1"/>
    <col min="5938" max="5938" width="12.5" style="271" customWidth="1"/>
    <col min="5939" max="5939" width="10.5" style="271" customWidth="1"/>
    <col min="5940" max="5946" width="8.09765625" style="271" customWidth="1"/>
    <col min="5947" max="5947" width="8.796875" style="271" customWidth="1"/>
    <col min="5948" max="5954" width="8.09765625" style="271" customWidth="1"/>
    <col min="5955" max="5955" width="14" style="271" customWidth="1"/>
    <col min="5956" max="6144" width="8.09765625" style="271"/>
    <col min="6145" max="6145" width="10" style="271" customWidth="1"/>
    <col min="6146" max="6146" width="9.59765625" style="271" customWidth="1"/>
    <col min="6147" max="6147" width="11.796875" style="271" customWidth="1"/>
    <col min="6148" max="6148" width="8.09765625" style="271" customWidth="1"/>
    <col min="6149" max="6149" width="10.796875" style="271" customWidth="1"/>
    <col min="6150" max="6150" width="1.296875" style="271" customWidth="1"/>
    <col min="6151" max="6163" width="9.59765625" style="271" customWidth="1"/>
    <col min="6164" max="6189" width="8.09765625" style="271" customWidth="1"/>
    <col min="6190" max="6190" width="12.5" style="271" customWidth="1"/>
    <col min="6191" max="6193" width="8.09765625" style="271" customWidth="1"/>
    <col min="6194" max="6194" width="12.5" style="271" customWidth="1"/>
    <col min="6195" max="6195" width="10.5" style="271" customWidth="1"/>
    <col min="6196" max="6202" width="8.09765625" style="271" customWidth="1"/>
    <col min="6203" max="6203" width="8.796875" style="271" customWidth="1"/>
    <col min="6204" max="6210" width="8.09765625" style="271" customWidth="1"/>
    <col min="6211" max="6211" width="14" style="271" customWidth="1"/>
    <col min="6212" max="6400" width="8.09765625" style="271"/>
    <col min="6401" max="6401" width="10" style="271" customWidth="1"/>
    <col min="6402" max="6402" width="9.59765625" style="271" customWidth="1"/>
    <col min="6403" max="6403" width="11.796875" style="271" customWidth="1"/>
    <col min="6404" max="6404" width="8.09765625" style="271" customWidth="1"/>
    <col min="6405" max="6405" width="10.796875" style="271" customWidth="1"/>
    <col min="6406" max="6406" width="1.296875" style="271" customWidth="1"/>
    <col min="6407" max="6419" width="9.59765625" style="271" customWidth="1"/>
    <col min="6420" max="6445" width="8.09765625" style="271" customWidth="1"/>
    <col min="6446" max="6446" width="12.5" style="271" customWidth="1"/>
    <col min="6447" max="6449" width="8.09765625" style="271" customWidth="1"/>
    <col min="6450" max="6450" width="12.5" style="271" customWidth="1"/>
    <col min="6451" max="6451" width="10.5" style="271" customWidth="1"/>
    <col min="6452" max="6458" width="8.09765625" style="271" customWidth="1"/>
    <col min="6459" max="6459" width="8.796875" style="271" customWidth="1"/>
    <col min="6460" max="6466" width="8.09765625" style="271" customWidth="1"/>
    <col min="6467" max="6467" width="14" style="271" customWidth="1"/>
    <col min="6468" max="6656" width="8.09765625" style="271"/>
    <col min="6657" max="6657" width="10" style="271" customWidth="1"/>
    <col min="6658" max="6658" width="9.59765625" style="271" customWidth="1"/>
    <col min="6659" max="6659" width="11.796875" style="271" customWidth="1"/>
    <col min="6660" max="6660" width="8.09765625" style="271" customWidth="1"/>
    <col min="6661" max="6661" width="10.796875" style="271" customWidth="1"/>
    <col min="6662" max="6662" width="1.296875" style="271" customWidth="1"/>
    <col min="6663" max="6675" width="9.59765625" style="271" customWidth="1"/>
    <col min="6676" max="6701" width="8.09765625" style="271" customWidth="1"/>
    <col min="6702" max="6702" width="12.5" style="271" customWidth="1"/>
    <col min="6703" max="6705" width="8.09765625" style="271" customWidth="1"/>
    <col min="6706" max="6706" width="12.5" style="271" customWidth="1"/>
    <col min="6707" max="6707" width="10.5" style="271" customWidth="1"/>
    <col min="6708" max="6714" width="8.09765625" style="271" customWidth="1"/>
    <col min="6715" max="6715" width="8.796875" style="271" customWidth="1"/>
    <col min="6716" max="6722" width="8.09765625" style="271" customWidth="1"/>
    <col min="6723" max="6723" width="14" style="271" customWidth="1"/>
    <col min="6724" max="6912" width="8.09765625" style="271"/>
    <col min="6913" max="6913" width="10" style="271" customWidth="1"/>
    <col min="6914" max="6914" width="9.59765625" style="271" customWidth="1"/>
    <col min="6915" max="6915" width="11.796875" style="271" customWidth="1"/>
    <col min="6916" max="6916" width="8.09765625" style="271" customWidth="1"/>
    <col min="6917" max="6917" width="10.796875" style="271" customWidth="1"/>
    <col min="6918" max="6918" width="1.296875" style="271" customWidth="1"/>
    <col min="6919" max="6931" width="9.59765625" style="271" customWidth="1"/>
    <col min="6932" max="6957" width="8.09765625" style="271" customWidth="1"/>
    <col min="6958" max="6958" width="12.5" style="271" customWidth="1"/>
    <col min="6959" max="6961" width="8.09765625" style="271" customWidth="1"/>
    <col min="6962" max="6962" width="12.5" style="271" customWidth="1"/>
    <col min="6963" max="6963" width="10.5" style="271" customWidth="1"/>
    <col min="6964" max="6970" width="8.09765625" style="271" customWidth="1"/>
    <col min="6971" max="6971" width="8.796875" style="271" customWidth="1"/>
    <col min="6972" max="6978" width="8.09765625" style="271" customWidth="1"/>
    <col min="6979" max="6979" width="14" style="271" customWidth="1"/>
    <col min="6980" max="7168" width="8.09765625" style="271"/>
    <col min="7169" max="7169" width="10" style="271" customWidth="1"/>
    <col min="7170" max="7170" width="9.59765625" style="271" customWidth="1"/>
    <col min="7171" max="7171" width="11.796875" style="271" customWidth="1"/>
    <col min="7172" max="7172" width="8.09765625" style="271" customWidth="1"/>
    <col min="7173" max="7173" width="10.796875" style="271" customWidth="1"/>
    <col min="7174" max="7174" width="1.296875" style="271" customWidth="1"/>
    <col min="7175" max="7187" width="9.59765625" style="271" customWidth="1"/>
    <col min="7188" max="7213" width="8.09765625" style="271" customWidth="1"/>
    <col min="7214" max="7214" width="12.5" style="271" customWidth="1"/>
    <col min="7215" max="7217" width="8.09765625" style="271" customWidth="1"/>
    <col min="7218" max="7218" width="12.5" style="271" customWidth="1"/>
    <col min="7219" max="7219" width="10.5" style="271" customWidth="1"/>
    <col min="7220" max="7226" width="8.09765625" style="271" customWidth="1"/>
    <col min="7227" max="7227" width="8.796875" style="271" customWidth="1"/>
    <col min="7228" max="7234" width="8.09765625" style="271" customWidth="1"/>
    <col min="7235" max="7235" width="14" style="271" customWidth="1"/>
    <col min="7236" max="7424" width="8.09765625" style="271"/>
    <col min="7425" max="7425" width="10" style="271" customWidth="1"/>
    <col min="7426" max="7426" width="9.59765625" style="271" customWidth="1"/>
    <col min="7427" max="7427" width="11.796875" style="271" customWidth="1"/>
    <col min="7428" max="7428" width="8.09765625" style="271" customWidth="1"/>
    <col min="7429" max="7429" width="10.796875" style="271" customWidth="1"/>
    <col min="7430" max="7430" width="1.296875" style="271" customWidth="1"/>
    <col min="7431" max="7443" width="9.59765625" style="271" customWidth="1"/>
    <col min="7444" max="7469" width="8.09765625" style="271" customWidth="1"/>
    <col min="7470" max="7470" width="12.5" style="271" customWidth="1"/>
    <col min="7471" max="7473" width="8.09765625" style="271" customWidth="1"/>
    <col min="7474" max="7474" width="12.5" style="271" customWidth="1"/>
    <col min="7475" max="7475" width="10.5" style="271" customWidth="1"/>
    <col min="7476" max="7482" width="8.09765625" style="271" customWidth="1"/>
    <col min="7483" max="7483" width="8.796875" style="271" customWidth="1"/>
    <col min="7484" max="7490" width="8.09765625" style="271" customWidth="1"/>
    <col min="7491" max="7491" width="14" style="271" customWidth="1"/>
    <col min="7492" max="7680" width="8.09765625" style="271"/>
    <col min="7681" max="7681" width="10" style="271" customWidth="1"/>
    <col min="7682" max="7682" width="9.59765625" style="271" customWidth="1"/>
    <col min="7683" max="7683" width="11.796875" style="271" customWidth="1"/>
    <col min="7684" max="7684" width="8.09765625" style="271" customWidth="1"/>
    <col min="7685" max="7685" width="10.796875" style="271" customWidth="1"/>
    <col min="7686" max="7686" width="1.296875" style="271" customWidth="1"/>
    <col min="7687" max="7699" width="9.59765625" style="271" customWidth="1"/>
    <col min="7700" max="7725" width="8.09765625" style="271" customWidth="1"/>
    <col min="7726" max="7726" width="12.5" style="271" customWidth="1"/>
    <col min="7727" max="7729" width="8.09765625" style="271" customWidth="1"/>
    <col min="7730" max="7730" width="12.5" style="271" customWidth="1"/>
    <col min="7731" max="7731" width="10.5" style="271" customWidth="1"/>
    <col min="7732" max="7738" width="8.09765625" style="271" customWidth="1"/>
    <col min="7739" max="7739" width="8.796875" style="271" customWidth="1"/>
    <col min="7740" max="7746" width="8.09765625" style="271" customWidth="1"/>
    <col min="7747" max="7747" width="14" style="271" customWidth="1"/>
    <col min="7748" max="7936" width="8.09765625" style="271"/>
    <col min="7937" max="7937" width="10" style="271" customWidth="1"/>
    <col min="7938" max="7938" width="9.59765625" style="271" customWidth="1"/>
    <col min="7939" max="7939" width="11.796875" style="271" customWidth="1"/>
    <col min="7940" max="7940" width="8.09765625" style="271" customWidth="1"/>
    <col min="7941" max="7941" width="10.796875" style="271" customWidth="1"/>
    <col min="7942" max="7942" width="1.296875" style="271" customWidth="1"/>
    <col min="7943" max="7955" width="9.59765625" style="271" customWidth="1"/>
    <col min="7956" max="7981" width="8.09765625" style="271" customWidth="1"/>
    <col min="7982" max="7982" width="12.5" style="271" customWidth="1"/>
    <col min="7983" max="7985" width="8.09765625" style="271" customWidth="1"/>
    <col min="7986" max="7986" width="12.5" style="271" customWidth="1"/>
    <col min="7987" max="7987" width="10.5" style="271" customWidth="1"/>
    <col min="7988" max="7994" width="8.09765625" style="271" customWidth="1"/>
    <col min="7995" max="7995" width="8.796875" style="271" customWidth="1"/>
    <col min="7996" max="8002" width="8.09765625" style="271" customWidth="1"/>
    <col min="8003" max="8003" width="14" style="271" customWidth="1"/>
    <col min="8004" max="8192" width="8.09765625" style="271"/>
    <col min="8193" max="8193" width="10" style="271" customWidth="1"/>
    <col min="8194" max="8194" width="9.59765625" style="271" customWidth="1"/>
    <col min="8195" max="8195" width="11.796875" style="271" customWidth="1"/>
    <col min="8196" max="8196" width="8.09765625" style="271" customWidth="1"/>
    <col min="8197" max="8197" width="10.796875" style="271" customWidth="1"/>
    <col min="8198" max="8198" width="1.296875" style="271" customWidth="1"/>
    <col min="8199" max="8211" width="9.59765625" style="271" customWidth="1"/>
    <col min="8212" max="8237" width="8.09765625" style="271" customWidth="1"/>
    <col min="8238" max="8238" width="12.5" style="271" customWidth="1"/>
    <col min="8239" max="8241" width="8.09765625" style="271" customWidth="1"/>
    <col min="8242" max="8242" width="12.5" style="271" customWidth="1"/>
    <col min="8243" max="8243" width="10.5" style="271" customWidth="1"/>
    <col min="8244" max="8250" width="8.09765625" style="271" customWidth="1"/>
    <col min="8251" max="8251" width="8.796875" style="271" customWidth="1"/>
    <col min="8252" max="8258" width="8.09765625" style="271" customWidth="1"/>
    <col min="8259" max="8259" width="14" style="271" customWidth="1"/>
    <col min="8260" max="8448" width="8.09765625" style="271"/>
    <col min="8449" max="8449" width="10" style="271" customWidth="1"/>
    <col min="8450" max="8450" width="9.59765625" style="271" customWidth="1"/>
    <col min="8451" max="8451" width="11.796875" style="271" customWidth="1"/>
    <col min="8452" max="8452" width="8.09765625" style="271" customWidth="1"/>
    <col min="8453" max="8453" width="10.796875" style="271" customWidth="1"/>
    <col min="8454" max="8454" width="1.296875" style="271" customWidth="1"/>
    <col min="8455" max="8467" width="9.59765625" style="271" customWidth="1"/>
    <col min="8468" max="8493" width="8.09765625" style="271" customWidth="1"/>
    <col min="8494" max="8494" width="12.5" style="271" customWidth="1"/>
    <col min="8495" max="8497" width="8.09765625" style="271" customWidth="1"/>
    <col min="8498" max="8498" width="12.5" style="271" customWidth="1"/>
    <col min="8499" max="8499" width="10.5" style="271" customWidth="1"/>
    <col min="8500" max="8506" width="8.09765625" style="271" customWidth="1"/>
    <col min="8507" max="8507" width="8.796875" style="271" customWidth="1"/>
    <col min="8508" max="8514" width="8.09765625" style="271" customWidth="1"/>
    <col min="8515" max="8515" width="14" style="271" customWidth="1"/>
    <col min="8516" max="8704" width="8.09765625" style="271"/>
    <col min="8705" max="8705" width="10" style="271" customWidth="1"/>
    <col min="8706" max="8706" width="9.59765625" style="271" customWidth="1"/>
    <col min="8707" max="8707" width="11.796875" style="271" customWidth="1"/>
    <col min="8708" max="8708" width="8.09765625" style="271" customWidth="1"/>
    <col min="8709" max="8709" width="10.796875" style="271" customWidth="1"/>
    <col min="8710" max="8710" width="1.296875" style="271" customWidth="1"/>
    <col min="8711" max="8723" width="9.59765625" style="271" customWidth="1"/>
    <col min="8724" max="8749" width="8.09765625" style="271" customWidth="1"/>
    <col min="8750" max="8750" width="12.5" style="271" customWidth="1"/>
    <col min="8751" max="8753" width="8.09765625" style="271" customWidth="1"/>
    <col min="8754" max="8754" width="12.5" style="271" customWidth="1"/>
    <col min="8755" max="8755" width="10.5" style="271" customWidth="1"/>
    <col min="8756" max="8762" width="8.09765625" style="271" customWidth="1"/>
    <col min="8763" max="8763" width="8.796875" style="271" customWidth="1"/>
    <col min="8764" max="8770" width="8.09765625" style="271" customWidth="1"/>
    <col min="8771" max="8771" width="14" style="271" customWidth="1"/>
    <col min="8772" max="8960" width="8.09765625" style="271"/>
    <col min="8961" max="8961" width="10" style="271" customWidth="1"/>
    <col min="8962" max="8962" width="9.59765625" style="271" customWidth="1"/>
    <col min="8963" max="8963" width="11.796875" style="271" customWidth="1"/>
    <col min="8964" max="8964" width="8.09765625" style="271" customWidth="1"/>
    <col min="8965" max="8965" width="10.796875" style="271" customWidth="1"/>
    <col min="8966" max="8966" width="1.296875" style="271" customWidth="1"/>
    <col min="8967" max="8979" width="9.59765625" style="271" customWidth="1"/>
    <col min="8980" max="9005" width="8.09765625" style="271" customWidth="1"/>
    <col min="9006" max="9006" width="12.5" style="271" customWidth="1"/>
    <col min="9007" max="9009" width="8.09765625" style="271" customWidth="1"/>
    <col min="9010" max="9010" width="12.5" style="271" customWidth="1"/>
    <col min="9011" max="9011" width="10.5" style="271" customWidth="1"/>
    <col min="9012" max="9018" width="8.09765625" style="271" customWidth="1"/>
    <col min="9019" max="9019" width="8.796875" style="271" customWidth="1"/>
    <col min="9020" max="9026" width="8.09765625" style="271" customWidth="1"/>
    <col min="9027" max="9027" width="14" style="271" customWidth="1"/>
    <col min="9028" max="9216" width="8.09765625" style="271"/>
    <col min="9217" max="9217" width="10" style="271" customWidth="1"/>
    <col min="9218" max="9218" width="9.59765625" style="271" customWidth="1"/>
    <col min="9219" max="9219" width="11.796875" style="271" customWidth="1"/>
    <col min="9220" max="9220" width="8.09765625" style="271" customWidth="1"/>
    <col min="9221" max="9221" width="10.796875" style="271" customWidth="1"/>
    <col min="9222" max="9222" width="1.296875" style="271" customWidth="1"/>
    <col min="9223" max="9235" width="9.59765625" style="271" customWidth="1"/>
    <col min="9236" max="9261" width="8.09765625" style="271" customWidth="1"/>
    <col min="9262" max="9262" width="12.5" style="271" customWidth="1"/>
    <col min="9263" max="9265" width="8.09765625" style="271" customWidth="1"/>
    <col min="9266" max="9266" width="12.5" style="271" customWidth="1"/>
    <col min="9267" max="9267" width="10.5" style="271" customWidth="1"/>
    <col min="9268" max="9274" width="8.09765625" style="271" customWidth="1"/>
    <col min="9275" max="9275" width="8.796875" style="271" customWidth="1"/>
    <col min="9276" max="9282" width="8.09765625" style="271" customWidth="1"/>
    <col min="9283" max="9283" width="14" style="271" customWidth="1"/>
    <col min="9284" max="9472" width="8.09765625" style="271"/>
    <col min="9473" max="9473" width="10" style="271" customWidth="1"/>
    <col min="9474" max="9474" width="9.59765625" style="271" customWidth="1"/>
    <col min="9475" max="9475" width="11.796875" style="271" customWidth="1"/>
    <col min="9476" max="9476" width="8.09765625" style="271" customWidth="1"/>
    <col min="9477" max="9477" width="10.796875" style="271" customWidth="1"/>
    <col min="9478" max="9478" width="1.296875" style="271" customWidth="1"/>
    <col min="9479" max="9491" width="9.59765625" style="271" customWidth="1"/>
    <col min="9492" max="9517" width="8.09765625" style="271" customWidth="1"/>
    <col min="9518" max="9518" width="12.5" style="271" customWidth="1"/>
    <col min="9519" max="9521" width="8.09765625" style="271" customWidth="1"/>
    <col min="9522" max="9522" width="12.5" style="271" customWidth="1"/>
    <col min="9523" max="9523" width="10.5" style="271" customWidth="1"/>
    <col min="9524" max="9530" width="8.09765625" style="271" customWidth="1"/>
    <col min="9531" max="9531" width="8.796875" style="271" customWidth="1"/>
    <col min="9532" max="9538" width="8.09765625" style="271" customWidth="1"/>
    <col min="9539" max="9539" width="14" style="271" customWidth="1"/>
    <col min="9540" max="9728" width="8.09765625" style="271"/>
    <col min="9729" max="9729" width="10" style="271" customWidth="1"/>
    <col min="9730" max="9730" width="9.59765625" style="271" customWidth="1"/>
    <col min="9731" max="9731" width="11.796875" style="271" customWidth="1"/>
    <col min="9732" max="9732" width="8.09765625" style="271" customWidth="1"/>
    <col min="9733" max="9733" width="10.796875" style="271" customWidth="1"/>
    <col min="9734" max="9734" width="1.296875" style="271" customWidth="1"/>
    <col min="9735" max="9747" width="9.59765625" style="271" customWidth="1"/>
    <col min="9748" max="9773" width="8.09765625" style="271" customWidth="1"/>
    <col min="9774" max="9774" width="12.5" style="271" customWidth="1"/>
    <col min="9775" max="9777" width="8.09765625" style="271" customWidth="1"/>
    <col min="9778" max="9778" width="12.5" style="271" customWidth="1"/>
    <col min="9779" max="9779" width="10.5" style="271" customWidth="1"/>
    <col min="9780" max="9786" width="8.09765625" style="271" customWidth="1"/>
    <col min="9787" max="9787" width="8.796875" style="271" customWidth="1"/>
    <col min="9788" max="9794" width="8.09765625" style="271" customWidth="1"/>
    <col min="9795" max="9795" width="14" style="271" customWidth="1"/>
    <col min="9796" max="9984" width="8.09765625" style="271"/>
    <col min="9985" max="9985" width="10" style="271" customWidth="1"/>
    <col min="9986" max="9986" width="9.59765625" style="271" customWidth="1"/>
    <col min="9987" max="9987" width="11.796875" style="271" customWidth="1"/>
    <col min="9988" max="9988" width="8.09765625" style="271" customWidth="1"/>
    <col min="9989" max="9989" width="10.796875" style="271" customWidth="1"/>
    <col min="9990" max="9990" width="1.296875" style="271" customWidth="1"/>
    <col min="9991" max="10003" width="9.59765625" style="271" customWidth="1"/>
    <col min="10004" max="10029" width="8.09765625" style="271" customWidth="1"/>
    <col min="10030" max="10030" width="12.5" style="271" customWidth="1"/>
    <col min="10031" max="10033" width="8.09765625" style="271" customWidth="1"/>
    <col min="10034" max="10034" width="12.5" style="271" customWidth="1"/>
    <col min="10035" max="10035" width="10.5" style="271" customWidth="1"/>
    <col min="10036" max="10042" width="8.09765625" style="271" customWidth="1"/>
    <col min="10043" max="10043" width="8.796875" style="271" customWidth="1"/>
    <col min="10044" max="10050" width="8.09765625" style="271" customWidth="1"/>
    <col min="10051" max="10051" width="14" style="271" customWidth="1"/>
    <col min="10052" max="10240" width="8.09765625" style="271"/>
    <col min="10241" max="10241" width="10" style="271" customWidth="1"/>
    <col min="10242" max="10242" width="9.59765625" style="271" customWidth="1"/>
    <col min="10243" max="10243" width="11.796875" style="271" customWidth="1"/>
    <col min="10244" max="10244" width="8.09765625" style="271" customWidth="1"/>
    <col min="10245" max="10245" width="10.796875" style="271" customWidth="1"/>
    <col min="10246" max="10246" width="1.296875" style="271" customWidth="1"/>
    <col min="10247" max="10259" width="9.59765625" style="271" customWidth="1"/>
    <col min="10260" max="10285" width="8.09765625" style="271" customWidth="1"/>
    <col min="10286" max="10286" width="12.5" style="271" customWidth="1"/>
    <col min="10287" max="10289" width="8.09765625" style="271" customWidth="1"/>
    <col min="10290" max="10290" width="12.5" style="271" customWidth="1"/>
    <col min="10291" max="10291" width="10.5" style="271" customWidth="1"/>
    <col min="10292" max="10298" width="8.09765625" style="271" customWidth="1"/>
    <col min="10299" max="10299" width="8.796875" style="271" customWidth="1"/>
    <col min="10300" max="10306" width="8.09765625" style="271" customWidth="1"/>
    <col min="10307" max="10307" width="14" style="271" customWidth="1"/>
    <col min="10308" max="10496" width="8.09765625" style="271"/>
    <col min="10497" max="10497" width="10" style="271" customWidth="1"/>
    <col min="10498" max="10498" width="9.59765625" style="271" customWidth="1"/>
    <col min="10499" max="10499" width="11.796875" style="271" customWidth="1"/>
    <col min="10500" max="10500" width="8.09765625" style="271" customWidth="1"/>
    <col min="10501" max="10501" width="10.796875" style="271" customWidth="1"/>
    <col min="10502" max="10502" width="1.296875" style="271" customWidth="1"/>
    <col min="10503" max="10515" width="9.59765625" style="271" customWidth="1"/>
    <col min="10516" max="10541" width="8.09765625" style="271" customWidth="1"/>
    <col min="10542" max="10542" width="12.5" style="271" customWidth="1"/>
    <col min="10543" max="10545" width="8.09765625" style="271" customWidth="1"/>
    <col min="10546" max="10546" width="12.5" style="271" customWidth="1"/>
    <col min="10547" max="10547" width="10.5" style="271" customWidth="1"/>
    <col min="10548" max="10554" width="8.09765625" style="271" customWidth="1"/>
    <col min="10555" max="10555" width="8.796875" style="271" customWidth="1"/>
    <col min="10556" max="10562" width="8.09765625" style="271" customWidth="1"/>
    <col min="10563" max="10563" width="14" style="271" customWidth="1"/>
    <col min="10564" max="10752" width="8.09765625" style="271"/>
    <col min="10753" max="10753" width="10" style="271" customWidth="1"/>
    <col min="10754" max="10754" width="9.59765625" style="271" customWidth="1"/>
    <col min="10755" max="10755" width="11.796875" style="271" customWidth="1"/>
    <col min="10756" max="10756" width="8.09765625" style="271" customWidth="1"/>
    <col min="10757" max="10757" width="10.796875" style="271" customWidth="1"/>
    <col min="10758" max="10758" width="1.296875" style="271" customWidth="1"/>
    <col min="10759" max="10771" width="9.59765625" style="271" customWidth="1"/>
    <col min="10772" max="10797" width="8.09765625" style="271" customWidth="1"/>
    <col min="10798" max="10798" width="12.5" style="271" customWidth="1"/>
    <col min="10799" max="10801" width="8.09765625" style="271" customWidth="1"/>
    <col min="10802" max="10802" width="12.5" style="271" customWidth="1"/>
    <col min="10803" max="10803" width="10.5" style="271" customWidth="1"/>
    <col min="10804" max="10810" width="8.09765625" style="271" customWidth="1"/>
    <col min="10811" max="10811" width="8.796875" style="271" customWidth="1"/>
    <col min="10812" max="10818" width="8.09765625" style="271" customWidth="1"/>
    <col min="10819" max="10819" width="14" style="271" customWidth="1"/>
    <col min="10820" max="11008" width="8.09765625" style="271"/>
    <col min="11009" max="11009" width="10" style="271" customWidth="1"/>
    <col min="11010" max="11010" width="9.59765625" style="271" customWidth="1"/>
    <col min="11011" max="11011" width="11.796875" style="271" customWidth="1"/>
    <col min="11012" max="11012" width="8.09765625" style="271" customWidth="1"/>
    <col min="11013" max="11013" width="10.796875" style="271" customWidth="1"/>
    <col min="11014" max="11014" width="1.296875" style="271" customWidth="1"/>
    <col min="11015" max="11027" width="9.59765625" style="271" customWidth="1"/>
    <col min="11028" max="11053" width="8.09765625" style="271" customWidth="1"/>
    <col min="11054" max="11054" width="12.5" style="271" customWidth="1"/>
    <col min="11055" max="11057" width="8.09765625" style="271" customWidth="1"/>
    <col min="11058" max="11058" width="12.5" style="271" customWidth="1"/>
    <col min="11059" max="11059" width="10.5" style="271" customWidth="1"/>
    <col min="11060" max="11066" width="8.09765625" style="271" customWidth="1"/>
    <col min="11067" max="11067" width="8.796875" style="271" customWidth="1"/>
    <col min="11068" max="11074" width="8.09765625" style="271" customWidth="1"/>
    <col min="11075" max="11075" width="14" style="271" customWidth="1"/>
    <col min="11076" max="11264" width="8.09765625" style="271"/>
    <col min="11265" max="11265" width="10" style="271" customWidth="1"/>
    <col min="11266" max="11266" width="9.59765625" style="271" customWidth="1"/>
    <col min="11267" max="11267" width="11.796875" style="271" customWidth="1"/>
    <col min="11268" max="11268" width="8.09765625" style="271" customWidth="1"/>
    <col min="11269" max="11269" width="10.796875" style="271" customWidth="1"/>
    <col min="11270" max="11270" width="1.296875" style="271" customWidth="1"/>
    <col min="11271" max="11283" width="9.59765625" style="271" customWidth="1"/>
    <col min="11284" max="11309" width="8.09765625" style="271" customWidth="1"/>
    <col min="11310" max="11310" width="12.5" style="271" customWidth="1"/>
    <col min="11311" max="11313" width="8.09765625" style="271" customWidth="1"/>
    <col min="11314" max="11314" width="12.5" style="271" customWidth="1"/>
    <col min="11315" max="11315" width="10.5" style="271" customWidth="1"/>
    <col min="11316" max="11322" width="8.09765625" style="271" customWidth="1"/>
    <col min="11323" max="11323" width="8.796875" style="271" customWidth="1"/>
    <col min="11324" max="11330" width="8.09765625" style="271" customWidth="1"/>
    <col min="11331" max="11331" width="14" style="271" customWidth="1"/>
    <col min="11332" max="11520" width="8.09765625" style="271"/>
    <col min="11521" max="11521" width="10" style="271" customWidth="1"/>
    <col min="11522" max="11522" width="9.59765625" style="271" customWidth="1"/>
    <col min="11523" max="11523" width="11.796875" style="271" customWidth="1"/>
    <col min="11524" max="11524" width="8.09765625" style="271" customWidth="1"/>
    <col min="11525" max="11525" width="10.796875" style="271" customWidth="1"/>
    <col min="11526" max="11526" width="1.296875" style="271" customWidth="1"/>
    <col min="11527" max="11539" width="9.59765625" style="271" customWidth="1"/>
    <col min="11540" max="11565" width="8.09765625" style="271" customWidth="1"/>
    <col min="11566" max="11566" width="12.5" style="271" customWidth="1"/>
    <col min="11567" max="11569" width="8.09765625" style="271" customWidth="1"/>
    <col min="11570" max="11570" width="12.5" style="271" customWidth="1"/>
    <col min="11571" max="11571" width="10.5" style="271" customWidth="1"/>
    <col min="11572" max="11578" width="8.09765625" style="271" customWidth="1"/>
    <col min="11579" max="11579" width="8.796875" style="271" customWidth="1"/>
    <col min="11580" max="11586" width="8.09765625" style="271" customWidth="1"/>
    <col min="11587" max="11587" width="14" style="271" customWidth="1"/>
    <col min="11588" max="11776" width="8.09765625" style="271"/>
    <col min="11777" max="11777" width="10" style="271" customWidth="1"/>
    <col min="11778" max="11778" width="9.59765625" style="271" customWidth="1"/>
    <col min="11779" max="11779" width="11.796875" style="271" customWidth="1"/>
    <col min="11780" max="11780" width="8.09765625" style="271" customWidth="1"/>
    <col min="11781" max="11781" width="10.796875" style="271" customWidth="1"/>
    <col min="11782" max="11782" width="1.296875" style="271" customWidth="1"/>
    <col min="11783" max="11795" width="9.59765625" style="271" customWidth="1"/>
    <col min="11796" max="11821" width="8.09765625" style="271" customWidth="1"/>
    <col min="11822" max="11822" width="12.5" style="271" customWidth="1"/>
    <col min="11823" max="11825" width="8.09765625" style="271" customWidth="1"/>
    <col min="11826" max="11826" width="12.5" style="271" customWidth="1"/>
    <col min="11827" max="11827" width="10.5" style="271" customWidth="1"/>
    <col min="11828" max="11834" width="8.09765625" style="271" customWidth="1"/>
    <col min="11835" max="11835" width="8.796875" style="271" customWidth="1"/>
    <col min="11836" max="11842" width="8.09765625" style="271" customWidth="1"/>
    <col min="11843" max="11843" width="14" style="271" customWidth="1"/>
    <col min="11844" max="12032" width="8.09765625" style="271"/>
    <col min="12033" max="12033" width="10" style="271" customWidth="1"/>
    <col min="12034" max="12034" width="9.59765625" style="271" customWidth="1"/>
    <col min="12035" max="12035" width="11.796875" style="271" customWidth="1"/>
    <col min="12036" max="12036" width="8.09765625" style="271" customWidth="1"/>
    <col min="12037" max="12037" width="10.796875" style="271" customWidth="1"/>
    <col min="12038" max="12038" width="1.296875" style="271" customWidth="1"/>
    <col min="12039" max="12051" width="9.59765625" style="271" customWidth="1"/>
    <col min="12052" max="12077" width="8.09765625" style="271" customWidth="1"/>
    <col min="12078" max="12078" width="12.5" style="271" customWidth="1"/>
    <col min="12079" max="12081" width="8.09765625" style="271" customWidth="1"/>
    <col min="12082" max="12082" width="12.5" style="271" customWidth="1"/>
    <col min="12083" max="12083" width="10.5" style="271" customWidth="1"/>
    <col min="12084" max="12090" width="8.09765625" style="271" customWidth="1"/>
    <col min="12091" max="12091" width="8.796875" style="271" customWidth="1"/>
    <col min="12092" max="12098" width="8.09765625" style="271" customWidth="1"/>
    <col min="12099" max="12099" width="14" style="271" customWidth="1"/>
    <col min="12100" max="12288" width="8.09765625" style="271"/>
    <col min="12289" max="12289" width="10" style="271" customWidth="1"/>
    <col min="12290" max="12290" width="9.59765625" style="271" customWidth="1"/>
    <col min="12291" max="12291" width="11.796875" style="271" customWidth="1"/>
    <col min="12292" max="12292" width="8.09765625" style="271" customWidth="1"/>
    <col min="12293" max="12293" width="10.796875" style="271" customWidth="1"/>
    <col min="12294" max="12294" width="1.296875" style="271" customWidth="1"/>
    <col min="12295" max="12307" width="9.59765625" style="271" customWidth="1"/>
    <col min="12308" max="12333" width="8.09765625" style="271" customWidth="1"/>
    <col min="12334" max="12334" width="12.5" style="271" customWidth="1"/>
    <col min="12335" max="12337" width="8.09765625" style="271" customWidth="1"/>
    <col min="12338" max="12338" width="12.5" style="271" customWidth="1"/>
    <col min="12339" max="12339" width="10.5" style="271" customWidth="1"/>
    <col min="12340" max="12346" width="8.09765625" style="271" customWidth="1"/>
    <col min="12347" max="12347" width="8.796875" style="271" customWidth="1"/>
    <col min="12348" max="12354" width="8.09765625" style="271" customWidth="1"/>
    <col min="12355" max="12355" width="14" style="271" customWidth="1"/>
    <col min="12356" max="12544" width="8.09765625" style="271"/>
    <col min="12545" max="12545" width="10" style="271" customWidth="1"/>
    <col min="12546" max="12546" width="9.59765625" style="271" customWidth="1"/>
    <col min="12547" max="12547" width="11.796875" style="271" customWidth="1"/>
    <col min="12548" max="12548" width="8.09765625" style="271" customWidth="1"/>
    <col min="12549" max="12549" width="10.796875" style="271" customWidth="1"/>
    <col min="12550" max="12550" width="1.296875" style="271" customWidth="1"/>
    <col min="12551" max="12563" width="9.59765625" style="271" customWidth="1"/>
    <col min="12564" max="12589" width="8.09765625" style="271" customWidth="1"/>
    <col min="12590" max="12590" width="12.5" style="271" customWidth="1"/>
    <col min="12591" max="12593" width="8.09765625" style="271" customWidth="1"/>
    <col min="12594" max="12594" width="12.5" style="271" customWidth="1"/>
    <col min="12595" max="12595" width="10.5" style="271" customWidth="1"/>
    <col min="12596" max="12602" width="8.09765625" style="271" customWidth="1"/>
    <col min="12603" max="12603" width="8.796875" style="271" customWidth="1"/>
    <col min="12604" max="12610" width="8.09765625" style="271" customWidth="1"/>
    <col min="12611" max="12611" width="14" style="271" customWidth="1"/>
    <col min="12612" max="12800" width="8.09765625" style="271"/>
    <col min="12801" max="12801" width="10" style="271" customWidth="1"/>
    <col min="12802" max="12802" width="9.59765625" style="271" customWidth="1"/>
    <col min="12803" max="12803" width="11.796875" style="271" customWidth="1"/>
    <col min="12804" max="12804" width="8.09765625" style="271" customWidth="1"/>
    <col min="12805" max="12805" width="10.796875" style="271" customWidth="1"/>
    <col min="12806" max="12806" width="1.296875" style="271" customWidth="1"/>
    <col min="12807" max="12819" width="9.59765625" style="271" customWidth="1"/>
    <col min="12820" max="12845" width="8.09765625" style="271" customWidth="1"/>
    <col min="12846" max="12846" width="12.5" style="271" customWidth="1"/>
    <col min="12847" max="12849" width="8.09765625" style="271" customWidth="1"/>
    <col min="12850" max="12850" width="12.5" style="271" customWidth="1"/>
    <col min="12851" max="12851" width="10.5" style="271" customWidth="1"/>
    <col min="12852" max="12858" width="8.09765625" style="271" customWidth="1"/>
    <col min="12859" max="12859" width="8.796875" style="271" customWidth="1"/>
    <col min="12860" max="12866" width="8.09765625" style="271" customWidth="1"/>
    <col min="12867" max="12867" width="14" style="271" customWidth="1"/>
    <col min="12868" max="13056" width="8.09765625" style="271"/>
    <col min="13057" max="13057" width="10" style="271" customWidth="1"/>
    <col min="13058" max="13058" width="9.59765625" style="271" customWidth="1"/>
    <col min="13059" max="13059" width="11.796875" style="271" customWidth="1"/>
    <col min="13060" max="13060" width="8.09765625" style="271" customWidth="1"/>
    <col min="13061" max="13061" width="10.796875" style="271" customWidth="1"/>
    <col min="13062" max="13062" width="1.296875" style="271" customWidth="1"/>
    <col min="13063" max="13075" width="9.59765625" style="271" customWidth="1"/>
    <col min="13076" max="13101" width="8.09765625" style="271" customWidth="1"/>
    <col min="13102" max="13102" width="12.5" style="271" customWidth="1"/>
    <col min="13103" max="13105" width="8.09765625" style="271" customWidth="1"/>
    <col min="13106" max="13106" width="12.5" style="271" customWidth="1"/>
    <col min="13107" max="13107" width="10.5" style="271" customWidth="1"/>
    <col min="13108" max="13114" width="8.09765625" style="271" customWidth="1"/>
    <col min="13115" max="13115" width="8.796875" style="271" customWidth="1"/>
    <col min="13116" max="13122" width="8.09765625" style="271" customWidth="1"/>
    <col min="13123" max="13123" width="14" style="271" customWidth="1"/>
    <col min="13124" max="13312" width="8.09765625" style="271"/>
    <col min="13313" max="13313" width="10" style="271" customWidth="1"/>
    <col min="13314" max="13314" width="9.59765625" style="271" customWidth="1"/>
    <col min="13315" max="13315" width="11.796875" style="271" customWidth="1"/>
    <col min="13316" max="13316" width="8.09765625" style="271" customWidth="1"/>
    <col min="13317" max="13317" width="10.796875" style="271" customWidth="1"/>
    <col min="13318" max="13318" width="1.296875" style="271" customWidth="1"/>
    <col min="13319" max="13331" width="9.59765625" style="271" customWidth="1"/>
    <col min="13332" max="13357" width="8.09765625" style="271" customWidth="1"/>
    <col min="13358" max="13358" width="12.5" style="271" customWidth="1"/>
    <col min="13359" max="13361" width="8.09765625" style="271" customWidth="1"/>
    <col min="13362" max="13362" width="12.5" style="271" customWidth="1"/>
    <col min="13363" max="13363" width="10.5" style="271" customWidth="1"/>
    <col min="13364" max="13370" width="8.09765625" style="271" customWidth="1"/>
    <col min="13371" max="13371" width="8.796875" style="271" customWidth="1"/>
    <col min="13372" max="13378" width="8.09765625" style="271" customWidth="1"/>
    <col min="13379" max="13379" width="14" style="271" customWidth="1"/>
    <col min="13380" max="13568" width="8.09765625" style="271"/>
    <col min="13569" max="13569" width="10" style="271" customWidth="1"/>
    <col min="13570" max="13570" width="9.59765625" style="271" customWidth="1"/>
    <col min="13571" max="13571" width="11.796875" style="271" customWidth="1"/>
    <col min="13572" max="13572" width="8.09765625" style="271" customWidth="1"/>
    <col min="13573" max="13573" width="10.796875" style="271" customWidth="1"/>
    <col min="13574" max="13574" width="1.296875" style="271" customWidth="1"/>
    <col min="13575" max="13587" width="9.59765625" style="271" customWidth="1"/>
    <col min="13588" max="13613" width="8.09765625" style="271" customWidth="1"/>
    <col min="13614" max="13614" width="12.5" style="271" customWidth="1"/>
    <col min="13615" max="13617" width="8.09765625" style="271" customWidth="1"/>
    <col min="13618" max="13618" width="12.5" style="271" customWidth="1"/>
    <col min="13619" max="13619" width="10.5" style="271" customWidth="1"/>
    <col min="13620" max="13626" width="8.09765625" style="271" customWidth="1"/>
    <col min="13627" max="13627" width="8.796875" style="271" customWidth="1"/>
    <col min="13628" max="13634" width="8.09765625" style="271" customWidth="1"/>
    <col min="13635" max="13635" width="14" style="271" customWidth="1"/>
    <col min="13636" max="13824" width="8.09765625" style="271"/>
    <col min="13825" max="13825" width="10" style="271" customWidth="1"/>
    <col min="13826" max="13826" width="9.59765625" style="271" customWidth="1"/>
    <col min="13827" max="13827" width="11.796875" style="271" customWidth="1"/>
    <col min="13828" max="13828" width="8.09765625" style="271" customWidth="1"/>
    <col min="13829" max="13829" width="10.796875" style="271" customWidth="1"/>
    <col min="13830" max="13830" width="1.296875" style="271" customWidth="1"/>
    <col min="13831" max="13843" width="9.59765625" style="271" customWidth="1"/>
    <col min="13844" max="13869" width="8.09765625" style="271" customWidth="1"/>
    <col min="13870" max="13870" width="12.5" style="271" customWidth="1"/>
    <col min="13871" max="13873" width="8.09765625" style="271" customWidth="1"/>
    <col min="13874" max="13874" width="12.5" style="271" customWidth="1"/>
    <col min="13875" max="13875" width="10.5" style="271" customWidth="1"/>
    <col min="13876" max="13882" width="8.09765625" style="271" customWidth="1"/>
    <col min="13883" max="13883" width="8.796875" style="271" customWidth="1"/>
    <col min="13884" max="13890" width="8.09765625" style="271" customWidth="1"/>
    <col min="13891" max="13891" width="14" style="271" customWidth="1"/>
    <col min="13892" max="14080" width="8.09765625" style="271"/>
    <col min="14081" max="14081" width="10" style="271" customWidth="1"/>
    <col min="14082" max="14082" width="9.59765625" style="271" customWidth="1"/>
    <col min="14083" max="14083" width="11.796875" style="271" customWidth="1"/>
    <col min="14084" max="14084" width="8.09765625" style="271" customWidth="1"/>
    <col min="14085" max="14085" width="10.796875" style="271" customWidth="1"/>
    <col min="14086" max="14086" width="1.296875" style="271" customWidth="1"/>
    <col min="14087" max="14099" width="9.59765625" style="271" customWidth="1"/>
    <col min="14100" max="14125" width="8.09765625" style="271" customWidth="1"/>
    <col min="14126" max="14126" width="12.5" style="271" customWidth="1"/>
    <col min="14127" max="14129" width="8.09765625" style="271" customWidth="1"/>
    <col min="14130" max="14130" width="12.5" style="271" customWidth="1"/>
    <col min="14131" max="14131" width="10.5" style="271" customWidth="1"/>
    <col min="14132" max="14138" width="8.09765625" style="271" customWidth="1"/>
    <col min="14139" max="14139" width="8.796875" style="271" customWidth="1"/>
    <col min="14140" max="14146" width="8.09765625" style="271" customWidth="1"/>
    <col min="14147" max="14147" width="14" style="271" customWidth="1"/>
    <col min="14148" max="14336" width="8.09765625" style="271"/>
    <col min="14337" max="14337" width="10" style="271" customWidth="1"/>
    <col min="14338" max="14338" width="9.59765625" style="271" customWidth="1"/>
    <col min="14339" max="14339" width="11.796875" style="271" customWidth="1"/>
    <col min="14340" max="14340" width="8.09765625" style="271" customWidth="1"/>
    <col min="14341" max="14341" width="10.796875" style="271" customWidth="1"/>
    <col min="14342" max="14342" width="1.296875" style="271" customWidth="1"/>
    <col min="14343" max="14355" width="9.59765625" style="271" customWidth="1"/>
    <col min="14356" max="14381" width="8.09765625" style="271" customWidth="1"/>
    <col min="14382" max="14382" width="12.5" style="271" customWidth="1"/>
    <col min="14383" max="14385" width="8.09765625" style="271" customWidth="1"/>
    <col min="14386" max="14386" width="12.5" style="271" customWidth="1"/>
    <col min="14387" max="14387" width="10.5" style="271" customWidth="1"/>
    <col min="14388" max="14394" width="8.09765625" style="271" customWidth="1"/>
    <col min="14395" max="14395" width="8.796875" style="271" customWidth="1"/>
    <col min="14396" max="14402" width="8.09765625" style="271" customWidth="1"/>
    <col min="14403" max="14403" width="14" style="271" customWidth="1"/>
    <col min="14404" max="14592" width="8.09765625" style="271"/>
    <col min="14593" max="14593" width="10" style="271" customWidth="1"/>
    <col min="14594" max="14594" width="9.59765625" style="271" customWidth="1"/>
    <col min="14595" max="14595" width="11.796875" style="271" customWidth="1"/>
    <col min="14596" max="14596" width="8.09765625" style="271" customWidth="1"/>
    <col min="14597" max="14597" width="10.796875" style="271" customWidth="1"/>
    <col min="14598" max="14598" width="1.296875" style="271" customWidth="1"/>
    <col min="14599" max="14611" width="9.59765625" style="271" customWidth="1"/>
    <col min="14612" max="14637" width="8.09765625" style="271" customWidth="1"/>
    <col min="14638" max="14638" width="12.5" style="271" customWidth="1"/>
    <col min="14639" max="14641" width="8.09765625" style="271" customWidth="1"/>
    <col min="14642" max="14642" width="12.5" style="271" customWidth="1"/>
    <col min="14643" max="14643" width="10.5" style="271" customWidth="1"/>
    <col min="14644" max="14650" width="8.09765625" style="271" customWidth="1"/>
    <col min="14651" max="14651" width="8.796875" style="271" customWidth="1"/>
    <col min="14652" max="14658" width="8.09765625" style="271" customWidth="1"/>
    <col min="14659" max="14659" width="14" style="271" customWidth="1"/>
    <col min="14660" max="14848" width="8.09765625" style="271"/>
    <col min="14849" max="14849" width="10" style="271" customWidth="1"/>
    <col min="14850" max="14850" width="9.59765625" style="271" customWidth="1"/>
    <col min="14851" max="14851" width="11.796875" style="271" customWidth="1"/>
    <col min="14852" max="14852" width="8.09765625" style="271" customWidth="1"/>
    <col min="14853" max="14853" width="10.796875" style="271" customWidth="1"/>
    <col min="14854" max="14854" width="1.296875" style="271" customWidth="1"/>
    <col min="14855" max="14867" width="9.59765625" style="271" customWidth="1"/>
    <col min="14868" max="14893" width="8.09765625" style="271" customWidth="1"/>
    <col min="14894" max="14894" width="12.5" style="271" customWidth="1"/>
    <col min="14895" max="14897" width="8.09765625" style="271" customWidth="1"/>
    <col min="14898" max="14898" width="12.5" style="271" customWidth="1"/>
    <col min="14899" max="14899" width="10.5" style="271" customWidth="1"/>
    <col min="14900" max="14906" width="8.09765625" style="271" customWidth="1"/>
    <col min="14907" max="14907" width="8.796875" style="271" customWidth="1"/>
    <col min="14908" max="14914" width="8.09765625" style="271" customWidth="1"/>
    <col min="14915" max="14915" width="14" style="271" customWidth="1"/>
    <col min="14916" max="15104" width="8.09765625" style="271"/>
    <col min="15105" max="15105" width="10" style="271" customWidth="1"/>
    <col min="15106" max="15106" width="9.59765625" style="271" customWidth="1"/>
    <col min="15107" max="15107" width="11.796875" style="271" customWidth="1"/>
    <col min="15108" max="15108" width="8.09765625" style="271" customWidth="1"/>
    <col min="15109" max="15109" width="10.796875" style="271" customWidth="1"/>
    <col min="15110" max="15110" width="1.296875" style="271" customWidth="1"/>
    <col min="15111" max="15123" width="9.59765625" style="271" customWidth="1"/>
    <col min="15124" max="15149" width="8.09765625" style="271" customWidth="1"/>
    <col min="15150" max="15150" width="12.5" style="271" customWidth="1"/>
    <col min="15151" max="15153" width="8.09765625" style="271" customWidth="1"/>
    <col min="15154" max="15154" width="12.5" style="271" customWidth="1"/>
    <col min="15155" max="15155" width="10.5" style="271" customWidth="1"/>
    <col min="15156" max="15162" width="8.09765625" style="271" customWidth="1"/>
    <col min="15163" max="15163" width="8.796875" style="271" customWidth="1"/>
    <col min="15164" max="15170" width="8.09765625" style="271" customWidth="1"/>
    <col min="15171" max="15171" width="14" style="271" customWidth="1"/>
    <col min="15172" max="15360" width="8.09765625" style="271"/>
    <col min="15361" max="15361" width="10" style="271" customWidth="1"/>
    <col min="15362" max="15362" width="9.59765625" style="271" customWidth="1"/>
    <col min="15363" max="15363" width="11.796875" style="271" customWidth="1"/>
    <col min="15364" max="15364" width="8.09765625" style="271" customWidth="1"/>
    <col min="15365" max="15365" width="10.796875" style="271" customWidth="1"/>
    <col min="15366" max="15366" width="1.296875" style="271" customWidth="1"/>
    <col min="15367" max="15379" width="9.59765625" style="271" customWidth="1"/>
    <col min="15380" max="15405" width="8.09765625" style="271" customWidth="1"/>
    <col min="15406" max="15406" width="12.5" style="271" customWidth="1"/>
    <col min="15407" max="15409" width="8.09765625" style="271" customWidth="1"/>
    <col min="15410" max="15410" width="12.5" style="271" customWidth="1"/>
    <col min="15411" max="15411" width="10.5" style="271" customWidth="1"/>
    <col min="15412" max="15418" width="8.09765625" style="271" customWidth="1"/>
    <col min="15419" max="15419" width="8.796875" style="271" customWidth="1"/>
    <col min="15420" max="15426" width="8.09765625" style="271" customWidth="1"/>
    <col min="15427" max="15427" width="14" style="271" customWidth="1"/>
    <col min="15428" max="15616" width="8.09765625" style="271"/>
    <col min="15617" max="15617" width="10" style="271" customWidth="1"/>
    <col min="15618" max="15618" width="9.59765625" style="271" customWidth="1"/>
    <col min="15619" max="15619" width="11.796875" style="271" customWidth="1"/>
    <col min="15620" max="15620" width="8.09765625" style="271" customWidth="1"/>
    <col min="15621" max="15621" width="10.796875" style="271" customWidth="1"/>
    <col min="15622" max="15622" width="1.296875" style="271" customWidth="1"/>
    <col min="15623" max="15635" width="9.59765625" style="271" customWidth="1"/>
    <col min="15636" max="15661" width="8.09765625" style="271" customWidth="1"/>
    <col min="15662" max="15662" width="12.5" style="271" customWidth="1"/>
    <col min="15663" max="15665" width="8.09765625" style="271" customWidth="1"/>
    <col min="15666" max="15666" width="12.5" style="271" customWidth="1"/>
    <col min="15667" max="15667" width="10.5" style="271" customWidth="1"/>
    <col min="15668" max="15674" width="8.09765625" style="271" customWidth="1"/>
    <col min="15675" max="15675" width="8.796875" style="271" customWidth="1"/>
    <col min="15676" max="15682" width="8.09765625" style="271" customWidth="1"/>
    <col min="15683" max="15683" width="14" style="271" customWidth="1"/>
    <col min="15684" max="15872" width="8.09765625" style="271"/>
    <col min="15873" max="15873" width="10" style="271" customWidth="1"/>
    <col min="15874" max="15874" width="9.59765625" style="271" customWidth="1"/>
    <col min="15875" max="15875" width="11.796875" style="271" customWidth="1"/>
    <col min="15876" max="15876" width="8.09765625" style="271" customWidth="1"/>
    <col min="15877" max="15877" width="10.796875" style="271" customWidth="1"/>
    <col min="15878" max="15878" width="1.296875" style="271" customWidth="1"/>
    <col min="15879" max="15891" width="9.59765625" style="271" customWidth="1"/>
    <col min="15892" max="15917" width="8.09765625" style="271" customWidth="1"/>
    <col min="15918" max="15918" width="12.5" style="271" customWidth="1"/>
    <col min="15919" max="15921" width="8.09765625" style="271" customWidth="1"/>
    <col min="15922" max="15922" width="12.5" style="271" customWidth="1"/>
    <col min="15923" max="15923" width="10.5" style="271" customWidth="1"/>
    <col min="15924" max="15930" width="8.09765625" style="271" customWidth="1"/>
    <col min="15931" max="15931" width="8.796875" style="271" customWidth="1"/>
    <col min="15932" max="15938" width="8.09765625" style="271" customWidth="1"/>
    <col min="15939" max="15939" width="14" style="271" customWidth="1"/>
    <col min="15940" max="16128" width="8.09765625" style="271"/>
    <col min="16129" max="16129" width="10" style="271" customWidth="1"/>
    <col min="16130" max="16130" width="9.59765625" style="271" customWidth="1"/>
    <col min="16131" max="16131" width="11.796875" style="271" customWidth="1"/>
    <col min="16132" max="16132" width="8.09765625" style="271" customWidth="1"/>
    <col min="16133" max="16133" width="10.796875" style="271" customWidth="1"/>
    <col min="16134" max="16134" width="1.296875" style="271" customWidth="1"/>
    <col min="16135" max="16147" width="9.59765625" style="271" customWidth="1"/>
    <col min="16148" max="16173" width="8.09765625" style="271" customWidth="1"/>
    <col min="16174" max="16174" width="12.5" style="271" customWidth="1"/>
    <col min="16175" max="16177" width="8.09765625" style="271" customWidth="1"/>
    <col min="16178" max="16178" width="12.5" style="271" customWidth="1"/>
    <col min="16179" max="16179" width="10.5" style="271" customWidth="1"/>
    <col min="16180" max="16186" width="8.09765625" style="271" customWidth="1"/>
    <col min="16187" max="16187" width="8.796875" style="271" customWidth="1"/>
    <col min="16188" max="16194" width="8.09765625" style="271" customWidth="1"/>
    <col min="16195" max="16195" width="14" style="271" customWidth="1"/>
    <col min="16196" max="16384" width="8.09765625" style="271"/>
  </cols>
  <sheetData>
    <row r="1" spans="1:71" s="263" customFormat="1" ht="17.25" customHeight="1" x14ac:dyDescent="0.25">
      <c r="A1" s="263" t="s">
        <v>1031</v>
      </c>
      <c r="B1" s="264" t="s">
        <v>1032</v>
      </c>
      <c r="D1" s="265" t="s">
        <v>308</v>
      </c>
      <c r="E1" s="266" t="s">
        <v>309</v>
      </c>
      <c r="F1" s="267"/>
      <c r="G1" s="265" t="s">
        <v>1033</v>
      </c>
      <c r="H1" s="268">
        <v>43291</v>
      </c>
      <c r="J1" s="265" t="s">
        <v>1034</v>
      </c>
      <c r="K1" s="264" t="s">
        <v>289</v>
      </c>
      <c r="M1" s="265" t="s">
        <v>1035</v>
      </c>
      <c r="N1" s="268" t="s">
        <v>1036</v>
      </c>
      <c r="P1" s="265" t="s">
        <v>1037</v>
      </c>
      <c r="Q1" s="677" t="s">
        <v>1038</v>
      </c>
      <c r="R1" s="678"/>
      <c r="S1" s="679"/>
      <c r="Z1" s="269"/>
      <c r="AJ1" s="270" t="str">
        <f>_xll.ciqfunctions.udf.CIQ("3602","iq_ev_over_ltm_ebitda")</f>
        <v>#CIQINACTIVE</v>
      </c>
    </row>
    <row r="2" spans="1:71" x14ac:dyDescent="0.25">
      <c r="A2" s="271"/>
      <c r="B2" s="271"/>
      <c r="C2" s="271"/>
      <c r="D2" s="271"/>
      <c r="E2" s="271"/>
      <c r="F2" s="271"/>
      <c r="G2" s="271"/>
      <c r="H2" s="271"/>
      <c r="I2" s="271"/>
      <c r="J2" s="271"/>
      <c r="K2" s="271"/>
      <c r="L2" s="271"/>
      <c r="M2" s="271"/>
      <c r="N2" s="271"/>
      <c r="O2" s="271"/>
      <c r="P2" s="271"/>
      <c r="Q2" s="271"/>
      <c r="R2" s="271"/>
      <c r="S2" s="271"/>
      <c r="T2" s="271"/>
      <c r="U2" s="271"/>
      <c r="V2" s="271"/>
      <c r="Z2" s="272"/>
    </row>
    <row r="3" spans="1:71" ht="30" customHeight="1" x14ac:dyDescent="0.5">
      <c r="A3" s="273" t="s">
        <v>1039</v>
      </c>
      <c r="B3" s="274"/>
      <c r="C3" s="274"/>
      <c r="D3" s="274"/>
      <c r="E3" s="274"/>
      <c r="F3" s="274"/>
      <c r="G3" s="274"/>
      <c r="H3" s="274"/>
      <c r="I3" s="274"/>
      <c r="J3" s="274"/>
      <c r="K3" s="274"/>
      <c r="L3" s="274"/>
      <c r="M3" s="274"/>
      <c r="N3" s="274"/>
      <c r="O3" s="274"/>
      <c r="P3" s="274"/>
      <c r="Q3" s="274"/>
      <c r="R3" s="274"/>
      <c r="S3" s="274"/>
      <c r="T3" s="271"/>
      <c r="U3" s="271"/>
      <c r="V3" s="271"/>
      <c r="Z3" s="272"/>
    </row>
    <row r="4" spans="1:71" ht="17.399999999999999" x14ac:dyDescent="0.3">
      <c r="A4" s="275" t="s">
        <v>1586</v>
      </c>
      <c r="B4" s="271"/>
      <c r="C4" s="271"/>
      <c r="D4" s="271"/>
      <c r="E4" s="271"/>
      <c r="F4" s="271"/>
      <c r="G4" s="271"/>
      <c r="H4" s="271"/>
      <c r="I4" s="271"/>
      <c r="J4" s="271"/>
      <c r="K4" s="271"/>
      <c r="L4" s="271"/>
      <c r="M4" s="271"/>
      <c r="N4" s="271"/>
      <c r="O4" s="271"/>
      <c r="P4" s="271"/>
      <c r="Q4" s="271"/>
      <c r="R4" s="271"/>
      <c r="S4" s="271"/>
      <c r="T4" s="271"/>
      <c r="U4" s="271"/>
      <c r="V4" s="271"/>
      <c r="Z4" s="276"/>
    </row>
    <row r="5" spans="1:71" ht="12" customHeight="1" x14ac:dyDescent="0.25">
      <c r="A5" s="277" t="s">
        <v>1587</v>
      </c>
      <c r="B5" s="271"/>
      <c r="C5" s="271"/>
      <c r="D5" s="271"/>
      <c r="E5" s="271"/>
      <c r="F5" s="271"/>
      <c r="G5" s="271"/>
      <c r="H5" s="271"/>
      <c r="I5" s="271"/>
      <c r="J5" s="271"/>
      <c r="K5" s="271"/>
      <c r="L5" s="271"/>
      <c r="M5" s="271"/>
      <c r="N5" s="271"/>
      <c r="O5" s="271"/>
      <c r="P5" s="271"/>
      <c r="Q5" s="271"/>
      <c r="R5" s="271"/>
      <c r="S5" s="271"/>
      <c r="T5" s="271"/>
      <c r="U5" s="278"/>
      <c r="V5" s="271"/>
      <c r="Z5" s="279"/>
    </row>
    <row r="6" spans="1:71" ht="12" customHeight="1" x14ac:dyDescent="0.25">
      <c r="A6" s="271"/>
      <c r="B6" s="271"/>
      <c r="C6" s="271"/>
      <c r="D6" s="271"/>
      <c r="E6" s="271"/>
      <c r="F6" s="271"/>
      <c r="G6" s="271"/>
      <c r="H6" s="271"/>
      <c r="I6" s="271"/>
      <c r="J6" s="271"/>
      <c r="K6" s="271"/>
      <c r="L6" s="271"/>
      <c r="M6" s="271"/>
      <c r="N6" s="271"/>
      <c r="O6" s="271"/>
      <c r="P6" s="271"/>
      <c r="Q6" s="271"/>
      <c r="R6" s="271"/>
      <c r="S6" s="271"/>
      <c r="T6" s="271"/>
      <c r="W6" s="267"/>
      <c r="X6" s="267"/>
      <c r="Y6" s="267"/>
      <c r="Z6" s="267"/>
    </row>
    <row r="7" spans="1:71" ht="15" customHeight="1" x14ac:dyDescent="0.25">
      <c r="A7" s="280" t="s">
        <v>1040</v>
      </c>
      <c r="B7" s="281"/>
      <c r="C7" s="281"/>
      <c r="D7" s="281"/>
      <c r="E7" s="281"/>
      <c r="F7" s="281"/>
      <c r="G7" s="282"/>
      <c r="H7" s="282"/>
      <c r="I7" s="271"/>
      <c r="J7" s="280" t="s">
        <v>1041</v>
      </c>
      <c r="K7" s="281"/>
      <c r="L7" s="281"/>
      <c r="M7" s="281"/>
      <c r="N7" s="282"/>
      <c r="O7" s="282"/>
      <c r="P7" s="282"/>
      <c r="Q7" s="282"/>
      <c r="R7" s="282"/>
      <c r="S7" s="282"/>
      <c r="T7" s="271"/>
      <c r="W7" s="267"/>
      <c r="X7" s="267"/>
      <c r="Y7" s="267"/>
      <c r="Z7" s="267"/>
    </row>
    <row r="8" spans="1:71" ht="12" customHeight="1" x14ac:dyDescent="0.25">
      <c r="A8" s="271"/>
      <c r="B8" s="271"/>
      <c r="C8" s="271"/>
      <c r="D8" s="271"/>
      <c r="E8" s="271"/>
      <c r="F8" s="271"/>
      <c r="G8" s="271"/>
      <c r="H8" s="271"/>
      <c r="I8" s="271"/>
      <c r="J8" s="271"/>
      <c r="K8" s="271"/>
      <c r="L8" s="265" t="s">
        <v>1042</v>
      </c>
      <c r="M8" s="265" t="s">
        <v>1043</v>
      </c>
      <c r="N8" s="265" t="s">
        <v>7</v>
      </c>
      <c r="O8" s="265" t="s">
        <v>1044</v>
      </c>
      <c r="P8" s="265" t="s">
        <v>1045</v>
      </c>
      <c r="Q8" s="265" t="s">
        <v>1046</v>
      </c>
      <c r="R8" s="265" t="s">
        <v>1047</v>
      </c>
      <c r="S8" s="265" t="s">
        <v>1048</v>
      </c>
      <c r="T8" s="271"/>
      <c r="U8" s="283" t="s">
        <v>1049</v>
      </c>
      <c r="V8" s="284"/>
      <c r="W8" s="284"/>
      <c r="X8" s="284"/>
      <c r="Y8" s="284"/>
      <c r="Z8" s="284"/>
      <c r="AN8" s="285"/>
      <c r="AX8" s="271">
        <f>MATCH($C$22,$AX$12:$AX$123,0)</f>
        <v>102</v>
      </c>
      <c r="AY8" s="271">
        <f>COUNTIF($AX$12:$AX$123,$C$22)</f>
        <v>11</v>
      </c>
    </row>
    <row r="9" spans="1:71" ht="12" customHeight="1" x14ac:dyDescent="0.25">
      <c r="A9" s="271" t="s">
        <v>1050</v>
      </c>
      <c r="B9" s="271"/>
      <c r="C9" s="271"/>
      <c r="D9" s="271"/>
      <c r="E9" s="271"/>
      <c r="F9" s="271"/>
      <c r="G9" s="271"/>
      <c r="H9" s="286">
        <v>0.21</v>
      </c>
      <c r="I9" s="271"/>
      <c r="J9" s="287" t="s">
        <v>1031</v>
      </c>
      <c r="K9" s="288" t="s">
        <v>1051</v>
      </c>
      <c r="L9" s="289" t="s">
        <v>1052</v>
      </c>
      <c r="M9" s="289" t="s">
        <v>1053</v>
      </c>
      <c r="N9" s="289" t="s">
        <v>957</v>
      </c>
      <c r="O9" s="289" t="s">
        <v>1054</v>
      </c>
      <c r="P9" s="289" t="s">
        <v>1054</v>
      </c>
      <c r="Q9" s="289" t="s">
        <v>1054</v>
      </c>
      <c r="R9" s="289" t="s">
        <v>1054</v>
      </c>
      <c r="S9" s="289" t="s">
        <v>1055</v>
      </c>
      <c r="T9" s="271"/>
      <c r="U9" s="284" t="s">
        <v>502</v>
      </c>
      <c r="V9" s="284"/>
      <c r="W9" s="284"/>
      <c r="X9" s="284"/>
      <c r="Y9" s="284"/>
      <c r="Z9" s="290">
        <v>51.113999999999997</v>
      </c>
      <c r="AN9" s="285"/>
      <c r="BK9" s="291" t="e">
        <f>AVERAGEIF(BK11:BK15,"&gt;0",BK11:BK15)</f>
        <v>#DIV/0!</v>
      </c>
      <c r="BS9" s="291">
        <f>IF(ISERROR(AVERAGEIF(BS11:BS511,"&gt;0",BS11:BS511)),0,AVERAGEIF(BS11:BS511,"&gt;0",BS11:BS511))</f>
        <v>0</v>
      </c>
    </row>
    <row r="10" spans="1:71" ht="12" customHeight="1" x14ac:dyDescent="0.25">
      <c r="A10" s="271" t="s">
        <v>1056</v>
      </c>
      <c r="B10" s="271"/>
      <c r="C10" s="271"/>
      <c r="D10" s="271"/>
      <c r="E10" s="271"/>
      <c r="F10" s="271"/>
      <c r="G10" s="271"/>
      <c r="H10" s="292">
        <v>2.87E-2</v>
      </c>
      <c r="I10" s="271"/>
      <c r="J10" s="293" t="s">
        <v>1588</v>
      </c>
      <c r="K10" s="294" t="s">
        <v>1474</v>
      </c>
      <c r="L10" s="295">
        <v>0.37530250000000004</v>
      </c>
      <c r="M10" s="296">
        <v>0.14796999999999999</v>
      </c>
      <c r="N10" s="297">
        <v>47.634</v>
      </c>
      <c r="O10" s="297">
        <v>195.64016000000001</v>
      </c>
      <c r="P10" s="297">
        <v>0</v>
      </c>
      <c r="Q10" s="298">
        <v>0.24347761727449005</v>
      </c>
      <c r="R10" s="298">
        <v>0</v>
      </c>
      <c r="S10" s="299">
        <v>0.12843504742019166</v>
      </c>
      <c r="T10" s="300">
        <v>1</v>
      </c>
      <c r="U10" s="284" t="s">
        <v>1057</v>
      </c>
      <c r="V10" s="284"/>
      <c r="W10" s="284"/>
      <c r="X10" s="284"/>
      <c r="Y10" s="284"/>
      <c r="Z10" s="290">
        <v>0</v>
      </c>
      <c r="AN10" s="285"/>
      <c r="BF10" s="263" t="str">
        <f>_xll.ciqfunctions.udf.CIQRANGE($B$1,"iq_bond_list",1,500,,,,,"Bonds")</f>
        <v>#CIQINACTIVE</v>
      </c>
      <c r="BG10" s="265" t="s">
        <v>1058</v>
      </c>
      <c r="BH10" s="265"/>
      <c r="BK10" s="265" t="s">
        <v>1059</v>
      </c>
      <c r="BN10" s="263" t="str">
        <f>_xll.ciqfunctions.udf.CIQRANGE($B$1,"iq_fixed_income_list",1,500,,,,,"Fixed Income")</f>
        <v>#CIQINACTIVE</v>
      </c>
      <c r="BR10" s="263" t="s">
        <v>1060</v>
      </c>
      <c r="BS10" s="265" t="s">
        <v>1059</v>
      </c>
    </row>
    <row r="11" spans="1:71" ht="12" customHeight="1" x14ac:dyDescent="0.25">
      <c r="A11" s="271" t="s">
        <v>1589</v>
      </c>
      <c r="B11" s="271"/>
      <c r="C11" s="271"/>
      <c r="D11" s="271"/>
      <c r="E11" s="271"/>
      <c r="F11" s="271"/>
      <c r="G11" s="271"/>
      <c r="H11" s="286">
        <v>8.0373749999999994E-2</v>
      </c>
      <c r="I11" s="271"/>
      <c r="J11" s="293" t="s">
        <v>1590</v>
      </c>
      <c r="K11" s="294" t="s">
        <v>1479</v>
      </c>
      <c r="L11" s="295">
        <v>0.38295360000000001</v>
      </c>
      <c r="M11" s="296">
        <v>0.4133</v>
      </c>
      <c r="N11" s="297">
        <v>0</v>
      </c>
      <c r="O11" s="297">
        <v>12624.019319999999</v>
      </c>
      <c r="P11" s="297">
        <v>0</v>
      </c>
      <c r="Q11" s="298">
        <v>0</v>
      </c>
      <c r="R11" s="298">
        <v>0</v>
      </c>
      <c r="S11" s="299">
        <v>0.4133</v>
      </c>
      <c r="T11" s="300">
        <f>T10+1</f>
        <v>2</v>
      </c>
      <c r="U11" s="284" t="s">
        <v>1061</v>
      </c>
      <c r="V11" s="284"/>
      <c r="W11" s="284"/>
      <c r="X11" s="284"/>
      <c r="Y11" s="284"/>
      <c r="Z11" s="290">
        <v>1771.5912800000001</v>
      </c>
      <c r="AN11" s="285"/>
      <c r="AT11" s="263" t="s">
        <v>1062</v>
      </c>
      <c r="AU11" s="263"/>
      <c r="AV11" s="263" t="s">
        <v>1063</v>
      </c>
      <c r="AX11" s="263" t="s">
        <v>1062</v>
      </c>
      <c r="AY11" s="263" t="s">
        <v>1064</v>
      </c>
      <c r="AZ11" s="263" t="s">
        <v>1051</v>
      </c>
      <c r="BG11" s="301" t="str">
        <f>IF($BF11="","",_xll.ciqfunctions.udf.CIQ($BF11,"iq_offer_date"))</f>
        <v/>
      </c>
      <c r="BH11" s="302" t="str">
        <f>IF($BF11="","",RANK(BG11,$BG$11:$BG$511)+COUNTIF($BG$11:BG11,BG11)-1)</f>
        <v/>
      </c>
      <c r="BI11" s="271">
        <v>1</v>
      </c>
      <c r="BJ11" s="303" t="e">
        <f>IF(INDEX($BF$11:$BF$511,MATCH(BI11,$BH$11:$BH$511,0))=0,"NA",INDEX($BF$11:$BF$511,MATCH(BI11,$BH$11:$BH$511,0)))</f>
        <v>#N/A</v>
      </c>
      <c r="BK11" s="291" t="e">
        <f>IF($BJ11="NA","NA",_xll.ciqfunctions.udf.CIQ($BJ11,"iq_bond_coupon")/100)</f>
        <v>#N/A</v>
      </c>
      <c r="BM11" s="271">
        <v>1</v>
      </c>
      <c r="BO11" s="304" t="str">
        <f>IF($BN11="","",_xll.ciqfunctions.udf.CIQ($BN11,"iq_security_level"))</f>
        <v/>
      </c>
      <c r="BP11" s="271" t="str">
        <f>IF(BN11="","",IF(BO11="Preferred",1,0))</f>
        <v/>
      </c>
      <c r="BR11" s="271" t="str">
        <f t="shared" ref="BR11:BR52" si="0">IF($BN11="","",IF(ISERROR(INDEX($BN$11:$BN$510,MATCH(BM11,$BP$11:$BP$510,0))),"",INDEX($BN$11:$BN$510,MATCH(BM11,$BP$11:$BP$510,0))))</f>
        <v/>
      </c>
      <c r="BS11" s="305" t="str">
        <f>IF($BR11="","",_xll.ciqfunctions.udf.CIQ($BR11,"iq_bond_coupon")/100)</f>
        <v/>
      </c>
    </row>
    <row r="12" spans="1:71" ht="12" customHeight="1" x14ac:dyDescent="0.25">
      <c r="A12" s="271" t="s">
        <v>1065</v>
      </c>
      <c r="B12" s="271"/>
      <c r="C12" s="271"/>
      <c r="D12" s="271"/>
      <c r="E12" s="271"/>
      <c r="F12" s="271"/>
      <c r="G12" s="271"/>
      <c r="H12" s="286">
        <v>0</v>
      </c>
      <c r="I12" s="271"/>
      <c r="J12" s="293" t="s">
        <v>1591</v>
      </c>
      <c r="K12" s="294" t="s">
        <v>1484</v>
      </c>
      <c r="L12" s="295">
        <v>0.40046100000000001</v>
      </c>
      <c r="M12" s="296">
        <v>-0.62773000000000001</v>
      </c>
      <c r="N12" s="297">
        <v>62.871000000000002</v>
      </c>
      <c r="O12" s="297">
        <v>489.81043</v>
      </c>
      <c r="P12" s="297">
        <v>0</v>
      </c>
      <c r="Q12" s="298">
        <v>0.12835782202514553</v>
      </c>
      <c r="R12" s="298">
        <v>0</v>
      </c>
      <c r="S12" s="299">
        <v>-0.5828745832037312</v>
      </c>
      <c r="T12" s="300">
        <f>T11+1</f>
        <v>3</v>
      </c>
      <c r="U12" s="284" t="s">
        <v>1066</v>
      </c>
      <c r="V12" s="284"/>
      <c r="W12" s="284"/>
      <c r="X12" s="284"/>
      <c r="Y12" s="284"/>
      <c r="Z12" s="290">
        <v>160.94999999999999</v>
      </c>
      <c r="AN12" s="285"/>
      <c r="AS12" s="271">
        <v>1</v>
      </c>
      <c r="AT12" s="271" t="s">
        <v>1067</v>
      </c>
      <c r="AU12" s="271" t="s">
        <v>1068</v>
      </c>
      <c r="AV12" s="271" t="s">
        <v>1069</v>
      </c>
      <c r="AX12" s="271" t="s">
        <v>1067</v>
      </c>
      <c r="AY12" s="271" t="s">
        <v>1070</v>
      </c>
      <c r="AZ12" s="271" t="s">
        <v>1071</v>
      </c>
      <c r="BG12" s="301" t="str">
        <f>IF($BF12="","",_xll.ciqfunctions.udf.CIQ($BF12,"iq_offer_date"))</f>
        <v/>
      </c>
      <c r="BH12" s="302" t="str">
        <f>IF($BF12="","",RANK(BG12,$BG$11:$BG$511)+COUNTIF($BG$11:BG12,BG12)-1)</f>
        <v/>
      </c>
      <c r="BI12" s="271">
        <f>BI11+1</f>
        <v>2</v>
      </c>
      <c r="BJ12" s="303" t="e">
        <f>IF(INDEX($BF$11:$BF$511,MATCH(BI12,$BH$11:$BH$511,0))=0,"NA",INDEX($BF$11:$BF$511,MATCH(BI12,$BH$11:$BH$511,0)))</f>
        <v>#N/A</v>
      </c>
      <c r="BK12" s="291" t="e">
        <f>IF($BJ12="NA","NA",_xll.ciqfunctions.udf.CIQ($BJ12,"iq_bond_coupon")/100)</f>
        <v>#N/A</v>
      </c>
      <c r="BM12" s="271">
        <f>BM11+1</f>
        <v>2</v>
      </c>
      <c r="BO12" s="304" t="str">
        <f>IF($BN12="","",_xll.ciqfunctions.udf.CIQ($BN12,"iq_security_level"))</f>
        <v/>
      </c>
      <c r="BP12" s="271" t="str">
        <f>IF(BN12="","",IF(BO12="Preferred",BP11+1,BP11))</f>
        <v/>
      </c>
      <c r="BR12" s="271" t="str">
        <f t="shared" si="0"/>
        <v/>
      </c>
      <c r="BS12" s="305" t="str">
        <f>IF($BR12="","",_xll.ciqfunctions.udf.CIQ($BR12,"iq_bond_coupon")/100)</f>
        <v/>
      </c>
    </row>
    <row r="13" spans="1:71" ht="12" customHeight="1" x14ac:dyDescent="0.25">
      <c r="A13" s="271" t="s">
        <v>1592</v>
      </c>
      <c r="B13" s="271"/>
      <c r="C13" s="271"/>
      <c r="D13" s="271"/>
      <c r="E13" s="271"/>
      <c r="F13" s="271"/>
      <c r="G13" s="271"/>
      <c r="H13" s="305">
        <v>2.8042931877609964E-2</v>
      </c>
      <c r="I13" s="271"/>
      <c r="J13" s="293" t="s">
        <v>1593</v>
      </c>
      <c r="K13" s="294" t="s">
        <v>1488</v>
      </c>
      <c r="L13" s="295">
        <v>0.3894688</v>
      </c>
      <c r="M13" s="296">
        <v>0.52329000000000003</v>
      </c>
      <c r="N13" s="297">
        <v>17.221</v>
      </c>
      <c r="O13" s="297">
        <v>215.29553000000001</v>
      </c>
      <c r="P13" s="297">
        <v>0</v>
      </c>
      <c r="Q13" s="298">
        <v>7.9987726637891637E-2</v>
      </c>
      <c r="R13" s="298">
        <v>0</v>
      </c>
      <c r="S13" s="299">
        <v>0.49892499643717297</v>
      </c>
      <c r="T13" s="300">
        <f>T12+1</f>
        <v>4</v>
      </c>
      <c r="U13" s="284" t="s">
        <v>1072</v>
      </c>
      <c r="V13" s="284"/>
      <c r="W13" s="284"/>
      <c r="X13" s="284"/>
      <c r="Y13" s="284"/>
      <c r="Z13" s="290">
        <v>150.94900000000001</v>
      </c>
      <c r="AN13" s="285"/>
      <c r="AS13" s="271">
        <f t="shared" ref="AS13:AS30" si="1">AS12+1</f>
        <v>2</v>
      </c>
      <c r="AT13" s="271" t="s">
        <v>1073</v>
      </c>
      <c r="AU13" s="271" t="s">
        <v>1074</v>
      </c>
      <c r="AV13" s="271" t="s">
        <v>1075</v>
      </c>
      <c r="AX13" s="271" t="s">
        <v>1067</v>
      </c>
      <c r="AY13" s="271" t="s">
        <v>1076</v>
      </c>
      <c r="AZ13" s="271" t="s">
        <v>1077</v>
      </c>
      <c r="BG13" s="301" t="str">
        <f>IF($BF13="","",_xll.ciqfunctions.udf.CIQ($BF13,"iq_offer_date"))</f>
        <v/>
      </c>
      <c r="BH13" s="302" t="str">
        <f>IF($BF13="","",RANK(BG13,$BG$11:$BG$511)+COUNTIF($BG$11:BG13,BG13)-1)</f>
        <v/>
      </c>
      <c r="BI13" s="271">
        <f>BI12+1</f>
        <v>3</v>
      </c>
      <c r="BJ13" s="303" t="e">
        <f>IF(INDEX($BF$11:$BF$511,MATCH(BI13,$BH$11:$BH$511,0))=0,"NA",INDEX($BF$11:$BF$511,MATCH(BI13,$BH$11:$BH$511,0)))</f>
        <v>#N/A</v>
      </c>
      <c r="BK13" s="291" t="e">
        <f>IF($BJ13="NA","NA",_xll.ciqfunctions.udf.CIQ($BJ13,"iq_bond_coupon")/100)</f>
        <v>#N/A</v>
      </c>
      <c r="BM13" s="271">
        <f t="shared" ref="BM13:BM76" si="2">BM12+1</f>
        <v>3</v>
      </c>
      <c r="BO13" s="304" t="str">
        <f>IF($BN13="","",_xll.ciqfunctions.udf.CIQ($BN13,"iq_security_level"))</f>
        <v/>
      </c>
      <c r="BP13" s="271" t="str">
        <f t="shared" ref="BP13:BP76" si="3">IF(BN13="","",IF(BO13="Preferred",BP12+1,BP12))</f>
        <v/>
      </c>
      <c r="BR13" s="271" t="str">
        <f t="shared" si="0"/>
        <v/>
      </c>
      <c r="BS13" s="305" t="str">
        <f>IF($BR13="","",_xll.ciqfunctions.udf.CIQ($BR13,"iq_bond_coupon")/100)</f>
        <v/>
      </c>
    </row>
    <row r="14" spans="1:71" ht="12" customHeight="1" x14ac:dyDescent="0.25">
      <c r="A14" s="271" t="s">
        <v>1594</v>
      </c>
      <c r="B14" s="271"/>
      <c r="C14" s="271"/>
      <c r="D14" s="271"/>
      <c r="E14" s="271"/>
      <c r="F14" s="271"/>
      <c r="G14" s="271"/>
      <c r="H14" s="305">
        <v>2.8852027314110507E-2</v>
      </c>
      <c r="I14" s="271"/>
      <c r="J14" s="293" t="s">
        <v>1595</v>
      </c>
      <c r="K14" s="294" t="s">
        <v>1492</v>
      </c>
      <c r="L14" s="295">
        <v>0.3518153</v>
      </c>
      <c r="M14" s="296">
        <v>0.56057000000000001</v>
      </c>
      <c r="N14" s="297">
        <v>2808.0210000000002</v>
      </c>
      <c r="O14" s="297">
        <v>4188.6275100000003</v>
      </c>
      <c r="P14" s="297">
        <v>0</v>
      </c>
      <c r="Q14" s="298">
        <v>0.67039167204438288</v>
      </c>
      <c r="R14" s="298">
        <v>0</v>
      </c>
      <c r="S14" s="299">
        <v>0.39076702506688471</v>
      </c>
      <c r="T14" s="300">
        <f>T13+1</f>
        <v>5</v>
      </c>
      <c r="U14" s="271" t="s">
        <v>1078</v>
      </c>
      <c r="V14" s="271"/>
      <c r="Z14" s="306">
        <v>43096</v>
      </c>
      <c r="AN14" s="307"/>
      <c r="AP14" s="307"/>
      <c r="AS14" s="271">
        <f t="shared" si="1"/>
        <v>3</v>
      </c>
      <c r="AT14" s="271" t="s">
        <v>1079</v>
      </c>
      <c r="AU14" s="271" t="s">
        <v>1080</v>
      </c>
      <c r="AV14" s="271" t="s">
        <v>1081</v>
      </c>
      <c r="AX14" s="271" t="s">
        <v>1067</v>
      </c>
      <c r="AY14" s="271" t="s">
        <v>1082</v>
      </c>
      <c r="AZ14" s="271" t="s">
        <v>1083</v>
      </c>
      <c r="BG14" s="301" t="str">
        <f>IF($BF14="","",_xll.ciqfunctions.udf.CIQ($BF14,"iq_offer_date"))</f>
        <v/>
      </c>
      <c r="BH14" s="302" t="str">
        <f>IF($BF14="","",RANK(BG14,$BG$11:$BG$511)+COUNTIF($BG$11:BG14,BG14)-1)</f>
        <v/>
      </c>
      <c r="BI14" s="271">
        <f>BI13+1</f>
        <v>4</v>
      </c>
      <c r="BJ14" s="303" t="e">
        <f>IF(INDEX($BF$11:$BF$511,MATCH(BI14,$BH$11:$BH$511,0))=0,"NA",INDEX($BF$11:$BF$511,MATCH(BI14,$BH$11:$BH$511,0)))</f>
        <v>#N/A</v>
      </c>
      <c r="BK14" s="291" t="e">
        <f>IF($BJ14="NA","NA",_xll.ciqfunctions.udf.CIQ($BJ14,"iq_bond_coupon")/100)</f>
        <v>#N/A</v>
      </c>
      <c r="BM14" s="271">
        <f t="shared" si="2"/>
        <v>4</v>
      </c>
      <c r="BO14" s="304" t="str">
        <f>IF($BN14="","",_xll.ciqfunctions.udf.CIQ($BN14,"iq_security_level"))</f>
        <v/>
      </c>
      <c r="BP14" s="271" t="str">
        <f t="shared" si="3"/>
        <v/>
      </c>
      <c r="BR14" s="271" t="str">
        <f t="shared" si="0"/>
        <v/>
      </c>
      <c r="BS14" s="305" t="str">
        <f>IF($BR14="","",_xll.ciqfunctions.udf.CIQ($BR14,"iq_bond_coupon")/100)</f>
        <v/>
      </c>
    </row>
    <row r="15" spans="1:71" ht="12" customHeight="1" x14ac:dyDescent="0.25">
      <c r="A15" s="271" t="s">
        <v>1596</v>
      </c>
      <c r="B15" s="272"/>
      <c r="C15" s="272"/>
      <c r="D15" s="272"/>
      <c r="E15" s="272"/>
      <c r="F15" s="272"/>
      <c r="G15" s="272"/>
      <c r="H15" s="305">
        <v>0</v>
      </c>
      <c r="I15" s="271"/>
      <c r="J15" s="293" t="s">
        <v>1597</v>
      </c>
      <c r="K15" s="294" t="s">
        <v>1497</v>
      </c>
      <c r="L15" s="295">
        <v>0.33893880000000004</v>
      </c>
      <c r="M15" s="296">
        <v>0.68144000000000005</v>
      </c>
      <c r="N15" s="297">
        <v>30888</v>
      </c>
      <c r="O15" s="297">
        <v>126115.19366999999</v>
      </c>
      <c r="P15" s="297">
        <v>0</v>
      </c>
      <c r="Q15" s="298">
        <v>0.2449189435558673</v>
      </c>
      <c r="R15" s="298">
        <v>0</v>
      </c>
      <c r="S15" s="299">
        <v>0.58648441363878789</v>
      </c>
      <c r="T15" s="300">
        <f>T14+1</f>
        <v>6</v>
      </c>
      <c r="U15" s="271" t="s">
        <v>1084</v>
      </c>
      <c r="V15" s="271"/>
      <c r="Z15" s="306">
        <v>43187</v>
      </c>
      <c r="AN15" s="307"/>
      <c r="AP15" s="307"/>
      <c r="AS15" s="271">
        <f t="shared" si="1"/>
        <v>4</v>
      </c>
      <c r="AT15" s="271" t="s">
        <v>1085</v>
      </c>
      <c r="AU15" s="271" t="s">
        <v>1086</v>
      </c>
      <c r="AV15" s="271" t="s">
        <v>1087</v>
      </c>
      <c r="AX15" s="271" t="s">
        <v>1067</v>
      </c>
      <c r="AY15" s="271" t="s">
        <v>1088</v>
      </c>
      <c r="AZ15" s="271" t="s">
        <v>1089</v>
      </c>
      <c r="BG15" s="301" t="str">
        <f>IF($BF15="","",_xll.ciqfunctions.udf.CIQ($BF15,"iq_offer_date"))</f>
        <v/>
      </c>
      <c r="BH15" s="302" t="str">
        <f>IF($BF15="","",RANK(BG15,$BG$11:$BG$511)+COUNTIF($BG$11:BG15,BG15)-1)</f>
        <v/>
      </c>
      <c r="BI15" s="271">
        <f>BI14+1</f>
        <v>5</v>
      </c>
      <c r="BJ15" s="303" t="e">
        <f>IF(INDEX($BF$11:$BF$511,MATCH(BI15,$BH$11:$BH$511,0))=0,"NA",INDEX($BF$11:$BF$511,MATCH(BI15,$BH$11:$BH$511,0)))</f>
        <v>#N/A</v>
      </c>
      <c r="BK15" s="291" t="e">
        <f>IF($BJ15="NA","NA",_xll.ciqfunctions.udf.CIQ($BJ15,"iq_bond_coupon")/100)</f>
        <v>#N/A</v>
      </c>
      <c r="BM15" s="271">
        <f t="shared" si="2"/>
        <v>5</v>
      </c>
      <c r="BO15" s="304" t="str">
        <f>IF($BN15="","",_xll.ciqfunctions.udf.CIQ($BN15,"iq_security_level"))</f>
        <v/>
      </c>
      <c r="BP15" s="271" t="str">
        <f t="shared" si="3"/>
        <v/>
      </c>
      <c r="BR15" s="271" t="str">
        <f t="shared" si="0"/>
        <v/>
      </c>
      <c r="BS15" s="305" t="str">
        <f>IF($BR15="","",_xll.ciqfunctions.udf.CIQ($BR15,"iq_bond_coupon")/100)</f>
        <v/>
      </c>
    </row>
    <row r="16" spans="1:71" ht="12" customHeight="1" x14ac:dyDescent="0.25">
      <c r="A16" s="271" t="s">
        <v>1090</v>
      </c>
      <c r="B16" s="271"/>
      <c r="C16" s="271"/>
      <c r="D16" s="271"/>
      <c r="E16" s="271"/>
      <c r="F16" s="271"/>
      <c r="G16" s="680" t="s">
        <v>1091</v>
      </c>
      <c r="H16" s="681"/>
      <c r="I16" s="271"/>
      <c r="J16" s="308"/>
      <c r="K16" s="284"/>
      <c r="L16" s="271"/>
      <c r="M16" s="309"/>
      <c r="N16" s="310"/>
      <c r="O16" s="310"/>
      <c r="P16" s="311"/>
      <c r="Q16" s="311"/>
      <c r="R16" s="311"/>
      <c r="S16" s="312"/>
      <c r="T16" s="271"/>
      <c r="U16" s="271" t="s">
        <v>1092</v>
      </c>
      <c r="V16" s="271"/>
      <c r="Z16" s="313">
        <v>43291</v>
      </c>
      <c r="AP16" s="307"/>
      <c r="AS16" s="271">
        <f>AS15+1</f>
        <v>5</v>
      </c>
      <c r="AT16" s="271" t="s">
        <v>1093</v>
      </c>
      <c r="AU16" s="271" t="s">
        <v>1094</v>
      </c>
      <c r="AV16" s="271" t="s">
        <v>1095</v>
      </c>
      <c r="AX16" s="271" t="s">
        <v>1067</v>
      </c>
      <c r="AY16" s="271" t="s">
        <v>1096</v>
      </c>
      <c r="AZ16" s="271" t="s">
        <v>1097</v>
      </c>
      <c r="BG16" s="301" t="str">
        <f>IF($BF16="","",_xll.ciqfunctions.udf.CIQ($BF16,"iq_offer_date"))</f>
        <v/>
      </c>
      <c r="BH16" s="302" t="str">
        <f>IF($BF16="","",RANK(BG16,$BG$11:$BG$511)+COUNTIF($BG$11:BG16,BG16)-1)</f>
        <v/>
      </c>
      <c r="BM16" s="271">
        <f>BM15+1</f>
        <v>6</v>
      </c>
      <c r="BO16" s="304" t="str">
        <f>IF($BN16="","",_xll.ciqfunctions.udf.CIQ($BN16,"iq_security_level"))</f>
        <v/>
      </c>
      <c r="BP16" s="271" t="str">
        <f>IF(BN16="","",IF(BO16="Preferred",BP15+1,BP15))</f>
        <v/>
      </c>
      <c r="BR16" s="271" t="str">
        <f t="shared" si="0"/>
        <v/>
      </c>
      <c r="BS16" s="305" t="str">
        <f>IF($BR16="","",_xll.ciqfunctions.udf.CIQ($BR16,"iq_bond_coupon")/100)</f>
        <v/>
      </c>
    </row>
    <row r="17" spans="1:71" ht="12" customHeight="1" x14ac:dyDescent="0.25">
      <c r="A17" s="314" t="s">
        <v>1598</v>
      </c>
      <c r="B17" s="271"/>
      <c r="C17" s="271"/>
      <c r="D17" s="271"/>
      <c r="E17" s="271"/>
      <c r="F17" s="271"/>
      <c r="G17" s="271"/>
      <c r="H17" s="286">
        <v>0</v>
      </c>
      <c r="I17" s="271"/>
      <c r="J17" s="315" t="s">
        <v>563</v>
      </c>
      <c r="K17" s="316"/>
      <c r="L17" s="317"/>
      <c r="M17" s="318">
        <v>0.28314</v>
      </c>
      <c r="N17" s="317"/>
      <c r="O17" s="317"/>
      <c r="P17" s="319"/>
      <c r="Q17" s="319"/>
      <c r="R17" s="319"/>
      <c r="S17" s="320">
        <v>0.23917281655988432</v>
      </c>
      <c r="T17" s="271"/>
      <c r="U17" s="271" t="s">
        <v>1098</v>
      </c>
      <c r="V17" s="271"/>
      <c r="Z17" s="321"/>
      <c r="AP17" s="307"/>
      <c r="AS17" s="271">
        <f t="shared" si="1"/>
        <v>6</v>
      </c>
      <c r="AT17" s="271" t="s">
        <v>1099</v>
      </c>
      <c r="AU17" s="271" t="s">
        <v>1100</v>
      </c>
      <c r="AV17" s="271" t="s">
        <v>1101</v>
      </c>
      <c r="AX17" s="271" t="s">
        <v>1067</v>
      </c>
      <c r="AY17" s="271" t="s">
        <v>1102</v>
      </c>
      <c r="AZ17" s="271" t="s">
        <v>1103</v>
      </c>
      <c r="BG17" s="301" t="str">
        <f>IF($BF17="","",_xll.ciqfunctions.udf.CIQ($BF17,"iq_offer_date"))</f>
        <v/>
      </c>
      <c r="BH17" s="302" t="str">
        <f>IF($BF17="","",RANK(BG17,$BG$11:$BG$511)+COUNTIF($BG$11:BG17,BG17)-1)</f>
        <v/>
      </c>
      <c r="BM17" s="271">
        <f t="shared" si="2"/>
        <v>7</v>
      </c>
      <c r="BO17" s="304" t="str">
        <f>IF($BN17="","",_xll.ciqfunctions.udf.CIQ($BN17,"iq_security_level"))</f>
        <v/>
      </c>
      <c r="BP17" s="271" t="str">
        <f t="shared" si="3"/>
        <v/>
      </c>
      <c r="BR17" s="271" t="str">
        <f t="shared" si="0"/>
        <v/>
      </c>
      <c r="BS17" s="305" t="str">
        <f>IF($BR17="","",_xll.ciqfunctions.udf.CIQ($BR17,"iq_bond_coupon")/100)</f>
        <v/>
      </c>
    </row>
    <row r="18" spans="1:71" ht="12" customHeight="1" x14ac:dyDescent="0.25">
      <c r="A18" s="314" t="s">
        <v>1104</v>
      </c>
      <c r="B18" s="271"/>
      <c r="C18" s="271"/>
      <c r="D18" s="271"/>
      <c r="E18" s="271"/>
      <c r="F18" s="271"/>
      <c r="G18" s="271"/>
      <c r="H18" s="322">
        <v>3.8260000000000002E-2</v>
      </c>
      <c r="I18" s="271"/>
      <c r="J18" s="323"/>
      <c r="K18" s="271"/>
      <c r="L18" s="271"/>
      <c r="M18" s="271"/>
      <c r="N18" s="271"/>
      <c r="O18" s="271"/>
      <c r="P18" s="271"/>
      <c r="Q18" s="271"/>
      <c r="R18" s="271"/>
      <c r="S18" s="271"/>
      <c r="T18" s="271"/>
      <c r="U18" s="271"/>
      <c r="V18" s="271"/>
      <c r="AP18" s="307"/>
      <c r="AS18" s="271">
        <f t="shared" si="1"/>
        <v>7</v>
      </c>
      <c r="AT18" s="271" t="s">
        <v>1105</v>
      </c>
      <c r="AU18" s="271" t="s">
        <v>1106</v>
      </c>
      <c r="AV18" s="271" t="s">
        <v>1107</v>
      </c>
      <c r="AX18" s="271" t="s">
        <v>1073</v>
      </c>
      <c r="AY18" s="271" t="s">
        <v>1108</v>
      </c>
      <c r="AZ18" s="271" t="s">
        <v>1109</v>
      </c>
      <c r="BG18" s="301" t="str">
        <f>IF($BF18="","",_xll.ciqfunctions.udf.CIQ($BF18,"iq_offer_date"))</f>
        <v/>
      </c>
      <c r="BH18" s="302" t="str">
        <f>IF($BF18="","",RANK(BG18,$BG$11:$BG$511)+COUNTIF($BG$11:BG18,BG18)-1)</f>
        <v/>
      </c>
      <c r="BM18" s="271">
        <f t="shared" si="2"/>
        <v>8</v>
      </c>
      <c r="BO18" s="304" t="str">
        <f>IF($BN18="","",_xll.ciqfunctions.udf.CIQ($BN18,"iq_security_level"))</f>
        <v/>
      </c>
      <c r="BP18" s="271" t="str">
        <f t="shared" si="3"/>
        <v/>
      </c>
      <c r="BR18" s="271" t="str">
        <f t="shared" si="0"/>
        <v/>
      </c>
      <c r="BS18" s="305" t="str">
        <f>IF($BR18="","",_xll.ciqfunctions.udf.CIQ($BR18,"iq_bond_coupon")/100)</f>
        <v/>
      </c>
    </row>
    <row r="19" spans="1:71" ht="12" customHeight="1" x14ac:dyDescent="0.25">
      <c r="A19" s="324" t="s">
        <v>1599</v>
      </c>
      <c r="B19" s="324"/>
      <c r="C19" s="324"/>
      <c r="D19" s="324"/>
      <c r="E19" s="324"/>
      <c r="F19" s="324"/>
      <c r="G19" s="324"/>
      <c r="H19" s="325">
        <v>0</v>
      </c>
      <c r="I19" s="271"/>
      <c r="J19" s="271" t="s">
        <v>1110</v>
      </c>
      <c r="K19" s="271"/>
      <c r="L19" s="271"/>
      <c r="M19" s="271"/>
      <c r="N19" s="271"/>
      <c r="O19" s="271"/>
      <c r="P19" s="271"/>
      <c r="Q19" s="271"/>
      <c r="R19" s="271"/>
      <c r="S19" s="312">
        <v>0.23917281655988432</v>
      </c>
      <c r="T19" s="271"/>
      <c r="U19" s="271" t="s">
        <v>1111</v>
      </c>
      <c r="V19" s="271"/>
      <c r="Z19" s="326">
        <v>2</v>
      </c>
      <c r="AS19" s="271">
        <f t="shared" si="1"/>
        <v>8</v>
      </c>
      <c r="AT19" s="271" t="s">
        <v>1112</v>
      </c>
      <c r="AU19" s="271" t="s">
        <v>1113</v>
      </c>
      <c r="AV19" s="271" t="s">
        <v>1114</v>
      </c>
      <c r="AX19" s="271" t="s">
        <v>1073</v>
      </c>
      <c r="AY19" s="271" t="s">
        <v>1115</v>
      </c>
      <c r="AZ19" s="271" t="s">
        <v>1116</v>
      </c>
      <c r="BG19" s="301" t="str">
        <f>IF($BF19="","",_xll.ciqfunctions.udf.CIQ($BF19,"iq_offer_date"))</f>
        <v/>
      </c>
      <c r="BH19" s="302" t="str">
        <f>IF($BF19="","",RANK(BG19,$BG$11:$BG$511)+COUNTIF($BG$11:BG19,BG19)-1)</f>
        <v/>
      </c>
      <c r="BM19" s="271">
        <f t="shared" si="2"/>
        <v>9</v>
      </c>
      <c r="BO19" s="304" t="str">
        <f>IF($BN19="","",_xll.ciqfunctions.udf.CIQ($BN19,"iq_security_level"))</f>
        <v/>
      </c>
      <c r="BP19" s="271" t="str">
        <f t="shared" si="3"/>
        <v/>
      </c>
      <c r="BR19" s="271" t="str">
        <f t="shared" si="0"/>
        <v/>
      </c>
      <c r="BS19" s="305" t="str">
        <f>IF($BR19="","",_xll.ciqfunctions.udf.CIQ($BR19,"iq_bond_coupon")/100)</f>
        <v/>
      </c>
    </row>
    <row r="20" spans="1:71" ht="12" customHeight="1" x14ac:dyDescent="0.25">
      <c r="A20" s="271"/>
      <c r="B20" s="271"/>
      <c r="C20" s="271"/>
      <c r="D20" s="271"/>
      <c r="E20" s="271"/>
      <c r="F20" s="271"/>
      <c r="G20" s="271"/>
      <c r="H20" s="271"/>
      <c r="I20" s="271"/>
      <c r="J20" s="271" t="s">
        <v>1594</v>
      </c>
      <c r="K20" s="271"/>
      <c r="L20" s="271"/>
      <c r="M20" s="271"/>
      <c r="N20" s="271"/>
      <c r="O20" s="271"/>
      <c r="P20" s="271"/>
      <c r="Q20" s="271"/>
      <c r="R20" s="271"/>
      <c r="S20" s="291">
        <v>2.8852027314110507E-2</v>
      </c>
      <c r="T20" s="271"/>
      <c r="U20" s="271" t="s">
        <v>1117</v>
      </c>
      <c r="V20" s="271"/>
      <c r="Z20" s="327">
        <f>$S$23</f>
        <v>0.24462430686246533</v>
      </c>
      <c r="AS20" s="271">
        <f t="shared" si="1"/>
        <v>9</v>
      </c>
      <c r="AT20" s="271" t="s">
        <v>32</v>
      </c>
      <c r="AU20" s="271" t="s">
        <v>1118</v>
      </c>
      <c r="AV20" s="271" t="s">
        <v>1119</v>
      </c>
      <c r="AX20" s="271" t="s">
        <v>1073</v>
      </c>
      <c r="AY20" s="271" t="s">
        <v>1120</v>
      </c>
      <c r="AZ20" s="271" t="s">
        <v>1121</v>
      </c>
      <c r="BG20" s="301" t="str">
        <f>IF($BF20="","",_xll.ciqfunctions.udf.CIQ($BF20,"iq_offer_date"))</f>
        <v/>
      </c>
      <c r="BH20" s="302" t="str">
        <f>IF($BF20="","",RANK(BG20,$BG$11:$BG$511)+COUNTIF($BG$11:BG20,BG20)-1)</f>
        <v/>
      </c>
      <c r="BM20" s="271">
        <f t="shared" si="2"/>
        <v>10</v>
      </c>
      <c r="BO20" s="304" t="str">
        <f>IF($BN20="","",_xll.ciqfunctions.udf.CIQ($BN20,"iq_security_level"))</f>
        <v/>
      </c>
      <c r="BP20" s="271" t="str">
        <f t="shared" si="3"/>
        <v/>
      </c>
      <c r="BR20" s="271" t="str">
        <f t="shared" si="0"/>
        <v/>
      </c>
      <c r="BS20" s="305" t="str">
        <f>IF($BR20="","",_xll.ciqfunctions.udf.CIQ($BR20,"iq_bond_coupon")/100)</f>
        <v/>
      </c>
    </row>
    <row r="21" spans="1:71" ht="12" customHeight="1" x14ac:dyDescent="0.25">
      <c r="A21" s="263" t="s">
        <v>1122</v>
      </c>
      <c r="B21" s="272"/>
      <c r="C21" s="272"/>
      <c r="D21" s="272"/>
      <c r="E21" s="272"/>
      <c r="F21" s="272"/>
      <c r="G21" s="272"/>
      <c r="H21" s="272"/>
      <c r="I21" s="271"/>
      <c r="J21" s="271" t="s">
        <v>1596</v>
      </c>
      <c r="K21" s="272"/>
      <c r="L21" s="272"/>
      <c r="M21" s="272"/>
      <c r="N21" s="272"/>
      <c r="O21" s="272"/>
      <c r="P21" s="272"/>
      <c r="Q21" s="272"/>
      <c r="R21" s="272"/>
      <c r="S21" s="291">
        <v>0</v>
      </c>
      <c r="T21" s="271"/>
      <c r="U21" s="271" t="s">
        <v>1123</v>
      </c>
      <c r="V21" s="271"/>
      <c r="Z21" s="328">
        <v>1.3476399999999999</v>
      </c>
      <c r="AJ21" s="271" t="str">
        <f>C23</f>
        <v>United States Treasury Constant Maturity - 10 Year</v>
      </c>
      <c r="AS21" s="271">
        <f t="shared" si="1"/>
        <v>10</v>
      </c>
      <c r="AT21" s="271" t="s">
        <v>1124</v>
      </c>
      <c r="AU21" s="271" t="s">
        <v>1125</v>
      </c>
      <c r="AV21" s="271" t="s">
        <v>1126</v>
      </c>
      <c r="AX21" s="271" t="s">
        <v>1073</v>
      </c>
      <c r="AY21" s="271" t="s">
        <v>1127</v>
      </c>
      <c r="AZ21" s="271" t="s">
        <v>1128</v>
      </c>
      <c r="BG21" s="301" t="str">
        <f>IF($BF21="","",_xll.ciqfunctions.udf.CIQ($BF21,"iq_offer_date"))</f>
        <v/>
      </c>
      <c r="BH21" s="302" t="str">
        <f>IF($BF21="","",RANK(BG21,$BG$11:$BG$511)+COUNTIF($BG$11:BG21,BG21)-1)</f>
        <v/>
      </c>
      <c r="BM21" s="271">
        <f t="shared" si="2"/>
        <v>11</v>
      </c>
      <c r="BO21" s="304" t="str">
        <f>IF($BN21="","",_xll.ciqfunctions.udf.CIQ($BN21,"iq_security_level"))</f>
        <v/>
      </c>
      <c r="BP21" s="271" t="str">
        <f t="shared" si="3"/>
        <v/>
      </c>
      <c r="BR21" s="271" t="str">
        <f t="shared" si="0"/>
        <v/>
      </c>
      <c r="BS21" s="305" t="str">
        <f>IF($BR21="","",_xll.ciqfunctions.udf.CIQ($BR21,"iq_bond_coupon")/100)</f>
        <v/>
      </c>
    </row>
    <row r="22" spans="1:71" ht="12" customHeight="1" x14ac:dyDescent="0.25">
      <c r="A22" s="272" t="s">
        <v>1129</v>
      </c>
      <c r="B22" s="272"/>
      <c r="C22" s="329" t="s">
        <v>808</v>
      </c>
      <c r="D22" s="272"/>
      <c r="E22" s="272"/>
      <c r="F22" s="272"/>
      <c r="G22" s="272"/>
      <c r="H22" s="272"/>
      <c r="I22" s="271"/>
      <c r="J22" s="271" t="s">
        <v>1050</v>
      </c>
      <c r="K22" s="271"/>
      <c r="L22" s="271"/>
      <c r="M22" s="271"/>
      <c r="N22" s="271"/>
      <c r="O22" s="271"/>
      <c r="P22" s="271"/>
      <c r="Q22" s="271"/>
      <c r="R22" s="271"/>
      <c r="S22" s="291">
        <v>0.21</v>
      </c>
      <c r="T22" s="271"/>
      <c r="U22" s="271"/>
      <c r="V22" s="271"/>
      <c r="AJ22" s="271" t="str">
        <f>INDEX($AY$12:$AY$123,MATCH($C$23,$AZ$12:$AZ$123,0),)</f>
        <v>IQT36183839</v>
      </c>
      <c r="AL22" s="271" t="str">
        <f>_xll.ciqfunctions.udf.CIQ($AJ$22,"IQ_RATE_NAME")</f>
        <v>#CIQINACTIVE</v>
      </c>
      <c r="AM22" s="263"/>
      <c r="AS22" s="271">
        <f t="shared" si="1"/>
        <v>11</v>
      </c>
      <c r="AT22" s="271" t="s">
        <v>1130</v>
      </c>
      <c r="AU22" s="271" t="s">
        <v>1131</v>
      </c>
      <c r="AV22" s="271" t="s">
        <v>1132</v>
      </c>
      <c r="AX22" s="271" t="s">
        <v>1073</v>
      </c>
      <c r="AY22" s="271" t="s">
        <v>1133</v>
      </c>
      <c r="AZ22" s="271" t="s">
        <v>1134</v>
      </c>
      <c r="BG22" s="301" t="str">
        <f>IF($BF22="","",_xll.ciqfunctions.udf.CIQ($BF22,"iq_offer_date"))</f>
        <v/>
      </c>
      <c r="BH22" s="302" t="str">
        <f>IF($BF22="","",RANK(BG22,$BG$11:$BG$511)+COUNTIF($BG$11:BG22,BG22)-1)</f>
        <v/>
      </c>
      <c r="BM22" s="271">
        <f t="shared" si="2"/>
        <v>12</v>
      </c>
      <c r="BO22" s="304" t="str">
        <f>IF($BN22="","",_xll.ciqfunctions.udf.CIQ($BN22,"iq_security_level"))</f>
        <v/>
      </c>
      <c r="BP22" s="271" t="str">
        <f t="shared" si="3"/>
        <v/>
      </c>
      <c r="BR22" s="271" t="str">
        <f t="shared" si="0"/>
        <v/>
      </c>
      <c r="BS22" s="305" t="str">
        <f>IF($BR22="","",_xll.ciqfunctions.udf.CIQ($BR22,"iq_bond_coupon")/100)</f>
        <v/>
      </c>
    </row>
    <row r="23" spans="1:71" ht="12" customHeight="1" x14ac:dyDescent="0.25">
      <c r="A23" s="272" t="s">
        <v>1135</v>
      </c>
      <c r="B23" s="272"/>
      <c r="C23" s="682" t="s">
        <v>1136</v>
      </c>
      <c r="D23" s="683"/>
      <c r="E23" s="683"/>
      <c r="F23" s="683"/>
      <c r="G23" s="683"/>
      <c r="H23" s="684"/>
      <c r="I23" s="271"/>
      <c r="J23" s="315" t="s">
        <v>1600</v>
      </c>
      <c r="K23" s="316"/>
      <c r="L23" s="330">
        <v>-3</v>
      </c>
      <c r="M23" s="316"/>
      <c r="N23" s="316"/>
      <c r="O23" s="316"/>
      <c r="P23" s="316"/>
      <c r="Q23" s="316"/>
      <c r="R23" s="316"/>
      <c r="S23" s="320">
        <v>0.24462430686246533</v>
      </c>
      <c r="T23" s="271"/>
      <c r="AC23" s="331"/>
      <c r="AD23" s="331"/>
      <c r="AE23" s="331"/>
      <c r="AF23" s="331"/>
      <c r="AG23" s="331"/>
      <c r="AH23" s="331"/>
      <c r="AI23" s="331"/>
      <c r="AM23" s="332"/>
      <c r="AS23" s="271">
        <f t="shared" si="1"/>
        <v>12</v>
      </c>
      <c r="AT23" s="271" t="s">
        <v>1137</v>
      </c>
      <c r="AU23" s="271" t="s">
        <v>1138</v>
      </c>
      <c r="AV23" s="271" t="s">
        <v>1139</v>
      </c>
      <c r="AX23" s="271" t="s">
        <v>1079</v>
      </c>
      <c r="AY23" s="271" t="s">
        <v>1140</v>
      </c>
      <c r="AZ23" s="271" t="s">
        <v>1141</v>
      </c>
      <c r="BG23" s="301" t="str">
        <f>IF($BF23="","",_xll.ciqfunctions.udf.CIQ($BF23,"iq_offer_date"))</f>
        <v/>
      </c>
      <c r="BH23" s="302" t="str">
        <f>IF($BF23="","",RANK(BG23,$BG$11:$BG$511)+COUNTIF($BG$11:BG23,BG23)-1)</f>
        <v/>
      </c>
      <c r="BM23" s="271">
        <f t="shared" si="2"/>
        <v>13</v>
      </c>
      <c r="BO23" s="304" t="str">
        <f>IF($BN23="","",_xll.ciqfunctions.udf.CIQ($BN23,"iq_security_level"))</f>
        <v/>
      </c>
      <c r="BP23" s="271" t="str">
        <f t="shared" si="3"/>
        <v/>
      </c>
      <c r="BR23" s="271" t="str">
        <f t="shared" si="0"/>
        <v/>
      </c>
      <c r="BS23" s="305" t="str">
        <f>IF($BR23="","",_xll.ciqfunctions.udf.CIQ($BR23,"iq_bond_coupon")/100)</f>
        <v/>
      </c>
    </row>
    <row r="24" spans="1:71" ht="12" customHeight="1" x14ac:dyDescent="0.25">
      <c r="A24" s="272"/>
      <c r="B24" s="272"/>
      <c r="C24" s="272"/>
      <c r="D24" s="272"/>
      <c r="E24" s="272"/>
      <c r="F24" s="272"/>
      <c r="G24" s="272"/>
      <c r="H24" s="272"/>
      <c r="I24" s="271"/>
      <c r="J24" s="324"/>
      <c r="K24" s="324"/>
      <c r="L24" s="324"/>
      <c r="M24" s="324"/>
      <c r="N24" s="324"/>
      <c r="O24" s="324"/>
      <c r="P24" s="324"/>
      <c r="Q24" s="324"/>
      <c r="R24" s="324"/>
      <c r="S24" s="324"/>
      <c r="T24" s="271"/>
      <c r="AC24" s="331"/>
      <c r="AD24" s="331"/>
      <c r="AE24" s="331"/>
      <c r="AF24" s="331"/>
      <c r="AG24" s="331"/>
      <c r="AH24" s="331"/>
      <c r="AI24" s="331"/>
      <c r="AP24" s="271" t="str">
        <f>IF(K1=AQ24,"H","C")</f>
        <v>H</v>
      </c>
      <c r="AQ24" s="271" t="s">
        <v>289</v>
      </c>
      <c r="AS24" s="271">
        <f t="shared" si="1"/>
        <v>13</v>
      </c>
      <c r="AT24" s="271" t="s">
        <v>1142</v>
      </c>
      <c r="AU24" s="271" t="s">
        <v>1143</v>
      </c>
      <c r="AV24" s="271" t="s">
        <v>1144</v>
      </c>
      <c r="AX24" s="271" t="s">
        <v>1079</v>
      </c>
      <c r="AY24" s="271" t="s">
        <v>1145</v>
      </c>
      <c r="AZ24" s="271" t="s">
        <v>1146</v>
      </c>
      <c r="BG24" s="301" t="str">
        <f>IF($BF24="","",_xll.ciqfunctions.udf.CIQ($BF24,"iq_offer_date"))</f>
        <v/>
      </c>
      <c r="BH24" s="302" t="str">
        <f>IF($BF24="","",RANK(BG24,$BG$11:$BG$511)+COUNTIF($BG$11:BG24,BG24)-1)</f>
        <v/>
      </c>
      <c r="BM24" s="271">
        <f t="shared" si="2"/>
        <v>14</v>
      </c>
      <c r="BO24" s="304" t="str">
        <f>IF($BN24="","",_xll.ciqfunctions.udf.CIQ($BN24,"iq_security_level"))</f>
        <v/>
      </c>
      <c r="BP24" s="271" t="str">
        <f t="shared" si="3"/>
        <v/>
      </c>
      <c r="BR24" s="271" t="str">
        <f t="shared" si="0"/>
        <v/>
      </c>
      <c r="BS24" s="305" t="str">
        <f>IF($BR24="","",_xll.ciqfunctions.udf.CIQ($BR24,"iq_bond_coupon")/100)</f>
        <v/>
      </c>
    </row>
    <row r="25" spans="1:71" ht="12" customHeight="1" x14ac:dyDescent="0.25">
      <c r="A25" s="263" t="s">
        <v>1147</v>
      </c>
      <c r="B25" s="271"/>
      <c r="C25" s="271"/>
      <c r="D25" s="271"/>
      <c r="E25" s="271"/>
      <c r="F25" s="271"/>
      <c r="G25" s="271"/>
      <c r="H25" s="271"/>
      <c r="I25" s="271"/>
      <c r="J25" s="271"/>
      <c r="K25" s="271"/>
      <c r="L25" s="271"/>
      <c r="M25" s="271"/>
      <c r="N25" s="271"/>
      <c r="O25" s="271"/>
      <c r="P25" s="271"/>
      <c r="Q25" s="271"/>
      <c r="R25" s="271"/>
      <c r="S25" s="271"/>
      <c r="T25" s="271"/>
      <c r="AC25" s="331"/>
      <c r="AD25" s="331"/>
      <c r="AE25" s="331"/>
      <c r="AF25" s="331"/>
      <c r="AG25" s="331"/>
      <c r="AH25" s="331"/>
      <c r="AI25" s="331"/>
      <c r="AJ25" s="271" t="s">
        <v>309</v>
      </c>
      <c r="AK25" s="304" t="str">
        <f>_xll.ciqfunctions.udf.CIQ($B$1,"IQ_INDUSTRY_SECTOR")</f>
        <v>#CIQINACTIVE</v>
      </c>
      <c r="AL25" s="304" t="s">
        <v>1148</v>
      </c>
      <c r="AM25" s="304" t="s">
        <v>1149</v>
      </c>
      <c r="AN25" s="331" t="s">
        <v>1150</v>
      </c>
      <c r="AQ25" s="271" t="s">
        <v>1151</v>
      </c>
      <c r="AS25" s="271">
        <f t="shared" si="1"/>
        <v>14</v>
      </c>
      <c r="AT25" s="271" t="s">
        <v>1152</v>
      </c>
      <c r="AU25" s="271" t="s">
        <v>1153</v>
      </c>
      <c r="AV25" s="271" t="s">
        <v>1154</v>
      </c>
      <c r="AX25" s="271" t="s">
        <v>1079</v>
      </c>
      <c r="AY25" s="271" t="s">
        <v>1155</v>
      </c>
      <c r="AZ25" s="271" t="s">
        <v>1156</v>
      </c>
      <c r="BG25" s="301" t="str">
        <f>IF($BF25="","",_xll.ciqfunctions.udf.CIQ($BF25,"iq_offer_date"))</f>
        <v/>
      </c>
      <c r="BH25" s="302" t="str">
        <f>IF($BF25="","",RANK(BG25,$BG$11:$BG$511)+COUNTIF($BG$11:BG25,BG25)-1)</f>
        <v/>
      </c>
      <c r="BM25" s="271">
        <f t="shared" si="2"/>
        <v>15</v>
      </c>
      <c r="BO25" s="304" t="str">
        <f>IF($BN25="","",_xll.ciqfunctions.udf.CIQ($BN25,"iq_security_level"))</f>
        <v/>
      </c>
      <c r="BP25" s="271" t="str">
        <f t="shared" si="3"/>
        <v/>
      </c>
      <c r="BR25" s="271" t="str">
        <f t="shared" si="0"/>
        <v/>
      </c>
      <c r="BS25" s="305" t="str">
        <f>IF($BR25="","",_xll.ciqfunctions.udf.CIQ($BR25,"iq_bond_coupon")/100)</f>
        <v/>
      </c>
    </row>
    <row r="26" spans="1:71" ht="15" customHeight="1" x14ac:dyDescent="0.25">
      <c r="A26" s="271" t="s">
        <v>308</v>
      </c>
      <c r="B26" s="271" t="s">
        <v>1157</v>
      </c>
      <c r="C26" s="271"/>
      <c r="D26" s="271"/>
      <c r="E26" s="302" t="s">
        <v>1158</v>
      </c>
      <c r="F26" s="271"/>
      <c r="G26" s="271"/>
      <c r="H26" s="302" t="s">
        <v>1159</v>
      </c>
      <c r="I26" s="271"/>
      <c r="J26" s="333" t="s">
        <v>1160</v>
      </c>
      <c r="K26" s="334"/>
      <c r="L26" s="334"/>
      <c r="M26" s="334"/>
      <c r="N26" s="335"/>
      <c r="O26" s="335"/>
      <c r="P26" s="335"/>
      <c r="Q26" s="335"/>
      <c r="R26" s="335"/>
      <c r="S26" s="336"/>
      <c r="T26" s="271"/>
      <c r="U26" s="271"/>
      <c r="V26" s="271"/>
      <c r="AC26" s="331"/>
      <c r="AD26" s="331"/>
      <c r="AE26" s="331"/>
      <c r="AF26" s="331"/>
      <c r="AG26" s="331"/>
      <c r="AH26" s="331"/>
      <c r="AI26" s="331"/>
      <c r="AJ26" s="271" t="s">
        <v>1161</v>
      </c>
      <c r="AK26" s="304" t="s">
        <v>1162</v>
      </c>
      <c r="AL26" s="304" t="s">
        <v>1163</v>
      </c>
      <c r="AM26" s="304" t="s">
        <v>1164</v>
      </c>
      <c r="AN26" s="331" t="s">
        <v>1165</v>
      </c>
      <c r="AS26" s="271">
        <f t="shared" si="1"/>
        <v>15</v>
      </c>
      <c r="AT26" s="271" t="s">
        <v>1166</v>
      </c>
      <c r="AU26" s="271" t="s">
        <v>1167</v>
      </c>
      <c r="AV26" s="271" t="s">
        <v>1168</v>
      </c>
      <c r="AX26" s="271" t="s">
        <v>1079</v>
      </c>
      <c r="AY26" s="271" t="s">
        <v>1169</v>
      </c>
      <c r="AZ26" s="271" t="s">
        <v>1170</v>
      </c>
      <c r="BG26" s="301" t="str">
        <f>IF($BF26="","",_xll.ciqfunctions.udf.CIQ($BF26,"iq_offer_date"))</f>
        <v/>
      </c>
      <c r="BH26" s="302" t="str">
        <f>IF($BF26="","",RANK(BG26,$BG$11:$BG$511)+COUNTIF($BG$11:BG26,BG26)-1)</f>
        <v/>
      </c>
      <c r="BM26" s="271">
        <f t="shared" si="2"/>
        <v>16</v>
      </c>
      <c r="BO26" s="304" t="str">
        <f>IF($BN26="","",_xll.ciqfunctions.udf.CIQ($BN26,"iq_security_level"))</f>
        <v/>
      </c>
      <c r="BP26" s="271" t="str">
        <f t="shared" si="3"/>
        <v/>
      </c>
      <c r="BR26" s="271" t="str">
        <f t="shared" si="0"/>
        <v/>
      </c>
      <c r="BS26" s="305" t="str">
        <f>IF($BR26="","",_xll.ciqfunctions.udf.CIQ($BR26,"iq_bond_coupon")/100)</f>
        <v/>
      </c>
    </row>
    <row r="27" spans="1:71" ht="12" customHeight="1" x14ac:dyDescent="0.25">
      <c r="A27" s="337" t="s">
        <v>309</v>
      </c>
      <c r="B27" s="685" t="s">
        <v>1163</v>
      </c>
      <c r="C27" s="686"/>
      <c r="D27" s="338"/>
      <c r="E27" s="339">
        <v>0</v>
      </c>
      <c r="F27" s="340"/>
      <c r="G27" s="271"/>
      <c r="H27" s="339" t="s">
        <v>1171</v>
      </c>
      <c r="I27" s="271"/>
      <c r="J27" s="341"/>
      <c r="K27" s="271"/>
      <c r="L27" s="271"/>
      <c r="M27" s="271"/>
      <c r="N27" s="271"/>
      <c r="O27" s="271"/>
      <c r="P27" s="271"/>
      <c r="Q27" s="271"/>
      <c r="R27" s="271"/>
      <c r="S27" s="342"/>
      <c r="T27" s="271"/>
      <c r="W27" s="267"/>
      <c r="X27" s="267"/>
      <c r="Y27" s="267"/>
      <c r="Z27" s="267"/>
      <c r="AC27" s="331"/>
      <c r="AD27" s="331"/>
      <c r="AE27" s="331"/>
      <c r="AF27" s="331"/>
      <c r="AG27" s="331"/>
      <c r="AH27" s="331"/>
      <c r="AI27" s="331"/>
      <c r="AJ27" s="271" t="s">
        <v>1172</v>
      </c>
      <c r="AK27" s="304" t="s">
        <v>1173</v>
      </c>
      <c r="AL27" s="304" t="s">
        <v>1174</v>
      </c>
      <c r="AM27" s="304" t="s">
        <v>1175</v>
      </c>
      <c r="AN27" s="331" t="s">
        <v>1176</v>
      </c>
      <c r="AQ27" s="271" t="str">
        <f>INDEX($AQ$28:$AQ$31,MATCH($Q$1,$AP$28:$AP$31,0))</f>
        <v>LFR</v>
      </c>
      <c r="AS27" s="271">
        <f t="shared" si="1"/>
        <v>16</v>
      </c>
      <c r="AT27" s="271" t="s">
        <v>1177</v>
      </c>
      <c r="AU27" s="271" t="s">
        <v>1178</v>
      </c>
      <c r="AV27" s="271" t="s">
        <v>1179</v>
      </c>
      <c r="AX27" s="271" t="s">
        <v>1085</v>
      </c>
      <c r="AY27" s="271" t="s">
        <v>1180</v>
      </c>
      <c r="AZ27" s="271" t="s">
        <v>1181</v>
      </c>
      <c r="BG27" s="301" t="str">
        <f>IF($BF27="","",_xll.ciqfunctions.udf.CIQ($BF27,"iq_offer_date"))</f>
        <v/>
      </c>
      <c r="BH27" s="302" t="str">
        <f>IF($BF27="","",RANK(BG27,$BG$11:$BG$511)+COUNTIF($BG$11:BG27,BG27)-1)</f>
        <v/>
      </c>
      <c r="BM27" s="271">
        <f t="shared" si="2"/>
        <v>17</v>
      </c>
      <c r="BO27" s="304" t="str">
        <f>IF($BN27="","",_xll.ciqfunctions.udf.CIQ($BN27,"iq_security_level"))</f>
        <v/>
      </c>
      <c r="BP27" s="271" t="str">
        <f t="shared" si="3"/>
        <v/>
      </c>
      <c r="BR27" s="271" t="str">
        <f t="shared" si="0"/>
        <v/>
      </c>
      <c r="BS27" s="305" t="str">
        <f>IF($BR27="","",_xll.ciqfunctions.udf.CIQ($BR27,"iq_bond_coupon")/100)</f>
        <v/>
      </c>
    </row>
    <row r="28" spans="1:71" ht="12" customHeight="1" x14ac:dyDescent="0.25">
      <c r="A28" s="271"/>
      <c r="B28" s="271"/>
      <c r="C28" s="271"/>
      <c r="D28" s="271"/>
      <c r="E28" s="271"/>
      <c r="F28" s="271"/>
      <c r="G28" s="271"/>
      <c r="H28" s="271"/>
      <c r="I28" s="271"/>
      <c r="J28" s="343" t="s">
        <v>1182</v>
      </c>
      <c r="K28" s="344" t="s">
        <v>1183</v>
      </c>
      <c r="L28" s="345"/>
      <c r="M28" s="345"/>
      <c r="N28" s="345"/>
      <c r="O28" s="345"/>
      <c r="P28" s="345"/>
      <c r="Q28" s="345"/>
      <c r="R28" s="345"/>
      <c r="S28" s="346"/>
      <c r="T28" s="271"/>
      <c r="W28" s="267"/>
      <c r="X28" s="267"/>
      <c r="Y28" s="267"/>
      <c r="Z28" s="267"/>
      <c r="AC28" s="331"/>
      <c r="AD28" s="331"/>
      <c r="AE28" s="331"/>
      <c r="AF28" s="331"/>
      <c r="AG28" s="331"/>
      <c r="AH28" s="331"/>
      <c r="AI28" s="331"/>
      <c r="AJ28" s="271" t="s">
        <v>1184</v>
      </c>
      <c r="AK28" s="304" t="s">
        <v>1185</v>
      </c>
      <c r="AL28" s="304" t="s">
        <v>1185</v>
      </c>
      <c r="AM28" s="304" t="s">
        <v>1186</v>
      </c>
      <c r="AN28" s="331" t="s">
        <v>1187</v>
      </c>
      <c r="AP28" s="271" t="s">
        <v>1188</v>
      </c>
      <c r="AQ28" s="271" t="s">
        <v>1189</v>
      </c>
      <c r="AS28" s="271">
        <f t="shared" si="1"/>
        <v>17</v>
      </c>
      <c r="AT28" s="271" t="s">
        <v>1190</v>
      </c>
      <c r="AU28" s="271" t="s">
        <v>1191</v>
      </c>
      <c r="AV28" s="271" t="s">
        <v>1192</v>
      </c>
      <c r="AX28" s="271" t="s">
        <v>1085</v>
      </c>
      <c r="AY28" s="271" t="s">
        <v>1193</v>
      </c>
      <c r="AZ28" s="271" t="s">
        <v>1194</v>
      </c>
      <c r="BG28" s="301" t="str">
        <f>IF($BF28="","",_xll.ciqfunctions.udf.CIQ($BF28,"iq_offer_date"))</f>
        <v/>
      </c>
      <c r="BH28" s="302" t="str">
        <f>IF($BF28="","",RANK(BG28,$BG$11:$BG$511)+COUNTIF($BG$11:BG28,BG28)-1)</f>
        <v/>
      </c>
      <c r="BM28" s="271">
        <f t="shared" si="2"/>
        <v>18</v>
      </c>
      <c r="BO28" s="304" t="str">
        <f>IF($BN28="","",_xll.ciqfunctions.udf.CIQ($BN28,"iq_security_level"))</f>
        <v/>
      </c>
      <c r="BP28" s="271" t="str">
        <f t="shared" si="3"/>
        <v/>
      </c>
      <c r="BR28" s="271" t="str">
        <f t="shared" si="0"/>
        <v/>
      </c>
      <c r="BS28" s="305" t="str">
        <f>IF($BR28="","",_xll.ciqfunctions.udf.CIQ($BR28,"iq_bond_coupon")/100)</f>
        <v/>
      </c>
    </row>
    <row r="29" spans="1:71" ht="15" customHeight="1" x14ac:dyDescent="0.25">
      <c r="A29" s="280" t="s">
        <v>1195</v>
      </c>
      <c r="B29" s="281"/>
      <c r="C29" s="281"/>
      <c r="D29" s="281"/>
      <c r="E29" s="281"/>
      <c r="F29" s="281"/>
      <c r="G29" s="282"/>
      <c r="H29" s="282"/>
      <c r="I29" s="271"/>
      <c r="J29" s="347">
        <v>9.6427546316231336E-2</v>
      </c>
      <c r="K29" s="348">
        <v>0.03</v>
      </c>
      <c r="L29" s="349">
        <v>3.4999999999999996E-2</v>
      </c>
      <c r="M29" s="349">
        <v>3.9999999999999994E-2</v>
      </c>
      <c r="N29" s="349">
        <v>4.4999999999999991E-2</v>
      </c>
      <c r="O29" s="349">
        <v>4.9999999999999989E-2</v>
      </c>
      <c r="P29" s="349">
        <v>5.4999999999999986E-2</v>
      </c>
      <c r="Q29" s="349">
        <v>5.9999999999999984E-2</v>
      </c>
      <c r="R29" s="349">
        <v>6.4999999999999988E-2</v>
      </c>
      <c r="S29" s="350">
        <v>6.9999999999999993E-2</v>
      </c>
      <c r="T29" s="271"/>
      <c r="AC29" s="331"/>
      <c r="AD29" s="331"/>
      <c r="AE29" s="331"/>
      <c r="AF29" s="331"/>
      <c r="AG29" s="331"/>
      <c r="AH29" s="331"/>
      <c r="AI29" s="331"/>
      <c r="AK29" s="304" t="s">
        <v>1196</v>
      </c>
      <c r="AL29" s="304" t="s">
        <v>1196</v>
      </c>
      <c r="AM29" s="304" t="s">
        <v>1197</v>
      </c>
      <c r="AN29" s="331" t="s">
        <v>1198</v>
      </c>
      <c r="AP29" s="271" t="s">
        <v>1199</v>
      </c>
      <c r="AQ29" s="271" t="s">
        <v>440</v>
      </c>
      <c r="AS29" s="271">
        <f t="shared" si="1"/>
        <v>18</v>
      </c>
      <c r="AT29" s="271" t="s">
        <v>41</v>
      </c>
      <c r="AU29" s="271" t="s">
        <v>1200</v>
      </c>
      <c r="AV29" s="271" t="s">
        <v>1201</v>
      </c>
      <c r="AX29" s="271" t="s">
        <v>1085</v>
      </c>
      <c r="AY29" s="271" t="s">
        <v>1202</v>
      </c>
      <c r="AZ29" s="271" t="s">
        <v>1203</v>
      </c>
      <c r="BG29" s="301" t="str">
        <f>IF($BF29="","",_xll.ciqfunctions.udf.CIQ($BF29,"iq_offer_date"))</f>
        <v/>
      </c>
      <c r="BH29" s="302" t="str">
        <f>IF($BF29="","",RANK(BG29,$BG$11:$BG$511)+COUNTIF($BG$11:BG29,BG29)-1)</f>
        <v/>
      </c>
      <c r="BM29" s="271">
        <f t="shared" si="2"/>
        <v>19</v>
      </c>
      <c r="BO29" s="304" t="str">
        <f>IF($BN29="","",_xll.ciqfunctions.udf.CIQ($BN29,"iq_security_level"))</f>
        <v/>
      </c>
      <c r="BP29" s="271" t="str">
        <f t="shared" si="3"/>
        <v/>
      </c>
      <c r="BR29" s="271" t="str">
        <f t="shared" si="0"/>
        <v/>
      </c>
      <c r="BS29" s="305" t="str">
        <f>IF($BR29="","",_xll.ciqfunctions.udf.CIQ($BR29,"iq_bond_coupon")/100)</f>
        <v/>
      </c>
    </row>
    <row r="30" spans="1:71" ht="12" customHeight="1" x14ac:dyDescent="0.25">
      <c r="A30" s="271"/>
      <c r="B30" s="271"/>
      <c r="C30" s="271"/>
      <c r="D30" s="271"/>
      <c r="E30" s="271"/>
      <c r="F30" s="271"/>
      <c r="G30" s="271"/>
      <c r="H30" s="271"/>
      <c r="I30" s="271"/>
      <c r="J30" s="351">
        <v>0.10000000000000002</v>
      </c>
      <c r="K30" s="352">
        <v>9.0905138804999994E-2</v>
      </c>
      <c r="L30" s="352">
        <v>9.1300138805E-2</v>
      </c>
      <c r="M30" s="352">
        <v>9.1695138804999993E-2</v>
      </c>
      <c r="N30" s="352">
        <v>9.2090138804999999E-2</v>
      </c>
      <c r="O30" s="352">
        <v>9.2485138804999992E-2</v>
      </c>
      <c r="P30" s="352">
        <v>9.2880138804999998E-2</v>
      </c>
      <c r="Q30" s="352">
        <v>9.3275138804999991E-2</v>
      </c>
      <c r="R30" s="352">
        <v>9.3670138804999997E-2</v>
      </c>
      <c r="S30" s="353">
        <v>9.4065138805000004E-2</v>
      </c>
      <c r="T30" s="271"/>
      <c r="AC30" s="331"/>
      <c r="AD30" s="331"/>
      <c r="AE30" s="331"/>
      <c r="AF30" s="331"/>
      <c r="AG30" s="331"/>
      <c r="AH30" s="331"/>
      <c r="AI30" s="331"/>
      <c r="AK30" s="304" t="s">
        <v>1204</v>
      </c>
      <c r="AL30" s="304" t="s">
        <v>1204</v>
      </c>
      <c r="AM30" s="304" t="s">
        <v>1205</v>
      </c>
      <c r="AN30" s="331" t="s">
        <v>1206</v>
      </c>
      <c r="AP30" s="271" t="s">
        <v>1207</v>
      </c>
      <c r="AQ30" s="271" t="s">
        <v>1208</v>
      </c>
      <c r="AS30" s="271">
        <f t="shared" si="1"/>
        <v>19</v>
      </c>
      <c r="AT30" s="271" t="s">
        <v>808</v>
      </c>
      <c r="AU30" s="271" t="s">
        <v>1209</v>
      </c>
      <c r="AV30" s="271" t="s">
        <v>1210</v>
      </c>
      <c r="AX30" s="271" t="s">
        <v>1093</v>
      </c>
      <c r="AY30" s="271" t="s">
        <v>1211</v>
      </c>
      <c r="AZ30" s="271" t="s">
        <v>1212</v>
      </c>
      <c r="BG30" s="301" t="str">
        <f>IF($BF30="","",_xll.ciqfunctions.udf.CIQ($BF30,"iq_offer_date"))</f>
        <v/>
      </c>
      <c r="BH30" s="302" t="str">
        <f>IF($BF30="","",RANK(BG30,$BG$11:$BG$511)+COUNTIF($BG$11:BG30,BG30)-1)</f>
        <v/>
      </c>
      <c r="BM30" s="271">
        <f t="shared" si="2"/>
        <v>20</v>
      </c>
      <c r="BO30" s="304" t="str">
        <f>IF($BN30="","",_xll.ciqfunctions.udf.CIQ($BN30,"iq_security_level"))</f>
        <v/>
      </c>
      <c r="BP30" s="271" t="str">
        <f t="shared" si="3"/>
        <v/>
      </c>
      <c r="BR30" s="271" t="str">
        <f t="shared" si="0"/>
        <v/>
      </c>
      <c r="BS30" s="305" t="str">
        <f>IF($BR30="","",_xll.ciqfunctions.udf.CIQ($BR30,"iq_bond_coupon")/100)</f>
        <v/>
      </c>
    </row>
    <row r="31" spans="1:71" ht="12" customHeight="1" x14ac:dyDescent="0.25">
      <c r="A31" s="271" t="s">
        <v>1213</v>
      </c>
      <c r="B31" s="271"/>
      <c r="C31" s="271"/>
      <c r="D31" s="271"/>
      <c r="E31" s="271"/>
      <c r="F31" s="271"/>
      <c r="G31" s="271"/>
      <c r="H31" s="291">
        <v>5.1673749999999991E-2</v>
      </c>
      <c r="I31" s="271"/>
      <c r="J31" s="351">
        <v>0.15000000000000002</v>
      </c>
      <c r="K31" s="352">
        <v>8.7171519982500001E-2</v>
      </c>
      <c r="L31" s="352">
        <v>8.7764019982499997E-2</v>
      </c>
      <c r="M31" s="352">
        <v>8.8356519982499993E-2</v>
      </c>
      <c r="N31" s="352">
        <v>8.8949019982500002E-2</v>
      </c>
      <c r="O31" s="352">
        <v>8.9541519982499998E-2</v>
      </c>
      <c r="P31" s="352">
        <v>9.0134019982499994E-2</v>
      </c>
      <c r="Q31" s="352">
        <v>9.0726519982500003E-2</v>
      </c>
      <c r="R31" s="352">
        <v>9.1319019982499999E-2</v>
      </c>
      <c r="S31" s="353">
        <v>9.1911519982499995E-2</v>
      </c>
      <c r="T31" s="271"/>
      <c r="AC31" s="331"/>
      <c r="AD31" s="331"/>
      <c r="AE31" s="331"/>
      <c r="AF31" s="331"/>
      <c r="AG31" s="331"/>
      <c r="AH31" s="331"/>
      <c r="AI31" s="331"/>
      <c r="AK31" s="304" t="s">
        <v>1214</v>
      </c>
      <c r="AL31" s="304" t="s">
        <v>1214</v>
      </c>
      <c r="AM31" s="304" t="s">
        <v>1215</v>
      </c>
      <c r="AN31" s="331" t="s">
        <v>1216</v>
      </c>
      <c r="AP31" s="271" t="s">
        <v>1038</v>
      </c>
      <c r="AQ31" s="271" t="s">
        <v>1217</v>
      </c>
      <c r="AX31" s="271" t="s">
        <v>1093</v>
      </c>
      <c r="AY31" s="271" t="s">
        <v>1218</v>
      </c>
      <c r="AZ31" s="271" t="s">
        <v>1219</v>
      </c>
      <c r="BG31" s="301" t="str">
        <f>IF($BF31="","",_xll.ciqfunctions.udf.CIQ($BF31,"iq_offer_date"))</f>
        <v/>
      </c>
      <c r="BH31" s="302" t="str">
        <f>IF($BF31="","",RANK(BG31,$BG$11:$BG$511)+COUNTIF($BG$11:BG31,BG31)-1)</f>
        <v/>
      </c>
      <c r="BM31" s="271">
        <f t="shared" si="2"/>
        <v>21</v>
      </c>
      <c r="BO31" s="304" t="str">
        <f>IF($BN31="","",_xll.ciqfunctions.udf.CIQ($BN31,"iq_security_level"))</f>
        <v/>
      </c>
      <c r="BP31" s="271" t="str">
        <f t="shared" si="3"/>
        <v/>
      </c>
      <c r="BR31" s="271" t="str">
        <f t="shared" si="0"/>
        <v/>
      </c>
      <c r="BS31" s="305" t="str">
        <f>IF($BR31="","",_xll.ciqfunctions.udf.CIQ($BR31,"iq_bond_coupon")/100)</f>
        <v/>
      </c>
    </row>
    <row r="32" spans="1:71" ht="12" customHeight="1" x14ac:dyDescent="0.25">
      <c r="A32" s="271" t="s">
        <v>1601</v>
      </c>
      <c r="B32" s="271"/>
      <c r="C32" s="271"/>
      <c r="D32" s="271"/>
      <c r="E32" s="271"/>
      <c r="F32" s="271"/>
      <c r="G32" s="271"/>
      <c r="H32" s="354">
        <v>1.3476399999999999</v>
      </c>
      <c r="I32" s="291"/>
      <c r="J32" s="351">
        <v>0.2</v>
      </c>
      <c r="K32" s="352">
        <v>8.3437901159999994E-2</v>
      </c>
      <c r="L32" s="352">
        <v>8.4227901160000007E-2</v>
      </c>
      <c r="M32" s="352">
        <v>8.5017901159999992E-2</v>
      </c>
      <c r="N32" s="352">
        <v>8.5807901160000005E-2</v>
      </c>
      <c r="O32" s="352">
        <v>8.6597901160000004E-2</v>
      </c>
      <c r="P32" s="352">
        <v>8.7387901160000003E-2</v>
      </c>
      <c r="Q32" s="352">
        <v>8.8177901160000002E-2</v>
      </c>
      <c r="R32" s="352">
        <v>8.8967901160000001E-2</v>
      </c>
      <c r="S32" s="353">
        <v>8.975790116E-2</v>
      </c>
      <c r="T32" s="271"/>
      <c r="U32" s="271" t="s">
        <v>1220</v>
      </c>
      <c r="V32" s="271"/>
      <c r="Z32" s="355">
        <v>5.0000000000000001E-3</v>
      </c>
      <c r="AK32" s="304" t="s">
        <v>1221</v>
      </c>
      <c r="AL32" s="304" t="s">
        <v>1222</v>
      </c>
      <c r="AM32" s="304" t="s">
        <v>1223</v>
      </c>
      <c r="AN32" s="331" t="s">
        <v>1224</v>
      </c>
      <c r="AX32" s="271" t="s">
        <v>1093</v>
      </c>
      <c r="AY32" s="271" t="s">
        <v>1225</v>
      </c>
      <c r="AZ32" s="271" t="s">
        <v>1226</v>
      </c>
      <c r="BG32" s="301" t="str">
        <f>IF($BF32="","",_xll.ciqfunctions.udf.CIQ($BF32,"iq_offer_date"))</f>
        <v/>
      </c>
      <c r="BH32" s="302" t="str">
        <f>IF($BF32="","",RANK(BG32,$BG$11:$BG$511)+COUNTIF($BG$11:BG32,BG32)-1)</f>
        <v/>
      </c>
      <c r="BM32" s="271">
        <f t="shared" si="2"/>
        <v>22</v>
      </c>
      <c r="BO32" s="304" t="str">
        <f>IF($BN32="","",_xll.ciqfunctions.udf.CIQ($BN32,"iq_security_level"))</f>
        <v/>
      </c>
      <c r="BP32" s="271" t="str">
        <f t="shared" si="3"/>
        <v/>
      </c>
      <c r="BR32" s="271" t="str">
        <f t="shared" si="0"/>
        <v/>
      </c>
      <c r="BS32" s="305" t="str">
        <f>IF($BR32="","",_xll.ciqfunctions.udf.CIQ($BR32,"iq_bond_coupon")/100)</f>
        <v/>
      </c>
    </row>
    <row r="33" spans="1:71" ht="12" customHeight="1" x14ac:dyDescent="0.25">
      <c r="A33" s="271" t="s">
        <v>1227</v>
      </c>
      <c r="B33" s="271"/>
      <c r="C33" s="271"/>
      <c r="D33" s="271"/>
      <c r="E33" s="271"/>
      <c r="F33" s="271"/>
      <c r="G33" s="271"/>
      <c r="H33" s="291">
        <v>6.9637612449999983E-2</v>
      </c>
      <c r="I33" s="271"/>
      <c r="J33" s="356">
        <v>0.25</v>
      </c>
      <c r="K33" s="352">
        <v>7.9704282337500001E-2</v>
      </c>
      <c r="L33" s="352">
        <v>8.0691782337500004E-2</v>
      </c>
      <c r="M33" s="352">
        <v>8.1679282337500006E-2</v>
      </c>
      <c r="N33" s="352">
        <v>8.2666782337499994E-2</v>
      </c>
      <c r="O33" s="352">
        <v>8.3654282337499997E-2</v>
      </c>
      <c r="P33" s="352">
        <v>8.4641782337499999E-2</v>
      </c>
      <c r="Q33" s="352">
        <v>8.5629282337500001E-2</v>
      </c>
      <c r="R33" s="352">
        <v>8.6616782337500003E-2</v>
      </c>
      <c r="S33" s="353">
        <v>8.7604282337500006E-2</v>
      </c>
      <c r="T33" s="271"/>
      <c r="U33" s="271" t="s">
        <v>1228</v>
      </c>
      <c r="V33" s="271"/>
      <c r="Z33" s="357">
        <v>0.05</v>
      </c>
      <c r="AK33" s="304" t="s">
        <v>1229</v>
      </c>
      <c r="AL33" s="304" t="s">
        <v>1229</v>
      </c>
      <c r="AM33" s="304" t="s">
        <v>1230</v>
      </c>
      <c r="AN33" s="304" t="s">
        <v>1171</v>
      </c>
      <c r="AX33" s="271" t="s">
        <v>1093</v>
      </c>
      <c r="AY33" s="271" t="s">
        <v>1231</v>
      </c>
      <c r="AZ33" s="271" t="s">
        <v>1232</v>
      </c>
      <c r="BG33" s="301" t="str">
        <f>IF($BF33="","",_xll.ciqfunctions.udf.CIQ($BF33,"iq_offer_date"))</f>
        <v/>
      </c>
      <c r="BH33" s="302" t="str">
        <f>IF($BF33="","",RANK(BG33,$BG$11:$BG$511)+COUNTIF($BG$11:BG33,BG33)-1)</f>
        <v/>
      </c>
      <c r="BM33" s="271">
        <f t="shared" si="2"/>
        <v>23</v>
      </c>
      <c r="BO33" s="304" t="str">
        <f>IF($BN33="","",_xll.ciqfunctions.udf.CIQ($BN33,"iq_security_level"))</f>
        <v/>
      </c>
      <c r="BP33" s="271" t="str">
        <f t="shared" si="3"/>
        <v/>
      </c>
      <c r="BR33" s="271" t="str">
        <f t="shared" si="0"/>
        <v/>
      </c>
      <c r="BS33" s="305" t="str">
        <f>IF($BR33="","",_xll.ciqfunctions.udf.CIQ($BR33,"iq_bond_coupon")/100)</f>
        <v/>
      </c>
    </row>
    <row r="34" spans="1:71" ht="12" customHeight="1" x14ac:dyDescent="0.25">
      <c r="A34" s="271" t="s">
        <v>1233</v>
      </c>
      <c r="B34" s="271"/>
      <c r="C34" s="271"/>
      <c r="D34" s="271"/>
      <c r="E34" s="271"/>
      <c r="F34" s="271"/>
      <c r="G34" s="271"/>
      <c r="H34" s="291">
        <v>2.87E-2</v>
      </c>
      <c r="I34" s="271"/>
      <c r="J34" s="351">
        <v>0.3</v>
      </c>
      <c r="K34" s="352">
        <v>7.5970663514999995E-2</v>
      </c>
      <c r="L34" s="352">
        <v>7.7155663514999986E-2</v>
      </c>
      <c r="M34" s="352">
        <v>7.8340663514999992E-2</v>
      </c>
      <c r="N34" s="352">
        <v>7.9525663514999984E-2</v>
      </c>
      <c r="O34" s="352">
        <v>8.0710663514999989E-2</v>
      </c>
      <c r="P34" s="352">
        <v>8.1895663514999981E-2</v>
      </c>
      <c r="Q34" s="352">
        <v>8.3080663514999986E-2</v>
      </c>
      <c r="R34" s="352">
        <v>8.4265663514999992E-2</v>
      </c>
      <c r="S34" s="353">
        <v>8.5450663514999983E-2</v>
      </c>
      <c r="T34" s="271"/>
      <c r="U34" s="271" t="s">
        <v>1234</v>
      </c>
      <c r="V34" s="271"/>
      <c r="Z34" s="358">
        <v>5.0000000000000001E-3</v>
      </c>
      <c r="AK34" s="304" t="s">
        <v>1235</v>
      </c>
      <c r="AL34" s="304" t="s">
        <v>1236</v>
      </c>
      <c r="AN34" s="304" t="s">
        <v>1237</v>
      </c>
      <c r="AP34" s="359" t="s">
        <v>1238</v>
      </c>
      <c r="AQ34" s="359"/>
      <c r="AX34" s="271" t="s">
        <v>1093</v>
      </c>
      <c r="AY34" s="271" t="s">
        <v>1239</v>
      </c>
      <c r="AZ34" s="271" t="s">
        <v>1240</v>
      </c>
      <c r="BG34" s="301" t="str">
        <f>IF($BF34="","",_xll.ciqfunctions.udf.CIQ($BF34,"iq_offer_date"))</f>
        <v/>
      </c>
      <c r="BH34" s="302" t="str">
        <f>IF($BF34="","",RANK(BG34,$BG$11:$BG$511)+COUNTIF($BG$11:BG34,BG34)-1)</f>
        <v/>
      </c>
      <c r="BM34" s="271">
        <f t="shared" si="2"/>
        <v>24</v>
      </c>
      <c r="BO34" s="304" t="str">
        <f>IF($BN34="","",_xll.ciqfunctions.udf.CIQ($BN34,"iq_security_level"))</f>
        <v/>
      </c>
      <c r="BP34" s="271" t="str">
        <f t="shared" si="3"/>
        <v/>
      </c>
      <c r="BR34" s="271" t="str">
        <f t="shared" si="0"/>
        <v/>
      </c>
      <c r="BS34" s="305" t="str">
        <f>IF($BR34="","",_xll.ciqfunctions.udf.CIQ($BR34,"iq_bond_coupon")/100)</f>
        <v/>
      </c>
    </row>
    <row r="35" spans="1:71" ht="12" customHeight="1" x14ac:dyDescent="0.25">
      <c r="A35" s="271" t="s">
        <v>1241</v>
      </c>
      <c r="B35" s="271"/>
      <c r="C35" s="271"/>
      <c r="D35" s="271"/>
      <c r="E35" s="271"/>
      <c r="F35" s="271"/>
      <c r="G35" s="271"/>
      <c r="H35" s="360">
        <v>0</v>
      </c>
      <c r="I35" s="277"/>
      <c r="J35" s="351">
        <v>0.35</v>
      </c>
      <c r="K35" s="352">
        <v>7.2237044692499988E-2</v>
      </c>
      <c r="L35" s="352">
        <v>7.3619544692499983E-2</v>
      </c>
      <c r="M35" s="352">
        <v>7.5002044692499992E-2</v>
      </c>
      <c r="N35" s="352">
        <v>7.6384544692499987E-2</v>
      </c>
      <c r="O35" s="352">
        <v>7.7767044692499981E-2</v>
      </c>
      <c r="P35" s="352">
        <v>7.914954469249999E-2</v>
      </c>
      <c r="Q35" s="352">
        <v>8.0532044692499985E-2</v>
      </c>
      <c r="R35" s="352">
        <v>8.191454469249998E-2</v>
      </c>
      <c r="S35" s="353">
        <v>8.3297044692499989E-2</v>
      </c>
      <c r="T35" s="271"/>
      <c r="U35" s="271" t="s">
        <v>1242</v>
      </c>
      <c r="V35" s="271"/>
      <c r="Z35" s="357">
        <v>0.05</v>
      </c>
      <c r="AK35" s="304" t="s">
        <v>1243</v>
      </c>
      <c r="AL35" s="304" t="s">
        <v>1244</v>
      </c>
      <c r="AM35" s="304" t="str">
        <f>_xll.ciqfunctions.udf.CIQ($B$1,"IQ_SP_ISSUER_RATING",Date,"LT_LC","RATING")</f>
        <v>#CIQINACTIVE</v>
      </c>
      <c r="AN35" s="304" t="s">
        <v>1245</v>
      </c>
      <c r="AP35" s="361">
        <f>YEAR(Date)-1</f>
        <v>2017</v>
      </c>
      <c r="AQ35" s="352" t="e">
        <f>IF(_xll.ciqfunctions.udf.CIQPC($N$1,"IQ_LASTSALEPRICE","-1Y",DATE(AP35,12,31))/100=0,"NA",_xll.ciqfunctions.udf.CIQPC($N$1,"IQ_LASTSALEPRICE","-1Y",DATE(AP35,12,31))/100)</f>
        <v>#VALUE!</v>
      </c>
      <c r="AX35" s="271" t="s">
        <v>1093</v>
      </c>
      <c r="AY35" s="271" t="s">
        <v>1246</v>
      </c>
      <c r="AZ35" s="271" t="s">
        <v>1247</v>
      </c>
      <c r="BG35" s="301" t="str">
        <f>IF($BF35="","",_xll.ciqfunctions.udf.CIQ($BF35,"iq_offer_date"))</f>
        <v/>
      </c>
      <c r="BH35" s="302" t="str">
        <f>IF($BF35="","",RANK(BG35,$BG$11:$BG$511)+COUNTIF($BG$11:BG35,BG35)-1)</f>
        <v/>
      </c>
      <c r="BM35" s="271">
        <f t="shared" si="2"/>
        <v>25</v>
      </c>
      <c r="BO35" s="304" t="str">
        <f>IF($BN35="","",_xll.ciqfunctions.udf.CIQ($BN35,"iq_security_level"))</f>
        <v/>
      </c>
      <c r="BP35" s="271" t="str">
        <f t="shared" si="3"/>
        <v/>
      </c>
      <c r="BR35" s="271" t="str">
        <f t="shared" si="0"/>
        <v/>
      </c>
      <c r="BS35" s="305" t="str">
        <f>IF($BR35="","",_xll.ciqfunctions.udf.CIQ($BR35,"iq_bond_coupon")/100)</f>
        <v/>
      </c>
    </row>
    <row r="36" spans="1:71" ht="12" customHeight="1" x14ac:dyDescent="0.25">
      <c r="A36" s="263" t="s">
        <v>1248</v>
      </c>
      <c r="B36" s="271"/>
      <c r="C36" s="271"/>
      <c r="D36" s="271"/>
      <c r="E36" s="271"/>
      <c r="F36" s="271"/>
      <c r="G36" s="271"/>
      <c r="H36" s="362">
        <v>9.8337612449999987E-2</v>
      </c>
      <c r="I36" s="271"/>
      <c r="J36" s="351">
        <v>0.39999999999999997</v>
      </c>
      <c r="K36" s="352">
        <v>6.8503425870000009E-2</v>
      </c>
      <c r="L36" s="352">
        <v>7.0083425870000007E-2</v>
      </c>
      <c r="M36" s="352">
        <v>7.1663425870000005E-2</v>
      </c>
      <c r="N36" s="352">
        <v>7.3243425870000003E-2</v>
      </c>
      <c r="O36" s="352">
        <v>7.4823425870000002E-2</v>
      </c>
      <c r="P36" s="352">
        <v>7.640342587E-2</v>
      </c>
      <c r="Q36" s="352">
        <v>7.7983425869999998E-2</v>
      </c>
      <c r="R36" s="352">
        <v>7.956342587000001E-2</v>
      </c>
      <c r="S36" s="353">
        <v>8.1143425870000008E-2</v>
      </c>
      <c r="T36" s="271"/>
      <c r="U36" s="271"/>
      <c r="V36" s="271"/>
      <c r="AK36" s="304" t="s">
        <v>1249</v>
      </c>
      <c r="AL36" s="304" t="s">
        <v>1249</v>
      </c>
      <c r="AM36" s="304" t="str">
        <f>IF(AND(ISERROR(SEARCH("-",AM35,1)),ISERROR(SEARCH("+",AM35,1))),AM35,LEFT(AM35,LEN(AM35)-1))</f>
        <v>#CIQINACTIVE</v>
      </c>
      <c r="AN36" s="304" t="s">
        <v>1250</v>
      </c>
      <c r="AP36" s="361">
        <f>AP35-1</f>
        <v>2016</v>
      </c>
      <c r="AQ36" s="352" t="e">
        <f>IF(_xll.ciqfunctions.udf.CIQPC($N$1,"IQ_LASTSALEPRICE","-1Y",DATE(AP36,12,31))/100=0,"NA",_xll.ciqfunctions.udf.CIQPC($N$1,"IQ_LASTSALEPRICE","-1Y",DATE(AP36,12,31))/100)</f>
        <v>#VALUE!</v>
      </c>
      <c r="AX36" s="271" t="s">
        <v>1093</v>
      </c>
      <c r="AY36" s="271" t="s">
        <v>1251</v>
      </c>
      <c r="AZ36" s="271" t="s">
        <v>1252</v>
      </c>
      <c r="BG36" s="301" t="str">
        <f>IF($BF36="","",_xll.ciqfunctions.udf.CIQ($BF36,"iq_offer_date"))</f>
        <v/>
      </c>
      <c r="BH36" s="302" t="str">
        <f>IF($BF36="","",RANK(BG36,$BG$11:$BG$511)+COUNTIF($BG$11:BG36,BG36)-1)</f>
        <v/>
      </c>
      <c r="BM36" s="271">
        <f t="shared" si="2"/>
        <v>26</v>
      </c>
      <c r="BO36" s="304" t="str">
        <f>IF($BN36="","",_xll.ciqfunctions.udf.CIQ($BN36,"iq_security_level"))</f>
        <v/>
      </c>
      <c r="BP36" s="271" t="str">
        <f t="shared" si="3"/>
        <v/>
      </c>
      <c r="BR36" s="271" t="str">
        <f t="shared" si="0"/>
        <v/>
      </c>
      <c r="BS36" s="305" t="str">
        <f>IF($BR36="","",_xll.ciqfunctions.udf.CIQ($BR36,"iq_bond_coupon")/100)</f>
        <v/>
      </c>
    </row>
    <row r="37" spans="1:71" ht="12" customHeight="1" x14ac:dyDescent="0.25">
      <c r="A37" s="271" t="s">
        <v>1602</v>
      </c>
      <c r="B37" s="271"/>
      <c r="C37" s="271"/>
      <c r="D37" s="271"/>
      <c r="E37" s="271"/>
      <c r="F37" s="271"/>
      <c r="G37" s="271"/>
      <c r="H37" s="360">
        <v>0.97195706812239002</v>
      </c>
      <c r="I37" s="271"/>
      <c r="J37" s="363"/>
      <c r="K37" s="324"/>
      <c r="L37" s="324"/>
      <c r="M37" s="324"/>
      <c r="N37" s="364"/>
      <c r="O37" s="324"/>
      <c r="P37" s="324"/>
      <c r="Q37" s="324"/>
      <c r="R37" s="324"/>
      <c r="S37" s="365"/>
      <c r="T37" s="271"/>
      <c r="U37" s="271"/>
      <c r="V37" s="271"/>
      <c r="AK37" s="304" t="e">
        <f>VLOOKUP(AK25,AK26:AL36,2,0)</f>
        <v>#N/A</v>
      </c>
      <c r="AL37" s="304" t="s">
        <v>1253</v>
      </c>
      <c r="AM37" s="304"/>
      <c r="AN37" s="304" t="s">
        <v>1254</v>
      </c>
      <c r="AP37" s="361">
        <f t="shared" ref="AP37:AP44" si="4">AP36-1</f>
        <v>2015</v>
      </c>
      <c r="AQ37" s="352" t="e">
        <f>IF(_xll.ciqfunctions.udf.CIQPC($N$1,"IQ_LASTSALEPRICE","-1Y",DATE(AP37,12,31))/100=0,"NA",_xll.ciqfunctions.udf.CIQPC($N$1,"IQ_LASTSALEPRICE","-1Y",DATE(AP37,12,31))/100)</f>
        <v>#VALUE!</v>
      </c>
      <c r="AX37" s="271" t="s">
        <v>1093</v>
      </c>
      <c r="AY37" s="271" t="s">
        <v>1255</v>
      </c>
      <c r="AZ37" s="271" t="s">
        <v>1256</v>
      </c>
      <c r="BG37" s="301" t="str">
        <f>IF($BF37="","",_xll.ciqfunctions.udf.CIQ($BF37,"iq_offer_date"))</f>
        <v/>
      </c>
      <c r="BH37" s="302" t="str">
        <f>IF($BF37="","",RANK(BG37,$BG$11:$BG$511)+COUNTIF($BG$11:BG37,BG37)-1)</f>
        <v/>
      </c>
      <c r="BM37" s="271">
        <f t="shared" si="2"/>
        <v>27</v>
      </c>
      <c r="BO37" s="304" t="str">
        <f>IF($BN37="","",_xll.ciqfunctions.udf.CIQ($BN37,"iq_security_level"))</f>
        <v/>
      </c>
      <c r="BP37" s="271" t="str">
        <f t="shared" si="3"/>
        <v/>
      </c>
      <c r="BR37" s="271" t="str">
        <f t="shared" si="0"/>
        <v/>
      </c>
      <c r="BS37" s="305" t="str">
        <f>IF($BR37="","",_xll.ciqfunctions.udf.CIQ($BR37,"iq_bond_coupon")/100)</f>
        <v/>
      </c>
    </row>
    <row r="38" spans="1:71" ht="12" customHeight="1" x14ac:dyDescent="0.25">
      <c r="A38" s="271" t="s">
        <v>1257</v>
      </c>
      <c r="B38" s="271"/>
      <c r="C38" s="271"/>
      <c r="D38" s="271"/>
      <c r="E38" s="271"/>
      <c r="F38" s="271"/>
      <c r="G38" s="271"/>
      <c r="H38" s="291">
        <v>9.557993748305782E-2</v>
      </c>
      <c r="I38" s="271"/>
      <c r="J38" s="271"/>
      <c r="K38" s="271"/>
      <c r="L38" s="271"/>
      <c r="M38" s="271"/>
      <c r="N38" s="271"/>
      <c r="O38" s="271"/>
      <c r="P38" s="271"/>
      <c r="Q38" s="271"/>
      <c r="R38" s="271"/>
      <c r="S38" s="271"/>
      <c r="T38" s="271"/>
      <c r="U38" s="271"/>
      <c r="V38" s="271"/>
      <c r="AK38" s="304"/>
      <c r="AM38" s="304"/>
      <c r="AN38" s="304" t="s">
        <v>1258</v>
      </c>
      <c r="AP38" s="361">
        <f t="shared" si="4"/>
        <v>2014</v>
      </c>
      <c r="AQ38" s="352" t="e">
        <f>IF(_xll.ciqfunctions.udf.CIQPC($N$1,"IQ_LASTSALEPRICE","-1Y",DATE(AP38,12,31))/100=0,"NA",_xll.ciqfunctions.udf.CIQPC($N$1,"IQ_LASTSALEPRICE","-1Y",DATE(AP38,12,31))/100)</f>
        <v>#VALUE!</v>
      </c>
      <c r="AX38" s="271" t="s">
        <v>1099</v>
      </c>
      <c r="AY38" s="271" t="s">
        <v>1259</v>
      </c>
      <c r="AZ38" s="271" t="s">
        <v>1260</v>
      </c>
      <c r="BG38" s="301" t="str">
        <f>IF($BF38="","",_xll.ciqfunctions.udf.CIQ($BF38,"iq_offer_date"))</f>
        <v/>
      </c>
      <c r="BH38" s="302" t="str">
        <f>IF($BF38="","",RANK(BG38,$BG$11:$BG$511)+COUNTIF($BG$11:BG38,BG38)-1)</f>
        <v/>
      </c>
      <c r="BM38" s="271">
        <f t="shared" si="2"/>
        <v>28</v>
      </c>
      <c r="BO38" s="304" t="str">
        <f>IF($BN38="","",_xll.ciqfunctions.udf.CIQ($BN38,"iq_security_level"))</f>
        <v/>
      </c>
      <c r="BP38" s="271" t="str">
        <f t="shared" si="3"/>
        <v/>
      </c>
      <c r="BR38" s="271" t="str">
        <f t="shared" si="0"/>
        <v/>
      </c>
      <c r="BS38" s="305" t="str">
        <f>IF($BR38="","",_xll.ciqfunctions.udf.CIQ($BR38,"iq_bond_coupon")/100)</f>
        <v/>
      </c>
    </row>
    <row r="39" spans="1:71" ht="15" customHeight="1" x14ac:dyDescent="0.25">
      <c r="A39" s="271"/>
      <c r="B39" s="271"/>
      <c r="C39" s="271"/>
      <c r="D39" s="271"/>
      <c r="E39" s="271"/>
      <c r="F39" s="271"/>
      <c r="G39" s="271"/>
      <c r="H39" s="271"/>
      <c r="I39" s="271"/>
      <c r="J39" s="333" t="s">
        <v>309</v>
      </c>
      <c r="K39" s="334"/>
      <c r="L39" s="334"/>
      <c r="M39" s="334"/>
      <c r="N39" s="335"/>
      <c r="O39" s="335"/>
      <c r="P39" s="335"/>
      <c r="Q39" s="335"/>
      <c r="R39" s="335"/>
      <c r="S39" s="336"/>
      <c r="T39" s="271"/>
      <c r="U39" s="271"/>
      <c r="V39" s="271"/>
      <c r="AK39" s="304"/>
      <c r="AM39" s="304"/>
      <c r="AN39" s="304" t="s">
        <v>1261</v>
      </c>
      <c r="AP39" s="361">
        <f t="shared" si="4"/>
        <v>2013</v>
      </c>
      <c r="AQ39" s="352" t="e">
        <f>IF(_xll.ciqfunctions.udf.CIQPC($N$1,"IQ_LASTSALEPRICE","-1Y",DATE(AP39,12,31))/100=0,"NA",_xll.ciqfunctions.udf.CIQPC($N$1,"IQ_LASTSALEPRICE","-1Y",DATE(AP39,12,31))/100)</f>
        <v>#VALUE!</v>
      </c>
      <c r="AX39" s="271" t="s">
        <v>1099</v>
      </c>
      <c r="AY39" s="271" t="s">
        <v>1262</v>
      </c>
      <c r="AZ39" s="271" t="s">
        <v>1263</v>
      </c>
      <c r="BG39" s="301" t="str">
        <f>IF($BF39="","",_xll.ciqfunctions.udf.CIQ($BF39,"iq_offer_date"))</f>
        <v/>
      </c>
      <c r="BH39" s="302" t="str">
        <f>IF($BF39="","",RANK(BG39,$BG$11:$BG$511)+COUNTIF($BG$11:BG39,BG39)-1)</f>
        <v/>
      </c>
      <c r="BM39" s="271">
        <f t="shared" si="2"/>
        <v>29</v>
      </c>
      <c r="BO39" s="304" t="str">
        <f>IF($BN39="","",_xll.ciqfunctions.udf.CIQ($BN39,"iq_security_level"))</f>
        <v/>
      </c>
      <c r="BP39" s="271" t="str">
        <f t="shared" si="3"/>
        <v/>
      </c>
      <c r="BR39" s="271" t="str">
        <f t="shared" si="0"/>
        <v/>
      </c>
      <c r="BS39" s="305" t="str">
        <f>IF($BR39="","",_xll.ciqfunctions.udf.CIQ($BR39,"iq_bond_coupon")/100)</f>
        <v/>
      </c>
    </row>
    <row r="40" spans="1:71" ht="12" customHeight="1" x14ac:dyDescent="0.25">
      <c r="A40" s="271" t="s">
        <v>1104</v>
      </c>
      <c r="B40" s="271"/>
      <c r="C40" s="271"/>
      <c r="D40" s="271"/>
      <c r="E40" s="271"/>
      <c r="F40" s="271"/>
      <c r="G40" s="291"/>
      <c r="H40" s="291">
        <v>3.8260000000000002E-2</v>
      </c>
      <c r="I40" s="271"/>
      <c r="J40" s="341"/>
      <c r="K40" s="271"/>
      <c r="L40" s="271"/>
      <c r="M40" s="271"/>
      <c r="N40" s="271"/>
      <c r="O40" s="271"/>
      <c r="P40" s="271"/>
      <c r="Q40" s="271"/>
      <c r="R40" s="271"/>
      <c r="S40" s="342"/>
      <c r="T40" s="271"/>
      <c r="U40" s="271"/>
      <c r="V40" s="271"/>
      <c r="AK40" s="304"/>
      <c r="AM40" s="304"/>
      <c r="AN40" s="304" t="s">
        <v>1264</v>
      </c>
      <c r="AP40" s="361">
        <f t="shared" si="4"/>
        <v>2012</v>
      </c>
      <c r="AQ40" s="352" t="e">
        <f>IF(_xll.ciqfunctions.udf.CIQPC($N$1,"IQ_LASTSALEPRICE","-1Y",DATE(AP40,12,31))/100=0,"NA",_xll.ciqfunctions.udf.CIQPC($N$1,"IQ_LASTSALEPRICE","-1Y",DATE(AP40,12,31))/100)</f>
        <v>#VALUE!</v>
      </c>
      <c r="AX40" s="271" t="s">
        <v>1099</v>
      </c>
      <c r="AY40" s="271" t="s">
        <v>1265</v>
      </c>
      <c r="AZ40" s="271" t="s">
        <v>1266</v>
      </c>
      <c r="BG40" s="301" t="str">
        <f>IF($BF40="","",_xll.ciqfunctions.udf.CIQ($BF40,"iq_offer_date"))</f>
        <v/>
      </c>
      <c r="BH40" s="302" t="str">
        <f>IF($BF40="","",RANK(BG40,$BG$11:$BG$511)+COUNTIF($BG$11:BG40,BG40)-1)</f>
        <v/>
      </c>
      <c r="BM40" s="271">
        <f t="shared" si="2"/>
        <v>30</v>
      </c>
      <c r="BO40" s="304" t="str">
        <f>IF($BN40="","",_xll.ciqfunctions.udf.CIQ($BN40,"iq_security_level"))</f>
        <v/>
      </c>
      <c r="BP40" s="271" t="str">
        <f t="shared" si="3"/>
        <v/>
      </c>
      <c r="BR40" s="271" t="str">
        <f t="shared" si="0"/>
        <v/>
      </c>
      <c r="BS40" s="305" t="str">
        <f>IF($BR40="","",_xll.ciqfunctions.udf.CIQ($BR40,"iq_bond_coupon")/100)</f>
        <v/>
      </c>
    </row>
    <row r="41" spans="1:71" ht="12" customHeight="1" x14ac:dyDescent="0.25">
      <c r="A41" s="271" t="s">
        <v>1050</v>
      </c>
      <c r="B41" s="271"/>
      <c r="C41" s="271"/>
      <c r="D41" s="271"/>
      <c r="E41" s="271"/>
      <c r="F41" s="271"/>
      <c r="G41" s="271"/>
      <c r="H41" s="360">
        <v>0.21</v>
      </c>
      <c r="I41" s="271"/>
      <c r="J41" s="343" t="s">
        <v>1267</v>
      </c>
      <c r="K41" s="344" t="s">
        <v>1248</v>
      </c>
      <c r="L41" s="345"/>
      <c r="M41" s="345"/>
      <c r="N41" s="345"/>
      <c r="O41" s="345"/>
      <c r="P41" s="345"/>
      <c r="Q41" s="345"/>
      <c r="R41" s="345"/>
      <c r="S41" s="346"/>
      <c r="T41" s="271"/>
      <c r="U41" s="271"/>
      <c r="V41" s="271"/>
      <c r="AK41" s="304"/>
      <c r="AM41" s="304"/>
      <c r="AN41" s="304" t="s">
        <v>1268</v>
      </c>
      <c r="AP41" s="361">
        <f t="shared" si="4"/>
        <v>2011</v>
      </c>
      <c r="AQ41" s="352" t="e">
        <f>IF(_xll.ciqfunctions.udf.CIQPC($N$1,"IQ_LASTSALEPRICE","-1Y",DATE(AP41,12,31))/100=0,"NA",_xll.ciqfunctions.udf.CIQPC($N$1,"IQ_LASTSALEPRICE","-1Y",DATE(AP41,12,31))/100)</f>
        <v>#VALUE!</v>
      </c>
      <c r="AX41" s="271" t="s">
        <v>1099</v>
      </c>
      <c r="AY41" s="271" t="s">
        <v>1269</v>
      </c>
      <c r="AZ41" s="271" t="s">
        <v>1270</v>
      </c>
      <c r="BG41" s="301" t="str">
        <f>IF($BF41="","",_xll.ciqfunctions.udf.CIQ($BF41,"iq_offer_date"))</f>
        <v/>
      </c>
      <c r="BH41" s="302" t="str">
        <f>IF($BF41="","",RANK(BG41,$BG$11:$BG$511)+COUNTIF($BG$11:BG41,BG41)-1)</f>
        <v/>
      </c>
      <c r="BM41" s="271">
        <f t="shared" si="2"/>
        <v>31</v>
      </c>
      <c r="BO41" s="304" t="str">
        <f>IF($BN41="","",_xll.ciqfunctions.udf.CIQ($BN41,"iq_security_level"))</f>
        <v/>
      </c>
      <c r="BP41" s="271" t="str">
        <f t="shared" si="3"/>
        <v/>
      </c>
      <c r="BR41" s="271" t="str">
        <f t="shared" si="0"/>
        <v/>
      </c>
      <c r="BS41" s="305" t="str">
        <f>IF($BR41="","",_xll.ciqfunctions.udf.CIQ($BR41,"iq_bond_coupon")/100)</f>
        <v/>
      </c>
    </row>
    <row r="42" spans="1:71" ht="12" customHeight="1" x14ac:dyDescent="0.25">
      <c r="A42" s="263" t="s">
        <v>1271</v>
      </c>
      <c r="B42" s="271"/>
      <c r="C42" s="271"/>
      <c r="D42" s="271"/>
      <c r="E42" s="271"/>
      <c r="F42" s="271"/>
      <c r="G42" s="271"/>
      <c r="H42" s="362">
        <v>3.0225400000000003E-2</v>
      </c>
      <c r="I42" s="271"/>
      <c r="J42" s="347">
        <v>9.6427546316231336E-2</v>
      </c>
      <c r="K42" s="366">
        <v>6.9999999999999979E-2</v>
      </c>
      <c r="L42" s="367">
        <v>7.4999999999999983E-2</v>
      </c>
      <c r="M42" s="367">
        <v>7.9999999999999988E-2</v>
      </c>
      <c r="N42" s="367">
        <v>8.4999999999999992E-2</v>
      </c>
      <c r="O42" s="368">
        <v>0.09</v>
      </c>
      <c r="P42" s="367">
        <v>9.5000000000000001E-2</v>
      </c>
      <c r="Q42" s="367">
        <v>0.1</v>
      </c>
      <c r="R42" s="367">
        <v>0.10500000000000001</v>
      </c>
      <c r="S42" s="369">
        <v>0.11000000000000001</v>
      </c>
      <c r="T42" s="271"/>
      <c r="U42" s="271"/>
      <c r="V42" s="271"/>
      <c r="AK42" s="304"/>
      <c r="AM42" s="304"/>
      <c r="AN42" s="304" t="s">
        <v>1272</v>
      </c>
      <c r="AP42" s="361">
        <f t="shared" si="4"/>
        <v>2010</v>
      </c>
      <c r="AQ42" s="352" t="e">
        <f>IF(_xll.ciqfunctions.udf.CIQPC($N$1,"IQ_LASTSALEPRICE","-1Y",DATE(AP42,12,31))/100=0,"NA",_xll.ciqfunctions.udf.CIQPC($N$1,"IQ_LASTSALEPRICE","-1Y",DATE(AP42,12,31))/100)</f>
        <v>#VALUE!</v>
      </c>
      <c r="AX42" s="271" t="s">
        <v>1099</v>
      </c>
      <c r="AY42" s="271" t="s">
        <v>1273</v>
      </c>
      <c r="AZ42" s="271" t="s">
        <v>1274</v>
      </c>
      <c r="BG42" s="301" t="str">
        <f>IF($BF42="","",_xll.ciqfunctions.udf.CIQ($BF42,"iq_offer_date"))</f>
        <v/>
      </c>
      <c r="BH42" s="302" t="str">
        <f>IF($BF42="","",RANK(BG42,$BG$11:$BG$511)+COUNTIF($BG$11:BG42,BG42)-1)</f>
        <v/>
      </c>
      <c r="BM42" s="271">
        <f t="shared" si="2"/>
        <v>32</v>
      </c>
      <c r="BO42" s="304" t="str">
        <f>IF($BN42="","",_xll.ciqfunctions.udf.CIQ($BN42,"iq_security_level"))</f>
        <v/>
      </c>
      <c r="BP42" s="271" t="str">
        <f t="shared" si="3"/>
        <v/>
      </c>
      <c r="BR42" s="271" t="str">
        <f t="shared" si="0"/>
        <v/>
      </c>
      <c r="BS42" s="305" t="str">
        <f>IF($BR42="","",_xll.ciqfunctions.udf.CIQ($BR42,"iq_bond_coupon")/100)</f>
        <v/>
      </c>
    </row>
    <row r="43" spans="1:71" ht="12" customHeight="1" x14ac:dyDescent="0.25">
      <c r="A43" s="271" t="s">
        <v>1603</v>
      </c>
      <c r="B43" s="271"/>
      <c r="C43" s="271"/>
      <c r="D43" s="271"/>
      <c r="E43" s="271"/>
      <c r="F43" s="271"/>
      <c r="G43" s="271"/>
      <c r="H43" s="360">
        <v>2.8042931877609964E-2</v>
      </c>
      <c r="I43" s="271"/>
      <c r="J43" s="351">
        <v>0.69999999999999984</v>
      </c>
      <c r="K43" s="370">
        <v>4.983963891347936E-2</v>
      </c>
      <c r="L43" s="370">
        <v>5.3339638913479363E-2</v>
      </c>
      <c r="M43" s="370">
        <v>5.6839638913479366E-2</v>
      </c>
      <c r="N43" s="370">
        <v>6.033963891347937E-2</v>
      </c>
      <c r="O43" s="370">
        <v>6.383963891347938E-2</v>
      </c>
      <c r="P43" s="370">
        <v>6.7339638913479383E-2</v>
      </c>
      <c r="Q43" s="370">
        <v>7.0839638913479386E-2</v>
      </c>
      <c r="R43" s="370">
        <v>7.4339638913479389E-2</v>
      </c>
      <c r="S43" s="371">
        <v>7.7839638913479392E-2</v>
      </c>
      <c r="T43" s="271"/>
      <c r="U43" s="271"/>
      <c r="V43" s="271"/>
      <c r="AK43" s="304"/>
      <c r="AM43" s="304"/>
      <c r="AN43" s="304" t="s">
        <v>1275</v>
      </c>
      <c r="AP43" s="361">
        <f t="shared" si="4"/>
        <v>2009</v>
      </c>
      <c r="AQ43" s="352" t="e">
        <f>IF(_xll.ciqfunctions.udf.CIQPC($N$1,"IQ_LASTSALEPRICE","-1Y",DATE(AP43,12,31))/100=0,"NA",_xll.ciqfunctions.udf.CIQPC($N$1,"IQ_LASTSALEPRICE","-1Y",DATE(AP43,12,31))/100)</f>
        <v>#VALUE!</v>
      </c>
      <c r="AX43" s="271" t="s">
        <v>1099</v>
      </c>
      <c r="AY43" s="271" t="s">
        <v>1276</v>
      </c>
      <c r="AZ43" s="271" t="s">
        <v>1277</v>
      </c>
      <c r="BG43" s="301" t="str">
        <f>IF($BF43="","",_xll.ciqfunctions.udf.CIQ($BF43,"iq_offer_date"))</f>
        <v/>
      </c>
      <c r="BH43" s="302" t="str">
        <f>IF($BF43="","",RANK(BG43,$BG$11:$BG$511)+COUNTIF($BG$11:BG43,BG43)-1)</f>
        <v/>
      </c>
      <c r="BM43" s="271">
        <f t="shared" si="2"/>
        <v>33</v>
      </c>
      <c r="BO43" s="304" t="str">
        <f>IF($BN43="","",_xll.ciqfunctions.udf.CIQ($BN43,"iq_security_level"))</f>
        <v/>
      </c>
      <c r="BP43" s="271" t="str">
        <f t="shared" si="3"/>
        <v/>
      </c>
      <c r="BR43" s="271" t="str">
        <f t="shared" si="0"/>
        <v/>
      </c>
      <c r="BS43" s="305" t="str">
        <f>IF($BR43="","",_xll.ciqfunctions.udf.CIQ($BR43,"iq_bond_coupon")/100)</f>
        <v/>
      </c>
    </row>
    <row r="44" spans="1:71" ht="12" customHeight="1" x14ac:dyDescent="0.25">
      <c r="A44" s="271" t="s">
        <v>1278</v>
      </c>
      <c r="B44" s="271"/>
      <c r="C44" s="271"/>
      <c r="D44" s="271"/>
      <c r="E44" s="271"/>
      <c r="F44" s="271"/>
      <c r="G44" s="271"/>
      <c r="H44" s="291">
        <v>8.476088331735123E-4</v>
      </c>
      <c r="I44" s="271"/>
      <c r="J44" s="351">
        <v>0.74999999999999989</v>
      </c>
      <c r="K44" s="370">
        <v>5.3339638913479363E-2</v>
      </c>
      <c r="L44" s="370">
        <v>5.7089638913479367E-2</v>
      </c>
      <c r="M44" s="370">
        <v>6.083963891347937E-2</v>
      </c>
      <c r="N44" s="370">
        <v>6.458963891347938E-2</v>
      </c>
      <c r="O44" s="370">
        <v>6.8339638913479384E-2</v>
      </c>
      <c r="P44" s="370">
        <v>7.2089638913479387E-2</v>
      </c>
      <c r="Q44" s="370">
        <v>7.583963891347939E-2</v>
      </c>
      <c r="R44" s="370">
        <v>7.9589638913479394E-2</v>
      </c>
      <c r="S44" s="371">
        <v>8.3339638913479397E-2</v>
      </c>
      <c r="T44" s="271"/>
      <c r="U44" s="271"/>
      <c r="V44" s="271"/>
      <c r="AK44" s="304"/>
      <c r="AM44" s="304"/>
      <c r="AN44" s="304" t="s">
        <v>1279</v>
      </c>
      <c r="AP44" s="361">
        <f t="shared" si="4"/>
        <v>2008</v>
      </c>
      <c r="AQ44" s="352" t="e">
        <f>IF(_xll.ciqfunctions.udf.CIQPC($N$1,"IQ_LASTSALEPRICE","-1Y",DATE(AP44,12,31))/100=0,"NA",_xll.ciqfunctions.udf.CIQPC($N$1,"IQ_LASTSALEPRICE","-1Y",DATE(AP44,12,31))/100)</f>
        <v>#VALUE!</v>
      </c>
      <c r="AX44" s="271" t="s">
        <v>1099</v>
      </c>
      <c r="AY44" s="271" t="s">
        <v>1280</v>
      </c>
      <c r="AZ44" s="271" t="s">
        <v>1281</v>
      </c>
      <c r="BG44" s="301" t="str">
        <f>IF($BF44="","",_xll.ciqfunctions.udf.CIQ($BF44,"iq_offer_date"))</f>
        <v/>
      </c>
      <c r="BH44" s="302" t="str">
        <f>IF($BF44="","",RANK(BG44,$BG$11:$BG$511)+COUNTIF($BG$11:BG44,BG44)-1)</f>
        <v/>
      </c>
      <c r="BM44" s="271">
        <f t="shared" si="2"/>
        <v>34</v>
      </c>
      <c r="BO44" s="304" t="str">
        <f>IF($BN44="","",_xll.ciqfunctions.udf.CIQ($BN44,"iq_security_level"))</f>
        <v/>
      </c>
      <c r="BP44" s="271" t="str">
        <f t="shared" si="3"/>
        <v/>
      </c>
      <c r="BR44" s="271" t="str">
        <f t="shared" si="0"/>
        <v/>
      </c>
      <c r="BS44" s="305" t="str">
        <f>IF($BR44="","",_xll.ciqfunctions.udf.CIQ($BR44,"iq_bond_coupon")/100)</f>
        <v/>
      </c>
    </row>
    <row r="45" spans="1:71" ht="12" customHeight="1" x14ac:dyDescent="0.25">
      <c r="A45" s="271"/>
      <c r="B45" s="271"/>
      <c r="C45" s="271"/>
      <c r="D45" s="271"/>
      <c r="E45" s="271"/>
      <c r="F45" s="271"/>
      <c r="G45" s="271"/>
      <c r="H45" s="271"/>
      <c r="I45" s="271"/>
      <c r="J45" s="351">
        <v>0.79999999999999993</v>
      </c>
      <c r="K45" s="370">
        <v>5.6839638913479366E-2</v>
      </c>
      <c r="L45" s="370">
        <v>6.083963891347937E-2</v>
      </c>
      <c r="M45" s="370">
        <v>6.483963891347938E-2</v>
      </c>
      <c r="N45" s="370">
        <v>6.8839638913479384E-2</v>
      </c>
      <c r="O45" s="370">
        <v>7.2839638913479388E-2</v>
      </c>
      <c r="P45" s="370">
        <v>7.6839638913479391E-2</v>
      </c>
      <c r="Q45" s="370">
        <v>8.0839638913479395E-2</v>
      </c>
      <c r="R45" s="370">
        <v>8.4839638913479398E-2</v>
      </c>
      <c r="S45" s="371">
        <v>8.8839638913479402E-2</v>
      </c>
      <c r="T45" s="271"/>
      <c r="U45" s="271"/>
      <c r="V45" s="271"/>
      <c r="AK45" s="304"/>
      <c r="AM45" s="304"/>
      <c r="AN45" s="304" t="s">
        <v>1282</v>
      </c>
      <c r="AX45" s="271" t="s">
        <v>1099</v>
      </c>
      <c r="AY45" s="271" t="s">
        <v>1283</v>
      </c>
      <c r="AZ45" s="271" t="s">
        <v>1284</v>
      </c>
      <c r="BG45" s="301" t="str">
        <f>IF($BF45="","",_xll.ciqfunctions.udf.CIQ($BF45,"iq_offer_date"))</f>
        <v/>
      </c>
      <c r="BH45" s="302" t="str">
        <f>IF($BF45="","",RANK(BG45,$BG$11:$BG$511)+COUNTIF($BG$11:BG45,BG45)-1)</f>
        <v/>
      </c>
      <c r="BM45" s="271">
        <f t="shared" si="2"/>
        <v>35</v>
      </c>
      <c r="BO45" s="304" t="str">
        <f>IF($BN45="","",_xll.ciqfunctions.udf.CIQ($BN45,"iq_security_level"))</f>
        <v/>
      </c>
      <c r="BP45" s="271" t="str">
        <f t="shared" si="3"/>
        <v/>
      </c>
      <c r="BR45" s="271" t="str">
        <f t="shared" si="0"/>
        <v/>
      </c>
      <c r="BS45" s="305" t="str">
        <f>IF($BR45="","",_xll.ciqfunctions.udf.CIQ($BR45,"iq_bond_coupon")/100)</f>
        <v/>
      </c>
    </row>
    <row r="46" spans="1:71" ht="12" customHeight="1" x14ac:dyDescent="0.25">
      <c r="A46" s="263" t="s">
        <v>1599</v>
      </c>
      <c r="B46" s="263"/>
      <c r="C46" s="263"/>
      <c r="D46" s="263"/>
      <c r="E46" s="263"/>
      <c r="F46" s="263"/>
      <c r="G46" s="263"/>
      <c r="H46" s="362">
        <v>0</v>
      </c>
      <c r="I46" s="271"/>
      <c r="J46" s="356">
        <v>0.85</v>
      </c>
      <c r="K46" s="370">
        <v>6.033963891347937E-2</v>
      </c>
      <c r="L46" s="370">
        <v>6.458963891347938E-2</v>
      </c>
      <c r="M46" s="370">
        <v>6.8839638913479384E-2</v>
      </c>
      <c r="N46" s="380">
        <v>7.3089638913479388E-2</v>
      </c>
      <c r="O46" s="381">
        <v>7.7339638913479392E-2</v>
      </c>
      <c r="P46" s="382">
        <v>8.1589638913479395E-2</v>
      </c>
      <c r="Q46" s="370">
        <v>8.5839638913479399E-2</v>
      </c>
      <c r="R46" s="370">
        <v>9.0089638913479403E-2</v>
      </c>
      <c r="S46" s="371">
        <v>9.4339638913479407E-2</v>
      </c>
      <c r="T46" s="271"/>
      <c r="U46" s="271"/>
      <c r="V46" s="271"/>
      <c r="AK46" s="304"/>
      <c r="AM46" s="304"/>
      <c r="AN46" s="304" t="s">
        <v>1285</v>
      </c>
      <c r="AX46" s="271" t="s">
        <v>1105</v>
      </c>
      <c r="AY46" s="271" t="s">
        <v>1286</v>
      </c>
      <c r="AZ46" s="271" t="s">
        <v>1287</v>
      </c>
      <c r="BG46" s="301" t="str">
        <f>IF($BF46="","",_xll.ciqfunctions.udf.CIQ($BF46,"iq_offer_date"))</f>
        <v/>
      </c>
      <c r="BH46" s="302" t="str">
        <f>IF($BF46="","",RANK(BG46,$BG$11:$BG$511)+COUNTIF($BG$11:BG46,BG46)-1)</f>
        <v/>
      </c>
      <c r="BM46" s="271">
        <f t="shared" si="2"/>
        <v>36</v>
      </c>
      <c r="BO46" s="304" t="str">
        <f>IF($BN46="","",_xll.ciqfunctions.udf.CIQ($BN46,"iq_security_level"))</f>
        <v/>
      </c>
      <c r="BP46" s="271" t="str">
        <f t="shared" si="3"/>
        <v/>
      </c>
      <c r="BR46" s="271" t="str">
        <f t="shared" si="0"/>
        <v/>
      </c>
      <c r="BS46" s="305" t="str">
        <f>IF($BR46="","",_xll.ciqfunctions.udf.CIQ($BR46,"iq_bond_coupon")/100)</f>
        <v/>
      </c>
    </row>
    <row r="47" spans="1:71" ht="12" customHeight="1" x14ac:dyDescent="0.25">
      <c r="A47" s="271" t="s">
        <v>1604</v>
      </c>
      <c r="B47" s="271"/>
      <c r="C47" s="271"/>
      <c r="D47" s="271"/>
      <c r="E47" s="271"/>
      <c r="F47" s="271"/>
      <c r="G47" s="271"/>
      <c r="H47" s="360">
        <v>0</v>
      </c>
      <c r="I47" s="271"/>
      <c r="J47" s="351">
        <v>0.9</v>
      </c>
      <c r="K47" s="370">
        <v>6.383963891347938E-2</v>
      </c>
      <c r="L47" s="370">
        <v>6.8339638913479384E-2</v>
      </c>
      <c r="M47" s="370">
        <v>7.2839638913479388E-2</v>
      </c>
      <c r="N47" s="383">
        <v>7.7339638913479392E-2</v>
      </c>
      <c r="O47" s="497">
        <v>8.1839638913479396E-2</v>
      </c>
      <c r="P47" s="384">
        <v>8.63396389134794E-2</v>
      </c>
      <c r="Q47" s="370">
        <v>9.0839638913479404E-2</v>
      </c>
      <c r="R47" s="370">
        <v>9.5339638913479408E-2</v>
      </c>
      <c r="S47" s="371">
        <v>9.9839638913479412E-2</v>
      </c>
      <c r="T47" s="271"/>
      <c r="U47" s="271"/>
      <c r="V47" s="271"/>
      <c r="AK47" s="304"/>
      <c r="AM47" s="304"/>
      <c r="AN47" s="304" t="s">
        <v>1288</v>
      </c>
      <c r="AX47" s="271" t="s">
        <v>1105</v>
      </c>
      <c r="AY47" s="271" t="s">
        <v>1289</v>
      </c>
      <c r="AZ47" s="271" t="s">
        <v>1290</v>
      </c>
      <c r="BG47" s="301" t="str">
        <f>IF($BF47="","",_xll.ciqfunctions.udf.CIQ($BF47,"iq_offer_date"))</f>
        <v/>
      </c>
      <c r="BH47" s="302" t="str">
        <f>IF($BF47="","",RANK(BG47,$BG$11:$BG$511)+COUNTIF($BG$11:BG47,BG47)-1)</f>
        <v/>
      </c>
      <c r="BM47" s="271">
        <f t="shared" si="2"/>
        <v>37</v>
      </c>
      <c r="BO47" s="304" t="str">
        <f>IF($BN47="","",_xll.ciqfunctions.udf.CIQ($BN47,"iq_security_level"))</f>
        <v/>
      </c>
      <c r="BP47" s="271" t="str">
        <f t="shared" si="3"/>
        <v/>
      </c>
      <c r="BR47" s="271" t="str">
        <f t="shared" si="0"/>
        <v/>
      </c>
      <c r="BS47" s="305" t="str">
        <f>IF($BR47="","",_xll.ciqfunctions.udf.CIQ($BR47,"iq_bond_coupon")/100)</f>
        <v/>
      </c>
    </row>
    <row r="48" spans="1:71" ht="12" customHeight="1" x14ac:dyDescent="0.25">
      <c r="A48" s="271" t="s">
        <v>1291</v>
      </c>
      <c r="B48" s="271"/>
      <c r="C48" s="271"/>
      <c r="D48" s="271"/>
      <c r="E48" s="271"/>
      <c r="F48" s="271"/>
      <c r="G48" s="271"/>
      <c r="H48" s="372">
        <v>0</v>
      </c>
      <c r="I48" s="271"/>
      <c r="J48" s="351">
        <v>0.95000000000000007</v>
      </c>
      <c r="K48" s="370">
        <v>6.7339638913479383E-2</v>
      </c>
      <c r="L48" s="370">
        <v>7.2089638913479387E-2</v>
      </c>
      <c r="M48" s="370">
        <v>7.6839638913479391E-2</v>
      </c>
      <c r="N48" s="385">
        <v>8.1589638913479395E-2</v>
      </c>
      <c r="O48" s="386">
        <v>8.63396389134794E-2</v>
      </c>
      <c r="P48" s="387">
        <v>9.1089638913479404E-2</v>
      </c>
      <c r="Q48" s="370">
        <v>9.5839638913479408E-2</v>
      </c>
      <c r="R48" s="370">
        <v>0.10058963891347941</v>
      </c>
      <c r="S48" s="371">
        <v>0.10533963891347942</v>
      </c>
      <c r="T48" s="271"/>
      <c r="U48" s="271"/>
      <c r="V48" s="271"/>
      <c r="AK48" s="304"/>
      <c r="AM48" s="304"/>
      <c r="AN48" s="304" t="s">
        <v>1292</v>
      </c>
      <c r="AX48" s="271" t="s">
        <v>1105</v>
      </c>
      <c r="AY48" s="271" t="s">
        <v>1293</v>
      </c>
      <c r="AZ48" s="271" t="s">
        <v>1294</v>
      </c>
      <c r="BG48" s="301" t="str">
        <f>IF($BF48="","",_xll.ciqfunctions.udf.CIQ($BF48,"iq_offer_date"))</f>
        <v/>
      </c>
      <c r="BH48" s="302" t="str">
        <f>IF($BF48="","",RANK(BG48,$BG$11:$BG$511)+COUNTIF($BG$11:BG48,BG48)-1)</f>
        <v/>
      </c>
      <c r="BM48" s="271">
        <f t="shared" si="2"/>
        <v>38</v>
      </c>
      <c r="BO48" s="304" t="str">
        <f>IF($BN48="","",_xll.ciqfunctions.udf.CIQ($BN48,"iq_security_level"))</f>
        <v/>
      </c>
      <c r="BP48" s="271" t="str">
        <f t="shared" si="3"/>
        <v/>
      </c>
      <c r="BR48" s="271" t="str">
        <f t="shared" si="0"/>
        <v/>
      </c>
      <c r="BS48" s="305" t="str">
        <f>IF($BR48="","",_xll.ciqfunctions.udf.CIQ($BR48,"iq_bond_coupon")/100)</f>
        <v/>
      </c>
    </row>
    <row r="49" spans="1:71" ht="12" customHeight="1" thickBot="1" x14ac:dyDescent="0.3">
      <c r="A49" s="271"/>
      <c r="B49" s="271"/>
      <c r="C49" s="271"/>
      <c r="D49" s="271"/>
      <c r="E49" s="271"/>
      <c r="F49" s="271"/>
      <c r="G49" s="271"/>
      <c r="H49" s="271"/>
      <c r="I49" s="271"/>
      <c r="J49" s="351">
        <v>1</v>
      </c>
      <c r="K49" s="370">
        <v>7.0839638913479372E-2</v>
      </c>
      <c r="L49" s="370">
        <v>7.5839638913479376E-2</v>
      </c>
      <c r="M49" s="370">
        <v>8.0839638913479381E-2</v>
      </c>
      <c r="N49" s="370">
        <v>8.5839638913479385E-2</v>
      </c>
      <c r="O49" s="370">
        <v>9.083963891347939E-2</v>
      </c>
      <c r="P49" s="370">
        <v>9.5839638913479394E-2</v>
      </c>
      <c r="Q49" s="370">
        <v>0.1008396389134794</v>
      </c>
      <c r="R49" s="370">
        <v>0.1058396389134794</v>
      </c>
      <c r="S49" s="371">
        <v>0.11083963891347941</v>
      </c>
      <c r="T49" s="271"/>
      <c r="U49" s="271"/>
      <c r="V49" s="271"/>
      <c r="AK49" s="304"/>
      <c r="AM49" s="304"/>
      <c r="AN49" s="304" t="s">
        <v>1295</v>
      </c>
      <c r="AX49" s="271" t="s">
        <v>1105</v>
      </c>
      <c r="AY49" s="271" t="s">
        <v>1296</v>
      </c>
      <c r="AZ49" s="271" t="s">
        <v>1297</v>
      </c>
      <c r="BG49" s="301" t="str">
        <f>IF($BF49="","",_xll.ciqfunctions.udf.CIQ($BF49,"iq_offer_date"))</f>
        <v/>
      </c>
      <c r="BH49" s="302" t="str">
        <f>IF($BF49="","",RANK(BG49,$BG$11:$BG$511)+COUNTIF($BG$11:BG49,BG49)-1)</f>
        <v/>
      </c>
      <c r="BM49" s="271">
        <f t="shared" si="2"/>
        <v>39</v>
      </c>
      <c r="BO49" s="304" t="str">
        <f>IF($BN49="","",_xll.ciqfunctions.udf.CIQ($BN49,"iq_security_level"))</f>
        <v/>
      </c>
      <c r="BP49" s="271" t="str">
        <f t="shared" si="3"/>
        <v/>
      </c>
      <c r="BR49" s="271" t="str">
        <f t="shared" si="0"/>
        <v/>
      </c>
      <c r="BS49" s="305" t="str">
        <f>IF($BR49="","",_xll.ciqfunctions.udf.CIQ($BR49,"iq_bond_coupon")/100)</f>
        <v/>
      </c>
    </row>
    <row r="50" spans="1:71" ht="12" customHeight="1" thickBot="1" x14ac:dyDescent="0.3">
      <c r="A50" s="373" t="s">
        <v>1195</v>
      </c>
      <c r="B50" s="374"/>
      <c r="C50" s="374"/>
      <c r="D50" s="374"/>
      <c r="E50" s="374"/>
      <c r="F50" s="374"/>
      <c r="G50" s="374"/>
      <c r="H50" s="375">
        <f>+H38+H44+H48</f>
        <v>9.6427546316231336E-2</v>
      </c>
      <c r="I50" s="271"/>
      <c r="J50" s="363"/>
      <c r="K50" s="324"/>
      <c r="L50" s="324"/>
      <c r="M50" s="324"/>
      <c r="N50" s="324"/>
      <c r="O50" s="324"/>
      <c r="P50" s="324"/>
      <c r="Q50" s="324"/>
      <c r="R50" s="324"/>
      <c r="S50" s="365"/>
      <c r="T50" s="271"/>
      <c r="U50" s="271"/>
      <c r="V50" s="271"/>
      <c r="AK50" s="304"/>
      <c r="AM50" s="304"/>
      <c r="AN50" s="304" t="s">
        <v>1298</v>
      </c>
      <c r="AX50" s="271" t="s">
        <v>1112</v>
      </c>
      <c r="AY50" s="271" t="s">
        <v>1299</v>
      </c>
      <c r="AZ50" s="271" t="s">
        <v>1300</v>
      </c>
      <c r="BG50" s="301" t="str">
        <f>IF($BF50="","",_xll.ciqfunctions.udf.CIQ($BF50,"iq_offer_date"))</f>
        <v/>
      </c>
      <c r="BH50" s="302" t="str">
        <f>IF($BF50="","",RANK(BG50,$BG$11:$BG$511)+COUNTIF($BG$11:BG50,BG50)-1)</f>
        <v/>
      </c>
      <c r="BM50" s="271">
        <f t="shared" si="2"/>
        <v>40</v>
      </c>
      <c r="BO50" s="304" t="str">
        <f>IF($BN50="","",_xll.ciqfunctions.udf.CIQ($BN50,"iq_security_level"))</f>
        <v/>
      </c>
      <c r="BP50" s="271" t="str">
        <f t="shared" si="3"/>
        <v/>
      </c>
      <c r="BR50" s="271" t="str">
        <f t="shared" si="0"/>
        <v/>
      </c>
      <c r="BS50" s="305" t="str">
        <f>IF($BR50="","",_xll.ciqfunctions.udf.CIQ($BR50,"iq_bond_coupon")/100)</f>
        <v/>
      </c>
    </row>
    <row r="51" spans="1:71" ht="12" customHeight="1" x14ac:dyDescent="0.25">
      <c r="A51" s="324"/>
      <c r="B51" s="324"/>
      <c r="C51" s="324"/>
      <c r="D51" s="324"/>
      <c r="E51" s="324"/>
      <c r="F51" s="271"/>
      <c r="G51" s="271"/>
      <c r="H51" s="271"/>
      <c r="I51" s="271"/>
      <c r="J51" s="271"/>
      <c r="K51" s="271"/>
      <c r="L51" s="271"/>
      <c r="M51" s="271"/>
      <c r="N51" s="271"/>
      <c r="O51" s="271"/>
      <c r="P51" s="271"/>
      <c r="Q51" s="271"/>
      <c r="R51" s="271"/>
      <c r="S51" s="271"/>
      <c r="T51" s="271"/>
      <c r="U51" s="271"/>
      <c r="V51" s="271"/>
      <c r="AK51" s="304"/>
      <c r="AM51" s="304"/>
      <c r="AN51" s="304" t="s">
        <v>1301</v>
      </c>
      <c r="AX51" s="271" t="s">
        <v>1112</v>
      </c>
      <c r="AY51" s="271" t="s">
        <v>1302</v>
      </c>
      <c r="AZ51" s="271" t="s">
        <v>1303</v>
      </c>
      <c r="BG51" s="301" t="str">
        <f>IF($BF51="","",_xll.ciqfunctions.udf.CIQ($BF51,"iq_offer_date"))</f>
        <v/>
      </c>
      <c r="BH51" s="302" t="str">
        <f>IF($BF51="","",RANK(BG51,$BG$11:$BG$511)+COUNTIF($BG$11:BG51,BG51)-1)</f>
        <v/>
      </c>
      <c r="BM51" s="271">
        <f t="shared" si="2"/>
        <v>41</v>
      </c>
      <c r="BO51" s="304" t="str">
        <f>IF($BN51="","",_xll.ciqfunctions.udf.CIQ($BN51,"iq_security_level"))</f>
        <v/>
      </c>
      <c r="BP51" s="271" t="str">
        <f t="shared" si="3"/>
        <v/>
      </c>
      <c r="BR51" s="271" t="str">
        <f t="shared" si="0"/>
        <v/>
      </c>
      <c r="BS51" s="305" t="str">
        <f>IF($BR51="","",_xll.ciqfunctions.udf.CIQ($BR51,"iq_bond_coupon")/100)</f>
        <v/>
      </c>
    </row>
    <row r="52" spans="1:71" ht="12" customHeight="1" x14ac:dyDescent="0.25">
      <c r="A52" s="271" t="str">
        <f>"(1) Interest on "&amp;AJ21</f>
        <v>(1) Interest on United States Treasury Constant Maturity - 10 Year</v>
      </c>
      <c r="B52" s="271"/>
      <c r="C52" s="271"/>
      <c r="D52" s="271"/>
      <c r="E52" s="271"/>
      <c r="F52" s="271"/>
      <c r="G52" s="271"/>
      <c r="H52" s="271"/>
      <c r="I52" s="271"/>
      <c r="J52" s="271"/>
      <c r="K52" s="271"/>
      <c r="L52" s="271"/>
      <c r="M52" s="271"/>
      <c r="N52" s="271"/>
      <c r="O52" s="271"/>
      <c r="P52" s="271"/>
      <c r="Q52" s="271"/>
      <c r="R52" s="271"/>
      <c r="S52" s="271"/>
      <c r="T52" s="271"/>
      <c r="U52" s="271"/>
      <c r="V52" s="271"/>
      <c r="AK52" s="304"/>
      <c r="AM52" s="304"/>
      <c r="AN52" s="304" t="s">
        <v>1304</v>
      </c>
      <c r="AX52" s="271" t="s">
        <v>1112</v>
      </c>
      <c r="AY52" s="271" t="s">
        <v>1305</v>
      </c>
      <c r="AZ52" s="271" t="s">
        <v>1306</v>
      </c>
      <c r="BG52" s="301" t="str">
        <f>IF($BF52="","",_xll.ciqfunctions.udf.CIQ($BF52,"iq_offer_date"))</f>
        <v/>
      </c>
      <c r="BH52" s="302" t="str">
        <f>IF($BF52="","",RANK(BG52,$BG$11:$BG$511)+COUNTIF($BG$11:BG52,BG52)-1)</f>
        <v/>
      </c>
      <c r="BM52" s="271">
        <f t="shared" si="2"/>
        <v>42</v>
      </c>
      <c r="BO52" s="304" t="str">
        <f>IF($BN52="","",_xll.ciqfunctions.udf.CIQ($BN52,"iq_security_level"))</f>
        <v/>
      </c>
      <c r="BP52" s="271" t="str">
        <f t="shared" si="3"/>
        <v/>
      </c>
      <c r="BR52" s="271" t="str">
        <f t="shared" si="0"/>
        <v/>
      </c>
      <c r="BS52" s="305" t="str">
        <f>IF($BR52="","",_xll.ciqfunctions.udf.CIQ($BR52,"iq_bond_coupon")/100)</f>
        <v/>
      </c>
    </row>
    <row r="53" spans="1:71" ht="12" customHeight="1" x14ac:dyDescent="0.25">
      <c r="A53" s="271" t="s">
        <v>1307</v>
      </c>
      <c r="B53" s="271"/>
      <c r="C53" s="271"/>
      <c r="D53" s="271"/>
      <c r="E53" s="271"/>
      <c r="F53" s="271"/>
      <c r="G53" s="271"/>
      <c r="H53" s="271"/>
      <c r="I53" s="271"/>
      <c r="J53" s="271"/>
      <c r="K53" s="271"/>
      <c r="L53" s="271"/>
      <c r="M53" s="271"/>
      <c r="N53" s="271"/>
      <c r="O53" s="271"/>
      <c r="P53" s="271"/>
      <c r="Q53" s="271"/>
      <c r="R53" s="271"/>
      <c r="S53" s="271"/>
      <c r="T53" s="271"/>
      <c r="U53" s="271"/>
      <c r="V53" s="271"/>
      <c r="AK53" s="304"/>
      <c r="AM53" s="304"/>
      <c r="AN53" s="304" t="s">
        <v>1308</v>
      </c>
      <c r="AX53" s="271" t="s">
        <v>1112</v>
      </c>
      <c r="AY53" s="271" t="s">
        <v>1309</v>
      </c>
      <c r="AZ53" s="271" t="s">
        <v>1310</v>
      </c>
      <c r="BG53" s="301" t="str">
        <f>IF($BF53="","",_xll.ciqfunctions.udf.CIQ($BF53,"iq_offer_date"))</f>
        <v/>
      </c>
      <c r="BH53" s="302" t="str">
        <f>IF($BF53="","",RANK(BG53,$BG$11:$BG$511)+COUNTIF($BG$11:BG53,BG53)-1)</f>
        <v/>
      </c>
      <c r="BM53" s="271">
        <f t="shared" si="2"/>
        <v>43</v>
      </c>
      <c r="BO53" s="304" t="str">
        <f>IF($BN53="","",_xll.ciqfunctions.udf.CIQ($BN53,"iq_security_level"))</f>
        <v/>
      </c>
      <c r="BP53" s="271" t="str">
        <f t="shared" si="3"/>
        <v/>
      </c>
      <c r="BS53" s="305"/>
    </row>
    <row r="54" spans="1:71" ht="12" customHeight="1" x14ac:dyDescent="0.25">
      <c r="A54" s="271" t="s">
        <v>1311</v>
      </c>
      <c r="B54" s="271"/>
      <c r="C54" s="271"/>
      <c r="D54" s="271"/>
      <c r="E54" s="271"/>
      <c r="F54" s="271"/>
      <c r="G54" s="271"/>
      <c r="H54" s="271"/>
      <c r="I54" s="271"/>
      <c r="J54" s="271"/>
      <c r="K54" s="271"/>
      <c r="L54" s="271"/>
      <c r="M54" s="271"/>
      <c r="N54" s="271"/>
      <c r="O54" s="271"/>
      <c r="P54" s="271"/>
      <c r="Q54" s="271"/>
      <c r="R54" s="271"/>
      <c r="S54" s="271"/>
      <c r="T54" s="271"/>
      <c r="U54" s="271"/>
      <c r="V54" s="271"/>
      <c r="AK54" s="304"/>
      <c r="AM54" s="304"/>
      <c r="AN54" s="304" t="s">
        <v>1312</v>
      </c>
      <c r="AX54" s="271" t="s">
        <v>1112</v>
      </c>
      <c r="AY54" s="271" t="s">
        <v>1313</v>
      </c>
      <c r="AZ54" s="271" t="s">
        <v>1314</v>
      </c>
      <c r="BG54" s="301" t="str">
        <f>IF($BF54="","",_xll.ciqfunctions.udf.CIQ($BF54,"iq_offer_date"))</f>
        <v/>
      </c>
      <c r="BH54" s="302" t="str">
        <f>IF($BF54="","",RANK(BG54,$BG$11:$BG$511)+COUNTIF($BG$11:BG54,BG54)-1)</f>
        <v/>
      </c>
      <c r="BM54" s="271">
        <f t="shared" si="2"/>
        <v>44</v>
      </c>
      <c r="BO54" s="304" t="str">
        <f>IF($BN54="","",_xll.ciqfunctions.udf.CIQ($BN54,"iq_security_level"))</f>
        <v/>
      </c>
      <c r="BP54" s="271" t="str">
        <f t="shared" si="3"/>
        <v/>
      </c>
      <c r="BR54" s="271" t="str">
        <f t="shared" ref="BR54:BR117" si="5">IF($BN53="","",IF(ISERROR(INDEX($BN$11:$BN$510,MATCH(BM53,$BP$11:$BP$510,0))),"",INDEX($BN$11:$BN$510,MATCH(BM53,$BP$11:$BP$510,0))))</f>
        <v/>
      </c>
      <c r="BS54" s="305" t="str">
        <f>IF($BR54="","",_xll.ciqfunctions.udf.CIQ($BR54,"iq_bond_coupon")/100)</f>
        <v/>
      </c>
    </row>
    <row r="55" spans="1:71" ht="12" customHeight="1" x14ac:dyDescent="0.25">
      <c r="A55" s="376" t="s">
        <v>1315</v>
      </c>
      <c r="B55" s="271"/>
      <c r="C55" s="271"/>
      <c r="D55" s="271"/>
      <c r="E55" s="271"/>
      <c r="F55" s="271"/>
      <c r="G55" s="271"/>
      <c r="H55" s="271"/>
      <c r="I55" s="271"/>
      <c r="J55" s="271"/>
      <c r="K55" s="271"/>
      <c r="L55" s="271"/>
      <c r="M55" s="271"/>
      <c r="N55" s="271"/>
      <c r="O55" s="271"/>
      <c r="P55" s="271"/>
      <c r="Q55" s="271"/>
      <c r="R55" s="271"/>
      <c r="S55" s="271"/>
      <c r="T55" s="271"/>
      <c r="U55" s="271"/>
      <c r="V55" s="271"/>
      <c r="AK55" s="304"/>
      <c r="AM55" s="304"/>
      <c r="AN55" s="304" t="s">
        <v>1316</v>
      </c>
      <c r="AX55" s="271" t="s">
        <v>1112</v>
      </c>
      <c r="AY55" s="271" t="s">
        <v>1317</v>
      </c>
      <c r="AZ55" s="271" t="s">
        <v>1318</v>
      </c>
      <c r="BG55" s="301" t="str">
        <f>IF($BF55="","",_xll.ciqfunctions.udf.CIQ($BF55,"iq_offer_date"))</f>
        <v/>
      </c>
      <c r="BH55" s="302" t="str">
        <f>IF($BF55="","",RANK(BG55,$BG$11:$BG$511)+COUNTIF($BG$11:BG55,BG55)-1)</f>
        <v/>
      </c>
      <c r="BM55" s="271">
        <f t="shared" si="2"/>
        <v>45</v>
      </c>
      <c r="BO55" s="304" t="str">
        <f>IF($BN55="","",_xll.ciqfunctions.udf.CIQ($BN55,"iq_security_level"))</f>
        <v/>
      </c>
      <c r="BP55" s="271" t="str">
        <f t="shared" si="3"/>
        <v/>
      </c>
      <c r="BR55" s="271" t="str">
        <f t="shared" si="5"/>
        <v/>
      </c>
      <c r="BS55" s="305" t="str">
        <f>IF($BR55="","",_xll.ciqfunctions.udf.CIQ($BR55,"iq_bond_coupon")/100)</f>
        <v/>
      </c>
    </row>
    <row r="56" spans="1:71" ht="12" customHeight="1" x14ac:dyDescent="0.25">
      <c r="A56" s="377" t="s">
        <v>1319</v>
      </c>
      <c r="B56" s="271"/>
      <c r="C56" s="271"/>
      <c r="D56" s="271"/>
      <c r="E56" s="271"/>
      <c r="F56" s="271"/>
      <c r="G56" s="271"/>
      <c r="H56" s="271"/>
      <c r="I56" s="271"/>
      <c r="J56" s="271"/>
      <c r="K56" s="271"/>
      <c r="L56" s="271"/>
      <c r="M56" s="271"/>
      <c r="N56" s="271"/>
      <c r="O56" s="271"/>
      <c r="P56" s="271"/>
      <c r="Q56" s="271"/>
      <c r="R56" s="271"/>
      <c r="S56" s="271"/>
      <c r="T56" s="271"/>
      <c r="U56" s="271"/>
      <c r="V56" s="271"/>
      <c r="AK56" s="304"/>
      <c r="AM56" s="304"/>
      <c r="AN56" s="304" t="s">
        <v>1320</v>
      </c>
      <c r="AX56" s="271" t="s">
        <v>1112</v>
      </c>
      <c r="AY56" s="271" t="s">
        <v>1321</v>
      </c>
      <c r="AZ56" s="271" t="s">
        <v>1322</v>
      </c>
      <c r="BG56" s="301" t="str">
        <f>IF($BF56="","",_xll.ciqfunctions.udf.CIQ($BF56,"iq_offer_date"))</f>
        <v/>
      </c>
      <c r="BH56" s="302" t="str">
        <f>IF($BF56="","",RANK(BG56,$BG$11:$BG$511)+COUNTIF($BG$11:BG56,BG56)-1)</f>
        <v/>
      </c>
      <c r="BM56" s="271">
        <f t="shared" si="2"/>
        <v>46</v>
      </c>
      <c r="BO56" s="304" t="str">
        <f>IF($BN56="","",_xll.ciqfunctions.udf.CIQ($BN56,"iq_security_level"))</f>
        <v/>
      </c>
      <c r="BP56" s="271" t="str">
        <f t="shared" si="3"/>
        <v/>
      </c>
      <c r="BR56" s="271" t="str">
        <f t="shared" si="5"/>
        <v/>
      </c>
      <c r="BS56" s="305" t="str">
        <f>IF($BR56="","",_xll.ciqfunctions.udf.CIQ($BR56,"iq_bond_coupon")/100)</f>
        <v/>
      </c>
    </row>
    <row r="57" spans="1:71" ht="12" customHeight="1" x14ac:dyDescent="0.25">
      <c r="A57" s="271"/>
      <c r="B57" s="271"/>
      <c r="C57" s="271"/>
      <c r="D57" s="271"/>
      <c r="E57" s="271"/>
      <c r="F57" s="271"/>
      <c r="G57" s="271"/>
      <c r="H57" s="271"/>
      <c r="I57" s="271"/>
      <c r="J57" s="271"/>
      <c r="K57" s="271"/>
      <c r="L57" s="271"/>
      <c r="M57" s="271"/>
      <c r="N57" s="271"/>
      <c r="O57" s="271"/>
      <c r="P57" s="271"/>
      <c r="Q57" s="271"/>
      <c r="R57" s="271"/>
      <c r="S57" s="271"/>
      <c r="T57" s="271"/>
      <c r="U57" s="271"/>
      <c r="V57" s="271"/>
      <c r="AK57" s="304"/>
      <c r="AM57" s="304"/>
      <c r="AN57" s="304" t="s">
        <v>1323</v>
      </c>
      <c r="AX57" s="271" t="s">
        <v>1112</v>
      </c>
      <c r="AY57" s="271" t="s">
        <v>1324</v>
      </c>
      <c r="AZ57" s="271" t="s">
        <v>1325</v>
      </c>
      <c r="BG57" s="301" t="str">
        <f>IF($BF57="","",_xll.ciqfunctions.udf.CIQ($BF57,"iq_offer_date"))</f>
        <v/>
      </c>
      <c r="BH57" s="302" t="str">
        <f>IF($BF57="","",RANK(BG57,$BG$11:$BG$511)+COUNTIF($BG$11:BG57,BG57)-1)</f>
        <v/>
      </c>
      <c r="BM57" s="271">
        <f t="shared" si="2"/>
        <v>47</v>
      </c>
      <c r="BO57" s="304" t="str">
        <f>IF($BN57="","",_xll.ciqfunctions.udf.CIQ($BN57,"iq_security_level"))</f>
        <v/>
      </c>
      <c r="BP57" s="271" t="str">
        <f t="shared" si="3"/>
        <v/>
      </c>
      <c r="BR57" s="271" t="str">
        <f t="shared" si="5"/>
        <v/>
      </c>
      <c r="BS57" s="305" t="str">
        <f>IF($BR57="","",_xll.ciqfunctions.udf.CIQ($BR57,"iq_bond_coupon")/100)</f>
        <v/>
      </c>
    </row>
    <row r="58" spans="1:71" ht="12" customHeight="1" x14ac:dyDescent="0.25">
      <c r="A58" s="271"/>
      <c r="B58" s="271"/>
      <c r="C58" s="271"/>
      <c r="D58" s="271"/>
      <c r="E58" s="271"/>
      <c r="F58" s="271"/>
      <c r="G58" s="271"/>
      <c r="H58" s="271"/>
      <c r="I58" s="271"/>
      <c r="J58" s="271"/>
      <c r="K58" s="271"/>
      <c r="L58" s="271"/>
      <c r="M58" s="271"/>
      <c r="N58" s="271"/>
      <c r="O58" s="271"/>
      <c r="P58" s="271"/>
      <c r="Q58" s="271"/>
      <c r="R58" s="271"/>
      <c r="S58" s="271"/>
      <c r="T58" s="271"/>
      <c r="U58" s="271"/>
      <c r="V58" s="271"/>
      <c r="AK58" s="304"/>
      <c r="AM58" s="304"/>
      <c r="AN58" s="304" t="s">
        <v>1326</v>
      </c>
      <c r="AX58" s="271" t="s">
        <v>32</v>
      </c>
      <c r="AY58" s="271" t="s">
        <v>1327</v>
      </c>
      <c r="AZ58" s="271" t="s">
        <v>1328</v>
      </c>
      <c r="BG58" s="301" t="str">
        <f>IF($BF58="","",_xll.ciqfunctions.udf.CIQ($BF58,"iq_offer_date"))</f>
        <v/>
      </c>
      <c r="BH58" s="302" t="str">
        <f>IF($BF58="","",RANK(BG58,$BG$11:$BG$511)+COUNTIF($BG$11:BG58,BG58)-1)</f>
        <v/>
      </c>
      <c r="BM58" s="271">
        <f t="shared" si="2"/>
        <v>48</v>
      </c>
      <c r="BO58" s="304" t="str">
        <f>IF($BN58="","",_xll.ciqfunctions.udf.CIQ($BN58,"iq_security_level"))</f>
        <v/>
      </c>
      <c r="BP58" s="271" t="str">
        <f t="shared" si="3"/>
        <v/>
      </c>
      <c r="BR58" s="271" t="str">
        <f t="shared" si="5"/>
        <v/>
      </c>
      <c r="BS58" s="305" t="str">
        <f>IF($BR58="","",_xll.ciqfunctions.udf.CIQ($BR58,"iq_bond_coupon")/100)</f>
        <v/>
      </c>
    </row>
    <row r="59" spans="1:71" ht="15" customHeight="1" x14ac:dyDescent="0.25">
      <c r="AK59" s="304"/>
      <c r="AM59" s="304"/>
      <c r="AX59" s="271" t="s">
        <v>32</v>
      </c>
      <c r="AY59" s="271" t="s">
        <v>1329</v>
      </c>
      <c r="AZ59" s="271" t="s">
        <v>1330</v>
      </c>
      <c r="BG59" s="301" t="str">
        <f>IF($BF59="","",_xll.ciqfunctions.udf.CIQ($BF59,"iq_offer_date"))</f>
        <v/>
      </c>
      <c r="BH59" s="302" t="str">
        <f>IF($BF59="","",RANK(BG59,$BG$11:$BG$511)+COUNTIF($BG$11:BG59,BG59)-1)</f>
        <v/>
      </c>
      <c r="BM59" s="271">
        <f t="shared" si="2"/>
        <v>49</v>
      </c>
      <c r="BO59" s="304" t="str">
        <f>IF($BN59="","",_xll.ciqfunctions.udf.CIQ($BN59,"iq_security_level"))</f>
        <v/>
      </c>
      <c r="BP59" s="271" t="str">
        <f t="shared" si="3"/>
        <v/>
      </c>
      <c r="BR59" s="271" t="str">
        <f t="shared" si="5"/>
        <v/>
      </c>
      <c r="BS59" s="305" t="str">
        <f>IF($BR59="","",_xll.ciqfunctions.udf.CIQ($BR59,"iq_bond_coupon")/100)</f>
        <v/>
      </c>
    </row>
    <row r="60" spans="1:71" ht="12" customHeight="1" x14ac:dyDescent="0.25">
      <c r="AX60" s="271" t="s">
        <v>32</v>
      </c>
      <c r="AY60" s="271" t="s">
        <v>1331</v>
      </c>
      <c r="AZ60" s="271" t="s">
        <v>1332</v>
      </c>
      <c r="BG60" s="301" t="str">
        <f>IF($BF60="","",_xll.ciqfunctions.udf.CIQ($BF60,"iq_offer_date"))</f>
        <v/>
      </c>
      <c r="BH60" s="302" t="str">
        <f>IF($BF60="","",RANK(BG60,$BG$11:$BG$511)+COUNTIF($BG$11:BG60,BG60)-1)</f>
        <v/>
      </c>
      <c r="BM60" s="271">
        <f t="shared" si="2"/>
        <v>50</v>
      </c>
      <c r="BO60" s="304" t="str">
        <f>IF($BN60="","",_xll.ciqfunctions.udf.CIQ($BN60,"iq_security_level"))</f>
        <v/>
      </c>
      <c r="BP60" s="271" t="str">
        <f t="shared" si="3"/>
        <v/>
      </c>
      <c r="BR60" s="271" t="str">
        <f t="shared" si="5"/>
        <v/>
      </c>
      <c r="BS60" s="305" t="str">
        <f>IF($BR60="","",_xll.ciqfunctions.udf.CIQ($BR60,"iq_bond_coupon")/100)</f>
        <v/>
      </c>
    </row>
    <row r="61" spans="1:71" ht="12" customHeight="1" x14ac:dyDescent="0.25">
      <c r="AX61" s="271" t="s">
        <v>32</v>
      </c>
      <c r="AY61" s="271" t="s">
        <v>1333</v>
      </c>
      <c r="AZ61" s="271" t="s">
        <v>1334</v>
      </c>
      <c r="BG61" s="301" t="str">
        <f>IF($BF61="","",_xll.ciqfunctions.udf.CIQ($BF61,"iq_offer_date"))</f>
        <v/>
      </c>
      <c r="BH61" s="302" t="str">
        <f>IF($BF61="","",RANK(BG61,$BG$11:$BG$511)+COUNTIF($BG$11:BG61,BG61)-1)</f>
        <v/>
      </c>
      <c r="BM61" s="271">
        <f t="shared" si="2"/>
        <v>51</v>
      </c>
      <c r="BO61" s="304" t="str">
        <f>IF($BN61="","",_xll.ciqfunctions.udf.CIQ($BN61,"iq_security_level"))</f>
        <v/>
      </c>
      <c r="BP61" s="271" t="str">
        <f t="shared" si="3"/>
        <v/>
      </c>
      <c r="BR61" s="271" t="str">
        <f t="shared" si="5"/>
        <v/>
      </c>
      <c r="BS61" s="305" t="str">
        <f>IF($BR61="","",_xll.ciqfunctions.udf.CIQ($BR61,"iq_bond_coupon")/100)</f>
        <v/>
      </c>
    </row>
    <row r="62" spans="1:71" ht="12" customHeight="1" x14ac:dyDescent="0.25">
      <c r="AX62" s="271" t="s">
        <v>32</v>
      </c>
      <c r="AY62" s="271" t="s">
        <v>1335</v>
      </c>
      <c r="AZ62" s="271" t="s">
        <v>1336</v>
      </c>
      <c r="BG62" s="301" t="str">
        <f>IF($BF62="","",_xll.ciqfunctions.udf.CIQ($BF62,"iq_offer_date"))</f>
        <v/>
      </c>
      <c r="BH62" s="302" t="str">
        <f>IF($BF62="","",RANK(BG62,$BG$11:$BG$511)+COUNTIF($BG$11:BG62,BG62)-1)</f>
        <v/>
      </c>
      <c r="BM62" s="271">
        <f t="shared" si="2"/>
        <v>52</v>
      </c>
      <c r="BO62" s="304" t="str">
        <f>IF($BN62="","",_xll.ciqfunctions.udf.CIQ($BN62,"iq_security_level"))</f>
        <v/>
      </c>
      <c r="BP62" s="271" t="str">
        <f t="shared" si="3"/>
        <v/>
      </c>
      <c r="BR62" s="271" t="str">
        <f t="shared" si="5"/>
        <v/>
      </c>
      <c r="BS62" s="305" t="str">
        <f>IF($BR62="","",_xll.ciqfunctions.udf.CIQ($BR62,"iq_bond_coupon")/100)</f>
        <v/>
      </c>
    </row>
    <row r="63" spans="1:71" ht="12" customHeight="1" x14ac:dyDescent="0.25">
      <c r="AX63" s="271" t="s">
        <v>32</v>
      </c>
      <c r="AY63" s="271" t="s">
        <v>1337</v>
      </c>
      <c r="AZ63" s="271" t="s">
        <v>1338</v>
      </c>
      <c r="BG63" s="301" t="str">
        <f>IF($BF63="","",_xll.ciqfunctions.udf.CIQ($BF63,"iq_offer_date"))</f>
        <v/>
      </c>
      <c r="BH63" s="302" t="str">
        <f>IF($BF63="","",RANK(BG63,$BG$11:$BG$511)+COUNTIF($BG$11:BG63,BG63)-1)</f>
        <v/>
      </c>
      <c r="BM63" s="271">
        <f t="shared" si="2"/>
        <v>53</v>
      </c>
      <c r="BO63" s="304" t="str">
        <f>IF($BN63="","",_xll.ciqfunctions.udf.CIQ($BN63,"iq_security_level"))</f>
        <v/>
      </c>
      <c r="BP63" s="271" t="str">
        <f t="shared" si="3"/>
        <v/>
      </c>
      <c r="BR63" s="271" t="str">
        <f t="shared" si="5"/>
        <v/>
      </c>
      <c r="BS63" s="305" t="str">
        <f>IF($BR63="","",_xll.ciqfunctions.udf.CIQ($BR63,"iq_bond_coupon")/100)</f>
        <v/>
      </c>
    </row>
    <row r="64" spans="1:71" ht="12" customHeight="1" x14ac:dyDescent="0.25">
      <c r="AX64" s="271" t="s">
        <v>32</v>
      </c>
      <c r="AY64" s="271" t="s">
        <v>1339</v>
      </c>
      <c r="AZ64" s="271" t="s">
        <v>1340</v>
      </c>
      <c r="BG64" s="301" t="str">
        <f>IF($BF64="","",_xll.ciqfunctions.udf.CIQ($BF64,"iq_offer_date"))</f>
        <v/>
      </c>
      <c r="BH64" s="302" t="str">
        <f>IF($BF64="","",RANK(BG64,$BG$11:$BG$511)+COUNTIF($BG$11:BG64,BG64)-1)</f>
        <v/>
      </c>
      <c r="BM64" s="271">
        <f t="shared" si="2"/>
        <v>54</v>
      </c>
      <c r="BO64" s="304" t="str">
        <f>IF($BN64="","",_xll.ciqfunctions.udf.CIQ($BN64,"iq_security_level"))</f>
        <v/>
      </c>
      <c r="BP64" s="271" t="str">
        <f t="shared" si="3"/>
        <v/>
      </c>
      <c r="BR64" s="271" t="str">
        <f t="shared" si="5"/>
        <v/>
      </c>
      <c r="BS64" s="305" t="str">
        <f>IF($BR64="","",_xll.ciqfunctions.udf.CIQ($BR64,"iq_bond_coupon")/100)</f>
        <v/>
      </c>
    </row>
    <row r="65" spans="23:71" ht="12" customHeight="1" x14ac:dyDescent="0.25">
      <c r="W65" s="277"/>
      <c r="X65" s="277"/>
      <c r="Y65" s="277"/>
      <c r="AX65" s="271" t="s">
        <v>32</v>
      </c>
      <c r="AY65" s="271" t="s">
        <v>1341</v>
      </c>
      <c r="AZ65" s="271" t="s">
        <v>1342</v>
      </c>
      <c r="BG65" s="301" t="str">
        <f>IF($BF65="","",_xll.ciqfunctions.udf.CIQ($BF65,"iq_offer_date"))</f>
        <v/>
      </c>
      <c r="BH65" s="302" t="str">
        <f>IF($BF65="","",RANK(BG65,$BG$11:$BG$511)+COUNTIF($BG$11:BG65,BG65)-1)</f>
        <v/>
      </c>
      <c r="BM65" s="271">
        <f t="shared" si="2"/>
        <v>55</v>
      </c>
      <c r="BO65" s="304" t="str">
        <f>IF($BN65="","",_xll.ciqfunctions.udf.CIQ($BN65,"iq_security_level"))</f>
        <v/>
      </c>
      <c r="BP65" s="271" t="str">
        <f t="shared" si="3"/>
        <v/>
      </c>
      <c r="BR65" s="271" t="str">
        <f t="shared" si="5"/>
        <v/>
      </c>
      <c r="BS65" s="305" t="str">
        <f>IF($BR65="","",_xll.ciqfunctions.udf.CIQ($BR65,"iq_bond_coupon")/100)</f>
        <v/>
      </c>
    </row>
    <row r="66" spans="23:71" ht="12" customHeight="1" x14ac:dyDescent="0.25">
      <c r="W66" s="277"/>
      <c r="X66" s="277"/>
      <c r="Y66" s="277"/>
      <c r="AX66" s="271" t="s">
        <v>1124</v>
      </c>
      <c r="AY66" s="271" t="s">
        <v>1343</v>
      </c>
      <c r="AZ66" s="271" t="s">
        <v>1344</v>
      </c>
      <c r="BG66" s="301" t="str">
        <f>IF($BF66="","",_xll.ciqfunctions.udf.CIQ($BF66,"iq_offer_date"))</f>
        <v/>
      </c>
      <c r="BH66" s="302" t="str">
        <f>IF($BF66="","",RANK(BG66,$BG$11:$BG$511)+COUNTIF($BG$11:BG66,BG66)-1)</f>
        <v/>
      </c>
      <c r="BM66" s="271">
        <f t="shared" si="2"/>
        <v>56</v>
      </c>
      <c r="BO66" s="304" t="str">
        <f>IF($BN66="","",_xll.ciqfunctions.udf.CIQ($BN66,"iq_security_level"))</f>
        <v/>
      </c>
      <c r="BP66" s="271" t="str">
        <f t="shared" si="3"/>
        <v/>
      </c>
      <c r="BR66" s="271" t="str">
        <f t="shared" si="5"/>
        <v/>
      </c>
      <c r="BS66" s="305" t="str">
        <f>IF($BR66="","",_xll.ciqfunctions.udf.CIQ($BR66,"iq_bond_coupon")/100)</f>
        <v/>
      </c>
    </row>
    <row r="67" spans="23:71" ht="12" customHeight="1" x14ac:dyDescent="0.25">
      <c r="W67" s="277"/>
      <c r="X67" s="277"/>
      <c r="Y67" s="277"/>
      <c r="AX67" s="271" t="s">
        <v>1124</v>
      </c>
      <c r="AY67" s="271" t="s">
        <v>1345</v>
      </c>
      <c r="AZ67" s="271" t="s">
        <v>1346</v>
      </c>
      <c r="BG67" s="301" t="str">
        <f>IF($BF67="","",_xll.ciqfunctions.udf.CIQ($BF67,"iq_offer_date"))</f>
        <v/>
      </c>
      <c r="BH67" s="302" t="str">
        <f>IF($BF67="","",RANK(BG67,$BG$11:$BG$511)+COUNTIF($BG$11:BG67,BG67)-1)</f>
        <v/>
      </c>
      <c r="BM67" s="271">
        <f t="shared" si="2"/>
        <v>57</v>
      </c>
      <c r="BO67" s="304" t="str">
        <f>IF($BN67="","",_xll.ciqfunctions.udf.CIQ($BN67,"iq_security_level"))</f>
        <v/>
      </c>
      <c r="BP67" s="271" t="str">
        <f t="shared" si="3"/>
        <v/>
      </c>
      <c r="BR67" s="271" t="str">
        <f t="shared" si="5"/>
        <v/>
      </c>
      <c r="BS67" s="305" t="str">
        <f>IF($BR67="","",_xll.ciqfunctions.udf.CIQ($BR67,"iq_bond_coupon")/100)</f>
        <v/>
      </c>
    </row>
    <row r="68" spans="23:71" ht="12" customHeight="1" x14ac:dyDescent="0.25">
      <c r="AX68" s="271" t="s">
        <v>1124</v>
      </c>
      <c r="AY68" s="271" t="s">
        <v>1347</v>
      </c>
      <c r="AZ68" s="271" t="s">
        <v>1348</v>
      </c>
      <c r="BG68" s="301" t="str">
        <f>IF($BF68="","",_xll.ciqfunctions.udf.CIQ($BF68,"iq_offer_date"))</f>
        <v/>
      </c>
      <c r="BH68" s="302" t="str">
        <f>IF($BF68="","",RANK(BG68,$BG$11:$BG$511)+COUNTIF($BG$11:BG68,BG68)-1)</f>
        <v/>
      </c>
      <c r="BM68" s="271">
        <f t="shared" si="2"/>
        <v>58</v>
      </c>
      <c r="BO68" s="304" t="str">
        <f>IF($BN68="","",_xll.ciqfunctions.udf.CIQ($BN68,"iq_security_level"))</f>
        <v/>
      </c>
      <c r="BP68" s="271" t="str">
        <f t="shared" si="3"/>
        <v/>
      </c>
      <c r="BR68" s="271" t="str">
        <f t="shared" si="5"/>
        <v/>
      </c>
      <c r="BS68" s="305" t="str">
        <f>IF($BR68="","",_xll.ciqfunctions.udf.CIQ($BR68,"iq_bond_coupon")/100)</f>
        <v/>
      </c>
    </row>
    <row r="69" spans="23:71" ht="12" customHeight="1" x14ac:dyDescent="0.25">
      <c r="W69" s="277"/>
      <c r="X69" s="277"/>
      <c r="Y69" s="277"/>
      <c r="AX69" s="271" t="s">
        <v>1124</v>
      </c>
      <c r="AY69" s="271" t="s">
        <v>1349</v>
      </c>
      <c r="AZ69" s="271" t="s">
        <v>1350</v>
      </c>
      <c r="BG69" s="301" t="str">
        <f>IF($BF69="","",_xll.ciqfunctions.udf.CIQ($BF69,"iq_offer_date"))</f>
        <v/>
      </c>
      <c r="BH69" s="302" t="str">
        <f>IF($BF69="","",RANK(BG69,$BG$11:$BG$511)+COUNTIF($BG$11:BG69,BG69)-1)</f>
        <v/>
      </c>
      <c r="BM69" s="271">
        <f t="shared" si="2"/>
        <v>59</v>
      </c>
      <c r="BO69" s="304" t="str">
        <f>IF($BN69="","",_xll.ciqfunctions.udf.CIQ($BN69,"iq_security_level"))</f>
        <v/>
      </c>
      <c r="BP69" s="271" t="str">
        <f t="shared" si="3"/>
        <v/>
      </c>
      <c r="BR69" s="271" t="str">
        <f t="shared" si="5"/>
        <v/>
      </c>
      <c r="BS69" s="305" t="str">
        <f>IF($BR69="","",_xll.ciqfunctions.udf.CIQ($BR69,"iq_bond_coupon")/100)</f>
        <v/>
      </c>
    </row>
    <row r="70" spans="23:71" ht="12" customHeight="1" x14ac:dyDescent="0.25">
      <c r="W70" s="277"/>
      <c r="X70" s="277"/>
      <c r="Y70" s="277"/>
      <c r="AX70" s="271" t="s">
        <v>1124</v>
      </c>
      <c r="AY70" s="271" t="s">
        <v>1351</v>
      </c>
      <c r="AZ70" s="271" t="s">
        <v>1352</v>
      </c>
      <c r="BG70" s="301" t="str">
        <f>IF($BF70="","",_xll.ciqfunctions.udf.CIQ($BF70,"iq_offer_date"))</f>
        <v/>
      </c>
      <c r="BH70" s="302" t="str">
        <f>IF($BF70="","",RANK(BG70,$BG$11:$BG$511)+COUNTIF($BG$11:BG70,BG70)-1)</f>
        <v/>
      </c>
      <c r="BM70" s="271">
        <f t="shared" si="2"/>
        <v>60</v>
      </c>
      <c r="BO70" s="304" t="str">
        <f>IF($BN70="","",_xll.ciqfunctions.udf.CIQ($BN70,"iq_security_level"))</f>
        <v/>
      </c>
      <c r="BP70" s="271" t="str">
        <f t="shared" si="3"/>
        <v/>
      </c>
      <c r="BR70" s="271" t="str">
        <f t="shared" si="5"/>
        <v/>
      </c>
      <c r="BS70" s="305" t="str">
        <f>IF($BR70="","",_xll.ciqfunctions.udf.CIQ($BR70,"iq_bond_coupon")/100)</f>
        <v/>
      </c>
    </row>
    <row r="71" spans="23:71" ht="12" customHeight="1" x14ac:dyDescent="0.25">
      <c r="AX71" s="271" t="s">
        <v>1124</v>
      </c>
      <c r="AY71" s="271" t="s">
        <v>1353</v>
      </c>
      <c r="AZ71" s="271" t="s">
        <v>1354</v>
      </c>
      <c r="BG71" s="301" t="str">
        <f>IF($BF71="","",_xll.ciqfunctions.udf.CIQ($BF71,"iq_offer_date"))</f>
        <v/>
      </c>
      <c r="BH71" s="302" t="str">
        <f>IF($BF71="","",RANK(BG71,$BG$11:$BG$511)+COUNTIF($BG$11:BG71,BG71)-1)</f>
        <v/>
      </c>
      <c r="BM71" s="271">
        <f t="shared" si="2"/>
        <v>61</v>
      </c>
      <c r="BO71" s="304" t="str">
        <f>IF($BN71="","",_xll.ciqfunctions.udf.CIQ($BN71,"iq_security_level"))</f>
        <v/>
      </c>
      <c r="BP71" s="271" t="str">
        <f t="shared" si="3"/>
        <v/>
      </c>
      <c r="BR71" s="271" t="str">
        <f t="shared" si="5"/>
        <v/>
      </c>
      <c r="BS71" s="305" t="str">
        <f>IF($BR71="","",_xll.ciqfunctions.udf.CIQ($BR71,"iq_bond_coupon")/100)</f>
        <v/>
      </c>
    </row>
    <row r="72" spans="23:71" ht="12" customHeight="1" x14ac:dyDescent="0.25">
      <c r="W72" s="277"/>
      <c r="X72" s="277"/>
      <c r="Y72" s="277"/>
      <c r="AX72" s="271" t="s">
        <v>1130</v>
      </c>
      <c r="AY72" s="271" t="s">
        <v>1355</v>
      </c>
      <c r="AZ72" s="271" t="s">
        <v>1356</v>
      </c>
      <c r="BG72" s="301" t="str">
        <f>IF($BF72="","",_xll.ciqfunctions.udf.CIQ($BF72,"iq_offer_date"))</f>
        <v/>
      </c>
      <c r="BH72" s="302" t="str">
        <f>IF($BF72="","",RANK(BG72,$BG$11:$BG$511)+COUNTIF($BG$11:BG72,BG72)-1)</f>
        <v/>
      </c>
      <c r="BM72" s="271">
        <f t="shared" si="2"/>
        <v>62</v>
      </c>
      <c r="BO72" s="304" t="str">
        <f>IF($BN72="","",_xll.ciqfunctions.udf.CIQ($BN72,"iq_security_level"))</f>
        <v/>
      </c>
      <c r="BP72" s="271" t="str">
        <f t="shared" si="3"/>
        <v/>
      </c>
      <c r="BR72" s="271" t="str">
        <f t="shared" si="5"/>
        <v/>
      </c>
      <c r="BS72" s="305" t="str">
        <f>IF($BR72="","",_xll.ciqfunctions.udf.CIQ($BR72,"iq_bond_coupon")/100)</f>
        <v/>
      </c>
    </row>
    <row r="73" spans="23:71" ht="12" customHeight="1" x14ac:dyDescent="0.25">
      <c r="AX73" s="271" t="s">
        <v>1130</v>
      </c>
      <c r="AY73" s="271" t="s">
        <v>1357</v>
      </c>
      <c r="AZ73" s="271" t="s">
        <v>1358</v>
      </c>
      <c r="BG73" s="301" t="str">
        <f>IF($BF73="","",_xll.ciqfunctions.udf.CIQ($BF73,"iq_offer_date"))</f>
        <v/>
      </c>
      <c r="BH73" s="302" t="str">
        <f>IF($BF73="","",RANK(BG73,$BG$11:$BG$511)+COUNTIF($BG$11:BG73,BG73)-1)</f>
        <v/>
      </c>
      <c r="BM73" s="271">
        <f t="shared" si="2"/>
        <v>63</v>
      </c>
      <c r="BO73" s="304" t="str">
        <f>IF($BN73="","",_xll.ciqfunctions.udf.CIQ($BN73,"iq_security_level"))</f>
        <v/>
      </c>
      <c r="BP73" s="271" t="str">
        <f t="shared" si="3"/>
        <v/>
      </c>
      <c r="BR73" s="271" t="str">
        <f t="shared" si="5"/>
        <v/>
      </c>
      <c r="BS73" s="305" t="str">
        <f>IF($BR73="","",_xll.ciqfunctions.udf.CIQ($BR73,"iq_bond_coupon")/100)</f>
        <v/>
      </c>
    </row>
    <row r="74" spans="23:71" ht="12" customHeight="1" x14ac:dyDescent="0.25">
      <c r="W74" s="277"/>
      <c r="X74" s="277"/>
      <c r="Y74" s="277"/>
      <c r="AX74" s="271" t="s">
        <v>1130</v>
      </c>
      <c r="AY74" s="271" t="s">
        <v>1359</v>
      </c>
      <c r="AZ74" s="271" t="s">
        <v>1360</v>
      </c>
      <c r="BG74" s="301" t="str">
        <f>IF($BF74="","",_xll.ciqfunctions.udf.CIQ($BF74,"iq_offer_date"))</f>
        <v/>
      </c>
      <c r="BH74" s="302" t="str">
        <f>IF($BF74="","",RANK(BG74,$BG$11:$BG$511)+COUNTIF($BG$11:BG74,BG74)-1)</f>
        <v/>
      </c>
      <c r="BM74" s="271">
        <f t="shared" si="2"/>
        <v>64</v>
      </c>
      <c r="BO74" s="304" t="str">
        <f>IF($BN74="","",_xll.ciqfunctions.udf.CIQ($BN74,"iq_security_level"))</f>
        <v/>
      </c>
      <c r="BP74" s="271" t="str">
        <f t="shared" si="3"/>
        <v/>
      </c>
      <c r="BR74" s="271" t="str">
        <f t="shared" si="5"/>
        <v/>
      </c>
      <c r="BS74" s="305" t="str">
        <f>IF($BR74="","",_xll.ciqfunctions.udf.CIQ($BR74,"iq_bond_coupon")/100)</f>
        <v/>
      </c>
    </row>
    <row r="75" spans="23:71" ht="12" customHeight="1" x14ac:dyDescent="0.25">
      <c r="W75" s="277"/>
      <c r="X75" s="277"/>
      <c r="Y75" s="277"/>
      <c r="AX75" s="271" t="s">
        <v>1130</v>
      </c>
      <c r="AY75" s="271" t="s">
        <v>1361</v>
      </c>
      <c r="AZ75" s="271" t="s">
        <v>1362</v>
      </c>
      <c r="BG75" s="301" t="str">
        <f>IF($BF75="","",_xll.ciqfunctions.udf.CIQ($BF75,"iq_offer_date"))</f>
        <v/>
      </c>
      <c r="BH75" s="302" t="str">
        <f>IF($BF75="","",RANK(BG75,$BG$11:$BG$511)+COUNTIF($BG$11:BG75,BG75)-1)</f>
        <v/>
      </c>
      <c r="BM75" s="271">
        <f t="shared" si="2"/>
        <v>65</v>
      </c>
      <c r="BO75" s="304" t="str">
        <f>IF($BN75="","",_xll.ciqfunctions.udf.CIQ($BN75,"iq_security_level"))</f>
        <v/>
      </c>
      <c r="BP75" s="271" t="str">
        <f t="shared" si="3"/>
        <v/>
      </c>
      <c r="BR75" s="271" t="str">
        <f t="shared" si="5"/>
        <v/>
      </c>
      <c r="BS75" s="305" t="str">
        <f>IF($BR75="","",_xll.ciqfunctions.udf.CIQ($BR75,"iq_bond_coupon")/100)</f>
        <v/>
      </c>
    </row>
    <row r="76" spans="23:71" ht="12" customHeight="1" x14ac:dyDescent="0.25">
      <c r="AX76" s="271" t="s">
        <v>1137</v>
      </c>
      <c r="AY76" s="271" t="s">
        <v>1363</v>
      </c>
      <c r="AZ76" s="271" t="s">
        <v>1364</v>
      </c>
      <c r="BG76" s="301" t="str">
        <f>IF($BF76="","",_xll.ciqfunctions.udf.CIQ($BF76,"iq_offer_date"))</f>
        <v/>
      </c>
      <c r="BH76" s="302" t="str">
        <f>IF($BF76="","",RANK(BG76,$BG$11:$BG$511)+COUNTIF($BG$11:BG76,BG76)-1)</f>
        <v/>
      </c>
      <c r="BM76" s="271">
        <f t="shared" si="2"/>
        <v>66</v>
      </c>
      <c r="BO76" s="304" t="str">
        <f>IF($BN76="","",_xll.ciqfunctions.udf.CIQ($BN76,"iq_security_level"))</f>
        <v/>
      </c>
      <c r="BP76" s="271" t="str">
        <f t="shared" si="3"/>
        <v/>
      </c>
      <c r="BR76" s="271" t="str">
        <f t="shared" si="5"/>
        <v/>
      </c>
      <c r="BS76" s="305" t="str">
        <f>IF($BR76="","",_xll.ciqfunctions.udf.CIQ($BR76,"iq_bond_coupon")/100)</f>
        <v/>
      </c>
    </row>
    <row r="77" spans="23:71" ht="12" customHeight="1" x14ac:dyDescent="0.25">
      <c r="AX77" s="271" t="s">
        <v>1137</v>
      </c>
      <c r="AY77" s="271" t="s">
        <v>1365</v>
      </c>
      <c r="AZ77" s="271" t="s">
        <v>1366</v>
      </c>
      <c r="BG77" s="301" t="str">
        <f>IF($BF77="","",_xll.ciqfunctions.udf.CIQ($BF77,"iq_offer_date"))</f>
        <v/>
      </c>
      <c r="BH77" s="302" t="str">
        <f>IF($BF77="","",RANK(BG77,$BG$11:$BG$511)+COUNTIF($BG$11:BG77,BG77)-1)</f>
        <v/>
      </c>
      <c r="BM77" s="271">
        <f t="shared" ref="BM77:BM140" si="6">BM76+1</f>
        <v>67</v>
      </c>
      <c r="BO77" s="304" t="str">
        <f>IF($BN77="","",_xll.ciqfunctions.udf.CIQ($BN77,"iq_security_level"))</f>
        <v/>
      </c>
      <c r="BP77" s="271" t="str">
        <f t="shared" ref="BP77:BP140" si="7">IF(BN77="","",IF(BO77="Preferred",BP76+1,BP76))</f>
        <v/>
      </c>
      <c r="BR77" s="271" t="str">
        <f t="shared" si="5"/>
        <v/>
      </c>
      <c r="BS77" s="305" t="str">
        <f>IF($BR77="","",_xll.ciqfunctions.udf.CIQ($BR77,"iq_bond_coupon")/100)</f>
        <v/>
      </c>
    </row>
    <row r="78" spans="23:71" ht="12" customHeight="1" x14ac:dyDescent="0.25">
      <c r="AX78" s="271" t="s">
        <v>1137</v>
      </c>
      <c r="AY78" s="271" t="s">
        <v>1367</v>
      </c>
      <c r="AZ78" s="271" t="s">
        <v>1368</v>
      </c>
      <c r="BG78" s="301" t="str">
        <f>IF($BF78="","",_xll.ciqfunctions.udf.CIQ($BF78,"iq_offer_date"))</f>
        <v/>
      </c>
      <c r="BH78" s="302" t="str">
        <f>IF($BF78="","",RANK(BG78,$BG$11:$BG$511)+COUNTIF($BG$11:BG78,BG78)-1)</f>
        <v/>
      </c>
      <c r="BM78" s="271">
        <f t="shared" si="6"/>
        <v>68</v>
      </c>
      <c r="BO78" s="304" t="str">
        <f>IF($BN78="","",_xll.ciqfunctions.udf.CIQ($BN78,"iq_security_level"))</f>
        <v/>
      </c>
      <c r="BP78" s="271" t="str">
        <f t="shared" si="7"/>
        <v/>
      </c>
      <c r="BR78" s="271" t="str">
        <f t="shared" si="5"/>
        <v/>
      </c>
      <c r="BS78" s="305" t="str">
        <f>IF($BR78="","",_xll.ciqfunctions.udf.CIQ($BR78,"iq_bond_coupon")/100)</f>
        <v/>
      </c>
    </row>
    <row r="79" spans="23:71" ht="12" customHeight="1" x14ac:dyDescent="0.25">
      <c r="AX79" s="271" t="s">
        <v>1137</v>
      </c>
      <c r="AY79" s="271" t="s">
        <v>1369</v>
      </c>
      <c r="AZ79" s="271" t="s">
        <v>1370</v>
      </c>
      <c r="BG79" s="301" t="str">
        <f>IF($BF79="","",_xll.ciqfunctions.udf.CIQ($BF79,"iq_offer_date"))</f>
        <v/>
      </c>
      <c r="BH79" s="302" t="str">
        <f>IF($BF79="","",RANK(BG79,$BG$11:$BG$511)+COUNTIF($BG$11:BG79,BG79)-1)</f>
        <v/>
      </c>
      <c r="BM79" s="271">
        <f t="shared" si="6"/>
        <v>69</v>
      </c>
      <c r="BO79" s="304" t="str">
        <f>IF($BN79="","",_xll.ciqfunctions.udf.CIQ($BN79,"iq_security_level"))</f>
        <v/>
      </c>
      <c r="BP79" s="271" t="str">
        <f t="shared" si="7"/>
        <v/>
      </c>
      <c r="BR79" s="271" t="str">
        <f t="shared" si="5"/>
        <v/>
      </c>
      <c r="BS79" s="305" t="str">
        <f>IF($BR79="","",_xll.ciqfunctions.udf.CIQ($BR79,"iq_bond_coupon")/100)</f>
        <v/>
      </c>
    </row>
    <row r="80" spans="23:71" ht="12" customHeight="1" x14ac:dyDescent="0.25">
      <c r="W80" s="277"/>
      <c r="X80" s="277"/>
      <c r="Y80" s="277"/>
      <c r="AX80" s="271" t="s">
        <v>1142</v>
      </c>
      <c r="AY80" s="271" t="s">
        <v>1371</v>
      </c>
      <c r="AZ80" s="271" t="s">
        <v>1372</v>
      </c>
      <c r="BG80" s="301" t="str">
        <f>IF($BF80="","",_xll.ciqfunctions.udf.CIQ($BF80,"iq_offer_date"))</f>
        <v/>
      </c>
      <c r="BH80" s="302" t="str">
        <f>IF($BF80="","",RANK(BG80,$BG$11:$BG$511)+COUNTIF($BG$11:BG80,BG80)-1)</f>
        <v/>
      </c>
      <c r="BM80" s="271">
        <f t="shared" si="6"/>
        <v>70</v>
      </c>
      <c r="BO80" s="304" t="str">
        <f>IF($BN80="","",_xll.ciqfunctions.udf.CIQ($BN80,"iq_security_level"))</f>
        <v/>
      </c>
      <c r="BP80" s="271" t="str">
        <f t="shared" si="7"/>
        <v/>
      </c>
      <c r="BR80" s="271" t="str">
        <f t="shared" si="5"/>
        <v/>
      </c>
      <c r="BS80" s="305" t="str">
        <f>IF($BR80="","",_xll.ciqfunctions.udf.CIQ($BR80,"iq_bond_coupon")/100)</f>
        <v/>
      </c>
    </row>
    <row r="81" spans="23:71" ht="12" customHeight="1" x14ac:dyDescent="0.25">
      <c r="W81" s="277"/>
      <c r="X81" s="277"/>
      <c r="Y81" s="277"/>
      <c r="AX81" s="271" t="s">
        <v>1142</v>
      </c>
      <c r="AY81" s="271" t="s">
        <v>1373</v>
      </c>
      <c r="AZ81" s="271" t="s">
        <v>1374</v>
      </c>
      <c r="BG81" s="301" t="str">
        <f>IF($BF81="","",_xll.ciqfunctions.udf.CIQ($BF81,"iq_offer_date"))</f>
        <v/>
      </c>
      <c r="BH81" s="302" t="str">
        <f>IF($BF81="","",RANK(BG81,$BG$11:$BG$511)+COUNTIF($BG$11:BG81,BG81)-1)</f>
        <v/>
      </c>
      <c r="BM81" s="271">
        <f t="shared" si="6"/>
        <v>71</v>
      </c>
      <c r="BO81" s="304" t="str">
        <f>IF($BN81="","",_xll.ciqfunctions.udf.CIQ($BN81,"iq_security_level"))</f>
        <v/>
      </c>
      <c r="BP81" s="271" t="str">
        <f t="shared" si="7"/>
        <v/>
      </c>
      <c r="BR81" s="271" t="str">
        <f t="shared" si="5"/>
        <v/>
      </c>
      <c r="BS81" s="305" t="str">
        <f>IF($BR81="","",_xll.ciqfunctions.udf.CIQ($BR81,"iq_bond_coupon")/100)</f>
        <v/>
      </c>
    </row>
    <row r="82" spans="23:71" ht="12" customHeight="1" x14ac:dyDescent="0.25">
      <c r="AX82" s="271" t="s">
        <v>1142</v>
      </c>
      <c r="AY82" s="271" t="s">
        <v>1375</v>
      </c>
      <c r="AZ82" s="271" t="s">
        <v>1376</v>
      </c>
      <c r="BG82" s="301" t="str">
        <f>IF($BF82="","",_xll.ciqfunctions.udf.CIQ($BF82,"iq_offer_date"))</f>
        <v/>
      </c>
      <c r="BH82" s="302" t="str">
        <f>IF($BF82="","",RANK(BG82,$BG$11:$BG$511)+COUNTIF($BG$11:BG82,BG82)-1)</f>
        <v/>
      </c>
      <c r="BM82" s="271">
        <f t="shared" si="6"/>
        <v>72</v>
      </c>
      <c r="BO82" s="304" t="str">
        <f>IF($BN82="","",_xll.ciqfunctions.udf.CIQ($BN82,"iq_security_level"))</f>
        <v/>
      </c>
      <c r="BP82" s="271" t="str">
        <f t="shared" si="7"/>
        <v/>
      </c>
      <c r="BR82" s="271" t="str">
        <f t="shared" si="5"/>
        <v/>
      </c>
      <c r="BS82" s="305" t="str">
        <f>IF($BR82="","",_xll.ciqfunctions.udf.CIQ($BR82,"iq_bond_coupon")/100)</f>
        <v/>
      </c>
    </row>
    <row r="83" spans="23:71" ht="12" customHeight="1" x14ac:dyDescent="0.25">
      <c r="W83" s="277"/>
      <c r="X83" s="277"/>
      <c r="Y83" s="277"/>
      <c r="AX83" s="271" t="s">
        <v>1142</v>
      </c>
      <c r="AY83" s="271" t="s">
        <v>1377</v>
      </c>
      <c r="AZ83" s="271" t="s">
        <v>1378</v>
      </c>
      <c r="BG83" s="301" t="str">
        <f>IF($BF83="","",_xll.ciqfunctions.udf.CIQ($BF83,"iq_offer_date"))</f>
        <v/>
      </c>
      <c r="BH83" s="302" t="str">
        <f>IF($BF83="","",RANK(BG83,$BG$11:$BG$511)+COUNTIF($BG$11:BG83,BG83)-1)</f>
        <v/>
      </c>
      <c r="BM83" s="271">
        <f t="shared" si="6"/>
        <v>73</v>
      </c>
      <c r="BO83" s="304" t="str">
        <f>IF($BN83="","",_xll.ciqfunctions.udf.CIQ($BN83,"iq_security_level"))</f>
        <v/>
      </c>
      <c r="BP83" s="271" t="str">
        <f t="shared" si="7"/>
        <v/>
      </c>
      <c r="BR83" s="271" t="str">
        <f t="shared" si="5"/>
        <v/>
      </c>
      <c r="BS83" s="305" t="str">
        <f>IF($BR83="","",_xll.ciqfunctions.udf.CIQ($BR83,"iq_bond_coupon")/100)</f>
        <v/>
      </c>
    </row>
    <row r="84" spans="23:71" ht="12" customHeight="1" x14ac:dyDescent="0.25">
      <c r="AX84" s="271" t="s">
        <v>1142</v>
      </c>
      <c r="AY84" s="271" t="s">
        <v>1379</v>
      </c>
      <c r="AZ84" s="271" t="s">
        <v>1380</v>
      </c>
      <c r="BG84" s="301" t="str">
        <f>IF($BF84="","",_xll.ciqfunctions.udf.CIQ($BF84,"iq_offer_date"))</f>
        <v/>
      </c>
      <c r="BH84" s="302" t="str">
        <f>IF($BF84="","",RANK(BG84,$BG$11:$BG$511)+COUNTIF($BG$11:BG84,BG84)-1)</f>
        <v/>
      </c>
      <c r="BM84" s="271">
        <f t="shared" si="6"/>
        <v>74</v>
      </c>
      <c r="BO84" s="304" t="str">
        <f>IF($BN84="","",_xll.ciqfunctions.udf.CIQ($BN84,"iq_security_level"))</f>
        <v/>
      </c>
      <c r="BP84" s="271" t="str">
        <f t="shared" si="7"/>
        <v/>
      </c>
      <c r="BR84" s="271" t="str">
        <f t="shared" si="5"/>
        <v/>
      </c>
      <c r="BS84" s="305" t="str">
        <f>IF($BR84="","",_xll.ciqfunctions.udf.CIQ($BR84,"iq_bond_coupon")/100)</f>
        <v/>
      </c>
    </row>
    <row r="85" spans="23:71" ht="12" customHeight="1" x14ac:dyDescent="0.25">
      <c r="W85" s="277"/>
      <c r="X85" s="277"/>
      <c r="Y85" s="277"/>
      <c r="AX85" s="271" t="s">
        <v>1152</v>
      </c>
      <c r="AY85" s="271" t="s">
        <v>1381</v>
      </c>
      <c r="AZ85" s="271" t="s">
        <v>1382</v>
      </c>
      <c r="BG85" s="301" t="str">
        <f>IF($BF85="","",_xll.ciqfunctions.udf.CIQ($BF85,"iq_offer_date"))</f>
        <v/>
      </c>
      <c r="BH85" s="302" t="str">
        <f>IF($BF85="","",RANK(BG85,$BG$11:$BG$511)+COUNTIF($BG$11:BG85,BG85)-1)</f>
        <v/>
      </c>
      <c r="BM85" s="271">
        <f t="shared" si="6"/>
        <v>75</v>
      </c>
      <c r="BO85" s="304" t="str">
        <f>IF($BN85="","",_xll.ciqfunctions.udf.CIQ($BN85,"iq_security_level"))</f>
        <v/>
      </c>
      <c r="BP85" s="271" t="str">
        <f t="shared" si="7"/>
        <v/>
      </c>
      <c r="BR85" s="271" t="str">
        <f t="shared" si="5"/>
        <v/>
      </c>
      <c r="BS85" s="305" t="str">
        <f>IF($BR85="","",_xll.ciqfunctions.udf.CIQ($BR85,"iq_bond_coupon")/100)</f>
        <v/>
      </c>
    </row>
    <row r="86" spans="23:71" ht="12" customHeight="1" x14ac:dyDescent="0.25">
      <c r="W86" s="277"/>
      <c r="X86" s="277"/>
      <c r="Y86" s="277"/>
      <c r="AX86" s="271" t="s">
        <v>1152</v>
      </c>
      <c r="AY86" s="271" t="s">
        <v>1383</v>
      </c>
      <c r="AZ86" s="271" t="s">
        <v>1384</v>
      </c>
      <c r="BG86" s="301" t="str">
        <f>IF($BF86="","",_xll.ciqfunctions.udf.CIQ($BF86,"iq_offer_date"))</f>
        <v/>
      </c>
      <c r="BH86" s="302" t="str">
        <f>IF($BF86="","",RANK(BG86,$BG$11:$BG$511)+COUNTIF($BG$11:BG86,BG86)-1)</f>
        <v/>
      </c>
      <c r="BM86" s="271">
        <f t="shared" si="6"/>
        <v>76</v>
      </c>
      <c r="BO86" s="304" t="str">
        <f>IF($BN86="","",_xll.ciqfunctions.udf.CIQ($BN86,"iq_security_level"))</f>
        <v/>
      </c>
      <c r="BP86" s="271" t="str">
        <f t="shared" si="7"/>
        <v/>
      </c>
      <c r="BR86" s="271" t="str">
        <f t="shared" si="5"/>
        <v/>
      </c>
      <c r="BS86" s="305" t="str">
        <f>IF($BR86="","",_xll.ciqfunctions.udf.CIQ($BR86,"iq_bond_coupon")/100)</f>
        <v/>
      </c>
    </row>
    <row r="87" spans="23:71" ht="12" customHeight="1" x14ac:dyDescent="0.25">
      <c r="AX87" s="271" t="s">
        <v>1152</v>
      </c>
      <c r="AY87" s="271" t="s">
        <v>1385</v>
      </c>
      <c r="AZ87" s="271" t="s">
        <v>1386</v>
      </c>
      <c r="BG87" s="301" t="str">
        <f>IF($BF87="","",_xll.ciqfunctions.udf.CIQ($BF87,"iq_offer_date"))</f>
        <v/>
      </c>
      <c r="BH87" s="302" t="str">
        <f>IF($BF87="","",RANK(BG87,$BG$11:$BG$511)+COUNTIF($BG$11:BG87,BG87)-1)</f>
        <v/>
      </c>
      <c r="BM87" s="271">
        <f t="shared" si="6"/>
        <v>77</v>
      </c>
      <c r="BO87" s="304" t="str">
        <f>IF($BN87="","",_xll.ciqfunctions.udf.CIQ($BN87,"iq_security_level"))</f>
        <v/>
      </c>
      <c r="BP87" s="271" t="str">
        <f t="shared" si="7"/>
        <v/>
      </c>
      <c r="BR87" s="271" t="str">
        <f t="shared" si="5"/>
        <v/>
      </c>
      <c r="BS87" s="305" t="str">
        <f>IF($BR87="","",_xll.ciqfunctions.udf.CIQ($BR87,"iq_bond_coupon")/100)</f>
        <v/>
      </c>
    </row>
    <row r="88" spans="23:71" ht="12" customHeight="1" x14ac:dyDescent="0.25">
      <c r="AX88" s="271" t="s">
        <v>1152</v>
      </c>
      <c r="AY88" s="271" t="s">
        <v>1387</v>
      </c>
      <c r="AZ88" s="271" t="s">
        <v>1388</v>
      </c>
      <c r="BG88" s="301" t="str">
        <f>IF($BF88="","",_xll.ciqfunctions.udf.CIQ($BF88,"iq_offer_date"))</f>
        <v/>
      </c>
      <c r="BH88" s="302" t="str">
        <f>IF($BF88="","",RANK(BG88,$BG$11:$BG$511)+COUNTIF($BG$11:BG88,BG88)-1)</f>
        <v/>
      </c>
      <c r="BM88" s="271">
        <f t="shared" si="6"/>
        <v>78</v>
      </c>
      <c r="BO88" s="304" t="str">
        <f>IF($BN88="","",_xll.ciqfunctions.udf.CIQ($BN88,"iq_security_level"))</f>
        <v/>
      </c>
      <c r="BP88" s="271" t="str">
        <f t="shared" si="7"/>
        <v/>
      </c>
      <c r="BR88" s="271" t="str">
        <f t="shared" si="5"/>
        <v/>
      </c>
      <c r="BS88" s="305" t="str">
        <f>IF($BR88="","",_xll.ciqfunctions.udf.CIQ($BR88,"iq_bond_coupon")/100)</f>
        <v/>
      </c>
    </row>
    <row r="89" spans="23:71" ht="12" customHeight="1" x14ac:dyDescent="0.25">
      <c r="W89" s="378"/>
      <c r="X89" s="378"/>
      <c r="Y89" s="378"/>
      <c r="AX89" s="271" t="s">
        <v>1166</v>
      </c>
      <c r="AY89" s="271" t="s">
        <v>1389</v>
      </c>
      <c r="AZ89" s="271" t="s">
        <v>1390</v>
      </c>
      <c r="BG89" s="301" t="str">
        <f>IF($BF89="","",_xll.ciqfunctions.udf.CIQ($BF89,"iq_offer_date"))</f>
        <v/>
      </c>
      <c r="BH89" s="302" t="str">
        <f>IF($BF89="","",RANK(BG89,$BG$11:$BG$511)+COUNTIF($BG$11:BG89,BG89)-1)</f>
        <v/>
      </c>
      <c r="BM89" s="271">
        <f t="shared" si="6"/>
        <v>79</v>
      </c>
      <c r="BO89" s="304" t="str">
        <f>IF($BN89="","",_xll.ciqfunctions.udf.CIQ($BN89,"iq_security_level"))</f>
        <v/>
      </c>
      <c r="BP89" s="271" t="str">
        <f t="shared" si="7"/>
        <v/>
      </c>
      <c r="BR89" s="271" t="str">
        <f t="shared" si="5"/>
        <v/>
      </c>
      <c r="BS89" s="305" t="str">
        <f>IF($BR89="","",_xll.ciqfunctions.udf.CIQ($BR89,"iq_bond_coupon")/100)</f>
        <v/>
      </c>
    </row>
    <row r="90" spans="23:71" ht="12" customHeight="1" x14ac:dyDescent="0.25">
      <c r="W90" s="378"/>
      <c r="X90" s="378"/>
      <c r="Y90" s="378"/>
      <c r="AX90" s="271" t="s">
        <v>1166</v>
      </c>
      <c r="AY90" s="271" t="s">
        <v>1391</v>
      </c>
      <c r="AZ90" s="271" t="s">
        <v>1392</v>
      </c>
      <c r="BG90" s="301" t="str">
        <f>IF($BF90="","",_xll.ciqfunctions.udf.CIQ($BF90,"iq_offer_date"))</f>
        <v/>
      </c>
      <c r="BH90" s="302" t="str">
        <f>IF($BF90="","",RANK(BG90,$BG$11:$BG$511)+COUNTIF($BG$11:BG90,BG90)-1)</f>
        <v/>
      </c>
      <c r="BM90" s="271">
        <f t="shared" si="6"/>
        <v>80</v>
      </c>
      <c r="BO90" s="304" t="str">
        <f>IF($BN90="","",_xll.ciqfunctions.udf.CIQ($BN90,"iq_security_level"))</f>
        <v/>
      </c>
      <c r="BP90" s="271" t="str">
        <f t="shared" si="7"/>
        <v/>
      </c>
      <c r="BR90" s="271" t="str">
        <f t="shared" si="5"/>
        <v/>
      </c>
      <c r="BS90" s="305" t="str">
        <f>IF($BR90="","",_xll.ciqfunctions.udf.CIQ($BR90,"iq_bond_coupon")/100)</f>
        <v/>
      </c>
    </row>
    <row r="91" spans="23:71" ht="15" customHeight="1" x14ac:dyDescent="0.25">
      <c r="AX91" s="271" t="s">
        <v>1166</v>
      </c>
      <c r="AY91" s="271" t="s">
        <v>1393</v>
      </c>
      <c r="AZ91" s="271" t="s">
        <v>1394</v>
      </c>
      <c r="BG91" s="301" t="str">
        <f>IF($BF91="","",_xll.ciqfunctions.udf.CIQ($BF91,"iq_offer_date"))</f>
        <v/>
      </c>
      <c r="BH91" s="302" t="str">
        <f>IF($BF91="","",RANK(BG91,$BG$11:$BG$511)+COUNTIF($BG$11:BG91,BG91)-1)</f>
        <v/>
      </c>
      <c r="BM91" s="271">
        <f t="shared" si="6"/>
        <v>81</v>
      </c>
      <c r="BO91" s="304" t="str">
        <f>IF($BN91="","",_xll.ciqfunctions.udf.CIQ($BN91,"iq_security_level"))</f>
        <v/>
      </c>
      <c r="BP91" s="271" t="str">
        <f t="shared" si="7"/>
        <v/>
      </c>
      <c r="BR91" s="271" t="str">
        <f t="shared" si="5"/>
        <v/>
      </c>
      <c r="BS91" s="305" t="str">
        <f>IF($BR91="","",_xll.ciqfunctions.udf.CIQ($BR91,"iq_bond_coupon")/100)</f>
        <v/>
      </c>
    </row>
    <row r="92" spans="23:71" ht="12" customHeight="1" x14ac:dyDescent="0.25">
      <c r="AX92" s="271" t="s">
        <v>1166</v>
      </c>
      <c r="AY92" s="271" t="s">
        <v>1395</v>
      </c>
      <c r="AZ92" s="271" t="s">
        <v>1396</v>
      </c>
      <c r="BG92" s="301" t="str">
        <f>IF($BF92="","",_xll.ciqfunctions.udf.CIQ($BF92,"iq_offer_date"))</f>
        <v/>
      </c>
      <c r="BH92" s="302" t="str">
        <f>IF($BF92="","",RANK(BG92,$BG$11:$BG$511)+COUNTIF($BG$11:BG92,BG92)-1)</f>
        <v/>
      </c>
      <c r="BM92" s="271">
        <f t="shared" si="6"/>
        <v>82</v>
      </c>
      <c r="BO92" s="304" t="str">
        <f>IF($BN92="","",_xll.ciqfunctions.udf.CIQ($BN92,"iq_security_level"))</f>
        <v/>
      </c>
      <c r="BP92" s="271" t="str">
        <f t="shared" si="7"/>
        <v/>
      </c>
      <c r="BR92" s="271" t="str">
        <f t="shared" si="5"/>
        <v/>
      </c>
      <c r="BS92" s="305" t="str">
        <f>IF($BR92="","",_xll.ciqfunctions.udf.CIQ($BR92,"iq_bond_coupon")/100)</f>
        <v/>
      </c>
    </row>
    <row r="93" spans="23:71" ht="12" customHeight="1" x14ac:dyDescent="0.25">
      <c r="AX93" s="271" t="s">
        <v>1166</v>
      </c>
      <c r="AY93" s="271" t="s">
        <v>1397</v>
      </c>
      <c r="AZ93" s="271" t="s">
        <v>1398</v>
      </c>
      <c r="BG93" s="301" t="str">
        <f>IF($BF93="","",_xll.ciqfunctions.udf.CIQ($BF93,"iq_offer_date"))</f>
        <v/>
      </c>
      <c r="BH93" s="302" t="str">
        <f>IF($BF93="","",RANK(BG93,$BG$11:$BG$511)+COUNTIF($BG$11:BG93,BG93)-1)</f>
        <v/>
      </c>
      <c r="BM93" s="271">
        <f t="shared" si="6"/>
        <v>83</v>
      </c>
      <c r="BO93" s="304" t="str">
        <f>IF($BN93="","",_xll.ciqfunctions.udf.CIQ($BN93,"iq_security_level"))</f>
        <v/>
      </c>
      <c r="BP93" s="271" t="str">
        <f t="shared" si="7"/>
        <v/>
      </c>
      <c r="BR93" s="271" t="str">
        <f t="shared" si="5"/>
        <v/>
      </c>
      <c r="BS93" s="305" t="str">
        <f>IF($BR93="","",_xll.ciqfunctions.udf.CIQ($BR93,"iq_bond_coupon")/100)</f>
        <v/>
      </c>
    </row>
    <row r="94" spans="23:71" ht="12" customHeight="1" x14ac:dyDescent="0.25">
      <c r="AX94" s="271" t="s">
        <v>1177</v>
      </c>
      <c r="AY94" s="271" t="s">
        <v>1399</v>
      </c>
      <c r="AZ94" s="271" t="s">
        <v>1400</v>
      </c>
      <c r="BG94" s="301" t="str">
        <f>IF($BF94="","",_xll.ciqfunctions.udf.CIQ($BF94,"iq_offer_date"))</f>
        <v/>
      </c>
      <c r="BH94" s="302" t="str">
        <f>IF($BF94="","",RANK(BG94,$BG$11:$BG$511)+COUNTIF($BG$11:BG94,BG94)-1)</f>
        <v/>
      </c>
      <c r="BM94" s="271">
        <f t="shared" si="6"/>
        <v>84</v>
      </c>
      <c r="BO94" s="304" t="str">
        <f>IF($BN94="","",_xll.ciqfunctions.udf.CIQ($BN94,"iq_security_level"))</f>
        <v/>
      </c>
      <c r="BP94" s="271" t="str">
        <f t="shared" si="7"/>
        <v/>
      </c>
      <c r="BR94" s="271" t="str">
        <f t="shared" si="5"/>
        <v/>
      </c>
      <c r="BS94" s="305" t="str">
        <f>IF($BR94="","",_xll.ciqfunctions.udf.CIQ($BR94,"iq_bond_coupon")/100)</f>
        <v/>
      </c>
    </row>
    <row r="95" spans="23:71" ht="12" customHeight="1" x14ac:dyDescent="0.25">
      <c r="AX95" s="271" t="s">
        <v>1177</v>
      </c>
      <c r="AY95" s="271" t="s">
        <v>1401</v>
      </c>
      <c r="AZ95" s="271" t="s">
        <v>1402</v>
      </c>
      <c r="BG95" s="301" t="str">
        <f>IF($BF95="","",_xll.ciqfunctions.udf.CIQ($BF95,"iq_offer_date"))</f>
        <v/>
      </c>
      <c r="BH95" s="302" t="str">
        <f>IF($BF95="","",RANK(BG95,$BG$11:$BG$511)+COUNTIF($BG$11:BG95,BG95)-1)</f>
        <v/>
      </c>
      <c r="BM95" s="271">
        <f t="shared" si="6"/>
        <v>85</v>
      </c>
      <c r="BO95" s="304" t="str">
        <f>IF($BN95="","",_xll.ciqfunctions.udf.CIQ($BN95,"iq_security_level"))</f>
        <v/>
      </c>
      <c r="BP95" s="271" t="str">
        <f t="shared" si="7"/>
        <v/>
      </c>
      <c r="BR95" s="271" t="str">
        <f t="shared" si="5"/>
        <v/>
      </c>
      <c r="BS95" s="305" t="str">
        <f>IF($BR95="","",_xll.ciqfunctions.udf.CIQ($BR95,"iq_bond_coupon")/100)</f>
        <v/>
      </c>
    </row>
    <row r="96" spans="23:71" ht="12" customHeight="1" x14ac:dyDescent="0.25">
      <c r="AX96" s="271" t="s">
        <v>1177</v>
      </c>
      <c r="AY96" s="271" t="s">
        <v>1403</v>
      </c>
      <c r="AZ96" s="271" t="s">
        <v>1404</v>
      </c>
      <c r="BG96" s="301" t="str">
        <f>IF($BF96="","",_xll.ciqfunctions.udf.CIQ($BF96,"iq_offer_date"))</f>
        <v/>
      </c>
      <c r="BH96" s="302" t="str">
        <f>IF($BF96="","",RANK(BG96,$BG$11:$BG$511)+COUNTIF($BG$11:BG96,BG96)-1)</f>
        <v/>
      </c>
      <c r="BM96" s="271">
        <f t="shared" si="6"/>
        <v>86</v>
      </c>
      <c r="BO96" s="304" t="str">
        <f>IF($BN96="","",_xll.ciqfunctions.udf.CIQ($BN96,"iq_security_level"))</f>
        <v/>
      </c>
      <c r="BP96" s="271" t="str">
        <f t="shared" si="7"/>
        <v/>
      </c>
      <c r="BR96" s="271" t="str">
        <f t="shared" si="5"/>
        <v/>
      </c>
      <c r="BS96" s="305" t="str">
        <f>IF($BR96="","",_xll.ciqfunctions.udf.CIQ($BR96,"iq_bond_coupon")/100)</f>
        <v/>
      </c>
    </row>
    <row r="97" spans="50:71" ht="12" customHeight="1" x14ac:dyDescent="0.25">
      <c r="AX97" s="271" t="s">
        <v>1177</v>
      </c>
      <c r="AY97" s="271" t="s">
        <v>1405</v>
      </c>
      <c r="AZ97" s="271" t="s">
        <v>1406</v>
      </c>
      <c r="BG97" s="301" t="str">
        <f>IF($BF97="","",_xll.ciqfunctions.udf.CIQ($BF97,"iq_offer_date"))</f>
        <v/>
      </c>
      <c r="BH97" s="302" t="str">
        <f>IF($BF97="","",RANK(BG97,$BG$11:$BG$511)+COUNTIF($BG$11:BG97,BG97)-1)</f>
        <v/>
      </c>
      <c r="BM97" s="271">
        <f t="shared" si="6"/>
        <v>87</v>
      </c>
      <c r="BO97" s="304" t="str">
        <f>IF($BN97="","",_xll.ciqfunctions.udf.CIQ($BN97,"iq_security_level"))</f>
        <v/>
      </c>
      <c r="BP97" s="271" t="str">
        <f t="shared" si="7"/>
        <v/>
      </c>
      <c r="BR97" s="271" t="str">
        <f t="shared" si="5"/>
        <v/>
      </c>
      <c r="BS97" s="305" t="str">
        <f>IF($BR97="","",_xll.ciqfunctions.udf.CIQ($BR97,"iq_bond_coupon")/100)</f>
        <v/>
      </c>
    </row>
    <row r="98" spans="50:71" ht="12" customHeight="1" x14ac:dyDescent="0.25">
      <c r="AX98" s="271" t="s">
        <v>1190</v>
      </c>
      <c r="AY98" s="271" t="s">
        <v>1407</v>
      </c>
      <c r="AZ98" s="271" t="s">
        <v>1408</v>
      </c>
      <c r="BG98" s="301" t="str">
        <f>IF($BF98="","",_xll.ciqfunctions.udf.CIQ($BF98,"iq_offer_date"))</f>
        <v/>
      </c>
      <c r="BH98" s="302" t="str">
        <f>IF($BF98="","",RANK(BG98,$BG$11:$BG$511)+COUNTIF($BG$11:BG98,BG98)-1)</f>
        <v/>
      </c>
      <c r="BM98" s="271">
        <f t="shared" si="6"/>
        <v>88</v>
      </c>
      <c r="BO98" s="304" t="str">
        <f>IF($BN98="","",_xll.ciqfunctions.udf.CIQ($BN98,"iq_security_level"))</f>
        <v/>
      </c>
      <c r="BP98" s="271" t="str">
        <f t="shared" si="7"/>
        <v/>
      </c>
      <c r="BR98" s="271" t="str">
        <f t="shared" si="5"/>
        <v/>
      </c>
      <c r="BS98" s="305" t="str">
        <f>IF($BR98="","",_xll.ciqfunctions.udf.CIQ($BR98,"iq_bond_coupon")/100)</f>
        <v/>
      </c>
    </row>
    <row r="99" spans="50:71" ht="12" customHeight="1" x14ac:dyDescent="0.25">
      <c r="AX99" s="271" t="s">
        <v>1190</v>
      </c>
      <c r="AY99" s="271" t="s">
        <v>1409</v>
      </c>
      <c r="AZ99" s="271" t="s">
        <v>1410</v>
      </c>
      <c r="BG99" s="301" t="str">
        <f>IF($BF99="","",_xll.ciqfunctions.udf.CIQ($BF99,"iq_offer_date"))</f>
        <v/>
      </c>
      <c r="BH99" s="302" t="str">
        <f>IF($BF99="","",RANK(BG99,$BG$11:$BG$511)+COUNTIF($BG$11:BG99,BG99)-1)</f>
        <v/>
      </c>
      <c r="BM99" s="271">
        <f t="shared" si="6"/>
        <v>89</v>
      </c>
      <c r="BO99" s="304" t="str">
        <f>IF($BN99="","",_xll.ciqfunctions.udf.CIQ($BN99,"iq_security_level"))</f>
        <v/>
      </c>
      <c r="BP99" s="271" t="str">
        <f t="shared" si="7"/>
        <v/>
      </c>
      <c r="BR99" s="271" t="str">
        <f t="shared" si="5"/>
        <v/>
      </c>
      <c r="BS99" s="305" t="str">
        <f>IF($BR99="","",_xll.ciqfunctions.udf.CIQ($BR99,"iq_bond_coupon")/100)</f>
        <v/>
      </c>
    </row>
    <row r="100" spans="50:71" ht="12" customHeight="1" x14ac:dyDescent="0.25">
      <c r="AX100" s="271" t="s">
        <v>1190</v>
      </c>
      <c r="AY100" s="271" t="s">
        <v>1411</v>
      </c>
      <c r="AZ100" s="271" t="s">
        <v>1412</v>
      </c>
      <c r="BG100" s="301" t="str">
        <f>IF($BF100="","",_xll.ciqfunctions.udf.CIQ($BF100,"iq_offer_date"))</f>
        <v/>
      </c>
      <c r="BH100" s="302" t="str">
        <f>IF($BF100="","",RANK(BG100,$BG$11:$BG$511)+COUNTIF($BG$11:BG100,BG100)-1)</f>
        <v/>
      </c>
      <c r="BM100" s="271">
        <f t="shared" si="6"/>
        <v>90</v>
      </c>
      <c r="BO100" s="304" t="str">
        <f>IF($BN100="","",_xll.ciqfunctions.udf.CIQ($BN100,"iq_security_level"))</f>
        <v/>
      </c>
      <c r="BP100" s="271" t="str">
        <f t="shared" si="7"/>
        <v/>
      </c>
      <c r="BR100" s="271" t="str">
        <f t="shared" si="5"/>
        <v/>
      </c>
      <c r="BS100" s="305" t="str">
        <f>IF($BR100="","",_xll.ciqfunctions.udf.CIQ($BR100,"iq_bond_coupon")/100)</f>
        <v/>
      </c>
    </row>
    <row r="101" spans="50:71" ht="12" customHeight="1" x14ac:dyDescent="0.25">
      <c r="AX101" s="271" t="s">
        <v>1190</v>
      </c>
      <c r="AY101" s="271" t="s">
        <v>1413</v>
      </c>
      <c r="AZ101" s="271" t="s">
        <v>1414</v>
      </c>
      <c r="BG101" s="301" t="str">
        <f>IF($BF101="","",_xll.ciqfunctions.udf.CIQ($BF101,"iq_offer_date"))</f>
        <v/>
      </c>
      <c r="BH101" s="302" t="str">
        <f>IF($BF101="","",RANK(BG101,$BG$11:$BG$511)+COUNTIF($BG$11:BG101,BG101)-1)</f>
        <v/>
      </c>
      <c r="BM101" s="271">
        <f t="shared" si="6"/>
        <v>91</v>
      </c>
      <c r="BO101" s="304" t="str">
        <f>IF($BN101="","",_xll.ciqfunctions.udf.CIQ($BN101,"iq_security_level"))</f>
        <v/>
      </c>
      <c r="BP101" s="271" t="str">
        <f t="shared" si="7"/>
        <v/>
      </c>
      <c r="BR101" s="271" t="str">
        <f t="shared" si="5"/>
        <v/>
      </c>
      <c r="BS101" s="305" t="str">
        <f>IF($BR101="","",_xll.ciqfunctions.udf.CIQ($BR101,"iq_bond_coupon")/100)</f>
        <v/>
      </c>
    </row>
    <row r="102" spans="50:71" ht="12" customHeight="1" x14ac:dyDescent="0.25">
      <c r="AX102" s="271" t="s">
        <v>1190</v>
      </c>
      <c r="AY102" s="271" t="s">
        <v>1415</v>
      </c>
      <c r="AZ102" s="271" t="s">
        <v>1416</v>
      </c>
      <c r="BG102" s="301" t="str">
        <f>IF($BF102="","",_xll.ciqfunctions.udf.CIQ($BF102,"iq_offer_date"))</f>
        <v/>
      </c>
      <c r="BH102" s="302" t="str">
        <f>IF($BF102="","",RANK(BG102,$BG$11:$BG$511)+COUNTIF($BG$11:BG102,BG102)-1)</f>
        <v/>
      </c>
      <c r="BM102" s="271">
        <f t="shared" si="6"/>
        <v>92</v>
      </c>
      <c r="BO102" s="304" t="str">
        <f>IF($BN102="","",_xll.ciqfunctions.udf.CIQ($BN102,"iq_security_level"))</f>
        <v/>
      </c>
      <c r="BP102" s="271" t="str">
        <f t="shared" si="7"/>
        <v/>
      </c>
      <c r="BR102" s="271" t="str">
        <f t="shared" si="5"/>
        <v/>
      </c>
      <c r="BS102" s="305" t="str">
        <f>IF($BR102="","",_xll.ciqfunctions.udf.CIQ($BR102,"iq_bond_coupon")/100)</f>
        <v/>
      </c>
    </row>
    <row r="103" spans="50:71" ht="12" customHeight="1" x14ac:dyDescent="0.25">
      <c r="AX103" s="271" t="s">
        <v>1190</v>
      </c>
      <c r="AY103" s="271" t="s">
        <v>1417</v>
      </c>
      <c r="AZ103" s="271" t="s">
        <v>1418</v>
      </c>
      <c r="BG103" s="301" t="str">
        <f>IF($BF103="","",_xll.ciqfunctions.udf.CIQ($BF103,"iq_offer_date"))</f>
        <v/>
      </c>
      <c r="BH103" s="302" t="str">
        <f>IF($BF103="","",RANK(BG103,$BG$11:$BG$511)+COUNTIF($BG$11:BG103,BG103)-1)</f>
        <v/>
      </c>
      <c r="BM103" s="271">
        <f t="shared" si="6"/>
        <v>93</v>
      </c>
      <c r="BO103" s="304" t="str">
        <f>IF($BN103="","",_xll.ciqfunctions.udf.CIQ($BN103,"iq_security_level"))</f>
        <v/>
      </c>
      <c r="BP103" s="271" t="str">
        <f t="shared" si="7"/>
        <v/>
      </c>
      <c r="BR103" s="271" t="str">
        <f t="shared" si="5"/>
        <v/>
      </c>
      <c r="BS103" s="305" t="str">
        <f>IF($BR103="","",_xll.ciqfunctions.udf.CIQ($BR103,"iq_bond_coupon")/100)</f>
        <v/>
      </c>
    </row>
    <row r="104" spans="50:71" ht="12" customHeight="1" x14ac:dyDescent="0.25">
      <c r="AX104" s="271" t="s">
        <v>1190</v>
      </c>
      <c r="AY104" s="271" t="s">
        <v>1419</v>
      </c>
      <c r="AZ104" s="271" t="s">
        <v>1420</v>
      </c>
      <c r="BG104" s="301" t="str">
        <f>IF($BF104="","",_xll.ciqfunctions.udf.CIQ($BF104,"iq_offer_date"))</f>
        <v/>
      </c>
      <c r="BH104" s="302" t="str">
        <f>IF($BF104="","",RANK(BG104,$BG$11:$BG$511)+COUNTIF($BG$11:BG104,BG104)-1)</f>
        <v/>
      </c>
      <c r="BM104" s="271">
        <f t="shared" si="6"/>
        <v>94</v>
      </c>
      <c r="BO104" s="304" t="str">
        <f>IF($BN104="","",_xll.ciqfunctions.udf.CIQ($BN104,"iq_security_level"))</f>
        <v/>
      </c>
      <c r="BP104" s="271" t="str">
        <f t="shared" si="7"/>
        <v/>
      </c>
      <c r="BR104" s="271" t="str">
        <f t="shared" si="5"/>
        <v/>
      </c>
      <c r="BS104" s="305" t="str">
        <f>IF($BR104="","",_xll.ciqfunctions.udf.CIQ($BR104,"iq_bond_coupon")/100)</f>
        <v/>
      </c>
    </row>
    <row r="105" spans="50:71" ht="12" customHeight="1" x14ac:dyDescent="0.25">
      <c r="AX105" s="271" t="s">
        <v>41</v>
      </c>
      <c r="AY105" s="271" t="s">
        <v>1421</v>
      </c>
      <c r="AZ105" s="271" t="s">
        <v>1422</v>
      </c>
      <c r="BG105" s="301" t="str">
        <f>IF($BF105="","",_xll.ciqfunctions.udf.CIQ($BF105,"iq_offer_date"))</f>
        <v/>
      </c>
      <c r="BH105" s="302" t="str">
        <f>IF($BF105="","",RANK(BG105,$BG$11:$BG$511)+COUNTIF($BG$11:BG105,BG105)-1)</f>
        <v/>
      </c>
      <c r="BM105" s="271">
        <f t="shared" si="6"/>
        <v>95</v>
      </c>
      <c r="BO105" s="304" t="str">
        <f>IF($BN105="","",_xll.ciqfunctions.udf.CIQ($BN105,"iq_security_level"))</f>
        <v/>
      </c>
      <c r="BP105" s="271" t="str">
        <f t="shared" si="7"/>
        <v/>
      </c>
      <c r="BR105" s="271" t="str">
        <f t="shared" si="5"/>
        <v/>
      </c>
      <c r="BS105" s="305" t="str">
        <f>IF($BR105="","",_xll.ciqfunctions.udf.CIQ($BR105,"iq_bond_coupon")/100)</f>
        <v/>
      </c>
    </row>
    <row r="106" spans="50:71" ht="12" customHeight="1" x14ac:dyDescent="0.25">
      <c r="AX106" s="271" t="s">
        <v>41</v>
      </c>
      <c r="AY106" s="271" t="s">
        <v>1423</v>
      </c>
      <c r="AZ106" s="271" t="s">
        <v>1424</v>
      </c>
      <c r="BG106" s="301" t="str">
        <f>IF($BF106="","",_xll.ciqfunctions.udf.CIQ($BF106,"iq_offer_date"))</f>
        <v/>
      </c>
      <c r="BH106" s="302" t="str">
        <f>IF($BF106="","",RANK(BG106,$BG$11:$BG$511)+COUNTIF($BG$11:BG106,BG106)-1)</f>
        <v/>
      </c>
      <c r="BM106" s="271">
        <f t="shared" si="6"/>
        <v>96</v>
      </c>
      <c r="BO106" s="304" t="str">
        <f>IF($BN106="","",_xll.ciqfunctions.udf.CIQ($BN106,"iq_security_level"))</f>
        <v/>
      </c>
      <c r="BP106" s="271" t="str">
        <f t="shared" si="7"/>
        <v/>
      </c>
      <c r="BR106" s="271" t="str">
        <f t="shared" si="5"/>
        <v/>
      </c>
      <c r="BS106" s="305" t="str">
        <f>IF($BR106="","",_xll.ciqfunctions.udf.CIQ($BR106,"iq_bond_coupon")/100)</f>
        <v/>
      </c>
    </row>
    <row r="107" spans="50:71" ht="12" customHeight="1" x14ac:dyDescent="0.25">
      <c r="AX107" s="271" t="s">
        <v>41</v>
      </c>
      <c r="AY107" s="271" t="s">
        <v>1425</v>
      </c>
      <c r="AZ107" s="271" t="s">
        <v>1426</v>
      </c>
      <c r="BG107" s="301" t="str">
        <f>IF($BF107="","",_xll.ciqfunctions.udf.CIQ($BF107,"iq_offer_date"))</f>
        <v/>
      </c>
      <c r="BH107" s="302" t="str">
        <f>IF($BF107="","",RANK(BG107,$BG$11:$BG$511)+COUNTIF($BG$11:BG107,BG107)-1)</f>
        <v/>
      </c>
      <c r="BM107" s="271">
        <f t="shared" si="6"/>
        <v>97</v>
      </c>
      <c r="BO107" s="304" t="str">
        <f>IF($BN107="","",_xll.ciqfunctions.udf.CIQ($BN107,"iq_security_level"))</f>
        <v/>
      </c>
      <c r="BP107" s="271" t="str">
        <f t="shared" si="7"/>
        <v/>
      </c>
      <c r="BR107" s="271" t="str">
        <f t="shared" si="5"/>
        <v/>
      </c>
      <c r="BS107" s="305" t="str">
        <f>IF($BR107="","",_xll.ciqfunctions.udf.CIQ($BR107,"iq_bond_coupon")/100)</f>
        <v/>
      </c>
    </row>
    <row r="108" spans="50:71" ht="12" customHeight="1" x14ac:dyDescent="0.25">
      <c r="AX108" s="271" t="s">
        <v>41</v>
      </c>
      <c r="AY108" s="271" t="s">
        <v>1427</v>
      </c>
      <c r="AZ108" s="271" t="s">
        <v>1428</v>
      </c>
      <c r="BG108" s="301" t="str">
        <f>IF($BF108="","",_xll.ciqfunctions.udf.CIQ($BF108,"iq_offer_date"))</f>
        <v/>
      </c>
      <c r="BH108" s="302" t="str">
        <f>IF($BF108="","",RANK(BG108,$BG$11:$BG$511)+COUNTIF($BG$11:BG108,BG108)-1)</f>
        <v/>
      </c>
      <c r="BM108" s="271">
        <f t="shared" si="6"/>
        <v>98</v>
      </c>
      <c r="BO108" s="304" t="str">
        <f>IF($BN108="","",_xll.ciqfunctions.udf.CIQ($BN108,"iq_security_level"))</f>
        <v/>
      </c>
      <c r="BP108" s="271" t="str">
        <f t="shared" si="7"/>
        <v/>
      </c>
      <c r="BR108" s="271" t="str">
        <f t="shared" si="5"/>
        <v/>
      </c>
      <c r="BS108" s="305" t="str">
        <f>IF($BR108="","",_xll.ciqfunctions.udf.CIQ($BR108,"iq_bond_coupon")/100)</f>
        <v/>
      </c>
    </row>
    <row r="109" spans="50:71" ht="12" customHeight="1" x14ac:dyDescent="0.25">
      <c r="AX109" s="271" t="s">
        <v>41</v>
      </c>
      <c r="AY109" s="271" t="s">
        <v>1429</v>
      </c>
      <c r="AZ109" s="271" t="s">
        <v>1430</v>
      </c>
      <c r="BG109" s="301" t="str">
        <f>IF($BF109="","",_xll.ciqfunctions.udf.CIQ($BF109,"iq_offer_date"))</f>
        <v/>
      </c>
      <c r="BH109" s="302" t="str">
        <f>IF($BF109="","",RANK(BG109,$BG$11:$BG$511)+COUNTIF($BG$11:BG109,BG109)-1)</f>
        <v/>
      </c>
      <c r="BM109" s="271">
        <f t="shared" si="6"/>
        <v>99</v>
      </c>
      <c r="BO109" s="304" t="str">
        <f>IF($BN109="","",_xll.ciqfunctions.udf.CIQ($BN109,"iq_security_level"))</f>
        <v/>
      </c>
      <c r="BP109" s="271" t="str">
        <f t="shared" si="7"/>
        <v/>
      </c>
      <c r="BR109" s="271" t="str">
        <f t="shared" si="5"/>
        <v/>
      </c>
      <c r="BS109" s="305" t="str">
        <f>IF($BR109="","",_xll.ciqfunctions.udf.CIQ($BR109,"iq_bond_coupon")/100)</f>
        <v/>
      </c>
    </row>
    <row r="110" spans="50:71" ht="12" customHeight="1" x14ac:dyDescent="0.25">
      <c r="AX110" s="271" t="s">
        <v>41</v>
      </c>
      <c r="AY110" s="271" t="s">
        <v>1431</v>
      </c>
      <c r="AZ110" s="271" t="s">
        <v>1432</v>
      </c>
      <c r="BG110" s="301" t="str">
        <f>IF($BF110="","",_xll.ciqfunctions.udf.CIQ($BF110,"iq_offer_date"))</f>
        <v/>
      </c>
      <c r="BH110" s="302" t="str">
        <f>IF($BF110="","",RANK(BG110,$BG$11:$BG$511)+COUNTIF($BG$11:BG110,BG110)-1)</f>
        <v/>
      </c>
      <c r="BM110" s="271">
        <f t="shared" si="6"/>
        <v>100</v>
      </c>
      <c r="BO110" s="304" t="str">
        <f>IF($BN110="","",_xll.ciqfunctions.udf.CIQ($BN110,"iq_security_level"))</f>
        <v/>
      </c>
      <c r="BP110" s="271" t="str">
        <f t="shared" si="7"/>
        <v/>
      </c>
      <c r="BR110" s="271" t="str">
        <f t="shared" si="5"/>
        <v/>
      </c>
      <c r="BS110" s="305" t="str">
        <f>IF($BR110="","",_xll.ciqfunctions.udf.CIQ($BR110,"iq_bond_coupon")/100)</f>
        <v/>
      </c>
    </row>
    <row r="111" spans="50:71" ht="12" customHeight="1" x14ac:dyDescent="0.25">
      <c r="AX111" s="271" t="s">
        <v>41</v>
      </c>
      <c r="AY111" s="271" t="s">
        <v>1433</v>
      </c>
      <c r="AZ111" s="271" t="s">
        <v>1434</v>
      </c>
      <c r="BG111" s="301" t="str">
        <f>IF($BF111="","",_xll.ciqfunctions.udf.CIQ($BF111,"iq_offer_date"))</f>
        <v/>
      </c>
      <c r="BH111" s="302" t="str">
        <f>IF($BF111="","",RANK(BG111,$BG$11:$BG$511)+COUNTIF($BG$11:BG111,BG111)-1)</f>
        <v/>
      </c>
      <c r="BM111" s="271">
        <f t="shared" si="6"/>
        <v>101</v>
      </c>
      <c r="BO111" s="304" t="str">
        <f>IF($BN111="","",_xll.ciqfunctions.udf.CIQ($BN111,"iq_security_level"))</f>
        <v/>
      </c>
      <c r="BP111" s="271" t="str">
        <f t="shared" si="7"/>
        <v/>
      </c>
      <c r="BR111" s="271" t="str">
        <f t="shared" si="5"/>
        <v/>
      </c>
      <c r="BS111" s="305" t="str">
        <f>IF($BR111="","",_xll.ciqfunctions.udf.CIQ($BR111,"iq_bond_coupon")/100)</f>
        <v/>
      </c>
    </row>
    <row r="112" spans="50:71" ht="12" customHeight="1" x14ac:dyDescent="0.25">
      <c r="AX112" s="271" t="s">
        <v>41</v>
      </c>
      <c r="AY112" s="271" t="s">
        <v>1435</v>
      </c>
      <c r="AZ112" s="271" t="s">
        <v>1436</v>
      </c>
      <c r="BG112" s="301" t="str">
        <f>IF($BF112="","",_xll.ciqfunctions.udf.CIQ($BF112,"iq_offer_date"))</f>
        <v/>
      </c>
      <c r="BH112" s="302" t="str">
        <f>IF($BF112="","",RANK(BG112,$BG$11:$BG$511)+COUNTIF($BG$11:BG112,BG112)-1)</f>
        <v/>
      </c>
      <c r="BM112" s="271">
        <f t="shared" si="6"/>
        <v>102</v>
      </c>
      <c r="BO112" s="304" t="str">
        <f>IF($BN112="","",_xll.ciqfunctions.udf.CIQ($BN112,"iq_security_level"))</f>
        <v/>
      </c>
      <c r="BP112" s="271" t="str">
        <f t="shared" si="7"/>
        <v/>
      </c>
      <c r="BR112" s="271" t="str">
        <f t="shared" si="5"/>
        <v/>
      </c>
      <c r="BS112" s="305" t="str">
        <f>IF($BR112="","",_xll.ciqfunctions.udf.CIQ($BR112,"iq_bond_coupon")/100)</f>
        <v/>
      </c>
    </row>
    <row r="113" spans="23:71" ht="12" customHeight="1" x14ac:dyDescent="0.25">
      <c r="AX113" s="271" t="s">
        <v>808</v>
      </c>
      <c r="AY113" s="271" t="s">
        <v>1437</v>
      </c>
      <c r="AZ113" s="271" t="s">
        <v>1438</v>
      </c>
      <c r="BG113" s="301" t="str">
        <f>IF($BF113="","",_xll.ciqfunctions.udf.CIQ($BF113,"iq_offer_date"))</f>
        <v/>
      </c>
      <c r="BH113" s="302" t="str">
        <f>IF($BF113="","",RANK(BG113,$BG$11:$BG$511)+COUNTIF($BG$11:BG113,BG113)-1)</f>
        <v/>
      </c>
      <c r="BM113" s="271">
        <f t="shared" si="6"/>
        <v>103</v>
      </c>
      <c r="BO113" s="304" t="str">
        <f>IF($BN113="","",_xll.ciqfunctions.udf.CIQ($BN113,"iq_security_level"))</f>
        <v/>
      </c>
      <c r="BP113" s="271" t="str">
        <f t="shared" si="7"/>
        <v/>
      </c>
      <c r="BR113" s="271" t="str">
        <f t="shared" si="5"/>
        <v/>
      </c>
      <c r="BS113" s="305" t="str">
        <f>IF($BR113="","",_xll.ciqfunctions.udf.CIQ($BR113,"iq_bond_coupon")/100)</f>
        <v/>
      </c>
    </row>
    <row r="114" spans="23:71" ht="15" customHeight="1" x14ac:dyDescent="0.25">
      <c r="AX114" s="271" t="s">
        <v>808</v>
      </c>
      <c r="AY114" s="271" t="s">
        <v>1439</v>
      </c>
      <c r="AZ114" s="271" t="s">
        <v>1440</v>
      </c>
      <c r="BG114" s="301" t="str">
        <f>IF($BF114="","",_xll.ciqfunctions.udf.CIQ($BF114,"iq_offer_date"))</f>
        <v/>
      </c>
      <c r="BH114" s="302" t="str">
        <f>IF($BF114="","",RANK(BG114,$BG$11:$BG$511)+COUNTIF($BG$11:BG114,BG114)-1)</f>
        <v/>
      </c>
      <c r="BM114" s="271">
        <f t="shared" si="6"/>
        <v>104</v>
      </c>
      <c r="BO114" s="304" t="str">
        <f>IF($BN114="","",_xll.ciqfunctions.udf.CIQ($BN114,"iq_security_level"))</f>
        <v/>
      </c>
      <c r="BP114" s="271" t="str">
        <f t="shared" si="7"/>
        <v/>
      </c>
      <c r="BR114" s="271" t="str">
        <f t="shared" si="5"/>
        <v/>
      </c>
      <c r="BS114" s="305" t="str">
        <f>IF($BR114="","",_xll.ciqfunctions.udf.CIQ($BR114,"iq_bond_coupon")/100)</f>
        <v/>
      </c>
    </row>
    <row r="115" spans="23:71" ht="12" customHeight="1" x14ac:dyDescent="0.25">
      <c r="AX115" s="271" t="s">
        <v>808</v>
      </c>
      <c r="AY115" s="271" t="s">
        <v>1441</v>
      </c>
      <c r="AZ115" s="271" t="s">
        <v>1442</v>
      </c>
      <c r="BG115" s="301" t="str">
        <f>IF($BF115="","",_xll.ciqfunctions.udf.CIQ($BF115,"iq_offer_date"))</f>
        <v/>
      </c>
      <c r="BH115" s="302" t="str">
        <f>IF($BF115="","",RANK(BG115,$BG$11:$BG$511)+COUNTIF($BG$11:BG115,BG115)-1)</f>
        <v/>
      </c>
      <c r="BM115" s="271">
        <f t="shared" si="6"/>
        <v>105</v>
      </c>
      <c r="BO115" s="304" t="str">
        <f>IF($BN115="","",_xll.ciqfunctions.udf.CIQ($BN115,"iq_security_level"))</f>
        <v/>
      </c>
      <c r="BP115" s="271" t="str">
        <f t="shared" si="7"/>
        <v/>
      </c>
      <c r="BR115" s="271" t="str">
        <f t="shared" si="5"/>
        <v/>
      </c>
      <c r="BS115" s="305" t="str">
        <f>IF($BR115="","",_xll.ciqfunctions.udf.CIQ($BR115,"iq_bond_coupon")/100)</f>
        <v/>
      </c>
    </row>
    <row r="116" spans="23:71" ht="12" customHeight="1" x14ac:dyDescent="0.25">
      <c r="AX116" s="271" t="s">
        <v>808</v>
      </c>
      <c r="AY116" s="271" t="s">
        <v>1443</v>
      </c>
      <c r="AZ116" s="271" t="s">
        <v>1444</v>
      </c>
      <c r="BG116" s="301" t="str">
        <f>IF($BF116="","",_xll.ciqfunctions.udf.CIQ($BF116,"iq_offer_date"))</f>
        <v/>
      </c>
      <c r="BH116" s="302" t="str">
        <f>IF($BF116="","",RANK(BG116,$BG$11:$BG$511)+COUNTIF($BG$11:BG116,BG116)-1)</f>
        <v/>
      </c>
      <c r="BM116" s="271">
        <f t="shared" si="6"/>
        <v>106</v>
      </c>
      <c r="BO116" s="304" t="str">
        <f>IF($BN116="","",_xll.ciqfunctions.udf.CIQ($BN116,"iq_security_level"))</f>
        <v/>
      </c>
      <c r="BP116" s="271" t="str">
        <f t="shared" si="7"/>
        <v/>
      </c>
      <c r="BR116" s="271" t="str">
        <f t="shared" si="5"/>
        <v/>
      </c>
      <c r="BS116" s="305" t="str">
        <f>IF($BR116="","",_xll.ciqfunctions.udf.CIQ($BR116,"iq_bond_coupon")/100)</f>
        <v/>
      </c>
    </row>
    <row r="117" spans="23:71" ht="12" customHeight="1" x14ac:dyDescent="0.25">
      <c r="AX117" s="271" t="s">
        <v>808</v>
      </c>
      <c r="AY117" s="271" t="s">
        <v>1445</v>
      </c>
      <c r="AZ117" s="271" t="s">
        <v>1446</v>
      </c>
      <c r="BG117" s="301" t="str">
        <f>IF($BF117="","",_xll.ciqfunctions.udf.CIQ($BF117,"iq_offer_date"))</f>
        <v/>
      </c>
      <c r="BH117" s="302" t="str">
        <f>IF($BF117="","",RANK(BG117,$BG$11:$BG$511)+COUNTIF($BG$11:BG117,BG117)-1)</f>
        <v/>
      </c>
      <c r="BM117" s="271">
        <f t="shared" si="6"/>
        <v>107</v>
      </c>
      <c r="BO117" s="304" t="str">
        <f>IF($BN117="","",_xll.ciqfunctions.udf.CIQ($BN117,"iq_security_level"))</f>
        <v/>
      </c>
      <c r="BP117" s="271" t="str">
        <f t="shared" si="7"/>
        <v/>
      </c>
      <c r="BR117" s="271" t="str">
        <f t="shared" si="5"/>
        <v/>
      </c>
      <c r="BS117" s="305" t="str">
        <f>IF($BR117="","",_xll.ciqfunctions.udf.CIQ($BR117,"iq_bond_coupon")/100)</f>
        <v/>
      </c>
    </row>
    <row r="118" spans="23:71" ht="12" customHeight="1" x14ac:dyDescent="0.25">
      <c r="AX118" s="271" t="s">
        <v>808</v>
      </c>
      <c r="AY118" s="271" t="s">
        <v>1447</v>
      </c>
      <c r="AZ118" s="271" t="s">
        <v>1448</v>
      </c>
      <c r="BG118" s="301" t="str">
        <f>IF($BF118="","",_xll.ciqfunctions.udf.CIQ($BF118,"iq_offer_date"))</f>
        <v/>
      </c>
      <c r="BH118" s="302" t="str">
        <f>IF($BF118="","",RANK(BG118,$BG$11:$BG$511)+COUNTIF($BG$11:BG118,BG118)-1)</f>
        <v/>
      </c>
      <c r="BM118" s="271">
        <f t="shared" si="6"/>
        <v>108</v>
      </c>
      <c r="BO118" s="304" t="str">
        <f>IF($BN118="","",_xll.ciqfunctions.udf.CIQ($BN118,"iq_security_level"))</f>
        <v/>
      </c>
      <c r="BP118" s="271" t="str">
        <f t="shared" si="7"/>
        <v/>
      </c>
      <c r="BR118" s="271" t="str">
        <f t="shared" ref="BR118:BR181" si="8">IF($BN117="","",IF(ISERROR(INDEX($BN$11:$BN$510,MATCH(BM117,$BP$11:$BP$510,0))),"",INDEX($BN$11:$BN$510,MATCH(BM117,$BP$11:$BP$510,0))))</f>
        <v/>
      </c>
      <c r="BS118" s="305" t="str">
        <f>IF($BR118="","",_xll.ciqfunctions.udf.CIQ($BR118,"iq_bond_coupon")/100)</f>
        <v/>
      </c>
    </row>
    <row r="119" spans="23:71" ht="12" customHeight="1" x14ac:dyDescent="0.25">
      <c r="AX119" s="271" t="s">
        <v>808</v>
      </c>
      <c r="AY119" s="271" t="s">
        <v>1449</v>
      </c>
      <c r="AZ119" s="271" t="s">
        <v>1450</v>
      </c>
      <c r="BG119" s="301" t="str">
        <f>IF($BF119="","",_xll.ciqfunctions.udf.CIQ($BF119,"iq_offer_date"))</f>
        <v/>
      </c>
      <c r="BH119" s="302" t="str">
        <f>IF($BF119="","",RANK(BG119,$BG$11:$BG$511)+COUNTIF($BG$11:BG119,BG119)-1)</f>
        <v/>
      </c>
      <c r="BM119" s="271">
        <f t="shared" si="6"/>
        <v>109</v>
      </c>
      <c r="BO119" s="304" t="str">
        <f>IF($BN119="","",_xll.ciqfunctions.udf.CIQ($BN119,"iq_security_level"))</f>
        <v/>
      </c>
      <c r="BP119" s="271" t="str">
        <f t="shared" si="7"/>
        <v/>
      </c>
      <c r="BR119" s="271" t="str">
        <f t="shared" si="8"/>
        <v/>
      </c>
      <c r="BS119" s="305" t="str">
        <f>IF($BR119="","",_xll.ciqfunctions.udf.CIQ($BR119,"iq_bond_coupon")/100)</f>
        <v/>
      </c>
    </row>
    <row r="120" spans="23:71" ht="12" customHeight="1" x14ac:dyDescent="0.25">
      <c r="AX120" s="271" t="s">
        <v>808</v>
      </c>
      <c r="AY120" s="271" t="s">
        <v>1451</v>
      </c>
      <c r="AZ120" s="271" t="s">
        <v>1452</v>
      </c>
      <c r="BG120" s="301" t="str">
        <f>IF($BF120="","",_xll.ciqfunctions.udf.CIQ($BF120,"iq_offer_date"))</f>
        <v/>
      </c>
      <c r="BH120" s="302" t="str">
        <f>IF($BF120="","",RANK(BG120,$BG$11:$BG$511)+COUNTIF($BG$11:BG120,BG120)-1)</f>
        <v/>
      </c>
      <c r="BM120" s="271">
        <f t="shared" si="6"/>
        <v>110</v>
      </c>
      <c r="BO120" s="304" t="str">
        <f>IF($BN120="","",_xll.ciqfunctions.udf.CIQ($BN120,"iq_security_level"))</f>
        <v/>
      </c>
      <c r="BP120" s="271" t="str">
        <f t="shared" si="7"/>
        <v/>
      </c>
      <c r="BR120" s="271" t="str">
        <f t="shared" si="8"/>
        <v/>
      </c>
      <c r="BS120" s="305" t="str">
        <f>IF($BR120="","",_xll.ciqfunctions.udf.CIQ($BR120,"iq_bond_coupon")/100)</f>
        <v/>
      </c>
    </row>
    <row r="121" spans="23:71" ht="12" customHeight="1" x14ac:dyDescent="0.25">
      <c r="AX121" s="271" t="s">
        <v>808</v>
      </c>
      <c r="AY121" s="271" t="s">
        <v>1453</v>
      </c>
      <c r="AZ121" s="271" t="s">
        <v>1136</v>
      </c>
      <c r="BG121" s="301" t="str">
        <f>IF($BF121="","",_xll.ciqfunctions.udf.CIQ($BF121,"iq_offer_date"))</f>
        <v/>
      </c>
      <c r="BH121" s="302" t="str">
        <f>IF($BF121="","",RANK(BG121,$BG$11:$BG$511)+COUNTIF($BG$11:BG121,BG121)-1)</f>
        <v/>
      </c>
      <c r="BM121" s="271">
        <f t="shared" si="6"/>
        <v>111</v>
      </c>
      <c r="BO121" s="304" t="str">
        <f>IF($BN121="","",_xll.ciqfunctions.udf.CIQ($BN121,"iq_security_level"))</f>
        <v/>
      </c>
      <c r="BP121" s="271" t="str">
        <f t="shared" si="7"/>
        <v/>
      </c>
      <c r="BR121" s="271" t="str">
        <f t="shared" si="8"/>
        <v/>
      </c>
      <c r="BS121" s="305" t="str">
        <f>IF($BR121="","",_xll.ciqfunctions.udf.CIQ($BR121,"iq_bond_coupon")/100)</f>
        <v/>
      </c>
    </row>
    <row r="122" spans="23:71" ht="12" customHeight="1" x14ac:dyDescent="0.25">
      <c r="W122" s="379"/>
      <c r="Y122" s="379"/>
      <c r="AX122" s="271" t="s">
        <v>808</v>
      </c>
      <c r="AY122" s="271" t="s">
        <v>1454</v>
      </c>
      <c r="AZ122" s="271" t="s">
        <v>1455</v>
      </c>
      <c r="BG122" s="301" t="str">
        <f>IF($BF122="","",_xll.ciqfunctions.udf.CIQ($BF122,"iq_offer_date"))</f>
        <v/>
      </c>
      <c r="BH122" s="302" t="str">
        <f>IF($BF122="","",RANK(BG122,$BG$11:$BG$511)+COUNTIF($BG$11:BG122,BG122)-1)</f>
        <v/>
      </c>
      <c r="BM122" s="271">
        <f t="shared" si="6"/>
        <v>112</v>
      </c>
      <c r="BO122" s="304" t="str">
        <f>IF($BN122="","",_xll.ciqfunctions.udf.CIQ($BN122,"iq_security_level"))</f>
        <v/>
      </c>
      <c r="BP122" s="271" t="str">
        <f t="shared" si="7"/>
        <v/>
      </c>
      <c r="BR122" s="271" t="str">
        <f t="shared" si="8"/>
        <v/>
      </c>
      <c r="BS122" s="305" t="str">
        <f>IF($BR122="","",_xll.ciqfunctions.udf.CIQ($BR122,"iq_bond_coupon")/100)</f>
        <v/>
      </c>
    </row>
    <row r="123" spans="23:71" ht="12" customHeight="1" x14ac:dyDescent="0.25">
      <c r="W123" s="379"/>
      <c r="Y123" s="379"/>
      <c r="AX123" s="271" t="s">
        <v>808</v>
      </c>
      <c r="AY123" s="271" t="s">
        <v>1456</v>
      </c>
      <c r="AZ123" s="271" t="s">
        <v>1457</v>
      </c>
      <c r="BG123" s="301" t="str">
        <f>IF($BF123="","",_xll.ciqfunctions.udf.CIQ($BF123,"iq_offer_date"))</f>
        <v/>
      </c>
      <c r="BH123" s="302" t="str">
        <f>IF($BF123="","",RANK(BG123,$BG$11:$BG$511)+COUNTIF($BG$11:BG123,BG123)-1)</f>
        <v/>
      </c>
      <c r="BM123" s="271">
        <f t="shared" si="6"/>
        <v>113</v>
      </c>
      <c r="BO123" s="304" t="str">
        <f>IF($BN123="","",_xll.ciqfunctions.udf.CIQ($BN123,"iq_security_level"))</f>
        <v/>
      </c>
      <c r="BP123" s="271" t="str">
        <f t="shared" si="7"/>
        <v/>
      </c>
      <c r="BR123" s="271" t="str">
        <f t="shared" si="8"/>
        <v/>
      </c>
      <c r="BS123" s="305" t="str">
        <f>IF($BR123="","",_xll.ciqfunctions.udf.CIQ($BR123,"iq_bond_coupon")/100)</f>
        <v/>
      </c>
    </row>
    <row r="124" spans="23:71" ht="12" customHeight="1" x14ac:dyDescent="0.25">
      <c r="W124" s="379"/>
      <c r="Y124" s="379"/>
      <c r="BM124" s="271">
        <f t="shared" si="6"/>
        <v>114</v>
      </c>
      <c r="BO124" s="304" t="str">
        <f>IF($BN124="","",_xll.ciqfunctions.udf.CIQ($BN124,"iq_security_level"))</f>
        <v/>
      </c>
      <c r="BP124" s="271" t="str">
        <f t="shared" si="7"/>
        <v/>
      </c>
      <c r="BR124" s="271" t="str">
        <f t="shared" si="8"/>
        <v/>
      </c>
      <c r="BS124" s="305" t="str">
        <f>IF($BR124="","",_xll.ciqfunctions.udf.CIQ($BR124,"iq_bond_coupon")/100)</f>
        <v/>
      </c>
    </row>
    <row r="125" spans="23:71" ht="12" customHeight="1" x14ac:dyDescent="0.25">
      <c r="W125" s="379"/>
      <c r="Y125" s="379"/>
      <c r="BG125" s="301" t="str">
        <f>IF($BF125="","",_xll.ciqfunctions.udf.CIQ($BF125,"iq_offer_date"))</f>
        <v/>
      </c>
      <c r="BH125" s="302" t="str">
        <f>IF($BF125="","",RANK(BG125,$BG$11:$BG$511)+COUNTIF($BG$11:BG125,BG125)-1)</f>
        <v/>
      </c>
      <c r="BM125" s="271">
        <f t="shared" si="6"/>
        <v>115</v>
      </c>
      <c r="BO125" s="304" t="str">
        <f>IF($BN125="","",_xll.ciqfunctions.udf.CIQ($BN125,"iq_security_level"))</f>
        <v/>
      </c>
      <c r="BP125" s="271" t="str">
        <f t="shared" si="7"/>
        <v/>
      </c>
      <c r="BR125" s="271" t="str">
        <f t="shared" si="8"/>
        <v/>
      </c>
      <c r="BS125" s="305" t="str">
        <f>IF($BR125="","",_xll.ciqfunctions.udf.CIQ($BR125,"iq_bond_coupon")/100)</f>
        <v/>
      </c>
    </row>
    <row r="126" spans="23:71" ht="12" customHeight="1" x14ac:dyDescent="0.25">
      <c r="W126" s="379"/>
      <c r="Y126" s="379"/>
      <c r="BG126" s="301" t="str">
        <f>IF($BF126="","",_xll.ciqfunctions.udf.CIQ($BF126,"iq_offer_date"))</f>
        <v/>
      </c>
      <c r="BH126" s="302" t="str">
        <f>IF($BF126="","",RANK(BG126,$BG$11:$BG$511)+COUNTIF($BG$11:BG126,BG126)-1)</f>
        <v/>
      </c>
      <c r="BM126" s="271">
        <f t="shared" si="6"/>
        <v>116</v>
      </c>
      <c r="BO126" s="304" t="str">
        <f>IF($BN126="","",_xll.ciqfunctions.udf.CIQ($BN126,"iq_security_level"))</f>
        <v/>
      </c>
      <c r="BP126" s="271" t="str">
        <f t="shared" si="7"/>
        <v/>
      </c>
      <c r="BR126" s="271" t="str">
        <f t="shared" si="8"/>
        <v/>
      </c>
      <c r="BS126" s="305" t="str">
        <f>IF($BR126="","",_xll.ciqfunctions.udf.CIQ($BR126,"iq_bond_coupon")/100)</f>
        <v/>
      </c>
    </row>
    <row r="127" spans="23:71" ht="12" customHeight="1" x14ac:dyDescent="0.25">
      <c r="BG127" s="301" t="str">
        <f>IF($BF127="","",_xll.ciqfunctions.udf.CIQ($BF127,"iq_offer_date"))</f>
        <v/>
      </c>
      <c r="BH127" s="302" t="str">
        <f>IF($BF127="","",RANK(BG127,$BG$11:$BG$511)+COUNTIF($BG$11:BG127,BG127)-1)</f>
        <v/>
      </c>
      <c r="BM127" s="271">
        <f t="shared" si="6"/>
        <v>117</v>
      </c>
      <c r="BO127" s="304" t="str">
        <f>IF($BN127="","",_xll.ciqfunctions.udf.CIQ($BN127,"iq_security_level"))</f>
        <v/>
      </c>
      <c r="BP127" s="271" t="str">
        <f t="shared" si="7"/>
        <v/>
      </c>
      <c r="BR127" s="271" t="str">
        <f t="shared" si="8"/>
        <v/>
      </c>
      <c r="BS127" s="305" t="str">
        <f>IF($BR127="","",_xll.ciqfunctions.udf.CIQ($BR127,"iq_bond_coupon")/100)</f>
        <v/>
      </c>
    </row>
    <row r="128" spans="23:71" ht="12" customHeight="1" x14ac:dyDescent="0.25">
      <c r="BG128" s="301" t="str">
        <f>IF($BF128="","",_xll.ciqfunctions.udf.CIQ($BF128,"iq_offer_date"))</f>
        <v/>
      </c>
      <c r="BH128" s="302" t="str">
        <f>IF($BF128="","",RANK(BG128,$BG$11:$BG$511)+COUNTIF($BG$11:BG128,BG128)-1)</f>
        <v/>
      </c>
      <c r="BM128" s="271">
        <f t="shared" si="6"/>
        <v>118</v>
      </c>
      <c r="BO128" s="304" t="str">
        <f>IF($BN128="","",_xll.ciqfunctions.udf.CIQ($BN128,"iq_security_level"))</f>
        <v/>
      </c>
      <c r="BP128" s="271" t="str">
        <f t="shared" si="7"/>
        <v/>
      </c>
      <c r="BR128" s="271" t="str">
        <f t="shared" si="8"/>
        <v/>
      </c>
      <c r="BS128" s="305" t="str">
        <f>IF($BR128="","",_xll.ciqfunctions.udf.CIQ($BR128,"iq_bond_coupon")/100)</f>
        <v/>
      </c>
    </row>
    <row r="129" spans="59:71" ht="12" customHeight="1" x14ac:dyDescent="0.25">
      <c r="BG129" s="301" t="str">
        <f>IF($BF129="","",_xll.ciqfunctions.udf.CIQ($BF129,"iq_offer_date"))</f>
        <v/>
      </c>
      <c r="BH129" s="302" t="str">
        <f>IF($BF129="","",RANK(BG129,$BG$11:$BG$511)+COUNTIF($BG$11:BG129,BG129)-1)</f>
        <v/>
      </c>
      <c r="BM129" s="271">
        <f t="shared" si="6"/>
        <v>119</v>
      </c>
      <c r="BO129" s="304" t="str">
        <f>IF($BN129="","",_xll.ciqfunctions.udf.CIQ($BN129,"iq_security_level"))</f>
        <v/>
      </c>
      <c r="BP129" s="271" t="str">
        <f t="shared" si="7"/>
        <v/>
      </c>
      <c r="BR129" s="271" t="str">
        <f t="shared" si="8"/>
        <v/>
      </c>
      <c r="BS129" s="305" t="str">
        <f>IF($BR129="","",_xll.ciqfunctions.udf.CIQ($BR129,"iq_bond_coupon")/100)</f>
        <v/>
      </c>
    </row>
    <row r="130" spans="59:71" ht="12" customHeight="1" x14ac:dyDescent="0.25">
      <c r="BG130" s="301" t="str">
        <f>IF($BF130="","",_xll.ciqfunctions.udf.CIQ($BF130,"iq_offer_date"))</f>
        <v/>
      </c>
      <c r="BH130" s="302" t="str">
        <f>IF($BF130="","",RANK(BG130,$BG$11:$BG$511)+COUNTIF($BG$11:BG130,BG130)-1)</f>
        <v/>
      </c>
      <c r="BM130" s="271">
        <f t="shared" si="6"/>
        <v>120</v>
      </c>
      <c r="BO130" s="304" t="str">
        <f>IF($BN130="","",_xll.ciqfunctions.udf.CIQ($BN130,"iq_security_level"))</f>
        <v/>
      </c>
      <c r="BP130" s="271" t="str">
        <f t="shared" si="7"/>
        <v/>
      </c>
      <c r="BR130" s="271" t="str">
        <f t="shared" si="8"/>
        <v/>
      </c>
      <c r="BS130" s="305" t="str">
        <f>IF($BR130="","",_xll.ciqfunctions.udf.CIQ($BR130,"iq_bond_coupon")/100)</f>
        <v/>
      </c>
    </row>
    <row r="131" spans="59:71" ht="12" customHeight="1" x14ac:dyDescent="0.25">
      <c r="BG131" s="301" t="str">
        <f>IF($BF131="","",_xll.ciqfunctions.udf.CIQ($BF131,"iq_offer_date"))</f>
        <v/>
      </c>
      <c r="BH131" s="302" t="str">
        <f>IF($BF131="","",RANK(BG131,$BG$11:$BG$511)+COUNTIF($BG$11:BG131,BG131)-1)</f>
        <v/>
      </c>
      <c r="BM131" s="271">
        <f t="shared" si="6"/>
        <v>121</v>
      </c>
      <c r="BO131" s="304" t="str">
        <f>IF($BN131="","",_xll.ciqfunctions.udf.CIQ($BN131,"iq_security_level"))</f>
        <v/>
      </c>
      <c r="BP131" s="271" t="str">
        <f t="shared" si="7"/>
        <v/>
      </c>
      <c r="BR131" s="271" t="str">
        <f t="shared" si="8"/>
        <v/>
      </c>
      <c r="BS131" s="305" t="str">
        <f>IF($BR131="","",_xll.ciqfunctions.udf.CIQ($BR131,"iq_bond_coupon")/100)</f>
        <v/>
      </c>
    </row>
    <row r="132" spans="59:71" ht="12" customHeight="1" x14ac:dyDescent="0.25">
      <c r="BG132" s="301" t="str">
        <f>IF($BF132="","",_xll.ciqfunctions.udf.CIQ($BF132,"iq_offer_date"))</f>
        <v/>
      </c>
      <c r="BH132" s="302" t="str">
        <f>IF($BF132="","",RANK(BG132,$BG$11:$BG$511)+COUNTIF($BG$11:BG132,BG132)-1)</f>
        <v/>
      </c>
      <c r="BM132" s="271">
        <f t="shared" si="6"/>
        <v>122</v>
      </c>
      <c r="BO132" s="304" t="str">
        <f>IF($BN132="","",_xll.ciqfunctions.udf.CIQ($BN132,"iq_security_level"))</f>
        <v/>
      </c>
      <c r="BP132" s="271" t="str">
        <f t="shared" si="7"/>
        <v/>
      </c>
      <c r="BR132" s="271" t="str">
        <f t="shared" si="8"/>
        <v/>
      </c>
      <c r="BS132" s="305" t="str">
        <f>IF($BR132="","",_xll.ciqfunctions.udf.CIQ($BR132,"iq_bond_coupon")/100)</f>
        <v/>
      </c>
    </row>
    <row r="133" spans="59:71" ht="12" customHeight="1" x14ac:dyDescent="0.25">
      <c r="BG133" s="301" t="str">
        <f>IF($BF133="","",_xll.ciqfunctions.udf.CIQ($BF133,"iq_offer_date"))</f>
        <v/>
      </c>
      <c r="BH133" s="302" t="str">
        <f>IF($BF133="","",RANK(BG133,$BG$11:$BG$511)+COUNTIF($BG$11:BG133,BG133)-1)</f>
        <v/>
      </c>
      <c r="BM133" s="271">
        <f t="shared" si="6"/>
        <v>123</v>
      </c>
      <c r="BO133" s="304" t="str">
        <f>IF($BN133="","",_xll.ciqfunctions.udf.CIQ($BN133,"iq_security_level"))</f>
        <v/>
      </c>
      <c r="BP133" s="271" t="str">
        <f t="shared" si="7"/>
        <v/>
      </c>
      <c r="BR133" s="271" t="str">
        <f t="shared" si="8"/>
        <v/>
      </c>
      <c r="BS133" s="305" t="str">
        <f>IF($BR133="","",_xll.ciqfunctions.udf.CIQ($BR133,"iq_bond_coupon")/100)</f>
        <v/>
      </c>
    </row>
    <row r="134" spans="59:71" ht="12" customHeight="1" x14ac:dyDescent="0.25">
      <c r="BG134" s="301" t="str">
        <f>IF($BF134="","",_xll.ciqfunctions.udf.CIQ($BF134,"iq_offer_date"))</f>
        <v/>
      </c>
      <c r="BH134" s="302" t="str">
        <f>IF($BF134="","",RANK(BG134,$BG$11:$BG$511)+COUNTIF($BG$11:BG134,BG134)-1)</f>
        <v/>
      </c>
      <c r="BM134" s="271">
        <f t="shared" si="6"/>
        <v>124</v>
      </c>
      <c r="BO134" s="304" t="str">
        <f>IF($BN134="","",_xll.ciqfunctions.udf.CIQ($BN134,"iq_security_level"))</f>
        <v/>
      </c>
      <c r="BP134" s="271" t="str">
        <f t="shared" si="7"/>
        <v/>
      </c>
      <c r="BR134" s="271" t="str">
        <f t="shared" si="8"/>
        <v/>
      </c>
      <c r="BS134" s="305" t="str">
        <f>IF($BR134="","",_xll.ciqfunctions.udf.CIQ($BR134,"iq_bond_coupon")/100)</f>
        <v/>
      </c>
    </row>
    <row r="135" spans="59:71" ht="12" customHeight="1" x14ac:dyDescent="0.25">
      <c r="BG135" s="301" t="str">
        <f>IF($BF135="","",_xll.ciqfunctions.udf.CIQ($BF135,"iq_offer_date"))</f>
        <v/>
      </c>
      <c r="BH135" s="302" t="str">
        <f>IF($BF135="","",RANK(BG135,$BG$11:$BG$511)+COUNTIF($BG$11:BG135,BG135)-1)</f>
        <v/>
      </c>
      <c r="BM135" s="271">
        <f t="shared" si="6"/>
        <v>125</v>
      </c>
      <c r="BO135" s="304" t="str">
        <f>IF($BN135="","",_xll.ciqfunctions.udf.CIQ($BN135,"iq_security_level"))</f>
        <v/>
      </c>
      <c r="BP135" s="271" t="str">
        <f t="shared" si="7"/>
        <v/>
      </c>
      <c r="BR135" s="271" t="str">
        <f t="shared" si="8"/>
        <v/>
      </c>
      <c r="BS135" s="305" t="str">
        <f>IF($BR135="","",_xll.ciqfunctions.udf.CIQ($BR135,"iq_bond_coupon")/100)</f>
        <v/>
      </c>
    </row>
    <row r="136" spans="59:71" ht="12" customHeight="1" x14ac:dyDescent="0.25">
      <c r="BG136" s="301" t="str">
        <f>IF($BF136="","",_xll.ciqfunctions.udf.CIQ($BF136,"iq_offer_date"))</f>
        <v/>
      </c>
      <c r="BH136" s="302" t="str">
        <f>IF($BF136="","",RANK(BG136,$BG$11:$BG$511)+COUNTIF($BG$11:BG136,BG136)-1)</f>
        <v/>
      </c>
      <c r="BM136" s="271">
        <f t="shared" si="6"/>
        <v>126</v>
      </c>
      <c r="BO136" s="304" t="str">
        <f>IF($BN136="","",_xll.ciqfunctions.udf.CIQ($BN136,"iq_security_level"))</f>
        <v/>
      </c>
      <c r="BP136" s="271" t="str">
        <f t="shared" si="7"/>
        <v/>
      </c>
      <c r="BR136" s="271" t="str">
        <f t="shared" si="8"/>
        <v/>
      </c>
      <c r="BS136" s="305" t="str">
        <f>IF($BR136="","",_xll.ciqfunctions.udf.CIQ($BR136,"iq_bond_coupon")/100)</f>
        <v/>
      </c>
    </row>
    <row r="137" spans="59:71" ht="12" customHeight="1" x14ac:dyDescent="0.25">
      <c r="BG137" s="301" t="str">
        <f>IF($BF137="","",_xll.ciqfunctions.udf.CIQ($BF137,"iq_offer_date"))</f>
        <v/>
      </c>
      <c r="BH137" s="302" t="str">
        <f>IF($BF137="","",RANK(BG137,$BG$11:$BG$511)+COUNTIF($BG$11:BG137,BG137)-1)</f>
        <v/>
      </c>
      <c r="BM137" s="271">
        <f t="shared" si="6"/>
        <v>127</v>
      </c>
      <c r="BO137" s="304" t="str">
        <f>IF($BN137="","",_xll.ciqfunctions.udf.CIQ($BN137,"iq_security_level"))</f>
        <v/>
      </c>
      <c r="BP137" s="271" t="str">
        <f t="shared" si="7"/>
        <v/>
      </c>
      <c r="BR137" s="271" t="str">
        <f t="shared" si="8"/>
        <v/>
      </c>
      <c r="BS137" s="305" t="str">
        <f>IF($BR137="","",_xll.ciqfunctions.udf.CIQ($BR137,"iq_bond_coupon")/100)</f>
        <v/>
      </c>
    </row>
    <row r="138" spans="59:71" ht="12" customHeight="1" x14ac:dyDescent="0.25">
      <c r="BG138" s="301" t="str">
        <f>IF($BF138="","",_xll.ciqfunctions.udf.CIQ($BF138,"iq_offer_date"))</f>
        <v/>
      </c>
      <c r="BH138" s="302" t="str">
        <f>IF($BF138="","",RANK(BG138,$BG$11:$BG$511)+COUNTIF($BG$11:BG138,BG138)-1)</f>
        <v/>
      </c>
      <c r="BM138" s="271">
        <f t="shared" si="6"/>
        <v>128</v>
      </c>
      <c r="BO138" s="304" t="str">
        <f>IF($BN138="","",_xll.ciqfunctions.udf.CIQ($BN138,"iq_security_level"))</f>
        <v/>
      </c>
      <c r="BP138" s="271" t="str">
        <f t="shared" si="7"/>
        <v/>
      </c>
      <c r="BR138" s="271" t="str">
        <f t="shared" si="8"/>
        <v/>
      </c>
      <c r="BS138" s="305" t="str">
        <f>IF($BR138="","",_xll.ciqfunctions.udf.CIQ($BR138,"iq_bond_coupon")/100)</f>
        <v/>
      </c>
    </row>
    <row r="139" spans="59:71" ht="12" customHeight="1" x14ac:dyDescent="0.25">
      <c r="BG139" s="301" t="str">
        <f>IF($BF139="","",_xll.ciqfunctions.udf.CIQ($BF139,"iq_offer_date"))</f>
        <v/>
      </c>
      <c r="BH139" s="302" t="str">
        <f>IF($BF139="","",RANK(BG139,$BG$11:$BG$511)+COUNTIF($BG$11:BG139,BG139)-1)</f>
        <v/>
      </c>
      <c r="BM139" s="271">
        <f t="shared" si="6"/>
        <v>129</v>
      </c>
      <c r="BO139" s="304" t="str">
        <f>IF($BN139="","",_xll.ciqfunctions.udf.CIQ($BN139,"iq_security_level"))</f>
        <v/>
      </c>
      <c r="BP139" s="271" t="str">
        <f t="shared" si="7"/>
        <v/>
      </c>
      <c r="BR139" s="271" t="str">
        <f t="shared" si="8"/>
        <v/>
      </c>
      <c r="BS139" s="305" t="str">
        <f>IF($BR139="","",_xll.ciqfunctions.udf.CIQ($BR139,"iq_bond_coupon")/100)</f>
        <v/>
      </c>
    </row>
    <row r="140" spans="59:71" ht="12" customHeight="1" x14ac:dyDescent="0.25">
      <c r="BG140" s="301" t="str">
        <f>IF($BF140="","",_xll.ciqfunctions.udf.CIQ($BF140,"iq_offer_date"))</f>
        <v/>
      </c>
      <c r="BH140" s="302" t="str">
        <f>IF($BF140="","",RANK(BG140,$BG$11:$BG$511)+COUNTIF($BG$11:BG140,BG140)-1)</f>
        <v/>
      </c>
      <c r="BM140" s="271">
        <f t="shared" si="6"/>
        <v>130</v>
      </c>
      <c r="BO140" s="304" t="str">
        <f>IF($BN140="","",_xll.ciqfunctions.udf.CIQ($BN140,"iq_security_level"))</f>
        <v/>
      </c>
      <c r="BP140" s="271" t="str">
        <f t="shared" si="7"/>
        <v/>
      </c>
      <c r="BR140" s="271" t="str">
        <f t="shared" si="8"/>
        <v/>
      </c>
      <c r="BS140" s="305" t="str">
        <f>IF($BR140="","",_xll.ciqfunctions.udf.CIQ($BR140,"iq_bond_coupon")/100)</f>
        <v/>
      </c>
    </row>
    <row r="141" spans="59:71" ht="12" customHeight="1" x14ac:dyDescent="0.25">
      <c r="BG141" s="301" t="str">
        <f>IF($BF141="","",_xll.ciqfunctions.udf.CIQ($BF141,"iq_offer_date"))</f>
        <v/>
      </c>
      <c r="BH141" s="302" t="str">
        <f>IF($BF141="","",RANK(BG141,$BG$11:$BG$511)+COUNTIF($BG$11:BG141,BG141)-1)</f>
        <v/>
      </c>
      <c r="BM141" s="271">
        <f t="shared" ref="BM141:BM204" si="9">BM140+1</f>
        <v>131</v>
      </c>
      <c r="BO141" s="304" t="str">
        <f>IF($BN141="","",_xll.ciqfunctions.udf.CIQ($BN141,"iq_security_level"))</f>
        <v/>
      </c>
      <c r="BP141" s="271" t="str">
        <f t="shared" ref="BP141:BP204" si="10">IF(BN141="","",IF(BO141="Preferred",BP140+1,BP140))</f>
        <v/>
      </c>
      <c r="BR141" s="271" t="str">
        <f t="shared" si="8"/>
        <v/>
      </c>
      <c r="BS141" s="305" t="str">
        <f>IF($BR141="","",_xll.ciqfunctions.udf.CIQ($BR141,"iq_bond_coupon")/100)</f>
        <v/>
      </c>
    </row>
    <row r="142" spans="59:71" ht="12" customHeight="1" x14ac:dyDescent="0.25">
      <c r="BG142" s="301" t="str">
        <f>IF($BF142="","",_xll.ciqfunctions.udf.CIQ($BF142,"iq_offer_date"))</f>
        <v/>
      </c>
      <c r="BH142" s="302" t="str">
        <f>IF($BF142="","",RANK(BG142,$BG$11:$BG$511)+COUNTIF($BG$11:BG142,BG142)-1)</f>
        <v/>
      </c>
      <c r="BM142" s="271">
        <f t="shared" si="9"/>
        <v>132</v>
      </c>
      <c r="BO142" s="304" t="str">
        <f>IF($BN142="","",_xll.ciqfunctions.udf.CIQ($BN142,"iq_security_level"))</f>
        <v/>
      </c>
      <c r="BP142" s="271" t="str">
        <f t="shared" si="10"/>
        <v/>
      </c>
      <c r="BR142" s="271" t="str">
        <f t="shared" si="8"/>
        <v/>
      </c>
      <c r="BS142" s="305" t="str">
        <f>IF($BR142="","",_xll.ciqfunctions.udf.CIQ($BR142,"iq_bond_coupon")/100)</f>
        <v/>
      </c>
    </row>
    <row r="143" spans="59:71" ht="12" customHeight="1" x14ac:dyDescent="0.25">
      <c r="BG143" s="301" t="str">
        <f>IF($BF143="","",_xll.ciqfunctions.udf.CIQ($BF143,"iq_offer_date"))</f>
        <v/>
      </c>
      <c r="BH143" s="302" t="str">
        <f>IF($BF143="","",RANK(BG143,$BG$11:$BG$511)+COUNTIF($BG$11:BG143,BG143)-1)</f>
        <v/>
      </c>
      <c r="BM143" s="271">
        <f t="shared" si="9"/>
        <v>133</v>
      </c>
      <c r="BO143" s="304" t="str">
        <f>IF($BN143="","",_xll.ciqfunctions.udf.CIQ($BN143,"iq_security_level"))</f>
        <v/>
      </c>
      <c r="BP143" s="271" t="str">
        <f t="shared" si="10"/>
        <v/>
      </c>
      <c r="BR143" s="271" t="str">
        <f t="shared" si="8"/>
        <v/>
      </c>
      <c r="BS143" s="305" t="str">
        <f>IF($BR143="","",_xll.ciqfunctions.udf.CIQ($BR143,"iq_bond_coupon")/100)</f>
        <v/>
      </c>
    </row>
    <row r="144" spans="59:71" ht="12" customHeight="1" x14ac:dyDescent="0.25">
      <c r="BG144" s="301" t="str">
        <f>IF($BF144="","",_xll.ciqfunctions.udf.CIQ($BF144,"iq_offer_date"))</f>
        <v/>
      </c>
      <c r="BH144" s="302" t="str">
        <f>IF($BF144="","",RANK(BG144,$BG$11:$BG$511)+COUNTIF($BG$11:BG144,BG144)-1)</f>
        <v/>
      </c>
      <c r="BM144" s="271">
        <f t="shared" si="9"/>
        <v>134</v>
      </c>
      <c r="BO144" s="304" t="str">
        <f>IF($BN144="","",_xll.ciqfunctions.udf.CIQ($BN144,"iq_security_level"))</f>
        <v/>
      </c>
      <c r="BP144" s="271" t="str">
        <f t="shared" si="10"/>
        <v/>
      </c>
      <c r="BR144" s="271" t="str">
        <f t="shared" si="8"/>
        <v/>
      </c>
      <c r="BS144" s="305" t="str">
        <f>IF($BR144="","",_xll.ciqfunctions.udf.CIQ($BR144,"iq_bond_coupon")/100)</f>
        <v/>
      </c>
    </row>
    <row r="145" spans="59:71" ht="12" customHeight="1" x14ac:dyDescent="0.25">
      <c r="BG145" s="301" t="str">
        <f>IF($BF145="","",_xll.ciqfunctions.udf.CIQ($BF145,"iq_offer_date"))</f>
        <v/>
      </c>
      <c r="BH145" s="302" t="str">
        <f>IF($BF145="","",RANK(BG145,$BG$11:$BG$511)+COUNTIF($BG$11:BG145,BG145)-1)</f>
        <v/>
      </c>
      <c r="BM145" s="271">
        <f t="shared" si="9"/>
        <v>135</v>
      </c>
      <c r="BO145" s="304" t="str">
        <f>IF($BN145="","",_xll.ciqfunctions.udf.CIQ($BN145,"iq_security_level"))</f>
        <v/>
      </c>
      <c r="BP145" s="271" t="str">
        <f t="shared" si="10"/>
        <v/>
      </c>
      <c r="BR145" s="271" t="str">
        <f t="shared" si="8"/>
        <v/>
      </c>
      <c r="BS145" s="305" t="str">
        <f>IF($BR145="","",_xll.ciqfunctions.udf.CIQ($BR145,"iq_bond_coupon")/100)</f>
        <v/>
      </c>
    </row>
    <row r="146" spans="59:71" ht="12" customHeight="1" x14ac:dyDescent="0.25">
      <c r="BG146" s="301" t="str">
        <f>IF($BF146="","",_xll.ciqfunctions.udf.CIQ($BF146,"iq_offer_date"))</f>
        <v/>
      </c>
      <c r="BH146" s="302" t="str">
        <f>IF($BF146="","",RANK(BG146,$BG$11:$BG$511)+COUNTIF($BG$11:BG146,BG146)-1)</f>
        <v/>
      </c>
      <c r="BM146" s="271">
        <f t="shared" si="9"/>
        <v>136</v>
      </c>
      <c r="BO146" s="304" t="str">
        <f>IF($BN146="","",_xll.ciqfunctions.udf.CIQ($BN146,"iq_security_level"))</f>
        <v/>
      </c>
      <c r="BP146" s="271" t="str">
        <f t="shared" si="10"/>
        <v/>
      </c>
      <c r="BR146" s="271" t="str">
        <f t="shared" si="8"/>
        <v/>
      </c>
      <c r="BS146" s="305" t="str">
        <f>IF($BR146="","",_xll.ciqfunctions.udf.CIQ($BR146,"iq_bond_coupon")/100)</f>
        <v/>
      </c>
    </row>
    <row r="147" spans="59:71" ht="12" customHeight="1" x14ac:dyDescent="0.25">
      <c r="BG147" s="301" t="str">
        <f>IF($BF147="","",_xll.ciqfunctions.udf.CIQ($BF147,"iq_offer_date"))</f>
        <v/>
      </c>
      <c r="BH147" s="302" t="str">
        <f>IF($BF147="","",RANK(BG147,$BG$11:$BG$511)+COUNTIF($BG$11:BG147,BG147)-1)</f>
        <v/>
      </c>
      <c r="BM147" s="271">
        <f t="shared" si="9"/>
        <v>137</v>
      </c>
      <c r="BO147" s="304" t="str">
        <f>IF($BN147="","",_xll.ciqfunctions.udf.CIQ($BN147,"iq_security_level"))</f>
        <v/>
      </c>
      <c r="BP147" s="271" t="str">
        <f t="shared" si="10"/>
        <v/>
      </c>
      <c r="BR147" s="271" t="str">
        <f t="shared" si="8"/>
        <v/>
      </c>
      <c r="BS147" s="305" t="str">
        <f>IF($BR147="","",_xll.ciqfunctions.udf.CIQ($BR147,"iq_bond_coupon")/100)</f>
        <v/>
      </c>
    </row>
    <row r="148" spans="59:71" ht="12" customHeight="1" x14ac:dyDescent="0.25">
      <c r="BG148" s="301" t="str">
        <f>IF($BF148="","",_xll.ciqfunctions.udf.CIQ($BF148,"iq_offer_date"))</f>
        <v/>
      </c>
      <c r="BH148" s="302" t="str">
        <f>IF($BF148="","",RANK(BG148,$BG$11:$BG$511)+COUNTIF($BG$11:BG148,BG148)-1)</f>
        <v/>
      </c>
      <c r="BM148" s="271">
        <f t="shared" si="9"/>
        <v>138</v>
      </c>
      <c r="BO148" s="304" t="str">
        <f>IF($BN148="","",_xll.ciqfunctions.udf.CIQ($BN148,"iq_security_level"))</f>
        <v/>
      </c>
      <c r="BP148" s="271" t="str">
        <f t="shared" si="10"/>
        <v/>
      </c>
      <c r="BR148" s="271" t="str">
        <f t="shared" si="8"/>
        <v/>
      </c>
      <c r="BS148" s="305" t="str">
        <f>IF($BR148="","",_xll.ciqfunctions.udf.CIQ($BR148,"iq_bond_coupon")/100)</f>
        <v/>
      </c>
    </row>
    <row r="149" spans="59:71" ht="12" customHeight="1" x14ac:dyDescent="0.25">
      <c r="BG149" s="301" t="str">
        <f>IF($BF149="","",_xll.ciqfunctions.udf.CIQ($BF149,"iq_offer_date"))</f>
        <v/>
      </c>
      <c r="BH149" s="302" t="str">
        <f>IF($BF149="","",RANK(BG149,$BG$11:$BG$511)+COUNTIF($BG$11:BG149,BG149)-1)</f>
        <v/>
      </c>
      <c r="BM149" s="271">
        <f t="shared" si="9"/>
        <v>139</v>
      </c>
      <c r="BO149" s="304" t="str">
        <f>IF($BN149="","",_xll.ciqfunctions.udf.CIQ($BN149,"iq_security_level"))</f>
        <v/>
      </c>
      <c r="BP149" s="271" t="str">
        <f t="shared" si="10"/>
        <v/>
      </c>
      <c r="BR149" s="271" t="str">
        <f t="shared" si="8"/>
        <v/>
      </c>
      <c r="BS149" s="305" t="str">
        <f>IF($BR149="","",_xll.ciqfunctions.udf.CIQ($BR149,"iq_bond_coupon")/100)</f>
        <v/>
      </c>
    </row>
    <row r="150" spans="59:71" ht="12" customHeight="1" x14ac:dyDescent="0.25">
      <c r="BG150" s="301" t="str">
        <f>IF($BF150="","",_xll.ciqfunctions.udf.CIQ($BF150,"iq_offer_date"))</f>
        <v/>
      </c>
      <c r="BH150" s="302" t="str">
        <f>IF($BF150="","",RANK(BG150,$BG$11:$BG$511)+COUNTIF($BG$11:BG150,BG150)-1)</f>
        <v/>
      </c>
      <c r="BM150" s="271">
        <f t="shared" si="9"/>
        <v>140</v>
      </c>
      <c r="BO150" s="304" t="str">
        <f>IF($BN150="","",_xll.ciqfunctions.udf.CIQ($BN150,"iq_security_level"))</f>
        <v/>
      </c>
      <c r="BP150" s="271" t="str">
        <f t="shared" si="10"/>
        <v/>
      </c>
      <c r="BR150" s="271" t="str">
        <f t="shared" si="8"/>
        <v/>
      </c>
      <c r="BS150" s="305" t="str">
        <f>IF($BR150="","",_xll.ciqfunctions.udf.CIQ($BR150,"iq_bond_coupon")/100)</f>
        <v/>
      </c>
    </row>
    <row r="151" spans="59:71" ht="12" customHeight="1" x14ac:dyDescent="0.25">
      <c r="BG151" s="301" t="str">
        <f>IF($BF151="","",_xll.ciqfunctions.udf.CIQ($BF151,"iq_offer_date"))</f>
        <v/>
      </c>
      <c r="BH151" s="302" t="str">
        <f>IF($BF151="","",RANK(BG151,$BG$11:$BG$511)+COUNTIF($BG$11:BG151,BG151)-1)</f>
        <v/>
      </c>
      <c r="BM151" s="271">
        <f t="shared" si="9"/>
        <v>141</v>
      </c>
      <c r="BO151" s="304" t="str">
        <f>IF($BN151="","",_xll.ciqfunctions.udf.CIQ($BN151,"iq_security_level"))</f>
        <v/>
      </c>
      <c r="BP151" s="271" t="str">
        <f t="shared" si="10"/>
        <v/>
      </c>
      <c r="BR151" s="271" t="str">
        <f t="shared" si="8"/>
        <v/>
      </c>
      <c r="BS151" s="305" t="str">
        <f>IF($BR151="","",_xll.ciqfunctions.udf.CIQ($BR151,"iq_bond_coupon")/100)</f>
        <v/>
      </c>
    </row>
    <row r="152" spans="59:71" ht="12" customHeight="1" x14ac:dyDescent="0.25">
      <c r="BG152" s="301" t="str">
        <f>IF($BF152="","",_xll.ciqfunctions.udf.CIQ($BF152,"iq_offer_date"))</f>
        <v/>
      </c>
      <c r="BH152" s="302" t="str">
        <f>IF($BF152="","",RANK(BG152,$BG$11:$BG$511)+COUNTIF($BG$11:BG152,BG152)-1)</f>
        <v/>
      </c>
      <c r="BM152" s="271">
        <f t="shared" si="9"/>
        <v>142</v>
      </c>
      <c r="BO152" s="304" t="str">
        <f>IF($BN152="","",_xll.ciqfunctions.udf.CIQ($BN152,"iq_security_level"))</f>
        <v/>
      </c>
      <c r="BP152" s="271" t="str">
        <f t="shared" si="10"/>
        <v/>
      </c>
      <c r="BR152" s="271" t="str">
        <f t="shared" si="8"/>
        <v/>
      </c>
      <c r="BS152" s="305" t="str">
        <f>IF($BR152="","",_xll.ciqfunctions.udf.CIQ($BR152,"iq_bond_coupon")/100)</f>
        <v/>
      </c>
    </row>
    <row r="153" spans="59:71" ht="12" customHeight="1" x14ac:dyDescent="0.25">
      <c r="BG153" s="301" t="str">
        <f>IF($BF153="","",_xll.ciqfunctions.udf.CIQ($BF153,"iq_offer_date"))</f>
        <v/>
      </c>
      <c r="BH153" s="302" t="str">
        <f>IF($BF153="","",RANK(BG153,$BG$11:$BG$511)+COUNTIF($BG$11:BG153,BG153)-1)</f>
        <v/>
      </c>
      <c r="BM153" s="271">
        <f t="shared" si="9"/>
        <v>143</v>
      </c>
      <c r="BO153" s="304" t="str">
        <f>IF($BN153="","",_xll.ciqfunctions.udf.CIQ($BN153,"iq_security_level"))</f>
        <v/>
      </c>
      <c r="BP153" s="271" t="str">
        <f t="shared" si="10"/>
        <v/>
      </c>
      <c r="BR153" s="271" t="str">
        <f t="shared" si="8"/>
        <v/>
      </c>
      <c r="BS153" s="305" t="str">
        <f>IF($BR153="","",_xll.ciqfunctions.udf.CIQ($BR153,"iq_bond_coupon")/100)</f>
        <v/>
      </c>
    </row>
    <row r="154" spans="59:71" ht="12" customHeight="1" x14ac:dyDescent="0.25">
      <c r="BG154" s="301" t="str">
        <f>IF($BF154="","",_xll.ciqfunctions.udf.CIQ($BF154,"iq_offer_date"))</f>
        <v/>
      </c>
      <c r="BH154" s="302" t="str">
        <f>IF($BF154="","",RANK(BG154,$BG$11:$BG$511)+COUNTIF($BG$11:BG154,BG154)-1)</f>
        <v/>
      </c>
      <c r="BM154" s="271">
        <f t="shared" si="9"/>
        <v>144</v>
      </c>
      <c r="BO154" s="304" t="str">
        <f>IF($BN154="","",_xll.ciqfunctions.udf.CIQ($BN154,"iq_security_level"))</f>
        <v/>
      </c>
      <c r="BP154" s="271" t="str">
        <f t="shared" si="10"/>
        <v/>
      </c>
      <c r="BR154" s="271" t="str">
        <f t="shared" si="8"/>
        <v/>
      </c>
      <c r="BS154" s="305" t="str">
        <f>IF($BR154="","",_xll.ciqfunctions.udf.CIQ($BR154,"iq_bond_coupon")/100)</f>
        <v/>
      </c>
    </row>
    <row r="155" spans="59:71" ht="12" customHeight="1" x14ac:dyDescent="0.25">
      <c r="BG155" s="301" t="str">
        <f>IF($BF155="","",_xll.ciqfunctions.udf.CIQ($BF155,"iq_offer_date"))</f>
        <v/>
      </c>
      <c r="BH155" s="302" t="str">
        <f>IF($BF155="","",RANK(BG155,$BG$11:$BG$511)+COUNTIF($BG$11:BG155,BG155)-1)</f>
        <v/>
      </c>
      <c r="BM155" s="271">
        <f t="shared" si="9"/>
        <v>145</v>
      </c>
      <c r="BO155" s="304" t="str">
        <f>IF($BN155="","",_xll.ciqfunctions.udf.CIQ($BN155,"iq_security_level"))</f>
        <v/>
      </c>
      <c r="BP155" s="271" t="str">
        <f t="shared" si="10"/>
        <v/>
      </c>
      <c r="BR155" s="271" t="str">
        <f t="shared" si="8"/>
        <v/>
      </c>
      <c r="BS155" s="305" t="str">
        <f>IF($BR155="","",_xll.ciqfunctions.udf.CIQ($BR155,"iq_bond_coupon")/100)</f>
        <v/>
      </c>
    </row>
    <row r="156" spans="59:71" ht="12" customHeight="1" x14ac:dyDescent="0.25">
      <c r="BG156" s="301" t="str">
        <f>IF($BF156="","",_xll.ciqfunctions.udf.CIQ($BF156,"iq_offer_date"))</f>
        <v/>
      </c>
      <c r="BH156" s="302" t="str">
        <f>IF($BF156="","",RANK(BG156,$BG$11:$BG$511)+COUNTIF($BG$11:BG156,BG156)-1)</f>
        <v/>
      </c>
      <c r="BM156" s="271">
        <f t="shared" si="9"/>
        <v>146</v>
      </c>
      <c r="BO156" s="304" t="str">
        <f>IF($BN156="","",_xll.ciqfunctions.udf.CIQ($BN156,"iq_security_level"))</f>
        <v/>
      </c>
      <c r="BP156" s="271" t="str">
        <f t="shared" si="10"/>
        <v/>
      </c>
      <c r="BR156" s="271" t="str">
        <f t="shared" si="8"/>
        <v/>
      </c>
      <c r="BS156" s="305" t="str">
        <f>IF($BR156="","",_xll.ciqfunctions.udf.CIQ($BR156,"iq_bond_coupon")/100)</f>
        <v/>
      </c>
    </row>
    <row r="157" spans="59:71" ht="15" customHeight="1" x14ac:dyDescent="0.25">
      <c r="BG157" s="301" t="str">
        <f>IF($BF157="","",_xll.ciqfunctions.udf.CIQ($BF157,"iq_offer_date"))</f>
        <v/>
      </c>
      <c r="BH157" s="302" t="str">
        <f>IF($BF157="","",RANK(BG157,$BG$11:$BG$511)+COUNTIF($BG$11:BG157,BG157)-1)</f>
        <v/>
      </c>
      <c r="BM157" s="271">
        <f t="shared" si="9"/>
        <v>147</v>
      </c>
      <c r="BO157" s="304" t="str">
        <f>IF($BN157="","",_xll.ciqfunctions.udf.CIQ($BN157,"iq_security_level"))</f>
        <v/>
      </c>
      <c r="BP157" s="271" t="str">
        <f t="shared" si="10"/>
        <v/>
      </c>
      <c r="BR157" s="271" t="str">
        <f t="shared" si="8"/>
        <v/>
      </c>
      <c r="BS157" s="305" t="str">
        <f>IF($BR157="","",_xll.ciqfunctions.udf.CIQ($BR157,"iq_bond_coupon")/100)</f>
        <v/>
      </c>
    </row>
    <row r="158" spans="59:71" ht="12" customHeight="1" x14ac:dyDescent="0.25">
      <c r="BG158" s="301" t="str">
        <f>IF($BF158="","",_xll.ciqfunctions.udf.CIQ($BF158,"iq_offer_date"))</f>
        <v/>
      </c>
      <c r="BH158" s="302" t="str">
        <f>IF($BF158="","",RANK(BG158,$BG$11:$BG$511)+COUNTIF($BG$11:BG158,BG158)-1)</f>
        <v/>
      </c>
      <c r="BM158" s="271">
        <f t="shared" si="9"/>
        <v>148</v>
      </c>
      <c r="BO158" s="304" t="str">
        <f>IF($BN158="","",_xll.ciqfunctions.udf.CIQ($BN158,"iq_security_level"))</f>
        <v/>
      </c>
      <c r="BP158" s="271" t="str">
        <f t="shared" si="10"/>
        <v/>
      </c>
      <c r="BR158" s="271" t="str">
        <f t="shared" si="8"/>
        <v/>
      </c>
      <c r="BS158" s="305" t="str">
        <f>IF($BR158="","",_xll.ciqfunctions.udf.CIQ($BR158,"iq_bond_coupon")/100)</f>
        <v/>
      </c>
    </row>
    <row r="159" spans="59:71" ht="12" customHeight="1" x14ac:dyDescent="0.25">
      <c r="BG159" s="301" t="str">
        <f>IF($BF159="","",_xll.ciqfunctions.udf.CIQ($BF159,"iq_offer_date"))</f>
        <v/>
      </c>
      <c r="BH159" s="302" t="str">
        <f>IF($BF159="","",RANK(BG159,$BG$11:$BG$511)+COUNTIF($BG$11:BG159,BG159)-1)</f>
        <v/>
      </c>
      <c r="BM159" s="271">
        <f t="shared" si="9"/>
        <v>149</v>
      </c>
      <c r="BO159" s="304" t="str">
        <f>IF($BN159="","",_xll.ciqfunctions.udf.CIQ($BN159,"iq_security_level"))</f>
        <v/>
      </c>
      <c r="BP159" s="271" t="str">
        <f t="shared" si="10"/>
        <v/>
      </c>
      <c r="BR159" s="271" t="str">
        <f t="shared" si="8"/>
        <v/>
      </c>
      <c r="BS159" s="305" t="str">
        <f>IF($BR159="","",_xll.ciqfunctions.udf.CIQ($BR159,"iq_bond_coupon")/100)</f>
        <v/>
      </c>
    </row>
    <row r="160" spans="59:71" ht="12" customHeight="1" x14ac:dyDescent="0.25">
      <c r="BG160" s="301" t="str">
        <f>IF($BF160="","",_xll.ciqfunctions.udf.CIQ($BF160,"iq_offer_date"))</f>
        <v/>
      </c>
      <c r="BH160" s="302" t="str">
        <f>IF($BF160="","",RANK(BG160,$BG$11:$BG$511)+COUNTIF($BG$11:BG160,BG160)-1)</f>
        <v/>
      </c>
      <c r="BM160" s="271">
        <f t="shared" si="9"/>
        <v>150</v>
      </c>
      <c r="BO160" s="304" t="str">
        <f>IF($BN160="","",_xll.ciqfunctions.udf.CIQ($BN160,"iq_security_level"))</f>
        <v/>
      </c>
      <c r="BP160" s="271" t="str">
        <f t="shared" si="10"/>
        <v/>
      </c>
      <c r="BR160" s="271" t="str">
        <f t="shared" si="8"/>
        <v/>
      </c>
      <c r="BS160" s="305" t="str">
        <f>IF($BR160="","",_xll.ciqfunctions.udf.CIQ($BR160,"iq_bond_coupon")/100)</f>
        <v/>
      </c>
    </row>
    <row r="161" spans="59:71" ht="12" customHeight="1" x14ac:dyDescent="0.25">
      <c r="BG161" s="301" t="str">
        <f>IF($BF161="","",_xll.ciqfunctions.udf.CIQ($BF161,"iq_offer_date"))</f>
        <v/>
      </c>
      <c r="BH161" s="302" t="str">
        <f>IF($BF161="","",RANK(BG161,$BG$11:$BG$511)+COUNTIF($BG$11:BG161,BG161)-1)</f>
        <v/>
      </c>
      <c r="BM161" s="271">
        <f t="shared" si="9"/>
        <v>151</v>
      </c>
      <c r="BO161" s="304" t="str">
        <f>IF($BN161="","",_xll.ciqfunctions.udf.CIQ($BN161,"iq_security_level"))</f>
        <v/>
      </c>
      <c r="BP161" s="271" t="str">
        <f t="shared" si="10"/>
        <v/>
      </c>
      <c r="BR161" s="271" t="str">
        <f t="shared" si="8"/>
        <v/>
      </c>
      <c r="BS161" s="305" t="str">
        <f>IF($BR161="","",_xll.ciqfunctions.udf.CIQ($BR161,"iq_bond_coupon")/100)</f>
        <v/>
      </c>
    </row>
    <row r="162" spans="59:71" ht="12" customHeight="1" x14ac:dyDescent="0.25">
      <c r="BG162" s="301" t="str">
        <f>IF($BF162="","",_xll.ciqfunctions.udf.CIQ($BF162,"iq_offer_date"))</f>
        <v/>
      </c>
      <c r="BH162" s="302" t="str">
        <f>IF($BF162="","",RANK(BG162,$BG$11:$BG$511)+COUNTIF($BG$11:BG162,BG162)-1)</f>
        <v/>
      </c>
      <c r="BM162" s="271">
        <f t="shared" si="9"/>
        <v>152</v>
      </c>
      <c r="BO162" s="304" t="str">
        <f>IF($BN162="","",_xll.ciqfunctions.udf.CIQ($BN162,"iq_security_level"))</f>
        <v/>
      </c>
      <c r="BP162" s="271" t="str">
        <f t="shared" si="10"/>
        <v/>
      </c>
      <c r="BR162" s="271" t="str">
        <f t="shared" si="8"/>
        <v/>
      </c>
      <c r="BS162" s="305" t="str">
        <f>IF($BR162="","",_xll.ciqfunctions.udf.CIQ($BR162,"iq_bond_coupon")/100)</f>
        <v/>
      </c>
    </row>
    <row r="163" spans="59:71" ht="12" customHeight="1" x14ac:dyDescent="0.25">
      <c r="BG163" s="301" t="str">
        <f>IF($BF163="","",_xll.ciqfunctions.udf.CIQ($BF163,"iq_offer_date"))</f>
        <v/>
      </c>
      <c r="BH163" s="302" t="str">
        <f>IF($BF163="","",RANK(BG163,$BG$11:$BG$511)+COUNTIF($BG$11:BG163,BG163)-1)</f>
        <v/>
      </c>
      <c r="BM163" s="271">
        <f t="shared" si="9"/>
        <v>153</v>
      </c>
      <c r="BO163" s="304" t="str">
        <f>IF($BN163="","",_xll.ciqfunctions.udf.CIQ($BN163,"iq_security_level"))</f>
        <v/>
      </c>
      <c r="BP163" s="271" t="str">
        <f t="shared" si="10"/>
        <v/>
      </c>
      <c r="BR163" s="271" t="str">
        <f t="shared" si="8"/>
        <v/>
      </c>
      <c r="BS163" s="305" t="str">
        <f>IF($BR163="","",_xll.ciqfunctions.udf.CIQ($BR163,"iq_bond_coupon")/100)</f>
        <v/>
      </c>
    </row>
    <row r="164" spans="59:71" ht="12" customHeight="1" x14ac:dyDescent="0.25">
      <c r="BG164" s="301" t="str">
        <f>IF($BF164="","",_xll.ciqfunctions.udf.CIQ($BF164,"iq_offer_date"))</f>
        <v/>
      </c>
      <c r="BH164" s="302" t="str">
        <f>IF($BF164="","",RANK(BG164,$BG$11:$BG$511)+COUNTIF($BG$11:BG164,BG164)-1)</f>
        <v/>
      </c>
      <c r="BM164" s="271">
        <f t="shared" si="9"/>
        <v>154</v>
      </c>
      <c r="BO164" s="304" t="str">
        <f>IF($BN164="","",_xll.ciqfunctions.udf.CIQ($BN164,"iq_security_level"))</f>
        <v/>
      </c>
      <c r="BP164" s="271" t="str">
        <f t="shared" si="10"/>
        <v/>
      </c>
      <c r="BR164" s="271" t="str">
        <f t="shared" si="8"/>
        <v/>
      </c>
      <c r="BS164" s="305" t="str">
        <f>IF($BR164="","",_xll.ciqfunctions.udf.CIQ($BR164,"iq_bond_coupon")/100)</f>
        <v/>
      </c>
    </row>
    <row r="165" spans="59:71" ht="12" customHeight="1" x14ac:dyDescent="0.25">
      <c r="BG165" s="301" t="str">
        <f>IF($BF165="","",_xll.ciqfunctions.udf.CIQ($BF165,"iq_offer_date"))</f>
        <v/>
      </c>
      <c r="BH165" s="302" t="str">
        <f>IF($BF165="","",RANK(BG165,$BG$11:$BG$511)+COUNTIF($BG$11:BG165,BG165)-1)</f>
        <v/>
      </c>
      <c r="BM165" s="271">
        <f t="shared" si="9"/>
        <v>155</v>
      </c>
      <c r="BO165" s="304" t="str">
        <f>IF($BN165="","",_xll.ciqfunctions.udf.CIQ($BN165,"iq_security_level"))</f>
        <v/>
      </c>
      <c r="BP165" s="271" t="str">
        <f t="shared" si="10"/>
        <v/>
      </c>
      <c r="BR165" s="271" t="str">
        <f t="shared" si="8"/>
        <v/>
      </c>
      <c r="BS165" s="305" t="str">
        <f>IF($BR165="","",_xll.ciqfunctions.udf.CIQ($BR165,"iq_bond_coupon")/100)</f>
        <v/>
      </c>
    </row>
    <row r="166" spans="59:71" ht="12" customHeight="1" x14ac:dyDescent="0.25">
      <c r="BG166" s="301" t="str">
        <f>IF($BF166="","",_xll.ciqfunctions.udf.CIQ($BF166,"iq_offer_date"))</f>
        <v/>
      </c>
      <c r="BH166" s="302" t="str">
        <f>IF($BF166="","",RANK(BG166,$BG$11:$BG$511)+COUNTIF($BG$11:BG166,BG166)-1)</f>
        <v/>
      </c>
      <c r="BM166" s="271">
        <f t="shared" si="9"/>
        <v>156</v>
      </c>
      <c r="BO166" s="304" t="str">
        <f>IF($BN166="","",_xll.ciqfunctions.udf.CIQ($BN166,"iq_security_level"))</f>
        <v/>
      </c>
      <c r="BP166" s="271" t="str">
        <f t="shared" si="10"/>
        <v/>
      </c>
      <c r="BR166" s="271" t="str">
        <f t="shared" si="8"/>
        <v/>
      </c>
      <c r="BS166" s="305" t="str">
        <f>IF($BR166="","",_xll.ciqfunctions.udf.CIQ($BR166,"iq_bond_coupon")/100)</f>
        <v/>
      </c>
    </row>
    <row r="167" spans="59:71" ht="12" customHeight="1" x14ac:dyDescent="0.25">
      <c r="BG167" s="301" t="str">
        <f>IF($BF167="","",_xll.ciqfunctions.udf.CIQ($BF167,"iq_offer_date"))</f>
        <v/>
      </c>
      <c r="BH167" s="302" t="str">
        <f>IF($BF167="","",RANK(BG167,$BG$11:$BG$511)+COUNTIF($BG$11:BG167,BG167)-1)</f>
        <v/>
      </c>
      <c r="BM167" s="271">
        <f t="shared" si="9"/>
        <v>157</v>
      </c>
      <c r="BO167" s="304" t="str">
        <f>IF($BN167="","",_xll.ciqfunctions.udf.CIQ($BN167,"iq_security_level"))</f>
        <v/>
      </c>
      <c r="BP167" s="271" t="str">
        <f t="shared" si="10"/>
        <v/>
      </c>
      <c r="BR167" s="271" t="str">
        <f t="shared" si="8"/>
        <v/>
      </c>
      <c r="BS167" s="305" t="str">
        <f>IF($BR167="","",_xll.ciqfunctions.udf.CIQ($BR167,"iq_bond_coupon")/100)</f>
        <v/>
      </c>
    </row>
    <row r="168" spans="59:71" ht="12" customHeight="1" x14ac:dyDescent="0.25">
      <c r="BG168" s="301" t="str">
        <f>IF($BF168="","",_xll.ciqfunctions.udf.CIQ($BF168,"iq_offer_date"))</f>
        <v/>
      </c>
      <c r="BH168" s="302" t="str">
        <f>IF($BF168="","",RANK(BG168,$BG$11:$BG$511)+COUNTIF($BG$11:BG168,BG168)-1)</f>
        <v/>
      </c>
      <c r="BM168" s="271">
        <f t="shared" si="9"/>
        <v>158</v>
      </c>
      <c r="BO168" s="304" t="str">
        <f>IF($BN168="","",_xll.ciqfunctions.udf.CIQ($BN168,"iq_security_level"))</f>
        <v/>
      </c>
      <c r="BP168" s="271" t="str">
        <f t="shared" si="10"/>
        <v/>
      </c>
      <c r="BR168" s="271" t="str">
        <f t="shared" si="8"/>
        <v/>
      </c>
      <c r="BS168" s="305" t="str">
        <f>IF($BR168="","",_xll.ciqfunctions.udf.CIQ($BR168,"iq_bond_coupon")/100)</f>
        <v/>
      </c>
    </row>
    <row r="169" spans="59:71" ht="12" customHeight="1" x14ac:dyDescent="0.25">
      <c r="BG169" s="301" t="str">
        <f>IF($BF169="","",_xll.ciqfunctions.udf.CIQ($BF169,"iq_offer_date"))</f>
        <v/>
      </c>
      <c r="BH169" s="302" t="str">
        <f>IF($BF169="","",RANK(BG169,$BG$11:$BG$511)+COUNTIF($BG$11:BG169,BG169)-1)</f>
        <v/>
      </c>
      <c r="BM169" s="271">
        <f t="shared" si="9"/>
        <v>159</v>
      </c>
      <c r="BO169" s="304" t="str">
        <f>IF($BN169="","",_xll.ciqfunctions.udf.CIQ($BN169,"iq_security_level"))</f>
        <v/>
      </c>
      <c r="BP169" s="271" t="str">
        <f t="shared" si="10"/>
        <v/>
      </c>
      <c r="BR169" s="271" t="str">
        <f t="shared" si="8"/>
        <v/>
      </c>
      <c r="BS169" s="305" t="str">
        <f>IF($BR169="","",_xll.ciqfunctions.udf.CIQ($BR169,"iq_bond_coupon")/100)</f>
        <v/>
      </c>
    </row>
    <row r="170" spans="59:71" ht="12" customHeight="1" x14ac:dyDescent="0.25">
      <c r="BG170" s="301" t="str">
        <f>IF($BF170="","",_xll.ciqfunctions.udf.CIQ($BF170,"iq_offer_date"))</f>
        <v/>
      </c>
      <c r="BH170" s="302" t="str">
        <f>IF($BF170="","",RANK(BG170,$BG$11:$BG$511)+COUNTIF($BG$11:BG170,BG170)-1)</f>
        <v/>
      </c>
      <c r="BM170" s="271">
        <f t="shared" si="9"/>
        <v>160</v>
      </c>
      <c r="BO170" s="304" t="str">
        <f>IF($BN170="","",_xll.ciqfunctions.udf.CIQ($BN170,"iq_security_level"))</f>
        <v/>
      </c>
      <c r="BP170" s="271" t="str">
        <f t="shared" si="10"/>
        <v/>
      </c>
      <c r="BR170" s="271" t="str">
        <f t="shared" si="8"/>
        <v/>
      </c>
      <c r="BS170" s="305" t="str">
        <f>IF($BR170="","",_xll.ciqfunctions.udf.CIQ($BR170,"iq_bond_coupon")/100)</f>
        <v/>
      </c>
    </row>
    <row r="171" spans="59:71" ht="12" customHeight="1" x14ac:dyDescent="0.25">
      <c r="BG171" s="301" t="str">
        <f>IF($BF171="","",_xll.ciqfunctions.udf.CIQ($BF171,"iq_offer_date"))</f>
        <v/>
      </c>
      <c r="BH171" s="302" t="str">
        <f>IF($BF171="","",RANK(BG171,$BG$11:$BG$511)+COUNTIF($BG$11:BG171,BG171)-1)</f>
        <v/>
      </c>
      <c r="BM171" s="271">
        <f t="shared" si="9"/>
        <v>161</v>
      </c>
      <c r="BO171" s="304" t="str">
        <f>IF($BN171="","",_xll.ciqfunctions.udf.CIQ($BN171,"iq_security_level"))</f>
        <v/>
      </c>
      <c r="BP171" s="271" t="str">
        <f t="shared" si="10"/>
        <v/>
      </c>
      <c r="BR171" s="271" t="str">
        <f t="shared" si="8"/>
        <v/>
      </c>
      <c r="BS171" s="305" t="str">
        <f>IF($BR171="","",_xll.ciqfunctions.udf.CIQ($BR171,"iq_bond_coupon")/100)</f>
        <v/>
      </c>
    </row>
    <row r="172" spans="59:71" ht="12" customHeight="1" x14ac:dyDescent="0.25">
      <c r="BG172" s="301" t="str">
        <f>IF($BF172="","",_xll.ciqfunctions.udf.CIQ($BF172,"iq_offer_date"))</f>
        <v/>
      </c>
      <c r="BH172" s="302" t="str">
        <f>IF($BF172="","",RANK(BG172,$BG$11:$BG$511)+COUNTIF($BG$11:BG172,BG172)-1)</f>
        <v/>
      </c>
      <c r="BM172" s="271">
        <f t="shared" si="9"/>
        <v>162</v>
      </c>
      <c r="BO172" s="304" t="str">
        <f>IF($BN172="","",_xll.ciqfunctions.udf.CIQ($BN172,"iq_security_level"))</f>
        <v/>
      </c>
      <c r="BP172" s="271" t="str">
        <f t="shared" si="10"/>
        <v/>
      </c>
      <c r="BR172" s="271" t="str">
        <f t="shared" si="8"/>
        <v/>
      </c>
      <c r="BS172" s="305" t="str">
        <f>IF($BR172="","",_xll.ciqfunctions.udf.CIQ($BR172,"iq_bond_coupon")/100)</f>
        <v/>
      </c>
    </row>
    <row r="173" spans="59:71" ht="12" customHeight="1" x14ac:dyDescent="0.25">
      <c r="BG173" s="301" t="str">
        <f>IF($BF173="","",_xll.ciqfunctions.udf.CIQ($BF173,"iq_offer_date"))</f>
        <v/>
      </c>
      <c r="BH173" s="302" t="str">
        <f>IF($BF173="","",RANK(BG173,$BG$11:$BG$511)+COUNTIF($BG$11:BG173,BG173)-1)</f>
        <v/>
      </c>
      <c r="BM173" s="271">
        <f t="shared" si="9"/>
        <v>163</v>
      </c>
      <c r="BO173" s="304" t="str">
        <f>IF($BN173="","",_xll.ciqfunctions.udf.CIQ($BN173,"iq_security_level"))</f>
        <v/>
      </c>
      <c r="BP173" s="271" t="str">
        <f t="shared" si="10"/>
        <v/>
      </c>
      <c r="BR173" s="271" t="str">
        <f t="shared" si="8"/>
        <v/>
      </c>
      <c r="BS173" s="305" t="str">
        <f>IF($BR173="","",_xll.ciqfunctions.udf.CIQ($BR173,"iq_bond_coupon")/100)</f>
        <v/>
      </c>
    </row>
    <row r="174" spans="59:71" ht="12" customHeight="1" x14ac:dyDescent="0.25">
      <c r="BG174" s="301" t="str">
        <f>IF($BF174="","",_xll.ciqfunctions.udf.CIQ($BF174,"iq_offer_date"))</f>
        <v/>
      </c>
      <c r="BH174" s="302" t="str">
        <f>IF($BF174="","",RANK(BG174,$BG$11:$BG$511)+COUNTIF($BG$11:BG174,BG174)-1)</f>
        <v/>
      </c>
      <c r="BM174" s="271">
        <f t="shared" si="9"/>
        <v>164</v>
      </c>
      <c r="BO174" s="304" t="str">
        <f>IF($BN174="","",_xll.ciqfunctions.udf.CIQ($BN174,"iq_security_level"))</f>
        <v/>
      </c>
      <c r="BP174" s="271" t="str">
        <f t="shared" si="10"/>
        <v/>
      </c>
      <c r="BR174" s="271" t="str">
        <f t="shared" si="8"/>
        <v/>
      </c>
      <c r="BS174" s="305" t="str">
        <f>IF($BR174="","",_xll.ciqfunctions.udf.CIQ($BR174,"iq_bond_coupon")/100)</f>
        <v/>
      </c>
    </row>
    <row r="175" spans="59:71" ht="12" customHeight="1" x14ac:dyDescent="0.25">
      <c r="BG175" s="301" t="str">
        <f>IF($BF175="","",_xll.ciqfunctions.udf.CIQ($BF175,"iq_offer_date"))</f>
        <v/>
      </c>
      <c r="BH175" s="302" t="str">
        <f>IF($BF175="","",RANK(BG175,$BG$11:$BG$511)+COUNTIF($BG$11:BG175,BG175)-1)</f>
        <v/>
      </c>
      <c r="BM175" s="271">
        <f t="shared" si="9"/>
        <v>165</v>
      </c>
      <c r="BO175" s="304" t="str">
        <f>IF($BN175="","",_xll.ciqfunctions.udf.CIQ($BN175,"iq_security_level"))</f>
        <v/>
      </c>
      <c r="BP175" s="271" t="str">
        <f t="shared" si="10"/>
        <v/>
      </c>
      <c r="BR175" s="271" t="str">
        <f t="shared" si="8"/>
        <v/>
      </c>
      <c r="BS175" s="305" t="str">
        <f>IF($BR175="","",_xll.ciqfunctions.udf.CIQ($BR175,"iq_bond_coupon")/100)</f>
        <v/>
      </c>
    </row>
    <row r="176" spans="59:71" ht="12" customHeight="1" x14ac:dyDescent="0.25">
      <c r="BG176" s="301" t="str">
        <f>IF($BF176="","",_xll.ciqfunctions.udf.CIQ($BF176,"iq_offer_date"))</f>
        <v/>
      </c>
      <c r="BH176" s="302" t="str">
        <f>IF($BF176="","",RANK(BG176,$BG$11:$BG$511)+COUNTIF($BG$11:BG176,BG176)-1)</f>
        <v/>
      </c>
      <c r="BM176" s="271">
        <f t="shared" si="9"/>
        <v>166</v>
      </c>
      <c r="BO176" s="304" t="str">
        <f>IF($BN176="","",_xll.ciqfunctions.udf.CIQ($BN176,"iq_security_level"))</f>
        <v/>
      </c>
      <c r="BP176" s="271" t="str">
        <f t="shared" si="10"/>
        <v/>
      </c>
      <c r="BR176" s="271" t="str">
        <f t="shared" si="8"/>
        <v/>
      </c>
      <c r="BS176" s="305" t="str">
        <f>IF($BR176="","",_xll.ciqfunctions.udf.CIQ($BR176,"iq_bond_coupon")/100)</f>
        <v/>
      </c>
    </row>
    <row r="177" spans="59:71" ht="12" customHeight="1" x14ac:dyDescent="0.25">
      <c r="BG177" s="301" t="str">
        <f>IF($BF177="","",_xll.ciqfunctions.udf.CIQ($BF177,"iq_offer_date"))</f>
        <v/>
      </c>
      <c r="BH177" s="302" t="str">
        <f>IF($BF177="","",RANK(BG177,$BG$11:$BG$511)+COUNTIF($BG$11:BG177,BG177)-1)</f>
        <v/>
      </c>
      <c r="BM177" s="271">
        <f t="shared" si="9"/>
        <v>167</v>
      </c>
      <c r="BO177" s="304" t="str">
        <f>IF($BN177="","",_xll.ciqfunctions.udf.CIQ($BN177,"iq_security_level"))</f>
        <v/>
      </c>
      <c r="BP177" s="271" t="str">
        <f t="shared" si="10"/>
        <v/>
      </c>
      <c r="BR177" s="271" t="str">
        <f t="shared" si="8"/>
        <v/>
      </c>
      <c r="BS177" s="305" t="str">
        <f>IF($BR177="","",_xll.ciqfunctions.udf.CIQ($BR177,"iq_bond_coupon")/100)</f>
        <v/>
      </c>
    </row>
    <row r="178" spans="59:71" ht="12" customHeight="1" x14ac:dyDescent="0.25">
      <c r="BG178" s="301" t="str">
        <f>IF($BF178="","",_xll.ciqfunctions.udf.CIQ($BF178,"iq_offer_date"))</f>
        <v/>
      </c>
      <c r="BH178" s="302" t="str">
        <f>IF($BF178="","",RANK(BG178,$BG$11:$BG$511)+COUNTIF($BG$11:BG178,BG178)-1)</f>
        <v/>
      </c>
      <c r="BM178" s="271">
        <f t="shared" si="9"/>
        <v>168</v>
      </c>
      <c r="BO178" s="304" t="str">
        <f>IF($BN178="","",_xll.ciqfunctions.udf.CIQ($BN178,"iq_security_level"))</f>
        <v/>
      </c>
      <c r="BP178" s="271" t="str">
        <f t="shared" si="10"/>
        <v/>
      </c>
      <c r="BR178" s="271" t="str">
        <f t="shared" si="8"/>
        <v/>
      </c>
      <c r="BS178" s="305" t="str">
        <f>IF($BR178="","",_xll.ciqfunctions.udf.CIQ($BR178,"iq_bond_coupon")/100)</f>
        <v/>
      </c>
    </row>
    <row r="179" spans="59:71" ht="12" customHeight="1" x14ac:dyDescent="0.25">
      <c r="BG179" s="301" t="str">
        <f>IF($BF179="","",_xll.ciqfunctions.udf.CIQ($BF179,"iq_offer_date"))</f>
        <v/>
      </c>
      <c r="BH179" s="302" t="str">
        <f>IF($BF179="","",RANK(BG179,$BG$11:$BG$511)+COUNTIF($BG$11:BG179,BG179)-1)</f>
        <v/>
      </c>
      <c r="BM179" s="271">
        <f t="shared" si="9"/>
        <v>169</v>
      </c>
      <c r="BO179" s="304" t="str">
        <f>IF($BN179="","",_xll.ciqfunctions.udf.CIQ($BN179,"iq_security_level"))</f>
        <v/>
      </c>
      <c r="BP179" s="271" t="str">
        <f t="shared" si="10"/>
        <v/>
      </c>
      <c r="BR179" s="271" t="str">
        <f t="shared" si="8"/>
        <v/>
      </c>
      <c r="BS179" s="305" t="str">
        <f>IF($BR179="","",_xll.ciqfunctions.udf.CIQ($BR179,"iq_bond_coupon")/100)</f>
        <v/>
      </c>
    </row>
    <row r="180" spans="59:71" ht="12" customHeight="1" x14ac:dyDescent="0.25">
      <c r="BG180" s="301" t="str">
        <f>IF($BF180="","",_xll.ciqfunctions.udf.CIQ($BF180,"iq_offer_date"))</f>
        <v/>
      </c>
      <c r="BH180" s="302" t="str">
        <f>IF($BF180="","",RANK(BG180,$BG$11:$BG$511)+COUNTIF($BG$11:BG180,BG180)-1)</f>
        <v/>
      </c>
      <c r="BM180" s="271">
        <f t="shared" si="9"/>
        <v>170</v>
      </c>
      <c r="BO180" s="304" t="str">
        <f>IF($BN180="","",_xll.ciqfunctions.udf.CIQ($BN180,"iq_security_level"))</f>
        <v/>
      </c>
      <c r="BP180" s="271" t="str">
        <f t="shared" si="10"/>
        <v/>
      </c>
      <c r="BR180" s="271" t="str">
        <f t="shared" si="8"/>
        <v/>
      </c>
      <c r="BS180" s="305" t="str">
        <f>IF($BR180="","",_xll.ciqfunctions.udf.CIQ($BR180,"iq_bond_coupon")/100)</f>
        <v/>
      </c>
    </row>
    <row r="181" spans="59:71" ht="12" customHeight="1" x14ac:dyDescent="0.25">
      <c r="BG181" s="301" t="str">
        <f>IF($BF181="","",_xll.ciqfunctions.udf.CIQ($BF181,"iq_offer_date"))</f>
        <v/>
      </c>
      <c r="BH181" s="302" t="str">
        <f>IF($BF181="","",RANK(BG181,$BG$11:$BG$511)+COUNTIF($BG$11:BG181,BG181)-1)</f>
        <v/>
      </c>
      <c r="BM181" s="271">
        <f t="shared" si="9"/>
        <v>171</v>
      </c>
      <c r="BO181" s="304" t="str">
        <f>IF($BN181="","",_xll.ciqfunctions.udf.CIQ($BN181,"iq_security_level"))</f>
        <v/>
      </c>
      <c r="BP181" s="271" t="str">
        <f t="shared" si="10"/>
        <v/>
      </c>
      <c r="BR181" s="271" t="str">
        <f t="shared" si="8"/>
        <v/>
      </c>
      <c r="BS181" s="305" t="str">
        <f>IF($BR181="","",_xll.ciqfunctions.udf.CIQ($BR181,"iq_bond_coupon")/100)</f>
        <v/>
      </c>
    </row>
    <row r="182" spans="59:71" ht="12" customHeight="1" x14ac:dyDescent="0.25">
      <c r="BG182" s="301" t="str">
        <f>IF($BF182="","",_xll.ciqfunctions.udf.CIQ($BF182,"iq_offer_date"))</f>
        <v/>
      </c>
      <c r="BH182" s="302" t="str">
        <f>IF($BF182="","",RANK(BG182,$BG$11:$BG$511)+COUNTIF($BG$11:BG182,BG182)-1)</f>
        <v/>
      </c>
      <c r="BM182" s="271">
        <f t="shared" si="9"/>
        <v>172</v>
      </c>
      <c r="BO182" s="304" t="str">
        <f>IF($BN182="","",_xll.ciqfunctions.udf.CIQ($BN182,"iq_security_level"))</f>
        <v/>
      </c>
      <c r="BP182" s="271" t="str">
        <f t="shared" si="10"/>
        <v/>
      </c>
      <c r="BR182" s="271" t="str">
        <f t="shared" ref="BR182:BR245" si="11">IF($BN181="","",IF(ISERROR(INDEX($BN$11:$BN$510,MATCH(BM181,$BP$11:$BP$510,0))),"",INDEX($BN$11:$BN$510,MATCH(BM181,$BP$11:$BP$510,0))))</f>
        <v/>
      </c>
      <c r="BS182" s="305" t="str">
        <f>IF($BR182="","",_xll.ciqfunctions.udf.CIQ($BR182,"iq_bond_coupon")/100)</f>
        <v/>
      </c>
    </row>
    <row r="183" spans="59:71" ht="12" customHeight="1" x14ac:dyDescent="0.25">
      <c r="BG183" s="301" t="str">
        <f>IF($BF183="","",_xll.ciqfunctions.udf.CIQ($BF183,"iq_offer_date"))</f>
        <v/>
      </c>
      <c r="BH183" s="302" t="str">
        <f>IF($BF183="","",RANK(BG183,$BG$11:$BG$511)+COUNTIF($BG$11:BG183,BG183)-1)</f>
        <v/>
      </c>
      <c r="BM183" s="271">
        <f t="shared" si="9"/>
        <v>173</v>
      </c>
      <c r="BO183" s="304" t="str">
        <f>IF($BN183="","",_xll.ciqfunctions.udf.CIQ($BN183,"iq_security_level"))</f>
        <v/>
      </c>
      <c r="BP183" s="271" t="str">
        <f t="shared" si="10"/>
        <v/>
      </c>
      <c r="BR183" s="271" t="str">
        <f t="shared" si="11"/>
        <v/>
      </c>
      <c r="BS183" s="305" t="str">
        <f>IF($BR183="","",_xll.ciqfunctions.udf.CIQ($BR183,"iq_bond_coupon")/100)</f>
        <v/>
      </c>
    </row>
    <row r="184" spans="59:71" ht="12" customHeight="1" x14ac:dyDescent="0.25">
      <c r="BG184" s="301" t="str">
        <f>IF($BF184="","",_xll.ciqfunctions.udf.CIQ($BF184,"iq_offer_date"))</f>
        <v/>
      </c>
      <c r="BH184" s="302" t="str">
        <f>IF($BF184="","",RANK(BG184,$BG$11:$BG$511)+COUNTIF($BG$11:BG184,BG184)-1)</f>
        <v/>
      </c>
      <c r="BM184" s="271">
        <f t="shared" si="9"/>
        <v>174</v>
      </c>
      <c r="BO184" s="304" t="str">
        <f>IF($BN184="","",_xll.ciqfunctions.udf.CIQ($BN184,"iq_security_level"))</f>
        <v/>
      </c>
      <c r="BP184" s="271" t="str">
        <f t="shared" si="10"/>
        <v/>
      </c>
      <c r="BR184" s="271" t="str">
        <f t="shared" si="11"/>
        <v/>
      </c>
      <c r="BS184" s="305" t="str">
        <f>IF($BR184="","",_xll.ciqfunctions.udf.CIQ($BR184,"iq_bond_coupon")/100)</f>
        <v/>
      </c>
    </row>
    <row r="185" spans="59:71" ht="12" customHeight="1" x14ac:dyDescent="0.25">
      <c r="BG185" s="301" t="str">
        <f>IF($BF185="","",_xll.ciqfunctions.udf.CIQ($BF185,"iq_offer_date"))</f>
        <v/>
      </c>
      <c r="BH185" s="302" t="str">
        <f>IF($BF185="","",RANK(BG185,$BG$11:$BG$511)+COUNTIF($BG$11:BG185,BG185)-1)</f>
        <v/>
      </c>
      <c r="BM185" s="271">
        <f t="shared" si="9"/>
        <v>175</v>
      </c>
      <c r="BO185" s="304" t="str">
        <f>IF($BN185="","",_xll.ciqfunctions.udf.CIQ($BN185,"iq_security_level"))</f>
        <v/>
      </c>
      <c r="BP185" s="271" t="str">
        <f t="shared" si="10"/>
        <v/>
      </c>
      <c r="BR185" s="271" t="str">
        <f t="shared" si="11"/>
        <v/>
      </c>
      <c r="BS185" s="305" t="str">
        <f>IF($BR185="","",_xll.ciqfunctions.udf.CIQ($BR185,"iq_bond_coupon")/100)</f>
        <v/>
      </c>
    </row>
    <row r="186" spans="59:71" ht="12" customHeight="1" x14ac:dyDescent="0.25">
      <c r="BG186" s="301" t="str">
        <f>IF($BF186="","",_xll.ciqfunctions.udf.CIQ($BF186,"iq_offer_date"))</f>
        <v/>
      </c>
      <c r="BH186" s="302" t="str">
        <f>IF($BF186="","",RANK(BG186,$BG$11:$BG$511)+COUNTIF($BG$11:BG186,BG186)-1)</f>
        <v/>
      </c>
      <c r="BM186" s="271">
        <f t="shared" si="9"/>
        <v>176</v>
      </c>
      <c r="BO186" s="304" t="str">
        <f>IF($BN186="","",_xll.ciqfunctions.udf.CIQ($BN186,"iq_security_level"))</f>
        <v/>
      </c>
      <c r="BP186" s="271" t="str">
        <f t="shared" si="10"/>
        <v/>
      </c>
      <c r="BR186" s="271" t="str">
        <f t="shared" si="11"/>
        <v/>
      </c>
      <c r="BS186" s="305" t="str">
        <f>IF($BR186="","",_xll.ciqfunctions.udf.CIQ($BR186,"iq_bond_coupon")/100)</f>
        <v/>
      </c>
    </row>
    <row r="187" spans="59:71" ht="12" customHeight="1" x14ac:dyDescent="0.25">
      <c r="BG187" s="301" t="str">
        <f>IF($BF187="","",_xll.ciqfunctions.udf.CIQ($BF187,"iq_offer_date"))</f>
        <v/>
      </c>
      <c r="BH187" s="302" t="str">
        <f>IF($BF187="","",RANK(BG187,$BG$11:$BG$511)+COUNTIF($BG$11:BG187,BG187)-1)</f>
        <v/>
      </c>
      <c r="BM187" s="271">
        <f t="shared" si="9"/>
        <v>177</v>
      </c>
      <c r="BO187" s="304" t="str">
        <f>IF($BN187="","",_xll.ciqfunctions.udf.CIQ($BN187,"iq_security_level"))</f>
        <v/>
      </c>
      <c r="BP187" s="271" t="str">
        <f t="shared" si="10"/>
        <v/>
      </c>
      <c r="BR187" s="271" t="str">
        <f t="shared" si="11"/>
        <v/>
      </c>
      <c r="BS187" s="305" t="str">
        <f>IF($BR187="","",_xll.ciqfunctions.udf.CIQ($BR187,"iq_bond_coupon")/100)</f>
        <v/>
      </c>
    </row>
    <row r="188" spans="59:71" ht="12" customHeight="1" x14ac:dyDescent="0.25">
      <c r="BG188" s="301" t="str">
        <f>IF($BF188="","",_xll.ciqfunctions.udf.CIQ($BF188,"iq_offer_date"))</f>
        <v/>
      </c>
      <c r="BH188" s="302" t="str">
        <f>IF($BF188="","",RANK(BG188,$BG$11:$BG$511)+COUNTIF($BG$11:BG188,BG188)-1)</f>
        <v/>
      </c>
      <c r="BM188" s="271">
        <f t="shared" si="9"/>
        <v>178</v>
      </c>
      <c r="BO188" s="304" t="str">
        <f>IF($BN188="","",_xll.ciqfunctions.udf.CIQ($BN188,"iq_security_level"))</f>
        <v/>
      </c>
      <c r="BP188" s="271" t="str">
        <f t="shared" si="10"/>
        <v/>
      </c>
      <c r="BR188" s="271" t="str">
        <f t="shared" si="11"/>
        <v/>
      </c>
      <c r="BS188" s="305" t="str">
        <f>IF($BR188="","",_xll.ciqfunctions.udf.CIQ($BR188,"iq_bond_coupon")/100)</f>
        <v/>
      </c>
    </row>
    <row r="189" spans="59:71" ht="12" customHeight="1" x14ac:dyDescent="0.25">
      <c r="BG189" s="301" t="str">
        <f>IF($BF189="","",_xll.ciqfunctions.udf.CIQ($BF189,"iq_offer_date"))</f>
        <v/>
      </c>
      <c r="BH189" s="302" t="str">
        <f>IF($BF189="","",RANK(BG189,$BG$11:$BG$511)+COUNTIF($BG$11:BG189,BG189)-1)</f>
        <v/>
      </c>
      <c r="BM189" s="271">
        <f t="shared" si="9"/>
        <v>179</v>
      </c>
      <c r="BO189" s="304" t="str">
        <f>IF($BN189="","",_xll.ciqfunctions.udf.CIQ($BN189,"iq_security_level"))</f>
        <v/>
      </c>
      <c r="BP189" s="271" t="str">
        <f t="shared" si="10"/>
        <v/>
      </c>
      <c r="BR189" s="271" t="str">
        <f t="shared" si="11"/>
        <v/>
      </c>
      <c r="BS189" s="305" t="str">
        <f>IF($BR189="","",_xll.ciqfunctions.udf.CIQ($BR189,"iq_bond_coupon")/100)</f>
        <v/>
      </c>
    </row>
    <row r="190" spans="59:71" ht="12" customHeight="1" x14ac:dyDescent="0.25">
      <c r="BG190" s="301" t="str">
        <f>IF($BF190="","",_xll.ciqfunctions.udf.CIQ($BF190,"iq_offer_date"))</f>
        <v/>
      </c>
      <c r="BH190" s="302" t="str">
        <f>IF($BF190="","",RANK(BG190,$BG$11:$BG$511)+COUNTIF($BG$11:BG190,BG190)-1)</f>
        <v/>
      </c>
      <c r="BM190" s="271">
        <f t="shared" si="9"/>
        <v>180</v>
      </c>
      <c r="BO190" s="304" t="str">
        <f>IF($BN190="","",_xll.ciqfunctions.udf.CIQ($BN190,"iq_security_level"))</f>
        <v/>
      </c>
      <c r="BP190" s="271" t="str">
        <f t="shared" si="10"/>
        <v/>
      </c>
      <c r="BR190" s="271" t="str">
        <f t="shared" si="11"/>
        <v/>
      </c>
      <c r="BS190" s="305" t="str">
        <f>IF($BR190="","",_xll.ciqfunctions.udf.CIQ($BR190,"iq_bond_coupon")/100)</f>
        <v/>
      </c>
    </row>
    <row r="191" spans="59:71" ht="12" customHeight="1" x14ac:dyDescent="0.25">
      <c r="BG191" s="301" t="str">
        <f>IF($BF191="","",_xll.ciqfunctions.udf.CIQ($BF191,"iq_offer_date"))</f>
        <v/>
      </c>
      <c r="BH191" s="302" t="str">
        <f>IF($BF191="","",RANK(BG191,$BG$11:$BG$511)+COUNTIF($BG$11:BG191,BG191)-1)</f>
        <v/>
      </c>
      <c r="BM191" s="271">
        <f t="shared" si="9"/>
        <v>181</v>
      </c>
      <c r="BO191" s="304" t="str">
        <f>IF($BN191="","",_xll.ciqfunctions.udf.CIQ($BN191,"iq_security_level"))</f>
        <v/>
      </c>
      <c r="BP191" s="271" t="str">
        <f t="shared" si="10"/>
        <v/>
      </c>
      <c r="BR191" s="271" t="str">
        <f t="shared" si="11"/>
        <v/>
      </c>
      <c r="BS191" s="305" t="str">
        <f>IF($BR191="","",_xll.ciqfunctions.udf.CIQ($BR191,"iq_bond_coupon")/100)</f>
        <v/>
      </c>
    </row>
    <row r="192" spans="59:71" ht="12" customHeight="1" x14ac:dyDescent="0.25">
      <c r="BG192" s="301" t="str">
        <f>IF($BF192="","",_xll.ciqfunctions.udf.CIQ($BF192,"iq_offer_date"))</f>
        <v/>
      </c>
      <c r="BH192" s="302" t="str">
        <f>IF($BF192="","",RANK(BG192,$BG$11:$BG$511)+COUNTIF($BG$11:BG192,BG192)-1)</f>
        <v/>
      </c>
      <c r="BM192" s="271">
        <f t="shared" si="9"/>
        <v>182</v>
      </c>
      <c r="BO192" s="304" t="str">
        <f>IF($BN192="","",_xll.ciqfunctions.udf.CIQ($BN192,"iq_security_level"))</f>
        <v/>
      </c>
      <c r="BP192" s="271" t="str">
        <f t="shared" si="10"/>
        <v/>
      </c>
      <c r="BR192" s="271" t="str">
        <f t="shared" si="11"/>
        <v/>
      </c>
      <c r="BS192" s="305" t="str">
        <f>IF($BR192="","",_xll.ciqfunctions.udf.CIQ($BR192,"iq_bond_coupon")/100)</f>
        <v/>
      </c>
    </row>
    <row r="193" spans="59:71" ht="12" customHeight="1" x14ac:dyDescent="0.25">
      <c r="BG193" s="301" t="str">
        <f>IF($BF193="","",_xll.ciqfunctions.udf.CIQ($BF193,"iq_offer_date"))</f>
        <v/>
      </c>
      <c r="BH193" s="302" t="str">
        <f>IF($BF193="","",RANK(BG193,$BG$11:$BG$511)+COUNTIF($BG$11:BG193,BG193)-1)</f>
        <v/>
      </c>
      <c r="BM193" s="271">
        <f t="shared" si="9"/>
        <v>183</v>
      </c>
      <c r="BO193" s="304" t="str">
        <f>IF($BN193="","",_xll.ciqfunctions.udf.CIQ($BN193,"iq_security_level"))</f>
        <v/>
      </c>
      <c r="BP193" s="271" t="str">
        <f t="shared" si="10"/>
        <v/>
      </c>
      <c r="BR193" s="271" t="str">
        <f t="shared" si="11"/>
        <v/>
      </c>
      <c r="BS193" s="305" t="str">
        <f>IF($BR193="","",_xll.ciqfunctions.udf.CIQ($BR193,"iq_bond_coupon")/100)</f>
        <v/>
      </c>
    </row>
    <row r="194" spans="59:71" ht="12" customHeight="1" x14ac:dyDescent="0.25">
      <c r="BG194" s="301" t="str">
        <f>IF($BF194="","",_xll.ciqfunctions.udf.CIQ($BF194,"iq_offer_date"))</f>
        <v/>
      </c>
      <c r="BH194" s="302" t="str">
        <f>IF($BF194="","",RANK(BG194,$BG$11:$BG$511)+COUNTIF($BG$11:BG194,BG194)-1)</f>
        <v/>
      </c>
      <c r="BM194" s="271">
        <f t="shared" si="9"/>
        <v>184</v>
      </c>
      <c r="BO194" s="304" t="str">
        <f>IF($BN194="","",_xll.ciqfunctions.udf.CIQ($BN194,"iq_security_level"))</f>
        <v/>
      </c>
      <c r="BP194" s="271" t="str">
        <f t="shared" si="10"/>
        <v/>
      </c>
      <c r="BR194" s="271" t="str">
        <f t="shared" si="11"/>
        <v/>
      </c>
      <c r="BS194" s="305" t="str">
        <f>IF($BR194="","",_xll.ciqfunctions.udf.CIQ($BR194,"iq_bond_coupon")/100)</f>
        <v/>
      </c>
    </row>
    <row r="195" spans="59:71" ht="12" customHeight="1" x14ac:dyDescent="0.25">
      <c r="BG195" s="301" t="str">
        <f>IF($BF195="","",_xll.ciqfunctions.udf.CIQ($BF195,"iq_offer_date"))</f>
        <v/>
      </c>
      <c r="BH195" s="302" t="str">
        <f>IF($BF195="","",RANK(BG195,$BG$11:$BG$511)+COUNTIF($BG$11:BG195,BG195)-1)</f>
        <v/>
      </c>
      <c r="BM195" s="271">
        <f t="shared" si="9"/>
        <v>185</v>
      </c>
      <c r="BO195" s="304" t="str">
        <f>IF($BN195="","",_xll.ciqfunctions.udf.CIQ($BN195,"iq_security_level"))</f>
        <v/>
      </c>
      <c r="BP195" s="271" t="str">
        <f t="shared" si="10"/>
        <v/>
      </c>
      <c r="BR195" s="271" t="str">
        <f t="shared" si="11"/>
        <v/>
      </c>
      <c r="BS195" s="305" t="str">
        <f>IF($BR195="","",_xll.ciqfunctions.udf.CIQ($BR195,"iq_bond_coupon")/100)</f>
        <v/>
      </c>
    </row>
    <row r="196" spans="59:71" ht="12" customHeight="1" x14ac:dyDescent="0.25">
      <c r="BG196" s="301" t="str">
        <f>IF($BF196="","",_xll.ciqfunctions.udf.CIQ($BF196,"iq_offer_date"))</f>
        <v/>
      </c>
      <c r="BH196" s="302" t="str">
        <f>IF($BF196="","",RANK(BG196,$BG$11:$BG$511)+COUNTIF($BG$11:BG196,BG196)-1)</f>
        <v/>
      </c>
      <c r="BM196" s="271">
        <f t="shared" si="9"/>
        <v>186</v>
      </c>
      <c r="BO196" s="304" t="str">
        <f>IF($BN196="","",_xll.ciqfunctions.udf.CIQ($BN196,"iq_security_level"))</f>
        <v/>
      </c>
      <c r="BP196" s="271" t="str">
        <f t="shared" si="10"/>
        <v/>
      </c>
      <c r="BR196" s="271" t="str">
        <f t="shared" si="11"/>
        <v/>
      </c>
      <c r="BS196" s="305" t="str">
        <f>IF($BR196="","",_xll.ciqfunctions.udf.CIQ($BR196,"iq_bond_coupon")/100)</f>
        <v/>
      </c>
    </row>
    <row r="197" spans="59:71" ht="12" customHeight="1" x14ac:dyDescent="0.25">
      <c r="BG197" s="301" t="str">
        <f>IF($BF197="","",_xll.ciqfunctions.udf.CIQ($BF197,"iq_offer_date"))</f>
        <v/>
      </c>
      <c r="BH197" s="302" t="str">
        <f>IF($BF197="","",RANK(BG197,$BG$11:$BG$511)+COUNTIF($BG$11:BG197,BG197)-1)</f>
        <v/>
      </c>
      <c r="BM197" s="271">
        <f t="shared" si="9"/>
        <v>187</v>
      </c>
      <c r="BO197" s="304" t="str">
        <f>IF($BN197="","",_xll.ciqfunctions.udf.CIQ($BN197,"iq_security_level"))</f>
        <v/>
      </c>
      <c r="BP197" s="271" t="str">
        <f t="shared" si="10"/>
        <v/>
      </c>
      <c r="BR197" s="271" t="str">
        <f t="shared" si="11"/>
        <v/>
      </c>
      <c r="BS197" s="305" t="str">
        <f>IF($BR197="","",_xll.ciqfunctions.udf.CIQ($BR197,"iq_bond_coupon")/100)</f>
        <v/>
      </c>
    </row>
    <row r="198" spans="59:71" ht="12" customHeight="1" x14ac:dyDescent="0.25">
      <c r="BG198" s="301" t="str">
        <f>IF($BF198="","",_xll.ciqfunctions.udf.CIQ($BF198,"iq_offer_date"))</f>
        <v/>
      </c>
      <c r="BH198" s="302" t="str">
        <f>IF($BF198="","",RANK(BG198,$BG$11:$BG$511)+COUNTIF($BG$11:BG198,BG198)-1)</f>
        <v/>
      </c>
      <c r="BM198" s="271">
        <f t="shared" si="9"/>
        <v>188</v>
      </c>
      <c r="BO198" s="304" t="str">
        <f>IF($BN198="","",_xll.ciqfunctions.udf.CIQ($BN198,"iq_security_level"))</f>
        <v/>
      </c>
      <c r="BP198" s="271" t="str">
        <f t="shared" si="10"/>
        <v/>
      </c>
      <c r="BR198" s="271" t="str">
        <f t="shared" si="11"/>
        <v/>
      </c>
      <c r="BS198" s="305" t="str">
        <f>IF($BR198="","",_xll.ciqfunctions.udf.CIQ($BR198,"iq_bond_coupon")/100)</f>
        <v/>
      </c>
    </row>
    <row r="199" spans="59:71" ht="12" customHeight="1" x14ac:dyDescent="0.25">
      <c r="BG199" s="301" t="str">
        <f>IF($BF199="","",_xll.ciqfunctions.udf.CIQ($BF199,"iq_offer_date"))</f>
        <v/>
      </c>
      <c r="BH199" s="302" t="str">
        <f>IF($BF199="","",RANK(BG199,$BG$11:$BG$511)+COUNTIF($BG$11:BG199,BG199)-1)</f>
        <v/>
      </c>
      <c r="BM199" s="271">
        <f t="shared" si="9"/>
        <v>189</v>
      </c>
      <c r="BO199" s="304" t="str">
        <f>IF($BN199="","",_xll.ciqfunctions.udf.CIQ($BN199,"iq_security_level"))</f>
        <v/>
      </c>
      <c r="BP199" s="271" t="str">
        <f t="shared" si="10"/>
        <v/>
      </c>
      <c r="BR199" s="271" t="str">
        <f t="shared" si="11"/>
        <v/>
      </c>
      <c r="BS199" s="305" t="str">
        <f>IF($BR199="","",_xll.ciqfunctions.udf.CIQ($BR199,"iq_bond_coupon")/100)</f>
        <v/>
      </c>
    </row>
    <row r="200" spans="59:71" ht="12" customHeight="1" x14ac:dyDescent="0.25">
      <c r="BG200" s="301" t="str">
        <f>IF($BF200="","",_xll.ciqfunctions.udf.CIQ($BF200,"iq_offer_date"))</f>
        <v/>
      </c>
      <c r="BH200" s="302" t="str">
        <f>IF($BF200="","",RANK(BG200,$BG$11:$BG$511)+COUNTIF($BG$11:BG200,BG200)-1)</f>
        <v/>
      </c>
      <c r="BM200" s="271">
        <f t="shared" si="9"/>
        <v>190</v>
      </c>
      <c r="BO200" s="304" t="str">
        <f>IF($BN200="","",_xll.ciqfunctions.udf.CIQ($BN200,"iq_security_level"))</f>
        <v/>
      </c>
      <c r="BP200" s="271" t="str">
        <f t="shared" si="10"/>
        <v/>
      </c>
      <c r="BR200" s="271" t="str">
        <f t="shared" si="11"/>
        <v/>
      </c>
      <c r="BS200" s="305" t="str">
        <f>IF($BR200="","",_xll.ciqfunctions.udf.CIQ($BR200,"iq_bond_coupon")/100)</f>
        <v/>
      </c>
    </row>
    <row r="201" spans="59:71" ht="12" customHeight="1" x14ac:dyDescent="0.25">
      <c r="BG201" s="301" t="str">
        <f>IF($BF201="","",_xll.ciqfunctions.udf.CIQ($BF201,"iq_offer_date"))</f>
        <v/>
      </c>
      <c r="BH201" s="302" t="str">
        <f>IF($BF201="","",RANK(BG201,$BG$11:$BG$511)+COUNTIF($BG$11:BG201,BG201)-1)</f>
        <v/>
      </c>
      <c r="BM201" s="271">
        <f t="shared" si="9"/>
        <v>191</v>
      </c>
      <c r="BO201" s="304" t="str">
        <f>IF($BN201="","",_xll.ciqfunctions.udf.CIQ($BN201,"iq_security_level"))</f>
        <v/>
      </c>
      <c r="BP201" s="271" t="str">
        <f t="shared" si="10"/>
        <v/>
      </c>
      <c r="BR201" s="271" t="str">
        <f t="shared" si="11"/>
        <v/>
      </c>
      <c r="BS201" s="305" t="str">
        <f>IF($BR201="","",_xll.ciqfunctions.udf.CIQ($BR201,"iq_bond_coupon")/100)</f>
        <v/>
      </c>
    </row>
    <row r="202" spans="59:71" ht="12" customHeight="1" x14ac:dyDescent="0.25">
      <c r="BG202" s="301" t="str">
        <f>IF($BF202="","",_xll.ciqfunctions.udf.CIQ($BF202,"iq_offer_date"))</f>
        <v/>
      </c>
      <c r="BH202" s="302" t="str">
        <f>IF($BF202="","",RANK(BG202,$BG$11:$BG$511)+COUNTIF($BG$11:BG202,BG202)-1)</f>
        <v/>
      </c>
      <c r="BM202" s="271">
        <f t="shared" si="9"/>
        <v>192</v>
      </c>
      <c r="BO202" s="304" t="str">
        <f>IF($BN202="","",_xll.ciqfunctions.udf.CIQ($BN202,"iq_security_level"))</f>
        <v/>
      </c>
      <c r="BP202" s="271" t="str">
        <f t="shared" si="10"/>
        <v/>
      </c>
      <c r="BR202" s="271" t="str">
        <f t="shared" si="11"/>
        <v/>
      </c>
      <c r="BS202" s="305" t="str">
        <f>IF($BR202="","",_xll.ciqfunctions.udf.CIQ($BR202,"iq_bond_coupon")/100)</f>
        <v/>
      </c>
    </row>
    <row r="203" spans="59:71" ht="12" customHeight="1" x14ac:dyDescent="0.25">
      <c r="BG203" s="301" t="str">
        <f>IF($BF203="","",_xll.ciqfunctions.udf.CIQ($BF203,"iq_offer_date"))</f>
        <v/>
      </c>
      <c r="BH203" s="302" t="str">
        <f>IF($BF203="","",RANK(BG203,$BG$11:$BG$511)+COUNTIF($BG$11:BG203,BG203)-1)</f>
        <v/>
      </c>
      <c r="BM203" s="271">
        <f t="shared" si="9"/>
        <v>193</v>
      </c>
      <c r="BO203" s="304" t="str">
        <f>IF($BN203="","",_xll.ciqfunctions.udf.CIQ($BN203,"iq_security_level"))</f>
        <v/>
      </c>
      <c r="BP203" s="271" t="str">
        <f t="shared" si="10"/>
        <v/>
      </c>
      <c r="BR203" s="271" t="str">
        <f t="shared" si="11"/>
        <v/>
      </c>
      <c r="BS203" s="305" t="str">
        <f>IF($BR203="","",_xll.ciqfunctions.udf.CIQ($BR203,"iq_bond_coupon")/100)</f>
        <v/>
      </c>
    </row>
    <row r="204" spans="59:71" ht="12" customHeight="1" x14ac:dyDescent="0.25">
      <c r="BG204" s="301" t="str">
        <f>IF($BF204="","",_xll.ciqfunctions.udf.CIQ($BF204,"iq_offer_date"))</f>
        <v/>
      </c>
      <c r="BH204" s="302" t="str">
        <f>IF($BF204="","",RANK(BG204,$BG$11:$BG$511)+COUNTIF($BG$11:BG204,BG204)-1)</f>
        <v/>
      </c>
      <c r="BM204" s="271">
        <f t="shared" si="9"/>
        <v>194</v>
      </c>
      <c r="BO204" s="304" t="str">
        <f>IF($BN204="","",_xll.ciqfunctions.udf.CIQ($BN204,"iq_security_level"))</f>
        <v/>
      </c>
      <c r="BP204" s="271" t="str">
        <f t="shared" si="10"/>
        <v/>
      </c>
      <c r="BR204" s="271" t="str">
        <f t="shared" si="11"/>
        <v/>
      </c>
      <c r="BS204" s="305" t="str">
        <f>IF($BR204="","",_xll.ciqfunctions.udf.CIQ($BR204,"iq_bond_coupon")/100)</f>
        <v/>
      </c>
    </row>
    <row r="205" spans="59:71" ht="12" customHeight="1" x14ac:dyDescent="0.25">
      <c r="BG205" s="301" t="str">
        <f>IF($BF205="","",_xll.ciqfunctions.udf.CIQ($BF205,"iq_offer_date"))</f>
        <v/>
      </c>
      <c r="BH205" s="302" t="str">
        <f>IF($BF205="","",RANK(BG205,$BG$11:$BG$511)+COUNTIF($BG$11:BG205,BG205)-1)</f>
        <v/>
      </c>
      <c r="BM205" s="271">
        <f t="shared" ref="BM205:BM268" si="12">BM204+1</f>
        <v>195</v>
      </c>
      <c r="BO205" s="304" t="str">
        <f>IF($BN205="","",_xll.ciqfunctions.udf.CIQ($BN205,"iq_security_level"))</f>
        <v/>
      </c>
      <c r="BP205" s="271" t="str">
        <f t="shared" ref="BP205:BP268" si="13">IF(BN205="","",IF(BO205="Preferred",BP204+1,BP204))</f>
        <v/>
      </c>
      <c r="BR205" s="271" t="str">
        <f t="shared" si="11"/>
        <v/>
      </c>
      <c r="BS205" s="305" t="str">
        <f>IF($BR205="","",_xll.ciqfunctions.udf.CIQ($BR205,"iq_bond_coupon")/100)</f>
        <v/>
      </c>
    </row>
    <row r="206" spans="59:71" ht="12" customHeight="1" x14ac:dyDescent="0.25">
      <c r="BG206" s="301" t="str">
        <f>IF($BF206="","",_xll.ciqfunctions.udf.CIQ($BF206,"iq_offer_date"))</f>
        <v/>
      </c>
      <c r="BH206" s="302" t="str">
        <f>IF($BF206="","",RANK(BG206,$BG$11:$BG$511)+COUNTIF($BG$11:BG206,BG206)-1)</f>
        <v/>
      </c>
      <c r="BM206" s="271">
        <f t="shared" si="12"/>
        <v>196</v>
      </c>
      <c r="BO206" s="304" t="str">
        <f>IF($BN206="","",_xll.ciqfunctions.udf.CIQ($BN206,"iq_security_level"))</f>
        <v/>
      </c>
      <c r="BP206" s="271" t="str">
        <f t="shared" si="13"/>
        <v/>
      </c>
      <c r="BR206" s="271" t="str">
        <f t="shared" si="11"/>
        <v/>
      </c>
      <c r="BS206" s="305" t="str">
        <f>IF($BR206="","",_xll.ciqfunctions.udf.CIQ($BR206,"iq_bond_coupon")/100)</f>
        <v/>
      </c>
    </row>
    <row r="207" spans="59:71" ht="12" customHeight="1" x14ac:dyDescent="0.25">
      <c r="BG207" s="301" t="str">
        <f>IF($BF207="","",_xll.ciqfunctions.udf.CIQ($BF207,"iq_offer_date"))</f>
        <v/>
      </c>
      <c r="BH207" s="302" t="str">
        <f>IF($BF207="","",RANK(BG207,$BG$11:$BG$511)+COUNTIF($BG$11:BG207,BG207)-1)</f>
        <v/>
      </c>
      <c r="BM207" s="271">
        <f t="shared" si="12"/>
        <v>197</v>
      </c>
      <c r="BO207" s="304" t="str">
        <f>IF($BN207="","",_xll.ciqfunctions.udf.CIQ($BN207,"iq_security_level"))</f>
        <v/>
      </c>
      <c r="BP207" s="271" t="str">
        <f t="shared" si="13"/>
        <v/>
      </c>
      <c r="BR207" s="271" t="str">
        <f t="shared" si="11"/>
        <v/>
      </c>
      <c r="BS207" s="305" t="str">
        <f>IF($BR207="","",_xll.ciqfunctions.udf.CIQ($BR207,"iq_bond_coupon")/100)</f>
        <v/>
      </c>
    </row>
    <row r="208" spans="59:71" ht="12" customHeight="1" x14ac:dyDescent="0.25">
      <c r="BG208" s="301" t="str">
        <f>IF($BF208="","",_xll.ciqfunctions.udf.CIQ($BF208,"iq_offer_date"))</f>
        <v/>
      </c>
      <c r="BH208" s="302" t="str">
        <f>IF($BF208="","",RANK(BG208,$BG$11:$BG$511)+COUNTIF($BG$11:BG208,BG208)-1)</f>
        <v/>
      </c>
      <c r="BM208" s="271">
        <f t="shared" si="12"/>
        <v>198</v>
      </c>
      <c r="BO208" s="304" t="str">
        <f>IF($BN208="","",_xll.ciqfunctions.udf.CIQ($BN208,"iq_security_level"))</f>
        <v/>
      </c>
      <c r="BP208" s="271" t="str">
        <f t="shared" si="13"/>
        <v/>
      </c>
      <c r="BR208" s="271" t="str">
        <f t="shared" si="11"/>
        <v/>
      </c>
      <c r="BS208" s="305" t="str">
        <f>IF($BR208="","",_xll.ciqfunctions.udf.CIQ($BR208,"iq_bond_coupon")/100)</f>
        <v/>
      </c>
    </row>
    <row r="209" spans="59:71" ht="12" customHeight="1" x14ac:dyDescent="0.25">
      <c r="BG209" s="301" t="str">
        <f>IF($BF209="","",_xll.ciqfunctions.udf.CIQ($BF209,"iq_offer_date"))</f>
        <v/>
      </c>
      <c r="BH209" s="302" t="str">
        <f>IF($BF209="","",RANK(BG209,$BG$11:$BG$511)+COUNTIF($BG$11:BG209,BG209)-1)</f>
        <v/>
      </c>
      <c r="BM209" s="271">
        <f t="shared" si="12"/>
        <v>199</v>
      </c>
      <c r="BO209" s="304" t="str">
        <f>IF($BN209="","",_xll.ciqfunctions.udf.CIQ($BN209,"iq_security_level"))</f>
        <v/>
      </c>
      <c r="BP209" s="271" t="str">
        <f t="shared" si="13"/>
        <v/>
      </c>
      <c r="BR209" s="271" t="str">
        <f t="shared" si="11"/>
        <v/>
      </c>
      <c r="BS209" s="305" t="str">
        <f>IF($BR209="","",_xll.ciqfunctions.udf.CIQ($BR209,"iq_bond_coupon")/100)</f>
        <v/>
      </c>
    </row>
    <row r="210" spans="59:71" ht="12" customHeight="1" x14ac:dyDescent="0.25">
      <c r="BG210" s="301" t="str">
        <f>IF($BF210="","",_xll.ciqfunctions.udf.CIQ($BF210,"iq_offer_date"))</f>
        <v/>
      </c>
      <c r="BH210" s="302" t="str">
        <f>IF($BF210="","",RANK(BG210,$BG$11:$BG$511)+COUNTIF($BG$11:BG210,BG210)-1)</f>
        <v/>
      </c>
      <c r="BM210" s="271">
        <f t="shared" si="12"/>
        <v>200</v>
      </c>
      <c r="BO210" s="304" t="str">
        <f>IF($BN210="","",_xll.ciqfunctions.udf.CIQ($BN210,"iq_security_level"))</f>
        <v/>
      </c>
      <c r="BP210" s="271" t="str">
        <f t="shared" si="13"/>
        <v/>
      </c>
      <c r="BR210" s="271" t="str">
        <f t="shared" si="11"/>
        <v/>
      </c>
      <c r="BS210" s="305" t="str">
        <f>IF($BR210="","",_xll.ciqfunctions.udf.CIQ($BR210,"iq_bond_coupon")/100)</f>
        <v/>
      </c>
    </row>
    <row r="211" spans="59:71" ht="12" customHeight="1" x14ac:dyDescent="0.25">
      <c r="BG211" s="301" t="str">
        <f>IF($BF211="","",_xll.ciqfunctions.udf.CIQ($BF211,"iq_offer_date"))</f>
        <v/>
      </c>
      <c r="BH211" s="302" t="str">
        <f>IF($BF211="","",RANK(BG211,$BG$11:$BG$511)+COUNTIF($BG$11:BG211,BG211)-1)</f>
        <v/>
      </c>
      <c r="BM211" s="271">
        <f t="shared" si="12"/>
        <v>201</v>
      </c>
      <c r="BO211" s="304" t="str">
        <f>IF($BN211="","",_xll.ciqfunctions.udf.CIQ($BN211,"iq_security_level"))</f>
        <v/>
      </c>
      <c r="BP211" s="271" t="str">
        <f t="shared" si="13"/>
        <v/>
      </c>
      <c r="BR211" s="271" t="str">
        <f t="shared" si="11"/>
        <v/>
      </c>
      <c r="BS211" s="305" t="str">
        <f>IF($BR211="","",_xll.ciqfunctions.udf.CIQ($BR211,"iq_bond_coupon")/100)</f>
        <v/>
      </c>
    </row>
    <row r="212" spans="59:71" ht="12" customHeight="1" x14ac:dyDescent="0.25">
      <c r="BG212" s="301" t="str">
        <f>IF($BF212="","",_xll.ciqfunctions.udf.CIQ($BF212,"iq_offer_date"))</f>
        <v/>
      </c>
      <c r="BH212" s="302" t="str">
        <f>IF($BF212="","",RANK(BG212,$BG$11:$BG$511)+COUNTIF($BG$11:BG212,BG212)-1)</f>
        <v/>
      </c>
      <c r="BM212" s="271">
        <f t="shared" si="12"/>
        <v>202</v>
      </c>
      <c r="BO212" s="304" t="str">
        <f>IF($BN212="","",_xll.ciqfunctions.udf.CIQ($BN212,"iq_security_level"))</f>
        <v/>
      </c>
      <c r="BP212" s="271" t="str">
        <f t="shared" si="13"/>
        <v/>
      </c>
      <c r="BR212" s="271" t="str">
        <f t="shared" si="11"/>
        <v/>
      </c>
      <c r="BS212" s="305" t="str">
        <f>IF($BR212="","",_xll.ciqfunctions.udf.CIQ($BR212,"iq_bond_coupon")/100)</f>
        <v/>
      </c>
    </row>
    <row r="213" spans="59:71" ht="12" customHeight="1" x14ac:dyDescent="0.25">
      <c r="BG213" s="301" t="str">
        <f>IF($BF213="","",_xll.ciqfunctions.udf.CIQ($BF213,"iq_offer_date"))</f>
        <v/>
      </c>
      <c r="BH213" s="302" t="str">
        <f>IF($BF213="","",RANK(BG213,$BG$11:$BG$511)+COUNTIF($BG$11:BG213,BG213)-1)</f>
        <v/>
      </c>
      <c r="BM213" s="271">
        <f t="shared" si="12"/>
        <v>203</v>
      </c>
      <c r="BO213" s="304" t="str">
        <f>IF($BN213="","",_xll.ciqfunctions.udf.CIQ($BN213,"iq_security_level"))</f>
        <v/>
      </c>
      <c r="BP213" s="271" t="str">
        <f t="shared" si="13"/>
        <v/>
      </c>
      <c r="BR213" s="271" t="str">
        <f t="shared" si="11"/>
        <v/>
      </c>
      <c r="BS213" s="305" t="str">
        <f>IF($BR213="","",_xll.ciqfunctions.udf.CIQ($BR213,"iq_bond_coupon")/100)</f>
        <v/>
      </c>
    </row>
    <row r="214" spans="59:71" ht="12" customHeight="1" x14ac:dyDescent="0.25">
      <c r="BG214" s="301" t="str">
        <f>IF($BF214="","",_xll.ciqfunctions.udf.CIQ($BF214,"iq_offer_date"))</f>
        <v/>
      </c>
      <c r="BH214" s="302" t="str">
        <f>IF($BF214="","",RANK(BG214,$BG$11:$BG$511)+COUNTIF($BG$11:BG214,BG214)-1)</f>
        <v/>
      </c>
      <c r="BM214" s="271">
        <f t="shared" si="12"/>
        <v>204</v>
      </c>
      <c r="BO214" s="304" t="str">
        <f>IF($BN214="","",_xll.ciqfunctions.udf.CIQ($BN214,"iq_security_level"))</f>
        <v/>
      </c>
      <c r="BP214" s="271" t="str">
        <f t="shared" si="13"/>
        <v/>
      </c>
      <c r="BR214" s="271" t="str">
        <f t="shared" si="11"/>
        <v/>
      </c>
      <c r="BS214" s="305" t="str">
        <f>IF($BR214="","",_xll.ciqfunctions.udf.CIQ($BR214,"iq_bond_coupon")/100)</f>
        <v/>
      </c>
    </row>
    <row r="215" spans="59:71" ht="12" customHeight="1" x14ac:dyDescent="0.25">
      <c r="BG215" s="301" t="str">
        <f>IF($BF215="","",_xll.ciqfunctions.udf.CIQ($BF215,"iq_offer_date"))</f>
        <v/>
      </c>
      <c r="BH215" s="302" t="str">
        <f>IF($BF215="","",RANK(BG215,$BG$11:$BG$511)+COUNTIF($BG$11:BG215,BG215)-1)</f>
        <v/>
      </c>
      <c r="BM215" s="271">
        <f t="shared" si="12"/>
        <v>205</v>
      </c>
      <c r="BO215" s="304" t="str">
        <f>IF($BN215="","",_xll.ciqfunctions.udf.CIQ($BN215,"iq_security_level"))</f>
        <v/>
      </c>
      <c r="BP215" s="271" t="str">
        <f t="shared" si="13"/>
        <v/>
      </c>
      <c r="BR215" s="271" t="str">
        <f t="shared" si="11"/>
        <v/>
      </c>
      <c r="BS215" s="305" t="str">
        <f>IF($BR215="","",_xll.ciqfunctions.udf.CIQ($BR215,"iq_bond_coupon")/100)</f>
        <v/>
      </c>
    </row>
    <row r="216" spans="59:71" ht="12" customHeight="1" x14ac:dyDescent="0.25">
      <c r="BG216" s="301" t="str">
        <f>IF($BF216="","",_xll.ciqfunctions.udf.CIQ($BF216,"iq_offer_date"))</f>
        <v/>
      </c>
      <c r="BH216" s="302" t="str">
        <f>IF($BF216="","",RANK(BG216,$BG$11:$BG$511)+COUNTIF($BG$11:BG216,BG216)-1)</f>
        <v/>
      </c>
      <c r="BM216" s="271">
        <f t="shared" si="12"/>
        <v>206</v>
      </c>
      <c r="BO216" s="304" t="str">
        <f>IF($BN216="","",_xll.ciqfunctions.udf.CIQ($BN216,"iq_security_level"))</f>
        <v/>
      </c>
      <c r="BP216" s="271" t="str">
        <f t="shared" si="13"/>
        <v/>
      </c>
      <c r="BR216" s="271" t="str">
        <f t="shared" si="11"/>
        <v/>
      </c>
      <c r="BS216" s="305" t="str">
        <f>IF($BR216="","",_xll.ciqfunctions.udf.CIQ($BR216,"iq_bond_coupon")/100)</f>
        <v/>
      </c>
    </row>
    <row r="217" spans="59:71" ht="12" customHeight="1" x14ac:dyDescent="0.25">
      <c r="BG217" s="301" t="str">
        <f>IF($BF217="","",_xll.ciqfunctions.udf.CIQ($BF217,"iq_offer_date"))</f>
        <v/>
      </c>
      <c r="BH217" s="302" t="str">
        <f>IF($BF217="","",RANK(BG217,$BG$11:$BG$511)+COUNTIF($BG$11:BG217,BG217)-1)</f>
        <v/>
      </c>
      <c r="BM217" s="271">
        <f t="shared" si="12"/>
        <v>207</v>
      </c>
      <c r="BO217" s="304" t="str">
        <f>IF($BN217="","",_xll.ciqfunctions.udf.CIQ($BN217,"iq_security_level"))</f>
        <v/>
      </c>
      <c r="BP217" s="271" t="str">
        <f t="shared" si="13"/>
        <v/>
      </c>
      <c r="BR217" s="271" t="str">
        <f t="shared" si="11"/>
        <v/>
      </c>
      <c r="BS217" s="305" t="str">
        <f>IF($BR217="","",_xll.ciqfunctions.udf.CIQ($BR217,"iq_bond_coupon")/100)</f>
        <v/>
      </c>
    </row>
    <row r="218" spans="59:71" ht="12" customHeight="1" x14ac:dyDescent="0.25">
      <c r="BG218" s="301" t="str">
        <f>IF($BF218="","",_xll.ciqfunctions.udf.CIQ($BF218,"iq_offer_date"))</f>
        <v/>
      </c>
      <c r="BH218" s="302" t="str">
        <f>IF($BF218="","",RANK(BG218,$BG$11:$BG$511)+COUNTIF($BG$11:BG218,BG218)-1)</f>
        <v/>
      </c>
      <c r="BM218" s="271">
        <f t="shared" si="12"/>
        <v>208</v>
      </c>
      <c r="BO218" s="304" t="str">
        <f>IF($BN218="","",_xll.ciqfunctions.udf.CIQ($BN218,"iq_security_level"))</f>
        <v/>
      </c>
      <c r="BP218" s="271" t="str">
        <f t="shared" si="13"/>
        <v/>
      </c>
      <c r="BR218" s="271" t="str">
        <f t="shared" si="11"/>
        <v/>
      </c>
      <c r="BS218" s="305" t="str">
        <f>IF($BR218="","",_xll.ciqfunctions.udf.CIQ($BR218,"iq_bond_coupon")/100)</f>
        <v/>
      </c>
    </row>
    <row r="219" spans="59:71" ht="12" customHeight="1" x14ac:dyDescent="0.25">
      <c r="BG219" s="301" t="str">
        <f>IF($BF219="","",_xll.ciqfunctions.udf.CIQ($BF219,"iq_offer_date"))</f>
        <v/>
      </c>
      <c r="BH219" s="302" t="str">
        <f>IF($BF219="","",RANK(BG219,$BG$11:$BG$511)+COUNTIF($BG$11:BG219,BG219)-1)</f>
        <v/>
      </c>
      <c r="BM219" s="271">
        <f t="shared" si="12"/>
        <v>209</v>
      </c>
      <c r="BO219" s="304" t="str">
        <f>IF($BN219="","",_xll.ciqfunctions.udf.CIQ($BN219,"iq_security_level"))</f>
        <v/>
      </c>
      <c r="BP219" s="271" t="str">
        <f t="shared" si="13"/>
        <v/>
      </c>
      <c r="BR219" s="271" t="str">
        <f t="shared" si="11"/>
        <v/>
      </c>
      <c r="BS219" s="305" t="str">
        <f>IF($BR219="","",_xll.ciqfunctions.udf.CIQ($BR219,"iq_bond_coupon")/100)</f>
        <v/>
      </c>
    </row>
    <row r="220" spans="59:71" ht="12" customHeight="1" x14ac:dyDescent="0.25">
      <c r="BG220" s="301" t="str">
        <f>IF($BF220="","",_xll.ciqfunctions.udf.CIQ($BF220,"iq_offer_date"))</f>
        <v/>
      </c>
      <c r="BH220" s="302" t="str">
        <f>IF($BF220="","",RANK(BG220,$BG$11:$BG$511)+COUNTIF($BG$11:BG220,BG220)-1)</f>
        <v/>
      </c>
      <c r="BM220" s="271">
        <f t="shared" si="12"/>
        <v>210</v>
      </c>
      <c r="BO220" s="304" t="str">
        <f>IF($BN220="","",_xll.ciqfunctions.udf.CIQ($BN220,"iq_security_level"))</f>
        <v/>
      </c>
      <c r="BP220" s="271" t="str">
        <f t="shared" si="13"/>
        <v/>
      </c>
      <c r="BR220" s="271" t="str">
        <f t="shared" si="11"/>
        <v/>
      </c>
      <c r="BS220" s="305" t="str">
        <f>IF($BR220="","",_xll.ciqfunctions.udf.CIQ($BR220,"iq_bond_coupon")/100)</f>
        <v/>
      </c>
    </row>
    <row r="221" spans="59:71" ht="12" customHeight="1" x14ac:dyDescent="0.25">
      <c r="BG221" s="301" t="str">
        <f>IF($BF221="","",_xll.ciqfunctions.udf.CIQ($BF221,"iq_offer_date"))</f>
        <v/>
      </c>
      <c r="BH221" s="302" t="str">
        <f>IF($BF221="","",RANK(BG221,$BG$11:$BG$511)+COUNTIF($BG$11:BG221,BG221)-1)</f>
        <v/>
      </c>
      <c r="BM221" s="271">
        <f t="shared" si="12"/>
        <v>211</v>
      </c>
      <c r="BO221" s="304" t="str">
        <f>IF($BN221="","",_xll.ciqfunctions.udf.CIQ($BN221,"iq_security_level"))</f>
        <v/>
      </c>
      <c r="BP221" s="271" t="str">
        <f t="shared" si="13"/>
        <v/>
      </c>
      <c r="BR221" s="271" t="str">
        <f t="shared" si="11"/>
        <v/>
      </c>
      <c r="BS221" s="305" t="str">
        <f>IF($BR221="","",_xll.ciqfunctions.udf.CIQ($BR221,"iq_bond_coupon")/100)</f>
        <v/>
      </c>
    </row>
    <row r="222" spans="59:71" ht="12" customHeight="1" x14ac:dyDescent="0.25">
      <c r="BG222" s="301" t="str">
        <f>IF($BF222="","",_xll.ciqfunctions.udf.CIQ($BF222,"iq_offer_date"))</f>
        <v/>
      </c>
      <c r="BH222" s="302" t="str">
        <f>IF($BF222="","",RANK(BG222,$BG$11:$BG$511)+COUNTIF($BG$11:BG222,BG222)-1)</f>
        <v/>
      </c>
      <c r="BM222" s="271">
        <f t="shared" si="12"/>
        <v>212</v>
      </c>
      <c r="BO222" s="304" t="str">
        <f>IF($BN222="","",_xll.ciqfunctions.udf.CIQ($BN222,"iq_security_level"))</f>
        <v/>
      </c>
      <c r="BP222" s="271" t="str">
        <f t="shared" si="13"/>
        <v/>
      </c>
      <c r="BR222" s="271" t="str">
        <f t="shared" si="11"/>
        <v/>
      </c>
      <c r="BS222" s="305" t="str">
        <f>IF($BR222="","",_xll.ciqfunctions.udf.CIQ($BR222,"iq_bond_coupon")/100)</f>
        <v/>
      </c>
    </row>
    <row r="223" spans="59:71" ht="12" customHeight="1" x14ac:dyDescent="0.25">
      <c r="BG223" s="301" t="str">
        <f>IF($BF223="","",_xll.ciqfunctions.udf.CIQ($BF223,"iq_offer_date"))</f>
        <v/>
      </c>
      <c r="BH223" s="302" t="str">
        <f>IF($BF223="","",RANK(BG223,$BG$11:$BG$511)+COUNTIF($BG$11:BG223,BG223)-1)</f>
        <v/>
      </c>
      <c r="BM223" s="271">
        <f t="shared" si="12"/>
        <v>213</v>
      </c>
      <c r="BO223" s="304" t="str">
        <f>IF($BN223="","",_xll.ciqfunctions.udf.CIQ($BN223,"iq_security_level"))</f>
        <v/>
      </c>
      <c r="BP223" s="271" t="str">
        <f t="shared" si="13"/>
        <v/>
      </c>
      <c r="BR223" s="271" t="str">
        <f t="shared" si="11"/>
        <v/>
      </c>
      <c r="BS223" s="305" t="str">
        <f>IF($BR223="","",_xll.ciqfunctions.udf.CIQ($BR223,"iq_bond_coupon")/100)</f>
        <v/>
      </c>
    </row>
    <row r="224" spans="59:71" ht="12" customHeight="1" x14ac:dyDescent="0.25">
      <c r="BG224" s="301" t="str">
        <f>IF($BF224="","",_xll.ciqfunctions.udf.CIQ($BF224,"iq_offer_date"))</f>
        <v/>
      </c>
      <c r="BH224" s="302" t="str">
        <f>IF($BF224="","",RANK(BG224,$BG$11:$BG$511)+COUNTIF($BG$11:BG224,BG224)-1)</f>
        <v/>
      </c>
      <c r="BM224" s="271">
        <f t="shared" si="12"/>
        <v>214</v>
      </c>
      <c r="BO224" s="304" t="str">
        <f>IF($BN224="","",_xll.ciqfunctions.udf.CIQ($BN224,"iq_security_level"))</f>
        <v/>
      </c>
      <c r="BP224" s="271" t="str">
        <f t="shared" si="13"/>
        <v/>
      </c>
      <c r="BR224" s="271" t="str">
        <f t="shared" si="11"/>
        <v/>
      </c>
      <c r="BS224" s="305" t="str">
        <f>IF($BR224="","",_xll.ciqfunctions.udf.CIQ($BR224,"iq_bond_coupon")/100)</f>
        <v/>
      </c>
    </row>
    <row r="225" spans="59:71" ht="12" customHeight="1" x14ac:dyDescent="0.25">
      <c r="BG225" s="301" t="str">
        <f>IF($BF225="","",_xll.ciqfunctions.udf.CIQ($BF225,"iq_offer_date"))</f>
        <v/>
      </c>
      <c r="BH225" s="302" t="str">
        <f>IF($BF225="","",RANK(BG225,$BG$11:$BG$511)+COUNTIF($BG$11:BG225,BG225)-1)</f>
        <v/>
      </c>
      <c r="BM225" s="271">
        <f t="shared" si="12"/>
        <v>215</v>
      </c>
      <c r="BO225" s="304" t="str">
        <f>IF($BN225="","",_xll.ciqfunctions.udf.CIQ($BN225,"iq_security_level"))</f>
        <v/>
      </c>
      <c r="BP225" s="271" t="str">
        <f t="shared" si="13"/>
        <v/>
      </c>
      <c r="BR225" s="271" t="str">
        <f t="shared" si="11"/>
        <v/>
      </c>
      <c r="BS225" s="305" t="str">
        <f>IF($BR225="","",_xll.ciqfunctions.udf.CIQ($BR225,"iq_bond_coupon")/100)</f>
        <v/>
      </c>
    </row>
    <row r="226" spans="59:71" ht="12" customHeight="1" x14ac:dyDescent="0.25">
      <c r="BG226" s="301" t="str">
        <f>IF($BF226="","",_xll.ciqfunctions.udf.CIQ($BF226,"iq_offer_date"))</f>
        <v/>
      </c>
      <c r="BH226" s="302" t="str">
        <f>IF($BF226="","",RANK(BG226,$BG$11:$BG$511)+COUNTIF($BG$11:BG226,BG226)-1)</f>
        <v/>
      </c>
      <c r="BM226" s="271">
        <f t="shared" si="12"/>
        <v>216</v>
      </c>
      <c r="BO226" s="304" t="str">
        <f>IF($BN226="","",_xll.ciqfunctions.udf.CIQ($BN226,"iq_security_level"))</f>
        <v/>
      </c>
      <c r="BP226" s="271" t="str">
        <f t="shared" si="13"/>
        <v/>
      </c>
      <c r="BR226" s="271" t="str">
        <f t="shared" si="11"/>
        <v/>
      </c>
      <c r="BS226" s="305" t="str">
        <f>IF($BR226="","",_xll.ciqfunctions.udf.CIQ($BR226,"iq_bond_coupon")/100)</f>
        <v/>
      </c>
    </row>
    <row r="227" spans="59:71" ht="12" customHeight="1" x14ac:dyDescent="0.25">
      <c r="BG227" s="301" t="str">
        <f>IF($BF227="","",_xll.ciqfunctions.udf.CIQ($BF227,"iq_offer_date"))</f>
        <v/>
      </c>
      <c r="BH227" s="302" t="str">
        <f>IF($BF227="","",RANK(BG227,$BG$11:$BG$511)+COUNTIF($BG$11:BG227,BG227)-1)</f>
        <v/>
      </c>
      <c r="BM227" s="271">
        <f t="shared" si="12"/>
        <v>217</v>
      </c>
      <c r="BO227" s="304" t="str">
        <f>IF($BN227="","",_xll.ciqfunctions.udf.CIQ($BN227,"iq_security_level"))</f>
        <v/>
      </c>
      <c r="BP227" s="271" t="str">
        <f t="shared" si="13"/>
        <v/>
      </c>
      <c r="BR227" s="271" t="str">
        <f t="shared" si="11"/>
        <v/>
      </c>
      <c r="BS227" s="305" t="str">
        <f>IF($BR227="","",_xll.ciqfunctions.udf.CIQ($BR227,"iq_bond_coupon")/100)</f>
        <v/>
      </c>
    </row>
    <row r="228" spans="59:71" ht="12" customHeight="1" x14ac:dyDescent="0.25">
      <c r="BG228" s="301" t="str">
        <f>IF($BF228="","",_xll.ciqfunctions.udf.CIQ($BF228,"iq_offer_date"))</f>
        <v/>
      </c>
      <c r="BH228" s="302" t="str">
        <f>IF($BF228="","",RANK(BG228,$BG$11:$BG$511)+COUNTIF($BG$11:BG228,BG228)-1)</f>
        <v/>
      </c>
      <c r="BM228" s="271">
        <f t="shared" si="12"/>
        <v>218</v>
      </c>
      <c r="BO228" s="304" t="str">
        <f>IF($BN228="","",_xll.ciqfunctions.udf.CIQ($BN228,"iq_security_level"))</f>
        <v/>
      </c>
      <c r="BP228" s="271" t="str">
        <f t="shared" si="13"/>
        <v/>
      </c>
      <c r="BR228" s="271" t="str">
        <f t="shared" si="11"/>
        <v/>
      </c>
      <c r="BS228" s="305" t="str">
        <f>IF($BR228="","",_xll.ciqfunctions.udf.CIQ($BR228,"iq_bond_coupon")/100)</f>
        <v/>
      </c>
    </row>
    <row r="229" spans="59:71" ht="12" customHeight="1" x14ac:dyDescent="0.25">
      <c r="BG229" s="301" t="str">
        <f>IF($BF229="","",_xll.ciqfunctions.udf.CIQ($BF229,"iq_offer_date"))</f>
        <v/>
      </c>
      <c r="BH229" s="302" t="str">
        <f>IF($BF229="","",RANK(BG229,$BG$11:$BG$511)+COUNTIF($BG$11:BG229,BG229)-1)</f>
        <v/>
      </c>
      <c r="BM229" s="271">
        <f t="shared" si="12"/>
        <v>219</v>
      </c>
      <c r="BO229" s="304" t="str">
        <f>IF($BN229="","",_xll.ciqfunctions.udf.CIQ($BN229,"iq_security_level"))</f>
        <v/>
      </c>
      <c r="BP229" s="271" t="str">
        <f t="shared" si="13"/>
        <v/>
      </c>
      <c r="BR229" s="271" t="str">
        <f t="shared" si="11"/>
        <v/>
      </c>
      <c r="BS229" s="305" t="str">
        <f>IF($BR229="","",_xll.ciqfunctions.udf.CIQ($BR229,"iq_bond_coupon")/100)</f>
        <v/>
      </c>
    </row>
    <row r="230" spans="59:71" ht="12" customHeight="1" x14ac:dyDescent="0.25">
      <c r="BG230" s="301" t="str">
        <f>IF($BF230="","",_xll.ciqfunctions.udf.CIQ($BF230,"iq_offer_date"))</f>
        <v/>
      </c>
      <c r="BH230" s="302" t="str">
        <f>IF($BF230="","",RANK(BG230,$BG$11:$BG$511)+COUNTIF($BG$11:BG230,BG230)-1)</f>
        <v/>
      </c>
      <c r="BM230" s="271">
        <f t="shared" si="12"/>
        <v>220</v>
      </c>
      <c r="BO230" s="304" t="str">
        <f>IF($BN230="","",_xll.ciqfunctions.udf.CIQ($BN230,"iq_security_level"))</f>
        <v/>
      </c>
      <c r="BP230" s="271" t="str">
        <f t="shared" si="13"/>
        <v/>
      </c>
      <c r="BR230" s="271" t="str">
        <f t="shared" si="11"/>
        <v/>
      </c>
      <c r="BS230" s="305" t="str">
        <f>IF($BR230="","",_xll.ciqfunctions.udf.CIQ($BR230,"iq_bond_coupon")/100)</f>
        <v/>
      </c>
    </row>
    <row r="231" spans="59:71" ht="12" customHeight="1" x14ac:dyDescent="0.25">
      <c r="BG231" s="301" t="str">
        <f>IF($BF231="","",_xll.ciqfunctions.udf.CIQ($BF231,"iq_offer_date"))</f>
        <v/>
      </c>
      <c r="BH231" s="302" t="str">
        <f>IF($BF231="","",RANK(BG231,$BG$11:$BG$511)+COUNTIF($BG$11:BG231,BG231)-1)</f>
        <v/>
      </c>
      <c r="BM231" s="271">
        <f t="shared" si="12"/>
        <v>221</v>
      </c>
      <c r="BO231" s="304" t="str">
        <f>IF($BN231="","",_xll.ciqfunctions.udf.CIQ($BN231,"iq_security_level"))</f>
        <v/>
      </c>
      <c r="BP231" s="271" t="str">
        <f t="shared" si="13"/>
        <v/>
      </c>
      <c r="BR231" s="271" t="str">
        <f t="shared" si="11"/>
        <v/>
      </c>
      <c r="BS231" s="305" t="str">
        <f>IF($BR231="","",_xll.ciqfunctions.udf.CIQ($BR231,"iq_bond_coupon")/100)</f>
        <v/>
      </c>
    </row>
    <row r="232" spans="59:71" ht="12" customHeight="1" x14ac:dyDescent="0.25">
      <c r="BG232" s="301" t="str">
        <f>IF($BF232="","",_xll.ciqfunctions.udf.CIQ($BF232,"iq_offer_date"))</f>
        <v/>
      </c>
      <c r="BH232" s="302" t="str">
        <f>IF($BF232="","",RANK(BG232,$BG$11:$BG$511)+COUNTIF($BG$11:BG232,BG232)-1)</f>
        <v/>
      </c>
      <c r="BM232" s="271">
        <f t="shared" si="12"/>
        <v>222</v>
      </c>
      <c r="BO232" s="304" t="str">
        <f>IF($BN232="","",_xll.ciqfunctions.udf.CIQ($BN232,"iq_security_level"))</f>
        <v/>
      </c>
      <c r="BP232" s="271" t="str">
        <f t="shared" si="13"/>
        <v/>
      </c>
      <c r="BR232" s="271" t="str">
        <f t="shared" si="11"/>
        <v/>
      </c>
      <c r="BS232" s="305" t="str">
        <f>IF($BR232="","",_xll.ciqfunctions.udf.CIQ($BR232,"iq_bond_coupon")/100)</f>
        <v/>
      </c>
    </row>
    <row r="233" spans="59:71" ht="12" customHeight="1" x14ac:dyDescent="0.25">
      <c r="BG233" s="301" t="str">
        <f>IF($BF233="","",_xll.ciqfunctions.udf.CIQ($BF233,"iq_offer_date"))</f>
        <v/>
      </c>
      <c r="BH233" s="302" t="str">
        <f>IF($BF233="","",RANK(BG233,$BG$11:$BG$511)+COUNTIF($BG$11:BG233,BG233)-1)</f>
        <v/>
      </c>
      <c r="BM233" s="271">
        <f t="shared" si="12"/>
        <v>223</v>
      </c>
      <c r="BO233" s="304" t="str">
        <f>IF($BN233="","",_xll.ciqfunctions.udf.CIQ($BN233,"iq_security_level"))</f>
        <v/>
      </c>
      <c r="BP233" s="271" t="str">
        <f t="shared" si="13"/>
        <v/>
      </c>
      <c r="BR233" s="271" t="str">
        <f t="shared" si="11"/>
        <v/>
      </c>
      <c r="BS233" s="305" t="str">
        <f>IF($BR233="","",_xll.ciqfunctions.udf.CIQ($BR233,"iq_bond_coupon")/100)</f>
        <v/>
      </c>
    </row>
    <row r="234" spans="59:71" ht="12" customHeight="1" x14ac:dyDescent="0.25">
      <c r="BG234" s="301" t="str">
        <f>IF($BF234="","",_xll.ciqfunctions.udf.CIQ($BF234,"iq_offer_date"))</f>
        <v/>
      </c>
      <c r="BH234" s="302" t="str">
        <f>IF($BF234="","",RANK(BG234,$BG$11:$BG$511)+COUNTIF($BG$11:BG234,BG234)-1)</f>
        <v/>
      </c>
      <c r="BM234" s="271">
        <f t="shared" si="12"/>
        <v>224</v>
      </c>
      <c r="BO234" s="304" t="str">
        <f>IF($BN234="","",_xll.ciqfunctions.udf.CIQ($BN234,"iq_security_level"))</f>
        <v/>
      </c>
      <c r="BP234" s="271" t="str">
        <f t="shared" si="13"/>
        <v/>
      </c>
      <c r="BR234" s="271" t="str">
        <f t="shared" si="11"/>
        <v/>
      </c>
      <c r="BS234" s="305" t="str">
        <f>IF($BR234="","",_xll.ciqfunctions.udf.CIQ($BR234,"iq_bond_coupon")/100)</f>
        <v/>
      </c>
    </row>
    <row r="235" spans="59:71" x14ac:dyDescent="0.25">
      <c r="BG235" s="301" t="str">
        <f>IF($BF235="","",_xll.ciqfunctions.udf.CIQ($BF235,"iq_offer_date"))</f>
        <v/>
      </c>
      <c r="BH235" s="302" t="str">
        <f>IF($BF235="","",RANK(BG235,$BG$11:$BG$511)+COUNTIF($BG$11:BG235,BG235)-1)</f>
        <v/>
      </c>
      <c r="BM235" s="271">
        <f t="shared" si="12"/>
        <v>225</v>
      </c>
      <c r="BO235" s="304" t="str">
        <f>IF($BN235="","",_xll.ciqfunctions.udf.CIQ($BN235,"iq_security_level"))</f>
        <v/>
      </c>
      <c r="BP235" s="271" t="str">
        <f t="shared" si="13"/>
        <v/>
      </c>
      <c r="BR235" s="271" t="str">
        <f t="shared" si="11"/>
        <v/>
      </c>
      <c r="BS235" s="305" t="str">
        <f>IF($BR235="","",_xll.ciqfunctions.udf.CIQ($BR235,"iq_bond_coupon")/100)</f>
        <v/>
      </c>
    </row>
    <row r="236" spans="59:71" x14ac:dyDescent="0.25">
      <c r="BG236" s="301" t="str">
        <f>IF($BF236="","",_xll.ciqfunctions.udf.CIQ($BF236,"iq_offer_date"))</f>
        <v/>
      </c>
      <c r="BH236" s="302" t="str">
        <f>IF($BF236="","",RANK(BG236,$BG$11:$BG$511)+COUNTIF($BG$11:BG236,BG236)-1)</f>
        <v/>
      </c>
      <c r="BM236" s="271">
        <f t="shared" si="12"/>
        <v>226</v>
      </c>
      <c r="BO236" s="304" t="str">
        <f>IF($BN236="","",_xll.ciqfunctions.udf.CIQ($BN236,"iq_security_level"))</f>
        <v/>
      </c>
      <c r="BP236" s="271" t="str">
        <f t="shared" si="13"/>
        <v/>
      </c>
      <c r="BR236" s="271" t="str">
        <f t="shared" si="11"/>
        <v/>
      </c>
      <c r="BS236" s="305" t="str">
        <f>IF($BR236="","",_xll.ciqfunctions.udf.CIQ($BR236,"iq_bond_coupon")/100)</f>
        <v/>
      </c>
    </row>
    <row r="237" spans="59:71" x14ac:dyDescent="0.25">
      <c r="BG237" s="301" t="str">
        <f>IF($BF237="","",_xll.ciqfunctions.udf.CIQ($BF237,"iq_offer_date"))</f>
        <v/>
      </c>
      <c r="BH237" s="302" t="str">
        <f>IF($BF237="","",RANK(BG237,$BG$11:$BG$511)+COUNTIF($BG$11:BG237,BG237)-1)</f>
        <v/>
      </c>
      <c r="BM237" s="271">
        <f t="shared" si="12"/>
        <v>227</v>
      </c>
      <c r="BO237" s="304" t="str">
        <f>IF($BN237="","",_xll.ciqfunctions.udf.CIQ($BN237,"iq_security_level"))</f>
        <v/>
      </c>
      <c r="BP237" s="271" t="str">
        <f t="shared" si="13"/>
        <v/>
      </c>
      <c r="BR237" s="271" t="str">
        <f t="shared" si="11"/>
        <v/>
      </c>
      <c r="BS237" s="305" t="str">
        <f>IF($BR237="","",_xll.ciqfunctions.udf.CIQ($BR237,"iq_bond_coupon")/100)</f>
        <v/>
      </c>
    </row>
    <row r="238" spans="59:71" x14ac:dyDescent="0.25">
      <c r="BG238" s="301" t="str">
        <f>IF($BF238="","",_xll.ciqfunctions.udf.CIQ($BF238,"iq_offer_date"))</f>
        <v/>
      </c>
      <c r="BH238" s="302" t="str">
        <f>IF($BF238="","",RANK(BG238,$BG$11:$BG$511)+COUNTIF($BG$11:BG238,BG238)-1)</f>
        <v/>
      </c>
      <c r="BM238" s="271">
        <f t="shared" si="12"/>
        <v>228</v>
      </c>
      <c r="BO238" s="304" t="str">
        <f>IF($BN238="","",_xll.ciqfunctions.udf.CIQ($BN238,"iq_security_level"))</f>
        <v/>
      </c>
      <c r="BP238" s="271" t="str">
        <f t="shared" si="13"/>
        <v/>
      </c>
      <c r="BR238" s="271" t="str">
        <f t="shared" si="11"/>
        <v/>
      </c>
      <c r="BS238" s="305" t="str">
        <f>IF($BR238="","",_xll.ciqfunctions.udf.CIQ($BR238,"iq_bond_coupon")/100)</f>
        <v/>
      </c>
    </row>
    <row r="239" spans="59:71" x14ac:dyDescent="0.25">
      <c r="BG239" s="301" t="str">
        <f>IF($BF239="","",_xll.ciqfunctions.udf.CIQ($BF239,"iq_offer_date"))</f>
        <v/>
      </c>
      <c r="BH239" s="302" t="str">
        <f>IF($BF239="","",RANK(BG239,$BG$11:$BG$511)+COUNTIF($BG$11:BG239,BG239)-1)</f>
        <v/>
      </c>
      <c r="BM239" s="271">
        <f t="shared" si="12"/>
        <v>229</v>
      </c>
      <c r="BO239" s="304" t="str">
        <f>IF($BN239="","",_xll.ciqfunctions.udf.CIQ($BN239,"iq_security_level"))</f>
        <v/>
      </c>
      <c r="BP239" s="271" t="str">
        <f t="shared" si="13"/>
        <v/>
      </c>
      <c r="BR239" s="271" t="str">
        <f t="shared" si="11"/>
        <v/>
      </c>
      <c r="BS239" s="305" t="str">
        <f>IF($BR239="","",_xll.ciqfunctions.udf.CIQ($BR239,"iq_bond_coupon")/100)</f>
        <v/>
      </c>
    </row>
    <row r="240" spans="59:71" x14ac:dyDescent="0.25">
      <c r="BG240" s="301" t="str">
        <f>IF($BF240="","",_xll.ciqfunctions.udf.CIQ($BF240,"iq_offer_date"))</f>
        <v/>
      </c>
      <c r="BH240" s="302" t="str">
        <f>IF($BF240="","",RANK(BG240,$BG$11:$BG$511)+COUNTIF($BG$11:BG240,BG240)-1)</f>
        <v/>
      </c>
      <c r="BM240" s="271">
        <f t="shared" si="12"/>
        <v>230</v>
      </c>
      <c r="BO240" s="304" t="str">
        <f>IF($BN240="","",_xll.ciqfunctions.udf.CIQ($BN240,"iq_security_level"))</f>
        <v/>
      </c>
      <c r="BP240" s="271" t="str">
        <f t="shared" si="13"/>
        <v/>
      </c>
      <c r="BR240" s="271" t="str">
        <f t="shared" si="11"/>
        <v/>
      </c>
      <c r="BS240" s="305" t="str">
        <f>IF($BR240="","",_xll.ciqfunctions.udf.CIQ($BR240,"iq_bond_coupon")/100)</f>
        <v/>
      </c>
    </row>
    <row r="241" spans="59:71" x14ac:dyDescent="0.25">
      <c r="BG241" s="301" t="str">
        <f>IF($BF241="","",_xll.ciqfunctions.udf.CIQ($BF241,"iq_offer_date"))</f>
        <v/>
      </c>
      <c r="BH241" s="302" t="str">
        <f>IF($BF241="","",RANK(BG241,$BG$11:$BG$511)+COUNTIF($BG$11:BG241,BG241)-1)</f>
        <v/>
      </c>
      <c r="BM241" s="271">
        <f t="shared" si="12"/>
        <v>231</v>
      </c>
      <c r="BO241" s="304" t="str">
        <f>IF($BN241="","",_xll.ciqfunctions.udf.CIQ($BN241,"iq_security_level"))</f>
        <v/>
      </c>
      <c r="BP241" s="271" t="str">
        <f t="shared" si="13"/>
        <v/>
      </c>
      <c r="BR241" s="271" t="str">
        <f t="shared" si="11"/>
        <v/>
      </c>
      <c r="BS241" s="305" t="str">
        <f>IF($BR241="","",_xll.ciqfunctions.udf.CIQ($BR241,"iq_bond_coupon")/100)</f>
        <v/>
      </c>
    </row>
    <row r="242" spans="59:71" x14ac:dyDescent="0.25">
      <c r="BG242" s="301" t="str">
        <f>IF($BF242="","",_xll.ciqfunctions.udf.CIQ($BF242,"iq_offer_date"))</f>
        <v/>
      </c>
      <c r="BH242" s="302" t="str">
        <f>IF($BF242="","",RANK(BG242,$BG$11:$BG$511)+COUNTIF($BG$11:BG242,BG242)-1)</f>
        <v/>
      </c>
      <c r="BM242" s="271">
        <f t="shared" si="12"/>
        <v>232</v>
      </c>
      <c r="BO242" s="304" t="str">
        <f>IF($BN242="","",_xll.ciqfunctions.udf.CIQ($BN242,"iq_security_level"))</f>
        <v/>
      </c>
      <c r="BP242" s="271" t="str">
        <f t="shared" si="13"/>
        <v/>
      </c>
      <c r="BR242" s="271" t="str">
        <f t="shared" si="11"/>
        <v/>
      </c>
      <c r="BS242" s="305" t="str">
        <f>IF($BR242="","",_xll.ciqfunctions.udf.CIQ($BR242,"iq_bond_coupon")/100)</f>
        <v/>
      </c>
    </row>
    <row r="243" spans="59:71" x14ac:dyDescent="0.25">
      <c r="BG243" s="301" t="str">
        <f>IF($BF243="","",_xll.ciqfunctions.udf.CIQ($BF243,"iq_offer_date"))</f>
        <v/>
      </c>
      <c r="BH243" s="302" t="str">
        <f>IF($BF243="","",RANK(BG243,$BG$11:$BG$511)+COUNTIF($BG$11:BG243,BG243)-1)</f>
        <v/>
      </c>
      <c r="BM243" s="271">
        <f t="shared" si="12"/>
        <v>233</v>
      </c>
      <c r="BO243" s="304" t="str">
        <f>IF($BN243="","",_xll.ciqfunctions.udf.CIQ($BN243,"iq_security_level"))</f>
        <v/>
      </c>
      <c r="BP243" s="271" t="str">
        <f t="shared" si="13"/>
        <v/>
      </c>
      <c r="BR243" s="271" t="str">
        <f t="shared" si="11"/>
        <v/>
      </c>
      <c r="BS243" s="305" t="str">
        <f>IF($BR243="","",_xll.ciqfunctions.udf.CIQ($BR243,"iq_bond_coupon")/100)</f>
        <v/>
      </c>
    </row>
    <row r="244" spans="59:71" x14ac:dyDescent="0.25">
      <c r="BG244" s="301" t="str">
        <f>IF($BF244="","",_xll.ciqfunctions.udf.CIQ($BF244,"iq_offer_date"))</f>
        <v/>
      </c>
      <c r="BH244" s="302" t="str">
        <f>IF($BF244="","",RANK(BG244,$BG$11:$BG$511)+COUNTIF($BG$11:BG244,BG244)-1)</f>
        <v/>
      </c>
      <c r="BM244" s="271">
        <f t="shared" si="12"/>
        <v>234</v>
      </c>
      <c r="BO244" s="304" t="str">
        <f>IF($BN244="","",_xll.ciqfunctions.udf.CIQ($BN244,"iq_security_level"))</f>
        <v/>
      </c>
      <c r="BP244" s="271" t="str">
        <f t="shared" si="13"/>
        <v/>
      </c>
      <c r="BR244" s="271" t="str">
        <f t="shared" si="11"/>
        <v/>
      </c>
      <c r="BS244" s="305" t="str">
        <f>IF($BR244="","",_xll.ciqfunctions.udf.CIQ($BR244,"iq_bond_coupon")/100)</f>
        <v/>
      </c>
    </row>
    <row r="245" spans="59:71" x14ac:dyDescent="0.25">
      <c r="BG245" s="301" t="str">
        <f>IF($BF245="","",_xll.ciqfunctions.udf.CIQ($BF245,"iq_offer_date"))</f>
        <v/>
      </c>
      <c r="BH245" s="302" t="str">
        <f>IF($BF245="","",RANK(BG245,$BG$11:$BG$511)+COUNTIF($BG$11:BG245,BG245)-1)</f>
        <v/>
      </c>
      <c r="BM245" s="271">
        <f t="shared" si="12"/>
        <v>235</v>
      </c>
      <c r="BO245" s="304" t="str">
        <f>IF($BN245="","",_xll.ciqfunctions.udf.CIQ($BN245,"iq_security_level"))</f>
        <v/>
      </c>
      <c r="BP245" s="271" t="str">
        <f t="shared" si="13"/>
        <v/>
      </c>
      <c r="BR245" s="271" t="str">
        <f t="shared" si="11"/>
        <v/>
      </c>
      <c r="BS245" s="305" t="str">
        <f>IF($BR245="","",_xll.ciqfunctions.udf.CIQ($BR245,"iq_bond_coupon")/100)</f>
        <v/>
      </c>
    </row>
    <row r="246" spans="59:71" x14ac:dyDescent="0.25">
      <c r="BG246" s="301" t="str">
        <f>IF($BF246="","",_xll.ciqfunctions.udf.CIQ($BF246,"iq_offer_date"))</f>
        <v/>
      </c>
      <c r="BH246" s="302" t="str">
        <f>IF($BF246="","",RANK(BG246,$BG$11:$BG$511)+COUNTIF($BG$11:BG246,BG246)-1)</f>
        <v/>
      </c>
      <c r="BM246" s="271">
        <f t="shared" si="12"/>
        <v>236</v>
      </c>
      <c r="BO246" s="304" t="str">
        <f>IF($BN246="","",_xll.ciqfunctions.udf.CIQ($BN246,"iq_security_level"))</f>
        <v/>
      </c>
      <c r="BP246" s="271" t="str">
        <f t="shared" si="13"/>
        <v/>
      </c>
      <c r="BR246" s="271" t="str">
        <f t="shared" ref="BR246:BR309" si="14">IF($BN245="","",IF(ISERROR(INDEX($BN$11:$BN$510,MATCH(BM245,$BP$11:$BP$510,0))),"",INDEX($BN$11:$BN$510,MATCH(BM245,$BP$11:$BP$510,0))))</f>
        <v/>
      </c>
      <c r="BS246" s="305" t="str">
        <f>IF($BR246="","",_xll.ciqfunctions.udf.CIQ($BR246,"iq_bond_coupon")/100)</f>
        <v/>
      </c>
    </row>
    <row r="247" spans="59:71" x14ac:dyDescent="0.25">
      <c r="BG247" s="301" t="str">
        <f>IF($BF247="","",_xll.ciqfunctions.udf.CIQ($BF247,"iq_offer_date"))</f>
        <v/>
      </c>
      <c r="BH247" s="302" t="str">
        <f>IF($BF247="","",RANK(BG247,$BG$11:$BG$511)+COUNTIF($BG$11:BG247,BG247)-1)</f>
        <v/>
      </c>
      <c r="BM247" s="271">
        <f t="shared" si="12"/>
        <v>237</v>
      </c>
      <c r="BO247" s="304" t="str">
        <f>IF($BN247="","",_xll.ciqfunctions.udf.CIQ($BN247,"iq_security_level"))</f>
        <v/>
      </c>
      <c r="BP247" s="271" t="str">
        <f t="shared" si="13"/>
        <v/>
      </c>
      <c r="BR247" s="271" t="str">
        <f t="shared" si="14"/>
        <v/>
      </c>
      <c r="BS247" s="305" t="str">
        <f>IF($BR247="","",_xll.ciqfunctions.udf.CIQ($BR247,"iq_bond_coupon")/100)</f>
        <v/>
      </c>
    </row>
    <row r="248" spans="59:71" x14ac:dyDescent="0.25">
      <c r="BG248" s="301" t="str">
        <f>IF($BF248="","",_xll.ciqfunctions.udf.CIQ($BF248,"iq_offer_date"))</f>
        <v/>
      </c>
      <c r="BH248" s="302" t="str">
        <f>IF($BF248="","",RANK(BG248,$BG$11:$BG$511)+COUNTIF($BG$11:BG248,BG248)-1)</f>
        <v/>
      </c>
      <c r="BM248" s="271">
        <f t="shared" si="12"/>
        <v>238</v>
      </c>
      <c r="BO248" s="304" t="str">
        <f>IF($BN248="","",_xll.ciqfunctions.udf.CIQ($BN248,"iq_security_level"))</f>
        <v/>
      </c>
      <c r="BP248" s="271" t="str">
        <f t="shared" si="13"/>
        <v/>
      </c>
      <c r="BR248" s="271" t="str">
        <f t="shared" si="14"/>
        <v/>
      </c>
      <c r="BS248" s="305" t="str">
        <f>IF($BR248="","",_xll.ciqfunctions.udf.CIQ($BR248,"iq_bond_coupon")/100)</f>
        <v/>
      </c>
    </row>
    <row r="249" spans="59:71" x14ac:dyDescent="0.25">
      <c r="BG249" s="301" t="str">
        <f>IF($BF249="","",_xll.ciqfunctions.udf.CIQ($BF249,"iq_offer_date"))</f>
        <v/>
      </c>
      <c r="BH249" s="302" t="str">
        <f>IF($BF249="","",RANK(BG249,$BG$11:$BG$511)+COUNTIF($BG$11:BG249,BG249)-1)</f>
        <v/>
      </c>
      <c r="BM249" s="271">
        <f t="shared" si="12"/>
        <v>239</v>
      </c>
      <c r="BO249" s="304" t="str">
        <f>IF($BN249="","",_xll.ciqfunctions.udf.CIQ($BN249,"iq_security_level"))</f>
        <v/>
      </c>
      <c r="BP249" s="271" t="str">
        <f t="shared" si="13"/>
        <v/>
      </c>
      <c r="BR249" s="271" t="str">
        <f t="shared" si="14"/>
        <v/>
      </c>
      <c r="BS249" s="305" t="str">
        <f>IF($BR249="","",_xll.ciqfunctions.udf.CIQ($BR249,"iq_bond_coupon")/100)</f>
        <v/>
      </c>
    </row>
    <row r="250" spans="59:71" x14ac:dyDescent="0.25">
      <c r="BG250" s="301" t="str">
        <f>IF($BF250="","",_xll.ciqfunctions.udf.CIQ($BF250,"iq_offer_date"))</f>
        <v/>
      </c>
      <c r="BH250" s="302" t="str">
        <f>IF($BF250="","",RANK(BG250,$BG$11:$BG$511)+COUNTIF($BG$11:BG250,BG250)-1)</f>
        <v/>
      </c>
      <c r="BM250" s="271">
        <f t="shared" si="12"/>
        <v>240</v>
      </c>
      <c r="BO250" s="304" t="str">
        <f>IF($BN250="","",_xll.ciqfunctions.udf.CIQ($BN250,"iq_security_level"))</f>
        <v/>
      </c>
      <c r="BP250" s="271" t="str">
        <f t="shared" si="13"/>
        <v/>
      </c>
      <c r="BR250" s="271" t="str">
        <f t="shared" si="14"/>
        <v/>
      </c>
      <c r="BS250" s="305" t="str">
        <f>IF($BR250="","",_xll.ciqfunctions.udf.CIQ($BR250,"iq_bond_coupon")/100)</f>
        <v/>
      </c>
    </row>
    <row r="251" spans="59:71" x14ac:dyDescent="0.25">
      <c r="BG251" s="301" t="str">
        <f>IF($BF251="","",_xll.ciqfunctions.udf.CIQ($BF251,"iq_offer_date"))</f>
        <v/>
      </c>
      <c r="BH251" s="302" t="str">
        <f>IF($BF251="","",RANK(BG251,$BG$11:$BG$511)+COUNTIF($BG$11:BG251,BG251)-1)</f>
        <v/>
      </c>
      <c r="BM251" s="271">
        <f t="shared" si="12"/>
        <v>241</v>
      </c>
      <c r="BO251" s="304" t="str">
        <f>IF($BN251="","",_xll.ciqfunctions.udf.CIQ($BN251,"iq_security_level"))</f>
        <v/>
      </c>
      <c r="BP251" s="271" t="str">
        <f t="shared" si="13"/>
        <v/>
      </c>
      <c r="BR251" s="271" t="str">
        <f t="shared" si="14"/>
        <v/>
      </c>
      <c r="BS251" s="305" t="str">
        <f>IF($BR251="","",_xll.ciqfunctions.udf.CIQ($BR251,"iq_bond_coupon")/100)</f>
        <v/>
      </c>
    </row>
    <row r="252" spans="59:71" x14ac:dyDescent="0.25">
      <c r="BG252" s="301" t="str">
        <f>IF($BF252="","",_xll.ciqfunctions.udf.CIQ($BF252,"iq_offer_date"))</f>
        <v/>
      </c>
      <c r="BH252" s="302" t="str">
        <f>IF($BF252="","",RANK(BG252,$BG$11:$BG$511)+COUNTIF($BG$11:BG252,BG252)-1)</f>
        <v/>
      </c>
      <c r="BM252" s="271">
        <f t="shared" si="12"/>
        <v>242</v>
      </c>
      <c r="BO252" s="304" t="str">
        <f>IF($BN252="","",_xll.ciqfunctions.udf.CIQ($BN252,"iq_security_level"))</f>
        <v/>
      </c>
      <c r="BP252" s="271" t="str">
        <f t="shared" si="13"/>
        <v/>
      </c>
      <c r="BR252" s="271" t="str">
        <f t="shared" si="14"/>
        <v/>
      </c>
      <c r="BS252" s="305" t="str">
        <f>IF($BR252="","",_xll.ciqfunctions.udf.CIQ($BR252,"iq_bond_coupon")/100)</f>
        <v/>
      </c>
    </row>
    <row r="253" spans="59:71" x14ac:dyDescent="0.25">
      <c r="BG253" s="301" t="str">
        <f>IF($BF253="","",_xll.ciqfunctions.udf.CIQ($BF253,"iq_offer_date"))</f>
        <v/>
      </c>
      <c r="BH253" s="302" t="str">
        <f>IF($BF253="","",RANK(BG253,$BG$11:$BG$511)+COUNTIF($BG$11:BG253,BG253)-1)</f>
        <v/>
      </c>
      <c r="BM253" s="271">
        <f t="shared" si="12"/>
        <v>243</v>
      </c>
      <c r="BO253" s="304" t="str">
        <f>IF($BN253="","",_xll.ciqfunctions.udf.CIQ($BN253,"iq_security_level"))</f>
        <v/>
      </c>
      <c r="BP253" s="271" t="str">
        <f t="shared" si="13"/>
        <v/>
      </c>
      <c r="BR253" s="271" t="str">
        <f t="shared" si="14"/>
        <v/>
      </c>
      <c r="BS253" s="305" t="str">
        <f>IF($BR253="","",_xll.ciqfunctions.udf.CIQ($BR253,"iq_bond_coupon")/100)</f>
        <v/>
      </c>
    </row>
    <row r="254" spans="59:71" x14ac:dyDescent="0.25">
      <c r="BG254" s="301" t="str">
        <f>IF($BF254="","",_xll.ciqfunctions.udf.CIQ($BF254,"iq_offer_date"))</f>
        <v/>
      </c>
      <c r="BH254" s="302" t="str">
        <f>IF($BF254="","",RANK(BG254,$BG$11:$BG$511)+COUNTIF($BG$11:BG254,BG254)-1)</f>
        <v/>
      </c>
      <c r="BM254" s="271">
        <f t="shared" si="12"/>
        <v>244</v>
      </c>
      <c r="BO254" s="304" t="str">
        <f>IF($BN254="","",_xll.ciqfunctions.udf.CIQ($BN254,"iq_security_level"))</f>
        <v/>
      </c>
      <c r="BP254" s="271" t="str">
        <f t="shared" si="13"/>
        <v/>
      </c>
      <c r="BR254" s="271" t="str">
        <f t="shared" si="14"/>
        <v/>
      </c>
      <c r="BS254" s="305" t="str">
        <f>IF($BR254="","",_xll.ciqfunctions.udf.CIQ($BR254,"iq_bond_coupon")/100)</f>
        <v/>
      </c>
    </row>
    <row r="255" spans="59:71" x14ac:dyDescent="0.25">
      <c r="BG255" s="301" t="str">
        <f>IF($BF255="","",_xll.ciqfunctions.udf.CIQ($BF255,"iq_offer_date"))</f>
        <v/>
      </c>
      <c r="BH255" s="302" t="str">
        <f>IF($BF255="","",RANK(BG255,$BG$11:$BG$511)+COUNTIF($BG$11:BG255,BG255)-1)</f>
        <v/>
      </c>
      <c r="BM255" s="271">
        <f t="shared" si="12"/>
        <v>245</v>
      </c>
      <c r="BO255" s="304" t="str">
        <f>IF($BN255="","",_xll.ciqfunctions.udf.CIQ($BN255,"iq_security_level"))</f>
        <v/>
      </c>
      <c r="BP255" s="271" t="str">
        <f t="shared" si="13"/>
        <v/>
      </c>
      <c r="BR255" s="271" t="str">
        <f t="shared" si="14"/>
        <v/>
      </c>
      <c r="BS255" s="305" t="str">
        <f>IF($BR255="","",_xll.ciqfunctions.udf.CIQ($BR255,"iq_bond_coupon")/100)</f>
        <v/>
      </c>
    </row>
    <row r="256" spans="59:71" x14ac:dyDescent="0.25">
      <c r="BG256" s="301" t="str">
        <f>IF($BF256="","",_xll.ciqfunctions.udf.CIQ($BF256,"iq_offer_date"))</f>
        <v/>
      </c>
      <c r="BH256" s="302" t="str">
        <f>IF($BF256="","",RANK(BG256,$BG$11:$BG$511)+COUNTIF($BG$11:BG256,BG256)-1)</f>
        <v/>
      </c>
      <c r="BM256" s="271">
        <f t="shared" si="12"/>
        <v>246</v>
      </c>
      <c r="BO256" s="304" t="str">
        <f>IF($BN256="","",_xll.ciqfunctions.udf.CIQ($BN256,"iq_security_level"))</f>
        <v/>
      </c>
      <c r="BP256" s="271" t="str">
        <f t="shared" si="13"/>
        <v/>
      </c>
      <c r="BR256" s="271" t="str">
        <f t="shared" si="14"/>
        <v/>
      </c>
      <c r="BS256" s="305" t="str">
        <f>IF($BR256="","",_xll.ciqfunctions.udf.CIQ($BR256,"iq_bond_coupon")/100)</f>
        <v/>
      </c>
    </row>
    <row r="257" spans="59:71" x14ac:dyDescent="0.25">
      <c r="BG257" s="301" t="str">
        <f>IF($BF257="","",_xll.ciqfunctions.udf.CIQ($BF257,"iq_offer_date"))</f>
        <v/>
      </c>
      <c r="BH257" s="302" t="str">
        <f>IF($BF257="","",RANK(BG257,$BG$11:$BG$511)+COUNTIF($BG$11:BG257,BG257)-1)</f>
        <v/>
      </c>
      <c r="BM257" s="271">
        <f t="shared" si="12"/>
        <v>247</v>
      </c>
      <c r="BO257" s="304" t="str">
        <f>IF($BN257="","",_xll.ciqfunctions.udf.CIQ($BN257,"iq_security_level"))</f>
        <v/>
      </c>
      <c r="BP257" s="271" t="str">
        <f t="shared" si="13"/>
        <v/>
      </c>
      <c r="BR257" s="271" t="str">
        <f t="shared" si="14"/>
        <v/>
      </c>
      <c r="BS257" s="305" t="str">
        <f>IF($BR257="","",_xll.ciqfunctions.udf.CIQ($BR257,"iq_bond_coupon")/100)</f>
        <v/>
      </c>
    </row>
    <row r="258" spans="59:71" x14ac:dyDescent="0.25">
      <c r="BG258" s="301" t="str">
        <f>IF($BF258="","",_xll.ciqfunctions.udf.CIQ($BF258,"iq_offer_date"))</f>
        <v/>
      </c>
      <c r="BH258" s="302" t="str">
        <f>IF($BF258="","",RANK(BG258,$BG$11:$BG$511)+COUNTIF($BG$11:BG258,BG258)-1)</f>
        <v/>
      </c>
      <c r="BM258" s="271">
        <f t="shared" si="12"/>
        <v>248</v>
      </c>
      <c r="BO258" s="304" t="str">
        <f>IF($BN258="","",_xll.ciqfunctions.udf.CIQ($BN258,"iq_security_level"))</f>
        <v/>
      </c>
      <c r="BP258" s="271" t="str">
        <f t="shared" si="13"/>
        <v/>
      </c>
      <c r="BR258" s="271" t="str">
        <f t="shared" si="14"/>
        <v/>
      </c>
      <c r="BS258" s="305" t="str">
        <f>IF($BR258="","",_xll.ciqfunctions.udf.CIQ($BR258,"iq_bond_coupon")/100)</f>
        <v/>
      </c>
    </row>
    <row r="259" spans="59:71" x14ac:dyDescent="0.25">
      <c r="BG259" s="301" t="str">
        <f>IF($BF259="","",_xll.ciqfunctions.udf.CIQ($BF259,"iq_offer_date"))</f>
        <v/>
      </c>
      <c r="BH259" s="302" t="str">
        <f>IF($BF259="","",RANK(BG259,$BG$11:$BG$511)+COUNTIF($BG$11:BG259,BG259)-1)</f>
        <v/>
      </c>
      <c r="BM259" s="271">
        <f t="shared" si="12"/>
        <v>249</v>
      </c>
      <c r="BO259" s="304" t="str">
        <f>IF($BN259="","",_xll.ciqfunctions.udf.CIQ($BN259,"iq_security_level"))</f>
        <v/>
      </c>
      <c r="BP259" s="271" t="str">
        <f t="shared" si="13"/>
        <v/>
      </c>
      <c r="BR259" s="271" t="str">
        <f t="shared" si="14"/>
        <v/>
      </c>
      <c r="BS259" s="305" t="str">
        <f>IF($BR259="","",_xll.ciqfunctions.udf.CIQ($BR259,"iq_bond_coupon")/100)</f>
        <v/>
      </c>
    </row>
    <row r="260" spans="59:71" x14ac:dyDescent="0.25">
      <c r="BG260" s="301" t="str">
        <f>IF($BF260="","",_xll.ciqfunctions.udf.CIQ($BF260,"iq_offer_date"))</f>
        <v/>
      </c>
      <c r="BH260" s="302" t="str">
        <f>IF($BF260="","",RANK(BG260,$BG$11:$BG$511)+COUNTIF($BG$11:BG260,BG260)-1)</f>
        <v/>
      </c>
      <c r="BM260" s="271">
        <f t="shared" si="12"/>
        <v>250</v>
      </c>
      <c r="BO260" s="304" t="str">
        <f>IF($BN260="","",_xll.ciqfunctions.udf.CIQ($BN260,"iq_security_level"))</f>
        <v/>
      </c>
      <c r="BP260" s="271" t="str">
        <f t="shared" si="13"/>
        <v/>
      </c>
      <c r="BR260" s="271" t="str">
        <f t="shared" si="14"/>
        <v/>
      </c>
      <c r="BS260" s="305" t="str">
        <f>IF($BR260="","",_xll.ciqfunctions.udf.CIQ($BR260,"iq_bond_coupon")/100)</f>
        <v/>
      </c>
    </row>
    <row r="261" spans="59:71" x14ac:dyDescent="0.25">
      <c r="BG261" s="301" t="str">
        <f>IF($BF261="","",_xll.ciqfunctions.udf.CIQ($BF261,"iq_offer_date"))</f>
        <v/>
      </c>
      <c r="BH261" s="302" t="str">
        <f>IF($BF261="","",RANK(BG261,$BG$11:$BG$511)+COUNTIF($BG$11:BG261,BG261)-1)</f>
        <v/>
      </c>
      <c r="BM261" s="271">
        <f t="shared" si="12"/>
        <v>251</v>
      </c>
      <c r="BO261" s="304" t="str">
        <f>IF($BN261="","",_xll.ciqfunctions.udf.CIQ($BN261,"iq_security_level"))</f>
        <v/>
      </c>
      <c r="BP261" s="271" t="str">
        <f t="shared" si="13"/>
        <v/>
      </c>
      <c r="BR261" s="271" t="str">
        <f t="shared" si="14"/>
        <v/>
      </c>
      <c r="BS261" s="305" t="str">
        <f>IF($BR261="","",_xll.ciqfunctions.udf.CIQ($BR261,"iq_bond_coupon")/100)</f>
        <v/>
      </c>
    </row>
    <row r="262" spans="59:71" x14ac:dyDescent="0.25">
      <c r="BG262" s="301" t="str">
        <f>IF($BF262="","",_xll.ciqfunctions.udf.CIQ($BF262,"iq_offer_date"))</f>
        <v/>
      </c>
      <c r="BH262" s="302" t="str">
        <f>IF($BF262="","",RANK(BG262,$BG$11:$BG$511)+COUNTIF($BG$11:BG262,BG262)-1)</f>
        <v/>
      </c>
      <c r="BM262" s="271">
        <f t="shared" si="12"/>
        <v>252</v>
      </c>
      <c r="BO262" s="304" t="str">
        <f>IF($BN262="","",_xll.ciqfunctions.udf.CIQ($BN262,"iq_security_level"))</f>
        <v/>
      </c>
      <c r="BP262" s="271" t="str">
        <f t="shared" si="13"/>
        <v/>
      </c>
      <c r="BR262" s="271" t="str">
        <f t="shared" si="14"/>
        <v/>
      </c>
      <c r="BS262" s="305" t="str">
        <f>IF($BR262="","",_xll.ciqfunctions.udf.CIQ($BR262,"iq_bond_coupon")/100)</f>
        <v/>
      </c>
    </row>
    <row r="263" spans="59:71" x14ac:dyDescent="0.25">
      <c r="BG263" s="301" t="str">
        <f>IF($BF263="","",_xll.ciqfunctions.udf.CIQ($BF263,"iq_offer_date"))</f>
        <v/>
      </c>
      <c r="BH263" s="302" t="str">
        <f>IF($BF263="","",RANK(BG263,$BG$11:$BG$511)+COUNTIF($BG$11:BG263,BG263)-1)</f>
        <v/>
      </c>
      <c r="BM263" s="271">
        <f t="shared" si="12"/>
        <v>253</v>
      </c>
      <c r="BO263" s="304" t="str">
        <f>IF($BN263="","",_xll.ciqfunctions.udf.CIQ($BN263,"iq_security_level"))</f>
        <v/>
      </c>
      <c r="BP263" s="271" t="str">
        <f t="shared" si="13"/>
        <v/>
      </c>
      <c r="BR263" s="271" t="str">
        <f t="shared" si="14"/>
        <v/>
      </c>
      <c r="BS263" s="305" t="str">
        <f>IF($BR263="","",_xll.ciqfunctions.udf.CIQ($BR263,"iq_bond_coupon")/100)</f>
        <v/>
      </c>
    </row>
    <row r="264" spans="59:71" x14ac:dyDescent="0.25">
      <c r="BG264" s="301" t="str">
        <f>IF($BF264="","",_xll.ciqfunctions.udf.CIQ($BF264,"iq_offer_date"))</f>
        <v/>
      </c>
      <c r="BH264" s="302" t="str">
        <f>IF($BF264="","",RANK(BG264,$BG$11:$BG$511)+COUNTIF($BG$11:BG264,BG264)-1)</f>
        <v/>
      </c>
      <c r="BM264" s="271">
        <f t="shared" si="12"/>
        <v>254</v>
      </c>
      <c r="BO264" s="304" t="str">
        <f>IF($BN264="","",_xll.ciqfunctions.udf.CIQ($BN264,"iq_security_level"))</f>
        <v/>
      </c>
      <c r="BP264" s="271" t="str">
        <f t="shared" si="13"/>
        <v/>
      </c>
      <c r="BR264" s="271" t="str">
        <f t="shared" si="14"/>
        <v/>
      </c>
      <c r="BS264" s="305" t="str">
        <f>IF($BR264="","",_xll.ciqfunctions.udf.CIQ($BR264,"iq_bond_coupon")/100)</f>
        <v/>
      </c>
    </row>
    <row r="265" spans="59:71" x14ac:dyDescent="0.25">
      <c r="BG265" s="301" t="str">
        <f>IF($BF265="","",_xll.ciqfunctions.udf.CIQ($BF265,"iq_offer_date"))</f>
        <v/>
      </c>
      <c r="BH265" s="302" t="str">
        <f>IF($BF265="","",RANK(BG265,$BG$11:$BG$511)+COUNTIF($BG$11:BG265,BG265)-1)</f>
        <v/>
      </c>
      <c r="BM265" s="271">
        <f t="shared" si="12"/>
        <v>255</v>
      </c>
      <c r="BO265" s="304" t="str">
        <f>IF($BN265="","",_xll.ciqfunctions.udf.CIQ($BN265,"iq_security_level"))</f>
        <v/>
      </c>
      <c r="BP265" s="271" t="str">
        <f t="shared" si="13"/>
        <v/>
      </c>
      <c r="BR265" s="271" t="str">
        <f t="shared" si="14"/>
        <v/>
      </c>
      <c r="BS265" s="305" t="str">
        <f>IF($BR265="","",_xll.ciqfunctions.udf.CIQ($BR265,"iq_bond_coupon")/100)</f>
        <v/>
      </c>
    </row>
    <row r="266" spans="59:71" x14ac:dyDescent="0.25">
      <c r="BG266" s="301" t="str">
        <f>IF($BF266="","",_xll.ciqfunctions.udf.CIQ($BF266,"iq_offer_date"))</f>
        <v/>
      </c>
      <c r="BH266" s="302" t="str">
        <f>IF($BF266="","",RANK(BG266,$BG$11:$BG$511)+COUNTIF($BG$11:BG266,BG266)-1)</f>
        <v/>
      </c>
      <c r="BM266" s="271">
        <f t="shared" si="12"/>
        <v>256</v>
      </c>
      <c r="BO266" s="304" t="str">
        <f>IF($BN266="","",_xll.ciqfunctions.udf.CIQ($BN266,"iq_security_level"))</f>
        <v/>
      </c>
      <c r="BP266" s="271" t="str">
        <f t="shared" si="13"/>
        <v/>
      </c>
      <c r="BR266" s="271" t="str">
        <f t="shared" si="14"/>
        <v/>
      </c>
      <c r="BS266" s="305" t="str">
        <f>IF($BR266="","",_xll.ciqfunctions.udf.CIQ($BR266,"iq_bond_coupon")/100)</f>
        <v/>
      </c>
    </row>
    <row r="267" spans="59:71" x14ac:dyDescent="0.25">
      <c r="BG267" s="301" t="str">
        <f>IF($BF267="","",_xll.ciqfunctions.udf.CIQ($BF267,"iq_offer_date"))</f>
        <v/>
      </c>
      <c r="BH267" s="302" t="str">
        <f>IF($BF267="","",RANK(BG267,$BG$11:$BG$511)+COUNTIF($BG$11:BG267,BG267)-1)</f>
        <v/>
      </c>
      <c r="BM267" s="271">
        <f t="shared" si="12"/>
        <v>257</v>
      </c>
      <c r="BO267" s="304" t="str">
        <f>IF($BN267="","",_xll.ciqfunctions.udf.CIQ($BN267,"iq_security_level"))</f>
        <v/>
      </c>
      <c r="BP267" s="271" t="str">
        <f t="shared" si="13"/>
        <v/>
      </c>
      <c r="BR267" s="271" t="str">
        <f t="shared" si="14"/>
        <v/>
      </c>
      <c r="BS267" s="305" t="str">
        <f>IF($BR267="","",_xll.ciqfunctions.udf.CIQ($BR267,"iq_bond_coupon")/100)</f>
        <v/>
      </c>
    </row>
    <row r="268" spans="59:71" x14ac:dyDescent="0.25">
      <c r="BG268" s="301" t="str">
        <f>IF($BF268="","",_xll.ciqfunctions.udf.CIQ($BF268,"iq_offer_date"))</f>
        <v/>
      </c>
      <c r="BH268" s="302" t="str">
        <f>IF($BF268="","",RANK(BG268,$BG$11:$BG$511)+COUNTIF($BG$11:BG268,BG268)-1)</f>
        <v/>
      </c>
      <c r="BM268" s="271">
        <f t="shared" si="12"/>
        <v>258</v>
      </c>
      <c r="BO268" s="304" t="str">
        <f>IF($BN268="","",_xll.ciqfunctions.udf.CIQ($BN268,"iq_security_level"))</f>
        <v/>
      </c>
      <c r="BP268" s="271" t="str">
        <f t="shared" si="13"/>
        <v/>
      </c>
      <c r="BR268" s="271" t="str">
        <f t="shared" si="14"/>
        <v/>
      </c>
      <c r="BS268" s="305" t="str">
        <f>IF($BR268="","",_xll.ciqfunctions.udf.CIQ($BR268,"iq_bond_coupon")/100)</f>
        <v/>
      </c>
    </row>
    <row r="269" spans="59:71" x14ac:dyDescent="0.25">
      <c r="BG269" s="301" t="str">
        <f>IF($BF269="","",_xll.ciqfunctions.udf.CIQ($BF269,"iq_offer_date"))</f>
        <v/>
      </c>
      <c r="BH269" s="302" t="str">
        <f>IF($BF269="","",RANK(BG269,$BG$11:$BG$511)+COUNTIF($BG$11:BG269,BG269)-1)</f>
        <v/>
      </c>
      <c r="BM269" s="271">
        <f t="shared" ref="BM269:BM332" si="15">BM268+1</f>
        <v>259</v>
      </c>
      <c r="BO269" s="304" t="str">
        <f>IF($BN269="","",_xll.ciqfunctions.udf.CIQ($BN269,"iq_security_level"))</f>
        <v/>
      </c>
      <c r="BP269" s="271" t="str">
        <f t="shared" ref="BP269:BP332" si="16">IF(BN269="","",IF(BO269="Preferred",BP268+1,BP268))</f>
        <v/>
      </c>
      <c r="BR269" s="271" t="str">
        <f t="shared" si="14"/>
        <v/>
      </c>
      <c r="BS269" s="305" t="str">
        <f>IF($BR269="","",_xll.ciqfunctions.udf.CIQ($BR269,"iq_bond_coupon")/100)</f>
        <v/>
      </c>
    </row>
    <row r="270" spans="59:71" x14ac:dyDescent="0.25">
      <c r="BG270" s="301" t="str">
        <f>IF($BF270="","",_xll.ciqfunctions.udf.CIQ($BF270,"iq_offer_date"))</f>
        <v/>
      </c>
      <c r="BH270" s="302" t="str">
        <f>IF($BF270="","",RANK(BG270,$BG$11:$BG$511)+COUNTIF($BG$11:BG270,BG270)-1)</f>
        <v/>
      </c>
      <c r="BM270" s="271">
        <f t="shared" si="15"/>
        <v>260</v>
      </c>
      <c r="BO270" s="304" t="str">
        <f>IF($BN270="","",_xll.ciqfunctions.udf.CIQ($BN270,"iq_security_level"))</f>
        <v/>
      </c>
      <c r="BP270" s="271" t="str">
        <f t="shared" si="16"/>
        <v/>
      </c>
      <c r="BR270" s="271" t="str">
        <f t="shared" si="14"/>
        <v/>
      </c>
      <c r="BS270" s="305" t="str">
        <f>IF($BR270="","",_xll.ciqfunctions.udf.CIQ($BR270,"iq_bond_coupon")/100)</f>
        <v/>
      </c>
    </row>
    <row r="271" spans="59:71" x14ac:dyDescent="0.25">
      <c r="BG271" s="301" t="str">
        <f>IF($BF271="","",_xll.ciqfunctions.udf.CIQ($BF271,"iq_offer_date"))</f>
        <v/>
      </c>
      <c r="BH271" s="302" t="str">
        <f>IF($BF271="","",RANK(BG271,$BG$11:$BG$511)+COUNTIF($BG$11:BG271,BG271)-1)</f>
        <v/>
      </c>
      <c r="BM271" s="271">
        <f t="shared" si="15"/>
        <v>261</v>
      </c>
      <c r="BO271" s="304" t="str">
        <f>IF($BN271="","",_xll.ciqfunctions.udf.CIQ($BN271,"iq_security_level"))</f>
        <v/>
      </c>
      <c r="BP271" s="271" t="str">
        <f t="shared" si="16"/>
        <v/>
      </c>
      <c r="BR271" s="271" t="str">
        <f t="shared" si="14"/>
        <v/>
      </c>
      <c r="BS271" s="305" t="str">
        <f>IF($BR271="","",_xll.ciqfunctions.udf.CIQ($BR271,"iq_bond_coupon")/100)</f>
        <v/>
      </c>
    </row>
    <row r="272" spans="59:71" x14ac:dyDescent="0.25">
      <c r="BG272" s="301" t="str">
        <f>IF($BF272="","",_xll.ciqfunctions.udf.CIQ($BF272,"iq_offer_date"))</f>
        <v/>
      </c>
      <c r="BH272" s="302" t="str">
        <f>IF($BF272="","",RANK(BG272,$BG$11:$BG$511)+COUNTIF($BG$11:BG272,BG272)-1)</f>
        <v/>
      </c>
      <c r="BM272" s="271">
        <f t="shared" si="15"/>
        <v>262</v>
      </c>
      <c r="BO272" s="304" t="str">
        <f>IF($BN272="","",_xll.ciqfunctions.udf.CIQ($BN272,"iq_security_level"))</f>
        <v/>
      </c>
      <c r="BP272" s="271" t="str">
        <f t="shared" si="16"/>
        <v/>
      </c>
      <c r="BR272" s="271" t="str">
        <f t="shared" si="14"/>
        <v/>
      </c>
      <c r="BS272" s="305" t="str">
        <f>IF($BR272="","",_xll.ciqfunctions.udf.CIQ($BR272,"iq_bond_coupon")/100)</f>
        <v/>
      </c>
    </row>
    <row r="273" spans="59:71" x14ac:dyDescent="0.25">
      <c r="BG273" s="301" t="str">
        <f>IF($BF273="","",_xll.ciqfunctions.udf.CIQ($BF273,"iq_offer_date"))</f>
        <v/>
      </c>
      <c r="BH273" s="302" t="str">
        <f>IF($BF273="","",RANK(BG273,$BG$11:$BG$511)+COUNTIF($BG$11:BG273,BG273)-1)</f>
        <v/>
      </c>
      <c r="BM273" s="271">
        <f t="shared" si="15"/>
        <v>263</v>
      </c>
      <c r="BO273" s="304" t="str">
        <f>IF($BN273="","",_xll.ciqfunctions.udf.CIQ($BN273,"iq_security_level"))</f>
        <v/>
      </c>
      <c r="BP273" s="271" t="str">
        <f t="shared" si="16"/>
        <v/>
      </c>
      <c r="BR273" s="271" t="str">
        <f t="shared" si="14"/>
        <v/>
      </c>
      <c r="BS273" s="305" t="str">
        <f>IF($BR273="","",_xll.ciqfunctions.udf.CIQ($BR273,"iq_bond_coupon")/100)</f>
        <v/>
      </c>
    </row>
    <row r="274" spans="59:71" x14ac:dyDescent="0.25">
      <c r="BG274" s="301" t="str">
        <f>IF($BF274="","",_xll.ciqfunctions.udf.CIQ($BF274,"iq_offer_date"))</f>
        <v/>
      </c>
      <c r="BH274" s="302" t="str">
        <f>IF($BF274="","",RANK(BG274,$BG$11:$BG$511)+COUNTIF($BG$11:BG274,BG274)-1)</f>
        <v/>
      </c>
      <c r="BM274" s="271">
        <f t="shared" si="15"/>
        <v>264</v>
      </c>
      <c r="BO274" s="304" t="str">
        <f>IF($BN274="","",_xll.ciqfunctions.udf.CIQ($BN274,"iq_security_level"))</f>
        <v/>
      </c>
      <c r="BP274" s="271" t="str">
        <f t="shared" si="16"/>
        <v/>
      </c>
      <c r="BR274" s="271" t="str">
        <f t="shared" si="14"/>
        <v/>
      </c>
      <c r="BS274" s="305" t="str">
        <f>IF($BR274="","",_xll.ciqfunctions.udf.CIQ($BR274,"iq_bond_coupon")/100)</f>
        <v/>
      </c>
    </row>
    <row r="275" spans="59:71" x14ac:dyDescent="0.25">
      <c r="BG275" s="301" t="str">
        <f>IF($BF275="","",_xll.ciqfunctions.udf.CIQ($BF275,"iq_offer_date"))</f>
        <v/>
      </c>
      <c r="BH275" s="302" t="str">
        <f>IF($BF275="","",RANK(BG275,$BG$11:$BG$511)+COUNTIF($BG$11:BG275,BG275)-1)</f>
        <v/>
      </c>
      <c r="BM275" s="271">
        <f t="shared" si="15"/>
        <v>265</v>
      </c>
      <c r="BO275" s="304" t="str">
        <f>IF($BN275="","",_xll.ciqfunctions.udf.CIQ($BN275,"iq_security_level"))</f>
        <v/>
      </c>
      <c r="BP275" s="271" t="str">
        <f t="shared" si="16"/>
        <v/>
      </c>
      <c r="BR275" s="271" t="str">
        <f t="shared" si="14"/>
        <v/>
      </c>
      <c r="BS275" s="305" t="str">
        <f>IF($BR275="","",_xll.ciqfunctions.udf.CIQ($BR275,"iq_bond_coupon")/100)</f>
        <v/>
      </c>
    </row>
    <row r="276" spans="59:71" x14ac:dyDescent="0.25">
      <c r="BG276" s="301" t="str">
        <f>IF($BF276="","",_xll.ciqfunctions.udf.CIQ($BF276,"iq_offer_date"))</f>
        <v/>
      </c>
      <c r="BH276" s="302" t="str">
        <f>IF($BF276="","",RANK(BG276,$BG$11:$BG$511)+COUNTIF($BG$11:BG276,BG276)-1)</f>
        <v/>
      </c>
      <c r="BM276" s="271">
        <f t="shared" si="15"/>
        <v>266</v>
      </c>
      <c r="BO276" s="304" t="str">
        <f>IF($BN276="","",_xll.ciqfunctions.udf.CIQ($BN276,"iq_security_level"))</f>
        <v/>
      </c>
      <c r="BP276" s="271" t="str">
        <f t="shared" si="16"/>
        <v/>
      </c>
      <c r="BR276" s="271" t="str">
        <f t="shared" si="14"/>
        <v/>
      </c>
      <c r="BS276" s="305" t="str">
        <f>IF($BR276="","",_xll.ciqfunctions.udf.CIQ($BR276,"iq_bond_coupon")/100)</f>
        <v/>
      </c>
    </row>
    <row r="277" spans="59:71" x14ac:dyDescent="0.25">
      <c r="BG277" s="301" t="str">
        <f>IF($BF277="","",_xll.ciqfunctions.udf.CIQ($BF277,"iq_offer_date"))</f>
        <v/>
      </c>
      <c r="BH277" s="302" t="str">
        <f>IF($BF277="","",RANK(BG277,$BG$11:$BG$511)+COUNTIF($BG$11:BG277,BG277)-1)</f>
        <v/>
      </c>
      <c r="BM277" s="271">
        <f t="shared" si="15"/>
        <v>267</v>
      </c>
      <c r="BO277" s="304" t="str">
        <f>IF($BN277="","",_xll.ciqfunctions.udf.CIQ($BN277,"iq_security_level"))</f>
        <v/>
      </c>
      <c r="BP277" s="271" t="str">
        <f t="shared" si="16"/>
        <v/>
      </c>
      <c r="BR277" s="271" t="str">
        <f t="shared" si="14"/>
        <v/>
      </c>
      <c r="BS277" s="305" t="str">
        <f>IF($BR277="","",_xll.ciqfunctions.udf.CIQ($BR277,"iq_bond_coupon")/100)</f>
        <v/>
      </c>
    </row>
    <row r="278" spans="59:71" x14ac:dyDescent="0.25">
      <c r="BG278" s="301" t="str">
        <f>IF($BF278="","",_xll.ciqfunctions.udf.CIQ($BF278,"iq_offer_date"))</f>
        <v/>
      </c>
      <c r="BH278" s="302" t="str">
        <f>IF($BF278="","",RANK(BG278,$BG$11:$BG$511)+COUNTIF($BG$11:BG278,BG278)-1)</f>
        <v/>
      </c>
      <c r="BM278" s="271">
        <f t="shared" si="15"/>
        <v>268</v>
      </c>
      <c r="BO278" s="304" t="str">
        <f>IF($BN278="","",_xll.ciqfunctions.udf.CIQ($BN278,"iq_security_level"))</f>
        <v/>
      </c>
      <c r="BP278" s="271" t="str">
        <f t="shared" si="16"/>
        <v/>
      </c>
      <c r="BR278" s="271" t="str">
        <f t="shared" si="14"/>
        <v/>
      </c>
      <c r="BS278" s="305" t="str">
        <f>IF($BR278="","",_xll.ciqfunctions.udf.CIQ($BR278,"iq_bond_coupon")/100)</f>
        <v/>
      </c>
    </row>
    <row r="279" spans="59:71" x14ac:dyDescent="0.25">
      <c r="BG279" s="301" t="str">
        <f>IF($BF279="","",_xll.ciqfunctions.udf.CIQ($BF279,"iq_offer_date"))</f>
        <v/>
      </c>
      <c r="BH279" s="302" t="str">
        <f>IF($BF279="","",RANK(BG279,$BG$11:$BG$511)+COUNTIF($BG$11:BG279,BG279)-1)</f>
        <v/>
      </c>
      <c r="BM279" s="271">
        <f t="shared" si="15"/>
        <v>269</v>
      </c>
      <c r="BO279" s="304" t="str">
        <f>IF($BN279="","",_xll.ciqfunctions.udf.CIQ($BN279,"iq_security_level"))</f>
        <v/>
      </c>
      <c r="BP279" s="271" t="str">
        <f t="shared" si="16"/>
        <v/>
      </c>
      <c r="BR279" s="271" t="str">
        <f t="shared" si="14"/>
        <v/>
      </c>
      <c r="BS279" s="305" t="str">
        <f>IF($BR279="","",_xll.ciqfunctions.udf.CIQ($BR279,"iq_bond_coupon")/100)</f>
        <v/>
      </c>
    </row>
    <row r="280" spans="59:71" x14ac:dyDescent="0.25">
      <c r="BG280" s="301" t="str">
        <f>IF($BF280="","",_xll.ciqfunctions.udf.CIQ($BF280,"iq_offer_date"))</f>
        <v/>
      </c>
      <c r="BH280" s="302" t="str">
        <f>IF($BF280="","",RANK(BG280,$BG$11:$BG$511)+COUNTIF($BG$11:BG280,BG280)-1)</f>
        <v/>
      </c>
      <c r="BM280" s="271">
        <f t="shared" si="15"/>
        <v>270</v>
      </c>
      <c r="BO280" s="304" t="str">
        <f>IF($BN280="","",_xll.ciqfunctions.udf.CIQ($BN280,"iq_security_level"))</f>
        <v/>
      </c>
      <c r="BP280" s="271" t="str">
        <f t="shared" si="16"/>
        <v/>
      </c>
      <c r="BR280" s="271" t="str">
        <f t="shared" si="14"/>
        <v/>
      </c>
      <c r="BS280" s="305" t="str">
        <f>IF($BR280="","",_xll.ciqfunctions.udf.CIQ($BR280,"iq_bond_coupon")/100)</f>
        <v/>
      </c>
    </row>
    <row r="281" spans="59:71" x14ac:dyDescent="0.25">
      <c r="BG281" s="301" t="str">
        <f>IF($BF281="","",_xll.ciqfunctions.udf.CIQ($BF281,"iq_offer_date"))</f>
        <v/>
      </c>
      <c r="BH281" s="302" t="str">
        <f>IF($BF281="","",RANK(BG281,$BG$11:$BG$511)+COUNTIF($BG$11:BG281,BG281)-1)</f>
        <v/>
      </c>
      <c r="BM281" s="271">
        <f t="shared" si="15"/>
        <v>271</v>
      </c>
      <c r="BO281" s="304" t="str">
        <f>IF($BN281="","",_xll.ciqfunctions.udf.CIQ($BN281,"iq_security_level"))</f>
        <v/>
      </c>
      <c r="BP281" s="271" t="str">
        <f t="shared" si="16"/>
        <v/>
      </c>
      <c r="BR281" s="271" t="str">
        <f t="shared" si="14"/>
        <v/>
      </c>
      <c r="BS281" s="305" t="str">
        <f>IF($BR281="","",_xll.ciqfunctions.udf.CIQ($BR281,"iq_bond_coupon")/100)</f>
        <v/>
      </c>
    </row>
    <row r="282" spans="59:71" x14ac:dyDescent="0.25">
      <c r="BG282" s="301" t="str">
        <f>IF($BF282="","",_xll.ciqfunctions.udf.CIQ($BF282,"iq_offer_date"))</f>
        <v/>
      </c>
      <c r="BH282" s="302" t="str">
        <f>IF($BF282="","",RANK(BG282,$BG$11:$BG$511)+COUNTIF($BG$11:BG282,BG282)-1)</f>
        <v/>
      </c>
      <c r="BM282" s="271">
        <f t="shared" si="15"/>
        <v>272</v>
      </c>
      <c r="BO282" s="304" t="str">
        <f>IF($BN282="","",_xll.ciqfunctions.udf.CIQ($BN282,"iq_security_level"))</f>
        <v/>
      </c>
      <c r="BP282" s="271" t="str">
        <f t="shared" si="16"/>
        <v/>
      </c>
      <c r="BR282" s="271" t="str">
        <f t="shared" si="14"/>
        <v/>
      </c>
      <c r="BS282" s="305" t="str">
        <f>IF($BR282="","",_xll.ciqfunctions.udf.CIQ($BR282,"iq_bond_coupon")/100)</f>
        <v/>
      </c>
    </row>
    <row r="283" spans="59:71" x14ac:dyDescent="0.25">
      <c r="BG283" s="301" t="str">
        <f>IF($BF283="","",_xll.ciqfunctions.udf.CIQ($BF283,"iq_offer_date"))</f>
        <v/>
      </c>
      <c r="BH283" s="302" t="str">
        <f>IF($BF283="","",RANK(BG283,$BG$11:$BG$511)+COUNTIF($BG$11:BG283,BG283)-1)</f>
        <v/>
      </c>
      <c r="BM283" s="271">
        <f t="shared" si="15"/>
        <v>273</v>
      </c>
      <c r="BO283" s="304" t="str">
        <f>IF($BN283="","",_xll.ciqfunctions.udf.CIQ($BN283,"iq_security_level"))</f>
        <v/>
      </c>
      <c r="BP283" s="271" t="str">
        <f t="shared" si="16"/>
        <v/>
      </c>
      <c r="BR283" s="271" t="str">
        <f t="shared" si="14"/>
        <v/>
      </c>
      <c r="BS283" s="305" t="str">
        <f>IF($BR283="","",_xll.ciqfunctions.udf.CIQ($BR283,"iq_bond_coupon")/100)</f>
        <v/>
      </c>
    </row>
    <row r="284" spans="59:71" x14ac:dyDescent="0.25">
      <c r="BG284" s="301" t="str">
        <f>IF($BF284="","",_xll.ciqfunctions.udf.CIQ($BF284,"iq_offer_date"))</f>
        <v/>
      </c>
      <c r="BH284" s="302" t="str">
        <f>IF($BF284="","",RANK(BG284,$BG$11:$BG$511)+COUNTIF($BG$11:BG284,BG284)-1)</f>
        <v/>
      </c>
      <c r="BM284" s="271">
        <f t="shared" si="15"/>
        <v>274</v>
      </c>
      <c r="BO284" s="304" t="str">
        <f>IF($BN284="","",_xll.ciqfunctions.udf.CIQ($BN284,"iq_security_level"))</f>
        <v/>
      </c>
      <c r="BP284" s="271" t="str">
        <f t="shared" si="16"/>
        <v/>
      </c>
      <c r="BR284" s="271" t="str">
        <f t="shared" si="14"/>
        <v/>
      </c>
      <c r="BS284" s="305" t="str">
        <f>IF($BR284="","",_xll.ciqfunctions.udf.CIQ($BR284,"iq_bond_coupon")/100)</f>
        <v/>
      </c>
    </row>
    <row r="285" spans="59:71" x14ac:dyDescent="0.25">
      <c r="BG285" s="301" t="str">
        <f>IF($BF285="","",_xll.ciqfunctions.udf.CIQ($BF285,"iq_offer_date"))</f>
        <v/>
      </c>
      <c r="BH285" s="302" t="str">
        <f>IF($BF285="","",RANK(BG285,$BG$11:$BG$511)+COUNTIF($BG$11:BG285,BG285)-1)</f>
        <v/>
      </c>
      <c r="BM285" s="271">
        <f t="shared" si="15"/>
        <v>275</v>
      </c>
      <c r="BO285" s="304" t="str">
        <f>IF($BN285="","",_xll.ciqfunctions.udf.CIQ($BN285,"iq_security_level"))</f>
        <v/>
      </c>
      <c r="BP285" s="271" t="str">
        <f t="shared" si="16"/>
        <v/>
      </c>
      <c r="BR285" s="271" t="str">
        <f t="shared" si="14"/>
        <v/>
      </c>
      <c r="BS285" s="305" t="str">
        <f>IF($BR285="","",_xll.ciqfunctions.udf.CIQ($BR285,"iq_bond_coupon")/100)</f>
        <v/>
      </c>
    </row>
    <row r="286" spans="59:71" x14ac:dyDescent="0.25">
      <c r="BG286" s="301" t="str">
        <f>IF($BF286="","",_xll.ciqfunctions.udf.CIQ($BF286,"iq_offer_date"))</f>
        <v/>
      </c>
      <c r="BH286" s="302" t="str">
        <f>IF($BF286="","",RANK(BG286,$BG$11:$BG$511)+COUNTIF($BG$11:BG286,BG286)-1)</f>
        <v/>
      </c>
      <c r="BM286" s="271">
        <f t="shared" si="15"/>
        <v>276</v>
      </c>
      <c r="BO286" s="304" t="str">
        <f>IF($BN286="","",_xll.ciqfunctions.udf.CIQ($BN286,"iq_security_level"))</f>
        <v/>
      </c>
      <c r="BP286" s="271" t="str">
        <f t="shared" si="16"/>
        <v/>
      </c>
      <c r="BR286" s="271" t="str">
        <f t="shared" si="14"/>
        <v/>
      </c>
      <c r="BS286" s="305" t="str">
        <f>IF($BR286="","",_xll.ciqfunctions.udf.CIQ($BR286,"iq_bond_coupon")/100)</f>
        <v/>
      </c>
    </row>
    <row r="287" spans="59:71" x14ac:dyDescent="0.25">
      <c r="BG287" s="301" t="str">
        <f>IF($BF287="","",_xll.ciqfunctions.udf.CIQ($BF287,"iq_offer_date"))</f>
        <v/>
      </c>
      <c r="BH287" s="302" t="str">
        <f>IF($BF287="","",RANK(BG287,$BG$11:$BG$511)+COUNTIF($BG$11:BG287,BG287)-1)</f>
        <v/>
      </c>
      <c r="BM287" s="271">
        <f t="shared" si="15"/>
        <v>277</v>
      </c>
      <c r="BO287" s="304" t="str">
        <f>IF($BN287="","",_xll.ciqfunctions.udf.CIQ($BN287,"iq_security_level"))</f>
        <v/>
      </c>
      <c r="BP287" s="271" t="str">
        <f t="shared" si="16"/>
        <v/>
      </c>
      <c r="BR287" s="271" t="str">
        <f t="shared" si="14"/>
        <v/>
      </c>
      <c r="BS287" s="305" t="str">
        <f>IF($BR287="","",_xll.ciqfunctions.udf.CIQ($BR287,"iq_bond_coupon")/100)</f>
        <v/>
      </c>
    </row>
    <row r="288" spans="59:71" x14ac:dyDescent="0.25">
      <c r="BG288" s="301" t="str">
        <f>IF($BF288="","",_xll.ciqfunctions.udf.CIQ($BF288,"iq_offer_date"))</f>
        <v/>
      </c>
      <c r="BH288" s="302" t="str">
        <f>IF($BF288="","",RANK(BG288,$BG$11:$BG$511)+COUNTIF($BG$11:BG288,BG288)-1)</f>
        <v/>
      </c>
      <c r="BM288" s="271">
        <f t="shared" si="15"/>
        <v>278</v>
      </c>
      <c r="BO288" s="304" t="str">
        <f>IF($BN288="","",_xll.ciqfunctions.udf.CIQ($BN288,"iq_security_level"))</f>
        <v/>
      </c>
      <c r="BP288" s="271" t="str">
        <f t="shared" si="16"/>
        <v/>
      </c>
      <c r="BR288" s="271" t="str">
        <f t="shared" si="14"/>
        <v/>
      </c>
      <c r="BS288" s="305" t="str">
        <f>IF($BR288="","",_xll.ciqfunctions.udf.CIQ($BR288,"iq_bond_coupon")/100)</f>
        <v/>
      </c>
    </row>
    <row r="289" spans="59:71" x14ac:dyDescent="0.25">
      <c r="BG289" s="301" t="str">
        <f>IF($BF289="","",_xll.ciqfunctions.udf.CIQ($BF289,"iq_offer_date"))</f>
        <v/>
      </c>
      <c r="BH289" s="302" t="str">
        <f>IF($BF289="","",RANK(BG289,$BG$11:$BG$511)+COUNTIF($BG$11:BG289,BG289)-1)</f>
        <v/>
      </c>
      <c r="BM289" s="271">
        <f t="shared" si="15"/>
        <v>279</v>
      </c>
      <c r="BO289" s="304" t="str">
        <f>IF($BN289="","",_xll.ciqfunctions.udf.CIQ($BN289,"iq_security_level"))</f>
        <v/>
      </c>
      <c r="BP289" s="271" t="str">
        <f t="shared" si="16"/>
        <v/>
      </c>
      <c r="BR289" s="271" t="str">
        <f t="shared" si="14"/>
        <v/>
      </c>
      <c r="BS289" s="305" t="str">
        <f>IF($BR289="","",_xll.ciqfunctions.udf.CIQ($BR289,"iq_bond_coupon")/100)</f>
        <v/>
      </c>
    </row>
    <row r="290" spans="59:71" x14ac:dyDescent="0.25">
      <c r="BG290" s="301" t="str">
        <f>IF($BF290="","",_xll.ciqfunctions.udf.CIQ($BF290,"iq_offer_date"))</f>
        <v/>
      </c>
      <c r="BH290" s="302" t="str">
        <f>IF($BF290="","",RANK(BG290,$BG$11:$BG$511)+COUNTIF($BG$11:BG290,BG290)-1)</f>
        <v/>
      </c>
      <c r="BM290" s="271">
        <f t="shared" si="15"/>
        <v>280</v>
      </c>
      <c r="BO290" s="304" t="str">
        <f>IF($BN290="","",_xll.ciqfunctions.udf.CIQ($BN290,"iq_security_level"))</f>
        <v/>
      </c>
      <c r="BP290" s="271" t="str">
        <f t="shared" si="16"/>
        <v/>
      </c>
      <c r="BR290" s="271" t="str">
        <f t="shared" si="14"/>
        <v/>
      </c>
      <c r="BS290" s="305" t="str">
        <f>IF($BR290="","",_xll.ciqfunctions.udf.CIQ($BR290,"iq_bond_coupon")/100)</f>
        <v/>
      </c>
    </row>
    <row r="291" spans="59:71" x14ac:dyDescent="0.25">
      <c r="BG291" s="301" t="str">
        <f>IF($BF291="","",_xll.ciqfunctions.udf.CIQ($BF291,"iq_offer_date"))</f>
        <v/>
      </c>
      <c r="BH291" s="302" t="str">
        <f>IF($BF291="","",RANK(BG291,$BG$11:$BG$511)+COUNTIF($BG$11:BG291,BG291)-1)</f>
        <v/>
      </c>
      <c r="BM291" s="271">
        <f t="shared" si="15"/>
        <v>281</v>
      </c>
      <c r="BO291" s="304" t="str">
        <f>IF($BN291="","",_xll.ciqfunctions.udf.CIQ($BN291,"iq_security_level"))</f>
        <v/>
      </c>
      <c r="BP291" s="271" t="str">
        <f t="shared" si="16"/>
        <v/>
      </c>
      <c r="BR291" s="271" t="str">
        <f t="shared" si="14"/>
        <v/>
      </c>
      <c r="BS291" s="305" t="str">
        <f>IF($BR291="","",_xll.ciqfunctions.udf.CIQ($BR291,"iq_bond_coupon")/100)</f>
        <v/>
      </c>
    </row>
    <row r="292" spans="59:71" x14ac:dyDescent="0.25">
      <c r="BG292" s="301" t="str">
        <f>IF($BF292="","",_xll.ciqfunctions.udf.CIQ($BF292,"iq_offer_date"))</f>
        <v/>
      </c>
      <c r="BH292" s="302" t="str">
        <f>IF($BF292="","",RANK(BG292,$BG$11:$BG$511)+COUNTIF($BG$11:BG292,BG292)-1)</f>
        <v/>
      </c>
      <c r="BM292" s="271">
        <f t="shared" si="15"/>
        <v>282</v>
      </c>
      <c r="BO292" s="304" t="str">
        <f>IF($BN292="","",_xll.ciqfunctions.udf.CIQ($BN292,"iq_security_level"))</f>
        <v/>
      </c>
      <c r="BP292" s="271" t="str">
        <f t="shared" si="16"/>
        <v/>
      </c>
      <c r="BR292" s="271" t="str">
        <f t="shared" si="14"/>
        <v/>
      </c>
      <c r="BS292" s="305" t="str">
        <f>IF($BR292="","",_xll.ciqfunctions.udf.CIQ($BR292,"iq_bond_coupon")/100)</f>
        <v/>
      </c>
    </row>
    <row r="293" spans="59:71" x14ac:dyDescent="0.25">
      <c r="BG293" s="301" t="str">
        <f>IF($BF293="","",_xll.ciqfunctions.udf.CIQ($BF293,"iq_offer_date"))</f>
        <v/>
      </c>
      <c r="BH293" s="302" t="str">
        <f>IF($BF293="","",RANK(BG293,$BG$11:$BG$511)+COUNTIF($BG$11:BG293,BG293)-1)</f>
        <v/>
      </c>
      <c r="BM293" s="271">
        <f t="shared" si="15"/>
        <v>283</v>
      </c>
      <c r="BO293" s="304" t="str">
        <f>IF($BN293="","",_xll.ciqfunctions.udf.CIQ($BN293,"iq_security_level"))</f>
        <v/>
      </c>
      <c r="BP293" s="271" t="str">
        <f t="shared" si="16"/>
        <v/>
      </c>
      <c r="BR293" s="271" t="str">
        <f t="shared" si="14"/>
        <v/>
      </c>
      <c r="BS293" s="305" t="str">
        <f>IF($BR293="","",_xll.ciqfunctions.udf.CIQ($BR293,"iq_bond_coupon")/100)</f>
        <v/>
      </c>
    </row>
    <row r="294" spans="59:71" x14ac:dyDescent="0.25">
      <c r="BG294" s="301" t="str">
        <f>IF($BF294="","",_xll.ciqfunctions.udf.CIQ($BF294,"iq_offer_date"))</f>
        <v/>
      </c>
      <c r="BH294" s="302" t="str">
        <f>IF($BF294="","",RANK(BG294,$BG$11:$BG$511)+COUNTIF($BG$11:BG294,BG294)-1)</f>
        <v/>
      </c>
      <c r="BM294" s="271">
        <f t="shared" si="15"/>
        <v>284</v>
      </c>
      <c r="BO294" s="304" t="str">
        <f>IF($BN294="","",_xll.ciqfunctions.udf.CIQ($BN294,"iq_security_level"))</f>
        <v/>
      </c>
      <c r="BP294" s="271" t="str">
        <f t="shared" si="16"/>
        <v/>
      </c>
      <c r="BR294" s="271" t="str">
        <f t="shared" si="14"/>
        <v/>
      </c>
      <c r="BS294" s="305" t="str">
        <f>IF($BR294="","",_xll.ciqfunctions.udf.CIQ($BR294,"iq_bond_coupon")/100)</f>
        <v/>
      </c>
    </row>
    <row r="295" spans="59:71" x14ac:dyDescent="0.25">
      <c r="BG295" s="301" t="str">
        <f>IF($BF295="","",_xll.ciqfunctions.udf.CIQ($BF295,"iq_offer_date"))</f>
        <v/>
      </c>
      <c r="BH295" s="302" t="str">
        <f>IF($BF295="","",RANK(BG295,$BG$11:$BG$511)+COUNTIF($BG$11:BG295,BG295)-1)</f>
        <v/>
      </c>
      <c r="BM295" s="271">
        <f t="shared" si="15"/>
        <v>285</v>
      </c>
      <c r="BO295" s="304" t="str">
        <f>IF($BN295="","",_xll.ciqfunctions.udf.CIQ($BN295,"iq_security_level"))</f>
        <v/>
      </c>
      <c r="BP295" s="271" t="str">
        <f t="shared" si="16"/>
        <v/>
      </c>
      <c r="BR295" s="271" t="str">
        <f t="shared" si="14"/>
        <v/>
      </c>
      <c r="BS295" s="305" t="str">
        <f>IF($BR295="","",_xll.ciqfunctions.udf.CIQ($BR295,"iq_bond_coupon")/100)</f>
        <v/>
      </c>
    </row>
    <row r="296" spans="59:71" x14ac:dyDescent="0.25">
      <c r="BG296" s="301" t="str">
        <f>IF($BF296="","",_xll.ciqfunctions.udf.CIQ($BF296,"iq_offer_date"))</f>
        <v/>
      </c>
      <c r="BH296" s="302" t="str">
        <f>IF($BF296="","",RANK(BG296,$BG$11:$BG$511)+COUNTIF($BG$11:BG296,BG296)-1)</f>
        <v/>
      </c>
      <c r="BM296" s="271">
        <f t="shared" si="15"/>
        <v>286</v>
      </c>
      <c r="BO296" s="304" t="str">
        <f>IF($BN296="","",_xll.ciqfunctions.udf.CIQ($BN296,"iq_security_level"))</f>
        <v/>
      </c>
      <c r="BP296" s="271" t="str">
        <f t="shared" si="16"/>
        <v/>
      </c>
      <c r="BR296" s="271" t="str">
        <f t="shared" si="14"/>
        <v/>
      </c>
      <c r="BS296" s="305" t="str">
        <f>IF($BR296="","",_xll.ciqfunctions.udf.CIQ($BR296,"iq_bond_coupon")/100)</f>
        <v/>
      </c>
    </row>
    <row r="297" spans="59:71" x14ac:dyDescent="0.25">
      <c r="BG297" s="301" t="str">
        <f>IF($BF297="","",_xll.ciqfunctions.udf.CIQ($BF297,"iq_offer_date"))</f>
        <v/>
      </c>
      <c r="BH297" s="302" t="str">
        <f>IF($BF297="","",RANK(BG297,$BG$11:$BG$511)+COUNTIF($BG$11:BG297,BG297)-1)</f>
        <v/>
      </c>
      <c r="BM297" s="271">
        <f t="shared" si="15"/>
        <v>287</v>
      </c>
      <c r="BO297" s="304" t="str">
        <f>IF($BN297="","",_xll.ciqfunctions.udf.CIQ($BN297,"iq_security_level"))</f>
        <v/>
      </c>
      <c r="BP297" s="271" t="str">
        <f t="shared" si="16"/>
        <v/>
      </c>
      <c r="BR297" s="271" t="str">
        <f t="shared" si="14"/>
        <v/>
      </c>
      <c r="BS297" s="305" t="str">
        <f>IF($BR297="","",_xll.ciqfunctions.udf.CIQ($BR297,"iq_bond_coupon")/100)</f>
        <v/>
      </c>
    </row>
    <row r="298" spans="59:71" x14ac:dyDescent="0.25">
      <c r="BG298" s="301" t="str">
        <f>IF($BF298="","",_xll.ciqfunctions.udf.CIQ($BF298,"iq_offer_date"))</f>
        <v/>
      </c>
      <c r="BH298" s="302" t="str">
        <f>IF($BF298="","",RANK(BG298,$BG$11:$BG$511)+COUNTIF($BG$11:BG298,BG298)-1)</f>
        <v/>
      </c>
      <c r="BM298" s="271">
        <f t="shared" si="15"/>
        <v>288</v>
      </c>
      <c r="BO298" s="304" t="str">
        <f>IF($BN298="","",_xll.ciqfunctions.udf.CIQ($BN298,"iq_security_level"))</f>
        <v/>
      </c>
      <c r="BP298" s="271" t="str">
        <f t="shared" si="16"/>
        <v/>
      </c>
      <c r="BR298" s="271" t="str">
        <f t="shared" si="14"/>
        <v/>
      </c>
      <c r="BS298" s="305" t="str">
        <f>IF($BR298="","",_xll.ciqfunctions.udf.CIQ($BR298,"iq_bond_coupon")/100)</f>
        <v/>
      </c>
    </row>
    <row r="299" spans="59:71" x14ac:dyDescent="0.25">
      <c r="BG299" s="301" t="str">
        <f>IF($BF299="","",_xll.ciqfunctions.udf.CIQ($BF299,"iq_offer_date"))</f>
        <v/>
      </c>
      <c r="BH299" s="302" t="str">
        <f>IF($BF299="","",RANK(BG299,$BG$11:$BG$511)+COUNTIF($BG$11:BG299,BG299)-1)</f>
        <v/>
      </c>
      <c r="BM299" s="271">
        <f t="shared" si="15"/>
        <v>289</v>
      </c>
      <c r="BO299" s="304" t="str">
        <f>IF($BN299="","",_xll.ciqfunctions.udf.CIQ($BN299,"iq_security_level"))</f>
        <v/>
      </c>
      <c r="BP299" s="271" t="str">
        <f t="shared" si="16"/>
        <v/>
      </c>
      <c r="BR299" s="271" t="str">
        <f t="shared" si="14"/>
        <v/>
      </c>
      <c r="BS299" s="305" t="str">
        <f>IF($BR299="","",_xll.ciqfunctions.udf.CIQ($BR299,"iq_bond_coupon")/100)</f>
        <v/>
      </c>
    </row>
    <row r="300" spans="59:71" x14ac:dyDescent="0.25">
      <c r="BG300" s="301" t="str">
        <f>IF($BF300="","",_xll.ciqfunctions.udf.CIQ($BF300,"iq_offer_date"))</f>
        <v/>
      </c>
      <c r="BH300" s="302" t="str">
        <f>IF($BF300="","",RANK(BG300,$BG$11:$BG$511)+COUNTIF($BG$11:BG300,BG300)-1)</f>
        <v/>
      </c>
      <c r="BM300" s="271">
        <f t="shared" si="15"/>
        <v>290</v>
      </c>
      <c r="BO300" s="304" t="str">
        <f>IF($BN300="","",_xll.ciqfunctions.udf.CIQ($BN300,"iq_security_level"))</f>
        <v/>
      </c>
      <c r="BP300" s="271" t="str">
        <f t="shared" si="16"/>
        <v/>
      </c>
      <c r="BR300" s="271" t="str">
        <f t="shared" si="14"/>
        <v/>
      </c>
      <c r="BS300" s="305" t="str">
        <f>IF($BR300="","",_xll.ciqfunctions.udf.CIQ($BR300,"iq_bond_coupon")/100)</f>
        <v/>
      </c>
    </row>
    <row r="301" spans="59:71" x14ac:dyDescent="0.25">
      <c r="BG301" s="301" t="str">
        <f>IF($BF301="","",_xll.ciqfunctions.udf.CIQ($BF301,"iq_offer_date"))</f>
        <v/>
      </c>
      <c r="BH301" s="302" t="str">
        <f>IF($BF301="","",RANK(BG301,$BG$11:$BG$511)+COUNTIF($BG$11:BG301,BG301)-1)</f>
        <v/>
      </c>
      <c r="BM301" s="271">
        <f t="shared" si="15"/>
        <v>291</v>
      </c>
      <c r="BO301" s="304" t="str">
        <f>IF($BN301="","",_xll.ciqfunctions.udf.CIQ($BN301,"iq_security_level"))</f>
        <v/>
      </c>
      <c r="BP301" s="271" t="str">
        <f t="shared" si="16"/>
        <v/>
      </c>
      <c r="BR301" s="271" t="str">
        <f t="shared" si="14"/>
        <v/>
      </c>
      <c r="BS301" s="305" t="str">
        <f>IF($BR301="","",_xll.ciqfunctions.udf.CIQ($BR301,"iq_bond_coupon")/100)</f>
        <v/>
      </c>
    </row>
    <row r="302" spans="59:71" x14ac:dyDescent="0.25">
      <c r="BG302" s="301" t="str">
        <f>IF($BF302="","",_xll.ciqfunctions.udf.CIQ($BF302,"iq_offer_date"))</f>
        <v/>
      </c>
      <c r="BH302" s="302" t="str">
        <f>IF($BF302="","",RANK(BG302,$BG$11:$BG$511)+COUNTIF($BG$11:BG302,BG302)-1)</f>
        <v/>
      </c>
      <c r="BM302" s="271">
        <f t="shared" si="15"/>
        <v>292</v>
      </c>
      <c r="BO302" s="304" t="str">
        <f>IF($BN302="","",_xll.ciqfunctions.udf.CIQ($BN302,"iq_security_level"))</f>
        <v/>
      </c>
      <c r="BP302" s="271" t="str">
        <f t="shared" si="16"/>
        <v/>
      </c>
      <c r="BR302" s="271" t="str">
        <f t="shared" si="14"/>
        <v/>
      </c>
      <c r="BS302" s="305" t="str">
        <f>IF($BR302="","",_xll.ciqfunctions.udf.CIQ($BR302,"iq_bond_coupon")/100)</f>
        <v/>
      </c>
    </row>
    <row r="303" spans="59:71" x14ac:dyDescent="0.25">
      <c r="BG303" s="301" t="str">
        <f>IF($BF303="","",_xll.ciqfunctions.udf.CIQ($BF303,"iq_offer_date"))</f>
        <v/>
      </c>
      <c r="BH303" s="302" t="str">
        <f>IF($BF303="","",RANK(BG303,$BG$11:$BG$511)+COUNTIF($BG$11:BG303,BG303)-1)</f>
        <v/>
      </c>
      <c r="BM303" s="271">
        <f t="shared" si="15"/>
        <v>293</v>
      </c>
      <c r="BO303" s="304" t="str">
        <f>IF($BN303="","",_xll.ciqfunctions.udf.CIQ($BN303,"iq_security_level"))</f>
        <v/>
      </c>
      <c r="BP303" s="271" t="str">
        <f t="shared" si="16"/>
        <v/>
      </c>
      <c r="BR303" s="271" t="str">
        <f t="shared" si="14"/>
        <v/>
      </c>
      <c r="BS303" s="305" t="str">
        <f>IF($BR303="","",_xll.ciqfunctions.udf.CIQ($BR303,"iq_bond_coupon")/100)</f>
        <v/>
      </c>
    </row>
    <row r="304" spans="59:71" x14ac:dyDescent="0.25">
      <c r="BG304" s="301" t="str">
        <f>IF($BF304="","",_xll.ciqfunctions.udf.CIQ($BF304,"iq_offer_date"))</f>
        <v/>
      </c>
      <c r="BH304" s="302" t="str">
        <f>IF($BF304="","",RANK(BG304,$BG$11:$BG$511)+COUNTIF($BG$11:BG304,BG304)-1)</f>
        <v/>
      </c>
      <c r="BM304" s="271">
        <f t="shared" si="15"/>
        <v>294</v>
      </c>
      <c r="BO304" s="304" t="str">
        <f>IF($BN304="","",_xll.ciqfunctions.udf.CIQ($BN304,"iq_security_level"))</f>
        <v/>
      </c>
      <c r="BP304" s="271" t="str">
        <f t="shared" si="16"/>
        <v/>
      </c>
      <c r="BR304" s="271" t="str">
        <f t="shared" si="14"/>
        <v/>
      </c>
      <c r="BS304" s="305" t="str">
        <f>IF($BR304="","",_xll.ciqfunctions.udf.CIQ($BR304,"iq_bond_coupon")/100)</f>
        <v/>
      </c>
    </row>
    <row r="305" spans="59:71" x14ac:dyDescent="0.25">
      <c r="BG305" s="301" t="str">
        <f>IF($BF305="","",_xll.ciqfunctions.udf.CIQ($BF305,"iq_offer_date"))</f>
        <v/>
      </c>
      <c r="BH305" s="302" t="str">
        <f>IF($BF305="","",RANK(BG305,$BG$11:$BG$511)+COUNTIF($BG$11:BG305,BG305)-1)</f>
        <v/>
      </c>
      <c r="BM305" s="271">
        <f t="shared" si="15"/>
        <v>295</v>
      </c>
      <c r="BO305" s="304" t="str">
        <f>IF($BN305="","",_xll.ciqfunctions.udf.CIQ($BN305,"iq_security_level"))</f>
        <v/>
      </c>
      <c r="BP305" s="271" t="str">
        <f t="shared" si="16"/>
        <v/>
      </c>
      <c r="BR305" s="271" t="str">
        <f t="shared" si="14"/>
        <v/>
      </c>
      <c r="BS305" s="305" t="str">
        <f>IF($BR305="","",_xll.ciqfunctions.udf.CIQ($BR305,"iq_bond_coupon")/100)</f>
        <v/>
      </c>
    </row>
    <row r="306" spans="59:71" x14ac:dyDescent="0.25">
      <c r="BG306" s="301" t="str">
        <f>IF($BF306="","",_xll.ciqfunctions.udf.CIQ($BF306,"iq_offer_date"))</f>
        <v/>
      </c>
      <c r="BH306" s="302" t="str">
        <f>IF($BF306="","",RANK(BG306,$BG$11:$BG$511)+COUNTIF($BG$11:BG306,BG306)-1)</f>
        <v/>
      </c>
      <c r="BM306" s="271">
        <f t="shared" si="15"/>
        <v>296</v>
      </c>
      <c r="BO306" s="304" t="str">
        <f>IF($BN306="","",_xll.ciqfunctions.udf.CIQ($BN306,"iq_security_level"))</f>
        <v/>
      </c>
      <c r="BP306" s="271" t="str">
        <f t="shared" si="16"/>
        <v/>
      </c>
      <c r="BR306" s="271" t="str">
        <f t="shared" si="14"/>
        <v/>
      </c>
      <c r="BS306" s="305" t="str">
        <f>IF($BR306="","",_xll.ciqfunctions.udf.CIQ($BR306,"iq_bond_coupon")/100)</f>
        <v/>
      </c>
    </row>
    <row r="307" spans="59:71" x14ac:dyDescent="0.25">
      <c r="BG307" s="301" t="str">
        <f>IF($BF307="","",_xll.ciqfunctions.udf.CIQ($BF307,"iq_offer_date"))</f>
        <v/>
      </c>
      <c r="BH307" s="302" t="str">
        <f>IF($BF307="","",RANK(BG307,$BG$11:$BG$511)+COUNTIF($BG$11:BG307,BG307)-1)</f>
        <v/>
      </c>
      <c r="BM307" s="271">
        <f t="shared" si="15"/>
        <v>297</v>
      </c>
      <c r="BO307" s="304" t="str">
        <f>IF($BN307="","",_xll.ciqfunctions.udf.CIQ($BN307,"iq_security_level"))</f>
        <v/>
      </c>
      <c r="BP307" s="271" t="str">
        <f t="shared" si="16"/>
        <v/>
      </c>
      <c r="BR307" s="271" t="str">
        <f t="shared" si="14"/>
        <v/>
      </c>
      <c r="BS307" s="305" t="str">
        <f>IF($BR307="","",_xll.ciqfunctions.udf.CIQ($BR307,"iq_bond_coupon")/100)</f>
        <v/>
      </c>
    </row>
    <row r="308" spans="59:71" x14ac:dyDescent="0.25">
      <c r="BG308" s="301" t="str">
        <f>IF($BF308="","",_xll.ciqfunctions.udf.CIQ($BF308,"iq_offer_date"))</f>
        <v/>
      </c>
      <c r="BH308" s="302" t="str">
        <f>IF($BF308="","",RANK(BG308,$BG$11:$BG$511)+COUNTIF($BG$11:BG308,BG308)-1)</f>
        <v/>
      </c>
      <c r="BM308" s="271">
        <f t="shared" si="15"/>
        <v>298</v>
      </c>
      <c r="BO308" s="304" t="str">
        <f>IF($BN308="","",_xll.ciqfunctions.udf.CIQ($BN308,"iq_security_level"))</f>
        <v/>
      </c>
      <c r="BP308" s="271" t="str">
        <f t="shared" si="16"/>
        <v/>
      </c>
      <c r="BR308" s="271" t="str">
        <f t="shared" si="14"/>
        <v/>
      </c>
      <c r="BS308" s="305" t="str">
        <f>IF($BR308="","",_xll.ciqfunctions.udf.CIQ($BR308,"iq_bond_coupon")/100)</f>
        <v/>
      </c>
    </row>
    <row r="309" spans="59:71" x14ac:dyDescent="0.25">
      <c r="BG309" s="301" t="str">
        <f>IF($BF309="","",_xll.ciqfunctions.udf.CIQ($BF309,"iq_offer_date"))</f>
        <v/>
      </c>
      <c r="BH309" s="302" t="str">
        <f>IF($BF309="","",RANK(BG309,$BG$11:$BG$511)+COUNTIF($BG$11:BG309,BG309)-1)</f>
        <v/>
      </c>
      <c r="BM309" s="271">
        <f t="shared" si="15"/>
        <v>299</v>
      </c>
      <c r="BO309" s="304" t="str">
        <f>IF($BN309="","",_xll.ciqfunctions.udf.CIQ($BN309,"iq_security_level"))</f>
        <v/>
      </c>
      <c r="BP309" s="271" t="str">
        <f t="shared" si="16"/>
        <v/>
      </c>
      <c r="BR309" s="271" t="str">
        <f t="shared" si="14"/>
        <v/>
      </c>
      <c r="BS309" s="305" t="str">
        <f>IF($BR309="","",_xll.ciqfunctions.udf.CIQ($BR309,"iq_bond_coupon")/100)</f>
        <v/>
      </c>
    </row>
    <row r="310" spans="59:71" x14ac:dyDescent="0.25">
      <c r="BG310" s="301" t="str">
        <f>IF($BF310="","",_xll.ciqfunctions.udf.CIQ($BF310,"iq_offer_date"))</f>
        <v/>
      </c>
      <c r="BH310" s="302" t="str">
        <f>IF($BF310="","",RANK(BG310,$BG$11:$BG$511)+COUNTIF($BG$11:BG310,BG310)-1)</f>
        <v/>
      </c>
      <c r="BM310" s="271">
        <f t="shared" si="15"/>
        <v>300</v>
      </c>
      <c r="BO310" s="304" t="str">
        <f>IF($BN310="","",_xll.ciqfunctions.udf.CIQ($BN310,"iq_security_level"))</f>
        <v/>
      </c>
      <c r="BP310" s="271" t="str">
        <f t="shared" si="16"/>
        <v/>
      </c>
      <c r="BR310" s="271" t="str">
        <f t="shared" ref="BR310:BR373" si="17">IF($BN309="","",IF(ISERROR(INDEX($BN$11:$BN$510,MATCH(BM309,$BP$11:$BP$510,0))),"",INDEX($BN$11:$BN$510,MATCH(BM309,$BP$11:$BP$510,0))))</f>
        <v/>
      </c>
      <c r="BS310" s="305" t="str">
        <f>IF($BR310="","",_xll.ciqfunctions.udf.CIQ($BR310,"iq_bond_coupon")/100)</f>
        <v/>
      </c>
    </row>
    <row r="311" spans="59:71" x14ac:dyDescent="0.25">
      <c r="BG311" s="301" t="str">
        <f>IF($BF311="","",_xll.ciqfunctions.udf.CIQ($BF311,"iq_offer_date"))</f>
        <v/>
      </c>
      <c r="BH311" s="302" t="str">
        <f>IF($BF311="","",RANK(BG311,$BG$11:$BG$511)+COUNTIF($BG$11:BG311,BG311)-1)</f>
        <v/>
      </c>
      <c r="BM311" s="271">
        <f t="shared" si="15"/>
        <v>301</v>
      </c>
      <c r="BO311" s="304" t="str">
        <f>IF($BN311="","",_xll.ciqfunctions.udf.CIQ($BN311,"iq_security_level"))</f>
        <v/>
      </c>
      <c r="BP311" s="271" t="str">
        <f t="shared" si="16"/>
        <v/>
      </c>
      <c r="BR311" s="271" t="str">
        <f t="shared" si="17"/>
        <v/>
      </c>
      <c r="BS311" s="305" t="str">
        <f>IF($BR311="","",_xll.ciqfunctions.udf.CIQ($BR311,"iq_bond_coupon")/100)</f>
        <v/>
      </c>
    </row>
    <row r="312" spans="59:71" x14ac:dyDescent="0.25">
      <c r="BG312" s="301" t="str">
        <f>IF($BF312="","",_xll.ciqfunctions.udf.CIQ($BF312,"iq_offer_date"))</f>
        <v/>
      </c>
      <c r="BH312" s="302" t="str">
        <f>IF($BF312="","",RANK(BG312,$BG$11:$BG$511)+COUNTIF($BG$11:BG312,BG312)-1)</f>
        <v/>
      </c>
      <c r="BM312" s="271">
        <f t="shared" si="15"/>
        <v>302</v>
      </c>
      <c r="BO312" s="304" t="str">
        <f>IF($BN312="","",_xll.ciqfunctions.udf.CIQ($BN312,"iq_security_level"))</f>
        <v/>
      </c>
      <c r="BP312" s="271" t="str">
        <f t="shared" si="16"/>
        <v/>
      </c>
      <c r="BR312" s="271" t="str">
        <f t="shared" si="17"/>
        <v/>
      </c>
      <c r="BS312" s="305" t="str">
        <f>IF($BR312="","",_xll.ciqfunctions.udf.CIQ($BR312,"iq_bond_coupon")/100)</f>
        <v/>
      </c>
    </row>
    <row r="313" spans="59:71" x14ac:dyDescent="0.25">
      <c r="BG313" s="301" t="str">
        <f>IF($BF313="","",_xll.ciqfunctions.udf.CIQ($BF313,"iq_offer_date"))</f>
        <v/>
      </c>
      <c r="BH313" s="302" t="str">
        <f>IF($BF313="","",RANK(BG313,$BG$11:$BG$511)+COUNTIF($BG$11:BG313,BG313)-1)</f>
        <v/>
      </c>
      <c r="BM313" s="271">
        <f t="shared" si="15"/>
        <v>303</v>
      </c>
      <c r="BO313" s="304" t="str">
        <f>IF($BN313="","",_xll.ciqfunctions.udf.CIQ($BN313,"iq_security_level"))</f>
        <v/>
      </c>
      <c r="BP313" s="271" t="str">
        <f t="shared" si="16"/>
        <v/>
      </c>
      <c r="BR313" s="271" t="str">
        <f t="shared" si="17"/>
        <v/>
      </c>
      <c r="BS313" s="305" t="str">
        <f>IF($BR313="","",_xll.ciqfunctions.udf.CIQ($BR313,"iq_bond_coupon")/100)</f>
        <v/>
      </c>
    </row>
    <row r="314" spans="59:71" x14ac:dyDescent="0.25">
      <c r="BG314" s="301" t="str">
        <f>IF($BF314="","",_xll.ciqfunctions.udf.CIQ($BF314,"iq_offer_date"))</f>
        <v/>
      </c>
      <c r="BH314" s="302" t="str">
        <f>IF($BF314="","",RANK(BG314,$BG$11:$BG$511)+COUNTIF($BG$11:BG314,BG314)-1)</f>
        <v/>
      </c>
      <c r="BM314" s="271">
        <f t="shared" si="15"/>
        <v>304</v>
      </c>
      <c r="BO314" s="304" t="str">
        <f>IF($BN314="","",_xll.ciqfunctions.udf.CIQ($BN314,"iq_security_level"))</f>
        <v/>
      </c>
      <c r="BP314" s="271" t="str">
        <f t="shared" si="16"/>
        <v/>
      </c>
      <c r="BR314" s="271" t="str">
        <f t="shared" si="17"/>
        <v/>
      </c>
      <c r="BS314" s="305" t="str">
        <f>IF($BR314="","",_xll.ciqfunctions.udf.CIQ($BR314,"iq_bond_coupon")/100)</f>
        <v/>
      </c>
    </row>
    <row r="315" spans="59:71" x14ac:dyDescent="0.25">
      <c r="BG315" s="301" t="str">
        <f>IF($BF315="","",_xll.ciqfunctions.udf.CIQ($BF315,"iq_offer_date"))</f>
        <v/>
      </c>
      <c r="BH315" s="302" t="str">
        <f>IF($BF315="","",RANK(BG315,$BG$11:$BG$511)+COUNTIF($BG$11:BG315,BG315)-1)</f>
        <v/>
      </c>
      <c r="BM315" s="271">
        <f t="shared" si="15"/>
        <v>305</v>
      </c>
      <c r="BO315" s="304" t="str">
        <f>IF($BN315="","",_xll.ciqfunctions.udf.CIQ($BN315,"iq_security_level"))</f>
        <v/>
      </c>
      <c r="BP315" s="271" t="str">
        <f t="shared" si="16"/>
        <v/>
      </c>
      <c r="BR315" s="271" t="str">
        <f t="shared" si="17"/>
        <v/>
      </c>
      <c r="BS315" s="305" t="str">
        <f>IF($BR315="","",_xll.ciqfunctions.udf.CIQ($BR315,"iq_bond_coupon")/100)</f>
        <v/>
      </c>
    </row>
    <row r="316" spans="59:71" x14ac:dyDescent="0.25">
      <c r="BG316" s="301" t="str">
        <f>IF($BF316="","",_xll.ciqfunctions.udf.CIQ($BF316,"iq_offer_date"))</f>
        <v/>
      </c>
      <c r="BH316" s="302" t="str">
        <f>IF($BF316="","",RANK(BG316,$BG$11:$BG$511)+COUNTIF($BG$11:BG316,BG316)-1)</f>
        <v/>
      </c>
      <c r="BM316" s="271">
        <f t="shared" si="15"/>
        <v>306</v>
      </c>
      <c r="BO316" s="304" t="str">
        <f>IF($BN316="","",_xll.ciqfunctions.udf.CIQ($BN316,"iq_security_level"))</f>
        <v/>
      </c>
      <c r="BP316" s="271" t="str">
        <f t="shared" si="16"/>
        <v/>
      </c>
      <c r="BR316" s="271" t="str">
        <f t="shared" si="17"/>
        <v/>
      </c>
      <c r="BS316" s="305" t="str">
        <f>IF($BR316="","",_xll.ciqfunctions.udf.CIQ($BR316,"iq_bond_coupon")/100)</f>
        <v/>
      </c>
    </row>
    <row r="317" spans="59:71" x14ac:dyDescent="0.25">
      <c r="BG317" s="301" t="str">
        <f>IF($BF317="","",_xll.ciqfunctions.udf.CIQ($BF317,"iq_offer_date"))</f>
        <v/>
      </c>
      <c r="BH317" s="302" t="str">
        <f>IF($BF317="","",RANK(BG317,$BG$11:$BG$511)+COUNTIF($BG$11:BG317,BG317)-1)</f>
        <v/>
      </c>
      <c r="BM317" s="271">
        <f t="shared" si="15"/>
        <v>307</v>
      </c>
      <c r="BO317" s="304" t="str">
        <f>IF($BN317="","",_xll.ciqfunctions.udf.CIQ($BN317,"iq_security_level"))</f>
        <v/>
      </c>
      <c r="BP317" s="271" t="str">
        <f t="shared" si="16"/>
        <v/>
      </c>
      <c r="BR317" s="271" t="str">
        <f t="shared" si="17"/>
        <v/>
      </c>
      <c r="BS317" s="305" t="str">
        <f>IF($BR317="","",_xll.ciqfunctions.udf.CIQ($BR317,"iq_bond_coupon")/100)</f>
        <v/>
      </c>
    </row>
    <row r="318" spans="59:71" x14ac:dyDescent="0.25">
      <c r="BG318" s="301" t="str">
        <f>IF($BF318="","",_xll.ciqfunctions.udf.CIQ($BF318,"iq_offer_date"))</f>
        <v/>
      </c>
      <c r="BH318" s="302" t="str">
        <f>IF($BF318="","",RANK(BG318,$BG$11:$BG$511)+COUNTIF($BG$11:BG318,BG318)-1)</f>
        <v/>
      </c>
      <c r="BM318" s="271">
        <f t="shared" si="15"/>
        <v>308</v>
      </c>
      <c r="BO318" s="304" t="str">
        <f>IF($BN318="","",_xll.ciqfunctions.udf.CIQ($BN318,"iq_security_level"))</f>
        <v/>
      </c>
      <c r="BP318" s="271" t="str">
        <f t="shared" si="16"/>
        <v/>
      </c>
      <c r="BR318" s="271" t="str">
        <f t="shared" si="17"/>
        <v/>
      </c>
      <c r="BS318" s="305" t="str">
        <f>IF($BR318="","",_xll.ciqfunctions.udf.CIQ($BR318,"iq_bond_coupon")/100)</f>
        <v/>
      </c>
    </row>
    <row r="319" spans="59:71" x14ac:dyDescent="0.25">
      <c r="BG319" s="301" t="str">
        <f>IF($BF319="","",_xll.ciqfunctions.udf.CIQ($BF319,"iq_offer_date"))</f>
        <v/>
      </c>
      <c r="BH319" s="302" t="str">
        <f>IF($BF319="","",RANK(BG319,$BG$11:$BG$511)+COUNTIF($BG$11:BG319,BG319)-1)</f>
        <v/>
      </c>
      <c r="BM319" s="271">
        <f t="shared" si="15"/>
        <v>309</v>
      </c>
      <c r="BO319" s="304" t="str">
        <f>IF($BN319="","",_xll.ciqfunctions.udf.CIQ($BN319,"iq_security_level"))</f>
        <v/>
      </c>
      <c r="BP319" s="271" t="str">
        <f t="shared" si="16"/>
        <v/>
      </c>
      <c r="BR319" s="271" t="str">
        <f t="shared" si="17"/>
        <v/>
      </c>
      <c r="BS319" s="305" t="str">
        <f>IF($BR319="","",_xll.ciqfunctions.udf.CIQ($BR319,"iq_bond_coupon")/100)</f>
        <v/>
      </c>
    </row>
    <row r="320" spans="59:71" x14ac:dyDescent="0.25">
      <c r="BG320" s="301" t="str">
        <f>IF($BF320="","",_xll.ciqfunctions.udf.CIQ($BF320,"iq_offer_date"))</f>
        <v/>
      </c>
      <c r="BH320" s="302" t="str">
        <f>IF($BF320="","",RANK(BG320,$BG$11:$BG$511)+COUNTIF($BG$11:BG320,BG320)-1)</f>
        <v/>
      </c>
      <c r="BM320" s="271">
        <f t="shared" si="15"/>
        <v>310</v>
      </c>
      <c r="BO320" s="304" t="str">
        <f>IF($BN320="","",_xll.ciqfunctions.udf.CIQ($BN320,"iq_security_level"))</f>
        <v/>
      </c>
      <c r="BP320" s="271" t="str">
        <f t="shared" si="16"/>
        <v/>
      </c>
      <c r="BR320" s="271" t="str">
        <f t="shared" si="17"/>
        <v/>
      </c>
      <c r="BS320" s="305" t="str">
        <f>IF($BR320="","",_xll.ciqfunctions.udf.CIQ($BR320,"iq_bond_coupon")/100)</f>
        <v/>
      </c>
    </row>
    <row r="321" spans="59:71" x14ac:dyDescent="0.25">
      <c r="BG321" s="301" t="str">
        <f>IF($BF321="","",_xll.ciqfunctions.udf.CIQ($BF321,"iq_offer_date"))</f>
        <v/>
      </c>
      <c r="BH321" s="302" t="str">
        <f>IF($BF321="","",RANK(BG321,$BG$11:$BG$511)+COUNTIF($BG$11:BG321,BG321)-1)</f>
        <v/>
      </c>
      <c r="BM321" s="271">
        <f t="shared" si="15"/>
        <v>311</v>
      </c>
      <c r="BO321" s="304" t="str">
        <f>IF($BN321="","",_xll.ciqfunctions.udf.CIQ($BN321,"iq_security_level"))</f>
        <v/>
      </c>
      <c r="BP321" s="271" t="str">
        <f t="shared" si="16"/>
        <v/>
      </c>
      <c r="BR321" s="271" t="str">
        <f t="shared" si="17"/>
        <v/>
      </c>
      <c r="BS321" s="305" t="str">
        <f>IF($BR321="","",_xll.ciqfunctions.udf.CIQ($BR321,"iq_bond_coupon")/100)</f>
        <v/>
      </c>
    </row>
    <row r="322" spans="59:71" x14ac:dyDescent="0.25">
      <c r="BG322" s="301" t="str">
        <f>IF($BF322="","",_xll.ciqfunctions.udf.CIQ($BF322,"iq_offer_date"))</f>
        <v/>
      </c>
      <c r="BH322" s="302" t="str">
        <f>IF($BF322="","",RANK(BG322,$BG$11:$BG$511)+COUNTIF($BG$11:BG322,BG322)-1)</f>
        <v/>
      </c>
      <c r="BM322" s="271">
        <f t="shared" si="15"/>
        <v>312</v>
      </c>
      <c r="BO322" s="304" t="str">
        <f>IF($BN322="","",_xll.ciqfunctions.udf.CIQ($BN322,"iq_security_level"))</f>
        <v/>
      </c>
      <c r="BP322" s="271" t="str">
        <f t="shared" si="16"/>
        <v/>
      </c>
      <c r="BR322" s="271" t="str">
        <f t="shared" si="17"/>
        <v/>
      </c>
      <c r="BS322" s="305" t="str">
        <f>IF($BR322="","",_xll.ciqfunctions.udf.CIQ($BR322,"iq_bond_coupon")/100)</f>
        <v/>
      </c>
    </row>
    <row r="323" spans="59:71" x14ac:dyDescent="0.25">
      <c r="BG323" s="301" t="str">
        <f>IF($BF323="","",_xll.ciqfunctions.udf.CIQ($BF323,"iq_offer_date"))</f>
        <v/>
      </c>
      <c r="BH323" s="302" t="str">
        <f>IF($BF323="","",RANK(BG323,$BG$11:$BG$511)+COUNTIF($BG$11:BG323,BG323)-1)</f>
        <v/>
      </c>
      <c r="BM323" s="271">
        <f t="shared" si="15"/>
        <v>313</v>
      </c>
      <c r="BO323" s="304" t="str">
        <f>IF($BN323="","",_xll.ciqfunctions.udf.CIQ($BN323,"iq_security_level"))</f>
        <v/>
      </c>
      <c r="BP323" s="271" t="str">
        <f t="shared" si="16"/>
        <v/>
      </c>
      <c r="BR323" s="271" t="str">
        <f t="shared" si="17"/>
        <v/>
      </c>
      <c r="BS323" s="305" t="str">
        <f>IF($BR323="","",_xll.ciqfunctions.udf.CIQ($BR323,"iq_bond_coupon")/100)</f>
        <v/>
      </c>
    </row>
    <row r="324" spans="59:71" x14ac:dyDescent="0.25">
      <c r="BG324" s="301" t="str">
        <f>IF($BF324="","",_xll.ciqfunctions.udf.CIQ($BF324,"iq_offer_date"))</f>
        <v/>
      </c>
      <c r="BH324" s="302" t="str">
        <f>IF($BF324="","",RANK(BG324,$BG$11:$BG$511)+COUNTIF($BG$11:BG324,BG324)-1)</f>
        <v/>
      </c>
      <c r="BM324" s="271">
        <f t="shared" si="15"/>
        <v>314</v>
      </c>
      <c r="BO324" s="304" t="str">
        <f>IF($BN324="","",_xll.ciqfunctions.udf.CIQ($BN324,"iq_security_level"))</f>
        <v/>
      </c>
      <c r="BP324" s="271" t="str">
        <f t="shared" si="16"/>
        <v/>
      </c>
      <c r="BR324" s="271" t="str">
        <f t="shared" si="17"/>
        <v/>
      </c>
      <c r="BS324" s="305" t="str">
        <f>IF($BR324="","",_xll.ciqfunctions.udf.CIQ($BR324,"iq_bond_coupon")/100)</f>
        <v/>
      </c>
    </row>
    <row r="325" spans="59:71" x14ac:dyDescent="0.25">
      <c r="BG325" s="301" t="str">
        <f>IF($BF325="","",_xll.ciqfunctions.udf.CIQ($BF325,"iq_offer_date"))</f>
        <v/>
      </c>
      <c r="BH325" s="302" t="str">
        <f>IF($BF325="","",RANK(BG325,$BG$11:$BG$511)+COUNTIF($BG$11:BG325,BG325)-1)</f>
        <v/>
      </c>
      <c r="BM325" s="271">
        <f t="shared" si="15"/>
        <v>315</v>
      </c>
      <c r="BO325" s="304" t="str">
        <f>IF($BN325="","",_xll.ciqfunctions.udf.CIQ($BN325,"iq_security_level"))</f>
        <v/>
      </c>
      <c r="BP325" s="271" t="str">
        <f t="shared" si="16"/>
        <v/>
      </c>
      <c r="BR325" s="271" t="str">
        <f t="shared" si="17"/>
        <v/>
      </c>
      <c r="BS325" s="305" t="str">
        <f>IF($BR325="","",_xll.ciqfunctions.udf.CIQ($BR325,"iq_bond_coupon")/100)</f>
        <v/>
      </c>
    </row>
    <row r="326" spans="59:71" x14ac:dyDescent="0.25">
      <c r="BG326" s="301" t="str">
        <f>IF($BF326="","",_xll.ciqfunctions.udf.CIQ($BF326,"iq_offer_date"))</f>
        <v/>
      </c>
      <c r="BH326" s="302" t="str">
        <f>IF($BF326="","",RANK(BG326,$BG$11:$BG$511)+COUNTIF($BG$11:BG326,BG326)-1)</f>
        <v/>
      </c>
      <c r="BM326" s="271">
        <f t="shared" si="15"/>
        <v>316</v>
      </c>
      <c r="BO326" s="304" t="str">
        <f>IF($BN326="","",_xll.ciqfunctions.udf.CIQ($BN326,"iq_security_level"))</f>
        <v/>
      </c>
      <c r="BP326" s="271" t="str">
        <f t="shared" si="16"/>
        <v/>
      </c>
      <c r="BR326" s="271" t="str">
        <f t="shared" si="17"/>
        <v/>
      </c>
      <c r="BS326" s="305" t="str">
        <f>IF($BR326="","",_xll.ciqfunctions.udf.CIQ($BR326,"iq_bond_coupon")/100)</f>
        <v/>
      </c>
    </row>
    <row r="327" spans="59:71" x14ac:dyDescent="0.25">
      <c r="BG327" s="301" t="str">
        <f>IF($BF327="","",_xll.ciqfunctions.udf.CIQ($BF327,"iq_offer_date"))</f>
        <v/>
      </c>
      <c r="BH327" s="302" t="str">
        <f>IF($BF327="","",RANK(BG327,$BG$11:$BG$511)+COUNTIF($BG$11:BG327,BG327)-1)</f>
        <v/>
      </c>
      <c r="BM327" s="271">
        <f t="shared" si="15"/>
        <v>317</v>
      </c>
      <c r="BO327" s="304" t="str">
        <f>IF($BN327="","",_xll.ciqfunctions.udf.CIQ($BN327,"iq_security_level"))</f>
        <v/>
      </c>
      <c r="BP327" s="271" t="str">
        <f t="shared" si="16"/>
        <v/>
      </c>
      <c r="BR327" s="271" t="str">
        <f t="shared" si="17"/>
        <v/>
      </c>
      <c r="BS327" s="305" t="str">
        <f>IF($BR327="","",_xll.ciqfunctions.udf.CIQ($BR327,"iq_bond_coupon")/100)</f>
        <v/>
      </c>
    </row>
    <row r="328" spans="59:71" x14ac:dyDescent="0.25">
      <c r="BG328" s="301" t="str">
        <f>IF($BF328="","",_xll.ciqfunctions.udf.CIQ($BF328,"iq_offer_date"))</f>
        <v/>
      </c>
      <c r="BH328" s="302" t="str">
        <f>IF($BF328="","",RANK(BG328,$BG$11:$BG$511)+COUNTIF($BG$11:BG328,BG328)-1)</f>
        <v/>
      </c>
      <c r="BM328" s="271">
        <f t="shared" si="15"/>
        <v>318</v>
      </c>
      <c r="BO328" s="304" t="str">
        <f>IF($BN328="","",_xll.ciqfunctions.udf.CIQ($BN328,"iq_security_level"))</f>
        <v/>
      </c>
      <c r="BP328" s="271" t="str">
        <f t="shared" si="16"/>
        <v/>
      </c>
      <c r="BR328" s="271" t="str">
        <f t="shared" si="17"/>
        <v/>
      </c>
      <c r="BS328" s="305" t="str">
        <f>IF($BR328="","",_xll.ciqfunctions.udf.CIQ($BR328,"iq_bond_coupon")/100)</f>
        <v/>
      </c>
    </row>
    <row r="329" spans="59:71" x14ac:dyDescent="0.25">
      <c r="BG329" s="301" t="str">
        <f>IF($BF329="","",_xll.ciqfunctions.udf.CIQ($BF329,"iq_offer_date"))</f>
        <v/>
      </c>
      <c r="BH329" s="302" t="str">
        <f>IF($BF329="","",RANK(BG329,$BG$11:$BG$511)+COUNTIF($BG$11:BG329,BG329)-1)</f>
        <v/>
      </c>
      <c r="BM329" s="271">
        <f t="shared" si="15"/>
        <v>319</v>
      </c>
      <c r="BO329" s="304" t="str">
        <f>IF($BN329="","",_xll.ciqfunctions.udf.CIQ($BN329,"iq_security_level"))</f>
        <v/>
      </c>
      <c r="BP329" s="271" t="str">
        <f t="shared" si="16"/>
        <v/>
      </c>
      <c r="BR329" s="271" t="str">
        <f t="shared" si="17"/>
        <v/>
      </c>
      <c r="BS329" s="305" t="str">
        <f>IF($BR329="","",_xll.ciqfunctions.udf.CIQ($BR329,"iq_bond_coupon")/100)</f>
        <v/>
      </c>
    </row>
    <row r="330" spans="59:71" x14ac:dyDescent="0.25">
      <c r="BG330" s="301" t="str">
        <f>IF($BF330="","",_xll.ciqfunctions.udf.CIQ($BF330,"iq_offer_date"))</f>
        <v/>
      </c>
      <c r="BH330" s="302" t="str">
        <f>IF($BF330="","",RANK(BG330,$BG$11:$BG$511)+COUNTIF($BG$11:BG330,BG330)-1)</f>
        <v/>
      </c>
      <c r="BM330" s="271">
        <f t="shared" si="15"/>
        <v>320</v>
      </c>
      <c r="BO330" s="304" t="str">
        <f>IF($BN330="","",_xll.ciqfunctions.udf.CIQ($BN330,"iq_security_level"))</f>
        <v/>
      </c>
      <c r="BP330" s="271" t="str">
        <f t="shared" si="16"/>
        <v/>
      </c>
      <c r="BR330" s="271" t="str">
        <f t="shared" si="17"/>
        <v/>
      </c>
      <c r="BS330" s="305" t="str">
        <f>IF($BR330="","",_xll.ciqfunctions.udf.CIQ($BR330,"iq_bond_coupon")/100)</f>
        <v/>
      </c>
    </row>
    <row r="331" spans="59:71" x14ac:dyDescent="0.25">
      <c r="BG331" s="301" t="str">
        <f>IF($BF331="","",_xll.ciqfunctions.udf.CIQ($BF331,"iq_offer_date"))</f>
        <v/>
      </c>
      <c r="BH331" s="302" t="str">
        <f>IF($BF331="","",RANK(BG331,$BG$11:$BG$511)+COUNTIF($BG$11:BG331,BG331)-1)</f>
        <v/>
      </c>
      <c r="BM331" s="271">
        <f t="shared" si="15"/>
        <v>321</v>
      </c>
      <c r="BO331" s="304" t="str">
        <f>IF($BN331="","",_xll.ciqfunctions.udf.CIQ($BN331,"iq_security_level"))</f>
        <v/>
      </c>
      <c r="BP331" s="271" t="str">
        <f t="shared" si="16"/>
        <v/>
      </c>
      <c r="BR331" s="271" t="str">
        <f t="shared" si="17"/>
        <v/>
      </c>
      <c r="BS331" s="305" t="str">
        <f>IF($BR331="","",_xll.ciqfunctions.udf.CIQ($BR331,"iq_bond_coupon")/100)</f>
        <v/>
      </c>
    </row>
    <row r="332" spans="59:71" x14ac:dyDescent="0.25">
      <c r="BG332" s="301" t="str">
        <f>IF($BF332="","",_xll.ciqfunctions.udf.CIQ($BF332,"iq_offer_date"))</f>
        <v/>
      </c>
      <c r="BH332" s="302" t="str">
        <f>IF($BF332="","",RANK(BG332,$BG$11:$BG$511)+COUNTIF($BG$11:BG332,BG332)-1)</f>
        <v/>
      </c>
      <c r="BM332" s="271">
        <f t="shared" si="15"/>
        <v>322</v>
      </c>
      <c r="BO332" s="304" t="str">
        <f>IF($BN332="","",_xll.ciqfunctions.udf.CIQ($BN332,"iq_security_level"))</f>
        <v/>
      </c>
      <c r="BP332" s="271" t="str">
        <f t="shared" si="16"/>
        <v/>
      </c>
      <c r="BR332" s="271" t="str">
        <f t="shared" si="17"/>
        <v/>
      </c>
      <c r="BS332" s="305" t="str">
        <f>IF($BR332="","",_xll.ciqfunctions.udf.CIQ($BR332,"iq_bond_coupon")/100)</f>
        <v/>
      </c>
    </row>
    <row r="333" spans="59:71" x14ac:dyDescent="0.25">
      <c r="BG333" s="301" t="str">
        <f>IF($BF333="","",_xll.ciqfunctions.udf.CIQ($BF333,"iq_offer_date"))</f>
        <v/>
      </c>
      <c r="BH333" s="302" t="str">
        <f>IF($BF333="","",RANK(BG333,$BG$11:$BG$511)+COUNTIF($BG$11:BG333,BG333)-1)</f>
        <v/>
      </c>
      <c r="BM333" s="271">
        <f t="shared" ref="BM333:BM396" si="18">BM332+1</f>
        <v>323</v>
      </c>
      <c r="BO333" s="304" t="str">
        <f>IF($BN333="","",_xll.ciqfunctions.udf.CIQ($BN333,"iq_security_level"))</f>
        <v/>
      </c>
      <c r="BP333" s="271" t="str">
        <f t="shared" ref="BP333:BP396" si="19">IF(BN333="","",IF(BO333="Preferred",BP332+1,BP332))</f>
        <v/>
      </c>
      <c r="BR333" s="271" t="str">
        <f t="shared" si="17"/>
        <v/>
      </c>
      <c r="BS333" s="305" t="str">
        <f>IF($BR333="","",_xll.ciqfunctions.udf.CIQ($BR333,"iq_bond_coupon")/100)</f>
        <v/>
      </c>
    </row>
    <row r="334" spans="59:71" x14ac:dyDescent="0.25">
      <c r="BG334" s="301" t="str">
        <f>IF($BF334="","",_xll.ciqfunctions.udf.CIQ($BF334,"iq_offer_date"))</f>
        <v/>
      </c>
      <c r="BH334" s="302" t="str">
        <f>IF($BF334="","",RANK(BG334,$BG$11:$BG$511)+COUNTIF($BG$11:BG334,BG334)-1)</f>
        <v/>
      </c>
      <c r="BM334" s="271">
        <f t="shared" si="18"/>
        <v>324</v>
      </c>
      <c r="BO334" s="304" t="str">
        <f>IF($BN334="","",_xll.ciqfunctions.udf.CIQ($BN334,"iq_security_level"))</f>
        <v/>
      </c>
      <c r="BP334" s="271" t="str">
        <f t="shared" si="19"/>
        <v/>
      </c>
      <c r="BR334" s="271" t="str">
        <f t="shared" si="17"/>
        <v/>
      </c>
      <c r="BS334" s="305" t="str">
        <f>IF($BR334="","",_xll.ciqfunctions.udf.CIQ($BR334,"iq_bond_coupon")/100)</f>
        <v/>
      </c>
    </row>
    <row r="335" spans="59:71" x14ac:dyDescent="0.25">
      <c r="BG335" s="301" t="str">
        <f>IF($BF335="","",_xll.ciqfunctions.udf.CIQ($BF335,"iq_offer_date"))</f>
        <v/>
      </c>
      <c r="BH335" s="302" t="str">
        <f>IF($BF335="","",RANK(BG335,$BG$11:$BG$511)+COUNTIF($BG$11:BG335,BG335)-1)</f>
        <v/>
      </c>
      <c r="BM335" s="271">
        <f t="shared" si="18"/>
        <v>325</v>
      </c>
      <c r="BO335" s="304" t="str">
        <f>IF($BN335="","",_xll.ciqfunctions.udf.CIQ($BN335,"iq_security_level"))</f>
        <v/>
      </c>
      <c r="BP335" s="271" t="str">
        <f t="shared" si="19"/>
        <v/>
      </c>
      <c r="BR335" s="271" t="str">
        <f t="shared" si="17"/>
        <v/>
      </c>
      <c r="BS335" s="305" t="str">
        <f>IF($BR335="","",_xll.ciqfunctions.udf.CIQ($BR335,"iq_bond_coupon")/100)</f>
        <v/>
      </c>
    </row>
    <row r="336" spans="59:71" x14ac:dyDescent="0.25">
      <c r="BG336" s="301" t="str">
        <f>IF($BF336="","",_xll.ciqfunctions.udf.CIQ($BF336,"iq_offer_date"))</f>
        <v/>
      </c>
      <c r="BH336" s="302" t="str">
        <f>IF($BF336="","",RANK(BG336,$BG$11:$BG$511)+COUNTIF($BG$11:BG336,BG336)-1)</f>
        <v/>
      </c>
      <c r="BM336" s="271">
        <f t="shared" si="18"/>
        <v>326</v>
      </c>
      <c r="BO336" s="304" t="str">
        <f>IF($BN336="","",_xll.ciqfunctions.udf.CIQ($BN336,"iq_security_level"))</f>
        <v/>
      </c>
      <c r="BP336" s="271" t="str">
        <f t="shared" si="19"/>
        <v/>
      </c>
      <c r="BR336" s="271" t="str">
        <f t="shared" si="17"/>
        <v/>
      </c>
      <c r="BS336" s="305" t="str">
        <f>IF($BR336="","",_xll.ciqfunctions.udf.CIQ($BR336,"iq_bond_coupon")/100)</f>
        <v/>
      </c>
    </row>
    <row r="337" spans="59:71" x14ac:dyDescent="0.25">
      <c r="BG337" s="301" t="str">
        <f>IF($BF337="","",_xll.ciqfunctions.udf.CIQ($BF337,"iq_offer_date"))</f>
        <v/>
      </c>
      <c r="BH337" s="302" t="str">
        <f>IF($BF337="","",RANK(BG337,$BG$11:$BG$511)+COUNTIF($BG$11:BG337,BG337)-1)</f>
        <v/>
      </c>
      <c r="BM337" s="271">
        <f t="shared" si="18"/>
        <v>327</v>
      </c>
      <c r="BO337" s="304" t="str">
        <f>IF($BN337="","",_xll.ciqfunctions.udf.CIQ($BN337,"iq_security_level"))</f>
        <v/>
      </c>
      <c r="BP337" s="271" t="str">
        <f t="shared" si="19"/>
        <v/>
      </c>
      <c r="BR337" s="271" t="str">
        <f t="shared" si="17"/>
        <v/>
      </c>
      <c r="BS337" s="305" t="str">
        <f>IF($BR337="","",_xll.ciqfunctions.udf.CIQ($BR337,"iq_bond_coupon")/100)</f>
        <v/>
      </c>
    </row>
    <row r="338" spans="59:71" x14ac:dyDescent="0.25">
      <c r="BG338" s="301" t="str">
        <f>IF($BF338="","",_xll.ciqfunctions.udf.CIQ($BF338,"iq_offer_date"))</f>
        <v/>
      </c>
      <c r="BH338" s="302" t="str">
        <f>IF($BF338="","",RANK(BG338,$BG$11:$BG$511)+COUNTIF($BG$11:BG338,BG338)-1)</f>
        <v/>
      </c>
      <c r="BM338" s="271">
        <f t="shared" si="18"/>
        <v>328</v>
      </c>
      <c r="BO338" s="304" t="str">
        <f>IF($BN338="","",_xll.ciqfunctions.udf.CIQ($BN338,"iq_security_level"))</f>
        <v/>
      </c>
      <c r="BP338" s="271" t="str">
        <f t="shared" si="19"/>
        <v/>
      </c>
      <c r="BR338" s="271" t="str">
        <f t="shared" si="17"/>
        <v/>
      </c>
      <c r="BS338" s="305" t="str">
        <f>IF($BR338="","",_xll.ciqfunctions.udf.CIQ($BR338,"iq_bond_coupon")/100)</f>
        <v/>
      </c>
    </row>
    <row r="339" spans="59:71" x14ac:dyDescent="0.25">
      <c r="BG339" s="301" t="str">
        <f>IF($BF339="","",_xll.ciqfunctions.udf.CIQ($BF339,"iq_offer_date"))</f>
        <v/>
      </c>
      <c r="BH339" s="302" t="str">
        <f>IF($BF339="","",RANK(BG339,$BG$11:$BG$511)+COUNTIF($BG$11:BG339,BG339)-1)</f>
        <v/>
      </c>
      <c r="BM339" s="271">
        <f t="shared" si="18"/>
        <v>329</v>
      </c>
      <c r="BO339" s="304" t="str">
        <f>IF($BN339="","",_xll.ciqfunctions.udf.CIQ($BN339,"iq_security_level"))</f>
        <v/>
      </c>
      <c r="BP339" s="271" t="str">
        <f t="shared" si="19"/>
        <v/>
      </c>
      <c r="BR339" s="271" t="str">
        <f t="shared" si="17"/>
        <v/>
      </c>
      <c r="BS339" s="305" t="str">
        <f>IF($BR339="","",_xll.ciqfunctions.udf.CIQ($BR339,"iq_bond_coupon")/100)</f>
        <v/>
      </c>
    </row>
    <row r="340" spans="59:71" x14ac:dyDescent="0.25">
      <c r="BG340" s="301" t="str">
        <f>IF($BF340="","",_xll.ciqfunctions.udf.CIQ($BF340,"iq_offer_date"))</f>
        <v/>
      </c>
      <c r="BH340" s="302" t="str">
        <f>IF($BF340="","",RANK(BG340,$BG$11:$BG$511)+COUNTIF($BG$11:BG340,BG340)-1)</f>
        <v/>
      </c>
      <c r="BM340" s="271">
        <f t="shared" si="18"/>
        <v>330</v>
      </c>
      <c r="BO340" s="304" t="str">
        <f>IF($BN340="","",_xll.ciqfunctions.udf.CIQ($BN340,"iq_security_level"))</f>
        <v/>
      </c>
      <c r="BP340" s="271" t="str">
        <f t="shared" si="19"/>
        <v/>
      </c>
      <c r="BR340" s="271" t="str">
        <f t="shared" si="17"/>
        <v/>
      </c>
      <c r="BS340" s="305" t="str">
        <f>IF($BR340="","",_xll.ciqfunctions.udf.CIQ($BR340,"iq_bond_coupon")/100)</f>
        <v/>
      </c>
    </row>
    <row r="341" spans="59:71" x14ac:dyDescent="0.25">
      <c r="BG341" s="301" t="str">
        <f>IF($BF341="","",_xll.ciqfunctions.udf.CIQ($BF341,"iq_offer_date"))</f>
        <v/>
      </c>
      <c r="BH341" s="302" t="str">
        <f>IF($BF341="","",RANK(BG341,$BG$11:$BG$511)+COUNTIF($BG$11:BG341,BG341)-1)</f>
        <v/>
      </c>
      <c r="BM341" s="271">
        <f t="shared" si="18"/>
        <v>331</v>
      </c>
      <c r="BO341" s="304" t="str">
        <f>IF($BN341="","",_xll.ciqfunctions.udf.CIQ($BN341,"iq_security_level"))</f>
        <v/>
      </c>
      <c r="BP341" s="271" t="str">
        <f t="shared" si="19"/>
        <v/>
      </c>
      <c r="BR341" s="271" t="str">
        <f t="shared" si="17"/>
        <v/>
      </c>
      <c r="BS341" s="305" t="str">
        <f>IF($BR341="","",_xll.ciqfunctions.udf.CIQ($BR341,"iq_bond_coupon")/100)</f>
        <v/>
      </c>
    </row>
    <row r="342" spans="59:71" x14ac:dyDescent="0.25">
      <c r="BG342" s="301" t="str">
        <f>IF($BF342="","",_xll.ciqfunctions.udf.CIQ($BF342,"iq_offer_date"))</f>
        <v/>
      </c>
      <c r="BH342" s="302" t="str">
        <f>IF($BF342="","",RANK(BG342,$BG$11:$BG$511)+COUNTIF($BG$11:BG342,BG342)-1)</f>
        <v/>
      </c>
      <c r="BM342" s="271">
        <f t="shared" si="18"/>
        <v>332</v>
      </c>
      <c r="BO342" s="304" t="str">
        <f>IF($BN342="","",_xll.ciqfunctions.udf.CIQ($BN342,"iq_security_level"))</f>
        <v/>
      </c>
      <c r="BP342" s="271" t="str">
        <f t="shared" si="19"/>
        <v/>
      </c>
      <c r="BR342" s="271" t="str">
        <f t="shared" si="17"/>
        <v/>
      </c>
      <c r="BS342" s="305" t="str">
        <f>IF($BR342="","",_xll.ciqfunctions.udf.CIQ($BR342,"iq_bond_coupon")/100)</f>
        <v/>
      </c>
    </row>
    <row r="343" spans="59:71" x14ac:dyDescent="0.25">
      <c r="BG343" s="301" t="str">
        <f>IF($BF343="","",_xll.ciqfunctions.udf.CIQ($BF343,"iq_offer_date"))</f>
        <v/>
      </c>
      <c r="BH343" s="302" t="str">
        <f>IF($BF343="","",RANK(BG343,$BG$11:$BG$511)+COUNTIF($BG$11:BG343,BG343)-1)</f>
        <v/>
      </c>
      <c r="BM343" s="271">
        <f t="shared" si="18"/>
        <v>333</v>
      </c>
      <c r="BO343" s="304" t="str">
        <f>IF($BN343="","",_xll.ciqfunctions.udf.CIQ($BN343,"iq_security_level"))</f>
        <v/>
      </c>
      <c r="BP343" s="271" t="str">
        <f t="shared" si="19"/>
        <v/>
      </c>
      <c r="BR343" s="271" t="str">
        <f t="shared" si="17"/>
        <v/>
      </c>
      <c r="BS343" s="305" t="str">
        <f>IF($BR343="","",_xll.ciqfunctions.udf.CIQ($BR343,"iq_bond_coupon")/100)</f>
        <v/>
      </c>
    </row>
    <row r="344" spans="59:71" x14ac:dyDescent="0.25">
      <c r="BG344" s="301" t="str">
        <f>IF($BF344="","",_xll.ciqfunctions.udf.CIQ($BF344,"iq_offer_date"))</f>
        <v/>
      </c>
      <c r="BH344" s="302" t="str">
        <f>IF($BF344="","",RANK(BG344,$BG$11:$BG$511)+COUNTIF($BG$11:BG344,BG344)-1)</f>
        <v/>
      </c>
      <c r="BM344" s="271">
        <f t="shared" si="18"/>
        <v>334</v>
      </c>
      <c r="BO344" s="304" t="str">
        <f>IF($BN344="","",_xll.ciqfunctions.udf.CIQ($BN344,"iq_security_level"))</f>
        <v/>
      </c>
      <c r="BP344" s="271" t="str">
        <f t="shared" si="19"/>
        <v/>
      </c>
      <c r="BR344" s="271" t="str">
        <f t="shared" si="17"/>
        <v/>
      </c>
      <c r="BS344" s="305" t="str">
        <f>IF($BR344="","",_xll.ciqfunctions.udf.CIQ($BR344,"iq_bond_coupon")/100)</f>
        <v/>
      </c>
    </row>
    <row r="345" spans="59:71" x14ac:dyDescent="0.25">
      <c r="BG345" s="301" t="str">
        <f>IF($BF345="","",_xll.ciqfunctions.udf.CIQ($BF345,"iq_offer_date"))</f>
        <v/>
      </c>
      <c r="BH345" s="302" t="str">
        <f>IF($BF345="","",RANK(BG345,$BG$11:$BG$511)+COUNTIF($BG$11:BG345,BG345)-1)</f>
        <v/>
      </c>
      <c r="BM345" s="271">
        <f t="shared" si="18"/>
        <v>335</v>
      </c>
      <c r="BO345" s="304" t="str">
        <f>IF($BN345="","",_xll.ciqfunctions.udf.CIQ($BN345,"iq_security_level"))</f>
        <v/>
      </c>
      <c r="BP345" s="271" t="str">
        <f t="shared" si="19"/>
        <v/>
      </c>
      <c r="BR345" s="271" t="str">
        <f t="shared" si="17"/>
        <v/>
      </c>
      <c r="BS345" s="305" t="str">
        <f>IF($BR345="","",_xll.ciqfunctions.udf.CIQ($BR345,"iq_bond_coupon")/100)</f>
        <v/>
      </c>
    </row>
    <row r="346" spans="59:71" x14ac:dyDescent="0.25">
      <c r="BG346" s="301" t="str">
        <f>IF($BF346="","",_xll.ciqfunctions.udf.CIQ($BF346,"iq_offer_date"))</f>
        <v/>
      </c>
      <c r="BH346" s="302" t="str">
        <f>IF($BF346="","",RANK(BG346,$BG$11:$BG$511)+COUNTIF($BG$11:BG346,BG346)-1)</f>
        <v/>
      </c>
      <c r="BM346" s="271">
        <f t="shared" si="18"/>
        <v>336</v>
      </c>
      <c r="BO346" s="304" t="str">
        <f>IF($BN346="","",_xll.ciqfunctions.udf.CIQ($BN346,"iq_security_level"))</f>
        <v/>
      </c>
      <c r="BP346" s="271" t="str">
        <f t="shared" si="19"/>
        <v/>
      </c>
      <c r="BR346" s="271" t="str">
        <f t="shared" si="17"/>
        <v/>
      </c>
      <c r="BS346" s="305" t="str">
        <f>IF($BR346="","",_xll.ciqfunctions.udf.CIQ($BR346,"iq_bond_coupon")/100)</f>
        <v/>
      </c>
    </row>
    <row r="347" spans="59:71" x14ac:dyDescent="0.25">
      <c r="BG347" s="301" t="str">
        <f>IF($BF347="","",_xll.ciqfunctions.udf.CIQ($BF347,"iq_offer_date"))</f>
        <v/>
      </c>
      <c r="BH347" s="302" t="str">
        <f>IF($BF347="","",RANK(BG347,$BG$11:$BG$511)+COUNTIF($BG$11:BG347,BG347)-1)</f>
        <v/>
      </c>
      <c r="BM347" s="271">
        <f t="shared" si="18"/>
        <v>337</v>
      </c>
      <c r="BO347" s="304" t="str">
        <f>IF($BN347="","",_xll.ciqfunctions.udf.CIQ($BN347,"iq_security_level"))</f>
        <v/>
      </c>
      <c r="BP347" s="271" t="str">
        <f t="shared" si="19"/>
        <v/>
      </c>
      <c r="BR347" s="271" t="str">
        <f t="shared" si="17"/>
        <v/>
      </c>
      <c r="BS347" s="305" t="str">
        <f>IF($BR347="","",_xll.ciqfunctions.udf.CIQ($BR347,"iq_bond_coupon")/100)</f>
        <v/>
      </c>
    </row>
    <row r="348" spans="59:71" x14ac:dyDescent="0.25">
      <c r="BG348" s="301" t="str">
        <f>IF($BF348="","",_xll.ciqfunctions.udf.CIQ($BF348,"iq_offer_date"))</f>
        <v/>
      </c>
      <c r="BH348" s="302" t="str">
        <f>IF($BF348="","",RANK(BG348,$BG$11:$BG$511)+COUNTIF($BG$11:BG348,BG348)-1)</f>
        <v/>
      </c>
      <c r="BM348" s="271">
        <f t="shared" si="18"/>
        <v>338</v>
      </c>
      <c r="BO348" s="304" t="str">
        <f>IF($BN348="","",_xll.ciqfunctions.udf.CIQ($BN348,"iq_security_level"))</f>
        <v/>
      </c>
      <c r="BP348" s="271" t="str">
        <f t="shared" si="19"/>
        <v/>
      </c>
      <c r="BR348" s="271" t="str">
        <f t="shared" si="17"/>
        <v/>
      </c>
      <c r="BS348" s="305" t="str">
        <f>IF($BR348="","",_xll.ciqfunctions.udf.CIQ($BR348,"iq_bond_coupon")/100)</f>
        <v/>
      </c>
    </row>
    <row r="349" spans="59:71" x14ac:dyDescent="0.25">
      <c r="BG349" s="301" t="str">
        <f>IF($BF349="","",_xll.ciqfunctions.udf.CIQ($BF349,"iq_offer_date"))</f>
        <v/>
      </c>
      <c r="BH349" s="302" t="str">
        <f>IF($BF349="","",RANK(BG349,$BG$11:$BG$511)+COUNTIF($BG$11:BG349,BG349)-1)</f>
        <v/>
      </c>
      <c r="BM349" s="271">
        <f t="shared" si="18"/>
        <v>339</v>
      </c>
      <c r="BO349" s="304" t="str">
        <f>IF($BN349="","",_xll.ciqfunctions.udf.CIQ($BN349,"iq_security_level"))</f>
        <v/>
      </c>
      <c r="BP349" s="271" t="str">
        <f t="shared" si="19"/>
        <v/>
      </c>
      <c r="BR349" s="271" t="str">
        <f t="shared" si="17"/>
        <v/>
      </c>
      <c r="BS349" s="305" t="str">
        <f>IF($BR349="","",_xll.ciqfunctions.udf.CIQ($BR349,"iq_bond_coupon")/100)</f>
        <v/>
      </c>
    </row>
    <row r="350" spans="59:71" x14ac:dyDescent="0.25">
      <c r="BG350" s="301" t="str">
        <f>IF($BF350="","",_xll.ciqfunctions.udf.CIQ($BF350,"iq_offer_date"))</f>
        <v/>
      </c>
      <c r="BH350" s="302" t="str">
        <f>IF($BF350="","",RANK(BG350,$BG$11:$BG$511)+COUNTIF($BG$11:BG350,BG350)-1)</f>
        <v/>
      </c>
      <c r="BM350" s="271">
        <f t="shared" si="18"/>
        <v>340</v>
      </c>
      <c r="BO350" s="304" t="str">
        <f>IF($BN350="","",_xll.ciqfunctions.udf.CIQ($BN350,"iq_security_level"))</f>
        <v/>
      </c>
      <c r="BP350" s="271" t="str">
        <f t="shared" si="19"/>
        <v/>
      </c>
      <c r="BR350" s="271" t="str">
        <f t="shared" si="17"/>
        <v/>
      </c>
      <c r="BS350" s="305" t="str">
        <f>IF($BR350="","",_xll.ciqfunctions.udf.CIQ($BR350,"iq_bond_coupon")/100)</f>
        <v/>
      </c>
    </row>
    <row r="351" spans="59:71" x14ac:dyDescent="0.25">
      <c r="BG351" s="301" t="str">
        <f>IF($BF351="","",_xll.ciqfunctions.udf.CIQ($BF351,"iq_offer_date"))</f>
        <v/>
      </c>
      <c r="BH351" s="302" t="str">
        <f>IF($BF351="","",RANK(BG351,$BG$11:$BG$511)+COUNTIF($BG$11:BG351,BG351)-1)</f>
        <v/>
      </c>
      <c r="BM351" s="271">
        <f t="shared" si="18"/>
        <v>341</v>
      </c>
      <c r="BO351" s="304" t="str">
        <f>IF($BN351="","",_xll.ciqfunctions.udf.CIQ($BN351,"iq_security_level"))</f>
        <v/>
      </c>
      <c r="BP351" s="271" t="str">
        <f t="shared" si="19"/>
        <v/>
      </c>
      <c r="BR351" s="271" t="str">
        <f t="shared" si="17"/>
        <v/>
      </c>
      <c r="BS351" s="305" t="str">
        <f>IF($BR351="","",_xll.ciqfunctions.udf.CIQ($BR351,"iq_bond_coupon")/100)</f>
        <v/>
      </c>
    </row>
    <row r="352" spans="59:71" x14ac:dyDescent="0.25">
      <c r="BG352" s="301" t="str">
        <f>IF($BF352="","",_xll.ciqfunctions.udf.CIQ($BF352,"iq_offer_date"))</f>
        <v/>
      </c>
      <c r="BH352" s="302" t="str">
        <f>IF($BF352="","",RANK(BG352,$BG$11:$BG$511)+COUNTIF($BG$11:BG352,BG352)-1)</f>
        <v/>
      </c>
      <c r="BM352" s="271">
        <f t="shared" si="18"/>
        <v>342</v>
      </c>
      <c r="BO352" s="304" t="str">
        <f>IF($BN352="","",_xll.ciqfunctions.udf.CIQ($BN352,"iq_security_level"))</f>
        <v/>
      </c>
      <c r="BP352" s="271" t="str">
        <f t="shared" si="19"/>
        <v/>
      </c>
      <c r="BR352" s="271" t="str">
        <f t="shared" si="17"/>
        <v/>
      </c>
      <c r="BS352" s="305" t="str">
        <f>IF($BR352="","",_xll.ciqfunctions.udf.CIQ($BR352,"iq_bond_coupon")/100)</f>
        <v/>
      </c>
    </row>
    <row r="353" spans="59:71" x14ac:dyDescent="0.25">
      <c r="BG353" s="301" t="str">
        <f>IF($BF353="","",_xll.ciqfunctions.udf.CIQ($BF353,"iq_offer_date"))</f>
        <v/>
      </c>
      <c r="BH353" s="302" t="str">
        <f>IF($BF353="","",RANK(BG353,$BG$11:$BG$511)+COUNTIF($BG$11:BG353,BG353)-1)</f>
        <v/>
      </c>
      <c r="BM353" s="271">
        <f t="shared" si="18"/>
        <v>343</v>
      </c>
      <c r="BO353" s="304" t="str">
        <f>IF($BN353="","",_xll.ciqfunctions.udf.CIQ($BN353,"iq_security_level"))</f>
        <v/>
      </c>
      <c r="BP353" s="271" t="str">
        <f t="shared" si="19"/>
        <v/>
      </c>
      <c r="BR353" s="271" t="str">
        <f t="shared" si="17"/>
        <v/>
      </c>
      <c r="BS353" s="305" t="str">
        <f>IF($BR353="","",_xll.ciqfunctions.udf.CIQ($BR353,"iq_bond_coupon")/100)</f>
        <v/>
      </c>
    </row>
    <row r="354" spans="59:71" x14ac:dyDescent="0.25">
      <c r="BG354" s="301" t="str">
        <f>IF($BF354="","",_xll.ciqfunctions.udf.CIQ($BF354,"iq_offer_date"))</f>
        <v/>
      </c>
      <c r="BH354" s="302" t="str">
        <f>IF($BF354="","",RANK(BG354,$BG$11:$BG$511)+COUNTIF($BG$11:BG354,BG354)-1)</f>
        <v/>
      </c>
      <c r="BM354" s="271">
        <f t="shared" si="18"/>
        <v>344</v>
      </c>
      <c r="BO354" s="304" t="str">
        <f>IF($BN354="","",_xll.ciqfunctions.udf.CIQ($BN354,"iq_security_level"))</f>
        <v/>
      </c>
      <c r="BP354" s="271" t="str">
        <f t="shared" si="19"/>
        <v/>
      </c>
      <c r="BR354" s="271" t="str">
        <f t="shared" si="17"/>
        <v/>
      </c>
      <c r="BS354" s="305" t="str">
        <f>IF($BR354="","",_xll.ciqfunctions.udf.CIQ($BR354,"iq_bond_coupon")/100)</f>
        <v/>
      </c>
    </row>
    <row r="355" spans="59:71" x14ac:dyDescent="0.25">
      <c r="BG355" s="301" t="str">
        <f>IF($BF355="","",_xll.ciqfunctions.udf.CIQ($BF355,"iq_offer_date"))</f>
        <v/>
      </c>
      <c r="BH355" s="302" t="str">
        <f>IF($BF355="","",RANK(BG355,$BG$11:$BG$511)+COUNTIF($BG$11:BG355,BG355)-1)</f>
        <v/>
      </c>
      <c r="BM355" s="271">
        <f t="shared" si="18"/>
        <v>345</v>
      </c>
      <c r="BO355" s="304" t="str">
        <f>IF($BN355="","",_xll.ciqfunctions.udf.CIQ($BN355,"iq_security_level"))</f>
        <v/>
      </c>
      <c r="BP355" s="271" t="str">
        <f t="shared" si="19"/>
        <v/>
      </c>
      <c r="BR355" s="271" t="str">
        <f t="shared" si="17"/>
        <v/>
      </c>
      <c r="BS355" s="305" t="str">
        <f>IF($BR355="","",_xll.ciqfunctions.udf.CIQ($BR355,"iq_bond_coupon")/100)</f>
        <v/>
      </c>
    </row>
    <row r="356" spans="59:71" x14ac:dyDescent="0.25">
      <c r="BG356" s="301" t="str">
        <f>IF($BF356="","",_xll.ciqfunctions.udf.CIQ($BF356,"iq_offer_date"))</f>
        <v/>
      </c>
      <c r="BH356" s="302" t="str">
        <f>IF($BF356="","",RANK(BG356,$BG$11:$BG$511)+COUNTIF($BG$11:BG356,BG356)-1)</f>
        <v/>
      </c>
      <c r="BM356" s="271">
        <f t="shared" si="18"/>
        <v>346</v>
      </c>
      <c r="BO356" s="304" t="str">
        <f>IF($BN356="","",_xll.ciqfunctions.udf.CIQ($BN356,"iq_security_level"))</f>
        <v/>
      </c>
      <c r="BP356" s="271" t="str">
        <f t="shared" si="19"/>
        <v/>
      </c>
      <c r="BR356" s="271" t="str">
        <f t="shared" si="17"/>
        <v/>
      </c>
      <c r="BS356" s="305" t="str">
        <f>IF($BR356="","",_xll.ciqfunctions.udf.CIQ($BR356,"iq_bond_coupon")/100)</f>
        <v/>
      </c>
    </row>
    <row r="357" spans="59:71" x14ac:dyDescent="0.25">
      <c r="BG357" s="301" t="str">
        <f>IF($BF357="","",_xll.ciqfunctions.udf.CIQ($BF357,"iq_offer_date"))</f>
        <v/>
      </c>
      <c r="BH357" s="302" t="str">
        <f>IF($BF357="","",RANK(BG357,$BG$11:$BG$511)+COUNTIF($BG$11:BG357,BG357)-1)</f>
        <v/>
      </c>
      <c r="BM357" s="271">
        <f t="shared" si="18"/>
        <v>347</v>
      </c>
      <c r="BO357" s="304" t="str">
        <f>IF($BN357="","",_xll.ciqfunctions.udf.CIQ($BN357,"iq_security_level"))</f>
        <v/>
      </c>
      <c r="BP357" s="271" t="str">
        <f t="shared" si="19"/>
        <v/>
      </c>
      <c r="BR357" s="271" t="str">
        <f t="shared" si="17"/>
        <v/>
      </c>
      <c r="BS357" s="305" t="str">
        <f>IF($BR357="","",_xll.ciqfunctions.udf.CIQ($BR357,"iq_bond_coupon")/100)</f>
        <v/>
      </c>
    </row>
    <row r="358" spans="59:71" x14ac:dyDescent="0.25">
      <c r="BG358" s="301" t="str">
        <f>IF($BF358="","",_xll.ciqfunctions.udf.CIQ($BF358,"iq_offer_date"))</f>
        <v/>
      </c>
      <c r="BH358" s="302" t="str">
        <f>IF($BF358="","",RANK(BG358,$BG$11:$BG$511)+COUNTIF($BG$11:BG358,BG358)-1)</f>
        <v/>
      </c>
      <c r="BM358" s="271">
        <f t="shared" si="18"/>
        <v>348</v>
      </c>
      <c r="BO358" s="304" t="str">
        <f>IF($BN358="","",_xll.ciqfunctions.udf.CIQ($BN358,"iq_security_level"))</f>
        <v/>
      </c>
      <c r="BP358" s="271" t="str">
        <f t="shared" si="19"/>
        <v/>
      </c>
      <c r="BR358" s="271" t="str">
        <f t="shared" si="17"/>
        <v/>
      </c>
      <c r="BS358" s="305" t="str">
        <f>IF($BR358="","",_xll.ciqfunctions.udf.CIQ($BR358,"iq_bond_coupon")/100)</f>
        <v/>
      </c>
    </row>
    <row r="359" spans="59:71" x14ac:dyDescent="0.25">
      <c r="BG359" s="301" t="str">
        <f>IF($BF359="","",_xll.ciqfunctions.udf.CIQ($BF359,"iq_offer_date"))</f>
        <v/>
      </c>
      <c r="BH359" s="302" t="str">
        <f>IF($BF359="","",RANK(BG359,$BG$11:$BG$511)+COUNTIF($BG$11:BG359,BG359)-1)</f>
        <v/>
      </c>
      <c r="BM359" s="271">
        <f t="shared" si="18"/>
        <v>349</v>
      </c>
      <c r="BO359" s="304" t="str">
        <f>IF($BN359="","",_xll.ciqfunctions.udf.CIQ($BN359,"iq_security_level"))</f>
        <v/>
      </c>
      <c r="BP359" s="271" t="str">
        <f t="shared" si="19"/>
        <v/>
      </c>
      <c r="BR359" s="271" t="str">
        <f t="shared" si="17"/>
        <v/>
      </c>
      <c r="BS359" s="305" t="str">
        <f>IF($BR359="","",_xll.ciqfunctions.udf.CIQ($BR359,"iq_bond_coupon")/100)</f>
        <v/>
      </c>
    </row>
    <row r="360" spans="59:71" x14ac:dyDescent="0.25">
      <c r="BG360" s="301" t="str">
        <f>IF($BF360="","",_xll.ciqfunctions.udf.CIQ($BF360,"iq_offer_date"))</f>
        <v/>
      </c>
      <c r="BH360" s="302" t="str">
        <f>IF($BF360="","",RANK(BG360,$BG$11:$BG$511)+COUNTIF($BG$11:BG360,BG360)-1)</f>
        <v/>
      </c>
      <c r="BM360" s="271">
        <f t="shared" si="18"/>
        <v>350</v>
      </c>
      <c r="BO360" s="304" t="str">
        <f>IF($BN360="","",_xll.ciqfunctions.udf.CIQ($BN360,"iq_security_level"))</f>
        <v/>
      </c>
      <c r="BP360" s="271" t="str">
        <f t="shared" si="19"/>
        <v/>
      </c>
      <c r="BR360" s="271" t="str">
        <f t="shared" si="17"/>
        <v/>
      </c>
      <c r="BS360" s="305" t="str">
        <f>IF($BR360="","",_xll.ciqfunctions.udf.CIQ($BR360,"iq_bond_coupon")/100)</f>
        <v/>
      </c>
    </row>
    <row r="361" spans="59:71" x14ac:dyDescent="0.25">
      <c r="BG361" s="301" t="str">
        <f>IF($BF361="","",_xll.ciqfunctions.udf.CIQ($BF361,"iq_offer_date"))</f>
        <v/>
      </c>
      <c r="BH361" s="302" t="str">
        <f>IF($BF361="","",RANK(BG361,$BG$11:$BG$511)+COUNTIF($BG$11:BG361,BG361)-1)</f>
        <v/>
      </c>
      <c r="BM361" s="271">
        <f t="shared" si="18"/>
        <v>351</v>
      </c>
      <c r="BO361" s="304" t="str">
        <f>IF($BN361="","",_xll.ciqfunctions.udf.CIQ($BN361,"iq_security_level"))</f>
        <v/>
      </c>
      <c r="BP361" s="271" t="str">
        <f t="shared" si="19"/>
        <v/>
      </c>
      <c r="BR361" s="271" t="str">
        <f t="shared" si="17"/>
        <v/>
      </c>
      <c r="BS361" s="305" t="str">
        <f>IF($BR361="","",_xll.ciqfunctions.udf.CIQ($BR361,"iq_bond_coupon")/100)</f>
        <v/>
      </c>
    </row>
    <row r="362" spans="59:71" x14ac:dyDescent="0.25">
      <c r="BG362" s="301" t="str">
        <f>IF($BF362="","",_xll.ciqfunctions.udf.CIQ($BF362,"iq_offer_date"))</f>
        <v/>
      </c>
      <c r="BH362" s="302" t="str">
        <f>IF($BF362="","",RANK(BG362,$BG$11:$BG$511)+COUNTIF($BG$11:BG362,BG362)-1)</f>
        <v/>
      </c>
      <c r="BM362" s="271">
        <f t="shared" si="18"/>
        <v>352</v>
      </c>
      <c r="BO362" s="304" t="str">
        <f>IF($BN362="","",_xll.ciqfunctions.udf.CIQ($BN362,"iq_security_level"))</f>
        <v/>
      </c>
      <c r="BP362" s="271" t="str">
        <f t="shared" si="19"/>
        <v/>
      </c>
      <c r="BR362" s="271" t="str">
        <f t="shared" si="17"/>
        <v/>
      </c>
      <c r="BS362" s="305" t="str">
        <f>IF($BR362="","",_xll.ciqfunctions.udf.CIQ($BR362,"iq_bond_coupon")/100)</f>
        <v/>
      </c>
    </row>
    <row r="363" spans="59:71" x14ac:dyDescent="0.25">
      <c r="BG363" s="301" t="str">
        <f>IF($BF363="","",_xll.ciqfunctions.udf.CIQ($BF363,"iq_offer_date"))</f>
        <v/>
      </c>
      <c r="BH363" s="302" t="str">
        <f>IF($BF363="","",RANK(BG363,$BG$11:$BG$511)+COUNTIF($BG$11:BG363,BG363)-1)</f>
        <v/>
      </c>
      <c r="BM363" s="271">
        <f t="shared" si="18"/>
        <v>353</v>
      </c>
      <c r="BO363" s="304" t="str">
        <f>IF($BN363="","",_xll.ciqfunctions.udf.CIQ($BN363,"iq_security_level"))</f>
        <v/>
      </c>
      <c r="BP363" s="271" t="str">
        <f t="shared" si="19"/>
        <v/>
      </c>
      <c r="BR363" s="271" t="str">
        <f t="shared" si="17"/>
        <v/>
      </c>
      <c r="BS363" s="305" t="str">
        <f>IF($BR363="","",_xll.ciqfunctions.udf.CIQ($BR363,"iq_bond_coupon")/100)</f>
        <v/>
      </c>
    </row>
    <row r="364" spans="59:71" x14ac:dyDescent="0.25">
      <c r="BG364" s="301" t="str">
        <f>IF($BF364="","",_xll.ciqfunctions.udf.CIQ($BF364,"iq_offer_date"))</f>
        <v/>
      </c>
      <c r="BH364" s="302" t="str">
        <f>IF($BF364="","",RANK(BG364,$BG$11:$BG$511)+COUNTIF($BG$11:BG364,BG364)-1)</f>
        <v/>
      </c>
      <c r="BM364" s="271">
        <f t="shared" si="18"/>
        <v>354</v>
      </c>
      <c r="BO364" s="304" t="str">
        <f>IF($BN364="","",_xll.ciqfunctions.udf.CIQ($BN364,"iq_security_level"))</f>
        <v/>
      </c>
      <c r="BP364" s="271" t="str">
        <f t="shared" si="19"/>
        <v/>
      </c>
      <c r="BR364" s="271" t="str">
        <f t="shared" si="17"/>
        <v/>
      </c>
      <c r="BS364" s="305" t="str">
        <f>IF($BR364="","",_xll.ciqfunctions.udf.CIQ($BR364,"iq_bond_coupon")/100)</f>
        <v/>
      </c>
    </row>
    <row r="365" spans="59:71" x14ac:dyDescent="0.25">
      <c r="BG365" s="301" t="str">
        <f>IF($BF365="","",_xll.ciqfunctions.udf.CIQ($BF365,"iq_offer_date"))</f>
        <v/>
      </c>
      <c r="BH365" s="302" t="str">
        <f>IF($BF365="","",RANK(BG365,$BG$11:$BG$511)+COUNTIF($BG$11:BG365,BG365)-1)</f>
        <v/>
      </c>
      <c r="BM365" s="271">
        <f t="shared" si="18"/>
        <v>355</v>
      </c>
      <c r="BO365" s="304" t="str">
        <f>IF($BN365="","",_xll.ciqfunctions.udf.CIQ($BN365,"iq_security_level"))</f>
        <v/>
      </c>
      <c r="BP365" s="271" t="str">
        <f t="shared" si="19"/>
        <v/>
      </c>
      <c r="BR365" s="271" t="str">
        <f t="shared" si="17"/>
        <v/>
      </c>
      <c r="BS365" s="305" t="str">
        <f>IF($BR365="","",_xll.ciqfunctions.udf.CIQ($BR365,"iq_bond_coupon")/100)</f>
        <v/>
      </c>
    </row>
    <row r="366" spans="59:71" x14ac:dyDescent="0.25">
      <c r="BG366" s="301" t="str">
        <f>IF($BF366="","",_xll.ciqfunctions.udf.CIQ($BF366,"iq_offer_date"))</f>
        <v/>
      </c>
      <c r="BH366" s="302" t="str">
        <f>IF($BF366="","",RANK(BG366,$BG$11:$BG$511)+COUNTIF($BG$11:BG366,BG366)-1)</f>
        <v/>
      </c>
      <c r="BM366" s="271">
        <f t="shared" si="18"/>
        <v>356</v>
      </c>
      <c r="BO366" s="304" t="str">
        <f>IF($BN366="","",_xll.ciqfunctions.udf.CIQ($BN366,"iq_security_level"))</f>
        <v/>
      </c>
      <c r="BP366" s="271" t="str">
        <f t="shared" si="19"/>
        <v/>
      </c>
      <c r="BR366" s="271" t="str">
        <f t="shared" si="17"/>
        <v/>
      </c>
      <c r="BS366" s="305" t="str">
        <f>IF($BR366="","",_xll.ciqfunctions.udf.CIQ($BR366,"iq_bond_coupon")/100)</f>
        <v/>
      </c>
    </row>
    <row r="367" spans="59:71" x14ac:dyDescent="0.25">
      <c r="BG367" s="301" t="str">
        <f>IF($BF367="","",_xll.ciqfunctions.udf.CIQ($BF367,"iq_offer_date"))</f>
        <v/>
      </c>
      <c r="BH367" s="302" t="str">
        <f>IF($BF367="","",RANK(BG367,$BG$11:$BG$511)+COUNTIF($BG$11:BG367,BG367)-1)</f>
        <v/>
      </c>
      <c r="BM367" s="271">
        <f t="shared" si="18"/>
        <v>357</v>
      </c>
      <c r="BO367" s="304" t="str">
        <f>IF($BN367="","",_xll.ciqfunctions.udf.CIQ($BN367,"iq_security_level"))</f>
        <v/>
      </c>
      <c r="BP367" s="271" t="str">
        <f t="shared" si="19"/>
        <v/>
      </c>
      <c r="BR367" s="271" t="str">
        <f t="shared" si="17"/>
        <v/>
      </c>
      <c r="BS367" s="305" t="str">
        <f>IF($BR367="","",_xll.ciqfunctions.udf.CIQ($BR367,"iq_bond_coupon")/100)</f>
        <v/>
      </c>
    </row>
    <row r="368" spans="59:71" x14ac:dyDescent="0.25">
      <c r="BG368" s="301" t="str">
        <f>IF($BF368="","",_xll.ciqfunctions.udf.CIQ($BF368,"iq_offer_date"))</f>
        <v/>
      </c>
      <c r="BH368" s="302" t="str">
        <f>IF($BF368="","",RANK(BG368,$BG$11:$BG$511)+COUNTIF($BG$11:BG368,BG368)-1)</f>
        <v/>
      </c>
      <c r="BM368" s="271">
        <f t="shared" si="18"/>
        <v>358</v>
      </c>
      <c r="BO368" s="304" t="str">
        <f>IF($BN368="","",_xll.ciqfunctions.udf.CIQ($BN368,"iq_security_level"))</f>
        <v/>
      </c>
      <c r="BP368" s="271" t="str">
        <f t="shared" si="19"/>
        <v/>
      </c>
      <c r="BR368" s="271" t="str">
        <f t="shared" si="17"/>
        <v/>
      </c>
      <c r="BS368" s="305" t="str">
        <f>IF($BR368="","",_xll.ciqfunctions.udf.CIQ($BR368,"iq_bond_coupon")/100)</f>
        <v/>
      </c>
    </row>
    <row r="369" spans="59:71" x14ac:dyDescent="0.25">
      <c r="BG369" s="301" t="str">
        <f>IF($BF369="","",_xll.ciqfunctions.udf.CIQ($BF369,"iq_offer_date"))</f>
        <v/>
      </c>
      <c r="BH369" s="302" t="str">
        <f>IF($BF369="","",RANK(BG369,$BG$11:$BG$511)+COUNTIF($BG$11:BG369,BG369)-1)</f>
        <v/>
      </c>
      <c r="BM369" s="271">
        <f t="shared" si="18"/>
        <v>359</v>
      </c>
      <c r="BO369" s="304" t="str">
        <f>IF($BN369="","",_xll.ciqfunctions.udf.CIQ($BN369,"iq_security_level"))</f>
        <v/>
      </c>
      <c r="BP369" s="271" t="str">
        <f t="shared" si="19"/>
        <v/>
      </c>
      <c r="BR369" s="271" t="str">
        <f t="shared" si="17"/>
        <v/>
      </c>
      <c r="BS369" s="305" t="str">
        <f>IF($BR369="","",_xll.ciqfunctions.udf.CIQ($BR369,"iq_bond_coupon")/100)</f>
        <v/>
      </c>
    </row>
    <row r="370" spans="59:71" x14ac:dyDescent="0.25">
      <c r="BG370" s="301" t="str">
        <f>IF($BF370="","",_xll.ciqfunctions.udf.CIQ($BF370,"iq_offer_date"))</f>
        <v/>
      </c>
      <c r="BH370" s="302" t="str">
        <f>IF($BF370="","",RANK(BG370,$BG$11:$BG$511)+COUNTIF($BG$11:BG370,BG370)-1)</f>
        <v/>
      </c>
      <c r="BM370" s="271">
        <f t="shared" si="18"/>
        <v>360</v>
      </c>
      <c r="BO370" s="304" t="str">
        <f>IF($BN370="","",_xll.ciqfunctions.udf.CIQ($BN370,"iq_security_level"))</f>
        <v/>
      </c>
      <c r="BP370" s="271" t="str">
        <f t="shared" si="19"/>
        <v/>
      </c>
      <c r="BR370" s="271" t="str">
        <f t="shared" si="17"/>
        <v/>
      </c>
      <c r="BS370" s="305" t="str">
        <f>IF($BR370="","",_xll.ciqfunctions.udf.CIQ($BR370,"iq_bond_coupon")/100)</f>
        <v/>
      </c>
    </row>
    <row r="371" spans="59:71" x14ac:dyDescent="0.25">
      <c r="BG371" s="301" t="str">
        <f>IF($BF371="","",_xll.ciqfunctions.udf.CIQ($BF371,"iq_offer_date"))</f>
        <v/>
      </c>
      <c r="BH371" s="302" t="str">
        <f>IF($BF371="","",RANK(BG371,$BG$11:$BG$511)+COUNTIF($BG$11:BG371,BG371)-1)</f>
        <v/>
      </c>
      <c r="BM371" s="271">
        <f t="shared" si="18"/>
        <v>361</v>
      </c>
      <c r="BO371" s="304" t="str">
        <f>IF($BN371="","",_xll.ciqfunctions.udf.CIQ($BN371,"iq_security_level"))</f>
        <v/>
      </c>
      <c r="BP371" s="271" t="str">
        <f t="shared" si="19"/>
        <v/>
      </c>
      <c r="BR371" s="271" t="str">
        <f t="shared" si="17"/>
        <v/>
      </c>
      <c r="BS371" s="305" t="str">
        <f>IF($BR371="","",_xll.ciqfunctions.udf.CIQ($BR371,"iq_bond_coupon")/100)</f>
        <v/>
      </c>
    </row>
    <row r="372" spans="59:71" x14ac:dyDescent="0.25">
      <c r="BG372" s="301" t="str">
        <f>IF($BF372="","",_xll.ciqfunctions.udf.CIQ($BF372,"iq_offer_date"))</f>
        <v/>
      </c>
      <c r="BH372" s="302" t="str">
        <f>IF($BF372="","",RANK(BG372,$BG$11:$BG$511)+COUNTIF($BG$11:BG372,BG372)-1)</f>
        <v/>
      </c>
      <c r="BM372" s="271">
        <f t="shared" si="18"/>
        <v>362</v>
      </c>
      <c r="BO372" s="304" t="str">
        <f>IF($BN372="","",_xll.ciqfunctions.udf.CIQ($BN372,"iq_security_level"))</f>
        <v/>
      </c>
      <c r="BP372" s="271" t="str">
        <f t="shared" si="19"/>
        <v/>
      </c>
      <c r="BR372" s="271" t="str">
        <f t="shared" si="17"/>
        <v/>
      </c>
      <c r="BS372" s="305" t="str">
        <f>IF($BR372="","",_xll.ciqfunctions.udf.CIQ($BR372,"iq_bond_coupon")/100)</f>
        <v/>
      </c>
    </row>
    <row r="373" spans="59:71" x14ac:dyDescent="0.25">
      <c r="BG373" s="301" t="str">
        <f>IF($BF373="","",_xll.ciqfunctions.udf.CIQ($BF373,"iq_offer_date"))</f>
        <v/>
      </c>
      <c r="BH373" s="302" t="str">
        <f>IF($BF373="","",RANK(BG373,$BG$11:$BG$511)+COUNTIF($BG$11:BG373,BG373)-1)</f>
        <v/>
      </c>
      <c r="BM373" s="271">
        <f t="shared" si="18"/>
        <v>363</v>
      </c>
      <c r="BO373" s="304" t="str">
        <f>IF($BN373="","",_xll.ciqfunctions.udf.CIQ($BN373,"iq_security_level"))</f>
        <v/>
      </c>
      <c r="BP373" s="271" t="str">
        <f t="shared" si="19"/>
        <v/>
      </c>
      <c r="BR373" s="271" t="str">
        <f t="shared" si="17"/>
        <v/>
      </c>
      <c r="BS373" s="305" t="str">
        <f>IF($BR373="","",_xll.ciqfunctions.udf.CIQ($BR373,"iq_bond_coupon")/100)</f>
        <v/>
      </c>
    </row>
    <row r="374" spans="59:71" x14ac:dyDescent="0.25">
      <c r="BG374" s="301" t="str">
        <f>IF($BF374="","",_xll.ciqfunctions.udf.CIQ($BF374,"iq_offer_date"))</f>
        <v/>
      </c>
      <c r="BH374" s="302" t="str">
        <f>IF($BF374="","",RANK(BG374,$BG$11:$BG$511)+COUNTIF($BG$11:BG374,BG374)-1)</f>
        <v/>
      </c>
      <c r="BM374" s="271">
        <f t="shared" si="18"/>
        <v>364</v>
      </c>
      <c r="BO374" s="304" t="str">
        <f>IF($BN374="","",_xll.ciqfunctions.udf.CIQ($BN374,"iq_security_level"))</f>
        <v/>
      </c>
      <c r="BP374" s="271" t="str">
        <f t="shared" si="19"/>
        <v/>
      </c>
      <c r="BR374" s="271" t="str">
        <f t="shared" ref="BR374:BR437" si="20">IF($BN373="","",IF(ISERROR(INDEX($BN$11:$BN$510,MATCH(BM373,$BP$11:$BP$510,0))),"",INDEX($BN$11:$BN$510,MATCH(BM373,$BP$11:$BP$510,0))))</f>
        <v/>
      </c>
      <c r="BS374" s="305" t="str">
        <f>IF($BR374="","",_xll.ciqfunctions.udf.CIQ($BR374,"iq_bond_coupon")/100)</f>
        <v/>
      </c>
    </row>
    <row r="375" spans="59:71" x14ac:dyDescent="0.25">
      <c r="BG375" s="301" t="str">
        <f>IF($BF375="","",_xll.ciqfunctions.udf.CIQ($BF375,"iq_offer_date"))</f>
        <v/>
      </c>
      <c r="BH375" s="302" t="str">
        <f>IF($BF375="","",RANK(BG375,$BG$11:$BG$511)+COUNTIF($BG$11:BG375,BG375)-1)</f>
        <v/>
      </c>
      <c r="BM375" s="271">
        <f t="shared" si="18"/>
        <v>365</v>
      </c>
      <c r="BO375" s="304" t="str">
        <f>IF($BN375="","",_xll.ciqfunctions.udf.CIQ($BN375,"iq_security_level"))</f>
        <v/>
      </c>
      <c r="BP375" s="271" t="str">
        <f t="shared" si="19"/>
        <v/>
      </c>
      <c r="BR375" s="271" t="str">
        <f t="shared" si="20"/>
        <v/>
      </c>
      <c r="BS375" s="305" t="str">
        <f>IF($BR375="","",_xll.ciqfunctions.udf.CIQ($BR375,"iq_bond_coupon")/100)</f>
        <v/>
      </c>
    </row>
    <row r="376" spans="59:71" x14ac:dyDescent="0.25">
      <c r="BG376" s="301" t="str">
        <f>IF($BF376="","",_xll.ciqfunctions.udf.CIQ($BF376,"iq_offer_date"))</f>
        <v/>
      </c>
      <c r="BH376" s="302" t="str">
        <f>IF($BF376="","",RANK(BG376,$BG$11:$BG$511)+COUNTIF($BG$11:BG376,BG376)-1)</f>
        <v/>
      </c>
      <c r="BM376" s="271">
        <f t="shared" si="18"/>
        <v>366</v>
      </c>
      <c r="BO376" s="304" t="str">
        <f>IF($BN376="","",_xll.ciqfunctions.udf.CIQ($BN376,"iq_security_level"))</f>
        <v/>
      </c>
      <c r="BP376" s="271" t="str">
        <f t="shared" si="19"/>
        <v/>
      </c>
      <c r="BR376" s="271" t="str">
        <f t="shared" si="20"/>
        <v/>
      </c>
      <c r="BS376" s="305" t="str">
        <f>IF($BR376="","",_xll.ciqfunctions.udf.CIQ($BR376,"iq_bond_coupon")/100)</f>
        <v/>
      </c>
    </row>
    <row r="377" spans="59:71" x14ac:dyDescent="0.25">
      <c r="BG377" s="301" t="str">
        <f>IF($BF377="","",_xll.ciqfunctions.udf.CIQ($BF377,"iq_offer_date"))</f>
        <v/>
      </c>
      <c r="BH377" s="302" t="str">
        <f>IF($BF377="","",RANK(BG377,$BG$11:$BG$511)+COUNTIF($BG$11:BG377,BG377)-1)</f>
        <v/>
      </c>
      <c r="BM377" s="271">
        <f t="shared" si="18"/>
        <v>367</v>
      </c>
      <c r="BO377" s="304" t="str">
        <f>IF($BN377="","",_xll.ciqfunctions.udf.CIQ($BN377,"iq_security_level"))</f>
        <v/>
      </c>
      <c r="BP377" s="271" t="str">
        <f t="shared" si="19"/>
        <v/>
      </c>
      <c r="BR377" s="271" t="str">
        <f t="shared" si="20"/>
        <v/>
      </c>
      <c r="BS377" s="305" t="str">
        <f>IF($BR377="","",_xll.ciqfunctions.udf.CIQ($BR377,"iq_bond_coupon")/100)</f>
        <v/>
      </c>
    </row>
    <row r="378" spans="59:71" x14ac:dyDescent="0.25">
      <c r="BG378" s="301" t="str">
        <f>IF($BF378="","",_xll.ciqfunctions.udf.CIQ($BF378,"iq_offer_date"))</f>
        <v/>
      </c>
      <c r="BH378" s="302" t="str">
        <f>IF($BF378="","",RANK(BG378,$BG$11:$BG$511)+COUNTIF($BG$11:BG378,BG378)-1)</f>
        <v/>
      </c>
      <c r="BM378" s="271">
        <f t="shared" si="18"/>
        <v>368</v>
      </c>
      <c r="BO378" s="304" t="str">
        <f>IF($BN378="","",_xll.ciqfunctions.udf.CIQ($BN378,"iq_security_level"))</f>
        <v/>
      </c>
      <c r="BP378" s="271" t="str">
        <f t="shared" si="19"/>
        <v/>
      </c>
      <c r="BR378" s="271" t="str">
        <f t="shared" si="20"/>
        <v/>
      </c>
      <c r="BS378" s="305" t="str">
        <f>IF($BR378="","",_xll.ciqfunctions.udf.CIQ($BR378,"iq_bond_coupon")/100)</f>
        <v/>
      </c>
    </row>
    <row r="379" spans="59:71" x14ac:dyDescent="0.25">
      <c r="BG379" s="301" t="str">
        <f>IF($BF379="","",_xll.ciqfunctions.udf.CIQ($BF379,"iq_offer_date"))</f>
        <v/>
      </c>
      <c r="BH379" s="302" t="str">
        <f>IF($BF379="","",RANK(BG379,$BG$11:$BG$511)+COUNTIF($BG$11:BG379,BG379)-1)</f>
        <v/>
      </c>
      <c r="BM379" s="271">
        <f t="shared" si="18"/>
        <v>369</v>
      </c>
      <c r="BO379" s="304" t="str">
        <f>IF($BN379="","",_xll.ciqfunctions.udf.CIQ($BN379,"iq_security_level"))</f>
        <v/>
      </c>
      <c r="BP379" s="271" t="str">
        <f t="shared" si="19"/>
        <v/>
      </c>
      <c r="BR379" s="271" t="str">
        <f t="shared" si="20"/>
        <v/>
      </c>
      <c r="BS379" s="305" t="str">
        <f>IF($BR379="","",_xll.ciqfunctions.udf.CIQ($BR379,"iq_bond_coupon")/100)</f>
        <v/>
      </c>
    </row>
    <row r="380" spans="59:71" x14ac:dyDescent="0.25">
      <c r="BG380" s="301" t="str">
        <f>IF($BF380="","",_xll.ciqfunctions.udf.CIQ($BF380,"iq_offer_date"))</f>
        <v/>
      </c>
      <c r="BH380" s="302" t="str">
        <f>IF($BF380="","",RANK(BG380,$BG$11:$BG$511)+COUNTIF($BG$11:BG380,BG380)-1)</f>
        <v/>
      </c>
      <c r="BM380" s="271">
        <f t="shared" si="18"/>
        <v>370</v>
      </c>
      <c r="BO380" s="304" t="str">
        <f>IF($BN380="","",_xll.ciqfunctions.udf.CIQ($BN380,"iq_security_level"))</f>
        <v/>
      </c>
      <c r="BP380" s="271" t="str">
        <f t="shared" si="19"/>
        <v/>
      </c>
      <c r="BR380" s="271" t="str">
        <f t="shared" si="20"/>
        <v/>
      </c>
      <c r="BS380" s="305" t="str">
        <f>IF($BR380="","",_xll.ciqfunctions.udf.CIQ($BR380,"iq_bond_coupon")/100)</f>
        <v/>
      </c>
    </row>
    <row r="381" spans="59:71" x14ac:dyDescent="0.25">
      <c r="BG381" s="301" t="str">
        <f>IF($BF381="","",_xll.ciqfunctions.udf.CIQ($BF381,"iq_offer_date"))</f>
        <v/>
      </c>
      <c r="BH381" s="302" t="str">
        <f>IF($BF381="","",RANK(BG381,$BG$11:$BG$511)+COUNTIF($BG$11:BG381,BG381)-1)</f>
        <v/>
      </c>
      <c r="BM381" s="271">
        <f t="shared" si="18"/>
        <v>371</v>
      </c>
      <c r="BO381" s="304" t="str">
        <f>IF($BN381="","",_xll.ciqfunctions.udf.CIQ($BN381,"iq_security_level"))</f>
        <v/>
      </c>
      <c r="BP381" s="271" t="str">
        <f t="shared" si="19"/>
        <v/>
      </c>
      <c r="BR381" s="271" t="str">
        <f t="shared" si="20"/>
        <v/>
      </c>
      <c r="BS381" s="305" t="str">
        <f>IF($BR381="","",_xll.ciqfunctions.udf.CIQ($BR381,"iq_bond_coupon")/100)</f>
        <v/>
      </c>
    </row>
    <row r="382" spans="59:71" x14ac:dyDescent="0.25">
      <c r="BG382" s="301" t="str">
        <f>IF($BF382="","",_xll.ciqfunctions.udf.CIQ($BF382,"iq_offer_date"))</f>
        <v/>
      </c>
      <c r="BH382" s="302" t="str">
        <f>IF($BF382="","",RANK(BG382,$BG$11:$BG$511)+COUNTIF($BG$11:BG382,BG382)-1)</f>
        <v/>
      </c>
      <c r="BM382" s="271">
        <f t="shared" si="18"/>
        <v>372</v>
      </c>
      <c r="BO382" s="304" t="str">
        <f>IF($BN382="","",_xll.ciqfunctions.udf.CIQ($BN382,"iq_security_level"))</f>
        <v/>
      </c>
      <c r="BP382" s="271" t="str">
        <f t="shared" si="19"/>
        <v/>
      </c>
      <c r="BR382" s="271" t="str">
        <f t="shared" si="20"/>
        <v/>
      </c>
      <c r="BS382" s="305" t="str">
        <f>IF($BR382="","",_xll.ciqfunctions.udf.CIQ($BR382,"iq_bond_coupon")/100)</f>
        <v/>
      </c>
    </row>
    <row r="383" spans="59:71" x14ac:dyDescent="0.25">
      <c r="BG383" s="301" t="str">
        <f>IF($BF383="","",_xll.ciqfunctions.udf.CIQ($BF383,"iq_offer_date"))</f>
        <v/>
      </c>
      <c r="BH383" s="302" t="str">
        <f>IF($BF383="","",RANK(BG383,$BG$11:$BG$511)+COUNTIF($BG$11:BG383,BG383)-1)</f>
        <v/>
      </c>
      <c r="BM383" s="271">
        <f t="shared" si="18"/>
        <v>373</v>
      </c>
      <c r="BO383" s="304" t="str">
        <f>IF($BN383="","",_xll.ciqfunctions.udf.CIQ($BN383,"iq_security_level"))</f>
        <v/>
      </c>
      <c r="BP383" s="271" t="str">
        <f t="shared" si="19"/>
        <v/>
      </c>
      <c r="BR383" s="271" t="str">
        <f t="shared" si="20"/>
        <v/>
      </c>
      <c r="BS383" s="305" t="str">
        <f>IF($BR383="","",_xll.ciqfunctions.udf.CIQ($BR383,"iq_bond_coupon")/100)</f>
        <v/>
      </c>
    </row>
    <row r="384" spans="59:71" x14ac:dyDescent="0.25">
      <c r="BG384" s="301" t="str">
        <f>IF($BF384="","",_xll.ciqfunctions.udf.CIQ($BF384,"iq_offer_date"))</f>
        <v/>
      </c>
      <c r="BH384" s="302" t="str">
        <f>IF($BF384="","",RANK(BG384,$BG$11:$BG$511)+COUNTIF($BG$11:BG384,BG384)-1)</f>
        <v/>
      </c>
      <c r="BM384" s="271">
        <f t="shared" si="18"/>
        <v>374</v>
      </c>
      <c r="BO384" s="304" t="str">
        <f>IF($BN384="","",_xll.ciqfunctions.udf.CIQ($BN384,"iq_security_level"))</f>
        <v/>
      </c>
      <c r="BP384" s="271" t="str">
        <f t="shared" si="19"/>
        <v/>
      </c>
      <c r="BR384" s="271" t="str">
        <f t="shared" si="20"/>
        <v/>
      </c>
      <c r="BS384" s="305" t="str">
        <f>IF($BR384="","",_xll.ciqfunctions.udf.CIQ($BR384,"iq_bond_coupon")/100)</f>
        <v/>
      </c>
    </row>
    <row r="385" spans="59:71" x14ac:dyDescent="0.25">
      <c r="BG385" s="301" t="str">
        <f>IF($BF385="","",_xll.ciqfunctions.udf.CIQ($BF385,"iq_offer_date"))</f>
        <v/>
      </c>
      <c r="BH385" s="302" t="str">
        <f>IF($BF385="","",RANK(BG385,$BG$11:$BG$511)+COUNTIF($BG$11:BG385,BG385)-1)</f>
        <v/>
      </c>
      <c r="BM385" s="271">
        <f t="shared" si="18"/>
        <v>375</v>
      </c>
      <c r="BO385" s="304" t="str">
        <f>IF($BN385="","",_xll.ciqfunctions.udf.CIQ($BN385,"iq_security_level"))</f>
        <v/>
      </c>
      <c r="BP385" s="271" t="str">
        <f t="shared" si="19"/>
        <v/>
      </c>
      <c r="BR385" s="271" t="str">
        <f t="shared" si="20"/>
        <v/>
      </c>
      <c r="BS385" s="305" t="str">
        <f>IF($BR385="","",_xll.ciqfunctions.udf.CIQ($BR385,"iq_bond_coupon")/100)</f>
        <v/>
      </c>
    </row>
    <row r="386" spans="59:71" x14ac:dyDescent="0.25">
      <c r="BG386" s="301" t="str">
        <f>IF($BF386="","",_xll.ciqfunctions.udf.CIQ($BF386,"iq_offer_date"))</f>
        <v/>
      </c>
      <c r="BH386" s="302" t="str">
        <f>IF($BF386="","",RANK(BG386,$BG$11:$BG$511)+COUNTIF($BG$11:BG386,BG386)-1)</f>
        <v/>
      </c>
      <c r="BM386" s="271">
        <f t="shared" si="18"/>
        <v>376</v>
      </c>
      <c r="BO386" s="304" t="str">
        <f>IF($BN386="","",_xll.ciqfunctions.udf.CIQ($BN386,"iq_security_level"))</f>
        <v/>
      </c>
      <c r="BP386" s="271" t="str">
        <f t="shared" si="19"/>
        <v/>
      </c>
      <c r="BR386" s="271" t="str">
        <f t="shared" si="20"/>
        <v/>
      </c>
      <c r="BS386" s="305" t="str">
        <f>IF($BR386="","",_xll.ciqfunctions.udf.CIQ($BR386,"iq_bond_coupon")/100)</f>
        <v/>
      </c>
    </row>
    <row r="387" spans="59:71" x14ac:dyDescent="0.25">
      <c r="BG387" s="301" t="str">
        <f>IF($BF387="","",_xll.ciqfunctions.udf.CIQ($BF387,"iq_offer_date"))</f>
        <v/>
      </c>
      <c r="BH387" s="302" t="str">
        <f>IF($BF387="","",RANK(BG387,$BG$11:$BG$511)+COUNTIF($BG$11:BG387,BG387)-1)</f>
        <v/>
      </c>
      <c r="BM387" s="271">
        <f t="shared" si="18"/>
        <v>377</v>
      </c>
      <c r="BO387" s="304" t="str">
        <f>IF($BN387="","",_xll.ciqfunctions.udf.CIQ($BN387,"iq_security_level"))</f>
        <v/>
      </c>
      <c r="BP387" s="271" t="str">
        <f t="shared" si="19"/>
        <v/>
      </c>
      <c r="BR387" s="271" t="str">
        <f t="shared" si="20"/>
        <v/>
      </c>
      <c r="BS387" s="305" t="str">
        <f>IF($BR387="","",_xll.ciqfunctions.udf.CIQ($BR387,"iq_bond_coupon")/100)</f>
        <v/>
      </c>
    </row>
    <row r="388" spans="59:71" x14ac:dyDescent="0.25">
      <c r="BG388" s="301" t="str">
        <f>IF($BF388="","",_xll.ciqfunctions.udf.CIQ($BF388,"iq_offer_date"))</f>
        <v/>
      </c>
      <c r="BH388" s="302" t="str">
        <f>IF($BF388="","",RANK(BG388,$BG$11:$BG$511)+COUNTIF($BG$11:BG388,BG388)-1)</f>
        <v/>
      </c>
      <c r="BM388" s="271">
        <f t="shared" si="18"/>
        <v>378</v>
      </c>
      <c r="BO388" s="304" t="str">
        <f>IF($BN388="","",_xll.ciqfunctions.udf.CIQ($BN388,"iq_security_level"))</f>
        <v/>
      </c>
      <c r="BP388" s="271" t="str">
        <f t="shared" si="19"/>
        <v/>
      </c>
      <c r="BR388" s="271" t="str">
        <f t="shared" si="20"/>
        <v/>
      </c>
      <c r="BS388" s="305" t="str">
        <f>IF($BR388="","",_xll.ciqfunctions.udf.CIQ($BR388,"iq_bond_coupon")/100)</f>
        <v/>
      </c>
    </row>
    <row r="389" spans="59:71" x14ac:dyDescent="0.25">
      <c r="BG389" s="301" t="str">
        <f>IF($BF389="","",_xll.ciqfunctions.udf.CIQ($BF389,"iq_offer_date"))</f>
        <v/>
      </c>
      <c r="BH389" s="302" t="str">
        <f>IF($BF389="","",RANK(BG389,$BG$11:$BG$511)+COUNTIF($BG$11:BG389,BG389)-1)</f>
        <v/>
      </c>
      <c r="BM389" s="271">
        <f t="shared" si="18"/>
        <v>379</v>
      </c>
      <c r="BO389" s="304" t="str">
        <f>IF($BN389="","",_xll.ciqfunctions.udf.CIQ($BN389,"iq_security_level"))</f>
        <v/>
      </c>
      <c r="BP389" s="271" t="str">
        <f t="shared" si="19"/>
        <v/>
      </c>
      <c r="BR389" s="271" t="str">
        <f t="shared" si="20"/>
        <v/>
      </c>
      <c r="BS389" s="305" t="str">
        <f>IF($BR389="","",_xll.ciqfunctions.udf.CIQ($BR389,"iq_bond_coupon")/100)</f>
        <v/>
      </c>
    </row>
    <row r="390" spans="59:71" x14ac:dyDescent="0.25">
      <c r="BG390" s="301" t="str">
        <f>IF($BF390="","",_xll.ciqfunctions.udf.CIQ($BF390,"iq_offer_date"))</f>
        <v/>
      </c>
      <c r="BH390" s="302" t="str">
        <f>IF($BF390="","",RANK(BG390,$BG$11:$BG$511)+COUNTIF($BG$11:BG390,BG390)-1)</f>
        <v/>
      </c>
      <c r="BM390" s="271">
        <f t="shared" si="18"/>
        <v>380</v>
      </c>
      <c r="BO390" s="304" t="str">
        <f>IF($BN390="","",_xll.ciqfunctions.udf.CIQ($BN390,"iq_security_level"))</f>
        <v/>
      </c>
      <c r="BP390" s="271" t="str">
        <f t="shared" si="19"/>
        <v/>
      </c>
      <c r="BR390" s="271" t="str">
        <f t="shared" si="20"/>
        <v/>
      </c>
      <c r="BS390" s="305" t="str">
        <f>IF($BR390="","",_xll.ciqfunctions.udf.CIQ($BR390,"iq_bond_coupon")/100)</f>
        <v/>
      </c>
    </row>
    <row r="391" spans="59:71" x14ac:dyDescent="0.25">
      <c r="BG391" s="301" t="str">
        <f>IF($BF391="","",_xll.ciqfunctions.udf.CIQ($BF391,"iq_offer_date"))</f>
        <v/>
      </c>
      <c r="BH391" s="302" t="str">
        <f>IF($BF391="","",RANK(BG391,$BG$11:$BG$511)+COUNTIF($BG$11:BG391,BG391)-1)</f>
        <v/>
      </c>
      <c r="BM391" s="271">
        <f t="shared" si="18"/>
        <v>381</v>
      </c>
      <c r="BO391" s="304" t="str">
        <f>IF($BN391="","",_xll.ciqfunctions.udf.CIQ($BN391,"iq_security_level"))</f>
        <v/>
      </c>
      <c r="BP391" s="271" t="str">
        <f t="shared" si="19"/>
        <v/>
      </c>
      <c r="BR391" s="271" t="str">
        <f t="shared" si="20"/>
        <v/>
      </c>
      <c r="BS391" s="305" t="str">
        <f>IF($BR391="","",_xll.ciqfunctions.udf.CIQ($BR391,"iq_bond_coupon")/100)</f>
        <v/>
      </c>
    </row>
    <row r="392" spans="59:71" x14ac:dyDescent="0.25">
      <c r="BG392" s="301" t="str">
        <f>IF($BF392="","",_xll.ciqfunctions.udf.CIQ($BF392,"iq_offer_date"))</f>
        <v/>
      </c>
      <c r="BH392" s="302" t="str">
        <f>IF($BF392="","",RANK(BG392,$BG$11:$BG$511)+COUNTIF($BG$11:BG392,BG392)-1)</f>
        <v/>
      </c>
      <c r="BM392" s="271">
        <f t="shared" si="18"/>
        <v>382</v>
      </c>
      <c r="BO392" s="304" t="str">
        <f>IF($BN392="","",_xll.ciqfunctions.udf.CIQ($BN392,"iq_security_level"))</f>
        <v/>
      </c>
      <c r="BP392" s="271" t="str">
        <f t="shared" si="19"/>
        <v/>
      </c>
      <c r="BR392" s="271" t="str">
        <f t="shared" si="20"/>
        <v/>
      </c>
      <c r="BS392" s="305" t="str">
        <f>IF($BR392="","",_xll.ciqfunctions.udf.CIQ($BR392,"iq_bond_coupon")/100)</f>
        <v/>
      </c>
    </row>
    <row r="393" spans="59:71" x14ac:dyDescent="0.25">
      <c r="BG393" s="301" t="str">
        <f>IF($BF393="","",_xll.ciqfunctions.udf.CIQ($BF393,"iq_offer_date"))</f>
        <v/>
      </c>
      <c r="BH393" s="302" t="str">
        <f>IF($BF393="","",RANK(BG393,$BG$11:$BG$511)+COUNTIF($BG$11:BG393,BG393)-1)</f>
        <v/>
      </c>
      <c r="BM393" s="271">
        <f t="shared" si="18"/>
        <v>383</v>
      </c>
      <c r="BO393" s="304" t="str">
        <f>IF($BN393="","",_xll.ciqfunctions.udf.CIQ($BN393,"iq_security_level"))</f>
        <v/>
      </c>
      <c r="BP393" s="271" t="str">
        <f t="shared" si="19"/>
        <v/>
      </c>
      <c r="BR393" s="271" t="str">
        <f t="shared" si="20"/>
        <v/>
      </c>
      <c r="BS393" s="305" t="str">
        <f>IF($BR393="","",_xll.ciqfunctions.udf.CIQ($BR393,"iq_bond_coupon")/100)</f>
        <v/>
      </c>
    </row>
    <row r="394" spans="59:71" x14ac:dyDescent="0.25">
      <c r="BG394" s="301" t="str">
        <f>IF($BF394="","",_xll.ciqfunctions.udf.CIQ($BF394,"iq_offer_date"))</f>
        <v/>
      </c>
      <c r="BH394" s="302" t="str">
        <f>IF($BF394="","",RANK(BG394,$BG$11:$BG$511)+COUNTIF($BG$11:BG394,BG394)-1)</f>
        <v/>
      </c>
      <c r="BM394" s="271">
        <f t="shared" si="18"/>
        <v>384</v>
      </c>
      <c r="BO394" s="304" t="str">
        <f>IF($BN394="","",_xll.ciqfunctions.udf.CIQ($BN394,"iq_security_level"))</f>
        <v/>
      </c>
      <c r="BP394" s="271" t="str">
        <f t="shared" si="19"/>
        <v/>
      </c>
      <c r="BR394" s="271" t="str">
        <f t="shared" si="20"/>
        <v/>
      </c>
      <c r="BS394" s="305" t="str">
        <f>IF($BR394="","",_xll.ciqfunctions.udf.CIQ($BR394,"iq_bond_coupon")/100)</f>
        <v/>
      </c>
    </row>
    <row r="395" spans="59:71" x14ac:dyDescent="0.25">
      <c r="BG395" s="301" t="str">
        <f>IF($BF395="","",_xll.ciqfunctions.udf.CIQ($BF395,"iq_offer_date"))</f>
        <v/>
      </c>
      <c r="BH395" s="302" t="str">
        <f>IF($BF395="","",RANK(BG395,$BG$11:$BG$511)+COUNTIF($BG$11:BG395,BG395)-1)</f>
        <v/>
      </c>
      <c r="BM395" s="271">
        <f t="shared" si="18"/>
        <v>385</v>
      </c>
      <c r="BO395" s="304" t="str">
        <f>IF($BN395="","",_xll.ciqfunctions.udf.CIQ($BN395,"iq_security_level"))</f>
        <v/>
      </c>
      <c r="BP395" s="271" t="str">
        <f t="shared" si="19"/>
        <v/>
      </c>
      <c r="BR395" s="271" t="str">
        <f t="shared" si="20"/>
        <v/>
      </c>
      <c r="BS395" s="305" t="str">
        <f>IF($BR395="","",_xll.ciqfunctions.udf.CIQ($BR395,"iq_bond_coupon")/100)</f>
        <v/>
      </c>
    </row>
    <row r="396" spans="59:71" x14ac:dyDescent="0.25">
      <c r="BG396" s="301" t="str">
        <f>IF($BF396="","",_xll.ciqfunctions.udf.CIQ($BF396,"iq_offer_date"))</f>
        <v/>
      </c>
      <c r="BH396" s="302" t="str">
        <f>IF($BF396="","",RANK(BG396,$BG$11:$BG$511)+COUNTIF($BG$11:BG396,BG396)-1)</f>
        <v/>
      </c>
      <c r="BM396" s="271">
        <f t="shared" si="18"/>
        <v>386</v>
      </c>
      <c r="BO396" s="304" t="str">
        <f>IF($BN396="","",_xll.ciqfunctions.udf.CIQ($BN396,"iq_security_level"))</f>
        <v/>
      </c>
      <c r="BP396" s="271" t="str">
        <f t="shared" si="19"/>
        <v/>
      </c>
      <c r="BR396" s="271" t="str">
        <f t="shared" si="20"/>
        <v/>
      </c>
      <c r="BS396" s="305" t="str">
        <f>IF($BR396="","",_xll.ciqfunctions.udf.CIQ($BR396,"iq_bond_coupon")/100)</f>
        <v/>
      </c>
    </row>
    <row r="397" spans="59:71" x14ac:dyDescent="0.25">
      <c r="BG397" s="301" t="str">
        <f>IF($BF397="","",_xll.ciqfunctions.udf.CIQ($BF397,"iq_offer_date"))</f>
        <v/>
      </c>
      <c r="BH397" s="302" t="str">
        <f>IF($BF397="","",RANK(BG397,$BG$11:$BG$511)+COUNTIF($BG$11:BG397,BG397)-1)</f>
        <v/>
      </c>
      <c r="BM397" s="271">
        <f t="shared" ref="BM397:BM460" si="21">BM396+1</f>
        <v>387</v>
      </c>
      <c r="BO397" s="304" t="str">
        <f>IF($BN397="","",_xll.ciqfunctions.udf.CIQ($BN397,"iq_security_level"))</f>
        <v/>
      </c>
      <c r="BP397" s="271" t="str">
        <f t="shared" ref="BP397:BP460" si="22">IF(BN397="","",IF(BO397="Preferred",BP396+1,BP396))</f>
        <v/>
      </c>
      <c r="BR397" s="271" t="str">
        <f t="shared" si="20"/>
        <v/>
      </c>
      <c r="BS397" s="305" t="str">
        <f>IF($BR397="","",_xll.ciqfunctions.udf.CIQ($BR397,"iq_bond_coupon")/100)</f>
        <v/>
      </c>
    </row>
    <row r="398" spans="59:71" x14ac:dyDescent="0.25">
      <c r="BG398" s="301" t="str">
        <f>IF($BF398="","",_xll.ciqfunctions.udf.CIQ($BF398,"iq_offer_date"))</f>
        <v/>
      </c>
      <c r="BH398" s="302" t="str">
        <f>IF($BF398="","",RANK(BG398,$BG$11:$BG$511)+COUNTIF($BG$11:BG398,BG398)-1)</f>
        <v/>
      </c>
      <c r="BM398" s="271">
        <f t="shared" si="21"/>
        <v>388</v>
      </c>
      <c r="BO398" s="304" t="str">
        <f>IF($BN398="","",_xll.ciqfunctions.udf.CIQ($BN398,"iq_security_level"))</f>
        <v/>
      </c>
      <c r="BP398" s="271" t="str">
        <f t="shared" si="22"/>
        <v/>
      </c>
      <c r="BR398" s="271" t="str">
        <f t="shared" si="20"/>
        <v/>
      </c>
      <c r="BS398" s="305" t="str">
        <f>IF($BR398="","",_xll.ciqfunctions.udf.CIQ($BR398,"iq_bond_coupon")/100)</f>
        <v/>
      </c>
    </row>
    <row r="399" spans="59:71" x14ac:dyDescent="0.25">
      <c r="BG399" s="301" t="str">
        <f>IF($BF399="","",_xll.ciqfunctions.udf.CIQ($BF399,"iq_offer_date"))</f>
        <v/>
      </c>
      <c r="BH399" s="302" t="str">
        <f>IF($BF399="","",RANK(BG399,$BG$11:$BG$511)+COUNTIF($BG$11:BG399,BG399)-1)</f>
        <v/>
      </c>
      <c r="BM399" s="271">
        <f t="shared" si="21"/>
        <v>389</v>
      </c>
      <c r="BO399" s="304" t="str">
        <f>IF($BN399="","",_xll.ciqfunctions.udf.CIQ($BN399,"iq_security_level"))</f>
        <v/>
      </c>
      <c r="BP399" s="271" t="str">
        <f t="shared" si="22"/>
        <v/>
      </c>
      <c r="BR399" s="271" t="str">
        <f t="shared" si="20"/>
        <v/>
      </c>
      <c r="BS399" s="305" t="str">
        <f>IF($BR399="","",_xll.ciqfunctions.udf.CIQ($BR399,"iq_bond_coupon")/100)</f>
        <v/>
      </c>
    </row>
    <row r="400" spans="59:71" x14ac:dyDescent="0.25">
      <c r="BG400" s="301" t="str">
        <f>IF($BF400="","",_xll.ciqfunctions.udf.CIQ($BF400,"iq_offer_date"))</f>
        <v/>
      </c>
      <c r="BH400" s="302" t="str">
        <f>IF($BF400="","",RANK(BG400,$BG$11:$BG$511)+COUNTIF($BG$11:BG400,BG400)-1)</f>
        <v/>
      </c>
      <c r="BM400" s="271">
        <f t="shared" si="21"/>
        <v>390</v>
      </c>
      <c r="BO400" s="304" t="str">
        <f>IF($BN400="","",_xll.ciqfunctions.udf.CIQ($BN400,"iq_security_level"))</f>
        <v/>
      </c>
      <c r="BP400" s="271" t="str">
        <f t="shared" si="22"/>
        <v/>
      </c>
      <c r="BR400" s="271" t="str">
        <f t="shared" si="20"/>
        <v/>
      </c>
      <c r="BS400" s="305" t="str">
        <f>IF($BR400="","",_xll.ciqfunctions.udf.CIQ($BR400,"iq_bond_coupon")/100)</f>
        <v/>
      </c>
    </row>
    <row r="401" spans="59:71" x14ac:dyDescent="0.25">
      <c r="BG401" s="301" t="str">
        <f>IF($BF401="","",_xll.ciqfunctions.udf.CIQ($BF401,"iq_offer_date"))</f>
        <v/>
      </c>
      <c r="BH401" s="302" t="str">
        <f>IF($BF401="","",RANK(BG401,$BG$11:$BG$511)+COUNTIF($BG$11:BG401,BG401)-1)</f>
        <v/>
      </c>
      <c r="BM401" s="271">
        <f t="shared" si="21"/>
        <v>391</v>
      </c>
      <c r="BO401" s="304" t="str">
        <f>IF($BN401="","",_xll.ciqfunctions.udf.CIQ($BN401,"iq_security_level"))</f>
        <v/>
      </c>
      <c r="BP401" s="271" t="str">
        <f t="shared" si="22"/>
        <v/>
      </c>
      <c r="BR401" s="271" t="str">
        <f t="shared" si="20"/>
        <v/>
      </c>
      <c r="BS401" s="305" t="str">
        <f>IF($BR401="","",_xll.ciqfunctions.udf.CIQ($BR401,"iq_bond_coupon")/100)</f>
        <v/>
      </c>
    </row>
    <row r="402" spans="59:71" x14ac:dyDescent="0.25">
      <c r="BG402" s="301" t="str">
        <f>IF($BF402="","",_xll.ciqfunctions.udf.CIQ($BF402,"iq_offer_date"))</f>
        <v/>
      </c>
      <c r="BH402" s="302" t="str">
        <f>IF($BF402="","",RANK(BG402,$BG$11:$BG$511)+COUNTIF($BG$11:BG402,BG402)-1)</f>
        <v/>
      </c>
      <c r="BM402" s="271">
        <f t="shared" si="21"/>
        <v>392</v>
      </c>
      <c r="BO402" s="304" t="str">
        <f>IF($BN402="","",_xll.ciqfunctions.udf.CIQ($BN402,"iq_security_level"))</f>
        <v/>
      </c>
      <c r="BP402" s="271" t="str">
        <f t="shared" si="22"/>
        <v/>
      </c>
      <c r="BR402" s="271" t="str">
        <f t="shared" si="20"/>
        <v/>
      </c>
      <c r="BS402" s="305" t="str">
        <f>IF($BR402="","",_xll.ciqfunctions.udf.CIQ($BR402,"iq_bond_coupon")/100)</f>
        <v/>
      </c>
    </row>
    <row r="403" spans="59:71" x14ac:dyDescent="0.25">
      <c r="BG403" s="301" t="str">
        <f>IF($BF403="","",_xll.ciqfunctions.udf.CIQ($BF403,"iq_offer_date"))</f>
        <v/>
      </c>
      <c r="BH403" s="302" t="str">
        <f>IF($BF403="","",RANK(BG403,$BG$11:$BG$511)+COUNTIF($BG$11:BG403,BG403)-1)</f>
        <v/>
      </c>
      <c r="BM403" s="271">
        <f t="shared" si="21"/>
        <v>393</v>
      </c>
      <c r="BO403" s="304" t="str">
        <f>IF($BN403="","",_xll.ciqfunctions.udf.CIQ($BN403,"iq_security_level"))</f>
        <v/>
      </c>
      <c r="BP403" s="271" t="str">
        <f t="shared" si="22"/>
        <v/>
      </c>
      <c r="BR403" s="271" t="str">
        <f t="shared" si="20"/>
        <v/>
      </c>
      <c r="BS403" s="305" t="str">
        <f>IF($BR403="","",_xll.ciqfunctions.udf.CIQ($BR403,"iq_bond_coupon")/100)</f>
        <v/>
      </c>
    </row>
    <row r="404" spans="59:71" x14ac:dyDescent="0.25">
      <c r="BG404" s="301" t="str">
        <f>IF($BF404="","",_xll.ciqfunctions.udf.CIQ($BF404,"iq_offer_date"))</f>
        <v/>
      </c>
      <c r="BH404" s="302" t="str">
        <f>IF($BF404="","",RANK(BG404,$BG$11:$BG$511)+COUNTIF($BG$11:BG404,BG404)-1)</f>
        <v/>
      </c>
      <c r="BM404" s="271">
        <f t="shared" si="21"/>
        <v>394</v>
      </c>
      <c r="BO404" s="304" t="str">
        <f>IF($BN404="","",_xll.ciqfunctions.udf.CIQ($BN404,"iq_security_level"))</f>
        <v/>
      </c>
      <c r="BP404" s="271" t="str">
        <f t="shared" si="22"/>
        <v/>
      </c>
      <c r="BR404" s="271" t="str">
        <f t="shared" si="20"/>
        <v/>
      </c>
      <c r="BS404" s="305" t="str">
        <f>IF($BR404="","",_xll.ciqfunctions.udf.CIQ($BR404,"iq_bond_coupon")/100)</f>
        <v/>
      </c>
    </row>
    <row r="405" spans="59:71" x14ac:dyDescent="0.25">
      <c r="BG405" s="301" t="str">
        <f>IF($BF405="","",_xll.ciqfunctions.udf.CIQ($BF405,"iq_offer_date"))</f>
        <v/>
      </c>
      <c r="BH405" s="302" t="str">
        <f>IF($BF405="","",RANK(BG405,$BG$11:$BG$511)+COUNTIF($BG$11:BG405,BG405)-1)</f>
        <v/>
      </c>
      <c r="BM405" s="271">
        <f t="shared" si="21"/>
        <v>395</v>
      </c>
      <c r="BO405" s="304" t="str">
        <f>IF($BN405="","",_xll.ciqfunctions.udf.CIQ($BN405,"iq_security_level"))</f>
        <v/>
      </c>
      <c r="BP405" s="271" t="str">
        <f t="shared" si="22"/>
        <v/>
      </c>
      <c r="BR405" s="271" t="str">
        <f t="shared" si="20"/>
        <v/>
      </c>
      <c r="BS405" s="305" t="str">
        <f>IF($BR405="","",_xll.ciqfunctions.udf.CIQ($BR405,"iq_bond_coupon")/100)</f>
        <v/>
      </c>
    </row>
    <row r="406" spans="59:71" x14ac:dyDescent="0.25">
      <c r="BG406" s="301" t="str">
        <f>IF($BF406="","",_xll.ciqfunctions.udf.CIQ($BF406,"iq_offer_date"))</f>
        <v/>
      </c>
      <c r="BH406" s="302" t="str">
        <f>IF($BF406="","",RANK(BG406,$BG$11:$BG$511)+COUNTIF($BG$11:BG406,BG406)-1)</f>
        <v/>
      </c>
      <c r="BM406" s="271">
        <f t="shared" si="21"/>
        <v>396</v>
      </c>
      <c r="BO406" s="304" t="str">
        <f>IF($BN406="","",_xll.ciqfunctions.udf.CIQ($BN406,"iq_security_level"))</f>
        <v/>
      </c>
      <c r="BP406" s="271" t="str">
        <f t="shared" si="22"/>
        <v/>
      </c>
      <c r="BR406" s="271" t="str">
        <f t="shared" si="20"/>
        <v/>
      </c>
      <c r="BS406" s="305" t="str">
        <f>IF($BR406="","",_xll.ciqfunctions.udf.CIQ($BR406,"iq_bond_coupon")/100)</f>
        <v/>
      </c>
    </row>
    <row r="407" spans="59:71" x14ac:dyDescent="0.25">
      <c r="BG407" s="301" t="str">
        <f>IF($BF407="","",_xll.ciqfunctions.udf.CIQ($BF407,"iq_offer_date"))</f>
        <v/>
      </c>
      <c r="BH407" s="302" t="str">
        <f>IF($BF407="","",RANK(BG407,$BG$11:$BG$511)+COUNTIF($BG$11:BG407,BG407)-1)</f>
        <v/>
      </c>
      <c r="BM407" s="271">
        <f t="shared" si="21"/>
        <v>397</v>
      </c>
      <c r="BO407" s="304" t="str">
        <f>IF($BN407="","",_xll.ciqfunctions.udf.CIQ($BN407,"iq_security_level"))</f>
        <v/>
      </c>
      <c r="BP407" s="271" t="str">
        <f t="shared" si="22"/>
        <v/>
      </c>
      <c r="BR407" s="271" t="str">
        <f t="shared" si="20"/>
        <v/>
      </c>
      <c r="BS407" s="305" t="str">
        <f>IF($BR407="","",_xll.ciqfunctions.udf.CIQ($BR407,"iq_bond_coupon")/100)</f>
        <v/>
      </c>
    </row>
    <row r="408" spans="59:71" x14ac:dyDescent="0.25">
      <c r="BG408" s="301" t="str">
        <f>IF($BF408="","",_xll.ciqfunctions.udf.CIQ($BF408,"iq_offer_date"))</f>
        <v/>
      </c>
      <c r="BH408" s="302" t="str">
        <f>IF($BF408="","",RANK(BG408,$BG$11:$BG$511)+COUNTIF($BG$11:BG408,BG408)-1)</f>
        <v/>
      </c>
      <c r="BM408" s="271">
        <f t="shared" si="21"/>
        <v>398</v>
      </c>
      <c r="BO408" s="304" t="str">
        <f>IF($BN408="","",_xll.ciqfunctions.udf.CIQ($BN408,"iq_security_level"))</f>
        <v/>
      </c>
      <c r="BP408" s="271" t="str">
        <f t="shared" si="22"/>
        <v/>
      </c>
      <c r="BR408" s="271" t="str">
        <f t="shared" si="20"/>
        <v/>
      </c>
      <c r="BS408" s="305" t="str">
        <f>IF($BR408="","",_xll.ciqfunctions.udf.CIQ($BR408,"iq_bond_coupon")/100)</f>
        <v/>
      </c>
    </row>
    <row r="409" spans="59:71" x14ac:dyDescent="0.25">
      <c r="BG409" s="301" t="str">
        <f>IF($BF409="","",_xll.ciqfunctions.udf.CIQ($BF409,"iq_offer_date"))</f>
        <v/>
      </c>
      <c r="BH409" s="302" t="str">
        <f>IF($BF409="","",RANK(BG409,$BG$11:$BG$511)+COUNTIF($BG$11:BG409,BG409)-1)</f>
        <v/>
      </c>
      <c r="BM409" s="271">
        <f t="shared" si="21"/>
        <v>399</v>
      </c>
      <c r="BO409" s="304" t="str">
        <f>IF($BN409="","",_xll.ciqfunctions.udf.CIQ($BN409,"iq_security_level"))</f>
        <v/>
      </c>
      <c r="BP409" s="271" t="str">
        <f t="shared" si="22"/>
        <v/>
      </c>
      <c r="BR409" s="271" t="str">
        <f t="shared" si="20"/>
        <v/>
      </c>
      <c r="BS409" s="305" t="str">
        <f>IF($BR409="","",_xll.ciqfunctions.udf.CIQ($BR409,"iq_bond_coupon")/100)</f>
        <v/>
      </c>
    </row>
    <row r="410" spans="59:71" x14ac:dyDescent="0.25">
      <c r="BG410" s="301" t="str">
        <f>IF($BF410="","",_xll.ciqfunctions.udf.CIQ($BF410,"iq_offer_date"))</f>
        <v/>
      </c>
      <c r="BH410" s="302" t="str">
        <f>IF($BF410="","",RANK(BG410,$BG$11:$BG$511)+COUNTIF($BG$11:BG410,BG410)-1)</f>
        <v/>
      </c>
      <c r="BM410" s="271">
        <f t="shared" si="21"/>
        <v>400</v>
      </c>
      <c r="BO410" s="304" t="str">
        <f>IF($BN410="","",_xll.ciqfunctions.udf.CIQ($BN410,"iq_security_level"))</f>
        <v/>
      </c>
      <c r="BP410" s="271" t="str">
        <f t="shared" si="22"/>
        <v/>
      </c>
      <c r="BR410" s="271" t="str">
        <f t="shared" si="20"/>
        <v/>
      </c>
      <c r="BS410" s="305" t="str">
        <f>IF($BR410="","",_xll.ciqfunctions.udf.CIQ($BR410,"iq_bond_coupon")/100)</f>
        <v/>
      </c>
    </row>
    <row r="411" spans="59:71" x14ac:dyDescent="0.25">
      <c r="BG411" s="301" t="str">
        <f>IF($BF411="","",_xll.ciqfunctions.udf.CIQ($BF411,"iq_offer_date"))</f>
        <v/>
      </c>
      <c r="BH411" s="302" t="str">
        <f>IF($BF411="","",RANK(BG411,$BG$11:$BG$511)+COUNTIF($BG$11:BG411,BG411)-1)</f>
        <v/>
      </c>
      <c r="BM411" s="271">
        <f t="shared" si="21"/>
        <v>401</v>
      </c>
      <c r="BO411" s="304" t="str">
        <f>IF($BN411="","",_xll.ciqfunctions.udf.CIQ($BN411,"iq_security_level"))</f>
        <v/>
      </c>
      <c r="BP411" s="271" t="str">
        <f t="shared" si="22"/>
        <v/>
      </c>
      <c r="BR411" s="271" t="str">
        <f t="shared" si="20"/>
        <v/>
      </c>
      <c r="BS411" s="305" t="str">
        <f>IF($BR411="","",_xll.ciqfunctions.udf.CIQ($BR411,"iq_bond_coupon")/100)</f>
        <v/>
      </c>
    </row>
    <row r="412" spans="59:71" x14ac:dyDescent="0.25">
      <c r="BG412" s="301" t="str">
        <f>IF($BF412="","",_xll.ciqfunctions.udf.CIQ($BF412,"iq_offer_date"))</f>
        <v/>
      </c>
      <c r="BH412" s="302" t="str">
        <f>IF($BF412="","",RANK(BG412,$BG$11:$BG$511)+COUNTIF($BG$11:BG412,BG412)-1)</f>
        <v/>
      </c>
      <c r="BM412" s="271">
        <f t="shared" si="21"/>
        <v>402</v>
      </c>
      <c r="BO412" s="304" t="str">
        <f>IF($BN412="","",_xll.ciqfunctions.udf.CIQ($BN412,"iq_security_level"))</f>
        <v/>
      </c>
      <c r="BP412" s="271" t="str">
        <f t="shared" si="22"/>
        <v/>
      </c>
      <c r="BR412" s="271" t="str">
        <f t="shared" si="20"/>
        <v/>
      </c>
      <c r="BS412" s="305" t="str">
        <f>IF($BR412="","",_xll.ciqfunctions.udf.CIQ($BR412,"iq_bond_coupon")/100)</f>
        <v/>
      </c>
    </row>
    <row r="413" spans="59:71" x14ac:dyDescent="0.25">
      <c r="BG413" s="301" t="str">
        <f>IF($BF413="","",_xll.ciqfunctions.udf.CIQ($BF413,"iq_offer_date"))</f>
        <v/>
      </c>
      <c r="BH413" s="302" t="str">
        <f>IF($BF413="","",RANK(BG413,$BG$11:$BG$511)+COUNTIF($BG$11:BG413,BG413)-1)</f>
        <v/>
      </c>
      <c r="BM413" s="271">
        <f t="shared" si="21"/>
        <v>403</v>
      </c>
      <c r="BO413" s="304" t="str">
        <f>IF($BN413="","",_xll.ciqfunctions.udf.CIQ($BN413,"iq_security_level"))</f>
        <v/>
      </c>
      <c r="BP413" s="271" t="str">
        <f t="shared" si="22"/>
        <v/>
      </c>
      <c r="BR413" s="271" t="str">
        <f t="shared" si="20"/>
        <v/>
      </c>
      <c r="BS413" s="305" t="str">
        <f>IF($BR413="","",_xll.ciqfunctions.udf.CIQ($BR413,"iq_bond_coupon")/100)</f>
        <v/>
      </c>
    </row>
    <row r="414" spans="59:71" x14ac:dyDescent="0.25">
      <c r="BG414" s="301" t="str">
        <f>IF($BF414="","",_xll.ciqfunctions.udf.CIQ($BF414,"iq_offer_date"))</f>
        <v/>
      </c>
      <c r="BH414" s="302" t="str">
        <f>IF($BF414="","",RANK(BG414,$BG$11:$BG$511)+COUNTIF($BG$11:BG414,BG414)-1)</f>
        <v/>
      </c>
      <c r="BM414" s="271">
        <f t="shared" si="21"/>
        <v>404</v>
      </c>
      <c r="BO414" s="304" t="str">
        <f>IF($BN414="","",_xll.ciqfunctions.udf.CIQ($BN414,"iq_security_level"))</f>
        <v/>
      </c>
      <c r="BP414" s="271" t="str">
        <f t="shared" si="22"/>
        <v/>
      </c>
      <c r="BR414" s="271" t="str">
        <f t="shared" si="20"/>
        <v/>
      </c>
      <c r="BS414" s="305" t="str">
        <f>IF($BR414="","",_xll.ciqfunctions.udf.CIQ($BR414,"iq_bond_coupon")/100)</f>
        <v/>
      </c>
    </row>
    <row r="415" spans="59:71" x14ac:dyDescent="0.25">
      <c r="BG415" s="301" t="str">
        <f>IF($BF415="","",_xll.ciqfunctions.udf.CIQ($BF415,"iq_offer_date"))</f>
        <v/>
      </c>
      <c r="BH415" s="302" t="str">
        <f>IF($BF415="","",RANK(BG415,$BG$11:$BG$511)+COUNTIF($BG$11:BG415,BG415)-1)</f>
        <v/>
      </c>
      <c r="BM415" s="271">
        <f t="shared" si="21"/>
        <v>405</v>
      </c>
      <c r="BO415" s="304" t="str">
        <f>IF($BN415="","",_xll.ciqfunctions.udf.CIQ($BN415,"iq_security_level"))</f>
        <v/>
      </c>
      <c r="BP415" s="271" t="str">
        <f t="shared" si="22"/>
        <v/>
      </c>
      <c r="BR415" s="271" t="str">
        <f t="shared" si="20"/>
        <v/>
      </c>
      <c r="BS415" s="305" t="str">
        <f>IF($BR415="","",_xll.ciqfunctions.udf.CIQ($BR415,"iq_bond_coupon")/100)</f>
        <v/>
      </c>
    </row>
    <row r="416" spans="59:71" x14ac:dyDescent="0.25">
      <c r="BG416" s="301" t="str">
        <f>IF($BF416="","",_xll.ciqfunctions.udf.CIQ($BF416,"iq_offer_date"))</f>
        <v/>
      </c>
      <c r="BH416" s="302" t="str">
        <f>IF($BF416="","",RANK(BG416,$BG$11:$BG$511)+COUNTIF($BG$11:BG416,BG416)-1)</f>
        <v/>
      </c>
      <c r="BM416" s="271">
        <f t="shared" si="21"/>
        <v>406</v>
      </c>
      <c r="BO416" s="304" t="str">
        <f>IF($BN416="","",_xll.ciqfunctions.udf.CIQ($BN416,"iq_security_level"))</f>
        <v/>
      </c>
      <c r="BP416" s="271" t="str">
        <f t="shared" si="22"/>
        <v/>
      </c>
      <c r="BR416" s="271" t="str">
        <f t="shared" si="20"/>
        <v/>
      </c>
      <c r="BS416" s="305" t="str">
        <f>IF($BR416="","",_xll.ciqfunctions.udf.CIQ($BR416,"iq_bond_coupon")/100)</f>
        <v/>
      </c>
    </row>
    <row r="417" spans="59:71" x14ac:dyDescent="0.25">
      <c r="BG417" s="301" t="str">
        <f>IF($BF417="","",_xll.ciqfunctions.udf.CIQ($BF417,"iq_offer_date"))</f>
        <v/>
      </c>
      <c r="BH417" s="302" t="str">
        <f>IF($BF417="","",RANK(BG417,$BG$11:$BG$511)+COUNTIF($BG$11:BG417,BG417)-1)</f>
        <v/>
      </c>
      <c r="BM417" s="271">
        <f t="shared" si="21"/>
        <v>407</v>
      </c>
      <c r="BO417" s="304" t="str">
        <f>IF($BN417="","",_xll.ciqfunctions.udf.CIQ($BN417,"iq_security_level"))</f>
        <v/>
      </c>
      <c r="BP417" s="271" t="str">
        <f t="shared" si="22"/>
        <v/>
      </c>
      <c r="BR417" s="271" t="str">
        <f t="shared" si="20"/>
        <v/>
      </c>
      <c r="BS417" s="305" t="str">
        <f>IF($BR417="","",_xll.ciqfunctions.udf.CIQ($BR417,"iq_bond_coupon")/100)</f>
        <v/>
      </c>
    </row>
    <row r="418" spans="59:71" x14ac:dyDescent="0.25">
      <c r="BG418" s="301" t="str">
        <f>IF($BF418="","",_xll.ciqfunctions.udf.CIQ($BF418,"iq_offer_date"))</f>
        <v/>
      </c>
      <c r="BH418" s="302" t="str">
        <f>IF($BF418="","",RANK(BG418,$BG$11:$BG$511)+COUNTIF($BG$11:BG418,BG418)-1)</f>
        <v/>
      </c>
      <c r="BM418" s="271">
        <f t="shared" si="21"/>
        <v>408</v>
      </c>
      <c r="BO418" s="304" t="str">
        <f>IF($BN418="","",_xll.ciqfunctions.udf.CIQ($BN418,"iq_security_level"))</f>
        <v/>
      </c>
      <c r="BP418" s="271" t="str">
        <f t="shared" si="22"/>
        <v/>
      </c>
      <c r="BR418" s="271" t="str">
        <f t="shared" si="20"/>
        <v/>
      </c>
      <c r="BS418" s="305" t="str">
        <f>IF($BR418="","",_xll.ciqfunctions.udf.CIQ($BR418,"iq_bond_coupon")/100)</f>
        <v/>
      </c>
    </row>
    <row r="419" spans="59:71" x14ac:dyDescent="0.25">
      <c r="BG419" s="301" t="str">
        <f>IF($BF419="","",_xll.ciqfunctions.udf.CIQ($BF419,"iq_offer_date"))</f>
        <v/>
      </c>
      <c r="BH419" s="302" t="str">
        <f>IF($BF419="","",RANK(BG419,$BG$11:$BG$511)+COUNTIF($BG$11:BG419,BG419)-1)</f>
        <v/>
      </c>
      <c r="BM419" s="271">
        <f t="shared" si="21"/>
        <v>409</v>
      </c>
      <c r="BO419" s="304" t="str">
        <f>IF($BN419="","",_xll.ciqfunctions.udf.CIQ($BN419,"iq_security_level"))</f>
        <v/>
      </c>
      <c r="BP419" s="271" t="str">
        <f t="shared" si="22"/>
        <v/>
      </c>
      <c r="BR419" s="271" t="str">
        <f t="shared" si="20"/>
        <v/>
      </c>
      <c r="BS419" s="305" t="str">
        <f>IF($BR419="","",_xll.ciqfunctions.udf.CIQ($BR419,"iq_bond_coupon")/100)</f>
        <v/>
      </c>
    </row>
    <row r="420" spans="59:71" x14ac:dyDescent="0.25">
      <c r="BG420" s="301" t="str">
        <f>IF($BF420="","",_xll.ciqfunctions.udf.CIQ($BF420,"iq_offer_date"))</f>
        <v/>
      </c>
      <c r="BH420" s="302" t="str">
        <f>IF($BF420="","",RANK(BG420,$BG$11:$BG$511)+COUNTIF($BG$11:BG420,BG420)-1)</f>
        <v/>
      </c>
      <c r="BM420" s="271">
        <f t="shared" si="21"/>
        <v>410</v>
      </c>
      <c r="BO420" s="304" t="str">
        <f>IF($BN420="","",_xll.ciqfunctions.udf.CIQ($BN420,"iq_security_level"))</f>
        <v/>
      </c>
      <c r="BP420" s="271" t="str">
        <f t="shared" si="22"/>
        <v/>
      </c>
      <c r="BR420" s="271" t="str">
        <f t="shared" si="20"/>
        <v/>
      </c>
      <c r="BS420" s="305" t="str">
        <f>IF($BR420="","",_xll.ciqfunctions.udf.CIQ($BR420,"iq_bond_coupon")/100)</f>
        <v/>
      </c>
    </row>
    <row r="421" spans="59:71" x14ac:dyDescent="0.25">
      <c r="BG421" s="301" t="str">
        <f>IF($BF421="","",_xll.ciqfunctions.udf.CIQ($BF421,"iq_offer_date"))</f>
        <v/>
      </c>
      <c r="BH421" s="302" t="str">
        <f>IF($BF421="","",RANK(BG421,$BG$11:$BG$511)+COUNTIF($BG$11:BG421,BG421)-1)</f>
        <v/>
      </c>
      <c r="BM421" s="271">
        <f t="shared" si="21"/>
        <v>411</v>
      </c>
      <c r="BO421" s="304" t="str">
        <f>IF($BN421="","",_xll.ciqfunctions.udf.CIQ($BN421,"iq_security_level"))</f>
        <v/>
      </c>
      <c r="BP421" s="271" t="str">
        <f t="shared" si="22"/>
        <v/>
      </c>
      <c r="BR421" s="271" t="str">
        <f t="shared" si="20"/>
        <v/>
      </c>
      <c r="BS421" s="305" t="str">
        <f>IF($BR421="","",_xll.ciqfunctions.udf.CIQ($BR421,"iq_bond_coupon")/100)</f>
        <v/>
      </c>
    </row>
    <row r="422" spans="59:71" x14ac:dyDescent="0.25">
      <c r="BG422" s="301" t="str">
        <f>IF($BF422="","",_xll.ciqfunctions.udf.CIQ($BF422,"iq_offer_date"))</f>
        <v/>
      </c>
      <c r="BH422" s="302" t="str">
        <f>IF($BF422="","",RANK(BG422,$BG$11:$BG$511)+COUNTIF($BG$11:BG422,BG422)-1)</f>
        <v/>
      </c>
      <c r="BM422" s="271">
        <f t="shared" si="21"/>
        <v>412</v>
      </c>
      <c r="BO422" s="304" t="str">
        <f>IF($BN422="","",_xll.ciqfunctions.udf.CIQ($BN422,"iq_security_level"))</f>
        <v/>
      </c>
      <c r="BP422" s="271" t="str">
        <f t="shared" si="22"/>
        <v/>
      </c>
      <c r="BR422" s="271" t="str">
        <f t="shared" si="20"/>
        <v/>
      </c>
      <c r="BS422" s="305" t="str">
        <f>IF($BR422="","",_xll.ciqfunctions.udf.CIQ($BR422,"iq_bond_coupon")/100)</f>
        <v/>
      </c>
    </row>
    <row r="423" spans="59:71" x14ac:dyDescent="0.25">
      <c r="BG423" s="301" t="str">
        <f>IF($BF423="","",_xll.ciqfunctions.udf.CIQ($BF423,"iq_offer_date"))</f>
        <v/>
      </c>
      <c r="BH423" s="302" t="str">
        <f>IF($BF423="","",RANK(BG423,$BG$11:$BG$511)+COUNTIF($BG$11:BG423,BG423)-1)</f>
        <v/>
      </c>
      <c r="BM423" s="271">
        <f t="shared" si="21"/>
        <v>413</v>
      </c>
      <c r="BO423" s="304" t="str">
        <f>IF($BN423="","",_xll.ciqfunctions.udf.CIQ($BN423,"iq_security_level"))</f>
        <v/>
      </c>
      <c r="BP423" s="271" t="str">
        <f t="shared" si="22"/>
        <v/>
      </c>
      <c r="BR423" s="271" t="str">
        <f t="shared" si="20"/>
        <v/>
      </c>
      <c r="BS423" s="305" t="str">
        <f>IF($BR423="","",_xll.ciqfunctions.udf.CIQ($BR423,"iq_bond_coupon")/100)</f>
        <v/>
      </c>
    </row>
    <row r="424" spans="59:71" x14ac:dyDescent="0.25">
      <c r="BG424" s="301" t="str">
        <f>IF($BF424="","",_xll.ciqfunctions.udf.CIQ($BF424,"iq_offer_date"))</f>
        <v/>
      </c>
      <c r="BH424" s="302" t="str">
        <f>IF($BF424="","",RANK(BG424,$BG$11:$BG$511)+COUNTIF($BG$11:BG424,BG424)-1)</f>
        <v/>
      </c>
      <c r="BM424" s="271">
        <f t="shared" si="21"/>
        <v>414</v>
      </c>
      <c r="BO424" s="304" t="str">
        <f>IF($BN424="","",_xll.ciqfunctions.udf.CIQ($BN424,"iq_security_level"))</f>
        <v/>
      </c>
      <c r="BP424" s="271" t="str">
        <f t="shared" si="22"/>
        <v/>
      </c>
      <c r="BR424" s="271" t="str">
        <f t="shared" si="20"/>
        <v/>
      </c>
      <c r="BS424" s="305" t="str">
        <f>IF($BR424="","",_xll.ciqfunctions.udf.CIQ($BR424,"iq_bond_coupon")/100)</f>
        <v/>
      </c>
    </row>
    <row r="425" spans="59:71" x14ac:dyDescent="0.25">
      <c r="BG425" s="301" t="str">
        <f>IF($BF425="","",_xll.ciqfunctions.udf.CIQ($BF425,"iq_offer_date"))</f>
        <v/>
      </c>
      <c r="BH425" s="302" t="str">
        <f>IF($BF425="","",RANK(BG425,$BG$11:$BG$511)+COUNTIF($BG$11:BG425,BG425)-1)</f>
        <v/>
      </c>
      <c r="BM425" s="271">
        <f t="shared" si="21"/>
        <v>415</v>
      </c>
      <c r="BO425" s="304" t="str">
        <f>IF($BN425="","",_xll.ciqfunctions.udf.CIQ($BN425,"iq_security_level"))</f>
        <v/>
      </c>
      <c r="BP425" s="271" t="str">
        <f t="shared" si="22"/>
        <v/>
      </c>
      <c r="BR425" s="271" t="str">
        <f t="shared" si="20"/>
        <v/>
      </c>
      <c r="BS425" s="305" t="str">
        <f>IF($BR425="","",_xll.ciqfunctions.udf.CIQ($BR425,"iq_bond_coupon")/100)</f>
        <v/>
      </c>
    </row>
    <row r="426" spans="59:71" x14ac:dyDescent="0.25">
      <c r="BG426" s="301" t="str">
        <f>IF($BF426="","",_xll.ciqfunctions.udf.CIQ($BF426,"iq_offer_date"))</f>
        <v/>
      </c>
      <c r="BH426" s="302" t="str">
        <f>IF($BF426="","",RANK(BG426,$BG$11:$BG$511)+COUNTIF($BG$11:BG426,BG426)-1)</f>
        <v/>
      </c>
      <c r="BM426" s="271">
        <f t="shared" si="21"/>
        <v>416</v>
      </c>
      <c r="BO426" s="304" t="str">
        <f>IF($BN426="","",_xll.ciqfunctions.udf.CIQ($BN426,"iq_security_level"))</f>
        <v/>
      </c>
      <c r="BP426" s="271" t="str">
        <f t="shared" si="22"/>
        <v/>
      </c>
      <c r="BR426" s="271" t="str">
        <f t="shared" si="20"/>
        <v/>
      </c>
      <c r="BS426" s="305" t="str">
        <f>IF($BR426="","",_xll.ciqfunctions.udf.CIQ($BR426,"iq_bond_coupon")/100)</f>
        <v/>
      </c>
    </row>
    <row r="427" spans="59:71" x14ac:dyDescent="0.25">
      <c r="BG427" s="301" t="str">
        <f>IF($BF427="","",_xll.ciqfunctions.udf.CIQ($BF427,"iq_offer_date"))</f>
        <v/>
      </c>
      <c r="BH427" s="302" t="str">
        <f>IF($BF427="","",RANK(BG427,$BG$11:$BG$511)+COUNTIF($BG$11:BG427,BG427)-1)</f>
        <v/>
      </c>
      <c r="BM427" s="271">
        <f t="shared" si="21"/>
        <v>417</v>
      </c>
      <c r="BO427" s="304" t="str">
        <f>IF($BN427="","",_xll.ciqfunctions.udf.CIQ($BN427,"iq_security_level"))</f>
        <v/>
      </c>
      <c r="BP427" s="271" t="str">
        <f t="shared" si="22"/>
        <v/>
      </c>
      <c r="BR427" s="271" t="str">
        <f t="shared" si="20"/>
        <v/>
      </c>
      <c r="BS427" s="305" t="str">
        <f>IF($BR427="","",_xll.ciqfunctions.udf.CIQ($BR427,"iq_bond_coupon")/100)</f>
        <v/>
      </c>
    </row>
    <row r="428" spans="59:71" x14ac:dyDescent="0.25">
      <c r="BG428" s="301" t="str">
        <f>IF($BF428="","",_xll.ciqfunctions.udf.CIQ($BF428,"iq_offer_date"))</f>
        <v/>
      </c>
      <c r="BH428" s="302" t="str">
        <f>IF($BF428="","",RANK(BG428,$BG$11:$BG$511)+COUNTIF($BG$11:BG428,BG428)-1)</f>
        <v/>
      </c>
      <c r="BM428" s="271">
        <f t="shared" si="21"/>
        <v>418</v>
      </c>
      <c r="BO428" s="304" t="str">
        <f>IF($BN428="","",_xll.ciqfunctions.udf.CIQ($BN428,"iq_security_level"))</f>
        <v/>
      </c>
      <c r="BP428" s="271" t="str">
        <f t="shared" si="22"/>
        <v/>
      </c>
      <c r="BR428" s="271" t="str">
        <f t="shared" si="20"/>
        <v/>
      </c>
      <c r="BS428" s="305" t="str">
        <f>IF($BR428="","",_xll.ciqfunctions.udf.CIQ($BR428,"iq_bond_coupon")/100)</f>
        <v/>
      </c>
    </row>
    <row r="429" spans="59:71" x14ac:dyDescent="0.25">
      <c r="BG429" s="301" t="str">
        <f>IF($BF429="","",_xll.ciqfunctions.udf.CIQ($BF429,"iq_offer_date"))</f>
        <v/>
      </c>
      <c r="BH429" s="302" t="str">
        <f>IF($BF429="","",RANK(BG429,$BG$11:$BG$511)+COUNTIF($BG$11:BG429,BG429)-1)</f>
        <v/>
      </c>
      <c r="BM429" s="271">
        <f t="shared" si="21"/>
        <v>419</v>
      </c>
      <c r="BO429" s="304" t="str">
        <f>IF($BN429="","",_xll.ciqfunctions.udf.CIQ($BN429,"iq_security_level"))</f>
        <v/>
      </c>
      <c r="BP429" s="271" t="str">
        <f t="shared" si="22"/>
        <v/>
      </c>
      <c r="BR429" s="271" t="str">
        <f t="shared" si="20"/>
        <v/>
      </c>
      <c r="BS429" s="305" t="str">
        <f>IF($BR429="","",_xll.ciqfunctions.udf.CIQ($BR429,"iq_bond_coupon")/100)</f>
        <v/>
      </c>
    </row>
    <row r="430" spans="59:71" x14ac:dyDescent="0.25">
      <c r="BG430" s="301" t="str">
        <f>IF($BF430="","",_xll.ciqfunctions.udf.CIQ($BF430,"iq_offer_date"))</f>
        <v/>
      </c>
      <c r="BH430" s="302" t="str">
        <f>IF($BF430="","",RANK(BG430,$BG$11:$BG$511)+COUNTIF($BG$11:BG430,BG430)-1)</f>
        <v/>
      </c>
      <c r="BM430" s="271">
        <f t="shared" si="21"/>
        <v>420</v>
      </c>
      <c r="BO430" s="304" t="str">
        <f>IF($BN430="","",_xll.ciqfunctions.udf.CIQ($BN430,"iq_security_level"))</f>
        <v/>
      </c>
      <c r="BP430" s="271" t="str">
        <f t="shared" si="22"/>
        <v/>
      </c>
      <c r="BR430" s="271" t="str">
        <f t="shared" si="20"/>
        <v/>
      </c>
      <c r="BS430" s="305" t="str">
        <f>IF($BR430="","",_xll.ciqfunctions.udf.CIQ($BR430,"iq_bond_coupon")/100)</f>
        <v/>
      </c>
    </row>
    <row r="431" spans="59:71" x14ac:dyDescent="0.25">
      <c r="BG431" s="301" t="str">
        <f>IF($BF431="","",_xll.ciqfunctions.udf.CIQ($BF431,"iq_offer_date"))</f>
        <v/>
      </c>
      <c r="BH431" s="302" t="str">
        <f>IF($BF431="","",RANK(BG431,$BG$11:$BG$511)+COUNTIF($BG$11:BG431,BG431)-1)</f>
        <v/>
      </c>
      <c r="BM431" s="271">
        <f t="shared" si="21"/>
        <v>421</v>
      </c>
      <c r="BO431" s="304" t="str">
        <f>IF($BN431="","",_xll.ciqfunctions.udf.CIQ($BN431,"iq_security_level"))</f>
        <v/>
      </c>
      <c r="BP431" s="271" t="str">
        <f t="shared" si="22"/>
        <v/>
      </c>
      <c r="BR431" s="271" t="str">
        <f t="shared" si="20"/>
        <v/>
      </c>
      <c r="BS431" s="305" t="str">
        <f>IF($BR431="","",_xll.ciqfunctions.udf.CIQ($BR431,"iq_bond_coupon")/100)</f>
        <v/>
      </c>
    </row>
    <row r="432" spans="59:71" x14ac:dyDescent="0.25">
      <c r="BG432" s="301" t="str">
        <f>IF($BF432="","",_xll.ciqfunctions.udf.CIQ($BF432,"iq_offer_date"))</f>
        <v/>
      </c>
      <c r="BH432" s="302" t="str">
        <f>IF($BF432="","",RANK(BG432,$BG$11:$BG$511)+COUNTIF($BG$11:BG432,BG432)-1)</f>
        <v/>
      </c>
      <c r="BM432" s="271">
        <f t="shared" si="21"/>
        <v>422</v>
      </c>
      <c r="BO432" s="304" t="str">
        <f>IF($BN432="","",_xll.ciqfunctions.udf.CIQ($BN432,"iq_security_level"))</f>
        <v/>
      </c>
      <c r="BP432" s="271" t="str">
        <f t="shared" si="22"/>
        <v/>
      </c>
      <c r="BR432" s="271" t="str">
        <f t="shared" si="20"/>
        <v/>
      </c>
      <c r="BS432" s="305" t="str">
        <f>IF($BR432="","",_xll.ciqfunctions.udf.CIQ($BR432,"iq_bond_coupon")/100)</f>
        <v/>
      </c>
    </row>
    <row r="433" spans="59:71" x14ac:dyDescent="0.25">
      <c r="BG433" s="301" t="str">
        <f>IF($BF433="","",_xll.ciqfunctions.udf.CIQ($BF433,"iq_offer_date"))</f>
        <v/>
      </c>
      <c r="BH433" s="302" t="str">
        <f>IF($BF433="","",RANK(BG433,$BG$11:$BG$511)+COUNTIF($BG$11:BG433,BG433)-1)</f>
        <v/>
      </c>
      <c r="BM433" s="271">
        <f t="shared" si="21"/>
        <v>423</v>
      </c>
      <c r="BO433" s="304" t="str">
        <f>IF($BN433="","",_xll.ciqfunctions.udf.CIQ($BN433,"iq_security_level"))</f>
        <v/>
      </c>
      <c r="BP433" s="271" t="str">
        <f t="shared" si="22"/>
        <v/>
      </c>
      <c r="BR433" s="271" t="str">
        <f t="shared" si="20"/>
        <v/>
      </c>
      <c r="BS433" s="305" t="str">
        <f>IF($BR433="","",_xll.ciqfunctions.udf.CIQ($BR433,"iq_bond_coupon")/100)</f>
        <v/>
      </c>
    </row>
    <row r="434" spans="59:71" x14ac:dyDescent="0.25">
      <c r="BG434" s="301" t="str">
        <f>IF($BF434="","",_xll.ciqfunctions.udf.CIQ($BF434,"iq_offer_date"))</f>
        <v/>
      </c>
      <c r="BH434" s="302" t="str">
        <f>IF($BF434="","",RANK(BG434,$BG$11:$BG$511)+COUNTIF($BG$11:BG434,BG434)-1)</f>
        <v/>
      </c>
      <c r="BM434" s="271">
        <f t="shared" si="21"/>
        <v>424</v>
      </c>
      <c r="BO434" s="304" t="str">
        <f>IF($BN434="","",_xll.ciqfunctions.udf.CIQ($BN434,"iq_security_level"))</f>
        <v/>
      </c>
      <c r="BP434" s="271" t="str">
        <f t="shared" si="22"/>
        <v/>
      </c>
      <c r="BR434" s="271" t="str">
        <f t="shared" si="20"/>
        <v/>
      </c>
      <c r="BS434" s="305" t="str">
        <f>IF($BR434="","",_xll.ciqfunctions.udf.CIQ($BR434,"iq_bond_coupon")/100)</f>
        <v/>
      </c>
    </row>
    <row r="435" spans="59:71" x14ac:dyDescent="0.25">
      <c r="BG435" s="301" t="str">
        <f>IF($BF435="","",_xll.ciqfunctions.udf.CIQ($BF435,"iq_offer_date"))</f>
        <v/>
      </c>
      <c r="BH435" s="302" t="str">
        <f>IF($BF435="","",RANK(BG435,$BG$11:$BG$511)+COUNTIF($BG$11:BG435,BG435)-1)</f>
        <v/>
      </c>
      <c r="BM435" s="271">
        <f t="shared" si="21"/>
        <v>425</v>
      </c>
      <c r="BO435" s="304" t="str">
        <f>IF($BN435="","",_xll.ciqfunctions.udf.CIQ($BN435,"iq_security_level"))</f>
        <v/>
      </c>
      <c r="BP435" s="271" t="str">
        <f t="shared" si="22"/>
        <v/>
      </c>
      <c r="BR435" s="271" t="str">
        <f t="shared" si="20"/>
        <v/>
      </c>
      <c r="BS435" s="305" t="str">
        <f>IF($BR435="","",_xll.ciqfunctions.udf.CIQ($BR435,"iq_bond_coupon")/100)</f>
        <v/>
      </c>
    </row>
    <row r="436" spans="59:71" x14ac:dyDescent="0.25">
      <c r="BG436" s="301" t="str">
        <f>IF($BF436="","",_xll.ciqfunctions.udf.CIQ($BF436,"iq_offer_date"))</f>
        <v/>
      </c>
      <c r="BH436" s="302" t="str">
        <f>IF($BF436="","",RANK(BG436,$BG$11:$BG$511)+COUNTIF($BG$11:BG436,BG436)-1)</f>
        <v/>
      </c>
      <c r="BM436" s="271">
        <f t="shared" si="21"/>
        <v>426</v>
      </c>
      <c r="BO436" s="304" t="str">
        <f>IF($BN436="","",_xll.ciqfunctions.udf.CIQ($BN436,"iq_security_level"))</f>
        <v/>
      </c>
      <c r="BP436" s="271" t="str">
        <f t="shared" si="22"/>
        <v/>
      </c>
      <c r="BR436" s="271" t="str">
        <f t="shared" si="20"/>
        <v/>
      </c>
      <c r="BS436" s="305" t="str">
        <f>IF($BR436="","",_xll.ciqfunctions.udf.CIQ($BR436,"iq_bond_coupon")/100)</f>
        <v/>
      </c>
    </row>
    <row r="437" spans="59:71" x14ac:dyDescent="0.25">
      <c r="BG437" s="301" t="str">
        <f>IF($BF437="","",_xll.ciqfunctions.udf.CIQ($BF437,"iq_offer_date"))</f>
        <v/>
      </c>
      <c r="BH437" s="302" t="str">
        <f>IF($BF437="","",RANK(BG437,$BG$11:$BG$511)+COUNTIF($BG$11:BG437,BG437)-1)</f>
        <v/>
      </c>
      <c r="BM437" s="271">
        <f t="shared" si="21"/>
        <v>427</v>
      </c>
      <c r="BO437" s="304" t="str">
        <f>IF($BN437="","",_xll.ciqfunctions.udf.CIQ($BN437,"iq_security_level"))</f>
        <v/>
      </c>
      <c r="BP437" s="271" t="str">
        <f t="shared" si="22"/>
        <v/>
      </c>
      <c r="BR437" s="271" t="str">
        <f t="shared" si="20"/>
        <v/>
      </c>
      <c r="BS437" s="305" t="str">
        <f>IF($BR437="","",_xll.ciqfunctions.udf.CIQ($BR437,"iq_bond_coupon")/100)</f>
        <v/>
      </c>
    </row>
    <row r="438" spans="59:71" x14ac:dyDescent="0.25">
      <c r="BG438" s="301" t="str">
        <f>IF($BF438="","",_xll.ciqfunctions.udf.CIQ($BF438,"iq_offer_date"))</f>
        <v/>
      </c>
      <c r="BH438" s="302" t="str">
        <f>IF($BF438="","",RANK(BG438,$BG$11:$BG$511)+COUNTIF($BG$11:BG438,BG438)-1)</f>
        <v/>
      </c>
      <c r="BM438" s="271">
        <f t="shared" si="21"/>
        <v>428</v>
      </c>
      <c r="BO438" s="304" t="str">
        <f>IF($BN438="","",_xll.ciqfunctions.udf.CIQ($BN438,"iq_security_level"))</f>
        <v/>
      </c>
      <c r="BP438" s="271" t="str">
        <f t="shared" si="22"/>
        <v/>
      </c>
      <c r="BR438" s="271" t="str">
        <f t="shared" ref="BR438:BR501" si="23">IF($BN437="","",IF(ISERROR(INDEX($BN$11:$BN$510,MATCH(BM437,$BP$11:$BP$510,0))),"",INDEX($BN$11:$BN$510,MATCH(BM437,$BP$11:$BP$510,0))))</f>
        <v/>
      </c>
      <c r="BS438" s="305" t="str">
        <f>IF($BR438="","",_xll.ciqfunctions.udf.CIQ($BR438,"iq_bond_coupon")/100)</f>
        <v/>
      </c>
    </row>
    <row r="439" spans="59:71" x14ac:dyDescent="0.25">
      <c r="BG439" s="301" t="str">
        <f>IF($BF439="","",_xll.ciqfunctions.udf.CIQ($BF439,"iq_offer_date"))</f>
        <v/>
      </c>
      <c r="BH439" s="302" t="str">
        <f>IF($BF439="","",RANK(BG439,$BG$11:$BG$511)+COUNTIF($BG$11:BG439,BG439)-1)</f>
        <v/>
      </c>
      <c r="BM439" s="271">
        <f t="shared" si="21"/>
        <v>429</v>
      </c>
      <c r="BO439" s="304" t="str">
        <f>IF($BN439="","",_xll.ciqfunctions.udf.CIQ($BN439,"iq_security_level"))</f>
        <v/>
      </c>
      <c r="BP439" s="271" t="str">
        <f t="shared" si="22"/>
        <v/>
      </c>
      <c r="BR439" s="271" t="str">
        <f t="shared" si="23"/>
        <v/>
      </c>
      <c r="BS439" s="305" t="str">
        <f>IF($BR439="","",_xll.ciqfunctions.udf.CIQ($BR439,"iq_bond_coupon")/100)</f>
        <v/>
      </c>
    </row>
    <row r="440" spans="59:71" x14ac:dyDescent="0.25">
      <c r="BG440" s="301" t="str">
        <f>IF($BF440="","",_xll.ciqfunctions.udf.CIQ($BF440,"iq_offer_date"))</f>
        <v/>
      </c>
      <c r="BH440" s="302" t="str">
        <f>IF($BF440="","",RANK(BG440,$BG$11:$BG$511)+COUNTIF($BG$11:BG440,BG440)-1)</f>
        <v/>
      </c>
      <c r="BM440" s="271">
        <f t="shared" si="21"/>
        <v>430</v>
      </c>
      <c r="BO440" s="304" t="str">
        <f>IF($BN440="","",_xll.ciqfunctions.udf.CIQ($BN440,"iq_security_level"))</f>
        <v/>
      </c>
      <c r="BP440" s="271" t="str">
        <f t="shared" si="22"/>
        <v/>
      </c>
      <c r="BR440" s="271" t="str">
        <f t="shared" si="23"/>
        <v/>
      </c>
      <c r="BS440" s="305" t="str">
        <f>IF($BR440="","",_xll.ciqfunctions.udf.CIQ($BR440,"iq_bond_coupon")/100)</f>
        <v/>
      </c>
    </row>
    <row r="441" spans="59:71" x14ac:dyDescent="0.25">
      <c r="BG441" s="301" t="str">
        <f>IF($BF441="","",_xll.ciqfunctions.udf.CIQ($BF441,"iq_offer_date"))</f>
        <v/>
      </c>
      <c r="BH441" s="302" t="str">
        <f>IF($BF441="","",RANK(BG441,$BG$11:$BG$511)+COUNTIF($BG$11:BG441,BG441)-1)</f>
        <v/>
      </c>
      <c r="BM441" s="271">
        <f t="shared" si="21"/>
        <v>431</v>
      </c>
      <c r="BO441" s="304" t="str">
        <f>IF($BN441="","",_xll.ciqfunctions.udf.CIQ($BN441,"iq_security_level"))</f>
        <v/>
      </c>
      <c r="BP441" s="271" t="str">
        <f t="shared" si="22"/>
        <v/>
      </c>
      <c r="BR441" s="271" t="str">
        <f t="shared" si="23"/>
        <v/>
      </c>
      <c r="BS441" s="305" t="str">
        <f>IF($BR441="","",_xll.ciqfunctions.udf.CIQ($BR441,"iq_bond_coupon")/100)</f>
        <v/>
      </c>
    </row>
    <row r="442" spans="59:71" x14ac:dyDescent="0.25">
      <c r="BG442" s="301" t="str">
        <f>IF($BF442="","",_xll.ciqfunctions.udf.CIQ($BF442,"iq_offer_date"))</f>
        <v/>
      </c>
      <c r="BH442" s="302" t="str">
        <f>IF($BF442="","",RANK(BG442,$BG$11:$BG$511)+COUNTIF($BG$11:BG442,BG442)-1)</f>
        <v/>
      </c>
      <c r="BM442" s="271">
        <f t="shared" si="21"/>
        <v>432</v>
      </c>
      <c r="BO442" s="304" t="str">
        <f>IF($BN442="","",_xll.ciqfunctions.udf.CIQ($BN442,"iq_security_level"))</f>
        <v/>
      </c>
      <c r="BP442" s="271" t="str">
        <f t="shared" si="22"/>
        <v/>
      </c>
      <c r="BR442" s="271" t="str">
        <f t="shared" si="23"/>
        <v/>
      </c>
      <c r="BS442" s="305" t="str">
        <f>IF($BR442="","",_xll.ciqfunctions.udf.CIQ($BR442,"iq_bond_coupon")/100)</f>
        <v/>
      </c>
    </row>
    <row r="443" spans="59:71" x14ac:dyDescent="0.25">
      <c r="BG443" s="301" t="str">
        <f>IF($BF443="","",_xll.ciqfunctions.udf.CIQ($BF443,"iq_offer_date"))</f>
        <v/>
      </c>
      <c r="BH443" s="302" t="str">
        <f>IF($BF443="","",RANK(BG443,$BG$11:$BG$511)+COUNTIF($BG$11:BG443,BG443)-1)</f>
        <v/>
      </c>
      <c r="BM443" s="271">
        <f t="shared" si="21"/>
        <v>433</v>
      </c>
      <c r="BO443" s="304" t="str">
        <f>IF($BN443="","",_xll.ciqfunctions.udf.CIQ($BN443,"iq_security_level"))</f>
        <v/>
      </c>
      <c r="BP443" s="271" t="str">
        <f t="shared" si="22"/>
        <v/>
      </c>
      <c r="BR443" s="271" t="str">
        <f t="shared" si="23"/>
        <v/>
      </c>
      <c r="BS443" s="305" t="str">
        <f>IF($BR443="","",_xll.ciqfunctions.udf.CIQ($BR443,"iq_bond_coupon")/100)</f>
        <v/>
      </c>
    </row>
    <row r="444" spans="59:71" x14ac:dyDescent="0.25">
      <c r="BG444" s="301" t="str">
        <f>IF($BF444="","",_xll.ciqfunctions.udf.CIQ($BF444,"iq_offer_date"))</f>
        <v/>
      </c>
      <c r="BH444" s="302" t="str">
        <f>IF($BF444="","",RANK(BG444,$BG$11:$BG$511)+COUNTIF($BG$11:BG444,BG444)-1)</f>
        <v/>
      </c>
      <c r="BM444" s="271">
        <f t="shared" si="21"/>
        <v>434</v>
      </c>
      <c r="BO444" s="304" t="str">
        <f>IF($BN444="","",_xll.ciqfunctions.udf.CIQ($BN444,"iq_security_level"))</f>
        <v/>
      </c>
      <c r="BP444" s="271" t="str">
        <f t="shared" si="22"/>
        <v/>
      </c>
      <c r="BR444" s="271" t="str">
        <f t="shared" si="23"/>
        <v/>
      </c>
      <c r="BS444" s="305" t="str">
        <f>IF($BR444="","",_xll.ciqfunctions.udf.CIQ($BR444,"iq_bond_coupon")/100)</f>
        <v/>
      </c>
    </row>
    <row r="445" spans="59:71" x14ac:dyDescent="0.25">
      <c r="BG445" s="301" t="str">
        <f>IF($BF445="","",_xll.ciqfunctions.udf.CIQ($BF445,"iq_offer_date"))</f>
        <v/>
      </c>
      <c r="BH445" s="302" t="str">
        <f>IF($BF445="","",RANK(BG445,$BG$11:$BG$511)+COUNTIF($BG$11:BG445,BG445)-1)</f>
        <v/>
      </c>
      <c r="BM445" s="271">
        <f t="shared" si="21"/>
        <v>435</v>
      </c>
      <c r="BO445" s="304" t="str">
        <f>IF($BN445="","",_xll.ciqfunctions.udf.CIQ($BN445,"iq_security_level"))</f>
        <v/>
      </c>
      <c r="BP445" s="271" t="str">
        <f t="shared" si="22"/>
        <v/>
      </c>
      <c r="BR445" s="271" t="str">
        <f t="shared" si="23"/>
        <v/>
      </c>
      <c r="BS445" s="305" t="str">
        <f>IF($BR445="","",_xll.ciqfunctions.udf.CIQ($BR445,"iq_bond_coupon")/100)</f>
        <v/>
      </c>
    </row>
    <row r="446" spans="59:71" x14ac:dyDescent="0.25">
      <c r="BG446" s="301" t="str">
        <f>IF($BF446="","",_xll.ciqfunctions.udf.CIQ($BF446,"iq_offer_date"))</f>
        <v/>
      </c>
      <c r="BH446" s="302" t="str">
        <f>IF($BF446="","",RANK(BG446,$BG$11:$BG$511)+COUNTIF($BG$11:BG446,BG446)-1)</f>
        <v/>
      </c>
      <c r="BM446" s="271">
        <f t="shared" si="21"/>
        <v>436</v>
      </c>
      <c r="BO446" s="304" t="str">
        <f>IF($BN446="","",_xll.ciqfunctions.udf.CIQ($BN446,"iq_security_level"))</f>
        <v/>
      </c>
      <c r="BP446" s="271" t="str">
        <f t="shared" si="22"/>
        <v/>
      </c>
      <c r="BR446" s="271" t="str">
        <f t="shared" si="23"/>
        <v/>
      </c>
      <c r="BS446" s="305" t="str">
        <f>IF($BR446="","",_xll.ciqfunctions.udf.CIQ($BR446,"iq_bond_coupon")/100)</f>
        <v/>
      </c>
    </row>
    <row r="447" spans="59:71" x14ac:dyDescent="0.25">
      <c r="BG447" s="301" t="str">
        <f>IF($BF447="","",_xll.ciqfunctions.udf.CIQ($BF447,"iq_offer_date"))</f>
        <v/>
      </c>
      <c r="BH447" s="302" t="str">
        <f>IF($BF447="","",RANK(BG447,$BG$11:$BG$511)+COUNTIF($BG$11:BG447,BG447)-1)</f>
        <v/>
      </c>
      <c r="BM447" s="271">
        <f t="shared" si="21"/>
        <v>437</v>
      </c>
      <c r="BO447" s="304" t="str">
        <f>IF($BN447="","",_xll.ciqfunctions.udf.CIQ($BN447,"iq_security_level"))</f>
        <v/>
      </c>
      <c r="BP447" s="271" t="str">
        <f t="shared" si="22"/>
        <v/>
      </c>
      <c r="BR447" s="271" t="str">
        <f t="shared" si="23"/>
        <v/>
      </c>
      <c r="BS447" s="305" t="str">
        <f>IF($BR447="","",_xll.ciqfunctions.udf.CIQ($BR447,"iq_bond_coupon")/100)</f>
        <v/>
      </c>
    </row>
    <row r="448" spans="59:71" x14ac:dyDescent="0.25">
      <c r="BG448" s="301" t="str">
        <f>IF($BF448="","",_xll.ciqfunctions.udf.CIQ($BF448,"iq_offer_date"))</f>
        <v/>
      </c>
      <c r="BH448" s="302" t="str">
        <f>IF($BF448="","",RANK(BG448,$BG$11:$BG$511)+COUNTIF($BG$11:BG448,BG448)-1)</f>
        <v/>
      </c>
      <c r="BM448" s="271">
        <f t="shared" si="21"/>
        <v>438</v>
      </c>
      <c r="BO448" s="304" t="str">
        <f>IF($BN448="","",_xll.ciqfunctions.udf.CIQ($BN448,"iq_security_level"))</f>
        <v/>
      </c>
      <c r="BP448" s="271" t="str">
        <f t="shared" si="22"/>
        <v/>
      </c>
      <c r="BR448" s="271" t="str">
        <f t="shared" si="23"/>
        <v/>
      </c>
      <c r="BS448" s="305" t="str">
        <f>IF($BR448="","",_xll.ciqfunctions.udf.CIQ($BR448,"iq_bond_coupon")/100)</f>
        <v/>
      </c>
    </row>
    <row r="449" spans="59:71" x14ac:dyDescent="0.25">
      <c r="BG449" s="301" t="str">
        <f>IF($BF449="","",_xll.ciqfunctions.udf.CIQ($BF449,"iq_offer_date"))</f>
        <v/>
      </c>
      <c r="BH449" s="302" t="str">
        <f>IF($BF449="","",RANK(BG449,$BG$11:$BG$511)+COUNTIF($BG$11:BG449,BG449)-1)</f>
        <v/>
      </c>
      <c r="BM449" s="271">
        <f t="shared" si="21"/>
        <v>439</v>
      </c>
      <c r="BO449" s="304" t="str">
        <f>IF($BN449="","",_xll.ciqfunctions.udf.CIQ($BN449,"iq_security_level"))</f>
        <v/>
      </c>
      <c r="BP449" s="271" t="str">
        <f t="shared" si="22"/>
        <v/>
      </c>
      <c r="BR449" s="271" t="str">
        <f t="shared" si="23"/>
        <v/>
      </c>
      <c r="BS449" s="305" t="str">
        <f>IF($BR449="","",_xll.ciqfunctions.udf.CIQ($BR449,"iq_bond_coupon")/100)</f>
        <v/>
      </c>
    </row>
    <row r="450" spans="59:71" x14ac:dyDescent="0.25">
      <c r="BG450" s="301" t="str">
        <f>IF($BF450="","",_xll.ciqfunctions.udf.CIQ($BF450,"iq_offer_date"))</f>
        <v/>
      </c>
      <c r="BH450" s="302" t="str">
        <f>IF($BF450="","",RANK(BG450,$BG$11:$BG$511)+COUNTIF($BG$11:BG450,BG450)-1)</f>
        <v/>
      </c>
      <c r="BM450" s="271">
        <f t="shared" si="21"/>
        <v>440</v>
      </c>
      <c r="BO450" s="304" t="str">
        <f>IF($BN450="","",_xll.ciqfunctions.udf.CIQ($BN450,"iq_security_level"))</f>
        <v/>
      </c>
      <c r="BP450" s="271" t="str">
        <f t="shared" si="22"/>
        <v/>
      </c>
      <c r="BR450" s="271" t="str">
        <f t="shared" si="23"/>
        <v/>
      </c>
      <c r="BS450" s="305" t="str">
        <f>IF($BR450="","",_xll.ciqfunctions.udf.CIQ($BR450,"iq_bond_coupon")/100)</f>
        <v/>
      </c>
    </row>
    <row r="451" spans="59:71" x14ac:dyDescent="0.25">
      <c r="BG451" s="301" t="str">
        <f>IF($BF451="","",_xll.ciqfunctions.udf.CIQ($BF451,"iq_offer_date"))</f>
        <v/>
      </c>
      <c r="BH451" s="302" t="str">
        <f>IF($BF451="","",RANK(BG451,$BG$11:$BG$511)+COUNTIF($BG$11:BG451,BG451)-1)</f>
        <v/>
      </c>
      <c r="BM451" s="271">
        <f t="shared" si="21"/>
        <v>441</v>
      </c>
      <c r="BO451" s="304" t="str">
        <f>IF($BN451="","",_xll.ciqfunctions.udf.CIQ($BN451,"iq_security_level"))</f>
        <v/>
      </c>
      <c r="BP451" s="271" t="str">
        <f t="shared" si="22"/>
        <v/>
      </c>
      <c r="BR451" s="271" t="str">
        <f t="shared" si="23"/>
        <v/>
      </c>
      <c r="BS451" s="305" t="str">
        <f>IF($BR451="","",_xll.ciqfunctions.udf.CIQ($BR451,"iq_bond_coupon")/100)</f>
        <v/>
      </c>
    </row>
    <row r="452" spans="59:71" x14ac:dyDescent="0.25">
      <c r="BG452" s="301" t="str">
        <f>IF($BF452="","",_xll.ciqfunctions.udf.CIQ($BF452,"iq_offer_date"))</f>
        <v/>
      </c>
      <c r="BH452" s="302" t="str">
        <f>IF($BF452="","",RANK(BG452,$BG$11:$BG$511)+COUNTIF($BG$11:BG452,BG452)-1)</f>
        <v/>
      </c>
      <c r="BM452" s="271">
        <f t="shared" si="21"/>
        <v>442</v>
      </c>
      <c r="BO452" s="304" t="str">
        <f>IF($BN452="","",_xll.ciqfunctions.udf.CIQ($BN452,"iq_security_level"))</f>
        <v/>
      </c>
      <c r="BP452" s="271" t="str">
        <f t="shared" si="22"/>
        <v/>
      </c>
      <c r="BR452" s="271" t="str">
        <f t="shared" si="23"/>
        <v/>
      </c>
      <c r="BS452" s="305" t="str">
        <f>IF($BR452="","",_xll.ciqfunctions.udf.CIQ($BR452,"iq_bond_coupon")/100)</f>
        <v/>
      </c>
    </row>
    <row r="453" spans="59:71" x14ac:dyDescent="0.25">
      <c r="BG453" s="301" t="str">
        <f>IF($BF453="","",_xll.ciqfunctions.udf.CIQ($BF453,"iq_offer_date"))</f>
        <v/>
      </c>
      <c r="BH453" s="302" t="str">
        <f>IF($BF453="","",RANK(BG453,$BG$11:$BG$511)+COUNTIF($BG$11:BG453,BG453)-1)</f>
        <v/>
      </c>
      <c r="BM453" s="271">
        <f t="shared" si="21"/>
        <v>443</v>
      </c>
      <c r="BO453" s="304" t="str">
        <f>IF($BN453="","",_xll.ciqfunctions.udf.CIQ($BN453,"iq_security_level"))</f>
        <v/>
      </c>
      <c r="BP453" s="271" t="str">
        <f t="shared" si="22"/>
        <v/>
      </c>
      <c r="BR453" s="271" t="str">
        <f t="shared" si="23"/>
        <v/>
      </c>
      <c r="BS453" s="305" t="str">
        <f>IF($BR453="","",_xll.ciqfunctions.udf.CIQ($BR453,"iq_bond_coupon")/100)</f>
        <v/>
      </c>
    </row>
    <row r="454" spans="59:71" x14ac:dyDescent="0.25">
      <c r="BG454" s="301" t="str">
        <f>IF($BF454="","",_xll.ciqfunctions.udf.CIQ($BF454,"iq_offer_date"))</f>
        <v/>
      </c>
      <c r="BH454" s="302" t="str">
        <f>IF($BF454="","",RANK(BG454,$BG$11:$BG$511)+COUNTIF($BG$11:BG454,BG454)-1)</f>
        <v/>
      </c>
      <c r="BM454" s="271">
        <f t="shared" si="21"/>
        <v>444</v>
      </c>
      <c r="BO454" s="304" t="str">
        <f>IF($BN454="","",_xll.ciqfunctions.udf.CIQ($BN454,"iq_security_level"))</f>
        <v/>
      </c>
      <c r="BP454" s="271" t="str">
        <f t="shared" si="22"/>
        <v/>
      </c>
      <c r="BR454" s="271" t="str">
        <f t="shared" si="23"/>
        <v/>
      </c>
      <c r="BS454" s="305" t="str">
        <f>IF($BR454="","",_xll.ciqfunctions.udf.CIQ($BR454,"iq_bond_coupon")/100)</f>
        <v/>
      </c>
    </row>
    <row r="455" spans="59:71" x14ac:dyDescent="0.25">
      <c r="BG455" s="301" t="str">
        <f>IF($BF455="","",_xll.ciqfunctions.udf.CIQ($BF455,"iq_offer_date"))</f>
        <v/>
      </c>
      <c r="BH455" s="302" t="str">
        <f>IF($BF455="","",RANK(BG455,$BG$11:$BG$511)+COUNTIF($BG$11:BG455,BG455)-1)</f>
        <v/>
      </c>
      <c r="BM455" s="271">
        <f t="shared" si="21"/>
        <v>445</v>
      </c>
      <c r="BO455" s="304" t="str">
        <f>IF($BN455="","",_xll.ciqfunctions.udf.CIQ($BN455,"iq_security_level"))</f>
        <v/>
      </c>
      <c r="BP455" s="271" t="str">
        <f t="shared" si="22"/>
        <v/>
      </c>
      <c r="BR455" s="271" t="str">
        <f t="shared" si="23"/>
        <v/>
      </c>
      <c r="BS455" s="305" t="str">
        <f>IF($BR455="","",_xll.ciqfunctions.udf.CIQ($BR455,"iq_bond_coupon")/100)</f>
        <v/>
      </c>
    </row>
    <row r="456" spans="59:71" x14ac:dyDescent="0.25">
      <c r="BG456" s="301" t="str">
        <f>IF($BF456="","",_xll.ciqfunctions.udf.CIQ($BF456,"iq_offer_date"))</f>
        <v/>
      </c>
      <c r="BH456" s="302" t="str">
        <f>IF($BF456="","",RANK(BG456,$BG$11:$BG$511)+COUNTIF($BG$11:BG456,BG456)-1)</f>
        <v/>
      </c>
      <c r="BM456" s="271">
        <f t="shared" si="21"/>
        <v>446</v>
      </c>
      <c r="BO456" s="304" t="str">
        <f>IF($BN456="","",_xll.ciqfunctions.udf.CIQ($BN456,"iq_security_level"))</f>
        <v/>
      </c>
      <c r="BP456" s="271" t="str">
        <f t="shared" si="22"/>
        <v/>
      </c>
      <c r="BR456" s="271" t="str">
        <f t="shared" si="23"/>
        <v/>
      </c>
      <c r="BS456" s="305" t="str">
        <f>IF($BR456="","",_xll.ciqfunctions.udf.CIQ($BR456,"iq_bond_coupon")/100)</f>
        <v/>
      </c>
    </row>
    <row r="457" spans="59:71" x14ac:dyDescent="0.25">
      <c r="BG457" s="301" t="str">
        <f>IF($BF457="","",_xll.ciqfunctions.udf.CIQ($BF457,"iq_offer_date"))</f>
        <v/>
      </c>
      <c r="BH457" s="302" t="str">
        <f>IF($BF457="","",RANK(BG457,$BG$11:$BG$511)+COUNTIF($BG$11:BG457,BG457)-1)</f>
        <v/>
      </c>
      <c r="BM457" s="271">
        <f t="shared" si="21"/>
        <v>447</v>
      </c>
      <c r="BO457" s="304" t="str">
        <f>IF($BN457="","",_xll.ciqfunctions.udf.CIQ($BN457,"iq_security_level"))</f>
        <v/>
      </c>
      <c r="BP457" s="271" t="str">
        <f t="shared" si="22"/>
        <v/>
      </c>
      <c r="BR457" s="271" t="str">
        <f t="shared" si="23"/>
        <v/>
      </c>
      <c r="BS457" s="305" t="str">
        <f>IF($BR457="","",_xll.ciqfunctions.udf.CIQ($BR457,"iq_bond_coupon")/100)</f>
        <v/>
      </c>
    </row>
    <row r="458" spans="59:71" x14ac:dyDescent="0.25">
      <c r="BG458" s="301" t="str">
        <f>IF($BF458="","",_xll.ciqfunctions.udf.CIQ($BF458,"iq_offer_date"))</f>
        <v/>
      </c>
      <c r="BH458" s="302" t="str">
        <f>IF($BF458="","",RANK(BG458,$BG$11:$BG$511)+COUNTIF($BG$11:BG458,BG458)-1)</f>
        <v/>
      </c>
      <c r="BM458" s="271">
        <f t="shared" si="21"/>
        <v>448</v>
      </c>
      <c r="BO458" s="304" t="str">
        <f>IF($BN458="","",_xll.ciqfunctions.udf.CIQ($BN458,"iq_security_level"))</f>
        <v/>
      </c>
      <c r="BP458" s="271" t="str">
        <f t="shared" si="22"/>
        <v/>
      </c>
      <c r="BR458" s="271" t="str">
        <f t="shared" si="23"/>
        <v/>
      </c>
      <c r="BS458" s="305" t="str">
        <f>IF($BR458="","",_xll.ciqfunctions.udf.CIQ($BR458,"iq_bond_coupon")/100)</f>
        <v/>
      </c>
    </row>
    <row r="459" spans="59:71" x14ac:dyDescent="0.25">
      <c r="BG459" s="301" t="str">
        <f>IF($BF459="","",_xll.ciqfunctions.udf.CIQ($BF459,"iq_offer_date"))</f>
        <v/>
      </c>
      <c r="BH459" s="302" t="str">
        <f>IF($BF459="","",RANK(BG459,$BG$11:$BG$511)+COUNTIF($BG$11:BG459,BG459)-1)</f>
        <v/>
      </c>
      <c r="BM459" s="271">
        <f t="shared" si="21"/>
        <v>449</v>
      </c>
      <c r="BO459" s="304" t="str">
        <f>IF($BN459="","",_xll.ciqfunctions.udf.CIQ($BN459,"iq_security_level"))</f>
        <v/>
      </c>
      <c r="BP459" s="271" t="str">
        <f t="shared" si="22"/>
        <v/>
      </c>
      <c r="BR459" s="271" t="str">
        <f t="shared" si="23"/>
        <v/>
      </c>
      <c r="BS459" s="305" t="str">
        <f>IF($BR459="","",_xll.ciqfunctions.udf.CIQ($BR459,"iq_bond_coupon")/100)</f>
        <v/>
      </c>
    </row>
    <row r="460" spans="59:71" x14ac:dyDescent="0.25">
      <c r="BG460" s="301" t="str">
        <f>IF($BF460="","",_xll.ciqfunctions.udf.CIQ($BF460,"iq_offer_date"))</f>
        <v/>
      </c>
      <c r="BH460" s="302" t="str">
        <f>IF($BF460="","",RANK(BG460,$BG$11:$BG$511)+COUNTIF($BG$11:BG460,BG460)-1)</f>
        <v/>
      </c>
      <c r="BM460" s="271">
        <f t="shared" si="21"/>
        <v>450</v>
      </c>
      <c r="BO460" s="304" t="str">
        <f>IF($BN460="","",_xll.ciqfunctions.udf.CIQ($BN460,"iq_security_level"))</f>
        <v/>
      </c>
      <c r="BP460" s="271" t="str">
        <f t="shared" si="22"/>
        <v/>
      </c>
      <c r="BR460" s="271" t="str">
        <f t="shared" si="23"/>
        <v/>
      </c>
      <c r="BS460" s="305" t="str">
        <f>IF($BR460="","",_xll.ciqfunctions.udf.CIQ($BR460,"iq_bond_coupon")/100)</f>
        <v/>
      </c>
    </row>
    <row r="461" spans="59:71" x14ac:dyDescent="0.25">
      <c r="BG461" s="301" t="str">
        <f>IF($BF461="","",_xll.ciqfunctions.udf.CIQ($BF461,"iq_offer_date"))</f>
        <v/>
      </c>
      <c r="BH461" s="302" t="str">
        <f>IF($BF461="","",RANK(BG461,$BG$11:$BG$511)+COUNTIF($BG$11:BG461,BG461)-1)</f>
        <v/>
      </c>
      <c r="BM461" s="271">
        <f t="shared" ref="BM461:BM510" si="24">BM460+1</f>
        <v>451</v>
      </c>
      <c r="BO461" s="304" t="str">
        <f>IF($BN461="","",_xll.ciqfunctions.udf.CIQ($BN461,"iq_security_level"))</f>
        <v/>
      </c>
      <c r="BP461" s="271" t="str">
        <f t="shared" ref="BP461:BP510" si="25">IF(BN461="","",IF(BO461="Preferred",BP460+1,BP460))</f>
        <v/>
      </c>
      <c r="BR461" s="271" t="str">
        <f t="shared" si="23"/>
        <v/>
      </c>
      <c r="BS461" s="305" t="str">
        <f>IF($BR461="","",_xll.ciqfunctions.udf.CIQ($BR461,"iq_bond_coupon")/100)</f>
        <v/>
      </c>
    </row>
    <row r="462" spans="59:71" x14ac:dyDescent="0.25">
      <c r="BG462" s="301" t="str">
        <f>IF($BF462="","",_xll.ciqfunctions.udf.CIQ($BF462,"iq_offer_date"))</f>
        <v/>
      </c>
      <c r="BH462" s="302" t="str">
        <f>IF($BF462="","",RANK(BG462,$BG$11:$BG$511)+COUNTIF($BG$11:BG462,BG462)-1)</f>
        <v/>
      </c>
      <c r="BM462" s="271">
        <f t="shared" si="24"/>
        <v>452</v>
      </c>
      <c r="BO462" s="304" t="str">
        <f>IF($BN462="","",_xll.ciqfunctions.udf.CIQ($BN462,"iq_security_level"))</f>
        <v/>
      </c>
      <c r="BP462" s="271" t="str">
        <f t="shared" si="25"/>
        <v/>
      </c>
      <c r="BR462" s="271" t="str">
        <f t="shared" si="23"/>
        <v/>
      </c>
      <c r="BS462" s="305" t="str">
        <f>IF($BR462="","",_xll.ciqfunctions.udf.CIQ($BR462,"iq_bond_coupon")/100)</f>
        <v/>
      </c>
    </row>
    <row r="463" spans="59:71" x14ac:dyDescent="0.25">
      <c r="BG463" s="301" t="str">
        <f>IF($BF463="","",_xll.ciqfunctions.udf.CIQ($BF463,"iq_offer_date"))</f>
        <v/>
      </c>
      <c r="BH463" s="302" t="str">
        <f>IF($BF463="","",RANK(BG463,$BG$11:$BG$511)+COUNTIF($BG$11:BG463,BG463)-1)</f>
        <v/>
      </c>
      <c r="BM463" s="271">
        <f t="shared" si="24"/>
        <v>453</v>
      </c>
      <c r="BO463" s="304" t="str">
        <f>IF($BN463="","",_xll.ciqfunctions.udf.CIQ($BN463,"iq_security_level"))</f>
        <v/>
      </c>
      <c r="BP463" s="271" t="str">
        <f t="shared" si="25"/>
        <v/>
      </c>
      <c r="BR463" s="271" t="str">
        <f t="shared" si="23"/>
        <v/>
      </c>
      <c r="BS463" s="305" t="str">
        <f>IF($BR463="","",_xll.ciqfunctions.udf.CIQ($BR463,"iq_bond_coupon")/100)</f>
        <v/>
      </c>
    </row>
    <row r="464" spans="59:71" x14ac:dyDescent="0.25">
      <c r="BG464" s="301" t="str">
        <f>IF($BF464="","",_xll.ciqfunctions.udf.CIQ($BF464,"iq_offer_date"))</f>
        <v/>
      </c>
      <c r="BH464" s="302" t="str">
        <f>IF($BF464="","",RANK(BG464,$BG$11:$BG$511)+COUNTIF($BG$11:BG464,BG464)-1)</f>
        <v/>
      </c>
      <c r="BM464" s="271">
        <f t="shared" si="24"/>
        <v>454</v>
      </c>
      <c r="BO464" s="304" t="str">
        <f>IF($BN464="","",_xll.ciqfunctions.udf.CIQ($BN464,"iq_security_level"))</f>
        <v/>
      </c>
      <c r="BP464" s="271" t="str">
        <f t="shared" si="25"/>
        <v/>
      </c>
      <c r="BR464" s="271" t="str">
        <f t="shared" si="23"/>
        <v/>
      </c>
      <c r="BS464" s="305" t="str">
        <f>IF($BR464="","",_xll.ciqfunctions.udf.CIQ($BR464,"iq_bond_coupon")/100)</f>
        <v/>
      </c>
    </row>
    <row r="465" spans="59:71" x14ac:dyDescent="0.25">
      <c r="BG465" s="301" t="str">
        <f>IF($BF465="","",_xll.ciqfunctions.udf.CIQ($BF465,"iq_offer_date"))</f>
        <v/>
      </c>
      <c r="BH465" s="302" t="str">
        <f>IF($BF465="","",RANK(BG465,$BG$11:$BG$511)+COUNTIF($BG$11:BG465,BG465)-1)</f>
        <v/>
      </c>
      <c r="BM465" s="271">
        <f t="shared" si="24"/>
        <v>455</v>
      </c>
      <c r="BO465" s="304" t="str">
        <f>IF($BN465="","",_xll.ciqfunctions.udf.CIQ($BN465,"iq_security_level"))</f>
        <v/>
      </c>
      <c r="BP465" s="271" t="str">
        <f t="shared" si="25"/>
        <v/>
      </c>
      <c r="BR465" s="271" t="str">
        <f t="shared" si="23"/>
        <v/>
      </c>
      <c r="BS465" s="305" t="str">
        <f>IF($BR465="","",_xll.ciqfunctions.udf.CIQ($BR465,"iq_bond_coupon")/100)</f>
        <v/>
      </c>
    </row>
    <row r="466" spans="59:71" x14ac:dyDescent="0.25">
      <c r="BG466" s="301" t="str">
        <f>IF($BF466="","",_xll.ciqfunctions.udf.CIQ($BF466,"iq_offer_date"))</f>
        <v/>
      </c>
      <c r="BH466" s="302" t="str">
        <f>IF($BF466="","",RANK(BG466,$BG$11:$BG$511)+COUNTIF($BG$11:BG466,BG466)-1)</f>
        <v/>
      </c>
      <c r="BM466" s="271">
        <f t="shared" si="24"/>
        <v>456</v>
      </c>
      <c r="BO466" s="304" t="str">
        <f>IF($BN466="","",_xll.ciqfunctions.udf.CIQ($BN466,"iq_security_level"))</f>
        <v/>
      </c>
      <c r="BP466" s="271" t="str">
        <f t="shared" si="25"/>
        <v/>
      </c>
      <c r="BR466" s="271" t="str">
        <f t="shared" si="23"/>
        <v/>
      </c>
      <c r="BS466" s="305" t="str">
        <f>IF($BR466="","",_xll.ciqfunctions.udf.CIQ($BR466,"iq_bond_coupon")/100)</f>
        <v/>
      </c>
    </row>
    <row r="467" spans="59:71" x14ac:dyDescent="0.25">
      <c r="BG467" s="301" t="str">
        <f>IF($BF467="","",_xll.ciqfunctions.udf.CIQ($BF467,"iq_offer_date"))</f>
        <v/>
      </c>
      <c r="BH467" s="302" t="str">
        <f>IF($BF467="","",RANK(BG467,$BG$11:$BG$511)+COUNTIF($BG$11:BG467,BG467)-1)</f>
        <v/>
      </c>
      <c r="BM467" s="271">
        <f t="shared" si="24"/>
        <v>457</v>
      </c>
      <c r="BO467" s="304" t="str">
        <f>IF($BN467="","",_xll.ciqfunctions.udf.CIQ($BN467,"iq_security_level"))</f>
        <v/>
      </c>
      <c r="BP467" s="271" t="str">
        <f t="shared" si="25"/>
        <v/>
      </c>
      <c r="BR467" s="271" t="str">
        <f t="shared" si="23"/>
        <v/>
      </c>
      <c r="BS467" s="305" t="str">
        <f>IF($BR467="","",_xll.ciqfunctions.udf.CIQ($BR467,"iq_bond_coupon")/100)</f>
        <v/>
      </c>
    </row>
    <row r="468" spans="59:71" x14ac:dyDescent="0.25">
      <c r="BG468" s="301" t="str">
        <f>IF($BF468="","",_xll.ciqfunctions.udf.CIQ($BF468,"iq_offer_date"))</f>
        <v/>
      </c>
      <c r="BH468" s="302" t="str">
        <f>IF($BF468="","",RANK(BG468,$BG$11:$BG$511)+COUNTIF($BG$11:BG468,BG468)-1)</f>
        <v/>
      </c>
      <c r="BM468" s="271">
        <f t="shared" si="24"/>
        <v>458</v>
      </c>
      <c r="BO468" s="304" t="str">
        <f>IF($BN468="","",_xll.ciqfunctions.udf.CIQ($BN468,"iq_security_level"))</f>
        <v/>
      </c>
      <c r="BP468" s="271" t="str">
        <f t="shared" si="25"/>
        <v/>
      </c>
      <c r="BR468" s="271" t="str">
        <f t="shared" si="23"/>
        <v/>
      </c>
      <c r="BS468" s="305" t="str">
        <f>IF($BR468="","",_xll.ciqfunctions.udf.CIQ($BR468,"iq_bond_coupon")/100)</f>
        <v/>
      </c>
    </row>
    <row r="469" spans="59:71" x14ac:dyDescent="0.25">
      <c r="BG469" s="301" t="str">
        <f>IF($BF469="","",_xll.ciqfunctions.udf.CIQ($BF469,"iq_offer_date"))</f>
        <v/>
      </c>
      <c r="BH469" s="302" t="str">
        <f>IF($BF469="","",RANK(BG469,$BG$11:$BG$511)+COUNTIF($BG$11:BG469,BG469)-1)</f>
        <v/>
      </c>
      <c r="BM469" s="271">
        <f t="shared" si="24"/>
        <v>459</v>
      </c>
      <c r="BO469" s="304" t="str">
        <f>IF($BN469="","",_xll.ciqfunctions.udf.CIQ($BN469,"iq_security_level"))</f>
        <v/>
      </c>
      <c r="BP469" s="271" t="str">
        <f t="shared" si="25"/>
        <v/>
      </c>
      <c r="BR469" s="271" t="str">
        <f t="shared" si="23"/>
        <v/>
      </c>
      <c r="BS469" s="305" t="str">
        <f>IF($BR469="","",_xll.ciqfunctions.udf.CIQ($BR469,"iq_bond_coupon")/100)</f>
        <v/>
      </c>
    </row>
    <row r="470" spans="59:71" x14ac:dyDescent="0.25">
      <c r="BG470" s="301" t="str">
        <f>IF($BF470="","",_xll.ciqfunctions.udf.CIQ($BF470,"iq_offer_date"))</f>
        <v/>
      </c>
      <c r="BH470" s="302" t="str">
        <f>IF($BF470="","",RANK(BG470,$BG$11:$BG$511)+COUNTIF($BG$11:BG470,BG470)-1)</f>
        <v/>
      </c>
      <c r="BM470" s="271">
        <f t="shared" si="24"/>
        <v>460</v>
      </c>
      <c r="BO470" s="304" t="str">
        <f>IF($BN470="","",_xll.ciqfunctions.udf.CIQ($BN470,"iq_security_level"))</f>
        <v/>
      </c>
      <c r="BP470" s="271" t="str">
        <f t="shared" si="25"/>
        <v/>
      </c>
      <c r="BR470" s="271" t="str">
        <f t="shared" si="23"/>
        <v/>
      </c>
      <c r="BS470" s="305" t="str">
        <f>IF($BR470="","",_xll.ciqfunctions.udf.CIQ($BR470,"iq_bond_coupon")/100)</f>
        <v/>
      </c>
    </row>
    <row r="471" spans="59:71" x14ac:dyDescent="0.25">
      <c r="BG471" s="301" t="str">
        <f>IF($BF471="","",_xll.ciqfunctions.udf.CIQ($BF471,"iq_offer_date"))</f>
        <v/>
      </c>
      <c r="BH471" s="302" t="str">
        <f>IF($BF471="","",RANK(BG471,$BG$11:$BG$511)+COUNTIF($BG$11:BG471,BG471)-1)</f>
        <v/>
      </c>
      <c r="BM471" s="271">
        <f t="shared" si="24"/>
        <v>461</v>
      </c>
      <c r="BO471" s="304" t="str">
        <f>IF($BN471="","",_xll.ciqfunctions.udf.CIQ($BN471,"iq_security_level"))</f>
        <v/>
      </c>
      <c r="BP471" s="271" t="str">
        <f t="shared" si="25"/>
        <v/>
      </c>
      <c r="BR471" s="271" t="str">
        <f t="shared" si="23"/>
        <v/>
      </c>
      <c r="BS471" s="305" t="str">
        <f>IF($BR471="","",_xll.ciqfunctions.udf.CIQ($BR471,"iq_bond_coupon")/100)</f>
        <v/>
      </c>
    </row>
    <row r="472" spans="59:71" x14ac:dyDescent="0.25">
      <c r="BG472" s="301" t="str">
        <f>IF($BF472="","",_xll.ciqfunctions.udf.CIQ($BF472,"iq_offer_date"))</f>
        <v/>
      </c>
      <c r="BH472" s="302" t="str">
        <f>IF($BF472="","",RANK(BG472,$BG$11:$BG$511)+COUNTIF($BG$11:BG472,BG472)-1)</f>
        <v/>
      </c>
      <c r="BM472" s="271">
        <f t="shared" si="24"/>
        <v>462</v>
      </c>
      <c r="BO472" s="304" t="str">
        <f>IF($BN472="","",_xll.ciqfunctions.udf.CIQ($BN472,"iq_security_level"))</f>
        <v/>
      </c>
      <c r="BP472" s="271" t="str">
        <f t="shared" si="25"/>
        <v/>
      </c>
      <c r="BR472" s="271" t="str">
        <f t="shared" si="23"/>
        <v/>
      </c>
      <c r="BS472" s="305" t="str">
        <f>IF($BR472="","",_xll.ciqfunctions.udf.CIQ($BR472,"iq_bond_coupon")/100)</f>
        <v/>
      </c>
    </row>
    <row r="473" spans="59:71" x14ac:dyDescent="0.25">
      <c r="BG473" s="301" t="str">
        <f>IF($BF473="","",_xll.ciqfunctions.udf.CIQ($BF473,"iq_offer_date"))</f>
        <v/>
      </c>
      <c r="BH473" s="302" t="str">
        <f>IF($BF473="","",RANK(BG473,$BG$11:$BG$511)+COUNTIF($BG$11:BG473,BG473)-1)</f>
        <v/>
      </c>
      <c r="BM473" s="271">
        <f t="shared" si="24"/>
        <v>463</v>
      </c>
      <c r="BO473" s="304" t="str">
        <f>IF($BN473="","",_xll.ciqfunctions.udf.CIQ($BN473,"iq_security_level"))</f>
        <v/>
      </c>
      <c r="BP473" s="271" t="str">
        <f t="shared" si="25"/>
        <v/>
      </c>
      <c r="BR473" s="271" t="str">
        <f t="shared" si="23"/>
        <v/>
      </c>
      <c r="BS473" s="305" t="str">
        <f>IF($BR473="","",_xll.ciqfunctions.udf.CIQ($BR473,"iq_bond_coupon")/100)</f>
        <v/>
      </c>
    </row>
    <row r="474" spans="59:71" x14ac:dyDescent="0.25">
      <c r="BG474" s="301" t="str">
        <f>IF($BF474="","",_xll.ciqfunctions.udf.CIQ($BF474,"iq_offer_date"))</f>
        <v/>
      </c>
      <c r="BH474" s="302" t="str">
        <f>IF($BF474="","",RANK(BG474,$BG$11:$BG$511)+COUNTIF($BG$11:BG474,BG474)-1)</f>
        <v/>
      </c>
      <c r="BM474" s="271">
        <f t="shared" si="24"/>
        <v>464</v>
      </c>
      <c r="BO474" s="304" t="str">
        <f>IF($BN474="","",_xll.ciqfunctions.udf.CIQ($BN474,"iq_security_level"))</f>
        <v/>
      </c>
      <c r="BP474" s="271" t="str">
        <f t="shared" si="25"/>
        <v/>
      </c>
      <c r="BR474" s="271" t="str">
        <f t="shared" si="23"/>
        <v/>
      </c>
      <c r="BS474" s="305" t="str">
        <f>IF($BR474="","",_xll.ciqfunctions.udf.CIQ($BR474,"iq_bond_coupon")/100)</f>
        <v/>
      </c>
    </row>
    <row r="475" spans="59:71" x14ac:dyDescent="0.25">
      <c r="BG475" s="301" t="str">
        <f>IF($BF475="","",_xll.ciqfunctions.udf.CIQ($BF475,"iq_offer_date"))</f>
        <v/>
      </c>
      <c r="BH475" s="302" t="str">
        <f>IF($BF475="","",RANK(BG475,$BG$11:$BG$511)+COUNTIF($BG$11:BG475,BG475)-1)</f>
        <v/>
      </c>
      <c r="BM475" s="271">
        <f t="shared" si="24"/>
        <v>465</v>
      </c>
      <c r="BO475" s="304" t="str">
        <f>IF($BN475="","",_xll.ciqfunctions.udf.CIQ($BN475,"iq_security_level"))</f>
        <v/>
      </c>
      <c r="BP475" s="271" t="str">
        <f t="shared" si="25"/>
        <v/>
      </c>
      <c r="BR475" s="271" t="str">
        <f t="shared" si="23"/>
        <v/>
      </c>
      <c r="BS475" s="305" t="str">
        <f>IF($BR475="","",_xll.ciqfunctions.udf.CIQ($BR475,"iq_bond_coupon")/100)</f>
        <v/>
      </c>
    </row>
    <row r="476" spans="59:71" x14ac:dyDescent="0.25">
      <c r="BG476" s="301" t="str">
        <f>IF($BF476="","",_xll.ciqfunctions.udf.CIQ($BF476,"iq_offer_date"))</f>
        <v/>
      </c>
      <c r="BH476" s="302" t="str">
        <f>IF($BF476="","",RANK(BG476,$BG$11:$BG$511)+COUNTIF($BG$11:BG476,BG476)-1)</f>
        <v/>
      </c>
      <c r="BM476" s="271">
        <f t="shared" si="24"/>
        <v>466</v>
      </c>
      <c r="BO476" s="304" t="str">
        <f>IF($BN476="","",_xll.ciqfunctions.udf.CIQ($BN476,"iq_security_level"))</f>
        <v/>
      </c>
      <c r="BP476" s="271" t="str">
        <f t="shared" si="25"/>
        <v/>
      </c>
      <c r="BR476" s="271" t="str">
        <f t="shared" si="23"/>
        <v/>
      </c>
      <c r="BS476" s="305" t="str">
        <f>IF($BR476="","",_xll.ciqfunctions.udf.CIQ($BR476,"iq_bond_coupon")/100)</f>
        <v/>
      </c>
    </row>
    <row r="477" spans="59:71" x14ac:dyDescent="0.25">
      <c r="BG477" s="301" t="str">
        <f>IF($BF477="","",_xll.ciqfunctions.udf.CIQ($BF477,"iq_offer_date"))</f>
        <v/>
      </c>
      <c r="BH477" s="302" t="str">
        <f>IF($BF477="","",RANK(BG477,$BG$11:$BG$511)+COUNTIF($BG$11:BG477,BG477)-1)</f>
        <v/>
      </c>
      <c r="BM477" s="271">
        <f t="shared" si="24"/>
        <v>467</v>
      </c>
      <c r="BO477" s="304" t="str">
        <f>IF($BN477="","",_xll.ciqfunctions.udf.CIQ($BN477,"iq_security_level"))</f>
        <v/>
      </c>
      <c r="BP477" s="271" t="str">
        <f t="shared" si="25"/>
        <v/>
      </c>
      <c r="BR477" s="271" t="str">
        <f t="shared" si="23"/>
        <v/>
      </c>
      <c r="BS477" s="305" t="str">
        <f>IF($BR477="","",_xll.ciqfunctions.udf.CIQ($BR477,"iq_bond_coupon")/100)</f>
        <v/>
      </c>
    </row>
    <row r="478" spans="59:71" x14ac:dyDescent="0.25">
      <c r="BG478" s="301" t="str">
        <f>IF($BF478="","",_xll.ciqfunctions.udf.CIQ($BF478,"iq_offer_date"))</f>
        <v/>
      </c>
      <c r="BH478" s="302" t="str">
        <f>IF($BF478="","",RANK(BG478,$BG$11:$BG$511)+COUNTIF($BG$11:BG478,BG478)-1)</f>
        <v/>
      </c>
      <c r="BM478" s="271">
        <f t="shared" si="24"/>
        <v>468</v>
      </c>
      <c r="BO478" s="304" t="str">
        <f>IF($BN478="","",_xll.ciqfunctions.udf.CIQ($BN478,"iq_security_level"))</f>
        <v/>
      </c>
      <c r="BP478" s="271" t="str">
        <f t="shared" si="25"/>
        <v/>
      </c>
      <c r="BR478" s="271" t="str">
        <f t="shared" si="23"/>
        <v/>
      </c>
      <c r="BS478" s="305" t="str">
        <f>IF($BR478="","",_xll.ciqfunctions.udf.CIQ($BR478,"iq_bond_coupon")/100)</f>
        <v/>
      </c>
    </row>
    <row r="479" spans="59:71" x14ac:dyDescent="0.25">
      <c r="BG479" s="301" t="str">
        <f>IF($BF479="","",_xll.ciqfunctions.udf.CIQ($BF479,"iq_offer_date"))</f>
        <v/>
      </c>
      <c r="BH479" s="302" t="str">
        <f>IF($BF479="","",RANK(BG479,$BG$11:$BG$511)+COUNTIF($BG$11:BG479,BG479)-1)</f>
        <v/>
      </c>
      <c r="BM479" s="271">
        <f t="shared" si="24"/>
        <v>469</v>
      </c>
      <c r="BO479" s="304" t="str">
        <f>IF($BN479="","",_xll.ciqfunctions.udf.CIQ($BN479,"iq_security_level"))</f>
        <v/>
      </c>
      <c r="BP479" s="271" t="str">
        <f t="shared" si="25"/>
        <v/>
      </c>
      <c r="BR479" s="271" t="str">
        <f t="shared" si="23"/>
        <v/>
      </c>
      <c r="BS479" s="305" t="str">
        <f>IF($BR479="","",_xll.ciqfunctions.udf.CIQ($BR479,"iq_bond_coupon")/100)</f>
        <v/>
      </c>
    </row>
    <row r="480" spans="59:71" x14ac:dyDescent="0.25">
      <c r="BG480" s="301" t="str">
        <f>IF($BF480="","",_xll.ciqfunctions.udf.CIQ($BF480,"iq_offer_date"))</f>
        <v/>
      </c>
      <c r="BH480" s="302" t="str">
        <f>IF($BF480="","",RANK(BG480,$BG$11:$BG$511)+COUNTIF($BG$11:BG480,BG480)-1)</f>
        <v/>
      </c>
      <c r="BM480" s="271">
        <f t="shared" si="24"/>
        <v>470</v>
      </c>
      <c r="BO480" s="304" t="str">
        <f>IF($BN480="","",_xll.ciqfunctions.udf.CIQ($BN480,"iq_security_level"))</f>
        <v/>
      </c>
      <c r="BP480" s="271" t="str">
        <f t="shared" si="25"/>
        <v/>
      </c>
      <c r="BR480" s="271" t="str">
        <f t="shared" si="23"/>
        <v/>
      </c>
      <c r="BS480" s="305" t="str">
        <f>IF($BR480="","",_xll.ciqfunctions.udf.CIQ($BR480,"iq_bond_coupon")/100)</f>
        <v/>
      </c>
    </row>
    <row r="481" spans="59:71" x14ac:dyDescent="0.25">
      <c r="BG481" s="301" t="str">
        <f>IF($BF481="","",_xll.ciqfunctions.udf.CIQ($BF481,"iq_offer_date"))</f>
        <v/>
      </c>
      <c r="BH481" s="302" t="str">
        <f>IF($BF481="","",RANK(BG481,$BG$11:$BG$511)+COUNTIF($BG$11:BG481,BG481)-1)</f>
        <v/>
      </c>
      <c r="BM481" s="271">
        <f t="shared" si="24"/>
        <v>471</v>
      </c>
      <c r="BO481" s="304" t="str">
        <f>IF($BN481="","",_xll.ciqfunctions.udf.CIQ($BN481,"iq_security_level"))</f>
        <v/>
      </c>
      <c r="BP481" s="271" t="str">
        <f t="shared" si="25"/>
        <v/>
      </c>
      <c r="BR481" s="271" t="str">
        <f t="shared" si="23"/>
        <v/>
      </c>
      <c r="BS481" s="305" t="str">
        <f>IF($BR481="","",_xll.ciqfunctions.udf.CIQ($BR481,"iq_bond_coupon")/100)</f>
        <v/>
      </c>
    </row>
    <row r="482" spans="59:71" x14ac:dyDescent="0.25">
      <c r="BG482" s="301" t="str">
        <f>IF($BF482="","",_xll.ciqfunctions.udf.CIQ($BF482,"iq_offer_date"))</f>
        <v/>
      </c>
      <c r="BH482" s="302" t="str">
        <f>IF($BF482="","",RANK(BG482,$BG$11:$BG$511)+COUNTIF($BG$11:BG482,BG482)-1)</f>
        <v/>
      </c>
      <c r="BM482" s="271">
        <f t="shared" si="24"/>
        <v>472</v>
      </c>
      <c r="BO482" s="304" t="str">
        <f>IF($BN482="","",_xll.ciqfunctions.udf.CIQ($BN482,"iq_security_level"))</f>
        <v/>
      </c>
      <c r="BP482" s="271" t="str">
        <f t="shared" si="25"/>
        <v/>
      </c>
      <c r="BR482" s="271" t="str">
        <f t="shared" si="23"/>
        <v/>
      </c>
      <c r="BS482" s="305" t="str">
        <f>IF($BR482="","",_xll.ciqfunctions.udf.CIQ($BR482,"iq_bond_coupon")/100)</f>
        <v/>
      </c>
    </row>
    <row r="483" spans="59:71" x14ac:dyDescent="0.25">
      <c r="BG483" s="301" t="str">
        <f>IF($BF483="","",_xll.ciqfunctions.udf.CIQ($BF483,"iq_offer_date"))</f>
        <v/>
      </c>
      <c r="BH483" s="302" t="str">
        <f>IF($BF483="","",RANK(BG483,$BG$11:$BG$511)+COUNTIF($BG$11:BG483,BG483)-1)</f>
        <v/>
      </c>
      <c r="BM483" s="271">
        <f t="shared" si="24"/>
        <v>473</v>
      </c>
      <c r="BO483" s="304" t="str">
        <f>IF($BN483="","",_xll.ciqfunctions.udf.CIQ($BN483,"iq_security_level"))</f>
        <v/>
      </c>
      <c r="BP483" s="271" t="str">
        <f t="shared" si="25"/>
        <v/>
      </c>
      <c r="BR483" s="271" t="str">
        <f t="shared" si="23"/>
        <v/>
      </c>
      <c r="BS483" s="305" t="str">
        <f>IF($BR483="","",_xll.ciqfunctions.udf.CIQ($BR483,"iq_bond_coupon")/100)</f>
        <v/>
      </c>
    </row>
    <row r="484" spans="59:71" x14ac:dyDescent="0.25">
      <c r="BG484" s="301" t="str">
        <f>IF($BF484="","",_xll.ciqfunctions.udf.CIQ($BF484,"iq_offer_date"))</f>
        <v/>
      </c>
      <c r="BH484" s="302" t="str">
        <f>IF($BF484="","",RANK(BG484,$BG$11:$BG$511)+COUNTIF($BG$11:BG484,BG484)-1)</f>
        <v/>
      </c>
      <c r="BM484" s="271">
        <f t="shared" si="24"/>
        <v>474</v>
      </c>
      <c r="BO484" s="304" t="str">
        <f>IF($BN484="","",_xll.ciqfunctions.udf.CIQ($BN484,"iq_security_level"))</f>
        <v/>
      </c>
      <c r="BP484" s="271" t="str">
        <f t="shared" si="25"/>
        <v/>
      </c>
      <c r="BR484" s="271" t="str">
        <f t="shared" si="23"/>
        <v/>
      </c>
      <c r="BS484" s="305" t="str">
        <f>IF($BR484="","",_xll.ciqfunctions.udf.CIQ($BR484,"iq_bond_coupon")/100)</f>
        <v/>
      </c>
    </row>
    <row r="485" spans="59:71" x14ac:dyDescent="0.25">
      <c r="BG485" s="301" t="str">
        <f>IF($BF485="","",_xll.ciqfunctions.udf.CIQ($BF485,"iq_offer_date"))</f>
        <v/>
      </c>
      <c r="BH485" s="302" t="str">
        <f>IF($BF485="","",RANK(BG485,$BG$11:$BG$511)+COUNTIF($BG$11:BG485,BG485)-1)</f>
        <v/>
      </c>
      <c r="BM485" s="271">
        <f t="shared" si="24"/>
        <v>475</v>
      </c>
      <c r="BO485" s="304" t="str">
        <f>IF($BN485="","",_xll.ciqfunctions.udf.CIQ($BN485,"iq_security_level"))</f>
        <v/>
      </c>
      <c r="BP485" s="271" t="str">
        <f t="shared" si="25"/>
        <v/>
      </c>
      <c r="BR485" s="271" t="str">
        <f t="shared" si="23"/>
        <v/>
      </c>
      <c r="BS485" s="305" t="str">
        <f>IF($BR485="","",_xll.ciqfunctions.udf.CIQ($BR485,"iq_bond_coupon")/100)</f>
        <v/>
      </c>
    </row>
    <row r="486" spans="59:71" x14ac:dyDescent="0.25">
      <c r="BG486" s="301" t="str">
        <f>IF($BF486="","",_xll.ciqfunctions.udf.CIQ($BF486,"iq_offer_date"))</f>
        <v/>
      </c>
      <c r="BH486" s="302" t="str">
        <f>IF($BF486="","",RANK(BG486,$BG$11:$BG$511)+COUNTIF($BG$11:BG486,BG486)-1)</f>
        <v/>
      </c>
      <c r="BM486" s="271">
        <f t="shared" si="24"/>
        <v>476</v>
      </c>
      <c r="BO486" s="304" t="str">
        <f>IF($BN486="","",_xll.ciqfunctions.udf.CIQ($BN486,"iq_security_level"))</f>
        <v/>
      </c>
      <c r="BP486" s="271" t="str">
        <f t="shared" si="25"/>
        <v/>
      </c>
      <c r="BR486" s="271" t="str">
        <f t="shared" si="23"/>
        <v/>
      </c>
      <c r="BS486" s="305" t="str">
        <f>IF($BR486="","",_xll.ciqfunctions.udf.CIQ($BR486,"iq_bond_coupon")/100)</f>
        <v/>
      </c>
    </row>
    <row r="487" spans="59:71" x14ac:dyDescent="0.25">
      <c r="BG487" s="301" t="str">
        <f>IF($BF487="","",_xll.ciqfunctions.udf.CIQ($BF487,"iq_offer_date"))</f>
        <v/>
      </c>
      <c r="BH487" s="302" t="str">
        <f>IF($BF487="","",RANK(BG487,$BG$11:$BG$511)+COUNTIF($BG$11:BG487,BG487)-1)</f>
        <v/>
      </c>
      <c r="BM487" s="271">
        <f t="shared" si="24"/>
        <v>477</v>
      </c>
      <c r="BO487" s="304" t="str">
        <f>IF($BN487="","",_xll.ciqfunctions.udf.CIQ($BN487,"iq_security_level"))</f>
        <v/>
      </c>
      <c r="BP487" s="271" t="str">
        <f t="shared" si="25"/>
        <v/>
      </c>
      <c r="BR487" s="271" t="str">
        <f t="shared" si="23"/>
        <v/>
      </c>
      <c r="BS487" s="305" t="str">
        <f>IF($BR487="","",_xll.ciqfunctions.udf.CIQ($BR487,"iq_bond_coupon")/100)</f>
        <v/>
      </c>
    </row>
    <row r="488" spans="59:71" x14ac:dyDescent="0.25">
      <c r="BG488" s="301" t="str">
        <f>IF($BF488="","",_xll.ciqfunctions.udf.CIQ($BF488,"iq_offer_date"))</f>
        <v/>
      </c>
      <c r="BH488" s="302" t="str">
        <f>IF($BF488="","",RANK(BG488,$BG$11:$BG$511)+COUNTIF($BG$11:BG488,BG488)-1)</f>
        <v/>
      </c>
      <c r="BM488" s="271">
        <f t="shared" si="24"/>
        <v>478</v>
      </c>
      <c r="BO488" s="304" t="str">
        <f>IF($BN488="","",_xll.ciqfunctions.udf.CIQ($BN488,"iq_security_level"))</f>
        <v/>
      </c>
      <c r="BP488" s="271" t="str">
        <f t="shared" si="25"/>
        <v/>
      </c>
      <c r="BR488" s="271" t="str">
        <f t="shared" si="23"/>
        <v/>
      </c>
      <c r="BS488" s="305" t="str">
        <f>IF($BR488="","",_xll.ciqfunctions.udf.CIQ($BR488,"iq_bond_coupon")/100)</f>
        <v/>
      </c>
    </row>
    <row r="489" spans="59:71" x14ac:dyDescent="0.25">
      <c r="BG489" s="301" t="str">
        <f>IF($BF489="","",_xll.ciqfunctions.udf.CIQ($BF489,"iq_offer_date"))</f>
        <v/>
      </c>
      <c r="BH489" s="302" t="str">
        <f>IF($BF489="","",RANK(BG489,$BG$11:$BG$511)+COUNTIF($BG$11:BG489,BG489)-1)</f>
        <v/>
      </c>
      <c r="BM489" s="271">
        <f t="shared" si="24"/>
        <v>479</v>
      </c>
      <c r="BO489" s="304" t="str">
        <f>IF($BN489="","",_xll.ciqfunctions.udf.CIQ($BN489,"iq_security_level"))</f>
        <v/>
      </c>
      <c r="BP489" s="271" t="str">
        <f t="shared" si="25"/>
        <v/>
      </c>
      <c r="BR489" s="271" t="str">
        <f t="shared" si="23"/>
        <v/>
      </c>
      <c r="BS489" s="305" t="str">
        <f>IF($BR489="","",_xll.ciqfunctions.udf.CIQ($BR489,"iq_bond_coupon")/100)</f>
        <v/>
      </c>
    </row>
    <row r="490" spans="59:71" x14ac:dyDescent="0.25">
      <c r="BG490" s="301" t="str">
        <f>IF($BF490="","",_xll.ciqfunctions.udf.CIQ($BF490,"iq_offer_date"))</f>
        <v/>
      </c>
      <c r="BH490" s="302" t="str">
        <f>IF($BF490="","",RANK(BG490,$BG$11:$BG$511)+COUNTIF($BG$11:BG490,BG490)-1)</f>
        <v/>
      </c>
      <c r="BM490" s="271">
        <f t="shared" si="24"/>
        <v>480</v>
      </c>
      <c r="BO490" s="304" t="str">
        <f>IF($BN490="","",_xll.ciqfunctions.udf.CIQ($BN490,"iq_security_level"))</f>
        <v/>
      </c>
      <c r="BP490" s="271" t="str">
        <f t="shared" si="25"/>
        <v/>
      </c>
      <c r="BR490" s="271" t="str">
        <f t="shared" si="23"/>
        <v/>
      </c>
      <c r="BS490" s="305" t="str">
        <f>IF($BR490="","",_xll.ciqfunctions.udf.CIQ($BR490,"iq_bond_coupon")/100)</f>
        <v/>
      </c>
    </row>
    <row r="491" spans="59:71" x14ac:dyDescent="0.25">
      <c r="BG491" s="301" t="str">
        <f>IF($BF491="","",_xll.ciqfunctions.udf.CIQ($BF491,"iq_offer_date"))</f>
        <v/>
      </c>
      <c r="BH491" s="302" t="str">
        <f>IF($BF491="","",RANK(BG491,$BG$11:$BG$511)+COUNTIF($BG$11:BG491,BG491)-1)</f>
        <v/>
      </c>
      <c r="BM491" s="271">
        <f t="shared" si="24"/>
        <v>481</v>
      </c>
      <c r="BO491" s="304" t="str">
        <f>IF($BN491="","",_xll.ciqfunctions.udf.CIQ($BN491,"iq_security_level"))</f>
        <v/>
      </c>
      <c r="BP491" s="271" t="str">
        <f t="shared" si="25"/>
        <v/>
      </c>
      <c r="BR491" s="271" t="str">
        <f t="shared" si="23"/>
        <v/>
      </c>
      <c r="BS491" s="305" t="str">
        <f>IF($BR491="","",_xll.ciqfunctions.udf.CIQ($BR491,"iq_bond_coupon")/100)</f>
        <v/>
      </c>
    </row>
    <row r="492" spans="59:71" x14ac:dyDescent="0.25">
      <c r="BG492" s="301" t="str">
        <f>IF($BF492="","",_xll.ciqfunctions.udf.CIQ($BF492,"iq_offer_date"))</f>
        <v/>
      </c>
      <c r="BH492" s="302" t="str">
        <f>IF($BF492="","",RANK(BG492,$BG$11:$BG$511)+COUNTIF($BG$11:BG492,BG492)-1)</f>
        <v/>
      </c>
      <c r="BM492" s="271">
        <f t="shared" si="24"/>
        <v>482</v>
      </c>
      <c r="BO492" s="304" t="str">
        <f>IF($BN492="","",_xll.ciqfunctions.udf.CIQ($BN492,"iq_security_level"))</f>
        <v/>
      </c>
      <c r="BP492" s="271" t="str">
        <f t="shared" si="25"/>
        <v/>
      </c>
      <c r="BR492" s="271" t="str">
        <f t="shared" si="23"/>
        <v/>
      </c>
      <c r="BS492" s="305" t="str">
        <f>IF($BR492="","",_xll.ciqfunctions.udf.CIQ($BR492,"iq_bond_coupon")/100)</f>
        <v/>
      </c>
    </row>
    <row r="493" spans="59:71" x14ac:dyDescent="0.25">
      <c r="BG493" s="301" t="str">
        <f>IF($BF493="","",_xll.ciqfunctions.udf.CIQ($BF493,"iq_offer_date"))</f>
        <v/>
      </c>
      <c r="BH493" s="302" t="str">
        <f>IF($BF493="","",RANK(BG493,$BG$11:$BG$511)+COUNTIF($BG$11:BG493,BG493)-1)</f>
        <v/>
      </c>
      <c r="BM493" s="271">
        <f t="shared" si="24"/>
        <v>483</v>
      </c>
      <c r="BO493" s="304" t="str">
        <f>IF($BN493="","",_xll.ciqfunctions.udf.CIQ($BN493,"iq_security_level"))</f>
        <v/>
      </c>
      <c r="BP493" s="271" t="str">
        <f t="shared" si="25"/>
        <v/>
      </c>
      <c r="BR493" s="271" t="str">
        <f t="shared" si="23"/>
        <v/>
      </c>
      <c r="BS493" s="305" t="str">
        <f>IF($BR493="","",_xll.ciqfunctions.udf.CIQ($BR493,"iq_bond_coupon")/100)</f>
        <v/>
      </c>
    </row>
    <row r="494" spans="59:71" x14ac:dyDescent="0.25">
      <c r="BG494" s="301" t="str">
        <f>IF($BF494="","",_xll.ciqfunctions.udf.CIQ($BF494,"iq_offer_date"))</f>
        <v/>
      </c>
      <c r="BH494" s="302" t="str">
        <f>IF($BF494="","",RANK(BG494,$BG$11:$BG$511)+COUNTIF($BG$11:BG494,BG494)-1)</f>
        <v/>
      </c>
      <c r="BM494" s="271">
        <f t="shared" si="24"/>
        <v>484</v>
      </c>
      <c r="BO494" s="304" t="str">
        <f>IF($BN494="","",_xll.ciqfunctions.udf.CIQ($BN494,"iq_security_level"))</f>
        <v/>
      </c>
      <c r="BP494" s="271" t="str">
        <f t="shared" si="25"/>
        <v/>
      </c>
      <c r="BR494" s="271" t="str">
        <f t="shared" si="23"/>
        <v/>
      </c>
      <c r="BS494" s="305" t="str">
        <f>IF($BR494="","",_xll.ciqfunctions.udf.CIQ($BR494,"iq_bond_coupon")/100)</f>
        <v/>
      </c>
    </row>
    <row r="495" spans="59:71" x14ac:dyDescent="0.25">
      <c r="BG495" s="301" t="str">
        <f>IF($BF495="","",_xll.ciqfunctions.udf.CIQ($BF495,"iq_offer_date"))</f>
        <v/>
      </c>
      <c r="BH495" s="302" t="str">
        <f>IF($BF495="","",RANK(BG495,$BG$11:$BG$511)+COUNTIF($BG$11:BG495,BG495)-1)</f>
        <v/>
      </c>
      <c r="BM495" s="271">
        <f t="shared" si="24"/>
        <v>485</v>
      </c>
      <c r="BO495" s="304" t="str">
        <f>IF($BN495="","",_xll.ciqfunctions.udf.CIQ($BN495,"iq_security_level"))</f>
        <v/>
      </c>
      <c r="BP495" s="271" t="str">
        <f t="shared" si="25"/>
        <v/>
      </c>
      <c r="BR495" s="271" t="str">
        <f t="shared" si="23"/>
        <v/>
      </c>
      <c r="BS495" s="305" t="str">
        <f>IF($BR495="","",_xll.ciqfunctions.udf.CIQ($BR495,"iq_bond_coupon")/100)</f>
        <v/>
      </c>
    </row>
    <row r="496" spans="59:71" x14ac:dyDescent="0.25">
      <c r="BG496" s="301" t="str">
        <f>IF($BF496="","",_xll.ciqfunctions.udf.CIQ($BF496,"iq_offer_date"))</f>
        <v/>
      </c>
      <c r="BH496" s="302" t="str">
        <f>IF($BF496="","",RANK(BG496,$BG$11:$BG$511)+COUNTIF($BG$11:BG496,BG496)-1)</f>
        <v/>
      </c>
      <c r="BM496" s="271">
        <f t="shared" si="24"/>
        <v>486</v>
      </c>
      <c r="BO496" s="304" t="str">
        <f>IF($BN496="","",_xll.ciqfunctions.udf.CIQ($BN496,"iq_security_level"))</f>
        <v/>
      </c>
      <c r="BP496" s="271" t="str">
        <f t="shared" si="25"/>
        <v/>
      </c>
      <c r="BR496" s="271" t="str">
        <f t="shared" si="23"/>
        <v/>
      </c>
      <c r="BS496" s="305" t="str">
        <f>IF($BR496="","",_xll.ciqfunctions.udf.CIQ($BR496,"iq_bond_coupon")/100)</f>
        <v/>
      </c>
    </row>
    <row r="497" spans="59:71" x14ac:dyDescent="0.25">
      <c r="BG497" s="301" t="str">
        <f>IF($BF497="","",_xll.ciqfunctions.udf.CIQ($BF497,"iq_offer_date"))</f>
        <v/>
      </c>
      <c r="BH497" s="302" t="str">
        <f>IF($BF497="","",RANK(BG497,$BG$11:$BG$511)+COUNTIF($BG$11:BG497,BG497)-1)</f>
        <v/>
      </c>
      <c r="BM497" s="271">
        <f t="shared" si="24"/>
        <v>487</v>
      </c>
      <c r="BO497" s="304" t="str">
        <f>IF($BN497="","",_xll.ciqfunctions.udf.CIQ($BN497,"iq_security_level"))</f>
        <v/>
      </c>
      <c r="BP497" s="271" t="str">
        <f t="shared" si="25"/>
        <v/>
      </c>
      <c r="BR497" s="271" t="str">
        <f t="shared" si="23"/>
        <v/>
      </c>
      <c r="BS497" s="305" t="str">
        <f>IF($BR497="","",_xll.ciqfunctions.udf.CIQ($BR497,"iq_bond_coupon")/100)</f>
        <v/>
      </c>
    </row>
    <row r="498" spans="59:71" x14ac:dyDescent="0.25">
      <c r="BG498" s="301" t="str">
        <f>IF($BF498="","",_xll.ciqfunctions.udf.CIQ($BF498,"iq_offer_date"))</f>
        <v/>
      </c>
      <c r="BH498" s="302" t="str">
        <f>IF($BF498="","",RANK(BG498,$BG$11:$BG$511)+COUNTIF($BG$11:BG498,BG498)-1)</f>
        <v/>
      </c>
      <c r="BM498" s="271">
        <f t="shared" si="24"/>
        <v>488</v>
      </c>
      <c r="BO498" s="304" t="str">
        <f>IF($BN498="","",_xll.ciqfunctions.udf.CIQ($BN498,"iq_security_level"))</f>
        <v/>
      </c>
      <c r="BP498" s="271" t="str">
        <f t="shared" si="25"/>
        <v/>
      </c>
      <c r="BR498" s="271" t="str">
        <f t="shared" si="23"/>
        <v/>
      </c>
      <c r="BS498" s="305" t="str">
        <f>IF($BR498="","",_xll.ciqfunctions.udf.CIQ($BR498,"iq_bond_coupon")/100)</f>
        <v/>
      </c>
    </row>
    <row r="499" spans="59:71" x14ac:dyDescent="0.25">
      <c r="BG499" s="301" t="str">
        <f>IF($BF499="","",_xll.ciqfunctions.udf.CIQ($BF499,"iq_offer_date"))</f>
        <v/>
      </c>
      <c r="BH499" s="302" t="str">
        <f>IF($BF499="","",RANK(BG499,$BG$11:$BG$511)+COUNTIF($BG$11:BG499,BG499)-1)</f>
        <v/>
      </c>
      <c r="BM499" s="271">
        <f t="shared" si="24"/>
        <v>489</v>
      </c>
      <c r="BO499" s="304" t="str">
        <f>IF($BN499="","",_xll.ciqfunctions.udf.CIQ($BN499,"iq_security_level"))</f>
        <v/>
      </c>
      <c r="BP499" s="271" t="str">
        <f t="shared" si="25"/>
        <v/>
      </c>
      <c r="BR499" s="271" t="str">
        <f t="shared" si="23"/>
        <v/>
      </c>
      <c r="BS499" s="305" t="str">
        <f>IF($BR499="","",_xll.ciqfunctions.udf.CIQ($BR499,"iq_bond_coupon")/100)</f>
        <v/>
      </c>
    </row>
    <row r="500" spans="59:71" x14ac:dyDescent="0.25">
      <c r="BG500" s="301" t="str">
        <f>IF($BF500="","",_xll.ciqfunctions.udf.CIQ($BF500,"iq_offer_date"))</f>
        <v/>
      </c>
      <c r="BH500" s="302" t="str">
        <f>IF($BF500="","",RANK(BG500,$BG$11:$BG$511)+COUNTIF($BG$11:BG500,BG500)-1)</f>
        <v/>
      </c>
      <c r="BM500" s="271">
        <f t="shared" si="24"/>
        <v>490</v>
      </c>
      <c r="BO500" s="304" t="str">
        <f>IF($BN500="","",_xll.ciqfunctions.udf.CIQ($BN500,"iq_security_level"))</f>
        <v/>
      </c>
      <c r="BP500" s="271" t="str">
        <f t="shared" si="25"/>
        <v/>
      </c>
      <c r="BR500" s="271" t="str">
        <f t="shared" si="23"/>
        <v/>
      </c>
      <c r="BS500" s="305" t="str">
        <f>IF($BR500="","",_xll.ciqfunctions.udf.CIQ($BR500,"iq_bond_coupon")/100)</f>
        <v/>
      </c>
    </row>
    <row r="501" spans="59:71" x14ac:dyDescent="0.25">
      <c r="BG501" s="301" t="str">
        <f>IF($BF501="","",_xll.ciqfunctions.udf.CIQ($BF501,"iq_offer_date"))</f>
        <v/>
      </c>
      <c r="BH501" s="302" t="str">
        <f>IF($BF501="","",RANK(BG501,$BG$11:$BG$511)+COUNTIF($BG$11:BG501,BG501)-1)</f>
        <v/>
      </c>
      <c r="BM501" s="271">
        <f t="shared" si="24"/>
        <v>491</v>
      </c>
      <c r="BO501" s="304" t="str">
        <f>IF($BN501="","",_xll.ciqfunctions.udf.CIQ($BN501,"iq_security_level"))</f>
        <v/>
      </c>
      <c r="BP501" s="271" t="str">
        <f t="shared" si="25"/>
        <v/>
      </c>
      <c r="BR501" s="271" t="str">
        <f t="shared" si="23"/>
        <v/>
      </c>
      <c r="BS501" s="305" t="str">
        <f>IF($BR501="","",_xll.ciqfunctions.udf.CIQ($BR501,"iq_bond_coupon")/100)</f>
        <v/>
      </c>
    </row>
    <row r="502" spans="59:71" x14ac:dyDescent="0.25">
      <c r="BG502" s="301" t="str">
        <f>IF($BF502="","",_xll.ciqfunctions.udf.CIQ($BF502,"iq_offer_date"))</f>
        <v/>
      </c>
      <c r="BH502" s="302" t="str">
        <f>IF($BF502="","",RANK(BG502,$BG$11:$BG$511)+COUNTIF($BG$11:BG502,BG502)-1)</f>
        <v/>
      </c>
      <c r="BM502" s="271">
        <f t="shared" si="24"/>
        <v>492</v>
      </c>
      <c r="BO502" s="304" t="str">
        <f>IF($BN502="","",_xll.ciqfunctions.udf.CIQ($BN502,"iq_security_level"))</f>
        <v/>
      </c>
      <c r="BP502" s="271" t="str">
        <f t="shared" si="25"/>
        <v/>
      </c>
      <c r="BR502" s="271" t="str">
        <f t="shared" ref="BR502:BR511" si="26">IF($BN501="","",IF(ISERROR(INDEX($BN$11:$BN$510,MATCH(BM501,$BP$11:$BP$510,0))),"",INDEX($BN$11:$BN$510,MATCH(BM501,$BP$11:$BP$510,0))))</f>
        <v/>
      </c>
      <c r="BS502" s="305" t="str">
        <f>IF($BR502="","",_xll.ciqfunctions.udf.CIQ($BR502,"iq_bond_coupon")/100)</f>
        <v/>
      </c>
    </row>
    <row r="503" spans="59:71" x14ac:dyDescent="0.25">
      <c r="BG503" s="301" t="str">
        <f>IF($BF503="","",_xll.ciqfunctions.udf.CIQ($BF503,"iq_offer_date"))</f>
        <v/>
      </c>
      <c r="BH503" s="302" t="str">
        <f>IF($BF503="","",RANK(BG503,$BG$11:$BG$511)+COUNTIF($BG$11:BG503,BG503)-1)</f>
        <v/>
      </c>
      <c r="BM503" s="271">
        <f t="shared" si="24"/>
        <v>493</v>
      </c>
      <c r="BO503" s="304" t="str">
        <f>IF($BN503="","",_xll.ciqfunctions.udf.CIQ($BN503,"iq_security_level"))</f>
        <v/>
      </c>
      <c r="BP503" s="271" t="str">
        <f t="shared" si="25"/>
        <v/>
      </c>
      <c r="BR503" s="271" t="str">
        <f t="shared" si="26"/>
        <v/>
      </c>
      <c r="BS503" s="305" t="str">
        <f>IF($BR503="","",_xll.ciqfunctions.udf.CIQ($BR503,"iq_bond_coupon")/100)</f>
        <v/>
      </c>
    </row>
    <row r="504" spans="59:71" x14ac:dyDescent="0.25">
      <c r="BG504" s="301" t="str">
        <f>IF($BF504="","",_xll.ciqfunctions.udf.CIQ($BF504,"iq_offer_date"))</f>
        <v/>
      </c>
      <c r="BH504" s="302" t="str">
        <f>IF($BF504="","",RANK(BG504,$BG$11:$BG$511)+COUNTIF($BG$11:BG504,BG504)-1)</f>
        <v/>
      </c>
      <c r="BM504" s="271">
        <f t="shared" si="24"/>
        <v>494</v>
      </c>
      <c r="BO504" s="304" t="str">
        <f>IF($BN504="","",_xll.ciqfunctions.udf.CIQ($BN504,"iq_security_level"))</f>
        <v/>
      </c>
      <c r="BP504" s="271" t="str">
        <f t="shared" si="25"/>
        <v/>
      </c>
      <c r="BR504" s="271" t="str">
        <f t="shared" si="26"/>
        <v/>
      </c>
      <c r="BS504" s="305" t="str">
        <f>IF($BR504="","",_xll.ciqfunctions.udf.CIQ($BR504,"iq_bond_coupon")/100)</f>
        <v/>
      </c>
    </row>
    <row r="505" spans="59:71" x14ac:dyDescent="0.25">
      <c r="BG505" s="301" t="str">
        <f>IF($BF505="","",_xll.ciqfunctions.udf.CIQ($BF505,"iq_offer_date"))</f>
        <v/>
      </c>
      <c r="BH505" s="302" t="str">
        <f>IF($BF505="","",RANK(BG505,$BG$11:$BG$511)+COUNTIF($BG$11:BG505,BG505)-1)</f>
        <v/>
      </c>
      <c r="BM505" s="271">
        <f t="shared" si="24"/>
        <v>495</v>
      </c>
      <c r="BO505" s="304" t="str">
        <f>IF($BN505="","",_xll.ciqfunctions.udf.CIQ($BN505,"iq_security_level"))</f>
        <v/>
      </c>
      <c r="BP505" s="271" t="str">
        <f t="shared" si="25"/>
        <v/>
      </c>
      <c r="BR505" s="271" t="str">
        <f t="shared" si="26"/>
        <v/>
      </c>
      <c r="BS505" s="305" t="str">
        <f>IF($BR505="","",_xll.ciqfunctions.udf.CIQ($BR505,"iq_bond_coupon")/100)</f>
        <v/>
      </c>
    </row>
    <row r="506" spans="59:71" x14ac:dyDescent="0.25">
      <c r="BG506" s="301" t="str">
        <f>IF($BF506="","",_xll.ciqfunctions.udf.CIQ($BF506,"iq_offer_date"))</f>
        <v/>
      </c>
      <c r="BH506" s="302" t="str">
        <f>IF($BF506="","",RANK(BG506,$BG$11:$BG$511)+COUNTIF($BG$11:BG506,BG506)-1)</f>
        <v/>
      </c>
      <c r="BM506" s="271">
        <f t="shared" si="24"/>
        <v>496</v>
      </c>
      <c r="BO506" s="304" t="str">
        <f>IF($BN506="","",_xll.ciqfunctions.udf.CIQ($BN506,"iq_security_level"))</f>
        <v/>
      </c>
      <c r="BP506" s="271" t="str">
        <f t="shared" si="25"/>
        <v/>
      </c>
      <c r="BR506" s="271" t="str">
        <f t="shared" si="26"/>
        <v/>
      </c>
      <c r="BS506" s="305" t="str">
        <f>IF($BR506="","",_xll.ciqfunctions.udf.CIQ($BR506,"iq_bond_coupon")/100)</f>
        <v/>
      </c>
    </row>
    <row r="507" spans="59:71" x14ac:dyDescent="0.25">
      <c r="BG507" s="301" t="str">
        <f>IF($BF507="","",_xll.ciqfunctions.udf.CIQ($BF507,"iq_offer_date"))</f>
        <v/>
      </c>
      <c r="BH507" s="302" t="str">
        <f>IF($BF507="","",RANK(BG507,$BG$11:$BG$511)+COUNTIF($BG$11:BG507,BG507)-1)</f>
        <v/>
      </c>
      <c r="BM507" s="271">
        <f t="shared" si="24"/>
        <v>497</v>
      </c>
      <c r="BO507" s="304" t="str">
        <f>IF($BN507="","",_xll.ciqfunctions.udf.CIQ($BN507,"iq_security_level"))</f>
        <v/>
      </c>
      <c r="BP507" s="271" t="str">
        <f t="shared" si="25"/>
        <v/>
      </c>
      <c r="BR507" s="271" t="str">
        <f t="shared" si="26"/>
        <v/>
      </c>
      <c r="BS507" s="305" t="str">
        <f>IF($BR507="","",_xll.ciqfunctions.udf.CIQ($BR507,"iq_bond_coupon")/100)</f>
        <v/>
      </c>
    </row>
    <row r="508" spans="59:71" x14ac:dyDescent="0.25">
      <c r="BG508" s="301" t="str">
        <f>IF($BF508="","",_xll.ciqfunctions.udf.CIQ($BF508,"iq_offer_date"))</f>
        <v/>
      </c>
      <c r="BH508" s="302" t="str">
        <f>IF($BF508="","",RANK(BG508,$BG$11:$BG$511)+COUNTIF($BG$11:BG508,BG508)-1)</f>
        <v/>
      </c>
      <c r="BM508" s="271">
        <f t="shared" si="24"/>
        <v>498</v>
      </c>
      <c r="BO508" s="304" t="str">
        <f>IF($BN508="","",_xll.ciqfunctions.udf.CIQ($BN508,"iq_security_level"))</f>
        <v/>
      </c>
      <c r="BP508" s="271" t="str">
        <f t="shared" si="25"/>
        <v/>
      </c>
      <c r="BR508" s="271" t="str">
        <f t="shared" si="26"/>
        <v/>
      </c>
      <c r="BS508" s="305" t="str">
        <f>IF($BR508="","",_xll.ciqfunctions.udf.CIQ($BR508,"iq_bond_coupon")/100)</f>
        <v/>
      </c>
    </row>
    <row r="509" spans="59:71" x14ac:dyDescent="0.25">
      <c r="BG509" s="301" t="str">
        <f>IF($BF509="","",_xll.ciqfunctions.udf.CIQ($BF509,"iq_offer_date"))</f>
        <v/>
      </c>
      <c r="BH509" s="302" t="str">
        <f>IF($BF509="","",RANK(BG509,$BG$11:$BG$511)+COUNTIF($BG$11:BG509,BG509)-1)</f>
        <v/>
      </c>
      <c r="BM509" s="271">
        <f t="shared" si="24"/>
        <v>499</v>
      </c>
      <c r="BO509" s="304" t="str">
        <f>IF($BN509="","",_xll.ciqfunctions.udf.CIQ($BN509,"iq_security_level"))</f>
        <v/>
      </c>
      <c r="BP509" s="271" t="str">
        <f t="shared" si="25"/>
        <v/>
      </c>
      <c r="BR509" s="271" t="str">
        <f t="shared" si="26"/>
        <v/>
      </c>
      <c r="BS509" s="305" t="str">
        <f>IF($BR509="","",_xll.ciqfunctions.udf.CIQ($BR509,"iq_bond_coupon")/100)</f>
        <v/>
      </c>
    </row>
    <row r="510" spans="59:71" x14ac:dyDescent="0.25">
      <c r="BG510" s="301" t="str">
        <f>IF($BF510="","",_xll.ciqfunctions.udf.CIQ($BF510,"iq_offer_date"))</f>
        <v/>
      </c>
      <c r="BH510" s="302" t="str">
        <f>IF($BF510="","",RANK(BG510,$BG$11:$BG$511)+COUNTIF($BG$11:BG510,BG510)-1)</f>
        <v/>
      </c>
      <c r="BM510" s="271">
        <f t="shared" si="24"/>
        <v>500</v>
      </c>
      <c r="BO510" s="304" t="str">
        <f>IF($BN510="","",_xll.ciqfunctions.udf.CIQ($BN510,"iq_security_level"))</f>
        <v/>
      </c>
      <c r="BP510" s="271" t="str">
        <f t="shared" si="25"/>
        <v/>
      </c>
      <c r="BR510" s="271" t="str">
        <f t="shared" si="26"/>
        <v/>
      </c>
      <c r="BS510" s="305" t="str">
        <f>IF($BR510="","",_xll.ciqfunctions.udf.CIQ($BR510,"iq_bond_coupon")/100)</f>
        <v/>
      </c>
    </row>
    <row r="511" spans="59:71" x14ac:dyDescent="0.25">
      <c r="BG511" s="301" t="str">
        <f>IF($BF511="","",_xll.ciqfunctions.udf.CIQ($BF511,"iq_offer_date"))</f>
        <v/>
      </c>
      <c r="BH511" s="302" t="str">
        <f>IF($BF511="","",RANK(BG511,$BG$11:$BG$511)+COUNTIF($BG$11:BG511,BG511)-1)</f>
        <v/>
      </c>
      <c r="BR511" s="271" t="str">
        <f t="shared" si="26"/>
        <v/>
      </c>
      <c r="BS511" s="305" t="str">
        <f>IF($BR511="","",_xll.ciqfunctions.udf.CIQ($BR511,"iq_bond_coupon")/100)</f>
        <v/>
      </c>
    </row>
    <row r="512" spans="59:71" x14ac:dyDescent="0.25">
      <c r="BR512" s="271" t="str">
        <f>IF($BN512="","",IF(ISERROR(INDEX($BN$11:$BN$510,MATCH(BM512,$BP$11:$BP$510,0))),"",INDEX($BN$11:$BN$510,MATCH(BM512,$BP$11:$BP$510,0))))</f>
        <v/>
      </c>
      <c r="BS512" s="305" t="str">
        <f>IF($BR512="","",_xll.ciqfunctions.udf.CIQ($BR512,"iq_bond_coupon")/100)</f>
        <v/>
      </c>
    </row>
  </sheetData>
  <mergeCells count="4">
    <mergeCell ref="Q1:S1"/>
    <mergeCell ref="G16:H16"/>
    <mergeCell ref="C23:H23"/>
    <mergeCell ref="B27:C27"/>
  </mergeCells>
  <phoneticPr fontId="1" type="noConversion"/>
  <dataValidations count="9">
    <dataValidation type="list" allowBlank="1" showInputMessage="1" showErrorMessage="1" sqref="WVP983067 JD27 SZ27 ACV27 AMR27 AWN27 BGJ27 BQF27 CAB27 CJX27 CTT27 DDP27 DNL27 DXH27 EHD27 EQZ27 FAV27 FKR27 FUN27 GEJ27 GOF27 GYB27 HHX27 HRT27 IBP27 ILL27 IVH27 JFD27 JOZ27 JYV27 KIR27 KSN27 LCJ27 LMF27 LWB27 MFX27 MPT27 MZP27 NJL27 NTH27 ODD27 OMZ27 OWV27 PGR27 PQN27 QAJ27 QKF27 QUB27 RDX27 RNT27 RXP27 SHL27 SRH27 TBD27 TKZ27 TUV27 UER27 UON27 UYJ27 VIF27 VSB27 WBX27 WLT27 WVP27 H65563 JD65563 SZ65563 ACV65563 AMR65563 AWN65563 BGJ65563 BQF65563 CAB65563 CJX65563 CTT65563 DDP65563 DNL65563 DXH65563 EHD65563 EQZ65563 FAV65563 FKR65563 FUN65563 GEJ65563 GOF65563 GYB65563 HHX65563 HRT65563 IBP65563 ILL65563 IVH65563 JFD65563 JOZ65563 JYV65563 KIR65563 KSN65563 LCJ65563 LMF65563 LWB65563 MFX65563 MPT65563 MZP65563 NJL65563 NTH65563 ODD65563 OMZ65563 OWV65563 PGR65563 PQN65563 QAJ65563 QKF65563 QUB65563 RDX65563 RNT65563 RXP65563 SHL65563 SRH65563 TBD65563 TKZ65563 TUV65563 UER65563 UON65563 UYJ65563 VIF65563 VSB65563 WBX65563 WLT65563 WVP65563 H131099 JD131099 SZ131099 ACV131099 AMR131099 AWN131099 BGJ131099 BQF131099 CAB131099 CJX131099 CTT131099 DDP131099 DNL131099 DXH131099 EHD131099 EQZ131099 FAV131099 FKR131099 FUN131099 GEJ131099 GOF131099 GYB131099 HHX131099 HRT131099 IBP131099 ILL131099 IVH131099 JFD131099 JOZ131099 JYV131099 KIR131099 KSN131099 LCJ131099 LMF131099 LWB131099 MFX131099 MPT131099 MZP131099 NJL131099 NTH131099 ODD131099 OMZ131099 OWV131099 PGR131099 PQN131099 QAJ131099 QKF131099 QUB131099 RDX131099 RNT131099 RXP131099 SHL131099 SRH131099 TBD131099 TKZ131099 TUV131099 UER131099 UON131099 UYJ131099 VIF131099 VSB131099 WBX131099 WLT131099 WVP131099 H196635 JD196635 SZ196635 ACV196635 AMR196635 AWN196635 BGJ196635 BQF196635 CAB196635 CJX196635 CTT196635 DDP196635 DNL196635 DXH196635 EHD196635 EQZ196635 FAV196635 FKR196635 FUN196635 GEJ196635 GOF196635 GYB196635 HHX196635 HRT196635 IBP196635 ILL196635 IVH196635 JFD196635 JOZ196635 JYV196635 KIR196635 KSN196635 LCJ196635 LMF196635 LWB196635 MFX196635 MPT196635 MZP196635 NJL196635 NTH196635 ODD196635 OMZ196635 OWV196635 PGR196635 PQN196635 QAJ196635 QKF196635 QUB196635 RDX196635 RNT196635 RXP196635 SHL196635 SRH196635 TBD196635 TKZ196635 TUV196635 UER196635 UON196635 UYJ196635 VIF196635 VSB196635 WBX196635 WLT196635 WVP196635 H262171 JD262171 SZ262171 ACV262171 AMR262171 AWN262171 BGJ262171 BQF262171 CAB262171 CJX262171 CTT262171 DDP262171 DNL262171 DXH262171 EHD262171 EQZ262171 FAV262171 FKR262171 FUN262171 GEJ262171 GOF262171 GYB262171 HHX262171 HRT262171 IBP262171 ILL262171 IVH262171 JFD262171 JOZ262171 JYV262171 KIR262171 KSN262171 LCJ262171 LMF262171 LWB262171 MFX262171 MPT262171 MZP262171 NJL262171 NTH262171 ODD262171 OMZ262171 OWV262171 PGR262171 PQN262171 QAJ262171 QKF262171 QUB262171 RDX262171 RNT262171 RXP262171 SHL262171 SRH262171 TBD262171 TKZ262171 TUV262171 UER262171 UON262171 UYJ262171 VIF262171 VSB262171 WBX262171 WLT262171 WVP262171 H327707 JD327707 SZ327707 ACV327707 AMR327707 AWN327707 BGJ327707 BQF327707 CAB327707 CJX327707 CTT327707 DDP327707 DNL327707 DXH327707 EHD327707 EQZ327707 FAV327707 FKR327707 FUN327707 GEJ327707 GOF327707 GYB327707 HHX327707 HRT327707 IBP327707 ILL327707 IVH327707 JFD327707 JOZ327707 JYV327707 KIR327707 KSN327707 LCJ327707 LMF327707 LWB327707 MFX327707 MPT327707 MZP327707 NJL327707 NTH327707 ODD327707 OMZ327707 OWV327707 PGR327707 PQN327707 QAJ327707 QKF327707 QUB327707 RDX327707 RNT327707 RXP327707 SHL327707 SRH327707 TBD327707 TKZ327707 TUV327707 UER327707 UON327707 UYJ327707 VIF327707 VSB327707 WBX327707 WLT327707 WVP327707 H393243 JD393243 SZ393243 ACV393243 AMR393243 AWN393243 BGJ393243 BQF393243 CAB393243 CJX393243 CTT393243 DDP393243 DNL393243 DXH393243 EHD393243 EQZ393243 FAV393243 FKR393243 FUN393243 GEJ393243 GOF393243 GYB393243 HHX393243 HRT393243 IBP393243 ILL393243 IVH393243 JFD393243 JOZ393243 JYV393243 KIR393243 KSN393243 LCJ393243 LMF393243 LWB393243 MFX393243 MPT393243 MZP393243 NJL393243 NTH393243 ODD393243 OMZ393243 OWV393243 PGR393243 PQN393243 QAJ393243 QKF393243 QUB393243 RDX393243 RNT393243 RXP393243 SHL393243 SRH393243 TBD393243 TKZ393243 TUV393243 UER393243 UON393243 UYJ393243 VIF393243 VSB393243 WBX393243 WLT393243 WVP393243 H458779 JD458779 SZ458779 ACV458779 AMR458779 AWN458779 BGJ458779 BQF458779 CAB458779 CJX458779 CTT458779 DDP458779 DNL458779 DXH458779 EHD458779 EQZ458779 FAV458779 FKR458779 FUN458779 GEJ458779 GOF458779 GYB458779 HHX458779 HRT458779 IBP458779 ILL458779 IVH458779 JFD458779 JOZ458779 JYV458779 KIR458779 KSN458779 LCJ458779 LMF458779 LWB458779 MFX458779 MPT458779 MZP458779 NJL458779 NTH458779 ODD458779 OMZ458779 OWV458779 PGR458779 PQN458779 QAJ458779 QKF458779 QUB458779 RDX458779 RNT458779 RXP458779 SHL458779 SRH458779 TBD458779 TKZ458779 TUV458779 UER458779 UON458779 UYJ458779 VIF458779 VSB458779 WBX458779 WLT458779 WVP458779 H524315 JD524315 SZ524315 ACV524315 AMR524315 AWN524315 BGJ524315 BQF524315 CAB524315 CJX524315 CTT524315 DDP524315 DNL524315 DXH524315 EHD524315 EQZ524315 FAV524315 FKR524315 FUN524315 GEJ524315 GOF524315 GYB524315 HHX524315 HRT524315 IBP524315 ILL524315 IVH524315 JFD524315 JOZ524315 JYV524315 KIR524315 KSN524315 LCJ524315 LMF524315 LWB524315 MFX524315 MPT524315 MZP524315 NJL524315 NTH524315 ODD524315 OMZ524315 OWV524315 PGR524315 PQN524315 QAJ524315 QKF524315 QUB524315 RDX524315 RNT524315 RXP524315 SHL524315 SRH524315 TBD524315 TKZ524315 TUV524315 UER524315 UON524315 UYJ524315 VIF524315 VSB524315 WBX524315 WLT524315 WVP524315 H589851 JD589851 SZ589851 ACV589851 AMR589851 AWN589851 BGJ589851 BQF589851 CAB589851 CJX589851 CTT589851 DDP589851 DNL589851 DXH589851 EHD589851 EQZ589851 FAV589851 FKR589851 FUN589851 GEJ589851 GOF589851 GYB589851 HHX589851 HRT589851 IBP589851 ILL589851 IVH589851 JFD589851 JOZ589851 JYV589851 KIR589851 KSN589851 LCJ589851 LMF589851 LWB589851 MFX589851 MPT589851 MZP589851 NJL589851 NTH589851 ODD589851 OMZ589851 OWV589851 PGR589851 PQN589851 QAJ589851 QKF589851 QUB589851 RDX589851 RNT589851 RXP589851 SHL589851 SRH589851 TBD589851 TKZ589851 TUV589851 UER589851 UON589851 UYJ589851 VIF589851 VSB589851 WBX589851 WLT589851 WVP589851 H655387 JD655387 SZ655387 ACV655387 AMR655387 AWN655387 BGJ655387 BQF655387 CAB655387 CJX655387 CTT655387 DDP655387 DNL655387 DXH655387 EHD655387 EQZ655387 FAV655387 FKR655387 FUN655387 GEJ655387 GOF655387 GYB655387 HHX655387 HRT655387 IBP655387 ILL655387 IVH655387 JFD655387 JOZ655387 JYV655387 KIR655387 KSN655387 LCJ655387 LMF655387 LWB655387 MFX655387 MPT655387 MZP655387 NJL655387 NTH655387 ODD655387 OMZ655387 OWV655387 PGR655387 PQN655387 QAJ655387 QKF655387 QUB655387 RDX655387 RNT655387 RXP655387 SHL655387 SRH655387 TBD655387 TKZ655387 TUV655387 UER655387 UON655387 UYJ655387 VIF655387 VSB655387 WBX655387 WLT655387 WVP655387 H720923 JD720923 SZ720923 ACV720923 AMR720923 AWN720923 BGJ720923 BQF720923 CAB720923 CJX720923 CTT720923 DDP720923 DNL720923 DXH720923 EHD720923 EQZ720923 FAV720923 FKR720923 FUN720923 GEJ720923 GOF720923 GYB720923 HHX720923 HRT720923 IBP720923 ILL720923 IVH720923 JFD720923 JOZ720923 JYV720923 KIR720923 KSN720923 LCJ720923 LMF720923 LWB720923 MFX720923 MPT720923 MZP720923 NJL720923 NTH720923 ODD720923 OMZ720923 OWV720923 PGR720923 PQN720923 QAJ720923 QKF720923 QUB720923 RDX720923 RNT720923 RXP720923 SHL720923 SRH720923 TBD720923 TKZ720923 TUV720923 UER720923 UON720923 UYJ720923 VIF720923 VSB720923 WBX720923 WLT720923 WVP720923 H786459 JD786459 SZ786459 ACV786459 AMR786459 AWN786459 BGJ786459 BQF786459 CAB786459 CJX786459 CTT786459 DDP786459 DNL786459 DXH786459 EHD786459 EQZ786459 FAV786459 FKR786459 FUN786459 GEJ786459 GOF786459 GYB786459 HHX786459 HRT786459 IBP786459 ILL786459 IVH786459 JFD786459 JOZ786459 JYV786459 KIR786459 KSN786459 LCJ786459 LMF786459 LWB786459 MFX786459 MPT786459 MZP786459 NJL786459 NTH786459 ODD786459 OMZ786459 OWV786459 PGR786459 PQN786459 QAJ786459 QKF786459 QUB786459 RDX786459 RNT786459 RXP786459 SHL786459 SRH786459 TBD786459 TKZ786459 TUV786459 UER786459 UON786459 UYJ786459 VIF786459 VSB786459 WBX786459 WLT786459 WVP786459 H851995 JD851995 SZ851995 ACV851995 AMR851995 AWN851995 BGJ851995 BQF851995 CAB851995 CJX851995 CTT851995 DDP851995 DNL851995 DXH851995 EHD851995 EQZ851995 FAV851995 FKR851995 FUN851995 GEJ851995 GOF851995 GYB851995 HHX851995 HRT851995 IBP851995 ILL851995 IVH851995 JFD851995 JOZ851995 JYV851995 KIR851995 KSN851995 LCJ851995 LMF851995 LWB851995 MFX851995 MPT851995 MZP851995 NJL851995 NTH851995 ODD851995 OMZ851995 OWV851995 PGR851995 PQN851995 QAJ851995 QKF851995 QUB851995 RDX851995 RNT851995 RXP851995 SHL851995 SRH851995 TBD851995 TKZ851995 TUV851995 UER851995 UON851995 UYJ851995 VIF851995 VSB851995 WBX851995 WLT851995 WVP851995 H917531 JD917531 SZ917531 ACV917531 AMR917531 AWN917531 BGJ917531 BQF917531 CAB917531 CJX917531 CTT917531 DDP917531 DNL917531 DXH917531 EHD917531 EQZ917531 FAV917531 FKR917531 FUN917531 GEJ917531 GOF917531 GYB917531 HHX917531 HRT917531 IBP917531 ILL917531 IVH917531 JFD917531 JOZ917531 JYV917531 KIR917531 KSN917531 LCJ917531 LMF917531 LWB917531 MFX917531 MPT917531 MZP917531 NJL917531 NTH917531 ODD917531 OMZ917531 OWV917531 PGR917531 PQN917531 QAJ917531 QKF917531 QUB917531 RDX917531 RNT917531 RXP917531 SHL917531 SRH917531 TBD917531 TKZ917531 TUV917531 UER917531 UON917531 UYJ917531 VIF917531 VSB917531 WBX917531 WLT917531 WVP917531 H983067 JD983067 SZ983067 ACV983067 AMR983067 AWN983067 BGJ983067 BQF983067 CAB983067 CJX983067 CTT983067 DDP983067 DNL983067 DXH983067 EHD983067 EQZ983067 FAV983067 FKR983067 FUN983067 GEJ983067 GOF983067 GYB983067 HHX983067 HRT983067 IBP983067 ILL983067 IVH983067 JFD983067 JOZ983067 JYV983067 KIR983067 KSN983067 LCJ983067 LMF983067 LWB983067 MFX983067 MPT983067 MZP983067 NJL983067 NTH983067 ODD983067 OMZ983067 OWV983067 PGR983067 PQN983067 QAJ983067 QKF983067 QUB983067 RDX983067 RNT983067 RXP983067 SHL983067 SRH983067 TBD983067 TKZ983067 TUV983067 UER983067 UON983067 UYJ983067 VIF983067 VSB983067 WBX983067 WLT983067 H27" xr:uid="{00000000-0002-0000-1A00-000000000000}">
      <formula1>$AN$25:$AN$58</formula1>
    </dataValidation>
    <dataValidation type="list" allowBlank="1" showInputMessage="1" showErrorMessage="1" sqref="WVK983063:WVP983063 IY23:JD23 SU23:SZ23 ACQ23:ACV23 AMM23:AMR23 AWI23:AWN23 BGE23:BGJ23 BQA23:BQF23 BZW23:CAB23 CJS23:CJX23 CTO23:CTT23 DDK23:DDP23 DNG23:DNL23 DXC23:DXH23 EGY23:EHD23 EQU23:EQZ23 FAQ23:FAV23 FKM23:FKR23 FUI23:FUN23 GEE23:GEJ23 GOA23:GOF23 GXW23:GYB23 HHS23:HHX23 HRO23:HRT23 IBK23:IBP23 ILG23:ILL23 IVC23:IVH23 JEY23:JFD23 JOU23:JOZ23 JYQ23:JYV23 KIM23:KIR23 KSI23:KSN23 LCE23:LCJ23 LMA23:LMF23 LVW23:LWB23 MFS23:MFX23 MPO23:MPT23 MZK23:MZP23 NJG23:NJL23 NTC23:NTH23 OCY23:ODD23 OMU23:OMZ23 OWQ23:OWV23 PGM23:PGR23 PQI23:PQN23 QAE23:QAJ23 QKA23:QKF23 QTW23:QUB23 RDS23:RDX23 RNO23:RNT23 RXK23:RXP23 SHG23:SHL23 SRC23:SRH23 TAY23:TBD23 TKU23:TKZ23 TUQ23:TUV23 UEM23:UER23 UOI23:UON23 UYE23:UYJ23 VIA23:VIF23 VRW23:VSB23 WBS23:WBX23 WLO23:WLT23 WVK23:WVP23 C65559:H65559 IY65559:JD65559 SU65559:SZ65559 ACQ65559:ACV65559 AMM65559:AMR65559 AWI65559:AWN65559 BGE65559:BGJ65559 BQA65559:BQF65559 BZW65559:CAB65559 CJS65559:CJX65559 CTO65559:CTT65559 DDK65559:DDP65559 DNG65559:DNL65559 DXC65559:DXH65559 EGY65559:EHD65559 EQU65559:EQZ65559 FAQ65559:FAV65559 FKM65559:FKR65559 FUI65559:FUN65559 GEE65559:GEJ65559 GOA65559:GOF65559 GXW65559:GYB65559 HHS65559:HHX65559 HRO65559:HRT65559 IBK65559:IBP65559 ILG65559:ILL65559 IVC65559:IVH65559 JEY65559:JFD65559 JOU65559:JOZ65559 JYQ65559:JYV65559 KIM65559:KIR65559 KSI65559:KSN65559 LCE65559:LCJ65559 LMA65559:LMF65559 LVW65559:LWB65559 MFS65559:MFX65559 MPO65559:MPT65559 MZK65559:MZP65559 NJG65559:NJL65559 NTC65559:NTH65559 OCY65559:ODD65559 OMU65559:OMZ65559 OWQ65559:OWV65559 PGM65559:PGR65559 PQI65559:PQN65559 QAE65559:QAJ65559 QKA65559:QKF65559 QTW65559:QUB65559 RDS65559:RDX65559 RNO65559:RNT65559 RXK65559:RXP65559 SHG65559:SHL65559 SRC65559:SRH65559 TAY65559:TBD65559 TKU65559:TKZ65559 TUQ65559:TUV65559 UEM65559:UER65559 UOI65559:UON65559 UYE65559:UYJ65559 VIA65559:VIF65559 VRW65559:VSB65559 WBS65559:WBX65559 WLO65559:WLT65559 WVK65559:WVP65559 C131095:H131095 IY131095:JD131095 SU131095:SZ131095 ACQ131095:ACV131095 AMM131095:AMR131095 AWI131095:AWN131095 BGE131095:BGJ131095 BQA131095:BQF131095 BZW131095:CAB131095 CJS131095:CJX131095 CTO131095:CTT131095 DDK131095:DDP131095 DNG131095:DNL131095 DXC131095:DXH131095 EGY131095:EHD131095 EQU131095:EQZ131095 FAQ131095:FAV131095 FKM131095:FKR131095 FUI131095:FUN131095 GEE131095:GEJ131095 GOA131095:GOF131095 GXW131095:GYB131095 HHS131095:HHX131095 HRO131095:HRT131095 IBK131095:IBP131095 ILG131095:ILL131095 IVC131095:IVH131095 JEY131095:JFD131095 JOU131095:JOZ131095 JYQ131095:JYV131095 KIM131095:KIR131095 KSI131095:KSN131095 LCE131095:LCJ131095 LMA131095:LMF131095 LVW131095:LWB131095 MFS131095:MFX131095 MPO131095:MPT131095 MZK131095:MZP131095 NJG131095:NJL131095 NTC131095:NTH131095 OCY131095:ODD131095 OMU131095:OMZ131095 OWQ131095:OWV131095 PGM131095:PGR131095 PQI131095:PQN131095 QAE131095:QAJ131095 QKA131095:QKF131095 QTW131095:QUB131095 RDS131095:RDX131095 RNO131095:RNT131095 RXK131095:RXP131095 SHG131095:SHL131095 SRC131095:SRH131095 TAY131095:TBD131095 TKU131095:TKZ131095 TUQ131095:TUV131095 UEM131095:UER131095 UOI131095:UON131095 UYE131095:UYJ131095 VIA131095:VIF131095 VRW131095:VSB131095 WBS131095:WBX131095 WLO131095:WLT131095 WVK131095:WVP131095 C196631:H196631 IY196631:JD196631 SU196631:SZ196631 ACQ196631:ACV196631 AMM196631:AMR196631 AWI196631:AWN196631 BGE196631:BGJ196631 BQA196631:BQF196631 BZW196631:CAB196631 CJS196631:CJX196631 CTO196631:CTT196631 DDK196631:DDP196631 DNG196631:DNL196631 DXC196631:DXH196631 EGY196631:EHD196631 EQU196631:EQZ196631 FAQ196631:FAV196631 FKM196631:FKR196631 FUI196631:FUN196631 GEE196631:GEJ196631 GOA196631:GOF196631 GXW196631:GYB196631 HHS196631:HHX196631 HRO196631:HRT196631 IBK196631:IBP196631 ILG196631:ILL196631 IVC196631:IVH196631 JEY196631:JFD196631 JOU196631:JOZ196631 JYQ196631:JYV196631 KIM196631:KIR196631 KSI196631:KSN196631 LCE196631:LCJ196631 LMA196631:LMF196631 LVW196631:LWB196631 MFS196631:MFX196631 MPO196631:MPT196631 MZK196631:MZP196631 NJG196631:NJL196631 NTC196631:NTH196631 OCY196631:ODD196631 OMU196631:OMZ196631 OWQ196631:OWV196631 PGM196631:PGR196631 PQI196631:PQN196631 QAE196631:QAJ196631 QKA196631:QKF196631 QTW196631:QUB196631 RDS196631:RDX196631 RNO196631:RNT196631 RXK196631:RXP196631 SHG196631:SHL196631 SRC196631:SRH196631 TAY196631:TBD196631 TKU196631:TKZ196631 TUQ196631:TUV196631 UEM196631:UER196631 UOI196631:UON196631 UYE196631:UYJ196631 VIA196631:VIF196631 VRW196631:VSB196631 WBS196631:WBX196631 WLO196631:WLT196631 WVK196631:WVP196631 C262167:H262167 IY262167:JD262167 SU262167:SZ262167 ACQ262167:ACV262167 AMM262167:AMR262167 AWI262167:AWN262167 BGE262167:BGJ262167 BQA262167:BQF262167 BZW262167:CAB262167 CJS262167:CJX262167 CTO262167:CTT262167 DDK262167:DDP262167 DNG262167:DNL262167 DXC262167:DXH262167 EGY262167:EHD262167 EQU262167:EQZ262167 FAQ262167:FAV262167 FKM262167:FKR262167 FUI262167:FUN262167 GEE262167:GEJ262167 GOA262167:GOF262167 GXW262167:GYB262167 HHS262167:HHX262167 HRO262167:HRT262167 IBK262167:IBP262167 ILG262167:ILL262167 IVC262167:IVH262167 JEY262167:JFD262167 JOU262167:JOZ262167 JYQ262167:JYV262167 KIM262167:KIR262167 KSI262167:KSN262167 LCE262167:LCJ262167 LMA262167:LMF262167 LVW262167:LWB262167 MFS262167:MFX262167 MPO262167:MPT262167 MZK262167:MZP262167 NJG262167:NJL262167 NTC262167:NTH262167 OCY262167:ODD262167 OMU262167:OMZ262167 OWQ262167:OWV262167 PGM262167:PGR262167 PQI262167:PQN262167 QAE262167:QAJ262167 QKA262167:QKF262167 QTW262167:QUB262167 RDS262167:RDX262167 RNO262167:RNT262167 RXK262167:RXP262167 SHG262167:SHL262167 SRC262167:SRH262167 TAY262167:TBD262167 TKU262167:TKZ262167 TUQ262167:TUV262167 UEM262167:UER262167 UOI262167:UON262167 UYE262167:UYJ262167 VIA262167:VIF262167 VRW262167:VSB262167 WBS262167:WBX262167 WLO262167:WLT262167 WVK262167:WVP262167 C327703:H327703 IY327703:JD327703 SU327703:SZ327703 ACQ327703:ACV327703 AMM327703:AMR327703 AWI327703:AWN327703 BGE327703:BGJ327703 BQA327703:BQF327703 BZW327703:CAB327703 CJS327703:CJX327703 CTO327703:CTT327703 DDK327703:DDP327703 DNG327703:DNL327703 DXC327703:DXH327703 EGY327703:EHD327703 EQU327703:EQZ327703 FAQ327703:FAV327703 FKM327703:FKR327703 FUI327703:FUN327703 GEE327703:GEJ327703 GOA327703:GOF327703 GXW327703:GYB327703 HHS327703:HHX327703 HRO327703:HRT327703 IBK327703:IBP327703 ILG327703:ILL327703 IVC327703:IVH327703 JEY327703:JFD327703 JOU327703:JOZ327703 JYQ327703:JYV327703 KIM327703:KIR327703 KSI327703:KSN327703 LCE327703:LCJ327703 LMA327703:LMF327703 LVW327703:LWB327703 MFS327703:MFX327703 MPO327703:MPT327703 MZK327703:MZP327703 NJG327703:NJL327703 NTC327703:NTH327703 OCY327703:ODD327703 OMU327703:OMZ327703 OWQ327703:OWV327703 PGM327703:PGR327703 PQI327703:PQN327703 QAE327703:QAJ327703 QKA327703:QKF327703 QTW327703:QUB327703 RDS327703:RDX327703 RNO327703:RNT327703 RXK327703:RXP327703 SHG327703:SHL327703 SRC327703:SRH327703 TAY327703:TBD327703 TKU327703:TKZ327703 TUQ327703:TUV327703 UEM327703:UER327703 UOI327703:UON327703 UYE327703:UYJ327703 VIA327703:VIF327703 VRW327703:VSB327703 WBS327703:WBX327703 WLO327703:WLT327703 WVK327703:WVP327703 C393239:H393239 IY393239:JD393239 SU393239:SZ393239 ACQ393239:ACV393239 AMM393239:AMR393239 AWI393239:AWN393239 BGE393239:BGJ393239 BQA393239:BQF393239 BZW393239:CAB393239 CJS393239:CJX393239 CTO393239:CTT393239 DDK393239:DDP393239 DNG393239:DNL393239 DXC393239:DXH393239 EGY393239:EHD393239 EQU393239:EQZ393239 FAQ393239:FAV393239 FKM393239:FKR393239 FUI393239:FUN393239 GEE393239:GEJ393239 GOA393239:GOF393239 GXW393239:GYB393239 HHS393239:HHX393239 HRO393239:HRT393239 IBK393239:IBP393239 ILG393239:ILL393239 IVC393239:IVH393239 JEY393239:JFD393239 JOU393239:JOZ393239 JYQ393239:JYV393239 KIM393239:KIR393239 KSI393239:KSN393239 LCE393239:LCJ393239 LMA393239:LMF393239 LVW393239:LWB393239 MFS393239:MFX393239 MPO393239:MPT393239 MZK393239:MZP393239 NJG393239:NJL393239 NTC393239:NTH393239 OCY393239:ODD393239 OMU393239:OMZ393239 OWQ393239:OWV393239 PGM393239:PGR393239 PQI393239:PQN393239 QAE393239:QAJ393239 QKA393239:QKF393239 QTW393239:QUB393239 RDS393239:RDX393239 RNO393239:RNT393239 RXK393239:RXP393239 SHG393239:SHL393239 SRC393239:SRH393239 TAY393239:TBD393239 TKU393239:TKZ393239 TUQ393239:TUV393239 UEM393239:UER393239 UOI393239:UON393239 UYE393239:UYJ393239 VIA393239:VIF393239 VRW393239:VSB393239 WBS393239:WBX393239 WLO393239:WLT393239 WVK393239:WVP393239 C458775:H458775 IY458775:JD458775 SU458775:SZ458775 ACQ458775:ACV458775 AMM458775:AMR458775 AWI458775:AWN458775 BGE458775:BGJ458775 BQA458775:BQF458775 BZW458775:CAB458775 CJS458775:CJX458775 CTO458775:CTT458775 DDK458775:DDP458775 DNG458775:DNL458775 DXC458775:DXH458775 EGY458775:EHD458775 EQU458775:EQZ458775 FAQ458775:FAV458775 FKM458775:FKR458775 FUI458775:FUN458775 GEE458775:GEJ458775 GOA458775:GOF458775 GXW458775:GYB458775 HHS458775:HHX458775 HRO458775:HRT458775 IBK458775:IBP458775 ILG458775:ILL458775 IVC458775:IVH458775 JEY458775:JFD458775 JOU458775:JOZ458775 JYQ458775:JYV458775 KIM458775:KIR458775 KSI458775:KSN458775 LCE458775:LCJ458775 LMA458775:LMF458775 LVW458775:LWB458775 MFS458775:MFX458775 MPO458775:MPT458775 MZK458775:MZP458775 NJG458775:NJL458775 NTC458775:NTH458775 OCY458775:ODD458775 OMU458775:OMZ458775 OWQ458775:OWV458775 PGM458775:PGR458775 PQI458775:PQN458775 QAE458775:QAJ458775 QKA458775:QKF458775 QTW458775:QUB458775 RDS458775:RDX458775 RNO458775:RNT458775 RXK458775:RXP458775 SHG458775:SHL458775 SRC458775:SRH458775 TAY458775:TBD458775 TKU458775:TKZ458775 TUQ458775:TUV458775 UEM458775:UER458775 UOI458775:UON458775 UYE458775:UYJ458775 VIA458775:VIF458775 VRW458775:VSB458775 WBS458775:WBX458775 WLO458775:WLT458775 WVK458775:WVP458775 C524311:H524311 IY524311:JD524311 SU524311:SZ524311 ACQ524311:ACV524311 AMM524311:AMR524311 AWI524311:AWN524311 BGE524311:BGJ524311 BQA524311:BQF524311 BZW524311:CAB524311 CJS524311:CJX524311 CTO524311:CTT524311 DDK524311:DDP524311 DNG524311:DNL524311 DXC524311:DXH524311 EGY524311:EHD524311 EQU524311:EQZ524311 FAQ524311:FAV524311 FKM524311:FKR524311 FUI524311:FUN524311 GEE524311:GEJ524311 GOA524311:GOF524311 GXW524311:GYB524311 HHS524311:HHX524311 HRO524311:HRT524311 IBK524311:IBP524311 ILG524311:ILL524311 IVC524311:IVH524311 JEY524311:JFD524311 JOU524311:JOZ524311 JYQ524311:JYV524311 KIM524311:KIR524311 KSI524311:KSN524311 LCE524311:LCJ524311 LMA524311:LMF524311 LVW524311:LWB524311 MFS524311:MFX524311 MPO524311:MPT524311 MZK524311:MZP524311 NJG524311:NJL524311 NTC524311:NTH524311 OCY524311:ODD524311 OMU524311:OMZ524311 OWQ524311:OWV524311 PGM524311:PGR524311 PQI524311:PQN524311 QAE524311:QAJ524311 QKA524311:QKF524311 QTW524311:QUB524311 RDS524311:RDX524311 RNO524311:RNT524311 RXK524311:RXP524311 SHG524311:SHL524311 SRC524311:SRH524311 TAY524311:TBD524311 TKU524311:TKZ524311 TUQ524311:TUV524311 UEM524311:UER524311 UOI524311:UON524311 UYE524311:UYJ524311 VIA524311:VIF524311 VRW524311:VSB524311 WBS524311:WBX524311 WLO524311:WLT524311 WVK524311:WVP524311 C589847:H589847 IY589847:JD589847 SU589847:SZ589847 ACQ589847:ACV589847 AMM589847:AMR589847 AWI589847:AWN589847 BGE589847:BGJ589847 BQA589847:BQF589847 BZW589847:CAB589847 CJS589847:CJX589847 CTO589847:CTT589847 DDK589847:DDP589847 DNG589847:DNL589847 DXC589847:DXH589847 EGY589847:EHD589847 EQU589847:EQZ589847 FAQ589847:FAV589847 FKM589847:FKR589847 FUI589847:FUN589847 GEE589847:GEJ589847 GOA589847:GOF589847 GXW589847:GYB589847 HHS589847:HHX589847 HRO589847:HRT589847 IBK589847:IBP589847 ILG589847:ILL589847 IVC589847:IVH589847 JEY589847:JFD589847 JOU589847:JOZ589847 JYQ589847:JYV589847 KIM589847:KIR589847 KSI589847:KSN589847 LCE589847:LCJ589847 LMA589847:LMF589847 LVW589847:LWB589847 MFS589847:MFX589847 MPO589847:MPT589847 MZK589847:MZP589847 NJG589847:NJL589847 NTC589847:NTH589847 OCY589847:ODD589847 OMU589847:OMZ589847 OWQ589847:OWV589847 PGM589847:PGR589847 PQI589847:PQN589847 QAE589847:QAJ589847 QKA589847:QKF589847 QTW589847:QUB589847 RDS589847:RDX589847 RNO589847:RNT589847 RXK589847:RXP589847 SHG589847:SHL589847 SRC589847:SRH589847 TAY589847:TBD589847 TKU589847:TKZ589847 TUQ589847:TUV589847 UEM589847:UER589847 UOI589847:UON589847 UYE589847:UYJ589847 VIA589847:VIF589847 VRW589847:VSB589847 WBS589847:WBX589847 WLO589847:WLT589847 WVK589847:WVP589847 C655383:H655383 IY655383:JD655383 SU655383:SZ655383 ACQ655383:ACV655383 AMM655383:AMR655383 AWI655383:AWN655383 BGE655383:BGJ655383 BQA655383:BQF655383 BZW655383:CAB655383 CJS655383:CJX655383 CTO655383:CTT655383 DDK655383:DDP655383 DNG655383:DNL655383 DXC655383:DXH655383 EGY655383:EHD655383 EQU655383:EQZ655383 FAQ655383:FAV655383 FKM655383:FKR655383 FUI655383:FUN655383 GEE655383:GEJ655383 GOA655383:GOF655383 GXW655383:GYB655383 HHS655383:HHX655383 HRO655383:HRT655383 IBK655383:IBP655383 ILG655383:ILL655383 IVC655383:IVH655383 JEY655383:JFD655383 JOU655383:JOZ655383 JYQ655383:JYV655383 KIM655383:KIR655383 KSI655383:KSN655383 LCE655383:LCJ655383 LMA655383:LMF655383 LVW655383:LWB655383 MFS655383:MFX655383 MPO655383:MPT655383 MZK655383:MZP655383 NJG655383:NJL655383 NTC655383:NTH655383 OCY655383:ODD655383 OMU655383:OMZ655383 OWQ655383:OWV655383 PGM655383:PGR655383 PQI655383:PQN655383 QAE655383:QAJ655383 QKA655383:QKF655383 QTW655383:QUB655383 RDS655383:RDX655383 RNO655383:RNT655383 RXK655383:RXP655383 SHG655383:SHL655383 SRC655383:SRH655383 TAY655383:TBD655383 TKU655383:TKZ655383 TUQ655383:TUV655383 UEM655383:UER655383 UOI655383:UON655383 UYE655383:UYJ655383 VIA655383:VIF655383 VRW655383:VSB655383 WBS655383:WBX655383 WLO655383:WLT655383 WVK655383:WVP655383 C720919:H720919 IY720919:JD720919 SU720919:SZ720919 ACQ720919:ACV720919 AMM720919:AMR720919 AWI720919:AWN720919 BGE720919:BGJ720919 BQA720919:BQF720919 BZW720919:CAB720919 CJS720919:CJX720919 CTO720919:CTT720919 DDK720919:DDP720919 DNG720919:DNL720919 DXC720919:DXH720919 EGY720919:EHD720919 EQU720919:EQZ720919 FAQ720919:FAV720919 FKM720919:FKR720919 FUI720919:FUN720919 GEE720919:GEJ720919 GOA720919:GOF720919 GXW720919:GYB720919 HHS720919:HHX720919 HRO720919:HRT720919 IBK720919:IBP720919 ILG720919:ILL720919 IVC720919:IVH720919 JEY720919:JFD720919 JOU720919:JOZ720919 JYQ720919:JYV720919 KIM720919:KIR720919 KSI720919:KSN720919 LCE720919:LCJ720919 LMA720919:LMF720919 LVW720919:LWB720919 MFS720919:MFX720919 MPO720919:MPT720919 MZK720919:MZP720919 NJG720919:NJL720919 NTC720919:NTH720919 OCY720919:ODD720919 OMU720919:OMZ720919 OWQ720919:OWV720919 PGM720919:PGR720919 PQI720919:PQN720919 QAE720919:QAJ720919 QKA720919:QKF720919 QTW720919:QUB720919 RDS720919:RDX720919 RNO720919:RNT720919 RXK720919:RXP720919 SHG720919:SHL720919 SRC720919:SRH720919 TAY720919:TBD720919 TKU720919:TKZ720919 TUQ720919:TUV720919 UEM720919:UER720919 UOI720919:UON720919 UYE720919:UYJ720919 VIA720919:VIF720919 VRW720919:VSB720919 WBS720919:WBX720919 WLO720919:WLT720919 WVK720919:WVP720919 C786455:H786455 IY786455:JD786455 SU786455:SZ786455 ACQ786455:ACV786455 AMM786455:AMR786455 AWI786455:AWN786455 BGE786455:BGJ786455 BQA786455:BQF786455 BZW786455:CAB786455 CJS786455:CJX786455 CTO786455:CTT786455 DDK786455:DDP786455 DNG786455:DNL786455 DXC786455:DXH786455 EGY786455:EHD786455 EQU786455:EQZ786455 FAQ786455:FAV786455 FKM786455:FKR786455 FUI786455:FUN786455 GEE786455:GEJ786455 GOA786455:GOF786455 GXW786455:GYB786455 HHS786455:HHX786455 HRO786455:HRT786455 IBK786455:IBP786455 ILG786455:ILL786455 IVC786455:IVH786455 JEY786455:JFD786455 JOU786455:JOZ786455 JYQ786455:JYV786455 KIM786455:KIR786455 KSI786455:KSN786455 LCE786455:LCJ786455 LMA786455:LMF786455 LVW786455:LWB786455 MFS786455:MFX786455 MPO786455:MPT786455 MZK786455:MZP786455 NJG786455:NJL786455 NTC786455:NTH786455 OCY786455:ODD786455 OMU786455:OMZ786455 OWQ786455:OWV786455 PGM786455:PGR786455 PQI786455:PQN786455 QAE786455:QAJ786455 QKA786455:QKF786455 QTW786455:QUB786455 RDS786455:RDX786455 RNO786455:RNT786455 RXK786455:RXP786455 SHG786455:SHL786455 SRC786455:SRH786455 TAY786455:TBD786455 TKU786455:TKZ786455 TUQ786455:TUV786455 UEM786455:UER786455 UOI786455:UON786455 UYE786455:UYJ786455 VIA786455:VIF786455 VRW786455:VSB786455 WBS786455:WBX786455 WLO786455:WLT786455 WVK786455:WVP786455 C851991:H851991 IY851991:JD851991 SU851991:SZ851991 ACQ851991:ACV851991 AMM851991:AMR851991 AWI851991:AWN851991 BGE851991:BGJ851991 BQA851991:BQF851991 BZW851991:CAB851991 CJS851991:CJX851991 CTO851991:CTT851991 DDK851991:DDP851991 DNG851991:DNL851991 DXC851991:DXH851991 EGY851991:EHD851991 EQU851991:EQZ851991 FAQ851991:FAV851991 FKM851991:FKR851991 FUI851991:FUN851991 GEE851991:GEJ851991 GOA851991:GOF851991 GXW851991:GYB851991 HHS851991:HHX851991 HRO851991:HRT851991 IBK851991:IBP851991 ILG851991:ILL851991 IVC851991:IVH851991 JEY851991:JFD851991 JOU851991:JOZ851991 JYQ851991:JYV851991 KIM851991:KIR851991 KSI851991:KSN851991 LCE851991:LCJ851991 LMA851991:LMF851991 LVW851991:LWB851991 MFS851991:MFX851991 MPO851991:MPT851991 MZK851991:MZP851991 NJG851991:NJL851991 NTC851991:NTH851991 OCY851991:ODD851991 OMU851991:OMZ851991 OWQ851991:OWV851991 PGM851991:PGR851991 PQI851991:PQN851991 QAE851991:QAJ851991 QKA851991:QKF851991 QTW851991:QUB851991 RDS851991:RDX851991 RNO851991:RNT851991 RXK851991:RXP851991 SHG851991:SHL851991 SRC851991:SRH851991 TAY851991:TBD851991 TKU851991:TKZ851991 TUQ851991:TUV851991 UEM851991:UER851991 UOI851991:UON851991 UYE851991:UYJ851991 VIA851991:VIF851991 VRW851991:VSB851991 WBS851991:WBX851991 WLO851991:WLT851991 WVK851991:WVP851991 C917527:H917527 IY917527:JD917527 SU917527:SZ917527 ACQ917527:ACV917527 AMM917527:AMR917527 AWI917527:AWN917527 BGE917527:BGJ917527 BQA917527:BQF917527 BZW917527:CAB917527 CJS917527:CJX917527 CTO917527:CTT917527 DDK917527:DDP917527 DNG917527:DNL917527 DXC917527:DXH917527 EGY917527:EHD917527 EQU917527:EQZ917527 FAQ917527:FAV917527 FKM917527:FKR917527 FUI917527:FUN917527 GEE917527:GEJ917527 GOA917527:GOF917527 GXW917527:GYB917527 HHS917527:HHX917527 HRO917527:HRT917527 IBK917527:IBP917527 ILG917527:ILL917527 IVC917527:IVH917527 JEY917527:JFD917527 JOU917527:JOZ917527 JYQ917527:JYV917527 KIM917527:KIR917527 KSI917527:KSN917527 LCE917527:LCJ917527 LMA917527:LMF917527 LVW917527:LWB917527 MFS917527:MFX917527 MPO917527:MPT917527 MZK917527:MZP917527 NJG917527:NJL917527 NTC917527:NTH917527 OCY917527:ODD917527 OMU917527:OMZ917527 OWQ917527:OWV917527 PGM917527:PGR917527 PQI917527:PQN917527 QAE917527:QAJ917527 QKA917527:QKF917527 QTW917527:QUB917527 RDS917527:RDX917527 RNO917527:RNT917527 RXK917527:RXP917527 SHG917527:SHL917527 SRC917527:SRH917527 TAY917527:TBD917527 TKU917527:TKZ917527 TUQ917527:TUV917527 UEM917527:UER917527 UOI917527:UON917527 UYE917527:UYJ917527 VIA917527:VIF917527 VRW917527:VSB917527 WBS917527:WBX917527 WLO917527:WLT917527 WVK917527:WVP917527 C983063:H983063 IY983063:JD983063 SU983063:SZ983063 ACQ983063:ACV983063 AMM983063:AMR983063 AWI983063:AWN983063 BGE983063:BGJ983063 BQA983063:BQF983063 BZW983063:CAB983063 CJS983063:CJX983063 CTO983063:CTT983063 DDK983063:DDP983063 DNG983063:DNL983063 DXC983063:DXH983063 EGY983063:EHD983063 EQU983063:EQZ983063 FAQ983063:FAV983063 FKM983063:FKR983063 FUI983063:FUN983063 GEE983063:GEJ983063 GOA983063:GOF983063 GXW983063:GYB983063 HHS983063:HHX983063 HRO983063:HRT983063 IBK983063:IBP983063 ILG983063:ILL983063 IVC983063:IVH983063 JEY983063:JFD983063 JOU983063:JOZ983063 JYQ983063:JYV983063 KIM983063:KIR983063 KSI983063:KSN983063 LCE983063:LCJ983063 LMA983063:LMF983063 LVW983063:LWB983063 MFS983063:MFX983063 MPO983063:MPT983063 MZK983063:MZP983063 NJG983063:NJL983063 NTC983063:NTH983063 OCY983063:ODD983063 OMU983063:OMZ983063 OWQ983063:OWV983063 PGM983063:PGR983063 PQI983063:PQN983063 QAE983063:QAJ983063 QKA983063:QKF983063 QTW983063:QUB983063 RDS983063:RDX983063 RNO983063:RNT983063 RXK983063:RXP983063 SHG983063:SHL983063 SRC983063:SRH983063 TAY983063:TBD983063 TKU983063:TKZ983063 TUQ983063:TUV983063 UEM983063:UER983063 UOI983063:UON983063 UYE983063:UYJ983063 VIA983063:VIF983063 VRW983063:VSB983063 WBS983063:WBX983063 WLO983063:WLT983063 C23:H23" xr:uid="{00000000-0002-0000-1A00-000001000000}">
      <formula1>OFFSET($AZ$11,$AX$8,,$AY$8)</formula1>
    </dataValidation>
    <dataValidation type="list" allowBlank="1" showInputMessage="1" showErrorMessage="1" sqref="WVS983041 JG1 TC1 ACY1 AMU1 AWQ1 BGM1 BQI1 CAE1 CKA1 CTW1 DDS1 DNO1 DXK1 EHG1 ERC1 FAY1 FKU1 FUQ1 GEM1 GOI1 GYE1 HIA1 HRW1 IBS1 ILO1 IVK1 JFG1 JPC1 JYY1 KIU1 KSQ1 LCM1 LMI1 LWE1 MGA1 MPW1 MZS1 NJO1 NTK1 ODG1 ONC1 OWY1 PGU1 PQQ1 QAM1 QKI1 QUE1 REA1 RNW1 RXS1 SHO1 SRK1 TBG1 TLC1 TUY1 UEU1 UOQ1 UYM1 VII1 VSE1 WCA1 WLW1 WVS1 K65537 JG65537 TC65537 ACY65537 AMU65537 AWQ65537 BGM65537 BQI65537 CAE65537 CKA65537 CTW65537 DDS65537 DNO65537 DXK65537 EHG65537 ERC65537 FAY65537 FKU65537 FUQ65537 GEM65537 GOI65537 GYE65537 HIA65537 HRW65537 IBS65537 ILO65537 IVK65537 JFG65537 JPC65537 JYY65537 KIU65537 KSQ65537 LCM65537 LMI65537 LWE65537 MGA65537 MPW65537 MZS65537 NJO65537 NTK65537 ODG65537 ONC65537 OWY65537 PGU65537 PQQ65537 QAM65537 QKI65537 QUE65537 REA65537 RNW65537 RXS65537 SHO65537 SRK65537 TBG65537 TLC65537 TUY65537 UEU65537 UOQ65537 UYM65537 VII65537 VSE65537 WCA65537 WLW65537 WVS65537 K131073 JG131073 TC131073 ACY131073 AMU131073 AWQ131073 BGM131073 BQI131073 CAE131073 CKA131073 CTW131073 DDS131073 DNO131073 DXK131073 EHG131073 ERC131073 FAY131073 FKU131073 FUQ131073 GEM131073 GOI131073 GYE131073 HIA131073 HRW131073 IBS131073 ILO131073 IVK131073 JFG131073 JPC131073 JYY131073 KIU131073 KSQ131073 LCM131073 LMI131073 LWE131073 MGA131073 MPW131073 MZS131073 NJO131073 NTK131073 ODG131073 ONC131073 OWY131073 PGU131073 PQQ131073 QAM131073 QKI131073 QUE131073 REA131073 RNW131073 RXS131073 SHO131073 SRK131073 TBG131073 TLC131073 TUY131073 UEU131073 UOQ131073 UYM131073 VII131073 VSE131073 WCA131073 WLW131073 WVS131073 K196609 JG196609 TC196609 ACY196609 AMU196609 AWQ196609 BGM196609 BQI196609 CAE196609 CKA196609 CTW196609 DDS196609 DNO196609 DXK196609 EHG196609 ERC196609 FAY196609 FKU196609 FUQ196609 GEM196609 GOI196609 GYE196609 HIA196609 HRW196609 IBS196609 ILO196609 IVK196609 JFG196609 JPC196609 JYY196609 KIU196609 KSQ196609 LCM196609 LMI196609 LWE196609 MGA196609 MPW196609 MZS196609 NJO196609 NTK196609 ODG196609 ONC196609 OWY196609 PGU196609 PQQ196609 QAM196609 QKI196609 QUE196609 REA196609 RNW196609 RXS196609 SHO196609 SRK196609 TBG196609 TLC196609 TUY196609 UEU196609 UOQ196609 UYM196609 VII196609 VSE196609 WCA196609 WLW196609 WVS196609 K262145 JG262145 TC262145 ACY262145 AMU262145 AWQ262145 BGM262145 BQI262145 CAE262145 CKA262145 CTW262145 DDS262145 DNO262145 DXK262145 EHG262145 ERC262145 FAY262145 FKU262145 FUQ262145 GEM262145 GOI262145 GYE262145 HIA262145 HRW262145 IBS262145 ILO262145 IVK262145 JFG262145 JPC262145 JYY262145 KIU262145 KSQ262145 LCM262145 LMI262145 LWE262145 MGA262145 MPW262145 MZS262145 NJO262145 NTK262145 ODG262145 ONC262145 OWY262145 PGU262145 PQQ262145 QAM262145 QKI262145 QUE262145 REA262145 RNW262145 RXS262145 SHO262145 SRK262145 TBG262145 TLC262145 TUY262145 UEU262145 UOQ262145 UYM262145 VII262145 VSE262145 WCA262145 WLW262145 WVS262145 K327681 JG327681 TC327681 ACY327681 AMU327681 AWQ327681 BGM327681 BQI327681 CAE327681 CKA327681 CTW327681 DDS327681 DNO327681 DXK327681 EHG327681 ERC327681 FAY327681 FKU327681 FUQ327681 GEM327681 GOI327681 GYE327681 HIA327681 HRW327681 IBS327681 ILO327681 IVK327681 JFG327681 JPC327681 JYY327681 KIU327681 KSQ327681 LCM327681 LMI327681 LWE327681 MGA327681 MPW327681 MZS327681 NJO327681 NTK327681 ODG327681 ONC327681 OWY327681 PGU327681 PQQ327681 QAM327681 QKI327681 QUE327681 REA327681 RNW327681 RXS327681 SHO327681 SRK327681 TBG327681 TLC327681 TUY327681 UEU327681 UOQ327681 UYM327681 VII327681 VSE327681 WCA327681 WLW327681 WVS327681 K393217 JG393217 TC393217 ACY393217 AMU393217 AWQ393217 BGM393217 BQI393217 CAE393217 CKA393217 CTW393217 DDS393217 DNO393217 DXK393217 EHG393217 ERC393217 FAY393217 FKU393217 FUQ393217 GEM393217 GOI393217 GYE393217 HIA393217 HRW393217 IBS393217 ILO393217 IVK393217 JFG393217 JPC393217 JYY393217 KIU393217 KSQ393217 LCM393217 LMI393217 LWE393217 MGA393217 MPW393217 MZS393217 NJO393217 NTK393217 ODG393217 ONC393217 OWY393217 PGU393217 PQQ393217 QAM393217 QKI393217 QUE393217 REA393217 RNW393217 RXS393217 SHO393217 SRK393217 TBG393217 TLC393217 TUY393217 UEU393217 UOQ393217 UYM393217 VII393217 VSE393217 WCA393217 WLW393217 WVS393217 K458753 JG458753 TC458753 ACY458753 AMU458753 AWQ458753 BGM458753 BQI458753 CAE458753 CKA458753 CTW458753 DDS458753 DNO458753 DXK458753 EHG458753 ERC458753 FAY458753 FKU458753 FUQ458753 GEM458753 GOI458753 GYE458753 HIA458753 HRW458753 IBS458753 ILO458753 IVK458753 JFG458753 JPC458753 JYY458753 KIU458753 KSQ458753 LCM458753 LMI458753 LWE458753 MGA458753 MPW458753 MZS458753 NJO458753 NTK458753 ODG458753 ONC458753 OWY458753 PGU458753 PQQ458753 QAM458753 QKI458753 QUE458753 REA458753 RNW458753 RXS458753 SHO458753 SRK458753 TBG458753 TLC458753 TUY458753 UEU458753 UOQ458753 UYM458753 VII458753 VSE458753 WCA458753 WLW458753 WVS458753 K524289 JG524289 TC524289 ACY524289 AMU524289 AWQ524289 BGM524289 BQI524289 CAE524289 CKA524289 CTW524289 DDS524289 DNO524289 DXK524289 EHG524289 ERC524289 FAY524289 FKU524289 FUQ524289 GEM524289 GOI524289 GYE524289 HIA524289 HRW524289 IBS524289 ILO524289 IVK524289 JFG524289 JPC524289 JYY524289 KIU524289 KSQ524289 LCM524289 LMI524289 LWE524289 MGA524289 MPW524289 MZS524289 NJO524289 NTK524289 ODG524289 ONC524289 OWY524289 PGU524289 PQQ524289 QAM524289 QKI524289 QUE524289 REA524289 RNW524289 RXS524289 SHO524289 SRK524289 TBG524289 TLC524289 TUY524289 UEU524289 UOQ524289 UYM524289 VII524289 VSE524289 WCA524289 WLW524289 WVS524289 K589825 JG589825 TC589825 ACY589825 AMU589825 AWQ589825 BGM589825 BQI589825 CAE589825 CKA589825 CTW589825 DDS589825 DNO589825 DXK589825 EHG589825 ERC589825 FAY589825 FKU589825 FUQ589825 GEM589825 GOI589825 GYE589825 HIA589825 HRW589825 IBS589825 ILO589825 IVK589825 JFG589825 JPC589825 JYY589825 KIU589825 KSQ589825 LCM589825 LMI589825 LWE589825 MGA589825 MPW589825 MZS589825 NJO589825 NTK589825 ODG589825 ONC589825 OWY589825 PGU589825 PQQ589825 QAM589825 QKI589825 QUE589825 REA589825 RNW589825 RXS589825 SHO589825 SRK589825 TBG589825 TLC589825 TUY589825 UEU589825 UOQ589825 UYM589825 VII589825 VSE589825 WCA589825 WLW589825 WVS589825 K655361 JG655361 TC655361 ACY655361 AMU655361 AWQ655361 BGM655361 BQI655361 CAE655361 CKA655361 CTW655361 DDS655361 DNO655361 DXK655361 EHG655361 ERC655361 FAY655361 FKU655361 FUQ655361 GEM655361 GOI655361 GYE655361 HIA655361 HRW655361 IBS655361 ILO655361 IVK655361 JFG655361 JPC655361 JYY655361 KIU655361 KSQ655361 LCM655361 LMI655361 LWE655361 MGA655361 MPW655361 MZS655361 NJO655361 NTK655361 ODG655361 ONC655361 OWY655361 PGU655361 PQQ655361 QAM655361 QKI655361 QUE655361 REA655361 RNW655361 RXS655361 SHO655361 SRK655361 TBG655361 TLC655361 TUY655361 UEU655361 UOQ655361 UYM655361 VII655361 VSE655361 WCA655361 WLW655361 WVS655361 K720897 JG720897 TC720897 ACY720897 AMU720897 AWQ720897 BGM720897 BQI720897 CAE720897 CKA720897 CTW720897 DDS720897 DNO720897 DXK720897 EHG720897 ERC720897 FAY720897 FKU720897 FUQ720897 GEM720897 GOI720897 GYE720897 HIA720897 HRW720897 IBS720897 ILO720897 IVK720897 JFG720897 JPC720897 JYY720897 KIU720897 KSQ720897 LCM720897 LMI720897 LWE720897 MGA720897 MPW720897 MZS720897 NJO720897 NTK720897 ODG720897 ONC720897 OWY720897 PGU720897 PQQ720897 QAM720897 QKI720897 QUE720897 REA720897 RNW720897 RXS720897 SHO720897 SRK720897 TBG720897 TLC720897 TUY720897 UEU720897 UOQ720897 UYM720897 VII720897 VSE720897 WCA720897 WLW720897 WVS720897 K786433 JG786433 TC786433 ACY786433 AMU786433 AWQ786433 BGM786433 BQI786433 CAE786433 CKA786433 CTW786433 DDS786433 DNO786433 DXK786433 EHG786433 ERC786433 FAY786433 FKU786433 FUQ786433 GEM786433 GOI786433 GYE786433 HIA786433 HRW786433 IBS786433 ILO786433 IVK786433 JFG786433 JPC786433 JYY786433 KIU786433 KSQ786433 LCM786433 LMI786433 LWE786433 MGA786433 MPW786433 MZS786433 NJO786433 NTK786433 ODG786433 ONC786433 OWY786433 PGU786433 PQQ786433 QAM786433 QKI786433 QUE786433 REA786433 RNW786433 RXS786433 SHO786433 SRK786433 TBG786433 TLC786433 TUY786433 UEU786433 UOQ786433 UYM786433 VII786433 VSE786433 WCA786433 WLW786433 WVS786433 K851969 JG851969 TC851969 ACY851969 AMU851969 AWQ851969 BGM851969 BQI851969 CAE851969 CKA851969 CTW851969 DDS851969 DNO851969 DXK851969 EHG851969 ERC851969 FAY851969 FKU851969 FUQ851969 GEM851969 GOI851969 GYE851969 HIA851969 HRW851969 IBS851969 ILO851969 IVK851969 JFG851969 JPC851969 JYY851969 KIU851969 KSQ851969 LCM851969 LMI851969 LWE851969 MGA851969 MPW851969 MZS851969 NJO851969 NTK851969 ODG851969 ONC851969 OWY851969 PGU851969 PQQ851969 QAM851969 QKI851969 QUE851969 REA851969 RNW851969 RXS851969 SHO851969 SRK851969 TBG851969 TLC851969 TUY851969 UEU851969 UOQ851969 UYM851969 VII851969 VSE851969 WCA851969 WLW851969 WVS851969 K917505 JG917505 TC917505 ACY917505 AMU917505 AWQ917505 BGM917505 BQI917505 CAE917505 CKA917505 CTW917505 DDS917505 DNO917505 DXK917505 EHG917505 ERC917505 FAY917505 FKU917505 FUQ917505 GEM917505 GOI917505 GYE917505 HIA917505 HRW917505 IBS917505 ILO917505 IVK917505 JFG917505 JPC917505 JYY917505 KIU917505 KSQ917505 LCM917505 LMI917505 LWE917505 MGA917505 MPW917505 MZS917505 NJO917505 NTK917505 ODG917505 ONC917505 OWY917505 PGU917505 PQQ917505 QAM917505 QKI917505 QUE917505 REA917505 RNW917505 RXS917505 SHO917505 SRK917505 TBG917505 TLC917505 TUY917505 UEU917505 UOQ917505 UYM917505 VII917505 VSE917505 WCA917505 WLW917505 WVS917505 K983041 JG983041 TC983041 ACY983041 AMU983041 AWQ983041 BGM983041 BQI983041 CAE983041 CKA983041 CTW983041 DDS983041 DNO983041 DXK983041 EHG983041 ERC983041 FAY983041 FKU983041 FUQ983041 GEM983041 GOI983041 GYE983041 HIA983041 HRW983041 IBS983041 ILO983041 IVK983041 JFG983041 JPC983041 JYY983041 KIU983041 KSQ983041 LCM983041 LMI983041 LWE983041 MGA983041 MPW983041 MZS983041 NJO983041 NTK983041 ODG983041 ONC983041 OWY983041 PGU983041 PQQ983041 QAM983041 QKI983041 QUE983041 REA983041 RNW983041 RXS983041 SHO983041 SRK983041 TBG983041 TLC983041 TUY983041 UEU983041 UOQ983041 UYM983041 VII983041 VSE983041 WCA983041 WLW983041 K1" xr:uid="{00000000-0002-0000-1A00-000002000000}">
      <formula1>$AQ$24:$AQ$25</formula1>
    </dataValidation>
    <dataValidation type="list" allowBlank="1" showInputMessage="1" showErrorMessage="1" sqref="WVY983041 JM1 TI1 ADE1 ANA1 AWW1 BGS1 BQO1 CAK1 CKG1 CUC1 DDY1 DNU1 DXQ1 EHM1 ERI1 FBE1 FLA1 FUW1 GES1 GOO1 GYK1 HIG1 HSC1 IBY1 ILU1 IVQ1 JFM1 JPI1 JZE1 KJA1 KSW1 LCS1 LMO1 LWK1 MGG1 MQC1 MZY1 NJU1 NTQ1 ODM1 ONI1 OXE1 PHA1 PQW1 QAS1 QKO1 QUK1 REG1 ROC1 RXY1 SHU1 SRQ1 TBM1 TLI1 TVE1 UFA1 UOW1 UYS1 VIO1 VSK1 WCG1 WMC1 WVY1 Q65537 JM65537 TI65537 ADE65537 ANA65537 AWW65537 BGS65537 BQO65537 CAK65537 CKG65537 CUC65537 DDY65537 DNU65537 DXQ65537 EHM65537 ERI65537 FBE65537 FLA65537 FUW65537 GES65537 GOO65537 GYK65537 HIG65537 HSC65537 IBY65537 ILU65537 IVQ65537 JFM65537 JPI65537 JZE65537 KJA65537 KSW65537 LCS65537 LMO65537 LWK65537 MGG65537 MQC65537 MZY65537 NJU65537 NTQ65537 ODM65537 ONI65537 OXE65537 PHA65537 PQW65537 QAS65537 QKO65537 QUK65537 REG65537 ROC65537 RXY65537 SHU65537 SRQ65537 TBM65537 TLI65537 TVE65537 UFA65537 UOW65537 UYS65537 VIO65537 VSK65537 WCG65537 WMC65537 WVY65537 Q131073 JM131073 TI131073 ADE131073 ANA131073 AWW131073 BGS131073 BQO131073 CAK131073 CKG131073 CUC131073 DDY131073 DNU131073 DXQ131073 EHM131073 ERI131073 FBE131073 FLA131073 FUW131073 GES131073 GOO131073 GYK131073 HIG131073 HSC131073 IBY131073 ILU131073 IVQ131073 JFM131073 JPI131073 JZE131073 KJA131073 KSW131073 LCS131073 LMO131073 LWK131073 MGG131073 MQC131073 MZY131073 NJU131073 NTQ131073 ODM131073 ONI131073 OXE131073 PHA131073 PQW131073 QAS131073 QKO131073 QUK131073 REG131073 ROC131073 RXY131073 SHU131073 SRQ131073 TBM131073 TLI131073 TVE131073 UFA131073 UOW131073 UYS131073 VIO131073 VSK131073 WCG131073 WMC131073 WVY131073 Q196609 JM196609 TI196609 ADE196609 ANA196609 AWW196609 BGS196609 BQO196609 CAK196609 CKG196609 CUC196609 DDY196609 DNU196609 DXQ196609 EHM196609 ERI196609 FBE196609 FLA196609 FUW196609 GES196609 GOO196609 GYK196609 HIG196609 HSC196609 IBY196609 ILU196609 IVQ196609 JFM196609 JPI196609 JZE196609 KJA196609 KSW196609 LCS196609 LMO196609 LWK196609 MGG196609 MQC196609 MZY196609 NJU196609 NTQ196609 ODM196609 ONI196609 OXE196609 PHA196609 PQW196609 QAS196609 QKO196609 QUK196609 REG196609 ROC196609 RXY196609 SHU196609 SRQ196609 TBM196609 TLI196609 TVE196609 UFA196609 UOW196609 UYS196609 VIO196609 VSK196609 WCG196609 WMC196609 WVY196609 Q262145 JM262145 TI262145 ADE262145 ANA262145 AWW262145 BGS262145 BQO262145 CAK262145 CKG262145 CUC262145 DDY262145 DNU262145 DXQ262145 EHM262145 ERI262145 FBE262145 FLA262145 FUW262145 GES262145 GOO262145 GYK262145 HIG262145 HSC262145 IBY262145 ILU262145 IVQ262145 JFM262145 JPI262145 JZE262145 KJA262145 KSW262145 LCS262145 LMO262145 LWK262145 MGG262145 MQC262145 MZY262145 NJU262145 NTQ262145 ODM262145 ONI262145 OXE262145 PHA262145 PQW262145 QAS262145 QKO262145 QUK262145 REG262145 ROC262145 RXY262145 SHU262145 SRQ262145 TBM262145 TLI262145 TVE262145 UFA262145 UOW262145 UYS262145 VIO262145 VSK262145 WCG262145 WMC262145 WVY262145 Q327681 JM327681 TI327681 ADE327681 ANA327681 AWW327681 BGS327681 BQO327681 CAK327681 CKG327681 CUC327681 DDY327681 DNU327681 DXQ327681 EHM327681 ERI327681 FBE327681 FLA327681 FUW327681 GES327681 GOO327681 GYK327681 HIG327681 HSC327681 IBY327681 ILU327681 IVQ327681 JFM327681 JPI327681 JZE327681 KJA327681 KSW327681 LCS327681 LMO327681 LWK327681 MGG327681 MQC327681 MZY327681 NJU327681 NTQ327681 ODM327681 ONI327681 OXE327681 PHA327681 PQW327681 QAS327681 QKO327681 QUK327681 REG327681 ROC327681 RXY327681 SHU327681 SRQ327681 TBM327681 TLI327681 TVE327681 UFA327681 UOW327681 UYS327681 VIO327681 VSK327681 WCG327681 WMC327681 WVY327681 Q393217 JM393217 TI393217 ADE393217 ANA393217 AWW393217 BGS393217 BQO393217 CAK393217 CKG393217 CUC393217 DDY393217 DNU393217 DXQ393217 EHM393217 ERI393217 FBE393217 FLA393217 FUW393217 GES393217 GOO393217 GYK393217 HIG393217 HSC393217 IBY393217 ILU393217 IVQ393217 JFM393217 JPI393217 JZE393217 KJA393217 KSW393217 LCS393217 LMO393217 LWK393217 MGG393217 MQC393217 MZY393217 NJU393217 NTQ393217 ODM393217 ONI393217 OXE393217 PHA393217 PQW393217 QAS393217 QKO393217 QUK393217 REG393217 ROC393217 RXY393217 SHU393217 SRQ393217 TBM393217 TLI393217 TVE393217 UFA393217 UOW393217 UYS393217 VIO393217 VSK393217 WCG393217 WMC393217 WVY393217 Q458753 JM458753 TI458753 ADE458753 ANA458753 AWW458753 BGS458753 BQO458753 CAK458753 CKG458753 CUC458753 DDY458753 DNU458753 DXQ458753 EHM458753 ERI458753 FBE458753 FLA458753 FUW458753 GES458753 GOO458753 GYK458753 HIG458753 HSC458753 IBY458753 ILU458753 IVQ458753 JFM458753 JPI458753 JZE458753 KJA458753 KSW458753 LCS458753 LMO458753 LWK458753 MGG458753 MQC458753 MZY458753 NJU458753 NTQ458753 ODM458753 ONI458753 OXE458753 PHA458753 PQW458753 QAS458753 QKO458753 QUK458753 REG458753 ROC458753 RXY458753 SHU458753 SRQ458753 TBM458753 TLI458753 TVE458753 UFA458753 UOW458753 UYS458753 VIO458753 VSK458753 WCG458753 WMC458753 WVY458753 Q524289 JM524289 TI524289 ADE524289 ANA524289 AWW524289 BGS524289 BQO524289 CAK524289 CKG524289 CUC524289 DDY524289 DNU524289 DXQ524289 EHM524289 ERI524289 FBE524289 FLA524289 FUW524289 GES524289 GOO524289 GYK524289 HIG524289 HSC524289 IBY524289 ILU524289 IVQ524289 JFM524289 JPI524289 JZE524289 KJA524289 KSW524289 LCS524289 LMO524289 LWK524289 MGG524289 MQC524289 MZY524289 NJU524289 NTQ524289 ODM524289 ONI524289 OXE524289 PHA524289 PQW524289 QAS524289 QKO524289 QUK524289 REG524289 ROC524289 RXY524289 SHU524289 SRQ524289 TBM524289 TLI524289 TVE524289 UFA524289 UOW524289 UYS524289 VIO524289 VSK524289 WCG524289 WMC524289 WVY524289 Q589825 JM589825 TI589825 ADE589825 ANA589825 AWW589825 BGS589825 BQO589825 CAK589825 CKG589825 CUC589825 DDY589825 DNU589825 DXQ589825 EHM589825 ERI589825 FBE589825 FLA589825 FUW589825 GES589825 GOO589825 GYK589825 HIG589825 HSC589825 IBY589825 ILU589825 IVQ589825 JFM589825 JPI589825 JZE589825 KJA589825 KSW589825 LCS589825 LMO589825 LWK589825 MGG589825 MQC589825 MZY589825 NJU589825 NTQ589825 ODM589825 ONI589825 OXE589825 PHA589825 PQW589825 QAS589825 QKO589825 QUK589825 REG589825 ROC589825 RXY589825 SHU589825 SRQ589825 TBM589825 TLI589825 TVE589825 UFA589825 UOW589825 UYS589825 VIO589825 VSK589825 WCG589825 WMC589825 WVY589825 Q655361 JM655361 TI655361 ADE655361 ANA655361 AWW655361 BGS655361 BQO655361 CAK655361 CKG655361 CUC655361 DDY655361 DNU655361 DXQ655361 EHM655361 ERI655361 FBE655361 FLA655361 FUW655361 GES655361 GOO655361 GYK655361 HIG655361 HSC655361 IBY655361 ILU655361 IVQ655361 JFM655361 JPI655361 JZE655361 KJA655361 KSW655361 LCS655361 LMO655361 LWK655361 MGG655361 MQC655361 MZY655361 NJU655361 NTQ655361 ODM655361 ONI655361 OXE655361 PHA655361 PQW655361 QAS655361 QKO655361 QUK655361 REG655361 ROC655361 RXY655361 SHU655361 SRQ655361 TBM655361 TLI655361 TVE655361 UFA655361 UOW655361 UYS655361 VIO655361 VSK655361 WCG655361 WMC655361 WVY655361 Q720897 JM720897 TI720897 ADE720897 ANA720897 AWW720897 BGS720897 BQO720897 CAK720897 CKG720897 CUC720897 DDY720897 DNU720897 DXQ720897 EHM720897 ERI720897 FBE720897 FLA720897 FUW720897 GES720897 GOO720897 GYK720897 HIG720897 HSC720897 IBY720897 ILU720897 IVQ720897 JFM720897 JPI720897 JZE720897 KJA720897 KSW720897 LCS720897 LMO720897 LWK720897 MGG720897 MQC720897 MZY720897 NJU720897 NTQ720897 ODM720897 ONI720897 OXE720897 PHA720897 PQW720897 QAS720897 QKO720897 QUK720897 REG720897 ROC720897 RXY720897 SHU720897 SRQ720897 TBM720897 TLI720897 TVE720897 UFA720897 UOW720897 UYS720897 VIO720897 VSK720897 WCG720897 WMC720897 WVY720897 Q786433 JM786433 TI786433 ADE786433 ANA786433 AWW786433 BGS786433 BQO786433 CAK786433 CKG786433 CUC786433 DDY786433 DNU786433 DXQ786433 EHM786433 ERI786433 FBE786433 FLA786433 FUW786433 GES786433 GOO786433 GYK786433 HIG786433 HSC786433 IBY786433 ILU786433 IVQ786433 JFM786433 JPI786433 JZE786433 KJA786433 KSW786433 LCS786433 LMO786433 LWK786433 MGG786433 MQC786433 MZY786433 NJU786433 NTQ786433 ODM786433 ONI786433 OXE786433 PHA786433 PQW786433 QAS786433 QKO786433 QUK786433 REG786433 ROC786433 RXY786433 SHU786433 SRQ786433 TBM786433 TLI786433 TVE786433 UFA786433 UOW786433 UYS786433 VIO786433 VSK786433 WCG786433 WMC786433 WVY786433 Q851969 JM851969 TI851969 ADE851969 ANA851969 AWW851969 BGS851969 BQO851969 CAK851969 CKG851969 CUC851969 DDY851969 DNU851969 DXQ851969 EHM851969 ERI851969 FBE851969 FLA851969 FUW851969 GES851969 GOO851969 GYK851969 HIG851969 HSC851969 IBY851969 ILU851969 IVQ851969 JFM851969 JPI851969 JZE851969 KJA851969 KSW851969 LCS851969 LMO851969 LWK851969 MGG851969 MQC851969 MZY851969 NJU851969 NTQ851969 ODM851969 ONI851969 OXE851969 PHA851969 PQW851969 QAS851969 QKO851969 QUK851969 REG851969 ROC851969 RXY851969 SHU851969 SRQ851969 TBM851969 TLI851969 TVE851969 UFA851969 UOW851969 UYS851969 VIO851969 VSK851969 WCG851969 WMC851969 WVY851969 Q917505 JM917505 TI917505 ADE917505 ANA917505 AWW917505 BGS917505 BQO917505 CAK917505 CKG917505 CUC917505 DDY917505 DNU917505 DXQ917505 EHM917505 ERI917505 FBE917505 FLA917505 FUW917505 GES917505 GOO917505 GYK917505 HIG917505 HSC917505 IBY917505 ILU917505 IVQ917505 JFM917505 JPI917505 JZE917505 KJA917505 KSW917505 LCS917505 LMO917505 LWK917505 MGG917505 MQC917505 MZY917505 NJU917505 NTQ917505 ODM917505 ONI917505 OXE917505 PHA917505 PQW917505 QAS917505 QKO917505 QUK917505 REG917505 ROC917505 RXY917505 SHU917505 SRQ917505 TBM917505 TLI917505 TVE917505 UFA917505 UOW917505 UYS917505 VIO917505 VSK917505 WCG917505 WMC917505 WVY917505 Q983041 JM983041 TI983041 ADE983041 ANA983041 AWW983041 BGS983041 BQO983041 CAK983041 CKG983041 CUC983041 DDY983041 DNU983041 DXQ983041 EHM983041 ERI983041 FBE983041 FLA983041 FUW983041 GES983041 GOO983041 GYK983041 HIG983041 HSC983041 IBY983041 ILU983041 IVQ983041 JFM983041 JPI983041 JZE983041 KJA983041 KSW983041 LCS983041 LMO983041 LWK983041 MGG983041 MQC983041 MZY983041 NJU983041 NTQ983041 ODM983041 ONI983041 OXE983041 PHA983041 PQW983041 QAS983041 QKO983041 QUK983041 REG983041 ROC983041 RXY983041 SHU983041 SRQ983041 TBM983041 TLI983041 TVE983041 UFA983041 UOW983041 UYS983041 VIO983041 VSK983041 WCG983041 WMC983041 Q1" xr:uid="{00000000-0002-0000-1A00-000003000000}">
      <formula1>$AP$28:$AP$31</formula1>
    </dataValidation>
    <dataValidation type="list" allowBlank="1" showInputMessage="1" showErrorMessage="1" sqref="WVO983056 JC16 SY16 ACU16 AMQ16 AWM16 BGI16 BQE16 CAA16 CJW16 CTS16 DDO16 DNK16 DXG16 EHC16 EQY16 FAU16 FKQ16 FUM16 GEI16 GOE16 GYA16 HHW16 HRS16 IBO16 ILK16 IVG16 JFC16 JOY16 JYU16 KIQ16 KSM16 LCI16 LME16 LWA16 MFW16 MPS16 MZO16 NJK16 NTG16 ODC16 OMY16 OWU16 PGQ16 PQM16 QAI16 QKE16 QUA16 RDW16 RNS16 RXO16 SHK16 SRG16 TBC16 TKY16 TUU16 UEQ16 UOM16 UYI16 VIE16 VSA16 WBW16 WLS16 WVO16 G65552 JC65552 SY65552 ACU65552 AMQ65552 AWM65552 BGI65552 BQE65552 CAA65552 CJW65552 CTS65552 DDO65552 DNK65552 DXG65552 EHC65552 EQY65552 FAU65552 FKQ65552 FUM65552 GEI65552 GOE65552 GYA65552 HHW65552 HRS65552 IBO65552 ILK65552 IVG65552 JFC65552 JOY65552 JYU65552 KIQ65552 KSM65552 LCI65552 LME65552 LWA65552 MFW65552 MPS65552 MZO65552 NJK65552 NTG65552 ODC65552 OMY65552 OWU65552 PGQ65552 PQM65552 QAI65552 QKE65552 QUA65552 RDW65552 RNS65552 RXO65552 SHK65552 SRG65552 TBC65552 TKY65552 TUU65552 UEQ65552 UOM65552 UYI65552 VIE65552 VSA65552 WBW65552 WLS65552 WVO65552 G131088 JC131088 SY131088 ACU131088 AMQ131088 AWM131088 BGI131088 BQE131088 CAA131088 CJW131088 CTS131088 DDO131088 DNK131088 DXG131088 EHC131088 EQY131088 FAU131088 FKQ131088 FUM131088 GEI131088 GOE131088 GYA131088 HHW131088 HRS131088 IBO131088 ILK131088 IVG131088 JFC131088 JOY131088 JYU131088 KIQ131088 KSM131088 LCI131088 LME131088 LWA131088 MFW131088 MPS131088 MZO131088 NJK131088 NTG131088 ODC131088 OMY131088 OWU131088 PGQ131088 PQM131088 QAI131088 QKE131088 QUA131088 RDW131088 RNS131088 RXO131088 SHK131088 SRG131088 TBC131088 TKY131088 TUU131088 UEQ131088 UOM131088 UYI131088 VIE131088 VSA131088 WBW131088 WLS131088 WVO131088 G196624 JC196624 SY196624 ACU196624 AMQ196624 AWM196624 BGI196624 BQE196624 CAA196624 CJW196624 CTS196624 DDO196624 DNK196624 DXG196624 EHC196624 EQY196624 FAU196624 FKQ196624 FUM196624 GEI196624 GOE196624 GYA196624 HHW196624 HRS196624 IBO196624 ILK196624 IVG196624 JFC196624 JOY196624 JYU196624 KIQ196624 KSM196624 LCI196624 LME196624 LWA196624 MFW196624 MPS196624 MZO196624 NJK196624 NTG196624 ODC196624 OMY196624 OWU196624 PGQ196624 PQM196624 QAI196624 QKE196624 QUA196624 RDW196624 RNS196624 RXO196624 SHK196624 SRG196624 TBC196624 TKY196624 TUU196624 UEQ196624 UOM196624 UYI196624 VIE196624 VSA196624 WBW196624 WLS196624 WVO196624 G262160 JC262160 SY262160 ACU262160 AMQ262160 AWM262160 BGI262160 BQE262160 CAA262160 CJW262160 CTS262160 DDO262160 DNK262160 DXG262160 EHC262160 EQY262160 FAU262160 FKQ262160 FUM262160 GEI262160 GOE262160 GYA262160 HHW262160 HRS262160 IBO262160 ILK262160 IVG262160 JFC262160 JOY262160 JYU262160 KIQ262160 KSM262160 LCI262160 LME262160 LWA262160 MFW262160 MPS262160 MZO262160 NJK262160 NTG262160 ODC262160 OMY262160 OWU262160 PGQ262160 PQM262160 QAI262160 QKE262160 QUA262160 RDW262160 RNS262160 RXO262160 SHK262160 SRG262160 TBC262160 TKY262160 TUU262160 UEQ262160 UOM262160 UYI262160 VIE262160 VSA262160 WBW262160 WLS262160 WVO262160 G327696 JC327696 SY327696 ACU327696 AMQ327696 AWM327696 BGI327696 BQE327696 CAA327696 CJW327696 CTS327696 DDO327696 DNK327696 DXG327696 EHC327696 EQY327696 FAU327696 FKQ327696 FUM327696 GEI327696 GOE327696 GYA327696 HHW327696 HRS327696 IBO327696 ILK327696 IVG327696 JFC327696 JOY327696 JYU327696 KIQ327696 KSM327696 LCI327696 LME327696 LWA327696 MFW327696 MPS327696 MZO327696 NJK327696 NTG327696 ODC327696 OMY327696 OWU327696 PGQ327696 PQM327696 QAI327696 QKE327696 QUA327696 RDW327696 RNS327696 RXO327696 SHK327696 SRG327696 TBC327696 TKY327696 TUU327696 UEQ327696 UOM327696 UYI327696 VIE327696 VSA327696 WBW327696 WLS327696 WVO327696 G393232 JC393232 SY393232 ACU393232 AMQ393232 AWM393232 BGI393232 BQE393232 CAA393232 CJW393232 CTS393232 DDO393232 DNK393232 DXG393232 EHC393232 EQY393232 FAU393232 FKQ393232 FUM393232 GEI393232 GOE393232 GYA393232 HHW393232 HRS393232 IBO393232 ILK393232 IVG393232 JFC393232 JOY393232 JYU393232 KIQ393232 KSM393232 LCI393232 LME393232 LWA393232 MFW393232 MPS393232 MZO393232 NJK393232 NTG393232 ODC393232 OMY393232 OWU393232 PGQ393232 PQM393232 QAI393232 QKE393232 QUA393232 RDW393232 RNS393232 RXO393232 SHK393232 SRG393232 TBC393232 TKY393232 TUU393232 UEQ393232 UOM393232 UYI393232 VIE393232 VSA393232 WBW393232 WLS393232 WVO393232 G458768 JC458768 SY458768 ACU458768 AMQ458768 AWM458768 BGI458768 BQE458768 CAA458768 CJW458768 CTS458768 DDO458768 DNK458768 DXG458768 EHC458768 EQY458768 FAU458768 FKQ458768 FUM458768 GEI458768 GOE458768 GYA458768 HHW458768 HRS458768 IBO458768 ILK458768 IVG458768 JFC458768 JOY458768 JYU458768 KIQ458768 KSM458768 LCI458768 LME458768 LWA458768 MFW458768 MPS458768 MZO458768 NJK458768 NTG458768 ODC458768 OMY458768 OWU458768 PGQ458768 PQM458768 QAI458768 QKE458768 QUA458768 RDW458768 RNS458768 RXO458768 SHK458768 SRG458768 TBC458768 TKY458768 TUU458768 UEQ458768 UOM458768 UYI458768 VIE458768 VSA458768 WBW458768 WLS458768 WVO458768 G524304 JC524304 SY524304 ACU524304 AMQ524304 AWM524304 BGI524304 BQE524304 CAA524304 CJW524304 CTS524304 DDO524304 DNK524304 DXG524304 EHC524304 EQY524304 FAU524304 FKQ524304 FUM524304 GEI524304 GOE524304 GYA524304 HHW524304 HRS524304 IBO524304 ILK524304 IVG524304 JFC524304 JOY524304 JYU524304 KIQ524304 KSM524304 LCI524304 LME524304 LWA524304 MFW524304 MPS524304 MZO524304 NJK524304 NTG524304 ODC524304 OMY524304 OWU524304 PGQ524304 PQM524304 QAI524304 QKE524304 QUA524304 RDW524304 RNS524304 RXO524304 SHK524304 SRG524304 TBC524304 TKY524304 TUU524304 UEQ524304 UOM524304 UYI524304 VIE524304 VSA524304 WBW524304 WLS524304 WVO524304 G589840 JC589840 SY589840 ACU589840 AMQ589840 AWM589840 BGI589840 BQE589840 CAA589840 CJW589840 CTS589840 DDO589840 DNK589840 DXG589840 EHC589840 EQY589840 FAU589840 FKQ589840 FUM589840 GEI589840 GOE589840 GYA589840 HHW589840 HRS589840 IBO589840 ILK589840 IVG589840 JFC589840 JOY589840 JYU589840 KIQ589840 KSM589840 LCI589840 LME589840 LWA589840 MFW589840 MPS589840 MZO589840 NJK589840 NTG589840 ODC589840 OMY589840 OWU589840 PGQ589840 PQM589840 QAI589840 QKE589840 QUA589840 RDW589840 RNS589840 RXO589840 SHK589840 SRG589840 TBC589840 TKY589840 TUU589840 UEQ589840 UOM589840 UYI589840 VIE589840 VSA589840 WBW589840 WLS589840 WVO589840 G655376 JC655376 SY655376 ACU655376 AMQ655376 AWM655376 BGI655376 BQE655376 CAA655376 CJW655376 CTS655376 DDO655376 DNK655376 DXG655376 EHC655376 EQY655376 FAU655376 FKQ655376 FUM655376 GEI655376 GOE655376 GYA655376 HHW655376 HRS655376 IBO655376 ILK655376 IVG655376 JFC655376 JOY655376 JYU655376 KIQ655376 KSM655376 LCI655376 LME655376 LWA655376 MFW655376 MPS655376 MZO655376 NJK655376 NTG655376 ODC655376 OMY655376 OWU655376 PGQ655376 PQM655376 QAI655376 QKE655376 QUA655376 RDW655376 RNS655376 RXO655376 SHK655376 SRG655376 TBC655376 TKY655376 TUU655376 UEQ655376 UOM655376 UYI655376 VIE655376 VSA655376 WBW655376 WLS655376 WVO655376 G720912 JC720912 SY720912 ACU720912 AMQ720912 AWM720912 BGI720912 BQE720912 CAA720912 CJW720912 CTS720912 DDO720912 DNK720912 DXG720912 EHC720912 EQY720912 FAU720912 FKQ720912 FUM720912 GEI720912 GOE720912 GYA720912 HHW720912 HRS720912 IBO720912 ILK720912 IVG720912 JFC720912 JOY720912 JYU720912 KIQ720912 KSM720912 LCI720912 LME720912 LWA720912 MFW720912 MPS720912 MZO720912 NJK720912 NTG720912 ODC720912 OMY720912 OWU720912 PGQ720912 PQM720912 QAI720912 QKE720912 QUA720912 RDW720912 RNS720912 RXO720912 SHK720912 SRG720912 TBC720912 TKY720912 TUU720912 UEQ720912 UOM720912 UYI720912 VIE720912 VSA720912 WBW720912 WLS720912 WVO720912 G786448 JC786448 SY786448 ACU786448 AMQ786448 AWM786448 BGI786448 BQE786448 CAA786448 CJW786448 CTS786448 DDO786448 DNK786448 DXG786448 EHC786448 EQY786448 FAU786448 FKQ786448 FUM786448 GEI786448 GOE786448 GYA786448 HHW786448 HRS786448 IBO786448 ILK786448 IVG786448 JFC786448 JOY786448 JYU786448 KIQ786448 KSM786448 LCI786448 LME786448 LWA786448 MFW786448 MPS786448 MZO786448 NJK786448 NTG786448 ODC786448 OMY786448 OWU786448 PGQ786448 PQM786448 QAI786448 QKE786448 QUA786448 RDW786448 RNS786448 RXO786448 SHK786448 SRG786448 TBC786448 TKY786448 TUU786448 UEQ786448 UOM786448 UYI786448 VIE786448 VSA786448 WBW786448 WLS786448 WVO786448 G851984 JC851984 SY851984 ACU851984 AMQ851984 AWM851984 BGI851984 BQE851984 CAA851984 CJW851984 CTS851984 DDO851984 DNK851984 DXG851984 EHC851984 EQY851984 FAU851984 FKQ851984 FUM851984 GEI851984 GOE851984 GYA851984 HHW851984 HRS851984 IBO851984 ILK851984 IVG851984 JFC851984 JOY851984 JYU851984 KIQ851984 KSM851984 LCI851984 LME851984 LWA851984 MFW851984 MPS851984 MZO851984 NJK851984 NTG851984 ODC851984 OMY851984 OWU851984 PGQ851984 PQM851984 QAI851984 QKE851984 QUA851984 RDW851984 RNS851984 RXO851984 SHK851984 SRG851984 TBC851984 TKY851984 TUU851984 UEQ851984 UOM851984 UYI851984 VIE851984 VSA851984 WBW851984 WLS851984 WVO851984 G917520 JC917520 SY917520 ACU917520 AMQ917520 AWM917520 BGI917520 BQE917520 CAA917520 CJW917520 CTS917520 DDO917520 DNK917520 DXG917520 EHC917520 EQY917520 FAU917520 FKQ917520 FUM917520 GEI917520 GOE917520 GYA917520 HHW917520 HRS917520 IBO917520 ILK917520 IVG917520 JFC917520 JOY917520 JYU917520 KIQ917520 KSM917520 LCI917520 LME917520 LWA917520 MFW917520 MPS917520 MZO917520 NJK917520 NTG917520 ODC917520 OMY917520 OWU917520 PGQ917520 PQM917520 QAI917520 QKE917520 QUA917520 RDW917520 RNS917520 RXO917520 SHK917520 SRG917520 TBC917520 TKY917520 TUU917520 UEQ917520 UOM917520 UYI917520 VIE917520 VSA917520 WBW917520 WLS917520 WVO917520 G983056 JC983056 SY983056 ACU983056 AMQ983056 AWM983056 BGI983056 BQE983056 CAA983056 CJW983056 CTS983056 DDO983056 DNK983056 DXG983056 EHC983056 EQY983056 FAU983056 FKQ983056 FUM983056 GEI983056 GOE983056 GYA983056 HHW983056 HRS983056 IBO983056 ILK983056 IVG983056 JFC983056 JOY983056 JYU983056 KIQ983056 KSM983056 LCI983056 LME983056 LWA983056 MFW983056 MPS983056 MZO983056 NJK983056 NTG983056 ODC983056 OMY983056 OWU983056 PGQ983056 PQM983056 QAI983056 QKE983056 QUA983056 RDW983056 RNS983056 RXO983056 SHK983056 SRG983056 TBC983056 TKY983056 TUU983056 UEQ983056 UOM983056 UYI983056 VIE983056 VSA983056 WBW983056 WLS983056 G16" xr:uid="{00000000-0002-0000-1A00-000004000000}">
      <formula1>"Company,Corp Yield Curve"</formula1>
    </dataValidation>
    <dataValidation type="list" allowBlank="1" showInputMessage="1" showErrorMessage="1" sqref="WVM983067 JA27 SW27 ACS27 AMO27 AWK27 BGG27 BQC27 BZY27 CJU27 CTQ27 DDM27 DNI27 DXE27 EHA27 EQW27 FAS27 FKO27 FUK27 GEG27 GOC27 GXY27 HHU27 HRQ27 IBM27 ILI27 IVE27 JFA27 JOW27 JYS27 KIO27 KSK27 LCG27 LMC27 LVY27 MFU27 MPQ27 MZM27 NJI27 NTE27 ODA27 OMW27 OWS27 PGO27 PQK27 QAG27 QKC27 QTY27 RDU27 RNQ27 RXM27 SHI27 SRE27 TBA27 TKW27 TUS27 UEO27 UOK27 UYG27 VIC27 VRY27 WBU27 WLQ27 WVM27 E65563 JA65563 SW65563 ACS65563 AMO65563 AWK65563 BGG65563 BQC65563 BZY65563 CJU65563 CTQ65563 DDM65563 DNI65563 DXE65563 EHA65563 EQW65563 FAS65563 FKO65563 FUK65563 GEG65563 GOC65563 GXY65563 HHU65563 HRQ65563 IBM65563 ILI65563 IVE65563 JFA65563 JOW65563 JYS65563 KIO65563 KSK65563 LCG65563 LMC65563 LVY65563 MFU65563 MPQ65563 MZM65563 NJI65563 NTE65563 ODA65563 OMW65563 OWS65563 PGO65563 PQK65563 QAG65563 QKC65563 QTY65563 RDU65563 RNQ65563 RXM65563 SHI65563 SRE65563 TBA65563 TKW65563 TUS65563 UEO65563 UOK65563 UYG65563 VIC65563 VRY65563 WBU65563 WLQ65563 WVM65563 E131099 JA131099 SW131099 ACS131099 AMO131099 AWK131099 BGG131099 BQC131099 BZY131099 CJU131099 CTQ131099 DDM131099 DNI131099 DXE131099 EHA131099 EQW131099 FAS131099 FKO131099 FUK131099 GEG131099 GOC131099 GXY131099 HHU131099 HRQ131099 IBM131099 ILI131099 IVE131099 JFA131099 JOW131099 JYS131099 KIO131099 KSK131099 LCG131099 LMC131099 LVY131099 MFU131099 MPQ131099 MZM131099 NJI131099 NTE131099 ODA131099 OMW131099 OWS131099 PGO131099 PQK131099 QAG131099 QKC131099 QTY131099 RDU131099 RNQ131099 RXM131099 SHI131099 SRE131099 TBA131099 TKW131099 TUS131099 UEO131099 UOK131099 UYG131099 VIC131099 VRY131099 WBU131099 WLQ131099 WVM131099 E196635 JA196635 SW196635 ACS196635 AMO196635 AWK196635 BGG196635 BQC196635 BZY196635 CJU196635 CTQ196635 DDM196635 DNI196635 DXE196635 EHA196635 EQW196635 FAS196635 FKO196635 FUK196635 GEG196635 GOC196635 GXY196635 HHU196635 HRQ196635 IBM196635 ILI196635 IVE196635 JFA196635 JOW196635 JYS196635 KIO196635 KSK196635 LCG196635 LMC196635 LVY196635 MFU196635 MPQ196635 MZM196635 NJI196635 NTE196635 ODA196635 OMW196635 OWS196635 PGO196635 PQK196635 QAG196635 QKC196635 QTY196635 RDU196635 RNQ196635 RXM196635 SHI196635 SRE196635 TBA196635 TKW196635 TUS196635 UEO196635 UOK196635 UYG196635 VIC196635 VRY196635 WBU196635 WLQ196635 WVM196635 E262171 JA262171 SW262171 ACS262171 AMO262171 AWK262171 BGG262171 BQC262171 BZY262171 CJU262171 CTQ262171 DDM262171 DNI262171 DXE262171 EHA262171 EQW262171 FAS262171 FKO262171 FUK262171 GEG262171 GOC262171 GXY262171 HHU262171 HRQ262171 IBM262171 ILI262171 IVE262171 JFA262171 JOW262171 JYS262171 KIO262171 KSK262171 LCG262171 LMC262171 LVY262171 MFU262171 MPQ262171 MZM262171 NJI262171 NTE262171 ODA262171 OMW262171 OWS262171 PGO262171 PQK262171 QAG262171 QKC262171 QTY262171 RDU262171 RNQ262171 RXM262171 SHI262171 SRE262171 TBA262171 TKW262171 TUS262171 UEO262171 UOK262171 UYG262171 VIC262171 VRY262171 WBU262171 WLQ262171 WVM262171 E327707 JA327707 SW327707 ACS327707 AMO327707 AWK327707 BGG327707 BQC327707 BZY327707 CJU327707 CTQ327707 DDM327707 DNI327707 DXE327707 EHA327707 EQW327707 FAS327707 FKO327707 FUK327707 GEG327707 GOC327707 GXY327707 HHU327707 HRQ327707 IBM327707 ILI327707 IVE327707 JFA327707 JOW327707 JYS327707 KIO327707 KSK327707 LCG327707 LMC327707 LVY327707 MFU327707 MPQ327707 MZM327707 NJI327707 NTE327707 ODA327707 OMW327707 OWS327707 PGO327707 PQK327707 QAG327707 QKC327707 QTY327707 RDU327707 RNQ327707 RXM327707 SHI327707 SRE327707 TBA327707 TKW327707 TUS327707 UEO327707 UOK327707 UYG327707 VIC327707 VRY327707 WBU327707 WLQ327707 WVM327707 E393243 JA393243 SW393243 ACS393243 AMO393243 AWK393243 BGG393243 BQC393243 BZY393243 CJU393243 CTQ393243 DDM393243 DNI393243 DXE393243 EHA393243 EQW393243 FAS393243 FKO393243 FUK393243 GEG393243 GOC393243 GXY393243 HHU393243 HRQ393243 IBM393243 ILI393243 IVE393243 JFA393243 JOW393243 JYS393243 KIO393243 KSK393243 LCG393243 LMC393243 LVY393243 MFU393243 MPQ393243 MZM393243 NJI393243 NTE393243 ODA393243 OMW393243 OWS393243 PGO393243 PQK393243 QAG393243 QKC393243 QTY393243 RDU393243 RNQ393243 RXM393243 SHI393243 SRE393243 TBA393243 TKW393243 TUS393243 UEO393243 UOK393243 UYG393243 VIC393243 VRY393243 WBU393243 WLQ393243 WVM393243 E458779 JA458779 SW458779 ACS458779 AMO458779 AWK458779 BGG458779 BQC458779 BZY458779 CJU458779 CTQ458779 DDM458779 DNI458779 DXE458779 EHA458779 EQW458779 FAS458779 FKO458779 FUK458779 GEG458779 GOC458779 GXY458779 HHU458779 HRQ458779 IBM458779 ILI458779 IVE458779 JFA458779 JOW458779 JYS458779 KIO458779 KSK458779 LCG458779 LMC458779 LVY458779 MFU458779 MPQ458779 MZM458779 NJI458779 NTE458779 ODA458779 OMW458779 OWS458779 PGO458779 PQK458779 QAG458779 QKC458779 QTY458779 RDU458779 RNQ458779 RXM458779 SHI458779 SRE458779 TBA458779 TKW458779 TUS458779 UEO458779 UOK458779 UYG458779 VIC458779 VRY458779 WBU458779 WLQ458779 WVM458779 E524315 JA524315 SW524315 ACS524315 AMO524315 AWK524315 BGG524315 BQC524315 BZY524315 CJU524315 CTQ524315 DDM524315 DNI524315 DXE524315 EHA524315 EQW524315 FAS524315 FKO524315 FUK524315 GEG524315 GOC524315 GXY524315 HHU524315 HRQ524315 IBM524315 ILI524315 IVE524315 JFA524315 JOW524315 JYS524315 KIO524315 KSK524315 LCG524315 LMC524315 LVY524315 MFU524315 MPQ524315 MZM524315 NJI524315 NTE524315 ODA524315 OMW524315 OWS524315 PGO524315 PQK524315 QAG524315 QKC524315 QTY524315 RDU524315 RNQ524315 RXM524315 SHI524315 SRE524315 TBA524315 TKW524315 TUS524315 UEO524315 UOK524315 UYG524315 VIC524315 VRY524315 WBU524315 WLQ524315 WVM524315 E589851 JA589851 SW589851 ACS589851 AMO589851 AWK589851 BGG589851 BQC589851 BZY589851 CJU589851 CTQ589851 DDM589851 DNI589851 DXE589851 EHA589851 EQW589851 FAS589851 FKO589851 FUK589851 GEG589851 GOC589851 GXY589851 HHU589851 HRQ589851 IBM589851 ILI589851 IVE589851 JFA589851 JOW589851 JYS589851 KIO589851 KSK589851 LCG589851 LMC589851 LVY589851 MFU589851 MPQ589851 MZM589851 NJI589851 NTE589851 ODA589851 OMW589851 OWS589851 PGO589851 PQK589851 QAG589851 QKC589851 QTY589851 RDU589851 RNQ589851 RXM589851 SHI589851 SRE589851 TBA589851 TKW589851 TUS589851 UEO589851 UOK589851 UYG589851 VIC589851 VRY589851 WBU589851 WLQ589851 WVM589851 E655387 JA655387 SW655387 ACS655387 AMO655387 AWK655387 BGG655387 BQC655387 BZY655387 CJU655387 CTQ655387 DDM655387 DNI655387 DXE655387 EHA655387 EQW655387 FAS655387 FKO655387 FUK655387 GEG655387 GOC655387 GXY655387 HHU655387 HRQ655387 IBM655387 ILI655387 IVE655387 JFA655387 JOW655387 JYS655387 KIO655387 KSK655387 LCG655387 LMC655387 LVY655387 MFU655387 MPQ655387 MZM655387 NJI655387 NTE655387 ODA655387 OMW655387 OWS655387 PGO655387 PQK655387 QAG655387 QKC655387 QTY655387 RDU655387 RNQ655387 RXM655387 SHI655387 SRE655387 TBA655387 TKW655387 TUS655387 UEO655387 UOK655387 UYG655387 VIC655387 VRY655387 WBU655387 WLQ655387 WVM655387 E720923 JA720923 SW720923 ACS720923 AMO720923 AWK720923 BGG720923 BQC720923 BZY720923 CJU720923 CTQ720923 DDM720923 DNI720923 DXE720923 EHA720923 EQW720923 FAS720923 FKO720923 FUK720923 GEG720923 GOC720923 GXY720923 HHU720923 HRQ720923 IBM720923 ILI720923 IVE720923 JFA720923 JOW720923 JYS720923 KIO720923 KSK720923 LCG720923 LMC720923 LVY720923 MFU720923 MPQ720923 MZM720923 NJI720923 NTE720923 ODA720923 OMW720923 OWS720923 PGO720923 PQK720923 QAG720923 QKC720923 QTY720923 RDU720923 RNQ720923 RXM720923 SHI720923 SRE720923 TBA720923 TKW720923 TUS720923 UEO720923 UOK720923 UYG720923 VIC720923 VRY720923 WBU720923 WLQ720923 WVM720923 E786459 JA786459 SW786459 ACS786459 AMO786459 AWK786459 BGG786459 BQC786459 BZY786459 CJU786459 CTQ786459 DDM786459 DNI786459 DXE786459 EHA786459 EQW786459 FAS786459 FKO786459 FUK786459 GEG786459 GOC786459 GXY786459 HHU786459 HRQ786459 IBM786459 ILI786459 IVE786459 JFA786459 JOW786459 JYS786459 KIO786459 KSK786459 LCG786459 LMC786459 LVY786459 MFU786459 MPQ786459 MZM786459 NJI786459 NTE786459 ODA786459 OMW786459 OWS786459 PGO786459 PQK786459 QAG786459 QKC786459 QTY786459 RDU786459 RNQ786459 RXM786459 SHI786459 SRE786459 TBA786459 TKW786459 TUS786459 UEO786459 UOK786459 UYG786459 VIC786459 VRY786459 WBU786459 WLQ786459 WVM786459 E851995 JA851995 SW851995 ACS851995 AMO851995 AWK851995 BGG851995 BQC851995 BZY851995 CJU851995 CTQ851995 DDM851995 DNI851995 DXE851995 EHA851995 EQW851995 FAS851995 FKO851995 FUK851995 GEG851995 GOC851995 GXY851995 HHU851995 HRQ851995 IBM851995 ILI851995 IVE851995 JFA851995 JOW851995 JYS851995 KIO851995 KSK851995 LCG851995 LMC851995 LVY851995 MFU851995 MPQ851995 MZM851995 NJI851995 NTE851995 ODA851995 OMW851995 OWS851995 PGO851995 PQK851995 QAG851995 QKC851995 QTY851995 RDU851995 RNQ851995 RXM851995 SHI851995 SRE851995 TBA851995 TKW851995 TUS851995 UEO851995 UOK851995 UYG851995 VIC851995 VRY851995 WBU851995 WLQ851995 WVM851995 E917531 JA917531 SW917531 ACS917531 AMO917531 AWK917531 BGG917531 BQC917531 BZY917531 CJU917531 CTQ917531 DDM917531 DNI917531 DXE917531 EHA917531 EQW917531 FAS917531 FKO917531 FUK917531 GEG917531 GOC917531 GXY917531 HHU917531 HRQ917531 IBM917531 ILI917531 IVE917531 JFA917531 JOW917531 JYS917531 KIO917531 KSK917531 LCG917531 LMC917531 LVY917531 MFU917531 MPQ917531 MZM917531 NJI917531 NTE917531 ODA917531 OMW917531 OWS917531 PGO917531 PQK917531 QAG917531 QKC917531 QTY917531 RDU917531 RNQ917531 RXM917531 SHI917531 SRE917531 TBA917531 TKW917531 TUS917531 UEO917531 UOK917531 UYG917531 VIC917531 VRY917531 WBU917531 WLQ917531 WVM917531 E983067 JA983067 SW983067 ACS983067 AMO983067 AWK983067 BGG983067 BQC983067 BZY983067 CJU983067 CTQ983067 DDM983067 DNI983067 DXE983067 EHA983067 EQW983067 FAS983067 FKO983067 FUK983067 GEG983067 GOC983067 GXY983067 HHU983067 HRQ983067 IBM983067 ILI983067 IVE983067 JFA983067 JOW983067 JYS983067 KIO983067 KSK983067 LCG983067 LMC983067 LVY983067 MFU983067 MPQ983067 MZM983067 NJI983067 NTE983067 ODA983067 OMW983067 OWS983067 PGO983067 PQK983067 QAG983067 QKC983067 QTY983067 RDU983067 RNQ983067 RXM983067 SHI983067 SRE983067 TBA983067 TKW983067 TUS983067 UEO983067 UOK983067 UYG983067 VIC983067 VRY983067 WBU983067 WLQ983067 E27" xr:uid="{00000000-0002-0000-1A00-000005000000}">
      <formula1>$AM$25:$AM$33</formula1>
    </dataValidation>
    <dataValidation type="list" showInputMessage="1" showErrorMessage="1" sqref="WVJ983067:WVK983067 IX27:IY27 ST27:SU27 ACP27:ACQ27 AML27:AMM27 AWH27:AWI27 BGD27:BGE27 BPZ27:BQA27 BZV27:BZW27 CJR27:CJS27 CTN27:CTO27 DDJ27:DDK27 DNF27:DNG27 DXB27:DXC27 EGX27:EGY27 EQT27:EQU27 FAP27:FAQ27 FKL27:FKM27 FUH27:FUI27 GED27:GEE27 GNZ27:GOA27 GXV27:GXW27 HHR27:HHS27 HRN27:HRO27 IBJ27:IBK27 ILF27:ILG27 IVB27:IVC27 JEX27:JEY27 JOT27:JOU27 JYP27:JYQ27 KIL27:KIM27 KSH27:KSI27 LCD27:LCE27 LLZ27:LMA27 LVV27:LVW27 MFR27:MFS27 MPN27:MPO27 MZJ27:MZK27 NJF27:NJG27 NTB27:NTC27 OCX27:OCY27 OMT27:OMU27 OWP27:OWQ27 PGL27:PGM27 PQH27:PQI27 QAD27:QAE27 QJZ27:QKA27 QTV27:QTW27 RDR27:RDS27 RNN27:RNO27 RXJ27:RXK27 SHF27:SHG27 SRB27:SRC27 TAX27:TAY27 TKT27:TKU27 TUP27:TUQ27 UEL27:UEM27 UOH27:UOI27 UYD27:UYE27 VHZ27:VIA27 VRV27:VRW27 WBR27:WBS27 WLN27:WLO27 WVJ27:WVK27 B65563:C65563 IX65563:IY65563 ST65563:SU65563 ACP65563:ACQ65563 AML65563:AMM65563 AWH65563:AWI65563 BGD65563:BGE65563 BPZ65563:BQA65563 BZV65563:BZW65563 CJR65563:CJS65563 CTN65563:CTO65563 DDJ65563:DDK65563 DNF65563:DNG65563 DXB65563:DXC65563 EGX65563:EGY65563 EQT65563:EQU65563 FAP65563:FAQ65563 FKL65563:FKM65563 FUH65563:FUI65563 GED65563:GEE65563 GNZ65563:GOA65563 GXV65563:GXW65563 HHR65563:HHS65563 HRN65563:HRO65563 IBJ65563:IBK65563 ILF65563:ILG65563 IVB65563:IVC65563 JEX65563:JEY65563 JOT65563:JOU65563 JYP65563:JYQ65563 KIL65563:KIM65563 KSH65563:KSI65563 LCD65563:LCE65563 LLZ65563:LMA65563 LVV65563:LVW65563 MFR65563:MFS65563 MPN65563:MPO65563 MZJ65563:MZK65563 NJF65563:NJG65563 NTB65563:NTC65563 OCX65563:OCY65563 OMT65563:OMU65563 OWP65563:OWQ65563 PGL65563:PGM65563 PQH65563:PQI65563 QAD65563:QAE65563 QJZ65563:QKA65563 QTV65563:QTW65563 RDR65563:RDS65563 RNN65563:RNO65563 RXJ65563:RXK65563 SHF65563:SHG65563 SRB65563:SRC65563 TAX65563:TAY65563 TKT65563:TKU65563 TUP65563:TUQ65563 UEL65563:UEM65563 UOH65563:UOI65563 UYD65563:UYE65563 VHZ65563:VIA65563 VRV65563:VRW65563 WBR65563:WBS65563 WLN65563:WLO65563 WVJ65563:WVK65563 B131099:C131099 IX131099:IY131099 ST131099:SU131099 ACP131099:ACQ131099 AML131099:AMM131099 AWH131099:AWI131099 BGD131099:BGE131099 BPZ131099:BQA131099 BZV131099:BZW131099 CJR131099:CJS131099 CTN131099:CTO131099 DDJ131099:DDK131099 DNF131099:DNG131099 DXB131099:DXC131099 EGX131099:EGY131099 EQT131099:EQU131099 FAP131099:FAQ131099 FKL131099:FKM131099 FUH131099:FUI131099 GED131099:GEE131099 GNZ131099:GOA131099 GXV131099:GXW131099 HHR131099:HHS131099 HRN131099:HRO131099 IBJ131099:IBK131099 ILF131099:ILG131099 IVB131099:IVC131099 JEX131099:JEY131099 JOT131099:JOU131099 JYP131099:JYQ131099 KIL131099:KIM131099 KSH131099:KSI131099 LCD131099:LCE131099 LLZ131099:LMA131099 LVV131099:LVW131099 MFR131099:MFS131099 MPN131099:MPO131099 MZJ131099:MZK131099 NJF131099:NJG131099 NTB131099:NTC131099 OCX131099:OCY131099 OMT131099:OMU131099 OWP131099:OWQ131099 PGL131099:PGM131099 PQH131099:PQI131099 QAD131099:QAE131099 QJZ131099:QKA131099 QTV131099:QTW131099 RDR131099:RDS131099 RNN131099:RNO131099 RXJ131099:RXK131099 SHF131099:SHG131099 SRB131099:SRC131099 TAX131099:TAY131099 TKT131099:TKU131099 TUP131099:TUQ131099 UEL131099:UEM131099 UOH131099:UOI131099 UYD131099:UYE131099 VHZ131099:VIA131099 VRV131099:VRW131099 WBR131099:WBS131099 WLN131099:WLO131099 WVJ131099:WVK131099 B196635:C196635 IX196635:IY196635 ST196635:SU196635 ACP196635:ACQ196635 AML196635:AMM196635 AWH196635:AWI196635 BGD196635:BGE196635 BPZ196635:BQA196635 BZV196635:BZW196635 CJR196635:CJS196635 CTN196635:CTO196635 DDJ196635:DDK196635 DNF196635:DNG196635 DXB196635:DXC196635 EGX196635:EGY196635 EQT196635:EQU196635 FAP196635:FAQ196635 FKL196635:FKM196635 FUH196635:FUI196635 GED196635:GEE196635 GNZ196635:GOA196635 GXV196635:GXW196635 HHR196635:HHS196635 HRN196635:HRO196635 IBJ196635:IBK196635 ILF196635:ILG196635 IVB196635:IVC196635 JEX196635:JEY196635 JOT196635:JOU196635 JYP196635:JYQ196635 KIL196635:KIM196635 KSH196635:KSI196635 LCD196635:LCE196635 LLZ196635:LMA196635 LVV196635:LVW196635 MFR196635:MFS196635 MPN196635:MPO196635 MZJ196635:MZK196635 NJF196635:NJG196635 NTB196635:NTC196635 OCX196635:OCY196635 OMT196635:OMU196635 OWP196635:OWQ196635 PGL196635:PGM196635 PQH196635:PQI196635 QAD196635:QAE196635 QJZ196635:QKA196635 QTV196635:QTW196635 RDR196635:RDS196635 RNN196635:RNO196635 RXJ196635:RXK196635 SHF196635:SHG196635 SRB196635:SRC196635 TAX196635:TAY196635 TKT196635:TKU196635 TUP196635:TUQ196635 UEL196635:UEM196635 UOH196635:UOI196635 UYD196635:UYE196635 VHZ196635:VIA196635 VRV196635:VRW196635 WBR196635:WBS196635 WLN196635:WLO196635 WVJ196635:WVK196635 B262171:C262171 IX262171:IY262171 ST262171:SU262171 ACP262171:ACQ262171 AML262171:AMM262171 AWH262171:AWI262171 BGD262171:BGE262171 BPZ262171:BQA262171 BZV262171:BZW262171 CJR262171:CJS262171 CTN262171:CTO262171 DDJ262171:DDK262171 DNF262171:DNG262171 DXB262171:DXC262171 EGX262171:EGY262171 EQT262171:EQU262171 FAP262171:FAQ262171 FKL262171:FKM262171 FUH262171:FUI262171 GED262171:GEE262171 GNZ262171:GOA262171 GXV262171:GXW262171 HHR262171:HHS262171 HRN262171:HRO262171 IBJ262171:IBK262171 ILF262171:ILG262171 IVB262171:IVC262171 JEX262171:JEY262171 JOT262171:JOU262171 JYP262171:JYQ262171 KIL262171:KIM262171 KSH262171:KSI262171 LCD262171:LCE262171 LLZ262171:LMA262171 LVV262171:LVW262171 MFR262171:MFS262171 MPN262171:MPO262171 MZJ262171:MZK262171 NJF262171:NJG262171 NTB262171:NTC262171 OCX262171:OCY262171 OMT262171:OMU262171 OWP262171:OWQ262171 PGL262171:PGM262171 PQH262171:PQI262171 QAD262171:QAE262171 QJZ262171:QKA262171 QTV262171:QTW262171 RDR262171:RDS262171 RNN262171:RNO262171 RXJ262171:RXK262171 SHF262171:SHG262171 SRB262171:SRC262171 TAX262171:TAY262171 TKT262171:TKU262171 TUP262171:TUQ262171 UEL262171:UEM262171 UOH262171:UOI262171 UYD262171:UYE262171 VHZ262171:VIA262171 VRV262171:VRW262171 WBR262171:WBS262171 WLN262171:WLO262171 WVJ262171:WVK262171 B327707:C327707 IX327707:IY327707 ST327707:SU327707 ACP327707:ACQ327707 AML327707:AMM327707 AWH327707:AWI327707 BGD327707:BGE327707 BPZ327707:BQA327707 BZV327707:BZW327707 CJR327707:CJS327707 CTN327707:CTO327707 DDJ327707:DDK327707 DNF327707:DNG327707 DXB327707:DXC327707 EGX327707:EGY327707 EQT327707:EQU327707 FAP327707:FAQ327707 FKL327707:FKM327707 FUH327707:FUI327707 GED327707:GEE327707 GNZ327707:GOA327707 GXV327707:GXW327707 HHR327707:HHS327707 HRN327707:HRO327707 IBJ327707:IBK327707 ILF327707:ILG327707 IVB327707:IVC327707 JEX327707:JEY327707 JOT327707:JOU327707 JYP327707:JYQ327707 KIL327707:KIM327707 KSH327707:KSI327707 LCD327707:LCE327707 LLZ327707:LMA327707 LVV327707:LVW327707 MFR327707:MFS327707 MPN327707:MPO327707 MZJ327707:MZK327707 NJF327707:NJG327707 NTB327707:NTC327707 OCX327707:OCY327707 OMT327707:OMU327707 OWP327707:OWQ327707 PGL327707:PGM327707 PQH327707:PQI327707 QAD327707:QAE327707 QJZ327707:QKA327707 QTV327707:QTW327707 RDR327707:RDS327707 RNN327707:RNO327707 RXJ327707:RXK327707 SHF327707:SHG327707 SRB327707:SRC327707 TAX327707:TAY327707 TKT327707:TKU327707 TUP327707:TUQ327707 UEL327707:UEM327707 UOH327707:UOI327707 UYD327707:UYE327707 VHZ327707:VIA327707 VRV327707:VRW327707 WBR327707:WBS327707 WLN327707:WLO327707 WVJ327707:WVK327707 B393243:C393243 IX393243:IY393243 ST393243:SU393243 ACP393243:ACQ393243 AML393243:AMM393243 AWH393243:AWI393243 BGD393243:BGE393243 BPZ393243:BQA393243 BZV393243:BZW393243 CJR393243:CJS393243 CTN393243:CTO393243 DDJ393243:DDK393243 DNF393243:DNG393243 DXB393243:DXC393243 EGX393243:EGY393243 EQT393243:EQU393243 FAP393243:FAQ393243 FKL393243:FKM393243 FUH393243:FUI393243 GED393243:GEE393243 GNZ393243:GOA393243 GXV393243:GXW393243 HHR393243:HHS393243 HRN393243:HRO393243 IBJ393243:IBK393243 ILF393243:ILG393243 IVB393243:IVC393243 JEX393243:JEY393243 JOT393243:JOU393243 JYP393243:JYQ393243 KIL393243:KIM393243 KSH393243:KSI393243 LCD393243:LCE393243 LLZ393243:LMA393243 LVV393243:LVW393243 MFR393243:MFS393243 MPN393243:MPO393243 MZJ393243:MZK393243 NJF393243:NJG393243 NTB393243:NTC393243 OCX393243:OCY393243 OMT393243:OMU393243 OWP393243:OWQ393243 PGL393243:PGM393243 PQH393243:PQI393243 QAD393243:QAE393243 QJZ393243:QKA393243 QTV393243:QTW393243 RDR393243:RDS393243 RNN393243:RNO393243 RXJ393243:RXK393243 SHF393243:SHG393243 SRB393243:SRC393243 TAX393243:TAY393243 TKT393243:TKU393243 TUP393243:TUQ393243 UEL393243:UEM393243 UOH393243:UOI393243 UYD393243:UYE393243 VHZ393243:VIA393243 VRV393243:VRW393243 WBR393243:WBS393243 WLN393243:WLO393243 WVJ393243:WVK393243 B458779:C458779 IX458779:IY458779 ST458779:SU458779 ACP458779:ACQ458779 AML458779:AMM458779 AWH458779:AWI458779 BGD458779:BGE458779 BPZ458779:BQA458779 BZV458779:BZW458779 CJR458779:CJS458779 CTN458779:CTO458779 DDJ458779:DDK458779 DNF458779:DNG458779 DXB458779:DXC458779 EGX458779:EGY458779 EQT458779:EQU458779 FAP458779:FAQ458779 FKL458779:FKM458779 FUH458779:FUI458779 GED458779:GEE458779 GNZ458779:GOA458779 GXV458779:GXW458779 HHR458779:HHS458779 HRN458779:HRO458779 IBJ458779:IBK458779 ILF458779:ILG458779 IVB458779:IVC458779 JEX458779:JEY458779 JOT458779:JOU458779 JYP458779:JYQ458779 KIL458779:KIM458779 KSH458779:KSI458779 LCD458779:LCE458779 LLZ458779:LMA458779 LVV458779:LVW458779 MFR458779:MFS458779 MPN458779:MPO458779 MZJ458779:MZK458779 NJF458779:NJG458779 NTB458779:NTC458779 OCX458779:OCY458779 OMT458779:OMU458779 OWP458779:OWQ458779 PGL458779:PGM458779 PQH458779:PQI458779 QAD458779:QAE458779 QJZ458779:QKA458779 QTV458779:QTW458779 RDR458779:RDS458779 RNN458779:RNO458779 RXJ458779:RXK458779 SHF458779:SHG458779 SRB458779:SRC458779 TAX458779:TAY458779 TKT458779:TKU458779 TUP458779:TUQ458779 UEL458779:UEM458779 UOH458779:UOI458779 UYD458779:UYE458779 VHZ458779:VIA458779 VRV458779:VRW458779 WBR458779:WBS458779 WLN458779:WLO458779 WVJ458779:WVK458779 B524315:C524315 IX524315:IY524315 ST524315:SU524315 ACP524315:ACQ524315 AML524315:AMM524315 AWH524315:AWI524315 BGD524315:BGE524315 BPZ524315:BQA524315 BZV524315:BZW524315 CJR524315:CJS524315 CTN524315:CTO524315 DDJ524315:DDK524315 DNF524315:DNG524315 DXB524315:DXC524315 EGX524315:EGY524315 EQT524315:EQU524315 FAP524315:FAQ524315 FKL524315:FKM524315 FUH524315:FUI524315 GED524315:GEE524315 GNZ524315:GOA524315 GXV524315:GXW524315 HHR524315:HHS524315 HRN524315:HRO524315 IBJ524315:IBK524315 ILF524315:ILG524315 IVB524315:IVC524315 JEX524315:JEY524315 JOT524315:JOU524315 JYP524315:JYQ524315 KIL524315:KIM524315 KSH524315:KSI524315 LCD524315:LCE524315 LLZ524315:LMA524315 LVV524315:LVW524315 MFR524315:MFS524315 MPN524315:MPO524315 MZJ524315:MZK524315 NJF524315:NJG524315 NTB524315:NTC524315 OCX524315:OCY524315 OMT524315:OMU524315 OWP524315:OWQ524315 PGL524315:PGM524315 PQH524315:PQI524315 QAD524315:QAE524315 QJZ524315:QKA524315 QTV524315:QTW524315 RDR524315:RDS524315 RNN524315:RNO524315 RXJ524315:RXK524315 SHF524315:SHG524315 SRB524315:SRC524315 TAX524315:TAY524315 TKT524315:TKU524315 TUP524315:TUQ524315 UEL524315:UEM524315 UOH524315:UOI524315 UYD524315:UYE524315 VHZ524315:VIA524315 VRV524315:VRW524315 WBR524315:WBS524315 WLN524315:WLO524315 WVJ524315:WVK524315 B589851:C589851 IX589851:IY589851 ST589851:SU589851 ACP589851:ACQ589851 AML589851:AMM589851 AWH589851:AWI589851 BGD589851:BGE589851 BPZ589851:BQA589851 BZV589851:BZW589851 CJR589851:CJS589851 CTN589851:CTO589851 DDJ589851:DDK589851 DNF589851:DNG589851 DXB589851:DXC589851 EGX589851:EGY589851 EQT589851:EQU589851 FAP589851:FAQ589851 FKL589851:FKM589851 FUH589851:FUI589851 GED589851:GEE589851 GNZ589851:GOA589851 GXV589851:GXW589851 HHR589851:HHS589851 HRN589851:HRO589851 IBJ589851:IBK589851 ILF589851:ILG589851 IVB589851:IVC589851 JEX589851:JEY589851 JOT589851:JOU589851 JYP589851:JYQ589851 KIL589851:KIM589851 KSH589851:KSI589851 LCD589851:LCE589851 LLZ589851:LMA589851 LVV589851:LVW589851 MFR589851:MFS589851 MPN589851:MPO589851 MZJ589851:MZK589851 NJF589851:NJG589851 NTB589851:NTC589851 OCX589851:OCY589851 OMT589851:OMU589851 OWP589851:OWQ589851 PGL589851:PGM589851 PQH589851:PQI589851 QAD589851:QAE589851 QJZ589851:QKA589851 QTV589851:QTW589851 RDR589851:RDS589851 RNN589851:RNO589851 RXJ589851:RXK589851 SHF589851:SHG589851 SRB589851:SRC589851 TAX589851:TAY589851 TKT589851:TKU589851 TUP589851:TUQ589851 UEL589851:UEM589851 UOH589851:UOI589851 UYD589851:UYE589851 VHZ589851:VIA589851 VRV589851:VRW589851 WBR589851:WBS589851 WLN589851:WLO589851 WVJ589851:WVK589851 B655387:C655387 IX655387:IY655387 ST655387:SU655387 ACP655387:ACQ655387 AML655387:AMM655387 AWH655387:AWI655387 BGD655387:BGE655387 BPZ655387:BQA655387 BZV655387:BZW655387 CJR655387:CJS655387 CTN655387:CTO655387 DDJ655387:DDK655387 DNF655387:DNG655387 DXB655387:DXC655387 EGX655387:EGY655387 EQT655387:EQU655387 FAP655387:FAQ655387 FKL655387:FKM655387 FUH655387:FUI655387 GED655387:GEE655387 GNZ655387:GOA655387 GXV655387:GXW655387 HHR655387:HHS655387 HRN655387:HRO655387 IBJ655387:IBK655387 ILF655387:ILG655387 IVB655387:IVC655387 JEX655387:JEY655387 JOT655387:JOU655387 JYP655387:JYQ655387 KIL655387:KIM655387 KSH655387:KSI655387 LCD655387:LCE655387 LLZ655387:LMA655387 LVV655387:LVW655387 MFR655387:MFS655387 MPN655387:MPO655387 MZJ655387:MZK655387 NJF655387:NJG655387 NTB655387:NTC655387 OCX655387:OCY655387 OMT655387:OMU655387 OWP655387:OWQ655387 PGL655387:PGM655387 PQH655387:PQI655387 QAD655387:QAE655387 QJZ655387:QKA655387 QTV655387:QTW655387 RDR655387:RDS655387 RNN655387:RNO655387 RXJ655387:RXK655387 SHF655387:SHG655387 SRB655387:SRC655387 TAX655387:TAY655387 TKT655387:TKU655387 TUP655387:TUQ655387 UEL655387:UEM655387 UOH655387:UOI655387 UYD655387:UYE655387 VHZ655387:VIA655387 VRV655387:VRW655387 WBR655387:WBS655387 WLN655387:WLO655387 WVJ655387:WVK655387 B720923:C720923 IX720923:IY720923 ST720923:SU720923 ACP720923:ACQ720923 AML720923:AMM720923 AWH720923:AWI720923 BGD720923:BGE720923 BPZ720923:BQA720923 BZV720923:BZW720923 CJR720923:CJS720923 CTN720923:CTO720923 DDJ720923:DDK720923 DNF720923:DNG720923 DXB720923:DXC720923 EGX720923:EGY720923 EQT720923:EQU720923 FAP720923:FAQ720923 FKL720923:FKM720923 FUH720923:FUI720923 GED720923:GEE720923 GNZ720923:GOA720923 GXV720923:GXW720923 HHR720923:HHS720923 HRN720923:HRO720923 IBJ720923:IBK720923 ILF720923:ILG720923 IVB720923:IVC720923 JEX720923:JEY720923 JOT720923:JOU720923 JYP720923:JYQ720923 KIL720923:KIM720923 KSH720923:KSI720923 LCD720923:LCE720923 LLZ720923:LMA720923 LVV720923:LVW720923 MFR720923:MFS720923 MPN720923:MPO720923 MZJ720923:MZK720923 NJF720923:NJG720923 NTB720923:NTC720923 OCX720923:OCY720923 OMT720923:OMU720923 OWP720923:OWQ720923 PGL720923:PGM720923 PQH720923:PQI720923 QAD720923:QAE720923 QJZ720923:QKA720923 QTV720923:QTW720923 RDR720923:RDS720923 RNN720923:RNO720923 RXJ720923:RXK720923 SHF720923:SHG720923 SRB720923:SRC720923 TAX720923:TAY720923 TKT720923:TKU720923 TUP720923:TUQ720923 UEL720923:UEM720923 UOH720923:UOI720923 UYD720923:UYE720923 VHZ720923:VIA720923 VRV720923:VRW720923 WBR720923:WBS720923 WLN720923:WLO720923 WVJ720923:WVK720923 B786459:C786459 IX786459:IY786459 ST786459:SU786459 ACP786459:ACQ786459 AML786459:AMM786459 AWH786459:AWI786459 BGD786459:BGE786459 BPZ786459:BQA786459 BZV786459:BZW786459 CJR786459:CJS786459 CTN786459:CTO786459 DDJ786459:DDK786459 DNF786459:DNG786459 DXB786459:DXC786459 EGX786459:EGY786459 EQT786459:EQU786459 FAP786459:FAQ786459 FKL786459:FKM786459 FUH786459:FUI786459 GED786459:GEE786459 GNZ786459:GOA786459 GXV786459:GXW786459 HHR786459:HHS786459 HRN786459:HRO786459 IBJ786459:IBK786459 ILF786459:ILG786459 IVB786459:IVC786459 JEX786459:JEY786459 JOT786459:JOU786459 JYP786459:JYQ786459 KIL786459:KIM786459 KSH786459:KSI786459 LCD786459:LCE786459 LLZ786459:LMA786459 LVV786459:LVW786459 MFR786459:MFS786459 MPN786459:MPO786459 MZJ786459:MZK786459 NJF786459:NJG786459 NTB786459:NTC786459 OCX786459:OCY786459 OMT786459:OMU786459 OWP786459:OWQ786459 PGL786459:PGM786459 PQH786459:PQI786459 QAD786459:QAE786459 QJZ786459:QKA786459 QTV786459:QTW786459 RDR786459:RDS786459 RNN786459:RNO786459 RXJ786459:RXK786459 SHF786459:SHG786459 SRB786459:SRC786459 TAX786459:TAY786459 TKT786459:TKU786459 TUP786459:TUQ786459 UEL786459:UEM786459 UOH786459:UOI786459 UYD786459:UYE786459 VHZ786459:VIA786459 VRV786459:VRW786459 WBR786459:WBS786459 WLN786459:WLO786459 WVJ786459:WVK786459 B851995:C851995 IX851995:IY851995 ST851995:SU851995 ACP851995:ACQ851995 AML851995:AMM851995 AWH851995:AWI851995 BGD851995:BGE851995 BPZ851995:BQA851995 BZV851995:BZW851995 CJR851995:CJS851995 CTN851995:CTO851995 DDJ851995:DDK851995 DNF851995:DNG851995 DXB851995:DXC851995 EGX851995:EGY851995 EQT851995:EQU851995 FAP851995:FAQ851995 FKL851995:FKM851995 FUH851995:FUI851995 GED851995:GEE851995 GNZ851995:GOA851995 GXV851995:GXW851995 HHR851995:HHS851995 HRN851995:HRO851995 IBJ851995:IBK851995 ILF851995:ILG851995 IVB851995:IVC851995 JEX851995:JEY851995 JOT851995:JOU851995 JYP851995:JYQ851995 KIL851995:KIM851995 KSH851995:KSI851995 LCD851995:LCE851995 LLZ851995:LMA851995 LVV851995:LVW851995 MFR851995:MFS851995 MPN851995:MPO851995 MZJ851995:MZK851995 NJF851995:NJG851995 NTB851995:NTC851995 OCX851995:OCY851995 OMT851995:OMU851995 OWP851995:OWQ851995 PGL851995:PGM851995 PQH851995:PQI851995 QAD851995:QAE851995 QJZ851995:QKA851995 QTV851995:QTW851995 RDR851995:RDS851995 RNN851995:RNO851995 RXJ851995:RXK851995 SHF851995:SHG851995 SRB851995:SRC851995 TAX851995:TAY851995 TKT851995:TKU851995 TUP851995:TUQ851995 UEL851995:UEM851995 UOH851995:UOI851995 UYD851995:UYE851995 VHZ851995:VIA851995 VRV851995:VRW851995 WBR851995:WBS851995 WLN851995:WLO851995 WVJ851995:WVK851995 B917531:C917531 IX917531:IY917531 ST917531:SU917531 ACP917531:ACQ917531 AML917531:AMM917531 AWH917531:AWI917531 BGD917531:BGE917531 BPZ917531:BQA917531 BZV917531:BZW917531 CJR917531:CJS917531 CTN917531:CTO917531 DDJ917531:DDK917531 DNF917531:DNG917531 DXB917531:DXC917531 EGX917531:EGY917531 EQT917531:EQU917531 FAP917531:FAQ917531 FKL917531:FKM917531 FUH917531:FUI917531 GED917531:GEE917531 GNZ917531:GOA917531 GXV917531:GXW917531 HHR917531:HHS917531 HRN917531:HRO917531 IBJ917531:IBK917531 ILF917531:ILG917531 IVB917531:IVC917531 JEX917531:JEY917531 JOT917531:JOU917531 JYP917531:JYQ917531 KIL917531:KIM917531 KSH917531:KSI917531 LCD917531:LCE917531 LLZ917531:LMA917531 LVV917531:LVW917531 MFR917531:MFS917531 MPN917531:MPO917531 MZJ917531:MZK917531 NJF917531:NJG917531 NTB917531:NTC917531 OCX917531:OCY917531 OMT917531:OMU917531 OWP917531:OWQ917531 PGL917531:PGM917531 PQH917531:PQI917531 QAD917531:QAE917531 QJZ917531:QKA917531 QTV917531:QTW917531 RDR917531:RDS917531 RNN917531:RNO917531 RXJ917531:RXK917531 SHF917531:SHG917531 SRB917531:SRC917531 TAX917531:TAY917531 TKT917531:TKU917531 TUP917531:TUQ917531 UEL917531:UEM917531 UOH917531:UOI917531 UYD917531:UYE917531 VHZ917531:VIA917531 VRV917531:VRW917531 WBR917531:WBS917531 WLN917531:WLO917531 WVJ917531:WVK917531 B983067:C983067 IX983067:IY983067 ST983067:SU983067 ACP983067:ACQ983067 AML983067:AMM983067 AWH983067:AWI983067 BGD983067:BGE983067 BPZ983067:BQA983067 BZV983067:BZW983067 CJR983067:CJS983067 CTN983067:CTO983067 DDJ983067:DDK983067 DNF983067:DNG983067 DXB983067:DXC983067 EGX983067:EGY983067 EQT983067:EQU983067 FAP983067:FAQ983067 FKL983067:FKM983067 FUH983067:FUI983067 GED983067:GEE983067 GNZ983067:GOA983067 GXV983067:GXW983067 HHR983067:HHS983067 HRN983067:HRO983067 IBJ983067:IBK983067 ILF983067:ILG983067 IVB983067:IVC983067 JEX983067:JEY983067 JOT983067:JOU983067 JYP983067:JYQ983067 KIL983067:KIM983067 KSH983067:KSI983067 LCD983067:LCE983067 LLZ983067:LMA983067 LVV983067:LVW983067 MFR983067:MFS983067 MPN983067:MPO983067 MZJ983067:MZK983067 NJF983067:NJG983067 NTB983067:NTC983067 OCX983067:OCY983067 OMT983067:OMU983067 OWP983067:OWQ983067 PGL983067:PGM983067 PQH983067:PQI983067 QAD983067:QAE983067 QJZ983067:QKA983067 QTV983067:QTW983067 RDR983067:RDS983067 RNN983067:RNO983067 RXJ983067:RXK983067 SHF983067:SHG983067 SRB983067:SRC983067 TAX983067:TAY983067 TKT983067:TKU983067 TUP983067:TUQ983067 UEL983067:UEM983067 UOH983067:UOI983067 UYD983067:UYE983067 VHZ983067:VIA983067 VRV983067:VRW983067 WBR983067:WBS983067 WLN983067:WLO983067 B27:C27" xr:uid="{00000000-0002-0000-1A00-000006000000}">
      <formula1>$AL$25:$AL$37</formula1>
    </dataValidation>
    <dataValidation type="list" allowBlank="1" showInputMessage="1" showErrorMessage="1" sqref="WVI983067 IW27 SS27 ACO27 AMK27 AWG27 BGC27 BPY27 BZU27 CJQ27 CTM27 DDI27 DNE27 DXA27 EGW27 EQS27 FAO27 FKK27 FUG27 GEC27 GNY27 GXU27 HHQ27 HRM27 IBI27 ILE27 IVA27 JEW27 JOS27 JYO27 KIK27 KSG27 LCC27 LLY27 LVU27 MFQ27 MPM27 MZI27 NJE27 NTA27 OCW27 OMS27 OWO27 PGK27 PQG27 QAC27 QJY27 QTU27 RDQ27 RNM27 RXI27 SHE27 SRA27 TAW27 TKS27 TUO27 UEK27 UOG27 UYC27 VHY27 VRU27 WBQ27 WLM27 WVI27 A65563 IW65563 SS65563 ACO65563 AMK65563 AWG65563 BGC65563 BPY65563 BZU65563 CJQ65563 CTM65563 DDI65563 DNE65563 DXA65563 EGW65563 EQS65563 FAO65563 FKK65563 FUG65563 GEC65563 GNY65563 GXU65563 HHQ65563 HRM65563 IBI65563 ILE65563 IVA65563 JEW65563 JOS65563 JYO65563 KIK65563 KSG65563 LCC65563 LLY65563 LVU65563 MFQ65563 MPM65563 MZI65563 NJE65563 NTA65563 OCW65563 OMS65563 OWO65563 PGK65563 PQG65563 QAC65563 QJY65563 QTU65563 RDQ65563 RNM65563 RXI65563 SHE65563 SRA65563 TAW65563 TKS65563 TUO65563 UEK65563 UOG65563 UYC65563 VHY65563 VRU65563 WBQ65563 WLM65563 WVI65563 A131099 IW131099 SS131099 ACO131099 AMK131099 AWG131099 BGC131099 BPY131099 BZU131099 CJQ131099 CTM131099 DDI131099 DNE131099 DXA131099 EGW131099 EQS131099 FAO131099 FKK131099 FUG131099 GEC131099 GNY131099 GXU131099 HHQ131099 HRM131099 IBI131099 ILE131099 IVA131099 JEW131099 JOS131099 JYO131099 KIK131099 KSG131099 LCC131099 LLY131099 LVU131099 MFQ131099 MPM131099 MZI131099 NJE131099 NTA131099 OCW131099 OMS131099 OWO131099 PGK131099 PQG131099 QAC131099 QJY131099 QTU131099 RDQ131099 RNM131099 RXI131099 SHE131099 SRA131099 TAW131099 TKS131099 TUO131099 UEK131099 UOG131099 UYC131099 VHY131099 VRU131099 WBQ131099 WLM131099 WVI131099 A196635 IW196635 SS196635 ACO196635 AMK196635 AWG196635 BGC196635 BPY196635 BZU196635 CJQ196635 CTM196635 DDI196635 DNE196635 DXA196635 EGW196635 EQS196635 FAO196635 FKK196635 FUG196635 GEC196635 GNY196635 GXU196635 HHQ196635 HRM196635 IBI196635 ILE196635 IVA196635 JEW196635 JOS196635 JYO196635 KIK196635 KSG196635 LCC196635 LLY196635 LVU196635 MFQ196635 MPM196635 MZI196635 NJE196635 NTA196635 OCW196635 OMS196635 OWO196635 PGK196635 PQG196635 QAC196635 QJY196635 QTU196635 RDQ196635 RNM196635 RXI196635 SHE196635 SRA196635 TAW196635 TKS196635 TUO196635 UEK196635 UOG196635 UYC196635 VHY196635 VRU196635 WBQ196635 WLM196635 WVI196635 A262171 IW262171 SS262171 ACO262171 AMK262171 AWG262171 BGC262171 BPY262171 BZU262171 CJQ262171 CTM262171 DDI262171 DNE262171 DXA262171 EGW262171 EQS262171 FAO262171 FKK262171 FUG262171 GEC262171 GNY262171 GXU262171 HHQ262171 HRM262171 IBI262171 ILE262171 IVA262171 JEW262171 JOS262171 JYO262171 KIK262171 KSG262171 LCC262171 LLY262171 LVU262171 MFQ262171 MPM262171 MZI262171 NJE262171 NTA262171 OCW262171 OMS262171 OWO262171 PGK262171 PQG262171 QAC262171 QJY262171 QTU262171 RDQ262171 RNM262171 RXI262171 SHE262171 SRA262171 TAW262171 TKS262171 TUO262171 UEK262171 UOG262171 UYC262171 VHY262171 VRU262171 WBQ262171 WLM262171 WVI262171 A327707 IW327707 SS327707 ACO327707 AMK327707 AWG327707 BGC327707 BPY327707 BZU327707 CJQ327707 CTM327707 DDI327707 DNE327707 DXA327707 EGW327707 EQS327707 FAO327707 FKK327707 FUG327707 GEC327707 GNY327707 GXU327707 HHQ327707 HRM327707 IBI327707 ILE327707 IVA327707 JEW327707 JOS327707 JYO327707 KIK327707 KSG327707 LCC327707 LLY327707 LVU327707 MFQ327707 MPM327707 MZI327707 NJE327707 NTA327707 OCW327707 OMS327707 OWO327707 PGK327707 PQG327707 QAC327707 QJY327707 QTU327707 RDQ327707 RNM327707 RXI327707 SHE327707 SRA327707 TAW327707 TKS327707 TUO327707 UEK327707 UOG327707 UYC327707 VHY327707 VRU327707 WBQ327707 WLM327707 WVI327707 A393243 IW393243 SS393243 ACO393243 AMK393243 AWG393243 BGC393243 BPY393243 BZU393243 CJQ393243 CTM393243 DDI393243 DNE393243 DXA393243 EGW393243 EQS393243 FAO393243 FKK393243 FUG393243 GEC393243 GNY393243 GXU393243 HHQ393243 HRM393243 IBI393243 ILE393243 IVA393243 JEW393243 JOS393243 JYO393243 KIK393243 KSG393243 LCC393243 LLY393243 LVU393243 MFQ393243 MPM393243 MZI393243 NJE393243 NTA393243 OCW393243 OMS393243 OWO393243 PGK393243 PQG393243 QAC393243 QJY393243 QTU393243 RDQ393243 RNM393243 RXI393243 SHE393243 SRA393243 TAW393243 TKS393243 TUO393243 UEK393243 UOG393243 UYC393243 VHY393243 VRU393243 WBQ393243 WLM393243 WVI393243 A458779 IW458779 SS458779 ACO458779 AMK458779 AWG458779 BGC458779 BPY458779 BZU458779 CJQ458779 CTM458779 DDI458779 DNE458779 DXA458779 EGW458779 EQS458779 FAO458779 FKK458779 FUG458779 GEC458779 GNY458779 GXU458779 HHQ458779 HRM458779 IBI458779 ILE458779 IVA458779 JEW458779 JOS458779 JYO458779 KIK458779 KSG458779 LCC458779 LLY458779 LVU458779 MFQ458779 MPM458779 MZI458779 NJE458779 NTA458779 OCW458779 OMS458779 OWO458779 PGK458779 PQG458779 QAC458779 QJY458779 QTU458779 RDQ458779 RNM458779 RXI458779 SHE458779 SRA458779 TAW458779 TKS458779 TUO458779 UEK458779 UOG458779 UYC458779 VHY458779 VRU458779 WBQ458779 WLM458779 WVI458779 A524315 IW524315 SS524315 ACO524315 AMK524315 AWG524315 BGC524315 BPY524315 BZU524315 CJQ524315 CTM524315 DDI524315 DNE524315 DXA524315 EGW524315 EQS524315 FAO524315 FKK524315 FUG524315 GEC524315 GNY524315 GXU524315 HHQ524315 HRM524315 IBI524315 ILE524315 IVA524315 JEW524315 JOS524315 JYO524315 KIK524315 KSG524315 LCC524315 LLY524315 LVU524315 MFQ524315 MPM524315 MZI524315 NJE524315 NTA524315 OCW524315 OMS524315 OWO524315 PGK524315 PQG524315 QAC524315 QJY524315 QTU524315 RDQ524315 RNM524315 RXI524315 SHE524315 SRA524315 TAW524315 TKS524315 TUO524315 UEK524315 UOG524315 UYC524315 VHY524315 VRU524315 WBQ524315 WLM524315 WVI524315 A589851 IW589851 SS589851 ACO589851 AMK589851 AWG589851 BGC589851 BPY589851 BZU589851 CJQ589851 CTM589851 DDI589851 DNE589851 DXA589851 EGW589851 EQS589851 FAO589851 FKK589851 FUG589851 GEC589851 GNY589851 GXU589851 HHQ589851 HRM589851 IBI589851 ILE589851 IVA589851 JEW589851 JOS589851 JYO589851 KIK589851 KSG589851 LCC589851 LLY589851 LVU589851 MFQ589851 MPM589851 MZI589851 NJE589851 NTA589851 OCW589851 OMS589851 OWO589851 PGK589851 PQG589851 QAC589851 QJY589851 QTU589851 RDQ589851 RNM589851 RXI589851 SHE589851 SRA589851 TAW589851 TKS589851 TUO589851 UEK589851 UOG589851 UYC589851 VHY589851 VRU589851 WBQ589851 WLM589851 WVI589851 A655387 IW655387 SS655387 ACO655387 AMK655387 AWG655387 BGC655387 BPY655387 BZU655387 CJQ655387 CTM655387 DDI655387 DNE655387 DXA655387 EGW655387 EQS655387 FAO655387 FKK655387 FUG655387 GEC655387 GNY655387 GXU655387 HHQ655387 HRM655387 IBI655387 ILE655387 IVA655387 JEW655387 JOS655387 JYO655387 KIK655387 KSG655387 LCC655387 LLY655387 LVU655387 MFQ655387 MPM655387 MZI655387 NJE655387 NTA655387 OCW655387 OMS655387 OWO655387 PGK655387 PQG655387 QAC655387 QJY655387 QTU655387 RDQ655387 RNM655387 RXI655387 SHE655387 SRA655387 TAW655387 TKS655387 TUO655387 UEK655387 UOG655387 UYC655387 VHY655387 VRU655387 WBQ655387 WLM655387 WVI655387 A720923 IW720923 SS720923 ACO720923 AMK720923 AWG720923 BGC720923 BPY720923 BZU720923 CJQ720923 CTM720923 DDI720923 DNE720923 DXA720923 EGW720923 EQS720923 FAO720923 FKK720923 FUG720923 GEC720923 GNY720923 GXU720923 HHQ720923 HRM720923 IBI720923 ILE720923 IVA720923 JEW720923 JOS720923 JYO720923 KIK720923 KSG720923 LCC720923 LLY720923 LVU720923 MFQ720923 MPM720923 MZI720923 NJE720923 NTA720923 OCW720923 OMS720923 OWO720923 PGK720923 PQG720923 QAC720923 QJY720923 QTU720923 RDQ720923 RNM720923 RXI720923 SHE720923 SRA720923 TAW720923 TKS720923 TUO720923 UEK720923 UOG720923 UYC720923 VHY720923 VRU720923 WBQ720923 WLM720923 WVI720923 A786459 IW786459 SS786459 ACO786459 AMK786459 AWG786459 BGC786459 BPY786459 BZU786459 CJQ786459 CTM786459 DDI786459 DNE786459 DXA786459 EGW786459 EQS786459 FAO786459 FKK786459 FUG786459 GEC786459 GNY786459 GXU786459 HHQ786459 HRM786459 IBI786459 ILE786459 IVA786459 JEW786459 JOS786459 JYO786459 KIK786459 KSG786459 LCC786459 LLY786459 LVU786459 MFQ786459 MPM786459 MZI786459 NJE786459 NTA786459 OCW786459 OMS786459 OWO786459 PGK786459 PQG786459 QAC786459 QJY786459 QTU786459 RDQ786459 RNM786459 RXI786459 SHE786459 SRA786459 TAW786459 TKS786459 TUO786459 UEK786459 UOG786459 UYC786459 VHY786459 VRU786459 WBQ786459 WLM786459 WVI786459 A851995 IW851995 SS851995 ACO851995 AMK851995 AWG851995 BGC851995 BPY851995 BZU851995 CJQ851995 CTM851995 DDI851995 DNE851995 DXA851995 EGW851995 EQS851995 FAO851995 FKK851995 FUG851995 GEC851995 GNY851995 GXU851995 HHQ851995 HRM851995 IBI851995 ILE851995 IVA851995 JEW851995 JOS851995 JYO851995 KIK851995 KSG851995 LCC851995 LLY851995 LVU851995 MFQ851995 MPM851995 MZI851995 NJE851995 NTA851995 OCW851995 OMS851995 OWO851995 PGK851995 PQG851995 QAC851995 QJY851995 QTU851995 RDQ851995 RNM851995 RXI851995 SHE851995 SRA851995 TAW851995 TKS851995 TUO851995 UEK851995 UOG851995 UYC851995 VHY851995 VRU851995 WBQ851995 WLM851995 WVI851995 A917531 IW917531 SS917531 ACO917531 AMK917531 AWG917531 BGC917531 BPY917531 BZU917531 CJQ917531 CTM917531 DDI917531 DNE917531 DXA917531 EGW917531 EQS917531 FAO917531 FKK917531 FUG917531 GEC917531 GNY917531 GXU917531 HHQ917531 HRM917531 IBI917531 ILE917531 IVA917531 JEW917531 JOS917531 JYO917531 KIK917531 KSG917531 LCC917531 LLY917531 LVU917531 MFQ917531 MPM917531 MZI917531 NJE917531 NTA917531 OCW917531 OMS917531 OWO917531 PGK917531 PQG917531 QAC917531 QJY917531 QTU917531 RDQ917531 RNM917531 RXI917531 SHE917531 SRA917531 TAW917531 TKS917531 TUO917531 UEK917531 UOG917531 UYC917531 VHY917531 VRU917531 WBQ917531 WLM917531 WVI917531 A983067 IW983067 SS983067 ACO983067 AMK983067 AWG983067 BGC983067 BPY983067 BZU983067 CJQ983067 CTM983067 DDI983067 DNE983067 DXA983067 EGW983067 EQS983067 FAO983067 FKK983067 FUG983067 GEC983067 GNY983067 GXU983067 HHQ983067 HRM983067 IBI983067 ILE983067 IVA983067 JEW983067 JOS983067 JYO983067 KIK983067 KSG983067 LCC983067 LLY983067 LVU983067 MFQ983067 MPM983067 MZI983067 NJE983067 NTA983067 OCW983067 OMS983067 OWO983067 PGK983067 PQG983067 QAC983067 QJY983067 QTU983067 RDQ983067 RNM983067 RXI983067 SHE983067 SRA983067 TAW983067 TKS983067 TUO983067 UEK983067 UOG983067 UYC983067 VHY983067 VRU983067 WBQ983067 WLM983067 A27" xr:uid="{00000000-0002-0000-1A00-000007000000}">
      <formula1>$AJ$25:$AJ$28</formula1>
    </dataValidation>
    <dataValidation type="list" allowBlank="1" showInputMessage="1" showErrorMessage="1" sqref="WVK983062 IY22 SU22 ACQ22 AMM22 AWI22 BGE22 BQA22 BZW22 CJS22 CTO22 DDK22 DNG22 DXC22 EGY22 EQU22 FAQ22 FKM22 FUI22 GEE22 GOA22 GXW22 HHS22 HRO22 IBK22 ILG22 IVC22 JEY22 JOU22 JYQ22 KIM22 KSI22 LCE22 LMA22 LVW22 MFS22 MPO22 MZK22 NJG22 NTC22 OCY22 OMU22 OWQ22 PGM22 PQI22 QAE22 QKA22 QTW22 RDS22 RNO22 RXK22 SHG22 SRC22 TAY22 TKU22 TUQ22 UEM22 UOI22 UYE22 VIA22 VRW22 WBS22 WLO22 WVK22 C65558 IY65558 SU65558 ACQ65558 AMM65558 AWI65558 BGE65558 BQA65558 BZW65558 CJS65558 CTO65558 DDK65558 DNG65558 DXC65558 EGY65558 EQU65558 FAQ65558 FKM65558 FUI65558 GEE65558 GOA65558 GXW65558 HHS65558 HRO65558 IBK65558 ILG65558 IVC65558 JEY65558 JOU65558 JYQ65558 KIM65558 KSI65558 LCE65558 LMA65558 LVW65558 MFS65558 MPO65558 MZK65558 NJG65558 NTC65558 OCY65558 OMU65558 OWQ65558 PGM65558 PQI65558 QAE65558 QKA65558 QTW65558 RDS65558 RNO65558 RXK65558 SHG65558 SRC65558 TAY65558 TKU65558 TUQ65558 UEM65558 UOI65558 UYE65558 VIA65558 VRW65558 WBS65558 WLO65558 WVK65558 C131094 IY131094 SU131094 ACQ131094 AMM131094 AWI131094 BGE131094 BQA131094 BZW131094 CJS131094 CTO131094 DDK131094 DNG131094 DXC131094 EGY131094 EQU131094 FAQ131094 FKM131094 FUI131094 GEE131094 GOA131094 GXW131094 HHS131094 HRO131094 IBK131094 ILG131094 IVC131094 JEY131094 JOU131094 JYQ131094 KIM131094 KSI131094 LCE131094 LMA131094 LVW131094 MFS131094 MPO131094 MZK131094 NJG131094 NTC131094 OCY131094 OMU131094 OWQ131094 PGM131094 PQI131094 QAE131094 QKA131094 QTW131094 RDS131094 RNO131094 RXK131094 SHG131094 SRC131094 TAY131094 TKU131094 TUQ131094 UEM131094 UOI131094 UYE131094 VIA131094 VRW131094 WBS131094 WLO131094 WVK131094 C196630 IY196630 SU196630 ACQ196630 AMM196630 AWI196630 BGE196630 BQA196630 BZW196630 CJS196630 CTO196630 DDK196630 DNG196630 DXC196630 EGY196630 EQU196630 FAQ196630 FKM196630 FUI196630 GEE196630 GOA196630 GXW196630 HHS196630 HRO196630 IBK196630 ILG196630 IVC196630 JEY196630 JOU196630 JYQ196630 KIM196630 KSI196630 LCE196630 LMA196630 LVW196630 MFS196630 MPO196630 MZK196630 NJG196630 NTC196630 OCY196630 OMU196630 OWQ196630 PGM196630 PQI196630 QAE196630 QKA196630 QTW196630 RDS196630 RNO196630 RXK196630 SHG196630 SRC196630 TAY196630 TKU196630 TUQ196630 UEM196630 UOI196630 UYE196630 VIA196630 VRW196630 WBS196630 WLO196630 WVK196630 C262166 IY262166 SU262166 ACQ262166 AMM262166 AWI262166 BGE262166 BQA262166 BZW262166 CJS262166 CTO262166 DDK262166 DNG262166 DXC262166 EGY262166 EQU262166 FAQ262166 FKM262166 FUI262166 GEE262166 GOA262166 GXW262166 HHS262166 HRO262166 IBK262166 ILG262166 IVC262166 JEY262166 JOU262166 JYQ262166 KIM262166 KSI262166 LCE262166 LMA262166 LVW262166 MFS262166 MPO262166 MZK262166 NJG262166 NTC262166 OCY262166 OMU262166 OWQ262166 PGM262166 PQI262166 QAE262166 QKA262166 QTW262166 RDS262166 RNO262166 RXK262166 SHG262166 SRC262166 TAY262166 TKU262166 TUQ262166 UEM262166 UOI262166 UYE262166 VIA262166 VRW262166 WBS262166 WLO262166 WVK262166 C327702 IY327702 SU327702 ACQ327702 AMM327702 AWI327702 BGE327702 BQA327702 BZW327702 CJS327702 CTO327702 DDK327702 DNG327702 DXC327702 EGY327702 EQU327702 FAQ327702 FKM327702 FUI327702 GEE327702 GOA327702 GXW327702 HHS327702 HRO327702 IBK327702 ILG327702 IVC327702 JEY327702 JOU327702 JYQ327702 KIM327702 KSI327702 LCE327702 LMA327702 LVW327702 MFS327702 MPO327702 MZK327702 NJG327702 NTC327702 OCY327702 OMU327702 OWQ327702 PGM327702 PQI327702 QAE327702 QKA327702 QTW327702 RDS327702 RNO327702 RXK327702 SHG327702 SRC327702 TAY327702 TKU327702 TUQ327702 UEM327702 UOI327702 UYE327702 VIA327702 VRW327702 WBS327702 WLO327702 WVK327702 C393238 IY393238 SU393238 ACQ393238 AMM393238 AWI393238 BGE393238 BQA393238 BZW393238 CJS393238 CTO393238 DDK393238 DNG393238 DXC393238 EGY393238 EQU393238 FAQ393238 FKM393238 FUI393238 GEE393238 GOA393238 GXW393238 HHS393238 HRO393238 IBK393238 ILG393238 IVC393238 JEY393238 JOU393238 JYQ393238 KIM393238 KSI393238 LCE393238 LMA393238 LVW393238 MFS393238 MPO393238 MZK393238 NJG393238 NTC393238 OCY393238 OMU393238 OWQ393238 PGM393238 PQI393238 QAE393238 QKA393238 QTW393238 RDS393238 RNO393238 RXK393238 SHG393238 SRC393238 TAY393238 TKU393238 TUQ393238 UEM393238 UOI393238 UYE393238 VIA393238 VRW393238 WBS393238 WLO393238 WVK393238 C458774 IY458774 SU458774 ACQ458774 AMM458774 AWI458774 BGE458774 BQA458774 BZW458774 CJS458774 CTO458774 DDK458774 DNG458774 DXC458774 EGY458774 EQU458774 FAQ458774 FKM458774 FUI458774 GEE458774 GOA458774 GXW458774 HHS458774 HRO458774 IBK458774 ILG458774 IVC458774 JEY458774 JOU458774 JYQ458774 KIM458774 KSI458774 LCE458774 LMA458774 LVW458774 MFS458774 MPO458774 MZK458774 NJG458774 NTC458774 OCY458774 OMU458774 OWQ458774 PGM458774 PQI458774 QAE458774 QKA458774 QTW458774 RDS458774 RNO458774 RXK458774 SHG458774 SRC458774 TAY458774 TKU458774 TUQ458774 UEM458774 UOI458774 UYE458774 VIA458774 VRW458774 WBS458774 WLO458774 WVK458774 C524310 IY524310 SU524310 ACQ524310 AMM524310 AWI524310 BGE524310 BQA524310 BZW524310 CJS524310 CTO524310 DDK524310 DNG524310 DXC524310 EGY524310 EQU524310 FAQ524310 FKM524310 FUI524310 GEE524310 GOA524310 GXW524310 HHS524310 HRO524310 IBK524310 ILG524310 IVC524310 JEY524310 JOU524310 JYQ524310 KIM524310 KSI524310 LCE524310 LMA524310 LVW524310 MFS524310 MPO524310 MZK524310 NJG524310 NTC524310 OCY524310 OMU524310 OWQ524310 PGM524310 PQI524310 QAE524310 QKA524310 QTW524310 RDS524310 RNO524310 RXK524310 SHG524310 SRC524310 TAY524310 TKU524310 TUQ524310 UEM524310 UOI524310 UYE524310 VIA524310 VRW524310 WBS524310 WLO524310 WVK524310 C589846 IY589846 SU589846 ACQ589846 AMM589846 AWI589846 BGE589846 BQA589846 BZW589846 CJS589846 CTO589846 DDK589846 DNG589846 DXC589846 EGY589846 EQU589846 FAQ589846 FKM589846 FUI589846 GEE589846 GOA589846 GXW589846 HHS589846 HRO589846 IBK589846 ILG589846 IVC589846 JEY589846 JOU589846 JYQ589846 KIM589846 KSI589846 LCE589846 LMA589846 LVW589846 MFS589846 MPO589846 MZK589846 NJG589846 NTC589846 OCY589846 OMU589846 OWQ589846 PGM589846 PQI589846 QAE589846 QKA589846 QTW589846 RDS589846 RNO589846 RXK589846 SHG589846 SRC589846 TAY589846 TKU589846 TUQ589846 UEM589846 UOI589846 UYE589846 VIA589846 VRW589846 WBS589846 WLO589846 WVK589846 C655382 IY655382 SU655382 ACQ655382 AMM655382 AWI655382 BGE655382 BQA655382 BZW655382 CJS655382 CTO655382 DDK655382 DNG655382 DXC655382 EGY655382 EQU655382 FAQ655382 FKM655382 FUI655382 GEE655382 GOA655382 GXW655382 HHS655382 HRO655382 IBK655382 ILG655382 IVC655382 JEY655382 JOU655382 JYQ655382 KIM655382 KSI655382 LCE655382 LMA655382 LVW655382 MFS655382 MPO655382 MZK655382 NJG655382 NTC655382 OCY655382 OMU655382 OWQ655382 PGM655382 PQI655382 QAE655382 QKA655382 QTW655382 RDS655382 RNO655382 RXK655382 SHG655382 SRC655382 TAY655382 TKU655382 TUQ655382 UEM655382 UOI655382 UYE655382 VIA655382 VRW655382 WBS655382 WLO655382 WVK655382 C720918 IY720918 SU720918 ACQ720918 AMM720918 AWI720918 BGE720918 BQA720918 BZW720918 CJS720918 CTO720918 DDK720918 DNG720918 DXC720918 EGY720918 EQU720918 FAQ720918 FKM720918 FUI720918 GEE720918 GOA720918 GXW720918 HHS720918 HRO720918 IBK720918 ILG720918 IVC720918 JEY720918 JOU720918 JYQ720918 KIM720918 KSI720918 LCE720918 LMA720918 LVW720918 MFS720918 MPO720918 MZK720918 NJG720918 NTC720918 OCY720918 OMU720918 OWQ720918 PGM720918 PQI720918 QAE720918 QKA720918 QTW720918 RDS720918 RNO720918 RXK720918 SHG720918 SRC720918 TAY720918 TKU720918 TUQ720918 UEM720918 UOI720918 UYE720918 VIA720918 VRW720918 WBS720918 WLO720918 WVK720918 C786454 IY786454 SU786454 ACQ786454 AMM786454 AWI786454 BGE786454 BQA786454 BZW786454 CJS786454 CTO786454 DDK786454 DNG786454 DXC786454 EGY786454 EQU786454 FAQ786454 FKM786454 FUI786454 GEE786454 GOA786454 GXW786454 HHS786454 HRO786454 IBK786454 ILG786454 IVC786454 JEY786454 JOU786454 JYQ786454 KIM786454 KSI786454 LCE786454 LMA786454 LVW786454 MFS786454 MPO786454 MZK786454 NJG786454 NTC786454 OCY786454 OMU786454 OWQ786454 PGM786454 PQI786454 QAE786454 QKA786454 QTW786454 RDS786454 RNO786454 RXK786454 SHG786454 SRC786454 TAY786454 TKU786454 TUQ786454 UEM786454 UOI786454 UYE786454 VIA786454 VRW786454 WBS786454 WLO786454 WVK786454 C851990 IY851990 SU851990 ACQ851990 AMM851990 AWI851990 BGE851990 BQA851990 BZW851990 CJS851990 CTO851990 DDK851990 DNG851990 DXC851990 EGY851990 EQU851990 FAQ851990 FKM851990 FUI851990 GEE851990 GOA851990 GXW851990 HHS851990 HRO851990 IBK851990 ILG851990 IVC851990 JEY851990 JOU851990 JYQ851990 KIM851990 KSI851990 LCE851990 LMA851990 LVW851990 MFS851990 MPO851990 MZK851990 NJG851990 NTC851990 OCY851990 OMU851990 OWQ851990 PGM851990 PQI851990 QAE851990 QKA851990 QTW851990 RDS851990 RNO851990 RXK851990 SHG851990 SRC851990 TAY851990 TKU851990 TUQ851990 UEM851990 UOI851990 UYE851990 VIA851990 VRW851990 WBS851990 WLO851990 WVK851990 C917526 IY917526 SU917526 ACQ917526 AMM917526 AWI917526 BGE917526 BQA917526 BZW917526 CJS917526 CTO917526 DDK917526 DNG917526 DXC917526 EGY917526 EQU917526 FAQ917526 FKM917526 FUI917526 GEE917526 GOA917526 GXW917526 HHS917526 HRO917526 IBK917526 ILG917526 IVC917526 JEY917526 JOU917526 JYQ917526 KIM917526 KSI917526 LCE917526 LMA917526 LVW917526 MFS917526 MPO917526 MZK917526 NJG917526 NTC917526 OCY917526 OMU917526 OWQ917526 PGM917526 PQI917526 QAE917526 QKA917526 QTW917526 RDS917526 RNO917526 RXK917526 SHG917526 SRC917526 TAY917526 TKU917526 TUQ917526 UEM917526 UOI917526 UYE917526 VIA917526 VRW917526 WBS917526 WLO917526 WVK917526 C983062 IY983062 SU983062 ACQ983062 AMM983062 AWI983062 BGE983062 BQA983062 BZW983062 CJS983062 CTO983062 DDK983062 DNG983062 DXC983062 EGY983062 EQU983062 FAQ983062 FKM983062 FUI983062 GEE983062 GOA983062 GXW983062 HHS983062 HRO983062 IBK983062 ILG983062 IVC983062 JEY983062 JOU983062 JYQ983062 KIM983062 KSI983062 LCE983062 LMA983062 LVW983062 MFS983062 MPO983062 MZK983062 NJG983062 NTC983062 OCY983062 OMU983062 OWQ983062 PGM983062 PQI983062 QAE983062 QKA983062 QTW983062 RDS983062 RNO983062 RXK983062 SHG983062 SRC983062 TAY983062 TKU983062 TUQ983062 UEM983062 UOI983062 UYE983062 VIA983062 VRW983062 WBS983062 WLO983062 C22" xr:uid="{00000000-0002-0000-1A00-000008000000}">
      <formula1>$AT$12:$AT$30</formula1>
    </dataValidation>
  </dataValidations>
  <printOptions horizontalCentered="1"/>
  <pageMargins left="0.25" right="0.25" top="0.25" bottom="0.25" header="0.5" footer="0.5"/>
  <pageSetup scale="59" orientation="landscape" r:id="rId1"/>
  <headerFooter alignWithMargins="0"/>
  <rowBreaks count="2" manualBreakCount="2">
    <brk id="57" max="18" man="1"/>
    <brk id="112" max="18" man="1"/>
  </rowBreaks>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
  <dimension ref="B1:AE1014"/>
  <sheetViews>
    <sheetView showGridLines="0" workbookViewId="0">
      <selection activeCell="A2" sqref="A2"/>
    </sheetView>
  </sheetViews>
  <sheetFormatPr defaultColWidth="9" defaultRowHeight="13.2" outlineLevelCol="1" x14ac:dyDescent="0.25"/>
  <cols>
    <col min="1" max="1" width="2.59765625" style="401" customWidth="1"/>
    <col min="2" max="2" width="12.19921875" style="79" customWidth="1"/>
    <col min="3" max="3" width="32.5" style="79" customWidth="1"/>
    <col min="4" max="5" width="16.296875" style="79" customWidth="1"/>
    <col min="6" max="7" width="9" style="79"/>
    <col min="8" max="8" width="12.69921875" style="79" customWidth="1"/>
    <col min="9" max="11" width="9" style="79"/>
    <col min="12" max="27" width="9" style="401"/>
    <col min="28" max="28" width="29.69921875" style="401" customWidth="1" outlineLevel="1"/>
    <col min="29" max="29" width="35" style="401" customWidth="1" outlineLevel="1"/>
    <col min="30" max="30" width="16.796875" style="401" customWidth="1" outlineLevel="1"/>
    <col min="31" max="31" width="10.296875" style="401" customWidth="1" outlineLevel="1"/>
    <col min="32" max="16384" width="9" style="401"/>
  </cols>
  <sheetData>
    <row r="1" spans="2:31" x14ac:dyDescent="0.25">
      <c r="B1" s="401"/>
      <c r="C1" s="401"/>
      <c r="D1" s="401"/>
      <c r="E1" s="401"/>
      <c r="F1" s="401"/>
      <c r="G1" s="401"/>
      <c r="H1" s="401"/>
      <c r="I1" s="401"/>
      <c r="J1" s="401"/>
      <c r="K1" s="401"/>
      <c r="AA1" s="402">
        <v>9.9788499999999996</v>
      </c>
    </row>
    <row r="2" spans="2:31" ht="3.75" customHeight="1" x14ac:dyDescent="0.25">
      <c r="B2" s="403"/>
      <c r="C2" s="404"/>
      <c r="D2" s="401"/>
      <c r="E2" s="401"/>
      <c r="F2" s="401"/>
      <c r="G2" s="401"/>
      <c r="H2" s="401"/>
      <c r="I2" s="401"/>
      <c r="J2" s="401"/>
      <c r="K2" s="401"/>
    </row>
    <row r="3" spans="2:31" x14ac:dyDescent="0.25">
      <c r="B3" s="403" t="s">
        <v>1460</v>
      </c>
      <c r="C3" s="405" t="s">
        <v>1461</v>
      </c>
      <c r="D3" s="401"/>
      <c r="E3" s="401"/>
      <c r="F3" s="401"/>
      <c r="G3" s="401"/>
      <c r="H3" s="401"/>
      <c r="I3" s="401"/>
      <c r="J3" s="401"/>
      <c r="K3" s="401"/>
    </row>
    <row r="4" spans="2:31" ht="3.75" customHeight="1" x14ac:dyDescent="0.25">
      <c r="B4" s="403"/>
      <c r="C4" s="404"/>
      <c r="D4" s="401"/>
      <c r="E4" s="401"/>
      <c r="F4" s="401"/>
      <c r="G4" s="401"/>
      <c r="H4" s="401"/>
      <c r="I4" s="401"/>
      <c r="J4" s="401"/>
      <c r="K4" s="401"/>
    </row>
    <row r="5" spans="2:31" x14ac:dyDescent="0.25">
      <c r="B5" s="403" t="s">
        <v>1462</v>
      </c>
      <c r="C5" s="405" t="s">
        <v>1463</v>
      </c>
      <c r="D5" s="405"/>
      <c r="E5" s="406" t="s">
        <v>1464</v>
      </c>
      <c r="F5" s="401"/>
      <c r="G5" s="401"/>
      <c r="H5" s="401"/>
      <c r="I5" s="401"/>
      <c r="J5" s="401"/>
      <c r="K5" s="401"/>
    </row>
    <row r="6" spans="2:31" ht="3.75" customHeight="1" x14ac:dyDescent="0.25">
      <c r="B6" s="403"/>
      <c r="C6" s="404"/>
      <c r="D6" s="406"/>
      <c r="E6" s="401"/>
      <c r="F6" s="401"/>
      <c r="G6" s="401"/>
      <c r="H6" s="401"/>
      <c r="I6" s="401"/>
      <c r="J6" s="401"/>
      <c r="K6" s="401"/>
    </row>
    <row r="7" spans="2:31" x14ac:dyDescent="0.25">
      <c r="B7" s="403" t="s">
        <v>308</v>
      </c>
      <c r="C7" s="405" t="s">
        <v>309</v>
      </c>
      <c r="D7" s="401"/>
      <c r="E7" s="401"/>
      <c r="F7" s="401"/>
      <c r="G7" s="401"/>
      <c r="H7" s="401"/>
      <c r="I7" s="401"/>
      <c r="J7" s="401"/>
      <c r="K7" s="401"/>
    </row>
    <row r="8" spans="2:31" ht="3.75" customHeight="1" x14ac:dyDescent="0.25">
      <c r="B8" s="403"/>
      <c r="C8" s="404"/>
      <c r="D8" s="401"/>
      <c r="E8" s="401"/>
      <c r="F8" s="401"/>
      <c r="G8" s="401"/>
      <c r="H8" s="401"/>
      <c r="I8" s="401"/>
      <c r="J8" s="401"/>
      <c r="K8" s="401"/>
    </row>
    <row r="9" spans="2:31" x14ac:dyDescent="0.25">
      <c r="B9" s="403" t="s">
        <v>1033</v>
      </c>
      <c r="C9" s="407">
        <v>43291</v>
      </c>
      <c r="D9" s="401"/>
      <c r="E9" s="401"/>
      <c r="F9" s="401"/>
      <c r="G9" s="401"/>
      <c r="H9" s="401"/>
      <c r="I9" s="401"/>
      <c r="J9" s="401"/>
      <c r="K9" s="401"/>
    </row>
    <row r="10" spans="2:31" ht="3.75" customHeight="1" x14ac:dyDescent="0.25">
      <c r="B10" s="403"/>
      <c r="C10" s="408"/>
      <c r="D10" s="401"/>
      <c r="E10" s="401"/>
      <c r="F10" s="401"/>
      <c r="G10" s="401"/>
      <c r="H10" s="401"/>
      <c r="I10" s="401"/>
      <c r="J10" s="401"/>
      <c r="K10" s="401"/>
    </row>
    <row r="11" spans="2:31" x14ac:dyDescent="0.25">
      <c r="B11" s="403" t="s">
        <v>1465</v>
      </c>
      <c r="C11" s="405" t="s">
        <v>1463</v>
      </c>
      <c r="D11" s="405"/>
      <c r="E11" s="406" t="s">
        <v>1464</v>
      </c>
      <c r="F11" s="401"/>
      <c r="G11" s="401"/>
      <c r="H11" s="401"/>
      <c r="I11" s="401"/>
      <c r="J11" s="401"/>
      <c r="K11" s="401"/>
    </row>
    <row r="12" spans="2:31" x14ac:dyDescent="0.25">
      <c r="B12" s="401"/>
      <c r="C12" s="401"/>
      <c r="D12" s="401"/>
      <c r="E12" s="401"/>
      <c r="F12" s="401"/>
      <c r="G12" s="401"/>
      <c r="H12" s="401"/>
      <c r="I12" s="401"/>
      <c r="J12" s="401"/>
      <c r="K12" s="401"/>
      <c r="AC12" s="409">
        <v>24</v>
      </c>
    </row>
    <row r="13" spans="2:31" x14ac:dyDescent="0.25">
      <c r="B13" s="401"/>
      <c r="C13" s="401"/>
      <c r="D13" s="401"/>
      <c r="E13" s="401"/>
      <c r="F13" s="401"/>
      <c r="G13" s="401"/>
      <c r="H13" s="401"/>
      <c r="I13" s="401"/>
      <c r="J13" s="401"/>
      <c r="K13" s="401"/>
      <c r="AC13" s="409">
        <v>0</v>
      </c>
    </row>
    <row r="14" spans="2:31" x14ac:dyDescent="0.25">
      <c r="B14" s="454" t="s">
        <v>1466</v>
      </c>
      <c r="C14" s="455" t="s">
        <v>1467</v>
      </c>
      <c r="D14" s="455" t="s">
        <v>1468</v>
      </c>
      <c r="E14" s="455" t="s">
        <v>1469</v>
      </c>
      <c r="F14" s="467" t="s">
        <v>1470</v>
      </c>
      <c r="G14" s="468"/>
      <c r="H14" s="468"/>
      <c r="I14" s="468"/>
      <c r="J14" s="468"/>
      <c r="K14" s="469"/>
      <c r="AB14" s="401" t="s">
        <v>1471</v>
      </c>
      <c r="AC14" s="409">
        <v>24</v>
      </c>
      <c r="AE14" s="401" t="s">
        <v>1472</v>
      </c>
    </row>
    <row r="15" spans="2:31" x14ac:dyDescent="0.25">
      <c r="B15" s="452">
        <v>1</v>
      </c>
      <c r="C15" s="456" t="s">
        <v>1473</v>
      </c>
      <c r="D15" s="458"/>
      <c r="E15" s="460" t="s">
        <v>1473</v>
      </c>
      <c r="F15" s="462" t="s">
        <v>1474</v>
      </c>
      <c r="G15" s="401"/>
      <c r="H15" s="401"/>
      <c r="I15" s="401"/>
      <c r="J15" s="401"/>
      <c r="K15" s="463"/>
      <c r="L15" s="401" t="s">
        <v>320</v>
      </c>
      <c r="AB15" s="401" t="s">
        <v>1031</v>
      </c>
      <c r="AC15" s="401" t="s">
        <v>1475</v>
      </c>
      <c r="AD15" s="401" t="s">
        <v>1476</v>
      </c>
      <c r="AE15" s="401" t="s">
        <v>1477</v>
      </c>
    </row>
    <row r="16" spans="2:31" x14ac:dyDescent="0.25">
      <c r="B16" s="452">
        <v>2</v>
      </c>
      <c r="C16" s="456" t="s">
        <v>1478</v>
      </c>
      <c r="D16" s="458"/>
      <c r="E16" s="460" t="s">
        <v>1478</v>
      </c>
      <c r="F16" s="462" t="s">
        <v>1479</v>
      </c>
      <c r="G16" s="401"/>
      <c r="H16" s="401"/>
      <c r="I16" s="401"/>
      <c r="J16" s="401"/>
      <c r="K16" s="463"/>
      <c r="L16" s="401" t="s">
        <v>320</v>
      </c>
      <c r="AB16" s="401" t="s">
        <v>1463</v>
      </c>
      <c r="AC16" s="401" t="s">
        <v>1480</v>
      </c>
      <c r="AD16" s="401" t="s">
        <v>1481</v>
      </c>
      <c r="AE16" s="401" t="s">
        <v>1482</v>
      </c>
    </row>
    <row r="17" spans="2:31" x14ac:dyDescent="0.25">
      <c r="B17" s="452">
        <v>3</v>
      </c>
      <c r="C17" s="456" t="s">
        <v>1483</v>
      </c>
      <c r="D17" s="458"/>
      <c r="E17" s="460" t="s">
        <v>1483</v>
      </c>
      <c r="F17" s="462" t="s">
        <v>1484</v>
      </c>
      <c r="G17" s="401"/>
      <c r="H17" s="401"/>
      <c r="I17" s="401"/>
      <c r="J17" s="401"/>
      <c r="K17" s="463"/>
      <c r="L17" s="401" t="s">
        <v>320</v>
      </c>
      <c r="AB17" s="401" t="s">
        <v>1463</v>
      </c>
      <c r="AC17" s="401" t="s">
        <v>1480</v>
      </c>
      <c r="AD17" s="401" t="s">
        <v>1485</v>
      </c>
      <c r="AE17" s="401" t="s">
        <v>1486</v>
      </c>
    </row>
    <row r="18" spans="2:31" x14ac:dyDescent="0.25">
      <c r="B18" s="452">
        <v>4</v>
      </c>
      <c r="C18" s="456" t="s">
        <v>1487</v>
      </c>
      <c r="D18" s="458"/>
      <c r="E18" s="460" t="s">
        <v>1487</v>
      </c>
      <c r="F18" s="462" t="s">
        <v>1488</v>
      </c>
      <c r="G18" s="401"/>
      <c r="H18" s="401"/>
      <c r="I18" s="401"/>
      <c r="J18" s="401"/>
      <c r="K18" s="463"/>
      <c r="L18" s="401" t="s">
        <v>320</v>
      </c>
      <c r="AB18" s="401" t="s">
        <v>1489</v>
      </c>
      <c r="AC18" s="401" t="s">
        <v>1490</v>
      </c>
      <c r="AD18" s="401" t="s">
        <v>1463</v>
      </c>
      <c r="AE18" s="401" t="s">
        <v>1472</v>
      </c>
    </row>
    <row r="19" spans="2:31" x14ac:dyDescent="0.25">
      <c r="B19" s="452">
        <v>5</v>
      </c>
      <c r="C19" s="456" t="s">
        <v>1491</v>
      </c>
      <c r="D19" s="458"/>
      <c r="E19" s="460" t="s">
        <v>1491</v>
      </c>
      <c r="F19" s="462" t="s">
        <v>1492</v>
      </c>
      <c r="G19" s="401"/>
      <c r="H19" s="401"/>
      <c r="I19" s="401"/>
      <c r="J19" s="401"/>
      <c r="K19" s="463"/>
      <c r="L19" s="401" t="s">
        <v>320</v>
      </c>
      <c r="AB19" s="401" t="s">
        <v>1493</v>
      </c>
      <c r="AC19" s="401" t="s">
        <v>1494</v>
      </c>
      <c r="AD19" s="401" t="s">
        <v>1495</v>
      </c>
      <c r="AE19" s="401">
        <v>0</v>
      </c>
    </row>
    <row r="20" spans="2:31" x14ac:dyDescent="0.25">
      <c r="B20" s="452">
        <v>6</v>
      </c>
      <c r="C20" s="456" t="s">
        <v>1496</v>
      </c>
      <c r="D20" s="458"/>
      <c r="E20" s="460" t="s">
        <v>1496</v>
      </c>
      <c r="F20" s="462" t="s">
        <v>1497</v>
      </c>
      <c r="G20" s="401"/>
      <c r="H20" s="401"/>
      <c r="I20" s="401"/>
      <c r="J20" s="401"/>
      <c r="K20" s="463"/>
      <c r="L20" s="401" t="s">
        <v>320</v>
      </c>
      <c r="AB20" s="401" t="s">
        <v>1498</v>
      </c>
      <c r="AC20" s="401" t="s">
        <v>1499</v>
      </c>
      <c r="AD20" s="401" t="s">
        <v>320</v>
      </c>
    </row>
    <row r="21" spans="2:31" ht="12.75" customHeight="1" x14ac:dyDescent="0.25">
      <c r="B21" s="452">
        <v>7</v>
      </c>
      <c r="C21" s="456" t="s">
        <v>1500</v>
      </c>
      <c r="D21" s="458"/>
      <c r="E21" s="460" t="s">
        <v>1500</v>
      </c>
      <c r="F21" s="462" t="s">
        <v>1501</v>
      </c>
      <c r="G21" s="401"/>
      <c r="H21" s="401"/>
      <c r="I21" s="401"/>
      <c r="J21" s="401"/>
      <c r="K21" s="463"/>
      <c r="L21" s="401" t="s">
        <v>320</v>
      </c>
      <c r="AB21" s="401" t="s">
        <v>1502</v>
      </c>
      <c r="AC21" s="401" t="s">
        <v>1503</v>
      </c>
    </row>
    <row r="22" spans="2:31" x14ac:dyDescent="0.25">
      <c r="B22" s="452">
        <v>8</v>
      </c>
      <c r="C22" s="456" t="s">
        <v>1504</v>
      </c>
      <c r="D22" s="458"/>
      <c r="E22" s="460" t="s">
        <v>1504</v>
      </c>
      <c r="F22" s="462" t="s">
        <v>1505</v>
      </c>
      <c r="G22" s="401"/>
      <c r="H22" s="401"/>
      <c r="I22" s="401"/>
      <c r="J22" s="401"/>
      <c r="K22" s="463"/>
      <c r="L22" s="401" t="s">
        <v>320</v>
      </c>
      <c r="AB22" s="401" t="s">
        <v>1506</v>
      </c>
      <c r="AC22" s="401" t="s">
        <v>1507</v>
      </c>
    </row>
    <row r="23" spans="2:31" x14ac:dyDescent="0.25">
      <c r="B23" s="452">
        <v>9</v>
      </c>
      <c r="C23" s="456" t="s">
        <v>1508</v>
      </c>
      <c r="D23" s="458"/>
      <c r="E23" s="460" t="s">
        <v>1508</v>
      </c>
      <c r="F23" s="462" t="s">
        <v>1509</v>
      </c>
      <c r="G23" s="401"/>
      <c r="H23" s="401"/>
      <c r="I23" s="401"/>
      <c r="J23" s="401"/>
      <c r="K23" s="463"/>
      <c r="L23" s="401" t="s">
        <v>320</v>
      </c>
    </row>
    <row r="24" spans="2:31" x14ac:dyDescent="0.25">
      <c r="B24" s="453">
        <v>10</v>
      </c>
      <c r="C24" s="457" t="s">
        <v>1510</v>
      </c>
      <c r="D24" s="459"/>
      <c r="E24" s="461" t="s">
        <v>1510</v>
      </c>
      <c r="F24" s="464" t="s">
        <v>1511</v>
      </c>
      <c r="G24" s="465"/>
      <c r="H24" s="465"/>
      <c r="I24" s="465"/>
      <c r="J24" s="465"/>
      <c r="K24" s="466"/>
      <c r="L24" s="401" t="s">
        <v>320</v>
      </c>
    </row>
    <row r="25" spans="2:31" x14ac:dyDescent="0.25">
      <c r="L25" s="401" t="s">
        <v>320</v>
      </c>
    </row>
    <row r="26" spans="2:31" x14ac:dyDescent="0.25">
      <c r="L26" s="401" t="s">
        <v>320</v>
      </c>
    </row>
    <row r="27" spans="2:31" x14ac:dyDescent="0.25">
      <c r="L27" s="401" t="s">
        <v>320</v>
      </c>
    </row>
    <row r="28" spans="2:31" x14ac:dyDescent="0.25">
      <c r="L28" s="401" t="s">
        <v>320</v>
      </c>
    </row>
    <row r="29" spans="2:31" x14ac:dyDescent="0.25">
      <c r="L29" s="401" t="s">
        <v>320</v>
      </c>
    </row>
    <row r="30" spans="2:31" x14ac:dyDescent="0.25">
      <c r="L30" s="401" t="s">
        <v>320</v>
      </c>
    </row>
    <row r="31" spans="2:31" x14ac:dyDescent="0.25">
      <c r="L31" s="401" t="s">
        <v>320</v>
      </c>
    </row>
    <row r="32" spans="2:31" x14ac:dyDescent="0.25">
      <c r="L32" s="401" t="s">
        <v>320</v>
      </c>
    </row>
    <row r="33" spans="12:12" x14ac:dyDescent="0.25">
      <c r="L33" s="401" t="s">
        <v>320</v>
      </c>
    </row>
    <row r="34" spans="12:12" x14ac:dyDescent="0.25">
      <c r="L34" s="401" t="s">
        <v>320</v>
      </c>
    </row>
    <row r="35" spans="12:12" x14ac:dyDescent="0.25">
      <c r="L35" s="401" t="s">
        <v>320</v>
      </c>
    </row>
    <row r="36" spans="12:12" x14ac:dyDescent="0.25">
      <c r="L36" s="401" t="s">
        <v>320</v>
      </c>
    </row>
    <row r="37" spans="12:12" x14ac:dyDescent="0.25">
      <c r="L37" s="401" t="s">
        <v>320</v>
      </c>
    </row>
    <row r="38" spans="12:12" x14ac:dyDescent="0.25">
      <c r="L38" s="401" t="s">
        <v>320</v>
      </c>
    </row>
    <row r="39" spans="12:12" x14ac:dyDescent="0.25">
      <c r="L39" s="401" t="s">
        <v>320</v>
      </c>
    </row>
    <row r="40" spans="12:12" x14ac:dyDescent="0.25">
      <c r="L40" s="401" t="s">
        <v>320</v>
      </c>
    </row>
    <row r="41" spans="12:12" x14ac:dyDescent="0.25">
      <c r="L41" s="401" t="s">
        <v>320</v>
      </c>
    </row>
    <row r="42" spans="12:12" x14ac:dyDescent="0.25">
      <c r="L42" s="401" t="s">
        <v>320</v>
      </c>
    </row>
    <row r="43" spans="12:12" x14ac:dyDescent="0.25">
      <c r="L43" s="401" t="s">
        <v>320</v>
      </c>
    </row>
    <row r="44" spans="12:12" x14ac:dyDescent="0.25">
      <c r="L44" s="401" t="s">
        <v>320</v>
      </c>
    </row>
    <row r="45" spans="12:12" x14ac:dyDescent="0.25">
      <c r="L45" s="401" t="s">
        <v>320</v>
      </c>
    </row>
    <row r="46" spans="12:12" x14ac:dyDescent="0.25">
      <c r="L46" s="401" t="s">
        <v>320</v>
      </c>
    </row>
    <row r="47" spans="12:12" x14ac:dyDescent="0.25">
      <c r="L47" s="401" t="s">
        <v>320</v>
      </c>
    </row>
    <row r="48" spans="12:12" x14ac:dyDescent="0.25">
      <c r="L48" s="401" t="s">
        <v>320</v>
      </c>
    </row>
    <row r="49" spans="12:12" x14ac:dyDescent="0.25">
      <c r="L49" s="401" t="s">
        <v>320</v>
      </c>
    </row>
    <row r="50" spans="12:12" x14ac:dyDescent="0.25">
      <c r="L50" s="401" t="s">
        <v>320</v>
      </c>
    </row>
    <row r="51" spans="12:12" x14ac:dyDescent="0.25">
      <c r="L51" s="401" t="s">
        <v>320</v>
      </c>
    </row>
    <row r="52" spans="12:12" x14ac:dyDescent="0.25">
      <c r="L52" s="401" t="s">
        <v>320</v>
      </c>
    </row>
    <row r="53" spans="12:12" x14ac:dyDescent="0.25">
      <c r="L53" s="401" t="s">
        <v>320</v>
      </c>
    </row>
    <row r="54" spans="12:12" x14ac:dyDescent="0.25">
      <c r="L54" s="401" t="s">
        <v>320</v>
      </c>
    </row>
    <row r="55" spans="12:12" x14ac:dyDescent="0.25">
      <c r="L55" s="401" t="s">
        <v>320</v>
      </c>
    </row>
    <row r="56" spans="12:12" x14ac:dyDescent="0.25">
      <c r="L56" s="401" t="s">
        <v>320</v>
      </c>
    </row>
    <row r="57" spans="12:12" x14ac:dyDescent="0.25">
      <c r="L57" s="401" t="s">
        <v>320</v>
      </c>
    </row>
    <row r="58" spans="12:12" x14ac:dyDescent="0.25">
      <c r="L58" s="401" t="s">
        <v>320</v>
      </c>
    </row>
    <row r="59" spans="12:12" x14ac:dyDescent="0.25">
      <c r="L59" s="401" t="s">
        <v>320</v>
      </c>
    </row>
    <row r="60" spans="12:12" x14ac:dyDescent="0.25">
      <c r="L60" s="401" t="s">
        <v>320</v>
      </c>
    </row>
    <row r="61" spans="12:12" x14ac:dyDescent="0.25">
      <c r="L61" s="401" t="s">
        <v>320</v>
      </c>
    </row>
    <row r="62" spans="12:12" x14ac:dyDescent="0.25">
      <c r="L62" s="401" t="s">
        <v>320</v>
      </c>
    </row>
    <row r="63" spans="12:12" x14ac:dyDescent="0.25">
      <c r="L63" s="401" t="s">
        <v>320</v>
      </c>
    </row>
    <row r="64" spans="12:12" x14ac:dyDescent="0.25">
      <c r="L64" s="401" t="s">
        <v>320</v>
      </c>
    </row>
    <row r="65" spans="12:12" x14ac:dyDescent="0.25">
      <c r="L65" s="401" t="s">
        <v>320</v>
      </c>
    </row>
    <row r="66" spans="12:12" x14ac:dyDescent="0.25">
      <c r="L66" s="401" t="s">
        <v>320</v>
      </c>
    </row>
    <row r="67" spans="12:12" x14ac:dyDescent="0.25">
      <c r="L67" s="401" t="s">
        <v>320</v>
      </c>
    </row>
    <row r="68" spans="12:12" x14ac:dyDescent="0.25">
      <c r="L68" s="401" t="s">
        <v>320</v>
      </c>
    </row>
    <row r="69" spans="12:12" x14ac:dyDescent="0.25">
      <c r="L69" s="401" t="s">
        <v>320</v>
      </c>
    </row>
    <row r="70" spans="12:12" x14ac:dyDescent="0.25">
      <c r="L70" s="401" t="s">
        <v>320</v>
      </c>
    </row>
    <row r="71" spans="12:12" x14ac:dyDescent="0.25">
      <c r="L71" s="401" t="s">
        <v>320</v>
      </c>
    </row>
    <row r="72" spans="12:12" x14ac:dyDescent="0.25">
      <c r="L72" s="401" t="s">
        <v>320</v>
      </c>
    </row>
    <row r="73" spans="12:12" x14ac:dyDescent="0.25">
      <c r="L73" s="401" t="s">
        <v>320</v>
      </c>
    </row>
    <row r="74" spans="12:12" x14ac:dyDescent="0.25">
      <c r="L74" s="401" t="s">
        <v>320</v>
      </c>
    </row>
    <row r="75" spans="12:12" x14ac:dyDescent="0.25">
      <c r="L75" s="401" t="s">
        <v>320</v>
      </c>
    </row>
    <row r="76" spans="12:12" x14ac:dyDescent="0.25">
      <c r="L76" s="401" t="s">
        <v>320</v>
      </c>
    </row>
    <row r="77" spans="12:12" x14ac:dyDescent="0.25">
      <c r="L77" s="401" t="s">
        <v>320</v>
      </c>
    </row>
    <row r="78" spans="12:12" x14ac:dyDescent="0.25">
      <c r="L78" s="401" t="s">
        <v>320</v>
      </c>
    </row>
    <row r="79" spans="12:12" x14ac:dyDescent="0.25">
      <c r="L79" s="401" t="s">
        <v>320</v>
      </c>
    </row>
    <row r="80" spans="12:12" x14ac:dyDescent="0.25">
      <c r="L80" s="401" t="s">
        <v>320</v>
      </c>
    </row>
    <row r="81" spans="12:12" x14ac:dyDescent="0.25">
      <c r="L81" s="401" t="s">
        <v>320</v>
      </c>
    </row>
    <row r="82" spans="12:12" x14ac:dyDescent="0.25">
      <c r="L82" s="401" t="s">
        <v>320</v>
      </c>
    </row>
    <row r="83" spans="12:12" x14ac:dyDescent="0.25">
      <c r="L83" s="401" t="s">
        <v>320</v>
      </c>
    </row>
    <row r="84" spans="12:12" x14ac:dyDescent="0.25">
      <c r="L84" s="401" t="s">
        <v>320</v>
      </c>
    </row>
    <row r="85" spans="12:12" x14ac:dyDescent="0.25">
      <c r="L85" s="401" t="s">
        <v>320</v>
      </c>
    </row>
    <row r="86" spans="12:12" x14ac:dyDescent="0.25">
      <c r="L86" s="401" t="s">
        <v>320</v>
      </c>
    </row>
    <row r="87" spans="12:12" x14ac:dyDescent="0.25">
      <c r="L87" s="401" t="s">
        <v>320</v>
      </c>
    </row>
    <row r="88" spans="12:12" x14ac:dyDescent="0.25">
      <c r="L88" s="401" t="s">
        <v>320</v>
      </c>
    </row>
    <row r="89" spans="12:12" x14ac:dyDescent="0.25">
      <c r="L89" s="401" t="s">
        <v>320</v>
      </c>
    </row>
    <row r="90" spans="12:12" x14ac:dyDescent="0.25">
      <c r="L90" s="401" t="s">
        <v>320</v>
      </c>
    </row>
    <row r="91" spans="12:12" x14ac:dyDescent="0.25">
      <c r="L91" s="401" t="s">
        <v>320</v>
      </c>
    </row>
    <row r="92" spans="12:12" x14ac:dyDescent="0.25">
      <c r="L92" s="401" t="s">
        <v>320</v>
      </c>
    </row>
    <row r="93" spans="12:12" x14ac:dyDescent="0.25">
      <c r="L93" s="401" t="s">
        <v>320</v>
      </c>
    </row>
    <row r="94" spans="12:12" x14ac:dyDescent="0.25">
      <c r="L94" s="401" t="s">
        <v>320</v>
      </c>
    </row>
    <row r="95" spans="12:12" x14ac:dyDescent="0.25">
      <c r="L95" s="401" t="s">
        <v>320</v>
      </c>
    </row>
    <row r="96" spans="12:12" x14ac:dyDescent="0.25">
      <c r="L96" s="401" t="s">
        <v>320</v>
      </c>
    </row>
    <row r="97" spans="12:12" x14ac:dyDescent="0.25">
      <c r="L97" s="401" t="s">
        <v>320</v>
      </c>
    </row>
    <row r="98" spans="12:12" x14ac:dyDescent="0.25">
      <c r="L98" s="401" t="s">
        <v>320</v>
      </c>
    </row>
    <row r="99" spans="12:12" x14ac:dyDescent="0.25">
      <c r="L99" s="401" t="s">
        <v>320</v>
      </c>
    </row>
    <row r="100" spans="12:12" x14ac:dyDescent="0.25">
      <c r="L100" s="401" t="s">
        <v>320</v>
      </c>
    </row>
    <row r="101" spans="12:12" x14ac:dyDescent="0.25">
      <c r="L101" s="401" t="s">
        <v>320</v>
      </c>
    </row>
    <row r="102" spans="12:12" x14ac:dyDescent="0.25">
      <c r="L102" s="401" t="s">
        <v>320</v>
      </c>
    </row>
    <row r="103" spans="12:12" x14ac:dyDescent="0.25">
      <c r="L103" s="401" t="s">
        <v>320</v>
      </c>
    </row>
    <row r="104" spans="12:12" x14ac:dyDescent="0.25">
      <c r="L104" s="401" t="s">
        <v>320</v>
      </c>
    </row>
    <row r="105" spans="12:12" x14ac:dyDescent="0.25">
      <c r="L105" s="401" t="s">
        <v>320</v>
      </c>
    </row>
    <row r="106" spans="12:12" x14ac:dyDescent="0.25">
      <c r="L106" s="401" t="s">
        <v>320</v>
      </c>
    </row>
    <row r="107" spans="12:12" x14ac:dyDescent="0.25">
      <c r="L107" s="401" t="s">
        <v>320</v>
      </c>
    </row>
    <row r="108" spans="12:12" x14ac:dyDescent="0.25">
      <c r="L108" s="401" t="s">
        <v>320</v>
      </c>
    </row>
    <row r="109" spans="12:12" x14ac:dyDescent="0.25">
      <c r="L109" s="401" t="s">
        <v>320</v>
      </c>
    </row>
    <row r="110" spans="12:12" x14ac:dyDescent="0.25">
      <c r="L110" s="401" t="s">
        <v>320</v>
      </c>
    </row>
    <row r="111" spans="12:12" x14ac:dyDescent="0.25">
      <c r="L111" s="401" t="s">
        <v>320</v>
      </c>
    </row>
    <row r="112" spans="12:12" x14ac:dyDescent="0.25">
      <c r="L112" s="401" t="s">
        <v>320</v>
      </c>
    </row>
    <row r="113" spans="12:12" x14ac:dyDescent="0.25">
      <c r="L113" s="401" t="s">
        <v>320</v>
      </c>
    </row>
    <row r="114" spans="12:12" x14ac:dyDescent="0.25">
      <c r="L114" s="401" t="s">
        <v>320</v>
      </c>
    </row>
    <row r="115" spans="12:12" x14ac:dyDescent="0.25">
      <c r="L115" s="401" t="s">
        <v>320</v>
      </c>
    </row>
    <row r="116" spans="12:12" x14ac:dyDescent="0.25">
      <c r="L116" s="401" t="s">
        <v>320</v>
      </c>
    </row>
    <row r="117" spans="12:12" x14ac:dyDescent="0.25">
      <c r="L117" s="401" t="s">
        <v>320</v>
      </c>
    </row>
    <row r="118" spans="12:12" x14ac:dyDescent="0.25">
      <c r="L118" s="401" t="s">
        <v>320</v>
      </c>
    </row>
    <row r="119" spans="12:12" x14ac:dyDescent="0.25">
      <c r="L119" s="401" t="s">
        <v>320</v>
      </c>
    </row>
    <row r="120" spans="12:12" x14ac:dyDescent="0.25">
      <c r="L120" s="401" t="s">
        <v>320</v>
      </c>
    </row>
    <row r="121" spans="12:12" x14ac:dyDescent="0.25">
      <c r="L121" s="401" t="s">
        <v>320</v>
      </c>
    </row>
    <row r="122" spans="12:12" x14ac:dyDescent="0.25">
      <c r="L122" s="401" t="s">
        <v>320</v>
      </c>
    </row>
    <row r="123" spans="12:12" x14ac:dyDescent="0.25">
      <c r="L123" s="401" t="s">
        <v>320</v>
      </c>
    </row>
    <row r="124" spans="12:12" x14ac:dyDescent="0.25">
      <c r="L124" s="401" t="s">
        <v>320</v>
      </c>
    </row>
    <row r="125" spans="12:12" x14ac:dyDescent="0.25">
      <c r="L125" s="401" t="s">
        <v>320</v>
      </c>
    </row>
    <row r="126" spans="12:12" x14ac:dyDescent="0.25">
      <c r="L126" s="401" t="s">
        <v>320</v>
      </c>
    </row>
    <row r="127" spans="12:12" x14ac:dyDescent="0.25">
      <c r="L127" s="401" t="s">
        <v>320</v>
      </c>
    </row>
    <row r="128" spans="12:12" x14ac:dyDescent="0.25">
      <c r="L128" s="401" t="s">
        <v>320</v>
      </c>
    </row>
    <row r="129" spans="12:12" x14ac:dyDescent="0.25">
      <c r="L129" s="401" t="s">
        <v>320</v>
      </c>
    </row>
    <row r="130" spans="12:12" x14ac:dyDescent="0.25">
      <c r="L130" s="401" t="s">
        <v>320</v>
      </c>
    </row>
    <row r="131" spans="12:12" x14ac:dyDescent="0.25">
      <c r="L131" s="401" t="s">
        <v>320</v>
      </c>
    </row>
    <row r="132" spans="12:12" x14ac:dyDescent="0.25">
      <c r="L132" s="401" t="s">
        <v>320</v>
      </c>
    </row>
    <row r="133" spans="12:12" x14ac:dyDescent="0.25">
      <c r="L133" s="401" t="s">
        <v>320</v>
      </c>
    </row>
    <row r="134" spans="12:12" x14ac:dyDescent="0.25">
      <c r="L134" s="401" t="s">
        <v>320</v>
      </c>
    </row>
    <row r="135" spans="12:12" x14ac:dyDescent="0.25">
      <c r="L135" s="401" t="s">
        <v>320</v>
      </c>
    </row>
    <row r="136" spans="12:12" x14ac:dyDescent="0.25">
      <c r="L136" s="401" t="s">
        <v>320</v>
      </c>
    </row>
    <row r="137" spans="12:12" x14ac:dyDescent="0.25">
      <c r="L137" s="401" t="s">
        <v>320</v>
      </c>
    </row>
    <row r="138" spans="12:12" x14ac:dyDescent="0.25">
      <c r="L138" s="401" t="s">
        <v>320</v>
      </c>
    </row>
    <row r="139" spans="12:12" x14ac:dyDescent="0.25">
      <c r="L139" s="401" t="s">
        <v>320</v>
      </c>
    </row>
    <row r="140" spans="12:12" x14ac:dyDescent="0.25">
      <c r="L140" s="401" t="s">
        <v>320</v>
      </c>
    </row>
    <row r="141" spans="12:12" x14ac:dyDescent="0.25">
      <c r="L141" s="401" t="s">
        <v>320</v>
      </c>
    </row>
    <row r="142" spans="12:12" x14ac:dyDescent="0.25">
      <c r="L142" s="401" t="s">
        <v>320</v>
      </c>
    </row>
    <row r="143" spans="12:12" x14ac:dyDescent="0.25">
      <c r="L143" s="401" t="s">
        <v>320</v>
      </c>
    </row>
    <row r="144" spans="12:12" x14ac:dyDescent="0.25">
      <c r="L144" s="401" t="s">
        <v>320</v>
      </c>
    </row>
    <row r="145" spans="12:12" x14ac:dyDescent="0.25">
      <c r="L145" s="401" t="s">
        <v>320</v>
      </c>
    </row>
    <row r="146" spans="12:12" x14ac:dyDescent="0.25">
      <c r="L146" s="401" t="s">
        <v>320</v>
      </c>
    </row>
    <row r="147" spans="12:12" x14ac:dyDescent="0.25">
      <c r="L147" s="401" t="s">
        <v>320</v>
      </c>
    </row>
    <row r="148" spans="12:12" x14ac:dyDescent="0.25">
      <c r="L148" s="401" t="s">
        <v>320</v>
      </c>
    </row>
    <row r="149" spans="12:12" x14ac:dyDescent="0.25">
      <c r="L149" s="401" t="s">
        <v>320</v>
      </c>
    </row>
    <row r="150" spans="12:12" x14ac:dyDescent="0.25">
      <c r="L150" s="401" t="s">
        <v>320</v>
      </c>
    </row>
    <row r="151" spans="12:12" x14ac:dyDescent="0.25">
      <c r="L151" s="401" t="s">
        <v>320</v>
      </c>
    </row>
    <row r="152" spans="12:12" x14ac:dyDescent="0.25">
      <c r="L152" s="401" t="s">
        <v>320</v>
      </c>
    </row>
    <row r="153" spans="12:12" x14ac:dyDescent="0.25">
      <c r="L153" s="401" t="s">
        <v>320</v>
      </c>
    </row>
    <row r="154" spans="12:12" x14ac:dyDescent="0.25">
      <c r="L154" s="401" t="s">
        <v>320</v>
      </c>
    </row>
    <row r="155" spans="12:12" x14ac:dyDescent="0.25">
      <c r="L155" s="401" t="s">
        <v>320</v>
      </c>
    </row>
    <row r="156" spans="12:12" x14ac:dyDescent="0.25">
      <c r="L156" s="401" t="s">
        <v>320</v>
      </c>
    </row>
    <row r="157" spans="12:12" x14ac:dyDescent="0.25">
      <c r="L157" s="401" t="s">
        <v>320</v>
      </c>
    </row>
    <row r="158" spans="12:12" x14ac:dyDescent="0.25">
      <c r="L158" s="401" t="s">
        <v>320</v>
      </c>
    </row>
    <row r="159" spans="12:12" x14ac:dyDescent="0.25">
      <c r="L159" s="401" t="s">
        <v>320</v>
      </c>
    </row>
    <row r="160" spans="12:12" x14ac:dyDescent="0.25">
      <c r="L160" s="401" t="s">
        <v>320</v>
      </c>
    </row>
    <row r="161" spans="12:12" x14ac:dyDescent="0.25">
      <c r="L161" s="401" t="s">
        <v>320</v>
      </c>
    </row>
    <row r="162" spans="12:12" x14ac:dyDescent="0.25">
      <c r="L162" s="401" t="s">
        <v>320</v>
      </c>
    </row>
    <row r="163" spans="12:12" x14ac:dyDescent="0.25">
      <c r="L163" s="401" t="s">
        <v>320</v>
      </c>
    </row>
    <row r="164" spans="12:12" x14ac:dyDescent="0.25">
      <c r="L164" s="401" t="s">
        <v>320</v>
      </c>
    </row>
    <row r="165" spans="12:12" x14ac:dyDescent="0.25">
      <c r="L165" s="401" t="s">
        <v>320</v>
      </c>
    </row>
    <row r="166" spans="12:12" x14ac:dyDescent="0.25">
      <c r="L166" s="401" t="s">
        <v>320</v>
      </c>
    </row>
    <row r="167" spans="12:12" x14ac:dyDescent="0.25">
      <c r="L167" s="401" t="s">
        <v>320</v>
      </c>
    </row>
    <row r="168" spans="12:12" x14ac:dyDescent="0.25">
      <c r="L168" s="401" t="s">
        <v>320</v>
      </c>
    </row>
    <row r="169" spans="12:12" x14ac:dyDescent="0.25">
      <c r="L169" s="401" t="s">
        <v>320</v>
      </c>
    </row>
    <row r="170" spans="12:12" x14ac:dyDescent="0.25">
      <c r="L170" s="401" t="s">
        <v>320</v>
      </c>
    </row>
    <row r="171" spans="12:12" x14ac:dyDescent="0.25">
      <c r="L171" s="401" t="s">
        <v>320</v>
      </c>
    </row>
    <row r="172" spans="12:12" x14ac:dyDescent="0.25">
      <c r="L172" s="401" t="s">
        <v>320</v>
      </c>
    </row>
    <row r="173" spans="12:12" x14ac:dyDescent="0.25">
      <c r="L173" s="401" t="s">
        <v>320</v>
      </c>
    </row>
    <row r="174" spans="12:12" x14ac:dyDescent="0.25">
      <c r="L174" s="401" t="s">
        <v>320</v>
      </c>
    </row>
    <row r="175" spans="12:12" x14ac:dyDescent="0.25">
      <c r="L175" s="401" t="s">
        <v>320</v>
      </c>
    </row>
    <row r="176" spans="12:12" x14ac:dyDescent="0.25">
      <c r="L176" s="401" t="s">
        <v>320</v>
      </c>
    </row>
    <row r="177" spans="12:12" x14ac:dyDescent="0.25">
      <c r="L177" s="401" t="s">
        <v>320</v>
      </c>
    </row>
    <row r="178" spans="12:12" x14ac:dyDescent="0.25">
      <c r="L178" s="401" t="s">
        <v>320</v>
      </c>
    </row>
    <row r="179" spans="12:12" x14ac:dyDescent="0.25">
      <c r="L179" s="401" t="s">
        <v>320</v>
      </c>
    </row>
    <row r="180" spans="12:12" x14ac:dyDescent="0.25">
      <c r="L180" s="401" t="s">
        <v>320</v>
      </c>
    </row>
    <row r="181" spans="12:12" x14ac:dyDescent="0.25">
      <c r="L181" s="401" t="s">
        <v>320</v>
      </c>
    </row>
    <row r="182" spans="12:12" x14ac:dyDescent="0.25">
      <c r="L182" s="401" t="s">
        <v>320</v>
      </c>
    </row>
    <row r="183" spans="12:12" x14ac:dyDescent="0.25">
      <c r="L183" s="401" t="s">
        <v>320</v>
      </c>
    </row>
    <row r="184" spans="12:12" x14ac:dyDescent="0.25">
      <c r="L184" s="401" t="s">
        <v>320</v>
      </c>
    </row>
    <row r="185" spans="12:12" x14ac:dyDescent="0.25">
      <c r="L185" s="401" t="s">
        <v>320</v>
      </c>
    </row>
    <row r="186" spans="12:12" x14ac:dyDescent="0.25">
      <c r="L186" s="401" t="s">
        <v>320</v>
      </c>
    </row>
    <row r="187" spans="12:12" x14ac:dyDescent="0.25">
      <c r="L187" s="401" t="s">
        <v>320</v>
      </c>
    </row>
    <row r="188" spans="12:12" x14ac:dyDescent="0.25">
      <c r="L188" s="401" t="s">
        <v>320</v>
      </c>
    </row>
    <row r="189" spans="12:12" x14ac:dyDescent="0.25">
      <c r="L189" s="401" t="s">
        <v>320</v>
      </c>
    </row>
    <row r="190" spans="12:12" x14ac:dyDescent="0.25">
      <c r="L190" s="401" t="s">
        <v>320</v>
      </c>
    </row>
    <row r="191" spans="12:12" x14ac:dyDescent="0.25">
      <c r="L191" s="401" t="s">
        <v>320</v>
      </c>
    </row>
    <row r="192" spans="12:12" x14ac:dyDescent="0.25">
      <c r="L192" s="401" t="s">
        <v>320</v>
      </c>
    </row>
    <row r="193" spans="12:12" x14ac:dyDescent="0.25">
      <c r="L193" s="401" t="s">
        <v>320</v>
      </c>
    </row>
    <row r="194" spans="12:12" x14ac:dyDescent="0.25">
      <c r="L194" s="401" t="s">
        <v>320</v>
      </c>
    </row>
    <row r="195" spans="12:12" x14ac:dyDescent="0.25">
      <c r="L195" s="401" t="s">
        <v>320</v>
      </c>
    </row>
    <row r="196" spans="12:12" x14ac:dyDescent="0.25">
      <c r="L196" s="401" t="s">
        <v>320</v>
      </c>
    </row>
    <row r="197" spans="12:12" x14ac:dyDescent="0.25">
      <c r="L197" s="401" t="s">
        <v>320</v>
      </c>
    </row>
    <row r="198" spans="12:12" x14ac:dyDescent="0.25">
      <c r="L198" s="401" t="s">
        <v>320</v>
      </c>
    </row>
    <row r="199" spans="12:12" x14ac:dyDescent="0.25">
      <c r="L199" s="401" t="s">
        <v>320</v>
      </c>
    </row>
    <row r="200" spans="12:12" x14ac:dyDescent="0.25">
      <c r="L200" s="401" t="s">
        <v>320</v>
      </c>
    </row>
    <row r="201" spans="12:12" x14ac:dyDescent="0.25">
      <c r="L201" s="401" t="s">
        <v>320</v>
      </c>
    </row>
    <row r="202" spans="12:12" x14ac:dyDescent="0.25">
      <c r="L202" s="401" t="s">
        <v>320</v>
      </c>
    </row>
    <row r="203" spans="12:12" x14ac:dyDescent="0.25">
      <c r="L203" s="401" t="s">
        <v>320</v>
      </c>
    </row>
    <row r="204" spans="12:12" x14ac:dyDescent="0.25">
      <c r="L204" s="401" t="s">
        <v>320</v>
      </c>
    </row>
    <row r="205" spans="12:12" x14ac:dyDescent="0.25">
      <c r="L205" s="401" t="s">
        <v>320</v>
      </c>
    </row>
    <row r="206" spans="12:12" x14ac:dyDescent="0.25">
      <c r="L206" s="401" t="s">
        <v>320</v>
      </c>
    </row>
    <row r="207" spans="12:12" x14ac:dyDescent="0.25">
      <c r="L207" s="401" t="s">
        <v>320</v>
      </c>
    </row>
    <row r="208" spans="12:12" x14ac:dyDescent="0.25">
      <c r="L208" s="401" t="s">
        <v>320</v>
      </c>
    </row>
    <row r="209" spans="12:12" x14ac:dyDescent="0.25">
      <c r="L209" s="401" t="s">
        <v>320</v>
      </c>
    </row>
    <row r="210" spans="12:12" x14ac:dyDescent="0.25">
      <c r="L210" s="401" t="s">
        <v>320</v>
      </c>
    </row>
    <row r="211" spans="12:12" x14ac:dyDescent="0.25">
      <c r="L211" s="401" t="s">
        <v>320</v>
      </c>
    </row>
    <row r="212" spans="12:12" x14ac:dyDescent="0.25">
      <c r="L212" s="401" t="s">
        <v>320</v>
      </c>
    </row>
    <row r="213" spans="12:12" x14ac:dyDescent="0.25">
      <c r="L213" s="401" t="s">
        <v>320</v>
      </c>
    </row>
    <row r="214" spans="12:12" x14ac:dyDescent="0.25">
      <c r="L214" s="401" t="s">
        <v>320</v>
      </c>
    </row>
    <row r="215" spans="12:12" x14ac:dyDescent="0.25">
      <c r="L215" s="401" t="s">
        <v>320</v>
      </c>
    </row>
    <row r="216" spans="12:12" x14ac:dyDescent="0.25">
      <c r="L216" s="401" t="s">
        <v>320</v>
      </c>
    </row>
    <row r="217" spans="12:12" x14ac:dyDescent="0.25">
      <c r="L217" s="401" t="s">
        <v>320</v>
      </c>
    </row>
    <row r="218" spans="12:12" x14ac:dyDescent="0.25">
      <c r="L218" s="401" t="s">
        <v>320</v>
      </c>
    </row>
    <row r="219" spans="12:12" x14ac:dyDescent="0.25">
      <c r="L219" s="401" t="s">
        <v>320</v>
      </c>
    </row>
    <row r="220" spans="12:12" x14ac:dyDescent="0.25">
      <c r="L220" s="401" t="s">
        <v>320</v>
      </c>
    </row>
    <row r="221" spans="12:12" x14ac:dyDescent="0.25">
      <c r="L221" s="401" t="s">
        <v>320</v>
      </c>
    </row>
    <row r="222" spans="12:12" x14ac:dyDescent="0.25">
      <c r="L222" s="401" t="s">
        <v>320</v>
      </c>
    </row>
    <row r="223" spans="12:12" x14ac:dyDescent="0.25">
      <c r="L223" s="401" t="s">
        <v>320</v>
      </c>
    </row>
    <row r="224" spans="12:12" x14ac:dyDescent="0.25">
      <c r="L224" s="401" t="s">
        <v>320</v>
      </c>
    </row>
    <row r="225" spans="12:12" x14ac:dyDescent="0.25">
      <c r="L225" s="401" t="s">
        <v>320</v>
      </c>
    </row>
    <row r="226" spans="12:12" x14ac:dyDescent="0.25">
      <c r="L226" s="401" t="s">
        <v>320</v>
      </c>
    </row>
    <row r="227" spans="12:12" x14ac:dyDescent="0.25">
      <c r="L227" s="401" t="s">
        <v>320</v>
      </c>
    </row>
    <row r="228" spans="12:12" x14ac:dyDescent="0.25">
      <c r="L228" s="401" t="s">
        <v>320</v>
      </c>
    </row>
    <row r="229" spans="12:12" x14ac:dyDescent="0.25">
      <c r="L229" s="401" t="s">
        <v>320</v>
      </c>
    </row>
    <row r="230" spans="12:12" x14ac:dyDescent="0.25">
      <c r="L230" s="401" t="s">
        <v>320</v>
      </c>
    </row>
    <row r="231" spans="12:12" x14ac:dyDescent="0.25">
      <c r="L231" s="401" t="s">
        <v>320</v>
      </c>
    </row>
    <row r="232" spans="12:12" x14ac:dyDescent="0.25">
      <c r="L232" s="401" t="s">
        <v>320</v>
      </c>
    </row>
    <row r="233" spans="12:12" x14ac:dyDescent="0.25">
      <c r="L233" s="401" t="s">
        <v>320</v>
      </c>
    </row>
    <row r="234" spans="12:12" x14ac:dyDescent="0.25">
      <c r="L234" s="401" t="s">
        <v>320</v>
      </c>
    </row>
    <row r="235" spans="12:12" x14ac:dyDescent="0.25">
      <c r="L235" s="401" t="s">
        <v>320</v>
      </c>
    </row>
    <row r="236" spans="12:12" x14ac:dyDescent="0.25">
      <c r="L236" s="401" t="s">
        <v>320</v>
      </c>
    </row>
    <row r="237" spans="12:12" x14ac:dyDescent="0.25">
      <c r="L237" s="401" t="s">
        <v>320</v>
      </c>
    </row>
    <row r="238" spans="12:12" x14ac:dyDescent="0.25">
      <c r="L238" s="401" t="s">
        <v>320</v>
      </c>
    </row>
    <row r="239" spans="12:12" x14ac:dyDescent="0.25">
      <c r="L239" s="401" t="s">
        <v>320</v>
      </c>
    </row>
    <row r="240" spans="12:12" x14ac:dyDescent="0.25">
      <c r="L240" s="401" t="s">
        <v>320</v>
      </c>
    </row>
    <row r="241" spans="12:12" x14ac:dyDescent="0.25">
      <c r="L241" s="401" t="s">
        <v>320</v>
      </c>
    </row>
    <row r="242" spans="12:12" x14ac:dyDescent="0.25">
      <c r="L242" s="401" t="s">
        <v>320</v>
      </c>
    </row>
    <row r="243" spans="12:12" x14ac:dyDescent="0.25">
      <c r="L243" s="401" t="s">
        <v>320</v>
      </c>
    </row>
    <row r="244" spans="12:12" x14ac:dyDescent="0.25">
      <c r="L244" s="401" t="s">
        <v>320</v>
      </c>
    </row>
    <row r="245" spans="12:12" x14ac:dyDescent="0.25">
      <c r="L245" s="401" t="s">
        <v>320</v>
      </c>
    </row>
    <row r="246" spans="12:12" x14ac:dyDescent="0.25">
      <c r="L246" s="401" t="s">
        <v>320</v>
      </c>
    </row>
    <row r="247" spans="12:12" x14ac:dyDescent="0.25">
      <c r="L247" s="401" t="s">
        <v>320</v>
      </c>
    </row>
    <row r="248" spans="12:12" x14ac:dyDescent="0.25">
      <c r="L248" s="401" t="s">
        <v>320</v>
      </c>
    </row>
    <row r="249" spans="12:12" x14ac:dyDescent="0.25">
      <c r="L249" s="401" t="s">
        <v>320</v>
      </c>
    </row>
    <row r="250" spans="12:12" x14ac:dyDescent="0.25">
      <c r="L250" s="401" t="s">
        <v>320</v>
      </c>
    </row>
    <row r="251" spans="12:12" x14ac:dyDescent="0.25">
      <c r="L251" s="401" t="s">
        <v>320</v>
      </c>
    </row>
    <row r="252" spans="12:12" x14ac:dyDescent="0.25">
      <c r="L252" s="401" t="s">
        <v>320</v>
      </c>
    </row>
    <row r="253" spans="12:12" x14ac:dyDescent="0.25">
      <c r="L253" s="401" t="s">
        <v>320</v>
      </c>
    </row>
    <row r="254" spans="12:12" x14ac:dyDescent="0.25">
      <c r="L254" s="401" t="s">
        <v>320</v>
      </c>
    </row>
    <row r="255" spans="12:12" x14ac:dyDescent="0.25">
      <c r="L255" s="401" t="s">
        <v>320</v>
      </c>
    </row>
    <row r="256" spans="12:12" x14ac:dyDescent="0.25">
      <c r="L256" s="401" t="s">
        <v>320</v>
      </c>
    </row>
    <row r="257" spans="12:12" x14ac:dyDescent="0.25">
      <c r="L257" s="401" t="s">
        <v>320</v>
      </c>
    </row>
    <row r="258" spans="12:12" x14ac:dyDescent="0.25">
      <c r="L258" s="401" t="s">
        <v>320</v>
      </c>
    </row>
    <row r="259" spans="12:12" x14ac:dyDescent="0.25">
      <c r="L259" s="401" t="s">
        <v>320</v>
      </c>
    </row>
    <row r="260" spans="12:12" x14ac:dyDescent="0.25">
      <c r="L260" s="401" t="s">
        <v>320</v>
      </c>
    </row>
    <row r="261" spans="12:12" x14ac:dyDescent="0.25">
      <c r="L261" s="401" t="s">
        <v>320</v>
      </c>
    </row>
    <row r="262" spans="12:12" x14ac:dyDescent="0.25">
      <c r="L262" s="401" t="s">
        <v>320</v>
      </c>
    </row>
    <row r="263" spans="12:12" x14ac:dyDescent="0.25">
      <c r="L263" s="401" t="s">
        <v>320</v>
      </c>
    </row>
    <row r="264" spans="12:12" x14ac:dyDescent="0.25">
      <c r="L264" s="401" t="s">
        <v>320</v>
      </c>
    </row>
    <row r="265" spans="12:12" x14ac:dyDescent="0.25">
      <c r="L265" s="401" t="s">
        <v>320</v>
      </c>
    </row>
    <row r="266" spans="12:12" x14ac:dyDescent="0.25">
      <c r="L266" s="401" t="s">
        <v>320</v>
      </c>
    </row>
    <row r="267" spans="12:12" x14ac:dyDescent="0.25">
      <c r="L267" s="401" t="s">
        <v>320</v>
      </c>
    </row>
    <row r="268" spans="12:12" x14ac:dyDescent="0.25">
      <c r="L268" s="401" t="s">
        <v>320</v>
      </c>
    </row>
    <row r="269" spans="12:12" x14ac:dyDescent="0.25">
      <c r="L269" s="401" t="s">
        <v>320</v>
      </c>
    </row>
    <row r="270" spans="12:12" x14ac:dyDescent="0.25">
      <c r="L270" s="401" t="s">
        <v>320</v>
      </c>
    </row>
    <row r="271" spans="12:12" x14ac:dyDescent="0.25">
      <c r="L271" s="401" t="s">
        <v>320</v>
      </c>
    </row>
    <row r="272" spans="12:12" x14ac:dyDescent="0.25">
      <c r="L272" s="401" t="s">
        <v>320</v>
      </c>
    </row>
    <row r="273" spans="12:12" x14ac:dyDescent="0.25">
      <c r="L273" s="401" t="s">
        <v>320</v>
      </c>
    </row>
    <row r="274" spans="12:12" x14ac:dyDescent="0.25">
      <c r="L274" s="401" t="s">
        <v>320</v>
      </c>
    </row>
    <row r="275" spans="12:12" x14ac:dyDescent="0.25">
      <c r="L275" s="401" t="s">
        <v>320</v>
      </c>
    </row>
    <row r="276" spans="12:12" x14ac:dyDescent="0.25">
      <c r="L276" s="401" t="s">
        <v>320</v>
      </c>
    </row>
    <row r="277" spans="12:12" x14ac:dyDescent="0.25">
      <c r="L277" s="401" t="s">
        <v>320</v>
      </c>
    </row>
    <row r="278" spans="12:12" x14ac:dyDescent="0.25">
      <c r="L278" s="401" t="s">
        <v>320</v>
      </c>
    </row>
    <row r="279" spans="12:12" x14ac:dyDescent="0.25">
      <c r="L279" s="401" t="s">
        <v>320</v>
      </c>
    </row>
    <row r="280" spans="12:12" x14ac:dyDescent="0.25">
      <c r="L280" s="401" t="s">
        <v>320</v>
      </c>
    </row>
    <row r="281" spans="12:12" x14ac:dyDescent="0.25">
      <c r="L281" s="401" t="s">
        <v>320</v>
      </c>
    </row>
    <row r="282" spans="12:12" x14ac:dyDescent="0.25">
      <c r="L282" s="401" t="s">
        <v>320</v>
      </c>
    </row>
    <row r="283" spans="12:12" x14ac:dyDescent="0.25">
      <c r="L283" s="401" t="s">
        <v>320</v>
      </c>
    </row>
    <row r="284" spans="12:12" x14ac:dyDescent="0.25">
      <c r="L284" s="401" t="s">
        <v>320</v>
      </c>
    </row>
    <row r="285" spans="12:12" x14ac:dyDescent="0.25">
      <c r="L285" s="401" t="s">
        <v>320</v>
      </c>
    </row>
    <row r="286" spans="12:12" x14ac:dyDescent="0.25">
      <c r="L286" s="401" t="s">
        <v>320</v>
      </c>
    </row>
    <row r="287" spans="12:12" x14ac:dyDescent="0.25">
      <c r="L287" s="401" t="s">
        <v>320</v>
      </c>
    </row>
    <row r="288" spans="12:12" x14ac:dyDescent="0.25">
      <c r="L288" s="401" t="s">
        <v>320</v>
      </c>
    </row>
    <row r="289" spans="12:12" x14ac:dyDescent="0.25">
      <c r="L289" s="401" t="s">
        <v>320</v>
      </c>
    </row>
    <row r="290" spans="12:12" x14ac:dyDescent="0.25">
      <c r="L290" s="401" t="s">
        <v>320</v>
      </c>
    </row>
    <row r="291" spans="12:12" x14ac:dyDescent="0.25">
      <c r="L291" s="401" t="s">
        <v>320</v>
      </c>
    </row>
    <row r="292" spans="12:12" x14ac:dyDescent="0.25">
      <c r="L292" s="401" t="s">
        <v>320</v>
      </c>
    </row>
    <row r="293" spans="12:12" x14ac:dyDescent="0.25">
      <c r="L293" s="401" t="s">
        <v>320</v>
      </c>
    </row>
    <row r="294" spans="12:12" x14ac:dyDescent="0.25">
      <c r="L294" s="401" t="s">
        <v>320</v>
      </c>
    </row>
    <row r="295" spans="12:12" x14ac:dyDescent="0.25">
      <c r="L295" s="401" t="s">
        <v>320</v>
      </c>
    </row>
    <row r="296" spans="12:12" x14ac:dyDescent="0.25">
      <c r="L296" s="401" t="s">
        <v>320</v>
      </c>
    </row>
    <row r="297" spans="12:12" x14ac:dyDescent="0.25">
      <c r="L297" s="401" t="s">
        <v>320</v>
      </c>
    </row>
    <row r="298" spans="12:12" x14ac:dyDescent="0.25">
      <c r="L298" s="401" t="s">
        <v>320</v>
      </c>
    </row>
    <row r="299" spans="12:12" x14ac:dyDescent="0.25">
      <c r="L299" s="401" t="s">
        <v>320</v>
      </c>
    </row>
    <row r="300" spans="12:12" x14ac:dyDescent="0.25">
      <c r="L300" s="401" t="s">
        <v>320</v>
      </c>
    </row>
    <row r="301" spans="12:12" x14ac:dyDescent="0.25">
      <c r="L301" s="401" t="s">
        <v>320</v>
      </c>
    </row>
    <row r="302" spans="12:12" x14ac:dyDescent="0.25">
      <c r="L302" s="401" t="s">
        <v>320</v>
      </c>
    </row>
    <row r="303" spans="12:12" x14ac:dyDescent="0.25">
      <c r="L303" s="401" t="s">
        <v>320</v>
      </c>
    </row>
    <row r="304" spans="12:12" x14ac:dyDescent="0.25">
      <c r="L304" s="401" t="s">
        <v>320</v>
      </c>
    </row>
    <row r="305" spans="12:12" x14ac:dyDescent="0.25">
      <c r="L305" s="401" t="s">
        <v>320</v>
      </c>
    </row>
    <row r="306" spans="12:12" x14ac:dyDescent="0.25">
      <c r="L306" s="401" t="s">
        <v>320</v>
      </c>
    </row>
    <row r="307" spans="12:12" x14ac:dyDescent="0.25">
      <c r="L307" s="401" t="s">
        <v>320</v>
      </c>
    </row>
    <row r="308" spans="12:12" x14ac:dyDescent="0.25">
      <c r="L308" s="401" t="s">
        <v>320</v>
      </c>
    </row>
    <row r="309" spans="12:12" x14ac:dyDescent="0.25">
      <c r="L309" s="401" t="s">
        <v>320</v>
      </c>
    </row>
    <row r="310" spans="12:12" x14ac:dyDescent="0.25">
      <c r="L310" s="401" t="s">
        <v>320</v>
      </c>
    </row>
    <row r="311" spans="12:12" x14ac:dyDescent="0.25">
      <c r="L311" s="401" t="s">
        <v>320</v>
      </c>
    </row>
    <row r="312" spans="12:12" x14ac:dyDescent="0.25">
      <c r="L312" s="401" t="s">
        <v>320</v>
      </c>
    </row>
    <row r="313" spans="12:12" x14ac:dyDescent="0.25">
      <c r="L313" s="401" t="s">
        <v>320</v>
      </c>
    </row>
    <row r="314" spans="12:12" x14ac:dyDescent="0.25">
      <c r="L314" s="401" t="s">
        <v>320</v>
      </c>
    </row>
    <row r="315" spans="12:12" x14ac:dyDescent="0.25">
      <c r="L315" s="401" t="s">
        <v>320</v>
      </c>
    </row>
    <row r="316" spans="12:12" x14ac:dyDescent="0.25">
      <c r="L316" s="401" t="s">
        <v>320</v>
      </c>
    </row>
    <row r="317" spans="12:12" x14ac:dyDescent="0.25">
      <c r="L317" s="401" t="s">
        <v>320</v>
      </c>
    </row>
    <row r="318" spans="12:12" x14ac:dyDescent="0.25">
      <c r="L318" s="401" t="s">
        <v>320</v>
      </c>
    </row>
    <row r="319" spans="12:12" x14ac:dyDescent="0.25">
      <c r="L319" s="401" t="s">
        <v>320</v>
      </c>
    </row>
    <row r="320" spans="12:12" x14ac:dyDescent="0.25">
      <c r="L320" s="401" t="s">
        <v>320</v>
      </c>
    </row>
    <row r="321" spans="12:12" x14ac:dyDescent="0.25">
      <c r="L321" s="401" t="s">
        <v>320</v>
      </c>
    </row>
    <row r="322" spans="12:12" x14ac:dyDescent="0.25">
      <c r="L322" s="401" t="s">
        <v>320</v>
      </c>
    </row>
    <row r="323" spans="12:12" x14ac:dyDescent="0.25">
      <c r="L323" s="401" t="s">
        <v>320</v>
      </c>
    </row>
    <row r="324" spans="12:12" x14ac:dyDescent="0.25">
      <c r="L324" s="401" t="s">
        <v>320</v>
      </c>
    </row>
    <row r="325" spans="12:12" x14ac:dyDescent="0.25">
      <c r="L325" s="401" t="s">
        <v>320</v>
      </c>
    </row>
    <row r="326" spans="12:12" x14ac:dyDescent="0.25">
      <c r="L326" s="401" t="s">
        <v>320</v>
      </c>
    </row>
    <row r="327" spans="12:12" x14ac:dyDescent="0.25">
      <c r="L327" s="401" t="s">
        <v>320</v>
      </c>
    </row>
    <row r="328" spans="12:12" x14ac:dyDescent="0.25">
      <c r="L328" s="401" t="s">
        <v>320</v>
      </c>
    </row>
    <row r="329" spans="12:12" x14ac:dyDescent="0.25">
      <c r="L329" s="401" t="s">
        <v>320</v>
      </c>
    </row>
    <row r="330" spans="12:12" x14ac:dyDescent="0.25">
      <c r="L330" s="401" t="s">
        <v>320</v>
      </c>
    </row>
    <row r="331" spans="12:12" x14ac:dyDescent="0.25">
      <c r="L331" s="401" t="s">
        <v>320</v>
      </c>
    </row>
    <row r="332" spans="12:12" x14ac:dyDescent="0.25">
      <c r="L332" s="401" t="s">
        <v>320</v>
      </c>
    </row>
    <row r="333" spans="12:12" x14ac:dyDescent="0.25">
      <c r="L333" s="401" t="s">
        <v>320</v>
      </c>
    </row>
    <row r="334" spans="12:12" x14ac:dyDescent="0.25">
      <c r="L334" s="401" t="s">
        <v>320</v>
      </c>
    </row>
    <row r="335" spans="12:12" x14ac:dyDescent="0.25">
      <c r="L335" s="401" t="s">
        <v>320</v>
      </c>
    </row>
    <row r="336" spans="12:12" x14ac:dyDescent="0.25">
      <c r="L336" s="401" t="s">
        <v>320</v>
      </c>
    </row>
    <row r="337" spans="12:12" x14ac:dyDescent="0.25">
      <c r="L337" s="401" t="s">
        <v>320</v>
      </c>
    </row>
    <row r="338" spans="12:12" x14ac:dyDescent="0.25">
      <c r="L338" s="401" t="s">
        <v>320</v>
      </c>
    </row>
    <row r="339" spans="12:12" x14ac:dyDescent="0.25">
      <c r="L339" s="401" t="s">
        <v>320</v>
      </c>
    </row>
    <row r="340" spans="12:12" x14ac:dyDescent="0.25">
      <c r="L340" s="401" t="s">
        <v>320</v>
      </c>
    </row>
    <row r="341" spans="12:12" x14ac:dyDescent="0.25">
      <c r="L341" s="401" t="s">
        <v>320</v>
      </c>
    </row>
    <row r="342" spans="12:12" x14ac:dyDescent="0.25">
      <c r="L342" s="401" t="s">
        <v>320</v>
      </c>
    </row>
    <row r="343" spans="12:12" x14ac:dyDescent="0.25">
      <c r="L343" s="401" t="s">
        <v>320</v>
      </c>
    </row>
    <row r="344" spans="12:12" x14ac:dyDescent="0.25">
      <c r="L344" s="401" t="s">
        <v>320</v>
      </c>
    </row>
    <row r="345" spans="12:12" x14ac:dyDescent="0.25">
      <c r="L345" s="401" t="s">
        <v>320</v>
      </c>
    </row>
    <row r="346" spans="12:12" x14ac:dyDescent="0.25">
      <c r="L346" s="401" t="s">
        <v>320</v>
      </c>
    </row>
    <row r="347" spans="12:12" x14ac:dyDescent="0.25">
      <c r="L347" s="401" t="s">
        <v>320</v>
      </c>
    </row>
    <row r="348" spans="12:12" x14ac:dyDescent="0.25">
      <c r="L348" s="401" t="s">
        <v>320</v>
      </c>
    </row>
    <row r="349" spans="12:12" x14ac:dyDescent="0.25">
      <c r="L349" s="401" t="s">
        <v>320</v>
      </c>
    </row>
    <row r="350" spans="12:12" x14ac:dyDescent="0.25">
      <c r="L350" s="401" t="s">
        <v>320</v>
      </c>
    </row>
    <row r="351" spans="12:12" x14ac:dyDescent="0.25">
      <c r="L351" s="401" t="s">
        <v>320</v>
      </c>
    </row>
    <row r="352" spans="12:12" x14ac:dyDescent="0.25">
      <c r="L352" s="401" t="s">
        <v>320</v>
      </c>
    </row>
    <row r="353" spans="12:12" x14ac:dyDescent="0.25">
      <c r="L353" s="401" t="s">
        <v>320</v>
      </c>
    </row>
    <row r="354" spans="12:12" x14ac:dyDescent="0.25">
      <c r="L354" s="401" t="s">
        <v>320</v>
      </c>
    </row>
    <row r="355" spans="12:12" x14ac:dyDescent="0.25">
      <c r="L355" s="401" t="s">
        <v>320</v>
      </c>
    </row>
    <row r="356" spans="12:12" x14ac:dyDescent="0.25">
      <c r="L356" s="401" t="s">
        <v>320</v>
      </c>
    </row>
    <row r="357" spans="12:12" x14ac:dyDescent="0.25">
      <c r="L357" s="401" t="s">
        <v>320</v>
      </c>
    </row>
    <row r="358" spans="12:12" x14ac:dyDescent="0.25">
      <c r="L358" s="401" t="s">
        <v>320</v>
      </c>
    </row>
    <row r="359" spans="12:12" x14ac:dyDescent="0.25">
      <c r="L359" s="401" t="s">
        <v>320</v>
      </c>
    </row>
    <row r="360" spans="12:12" x14ac:dyDescent="0.25">
      <c r="L360" s="401" t="s">
        <v>320</v>
      </c>
    </row>
    <row r="361" spans="12:12" x14ac:dyDescent="0.25">
      <c r="L361" s="401" t="s">
        <v>320</v>
      </c>
    </row>
    <row r="362" spans="12:12" x14ac:dyDescent="0.25">
      <c r="L362" s="401" t="s">
        <v>320</v>
      </c>
    </row>
    <row r="363" spans="12:12" x14ac:dyDescent="0.25">
      <c r="L363" s="401" t="s">
        <v>320</v>
      </c>
    </row>
    <row r="364" spans="12:12" x14ac:dyDescent="0.25">
      <c r="L364" s="401" t="s">
        <v>320</v>
      </c>
    </row>
    <row r="365" spans="12:12" x14ac:dyDescent="0.25">
      <c r="L365" s="401" t="s">
        <v>320</v>
      </c>
    </row>
    <row r="366" spans="12:12" x14ac:dyDescent="0.25">
      <c r="L366" s="401" t="s">
        <v>320</v>
      </c>
    </row>
    <row r="367" spans="12:12" x14ac:dyDescent="0.25">
      <c r="L367" s="401" t="s">
        <v>320</v>
      </c>
    </row>
    <row r="368" spans="12:12" x14ac:dyDescent="0.25">
      <c r="L368" s="401" t="s">
        <v>320</v>
      </c>
    </row>
    <row r="369" spans="12:12" x14ac:dyDescent="0.25">
      <c r="L369" s="401" t="s">
        <v>320</v>
      </c>
    </row>
    <row r="370" spans="12:12" x14ac:dyDescent="0.25">
      <c r="L370" s="401" t="s">
        <v>320</v>
      </c>
    </row>
    <row r="371" spans="12:12" x14ac:dyDescent="0.25">
      <c r="L371" s="401" t="s">
        <v>320</v>
      </c>
    </row>
    <row r="372" spans="12:12" x14ac:dyDescent="0.25">
      <c r="L372" s="401" t="s">
        <v>320</v>
      </c>
    </row>
    <row r="373" spans="12:12" x14ac:dyDescent="0.25">
      <c r="L373" s="401" t="s">
        <v>320</v>
      </c>
    </row>
    <row r="374" spans="12:12" x14ac:dyDescent="0.25">
      <c r="L374" s="401" t="s">
        <v>320</v>
      </c>
    </row>
    <row r="375" spans="12:12" x14ac:dyDescent="0.25">
      <c r="L375" s="401" t="s">
        <v>320</v>
      </c>
    </row>
    <row r="376" spans="12:12" x14ac:dyDescent="0.25">
      <c r="L376" s="401" t="s">
        <v>320</v>
      </c>
    </row>
    <row r="377" spans="12:12" x14ac:dyDescent="0.25">
      <c r="L377" s="401" t="s">
        <v>320</v>
      </c>
    </row>
    <row r="378" spans="12:12" x14ac:dyDescent="0.25">
      <c r="L378" s="401" t="s">
        <v>320</v>
      </c>
    </row>
    <row r="379" spans="12:12" x14ac:dyDescent="0.25">
      <c r="L379" s="401" t="s">
        <v>320</v>
      </c>
    </row>
    <row r="380" spans="12:12" x14ac:dyDescent="0.25">
      <c r="L380" s="401" t="s">
        <v>320</v>
      </c>
    </row>
    <row r="381" spans="12:12" x14ac:dyDescent="0.25">
      <c r="L381" s="401" t="s">
        <v>320</v>
      </c>
    </row>
    <row r="382" spans="12:12" x14ac:dyDescent="0.25">
      <c r="L382" s="401" t="s">
        <v>320</v>
      </c>
    </row>
    <row r="383" spans="12:12" x14ac:dyDescent="0.25">
      <c r="L383" s="401" t="s">
        <v>320</v>
      </c>
    </row>
    <row r="384" spans="12:12" x14ac:dyDescent="0.25">
      <c r="L384" s="401" t="s">
        <v>320</v>
      </c>
    </row>
    <row r="385" spans="12:12" x14ac:dyDescent="0.25">
      <c r="L385" s="401" t="s">
        <v>320</v>
      </c>
    </row>
    <row r="386" spans="12:12" x14ac:dyDescent="0.25">
      <c r="L386" s="401" t="s">
        <v>320</v>
      </c>
    </row>
    <row r="387" spans="12:12" x14ac:dyDescent="0.25">
      <c r="L387" s="401" t="s">
        <v>320</v>
      </c>
    </row>
    <row r="388" spans="12:12" x14ac:dyDescent="0.25">
      <c r="L388" s="401" t="s">
        <v>320</v>
      </c>
    </row>
    <row r="389" spans="12:12" x14ac:dyDescent="0.25">
      <c r="L389" s="401" t="s">
        <v>320</v>
      </c>
    </row>
    <row r="390" spans="12:12" x14ac:dyDescent="0.25">
      <c r="L390" s="401" t="s">
        <v>320</v>
      </c>
    </row>
    <row r="391" spans="12:12" x14ac:dyDescent="0.25">
      <c r="L391" s="401" t="s">
        <v>320</v>
      </c>
    </row>
    <row r="392" spans="12:12" x14ac:dyDescent="0.25">
      <c r="L392" s="401" t="s">
        <v>320</v>
      </c>
    </row>
    <row r="393" spans="12:12" x14ac:dyDescent="0.25">
      <c r="L393" s="401" t="s">
        <v>320</v>
      </c>
    </row>
    <row r="394" spans="12:12" x14ac:dyDescent="0.25">
      <c r="L394" s="401" t="s">
        <v>320</v>
      </c>
    </row>
    <row r="395" spans="12:12" x14ac:dyDescent="0.25">
      <c r="L395" s="401" t="s">
        <v>320</v>
      </c>
    </row>
    <row r="396" spans="12:12" x14ac:dyDescent="0.25">
      <c r="L396" s="401" t="s">
        <v>320</v>
      </c>
    </row>
    <row r="397" spans="12:12" x14ac:dyDescent="0.25">
      <c r="L397" s="401" t="s">
        <v>320</v>
      </c>
    </row>
    <row r="398" spans="12:12" x14ac:dyDescent="0.25">
      <c r="L398" s="401" t="s">
        <v>320</v>
      </c>
    </row>
    <row r="399" spans="12:12" x14ac:dyDescent="0.25">
      <c r="L399" s="401" t="s">
        <v>320</v>
      </c>
    </row>
    <row r="400" spans="12:12" x14ac:dyDescent="0.25">
      <c r="L400" s="401" t="s">
        <v>320</v>
      </c>
    </row>
    <row r="401" spans="12:12" x14ac:dyDescent="0.25">
      <c r="L401" s="401" t="s">
        <v>320</v>
      </c>
    </row>
    <row r="402" spans="12:12" x14ac:dyDescent="0.25">
      <c r="L402" s="401" t="s">
        <v>320</v>
      </c>
    </row>
    <row r="403" spans="12:12" x14ac:dyDescent="0.25">
      <c r="L403" s="401" t="s">
        <v>320</v>
      </c>
    </row>
    <row r="404" spans="12:12" x14ac:dyDescent="0.25">
      <c r="L404" s="401" t="s">
        <v>320</v>
      </c>
    </row>
    <row r="405" spans="12:12" x14ac:dyDescent="0.25">
      <c r="L405" s="401" t="s">
        <v>320</v>
      </c>
    </row>
    <row r="406" spans="12:12" x14ac:dyDescent="0.25">
      <c r="L406" s="401" t="s">
        <v>320</v>
      </c>
    </row>
    <row r="407" spans="12:12" x14ac:dyDescent="0.25">
      <c r="L407" s="401" t="s">
        <v>320</v>
      </c>
    </row>
    <row r="408" spans="12:12" x14ac:dyDescent="0.25">
      <c r="L408" s="401" t="s">
        <v>320</v>
      </c>
    </row>
    <row r="409" spans="12:12" x14ac:dyDescent="0.25">
      <c r="L409" s="401" t="s">
        <v>320</v>
      </c>
    </row>
    <row r="410" spans="12:12" x14ac:dyDescent="0.25">
      <c r="L410" s="401" t="s">
        <v>320</v>
      </c>
    </row>
    <row r="411" spans="12:12" x14ac:dyDescent="0.25">
      <c r="L411" s="401" t="s">
        <v>320</v>
      </c>
    </row>
    <row r="412" spans="12:12" x14ac:dyDescent="0.25">
      <c r="L412" s="401" t="s">
        <v>320</v>
      </c>
    </row>
    <row r="413" spans="12:12" x14ac:dyDescent="0.25">
      <c r="L413" s="401" t="s">
        <v>320</v>
      </c>
    </row>
    <row r="414" spans="12:12" x14ac:dyDescent="0.25">
      <c r="L414" s="401" t="s">
        <v>320</v>
      </c>
    </row>
    <row r="415" spans="12:12" x14ac:dyDescent="0.25">
      <c r="L415" s="401" t="s">
        <v>320</v>
      </c>
    </row>
    <row r="416" spans="12:12" x14ac:dyDescent="0.25">
      <c r="L416" s="401" t="s">
        <v>320</v>
      </c>
    </row>
    <row r="417" spans="12:12" x14ac:dyDescent="0.25">
      <c r="L417" s="401" t="s">
        <v>320</v>
      </c>
    </row>
    <row r="418" spans="12:12" x14ac:dyDescent="0.25">
      <c r="L418" s="401" t="s">
        <v>320</v>
      </c>
    </row>
    <row r="419" spans="12:12" x14ac:dyDescent="0.25">
      <c r="L419" s="401" t="s">
        <v>320</v>
      </c>
    </row>
    <row r="420" spans="12:12" x14ac:dyDescent="0.25">
      <c r="L420" s="401" t="s">
        <v>320</v>
      </c>
    </row>
    <row r="421" spans="12:12" x14ac:dyDescent="0.25">
      <c r="L421" s="401" t="s">
        <v>320</v>
      </c>
    </row>
    <row r="422" spans="12:12" x14ac:dyDescent="0.25">
      <c r="L422" s="401" t="s">
        <v>320</v>
      </c>
    </row>
    <row r="423" spans="12:12" x14ac:dyDescent="0.25">
      <c r="L423" s="401" t="s">
        <v>320</v>
      </c>
    </row>
    <row r="424" spans="12:12" x14ac:dyDescent="0.25">
      <c r="L424" s="401" t="s">
        <v>320</v>
      </c>
    </row>
    <row r="425" spans="12:12" x14ac:dyDescent="0.25">
      <c r="L425" s="401" t="s">
        <v>320</v>
      </c>
    </row>
    <row r="426" spans="12:12" x14ac:dyDescent="0.25">
      <c r="L426" s="401" t="s">
        <v>320</v>
      </c>
    </row>
    <row r="427" spans="12:12" x14ac:dyDescent="0.25">
      <c r="L427" s="401" t="s">
        <v>320</v>
      </c>
    </row>
    <row r="428" spans="12:12" x14ac:dyDescent="0.25">
      <c r="L428" s="401" t="s">
        <v>320</v>
      </c>
    </row>
    <row r="429" spans="12:12" x14ac:dyDescent="0.25">
      <c r="L429" s="401" t="s">
        <v>320</v>
      </c>
    </row>
    <row r="430" spans="12:12" x14ac:dyDescent="0.25">
      <c r="L430" s="401" t="s">
        <v>320</v>
      </c>
    </row>
    <row r="431" spans="12:12" x14ac:dyDescent="0.25">
      <c r="L431" s="401" t="s">
        <v>320</v>
      </c>
    </row>
    <row r="432" spans="12:12" x14ac:dyDescent="0.25">
      <c r="L432" s="401" t="s">
        <v>320</v>
      </c>
    </row>
    <row r="433" spans="12:12" x14ac:dyDescent="0.25">
      <c r="L433" s="401" t="s">
        <v>320</v>
      </c>
    </row>
    <row r="434" spans="12:12" x14ac:dyDescent="0.25">
      <c r="L434" s="401" t="s">
        <v>320</v>
      </c>
    </row>
    <row r="435" spans="12:12" x14ac:dyDescent="0.25">
      <c r="L435" s="401" t="s">
        <v>320</v>
      </c>
    </row>
    <row r="436" spans="12:12" x14ac:dyDescent="0.25">
      <c r="L436" s="401" t="s">
        <v>320</v>
      </c>
    </row>
    <row r="437" spans="12:12" x14ac:dyDescent="0.25">
      <c r="L437" s="401" t="s">
        <v>320</v>
      </c>
    </row>
    <row r="438" spans="12:12" x14ac:dyDescent="0.25">
      <c r="L438" s="401" t="s">
        <v>320</v>
      </c>
    </row>
    <row r="439" spans="12:12" x14ac:dyDescent="0.25">
      <c r="L439" s="401" t="s">
        <v>320</v>
      </c>
    </row>
    <row r="440" spans="12:12" x14ac:dyDescent="0.25">
      <c r="L440" s="401" t="s">
        <v>320</v>
      </c>
    </row>
    <row r="441" spans="12:12" x14ac:dyDescent="0.25">
      <c r="L441" s="401" t="s">
        <v>320</v>
      </c>
    </row>
    <row r="442" spans="12:12" x14ac:dyDescent="0.25">
      <c r="L442" s="401" t="s">
        <v>320</v>
      </c>
    </row>
    <row r="443" spans="12:12" x14ac:dyDescent="0.25">
      <c r="L443" s="401" t="s">
        <v>320</v>
      </c>
    </row>
    <row r="444" spans="12:12" x14ac:dyDescent="0.25">
      <c r="L444" s="401" t="s">
        <v>320</v>
      </c>
    </row>
    <row r="445" spans="12:12" x14ac:dyDescent="0.25">
      <c r="L445" s="401" t="s">
        <v>320</v>
      </c>
    </row>
    <row r="446" spans="12:12" x14ac:dyDescent="0.25">
      <c r="L446" s="401" t="s">
        <v>320</v>
      </c>
    </row>
    <row r="447" spans="12:12" x14ac:dyDescent="0.25">
      <c r="L447" s="401" t="s">
        <v>320</v>
      </c>
    </row>
    <row r="448" spans="12:12" x14ac:dyDescent="0.25">
      <c r="L448" s="401" t="s">
        <v>320</v>
      </c>
    </row>
    <row r="449" spans="12:12" x14ac:dyDescent="0.25">
      <c r="L449" s="401" t="s">
        <v>320</v>
      </c>
    </row>
    <row r="450" spans="12:12" x14ac:dyDescent="0.25">
      <c r="L450" s="401" t="s">
        <v>320</v>
      </c>
    </row>
    <row r="451" spans="12:12" x14ac:dyDescent="0.25">
      <c r="L451" s="401" t="s">
        <v>320</v>
      </c>
    </row>
    <row r="452" spans="12:12" x14ac:dyDescent="0.25">
      <c r="L452" s="401" t="s">
        <v>320</v>
      </c>
    </row>
    <row r="453" spans="12:12" x14ac:dyDescent="0.25">
      <c r="L453" s="401" t="s">
        <v>320</v>
      </c>
    </row>
    <row r="454" spans="12:12" x14ac:dyDescent="0.25">
      <c r="L454" s="401" t="s">
        <v>320</v>
      </c>
    </row>
    <row r="455" spans="12:12" x14ac:dyDescent="0.25">
      <c r="L455" s="401" t="s">
        <v>320</v>
      </c>
    </row>
    <row r="456" spans="12:12" x14ac:dyDescent="0.25">
      <c r="L456" s="401" t="s">
        <v>320</v>
      </c>
    </row>
    <row r="457" spans="12:12" x14ac:dyDescent="0.25">
      <c r="L457" s="401" t="s">
        <v>320</v>
      </c>
    </row>
    <row r="458" spans="12:12" x14ac:dyDescent="0.25">
      <c r="L458" s="401" t="s">
        <v>320</v>
      </c>
    </row>
    <row r="459" spans="12:12" x14ac:dyDescent="0.25">
      <c r="L459" s="401" t="s">
        <v>320</v>
      </c>
    </row>
    <row r="460" spans="12:12" x14ac:dyDescent="0.25">
      <c r="L460" s="401" t="s">
        <v>320</v>
      </c>
    </row>
    <row r="461" spans="12:12" x14ac:dyDescent="0.25">
      <c r="L461" s="401" t="s">
        <v>320</v>
      </c>
    </row>
    <row r="462" spans="12:12" x14ac:dyDescent="0.25">
      <c r="L462" s="401" t="s">
        <v>320</v>
      </c>
    </row>
    <row r="463" spans="12:12" x14ac:dyDescent="0.25">
      <c r="L463" s="401" t="s">
        <v>320</v>
      </c>
    </row>
    <row r="464" spans="12:12" x14ac:dyDescent="0.25">
      <c r="L464" s="401" t="s">
        <v>320</v>
      </c>
    </row>
    <row r="465" spans="12:12" x14ac:dyDescent="0.25">
      <c r="L465" s="401" t="s">
        <v>320</v>
      </c>
    </row>
    <row r="466" spans="12:12" x14ac:dyDescent="0.25">
      <c r="L466" s="401" t="s">
        <v>320</v>
      </c>
    </row>
    <row r="467" spans="12:12" x14ac:dyDescent="0.25">
      <c r="L467" s="401" t="s">
        <v>320</v>
      </c>
    </row>
    <row r="468" spans="12:12" x14ac:dyDescent="0.25">
      <c r="L468" s="401" t="s">
        <v>320</v>
      </c>
    </row>
    <row r="469" spans="12:12" x14ac:dyDescent="0.25">
      <c r="L469" s="401" t="s">
        <v>320</v>
      </c>
    </row>
    <row r="470" spans="12:12" x14ac:dyDescent="0.25">
      <c r="L470" s="401" t="s">
        <v>320</v>
      </c>
    </row>
    <row r="471" spans="12:12" x14ac:dyDescent="0.25">
      <c r="L471" s="401" t="s">
        <v>320</v>
      </c>
    </row>
    <row r="472" spans="12:12" x14ac:dyDescent="0.25">
      <c r="L472" s="401" t="s">
        <v>320</v>
      </c>
    </row>
    <row r="473" spans="12:12" x14ac:dyDescent="0.25">
      <c r="L473" s="401" t="s">
        <v>320</v>
      </c>
    </row>
    <row r="474" spans="12:12" x14ac:dyDescent="0.25">
      <c r="L474" s="401" t="s">
        <v>320</v>
      </c>
    </row>
    <row r="475" spans="12:12" x14ac:dyDescent="0.25">
      <c r="L475" s="401" t="s">
        <v>320</v>
      </c>
    </row>
    <row r="476" spans="12:12" x14ac:dyDescent="0.25">
      <c r="L476" s="401" t="s">
        <v>320</v>
      </c>
    </row>
    <row r="477" spans="12:12" x14ac:dyDescent="0.25">
      <c r="L477" s="401" t="s">
        <v>320</v>
      </c>
    </row>
    <row r="478" spans="12:12" x14ac:dyDescent="0.25">
      <c r="L478" s="401" t="s">
        <v>320</v>
      </c>
    </row>
    <row r="479" spans="12:12" x14ac:dyDescent="0.25">
      <c r="L479" s="401" t="s">
        <v>320</v>
      </c>
    </row>
    <row r="480" spans="12:12" x14ac:dyDescent="0.25">
      <c r="L480" s="401" t="s">
        <v>320</v>
      </c>
    </row>
    <row r="481" spans="12:12" x14ac:dyDescent="0.25">
      <c r="L481" s="401" t="s">
        <v>320</v>
      </c>
    </row>
    <row r="482" spans="12:12" x14ac:dyDescent="0.25">
      <c r="L482" s="401" t="s">
        <v>320</v>
      </c>
    </row>
    <row r="483" spans="12:12" x14ac:dyDescent="0.25">
      <c r="L483" s="401" t="s">
        <v>320</v>
      </c>
    </row>
    <row r="484" spans="12:12" x14ac:dyDescent="0.25">
      <c r="L484" s="401" t="s">
        <v>320</v>
      </c>
    </row>
    <row r="485" spans="12:12" x14ac:dyDescent="0.25">
      <c r="L485" s="401" t="s">
        <v>320</v>
      </c>
    </row>
    <row r="486" spans="12:12" x14ac:dyDescent="0.25">
      <c r="L486" s="401" t="s">
        <v>320</v>
      </c>
    </row>
    <row r="487" spans="12:12" x14ac:dyDescent="0.25">
      <c r="L487" s="401" t="s">
        <v>320</v>
      </c>
    </row>
    <row r="488" spans="12:12" x14ac:dyDescent="0.25">
      <c r="L488" s="401" t="s">
        <v>320</v>
      </c>
    </row>
    <row r="489" spans="12:12" x14ac:dyDescent="0.25">
      <c r="L489" s="401" t="s">
        <v>320</v>
      </c>
    </row>
    <row r="490" spans="12:12" x14ac:dyDescent="0.25">
      <c r="L490" s="401" t="s">
        <v>320</v>
      </c>
    </row>
    <row r="491" spans="12:12" x14ac:dyDescent="0.25">
      <c r="L491" s="401" t="s">
        <v>320</v>
      </c>
    </row>
    <row r="492" spans="12:12" x14ac:dyDescent="0.25">
      <c r="L492" s="401" t="s">
        <v>320</v>
      </c>
    </row>
    <row r="493" spans="12:12" x14ac:dyDescent="0.25">
      <c r="L493" s="401" t="s">
        <v>320</v>
      </c>
    </row>
    <row r="494" spans="12:12" x14ac:dyDescent="0.25">
      <c r="L494" s="401" t="s">
        <v>320</v>
      </c>
    </row>
    <row r="495" spans="12:12" x14ac:dyDescent="0.25">
      <c r="L495" s="401" t="s">
        <v>320</v>
      </c>
    </row>
    <row r="496" spans="12:12" x14ac:dyDescent="0.25">
      <c r="L496" s="401" t="s">
        <v>320</v>
      </c>
    </row>
    <row r="497" spans="12:12" x14ac:dyDescent="0.25">
      <c r="L497" s="401" t="s">
        <v>320</v>
      </c>
    </row>
    <row r="498" spans="12:12" x14ac:dyDescent="0.25">
      <c r="L498" s="401" t="s">
        <v>320</v>
      </c>
    </row>
    <row r="499" spans="12:12" x14ac:dyDescent="0.25">
      <c r="L499" s="401" t="s">
        <v>320</v>
      </c>
    </row>
    <row r="500" spans="12:12" x14ac:dyDescent="0.25">
      <c r="L500" s="401" t="s">
        <v>320</v>
      </c>
    </row>
    <row r="501" spans="12:12" x14ac:dyDescent="0.25">
      <c r="L501" s="401" t="s">
        <v>320</v>
      </c>
    </row>
    <row r="502" spans="12:12" x14ac:dyDescent="0.25">
      <c r="L502" s="401" t="s">
        <v>320</v>
      </c>
    </row>
    <row r="503" spans="12:12" x14ac:dyDescent="0.25">
      <c r="L503" s="401" t="s">
        <v>320</v>
      </c>
    </row>
    <row r="504" spans="12:12" x14ac:dyDescent="0.25">
      <c r="L504" s="401" t="s">
        <v>320</v>
      </c>
    </row>
    <row r="505" spans="12:12" x14ac:dyDescent="0.25">
      <c r="L505" s="401" t="s">
        <v>320</v>
      </c>
    </row>
    <row r="506" spans="12:12" x14ac:dyDescent="0.25">
      <c r="L506" s="401" t="s">
        <v>320</v>
      </c>
    </row>
    <row r="507" spans="12:12" x14ac:dyDescent="0.25">
      <c r="L507" s="401" t="s">
        <v>320</v>
      </c>
    </row>
    <row r="508" spans="12:12" x14ac:dyDescent="0.25">
      <c r="L508" s="401" t="s">
        <v>320</v>
      </c>
    </row>
    <row r="509" spans="12:12" x14ac:dyDescent="0.25">
      <c r="L509" s="401" t="s">
        <v>320</v>
      </c>
    </row>
    <row r="510" spans="12:12" x14ac:dyDescent="0.25">
      <c r="L510" s="401" t="s">
        <v>320</v>
      </c>
    </row>
    <row r="511" spans="12:12" x14ac:dyDescent="0.25">
      <c r="L511" s="401" t="s">
        <v>320</v>
      </c>
    </row>
    <row r="512" spans="12:12" x14ac:dyDescent="0.25">
      <c r="L512" s="401" t="s">
        <v>320</v>
      </c>
    </row>
    <row r="513" spans="12:12" x14ac:dyDescent="0.25">
      <c r="L513" s="401" t="s">
        <v>320</v>
      </c>
    </row>
    <row r="514" spans="12:12" x14ac:dyDescent="0.25">
      <c r="L514" s="401" t="s">
        <v>320</v>
      </c>
    </row>
    <row r="515" spans="12:12" x14ac:dyDescent="0.25">
      <c r="L515" s="401" t="s">
        <v>320</v>
      </c>
    </row>
    <row r="516" spans="12:12" x14ac:dyDescent="0.25">
      <c r="L516" s="401" t="s">
        <v>320</v>
      </c>
    </row>
    <row r="517" spans="12:12" x14ac:dyDescent="0.25">
      <c r="L517" s="401" t="s">
        <v>320</v>
      </c>
    </row>
    <row r="518" spans="12:12" x14ac:dyDescent="0.25">
      <c r="L518" s="401" t="s">
        <v>320</v>
      </c>
    </row>
    <row r="519" spans="12:12" x14ac:dyDescent="0.25">
      <c r="L519" s="401" t="s">
        <v>320</v>
      </c>
    </row>
    <row r="520" spans="12:12" x14ac:dyDescent="0.25">
      <c r="L520" s="401" t="s">
        <v>320</v>
      </c>
    </row>
    <row r="521" spans="12:12" x14ac:dyDescent="0.25">
      <c r="L521" s="401" t="s">
        <v>320</v>
      </c>
    </row>
    <row r="522" spans="12:12" x14ac:dyDescent="0.25">
      <c r="L522" s="401" t="s">
        <v>320</v>
      </c>
    </row>
    <row r="523" spans="12:12" x14ac:dyDescent="0.25">
      <c r="L523" s="401" t="s">
        <v>320</v>
      </c>
    </row>
    <row r="524" spans="12:12" x14ac:dyDescent="0.25">
      <c r="L524" s="401" t="s">
        <v>320</v>
      </c>
    </row>
    <row r="525" spans="12:12" x14ac:dyDescent="0.25">
      <c r="L525" s="401" t="s">
        <v>320</v>
      </c>
    </row>
    <row r="526" spans="12:12" x14ac:dyDescent="0.25">
      <c r="L526" s="401" t="s">
        <v>320</v>
      </c>
    </row>
    <row r="527" spans="12:12" x14ac:dyDescent="0.25">
      <c r="L527" s="401" t="s">
        <v>320</v>
      </c>
    </row>
    <row r="528" spans="12:12" x14ac:dyDescent="0.25">
      <c r="L528" s="401" t="s">
        <v>320</v>
      </c>
    </row>
    <row r="529" spans="12:12" x14ac:dyDescent="0.25">
      <c r="L529" s="401" t="s">
        <v>320</v>
      </c>
    </row>
    <row r="530" spans="12:12" x14ac:dyDescent="0.25">
      <c r="L530" s="401" t="s">
        <v>320</v>
      </c>
    </row>
    <row r="531" spans="12:12" x14ac:dyDescent="0.25">
      <c r="L531" s="401" t="s">
        <v>320</v>
      </c>
    </row>
    <row r="532" spans="12:12" x14ac:dyDescent="0.25">
      <c r="L532" s="401" t="s">
        <v>320</v>
      </c>
    </row>
    <row r="533" spans="12:12" x14ac:dyDescent="0.25">
      <c r="L533" s="401" t="s">
        <v>320</v>
      </c>
    </row>
    <row r="534" spans="12:12" x14ac:dyDescent="0.25">
      <c r="L534" s="401" t="s">
        <v>320</v>
      </c>
    </row>
    <row r="535" spans="12:12" x14ac:dyDescent="0.25">
      <c r="L535" s="401" t="s">
        <v>320</v>
      </c>
    </row>
    <row r="536" spans="12:12" x14ac:dyDescent="0.25">
      <c r="L536" s="401" t="s">
        <v>320</v>
      </c>
    </row>
    <row r="537" spans="12:12" x14ac:dyDescent="0.25">
      <c r="L537" s="401" t="s">
        <v>320</v>
      </c>
    </row>
    <row r="538" spans="12:12" x14ac:dyDescent="0.25">
      <c r="L538" s="401" t="s">
        <v>320</v>
      </c>
    </row>
    <row r="539" spans="12:12" x14ac:dyDescent="0.25">
      <c r="L539" s="401" t="s">
        <v>320</v>
      </c>
    </row>
    <row r="540" spans="12:12" x14ac:dyDescent="0.25">
      <c r="L540" s="401" t="s">
        <v>320</v>
      </c>
    </row>
    <row r="541" spans="12:12" x14ac:dyDescent="0.25">
      <c r="L541" s="401" t="s">
        <v>320</v>
      </c>
    </row>
    <row r="542" spans="12:12" x14ac:dyDescent="0.25">
      <c r="L542" s="401" t="s">
        <v>320</v>
      </c>
    </row>
    <row r="543" spans="12:12" x14ac:dyDescent="0.25">
      <c r="L543" s="401" t="s">
        <v>320</v>
      </c>
    </row>
    <row r="544" spans="12:12" x14ac:dyDescent="0.25">
      <c r="L544" s="401" t="s">
        <v>320</v>
      </c>
    </row>
    <row r="545" spans="12:12" x14ac:dyDescent="0.25">
      <c r="L545" s="401" t="s">
        <v>320</v>
      </c>
    </row>
    <row r="546" spans="12:12" x14ac:dyDescent="0.25">
      <c r="L546" s="401" t="s">
        <v>320</v>
      </c>
    </row>
    <row r="547" spans="12:12" x14ac:dyDescent="0.25">
      <c r="L547" s="401" t="s">
        <v>320</v>
      </c>
    </row>
    <row r="548" spans="12:12" x14ac:dyDescent="0.25">
      <c r="L548" s="401" t="s">
        <v>320</v>
      </c>
    </row>
    <row r="549" spans="12:12" x14ac:dyDescent="0.25">
      <c r="L549" s="401" t="s">
        <v>320</v>
      </c>
    </row>
    <row r="550" spans="12:12" x14ac:dyDescent="0.25">
      <c r="L550" s="401" t="s">
        <v>320</v>
      </c>
    </row>
    <row r="551" spans="12:12" x14ac:dyDescent="0.25">
      <c r="L551" s="401" t="s">
        <v>320</v>
      </c>
    </row>
    <row r="552" spans="12:12" x14ac:dyDescent="0.25">
      <c r="L552" s="401" t="s">
        <v>320</v>
      </c>
    </row>
    <row r="553" spans="12:12" x14ac:dyDescent="0.25">
      <c r="L553" s="401" t="s">
        <v>320</v>
      </c>
    </row>
    <row r="554" spans="12:12" x14ac:dyDescent="0.25">
      <c r="L554" s="401" t="s">
        <v>320</v>
      </c>
    </row>
    <row r="555" spans="12:12" x14ac:dyDescent="0.25">
      <c r="L555" s="401" t="s">
        <v>320</v>
      </c>
    </row>
    <row r="556" spans="12:12" x14ac:dyDescent="0.25">
      <c r="L556" s="401" t="s">
        <v>320</v>
      </c>
    </row>
    <row r="557" spans="12:12" x14ac:dyDescent="0.25">
      <c r="L557" s="401" t="s">
        <v>320</v>
      </c>
    </row>
    <row r="558" spans="12:12" x14ac:dyDescent="0.25">
      <c r="L558" s="401" t="s">
        <v>320</v>
      </c>
    </row>
    <row r="559" spans="12:12" x14ac:dyDescent="0.25">
      <c r="L559" s="401" t="s">
        <v>320</v>
      </c>
    </row>
    <row r="560" spans="12:12" x14ac:dyDescent="0.25">
      <c r="L560" s="401" t="s">
        <v>320</v>
      </c>
    </row>
    <row r="561" spans="12:12" x14ac:dyDescent="0.25">
      <c r="L561" s="401" t="s">
        <v>320</v>
      </c>
    </row>
    <row r="562" spans="12:12" x14ac:dyDescent="0.25">
      <c r="L562" s="401" t="s">
        <v>320</v>
      </c>
    </row>
    <row r="563" spans="12:12" x14ac:dyDescent="0.25">
      <c r="L563" s="401" t="s">
        <v>320</v>
      </c>
    </row>
    <row r="564" spans="12:12" x14ac:dyDescent="0.25">
      <c r="L564" s="401" t="s">
        <v>320</v>
      </c>
    </row>
    <row r="565" spans="12:12" x14ac:dyDescent="0.25">
      <c r="L565" s="401" t="s">
        <v>320</v>
      </c>
    </row>
    <row r="566" spans="12:12" x14ac:dyDescent="0.25">
      <c r="L566" s="401" t="s">
        <v>320</v>
      </c>
    </row>
    <row r="567" spans="12:12" x14ac:dyDescent="0.25">
      <c r="L567" s="401" t="s">
        <v>320</v>
      </c>
    </row>
    <row r="568" spans="12:12" x14ac:dyDescent="0.25">
      <c r="L568" s="401" t="s">
        <v>320</v>
      </c>
    </row>
    <row r="569" spans="12:12" x14ac:dyDescent="0.25">
      <c r="L569" s="401" t="s">
        <v>320</v>
      </c>
    </row>
    <row r="570" spans="12:12" x14ac:dyDescent="0.25">
      <c r="L570" s="401" t="s">
        <v>320</v>
      </c>
    </row>
    <row r="571" spans="12:12" x14ac:dyDescent="0.25">
      <c r="L571" s="401" t="s">
        <v>320</v>
      </c>
    </row>
    <row r="572" spans="12:12" x14ac:dyDescent="0.25">
      <c r="L572" s="401" t="s">
        <v>320</v>
      </c>
    </row>
    <row r="573" spans="12:12" x14ac:dyDescent="0.25">
      <c r="L573" s="401" t="s">
        <v>320</v>
      </c>
    </row>
    <row r="574" spans="12:12" x14ac:dyDescent="0.25">
      <c r="L574" s="401" t="s">
        <v>320</v>
      </c>
    </row>
    <row r="575" spans="12:12" x14ac:dyDescent="0.25">
      <c r="L575" s="401" t="s">
        <v>320</v>
      </c>
    </row>
    <row r="576" spans="12:12" x14ac:dyDescent="0.25">
      <c r="L576" s="401" t="s">
        <v>320</v>
      </c>
    </row>
    <row r="577" spans="12:12" x14ac:dyDescent="0.25">
      <c r="L577" s="401" t="s">
        <v>320</v>
      </c>
    </row>
    <row r="578" spans="12:12" x14ac:dyDescent="0.25">
      <c r="L578" s="401" t="s">
        <v>320</v>
      </c>
    </row>
    <row r="579" spans="12:12" x14ac:dyDescent="0.25">
      <c r="L579" s="401" t="s">
        <v>320</v>
      </c>
    </row>
    <row r="580" spans="12:12" x14ac:dyDescent="0.25">
      <c r="L580" s="401" t="s">
        <v>320</v>
      </c>
    </row>
    <row r="581" spans="12:12" x14ac:dyDescent="0.25">
      <c r="L581" s="401" t="s">
        <v>320</v>
      </c>
    </row>
    <row r="582" spans="12:12" x14ac:dyDescent="0.25">
      <c r="L582" s="401" t="s">
        <v>320</v>
      </c>
    </row>
    <row r="583" spans="12:12" x14ac:dyDescent="0.25">
      <c r="L583" s="401" t="s">
        <v>320</v>
      </c>
    </row>
    <row r="584" spans="12:12" x14ac:dyDescent="0.25">
      <c r="L584" s="401" t="s">
        <v>320</v>
      </c>
    </row>
    <row r="585" spans="12:12" x14ac:dyDescent="0.25">
      <c r="L585" s="401" t="s">
        <v>320</v>
      </c>
    </row>
    <row r="586" spans="12:12" x14ac:dyDescent="0.25">
      <c r="L586" s="401" t="s">
        <v>320</v>
      </c>
    </row>
    <row r="587" spans="12:12" x14ac:dyDescent="0.25">
      <c r="L587" s="401" t="s">
        <v>320</v>
      </c>
    </row>
    <row r="588" spans="12:12" x14ac:dyDescent="0.25">
      <c r="L588" s="401" t="s">
        <v>320</v>
      </c>
    </row>
    <row r="589" spans="12:12" x14ac:dyDescent="0.25">
      <c r="L589" s="401" t="s">
        <v>320</v>
      </c>
    </row>
    <row r="590" spans="12:12" x14ac:dyDescent="0.25">
      <c r="L590" s="401" t="s">
        <v>320</v>
      </c>
    </row>
    <row r="591" spans="12:12" x14ac:dyDescent="0.25">
      <c r="L591" s="401" t="s">
        <v>320</v>
      </c>
    </row>
    <row r="592" spans="12:12" x14ac:dyDescent="0.25">
      <c r="L592" s="401" t="s">
        <v>320</v>
      </c>
    </row>
    <row r="593" spans="12:12" x14ac:dyDescent="0.25">
      <c r="L593" s="401" t="s">
        <v>320</v>
      </c>
    </row>
    <row r="594" spans="12:12" x14ac:dyDescent="0.25">
      <c r="L594" s="401" t="s">
        <v>320</v>
      </c>
    </row>
    <row r="595" spans="12:12" x14ac:dyDescent="0.25">
      <c r="L595" s="401" t="s">
        <v>320</v>
      </c>
    </row>
    <row r="596" spans="12:12" x14ac:dyDescent="0.25">
      <c r="L596" s="401" t="s">
        <v>320</v>
      </c>
    </row>
    <row r="597" spans="12:12" x14ac:dyDescent="0.25">
      <c r="L597" s="401" t="s">
        <v>320</v>
      </c>
    </row>
    <row r="598" spans="12:12" x14ac:dyDescent="0.25">
      <c r="L598" s="401" t="s">
        <v>320</v>
      </c>
    </row>
    <row r="599" spans="12:12" x14ac:dyDescent="0.25">
      <c r="L599" s="401" t="s">
        <v>320</v>
      </c>
    </row>
    <row r="600" spans="12:12" x14ac:dyDescent="0.25">
      <c r="L600" s="401" t="s">
        <v>320</v>
      </c>
    </row>
    <row r="601" spans="12:12" x14ac:dyDescent="0.25">
      <c r="L601" s="401" t="s">
        <v>320</v>
      </c>
    </row>
    <row r="602" spans="12:12" x14ac:dyDescent="0.25">
      <c r="L602" s="401" t="s">
        <v>320</v>
      </c>
    </row>
    <row r="603" spans="12:12" x14ac:dyDescent="0.25">
      <c r="L603" s="401" t="s">
        <v>320</v>
      </c>
    </row>
    <row r="604" spans="12:12" x14ac:dyDescent="0.25">
      <c r="L604" s="401" t="s">
        <v>320</v>
      </c>
    </row>
    <row r="605" spans="12:12" x14ac:dyDescent="0.25">
      <c r="L605" s="401" t="s">
        <v>320</v>
      </c>
    </row>
    <row r="606" spans="12:12" x14ac:dyDescent="0.25">
      <c r="L606" s="401" t="s">
        <v>320</v>
      </c>
    </row>
    <row r="607" spans="12:12" x14ac:dyDescent="0.25">
      <c r="L607" s="401" t="s">
        <v>320</v>
      </c>
    </row>
    <row r="608" spans="12:12" x14ac:dyDescent="0.25">
      <c r="L608" s="401" t="s">
        <v>320</v>
      </c>
    </row>
    <row r="609" spans="12:12" x14ac:dyDescent="0.25">
      <c r="L609" s="401" t="s">
        <v>320</v>
      </c>
    </row>
    <row r="610" spans="12:12" x14ac:dyDescent="0.25">
      <c r="L610" s="401" t="s">
        <v>320</v>
      </c>
    </row>
    <row r="611" spans="12:12" x14ac:dyDescent="0.25">
      <c r="L611" s="401" t="s">
        <v>320</v>
      </c>
    </row>
    <row r="612" spans="12:12" x14ac:dyDescent="0.25">
      <c r="L612" s="401" t="s">
        <v>320</v>
      </c>
    </row>
    <row r="613" spans="12:12" x14ac:dyDescent="0.25">
      <c r="L613" s="401" t="s">
        <v>320</v>
      </c>
    </row>
    <row r="614" spans="12:12" x14ac:dyDescent="0.25">
      <c r="L614" s="401" t="s">
        <v>320</v>
      </c>
    </row>
    <row r="615" spans="12:12" x14ac:dyDescent="0.25">
      <c r="L615" s="401" t="s">
        <v>320</v>
      </c>
    </row>
    <row r="616" spans="12:12" x14ac:dyDescent="0.25">
      <c r="L616" s="401" t="s">
        <v>320</v>
      </c>
    </row>
    <row r="617" spans="12:12" x14ac:dyDescent="0.25">
      <c r="L617" s="401" t="s">
        <v>320</v>
      </c>
    </row>
    <row r="618" spans="12:12" x14ac:dyDescent="0.25">
      <c r="L618" s="401" t="s">
        <v>320</v>
      </c>
    </row>
    <row r="619" spans="12:12" x14ac:dyDescent="0.25">
      <c r="L619" s="401" t="s">
        <v>320</v>
      </c>
    </row>
    <row r="620" spans="12:12" x14ac:dyDescent="0.25">
      <c r="L620" s="401" t="s">
        <v>320</v>
      </c>
    </row>
    <row r="621" spans="12:12" x14ac:dyDescent="0.25">
      <c r="L621" s="401" t="s">
        <v>320</v>
      </c>
    </row>
    <row r="622" spans="12:12" x14ac:dyDescent="0.25">
      <c r="L622" s="401" t="s">
        <v>320</v>
      </c>
    </row>
    <row r="623" spans="12:12" x14ac:dyDescent="0.25">
      <c r="L623" s="401" t="s">
        <v>320</v>
      </c>
    </row>
    <row r="624" spans="12:12" x14ac:dyDescent="0.25">
      <c r="L624" s="401" t="s">
        <v>320</v>
      </c>
    </row>
    <row r="625" spans="12:12" x14ac:dyDescent="0.25">
      <c r="L625" s="401" t="s">
        <v>320</v>
      </c>
    </row>
    <row r="626" spans="12:12" x14ac:dyDescent="0.25">
      <c r="L626" s="401" t="s">
        <v>320</v>
      </c>
    </row>
    <row r="627" spans="12:12" x14ac:dyDescent="0.25">
      <c r="L627" s="401" t="s">
        <v>320</v>
      </c>
    </row>
    <row r="628" spans="12:12" x14ac:dyDescent="0.25">
      <c r="L628" s="401" t="s">
        <v>320</v>
      </c>
    </row>
    <row r="629" spans="12:12" x14ac:dyDescent="0.25">
      <c r="L629" s="401" t="s">
        <v>320</v>
      </c>
    </row>
    <row r="630" spans="12:12" x14ac:dyDescent="0.25">
      <c r="L630" s="401" t="s">
        <v>320</v>
      </c>
    </row>
    <row r="631" spans="12:12" x14ac:dyDescent="0.25">
      <c r="L631" s="401" t="s">
        <v>320</v>
      </c>
    </row>
    <row r="632" spans="12:12" x14ac:dyDescent="0.25">
      <c r="L632" s="401" t="s">
        <v>320</v>
      </c>
    </row>
    <row r="633" spans="12:12" x14ac:dyDescent="0.25">
      <c r="L633" s="401" t="s">
        <v>320</v>
      </c>
    </row>
    <row r="634" spans="12:12" x14ac:dyDescent="0.25">
      <c r="L634" s="401" t="s">
        <v>320</v>
      </c>
    </row>
    <row r="635" spans="12:12" x14ac:dyDescent="0.25">
      <c r="L635" s="401" t="s">
        <v>320</v>
      </c>
    </row>
    <row r="636" spans="12:12" x14ac:dyDescent="0.25">
      <c r="L636" s="401" t="s">
        <v>320</v>
      </c>
    </row>
    <row r="637" spans="12:12" x14ac:dyDescent="0.25">
      <c r="L637" s="401" t="s">
        <v>320</v>
      </c>
    </row>
    <row r="638" spans="12:12" x14ac:dyDescent="0.25">
      <c r="L638" s="401" t="s">
        <v>320</v>
      </c>
    </row>
    <row r="639" spans="12:12" x14ac:dyDescent="0.25">
      <c r="L639" s="401" t="s">
        <v>320</v>
      </c>
    </row>
    <row r="640" spans="12:12" x14ac:dyDescent="0.25">
      <c r="L640" s="401" t="s">
        <v>320</v>
      </c>
    </row>
    <row r="641" spans="12:12" x14ac:dyDescent="0.25">
      <c r="L641" s="401" t="s">
        <v>320</v>
      </c>
    </row>
    <row r="642" spans="12:12" x14ac:dyDescent="0.25">
      <c r="L642" s="401" t="s">
        <v>320</v>
      </c>
    </row>
    <row r="643" spans="12:12" x14ac:dyDescent="0.25">
      <c r="L643" s="401" t="s">
        <v>320</v>
      </c>
    </row>
    <row r="644" spans="12:12" x14ac:dyDescent="0.25">
      <c r="L644" s="401" t="s">
        <v>320</v>
      </c>
    </row>
    <row r="645" spans="12:12" x14ac:dyDescent="0.25">
      <c r="L645" s="401" t="s">
        <v>320</v>
      </c>
    </row>
    <row r="646" spans="12:12" x14ac:dyDescent="0.25">
      <c r="L646" s="401" t="s">
        <v>320</v>
      </c>
    </row>
    <row r="647" spans="12:12" x14ac:dyDescent="0.25">
      <c r="L647" s="401" t="s">
        <v>320</v>
      </c>
    </row>
    <row r="648" spans="12:12" x14ac:dyDescent="0.25">
      <c r="L648" s="401" t="s">
        <v>320</v>
      </c>
    </row>
    <row r="649" spans="12:12" x14ac:dyDescent="0.25">
      <c r="L649" s="401" t="s">
        <v>320</v>
      </c>
    </row>
    <row r="650" spans="12:12" x14ac:dyDescent="0.25">
      <c r="L650" s="401" t="s">
        <v>320</v>
      </c>
    </row>
    <row r="651" spans="12:12" x14ac:dyDescent="0.25">
      <c r="L651" s="401" t="s">
        <v>320</v>
      </c>
    </row>
    <row r="652" spans="12:12" x14ac:dyDescent="0.25">
      <c r="L652" s="401" t="s">
        <v>320</v>
      </c>
    </row>
    <row r="653" spans="12:12" x14ac:dyDescent="0.25">
      <c r="L653" s="401" t="s">
        <v>320</v>
      </c>
    </row>
    <row r="654" spans="12:12" x14ac:dyDescent="0.25">
      <c r="L654" s="401" t="s">
        <v>320</v>
      </c>
    </row>
    <row r="655" spans="12:12" x14ac:dyDescent="0.25">
      <c r="L655" s="401" t="s">
        <v>320</v>
      </c>
    </row>
    <row r="656" spans="12:12" x14ac:dyDescent="0.25">
      <c r="L656" s="401" t="s">
        <v>320</v>
      </c>
    </row>
    <row r="657" spans="12:12" x14ac:dyDescent="0.25">
      <c r="L657" s="401" t="s">
        <v>320</v>
      </c>
    </row>
    <row r="658" spans="12:12" x14ac:dyDescent="0.25">
      <c r="L658" s="401" t="s">
        <v>320</v>
      </c>
    </row>
    <row r="659" spans="12:12" x14ac:dyDescent="0.25">
      <c r="L659" s="401" t="s">
        <v>320</v>
      </c>
    </row>
    <row r="660" spans="12:12" x14ac:dyDescent="0.25">
      <c r="L660" s="401" t="s">
        <v>320</v>
      </c>
    </row>
    <row r="661" spans="12:12" x14ac:dyDescent="0.25">
      <c r="L661" s="401" t="s">
        <v>320</v>
      </c>
    </row>
    <row r="662" spans="12:12" x14ac:dyDescent="0.25">
      <c r="L662" s="401" t="s">
        <v>320</v>
      </c>
    </row>
    <row r="663" spans="12:12" x14ac:dyDescent="0.25">
      <c r="L663" s="401" t="s">
        <v>320</v>
      </c>
    </row>
    <row r="664" spans="12:12" x14ac:dyDescent="0.25">
      <c r="L664" s="401" t="s">
        <v>320</v>
      </c>
    </row>
    <row r="665" spans="12:12" x14ac:dyDescent="0.25">
      <c r="L665" s="401" t="s">
        <v>320</v>
      </c>
    </row>
    <row r="666" spans="12:12" x14ac:dyDescent="0.25">
      <c r="L666" s="401" t="s">
        <v>320</v>
      </c>
    </row>
    <row r="667" spans="12:12" x14ac:dyDescent="0.25">
      <c r="L667" s="401" t="s">
        <v>320</v>
      </c>
    </row>
    <row r="668" spans="12:12" x14ac:dyDescent="0.25">
      <c r="L668" s="401" t="s">
        <v>320</v>
      </c>
    </row>
    <row r="669" spans="12:12" x14ac:dyDescent="0.25">
      <c r="L669" s="401" t="s">
        <v>320</v>
      </c>
    </row>
    <row r="670" spans="12:12" x14ac:dyDescent="0.25">
      <c r="L670" s="401" t="s">
        <v>320</v>
      </c>
    </row>
    <row r="671" spans="12:12" x14ac:dyDescent="0.25">
      <c r="L671" s="401" t="s">
        <v>320</v>
      </c>
    </row>
    <row r="672" spans="12:12" x14ac:dyDescent="0.25">
      <c r="L672" s="401" t="s">
        <v>320</v>
      </c>
    </row>
    <row r="673" spans="12:12" x14ac:dyDescent="0.25">
      <c r="L673" s="401" t="s">
        <v>320</v>
      </c>
    </row>
    <row r="674" spans="12:12" x14ac:dyDescent="0.25">
      <c r="L674" s="401" t="s">
        <v>320</v>
      </c>
    </row>
    <row r="675" spans="12:12" x14ac:dyDescent="0.25">
      <c r="L675" s="401" t="s">
        <v>320</v>
      </c>
    </row>
    <row r="676" spans="12:12" x14ac:dyDescent="0.25">
      <c r="L676" s="401" t="s">
        <v>320</v>
      </c>
    </row>
    <row r="677" spans="12:12" x14ac:dyDescent="0.25">
      <c r="L677" s="401" t="s">
        <v>320</v>
      </c>
    </row>
    <row r="678" spans="12:12" x14ac:dyDescent="0.25">
      <c r="L678" s="401" t="s">
        <v>320</v>
      </c>
    </row>
    <row r="679" spans="12:12" x14ac:dyDescent="0.25">
      <c r="L679" s="401" t="s">
        <v>320</v>
      </c>
    </row>
    <row r="680" spans="12:12" x14ac:dyDescent="0.25">
      <c r="L680" s="401" t="s">
        <v>320</v>
      </c>
    </row>
    <row r="681" spans="12:12" x14ac:dyDescent="0.25">
      <c r="L681" s="401" t="s">
        <v>320</v>
      </c>
    </row>
    <row r="682" spans="12:12" x14ac:dyDescent="0.25">
      <c r="L682" s="401" t="s">
        <v>320</v>
      </c>
    </row>
    <row r="683" spans="12:12" x14ac:dyDescent="0.25">
      <c r="L683" s="401" t="s">
        <v>320</v>
      </c>
    </row>
    <row r="684" spans="12:12" x14ac:dyDescent="0.25">
      <c r="L684" s="401" t="s">
        <v>320</v>
      </c>
    </row>
    <row r="685" spans="12:12" x14ac:dyDescent="0.25">
      <c r="L685" s="401" t="s">
        <v>320</v>
      </c>
    </row>
    <row r="686" spans="12:12" x14ac:dyDescent="0.25">
      <c r="L686" s="401" t="s">
        <v>320</v>
      </c>
    </row>
    <row r="687" spans="12:12" x14ac:dyDescent="0.25">
      <c r="L687" s="401" t="s">
        <v>320</v>
      </c>
    </row>
    <row r="688" spans="12:12" x14ac:dyDescent="0.25">
      <c r="L688" s="401" t="s">
        <v>320</v>
      </c>
    </row>
    <row r="689" spans="12:12" x14ac:dyDescent="0.25">
      <c r="L689" s="401" t="s">
        <v>320</v>
      </c>
    </row>
    <row r="690" spans="12:12" x14ac:dyDescent="0.25">
      <c r="L690" s="401" t="s">
        <v>320</v>
      </c>
    </row>
    <row r="691" spans="12:12" x14ac:dyDescent="0.25">
      <c r="L691" s="401" t="s">
        <v>320</v>
      </c>
    </row>
    <row r="692" spans="12:12" x14ac:dyDescent="0.25">
      <c r="L692" s="401" t="s">
        <v>320</v>
      </c>
    </row>
    <row r="693" spans="12:12" x14ac:dyDescent="0.25">
      <c r="L693" s="401" t="s">
        <v>320</v>
      </c>
    </row>
    <row r="694" spans="12:12" x14ac:dyDescent="0.25">
      <c r="L694" s="401" t="s">
        <v>320</v>
      </c>
    </row>
    <row r="695" spans="12:12" x14ac:dyDescent="0.25">
      <c r="L695" s="401" t="s">
        <v>320</v>
      </c>
    </row>
    <row r="696" spans="12:12" x14ac:dyDescent="0.25">
      <c r="L696" s="401" t="s">
        <v>320</v>
      </c>
    </row>
    <row r="697" spans="12:12" x14ac:dyDescent="0.25">
      <c r="L697" s="401" t="s">
        <v>320</v>
      </c>
    </row>
    <row r="698" spans="12:12" x14ac:dyDescent="0.25">
      <c r="L698" s="401" t="s">
        <v>320</v>
      </c>
    </row>
    <row r="699" spans="12:12" x14ac:dyDescent="0.25">
      <c r="L699" s="401" t="s">
        <v>320</v>
      </c>
    </row>
    <row r="700" spans="12:12" x14ac:dyDescent="0.25">
      <c r="L700" s="401" t="s">
        <v>320</v>
      </c>
    </row>
    <row r="701" spans="12:12" x14ac:dyDescent="0.25">
      <c r="L701" s="401" t="s">
        <v>320</v>
      </c>
    </row>
    <row r="702" spans="12:12" x14ac:dyDescent="0.25">
      <c r="L702" s="401" t="s">
        <v>320</v>
      </c>
    </row>
    <row r="703" spans="12:12" x14ac:dyDescent="0.25">
      <c r="L703" s="401" t="s">
        <v>320</v>
      </c>
    </row>
    <row r="704" spans="12:12" x14ac:dyDescent="0.25">
      <c r="L704" s="401" t="s">
        <v>320</v>
      </c>
    </row>
    <row r="705" spans="12:12" x14ac:dyDescent="0.25">
      <c r="L705" s="401" t="s">
        <v>320</v>
      </c>
    </row>
    <row r="706" spans="12:12" x14ac:dyDescent="0.25">
      <c r="L706" s="401" t="s">
        <v>320</v>
      </c>
    </row>
    <row r="707" spans="12:12" x14ac:dyDescent="0.25">
      <c r="L707" s="401" t="s">
        <v>320</v>
      </c>
    </row>
    <row r="708" spans="12:12" x14ac:dyDescent="0.25">
      <c r="L708" s="401" t="s">
        <v>320</v>
      </c>
    </row>
    <row r="709" spans="12:12" x14ac:dyDescent="0.25">
      <c r="L709" s="401" t="s">
        <v>320</v>
      </c>
    </row>
    <row r="710" spans="12:12" x14ac:dyDescent="0.25">
      <c r="L710" s="401" t="s">
        <v>320</v>
      </c>
    </row>
    <row r="711" spans="12:12" x14ac:dyDescent="0.25">
      <c r="L711" s="401" t="s">
        <v>320</v>
      </c>
    </row>
    <row r="712" spans="12:12" x14ac:dyDescent="0.25">
      <c r="L712" s="401" t="s">
        <v>320</v>
      </c>
    </row>
    <row r="713" spans="12:12" x14ac:dyDescent="0.25">
      <c r="L713" s="401" t="s">
        <v>320</v>
      </c>
    </row>
    <row r="714" spans="12:12" x14ac:dyDescent="0.25">
      <c r="L714" s="401" t="s">
        <v>320</v>
      </c>
    </row>
    <row r="715" spans="12:12" x14ac:dyDescent="0.25">
      <c r="L715" s="401" t="s">
        <v>320</v>
      </c>
    </row>
    <row r="716" spans="12:12" x14ac:dyDescent="0.25">
      <c r="L716" s="401" t="s">
        <v>320</v>
      </c>
    </row>
    <row r="717" spans="12:12" x14ac:dyDescent="0.25">
      <c r="L717" s="401" t="s">
        <v>320</v>
      </c>
    </row>
    <row r="718" spans="12:12" x14ac:dyDescent="0.25">
      <c r="L718" s="401" t="s">
        <v>320</v>
      </c>
    </row>
    <row r="719" spans="12:12" x14ac:dyDescent="0.25">
      <c r="L719" s="401" t="s">
        <v>320</v>
      </c>
    </row>
    <row r="720" spans="12:12" x14ac:dyDescent="0.25">
      <c r="L720" s="401" t="s">
        <v>320</v>
      </c>
    </row>
    <row r="721" spans="12:12" x14ac:dyDescent="0.25">
      <c r="L721" s="401" t="s">
        <v>320</v>
      </c>
    </row>
    <row r="722" spans="12:12" x14ac:dyDescent="0.25">
      <c r="L722" s="401" t="s">
        <v>320</v>
      </c>
    </row>
    <row r="723" spans="12:12" x14ac:dyDescent="0.25">
      <c r="L723" s="401" t="s">
        <v>320</v>
      </c>
    </row>
    <row r="724" spans="12:12" x14ac:dyDescent="0.25">
      <c r="L724" s="401" t="s">
        <v>320</v>
      </c>
    </row>
    <row r="725" spans="12:12" x14ac:dyDescent="0.25">
      <c r="L725" s="401" t="s">
        <v>320</v>
      </c>
    </row>
    <row r="726" spans="12:12" x14ac:dyDescent="0.25">
      <c r="L726" s="401" t="s">
        <v>320</v>
      </c>
    </row>
    <row r="727" spans="12:12" x14ac:dyDescent="0.25">
      <c r="L727" s="401" t="s">
        <v>320</v>
      </c>
    </row>
    <row r="728" spans="12:12" x14ac:dyDescent="0.25">
      <c r="L728" s="401" t="s">
        <v>320</v>
      </c>
    </row>
    <row r="729" spans="12:12" x14ac:dyDescent="0.25">
      <c r="L729" s="401" t="s">
        <v>320</v>
      </c>
    </row>
    <row r="730" spans="12:12" x14ac:dyDescent="0.25">
      <c r="L730" s="401" t="s">
        <v>320</v>
      </c>
    </row>
    <row r="731" spans="12:12" x14ac:dyDescent="0.25">
      <c r="L731" s="401" t="s">
        <v>320</v>
      </c>
    </row>
    <row r="732" spans="12:12" x14ac:dyDescent="0.25">
      <c r="L732" s="401" t="s">
        <v>320</v>
      </c>
    </row>
    <row r="733" spans="12:12" x14ac:dyDescent="0.25">
      <c r="L733" s="401" t="s">
        <v>320</v>
      </c>
    </row>
    <row r="734" spans="12:12" x14ac:dyDescent="0.25">
      <c r="L734" s="401" t="s">
        <v>320</v>
      </c>
    </row>
    <row r="735" spans="12:12" x14ac:dyDescent="0.25">
      <c r="L735" s="401" t="s">
        <v>320</v>
      </c>
    </row>
    <row r="736" spans="12:12" x14ac:dyDescent="0.25">
      <c r="L736" s="401" t="s">
        <v>320</v>
      </c>
    </row>
    <row r="737" spans="12:12" x14ac:dyDescent="0.25">
      <c r="L737" s="401" t="s">
        <v>320</v>
      </c>
    </row>
    <row r="738" spans="12:12" x14ac:dyDescent="0.25">
      <c r="L738" s="401" t="s">
        <v>320</v>
      </c>
    </row>
    <row r="739" spans="12:12" x14ac:dyDescent="0.25">
      <c r="L739" s="401" t="s">
        <v>320</v>
      </c>
    </row>
    <row r="740" spans="12:12" x14ac:dyDescent="0.25">
      <c r="L740" s="401" t="s">
        <v>320</v>
      </c>
    </row>
    <row r="741" spans="12:12" x14ac:dyDescent="0.25">
      <c r="L741" s="401" t="s">
        <v>320</v>
      </c>
    </row>
    <row r="742" spans="12:12" x14ac:dyDescent="0.25">
      <c r="L742" s="401" t="s">
        <v>320</v>
      </c>
    </row>
    <row r="743" spans="12:12" x14ac:dyDescent="0.25">
      <c r="L743" s="401" t="s">
        <v>320</v>
      </c>
    </row>
    <row r="744" spans="12:12" x14ac:dyDescent="0.25">
      <c r="L744" s="401" t="s">
        <v>320</v>
      </c>
    </row>
    <row r="745" spans="12:12" x14ac:dyDescent="0.25">
      <c r="L745" s="401" t="s">
        <v>320</v>
      </c>
    </row>
    <row r="746" spans="12:12" x14ac:dyDescent="0.25">
      <c r="L746" s="401" t="s">
        <v>320</v>
      </c>
    </row>
    <row r="747" spans="12:12" x14ac:dyDescent="0.25">
      <c r="L747" s="401" t="s">
        <v>320</v>
      </c>
    </row>
    <row r="748" spans="12:12" x14ac:dyDescent="0.25">
      <c r="L748" s="401" t="s">
        <v>320</v>
      </c>
    </row>
    <row r="749" spans="12:12" x14ac:dyDescent="0.25">
      <c r="L749" s="401" t="s">
        <v>320</v>
      </c>
    </row>
    <row r="750" spans="12:12" x14ac:dyDescent="0.25">
      <c r="L750" s="401" t="s">
        <v>320</v>
      </c>
    </row>
    <row r="751" spans="12:12" x14ac:dyDescent="0.25">
      <c r="L751" s="401" t="s">
        <v>320</v>
      </c>
    </row>
    <row r="752" spans="12:12" x14ac:dyDescent="0.25">
      <c r="L752" s="401" t="s">
        <v>320</v>
      </c>
    </row>
    <row r="753" spans="12:12" x14ac:dyDescent="0.25">
      <c r="L753" s="401" t="s">
        <v>320</v>
      </c>
    </row>
    <row r="754" spans="12:12" x14ac:dyDescent="0.25">
      <c r="L754" s="401" t="s">
        <v>320</v>
      </c>
    </row>
    <row r="755" spans="12:12" x14ac:dyDescent="0.25">
      <c r="L755" s="401" t="s">
        <v>320</v>
      </c>
    </row>
    <row r="756" spans="12:12" x14ac:dyDescent="0.25">
      <c r="L756" s="401" t="s">
        <v>320</v>
      </c>
    </row>
    <row r="757" spans="12:12" x14ac:dyDescent="0.25">
      <c r="L757" s="401" t="s">
        <v>320</v>
      </c>
    </row>
    <row r="758" spans="12:12" x14ac:dyDescent="0.25">
      <c r="L758" s="401" t="s">
        <v>320</v>
      </c>
    </row>
    <row r="759" spans="12:12" x14ac:dyDescent="0.25">
      <c r="L759" s="401" t="s">
        <v>320</v>
      </c>
    </row>
    <row r="760" spans="12:12" x14ac:dyDescent="0.25">
      <c r="L760" s="401" t="s">
        <v>320</v>
      </c>
    </row>
    <row r="761" spans="12:12" x14ac:dyDescent="0.25">
      <c r="L761" s="401" t="s">
        <v>320</v>
      </c>
    </row>
    <row r="762" spans="12:12" x14ac:dyDescent="0.25">
      <c r="L762" s="401" t="s">
        <v>320</v>
      </c>
    </row>
    <row r="763" spans="12:12" x14ac:dyDescent="0.25">
      <c r="L763" s="401" t="s">
        <v>320</v>
      </c>
    </row>
    <row r="764" spans="12:12" x14ac:dyDescent="0.25">
      <c r="L764" s="401" t="s">
        <v>320</v>
      </c>
    </row>
    <row r="765" spans="12:12" x14ac:dyDescent="0.25">
      <c r="L765" s="401" t="s">
        <v>320</v>
      </c>
    </row>
    <row r="766" spans="12:12" x14ac:dyDescent="0.25">
      <c r="L766" s="401" t="s">
        <v>320</v>
      </c>
    </row>
    <row r="767" spans="12:12" x14ac:dyDescent="0.25">
      <c r="L767" s="401" t="s">
        <v>320</v>
      </c>
    </row>
    <row r="768" spans="12:12" x14ac:dyDescent="0.25">
      <c r="L768" s="401" t="s">
        <v>320</v>
      </c>
    </row>
    <row r="769" spans="12:12" x14ac:dyDescent="0.25">
      <c r="L769" s="401" t="s">
        <v>320</v>
      </c>
    </row>
    <row r="770" spans="12:12" x14ac:dyDescent="0.25">
      <c r="L770" s="401" t="s">
        <v>320</v>
      </c>
    </row>
    <row r="771" spans="12:12" x14ac:dyDescent="0.25">
      <c r="L771" s="401" t="s">
        <v>320</v>
      </c>
    </row>
    <row r="772" spans="12:12" x14ac:dyDescent="0.25">
      <c r="L772" s="401" t="s">
        <v>320</v>
      </c>
    </row>
    <row r="773" spans="12:12" x14ac:dyDescent="0.25">
      <c r="L773" s="401" t="s">
        <v>320</v>
      </c>
    </row>
    <row r="774" spans="12:12" x14ac:dyDescent="0.25">
      <c r="L774" s="401" t="s">
        <v>320</v>
      </c>
    </row>
    <row r="775" spans="12:12" x14ac:dyDescent="0.25">
      <c r="L775" s="401" t="s">
        <v>320</v>
      </c>
    </row>
    <row r="776" spans="12:12" x14ac:dyDescent="0.25">
      <c r="L776" s="401" t="s">
        <v>320</v>
      </c>
    </row>
    <row r="777" spans="12:12" x14ac:dyDescent="0.25">
      <c r="L777" s="401" t="s">
        <v>320</v>
      </c>
    </row>
    <row r="778" spans="12:12" x14ac:dyDescent="0.25">
      <c r="L778" s="401" t="s">
        <v>320</v>
      </c>
    </row>
    <row r="779" spans="12:12" x14ac:dyDescent="0.25">
      <c r="L779" s="401" t="s">
        <v>320</v>
      </c>
    </row>
    <row r="780" spans="12:12" x14ac:dyDescent="0.25">
      <c r="L780" s="401" t="s">
        <v>320</v>
      </c>
    </row>
    <row r="781" spans="12:12" x14ac:dyDescent="0.25">
      <c r="L781" s="401" t="s">
        <v>320</v>
      </c>
    </row>
    <row r="782" spans="12:12" x14ac:dyDescent="0.25">
      <c r="L782" s="401" t="s">
        <v>320</v>
      </c>
    </row>
    <row r="783" spans="12:12" x14ac:dyDescent="0.25">
      <c r="L783" s="401" t="s">
        <v>320</v>
      </c>
    </row>
    <row r="784" spans="12:12" x14ac:dyDescent="0.25">
      <c r="L784" s="401" t="s">
        <v>320</v>
      </c>
    </row>
    <row r="785" spans="12:12" x14ac:dyDescent="0.25">
      <c r="L785" s="401" t="s">
        <v>320</v>
      </c>
    </row>
    <row r="786" spans="12:12" x14ac:dyDescent="0.25">
      <c r="L786" s="401" t="s">
        <v>320</v>
      </c>
    </row>
    <row r="787" spans="12:12" x14ac:dyDescent="0.25">
      <c r="L787" s="401" t="s">
        <v>320</v>
      </c>
    </row>
    <row r="788" spans="12:12" x14ac:dyDescent="0.25">
      <c r="L788" s="401" t="s">
        <v>320</v>
      </c>
    </row>
    <row r="789" spans="12:12" x14ac:dyDescent="0.25">
      <c r="L789" s="401" t="s">
        <v>320</v>
      </c>
    </row>
    <row r="790" spans="12:12" x14ac:dyDescent="0.25">
      <c r="L790" s="401" t="s">
        <v>320</v>
      </c>
    </row>
    <row r="791" spans="12:12" x14ac:dyDescent="0.25">
      <c r="L791" s="401" t="s">
        <v>320</v>
      </c>
    </row>
    <row r="792" spans="12:12" x14ac:dyDescent="0.25">
      <c r="L792" s="401" t="s">
        <v>320</v>
      </c>
    </row>
    <row r="793" spans="12:12" x14ac:dyDescent="0.25">
      <c r="L793" s="401" t="s">
        <v>320</v>
      </c>
    </row>
    <row r="794" spans="12:12" x14ac:dyDescent="0.25">
      <c r="L794" s="401" t="s">
        <v>320</v>
      </c>
    </row>
    <row r="795" spans="12:12" x14ac:dyDescent="0.25">
      <c r="L795" s="401" t="s">
        <v>320</v>
      </c>
    </row>
    <row r="796" spans="12:12" x14ac:dyDescent="0.25">
      <c r="L796" s="401" t="s">
        <v>320</v>
      </c>
    </row>
    <row r="797" spans="12:12" x14ac:dyDescent="0.25">
      <c r="L797" s="401" t="s">
        <v>320</v>
      </c>
    </row>
    <row r="798" spans="12:12" x14ac:dyDescent="0.25">
      <c r="L798" s="401" t="s">
        <v>320</v>
      </c>
    </row>
    <row r="799" spans="12:12" x14ac:dyDescent="0.25">
      <c r="L799" s="401" t="s">
        <v>320</v>
      </c>
    </row>
    <row r="800" spans="12:12" x14ac:dyDescent="0.25">
      <c r="L800" s="401" t="s">
        <v>320</v>
      </c>
    </row>
    <row r="801" spans="12:12" x14ac:dyDescent="0.25">
      <c r="L801" s="401" t="s">
        <v>320</v>
      </c>
    </row>
    <row r="802" spans="12:12" x14ac:dyDescent="0.25">
      <c r="L802" s="401" t="s">
        <v>320</v>
      </c>
    </row>
    <row r="803" spans="12:12" x14ac:dyDescent="0.25">
      <c r="L803" s="401" t="s">
        <v>320</v>
      </c>
    </row>
    <row r="804" spans="12:12" x14ac:dyDescent="0.25">
      <c r="L804" s="401" t="s">
        <v>320</v>
      </c>
    </row>
    <row r="805" spans="12:12" x14ac:dyDescent="0.25">
      <c r="L805" s="401" t="s">
        <v>320</v>
      </c>
    </row>
    <row r="806" spans="12:12" x14ac:dyDescent="0.25">
      <c r="L806" s="401" t="s">
        <v>320</v>
      </c>
    </row>
    <row r="807" spans="12:12" x14ac:dyDescent="0.25">
      <c r="L807" s="401" t="s">
        <v>320</v>
      </c>
    </row>
    <row r="808" spans="12:12" x14ac:dyDescent="0.25">
      <c r="L808" s="401" t="s">
        <v>320</v>
      </c>
    </row>
    <row r="809" spans="12:12" x14ac:dyDescent="0.25">
      <c r="L809" s="401" t="s">
        <v>320</v>
      </c>
    </row>
    <row r="810" spans="12:12" x14ac:dyDescent="0.25">
      <c r="L810" s="401" t="s">
        <v>320</v>
      </c>
    </row>
    <row r="811" spans="12:12" x14ac:dyDescent="0.25">
      <c r="L811" s="401" t="s">
        <v>320</v>
      </c>
    </row>
    <row r="812" spans="12:12" x14ac:dyDescent="0.25">
      <c r="L812" s="401" t="s">
        <v>320</v>
      </c>
    </row>
    <row r="813" spans="12:12" x14ac:dyDescent="0.25">
      <c r="L813" s="401" t="s">
        <v>320</v>
      </c>
    </row>
    <row r="814" spans="12:12" x14ac:dyDescent="0.25">
      <c r="L814" s="401" t="s">
        <v>320</v>
      </c>
    </row>
    <row r="815" spans="12:12" x14ac:dyDescent="0.25">
      <c r="L815" s="401" t="s">
        <v>320</v>
      </c>
    </row>
    <row r="816" spans="12:12" x14ac:dyDescent="0.25">
      <c r="L816" s="401" t="s">
        <v>320</v>
      </c>
    </row>
    <row r="817" spans="12:12" x14ac:dyDescent="0.25">
      <c r="L817" s="401" t="s">
        <v>320</v>
      </c>
    </row>
    <row r="818" spans="12:12" x14ac:dyDescent="0.25">
      <c r="L818" s="401" t="s">
        <v>320</v>
      </c>
    </row>
    <row r="819" spans="12:12" x14ac:dyDescent="0.25">
      <c r="L819" s="401" t="s">
        <v>320</v>
      </c>
    </row>
    <row r="820" spans="12:12" x14ac:dyDescent="0.25">
      <c r="L820" s="401" t="s">
        <v>320</v>
      </c>
    </row>
    <row r="821" spans="12:12" x14ac:dyDescent="0.25">
      <c r="L821" s="401" t="s">
        <v>320</v>
      </c>
    </row>
    <row r="822" spans="12:12" x14ac:dyDescent="0.25">
      <c r="L822" s="401" t="s">
        <v>320</v>
      </c>
    </row>
    <row r="823" spans="12:12" x14ac:dyDescent="0.25">
      <c r="L823" s="401" t="s">
        <v>320</v>
      </c>
    </row>
    <row r="824" spans="12:12" x14ac:dyDescent="0.25">
      <c r="L824" s="401" t="s">
        <v>320</v>
      </c>
    </row>
    <row r="825" spans="12:12" x14ac:dyDescent="0.25">
      <c r="L825" s="401" t="s">
        <v>320</v>
      </c>
    </row>
    <row r="826" spans="12:12" x14ac:dyDescent="0.25">
      <c r="L826" s="401" t="s">
        <v>320</v>
      </c>
    </row>
    <row r="827" spans="12:12" x14ac:dyDescent="0.25">
      <c r="L827" s="401" t="s">
        <v>320</v>
      </c>
    </row>
    <row r="828" spans="12:12" x14ac:dyDescent="0.25">
      <c r="L828" s="401" t="s">
        <v>320</v>
      </c>
    </row>
    <row r="829" spans="12:12" x14ac:dyDescent="0.25">
      <c r="L829" s="401" t="s">
        <v>320</v>
      </c>
    </row>
    <row r="830" spans="12:12" x14ac:dyDescent="0.25">
      <c r="L830" s="401" t="s">
        <v>320</v>
      </c>
    </row>
    <row r="831" spans="12:12" x14ac:dyDescent="0.25">
      <c r="L831" s="401" t="s">
        <v>320</v>
      </c>
    </row>
    <row r="832" spans="12:12" x14ac:dyDescent="0.25">
      <c r="L832" s="401" t="s">
        <v>320</v>
      </c>
    </row>
    <row r="833" spans="12:12" x14ac:dyDescent="0.25">
      <c r="L833" s="401" t="s">
        <v>320</v>
      </c>
    </row>
    <row r="834" spans="12:12" x14ac:dyDescent="0.25">
      <c r="L834" s="401" t="s">
        <v>320</v>
      </c>
    </row>
    <row r="835" spans="12:12" x14ac:dyDescent="0.25">
      <c r="L835" s="401" t="s">
        <v>320</v>
      </c>
    </row>
    <row r="836" spans="12:12" x14ac:dyDescent="0.25">
      <c r="L836" s="401" t="s">
        <v>320</v>
      </c>
    </row>
    <row r="837" spans="12:12" x14ac:dyDescent="0.25">
      <c r="L837" s="401" t="s">
        <v>320</v>
      </c>
    </row>
    <row r="838" spans="12:12" x14ac:dyDescent="0.25">
      <c r="L838" s="401" t="s">
        <v>320</v>
      </c>
    </row>
    <row r="839" spans="12:12" x14ac:dyDescent="0.25">
      <c r="L839" s="401" t="s">
        <v>320</v>
      </c>
    </row>
    <row r="840" spans="12:12" x14ac:dyDescent="0.25">
      <c r="L840" s="401" t="s">
        <v>320</v>
      </c>
    </row>
    <row r="841" spans="12:12" x14ac:dyDescent="0.25">
      <c r="L841" s="401" t="s">
        <v>320</v>
      </c>
    </row>
    <row r="842" spans="12:12" x14ac:dyDescent="0.25">
      <c r="L842" s="401" t="s">
        <v>320</v>
      </c>
    </row>
    <row r="843" spans="12:12" x14ac:dyDescent="0.25">
      <c r="L843" s="401" t="s">
        <v>320</v>
      </c>
    </row>
    <row r="844" spans="12:12" x14ac:dyDescent="0.25">
      <c r="L844" s="401" t="s">
        <v>320</v>
      </c>
    </row>
    <row r="845" spans="12:12" x14ac:dyDescent="0.25">
      <c r="L845" s="401" t="s">
        <v>320</v>
      </c>
    </row>
    <row r="846" spans="12:12" x14ac:dyDescent="0.25">
      <c r="L846" s="401" t="s">
        <v>320</v>
      </c>
    </row>
    <row r="847" spans="12:12" x14ac:dyDescent="0.25">
      <c r="L847" s="401" t="s">
        <v>320</v>
      </c>
    </row>
    <row r="848" spans="12:12" x14ac:dyDescent="0.25">
      <c r="L848" s="401" t="s">
        <v>320</v>
      </c>
    </row>
    <row r="849" spans="12:12" x14ac:dyDescent="0.25">
      <c r="L849" s="401" t="s">
        <v>320</v>
      </c>
    </row>
    <row r="850" spans="12:12" x14ac:dyDescent="0.25">
      <c r="L850" s="401" t="s">
        <v>320</v>
      </c>
    </row>
    <row r="851" spans="12:12" x14ac:dyDescent="0.25">
      <c r="L851" s="401" t="s">
        <v>320</v>
      </c>
    </row>
    <row r="852" spans="12:12" x14ac:dyDescent="0.25">
      <c r="L852" s="401" t="s">
        <v>320</v>
      </c>
    </row>
    <row r="853" spans="12:12" x14ac:dyDescent="0.25">
      <c r="L853" s="401" t="s">
        <v>320</v>
      </c>
    </row>
    <row r="854" spans="12:12" x14ac:dyDescent="0.25">
      <c r="L854" s="401" t="s">
        <v>320</v>
      </c>
    </row>
    <row r="855" spans="12:12" x14ac:dyDescent="0.25">
      <c r="L855" s="401" t="s">
        <v>320</v>
      </c>
    </row>
    <row r="856" spans="12:12" x14ac:dyDescent="0.25">
      <c r="L856" s="401" t="s">
        <v>320</v>
      </c>
    </row>
    <row r="857" spans="12:12" x14ac:dyDescent="0.25">
      <c r="L857" s="401" t="s">
        <v>320</v>
      </c>
    </row>
    <row r="858" spans="12:12" x14ac:dyDescent="0.25">
      <c r="L858" s="401" t="s">
        <v>320</v>
      </c>
    </row>
    <row r="859" spans="12:12" x14ac:dyDescent="0.25">
      <c r="L859" s="401" t="s">
        <v>320</v>
      </c>
    </row>
    <row r="860" spans="12:12" x14ac:dyDescent="0.25">
      <c r="L860" s="401" t="s">
        <v>320</v>
      </c>
    </row>
    <row r="861" spans="12:12" x14ac:dyDescent="0.25">
      <c r="L861" s="401" t="s">
        <v>320</v>
      </c>
    </row>
    <row r="862" spans="12:12" x14ac:dyDescent="0.25">
      <c r="L862" s="401" t="s">
        <v>320</v>
      </c>
    </row>
    <row r="863" spans="12:12" x14ac:dyDescent="0.25">
      <c r="L863" s="401" t="s">
        <v>320</v>
      </c>
    </row>
    <row r="864" spans="12:12" x14ac:dyDescent="0.25">
      <c r="L864" s="401" t="s">
        <v>320</v>
      </c>
    </row>
    <row r="865" spans="12:12" x14ac:dyDescent="0.25">
      <c r="L865" s="401" t="s">
        <v>320</v>
      </c>
    </row>
    <row r="866" spans="12:12" x14ac:dyDescent="0.25">
      <c r="L866" s="401" t="s">
        <v>320</v>
      </c>
    </row>
    <row r="867" spans="12:12" x14ac:dyDescent="0.25">
      <c r="L867" s="401" t="s">
        <v>320</v>
      </c>
    </row>
    <row r="868" spans="12:12" x14ac:dyDescent="0.25">
      <c r="L868" s="401" t="s">
        <v>320</v>
      </c>
    </row>
    <row r="869" spans="12:12" x14ac:dyDescent="0.25">
      <c r="L869" s="401" t="s">
        <v>320</v>
      </c>
    </row>
    <row r="870" spans="12:12" x14ac:dyDescent="0.25">
      <c r="L870" s="401" t="s">
        <v>320</v>
      </c>
    </row>
    <row r="871" spans="12:12" x14ac:dyDescent="0.25">
      <c r="L871" s="401" t="s">
        <v>320</v>
      </c>
    </row>
    <row r="872" spans="12:12" x14ac:dyDescent="0.25">
      <c r="L872" s="401" t="s">
        <v>320</v>
      </c>
    </row>
    <row r="873" spans="12:12" x14ac:dyDescent="0.25">
      <c r="L873" s="401" t="s">
        <v>320</v>
      </c>
    </row>
    <row r="874" spans="12:12" x14ac:dyDescent="0.25">
      <c r="L874" s="401" t="s">
        <v>320</v>
      </c>
    </row>
    <row r="875" spans="12:12" x14ac:dyDescent="0.25">
      <c r="L875" s="401" t="s">
        <v>320</v>
      </c>
    </row>
    <row r="876" spans="12:12" x14ac:dyDescent="0.25">
      <c r="L876" s="401" t="s">
        <v>320</v>
      </c>
    </row>
    <row r="877" spans="12:12" x14ac:dyDescent="0.25">
      <c r="L877" s="401" t="s">
        <v>320</v>
      </c>
    </row>
    <row r="878" spans="12:12" x14ac:dyDescent="0.25">
      <c r="L878" s="401" t="s">
        <v>320</v>
      </c>
    </row>
    <row r="879" spans="12:12" x14ac:dyDescent="0.25">
      <c r="L879" s="401" t="s">
        <v>320</v>
      </c>
    </row>
    <row r="880" spans="12:12" x14ac:dyDescent="0.25">
      <c r="L880" s="401" t="s">
        <v>320</v>
      </c>
    </row>
    <row r="881" spans="12:12" x14ac:dyDescent="0.25">
      <c r="L881" s="401" t="s">
        <v>320</v>
      </c>
    </row>
    <row r="882" spans="12:12" x14ac:dyDescent="0.25">
      <c r="L882" s="401" t="s">
        <v>320</v>
      </c>
    </row>
    <row r="883" spans="12:12" x14ac:dyDescent="0.25">
      <c r="L883" s="401" t="s">
        <v>320</v>
      </c>
    </row>
    <row r="884" spans="12:12" x14ac:dyDescent="0.25">
      <c r="L884" s="401" t="s">
        <v>320</v>
      </c>
    </row>
    <row r="885" spans="12:12" x14ac:dyDescent="0.25">
      <c r="L885" s="401" t="s">
        <v>320</v>
      </c>
    </row>
    <row r="886" spans="12:12" x14ac:dyDescent="0.25">
      <c r="L886" s="401" t="s">
        <v>320</v>
      </c>
    </row>
    <row r="887" spans="12:12" x14ac:dyDescent="0.25">
      <c r="L887" s="401" t="s">
        <v>320</v>
      </c>
    </row>
    <row r="888" spans="12:12" x14ac:dyDescent="0.25">
      <c r="L888" s="401" t="s">
        <v>320</v>
      </c>
    </row>
    <row r="889" spans="12:12" x14ac:dyDescent="0.25">
      <c r="L889" s="401" t="s">
        <v>320</v>
      </c>
    </row>
    <row r="890" spans="12:12" x14ac:dyDescent="0.25">
      <c r="L890" s="401" t="s">
        <v>320</v>
      </c>
    </row>
    <row r="891" spans="12:12" x14ac:dyDescent="0.25">
      <c r="L891" s="401" t="s">
        <v>320</v>
      </c>
    </row>
    <row r="892" spans="12:12" x14ac:dyDescent="0.25">
      <c r="L892" s="401" t="s">
        <v>320</v>
      </c>
    </row>
    <row r="893" spans="12:12" x14ac:dyDescent="0.25">
      <c r="L893" s="401" t="s">
        <v>320</v>
      </c>
    </row>
    <row r="894" spans="12:12" x14ac:dyDescent="0.25">
      <c r="L894" s="401" t="s">
        <v>320</v>
      </c>
    </row>
    <row r="895" spans="12:12" x14ac:dyDescent="0.25">
      <c r="L895" s="401" t="s">
        <v>320</v>
      </c>
    </row>
    <row r="896" spans="12:12" x14ac:dyDescent="0.25">
      <c r="L896" s="401" t="s">
        <v>320</v>
      </c>
    </row>
    <row r="897" spans="12:12" x14ac:dyDescent="0.25">
      <c r="L897" s="401" t="s">
        <v>320</v>
      </c>
    </row>
    <row r="898" spans="12:12" x14ac:dyDescent="0.25">
      <c r="L898" s="401" t="s">
        <v>320</v>
      </c>
    </row>
    <row r="899" spans="12:12" x14ac:dyDescent="0.25">
      <c r="L899" s="401" t="s">
        <v>320</v>
      </c>
    </row>
    <row r="900" spans="12:12" x14ac:dyDescent="0.25">
      <c r="L900" s="401" t="s">
        <v>320</v>
      </c>
    </row>
    <row r="901" spans="12:12" x14ac:dyDescent="0.25">
      <c r="L901" s="401" t="s">
        <v>320</v>
      </c>
    </row>
    <row r="902" spans="12:12" x14ac:dyDescent="0.25">
      <c r="L902" s="401" t="s">
        <v>320</v>
      </c>
    </row>
    <row r="903" spans="12:12" x14ac:dyDescent="0.25">
      <c r="L903" s="401" t="s">
        <v>320</v>
      </c>
    </row>
    <row r="904" spans="12:12" x14ac:dyDescent="0.25">
      <c r="L904" s="401" t="s">
        <v>320</v>
      </c>
    </row>
    <row r="905" spans="12:12" x14ac:dyDescent="0.25">
      <c r="L905" s="401" t="s">
        <v>320</v>
      </c>
    </row>
    <row r="906" spans="12:12" x14ac:dyDescent="0.25">
      <c r="L906" s="401" t="s">
        <v>320</v>
      </c>
    </row>
    <row r="907" spans="12:12" x14ac:dyDescent="0.25">
      <c r="L907" s="401" t="s">
        <v>320</v>
      </c>
    </row>
    <row r="908" spans="12:12" x14ac:dyDescent="0.25">
      <c r="L908" s="401" t="s">
        <v>320</v>
      </c>
    </row>
    <row r="909" spans="12:12" x14ac:dyDescent="0.25">
      <c r="L909" s="401" t="s">
        <v>320</v>
      </c>
    </row>
    <row r="910" spans="12:12" x14ac:dyDescent="0.25">
      <c r="L910" s="401" t="s">
        <v>320</v>
      </c>
    </row>
    <row r="911" spans="12:12" x14ac:dyDescent="0.25">
      <c r="L911" s="401" t="s">
        <v>320</v>
      </c>
    </row>
    <row r="912" spans="12:12" x14ac:dyDescent="0.25">
      <c r="L912" s="401" t="s">
        <v>320</v>
      </c>
    </row>
    <row r="913" spans="12:12" x14ac:dyDescent="0.25">
      <c r="L913" s="401" t="s">
        <v>320</v>
      </c>
    </row>
    <row r="914" spans="12:12" x14ac:dyDescent="0.25">
      <c r="L914" s="401" t="s">
        <v>320</v>
      </c>
    </row>
    <row r="915" spans="12:12" x14ac:dyDescent="0.25">
      <c r="L915" s="401" t="s">
        <v>320</v>
      </c>
    </row>
    <row r="916" spans="12:12" x14ac:dyDescent="0.25">
      <c r="L916" s="401" t="s">
        <v>320</v>
      </c>
    </row>
    <row r="917" spans="12:12" x14ac:dyDescent="0.25">
      <c r="L917" s="401" t="s">
        <v>320</v>
      </c>
    </row>
    <row r="918" spans="12:12" x14ac:dyDescent="0.25">
      <c r="L918" s="401" t="s">
        <v>320</v>
      </c>
    </row>
    <row r="919" spans="12:12" x14ac:dyDescent="0.25">
      <c r="L919" s="401" t="s">
        <v>320</v>
      </c>
    </row>
    <row r="920" spans="12:12" x14ac:dyDescent="0.25">
      <c r="L920" s="401" t="s">
        <v>320</v>
      </c>
    </row>
    <row r="921" spans="12:12" x14ac:dyDescent="0.25">
      <c r="L921" s="401" t="s">
        <v>320</v>
      </c>
    </row>
    <row r="922" spans="12:12" x14ac:dyDescent="0.25">
      <c r="L922" s="401" t="s">
        <v>320</v>
      </c>
    </row>
    <row r="923" spans="12:12" x14ac:dyDescent="0.25">
      <c r="L923" s="401" t="s">
        <v>320</v>
      </c>
    </row>
    <row r="924" spans="12:12" x14ac:dyDescent="0.25">
      <c r="L924" s="401" t="s">
        <v>320</v>
      </c>
    </row>
    <row r="925" spans="12:12" x14ac:dyDescent="0.25">
      <c r="L925" s="401" t="s">
        <v>320</v>
      </c>
    </row>
    <row r="926" spans="12:12" x14ac:dyDescent="0.25">
      <c r="L926" s="401" t="s">
        <v>320</v>
      </c>
    </row>
    <row r="927" spans="12:12" x14ac:dyDescent="0.25">
      <c r="L927" s="401" t="s">
        <v>320</v>
      </c>
    </row>
    <row r="928" spans="12:12" x14ac:dyDescent="0.25">
      <c r="L928" s="401" t="s">
        <v>320</v>
      </c>
    </row>
    <row r="929" spans="12:12" x14ac:dyDescent="0.25">
      <c r="L929" s="401" t="s">
        <v>320</v>
      </c>
    </row>
    <row r="930" spans="12:12" x14ac:dyDescent="0.25">
      <c r="L930" s="401" t="s">
        <v>320</v>
      </c>
    </row>
    <row r="931" spans="12:12" x14ac:dyDescent="0.25">
      <c r="L931" s="401" t="s">
        <v>320</v>
      </c>
    </row>
    <row r="932" spans="12:12" x14ac:dyDescent="0.25">
      <c r="L932" s="401" t="s">
        <v>320</v>
      </c>
    </row>
    <row r="933" spans="12:12" x14ac:dyDescent="0.25">
      <c r="L933" s="401" t="s">
        <v>320</v>
      </c>
    </row>
    <row r="934" spans="12:12" x14ac:dyDescent="0.25">
      <c r="L934" s="401" t="s">
        <v>320</v>
      </c>
    </row>
    <row r="935" spans="12:12" x14ac:dyDescent="0.25">
      <c r="L935" s="401" t="s">
        <v>320</v>
      </c>
    </row>
    <row r="936" spans="12:12" x14ac:dyDescent="0.25">
      <c r="L936" s="401" t="s">
        <v>320</v>
      </c>
    </row>
    <row r="937" spans="12:12" x14ac:dyDescent="0.25">
      <c r="L937" s="401" t="s">
        <v>320</v>
      </c>
    </row>
    <row r="938" spans="12:12" x14ac:dyDescent="0.25">
      <c r="L938" s="401" t="s">
        <v>320</v>
      </c>
    </row>
    <row r="939" spans="12:12" x14ac:dyDescent="0.25">
      <c r="L939" s="401" t="s">
        <v>320</v>
      </c>
    </row>
    <row r="940" spans="12:12" x14ac:dyDescent="0.25">
      <c r="L940" s="401" t="s">
        <v>320</v>
      </c>
    </row>
    <row r="941" spans="12:12" x14ac:dyDescent="0.25">
      <c r="L941" s="401" t="s">
        <v>320</v>
      </c>
    </row>
    <row r="942" spans="12:12" x14ac:dyDescent="0.25">
      <c r="L942" s="401" t="s">
        <v>320</v>
      </c>
    </row>
    <row r="943" spans="12:12" x14ac:dyDescent="0.25">
      <c r="L943" s="401" t="s">
        <v>320</v>
      </c>
    </row>
    <row r="944" spans="12:12" x14ac:dyDescent="0.25">
      <c r="L944" s="401" t="s">
        <v>320</v>
      </c>
    </row>
    <row r="945" spans="12:12" x14ac:dyDescent="0.25">
      <c r="L945" s="401" t="s">
        <v>320</v>
      </c>
    </row>
    <row r="946" spans="12:12" x14ac:dyDescent="0.25">
      <c r="L946" s="401" t="s">
        <v>320</v>
      </c>
    </row>
    <row r="947" spans="12:12" x14ac:dyDescent="0.25">
      <c r="L947" s="401" t="s">
        <v>320</v>
      </c>
    </row>
    <row r="948" spans="12:12" x14ac:dyDescent="0.25">
      <c r="L948" s="401" t="s">
        <v>320</v>
      </c>
    </row>
    <row r="949" spans="12:12" x14ac:dyDescent="0.25">
      <c r="L949" s="401" t="s">
        <v>320</v>
      </c>
    </row>
    <row r="950" spans="12:12" x14ac:dyDescent="0.25">
      <c r="L950" s="401" t="s">
        <v>320</v>
      </c>
    </row>
    <row r="951" spans="12:12" x14ac:dyDescent="0.25">
      <c r="L951" s="401" t="s">
        <v>320</v>
      </c>
    </row>
    <row r="952" spans="12:12" x14ac:dyDescent="0.25">
      <c r="L952" s="401" t="s">
        <v>320</v>
      </c>
    </row>
    <row r="953" spans="12:12" x14ac:dyDescent="0.25">
      <c r="L953" s="401" t="s">
        <v>320</v>
      </c>
    </row>
    <row r="954" spans="12:12" x14ac:dyDescent="0.25">
      <c r="L954" s="401" t="s">
        <v>320</v>
      </c>
    </row>
    <row r="955" spans="12:12" x14ac:dyDescent="0.25">
      <c r="L955" s="401" t="s">
        <v>320</v>
      </c>
    </row>
    <row r="956" spans="12:12" x14ac:dyDescent="0.25">
      <c r="L956" s="401" t="s">
        <v>320</v>
      </c>
    </row>
    <row r="957" spans="12:12" x14ac:dyDescent="0.25">
      <c r="L957" s="401" t="s">
        <v>320</v>
      </c>
    </row>
    <row r="958" spans="12:12" x14ac:dyDescent="0.25">
      <c r="L958" s="401" t="s">
        <v>320</v>
      </c>
    </row>
    <row r="959" spans="12:12" x14ac:dyDescent="0.25">
      <c r="L959" s="401" t="s">
        <v>320</v>
      </c>
    </row>
    <row r="960" spans="12:12" x14ac:dyDescent="0.25">
      <c r="L960" s="401" t="s">
        <v>320</v>
      </c>
    </row>
    <row r="961" spans="12:12" x14ac:dyDescent="0.25">
      <c r="L961" s="401" t="s">
        <v>320</v>
      </c>
    </row>
    <row r="962" spans="12:12" x14ac:dyDescent="0.25">
      <c r="L962" s="401" t="s">
        <v>320</v>
      </c>
    </row>
    <row r="963" spans="12:12" x14ac:dyDescent="0.25">
      <c r="L963" s="401" t="s">
        <v>320</v>
      </c>
    </row>
    <row r="964" spans="12:12" x14ac:dyDescent="0.25">
      <c r="L964" s="401" t="s">
        <v>320</v>
      </c>
    </row>
    <row r="965" spans="12:12" x14ac:dyDescent="0.25">
      <c r="L965" s="401" t="s">
        <v>320</v>
      </c>
    </row>
    <row r="966" spans="12:12" x14ac:dyDescent="0.25">
      <c r="L966" s="401" t="s">
        <v>320</v>
      </c>
    </row>
    <row r="967" spans="12:12" x14ac:dyDescent="0.25">
      <c r="L967" s="401" t="s">
        <v>320</v>
      </c>
    </row>
    <row r="968" spans="12:12" x14ac:dyDescent="0.25">
      <c r="L968" s="401" t="s">
        <v>320</v>
      </c>
    </row>
    <row r="969" spans="12:12" x14ac:dyDescent="0.25">
      <c r="L969" s="401" t="s">
        <v>320</v>
      </c>
    </row>
    <row r="970" spans="12:12" x14ac:dyDescent="0.25">
      <c r="L970" s="401" t="s">
        <v>320</v>
      </c>
    </row>
    <row r="971" spans="12:12" x14ac:dyDescent="0.25">
      <c r="L971" s="401" t="s">
        <v>320</v>
      </c>
    </row>
    <row r="972" spans="12:12" x14ac:dyDescent="0.25">
      <c r="L972" s="401" t="s">
        <v>320</v>
      </c>
    </row>
    <row r="973" spans="12:12" x14ac:dyDescent="0.25">
      <c r="L973" s="401" t="s">
        <v>320</v>
      </c>
    </row>
    <row r="974" spans="12:12" x14ac:dyDescent="0.25">
      <c r="L974" s="401" t="s">
        <v>320</v>
      </c>
    </row>
    <row r="975" spans="12:12" x14ac:dyDescent="0.25">
      <c r="L975" s="401" t="s">
        <v>320</v>
      </c>
    </row>
    <row r="976" spans="12:12" x14ac:dyDescent="0.25">
      <c r="L976" s="401" t="s">
        <v>320</v>
      </c>
    </row>
    <row r="977" spans="12:12" x14ac:dyDescent="0.25">
      <c r="L977" s="401" t="s">
        <v>320</v>
      </c>
    </row>
    <row r="978" spans="12:12" x14ac:dyDescent="0.25">
      <c r="L978" s="401" t="s">
        <v>320</v>
      </c>
    </row>
    <row r="979" spans="12:12" x14ac:dyDescent="0.25">
      <c r="L979" s="401" t="s">
        <v>320</v>
      </c>
    </row>
    <row r="980" spans="12:12" x14ac:dyDescent="0.25">
      <c r="L980" s="401" t="s">
        <v>320</v>
      </c>
    </row>
    <row r="981" spans="12:12" x14ac:dyDescent="0.25">
      <c r="L981" s="401" t="s">
        <v>320</v>
      </c>
    </row>
    <row r="982" spans="12:12" x14ac:dyDescent="0.25">
      <c r="L982" s="401" t="s">
        <v>320</v>
      </c>
    </row>
    <row r="983" spans="12:12" x14ac:dyDescent="0.25">
      <c r="L983" s="401" t="s">
        <v>320</v>
      </c>
    </row>
    <row r="984" spans="12:12" x14ac:dyDescent="0.25">
      <c r="L984" s="401" t="s">
        <v>320</v>
      </c>
    </row>
    <row r="985" spans="12:12" x14ac:dyDescent="0.25">
      <c r="L985" s="401" t="s">
        <v>320</v>
      </c>
    </row>
    <row r="986" spans="12:12" x14ac:dyDescent="0.25">
      <c r="L986" s="401" t="s">
        <v>320</v>
      </c>
    </row>
    <row r="987" spans="12:12" x14ac:dyDescent="0.25">
      <c r="L987" s="401" t="s">
        <v>320</v>
      </c>
    </row>
    <row r="988" spans="12:12" x14ac:dyDescent="0.25">
      <c r="L988" s="401" t="s">
        <v>320</v>
      </c>
    </row>
    <row r="989" spans="12:12" x14ac:dyDescent="0.25">
      <c r="L989" s="401" t="s">
        <v>320</v>
      </c>
    </row>
    <row r="990" spans="12:12" x14ac:dyDescent="0.25">
      <c r="L990" s="401" t="s">
        <v>320</v>
      </c>
    </row>
    <row r="991" spans="12:12" x14ac:dyDescent="0.25">
      <c r="L991" s="401" t="s">
        <v>320</v>
      </c>
    </row>
    <row r="992" spans="12:12" x14ac:dyDescent="0.25">
      <c r="L992" s="401" t="s">
        <v>320</v>
      </c>
    </row>
    <row r="993" spans="12:12" x14ac:dyDescent="0.25">
      <c r="L993" s="401" t="s">
        <v>320</v>
      </c>
    </row>
    <row r="994" spans="12:12" x14ac:dyDescent="0.25">
      <c r="L994" s="401" t="s">
        <v>320</v>
      </c>
    </row>
    <row r="995" spans="12:12" x14ac:dyDescent="0.25">
      <c r="L995" s="401" t="s">
        <v>320</v>
      </c>
    </row>
    <row r="996" spans="12:12" x14ac:dyDescent="0.25">
      <c r="L996" s="401" t="s">
        <v>320</v>
      </c>
    </row>
    <row r="997" spans="12:12" x14ac:dyDescent="0.25">
      <c r="L997" s="401" t="s">
        <v>320</v>
      </c>
    </row>
    <row r="998" spans="12:12" x14ac:dyDescent="0.25">
      <c r="L998" s="401" t="s">
        <v>320</v>
      </c>
    </row>
    <row r="999" spans="12:12" x14ac:dyDescent="0.25">
      <c r="L999" s="401" t="s">
        <v>320</v>
      </c>
    </row>
    <row r="1000" spans="12:12" x14ac:dyDescent="0.25">
      <c r="L1000" s="401" t="s">
        <v>320</v>
      </c>
    </row>
    <row r="1001" spans="12:12" x14ac:dyDescent="0.25">
      <c r="L1001" s="401" t="s">
        <v>320</v>
      </c>
    </row>
    <row r="1002" spans="12:12" x14ac:dyDescent="0.25">
      <c r="L1002" s="401" t="s">
        <v>320</v>
      </c>
    </row>
    <row r="1003" spans="12:12" x14ac:dyDescent="0.25">
      <c r="L1003" s="401" t="s">
        <v>320</v>
      </c>
    </row>
    <row r="1004" spans="12:12" x14ac:dyDescent="0.25">
      <c r="L1004" s="401" t="s">
        <v>320</v>
      </c>
    </row>
    <row r="1005" spans="12:12" x14ac:dyDescent="0.25">
      <c r="L1005" s="401" t="s">
        <v>320</v>
      </c>
    </row>
    <row r="1006" spans="12:12" x14ac:dyDescent="0.25">
      <c r="L1006" s="401" t="s">
        <v>320</v>
      </c>
    </row>
    <row r="1007" spans="12:12" x14ac:dyDescent="0.25">
      <c r="L1007" s="401" t="s">
        <v>320</v>
      </c>
    </row>
    <row r="1008" spans="12:12" x14ac:dyDescent="0.25">
      <c r="L1008" s="401" t="s">
        <v>320</v>
      </c>
    </row>
    <row r="1009" spans="12:12" x14ac:dyDescent="0.25">
      <c r="L1009" s="401" t="s">
        <v>320</v>
      </c>
    </row>
    <row r="1010" spans="12:12" x14ac:dyDescent="0.25">
      <c r="L1010" s="401" t="s">
        <v>320</v>
      </c>
    </row>
    <row r="1011" spans="12:12" x14ac:dyDescent="0.25">
      <c r="L1011" s="401" t="s">
        <v>320</v>
      </c>
    </row>
    <row r="1012" spans="12:12" x14ac:dyDescent="0.25">
      <c r="L1012" s="401" t="s">
        <v>320</v>
      </c>
    </row>
    <row r="1013" spans="12:12" x14ac:dyDescent="0.25">
      <c r="L1013" s="401" t="s">
        <v>320</v>
      </c>
    </row>
    <row r="1014" spans="12:12" x14ac:dyDescent="0.25">
      <c r="L1014" s="401" t="s">
        <v>320</v>
      </c>
    </row>
  </sheetData>
  <phoneticPr fontId="1" type="noConversion"/>
  <conditionalFormatting sqref="D5">
    <cfRule type="expression" dxfId="1" priority="2">
      <formula>IF($C$5&lt;&gt;$AB$22,TRUE,FALSE)</formula>
    </cfRule>
  </conditionalFormatting>
  <conditionalFormatting sqref="D11">
    <cfRule type="expression" dxfId="0" priority="1">
      <formula>IF($C$11&lt;&gt;$AD$19,TRUE,FALSE)</formula>
    </cfRule>
  </conditionalFormatting>
  <dataValidations count="2">
    <dataValidation type="list" allowBlank="1" showInputMessage="1" showErrorMessage="1" sqref="C11" xr:uid="{00000000-0002-0000-1B00-000000000000}">
      <formula1>List</formula1>
    </dataValidation>
    <dataValidation type="list" allowBlank="1" showInputMessage="1" showErrorMessage="1" sqref="C5:C6" xr:uid="{00000000-0002-0000-1B00-000001000000}">
      <formula1>$AB$17:$AB$22</formula1>
    </dataValidation>
  </dataValidation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
    <outlinePr summaryBelow="0" summaryRight="0"/>
    <pageSetUpPr autoPageBreaks="0"/>
  </sheetPr>
  <dimension ref="A1:I25"/>
  <sheetViews>
    <sheetView showGridLines="0" zoomScaleNormal="100" workbookViewId="0"/>
  </sheetViews>
  <sheetFormatPr defaultColWidth="9" defaultRowHeight="12.75" customHeight="1" x14ac:dyDescent="0.2"/>
  <cols>
    <col min="1" max="1" width="19.69921875" style="79" customWidth="1"/>
    <col min="2" max="9" width="14" style="79" customWidth="1"/>
    <col min="10" max="16384" width="9" style="79"/>
  </cols>
  <sheetData>
    <row r="1" spans="1:9" ht="12.75" customHeight="1" x14ac:dyDescent="0.2">
      <c r="C1" s="410">
        <f>COUNT('Input Tab'!$B$15:$B$65000)+ROW($A$10)</f>
        <v>20</v>
      </c>
    </row>
    <row r="2" spans="1:9" ht="30" x14ac:dyDescent="0.2">
      <c r="A2" s="411" t="s">
        <v>1512</v>
      </c>
      <c r="B2" s="412"/>
      <c r="C2" s="412"/>
      <c r="D2" s="412"/>
      <c r="E2" s="412"/>
      <c r="F2" s="412"/>
      <c r="G2" s="412"/>
      <c r="H2" s="412"/>
      <c r="I2" s="412"/>
    </row>
    <row r="3" spans="1:9" ht="12.75" customHeight="1" x14ac:dyDescent="0.2">
      <c r="A3" s="81"/>
      <c r="B3" s="122"/>
    </row>
    <row r="4" spans="1:9" ht="12.75" customHeight="1" x14ac:dyDescent="0.2">
      <c r="A4" s="81" t="s">
        <v>308</v>
      </c>
      <c r="B4" s="122" t="str">
        <f>'Input Tab'!C7</f>
        <v>USD</v>
      </c>
    </row>
    <row r="5" spans="1:9" ht="12.75" customHeight="1" x14ac:dyDescent="0.2">
      <c r="A5" s="81" t="s">
        <v>1033</v>
      </c>
      <c r="B5" s="413">
        <f>'Input Tab'!C9</f>
        <v>43291</v>
      </c>
    </row>
    <row r="7" spans="1:9" ht="12.75" customHeight="1" x14ac:dyDescent="0.2">
      <c r="A7" s="84" t="s">
        <v>1515</v>
      </c>
      <c r="B7" s="84"/>
      <c r="C7" s="84"/>
      <c r="D7" s="84"/>
      <c r="E7" s="84"/>
      <c r="F7" s="84"/>
      <c r="G7" s="84"/>
      <c r="H7" s="84"/>
      <c r="I7" s="84"/>
    </row>
    <row r="8" spans="1:9" s="124" customFormat="1" ht="32.25" customHeight="1" x14ac:dyDescent="0.2">
      <c r="A8" s="450" t="s">
        <v>1470</v>
      </c>
      <c r="B8" s="451" t="s">
        <v>1516</v>
      </c>
      <c r="C8" s="451" t="s">
        <v>1517</v>
      </c>
      <c r="D8" s="451" t="s">
        <v>1518</v>
      </c>
      <c r="E8" s="451" t="s">
        <v>1519</v>
      </c>
      <c r="F8" s="451" t="s">
        <v>1520</v>
      </c>
      <c r="G8" s="451" t="s">
        <v>1521</v>
      </c>
      <c r="H8" s="451" t="s">
        <v>1522</v>
      </c>
      <c r="I8" s="451" t="s">
        <v>1523</v>
      </c>
    </row>
    <row r="9" spans="1:9" ht="12.75" customHeight="1" x14ac:dyDescent="0.2">
      <c r="A9" s="90" t="s">
        <v>1577</v>
      </c>
      <c r="B9" s="416">
        <v>4.6236499999999996</v>
      </c>
      <c r="C9" s="416">
        <v>29.082979999999999</v>
      </c>
      <c r="D9" s="416">
        <v>47.445990000000002</v>
      </c>
      <c r="E9" s="416" t="s">
        <v>319</v>
      </c>
      <c r="F9" s="416">
        <v>9.7197399999999998</v>
      </c>
      <c r="G9" s="417">
        <v>3.6374300000000002</v>
      </c>
      <c r="H9" s="417">
        <v>25.6221</v>
      </c>
      <c r="I9" s="417">
        <v>111.32731</v>
      </c>
    </row>
    <row r="10" spans="1:9" ht="12.75" customHeight="1" x14ac:dyDescent="0.2">
      <c r="A10" s="483"/>
      <c r="B10" s="483"/>
      <c r="C10" s="483"/>
      <c r="D10" s="483"/>
      <c r="E10" s="483"/>
      <c r="F10" s="483"/>
      <c r="G10" s="483"/>
      <c r="H10" s="483"/>
      <c r="I10" s="483"/>
    </row>
    <row r="11" spans="1:9" ht="12.75" customHeight="1" x14ac:dyDescent="0.2">
      <c r="A11" s="82" t="s">
        <v>1474</v>
      </c>
      <c r="B11" s="416">
        <v>0.74358000000000002</v>
      </c>
      <c r="C11" s="416">
        <v>11.977220000000001</v>
      </c>
      <c r="D11" s="416" t="s">
        <v>319</v>
      </c>
      <c r="E11" s="416" t="s">
        <v>319</v>
      </c>
      <c r="F11" s="416">
        <v>2.1314000000000002</v>
      </c>
      <c r="G11" s="416">
        <v>0.68406</v>
      </c>
      <c r="H11" s="416">
        <v>12.47184</v>
      </c>
      <c r="I11" s="416" t="s">
        <v>319</v>
      </c>
    </row>
    <row r="12" spans="1:9" ht="12.75" customHeight="1" x14ac:dyDescent="0.2">
      <c r="A12" s="82" t="s">
        <v>1479</v>
      </c>
      <c r="B12" s="416">
        <v>2.71346</v>
      </c>
      <c r="C12" s="416">
        <v>25.971710000000002</v>
      </c>
      <c r="D12" s="416">
        <v>40.530920000000002</v>
      </c>
      <c r="E12" s="416">
        <v>69.330929999999995</v>
      </c>
      <c r="F12" s="416">
        <v>9.6178699999999999</v>
      </c>
      <c r="G12" s="416">
        <v>2.4972099999999999</v>
      </c>
      <c r="H12" s="416">
        <v>21.79102</v>
      </c>
      <c r="I12" s="416">
        <v>49.465240000000001</v>
      </c>
    </row>
    <row r="13" spans="1:9" ht="12.75" customHeight="1" x14ac:dyDescent="0.2">
      <c r="A13" s="82" t="s">
        <v>1484</v>
      </c>
      <c r="B13" s="416">
        <v>1.21696</v>
      </c>
      <c r="C13" s="416">
        <v>18.112089999999998</v>
      </c>
      <c r="D13" s="416">
        <v>89.98348</v>
      </c>
      <c r="E13" s="416" t="s">
        <v>319</v>
      </c>
      <c r="F13" s="416">
        <v>20.755140000000001</v>
      </c>
      <c r="G13" s="416">
        <v>1.2083999999999999</v>
      </c>
      <c r="H13" s="416">
        <v>17.088719999999999</v>
      </c>
      <c r="I13" s="416">
        <v>247.90795</v>
      </c>
    </row>
    <row r="14" spans="1:9" ht="12.75" customHeight="1" x14ac:dyDescent="0.2">
      <c r="A14" s="82" t="s">
        <v>1488</v>
      </c>
      <c r="B14" s="416">
        <v>0.69645999999999997</v>
      </c>
      <c r="C14" s="416">
        <v>9.8465900000000008</v>
      </c>
      <c r="D14" s="416">
        <v>55.731870000000001</v>
      </c>
      <c r="E14" s="416" t="s">
        <v>319</v>
      </c>
      <c r="F14" s="416">
        <v>2.2813300000000001</v>
      </c>
      <c r="G14" s="416">
        <v>0.59089000000000003</v>
      </c>
      <c r="H14" s="416">
        <v>7.8343600000000002</v>
      </c>
      <c r="I14" s="416">
        <v>289.54424</v>
      </c>
    </row>
    <row r="15" spans="1:9" ht="12.75" customHeight="1" x14ac:dyDescent="0.2">
      <c r="A15" s="82" t="s">
        <v>1492</v>
      </c>
      <c r="B15" s="416">
        <v>5.15463</v>
      </c>
      <c r="C15" s="416">
        <v>16.662099999999999</v>
      </c>
      <c r="D15" s="416">
        <v>24.28416</v>
      </c>
      <c r="E15" s="416">
        <v>22.886030000000002</v>
      </c>
      <c r="F15" s="416" t="s">
        <v>319</v>
      </c>
      <c r="G15" s="416">
        <v>4.22919</v>
      </c>
      <c r="H15" s="416">
        <v>15.62424</v>
      </c>
      <c r="I15" s="416">
        <v>30.400700000000001</v>
      </c>
    </row>
    <row r="16" spans="1:9" ht="12.75" customHeight="1" x14ac:dyDescent="0.2">
      <c r="A16" s="82" t="s">
        <v>1497</v>
      </c>
      <c r="B16" s="416">
        <v>6.9110300000000002</v>
      </c>
      <c r="C16" s="416">
        <v>15.35988</v>
      </c>
      <c r="D16" s="416">
        <v>17.854810000000001</v>
      </c>
      <c r="E16" s="416">
        <v>24.156949999999998</v>
      </c>
      <c r="F16" s="416" t="s">
        <v>319</v>
      </c>
      <c r="G16" s="416">
        <v>7.2905800000000003</v>
      </c>
      <c r="H16" s="416">
        <v>14.6051</v>
      </c>
      <c r="I16" s="416">
        <v>20.58006</v>
      </c>
    </row>
    <row r="17" spans="1:9" ht="12.75" customHeight="1" x14ac:dyDescent="0.2">
      <c r="A17" s="82" t="s">
        <v>1501</v>
      </c>
      <c r="B17" s="416">
        <v>2.0462899999999999</v>
      </c>
      <c r="C17" s="416">
        <v>27.005669999999999</v>
      </c>
      <c r="D17" s="416">
        <v>34.85521</v>
      </c>
      <c r="E17" s="416">
        <v>68.829610000000002</v>
      </c>
      <c r="F17" s="416">
        <v>20.108740000000001</v>
      </c>
      <c r="G17" s="416" t="s">
        <v>319</v>
      </c>
      <c r="H17" s="416" t="s">
        <v>319</v>
      </c>
      <c r="I17" s="416" t="s">
        <v>319</v>
      </c>
    </row>
    <row r="18" spans="1:9" ht="12.75" customHeight="1" x14ac:dyDescent="0.2">
      <c r="A18" s="82" t="s">
        <v>1505</v>
      </c>
      <c r="B18" s="416">
        <v>1.2364599999999999</v>
      </c>
      <c r="C18" s="416">
        <v>9.7937700000000003</v>
      </c>
      <c r="D18" s="416">
        <v>12.904949999999999</v>
      </c>
      <c r="E18" s="416">
        <v>8.2863299999999995</v>
      </c>
      <c r="F18" s="416" t="s">
        <v>319</v>
      </c>
      <c r="G18" s="416">
        <v>1.2126600000000001</v>
      </c>
      <c r="H18" s="416">
        <v>10.34789</v>
      </c>
      <c r="I18" s="416">
        <v>20.726469999999999</v>
      </c>
    </row>
    <row r="19" spans="1:9" ht="12.75" customHeight="1" x14ac:dyDescent="0.2">
      <c r="A19" s="82" t="s">
        <v>1509</v>
      </c>
      <c r="B19" s="416">
        <v>0.67476999999999998</v>
      </c>
      <c r="C19" s="416">
        <v>8.4248799999999999</v>
      </c>
      <c r="D19" s="416">
        <v>31.908570000000001</v>
      </c>
      <c r="E19" s="416" t="s">
        <v>319</v>
      </c>
      <c r="F19" s="416">
        <v>2.84368</v>
      </c>
      <c r="G19" s="416">
        <v>0.65925</v>
      </c>
      <c r="H19" s="416">
        <v>7.9472300000000002</v>
      </c>
      <c r="I19" s="416">
        <v>34.171680000000002</v>
      </c>
    </row>
    <row r="20" spans="1:9" ht="12.75" customHeight="1" x14ac:dyDescent="0.2">
      <c r="A20" s="82" t="s">
        <v>1511</v>
      </c>
      <c r="B20" s="416">
        <v>4.5234399999999999</v>
      </c>
      <c r="C20" s="416">
        <v>13.495810000000001</v>
      </c>
      <c r="D20" s="416">
        <v>18.282550000000001</v>
      </c>
      <c r="E20" s="416">
        <v>19.224170000000001</v>
      </c>
      <c r="F20" s="416" t="s">
        <v>319</v>
      </c>
      <c r="G20" s="416">
        <v>4.8651900000000001</v>
      </c>
      <c r="H20" s="416">
        <v>13.395479999999999</v>
      </c>
      <c r="I20" s="416">
        <v>22.726120000000002</v>
      </c>
    </row>
    <row r="22" spans="1:9" ht="12.75" customHeight="1" x14ac:dyDescent="0.2">
      <c r="A22" s="470" t="s">
        <v>564</v>
      </c>
      <c r="B22" s="471">
        <f>+MAX(B11:B20)</f>
        <v>6.9110300000000002</v>
      </c>
      <c r="C22" s="471">
        <f t="shared" ref="C22:I22" si="0">+MAX(C11:C20)</f>
        <v>27.005669999999999</v>
      </c>
      <c r="D22" s="471">
        <f t="shared" si="0"/>
        <v>89.98348</v>
      </c>
      <c r="E22" s="471">
        <f t="shared" si="0"/>
        <v>69.330929999999995</v>
      </c>
      <c r="F22" s="471">
        <f t="shared" si="0"/>
        <v>20.755140000000001</v>
      </c>
      <c r="G22" s="471">
        <f t="shared" si="0"/>
        <v>7.2905800000000003</v>
      </c>
      <c r="H22" s="471">
        <f t="shared" si="0"/>
        <v>21.79102</v>
      </c>
      <c r="I22" s="476">
        <f t="shared" si="0"/>
        <v>289.54424</v>
      </c>
    </row>
    <row r="23" spans="1:9" ht="12.75" customHeight="1" x14ac:dyDescent="0.2">
      <c r="A23" s="472" t="s">
        <v>565</v>
      </c>
      <c r="B23" s="473">
        <f>+MIN(B11:B20)</f>
        <v>0.67476999999999998</v>
      </c>
      <c r="C23" s="473">
        <f t="shared" ref="C23:I23" si="1">+MIN(C11:C20)</f>
        <v>8.4248799999999999</v>
      </c>
      <c r="D23" s="473">
        <f t="shared" si="1"/>
        <v>12.904949999999999</v>
      </c>
      <c r="E23" s="473">
        <f t="shared" si="1"/>
        <v>8.2863299999999995</v>
      </c>
      <c r="F23" s="473">
        <f t="shared" si="1"/>
        <v>2.1314000000000002</v>
      </c>
      <c r="G23" s="473">
        <f t="shared" si="1"/>
        <v>0.59089000000000003</v>
      </c>
      <c r="H23" s="473">
        <f t="shared" si="1"/>
        <v>7.8343600000000002</v>
      </c>
      <c r="I23" s="477">
        <f t="shared" si="1"/>
        <v>20.58006</v>
      </c>
    </row>
    <row r="24" spans="1:9" ht="12.75" customHeight="1" x14ac:dyDescent="0.2">
      <c r="A24" s="472" t="s">
        <v>1513</v>
      </c>
      <c r="B24" s="473">
        <f t="shared" ref="B24:G24" si="2">+AVERAGE(B11:B20)</f>
        <v>2.5917080000000001</v>
      </c>
      <c r="C24" s="473">
        <f t="shared" si="2"/>
        <v>15.664972000000001</v>
      </c>
      <c r="D24" s="473">
        <f t="shared" si="2"/>
        <v>36.259613333333327</v>
      </c>
      <c r="E24" s="473">
        <f t="shared" si="2"/>
        <v>35.452336666666667</v>
      </c>
      <c r="F24" s="473">
        <f t="shared" si="2"/>
        <v>9.6230266666666662</v>
      </c>
      <c r="G24" s="473">
        <f t="shared" si="2"/>
        <v>2.5819366666666661</v>
      </c>
      <c r="H24" s="481">
        <f>+AVERAGE(H11:H20)</f>
        <v>13.45620888888889</v>
      </c>
      <c r="I24" s="477">
        <f>+AVERAGE(I11:I20)</f>
        <v>89.440307500000003</v>
      </c>
    </row>
    <row r="25" spans="1:9" ht="12.75" customHeight="1" x14ac:dyDescent="0.2">
      <c r="A25" s="474" t="s">
        <v>1514</v>
      </c>
      <c r="B25" s="475">
        <f t="shared" ref="B25:G25" si="3">+MEDIAN(B11:B20)</f>
        <v>1.641375</v>
      </c>
      <c r="C25" s="475">
        <f t="shared" si="3"/>
        <v>14.427845000000001</v>
      </c>
      <c r="D25" s="475">
        <f t="shared" si="3"/>
        <v>31.908570000000001</v>
      </c>
      <c r="E25" s="475">
        <f t="shared" si="3"/>
        <v>23.52149</v>
      </c>
      <c r="F25" s="475">
        <f t="shared" si="3"/>
        <v>6.2307749999999995</v>
      </c>
      <c r="G25" s="475">
        <f t="shared" si="3"/>
        <v>1.2126600000000001</v>
      </c>
      <c r="H25" s="482">
        <f>+MEDIAN(H11:H20)</f>
        <v>13.395479999999999</v>
      </c>
      <c r="I25" s="478">
        <f>+MEDIAN(I11:I20)</f>
        <v>32.286190000000005</v>
      </c>
    </row>
  </sheetData>
  <phoneticPr fontId="1" type="noConversion"/>
  <printOptions horizontalCentered="1"/>
  <pageMargins left="0.25" right="0.25" top="0.5" bottom="0.5" header="0" footer="0"/>
  <pageSetup scale="60" orientation="landscape"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8">
    <outlinePr summaryBelow="0" summaryRight="0"/>
    <pageSetUpPr autoPageBreaks="0"/>
  </sheetPr>
  <dimension ref="B1:R42"/>
  <sheetViews>
    <sheetView showGridLines="0" topLeftCell="A12" zoomScaleNormal="100" workbookViewId="0"/>
  </sheetViews>
  <sheetFormatPr defaultColWidth="9" defaultRowHeight="12.75" customHeight="1" x14ac:dyDescent="0.2"/>
  <cols>
    <col min="1" max="1" width="1.19921875" style="79" customWidth="1"/>
    <col min="2" max="2" width="22.59765625" style="79" customWidth="1"/>
    <col min="3" max="3" width="66.296875" style="79" customWidth="1"/>
    <col min="4" max="7" width="8.09765625" style="79" customWidth="1"/>
    <col min="8" max="10" width="9" style="79"/>
    <col min="11" max="11" width="20.69921875" style="79" bestFit="1" customWidth="1"/>
    <col min="12" max="13" width="14.19921875" style="79" customWidth="1"/>
    <col min="14" max="14" width="21.69921875" style="79" customWidth="1"/>
    <col min="15" max="15" width="17.5" style="79" customWidth="1"/>
    <col min="16" max="16" width="20.296875" style="79" bestFit="1" customWidth="1"/>
    <col min="17" max="17" width="11.796875" style="79" bestFit="1" customWidth="1"/>
    <col min="18" max="16384" width="9" style="79"/>
  </cols>
  <sheetData>
    <row r="1" spans="2:18" ht="12.75" customHeight="1" x14ac:dyDescent="0.2">
      <c r="J1" s="79" t="str">
        <f>'Input Tab'!C3</f>
        <v>NYSE:SHAK</v>
      </c>
    </row>
    <row r="2" spans="2:18" ht="30" x14ac:dyDescent="0.2">
      <c r="B2" s="411" t="s">
        <v>1578</v>
      </c>
      <c r="C2" s="412"/>
      <c r="D2" s="412"/>
      <c r="E2" s="412"/>
      <c r="F2" s="412"/>
      <c r="G2" s="412"/>
      <c r="H2" s="85"/>
      <c r="I2" s="85"/>
      <c r="J2" s="85"/>
      <c r="K2" s="85"/>
      <c r="L2" s="85"/>
      <c r="M2" s="85"/>
      <c r="N2" s="85"/>
      <c r="O2" s="85"/>
      <c r="P2" s="85"/>
      <c r="Q2" s="85"/>
      <c r="R2" s="85"/>
    </row>
    <row r="3" spans="2:18" ht="12.75" customHeight="1" x14ac:dyDescent="0.2">
      <c r="B3" s="81"/>
      <c r="C3" s="122"/>
    </row>
    <row r="4" spans="2:18" ht="12.75" customHeight="1" x14ac:dyDescent="0.2">
      <c r="B4" s="81" t="s">
        <v>308</v>
      </c>
      <c r="C4" s="122" t="str">
        <f>'Input Tab'!C7</f>
        <v>USD</v>
      </c>
    </row>
    <row r="5" spans="2:18" ht="12.75" customHeight="1" x14ac:dyDescent="0.2">
      <c r="B5" s="81" t="s">
        <v>1033</v>
      </c>
      <c r="C5" s="413">
        <f>'Input Tab'!C9</f>
        <v>43291</v>
      </c>
    </row>
    <row r="7" spans="2:18" ht="12.75" customHeight="1" x14ac:dyDescent="0.25">
      <c r="B7" s="414" t="s">
        <v>1515</v>
      </c>
      <c r="C7" s="415"/>
      <c r="D7" s="415"/>
      <c r="E7" s="415"/>
      <c r="F7" s="415"/>
      <c r="G7" s="415"/>
      <c r="H7" s="85"/>
      <c r="I7" s="85"/>
      <c r="J7" s="85"/>
      <c r="K7" s="85"/>
      <c r="L7" s="85"/>
      <c r="M7" s="85"/>
      <c r="N7" s="85"/>
      <c r="O7" s="85"/>
      <c r="P7" s="85"/>
      <c r="Q7" s="85"/>
      <c r="R7" s="85"/>
    </row>
    <row r="8" spans="2:18" ht="12.75" customHeight="1" x14ac:dyDescent="0.2">
      <c r="B8" s="418"/>
      <c r="C8" s="419"/>
      <c r="D8" s="420"/>
      <c r="E8" s="420"/>
      <c r="G8" s="421"/>
    </row>
    <row r="9" spans="2:18" ht="15.6" x14ac:dyDescent="0.2">
      <c r="B9" s="422" t="str">
        <f>"Implied Equity Value for "&amp;_xll.ciqfunctions.udf.CIQ($J$1,"IQ_COMPANY_NAME")</f>
        <v>Implied Equity Value for #CIQINACTIVE</v>
      </c>
      <c r="C9" s="423"/>
      <c r="D9" s="423"/>
      <c r="E9" s="423"/>
      <c r="F9" s="423"/>
      <c r="G9" s="424"/>
      <c r="K9" s="425" t="s">
        <v>1524</v>
      </c>
      <c r="L9" s="425" t="s">
        <v>1525</v>
      </c>
      <c r="M9" s="425" t="s">
        <v>1526</v>
      </c>
      <c r="N9" s="425" t="s">
        <v>1527</v>
      </c>
      <c r="O9" s="425" t="s">
        <v>1528</v>
      </c>
      <c r="P9" s="425" t="s">
        <v>1529</v>
      </c>
      <c r="Q9" s="425" t="s">
        <v>1530</v>
      </c>
      <c r="R9" s="425" t="s">
        <v>1531</v>
      </c>
    </row>
    <row r="10" spans="2:18" ht="12.75" customHeight="1" x14ac:dyDescent="0.2">
      <c r="B10" s="426" t="s">
        <v>1532</v>
      </c>
      <c r="C10" s="427"/>
      <c r="D10" s="427"/>
      <c r="E10" s="427"/>
      <c r="F10" s="423"/>
      <c r="G10" s="424"/>
      <c r="J10" s="79" t="s">
        <v>564</v>
      </c>
      <c r="K10" s="428">
        <v>2654.0566823099998</v>
      </c>
      <c r="L10" s="428">
        <v>1656.274602</v>
      </c>
      <c r="M10" s="428">
        <v>3362.2573480799997</v>
      </c>
      <c r="N10" s="428">
        <v>3552.2072941379997</v>
      </c>
      <c r="O10" s="428">
        <v>1518.6372062099999</v>
      </c>
      <c r="P10" s="428">
        <v>67.544697930866278</v>
      </c>
      <c r="Q10" s="428">
        <v>4635.1075502321655</v>
      </c>
      <c r="R10" s="428">
        <v>3805.552281353438</v>
      </c>
    </row>
    <row r="11" spans="2:18" ht="12.75" customHeight="1" x14ac:dyDescent="0.2">
      <c r="B11" s="429"/>
      <c r="G11" s="421"/>
      <c r="J11" s="79" t="s">
        <v>565</v>
      </c>
      <c r="K11" s="428">
        <v>276.93780429000003</v>
      </c>
      <c r="L11" s="428">
        <v>530.278728</v>
      </c>
      <c r="M11" s="428">
        <v>499.09827270000005</v>
      </c>
      <c r="N11" s="428">
        <v>306.03262722900001</v>
      </c>
      <c r="O11" s="428">
        <v>558.62136978000001</v>
      </c>
      <c r="P11" s="428">
        <v>8.0728421904260514</v>
      </c>
      <c r="Q11" s="428">
        <v>329.45152523231332</v>
      </c>
      <c r="R11" s="428">
        <v>390.80218839654748</v>
      </c>
    </row>
    <row r="12" spans="2:18" ht="12.75" customHeight="1" x14ac:dyDescent="0.2">
      <c r="B12" s="429"/>
      <c r="G12" s="421"/>
      <c r="J12" s="79" t="s">
        <v>1513</v>
      </c>
      <c r="K12" s="428">
        <v>1007.6304803160001</v>
      </c>
      <c r="L12" s="428">
        <v>969.02830320000021</v>
      </c>
      <c r="M12" s="428">
        <v>1366.6305968799998</v>
      </c>
      <c r="N12" s="428">
        <v>1270.7467035469997</v>
      </c>
      <c r="O12" s="428">
        <v>945.32305652666673</v>
      </c>
      <c r="P12" s="428">
        <v>34.538947784104082</v>
      </c>
      <c r="Q12" s="428">
        <v>1431.7861912512458</v>
      </c>
      <c r="R12" s="428">
        <v>1764.4270809475772</v>
      </c>
    </row>
    <row r="13" spans="2:18" ht="12.75" customHeight="1" x14ac:dyDescent="0.2">
      <c r="B13" s="429"/>
      <c r="G13" s="421"/>
      <c r="J13" s="79" t="s">
        <v>1514</v>
      </c>
      <c r="K13" s="428">
        <v>645.38539837500002</v>
      </c>
      <c r="L13" s="428">
        <v>894.0584070000001</v>
      </c>
      <c r="M13" s="428">
        <v>1205.0067412200001</v>
      </c>
      <c r="N13" s="428">
        <v>607.29642042600005</v>
      </c>
      <c r="O13" s="428">
        <v>941.1457895399999</v>
      </c>
      <c r="P13" s="428">
        <v>22.915485728143153</v>
      </c>
      <c r="Q13" s="428">
        <v>516.84662432666676</v>
      </c>
      <c r="R13" s="428">
        <v>1142.4418248130326</v>
      </c>
    </row>
    <row r="14" spans="2:18" ht="12.75" customHeight="1" x14ac:dyDescent="0.2">
      <c r="B14" s="429"/>
      <c r="G14" s="421"/>
    </row>
    <row r="15" spans="2:18" ht="12.75" customHeight="1" x14ac:dyDescent="0.2">
      <c r="B15" s="429"/>
      <c r="G15" s="421"/>
    </row>
    <row r="16" spans="2:18" ht="12.75" customHeight="1" x14ac:dyDescent="0.2">
      <c r="B16" s="429"/>
      <c r="G16" s="421"/>
    </row>
    <row r="17" spans="2:15" ht="12.75" customHeight="1" x14ac:dyDescent="0.2">
      <c r="B17" s="429"/>
      <c r="G17" s="421"/>
      <c r="K17" s="81" t="s">
        <v>1533</v>
      </c>
    </row>
    <row r="18" spans="2:15" ht="12.75" customHeight="1" x14ac:dyDescent="0.2">
      <c r="B18" s="429"/>
      <c r="G18" s="421"/>
      <c r="K18" s="430"/>
      <c r="L18" s="431" t="s">
        <v>1513</v>
      </c>
      <c r="M18" s="431" t="s">
        <v>564</v>
      </c>
      <c r="N18" s="431" t="s">
        <v>565</v>
      </c>
      <c r="O18" s="432" t="s">
        <v>1514</v>
      </c>
    </row>
    <row r="19" spans="2:15" ht="12.75" customHeight="1" x14ac:dyDescent="0.2">
      <c r="B19" s="429"/>
      <c r="G19" s="421"/>
      <c r="K19" s="433" t="s">
        <v>1534</v>
      </c>
      <c r="L19" s="434">
        <f t="array" ref="L19:L26">TRANSPOSE(K12:R12)</f>
        <v>1007.6304803160001</v>
      </c>
      <c r="M19" s="434">
        <f t="array" ref="M19:M26">TRANSPOSE(K10:R10)</f>
        <v>2654.0566823099998</v>
      </c>
      <c r="N19" s="434">
        <f t="array" ref="N19:N26">TRANSPOSE(K11:R11)</f>
        <v>276.93780429000003</v>
      </c>
      <c r="O19" s="436">
        <f t="array" ref="O19:O26">TRANSPOSE(K13:R13)</f>
        <v>645.38539837500002</v>
      </c>
    </row>
    <row r="20" spans="2:15" ht="12.75" customHeight="1" x14ac:dyDescent="0.2">
      <c r="B20" s="429"/>
      <c r="G20" s="421"/>
      <c r="K20" s="433" t="s">
        <v>1535</v>
      </c>
      <c r="L20" s="434">
        <v>969.02830320000021</v>
      </c>
      <c r="M20" s="434">
        <v>1656.274602</v>
      </c>
      <c r="N20" s="434">
        <v>530.278728</v>
      </c>
      <c r="O20" s="436">
        <v>894.0584070000001</v>
      </c>
    </row>
    <row r="21" spans="2:15" ht="12.75" customHeight="1" x14ac:dyDescent="0.2">
      <c r="B21" s="429"/>
      <c r="G21" s="421"/>
      <c r="K21" s="433" t="s">
        <v>1536</v>
      </c>
      <c r="L21" s="434">
        <v>1366.6305968799998</v>
      </c>
      <c r="M21" s="434">
        <v>3362.2573480799997</v>
      </c>
      <c r="N21" s="434">
        <v>499.09827270000005</v>
      </c>
      <c r="O21" s="436">
        <v>1205.0067412200001</v>
      </c>
    </row>
    <row r="22" spans="2:15" ht="12.75" customHeight="1" x14ac:dyDescent="0.2">
      <c r="B22" s="429"/>
      <c r="G22" s="421"/>
      <c r="K22" s="433" t="s">
        <v>1537</v>
      </c>
      <c r="L22" s="434">
        <v>1270.7467035469997</v>
      </c>
      <c r="M22" s="434">
        <v>3552.2072941379997</v>
      </c>
      <c r="N22" s="434">
        <v>306.03262722900001</v>
      </c>
      <c r="O22" s="436">
        <v>607.29642042600005</v>
      </c>
    </row>
    <row r="23" spans="2:15" ht="12.75" customHeight="1" x14ac:dyDescent="0.2">
      <c r="B23" s="429"/>
      <c r="G23" s="421"/>
      <c r="K23" s="433" t="s">
        <v>1538</v>
      </c>
      <c r="L23" s="434">
        <v>945.32305652666673</v>
      </c>
      <c r="M23" s="434">
        <v>1518.6372062099999</v>
      </c>
      <c r="N23" s="434">
        <v>558.62136978000001</v>
      </c>
      <c r="O23" s="436">
        <v>941.1457895399999</v>
      </c>
    </row>
    <row r="24" spans="2:15" ht="12.75" customHeight="1" x14ac:dyDescent="0.2">
      <c r="B24" s="429"/>
      <c r="G24" s="421"/>
      <c r="K24" s="433" t="s">
        <v>1539</v>
      </c>
      <c r="L24" s="434">
        <v>34.538947784104082</v>
      </c>
      <c r="M24" s="434">
        <v>67.544697930866278</v>
      </c>
      <c r="N24" s="434">
        <v>8.0728421904260514</v>
      </c>
      <c r="O24" s="436">
        <v>22.915485728143153</v>
      </c>
    </row>
    <row r="25" spans="2:15" ht="12.75" customHeight="1" x14ac:dyDescent="0.2">
      <c r="B25" s="429"/>
      <c r="G25" s="421"/>
      <c r="K25" s="433" t="s">
        <v>1540</v>
      </c>
      <c r="L25" s="434">
        <v>1431.7861912512458</v>
      </c>
      <c r="M25" s="434">
        <v>4635.1075502321655</v>
      </c>
      <c r="N25" s="434">
        <v>329.45152523231332</v>
      </c>
      <c r="O25" s="436">
        <v>516.84662432666676</v>
      </c>
    </row>
    <row r="26" spans="2:15" ht="12.75" customHeight="1" x14ac:dyDescent="0.2">
      <c r="B26" s="429"/>
      <c r="G26" s="421"/>
      <c r="K26" s="438" t="s">
        <v>1541</v>
      </c>
      <c r="L26" s="435">
        <v>1764.4270809475772</v>
      </c>
      <c r="M26" s="435">
        <v>3805.552281353438</v>
      </c>
      <c r="N26" s="435">
        <v>390.80218839654748</v>
      </c>
      <c r="O26" s="437">
        <v>1142.4418248130326</v>
      </c>
    </row>
    <row r="27" spans="2:15" ht="12.75" customHeight="1" x14ac:dyDescent="0.2">
      <c r="B27" s="429"/>
      <c r="G27" s="421"/>
    </row>
    <row r="28" spans="2:15" ht="12.75" customHeight="1" x14ac:dyDescent="0.2">
      <c r="B28" s="429"/>
      <c r="G28" s="421"/>
    </row>
    <row r="29" spans="2:15" ht="12.75" customHeight="1" x14ac:dyDescent="0.2">
      <c r="B29" s="429"/>
      <c r="G29" s="421"/>
    </row>
    <row r="30" spans="2:15" ht="12.75" customHeight="1" x14ac:dyDescent="0.2">
      <c r="B30" s="429"/>
      <c r="G30" s="421"/>
    </row>
    <row r="31" spans="2:15" ht="12.75" customHeight="1" x14ac:dyDescent="0.2">
      <c r="B31" s="429"/>
      <c r="G31" s="421"/>
    </row>
    <row r="32" spans="2:15" ht="12.75" customHeight="1" x14ac:dyDescent="0.2">
      <c r="B32" s="429"/>
      <c r="G32" s="421"/>
    </row>
    <row r="33" spans="2:7" ht="12.75" customHeight="1" x14ac:dyDescent="0.2">
      <c r="B33" s="429"/>
      <c r="G33" s="421"/>
    </row>
    <row r="34" spans="2:7" ht="12.75" customHeight="1" x14ac:dyDescent="0.2">
      <c r="B34" s="429"/>
      <c r="G34" s="421"/>
    </row>
    <row r="35" spans="2:7" ht="12.75" customHeight="1" x14ac:dyDescent="0.2">
      <c r="B35" s="429"/>
      <c r="G35" s="421"/>
    </row>
    <row r="36" spans="2:7" ht="12.75" customHeight="1" x14ac:dyDescent="0.2">
      <c r="B36" s="429"/>
      <c r="G36" s="421"/>
    </row>
    <row r="37" spans="2:7" ht="12.75" customHeight="1" x14ac:dyDescent="0.2">
      <c r="B37" s="429"/>
      <c r="G37" s="421"/>
    </row>
    <row r="38" spans="2:7" ht="12.75" customHeight="1" x14ac:dyDescent="0.2">
      <c r="B38" s="429"/>
      <c r="G38" s="421"/>
    </row>
    <row r="39" spans="2:7" ht="12.75" customHeight="1" x14ac:dyDescent="0.2">
      <c r="B39" s="429"/>
      <c r="G39" s="421"/>
    </row>
    <row r="40" spans="2:7" ht="12.75" customHeight="1" x14ac:dyDescent="0.2">
      <c r="B40" s="429"/>
      <c r="G40" s="421"/>
    </row>
    <row r="41" spans="2:7" ht="12.75" customHeight="1" x14ac:dyDescent="0.2">
      <c r="B41" s="429"/>
      <c r="G41" s="421"/>
    </row>
    <row r="42" spans="2:7" ht="12.75" customHeight="1" x14ac:dyDescent="0.2">
      <c r="B42" s="439"/>
      <c r="C42" s="440"/>
      <c r="D42" s="440"/>
      <c r="E42" s="440"/>
      <c r="F42" s="440"/>
      <c r="G42" s="441"/>
    </row>
  </sheetData>
  <phoneticPr fontId="1" type="noConversion"/>
  <printOptions horizontalCentered="1"/>
  <pageMargins left="0.2" right="0.2" top="0.5" bottom="0.5" header="0" footer="0"/>
  <pageSetup scale="95" fitToWidth="0" fitToHeight="0" orientation="landscape"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pageSetUpPr autoPageBreaks="0"/>
  </sheetPr>
  <dimension ref="A5:I16"/>
  <sheetViews>
    <sheetView showGridLines="0" workbookViewId="0"/>
  </sheetViews>
  <sheetFormatPr defaultRowHeight="10.199999999999999" x14ac:dyDescent="0.2"/>
  <cols>
    <col min="1" max="2" width="12.09765625" style="79" customWidth="1"/>
    <col min="3" max="3" width="13.796875" style="79" customWidth="1"/>
    <col min="4" max="5" width="22.59765625" style="79" customWidth="1"/>
    <col min="6" max="6" width="13.796875" style="79" customWidth="1"/>
    <col min="7" max="7" width="8.59765625" style="79" customWidth="1"/>
    <col min="8" max="9" width="14.69921875" style="79" customWidth="1"/>
    <col min="10" max="256" width="9" style="79"/>
    <col min="257" max="258" width="12.09765625" style="79" customWidth="1"/>
    <col min="259" max="259" width="13.796875" style="79" customWidth="1"/>
    <col min="260" max="261" width="22.59765625" style="79" customWidth="1"/>
    <col min="262" max="262" width="13.796875" style="79" customWidth="1"/>
    <col min="263" max="263" width="8.59765625" style="79" customWidth="1"/>
    <col min="264" max="265" width="14.69921875" style="79" customWidth="1"/>
    <col min="266" max="512" width="9" style="79"/>
    <col min="513" max="514" width="12.09765625" style="79" customWidth="1"/>
    <col min="515" max="515" width="13.796875" style="79" customWidth="1"/>
    <col min="516" max="517" width="22.59765625" style="79" customWidth="1"/>
    <col min="518" max="518" width="13.796875" style="79" customWidth="1"/>
    <col min="519" max="519" width="8.59765625" style="79" customWidth="1"/>
    <col min="520" max="521" width="14.69921875" style="79" customWidth="1"/>
    <col min="522" max="768" width="9" style="79"/>
    <col min="769" max="770" width="12.09765625" style="79" customWidth="1"/>
    <col min="771" max="771" width="13.796875" style="79" customWidth="1"/>
    <col min="772" max="773" width="22.59765625" style="79" customWidth="1"/>
    <col min="774" max="774" width="13.796875" style="79" customWidth="1"/>
    <col min="775" max="775" width="8.59765625" style="79" customWidth="1"/>
    <col min="776" max="777" width="14.69921875" style="79" customWidth="1"/>
    <col min="778" max="1024" width="9" style="79"/>
    <col min="1025" max="1026" width="12.09765625" style="79" customWidth="1"/>
    <col min="1027" max="1027" width="13.796875" style="79" customWidth="1"/>
    <col min="1028" max="1029" width="22.59765625" style="79" customWidth="1"/>
    <col min="1030" max="1030" width="13.796875" style="79" customWidth="1"/>
    <col min="1031" max="1031" width="8.59765625" style="79" customWidth="1"/>
    <col min="1032" max="1033" width="14.69921875" style="79" customWidth="1"/>
    <col min="1034" max="1280" width="9" style="79"/>
    <col min="1281" max="1282" width="12.09765625" style="79" customWidth="1"/>
    <col min="1283" max="1283" width="13.796875" style="79" customWidth="1"/>
    <col min="1284" max="1285" width="22.59765625" style="79" customWidth="1"/>
    <col min="1286" max="1286" width="13.796875" style="79" customWidth="1"/>
    <col min="1287" max="1287" width="8.59765625" style="79" customWidth="1"/>
    <col min="1288" max="1289" width="14.69921875" style="79" customWidth="1"/>
    <col min="1290" max="1536" width="9" style="79"/>
    <col min="1537" max="1538" width="12.09765625" style="79" customWidth="1"/>
    <col min="1539" max="1539" width="13.796875" style="79" customWidth="1"/>
    <col min="1540" max="1541" width="22.59765625" style="79" customWidth="1"/>
    <col min="1542" max="1542" width="13.796875" style="79" customWidth="1"/>
    <col min="1543" max="1543" width="8.59765625" style="79" customWidth="1"/>
    <col min="1544" max="1545" width="14.69921875" style="79" customWidth="1"/>
    <col min="1546" max="1792" width="9" style="79"/>
    <col min="1793" max="1794" width="12.09765625" style="79" customWidth="1"/>
    <col min="1795" max="1795" width="13.796875" style="79" customWidth="1"/>
    <col min="1796" max="1797" width="22.59765625" style="79" customWidth="1"/>
    <col min="1798" max="1798" width="13.796875" style="79" customWidth="1"/>
    <col min="1799" max="1799" width="8.59765625" style="79" customWidth="1"/>
    <col min="1800" max="1801" width="14.69921875" style="79" customWidth="1"/>
    <col min="1802" max="2048" width="9" style="79"/>
    <col min="2049" max="2050" width="12.09765625" style="79" customWidth="1"/>
    <col min="2051" max="2051" width="13.796875" style="79" customWidth="1"/>
    <col min="2052" max="2053" width="22.59765625" style="79" customWidth="1"/>
    <col min="2054" max="2054" width="13.796875" style="79" customWidth="1"/>
    <col min="2055" max="2055" width="8.59765625" style="79" customWidth="1"/>
    <col min="2056" max="2057" width="14.69921875" style="79" customWidth="1"/>
    <col min="2058" max="2304" width="9" style="79"/>
    <col min="2305" max="2306" width="12.09765625" style="79" customWidth="1"/>
    <col min="2307" max="2307" width="13.796875" style="79" customWidth="1"/>
    <col min="2308" max="2309" width="22.59765625" style="79" customWidth="1"/>
    <col min="2310" max="2310" width="13.796875" style="79" customWidth="1"/>
    <col min="2311" max="2311" width="8.59765625" style="79" customWidth="1"/>
    <col min="2312" max="2313" width="14.69921875" style="79" customWidth="1"/>
    <col min="2314" max="2560" width="9" style="79"/>
    <col min="2561" max="2562" width="12.09765625" style="79" customWidth="1"/>
    <col min="2563" max="2563" width="13.796875" style="79" customWidth="1"/>
    <col min="2564" max="2565" width="22.59765625" style="79" customWidth="1"/>
    <col min="2566" max="2566" width="13.796875" style="79" customWidth="1"/>
    <col min="2567" max="2567" width="8.59765625" style="79" customWidth="1"/>
    <col min="2568" max="2569" width="14.69921875" style="79" customWidth="1"/>
    <col min="2570" max="2816" width="9" style="79"/>
    <col min="2817" max="2818" width="12.09765625" style="79" customWidth="1"/>
    <col min="2819" max="2819" width="13.796875" style="79" customWidth="1"/>
    <col min="2820" max="2821" width="22.59765625" style="79" customWidth="1"/>
    <col min="2822" max="2822" width="13.796875" style="79" customWidth="1"/>
    <col min="2823" max="2823" width="8.59765625" style="79" customWidth="1"/>
    <col min="2824" max="2825" width="14.69921875" style="79" customWidth="1"/>
    <col min="2826" max="3072" width="9" style="79"/>
    <col min="3073" max="3074" width="12.09765625" style="79" customWidth="1"/>
    <col min="3075" max="3075" width="13.796875" style="79" customWidth="1"/>
    <col min="3076" max="3077" width="22.59765625" style="79" customWidth="1"/>
    <col min="3078" max="3078" width="13.796875" style="79" customWidth="1"/>
    <col min="3079" max="3079" width="8.59765625" style="79" customWidth="1"/>
    <col min="3080" max="3081" width="14.69921875" style="79" customWidth="1"/>
    <col min="3082" max="3328" width="9" style="79"/>
    <col min="3329" max="3330" width="12.09765625" style="79" customWidth="1"/>
    <col min="3331" max="3331" width="13.796875" style="79" customWidth="1"/>
    <col min="3332" max="3333" width="22.59765625" style="79" customWidth="1"/>
    <col min="3334" max="3334" width="13.796875" style="79" customWidth="1"/>
    <col min="3335" max="3335" width="8.59765625" style="79" customWidth="1"/>
    <col min="3336" max="3337" width="14.69921875" style="79" customWidth="1"/>
    <col min="3338" max="3584" width="9" style="79"/>
    <col min="3585" max="3586" width="12.09765625" style="79" customWidth="1"/>
    <col min="3587" max="3587" width="13.796875" style="79" customWidth="1"/>
    <col min="3588" max="3589" width="22.59765625" style="79" customWidth="1"/>
    <col min="3590" max="3590" width="13.796875" style="79" customWidth="1"/>
    <col min="3591" max="3591" width="8.59765625" style="79" customWidth="1"/>
    <col min="3592" max="3593" width="14.69921875" style="79" customWidth="1"/>
    <col min="3594" max="3840" width="9" style="79"/>
    <col min="3841" max="3842" width="12.09765625" style="79" customWidth="1"/>
    <col min="3843" max="3843" width="13.796875" style="79" customWidth="1"/>
    <col min="3844" max="3845" width="22.59765625" style="79" customWidth="1"/>
    <col min="3846" max="3846" width="13.796875" style="79" customWidth="1"/>
    <col min="3847" max="3847" width="8.59765625" style="79" customWidth="1"/>
    <col min="3848" max="3849" width="14.69921875" style="79" customWidth="1"/>
    <col min="3850" max="4096" width="9" style="79"/>
    <col min="4097" max="4098" width="12.09765625" style="79" customWidth="1"/>
    <col min="4099" max="4099" width="13.796875" style="79" customWidth="1"/>
    <col min="4100" max="4101" width="22.59765625" style="79" customWidth="1"/>
    <col min="4102" max="4102" width="13.796875" style="79" customWidth="1"/>
    <col min="4103" max="4103" width="8.59765625" style="79" customWidth="1"/>
    <col min="4104" max="4105" width="14.69921875" style="79" customWidth="1"/>
    <col min="4106" max="4352" width="9" style="79"/>
    <col min="4353" max="4354" width="12.09765625" style="79" customWidth="1"/>
    <col min="4355" max="4355" width="13.796875" style="79" customWidth="1"/>
    <col min="4356" max="4357" width="22.59765625" style="79" customWidth="1"/>
    <col min="4358" max="4358" width="13.796875" style="79" customWidth="1"/>
    <col min="4359" max="4359" width="8.59765625" style="79" customWidth="1"/>
    <col min="4360" max="4361" width="14.69921875" style="79" customWidth="1"/>
    <col min="4362" max="4608" width="9" style="79"/>
    <col min="4609" max="4610" width="12.09765625" style="79" customWidth="1"/>
    <col min="4611" max="4611" width="13.796875" style="79" customWidth="1"/>
    <col min="4612" max="4613" width="22.59765625" style="79" customWidth="1"/>
    <col min="4614" max="4614" width="13.796875" style="79" customWidth="1"/>
    <col min="4615" max="4615" width="8.59765625" style="79" customWidth="1"/>
    <col min="4616" max="4617" width="14.69921875" style="79" customWidth="1"/>
    <col min="4618" max="4864" width="9" style="79"/>
    <col min="4865" max="4866" width="12.09765625" style="79" customWidth="1"/>
    <col min="4867" max="4867" width="13.796875" style="79" customWidth="1"/>
    <col min="4868" max="4869" width="22.59765625" style="79" customWidth="1"/>
    <col min="4870" max="4870" width="13.796875" style="79" customWidth="1"/>
    <col min="4871" max="4871" width="8.59765625" style="79" customWidth="1"/>
    <col min="4872" max="4873" width="14.69921875" style="79" customWidth="1"/>
    <col min="4874" max="5120" width="9" style="79"/>
    <col min="5121" max="5122" width="12.09765625" style="79" customWidth="1"/>
    <col min="5123" max="5123" width="13.796875" style="79" customWidth="1"/>
    <col min="5124" max="5125" width="22.59765625" style="79" customWidth="1"/>
    <col min="5126" max="5126" width="13.796875" style="79" customWidth="1"/>
    <col min="5127" max="5127" width="8.59765625" style="79" customWidth="1"/>
    <col min="5128" max="5129" width="14.69921875" style="79" customWidth="1"/>
    <col min="5130" max="5376" width="9" style="79"/>
    <col min="5377" max="5378" width="12.09765625" style="79" customWidth="1"/>
    <col min="5379" max="5379" width="13.796875" style="79" customWidth="1"/>
    <col min="5380" max="5381" width="22.59765625" style="79" customWidth="1"/>
    <col min="5382" max="5382" width="13.796875" style="79" customWidth="1"/>
    <col min="5383" max="5383" width="8.59765625" style="79" customWidth="1"/>
    <col min="5384" max="5385" width="14.69921875" style="79" customWidth="1"/>
    <col min="5386" max="5632" width="9" style="79"/>
    <col min="5633" max="5634" width="12.09765625" style="79" customWidth="1"/>
    <col min="5635" max="5635" width="13.796875" style="79" customWidth="1"/>
    <col min="5636" max="5637" width="22.59765625" style="79" customWidth="1"/>
    <col min="5638" max="5638" width="13.796875" style="79" customWidth="1"/>
    <col min="5639" max="5639" width="8.59765625" style="79" customWidth="1"/>
    <col min="5640" max="5641" width="14.69921875" style="79" customWidth="1"/>
    <col min="5642" max="5888" width="9" style="79"/>
    <col min="5889" max="5890" width="12.09765625" style="79" customWidth="1"/>
    <col min="5891" max="5891" width="13.796875" style="79" customWidth="1"/>
    <col min="5892" max="5893" width="22.59765625" style="79" customWidth="1"/>
    <col min="5894" max="5894" width="13.796875" style="79" customWidth="1"/>
    <col min="5895" max="5895" width="8.59765625" style="79" customWidth="1"/>
    <col min="5896" max="5897" width="14.69921875" style="79" customWidth="1"/>
    <col min="5898" max="6144" width="9" style="79"/>
    <col min="6145" max="6146" width="12.09765625" style="79" customWidth="1"/>
    <col min="6147" max="6147" width="13.796875" style="79" customWidth="1"/>
    <col min="6148" max="6149" width="22.59765625" style="79" customWidth="1"/>
    <col min="6150" max="6150" width="13.796875" style="79" customWidth="1"/>
    <col min="6151" max="6151" width="8.59765625" style="79" customWidth="1"/>
    <col min="6152" max="6153" width="14.69921875" style="79" customWidth="1"/>
    <col min="6154" max="6400" width="9" style="79"/>
    <col min="6401" max="6402" width="12.09765625" style="79" customWidth="1"/>
    <col min="6403" max="6403" width="13.796875" style="79" customWidth="1"/>
    <col min="6404" max="6405" width="22.59765625" style="79" customWidth="1"/>
    <col min="6406" max="6406" width="13.796875" style="79" customWidth="1"/>
    <col min="6407" max="6407" width="8.59765625" style="79" customWidth="1"/>
    <col min="6408" max="6409" width="14.69921875" style="79" customWidth="1"/>
    <col min="6410" max="6656" width="9" style="79"/>
    <col min="6657" max="6658" width="12.09765625" style="79" customWidth="1"/>
    <col min="6659" max="6659" width="13.796875" style="79" customWidth="1"/>
    <col min="6660" max="6661" width="22.59765625" style="79" customWidth="1"/>
    <col min="6662" max="6662" width="13.796875" style="79" customWidth="1"/>
    <col min="6663" max="6663" width="8.59765625" style="79" customWidth="1"/>
    <col min="6664" max="6665" width="14.69921875" style="79" customWidth="1"/>
    <col min="6666" max="6912" width="9" style="79"/>
    <col min="6913" max="6914" width="12.09765625" style="79" customWidth="1"/>
    <col min="6915" max="6915" width="13.796875" style="79" customWidth="1"/>
    <col min="6916" max="6917" width="22.59765625" style="79" customWidth="1"/>
    <col min="6918" max="6918" width="13.796875" style="79" customWidth="1"/>
    <col min="6919" max="6919" width="8.59765625" style="79" customWidth="1"/>
    <col min="6920" max="6921" width="14.69921875" style="79" customWidth="1"/>
    <col min="6922" max="7168" width="9" style="79"/>
    <col min="7169" max="7170" width="12.09765625" style="79" customWidth="1"/>
    <col min="7171" max="7171" width="13.796875" style="79" customWidth="1"/>
    <col min="7172" max="7173" width="22.59765625" style="79" customWidth="1"/>
    <col min="7174" max="7174" width="13.796875" style="79" customWidth="1"/>
    <col min="7175" max="7175" width="8.59765625" style="79" customWidth="1"/>
    <col min="7176" max="7177" width="14.69921875" style="79" customWidth="1"/>
    <col min="7178" max="7424" width="9" style="79"/>
    <col min="7425" max="7426" width="12.09765625" style="79" customWidth="1"/>
    <col min="7427" max="7427" width="13.796875" style="79" customWidth="1"/>
    <col min="7428" max="7429" width="22.59765625" style="79" customWidth="1"/>
    <col min="7430" max="7430" width="13.796875" style="79" customWidth="1"/>
    <col min="7431" max="7431" width="8.59765625" style="79" customWidth="1"/>
    <col min="7432" max="7433" width="14.69921875" style="79" customWidth="1"/>
    <col min="7434" max="7680" width="9" style="79"/>
    <col min="7681" max="7682" width="12.09765625" style="79" customWidth="1"/>
    <col min="7683" max="7683" width="13.796875" style="79" customWidth="1"/>
    <col min="7684" max="7685" width="22.59765625" style="79" customWidth="1"/>
    <col min="7686" max="7686" width="13.796875" style="79" customWidth="1"/>
    <col min="7687" max="7687" width="8.59765625" style="79" customWidth="1"/>
    <col min="7688" max="7689" width="14.69921875" style="79" customWidth="1"/>
    <col min="7690" max="7936" width="9" style="79"/>
    <col min="7937" max="7938" width="12.09765625" style="79" customWidth="1"/>
    <col min="7939" max="7939" width="13.796875" style="79" customWidth="1"/>
    <col min="7940" max="7941" width="22.59765625" style="79" customWidth="1"/>
    <col min="7942" max="7942" width="13.796875" style="79" customWidth="1"/>
    <col min="7943" max="7943" width="8.59765625" style="79" customWidth="1"/>
    <col min="7944" max="7945" width="14.69921875" style="79" customWidth="1"/>
    <col min="7946" max="8192" width="9" style="79"/>
    <col min="8193" max="8194" width="12.09765625" style="79" customWidth="1"/>
    <col min="8195" max="8195" width="13.796875" style="79" customWidth="1"/>
    <col min="8196" max="8197" width="22.59765625" style="79" customWidth="1"/>
    <col min="8198" max="8198" width="13.796875" style="79" customWidth="1"/>
    <col min="8199" max="8199" width="8.59765625" style="79" customWidth="1"/>
    <col min="8200" max="8201" width="14.69921875" style="79" customWidth="1"/>
    <col min="8202" max="8448" width="9" style="79"/>
    <col min="8449" max="8450" width="12.09765625" style="79" customWidth="1"/>
    <col min="8451" max="8451" width="13.796875" style="79" customWidth="1"/>
    <col min="8452" max="8453" width="22.59765625" style="79" customWidth="1"/>
    <col min="8454" max="8454" width="13.796875" style="79" customWidth="1"/>
    <col min="8455" max="8455" width="8.59765625" style="79" customWidth="1"/>
    <col min="8456" max="8457" width="14.69921875" style="79" customWidth="1"/>
    <col min="8458" max="8704" width="9" style="79"/>
    <col min="8705" max="8706" width="12.09765625" style="79" customWidth="1"/>
    <col min="8707" max="8707" width="13.796875" style="79" customWidth="1"/>
    <col min="8708" max="8709" width="22.59765625" style="79" customWidth="1"/>
    <col min="8710" max="8710" width="13.796875" style="79" customWidth="1"/>
    <col min="8711" max="8711" width="8.59765625" style="79" customWidth="1"/>
    <col min="8712" max="8713" width="14.69921875" style="79" customWidth="1"/>
    <col min="8714" max="8960" width="9" style="79"/>
    <col min="8961" max="8962" width="12.09765625" style="79" customWidth="1"/>
    <col min="8963" max="8963" width="13.796875" style="79" customWidth="1"/>
    <col min="8964" max="8965" width="22.59765625" style="79" customWidth="1"/>
    <col min="8966" max="8966" width="13.796875" style="79" customWidth="1"/>
    <col min="8967" max="8967" width="8.59765625" style="79" customWidth="1"/>
    <col min="8968" max="8969" width="14.69921875" style="79" customWidth="1"/>
    <col min="8970" max="9216" width="9" style="79"/>
    <col min="9217" max="9218" width="12.09765625" style="79" customWidth="1"/>
    <col min="9219" max="9219" width="13.796875" style="79" customWidth="1"/>
    <col min="9220" max="9221" width="22.59765625" style="79" customWidth="1"/>
    <col min="9222" max="9222" width="13.796875" style="79" customWidth="1"/>
    <col min="9223" max="9223" width="8.59765625" style="79" customWidth="1"/>
    <col min="9224" max="9225" width="14.69921875" style="79" customWidth="1"/>
    <col min="9226" max="9472" width="9" style="79"/>
    <col min="9473" max="9474" width="12.09765625" style="79" customWidth="1"/>
    <col min="9475" max="9475" width="13.796875" style="79" customWidth="1"/>
    <col min="9476" max="9477" width="22.59765625" style="79" customWidth="1"/>
    <col min="9478" max="9478" width="13.796875" style="79" customWidth="1"/>
    <col min="9479" max="9479" width="8.59765625" style="79" customWidth="1"/>
    <col min="9480" max="9481" width="14.69921875" style="79" customWidth="1"/>
    <col min="9482" max="9728" width="9" style="79"/>
    <col min="9729" max="9730" width="12.09765625" style="79" customWidth="1"/>
    <col min="9731" max="9731" width="13.796875" style="79" customWidth="1"/>
    <col min="9732" max="9733" width="22.59765625" style="79" customWidth="1"/>
    <col min="9734" max="9734" width="13.796875" style="79" customWidth="1"/>
    <col min="9735" max="9735" width="8.59765625" style="79" customWidth="1"/>
    <col min="9736" max="9737" width="14.69921875" style="79" customWidth="1"/>
    <col min="9738" max="9984" width="9" style="79"/>
    <col min="9985" max="9986" width="12.09765625" style="79" customWidth="1"/>
    <col min="9987" max="9987" width="13.796875" style="79" customWidth="1"/>
    <col min="9988" max="9989" width="22.59765625" style="79" customWidth="1"/>
    <col min="9990" max="9990" width="13.796875" style="79" customWidth="1"/>
    <col min="9991" max="9991" width="8.59765625" style="79" customWidth="1"/>
    <col min="9992" max="9993" width="14.69921875" style="79" customWidth="1"/>
    <col min="9994" max="10240" width="9" style="79"/>
    <col min="10241" max="10242" width="12.09765625" style="79" customWidth="1"/>
    <col min="10243" max="10243" width="13.796875" style="79" customWidth="1"/>
    <col min="10244" max="10245" width="22.59765625" style="79" customWidth="1"/>
    <col min="10246" max="10246" width="13.796875" style="79" customWidth="1"/>
    <col min="10247" max="10247" width="8.59765625" style="79" customWidth="1"/>
    <col min="10248" max="10249" width="14.69921875" style="79" customWidth="1"/>
    <col min="10250" max="10496" width="9" style="79"/>
    <col min="10497" max="10498" width="12.09765625" style="79" customWidth="1"/>
    <col min="10499" max="10499" width="13.796875" style="79" customWidth="1"/>
    <col min="10500" max="10501" width="22.59765625" style="79" customWidth="1"/>
    <col min="10502" max="10502" width="13.796875" style="79" customWidth="1"/>
    <col min="10503" max="10503" width="8.59765625" style="79" customWidth="1"/>
    <col min="10504" max="10505" width="14.69921875" style="79" customWidth="1"/>
    <col min="10506" max="10752" width="9" style="79"/>
    <col min="10753" max="10754" width="12.09765625" style="79" customWidth="1"/>
    <col min="10755" max="10755" width="13.796875" style="79" customWidth="1"/>
    <col min="10756" max="10757" width="22.59765625" style="79" customWidth="1"/>
    <col min="10758" max="10758" width="13.796875" style="79" customWidth="1"/>
    <col min="10759" max="10759" width="8.59765625" style="79" customWidth="1"/>
    <col min="10760" max="10761" width="14.69921875" style="79" customWidth="1"/>
    <col min="10762" max="11008" width="9" style="79"/>
    <col min="11009" max="11010" width="12.09765625" style="79" customWidth="1"/>
    <col min="11011" max="11011" width="13.796875" style="79" customWidth="1"/>
    <col min="11012" max="11013" width="22.59765625" style="79" customWidth="1"/>
    <col min="11014" max="11014" width="13.796875" style="79" customWidth="1"/>
    <col min="11015" max="11015" width="8.59765625" style="79" customWidth="1"/>
    <col min="11016" max="11017" width="14.69921875" style="79" customWidth="1"/>
    <col min="11018" max="11264" width="9" style="79"/>
    <col min="11265" max="11266" width="12.09765625" style="79" customWidth="1"/>
    <col min="11267" max="11267" width="13.796875" style="79" customWidth="1"/>
    <col min="11268" max="11269" width="22.59765625" style="79" customWidth="1"/>
    <col min="11270" max="11270" width="13.796875" style="79" customWidth="1"/>
    <col min="11271" max="11271" width="8.59765625" style="79" customWidth="1"/>
    <col min="11272" max="11273" width="14.69921875" style="79" customWidth="1"/>
    <col min="11274" max="11520" width="9" style="79"/>
    <col min="11521" max="11522" width="12.09765625" style="79" customWidth="1"/>
    <col min="11523" max="11523" width="13.796875" style="79" customWidth="1"/>
    <col min="11524" max="11525" width="22.59765625" style="79" customWidth="1"/>
    <col min="11526" max="11526" width="13.796875" style="79" customWidth="1"/>
    <col min="11527" max="11527" width="8.59765625" style="79" customWidth="1"/>
    <col min="11528" max="11529" width="14.69921875" style="79" customWidth="1"/>
    <col min="11530" max="11776" width="9" style="79"/>
    <col min="11777" max="11778" width="12.09765625" style="79" customWidth="1"/>
    <col min="11779" max="11779" width="13.796875" style="79" customWidth="1"/>
    <col min="11780" max="11781" width="22.59765625" style="79" customWidth="1"/>
    <col min="11782" max="11782" width="13.796875" style="79" customWidth="1"/>
    <col min="11783" max="11783" width="8.59765625" style="79" customWidth="1"/>
    <col min="11784" max="11785" width="14.69921875" style="79" customWidth="1"/>
    <col min="11786" max="12032" width="9" style="79"/>
    <col min="12033" max="12034" width="12.09765625" style="79" customWidth="1"/>
    <col min="12035" max="12035" width="13.796875" style="79" customWidth="1"/>
    <col min="12036" max="12037" width="22.59765625" style="79" customWidth="1"/>
    <col min="12038" max="12038" width="13.796875" style="79" customWidth="1"/>
    <col min="12039" max="12039" width="8.59765625" style="79" customWidth="1"/>
    <col min="12040" max="12041" width="14.69921875" style="79" customWidth="1"/>
    <col min="12042" max="12288" width="9" style="79"/>
    <col min="12289" max="12290" width="12.09765625" style="79" customWidth="1"/>
    <col min="12291" max="12291" width="13.796875" style="79" customWidth="1"/>
    <col min="12292" max="12293" width="22.59765625" style="79" customWidth="1"/>
    <col min="12294" max="12294" width="13.796875" style="79" customWidth="1"/>
    <col min="12295" max="12295" width="8.59765625" style="79" customWidth="1"/>
    <col min="12296" max="12297" width="14.69921875" style="79" customWidth="1"/>
    <col min="12298" max="12544" width="9" style="79"/>
    <col min="12545" max="12546" width="12.09765625" style="79" customWidth="1"/>
    <col min="12547" max="12547" width="13.796875" style="79" customWidth="1"/>
    <col min="12548" max="12549" width="22.59765625" style="79" customWidth="1"/>
    <col min="12550" max="12550" width="13.796875" style="79" customWidth="1"/>
    <col min="12551" max="12551" width="8.59765625" style="79" customWidth="1"/>
    <col min="12552" max="12553" width="14.69921875" style="79" customWidth="1"/>
    <col min="12554" max="12800" width="9" style="79"/>
    <col min="12801" max="12802" width="12.09765625" style="79" customWidth="1"/>
    <col min="12803" max="12803" width="13.796875" style="79" customWidth="1"/>
    <col min="12804" max="12805" width="22.59765625" style="79" customWidth="1"/>
    <col min="12806" max="12806" width="13.796875" style="79" customWidth="1"/>
    <col min="12807" max="12807" width="8.59765625" style="79" customWidth="1"/>
    <col min="12808" max="12809" width="14.69921875" style="79" customWidth="1"/>
    <col min="12810" max="13056" width="9" style="79"/>
    <col min="13057" max="13058" width="12.09765625" style="79" customWidth="1"/>
    <col min="13059" max="13059" width="13.796875" style="79" customWidth="1"/>
    <col min="13060" max="13061" width="22.59765625" style="79" customWidth="1"/>
    <col min="13062" max="13062" width="13.796875" style="79" customWidth="1"/>
    <col min="13063" max="13063" width="8.59765625" style="79" customWidth="1"/>
    <col min="13064" max="13065" width="14.69921875" style="79" customWidth="1"/>
    <col min="13066" max="13312" width="9" style="79"/>
    <col min="13313" max="13314" width="12.09765625" style="79" customWidth="1"/>
    <col min="13315" max="13315" width="13.796875" style="79" customWidth="1"/>
    <col min="13316" max="13317" width="22.59765625" style="79" customWidth="1"/>
    <col min="13318" max="13318" width="13.796875" style="79" customWidth="1"/>
    <col min="13319" max="13319" width="8.59765625" style="79" customWidth="1"/>
    <col min="13320" max="13321" width="14.69921875" style="79" customWidth="1"/>
    <col min="13322" max="13568" width="9" style="79"/>
    <col min="13569" max="13570" width="12.09765625" style="79" customWidth="1"/>
    <col min="13571" max="13571" width="13.796875" style="79" customWidth="1"/>
    <col min="13572" max="13573" width="22.59765625" style="79" customWidth="1"/>
    <col min="13574" max="13574" width="13.796875" style="79" customWidth="1"/>
    <col min="13575" max="13575" width="8.59765625" style="79" customWidth="1"/>
    <col min="13576" max="13577" width="14.69921875" style="79" customWidth="1"/>
    <col min="13578" max="13824" width="9" style="79"/>
    <col min="13825" max="13826" width="12.09765625" style="79" customWidth="1"/>
    <col min="13827" max="13827" width="13.796875" style="79" customWidth="1"/>
    <col min="13828" max="13829" width="22.59765625" style="79" customWidth="1"/>
    <col min="13830" max="13830" width="13.796875" style="79" customWidth="1"/>
    <col min="13831" max="13831" width="8.59765625" style="79" customWidth="1"/>
    <col min="13832" max="13833" width="14.69921875" style="79" customWidth="1"/>
    <col min="13834" max="14080" width="9" style="79"/>
    <col min="14081" max="14082" width="12.09765625" style="79" customWidth="1"/>
    <col min="14083" max="14083" width="13.796875" style="79" customWidth="1"/>
    <col min="14084" max="14085" width="22.59765625" style="79" customWidth="1"/>
    <col min="14086" max="14086" width="13.796875" style="79" customWidth="1"/>
    <col min="14087" max="14087" width="8.59765625" style="79" customWidth="1"/>
    <col min="14088" max="14089" width="14.69921875" style="79" customWidth="1"/>
    <col min="14090" max="14336" width="9" style="79"/>
    <col min="14337" max="14338" width="12.09765625" style="79" customWidth="1"/>
    <col min="14339" max="14339" width="13.796875" style="79" customWidth="1"/>
    <col min="14340" max="14341" width="22.59765625" style="79" customWidth="1"/>
    <col min="14342" max="14342" width="13.796875" style="79" customWidth="1"/>
    <col min="14343" max="14343" width="8.59765625" style="79" customWidth="1"/>
    <col min="14344" max="14345" width="14.69921875" style="79" customWidth="1"/>
    <col min="14346" max="14592" width="9" style="79"/>
    <col min="14593" max="14594" width="12.09765625" style="79" customWidth="1"/>
    <col min="14595" max="14595" width="13.796875" style="79" customWidth="1"/>
    <col min="14596" max="14597" width="22.59765625" style="79" customWidth="1"/>
    <col min="14598" max="14598" width="13.796875" style="79" customWidth="1"/>
    <col min="14599" max="14599" width="8.59765625" style="79" customWidth="1"/>
    <col min="14600" max="14601" width="14.69921875" style="79" customWidth="1"/>
    <col min="14602" max="14848" width="9" style="79"/>
    <col min="14849" max="14850" width="12.09765625" style="79" customWidth="1"/>
    <col min="14851" max="14851" width="13.796875" style="79" customWidth="1"/>
    <col min="14852" max="14853" width="22.59765625" style="79" customWidth="1"/>
    <col min="14854" max="14854" width="13.796875" style="79" customWidth="1"/>
    <col min="14855" max="14855" width="8.59765625" style="79" customWidth="1"/>
    <col min="14856" max="14857" width="14.69921875" style="79" customWidth="1"/>
    <col min="14858" max="15104" width="9" style="79"/>
    <col min="15105" max="15106" width="12.09765625" style="79" customWidth="1"/>
    <col min="15107" max="15107" width="13.796875" style="79" customWidth="1"/>
    <col min="15108" max="15109" width="22.59765625" style="79" customWidth="1"/>
    <col min="15110" max="15110" width="13.796875" style="79" customWidth="1"/>
    <col min="15111" max="15111" width="8.59765625" style="79" customWidth="1"/>
    <col min="15112" max="15113" width="14.69921875" style="79" customWidth="1"/>
    <col min="15114" max="15360" width="9" style="79"/>
    <col min="15361" max="15362" width="12.09765625" style="79" customWidth="1"/>
    <col min="15363" max="15363" width="13.796875" style="79" customWidth="1"/>
    <col min="15364" max="15365" width="22.59765625" style="79" customWidth="1"/>
    <col min="15366" max="15366" width="13.796875" style="79" customWidth="1"/>
    <col min="15367" max="15367" width="8.59765625" style="79" customWidth="1"/>
    <col min="15368" max="15369" width="14.69921875" style="79" customWidth="1"/>
    <col min="15370" max="15616" width="9" style="79"/>
    <col min="15617" max="15618" width="12.09765625" style="79" customWidth="1"/>
    <col min="15619" max="15619" width="13.796875" style="79" customWidth="1"/>
    <col min="15620" max="15621" width="22.59765625" style="79" customWidth="1"/>
    <col min="15622" max="15622" width="13.796875" style="79" customWidth="1"/>
    <col min="15623" max="15623" width="8.59765625" style="79" customWidth="1"/>
    <col min="15624" max="15625" width="14.69921875" style="79" customWidth="1"/>
    <col min="15626" max="15872" width="9" style="79"/>
    <col min="15873" max="15874" width="12.09765625" style="79" customWidth="1"/>
    <col min="15875" max="15875" width="13.796875" style="79" customWidth="1"/>
    <col min="15876" max="15877" width="22.59765625" style="79" customWidth="1"/>
    <col min="15878" max="15878" width="13.796875" style="79" customWidth="1"/>
    <col min="15879" max="15879" width="8.59765625" style="79" customWidth="1"/>
    <col min="15880" max="15881" width="14.69921875" style="79" customWidth="1"/>
    <col min="15882" max="16128" width="9" style="79"/>
    <col min="16129" max="16130" width="12.09765625" style="79" customWidth="1"/>
    <col min="16131" max="16131" width="13.796875" style="79" customWidth="1"/>
    <col min="16132" max="16133" width="22.59765625" style="79" customWidth="1"/>
    <col min="16134" max="16134" width="13.796875" style="79" customWidth="1"/>
    <col min="16135" max="16135" width="8.59765625" style="79" customWidth="1"/>
    <col min="16136" max="16137" width="14.69921875" style="79" customWidth="1"/>
    <col min="16138" max="16384" width="9" style="79"/>
  </cols>
  <sheetData>
    <row r="5" spans="1:9" ht="16.2" x14ac:dyDescent="0.25">
      <c r="A5" s="78" t="s">
        <v>1542</v>
      </c>
    </row>
    <row r="6" spans="1:9" ht="16.2" x14ac:dyDescent="0.25">
      <c r="A6" s="78"/>
    </row>
    <row r="7" spans="1:9" x14ac:dyDescent="0.2">
      <c r="A7" s="84"/>
      <c r="B7" s="84"/>
      <c r="C7" s="84"/>
      <c r="D7" s="84"/>
      <c r="E7" s="84"/>
      <c r="F7" s="84"/>
      <c r="G7" s="84"/>
      <c r="H7" s="84"/>
      <c r="I7" s="84"/>
    </row>
    <row r="8" spans="1:9" ht="24" x14ac:dyDescent="0.2">
      <c r="A8" s="445" t="s">
        <v>1543</v>
      </c>
      <c r="B8" s="445" t="s">
        <v>1544</v>
      </c>
      <c r="C8" s="445" t="s">
        <v>1545</v>
      </c>
      <c r="D8" s="445" t="s">
        <v>1546</v>
      </c>
      <c r="E8" s="445" t="s">
        <v>1547</v>
      </c>
      <c r="F8" s="446" t="s">
        <v>1548</v>
      </c>
      <c r="G8" s="446" t="s">
        <v>1549</v>
      </c>
      <c r="H8" s="446" t="s">
        <v>1550</v>
      </c>
      <c r="I8" s="446" t="s">
        <v>1551</v>
      </c>
    </row>
    <row r="9" spans="1:9" ht="20.399999999999999" x14ac:dyDescent="0.2">
      <c r="A9" s="442">
        <v>42159</v>
      </c>
      <c r="B9" s="443" t="s">
        <v>1552</v>
      </c>
      <c r="C9" s="484" t="s">
        <v>1553</v>
      </c>
      <c r="D9" s="443" t="s">
        <v>1554</v>
      </c>
      <c r="E9" s="443" t="s">
        <v>313</v>
      </c>
      <c r="F9" s="444">
        <v>797.3</v>
      </c>
      <c r="G9" s="444">
        <v>258.89999999999998</v>
      </c>
      <c r="H9" s="444" t="s">
        <v>1555</v>
      </c>
      <c r="I9" s="444" t="s">
        <v>1556</v>
      </c>
    </row>
    <row r="10" spans="1:9" ht="51" x14ac:dyDescent="0.2">
      <c r="A10" s="442">
        <v>41085</v>
      </c>
      <c r="B10" s="443" t="s">
        <v>1557</v>
      </c>
      <c r="C10" s="484" t="s">
        <v>1558</v>
      </c>
      <c r="D10" s="443" t="s">
        <v>1559</v>
      </c>
      <c r="E10" s="443" t="s">
        <v>1560</v>
      </c>
      <c r="F10" s="444">
        <v>183.1</v>
      </c>
      <c r="G10" s="444">
        <v>113</v>
      </c>
      <c r="H10" s="444" t="s">
        <v>1561</v>
      </c>
      <c r="I10" s="444" t="s">
        <v>1562</v>
      </c>
    </row>
    <row r="11" spans="1:9" ht="61.2" x14ac:dyDescent="0.2">
      <c r="A11" s="442">
        <v>40423</v>
      </c>
      <c r="B11" s="443" t="s">
        <v>1563</v>
      </c>
      <c r="C11" s="484" t="s">
        <v>1564</v>
      </c>
      <c r="D11" s="443" t="s">
        <v>1565</v>
      </c>
      <c r="E11" s="443" t="s">
        <v>1566</v>
      </c>
      <c r="F11" s="444">
        <v>28637.7</v>
      </c>
      <c r="G11" s="444">
        <v>4207.6000000000004</v>
      </c>
      <c r="H11" s="444" t="s">
        <v>1567</v>
      </c>
      <c r="I11" s="444" t="s">
        <v>1562</v>
      </c>
    </row>
    <row r="12" spans="1:9" ht="51" x14ac:dyDescent="0.2">
      <c r="A12" s="447">
        <v>39755</v>
      </c>
      <c r="B12" s="448" t="s">
        <v>1568</v>
      </c>
      <c r="C12" s="485" t="s">
        <v>1569</v>
      </c>
      <c r="D12" s="448" t="s">
        <v>1570</v>
      </c>
      <c r="E12" s="448" t="s">
        <v>313</v>
      </c>
      <c r="F12" s="444">
        <v>6794.6</v>
      </c>
      <c r="G12" s="444">
        <v>166</v>
      </c>
      <c r="H12" s="449" t="s">
        <v>1571</v>
      </c>
      <c r="I12" s="449" t="s">
        <v>1572</v>
      </c>
    </row>
    <row r="13" spans="1:9" x14ac:dyDescent="0.2">
      <c r="A13" s="443"/>
      <c r="B13" s="443"/>
      <c r="C13" s="443"/>
      <c r="D13" s="443"/>
      <c r="E13" s="491" t="s">
        <v>1573</v>
      </c>
      <c r="F13" s="496">
        <v>28637.7</v>
      </c>
      <c r="G13" s="496">
        <v>4207.6000000000004</v>
      </c>
      <c r="H13" s="486" t="s">
        <v>1571</v>
      </c>
      <c r="I13" s="487" t="s">
        <v>1572</v>
      </c>
    </row>
    <row r="14" spans="1:9" x14ac:dyDescent="0.2">
      <c r="A14" s="82"/>
      <c r="B14" s="82"/>
      <c r="C14" s="82"/>
      <c r="D14" s="82"/>
      <c r="E14" s="492" t="s">
        <v>1514</v>
      </c>
      <c r="F14" s="494">
        <v>3795.9</v>
      </c>
      <c r="G14" s="494">
        <v>212.4</v>
      </c>
      <c r="H14" s="488" t="s">
        <v>1574</v>
      </c>
      <c r="I14" s="479" t="s">
        <v>1575</v>
      </c>
    </row>
    <row r="15" spans="1:9" x14ac:dyDescent="0.2">
      <c r="A15" s="82"/>
      <c r="B15" s="82"/>
      <c r="C15" s="82"/>
      <c r="D15" s="82"/>
      <c r="E15" s="492" t="s">
        <v>1513</v>
      </c>
      <c r="F15" s="494">
        <v>9103.2000000000007</v>
      </c>
      <c r="G15" s="494">
        <v>1186.3</v>
      </c>
      <c r="H15" s="488" t="s">
        <v>1574</v>
      </c>
      <c r="I15" s="480" t="s">
        <v>1575</v>
      </c>
    </row>
    <row r="16" spans="1:9" x14ac:dyDescent="0.2">
      <c r="A16" s="82"/>
      <c r="B16" s="82"/>
      <c r="C16" s="82"/>
      <c r="D16" s="82"/>
      <c r="E16" s="493" t="s">
        <v>1576</v>
      </c>
      <c r="F16" s="495">
        <v>183.1</v>
      </c>
      <c r="G16" s="495">
        <v>113</v>
      </c>
      <c r="H16" s="489" t="s">
        <v>1561</v>
      </c>
      <c r="I16" s="490" t="s">
        <v>1562</v>
      </c>
    </row>
  </sheetData>
  <phoneticPr fontId="1" type="noConversion"/>
  <pageMargins left="0.2" right="0.2" top="0.5" bottom="0.5" header="0.5" footer="0.5"/>
  <pageSetup fitToWidth="0" fitToHeight="0" orientation="landscape" horizontalDpi="0" verticalDpi="0"/>
  <headerFooter alignWithMargins="0"/>
  <customProperties>
    <customPr name="Guid" r:id="rId1"/>
  </customPropertie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0000"/>
  </sheetPr>
  <dimension ref="B2:M8"/>
  <sheetViews>
    <sheetView showGridLines="0" workbookViewId="0"/>
  </sheetViews>
  <sheetFormatPr defaultColWidth="9" defaultRowHeight="17.399999999999999" x14ac:dyDescent="0.4"/>
  <cols>
    <col min="1" max="1" width="3.69921875" style="33" customWidth="1"/>
    <col min="2" max="16384" width="9" style="33"/>
  </cols>
  <sheetData>
    <row r="2" spans="2:13" x14ac:dyDescent="0.4">
      <c r="B2" s="239" t="s">
        <v>1027</v>
      </c>
      <c r="C2" s="240"/>
      <c r="D2" s="240"/>
      <c r="E2" s="240"/>
      <c r="F2" s="240"/>
      <c r="G2" s="240"/>
      <c r="H2" s="240"/>
      <c r="I2" s="240"/>
      <c r="J2" s="240"/>
      <c r="K2" s="240"/>
      <c r="L2" s="240"/>
      <c r="M2" s="241"/>
    </row>
    <row r="3" spans="2:13" x14ac:dyDescent="0.4">
      <c r="B3" s="242" t="s">
        <v>214</v>
      </c>
      <c r="C3" s="243"/>
      <c r="D3" s="243"/>
      <c r="E3" s="243"/>
      <c r="F3" s="243"/>
      <c r="G3" s="243"/>
      <c r="H3" s="243"/>
      <c r="I3" s="243"/>
      <c r="J3" s="243"/>
      <c r="K3" s="243"/>
      <c r="L3" s="243"/>
      <c r="M3" s="244"/>
    </row>
    <row r="4" spans="2:13" x14ac:dyDescent="0.4">
      <c r="B4" s="242" t="s">
        <v>215</v>
      </c>
      <c r="C4" s="243"/>
      <c r="D4" s="243"/>
      <c r="E4" s="243"/>
      <c r="F4" s="243"/>
      <c r="G4" s="243"/>
      <c r="H4" s="243"/>
      <c r="I4" s="243"/>
      <c r="J4" s="243"/>
      <c r="K4" s="243"/>
      <c r="L4" s="243"/>
      <c r="M4" s="244"/>
    </row>
    <row r="5" spans="2:13" x14ac:dyDescent="0.4">
      <c r="B5" s="242" t="s">
        <v>216</v>
      </c>
      <c r="C5" s="243"/>
      <c r="D5" s="243"/>
      <c r="E5" s="243"/>
      <c r="F5" s="243"/>
      <c r="G5" s="243"/>
      <c r="H5" s="243"/>
      <c r="I5" s="243"/>
      <c r="J5" s="243"/>
      <c r="K5" s="243"/>
      <c r="L5" s="243"/>
      <c r="M5" s="244"/>
    </row>
    <row r="6" spans="2:13" x14ac:dyDescent="0.4">
      <c r="B6" s="242" t="s">
        <v>217</v>
      </c>
      <c r="C6" s="243"/>
      <c r="D6" s="243"/>
      <c r="E6" s="243"/>
      <c r="F6" s="243"/>
      <c r="G6" s="243"/>
      <c r="H6" s="243"/>
      <c r="I6" s="243"/>
      <c r="J6" s="243"/>
      <c r="K6" s="243"/>
      <c r="L6" s="243"/>
      <c r="M6" s="244"/>
    </row>
    <row r="7" spans="2:13" x14ac:dyDescent="0.4">
      <c r="B7" s="242" t="s">
        <v>1028</v>
      </c>
      <c r="C7" s="243"/>
      <c r="D7" s="243"/>
      <c r="E7" s="243"/>
      <c r="F7" s="243"/>
      <c r="G7" s="243"/>
      <c r="H7" s="243"/>
      <c r="I7" s="243"/>
      <c r="J7" s="243"/>
      <c r="K7" s="243"/>
      <c r="L7" s="243"/>
      <c r="M7" s="244"/>
    </row>
    <row r="8" spans="2:13" x14ac:dyDescent="0.4">
      <c r="B8" s="245" t="s">
        <v>1029</v>
      </c>
      <c r="C8" s="246"/>
      <c r="D8" s="246"/>
      <c r="E8" s="246"/>
      <c r="F8" s="246"/>
      <c r="G8" s="246"/>
      <c r="H8" s="246"/>
      <c r="I8" s="246"/>
      <c r="J8" s="246"/>
      <c r="K8" s="246"/>
      <c r="L8" s="246"/>
      <c r="M8" s="247"/>
    </row>
  </sheetData>
  <sheetProtection password="DA72" sheet="1" objects="1" scenarios="1" selectLockedCells="1" selectUnlockedCells="1"/>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31</vt:i4>
      </vt:variant>
      <vt:variant>
        <vt:lpstr>이름 지정된 범위</vt:lpstr>
      </vt:variant>
      <vt:variant>
        <vt:i4>23</vt:i4>
      </vt:variant>
    </vt:vector>
  </HeadingPairs>
  <TitlesOfParts>
    <vt:vector size="54" baseType="lpstr">
      <vt:lpstr>Cover</vt:lpstr>
      <vt:lpstr>Operations</vt:lpstr>
      <vt:lpstr>Income Statement</vt:lpstr>
      <vt:lpstr>Balance Sheet</vt:lpstr>
      <vt:lpstr>Cash Flow</vt:lpstr>
      <vt:lpstr>Working Capital</vt:lpstr>
      <vt:lpstr>PP&amp;E</vt:lpstr>
      <vt:lpstr>Other LT Items</vt:lpstr>
      <vt:lpstr>Equity</vt:lpstr>
      <vt:lpstr>Shares</vt:lpstr>
      <vt:lpstr>Debt&amp;Interest</vt:lpstr>
      <vt:lpstr>DCF</vt:lpstr>
      <vt:lpstr>SHAK_10K</vt:lpstr>
      <vt:lpstr>Capital IQ&gt;&gt;&gt;&gt;&gt;</vt:lpstr>
      <vt:lpstr>Key Stats</vt:lpstr>
      <vt:lpstr>IS</vt:lpstr>
      <vt:lpstr>BS</vt:lpstr>
      <vt:lpstr>SCF</vt:lpstr>
      <vt:lpstr>Multiples</vt:lpstr>
      <vt:lpstr>Historical Capitalization</vt:lpstr>
      <vt:lpstr>Capital Structure Summary</vt:lpstr>
      <vt:lpstr>Capital Structure Details</vt:lpstr>
      <vt:lpstr>Ratios</vt:lpstr>
      <vt:lpstr>Supplemental</vt:lpstr>
      <vt:lpstr>Segments</vt:lpstr>
      <vt:lpstr>WACC</vt:lpstr>
      <vt:lpstr>Input Tab</vt:lpstr>
      <vt:lpstr>Trading Multiples</vt:lpstr>
      <vt:lpstr>Valuation Chart</vt:lpstr>
      <vt:lpstr>Comparable M&amp;A Transactions</vt:lpstr>
      <vt:lpstr>CR</vt:lpstr>
      <vt:lpstr>Ccy</vt:lpstr>
      <vt:lpstr>Circ</vt:lpstr>
      <vt:lpstr>Conv</vt:lpstr>
      <vt:lpstr>Date</vt:lpstr>
      <vt:lpstr>Days</vt:lpstr>
      <vt:lpstr>Fil</vt:lpstr>
      <vt:lpstr>List</vt:lpstr>
      <vt:lpstr>Cover!Print_Area</vt:lpstr>
      <vt:lpstr>'Trading Multiples'!Print_Area</vt:lpstr>
      <vt:lpstr>'Valuation Chart'!Print_Area</vt:lpstr>
      <vt:lpstr>WACC!Print_Area</vt:lpstr>
      <vt:lpstr>BS!Print_Titles</vt:lpstr>
      <vt:lpstr>'Capital Structure Details'!Print_Titles</vt:lpstr>
      <vt:lpstr>'Capital Structure Summary'!Print_Titles</vt:lpstr>
      <vt:lpstr>'Comparable M&amp;A Transactions'!Print_Titles</vt:lpstr>
      <vt:lpstr>'Historical Capitalization'!Print_Titles</vt:lpstr>
      <vt:lpstr>IS!Print_Titles</vt:lpstr>
      <vt:lpstr>'Key Stats'!Print_Titles</vt:lpstr>
      <vt:lpstr>Multiples!Print_Titles</vt:lpstr>
      <vt:lpstr>Ratios!Print_Titles</vt:lpstr>
      <vt:lpstr>SCF!Print_Titles</vt:lpstr>
      <vt:lpstr>Segments!Print_Titles</vt:lpstr>
      <vt:lpstr>Supplemental!Print_Titles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Shake Shack DCF</dc:title>
  <dc:creator>Wall Street Training Inc.</dc:creator>
  <cp:keywords>WST Finanial Modeling</cp:keywords>
  <cp:lastModifiedBy>채현기</cp:lastModifiedBy>
  <dcterms:created xsi:type="dcterms:W3CDTF">2018-07-04T06:49:52Z</dcterms:created>
  <dcterms:modified xsi:type="dcterms:W3CDTF">2025-06-27T03:04:45Z</dcterms:modified>
</cp:coreProperties>
</file>