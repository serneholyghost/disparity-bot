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/>
  <xr:revisionPtr revIDLastSave="0" documentId="13_ncr:1_{8D43A66C-6799-4534-A47F-F29B888E4EDA}" xr6:coauthVersionLast="47" xr6:coauthVersionMax="47" xr10:uidLastSave="{00000000-0000-0000-0000-000000000000}"/>
  <bookViews>
    <workbookView xWindow="-108" yWindow="-108" windowWidth="23256" windowHeight="12456" tabRatio="892" activeTab="7" xr2:uid="{00000000-000D-0000-FFFF-FFFF00000000}"/>
  </bookViews>
  <sheets>
    <sheet name="Cover" sheetId="224" r:id="rId1"/>
    <sheet name="Trading Comps &gt;&gt;&gt;" sheetId="81" r:id="rId2"/>
    <sheet name="Trading Comps_Input" sheetId="79" r:id="rId3"/>
    <sheet name="_CIQHiddenCacheSheet" sheetId="222" state="veryHidden" r:id="rId4"/>
    <sheet name="함수 실습 (실습)" sheetId="223" r:id="rId5"/>
    <sheet name="함수 실습 (정답)" sheetId="226" r:id="rId6"/>
    <sheet name="Trading Comps_Output (실습)" sheetId="82" r:id="rId7"/>
    <sheet name="Trading Comps_Output (정답)" sheetId="225" r:id="rId8"/>
    <sheet name="OB_IS" sheetId="2" r:id="rId9"/>
    <sheet name="OB_BS" sheetId="3" r:id="rId10"/>
    <sheet name="OB_SCF" sheetId="4" r:id="rId11"/>
    <sheet name="OB맥주_DART" sheetId="83" r:id="rId12"/>
    <sheet name="하이트진로_DART" sheetId="84" r:id="rId13"/>
  </sheets>
  <externalReferences>
    <externalReference r:id="rId14"/>
    <externalReference r:id="rId15"/>
  </externalReferences>
  <definedNames>
    <definedName name="__FDS_HYPERLINK_TOGGLE_STATE__" hidden="1">"ON"</definedName>
    <definedName name="_Order1" hidden="1">0</definedName>
    <definedName name="_toc1" localSheetId="12">하이트진로_DART!#REF!</definedName>
    <definedName name="Case_Financing">#REF!</definedName>
    <definedName name="Case_Operating">#REF!</definedName>
    <definedName name="CIQWBGuid" localSheetId="0" hidden="1">"e2734957-fdc8-4b05-a470-5f478324b605"</definedName>
    <definedName name="CIQWBGuid" hidden="1">"c2835e76-34d9-4bdd-b937-baf848053b5d"</definedName>
    <definedName name="CIQWBInfo" hidden="1">"{ ""CIQVersion"":""9.45.614.5792"" }"</definedName>
    <definedName name="Circ" localSheetId="0">Cover!$K$6</definedName>
    <definedName name="Circ">#REF!</definedName>
    <definedName name="Circ_LBO">#REF!</definedName>
    <definedName name="Date">[1]WACC!$H$1</definedName>
    <definedName name="Days">#REF!</definedName>
    <definedName name="GVKey">""</definedName>
    <definedName name="IQ_ADDIN" hidden="1">"AUTO"</definedName>
    <definedName name="IQ_AVG_PRICE_TARGET" hidden="1">"c82"</definedName>
    <definedName name="IQ_CH">110000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ST_ACT_EPS_PRIMARY" hidden="1">"c2232"</definedName>
    <definedName name="IQ_EST_EPS_SURPRISE" hidden="1">"c1635"</definedName>
    <definedName name="IQ_EST_NUM_BUY_REUT" hidden="1">"c3869"</definedName>
    <definedName name="IQ_EST_NUM_BUY_THOM" hidden="1">"c5165"</definedName>
    <definedName name="IQ_EST_NUM_HOLD_REUT" hidden="1">"c3871"</definedName>
    <definedName name="IQ_EST_NUM_HOLD_THOM" hidden="1">"c5167"</definedName>
    <definedName name="IQ_EST_NUM_OUTPERFORM_REUT" hidden="1">"c3870"</definedName>
    <definedName name="IQ_EST_NUM_OUTPERFORM_THOM" hidden="1">"c5166"</definedName>
    <definedName name="IQ_EST_NUM_SELL_REUT" hidden="1">"c3873"</definedName>
    <definedName name="IQ_EST_NUM_SELL_THOM" hidden="1">"c5169"</definedName>
    <definedName name="IQ_EST_NUM_UNDERPERFORM_REUT" hidden="1">"c3872"</definedName>
    <definedName name="IQ_EST_NUM_UNDERPERFORM_THOM" hidden="1">"c5168"</definedName>
    <definedName name="IQ_EXPENSE_CODE_" hidden="1">"test"</definedName>
    <definedName name="IQ_FH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"06/19/2018 03:31:41"</definedName>
    <definedName name="IQ_NAMES_REVISION_DATE_" hidden="1">"03/09/2021 01:19:21"</definedName>
    <definedName name="IQ_NAV_ACT_OR_EST" hidden="1">"c2225"</definedName>
    <definedName name="IQ_NTM">6000</definedName>
    <definedName name="IQ_OG_TOTAL_OIL_PRODUCTON" hidden="1">"c2059"</definedName>
    <definedName name="IQ_OPENED55" hidden="1">1</definedName>
    <definedName name="IQ_PRIMARY_EPS_TYPE_THOM" hidden="1">"c5297"</definedName>
    <definedName name="IQ_QTD" hidden="1">750000</definedName>
    <definedName name="IQ_SHAREOUTSTANDING" hidden="1">"c1347"</definedName>
    <definedName name="IQ_TODAY" hidden="1">0</definedName>
    <definedName name="IQ_TOTAL_PENSION_OBLIGATION" hidden="1">"c1292"</definedName>
    <definedName name="IQ_WEEK">50000</definedName>
    <definedName name="IQ_YTD">3000</definedName>
    <definedName name="IQ_YTDMONTH" hidden="1">130000</definedName>
    <definedName name="IQRCapitalStructureDetailsV13" hidden="1">'[2]Capital Structure Details'!$V$14:$V$25</definedName>
    <definedName name="IQRCapitalStructureDetailsV31" hidden="1">'[2]Capital Structure Details'!$V$32:$V$43</definedName>
    <definedName name="IQRIncomeStatementAJ11" hidden="1">'[2]Income Statement'!$AJ$12</definedName>
    <definedName name="IQRIncomeStatementAP11" hidden="1">'[2]Income Statement'!$AP$12</definedName>
    <definedName name="IQRInput1C10" hidden="1">#REF!</definedName>
    <definedName name="IQRInput1C11" hidden="1">#REF!</definedName>
    <definedName name="IQRInput1C14" hidden="1">#REF!</definedName>
    <definedName name="IQRInput1D10" hidden="1">#REF!</definedName>
    <definedName name="IQRInputC14" hidden="1">#REF!</definedName>
    <definedName name="IQRInputC9" hidden="1">#REF!</definedName>
    <definedName name="IQRInputTabC14" hidden="1">#REF!</definedName>
    <definedName name="IQRInputTabC15" hidden="1">#REF!</definedName>
    <definedName name="IQRInputTabC9" hidden="1">#REF!</definedName>
    <definedName name="IQRWACCAnalysisBB10" hidden="1">#REF!</definedName>
    <definedName name="IQRWACCAnalysisBC10" hidden="1">#REF!</definedName>
    <definedName name="IQRWACCAnalysisBF10" hidden="1">#REF!</definedName>
    <definedName name="IQRWACCAnalysisBH10" hidden="1">#REF!</definedName>
    <definedName name="IQRWACCAnalysisBJ10" hidden="1">#REF!</definedName>
    <definedName name="IQRWACCAnalysisBK10" hidden="1">#REF!</definedName>
    <definedName name="IQRWACCAnalysisBL10" hidden="1">#REF!</definedName>
    <definedName name="IQRWACCAnalysisBM10" hidden="1">#REF!</definedName>
    <definedName name="IQRWACCAnalysisBN10" hidden="1">#REF!</definedName>
    <definedName name="IQRWACCAnalysisBO10" hidden="1">#REF!</definedName>
    <definedName name="IQRWACCAnalysisBP10" hidden="1">#REF!</definedName>
    <definedName name="IQRWACCAnalysisBQ10" hidden="1">#REF!</definedName>
    <definedName name="IQRWACCAnalysisBR10" hidden="1">#REF!</definedName>
    <definedName name="IQRWACCAnalysisBS10" hidden="1">#REF!</definedName>
    <definedName name="IQRWACCAnalysisBT10" hidden="1">#REF!</definedName>
    <definedName name="IQRWACCAnalysisBU10" hidden="1">#REF!</definedName>
    <definedName name="IQRWACCAnalysisBV10" hidden="1">#REF!</definedName>
    <definedName name="IQRWACCAnalysisBW10" hidden="1">#REF!</definedName>
    <definedName name="IQRWACCAnalysisBX10" hidden="1">#REF!</definedName>
    <definedName name="IQRWACCAnalysisBY10" hidden="1">#REF!</definedName>
    <definedName name="IQRWACCAnalysisBZ10" hidden="1">#REF!</definedName>
    <definedName name="IQRWACCAnalysisCA10" hidden="1">#REF!</definedName>
    <definedName name="IQRWACCAnalysisCB10" hidden="1">#REF!</definedName>
    <definedName name="IQRWACCAnalysisCC10" hidden="1">#REF!</definedName>
    <definedName name="IQRWACCAnalysisCD10" hidden="1">#REF!</definedName>
    <definedName name="List">'[1]Input Tab'!$AD$15:$AD$19</definedName>
    <definedName name="ListOffset" hidden="1">1</definedName>
    <definedName name="o" localSheetId="0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_xlnm.Print_Area" localSheetId="0">Cover!$A$1:$N$27</definedName>
    <definedName name="SPSet">"current"</definedName>
    <definedName name="SPWS_WBID">"D37EBD5C-BA90-4B94-B2F1-78539D014FA9"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print." localSheetId="0" hidden="1">{#N/A,#N/A,FALSE,"Japan 2003";#N/A,#N/A,FALSE,"Sheet2"}</definedName>
    <definedName name="wrn.print." hidden="1">{#N/A,#N/A,FALSE,"Japan 2003";#N/A,#N/A,FALSE,"Sheet2"}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82" l="1" a="1"/>
  <c r="C71" i="82" s="1"/>
  <c r="C56" i="82"/>
  <c r="C89" i="82" a="1"/>
  <c r="C89" i="82" s="1"/>
  <c r="B89" i="82" a="1"/>
  <c r="B89" i="82" s="1"/>
  <c r="B88" i="82" a="1"/>
  <c r="B88" i="82" s="1"/>
  <c r="E28" i="223" a="1"/>
  <c r="E28" i="223" s="1"/>
  <c r="D28" i="223" a="1"/>
  <c r="D28" i="223" s="1"/>
  <c r="E27" i="223"/>
  <c r="D27" i="223"/>
  <c r="F180" i="82"/>
  <c r="F177" i="82"/>
  <c r="G156" i="82"/>
  <c r="H156" i="82"/>
  <c r="I156" i="82"/>
  <c r="J156" i="82"/>
  <c r="K156" i="82"/>
  <c r="L156" i="82"/>
  <c r="M156" i="82"/>
  <c r="N156" i="82"/>
  <c r="N158" i="82" s="1"/>
  <c r="N160" i="82" s="1"/>
  <c r="F156" i="82"/>
  <c r="F158" i="82" s="1"/>
  <c r="F160" i="82" s="1"/>
  <c r="N159" i="82"/>
  <c r="M159" i="82"/>
  <c r="L159" i="82"/>
  <c r="K159" i="82"/>
  <c r="J159" i="82"/>
  <c r="I159" i="82"/>
  <c r="H159" i="82"/>
  <c r="G159" i="82"/>
  <c r="F159" i="82"/>
  <c r="M158" i="82"/>
  <c r="M160" i="82" s="1"/>
  <c r="L158" i="82"/>
  <c r="L160" i="82" s="1"/>
  <c r="K158" i="82"/>
  <c r="K160" i="82" s="1"/>
  <c r="J158" i="82"/>
  <c r="J160" i="82" s="1"/>
  <c r="I158" i="82"/>
  <c r="I160" i="82" s="1"/>
  <c r="N157" i="82"/>
  <c r="M157" i="82"/>
  <c r="L157" i="82"/>
  <c r="K157" i="82"/>
  <c r="J157" i="82"/>
  <c r="I157" i="82"/>
  <c r="H157" i="82"/>
  <c r="G157" i="82"/>
  <c r="F157" i="82"/>
  <c r="H158" i="82"/>
  <c r="H160" i="82" s="1"/>
  <c r="G158" i="82"/>
  <c r="G160" i="82" s="1"/>
  <c r="G150" i="82"/>
  <c r="H150" i="82"/>
  <c r="I150" i="82"/>
  <c r="J150" i="82"/>
  <c r="K150" i="82"/>
  <c r="K151" i="82" s="1"/>
  <c r="K153" i="82" s="1"/>
  <c r="L150" i="82"/>
  <c r="M150" i="82"/>
  <c r="N150" i="82"/>
  <c r="G151" i="82"/>
  <c r="G153" i="82" s="1"/>
  <c r="H151" i="82"/>
  <c r="H153" i="82" s="1"/>
  <c r="I151" i="82"/>
  <c r="I153" i="82" s="1"/>
  <c r="J151" i="82"/>
  <c r="J153" i="82" s="1"/>
  <c r="L151" i="82"/>
  <c r="L153" i="82" s="1"/>
  <c r="M151" i="82"/>
  <c r="M153" i="82" s="1"/>
  <c r="N151" i="82"/>
  <c r="N153" i="82" s="1"/>
  <c r="G152" i="82"/>
  <c r="H152" i="82"/>
  <c r="I152" i="82"/>
  <c r="J152" i="82"/>
  <c r="K152" i="82"/>
  <c r="L152" i="82"/>
  <c r="M152" i="82"/>
  <c r="N152" i="82"/>
  <c r="G149" i="82"/>
  <c r="H149" i="82"/>
  <c r="I149" i="82"/>
  <c r="J149" i="82"/>
  <c r="K149" i="82"/>
  <c r="L149" i="82"/>
  <c r="M149" i="82"/>
  <c r="N149" i="82"/>
  <c r="F149" i="82"/>
  <c r="F152" i="82"/>
  <c r="F150" i="82"/>
  <c r="F151" i="82"/>
  <c r="F153" i="82" s="1"/>
  <c r="G137" i="82"/>
  <c r="H137" i="82"/>
  <c r="I137" i="82"/>
  <c r="J137" i="82"/>
  <c r="K137" i="82"/>
  <c r="L137" i="82"/>
  <c r="M137" i="82"/>
  <c r="N137" i="82"/>
  <c r="F137" i="82"/>
  <c r="G136" i="82"/>
  <c r="H136" i="82"/>
  <c r="I136" i="82"/>
  <c r="J136" i="82"/>
  <c r="K136" i="82"/>
  <c r="L136" i="82"/>
  <c r="M136" i="82"/>
  <c r="N136" i="82"/>
  <c r="F136" i="82"/>
  <c r="G132" i="82"/>
  <c r="H132" i="82"/>
  <c r="I132" i="82"/>
  <c r="J132" i="82"/>
  <c r="K132" i="82"/>
  <c r="L132" i="82"/>
  <c r="M132" i="82"/>
  <c r="N132" i="82"/>
  <c r="G133" i="82"/>
  <c r="H133" i="82"/>
  <c r="I133" i="82"/>
  <c r="J133" i="82"/>
  <c r="K133" i="82"/>
  <c r="L133" i="82"/>
  <c r="M133" i="82"/>
  <c r="N133" i="82"/>
  <c r="G134" i="82"/>
  <c r="H134" i="82"/>
  <c r="I134" i="82"/>
  <c r="J134" i="82"/>
  <c r="K134" i="82"/>
  <c r="L134" i="82"/>
  <c r="M134" i="82"/>
  <c r="N134" i="82"/>
  <c r="F132" i="82"/>
  <c r="F133" i="82"/>
  <c r="F134" i="82"/>
  <c r="G131" i="82"/>
  <c r="H131" i="82"/>
  <c r="I131" i="82"/>
  <c r="J131" i="82"/>
  <c r="K131" i="82"/>
  <c r="L131" i="82"/>
  <c r="M131" i="82"/>
  <c r="N131" i="82"/>
  <c r="F131" i="82"/>
  <c r="F123" i="82"/>
  <c r="G123" i="82"/>
  <c r="H123" i="82"/>
  <c r="I123" i="82"/>
  <c r="J123" i="82"/>
  <c r="K123" i="82"/>
  <c r="L123" i="82"/>
  <c r="M123" i="82"/>
  <c r="N123" i="82"/>
  <c r="F124" i="82"/>
  <c r="G124" i="82"/>
  <c r="H124" i="82"/>
  <c r="I124" i="82"/>
  <c r="J124" i="82"/>
  <c r="K124" i="82"/>
  <c r="L124" i="82"/>
  <c r="M124" i="82"/>
  <c r="N124" i="82"/>
  <c r="F125" i="82"/>
  <c r="G125" i="82"/>
  <c r="H125" i="82"/>
  <c r="I125" i="82"/>
  <c r="J125" i="82"/>
  <c r="K125" i="82"/>
  <c r="L125" i="82"/>
  <c r="M125" i="82"/>
  <c r="N125" i="82"/>
  <c r="F126" i="82"/>
  <c r="G126" i="82"/>
  <c r="H126" i="82"/>
  <c r="I126" i="82"/>
  <c r="J126" i="82"/>
  <c r="K126" i="82"/>
  <c r="L126" i="82"/>
  <c r="M126" i="82"/>
  <c r="N126" i="82"/>
  <c r="F127" i="82"/>
  <c r="G127" i="82"/>
  <c r="H127" i="82"/>
  <c r="I127" i="82"/>
  <c r="J127" i="82"/>
  <c r="K127" i="82"/>
  <c r="L127" i="82"/>
  <c r="M127" i="82"/>
  <c r="N127" i="82"/>
  <c r="F128" i="82"/>
  <c r="G128" i="82"/>
  <c r="H128" i="82"/>
  <c r="I128" i="82"/>
  <c r="J128" i="82"/>
  <c r="K128" i="82"/>
  <c r="L128" i="82"/>
  <c r="M128" i="82"/>
  <c r="N128" i="82"/>
  <c r="G122" i="82"/>
  <c r="H122" i="82"/>
  <c r="I122" i="82"/>
  <c r="J122" i="82"/>
  <c r="K122" i="82"/>
  <c r="L122" i="82"/>
  <c r="M122" i="82"/>
  <c r="N122" i="82"/>
  <c r="F122" i="82"/>
  <c r="C57" i="82"/>
  <c r="D57" i="82"/>
  <c r="E57" i="82"/>
  <c r="F57" i="82"/>
  <c r="G57" i="82"/>
  <c r="H57" i="82"/>
  <c r="I57" i="82"/>
  <c r="J57" i="82"/>
  <c r="K57" i="82"/>
  <c r="L57" i="82"/>
  <c r="M57" i="82"/>
  <c r="N57" i="82"/>
  <c r="O57" i="82"/>
  <c r="P57" i="82"/>
  <c r="C58" i="82"/>
  <c r="D58" i="82"/>
  <c r="E58" i="82"/>
  <c r="F58" i="82"/>
  <c r="G58" i="82"/>
  <c r="H58" i="82"/>
  <c r="I58" i="82"/>
  <c r="J58" i="82"/>
  <c r="K58" i="82"/>
  <c r="L58" i="82"/>
  <c r="M58" i="82"/>
  <c r="N58" i="82"/>
  <c r="O58" i="82"/>
  <c r="P58" i="82"/>
  <c r="C59" i="82"/>
  <c r="D59" i="82"/>
  <c r="E59" i="82"/>
  <c r="F59" i="82"/>
  <c r="G59" i="82"/>
  <c r="H59" i="82"/>
  <c r="I59" i="82"/>
  <c r="J59" i="82"/>
  <c r="K59" i="82"/>
  <c r="L59" i="82"/>
  <c r="M59" i="82"/>
  <c r="N59" i="82"/>
  <c r="O59" i="82"/>
  <c r="P59" i="82"/>
  <c r="C60" i="82"/>
  <c r="D60" i="82"/>
  <c r="E60" i="82"/>
  <c r="F60" i="82"/>
  <c r="G60" i="82"/>
  <c r="H60" i="82"/>
  <c r="I60" i="82"/>
  <c r="J60" i="82"/>
  <c r="K60" i="82"/>
  <c r="L60" i="82"/>
  <c r="M60" i="82"/>
  <c r="N60" i="82"/>
  <c r="O60" i="82"/>
  <c r="P60" i="82"/>
  <c r="C61" i="82"/>
  <c r="D61" i="82"/>
  <c r="E61" i="82"/>
  <c r="F61" i="82"/>
  <c r="G61" i="82"/>
  <c r="H61" i="82"/>
  <c r="I61" i="82"/>
  <c r="J61" i="82"/>
  <c r="K61" i="82"/>
  <c r="L61" i="82"/>
  <c r="M61" i="82"/>
  <c r="N61" i="82"/>
  <c r="O61" i="82"/>
  <c r="P61" i="82"/>
  <c r="C62" i="82"/>
  <c r="D62" i="82"/>
  <c r="E62" i="82"/>
  <c r="F62" i="82"/>
  <c r="G62" i="82"/>
  <c r="H62" i="82"/>
  <c r="I62" i="82"/>
  <c r="J62" i="82"/>
  <c r="K62" i="82"/>
  <c r="L62" i="82"/>
  <c r="M62" i="82"/>
  <c r="N62" i="82"/>
  <c r="O62" i="82"/>
  <c r="P62" i="82"/>
  <c r="C63" i="82"/>
  <c r="D63" i="82"/>
  <c r="E63" i="82"/>
  <c r="F63" i="82"/>
  <c r="G63" i="82"/>
  <c r="H63" i="82"/>
  <c r="I63" i="82"/>
  <c r="J63" i="82"/>
  <c r="K63" i="82"/>
  <c r="L63" i="82"/>
  <c r="M63" i="82"/>
  <c r="N63" i="82"/>
  <c r="O63" i="82"/>
  <c r="P63" i="82"/>
  <c r="D56" i="82"/>
  <c r="E56" i="82"/>
  <c r="F56" i="82"/>
  <c r="G56" i="82"/>
  <c r="H56" i="82"/>
  <c r="I56" i="82"/>
  <c r="J56" i="82"/>
  <c r="K56" i="82"/>
  <c r="L56" i="82"/>
  <c r="M56" i="82"/>
  <c r="N56" i="82"/>
  <c r="O56" i="82"/>
  <c r="P56" i="82"/>
  <c r="D29" i="82"/>
  <c r="E29" i="82"/>
  <c r="F29" i="82"/>
  <c r="G29" i="82"/>
  <c r="H29" i="82"/>
  <c r="I29" i="82"/>
  <c r="J29" i="82"/>
  <c r="K29" i="82"/>
  <c r="L29" i="82"/>
  <c r="M29" i="82"/>
  <c r="N29" i="82"/>
  <c r="O29" i="82"/>
  <c r="P29" i="82"/>
  <c r="D30" i="82"/>
  <c r="E30" i="82"/>
  <c r="F30" i="82"/>
  <c r="G30" i="82"/>
  <c r="H30" i="82"/>
  <c r="I30" i="82"/>
  <c r="J30" i="82"/>
  <c r="K30" i="82"/>
  <c r="L30" i="82"/>
  <c r="M30" i="82"/>
  <c r="N30" i="82"/>
  <c r="O30" i="82"/>
  <c r="P30" i="82"/>
  <c r="D31" i="82"/>
  <c r="E31" i="82"/>
  <c r="F31" i="82"/>
  <c r="G31" i="82"/>
  <c r="H31" i="82"/>
  <c r="I31" i="82"/>
  <c r="J31" i="82"/>
  <c r="K31" i="82"/>
  <c r="L31" i="82"/>
  <c r="M31" i="82"/>
  <c r="N31" i="82"/>
  <c r="O31" i="82"/>
  <c r="P31" i="82"/>
  <c r="D32" i="82"/>
  <c r="E32" i="82"/>
  <c r="F32" i="82"/>
  <c r="G32" i="82"/>
  <c r="H32" i="82"/>
  <c r="I32" i="82"/>
  <c r="J32" i="82"/>
  <c r="K32" i="82"/>
  <c r="L32" i="82"/>
  <c r="M32" i="82"/>
  <c r="N32" i="82"/>
  <c r="O32" i="82"/>
  <c r="P32" i="82"/>
  <c r="D33" i="82"/>
  <c r="E33" i="82"/>
  <c r="F33" i="82"/>
  <c r="G33" i="82"/>
  <c r="H33" i="82"/>
  <c r="I33" i="82"/>
  <c r="J33" i="82"/>
  <c r="K33" i="82"/>
  <c r="L33" i="82"/>
  <c r="M33" i="82"/>
  <c r="N33" i="82"/>
  <c r="O33" i="82"/>
  <c r="P33" i="82"/>
  <c r="D34" i="82"/>
  <c r="E34" i="82"/>
  <c r="F34" i="82"/>
  <c r="G34" i="82"/>
  <c r="H34" i="82"/>
  <c r="I34" i="82"/>
  <c r="J34" i="82"/>
  <c r="K34" i="82"/>
  <c r="L34" i="82"/>
  <c r="M34" i="82"/>
  <c r="N34" i="82"/>
  <c r="O34" i="82"/>
  <c r="P34" i="82"/>
  <c r="D35" i="82"/>
  <c r="E35" i="82"/>
  <c r="F35" i="82"/>
  <c r="G35" i="82"/>
  <c r="H35" i="82"/>
  <c r="I35" i="82"/>
  <c r="J35" i="82"/>
  <c r="K35" i="82"/>
  <c r="L35" i="82"/>
  <c r="M35" i="82"/>
  <c r="N35" i="82"/>
  <c r="O35" i="82"/>
  <c r="P35" i="82"/>
  <c r="D36" i="82"/>
  <c r="E36" i="82"/>
  <c r="F36" i="82"/>
  <c r="G36" i="82"/>
  <c r="H36" i="82"/>
  <c r="I36" i="82"/>
  <c r="J36" i="82"/>
  <c r="K36" i="82"/>
  <c r="L36" i="82"/>
  <c r="M36" i="82"/>
  <c r="N36" i="82"/>
  <c r="O36" i="82"/>
  <c r="P36" i="82"/>
  <c r="C30" i="82"/>
  <c r="C31" i="82"/>
  <c r="C32" i="82"/>
  <c r="C33" i="82"/>
  <c r="C34" i="82"/>
  <c r="C35" i="82"/>
  <c r="C36" i="82"/>
  <c r="C29" i="82"/>
  <c r="C43" i="82"/>
  <c r="C44" i="82"/>
  <c r="C45" i="82"/>
  <c r="C46" i="82"/>
  <c r="C47" i="82"/>
  <c r="C48" i="82"/>
  <c r="C49" i="82"/>
  <c r="C42" i="82"/>
  <c r="D6" i="223"/>
  <c r="D5" i="223"/>
  <c r="B84" i="81"/>
  <c r="C84" i="81"/>
  <c r="D84" i="81"/>
  <c r="F84" i="81"/>
  <c r="G84" i="81"/>
  <c r="H84" i="81"/>
  <c r="I84" i="81"/>
  <c r="C42" i="225"/>
  <c r="C43" i="225"/>
  <c r="C45" i="225"/>
  <c r="C46" i="225"/>
  <c r="C47" i="225"/>
  <c r="C48" i="225"/>
  <c r="C49" i="225"/>
  <c r="C44" i="225"/>
  <c r="E27" i="226"/>
  <c r="D27" i="226"/>
  <c r="D6" i="226"/>
  <c r="D5" i="226"/>
  <c r="N137" i="225"/>
  <c r="M137" i="225"/>
  <c r="L137" i="225"/>
  <c r="K137" i="225"/>
  <c r="J137" i="225"/>
  <c r="I137" i="225"/>
  <c r="H137" i="225"/>
  <c r="G137" i="225"/>
  <c r="F137" i="225"/>
  <c r="C108" i="225"/>
  <c r="C107" i="225"/>
  <c r="C106" i="225"/>
  <c r="C105" i="225"/>
  <c r="C104" i="225"/>
  <c r="C103" i="225"/>
  <c r="C102" i="225"/>
  <c r="C101" i="225"/>
  <c r="J70" i="225"/>
  <c r="I70" i="225"/>
  <c r="H70" i="225"/>
  <c r="G70" i="225"/>
  <c r="F70" i="225"/>
  <c r="E70" i="225"/>
  <c r="D70" i="225"/>
  <c r="C70" i="225"/>
  <c r="C63" i="225"/>
  <c r="C128" i="225" s="1"/>
  <c r="C62" i="225"/>
  <c r="C127" i="225" s="1"/>
  <c r="C61" i="225"/>
  <c r="C126" i="225" s="1"/>
  <c r="C60" i="225"/>
  <c r="C125" i="225" s="1"/>
  <c r="C59" i="225"/>
  <c r="C124" i="225" s="1"/>
  <c r="C58" i="225"/>
  <c r="C123" i="225" s="1"/>
  <c r="C57" i="225"/>
  <c r="C122" i="225" s="1"/>
  <c r="C56" i="225"/>
  <c r="C121" i="225" s="1"/>
  <c r="C36" i="225"/>
  <c r="C35" i="225"/>
  <c r="C34" i="225"/>
  <c r="C33" i="225"/>
  <c r="C32" i="225"/>
  <c r="C31" i="225"/>
  <c r="C30" i="225"/>
  <c r="C29" i="225"/>
  <c r="N21" i="225"/>
  <c r="M21" i="225"/>
  <c r="L21" i="225"/>
  <c r="K21" i="225"/>
  <c r="J21" i="225"/>
  <c r="C21" i="225"/>
  <c r="N20" i="225"/>
  <c r="M20" i="225"/>
  <c r="L20" i="225"/>
  <c r="K20" i="225"/>
  <c r="J20" i="225"/>
  <c r="C20" i="225"/>
  <c r="N19" i="225"/>
  <c r="M19" i="225"/>
  <c r="L19" i="225"/>
  <c r="K19" i="225"/>
  <c r="J19" i="225"/>
  <c r="C19" i="225"/>
  <c r="N18" i="225"/>
  <c r="M18" i="225"/>
  <c r="L18" i="225"/>
  <c r="K18" i="225"/>
  <c r="J18" i="225"/>
  <c r="C18" i="225"/>
  <c r="N17" i="225"/>
  <c r="M17" i="225"/>
  <c r="L17" i="225"/>
  <c r="K17" i="225"/>
  <c r="J17" i="225"/>
  <c r="C17" i="225"/>
  <c r="N16" i="225"/>
  <c r="M16" i="225"/>
  <c r="L16" i="225"/>
  <c r="K16" i="225"/>
  <c r="J16" i="225"/>
  <c r="C16" i="225"/>
  <c r="N15" i="225"/>
  <c r="M15" i="225"/>
  <c r="L15" i="225"/>
  <c r="K15" i="225"/>
  <c r="J15" i="225"/>
  <c r="C15" i="225"/>
  <c r="N14" i="225"/>
  <c r="C14" i="225"/>
  <c r="F6" i="224" l="1"/>
  <c r="G69" i="83"/>
  <c r="G132" i="83"/>
  <c r="G135" i="83"/>
  <c r="C85" i="79" s="1"/>
  <c r="G137" i="83"/>
  <c r="G138" i="83"/>
  <c r="C65" i="79" s="1"/>
  <c r="G140" i="83"/>
  <c r="G160" i="83"/>
  <c r="C95" i="79" s="1"/>
  <c r="C13" i="4"/>
  <c r="D13" i="4" s="1"/>
  <c r="E13" i="4" s="1"/>
  <c r="F13" i="4" s="1"/>
  <c r="G13" i="4" s="1"/>
  <c r="H13" i="4" s="1"/>
  <c r="C13" i="3"/>
  <c r="D13" i="3"/>
  <c r="E13" i="3"/>
  <c r="F13" i="3" s="1"/>
  <c r="G13" i="3" s="1"/>
  <c r="H13" i="3" s="1"/>
  <c r="B24" i="3"/>
  <c r="C24" i="3"/>
  <c r="D24" i="3"/>
  <c r="E24" i="3"/>
  <c r="F24" i="3"/>
  <c r="G24" i="3"/>
  <c r="H24" i="3"/>
  <c r="B41" i="3"/>
  <c r="C41" i="3"/>
  <c r="D41" i="3"/>
  <c r="E41" i="3"/>
  <c r="F41" i="3"/>
  <c r="G41" i="3"/>
  <c r="H41" i="3"/>
  <c r="C13" i="2"/>
  <c r="D13" i="2" s="1"/>
  <c r="E13" i="2" s="1"/>
  <c r="F13" i="2" s="1"/>
  <c r="G13" i="2" s="1"/>
  <c r="H13" i="2" s="1"/>
  <c r="E16" i="2"/>
  <c r="F16" i="2"/>
  <c r="G16" i="2"/>
  <c r="H16" i="2"/>
  <c r="E19" i="2"/>
  <c r="F19" i="2"/>
  <c r="G19" i="2"/>
  <c r="H19" i="2"/>
  <c r="E24" i="2"/>
  <c r="F24" i="2"/>
  <c r="G24" i="2"/>
  <c r="H24" i="2"/>
  <c r="I25" i="2"/>
  <c r="D41" i="2"/>
  <c r="D43" i="2"/>
  <c r="C14" i="82"/>
  <c r="N14" i="82"/>
  <c r="C15" i="82"/>
  <c r="J15" i="82"/>
  <c r="K15" i="82"/>
  <c r="L15" i="82"/>
  <c r="M15" i="82"/>
  <c r="N15" i="82"/>
  <c r="C16" i="82"/>
  <c r="J16" i="82"/>
  <c r="K16" i="82"/>
  <c r="L16" i="82"/>
  <c r="M16" i="82"/>
  <c r="N16" i="82"/>
  <c r="C17" i="82"/>
  <c r="J17" i="82"/>
  <c r="K17" i="82"/>
  <c r="L17" i="82"/>
  <c r="M17" i="82"/>
  <c r="N17" i="82"/>
  <c r="J18" i="82"/>
  <c r="K18" i="82"/>
  <c r="L18" i="82"/>
  <c r="M18" i="82"/>
  <c r="N18" i="82"/>
  <c r="C19" i="82"/>
  <c r="J19" i="82"/>
  <c r="K19" i="82"/>
  <c r="L19" i="82"/>
  <c r="M19" i="82"/>
  <c r="N19" i="82"/>
  <c r="C20" i="82"/>
  <c r="J20" i="82"/>
  <c r="K20" i="82"/>
  <c r="L20" i="82"/>
  <c r="M20" i="82"/>
  <c r="N20" i="82"/>
  <c r="C21" i="82"/>
  <c r="J21" i="82"/>
  <c r="K21" i="82"/>
  <c r="L21" i="82"/>
  <c r="M21" i="82"/>
  <c r="N21" i="82"/>
  <c r="C70" i="82"/>
  <c r="D70" i="82"/>
  <c r="E70" i="82"/>
  <c r="F70" i="82"/>
  <c r="G70" i="82"/>
  <c r="H70" i="82"/>
  <c r="I70" i="82"/>
  <c r="J70" i="82"/>
  <c r="C121" i="82"/>
  <c r="C122" i="82"/>
  <c r="C123" i="82"/>
  <c r="C124" i="82"/>
  <c r="C125" i="82"/>
  <c r="C126" i="82"/>
  <c r="C127" i="82"/>
  <c r="C128" i="82"/>
  <c r="I14" i="79"/>
  <c r="I49" i="79" s="1"/>
  <c r="B26" i="79"/>
  <c r="C35" i="79"/>
  <c r="D35" i="79"/>
  <c r="E35" i="79"/>
  <c r="F35" i="79"/>
  <c r="G35" i="79"/>
  <c r="H35" i="79"/>
  <c r="I35" i="79"/>
  <c r="J35" i="79"/>
  <c r="B38" i="79"/>
  <c r="B39" i="79" s="1"/>
  <c r="B40" i="79" s="1"/>
  <c r="B41" i="79" s="1"/>
  <c r="B42" i="79" s="1"/>
  <c r="B43" i="79" s="1"/>
  <c r="B44" i="79" s="1"/>
  <c r="B45" i="79" s="1"/>
  <c r="B46" i="79" s="1"/>
  <c r="C48" i="79"/>
  <c r="D48" i="79"/>
  <c r="E48" i="79"/>
  <c r="F48" i="79"/>
  <c r="G48" i="79"/>
  <c r="H48" i="79"/>
  <c r="J48" i="79"/>
  <c r="J50" i="79" s="1"/>
  <c r="J53" i="79" s="1"/>
  <c r="J168" i="79" s="1"/>
  <c r="C49" i="79"/>
  <c r="C50" i="79" s="1"/>
  <c r="D49" i="79"/>
  <c r="E49" i="79"/>
  <c r="F49" i="79"/>
  <c r="G49" i="79"/>
  <c r="H49" i="79"/>
  <c r="J49" i="79"/>
  <c r="C53" i="79"/>
  <c r="C168" i="79" s="1"/>
  <c r="D53" i="79"/>
  <c r="D168" i="79" s="1"/>
  <c r="D54" i="79"/>
  <c r="D120" i="79" s="1"/>
  <c r="C59" i="79"/>
  <c r="D59" i="79"/>
  <c r="E59" i="79"/>
  <c r="F59" i="79"/>
  <c r="G59" i="79"/>
  <c r="H59" i="79"/>
  <c r="I59" i="79"/>
  <c r="J59" i="79"/>
  <c r="C60" i="79"/>
  <c r="D60" i="79"/>
  <c r="D109" i="79" s="1"/>
  <c r="C61" i="79"/>
  <c r="D61" i="79"/>
  <c r="E62" i="79"/>
  <c r="E64" i="79" s="1"/>
  <c r="F62" i="79"/>
  <c r="F64" i="79" s="1"/>
  <c r="F94" i="79" s="1"/>
  <c r="G62" i="79"/>
  <c r="G64" i="79" s="1"/>
  <c r="H62" i="79"/>
  <c r="H64" i="79" s="1"/>
  <c r="I62" i="79"/>
  <c r="I64" i="79" s="1"/>
  <c r="J62" i="79"/>
  <c r="J64" i="79" s="1"/>
  <c r="C63" i="79"/>
  <c r="D63" i="79"/>
  <c r="D65" i="79"/>
  <c r="C67" i="79"/>
  <c r="D67" i="79"/>
  <c r="D69" i="79"/>
  <c r="D73" i="79"/>
  <c r="D100" i="79" s="1"/>
  <c r="C75" i="79"/>
  <c r="D75" i="79"/>
  <c r="G78" i="79"/>
  <c r="G80" i="79" s="1"/>
  <c r="I78" i="79"/>
  <c r="D79" i="79"/>
  <c r="D80" i="79" s="1"/>
  <c r="C80" i="79"/>
  <c r="E80" i="79"/>
  <c r="F80" i="79"/>
  <c r="H80" i="79"/>
  <c r="I80" i="79"/>
  <c r="J80" i="79"/>
  <c r="C84" i="79"/>
  <c r="G84" i="79"/>
  <c r="G90" i="79" s="1"/>
  <c r="G91" i="79" s="1"/>
  <c r="D85" i="79"/>
  <c r="G85" i="79"/>
  <c r="C86" i="79"/>
  <c r="D86" i="79"/>
  <c r="I87" i="79"/>
  <c r="C88" i="79"/>
  <c r="D88" i="79"/>
  <c r="D89" i="79"/>
  <c r="I89" i="79"/>
  <c r="E90" i="79"/>
  <c r="E91" i="79" s="1"/>
  <c r="F90" i="79"/>
  <c r="F91" i="79" s="1"/>
  <c r="H90" i="79"/>
  <c r="H91" i="79" s="1"/>
  <c r="J90" i="79"/>
  <c r="J91" i="79" s="1"/>
  <c r="D95" i="79"/>
  <c r="C100" i="79"/>
  <c r="E100" i="79"/>
  <c r="F100" i="79"/>
  <c r="G100" i="79"/>
  <c r="H100" i="79"/>
  <c r="I100" i="79"/>
  <c r="J100" i="79"/>
  <c r="C108" i="79"/>
  <c r="C128" i="79" s="1"/>
  <c r="D108" i="79"/>
  <c r="E108" i="79"/>
  <c r="F108" i="79"/>
  <c r="F128" i="79" s="1"/>
  <c r="G108" i="79"/>
  <c r="G128" i="79" s="1"/>
  <c r="H108" i="79"/>
  <c r="H128" i="79" s="1"/>
  <c r="I108" i="79"/>
  <c r="I128" i="79" s="1"/>
  <c r="J108" i="79"/>
  <c r="J128" i="79" s="1"/>
  <c r="E109" i="79"/>
  <c r="F109" i="79"/>
  <c r="G109" i="79"/>
  <c r="H109" i="79"/>
  <c r="I109" i="79"/>
  <c r="J109" i="79"/>
  <c r="C116" i="79"/>
  <c r="D116" i="79"/>
  <c r="E116" i="79"/>
  <c r="F116" i="79"/>
  <c r="G116" i="79"/>
  <c r="H116" i="79"/>
  <c r="I116" i="79"/>
  <c r="J116" i="79"/>
  <c r="C117" i="79"/>
  <c r="D117" i="79"/>
  <c r="C118" i="79"/>
  <c r="C121" i="79" s="1"/>
  <c r="C123" i="79" s="1"/>
  <c r="D118" i="79"/>
  <c r="D119" i="79"/>
  <c r="E121" i="79"/>
  <c r="E123" i="79" s="1"/>
  <c r="F121" i="79"/>
  <c r="F123" i="79" s="1"/>
  <c r="O17" i="225" s="1"/>
  <c r="G121" i="79"/>
  <c r="G123" i="79" s="1"/>
  <c r="O18" i="225" s="1"/>
  <c r="H121" i="79"/>
  <c r="H123" i="79" s="1"/>
  <c r="O19" i="225" s="1"/>
  <c r="I121" i="79"/>
  <c r="J121" i="79"/>
  <c r="C122" i="79"/>
  <c r="D122" i="79"/>
  <c r="I123" i="79"/>
  <c r="J123" i="79"/>
  <c r="D128" i="79"/>
  <c r="D137" i="79" s="1"/>
  <c r="E128" i="79"/>
  <c r="C150" i="79"/>
  <c r="D150" i="79"/>
  <c r="D158" i="79" s="1"/>
  <c r="E150" i="79"/>
  <c r="E158" i="79" s="1"/>
  <c r="F150" i="79"/>
  <c r="F158" i="79" s="1"/>
  <c r="G150" i="79"/>
  <c r="H150" i="79"/>
  <c r="H158" i="79" s="1"/>
  <c r="I150" i="79"/>
  <c r="I158" i="79" s="1"/>
  <c r="J150" i="79"/>
  <c r="J158" i="79" s="1"/>
  <c r="G158" i="79"/>
  <c r="D167" i="79"/>
  <c r="E167" i="79"/>
  <c r="F167" i="79"/>
  <c r="G167" i="79"/>
  <c r="H167" i="79"/>
  <c r="J167" i="79"/>
  <c r="D170" i="79" l="1"/>
  <c r="C152" i="79"/>
  <c r="C153" i="79" s="1"/>
  <c r="H50" i="79"/>
  <c r="H53" i="79" s="1"/>
  <c r="H168" i="79" s="1"/>
  <c r="P19" i="225" s="1"/>
  <c r="H170" i="79"/>
  <c r="D19" i="82" s="1"/>
  <c r="C151" i="79"/>
  <c r="C154" i="79" s="1"/>
  <c r="C155" i="79" s="1"/>
  <c r="J94" i="79"/>
  <c r="J96" i="79" s="1"/>
  <c r="J110" i="79" s="1"/>
  <c r="G21" i="225" s="1"/>
  <c r="F50" i="79"/>
  <c r="F53" i="79" s="1"/>
  <c r="F168" i="79" s="1"/>
  <c r="E50" i="79"/>
  <c r="E53" i="79" s="1"/>
  <c r="E168" i="79" s="1"/>
  <c r="E170" i="79" s="1"/>
  <c r="G50" i="79"/>
  <c r="G53" i="79" s="1"/>
  <c r="G168" i="79" s="1"/>
  <c r="P18" i="82" s="1"/>
  <c r="E151" i="79"/>
  <c r="G94" i="79"/>
  <c r="G96" i="79" s="1"/>
  <c r="G110" i="79" s="1"/>
  <c r="G18" i="225" s="1"/>
  <c r="D50" i="79"/>
  <c r="P14" i="82"/>
  <c r="P14" i="225"/>
  <c r="J152" i="79"/>
  <c r="J153" i="79" s="1"/>
  <c r="J137" i="79"/>
  <c r="P21" i="82"/>
  <c r="P21" i="225"/>
  <c r="I152" i="79"/>
  <c r="I153" i="79" s="1"/>
  <c r="I137" i="79"/>
  <c r="I50" i="79"/>
  <c r="I53" i="79" s="1"/>
  <c r="I168" i="79" s="1"/>
  <c r="P19" i="82"/>
  <c r="G137" i="79"/>
  <c r="G151" i="79"/>
  <c r="G152" i="79"/>
  <c r="G153" i="79" s="1"/>
  <c r="H137" i="79"/>
  <c r="H152" i="79"/>
  <c r="H153" i="79" s="1"/>
  <c r="H151" i="79"/>
  <c r="O16" i="82"/>
  <c r="O16" i="225"/>
  <c r="E172" i="79"/>
  <c r="P17" i="82"/>
  <c r="P17" i="225"/>
  <c r="F96" i="79"/>
  <c r="F110" i="79" s="1"/>
  <c r="F111" i="79"/>
  <c r="C90" i="79"/>
  <c r="C91" i="79" s="1"/>
  <c r="D90" i="79"/>
  <c r="D91" i="79" s="1"/>
  <c r="I167" i="79"/>
  <c r="C158" i="79"/>
  <c r="F21" i="82"/>
  <c r="F21" i="225"/>
  <c r="I90" i="79"/>
  <c r="I91" i="79" s="1"/>
  <c r="G170" i="79"/>
  <c r="C137" i="79"/>
  <c r="F20" i="82"/>
  <c r="F20" i="225"/>
  <c r="I48" i="79"/>
  <c r="O20" i="82"/>
  <c r="O20" i="225"/>
  <c r="I172" i="79"/>
  <c r="O14" i="82"/>
  <c r="O14" i="225"/>
  <c r="J151" i="79"/>
  <c r="J154" i="79" s="1"/>
  <c r="F19" i="82"/>
  <c r="F19" i="225"/>
  <c r="I151" i="79"/>
  <c r="F18" i="82"/>
  <c r="F18" i="225"/>
  <c r="D151" i="79"/>
  <c r="E152" i="79"/>
  <c r="E153" i="79" s="1"/>
  <c r="O21" i="82"/>
  <c r="O21" i="225"/>
  <c r="J170" i="79"/>
  <c r="F170" i="79"/>
  <c r="F17" i="82"/>
  <c r="F17" i="225"/>
  <c r="C62" i="79"/>
  <c r="C64" i="79" s="1"/>
  <c r="C94" i="79" s="1"/>
  <c r="F16" i="82"/>
  <c r="F16" i="225"/>
  <c r="B27" i="79"/>
  <c r="P15" i="82"/>
  <c r="P15" i="225"/>
  <c r="F15" i="225"/>
  <c r="D121" i="79"/>
  <c r="D123" i="79" s="1"/>
  <c r="O15" i="82" s="1"/>
  <c r="D15" i="82"/>
  <c r="D15" i="225"/>
  <c r="F137" i="79"/>
  <c r="F152" i="79"/>
  <c r="F153" i="79" s="1"/>
  <c r="O19" i="82"/>
  <c r="H172" i="79"/>
  <c r="H173" i="79" s="1"/>
  <c r="E19" i="225" s="1"/>
  <c r="F15" i="82"/>
  <c r="F151" i="79"/>
  <c r="O18" i="82"/>
  <c r="G172" i="79"/>
  <c r="I94" i="79"/>
  <c r="I66" i="79"/>
  <c r="H154" i="79"/>
  <c r="H155" i="79" s="1"/>
  <c r="O17" i="82"/>
  <c r="F172" i="79"/>
  <c r="H94" i="79"/>
  <c r="H66" i="79"/>
  <c r="E66" i="79"/>
  <c r="E94" i="79"/>
  <c r="D152" i="79"/>
  <c r="D153" i="79" s="1"/>
  <c r="D154" i="79" s="1"/>
  <c r="C109" i="79"/>
  <c r="F14" i="225" s="1"/>
  <c r="J66" i="79"/>
  <c r="D62" i="79"/>
  <c r="D64" i="79" s="1"/>
  <c r="G66" i="79"/>
  <c r="E137" i="79"/>
  <c r="J172" i="79"/>
  <c r="F66" i="79"/>
  <c r="C66" i="79" l="1"/>
  <c r="J111" i="79"/>
  <c r="H21" i="225" s="1"/>
  <c r="D19" i="225"/>
  <c r="P16" i="82"/>
  <c r="G111" i="79"/>
  <c r="H18" i="225" s="1"/>
  <c r="P18" i="225"/>
  <c r="E154" i="79"/>
  <c r="E155" i="79" s="1"/>
  <c r="J173" i="79"/>
  <c r="E21" i="225" s="1"/>
  <c r="P16" i="225"/>
  <c r="G173" i="79"/>
  <c r="E18" i="225" s="1"/>
  <c r="F173" i="79"/>
  <c r="E17" i="225" s="1"/>
  <c r="E173" i="79"/>
  <c r="E177" i="79" s="1"/>
  <c r="D172" i="79"/>
  <c r="D173" i="79" s="1"/>
  <c r="J155" i="79"/>
  <c r="J159" i="79"/>
  <c r="P20" i="82"/>
  <c r="P20" i="225"/>
  <c r="I173" i="79"/>
  <c r="I154" i="79"/>
  <c r="I155" i="79" s="1"/>
  <c r="H17" i="82"/>
  <c r="H17" i="225"/>
  <c r="G159" i="79"/>
  <c r="D16" i="82"/>
  <c r="D16" i="225"/>
  <c r="G17" i="82"/>
  <c r="G17" i="225"/>
  <c r="G154" i="79"/>
  <c r="G155" i="79" s="1"/>
  <c r="I170" i="79"/>
  <c r="B28" i="79"/>
  <c r="D17" i="82"/>
  <c r="D17" i="225"/>
  <c r="D18" i="82"/>
  <c r="D18" i="225"/>
  <c r="D21" i="82"/>
  <c r="D21" i="225"/>
  <c r="E15" i="225"/>
  <c r="O15" i="225"/>
  <c r="D155" i="79"/>
  <c r="D159" i="79" s="1"/>
  <c r="I96" i="79"/>
  <c r="I110" i="79" s="1"/>
  <c r="G20" i="225" s="1"/>
  <c r="I111" i="79"/>
  <c r="H20" i="225" s="1"/>
  <c r="E19" i="82"/>
  <c r="H177" i="79"/>
  <c r="E159" i="79"/>
  <c r="H70" i="79"/>
  <c r="H72" i="79" s="1"/>
  <c r="H74" i="79" s="1"/>
  <c r="H97" i="79"/>
  <c r="E18" i="82"/>
  <c r="G179" i="79"/>
  <c r="D66" i="79"/>
  <c r="D94" i="79"/>
  <c r="H96" i="79"/>
  <c r="H110" i="79" s="1"/>
  <c r="G19" i="225" s="1"/>
  <c r="H111" i="79"/>
  <c r="J70" i="79"/>
  <c r="J72" i="79" s="1"/>
  <c r="J74" i="79" s="1"/>
  <c r="J97" i="79"/>
  <c r="H18" i="82"/>
  <c r="G161" i="79"/>
  <c r="F179" i="79"/>
  <c r="G97" i="79"/>
  <c r="G70" i="79"/>
  <c r="G72" i="79" s="1"/>
  <c r="G74" i="79" s="1"/>
  <c r="F14" i="82"/>
  <c r="C129" i="79"/>
  <c r="J14" i="225" s="1"/>
  <c r="G18" i="82"/>
  <c r="G160" i="79"/>
  <c r="E15" i="82"/>
  <c r="D177" i="79"/>
  <c r="H21" i="82"/>
  <c r="J161" i="79"/>
  <c r="H159" i="79"/>
  <c r="H183" i="79" s="1"/>
  <c r="C96" i="79"/>
  <c r="C110" i="79" s="1"/>
  <c r="G14" i="225" s="1"/>
  <c r="C111" i="79"/>
  <c r="H14" i="225" s="1"/>
  <c r="F154" i="79"/>
  <c r="F97" i="79"/>
  <c r="F70" i="79"/>
  <c r="F72" i="79" s="1"/>
  <c r="F74" i="79" s="1"/>
  <c r="E96" i="79"/>
  <c r="E110" i="79" s="1"/>
  <c r="G16" i="225" s="1"/>
  <c r="E111" i="79"/>
  <c r="H16" i="225" s="1"/>
  <c r="G21" i="82"/>
  <c r="J160" i="79"/>
  <c r="C70" i="79"/>
  <c r="C72" i="79" s="1"/>
  <c r="C74" i="79" s="1"/>
  <c r="C97" i="79"/>
  <c r="J179" i="79"/>
  <c r="J178" i="79"/>
  <c r="E70" i="79"/>
  <c r="E72" i="79" s="1"/>
  <c r="E74" i="79" s="1"/>
  <c r="E97" i="79"/>
  <c r="I70" i="79"/>
  <c r="I72" i="79" s="1"/>
  <c r="I74" i="79" s="1"/>
  <c r="I97" i="79"/>
  <c r="E16" i="225" l="1"/>
  <c r="E17" i="82"/>
  <c r="J184" i="79"/>
  <c r="G184" i="79"/>
  <c r="G185" i="79"/>
  <c r="J183" i="79"/>
  <c r="G178" i="79"/>
  <c r="J185" i="79"/>
  <c r="J177" i="79"/>
  <c r="F177" i="79"/>
  <c r="G183" i="79"/>
  <c r="E16" i="82"/>
  <c r="E183" i="79"/>
  <c r="I159" i="79"/>
  <c r="E21" i="82"/>
  <c r="F178" i="79"/>
  <c r="G177" i="79"/>
  <c r="I183" i="79"/>
  <c r="D20" i="82"/>
  <c r="D20" i="225"/>
  <c r="E20" i="225"/>
  <c r="E20" i="82"/>
  <c r="I177" i="79"/>
  <c r="H179" i="79"/>
  <c r="H19" i="225"/>
  <c r="B29" i="79"/>
  <c r="D183" i="79"/>
  <c r="G14" i="82"/>
  <c r="C130" i="79"/>
  <c r="K14" i="225" s="1"/>
  <c r="C98" i="79"/>
  <c r="C99" i="79" s="1"/>
  <c r="C101" i="79" s="1"/>
  <c r="C105" i="79" s="1"/>
  <c r="C112" i="79" s="1"/>
  <c r="I14" i="225" s="1"/>
  <c r="J14" i="82"/>
  <c r="C138" i="79"/>
  <c r="C159" i="79" s="1"/>
  <c r="G98" i="79"/>
  <c r="G99" i="79" s="1"/>
  <c r="G101" i="79" s="1"/>
  <c r="G105" i="79" s="1"/>
  <c r="G112" i="79" s="1"/>
  <c r="I18" i="225" s="1"/>
  <c r="G19" i="82"/>
  <c r="H160" i="79"/>
  <c r="H184" i="79" s="1"/>
  <c r="G20" i="82"/>
  <c r="I160" i="79"/>
  <c r="I184" i="79" s="1"/>
  <c r="I178" i="79"/>
  <c r="H98" i="79"/>
  <c r="H99" i="79" s="1"/>
  <c r="H101" i="79" s="1"/>
  <c r="H105" i="79" s="1"/>
  <c r="H112" i="79" s="1"/>
  <c r="I19" i="225" s="1"/>
  <c r="H16" i="82"/>
  <c r="E161" i="79"/>
  <c r="E185" i="79" s="1"/>
  <c r="E179" i="79"/>
  <c r="D96" i="79"/>
  <c r="D110" i="79" s="1"/>
  <c r="D111" i="79"/>
  <c r="F155" i="79"/>
  <c r="F159" i="79" s="1"/>
  <c r="F183" i="79" s="1"/>
  <c r="E98" i="79"/>
  <c r="E99" i="79" s="1"/>
  <c r="E101" i="79" s="1"/>
  <c r="E105" i="79" s="1"/>
  <c r="E112" i="79" s="1"/>
  <c r="I16" i="225" s="1"/>
  <c r="G16" i="82"/>
  <c r="E160" i="79"/>
  <c r="E184" i="79" s="1"/>
  <c r="E178" i="79"/>
  <c r="H14" i="82"/>
  <c r="C131" i="79"/>
  <c r="L14" i="225" s="1"/>
  <c r="J98" i="79"/>
  <c r="J99" i="79" s="1"/>
  <c r="J101" i="79" s="1"/>
  <c r="J105" i="79" s="1"/>
  <c r="J112" i="79" s="1"/>
  <c r="I21" i="225" s="1"/>
  <c r="D97" i="79"/>
  <c r="D70" i="79"/>
  <c r="D72" i="79" s="1"/>
  <c r="D74" i="79" s="1"/>
  <c r="H178" i="79"/>
  <c r="F98" i="79"/>
  <c r="F99" i="79"/>
  <c r="F101" i="79" s="1"/>
  <c r="F105" i="79" s="1"/>
  <c r="F112" i="79" s="1"/>
  <c r="I17" i="225" s="1"/>
  <c r="I98" i="79"/>
  <c r="I99" i="79" s="1"/>
  <c r="I101" i="79" s="1"/>
  <c r="I105" i="79" s="1"/>
  <c r="I112" i="79" s="1"/>
  <c r="I20" i="225" s="1"/>
  <c r="H19" i="82"/>
  <c r="H161" i="79"/>
  <c r="H185" i="79" s="1"/>
  <c r="H20" i="82"/>
  <c r="I161" i="79"/>
  <c r="I185" i="79" s="1"/>
  <c r="I179" i="79"/>
  <c r="B30" i="79" l="1"/>
  <c r="H15" i="225"/>
  <c r="G15" i="225"/>
  <c r="I18" i="82"/>
  <c r="G162" i="79"/>
  <c r="G186" i="79" s="1"/>
  <c r="G188" i="79" s="1"/>
  <c r="G180" i="79"/>
  <c r="I21" i="82"/>
  <c r="J162" i="79"/>
  <c r="J186" i="79" s="1"/>
  <c r="J188" i="79" s="1"/>
  <c r="J180" i="79"/>
  <c r="I20" i="82"/>
  <c r="I162" i="79"/>
  <c r="I186" i="79" s="1"/>
  <c r="I188" i="79" s="1"/>
  <c r="I180" i="79"/>
  <c r="I14" i="82"/>
  <c r="C132" i="79"/>
  <c r="M14" i="225" s="1"/>
  <c r="I19" i="82"/>
  <c r="H162" i="79"/>
  <c r="H186" i="79" s="1"/>
  <c r="H188" i="79" s="1"/>
  <c r="H180" i="79"/>
  <c r="I16" i="82"/>
  <c r="E162" i="79"/>
  <c r="E186" i="79" s="1"/>
  <c r="E188" i="79" s="1"/>
  <c r="E180" i="79"/>
  <c r="B31" i="79"/>
  <c r="I17" i="82"/>
  <c r="F180" i="79"/>
  <c r="F162" i="79"/>
  <c r="F186" i="79" s="1"/>
  <c r="F188" i="79" s="1"/>
  <c r="L14" i="82"/>
  <c r="C140" i="79"/>
  <c r="C161" i="79" s="1"/>
  <c r="K14" i="82"/>
  <c r="C139" i="79"/>
  <c r="C160" i="79" s="1"/>
  <c r="D98" i="79"/>
  <c r="D99" i="79" s="1"/>
  <c r="D101" i="79" s="1"/>
  <c r="D105" i="79" s="1"/>
  <c r="D112" i="79" s="1"/>
  <c r="F161" i="79"/>
  <c r="F185" i="79" s="1"/>
  <c r="H15" i="82"/>
  <c r="D161" i="79"/>
  <c r="D179" i="79"/>
  <c r="F160" i="79"/>
  <c r="F184" i="79" s="1"/>
  <c r="G15" i="82"/>
  <c r="D160" i="79"/>
  <c r="D178" i="79"/>
  <c r="D185" i="79" l="1"/>
  <c r="I15" i="225"/>
  <c r="D184" i="79"/>
  <c r="I15" i="82"/>
  <c r="D162" i="79"/>
  <c r="D180" i="79"/>
  <c r="B32" i="79"/>
  <c r="M14" i="82"/>
  <c r="C141" i="79"/>
  <c r="C162" i="79"/>
  <c r="D186" i="79" l="1"/>
  <c r="B33" i="79"/>
  <c r="L125" i="225" l="1"/>
  <c r="L102" i="225"/>
  <c r="M108" i="225"/>
  <c r="G105" i="225"/>
  <c r="E73" i="225"/>
  <c r="J125" i="225"/>
  <c r="N29" i="225"/>
  <c r="I125" i="225"/>
  <c r="I62" i="225"/>
  <c r="I77" i="225"/>
  <c r="D188" i="79"/>
  <c r="B34" i="79"/>
  <c r="D83" i="225" s="1"/>
  <c r="M58" i="225" l="1"/>
  <c r="P57" i="225"/>
  <c r="I79" i="225"/>
  <c r="M59" i="225"/>
  <c r="H62" i="225"/>
  <c r="M63" i="225"/>
  <c r="K36" i="225"/>
  <c r="H126" i="225"/>
  <c r="J63" i="225"/>
  <c r="K108" i="225"/>
  <c r="K56" i="225"/>
  <c r="D80" i="225"/>
  <c r="H124" i="225"/>
  <c r="D78" i="225"/>
  <c r="O58" i="225"/>
  <c r="P101" i="225"/>
  <c r="F106" i="225"/>
  <c r="H71" i="225"/>
  <c r="H34" i="225"/>
  <c r="J123" i="225"/>
  <c r="M126" i="225"/>
  <c r="F104" i="225"/>
  <c r="E78" i="225"/>
  <c r="G63" i="225"/>
  <c r="L127" i="225"/>
  <c r="F123" i="225"/>
  <c r="H36" i="225"/>
  <c r="O59" i="225"/>
  <c r="E56" i="225"/>
  <c r="D59" i="225"/>
  <c r="H35" i="225"/>
  <c r="P102" i="225"/>
  <c r="P34" i="225"/>
  <c r="J101" i="225"/>
  <c r="G36" i="225"/>
  <c r="C72" i="225"/>
  <c r="E72" i="225"/>
  <c r="H103" i="225"/>
  <c r="I80" i="225"/>
  <c r="E58" i="225"/>
  <c r="N63" i="225"/>
  <c r="P29" i="225"/>
  <c r="D104" i="225"/>
  <c r="D81" i="225"/>
  <c r="P35" i="225"/>
  <c r="H122" i="225"/>
  <c r="H59" i="225"/>
  <c r="M36" i="225"/>
  <c r="E60" i="225"/>
  <c r="C71" i="225"/>
  <c r="E34" i="225"/>
  <c r="F102" i="225"/>
  <c r="F78" i="225"/>
  <c r="J73" i="225"/>
  <c r="G127" i="225"/>
  <c r="J108" i="225"/>
  <c r="D72" i="225"/>
  <c r="G61" i="225"/>
  <c r="J78" i="225"/>
  <c r="J33" i="225"/>
  <c r="E108" i="225"/>
  <c r="O103" i="225"/>
  <c r="G82" i="225"/>
  <c r="G31" i="225"/>
  <c r="H31" i="225"/>
  <c r="G76" i="225"/>
  <c r="E71" i="225"/>
  <c r="G79" i="225"/>
  <c r="I71" i="225"/>
  <c r="K59" i="225"/>
  <c r="E57" i="225"/>
  <c r="M62" i="225"/>
  <c r="I30" i="225"/>
  <c r="I123" i="225"/>
  <c r="P61" i="225"/>
  <c r="F73" i="225"/>
  <c r="I105" i="225"/>
  <c r="K101" i="225"/>
  <c r="H101" i="225"/>
  <c r="H76" i="225"/>
  <c r="J128" i="225"/>
  <c r="H57" i="225"/>
  <c r="J35" i="225"/>
  <c r="H108" i="225"/>
  <c r="G124" i="225"/>
  <c r="E79" i="225"/>
  <c r="I103" i="225"/>
  <c r="G60" i="225"/>
  <c r="G78" i="225"/>
  <c r="J60" i="225"/>
  <c r="F107" i="225"/>
  <c r="C80" i="225"/>
  <c r="L128" i="225"/>
  <c r="P36" i="225"/>
  <c r="I83" i="225"/>
  <c r="J107" i="225"/>
  <c r="H106" i="225"/>
  <c r="F74" i="225"/>
  <c r="K107" i="225"/>
  <c r="G108" i="225"/>
  <c r="F105" i="225"/>
  <c r="F79" i="225"/>
  <c r="E101" i="225"/>
  <c r="M105" i="225"/>
  <c r="H107" i="225"/>
  <c r="J83" i="225"/>
  <c r="F108" i="225"/>
  <c r="M104" i="225"/>
  <c r="E107" i="225"/>
  <c r="E104" i="225"/>
  <c r="M107" i="225"/>
  <c r="O108" i="225"/>
  <c r="I75" i="225"/>
  <c r="I108" i="225"/>
  <c r="I74" i="225"/>
  <c r="D105" i="225"/>
  <c r="I107" i="225"/>
  <c r="E75" i="225"/>
  <c r="F77" i="225"/>
  <c r="H73" i="225"/>
  <c r="I106" i="225"/>
  <c r="I72" i="225"/>
  <c r="D101" i="225"/>
  <c r="G73" i="225"/>
  <c r="O104" i="225"/>
  <c r="H105" i="225"/>
  <c r="M102" i="225"/>
  <c r="J30" i="225"/>
  <c r="G57" i="225"/>
  <c r="F60" i="225"/>
  <c r="E105" i="225"/>
  <c r="F30" i="225"/>
  <c r="H60" i="225"/>
  <c r="N102" i="225"/>
  <c r="F58" i="225"/>
  <c r="I122" i="225"/>
  <c r="F61" i="225"/>
  <c r="L104" i="225"/>
  <c r="I56" i="225"/>
  <c r="G80" i="225"/>
  <c r="G83" i="225"/>
  <c r="L123" i="225"/>
  <c r="O61" i="225"/>
  <c r="P107" i="225"/>
  <c r="D76" i="225"/>
  <c r="F122" i="225"/>
  <c r="O101" i="225"/>
  <c r="K124" i="225"/>
  <c r="D58" i="225"/>
  <c r="I57" i="225"/>
  <c r="G34" i="225"/>
  <c r="N101" i="225"/>
  <c r="M35" i="225"/>
  <c r="N104" i="225"/>
  <c r="K103" i="225"/>
  <c r="F72" i="225"/>
  <c r="I78" i="225"/>
  <c r="J102" i="225"/>
  <c r="F103" i="225"/>
  <c r="E83" i="225"/>
  <c r="L108" i="225"/>
  <c r="M103" i="225"/>
  <c r="N106" i="225"/>
  <c r="L107" i="225"/>
  <c r="E32" i="225"/>
  <c r="H74" i="225"/>
  <c r="P59" i="225"/>
  <c r="I76" i="225"/>
  <c r="N58" i="225"/>
  <c r="H83" i="225"/>
  <c r="N57" i="225"/>
  <c r="G77" i="225"/>
  <c r="J105" i="225"/>
  <c r="N61" i="225"/>
  <c r="L106" i="225"/>
  <c r="E35" i="225"/>
  <c r="C82" i="225"/>
  <c r="D75" i="225"/>
  <c r="J124" i="225"/>
  <c r="D56" i="225"/>
  <c r="E77" i="225"/>
  <c r="F101" i="225"/>
  <c r="P31" i="225"/>
  <c r="J74" i="225"/>
  <c r="I82" i="225"/>
  <c r="K32" i="225"/>
  <c r="E106" i="225"/>
  <c r="E80" i="225"/>
  <c r="G122" i="225"/>
  <c r="K57" i="225"/>
  <c r="L33" i="225"/>
  <c r="L101" i="225"/>
  <c r="J104" i="225"/>
  <c r="F125" i="225"/>
  <c r="C76" i="225"/>
  <c r="H80" i="225"/>
  <c r="I101" i="225"/>
  <c r="J81" i="225"/>
  <c r="J71" i="225"/>
  <c r="M30" i="225"/>
  <c r="P106" i="225"/>
  <c r="J75" i="225"/>
  <c r="O105" i="225"/>
  <c r="G33" i="225"/>
  <c r="F71" i="225"/>
  <c r="E63" i="225"/>
  <c r="F75" i="225"/>
  <c r="M101" i="225"/>
  <c r="J62" i="225"/>
  <c r="D71" i="225"/>
  <c r="F83" i="225"/>
  <c r="G128" i="225"/>
  <c r="L105" i="225"/>
  <c r="F56" i="225"/>
  <c r="G59" i="225"/>
  <c r="L103" i="225"/>
  <c r="H77" i="225"/>
  <c r="N105" i="225"/>
  <c r="K125" i="225"/>
  <c r="D103" i="225"/>
  <c r="J56" i="225"/>
  <c r="L61" i="225"/>
  <c r="J34" i="225"/>
  <c r="C81" i="225"/>
  <c r="F80" i="225"/>
  <c r="H104" i="225"/>
  <c r="O106" i="225"/>
  <c r="J80" i="225"/>
  <c r="G75" i="225"/>
  <c r="D82" i="225"/>
  <c r="G74" i="225"/>
  <c r="I58" i="225"/>
  <c r="G106" i="225"/>
  <c r="K63" i="225"/>
  <c r="I104" i="225"/>
  <c r="J76" i="225"/>
  <c r="P108" i="225"/>
  <c r="K128" i="225"/>
  <c r="D73" i="225"/>
  <c r="N125" i="225"/>
  <c r="G32" i="225"/>
  <c r="H128" i="225"/>
  <c r="D77" i="225"/>
  <c r="H72" i="225"/>
  <c r="O107" i="225"/>
  <c r="F124" i="225"/>
  <c r="D29" i="225"/>
  <c r="E30" i="225"/>
  <c r="N103" i="225"/>
  <c r="L56" i="225"/>
  <c r="K29" i="225"/>
  <c r="P104" i="225"/>
  <c r="N126" i="225"/>
  <c r="J79" i="225"/>
  <c r="E76" i="225"/>
  <c r="O35" i="225"/>
  <c r="G56" i="225"/>
  <c r="H78" i="225"/>
  <c r="D57" i="225"/>
  <c r="F76" i="225"/>
  <c r="N107" i="225"/>
  <c r="G72" i="225"/>
  <c r="E103" i="225"/>
  <c r="D108" i="225"/>
  <c r="K126" i="225"/>
  <c r="O30" i="225"/>
  <c r="G101" i="225"/>
  <c r="H102" i="225"/>
  <c r="C78" i="225"/>
  <c r="C74" i="225"/>
  <c r="O60" i="225"/>
  <c r="F81" i="225"/>
  <c r="J36" i="225"/>
  <c r="J58" i="225"/>
  <c r="E102" i="225"/>
  <c r="G107" i="225"/>
  <c r="C75" i="225"/>
  <c r="I126" i="225"/>
  <c r="G104" i="225"/>
  <c r="K122" i="225"/>
  <c r="K30" i="225"/>
  <c r="O57" i="225"/>
  <c r="P30" i="225"/>
  <c r="G102" i="225"/>
  <c r="G30" i="225"/>
  <c r="H30" i="225"/>
  <c r="C77" i="225"/>
  <c r="H82" i="225"/>
  <c r="C83" i="225"/>
  <c r="C79" i="225"/>
  <c r="G62" i="225"/>
  <c r="K104" i="225"/>
  <c r="K127" i="225"/>
  <c r="G103" i="225"/>
  <c r="E82" i="225"/>
  <c r="I36" i="225"/>
  <c r="N32" i="225"/>
  <c r="L30" i="225"/>
  <c r="K106" i="225"/>
  <c r="P103" i="225"/>
  <c r="O36" i="225"/>
  <c r="H58" i="225"/>
  <c r="I73" i="225"/>
  <c r="J77" i="225"/>
  <c r="G126" i="225"/>
  <c r="F126" i="225"/>
  <c r="F32" i="225"/>
  <c r="D74" i="225"/>
  <c r="G71" i="225"/>
  <c r="M34" i="225"/>
  <c r="N108" i="225"/>
  <c r="O33" i="225"/>
  <c r="F57" i="225"/>
  <c r="E81" i="225"/>
  <c r="C73" i="225"/>
  <c r="H79" i="225"/>
  <c r="J82" i="225"/>
  <c r="H32" i="225"/>
  <c r="D31" i="225"/>
  <c r="F29" i="225"/>
  <c r="D106" i="225"/>
  <c r="N127" i="225"/>
  <c r="G81" i="225"/>
  <c r="M57" i="225"/>
  <c r="D35" i="225"/>
  <c r="P58" i="225"/>
  <c r="P62" i="225"/>
  <c r="L57" i="225"/>
  <c r="P105" i="225"/>
  <c r="E74" i="225"/>
  <c r="M128" i="225"/>
  <c r="D102" i="225"/>
  <c r="P56" i="225"/>
  <c r="I81" i="225"/>
  <c r="M123" i="225"/>
  <c r="K61" i="225"/>
  <c r="L59" i="225"/>
  <c r="D79" i="225"/>
  <c r="M106" i="225"/>
  <c r="M124" i="225"/>
  <c r="H81" i="225"/>
  <c r="G35" i="225"/>
  <c r="J122" i="225"/>
  <c r="N34" i="225"/>
  <c r="N122" i="225"/>
  <c r="H63" i="225"/>
  <c r="D61" i="225"/>
  <c r="O34" i="225"/>
  <c r="N62" i="225"/>
  <c r="M29" i="225"/>
  <c r="L60" i="225"/>
  <c r="I127" i="225"/>
  <c r="F62" i="225"/>
  <c r="N128" i="225"/>
  <c r="I59" i="225"/>
  <c r="F63" i="225"/>
  <c r="F35" i="225"/>
  <c r="E36" i="225"/>
  <c r="L58" i="225"/>
  <c r="F128" i="225"/>
  <c r="F36" i="225"/>
  <c r="I35" i="225"/>
  <c r="I60" i="225"/>
  <c r="N30" i="225"/>
  <c r="H123" i="225"/>
  <c r="N31" i="225"/>
  <c r="N35" i="225"/>
  <c r="G125" i="225"/>
  <c r="J127" i="225"/>
  <c r="M31" i="225"/>
  <c r="E29" i="225"/>
  <c r="E33" i="225"/>
  <c r="J32" i="225"/>
  <c r="N59" i="225"/>
  <c r="M127" i="225"/>
  <c r="K123" i="225"/>
  <c r="N36" i="225"/>
  <c r="P63" i="225"/>
  <c r="H61" i="225"/>
  <c r="I33" i="225"/>
  <c r="K34" i="225"/>
  <c r="K58" i="225"/>
  <c r="N33" i="225"/>
  <c r="K60" i="225"/>
  <c r="O62" i="225"/>
  <c r="D62" i="225"/>
  <c r="H29" i="225"/>
  <c r="E61" i="225"/>
  <c r="M60" i="225"/>
  <c r="D32" i="225"/>
  <c r="E59" i="225"/>
  <c r="J29" i="225"/>
  <c r="L126" i="225"/>
  <c r="O32" i="225"/>
  <c r="M61" i="225"/>
  <c r="F34" i="225"/>
  <c r="N123" i="225"/>
  <c r="D34" i="225"/>
  <c r="H125" i="225"/>
  <c r="F33" i="225"/>
  <c r="G58" i="225"/>
  <c r="P33" i="225"/>
  <c r="D33" i="225"/>
  <c r="P32" i="225"/>
  <c r="N60" i="225"/>
  <c r="D60" i="225"/>
  <c r="L29" i="225"/>
  <c r="N124" i="225"/>
  <c r="D63" i="225"/>
  <c r="I32" i="225"/>
  <c r="E62" i="225"/>
  <c r="I31" i="225"/>
  <c r="G29" i="225"/>
  <c r="K62" i="225"/>
  <c r="G123" i="225"/>
  <c r="H56" i="225"/>
  <c r="P60" i="225"/>
  <c r="I124" i="225"/>
  <c r="I29" i="225"/>
  <c r="L62" i="225"/>
  <c r="J126" i="225"/>
  <c r="H33" i="225"/>
  <c r="L35" i="225"/>
  <c r="L63" i="225"/>
  <c r="O63" i="225"/>
  <c r="O56" i="225"/>
  <c r="K33" i="225"/>
  <c r="K31" i="225"/>
  <c r="L32" i="225"/>
  <c r="I61" i="225"/>
  <c r="L124" i="225"/>
  <c r="K35" i="225"/>
  <c r="M56" i="225"/>
  <c r="F59" i="225"/>
  <c r="M32" i="225"/>
  <c r="I34" i="225"/>
  <c r="D36" i="225"/>
  <c r="O31" i="225"/>
  <c r="H127" i="225"/>
  <c r="F31" i="225"/>
  <c r="M125" i="225"/>
  <c r="F127" i="225"/>
  <c r="L36" i="225"/>
  <c r="M33" i="225"/>
  <c r="L31" i="225"/>
  <c r="J31" i="225"/>
  <c r="H75" i="225"/>
  <c r="J106" i="225"/>
  <c r="F82" i="225"/>
  <c r="D30" i="225"/>
  <c r="J57" i="225"/>
  <c r="L122" i="225"/>
  <c r="M122" i="225"/>
  <c r="J103" i="225"/>
  <c r="O29" i="225"/>
  <c r="I128" i="225"/>
  <c r="E31" i="225"/>
  <c r="I63" i="225"/>
  <c r="D107" i="225"/>
  <c r="L34" i="225"/>
  <c r="J61" i="225"/>
  <c r="N56" i="225"/>
  <c r="J59" i="225"/>
  <c r="J72" i="225"/>
  <c r="K105" i="225"/>
  <c r="I102" i="225"/>
  <c r="O102" i="225"/>
  <c r="K102" i="225"/>
  <c r="G145" i="82"/>
  <c r="F145" i="82"/>
  <c r="H145" i="82"/>
  <c r="I145" i="82"/>
  <c r="J145" i="82"/>
  <c r="K145" i="82"/>
  <c r="L145" i="82"/>
  <c r="M145" i="82"/>
  <c r="N145" i="82"/>
  <c r="N143" i="82"/>
  <c r="L143" i="82"/>
  <c r="M143" i="82"/>
  <c r="J143" i="82"/>
  <c r="K143" i="82"/>
  <c r="I143" i="82"/>
  <c r="F143" i="82"/>
  <c r="G143" i="82"/>
  <c r="H143" i="82"/>
  <c r="H133" i="225" l="1"/>
  <c r="H156" i="225" s="1"/>
  <c r="N134" i="225"/>
  <c r="M134" i="225"/>
  <c r="N131" i="225"/>
  <c r="N144" i="225" s="1"/>
  <c r="N146" i="225" s="1"/>
  <c r="B88" i="225" a="1"/>
  <c r="B95" i="225" s="1"/>
  <c r="H134" i="225"/>
  <c r="C192" i="225"/>
  <c r="H170" i="225"/>
  <c r="L136" i="225"/>
  <c r="L131" i="225"/>
  <c r="L142" i="225" s="1"/>
  <c r="L134" i="225"/>
  <c r="L132" i="225"/>
  <c r="L149" i="225" s="1"/>
  <c r="L133" i="225"/>
  <c r="L156" i="225" s="1"/>
  <c r="N133" i="225"/>
  <c r="N158" i="225" s="1"/>
  <c r="M133" i="225"/>
  <c r="M158" i="225" s="1"/>
  <c r="M132" i="225"/>
  <c r="M151" i="225" s="1"/>
  <c r="G132" i="225"/>
  <c r="G149" i="225" s="1"/>
  <c r="G131" i="225"/>
  <c r="G142" i="225" s="1"/>
  <c r="G136" i="225"/>
  <c r="G133" i="225"/>
  <c r="G156" i="225" s="1"/>
  <c r="G134" i="225"/>
  <c r="K152" i="225"/>
  <c r="F145" i="225"/>
  <c r="J152" i="225"/>
  <c r="I145" i="225"/>
  <c r="L159" i="225"/>
  <c r="I152" i="225"/>
  <c r="N145" i="225"/>
  <c r="H145" i="225"/>
  <c r="I159" i="225"/>
  <c r="H152" i="225"/>
  <c r="N152" i="225"/>
  <c r="G152" i="225"/>
  <c r="F152" i="225"/>
  <c r="G145" i="225"/>
  <c r="M145" i="225"/>
  <c r="L145" i="225"/>
  <c r="K145" i="225"/>
  <c r="M159" i="225"/>
  <c r="H159" i="225"/>
  <c r="G159" i="225"/>
  <c r="M152" i="225"/>
  <c r="L152" i="225"/>
  <c r="J145" i="225"/>
  <c r="K159" i="225"/>
  <c r="J159" i="225"/>
  <c r="N159" i="225"/>
  <c r="F159" i="225"/>
  <c r="H132" i="225"/>
  <c r="H149" i="225" s="1"/>
  <c r="J131" i="225"/>
  <c r="J142" i="225" s="1"/>
  <c r="J134" i="225"/>
  <c r="J133" i="225"/>
  <c r="J156" i="225" s="1"/>
  <c r="J136" i="225"/>
  <c r="J132" i="225"/>
  <c r="J149" i="225" s="1"/>
  <c r="K133" i="225"/>
  <c r="K156" i="225" s="1"/>
  <c r="K136" i="225"/>
  <c r="K131" i="225"/>
  <c r="K142" i="225" s="1"/>
  <c r="K132" i="225"/>
  <c r="K149" i="225" s="1"/>
  <c r="K134" i="225"/>
  <c r="H131" i="225"/>
  <c r="H142" i="225" s="1"/>
  <c r="N132" i="225"/>
  <c r="N151" i="225" s="1"/>
  <c r="M131" i="225"/>
  <c r="M144" i="225" s="1"/>
  <c r="N136" i="225"/>
  <c r="M136" i="225"/>
  <c r="H136" i="225"/>
  <c r="I157" i="225"/>
  <c r="I150" i="225"/>
  <c r="J150" i="225"/>
  <c r="M143" i="225"/>
  <c r="M142" i="225" s="1"/>
  <c r="H157" i="225"/>
  <c r="H158" i="225" s="1"/>
  <c r="H160" i="225" s="1"/>
  <c r="L150" i="225"/>
  <c r="G150" i="225"/>
  <c r="L157" i="225"/>
  <c r="H150" i="225"/>
  <c r="K143" i="225"/>
  <c r="G157" i="225"/>
  <c r="M157" i="225"/>
  <c r="K157" i="225"/>
  <c r="F150" i="225"/>
  <c r="F143" i="225"/>
  <c r="H143" i="225"/>
  <c r="N150" i="225"/>
  <c r="L143" i="225"/>
  <c r="G143" i="225"/>
  <c r="K150" i="225"/>
  <c r="N143" i="225"/>
  <c r="F157" i="225"/>
  <c r="N157" i="225"/>
  <c r="I143" i="225"/>
  <c r="J143" i="225"/>
  <c r="J157" i="225"/>
  <c r="M150" i="225"/>
  <c r="I132" i="225"/>
  <c r="I151" i="225" s="1"/>
  <c r="I153" i="225" s="1"/>
  <c r="I131" i="225"/>
  <c r="I144" i="225" s="1"/>
  <c r="I136" i="225"/>
  <c r="I134" i="225"/>
  <c r="I133" i="225"/>
  <c r="I158" i="225" s="1"/>
  <c r="F134" i="225"/>
  <c r="F132" i="225"/>
  <c r="F149" i="225" s="1"/>
  <c r="F133" i="225"/>
  <c r="F156" i="225" s="1"/>
  <c r="F136" i="225"/>
  <c r="F131" i="225"/>
  <c r="F142" i="225" s="1"/>
  <c r="M156" i="225"/>
  <c r="M160" i="225"/>
  <c r="M149" i="225"/>
  <c r="M169" i="225" s="1"/>
  <c r="N144" i="82"/>
  <c r="N146" i="82" s="1"/>
  <c r="G142" i="82"/>
  <c r="G144" i="82" s="1"/>
  <c r="G146" i="82" s="1"/>
  <c r="I144" i="82"/>
  <c r="I146" i="82" s="1"/>
  <c r="C194" i="82"/>
  <c r="J142" i="82"/>
  <c r="L142" i="82"/>
  <c r="K142" i="82"/>
  <c r="H142" i="82"/>
  <c r="C191" i="82"/>
  <c r="M144" i="82"/>
  <c r="M146" i="82" s="1"/>
  <c r="E90" i="225" l="1"/>
  <c r="J93" i="225"/>
  <c r="E95" i="225"/>
  <c r="F89" i="225"/>
  <c r="I94" i="225"/>
  <c r="E89" i="225"/>
  <c r="N95" i="225"/>
  <c r="C92" i="225"/>
  <c r="F94" i="225"/>
  <c r="G96" i="225"/>
  <c r="J88" i="225"/>
  <c r="I93" i="225"/>
  <c r="G94" i="225"/>
  <c r="J91" i="225"/>
  <c r="P90" i="225"/>
  <c r="N149" i="225"/>
  <c r="N169" i="225" s="1"/>
  <c r="P93" i="225"/>
  <c r="O88" i="225"/>
  <c r="C93" i="225"/>
  <c r="B90" i="225"/>
  <c r="M153" i="225"/>
  <c r="K95" i="225"/>
  <c r="G88" i="225"/>
  <c r="N142" i="225"/>
  <c r="N168" i="225" s="1"/>
  <c r="M146" i="225"/>
  <c r="G93" i="225"/>
  <c r="H88" i="225"/>
  <c r="D93" i="225"/>
  <c r="L95" i="225"/>
  <c r="L90" i="225"/>
  <c r="L96" i="225"/>
  <c r="H95" i="225"/>
  <c r="D88" i="225"/>
  <c r="B88" i="225"/>
  <c r="N93" i="225"/>
  <c r="K93" i="225"/>
  <c r="F91" i="225"/>
  <c r="F96" i="225"/>
  <c r="E88" i="225"/>
  <c r="G95" i="225"/>
  <c r="C91" i="225"/>
  <c r="B91" i="225"/>
  <c r="O94" i="225"/>
  <c r="N91" i="225"/>
  <c r="I96" i="225"/>
  <c r="E92" i="225"/>
  <c r="N94" i="225"/>
  <c r="H96" i="225"/>
  <c r="G92" i="225"/>
  <c r="B92" i="225"/>
  <c r="K94" i="225"/>
  <c r="J94" i="225"/>
  <c r="L92" i="225"/>
  <c r="I92" i="225"/>
  <c r="N90" i="225"/>
  <c r="C95" i="225"/>
  <c r="E96" i="225"/>
  <c r="J90" i="225"/>
  <c r="L89" i="225"/>
  <c r="M95" i="225"/>
  <c r="D90" i="225"/>
  <c r="J95" i="225"/>
  <c r="D91" i="225"/>
  <c r="G91" i="225"/>
  <c r="C89" i="225"/>
  <c r="M96" i="225"/>
  <c r="I88" i="225"/>
  <c r="I89" i="225"/>
  <c r="O89" i="225"/>
  <c r="J89" i="225"/>
  <c r="O92" i="225"/>
  <c r="I95" i="225"/>
  <c r="K96" i="225"/>
  <c r="C88" i="225"/>
  <c r="D92" i="225"/>
  <c r="F95" i="225"/>
  <c r="E91" i="225"/>
  <c r="N92" i="225"/>
  <c r="L91" i="225"/>
  <c r="H93" i="225"/>
  <c r="P92" i="225"/>
  <c r="F93" i="225"/>
  <c r="I142" i="225"/>
  <c r="I168" i="225" s="1"/>
  <c r="F90" i="225"/>
  <c r="H91" i="225"/>
  <c r="O96" i="225"/>
  <c r="J96" i="225"/>
  <c r="E94" i="225"/>
  <c r="B96" i="225"/>
  <c r="N96" i="225"/>
  <c r="P96" i="225"/>
  <c r="H90" i="225"/>
  <c r="K88" i="225"/>
  <c r="P91" i="225"/>
  <c r="F92" i="225"/>
  <c r="N89" i="225"/>
  <c r="D89" i="225"/>
  <c r="L88" i="225"/>
  <c r="H94" i="225"/>
  <c r="B89" i="225"/>
  <c r="C90" i="225"/>
  <c r="P88" i="225"/>
  <c r="M93" i="225"/>
  <c r="P89" i="225"/>
  <c r="I90" i="225"/>
  <c r="H89" i="225"/>
  <c r="M94" i="225"/>
  <c r="N156" i="225"/>
  <c r="N170" i="225" s="1"/>
  <c r="D96" i="225"/>
  <c r="P94" i="225"/>
  <c r="M91" i="225"/>
  <c r="B93" i="225"/>
  <c r="C94" i="225"/>
  <c r="O91" i="225"/>
  <c r="O93" i="225"/>
  <c r="O95" i="225"/>
  <c r="D95" i="225"/>
  <c r="M88" i="225"/>
  <c r="O90" i="225"/>
  <c r="I160" i="225"/>
  <c r="N153" i="225"/>
  <c r="N88" i="225"/>
  <c r="P95" i="225"/>
  <c r="J92" i="225"/>
  <c r="E93" i="225"/>
  <c r="D94" i="225"/>
  <c r="I91" i="225"/>
  <c r="K91" i="225"/>
  <c r="B94" i="225"/>
  <c r="L94" i="225"/>
  <c r="K89" i="225"/>
  <c r="F88" i="225"/>
  <c r="L93" i="225"/>
  <c r="M92" i="225"/>
  <c r="K92" i="225"/>
  <c r="H92" i="225"/>
  <c r="C96" i="225"/>
  <c r="G90" i="225"/>
  <c r="M89" i="225"/>
  <c r="M90" i="225"/>
  <c r="K90" i="225"/>
  <c r="G89" i="225"/>
  <c r="N160" i="225"/>
  <c r="H168" i="225"/>
  <c r="H144" i="225"/>
  <c r="H146" i="225" s="1"/>
  <c r="E192" i="225"/>
  <c r="D192" i="225" s="1"/>
  <c r="E191" i="225"/>
  <c r="L169" i="225"/>
  <c r="L151" i="225"/>
  <c r="L153" i="225" s="1"/>
  <c r="I146" i="225"/>
  <c r="K169" i="225"/>
  <c r="K151" i="225"/>
  <c r="K153" i="225" s="1"/>
  <c r="L144" i="225"/>
  <c r="L146" i="225" s="1"/>
  <c r="L168" i="225"/>
  <c r="E195" i="225"/>
  <c r="J168" i="225"/>
  <c r="J144" i="225"/>
  <c r="J146" i="225" s="1"/>
  <c r="K168" i="225"/>
  <c r="K144" i="225"/>
  <c r="K146" i="225" s="1"/>
  <c r="E194" i="225"/>
  <c r="G170" i="225"/>
  <c r="C191" i="225"/>
  <c r="G158" i="225"/>
  <c r="G160" i="225" s="1"/>
  <c r="C195" i="225"/>
  <c r="L170" i="225"/>
  <c r="L158" i="225"/>
  <c r="L160" i="225" s="1"/>
  <c r="H151" i="225"/>
  <c r="H153" i="225" s="1"/>
  <c r="H169" i="225"/>
  <c r="J169" i="225"/>
  <c r="J151" i="225"/>
  <c r="J153" i="225" s="1"/>
  <c r="G144" i="225"/>
  <c r="G146" i="225" s="1"/>
  <c r="G168" i="225"/>
  <c r="K158" i="225"/>
  <c r="K160" i="225" s="1"/>
  <c r="K170" i="225"/>
  <c r="C194" i="225"/>
  <c r="F168" i="225"/>
  <c r="F144" i="225"/>
  <c r="F146" i="225" s="1"/>
  <c r="G151" i="225"/>
  <c r="G153" i="225" s="1"/>
  <c r="G169" i="225"/>
  <c r="F170" i="225"/>
  <c r="F158" i="225"/>
  <c r="F160" i="225" s="1"/>
  <c r="J170" i="225"/>
  <c r="J158" i="225"/>
  <c r="J160" i="225" s="1"/>
  <c r="I149" i="225"/>
  <c r="I169" i="225" s="1"/>
  <c r="I156" i="225"/>
  <c r="F151" i="225"/>
  <c r="F153" i="225" s="1"/>
  <c r="F169" i="225"/>
  <c r="M168" i="225"/>
  <c r="E196" i="225"/>
  <c r="C196" i="225"/>
  <c r="M170" i="225"/>
  <c r="N142" i="82"/>
  <c r="E197" i="82" s="1"/>
  <c r="I142" i="82"/>
  <c r="E193" i="82" s="1"/>
  <c r="C193" i="82"/>
  <c r="C195" i="82"/>
  <c r="C197" i="82"/>
  <c r="L144" i="82"/>
  <c r="L146" i="82" s="1"/>
  <c r="E195" i="82"/>
  <c r="K144" i="82"/>
  <c r="K146" i="82" s="1"/>
  <c r="E194" i="82"/>
  <c r="D194" i="82" s="1"/>
  <c r="E192" i="82"/>
  <c r="H144" i="82"/>
  <c r="H146" i="82" s="1"/>
  <c r="E191" i="82"/>
  <c r="D191" i="82" s="1"/>
  <c r="J144" i="82"/>
  <c r="J146" i="82" s="1"/>
  <c r="C196" i="82"/>
  <c r="M142" i="82"/>
  <c r="G177" i="82"/>
  <c r="G180" i="82"/>
  <c r="G173" i="82"/>
  <c r="C192" i="82"/>
  <c r="E197" i="225" l="1"/>
  <c r="E193" i="225"/>
  <c r="C197" i="225"/>
  <c r="K173" i="225"/>
  <c r="K177" i="225"/>
  <c r="K180" i="225"/>
  <c r="I180" i="225"/>
  <c r="I177" i="225"/>
  <c r="I173" i="225"/>
  <c r="L180" i="225"/>
  <c r="L173" i="225"/>
  <c r="G173" i="225"/>
  <c r="G180" i="225"/>
  <c r="G177" i="225"/>
  <c r="D196" i="225"/>
  <c r="D191" i="225"/>
  <c r="I170" i="225"/>
  <c r="C193" i="225"/>
  <c r="D193" i="225" s="1"/>
  <c r="D194" i="225"/>
  <c r="H177" i="225"/>
  <c r="H173" i="225"/>
  <c r="H180" i="225"/>
  <c r="F177" i="225"/>
  <c r="F180" i="225"/>
  <c r="F173" i="225"/>
  <c r="J173" i="225"/>
  <c r="J180" i="225"/>
  <c r="J177" i="225"/>
  <c r="D195" i="225"/>
  <c r="M173" i="225"/>
  <c r="M180" i="225"/>
  <c r="N173" i="225"/>
  <c r="N180" i="225"/>
  <c r="D197" i="225"/>
  <c r="D195" i="82"/>
  <c r="D192" i="82"/>
  <c r="D193" i="82"/>
  <c r="D197" i="82"/>
  <c r="K180" i="82"/>
  <c r="K173" i="82"/>
  <c r="K177" i="82"/>
  <c r="N180" i="82"/>
  <c r="N173" i="82"/>
  <c r="I173" i="82"/>
  <c r="I177" i="82"/>
  <c r="I180" i="82"/>
  <c r="F173" i="82"/>
  <c r="L180" i="82"/>
  <c r="L173" i="82"/>
  <c r="J177" i="82"/>
  <c r="J180" i="82"/>
  <c r="J173" i="82"/>
  <c r="E196" i="82"/>
  <c r="D196" i="82" s="1"/>
  <c r="H173" i="82"/>
  <c r="H180" i="82"/>
  <c r="H177" i="82"/>
  <c r="M180" i="82" l="1"/>
  <c r="M173" i="82"/>
  <c r="F142" i="82"/>
  <c r="F144" i="82" s="1"/>
  <c r="F146" i="8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D15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상장되어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우선주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전환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상환권이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.
  --&gt; Diltution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 xml:space="preserve"> X</t>
        </r>
      </text>
    </comment>
    <comment ref="G25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2009 AR  p.113</t>
        </r>
      </text>
    </comment>
    <comment ref="D69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2009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29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하이스코트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인수함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한번에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지분</t>
        </r>
        <r>
          <rPr>
            <sz val="9"/>
            <color indexed="81"/>
            <rFont val="Tahoma"/>
            <family val="2"/>
          </rPr>
          <t xml:space="preserve"> 100%)
</t>
        </r>
        <r>
          <rPr>
            <sz val="9"/>
            <color indexed="81"/>
            <rFont val="돋움"/>
            <family val="3"/>
            <charset val="129"/>
          </rPr>
          <t>출처</t>
        </r>
        <r>
          <rPr>
            <sz val="9"/>
            <color indexed="81"/>
            <rFont val="Tahoma"/>
            <family val="2"/>
          </rPr>
          <t>: 2009 1Q</t>
        </r>
        <r>
          <rPr>
            <sz val="9"/>
            <color indexed="81"/>
            <rFont val="돋움"/>
            <family val="3"/>
            <charset val="129"/>
          </rPr>
          <t>보고서</t>
        </r>
        <r>
          <rPr>
            <sz val="9"/>
            <color indexed="81"/>
            <rFont val="Tahoma"/>
            <family val="2"/>
          </rPr>
          <t xml:space="preserve"> &gt; </t>
        </r>
        <r>
          <rPr>
            <sz val="9"/>
            <color indexed="81"/>
            <rFont val="돋움"/>
            <family val="3"/>
            <charset val="129"/>
          </rPr>
          <t>계열회사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현황</t>
        </r>
      </text>
    </comment>
    <comment ref="G82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WST:</t>
        </r>
        <r>
          <rPr>
            <sz val="9"/>
            <color indexed="81"/>
            <rFont val="Tahoma"/>
            <family val="2"/>
          </rPr>
          <t xml:space="preserve">
"Integratin costs related to acquisiiton of part of the activisities in S&amp;N"</t>
        </r>
      </text>
    </comment>
    <comment ref="G84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 = 3 (gain) - 41 (loss)</t>
        </r>
      </text>
    </comment>
    <comment ref="B87" authorId="0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"Associate"</t>
        </r>
        <r>
          <rPr>
            <sz val="9"/>
            <color indexed="81"/>
            <rFont val="돋움"/>
            <family val="3"/>
            <charset val="129"/>
          </rPr>
          <t>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불리기도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D17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User</t>
        </r>
        <r>
          <rPr>
            <b/>
            <sz val="9"/>
            <color indexed="81"/>
            <rFont val="돋움"/>
            <family val="3"/>
            <charset val="129"/>
          </rPr>
          <t>:</t>
        </r>
        <r>
          <rPr>
            <sz val="9"/>
            <color indexed="81"/>
            <rFont val="Tahoma"/>
            <family val="2"/>
          </rPr>
          <t xml:space="preserve">
1: High
2: Median
3: Low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D173" authorId="0" shapeId="0" xr:uid="{3052B8BB-3A61-47B8-BE41-00D4A22DA8BF}">
      <text>
        <r>
          <rPr>
            <b/>
            <sz val="9"/>
            <color indexed="81"/>
            <rFont val="Tahoma"/>
            <family val="2"/>
          </rPr>
          <t>User</t>
        </r>
        <r>
          <rPr>
            <b/>
            <sz val="9"/>
            <color indexed="81"/>
            <rFont val="돋움"/>
            <family val="3"/>
            <charset val="129"/>
          </rPr>
          <t>:</t>
        </r>
        <r>
          <rPr>
            <sz val="9"/>
            <color indexed="81"/>
            <rFont val="Tahoma"/>
            <family val="2"/>
          </rPr>
          <t xml:space="preserve">
1: High
2: Median
3: Low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D13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Wall Street Training:</t>
        </r>
        <r>
          <rPr>
            <sz val="9"/>
            <color indexed="81"/>
            <rFont val="Tahoma"/>
            <family val="2"/>
          </rPr>
          <t xml:space="preserve">
KKR이 인수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D13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Wall Street Training:</t>
        </r>
        <r>
          <rPr>
            <sz val="9"/>
            <color indexed="81"/>
            <rFont val="Tahoma"/>
            <family val="2"/>
          </rPr>
          <t xml:space="preserve">
KKR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D13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Wall Street Training:</t>
        </r>
        <r>
          <rPr>
            <sz val="9"/>
            <color indexed="81"/>
            <rFont val="Tahoma"/>
            <family val="2"/>
          </rPr>
          <t xml:space="preserve">
KKR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</text>
    </comment>
    <comment ref="D50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Wall Street Training:</t>
        </r>
        <r>
          <rPr>
            <sz val="9"/>
            <color indexed="81"/>
            <rFont val="Tahoma"/>
            <family val="2"/>
          </rPr>
          <t xml:space="preserve">
Result of KKR buyout</t>
        </r>
      </text>
    </comment>
    <comment ref="D5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Wall Street Training:</t>
        </r>
        <r>
          <rPr>
            <sz val="9"/>
            <color indexed="81"/>
            <rFont val="Tahoma"/>
            <family val="2"/>
          </rPr>
          <t xml:space="preserve">
Result of KKR buyout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<sst xmlns="http://schemas.openxmlformats.org/spreadsheetml/2006/main" count="1646" uniqueCount="880">
  <si>
    <t>Net Income</t>
  </si>
  <si>
    <t xml:space="preserve"> </t>
  </si>
  <si>
    <t>Oriental Brewery Co., Ltd. &gt; Financials &gt; Income Statement</t>
  </si>
  <si>
    <t>Income Statement</t>
  </si>
  <si>
    <t xml:space="preserve">  Total Revenue</t>
  </si>
  <si>
    <t>Cost Of Goods Sold</t>
  </si>
  <si>
    <t xml:space="preserve">  Gross Profit</t>
  </si>
  <si>
    <t>Selling General &amp; Admin Exp.</t>
  </si>
  <si>
    <t>Depreciation &amp; Amort.</t>
  </si>
  <si>
    <t>Amort. of Goodwill and Intangibles</t>
  </si>
  <si>
    <t>Other Operating Expense/(Income)</t>
  </si>
  <si>
    <t xml:space="preserve">  Other Operating Exp., Total</t>
  </si>
  <si>
    <t xml:space="preserve">  Operating Income</t>
  </si>
  <si>
    <t>Interest Expense</t>
  </si>
  <si>
    <t>Interest and Invest. Income</t>
  </si>
  <si>
    <t xml:space="preserve">  Net Interest Exp.</t>
  </si>
  <si>
    <t>Income/(Loss) from Affiliates</t>
  </si>
  <si>
    <t>Currency Exchange Gains (Loss)</t>
  </si>
  <si>
    <t>Other Non-Operating Inc. (Exp.)</t>
  </si>
  <si>
    <t xml:space="preserve">  EBT Excl. Unusual Items</t>
  </si>
  <si>
    <t>Gain (Loss) On Sale Of Assets</t>
  </si>
  <si>
    <t xml:space="preserve">  EBT Incl. Unusual Items</t>
  </si>
  <si>
    <t>Income Tax Expense</t>
  </si>
  <si>
    <t xml:space="preserve">  Net Income</t>
  </si>
  <si>
    <t>Oriental Brewery Co., Ltd. &gt; Financials &gt; Balance Sheet</t>
  </si>
  <si>
    <t>Balance Sheet</t>
  </si>
  <si>
    <t>ASSETS</t>
  </si>
  <si>
    <t>Cash And Equivalents</t>
  </si>
  <si>
    <t>Short Term Investments</t>
  </si>
  <si>
    <t xml:space="preserve">  Total Cash &amp; ST Investments</t>
  </si>
  <si>
    <t xml:space="preserve">  Total Receivables</t>
  </si>
  <si>
    <t>Inventory</t>
  </si>
  <si>
    <t>Prepaid Exp.</t>
  </si>
  <si>
    <t>Other Current Assets</t>
  </si>
  <si>
    <t xml:space="preserve">  Total Current Assets</t>
  </si>
  <si>
    <t xml:space="preserve">  Net Property, Plant &amp; Equipment</t>
  </si>
  <si>
    <t>Long-term Investments</t>
  </si>
  <si>
    <t>Goodwill</t>
  </si>
  <si>
    <t>Other Intangibles</t>
  </si>
  <si>
    <t>Other Long-Term Assets</t>
  </si>
  <si>
    <t>Total Assets</t>
  </si>
  <si>
    <t>LIABILITIES</t>
  </si>
  <si>
    <t>Accounts Payable</t>
  </si>
  <si>
    <t>Accrued Exp.</t>
  </si>
  <si>
    <t>Short-term Borrowings</t>
  </si>
  <si>
    <t>Curr. Port. of LT Debt</t>
  </si>
  <si>
    <t>Curr. Income Taxes Payable</t>
  </si>
  <si>
    <t>Other Current Liabilities</t>
  </si>
  <si>
    <t xml:space="preserve">  Total Current Liabilities</t>
  </si>
  <si>
    <t>Long-Term Debt</t>
  </si>
  <si>
    <t>Pension &amp; Other Post-Retire. Benefits</t>
  </si>
  <si>
    <t>Total Liabilities</t>
  </si>
  <si>
    <t>Pref. Stock, Non-Redeem.</t>
  </si>
  <si>
    <t xml:space="preserve">  Total Pref. Equity</t>
  </si>
  <si>
    <t>Common Stock</t>
  </si>
  <si>
    <t>Additional Paid In Capital</t>
  </si>
  <si>
    <t>Retained Earnings</t>
  </si>
  <si>
    <t>Comprehensive Inc. and Other</t>
  </si>
  <si>
    <t xml:space="preserve">  Total Common Equity</t>
  </si>
  <si>
    <t>Total Equity</t>
  </si>
  <si>
    <t>Total Liabilities And Equity</t>
  </si>
  <si>
    <t>Oriental Brewery Co., Ltd. &gt; Financials &gt; Cash Flow</t>
  </si>
  <si>
    <t>Cash Flow</t>
  </si>
  <si>
    <t>Depreciation &amp; Amort., Total</t>
  </si>
  <si>
    <t>(Gain) Loss From Sale Of Assets</t>
  </si>
  <si>
    <t>(Gain) Loss On Sale Of Invest.</t>
  </si>
  <si>
    <t>Asset Writedown &amp; Restructuring Costs</t>
  </si>
  <si>
    <t>(Income) Loss on Equity Invest.</t>
  </si>
  <si>
    <t>Provision &amp; Write-off of Bad debts</t>
  </si>
  <si>
    <t>Other Operating Activities</t>
  </si>
  <si>
    <t>Change in Acc. Receivable</t>
  </si>
  <si>
    <t>Change In Inventories</t>
  </si>
  <si>
    <t>Change in Acc. Payable</t>
  </si>
  <si>
    <t>Change in Inc. Taxes</t>
  </si>
  <si>
    <t>Change in Def. Taxes</t>
  </si>
  <si>
    <t>Change in Other Net Operating Assets</t>
  </si>
  <si>
    <t xml:space="preserve">  Cash from Ops.</t>
  </si>
  <si>
    <t>Capital Expenditure</t>
  </si>
  <si>
    <t>Sale of Property, Plant, and Equipment</t>
  </si>
  <si>
    <t>Sale (Purchase) of Real Estate properties</t>
  </si>
  <si>
    <t>Sale (Purchase) of Intangible assets</t>
  </si>
  <si>
    <t>Invest. in Marketable &amp; Equity Securt.</t>
  </si>
  <si>
    <t>Net (Inc.) Dec. in Loans Originated/Sold</t>
  </si>
  <si>
    <t>Other Investing Activities</t>
  </si>
  <si>
    <t xml:space="preserve">  Cash from Investing</t>
  </si>
  <si>
    <t>Short Term Debt Issued</t>
  </si>
  <si>
    <t>Long-Term Debt Issued</t>
  </si>
  <si>
    <t>Total Debt Issued</t>
  </si>
  <si>
    <t>Short Term Debt Repaid</t>
  </si>
  <si>
    <t>Long-Term Debt Repaid</t>
  </si>
  <si>
    <t>Total Debt Repaid</t>
  </si>
  <si>
    <t>Issuance of Common Stock</t>
  </si>
  <si>
    <t>Repurchase of Common Stock</t>
  </si>
  <si>
    <t>Common and/or Pref. Dividends Paid</t>
  </si>
  <si>
    <t>Total Dividends Paid</t>
  </si>
  <si>
    <t>Other Financing Activities</t>
  </si>
  <si>
    <t xml:space="preserve">  Cash from Financing</t>
  </si>
  <si>
    <t xml:space="preserve">  Net Change in Cash</t>
  </si>
  <si>
    <t>x</t>
  </si>
  <si>
    <t>구분</t>
  </si>
  <si>
    <t>계</t>
  </si>
  <si>
    <t>(In KRW millions, except per share items)</t>
    <phoneticPr fontId="0" type="noConversion"/>
  </si>
  <si>
    <t>For the Fiscal Period Ending</t>
    <phoneticPr fontId="0" type="noConversion"/>
  </si>
  <si>
    <t>For the Fiscal Period Ending</t>
    <phoneticPr fontId="0" type="noConversion"/>
  </si>
  <si>
    <t>OB맥주</t>
    <phoneticPr fontId="22" type="noConversion"/>
  </si>
  <si>
    <t>EQUITIES</t>
    <phoneticPr fontId="0" type="noConversion"/>
  </si>
  <si>
    <t>Median</t>
  </si>
  <si>
    <t>Market Data Inputs</t>
  </si>
  <si>
    <t>(Reported currencies in millions, except per share data)</t>
  </si>
  <si>
    <t>Company Name</t>
  </si>
  <si>
    <t>Ticker</t>
  </si>
  <si>
    <t>Date of latest fiscal year end</t>
  </si>
  <si>
    <t>Latest quarter</t>
  </si>
  <si>
    <t>Stock price on current date</t>
  </si>
  <si>
    <t>Share price date</t>
  </si>
  <si>
    <t>ASAHI 
GROUP</t>
  </si>
  <si>
    <t>TSINGTAO 
BREWERY</t>
  </si>
  <si>
    <t>CARLSBERG</t>
  </si>
  <si>
    <t>HEINEKEN</t>
  </si>
  <si>
    <t>MOLSON
COORS</t>
  </si>
  <si>
    <t>BOSTON 
BEER</t>
  </si>
  <si>
    <t>NYSE: TAP</t>
  </si>
  <si>
    <t>CPSE:CARL B</t>
  </si>
  <si>
    <t>SEHK:168</t>
  </si>
  <si>
    <t>ENXTAM:HEIA</t>
  </si>
  <si>
    <t>NYSE: SAM</t>
  </si>
  <si>
    <t>Date of latest quarter</t>
  </si>
  <si>
    <t>Asia</t>
  </si>
  <si>
    <t>Korea</t>
  </si>
  <si>
    <t>Japan</t>
  </si>
  <si>
    <t>China</t>
  </si>
  <si>
    <t>Other Markets</t>
  </si>
  <si>
    <t>Denmark</t>
  </si>
  <si>
    <t>Netherlands</t>
  </si>
  <si>
    <t>USA</t>
  </si>
  <si>
    <t>Canada</t>
  </si>
  <si>
    <t>KRW</t>
  </si>
  <si>
    <t>JPY</t>
  </si>
  <si>
    <t>DKK</t>
  </si>
  <si>
    <t>EUR</t>
  </si>
  <si>
    <t>USD</t>
  </si>
  <si>
    <t>Shares Data</t>
  </si>
  <si>
    <t>Financials</t>
  </si>
  <si>
    <t>Latest Fiscal Year</t>
  </si>
  <si>
    <t>Revenues</t>
  </si>
  <si>
    <t>COGS (enter as -)</t>
  </si>
  <si>
    <t>Gross Profit</t>
  </si>
  <si>
    <t>SG&amp;A/Other operating expenses (enter as -)</t>
  </si>
  <si>
    <t>Operating income (EBIT)</t>
  </si>
  <si>
    <t>Nonoperating income / (expense)</t>
  </si>
  <si>
    <t>Pretax income</t>
  </si>
  <si>
    <t>Tax benefit / (expense)</t>
  </si>
  <si>
    <t>Diluted weighted average shares out.</t>
  </si>
  <si>
    <t>Net income</t>
  </si>
  <si>
    <t>Last Fiscal Year</t>
  </si>
  <si>
    <t>Year ending date</t>
  </si>
  <si>
    <t>Basic shares outstanding</t>
  </si>
  <si>
    <t>Options exercisable</t>
  </si>
  <si>
    <t>Exercise price</t>
  </si>
  <si>
    <t>Gross proceeds from exercise of options</t>
  </si>
  <si>
    <t>Gross dilution</t>
  </si>
  <si>
    <t>Dilution from exercisable options</t>
  </si>
  <si>
    <t>Dilution from convertible debt</t>
  </si>
  <si>
    <t>Dilution from convertible preferred stock / other</t>
  </si>
  <si>
    <t>Non-GAAP exclusions</t>
  </si>
  <si>
    <t>Tax effect of non-GAAP exclusions</t>
  </si>
  <si>
    <t>Normalized (Non-GAAP) financials</t>
  </si>
  <si>
    <t>EBIT</t>
  </si>
  <si>
    <t>Depreciation and amortization expense</t>
  </si>
  <si>
    <t>EBITDA</t>
  </si>
  <si>
    <t xml:space="preserve">Tax benefit / (expense) </t>
  </si>
  <si>
    <t xml:space="preserve">Net income </t>
  </si>
  <si>
    <t>Diluted EPS calculation</t>
  </si>
  <si>
    <t>Diluted EPS</t>
  </si>
  <si>
    <t>Forecasts</t>
  </si>
  <si>
    <t>Year 1 Forecast - Fiscal Year</t>
  </si>
  <si>
    <t>Balance Sheet Data</t>
  </si>
  <si>
    <t>Data as of:</t>
  </si>
  <si>
    <t>ST debt (incl. current portion of LT debt)</t>
  </si>
  <si>
    <t>LT debt</t>
  </si>
  <si>
    <t>Noncontrolling interests</t>
  </si>
  <si>
    <t>Preferred stock</t>
  </si>
  <si>
    <t>Gross debt</t>
  </si>
  <si>
    <t>Less: Cash &amp; Cash equivalents</t>
  </si>
  <si>
    <t>Net debt</t>
  </si>
  <si>
    <t>Revenues - Fiscal year 1</t>
  </si>
  <si>
    <t>EBITDA - Fiscal year 1</t>
  </si>
  <si>
    <t>EBIT - Fiscal year 1</t>
  </si>
  <si>
    <t>EPS - Fiscal year 1</t>
  </si>
  <si>
    <t>Source for estimates:</t>
  </si>
  <si>
    <t>Long Term (5 Year) Growth Rate</t>
  </si>
  <si>
    <t>Long-term growth rate</t>
  </si>
  <si>
    <t>Calendarization Formulas</t>
  </si>
  <si>
    <t>Calendar yr 1</t>
  </si>
  <si>
    <t># of days that fiscal yr 1 is behind calendar yr 1</t>
  </si>
  <si>
    <t># of days that fiscal yr 1 is ahead of calendar yr 1</t>
  </si>
  <si>
    <t>Multiply last historical year by:</t>
  </si>
  <si>
    <t>Multiply fiscal Yr 1 by:</t>
  </si>
  <si>
    <t>Multiply fiscal Yr 2 by:</t>
  </si>
  <si>
    <t>Year 1 Forecast - Calendar Year</t>
  </si>
  <si>
    <t>Revenues - Calendar year 1</t>
  </si>
  <si>
    <t>EBITDA - Calendar year 1</t>
  </si>
  <si>
    <t>EBIT - Calendar year 1</t>
  </si>
  <si>
    <t>EPS - Calendar year 1</t>
  </si>
  <si>
    <t>Multiples</t>
  </si>
  <si>
    <t>Market Valuation</t>
  </si>
  <si>
    <t>Share price</t>
  </si>
  <si>
    <t>Diluted shares outstanding (mm)</t>
  </si>
  <si>
    <t>Market capitalization (mm)</t>
  </si>
  <si>
    <t>Enterprise value (EV)</t>
  </si>
  <si>
    <t>Multiples Summary</t>
  </si>
  <si>
    <t>Year 2 Forecast - Fiscal Year</t>
  </si>
  <si>
    <t>Revenues - Fiscal year 2</t>
  </si>
  <si>
    <t>EBITDA - Fiscal year 2</t>
  </si>
  <si>
    <t>EBIT - Fiscal year 2</t>
  </si>
  <si>
    <t>EPS - Fiscal year 2</t>
  </si>
  <si>
    <t>Year 1</t>
  </si>
  <si>
    <t>EV / Revenues - Year 1</t>
  </si>
  <si>
    <t>EV / EBITDA - Year 1</t>
  </si>
  <si>
    <t>EV / EBIT - Year 1</t>
  </si>
  <si>
    <t>P/E - Year 1</t>
  </si>
  <si>
    <t>Net income to company</t>
  </si>
  <si>
    <t>Minotrity interest</t>
  </si>
  <si>
    <t>Earnings of discontinued ops</t>
  </si>
  <si>
    <t>Q4</t>
  </si>
  <si>
    <t>Currency conversion rate to KRW on the date below</t>
  </si>
  <si>
    <t>Oriental
Brewery</t>
  </si>
  <si>
    <t>Company name</t>
  </si>
  <si>
    <t>PE/LTG (PEG ratio)</t>
  </si>
  <si>
    <t>Name</t>
  </si>
  <si>
    <t xml:space="preserve">Revenues </t>
  </si>
  <si>
    <t>EPS</t>
  </si>
  <si>
    <t>Place target in first position</t>
  </si>
  <si>
    <t>EV / Revenues</t>
  </si>
  <si>
    <t>EV / EBITDA</t>
  </si>
  <si>
    <t>EV / EBIT</t>
  </si>
  <si>
    <t xml:space="preserve">P/E </t>
  </si>
  <si>
    <t>P/E</t>
  </si>
  <si>
    <t>PEG ratio</t>
  </si>
  <si>
    <t>High</t>
  </si>
  <si>
    <t>Low</t>
  </si>
  <si>
    <t>Mean</t>
  </si>
  <si>
    <t>Revenues - LFY</t>
  </si>
  <si>
    <t>EV / Revenues - LFY</t>
  </si>
  <si>
    <t>EBITDA - LFY</t>
  </si>
  <si>
    <t>EV / EBITDA - LFY</t>
  </si>
  <si>
    <t>EBIT - LFY</t>
  </si>
  <si>
    <t>EV / EBIT - LFY</t>
  </si>
  <si>
    <t>EPS - LFY</t>
  </si>
  <si>
    <t>P/E - LFY</t>
  </si>
  <si>
    <t>Oriental Brewery</t>
  </si>
  <si>
    <t>CNY</t>
  </si>
  <si>
    <t>Affiliate</t>
  </si>
  <si>
    <t>Currency</t>
  </si>
  <si>
    <t>Other non-op</t>
  </si>
  <si>
    <t>Restructuring</t>
  </si>
  <si>
    <t>Merger</t>
  </si>
  <si>
    <t>Gain (Loss) on sale of invest.</t>
  </si>
  <si>
    <t>Gain (Loss) on sale of assets</t>
  </si>
  <si>
    <t>Asset Writedown</t>
  </si>
  <si>
    <t>Other unusal items</t>
  </si>
  <si>
    <t>OB</t>
  </si>
  <si>
    <t>Corporate tax rate (marginal tax rate)</t>
  </si>
  <si>
    <t>2009년 감사보고서</t>
  </si>
  <si>
    <t>http://dart.fss.or.kr/dsaf001/main.do?rcpNo=20100405001258</t>
  </si>
  <si>
    <t>오비맥주주식회사</t>
  </si>
  <si>
    <t>Ⅰ. 유동자산</t>
  </si>
  <si>
    <t>(1) 당좌자산</t>
  </si>
  <si>
    <t>현금및현금성자산(주17)</t>
  </si>
  <si>
    <t>매출채권(주6,17,18,19)</t>
  </si>
  <si>
    <t>대손충당금</t>
  </si>
  <si>
    <t>미수금(주6)</t>
  </si>
  <si>
    <t>단기대여금</t>
  </si>
  <si>
    <t>-</t>
  </si>
  <si>
    <t>미수수익</t>
  </si>
  <si>
    <t>선급비용</t>
  </si>
  <si>
    <t>만기보유증권(주4)</t>
  </si>
  <si>
    <t>통화선도(주20)</t>
  </si>
  <si>
    <t>기타의당좌자산</t>
  </si>
  <si>
    <t>이연법인세자산(주24)</t>
  </si>
  <si>
    <t>(2) 재고자산(주8)</t>
  </si>
  <si>
    <t>제품</t>
  </si>
  <si>
    <t>평가손실충당금</t>
  </si>
  <si>
    <t>원재료</t>
  </si>
  <si>
    <t>소모품</t>
  </si>
  <si>
    <t>재공품</t>
  </si>
  <si>
    <t>미착품</t>
  </si>
  <si>
    <t>선전품</t>
  </si>
  <si>
    <t>Ⅱ. 비유동자산</t>
  </si>
  <si>
    <t>(1) 투자자산</t>
  </si>
  <si>
    <t>장기금융상품(주3)</t>
  </si>
  <si>
    <t>지분법적용투자주식(주5,6)</t>
  </si>
  <si>
    <t>투자부동산(주7,9)</t>
  </si>
  <si>
    <t>(2) 유형자산(주7,8,12)</t>
  </si>
  <si>
    <t>토지</t>
  </si>
  <si>
    <t>건물</t>
  </si>
  <si>
    <t>감가상각누계액</t>
  </si>
  <si>
    <t>구축물</t>
  </si>
  <si>
    <t>손상차손누계액</t>
  </si>
  <si>
    <t>기계장치</t>
  </si>
  <si>
    <t>용기</t>
  </si>
  <si>
    <t>차량운반구</t>
  </si>
  <si>
    <t>공구와기구</t>
  </si>
  <si>
    <t>비품</t>
  </si>
  <si>
    <t>건설중인자산</t>
  </si>
  <si>
    <t>(3) 무형자산</t>
  </si>
  <si>
    <t>영업권(주10)</t>
  </si>
  <si>
    <t>산업재산권(주11)</t>
  </si>
  <si>
    <t>소프트웨어(주11)</t>
  </si>
  <si>
    <t>(4) 기타비유동자산</t>
  </si>
  <si>
    <t>장기성매출채권(주18)</t>
  </si>
  <si>
    <t>장기미수금</t>
  </si>
  <si>
    <t>종업원대여금(주6)</t>
  </si>
  <si>
    <t>보증금</t>
  </si>
  <si>
    <t>기타의비유동자산</t>
  </si>
  <si>
    <t>Ⅰ. 유동부채</t>
  </si>
  <si>
    <t>매입채무(주17)</t>
  </si>
  <si>
    <t>단기차입금(주14,17)</t>
  </si>
  <si>
    <t>미지급금(주6,17)</t>
  </si>
  <si>
    <t>미지급법인세(주24)</t>
  </si>
  <si>
    <t>선수금</t>
  </si>
  <si>
    <t>예수금</t>
  </si>
  <si>
    <t>미지급비용(주6,17)</t>
  </si>
  <si>
    <t>환매채무(주19)</t>
  </si>
  <si>
    <t>수입보증금</t>
  </si>
  <si>
    <t>임대보증금</t>
  </si>
  <si>
    <t>유동성사채(주13)</t>
  </si>
  <si>
    <t>기타의유동부채</t>
  </si>
  <si>
    <t>Ⅱ. 비유동부채</t>
  </si>
  <si>
    <t>사채(주17,19)</t>
  </si>
  <si>
    <t>장기차입금(주14,19)</t>
  </si>
  <si>
    <t>퇴직급여충당부채(주15)</t>
  </si>
  <si>
    <t>퇴직보험예치금</t>
  </si>
  <si>
    <t>국민연금전환금</t>
  </si>
  <si>
    <t>이연법인세부채(주7,24)</t>
  </si>
  <si>
    <t>Ⅰ. 자본금(주21)</t>
  </si>
  <si>
    <t>보통주자본금</t>
  </si>
  <si>
    <t>우선주자본금</t>
  </si>
  <si>
    <t>Ⅱ. 자본잉여금(주21)</t>
  </si>
  <si>
    <t>주식발행초과금</t>
  </si>
  <si>
    <t>감자차익</t>
  </si>
  <si>
    <t>Ⅲ. 자본조정</t>
  </si>
  <si>
    <t>기타의자본조정</t>
  </si>
  <si>
    <t>Ⅳ. 기타포괄손익누계액</t>
  </si>
  <si>
    <t>통화선도평가손실(주20,26)</t>
  </si>
  <si>
    <t>통화선도평가이익(주20,26)</t>
  </si>
  <si>
    <t>재평가잉여금(주7,26)</t>
  </si>
  <si>
    <t>Ⅳ. 이익잉여금</t>
  </si>
  <si>
    <t>법정적립금(주22)</t>
  </si>
  <si>
    <t>미처분이익잉여금</t>
  </si>
  <si>
    <t>Ⅰ. 매출액</t>
  </si>
  <si>
    <t>(1) 제품매출</t>
  </si>
  <si>
    <t>(2) 기타매출(주6)</t>
  </si>
  <si>
    <t>(3) 주세 등</t>
  </si>
  <si>
    <t>Ⅱ. 매출원가</t>
  </si>
  <si>
    <t>(1) 제품매출원가</t>
  </si>
  <si>
    <t>기초제품재고액</t>
  </si>
  <si>
    <t>당기제품제조원가</t>
  </si>
  <si>
    <t>타계정대체액</t>
  </si>
  <si>
    <t>기말제품재고액</t>
  </si>
  <si>
    <t>(2) 기타매출원가</t>
  </si>
  <si>
    <t>Ⅲ. 매출총이익</t>
  </si>
  <si>
    <t>Ⅳ. 판매비와관리비(주23)</t>
  </si>
  <si>
    <t>Ⅴ. 영업이익</t>
  </si>
  <si>
    <t>Ⅵ. 영업외수익</t>
  </si>
  <si>
    <t>이자수익(주18)</t>
  </si>
  <si>
    <t>기타의대손충당금환입</t>
  </si>
  <si>
    <t>수입수수료(주6)</t>
  </si>
  <si>
    <t>외환차익</t>
  </si>
  <si>
    <t>외화환산이익(주17)</t>
  </si>
  <si>
    <t>지분법이익(주5)</t>
  </si>
  <si>
    <t>유형자산처분이익</t>
  </si>
  <si>
    <t>기타의비유동자산처분이익</t>
  </si>
  <si>
    <t>잡이익</t>
  </si>
  <si>
    <t>Ⅶ. 영업외비용</t>
  </si>
  <si>
    <t>이자비용</t>
  </si>
  <si>
    <t>외환차손</t>
  </si>
  <si>
    <t>외화환산손실(주17)</t>
  </si>
  <si>
    <t>기부금</t>
  </si>
  <si>
    <t>매도가능증권처분손실</t>
  </si>
  <si>
    <t>유형자산처분손실</t>
  </si>
  <si>
    <t>유형자산손상차손</t>
  </si>
  <si>
    <t>환매채무추정손실(주19)</t>
  </si>
  <si>
    <t>통화선도거래손실(주20)</t>
  </si>
  <si>
    <t>잡손실</t>
  </si>
  <si>
    <t>특별상여금</t>
  </si>
  <si>
    <t>Ⅷ. 법인세비용차감전순이익</t>
  </si>
  <si>
    <t>Ⅸ. 법인세비용(주24)</t>
  </si>
  <si>
    <t>X. 당기순이익</t>
  </si>
  <si>
    <t>Statement of Cashflow</t>
  </si>
  <si>
    <t>Ⅰ. 영업활동으로 인한 현금흐름</t>
  </si>
  <si>
    <t>1. 당기순이익</t>
  </si>
  <si>
    <t>2. 현금의 유출이 없는 비용 등의 가산</t>
  </si>
  <si>
    <t>감가상각비(주7)</t>
  </si>
  <si>
    <t>무형자산상각비(주10,11)</t>
  </si>
  <si>
    <t>퇴직급여(주15)</t>
  </si>
  <si>
    <t>외화환산손실</t>
  </si>
  <si>
    <t>3. 현금의 유입이 없는 수익 등의 차감</t>
  </si>
  <si>
    <t>기타비유동자산처분이익</t>
  </si>
  <si>
    <t>외화환산이익</t>
  </si>
  <si>
    <t>대손충당금환입</t>
  </si>
  <si>
    <t>4. 영업활동으로 인한 자산부채의 변동</t>
  </si>
  <si>
    <t>매출채권의 감소(증가)</t>
  </si>
  <si>
    <t>미수금의 감소(증가)</t>
  </si>
  <si>
    <t>미수수익의 감소(증가)</t>
  </si>
  <si>
    <t>선급비용의 감소(증가)</t>
  </si>
  <si>
    <t>기타의당좌자산의 감소(증가)</t>
  </si>
  <si>
    <t>재고자산의 감소(증가)</t>
  </si>
  <si>
    <t>장기성매출채권의 감소(증가)</t>
  </si>
  <si>
    <t>장기미수금의 감소(증가)</t>
  </si>
  <si>
    <t>매입채무의 증가(감소)</t>
  </si>
  <si>
    <t>미지급금의 증가(감소)</t>
  </si>
  <si>
    <t>선수금의 증가(감소)</t>
  </si>
  <si>
    <t>예수금의 증가(감소)</t>
  </si>
  <si>
    <t>미지급비용의 증가(감소)</t>
  </si>
  <si>
    <t>수입보증금의 증가(감소)</t>
  </si>
  <si>
    <t>기타의유동부채의 증가(감소)</t>
  </si>
  <si>
    <t>퇴직보험예치금의 감소(증가)</t>
  </si>
  <si>
    <t>국민연금전환금의 감소</t>
  </si>
  <si>
    <t>퇴직금의 지급(주15)</t>
  </si>
  <si>
    <t>퇴직급여 관계회사전입액(주15)</t>
  </si>
  <si>
    <t>퇴직급여 관계회사전출액(주15)</t>
  </si>
  <si>
    <t>미지급법인세의 증가(감소)</t>
  </si>
  <si>
    <t>이연법인세자산의 감소(증가)</t>
  </si>
  <si>
    <t>이연법인세부채의 증가(감소)</t>
  </si>
  <si>
    <t>Ⅱ. 투자활동으로 인한 현금흐름</t>
  </si>
  <si>
    <t>1. 투자활동으로 인한 현금유입액</t>
  </si>
  <si>
    <t>단기대여금의 회수</t>
  </si>
  <si>
    <t>장기금융상품의 회수</t>
  </si>
  <si>
    <t>보증금의 감소</t>
  </si>
  <si>
    <t>만기보유증권의 처분</t>
  </si>
  <si>
    <t>매도가능증권의 처분</t>
  </si>
  <si>
    <t>배당금의 수령</t>
  </si>
  <si>
    <t>종업원대여금의 감소</t>
  </si>
  <si>
    <t>토지의 처분(주7)</t>
  </si>
  <si>
    <t>건물의 처분(주7)</t>
  </si>
  <si>
    <t>기계장치의 처분(주7)</t>
  </si>
  <si>
    <t>용기의 처분(주7)</t>
  </si>
  <si>
    <t>차량운반구의 처분(주7)</t>
  </si>
  <si>
    <t>비품의 처분(주7)</t>
  </si>
  <si>
    <t>기타의비유동자산의 처분</t>
  </si>
  <si>
    <t>2. 투자활동으로 인한 현금유출액</t>
  </si>
  <si>
    <t>종업원대여금의 증가</t>
  </si>
  <si>
    <t>보증금의 증가</t>
  </si>
  <si>
    <t>만기보유증권의 취득</t>
  </si>
  <si>
    <t>매도가능증권의 취득</t>
  </si>
  <si>
    <t>기타비유동자산의 증가</t>
  </si>
  <si>
    <t>건물의 취득(주7)</t>
  </si>
  <si>
    <t>구축물의 취득(주7)</t>
  </si>
  <si>
    <t>기계장치의 취득(주7)</t>
  </si>
  <si>
    <t>용기의 취득(주7)</t>
  </si>
  <si>
    <t>차량운반구의 취득(주7)</t>
  </si>
  <si>
    <t>공구와기구의 취득(주7)</t>
  </si>
  <si>
    <t>비품의 취득(주7)</t>
  </si>
  <si>
    <t>건설중인자산의 증가(주7)</t>
  </si>
  <si>
    <t>산업재산권의 취득(주11)</t>
  </si>
  <si>
    <t>소프트웨어의 취득(주11)</t>
  </si>
  <si>
    <t>Ⅲ. 재무활동으로 인한 현금흐름</t>
  </si>
  <si>
    <t>1. 재무활동으로 인한 현금유입액</t>
  </si>
  <si>
    <t>단기차입금의 차입</t>
  </si>
  <si>
    <t>사채의 발행</t>
  </si>
  <si>
    <t>장기차입금의 차입</t>
  </si>
  <si>
    <t>유상증자</t>
  </si>
  <si>
    <t>2. 재무활동으로 인한 현금유출액</t>
  </si>
  <si>
    <t>단기차입금의 상환</t>
  </si>
  <si>
    <t>유동성사채의 상환</t>
  </si>
  <si>
    <t>신주발행비</t>
  </si>
  <si>
    <t>유상감자</t>
  </si>
  <si>
    <t>배당금의 지급</t>
  </si>
  <si>
    <t>Ⅳ. 현금의 증가(감소) (Ⅰ+Ⅱ+Ⅲ)</t>
  </si>
  <si>
    <t>Ⅴ. 기초의 현금</t>
  </si>
  <si>
    <t>Ⅵ. 기말의 현금</t>
  </si>
  <si>
    <t>(단위 : 백만원)</t>
  </si>
  <si>
    <t>21. 자본금 및 자본잉여금</t>
  </si>
  <si>
    <t>(1) 당기말 현재 자본금의 내역은 다음과 같습니다.</t>
  </si>
  <si>
    <t>(단위: 원)</t>
  </si>
  <si>
    <t>수권주식수(주)</t>
  </si>
  <si>
    <t>발행주식수(주)</t>
  </si>
  <si>
    <t>1주당금액</t>
  </si>
  <si>
    <t>납입자본금</t>
  </si>
  <si>
    <t>보통주</t>
  </si>
  <si>
    <t>제1종 우선주(*)</t>
  </si>
  <si>
    <t>제2종 전환우선주(*)</t>
  </si>
  <si>
    <t>합계</t>
  </si>
  <si>
    <t>(*)당사가 발행한 우선주는 비참가적ㆍ비누적적 우선주로서 의결권이 제한되어 있으며, 제2종 전환우선주의 경우 주주의 전환요청에 따라 보통주 8주로 전환될 수 있습니다. 우선주의 연간 배당률은 액면가의 1%이상으로 하고 있습니다.</t>
  </si>
  <si>
    <t>(2) 당기 중 자본금의 변동내역은 다음과 같습니다.</t>
  </si>
  <si>
    <t>내역</t>
  </si>
  <si>
    <t>제1종 우선주</t>
  </si>
  <si>
    <t>제 2종 우선주</t>
  </si>
  <si>
    <t>주식수(주)</t>
  </si>
  <si>
    <t>금액</t>
  </si>
  <si>
    <t>기초금액</t>
  </si>
  <si>
    <t>유상감자(*1)</t>
  </si>
  <si>
    <t>유상증자(*2)</t>
  </si>
  <si>
    <t>무상증자(*3)</t>
  </si>
  <si>
    <t>무상감자(*3)</t>
  </si>
  <si>
    <t>기말금액</t>
  </si>
  <si>
    <t>(*1) 당사는 2009년 9월 17일자 이사회 결의에 따라 6,400,000주에 대하여 2009년 11월 10일자로 주당 67,923원의 유상감자를 실시하였습니다. 이러한 거래의 결과로 회사는 421,909백만원을 감자차손으로 반영하였습니다.</t>
  </si>
  <si>
    <t>(*2) 당사는 2009년 11월 12일자 이사회 결의에 따라 111,000주의 유상증자를 실시하였으며, 주당 발행가액은 20,000원입니다. 이러한 거래의 결과로 회사는 1,997백만원을 주식발행초과금으로 반영하였습니다.</t>
  </si>
  <si>
    <t>Ⅰ. 발행할 주식의 총수</t>
  </si>
  <si>
    <t>Ⅱ. 현재까지 발행한 주식의 총수</t>
  </si>
  <si>
    <t>Ⅲ. 현재까지 감소한 주식의 총수</t>
  </si>
  <si>
    <t>Ⅳ. 발행주식의 총수 (Ⅱ-Ⅲ)</t>
  </si>
  <si>
    <t>Ⅴ. 자기주식수</t>
  </si>
  <si>
    <t>Ⅵ. 유통주식수 (Ⅳ-Ⅴ)</t>
  </si>
  <si>
    <t>Enterprise value</t>
  </si>
  <si>
    <t>Equity value</t>
  </si>
  <si>
    <t>Shares outstanding</t>
  </si>
  <si>
    <t>Methodology</t>
  </si>
  <si>
    <t>Lower Value</t>
  </si>
  <si>
    <t>Column Value</t>
  </si>
  <si>
    <t>Upper Value</t>
  </si>
  <si>
    <t>LFY EV/EBITDA</t>
  </si>
  <si>
    <t>LFY EV/EBIT</t>
  </si>
  <si>
    <t>LFY P/E</t>
  </si>
  <si>
    <t>1 YR EV/EBITDA</t>
  </si>
  <si>
    <t>1 YR EV/EBIT</t>
  </si>
  <si>
    <t>1 YR P/E</t>
  </si>
  <si>
    <t>PEG</t>
  </si>
  <si>
    <t>Increase by:</t>
  </si>
  <si>
    <t>Capital IQ</t>
  </si>
  <si>
    <t>Assumption</t>
  </si>
  <si>
    <t>Mean (excl.OB)</t>
  </si>
  <si>
    <t>Market cap
(mm)</t>
  </si>
  <si>
    <t>LT growth 
rate</t>
  </si>
  <si>
    <t>OB맥주 – Trading Comps &gt;&gt;&gt;</t>
  </si>
  <si>
    <t>GW impairment</t>
  </si>
  <si>
    <t>Excluded nonoperating (expense) / income</t>
    <phoneticPr fontId="22" type="noConversion"/>
  </si>
  <si>
    <t>Excluded operating (expense) / income</t>
    <phoneticPr fontId="22" type="noConversion"/>
  </si>
  <si>
    <t>재무정보 요약</t>
  </si>
  <si>
    <t xml:space="preserve">결과 거래배수 </t>
  </si>
  <si>
    <t>Trading Comps Valuation</t>
  </si>
  <si>
    <t>Football field</t>
  </si>
  <si>
    <t>(bn KRW)</t>
  </si>
  <si>
    <t>(mm KRW)</t>
  </si>
  <si>
    <t>Market Capitalization in USD</t>
  </si>
  <si>
    <t>Last Fiscal Year (LTM)</t>
  </si>
  <si>
    <t>Comparable Company Analysis ("Trading Comps") - Input</t>
  </si>
  <si>
    <t>Comparable Company Analysis ("Trading Comps") - Output</t>
  </si>
  <si>
    <t>KKR 실제 딜 벨류 ~2.3조원</t>
  </si>
  <si>
    <t>Template:</t>
  </si>
  <si>
    <t>Standard</t>
  </si>
  <si>
    <t>Restatement:</t>
  </si>
  <si>
    <t>Latest Filings</t>
  </si>
  <si>
    <t>Period Type:</t>
  </si>
  <si>
    <t>Annual</t>
  </si>
  <si>
    <t>Order:</t>
  </si>
  <si>
    <t>Latest on Right</t>
  </si>
  <si>
    <t>Currency:</t>
  </si>
  <si>
    <t>Reported Currency</t>
  </si>
  <si>
    <t>Conversion:</t>
  </si>
  <si>
    <t>Historical</t>
  </si>
  <si>
    <t>Units:</t>
  </si>
  <si>
    <t>S&amp;P Capital IQ (Default)</t>
  </si>
  <si>
    <t>Decimals:</t>
  </si>
  <si>
    <t>Capital IQ (Default)</t>
  </si>
  <si>
    <t>Source:</t>
  </si>
  <si>
    <t>Capital IQ &amp; Proprietary Data</t>
  </si>
  <si>
    <t>No portion of this report may be reproduced, reused, or otherwise distributed in any form without prior written consent.</t>
  </si>
  <si>
    <t>이 파일은 대한민국 및 미국 저작권법의 보호를 받는 저작물 입니다.</t>
  </si>
  <si>
    <t>파일의 원 저자로부터 서면에 의한 허락없이 이 파일의 일부나 전체를 어떠한 형태로도 가공/배포할 수 없습니다.</t>
  </si>
  <si>
    <t>http://dart.fss.or.kr/dsaf001/main.do?rcpNo=20100331000603&amp;dcmNo=2586232</t>
    <phoneticPr fontId="22" type="noConversion"/>
  </si>
  <si>
    <r>
      <t>2009</t>
    </r>
    <r>
      <rPr>
        <b/>
        <sz val="8"/>
        <rFont val="맑은 고딕"/>
        <family val="3"/>
        <charset val="129"/>
      </rPr>
      <t>년</t>
    </r>
    <r>
      <rPr>
        <b/>
        <sz val="8"/>
        <rFont val="Arial"/>
        <family val="2"/>
      </rPr>
      <t xml:space="preserve"> </t>
    </r>
    <r>
      <rPr>
        <b/>
        <sz val="8"/>
        <rFont val="Arial Unicode MS"/>
        <family val="3"/>
        <charset val="129"/>
      </rPr>
      <t>연결</t>
    </r>
    <r>
      <rPr>
        <b/>
        <sz val="8"/>
        <rFont val="맑은 고딕"/>
        <family val="3"/>
        <charset val="129"/>
      </rPr>
      <t>감사보고서</t>
    </r>
    <phoneticPr fontId="22" type="noConversion"/>
  </si>
  <si>
    <r>
      <rPr>
        <sz val="8"/>
        <color indexed="8"/>
        <rFont val="굴림"/>
        <family val="3"/>
        <charset val="129"/>
      </rPr>
      <t>회사명</t>
    </r>
    <r>
      <rPr>
        <sz val="8"/>
        <color indexed="8"/>
        <rFont val="Arial"/>
        <family val="2"/>
      </rPr>
      <t xml:space="preserve"> : </t>
    </r>
    <r>
      <rPr>
        <sz val="8"/>
        <color indexed="8"/>
        <rFont val="굴림"/>
        <family val="3"/>
        <charset val="129"/>
      </rPr>
      <t>하이트맥주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주식회사와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그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종속회사</t>
    </r>
  </si>
  <si>
    <r>
      <t>(</t>
    </r>
    <r>
      <rPr>
        <sz val="8"/>
        <color indexed="8"/>
        <rFont val="굴림"/>
        <family val="3"/>
        <charset val="129"/>
      </rPr>
      <t>단위</t>
    </r>
    <r>
      <rPr>
        <sz val="8"/>
        <color indexed="8"/>
        <rFont val="Arial"/>
        <family val="2"/>
      </rPr>
      <t xml:space="preserve"> : </t>
    </r>
    <r>
      <rPr>
        <sz val="8"/>
        <color indexed="8"/>
        <rFont val="굴림"/>
        <family val="3"/>
        <charset val="129"/>
      </rPr>
      <t>원</t>
    </r>
    <r>
      <rPr>
        <sz val="8"/>
        <color indexed="8"/>
        <rFont val="Arial"/>
        <family val="2"/>
      </rPr>
      <t>)</t>
    </r>
  </si>
  <si>
    <r>
      <rPr>
        <sz val="8"/>
        <color indexed="8"/>
        <rFont val="굴림"/>
        <family val="3"/>
        <charset val="129"/>
      </rPr>
      <t>제</t>
    </r>
    <r>
      <rPr>
        <sz val="8"/>
        <color indexed="8"/>
        <rFont val="Arial"/>
        <family val="2"/>
      </rPr>
      <t xml:space="preserve"> 2(</t>
    </r>
    <r>
      <rPr>
        <sz val="8"/>
        <color indexed="8"/>
        <rFont val="굴림"/>
        <family val="3"/>
        <charset val="129"/>
      </rPr>
      <t>당</t>
    </r>
    <r>
      <rPr>
        <sz val="8"/>
        <color indexed="8"/>
        <rFont val="Arial"/>
        <family val="2"/>
      </rPr>
      <t xml:space="preserve">) </t>
    </r>
    <r>
      <rPr>
        <sz val="8"/>
        <color indexed="8"/>
        <rFont val="굴림"/>
        <family val="3"/>
        <charset val="129"/>
      </rPr>
      <t>기</t>
    </r>
  </si>
  <si>
    <r>
      <t>I.</t>
    </r>
    <r>
      <rPr>
        <sz val="8"/>
        <color indexed="8"/>
        <rFont val="굴림"/>
        <family val="3"/>
        <charset val="129"/>
      </rPr>
      <t>유동자산</t>
    </r>
  </si>
  <si>
    <r>
      <t>(1)</t>
    </r>
    <r>
      <rPr>
        <sz val="8"/>
        <color indexed="8"/>
        <rFont val="굴림"/>
        <family val="3"/>
        <charset val="129"/>
      </rPr>
      <t>당좌자산</t>
    </r>
  </si>
  <si>
    <r>
      <rPr>
        <sz val="8"/>
        <color indexed="8"/>
        <rFont val="굴림"/>
        <family val="3"/>
        <charset val="129"/>
      </rPr>
      <t>미수수익</t>
    </r>
  </si>
  <si>
    <r>
      <rPr>
        <sz val="8"/>
        <color indexed="8"/>
        <rFont val="굴림"/>
        <family val="3"/>
        <charset val="129"/>
      </rPr>
      <t>선급금</t>
    </r>
  </si>
  <si>
    <r>
      <rPr>
        <sz val="8"/>
        <color indexed="8"/>
        <rFont val="굴림"/>
        <family val="3"/>
        <charset val="129"/>
      </rPr>
      <t>선급비용</t>
    </r>
  </si>
  <si>
    <r>
      <rPr>
        <sz val="8"/>
        <color indexed="8"/>
        <rFont val="굴림"/>
        <family val="3"/>
        <charset val="129"/>
      </rPr>
      <t>제품</t>
    </r>
  </si>
  <si>
    <r>
      <rPr>
        <sz val="8"/>
        <color indexed="8"/>
        <rFont val="굴림"/>
        <family val="3"/>
        <charset val="129"/>
      </rPr>
      <t>재공품</t>
    </r>
  </si>
  <si>
    <r>
      <rPr>
        <sz val="8"/>
        <color indexed="8"/>
        <rFont val="굴림"/>
        <family val="3"/>
        <charset val="129"/>
      </rPr>
      <t>원재료</t>
    </r>
  </si>
  <si>
    <r>
      <rPr>
        <sz val="8"/>
        <color indexed="8"/>
        <rFont val="굴림"/>
        <family val="3"/>
        <charset val="129"/>
      </rPr>
      <t>저장품</t>
    </r>
  </si>
  <si>
    <r>
      <rPr>
        <sz val="8"/>
        <color indexed="8"/>
        <rFont val="굴림"/>
        <family val="3"/>
        <charset val="129"/>
      </rPr>
      <t>상품</t>
    </r>
  </si>
  <si>
    <r>
      <rPr>
        <sz val="8"/>
        <color indexed="8"/>
        <rFont val="굴림"/>
        <family val="3"/>
        <charset val="129"/>
      </rPr>
      <t>미착품</t>
    </r>
  </si>
  <si>
    <r>
      <t>II.</t>
    </r>
    <r>
      <rPr>
        <sz val="8"/>
        <color indexed="8"/>
        <rFont val="굴림"/>
        <family val="3"/>
        <charset val="129"/>
      </rPr>
      <t>비유동자산</t>
    </r>
  </si>
  <si>
    <r>
      <t>(1)</t>
    </r>
    <r>
      <rPr>
        <sz val="8"/>
        <color indexed="8"/>
        <rFont val="굴림"/>
        <family val="3"/>
        <charset val="129"/>
      </rPr>
      <t>투자자산</t>
    </r>
  </si>
  <si>
    <r>
      <rPr>
        <sz val="8"/>
        <color indexed="8"/>
        <rFont val="굴림"/>
        <family val="3"/>
        <charset val="129"/>
      </rPr>
      <t>토지</t>
    </r>
  </si>
  <si>
    <r>
      <rPr>
        <sz val="8"/>
        <color indexed="8"/>
        <rFont val="굴림"/>
        <family val="3"/>
        <charset val="129"/>
      </rPr>
      <t>설비자산</t>
    </r>
  </si>
  <si>
    <r>
      <rPr>
        <sz val="8"/>
        <color indexed="8"/>
        <rFont val="굴림"/>
        <family val="3"/>
        <charset val="129"/>
      </rPr>
      <t>건설중인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자산</t>
    </r>
  </si>
  <si>
    <r>
      <rPr>
        <sz val="8"/>
        <color indexed="8"/>
        <rFont val="굴림"/>
        <family val="3"/>
        <charset val="129"/>
      </rPr>
      <t>영업권</t>
    </r>
  </si>
  <si>
    <r>
      <rPr>
        <sz val="8"/>
        <color indexed="8"/>
        <rFont val="굴림"/>
        <family val="3"/>
        <charset val="129"/>
      </rPr>
      <t>기타의무형자산</t>
    </r>
  </si>
  <si>
    <r>
      <t>(4)</t>
    </r>
    <r>
      <rPr>
        <sz val="8"/>
        <color indexed="8"/>
        <rFont val="굴림"/>
        <family val="3"/>
        <charset val="129"/>
      </rPr>
      <t>기타비유동자산</t>
    </r>
  </si>
  <si>
    <r>
      <t>I.</t>
    </r>
    <r>
      <rPr>
        <sz val="8"/>
        <color indexed="8"/>
        <rFont val="굴림"/>
        <family val="3"/>
        <charset val="129"/>
      </rPr>
      <t>유동부채</t>
    </r>
  </si>
  <si>
    <r>
      <rPr>
        <sz val="8"/>
        <color indexed="8"/>
        <rFont val="굴림"/>
        <family val="3"/>
        <charset val="129"/>
      </rPr>
      <t>예수금</t>
    </r>
  </si>
  <si>
    <r>
      <rPr>
        <sz val="8"/>
        <color indexed="8"/>
        <rFont val="굴림"/>
        <family val="3"/>
        <charset val="129"/>
      </rPr>
      <t>미지급비용</t>
    </r>
  </si>
  <si>
    <r>
      <rPr>
        <sz val="8"/>
        <color indexed="8"/>
        <rFont val="굴림"/>
        <family val="3"/>
        <charset val="129"/>
      </rPr>
      <t>미지급법인세</t>
    </r>
  </si>
  <si>
    <r>
      <rPr>
        <sz val="8"/>
        <color indexed="8"/>
        <rFont val="굴림"/>
        <family val="3"/>
        <charset val="129"/>
      </rPr>
      <t>선수금</t>
    </r>
  </si>
  <si>
    <r>
      <t>II.</t>
    </r>
    <r>
      <rPr>
        <sz val="8"/>
        <color indexed="8"/>
        <rFont val="굴림"/>
        <family val="3"/>
        <charset val="129"/>
      </rPr>
      <t>비유동부채</t>
    </r>
  </si>
  <si>
    <r>
      <t>I.</t>
    </r>
    <r>
      <rPr>
        <sz val="8"/>
        <color indexed="8"/>
        <rFont val="굴림"/>
        <family val="3"/>
        <charset val="129"/>
      </rPr>
      <t>지배회사지분</t>
    </r>
  </si>
  <si>
    <r>
      <rPr>
        <sz val="8"/>
        <color indexed="8"/>
        <rFont val="굴림"/>
        <family val="3"/>
        <charset val="129"/>
      </rPr>
      <t>보통주자본금</t>
    </r>
  </si>
  <si>
    <r>
      <rPr>
        <sz val="8"/>
        <color indexed="8"/>
        <rFont val="굴림"/>
        <family val="3"/>
        <charset val="129"/>
      </rPr>
      <t>우선주자본금</t>
    </r>
  </si>
  <si>
    <r>
      <t>(2)</t>
    </r>
    <r>
      <rPr>
        <sz val="8"/>
        <color indexed="8"/>
        <rFont val="굴림"/>
        <family val="3"/>
        <charset val="129"/>
      </rPr>
      <t>연결자본잉여금</t>
    </r>
  </si>
  <si>
    <r>
      <rPr>
        <sz val="8"/>
        <color indexed="8"/>
        <rFont val="굴림"/>
        <family val="3"/>
        <charset val="129"/>
      </rPr>
      <t>주식발행초과금</t>
    </r>
  </si>
  <si>
    <r>
      <t>(3)</t>
    </r>
    <r>
      <rPr>
        <sz val="8"/>
        <color indexed="8"/>
        <rFont val="굴림"/>
        <family val="3"/>
        <charset val="129"/>
      </rPr>
      <t>연결자본조정</t>
    </r>
  </si>
  <si>
    <r>
      <rPr>
        <sz val="8"/>
        <color indexed="8"/>
        <rFont val="굴림"/>
        <family val="3"/>
        <charset val="129"/>
      </rPr>
      <t>매도가능증권평가이익</t>
    </r>
  </si>
  <si>
    <r>
      <rPr>
        <sz val="8"/>
        <color indexed="8"/>
        <rFont val="굴림"/>
        <family val="3"/>
        <charset val="129"/>
      </rPr>
      <t>법정적립금</t>
    </r>
  </si>
  <si>
    <r>
      <rPr>
        <sz val="8"/>
        <color indexed="8"/>
        <rFont val="굴림"/>
        <family val="3"/>
        <charset val="129"/>
      </rPr>
      <t>임의적립금</t>
    </r>
  </si>
  <si>
    <r>
      <rPr>
        <sz val="8"/>
        <color indexed="8"/>
        <rFont val="굴림"/>
        <family val="3"/>
        <charset val="129"/>
      </rPr>
      <t>미처분이익잉여금</t>
    </r>
  </si>
  <si>
    <r>
      <t>II.</t>
    </r>
    <r>
      <rPr>
        <sz val="8"/>
        <color indexed="8"/>
        <rFont val="굴림"/>
        <family val="3"/>
        <charset val="129"/>
      </rPr>
      <t>소수주주지분</t>
    </r>
  </si>
  <si>
    <r>
      <t>1.</t>
    </r>
    <r>
      <rPr>
        <sz val="8"/>
        <color indexed="8"/>
        <rFont val="굴림"/>
        <family val="3"/>
        <charset val="129"/>
      </rPr>
      <t>총매출액</t>
    </r>
  </si>
  <si>
    <r>
      <rPr>
        <sz val="8"/>
        <color indexed="8"/>
        <rFont val="굴림"/>
        <family val="3"/>
        <charset val="129"/>
      </rPr>
      <t>가</t>
    </r>
    <r>
      <rPr>
        <sz val="8"/>
        <color indexed="8"/>
        <rFont val="Arial"/>
        <family val="2"/>
      </rPr>
      <t>.</t>
    </r>
    <r>
      <rPr>
        <sz val="8"/>
        <color indexed="8"/>
        <rFont val="굴림"/>
        <family val="3"/>
        <charset val="129"/>
      </rPr>
      <t>주류매출액</t>
    </r>
  </si>
  <si>
    <r>
      <rPr>
        <sz val="8"/>
        <color indexed="8"/>
        <rFont val="굴림"/>
        <family val="3"/>
        <charset val="129"/>
      </rPr>
      <t>나</t>
    </r>
    <r>
      <rPr>
        <sz val="8"/>
        <color indexed="8"/>
        <rFont val="Arial"/>
        <family val="2"/>
      </rPr>
      <t>.</t>
    </r>
    <r>
      <rPr>
        <sz val="8"/>
        <color indexed="8"/>
        <rFont val="굴림"/>
        <family val="3"/>
        <charset val="129"/>
      </rPr>
      <t>기타매출액</t>
    </r>
  </si>
  <si>
    <r>
      <t>2.</t>
    </r>
    <r>
      <rPr>
        <sz val="8"/>
        <color indexed="8"/>
        <rFont val="굴림"/>
        <family val="3"/>
        <charset val="129"/>
      </rPr>
      <t>주세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등</t>
    </r>
  </si>
  <si>
    <r>
      <rPr>
        <sz val="8"/>
        <color indexed="8"/>
        <rFont val="굴림"/>
        <family val="3"/>
        <charset val="129"/>
      </rPr>
      <t>기초상품및제품재고액</t>
    </r>
  </si>
  <si>
    <r>
      <rPr>
        <sz val="8"/>
        <color indexed="8"/>
        <rFont val="굴림"/>
        <family val="3"/>
        <charset val="129"/>
      </rPr>
      <t>당기제품제조원가</t>
    </r>
  </si>
  <si>
    <r>
      <rPr>
        <sz val="8"/>
        <color indexed="8"/>
        <rFont val="굴림"/>
        <family val="3"/>
        <charset val="129"/>
      </rPr>
      <t>당기상품매입액</t>
    </r>
  </si>
  <si>
    <r>
      <rPr>
        <sz val="8"/>
        <color indexed="8"/>
        <rFont val="굴림"/>
        <family val="3"/>
        <charset val="129"/>
      </rPr>
      <t>관세환급금</t>
    </r>
  </si>
  <si>
    <r>
      <rPr>
        <sz val="8"/>
        <color indexed="8"/>
        <rFont val="굴림"/>
        <family val="3"/>
        <charset val="129"/>
      </rPr>
      <t>타계정으로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대체액</t>
    </r>
  </si>
  <si>
    <r>
      <rPr>
        <sz val="8"/>
        <color indexed="8"/>
        <rFont val="굴림"/>
        <family val="3"/>
        <charset val="129"/>
      </rPr>
      <t>기말상품및제품재고액</t>
    </r>
  </si>
  <si>
    <r>
      <t>III.</t>
    </r>
    <r>
      <rPr>
        <sz val="8"/>
        <color indexed="8"/>
        <rFont val="굴림"/>
        <family val="3"/>
        <charset val="129"/>
      </rPr>
      <t>매출총이익</t>
    </r>
  </si>
  <si>
    <r>
      <rPr>
        <sz val="8"/>
        <color indexed="8"/>
        <rFont val="굴림"/>
        <family val="3"/>
        <charset val="129"/>
      </rPr>
      <t>퇴직급여</t>
    </r>
  </si>
  <si>
    <r>
      <rPr>
        <sz val="8"/>
        <color indexed="8"/>
        <rFont val="굴림"/>
        <family val="3"/>
        <charset val="129"/>
      </rPr>
      <t>교육훈련비</t>
    </r>
  </si>
  <si>
    <r>
      <rPr>
        <sz val="8"/>
        <color indexed="8"/>
        <rFont val="굴림"/>
        <family val="3"/>
        <charset val="129"/>
      </rPr>
      <t>여비교통비</t>
    </r>
  </si>
  <si>
    <r>
      <rPr>
        <sz val="8"/>
        <color indexed="8"/>
        <rFont val="굴림"/>
        <family val="3"/>
        <charset val="129"/>
      </rPr>
      <t>차량유지비</t>
    </r>
  </si>
  <si>
    <r>
      <rPr>
        <sz val="8"/>
        <color indexed="8"/>
        <rFont val="굴림"/>
        <family val="3"/>
        <charset val="129"/>
      </rPr>
      <t>통신비</t>
    </r>
  </si>
  <si>
    <r>
      <rPr>
        <sz val="8"/>
        <color indexed="8"/>
        <rFont val="굴림"/>
        <family val="3"/>
        <charset val="129"/>
      </rPr>
      <t>도서비</t>
    </r>
  </si>
  <si>
    <r>
      <rPr>
        <sz val="8"/>
        <color indexed="8"/>
        <rFont val="굴림"/>
        <family val="3"/>
        <charset val="129"/>
      </rPr>
      <t>소모품비</t>
    </r>
  </si>
  <si>
    <r>
      <rPr>
        <sz val="8"/>
        <color indexed="8"/>
        <rFont val="굴림"/>
        <family val="3"/>
        <charset val="129"/>
      </rPr>
      <t>수도광열비</t>
    </r>
  </si>
  <si>
    <r>
      <rPr>
        <sz val="8"/>
        <color indexed="8"/>
        <rFont val="굴림"/>
        <family val="3"/>
        <charset val="129"/>
      </rPr>
      <t>세금과공과</t>
    </r>
  </si>
  <si>
    <r>
      <rPr>
        <sz val="8"/>
        <color indexed="8"/>
        <rFont val="굴림"/>
        <family val="3"/>
        <charset val="129"/>
      </rPr>
      <t>감가상각비</t>
    </r>
  </si>
  <si>
    <r>
      <rPr>
        <sz val="8"/>
        <color indexed="8"/>
        <rFont val="굴림"/>
        <family val="3"/>
        <charset val="129"/>
      </rPr>
      <t>수선비</t>
    </r>
  </si>
  <si>
    <r>
      <rPr>
        <sz val="8"/>
        <color indexed="8"/>
        <rFont val="굴림"/>
        <family val="3"/>
        <charset val="129"/>
      </rPr>
      <t>보험료</t>
    </r>
  </si>
  <si>
    <r>
      <rPr>
        <sz val="8"/>
        <color indexed="8"/>
        <rFont val="굴림"/>
        <family val="3"/>
        <charset val="129"/>
      </rPr>
      <t>접대비</t>
    </r>
  </si>
  <si>
    <r>
      <rPr>
        <sz val="8"/>
        <color indexed="8"/>
        <rFont val="굴림"/>
        <family val="3"/>
        <charset val="129"/>
      </rPr>
      <t>판매촉진비</t>
    </r>
  </si>
  <si>
    <r>
      <rPr>
        <sz val="8"/>
        <color indexed="8"/>
        <rFont val="굴림"/>
        <family val="3"/>
        <charset val="129"/>
      </rPr>
      <t>시장조사비</t>
    </r>
  </si>
  <si>
    <r>
      <rPr>
        <sz val="8"/>
        <color indexed="8"/>
        <rFont val="굴림"/>
        <family val="3"/>
        <charset val="129"/>
      </rPr>
      <t>시장개척비</t>
    </r>
  </si>
  <si>
    <r>
      <rPr>
        <sz val="8"/>
        <color indexed="8"/>
        <rFont val="굴림"/>
        <family val="3"/>
        <charset val="129"/>
      </rPr>
      <t>무형자산상각비</t>
    </r>
  </si>
  <si>
    <r>
      <rPr>
        <sz val="8"/>
        <color indexed="8"/>
        <rFont val="굴림"/>
        <family val="3"/>
        <charset val="129"/>
      </rPr>
      <t>용역비</t>
    </r>
  </si>
  <si>
    <r>
      <rPr>
        <sz val="8"/>
        <color indexed="8"/>
        <rFont val="굴림"/>
        <family val="3"/>
        <charset val="129"/>
      </rPr>
      <t>잡비</t>
    </r>
  </si>
  <si>
    <r>
      <t>V.</t>
    </r>
    <r>
      <rPr>
        <sz val="8"/>
        <color indexed="8"/>
        <rFont val="굴림"/>
        <family val="3"/>
        <charset val="129"/>
      </rPr>
      <t>영업이익</t>
    </r>
  </si>
  <si>
    <r>
      <t>VI.</t>
    </r>
    <r>
      <rPr>
        <sz val="8"/>
        <color indexed="8"/>
        <rFont val="굴림"/>
        <family val="3"/>
        <charset val="129"/>
      </rPr>
      <t>영업외수익</t>
    </r>
  </si>
  <si>
    <r>
      <rPr>
        <sz val="8"/>
        <color indexed="8"/>
        <rFont val="굴림"/>
        <family val="3"/>
        <charset val="129"/>
      </rPr>
      <t>외환차익</t>
    </r>
  </si>
  <si>
    <r>
      <rPr>
        <sz val="8"/>
        <color indexed="8"/>
        <rFont val="굴림"/>
        <family val="3"/>
        <charset val="129"/>
      </rPr>
      <t>외화환산이익</t>
    </r>
  </si>
  <si>
    <r>
      <rPr>
        <sz val="8"/>
        <color indexed="8"/>
        <rFont val="굴림"/>
        <family val="3"/>
        <charset val="129"/>
      </rPr>
      <t>유형자산처분이익</t>
    </r>
  </si>
  <si>
    <r>
      <rPr>
        <sz val="8"/>
        <color indexed="8"/>
        <rFont val="굴림"/>
        <family val="3"/>
        <charset val="129"/>
      </rPr>
      <t>잡이익</t>
    </r>
  </si>
  <si>
    <r>
      <t>VII.</t>
    </r>
    <r>
      <rPr>
        <sz val="8"/>
        <color indexed="8"/>
        <rFont val="굴림"/>
        <family val="3"/>
        <charset val="129"/>
      </rPr>
      <t>영업외비용</t>
    </r>
  </si>
  <si>
    <r>
      <rPr>
        <sz val="8"/>
        <color indexed="8"/>
        <rFont val="굴림"/>
        <family val="3"/>
        <charset val="129"/>
      </rPr>
      <t>이자비용</t>
    </r>
  </si>
  <si>
    <r>
      <rPr>
        <sz val="8"/>
        <color indexed="8"/>
        <rFont val="굴림"/>
        <family val="3"/>
        <charset val="129"/>
      </rPr>
      <t>외환차손</t>
    </r>
  </si>
  <si>
    <r>
      <rPr>
        <sz val="8"/>
        <color indexed="8"/>
        <rFont val="굴림"/>
        <family val="3"/>
        <charset val="129"/>
      </rPr>
      <t>외화환산손실</t>
    </r>
  </si>
  <si>
    <r>
      <rPr>
        <sz val="8"/>
        <color indexed="8"/>
        <rFont val="굴림"/>
        <family val="3"/>
        <charset val="129"/>
      </rPr>
      <t>유형자산처분손실</t>
    </r>
  </si>
  <si>
    <r>
      <rPr>
        <sz val="8"/>
        <color indexed="8"/>
        <rFont val="굴림"/>
        <family val="3"/>
        <charset val="129"/>
      </rPr>
      <t>잡손실</t>
    </r>
  </si>
  <si>
    <r>
      <t>VIII.</t>
    </r>
    <r>
      <rPr>
        <sz val="8"/>
        <color indexed="8"/>
        <rFont val="굴림"/>
        <family val="3"/>
        <charset val="129"/>
      </rPr>
      <t>법인세비용차감전순이익</t>
    </r>
  </si>
  <si>
    <r>
      <t>X.</t>
    </r>
    <r>
      <rPr>
        <sz val="8"/>
        <color indexed="8"/>
        <rFont val="굴림"/>
        <family val="3"/>
        <charset val="129"/>
      </rPr>
      <t>종속회사의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매수일전순이익</t>
    </r>
  </si>
  <si>
    <r>
      <t>XI.</t>
    </r>
    <r>
      <rPr>
        <sz val="8"/>
        <color indexed="8"/>
        <rFont val="굴림"/>
        <family val="3"/>
        <charset val="129"/>
      </rPr>
      <t>당기순이익</t>
    </r>
  </si>
  <si>
    <r>
      <rPr>
        <sz val="8"/>
        <color indexed="8"/>
        <rFont val="굴림"/>
        <family val="3"/>
        <charset val="129"/>
      </rPr>
      <t>지배회사지분순이익</t>
    </r>
  </si>
  <si>
    <r>
      <rPr>
        <sz val="8"/>
        <color indexed="8"/>
        <rFont val="굴림"/>
        <family val="3"/>
        <charset val="129"/>
      </rPr>
      <t>소수주주지분순이익</t>
    </r>
  </si>
  <si>
    <r>
      <rPr>
        <sz val="8"/>
        <color indexed="8"/>
        <rFont val="굴림"/>
        <family val="3"/>
        <charset val="129"/>
      </rPr>
      <t>기본주당순이익</t>
    </r>
  </si>
  <si>
    <r>
      <rPr>
        <sz val="8"/>
        <color indexed="8"/>
        <rFont val="굴림"/>
        <family val="3"/>
        <charset val="129"/>
      </rPr>
      <t>희석주당순이익</t>
    </r>
  </si>
  <si>
    <r>
      <t>I.</t>
    </r>
    <r>
      <rPr>
        <sz val="8"/>
        <color indexed="8"/>
        <rFont val="굴림"/>
        <family val="3"/>
        <charset val="129"/>
      </rPr>
      <t>영업활동으로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인한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현금흐름</t>
    </r>
  </si>
  <si>
    <r>
      <t>1.</t>
    </r>
    <r>
      <rPr>
        <sz val="8"/>
        <color indexed="8"/>
        <rFont val="굴림"/>
        <family val="3"/>
        <charset val="129"/>
      </rPr>
      <t>당기순이익</t>
    </r>
  </si>
  <si>
    <r>
      <t>2.</t>
    </r>
    <r>
      <rPr>
        <sz val="8"/>
        <color indexed="8"/>
        <rFont val="굴림"/>
        <family val="3"/>
        <charset val="129"/>
      </rPr>
      <t>현금의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유출이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없는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비용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등의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가산</t>
    </r>
  </si>
  <si>
    <r>
      <rPr>
        <sz val="8"/>
        <color indexed="8"/>
        <rFont val="굴림"/>
        <family val="3"/>
        <charset val="129"/>
      </rPr>
      <t>대손상각비</t>
    </r>
  </si>
  <si>
    <r>
      <rPr>
        <sz val="8"/>
        <color indexed="8"/>
        <rFont val="굴림"/>
        <family val="3"/>
        <charset val="129"/>
      </rPr>
      <t>이자비용</t>
    </r>
    <r>
      <rPr>
        <sz val="8"/>
        <color indexed="8"/>
        <rFont val="Arial"/>
        <family val="2"/>
      </rPr>
      <t>(</t>
    </r>
    <r>
      <rPr>
        <sz val="8"/>
        <color indexed="8"/>
        <rFont val="굴림"/>
        <family val="3"/>
        <charset val="129"/>
      </rPr>
      <t>사채할인발행차금상각</t>
    </r>
    <r>
      <rPr>
        <sz val="8"/>
        <color indexed="8"/>
        <rFont val="Arial"/>
        <family val="2"/>
      </rPr>
      <t>)</t>
    </r>
  </si>
  <si>
    <r>
      <rPr>
        <sz val="8"/>
        <color indexed="8"/>
        <rFont val="굴림"/>
        <family val="3"/>
        <charset val="129"/>
      </rPr>
      <t>파생상품거래손실</t>
    </r>
  </si>
  <si>
    <r>
      <rPr>
        <sz val="8"/>
        <color indexed="8"/>
        <rFont val="굴림"/>
        <family val="3"/>
        <charset val="129"/>
      </rPr>
      <t>파생상품평가손실</t>
    </r>
  </si>
  <si>
    <r>
      <rPr>
        <sz val="8"/>
        <color indexed="8"/>
        <rFont val="굴림"/>
        <family val="3"/>
        <charset val="129"/>
      </rPr>
      <t>토지재평가손실</t>
    </r>
  </si>
  <si>
    <r>
      <rPr>
        <sz val="8"/>
        <color indexed="8"/>
        <rFont val="굴림"/>
        <family val="3"/>
        <charset val="129"/>
      </rPr>
      <t>건설중인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자산의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비용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대체</t>
    </r>
  </si>
  <si>
    <r>
      <rPr>
        <sz val="8"/>
        <color indexed="8"/>
        <rFont val="굴림"/>
        <family val="3"/>
        <charset val="129"/>
      </rPr>
      <t>종속회사의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매수일전순이익</t>
    </r>
  </si>
  <si>
    <r>
      <t>3.</t>
    </r>
    <r>
      <rPr>
        <sz val="8"/>
        <color indexed="8"/>
        <rFont val="굴림"/>
        <family val="3"/>
        <charset val="129"/>
      </rPr>
      <t>현금의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유입이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없는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수익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등의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차감</t>
    </r>
  </si>
  <si>
    <r>
      <rPr>
        <sz val="8"/>
        <color indexed="8"/>
        <rFont val="굴림"/>
        <family val="3"/>
        <charset val="129"/>
      </rPr>
      <t>이자수익</t>
    </r>
    <r>
      <rPr>
        <sz val="8"/>
        <color indexed="8"/>
        <rFont val="Arial"/>
        <family val="2"/>
      </rPr>
      <t>(</t>
    </r>
    <r>
      <rPr>
        <sz val="8"/>
        <color indexed="8"/>
        <rFont val="굴림"/>
        <family val="3"/>
        <charset val="129"/>
      </rPr>
      <t>현재가치할인차금상각</t>
    </r>
    <r>
      <rPr>
        <sz val="8"/>
        <color indexed="8"/>
        <rFont val="Arial"/>
        <family val="2"/>
      </rPr>
      <t>)</t>
    </r>
  </si>
  <si>
    <r>
      <t>4.</t>
    </r>
    <r>
      <rPr>
        <sz val="8"/>
        <color indexed="8"/>
        <rFont val="굴림"/>
        <family val="3"/>
        <charset val="129"/>
      </rPr>
      <t>영업활동으로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인한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자산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부채의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변동</t>
    </r>
  </si>
  <si>
    <r>
      <rPr>
        <sz val="8"/>
        <color indexed="8"/>
        <rFont val="굴림"/>
        <family val="3"/>
        <charset val="129"/>
      </rPr>
      <t>매출채권</t>
    </r>
  </si>
  <si>
    <r>
      <rPr>
        <sz val="8"/>
        <color indexed="8"/>
        <rFont val="굴림"/>
        <family val="3"/>
        <charset val="129"/>
      </rPr>
      <t>미수금</t>
    </r>
  </si>
  <si>
    <r>
      <rPr>
        <sz val="8"/>
        <color indexed="8"/>
        <rFont val="굴림"/>
        <family val="3"/>
        <charset val="129"/>
      </rPr>
      <t>유동성이연법인세자산</t>
    </r>
  </si>
  <si>
    <r>
      <rPr>
        <sz val="8"/>
        <color indexed="8"/>
        <rFont val="굴림"/>
        <family val="3"/>
        <charset val="129"/>
      </rPr>
      <t>재고자산</t>
    </r>
  </si>
  <si>
    <r>
      <rPr>
        <sz val="8"/>
        <color indexed="8"/>
        <rFont val="굴림"/>
        <family val="3"/>
        <charset val="129"/>
      </rPr>
      <t>보증금</t>
    </r>
  </si>
  <si>
    <r>
      <rPr>
        <sz val="8"/>
        <color indexed="8"/>
        <rFont val="굴림"/>
        <family val="3"/>
        <charset val="129"/>
      </rPr>
      <t>기타의비유동자산</t>
    </r>
  </si>
  <si>
    <r>
      <rPr>
        <sz val="8"/>
        <color indexed="8"/>
        <rFont val="굴림"/>
        <family val="3"/>
        <charset val="129"/>
      </rPr>
      <t>비유동성이연법인세자산</t>
    </r>
  </si>
  <si>
    <r>
      <rPr>
        <sz val="8"/>
        <color indexed="8"/>
        <rFont val="굴림"/>
        <family val="3"/>
        <charset val="129"/>
      </rPr>
      <t>매입채무</t>
    </r>
  </si>
  <si>
    <r>
      <rPr>
        <sz val="8"/>
        <color indexed="8"/>
        <rFont val="굴림"/>
        <family val="3"/>
        <charset val="129"/>
      </rPr>
      <t>미지급금</t>
    </r>
  </si>
  <si>
    <r>
      <rPr>
        <sz val="8"/>
        <color indexed="8"/>
        <rFont val="굴림"/>
        <family val="3"/>
        <charset val="129"/>
      </rPr>
      <t>선수수익</t>
    </r>
  </si>
  <si>
    <r>
      <rPr>
        <sz val="8"/>
        <color indexed="8"/>
        <rFont val="굴림"/>
        <family val="3"/>
        <charset val="129"/>
      </rPr>
      <t>임대보증금</t>
    </r>
  </si>
  <si>
    <r>
      <rPr>
        <sz val="8"/>
        <color indexed="8"/>
        <rFont val="굴림"/>
        <family val="3"/>
        <charset val="129"/>
      </rPr>
      <t>퇴직금의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지급</t>
    </r>
  </si>
  <si>
    <r>
      <rPr>
        <sz val="8"/>
        <color indexed="8"/>
        <rFont val="굴림"/>
        <family val="3"/>
        <charset val="129"/>
      </rPr>
      <t>퇴직보험예치금</t>
    </r>
  </si>
  <si>
    <r>
      <rPr>
        <sz val="8"/>
        <color indexed="8"/>
        <rFont val="굴림"/>
        <family val="3"/>
        <charset val="129"/>
      </rPr>
      <t>퇴직연금운용자산</t>
    </r>
  </si>
  <si>
    <r>
      <rPr>
        <sz val="8"/>
        <color indexed="8"/>
        <rFont val="굴림"/>
        <family val="3"/>
        <charset val="129"/>
      </rPr>
      <t>국민연금전환금</t>
    </r>
  </si>
  <si>
    <r>
      <rPr>
        <sz val="8"/>
        <color indexed="8"/>
        <rFont val="굴림"/>
        <family val="3"/>
        <charset val="129"/>
      </rPr>
      <t>비유동성이연법인세부채</t>
    </r>
  </si>
  <si>
    <r>
      <t>II.</t>
    </r>
    <r>
      <rPr>
        <sz val="8"/>
        <color indexed="8"/>
        <rFont val="굴림"/>
        <family val="3"/>
        <charset val="129"/>
      </rPr>
      <t>투자활동으로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인한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현금흐름</t>
    </r>
  </si>
  <si>
    <r>
      <t>1.</t>
    </r>
    <r>
      <rPr>
        <sz val="8"/>
        <color indexed="8"/>
        <rFont val="굴림"/>
        <family val="3"/>
        <charset val="129"/>
      </rPr>
      <t>투자활동으로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인한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현금유입액</t>
    </r>
  </si>
  <si>
    <r>
      <rPr>
        <sz val="8"/>
        <color indexed="8"/>
        <rFont val="굴림"/>
        <family val="3"/>
        <charset val="129"/>
      </rPr>
      <t>단기투자자산의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감소</t>
    </r>
  </si>
  <si>
    <r>
      <rPr>
        <sz val="8"/>
        <color indexed="8"/>
        <rFont val="굴림"/>
        <family val="3"/>
        <charset val="129"/>
      </rPr>
      <t>장기대여금의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감소</t>
    </r>
  </si>
  <si>
    <r>
      <rPr>
        <sz val="8"/>
        <color indexed="8"/>
        <rFont val="굴림"/>
        <family val="3"/>
        <charset val="129"/>
      </rPr>
      <t>토지의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처분</t>
    </r>
  </si>
  <si>
    <r>
      <rPr>
        <sz val="8"/>
        <color indexed="8"/>
        <rFont val="굴림"/>
        <family val="3"/>
        <charset val="129"/>
      </rPr>
      <t>설비자산의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처분</t>
    </r>
  </si>
  <si>
    <r>
      <t>2.</t>
    </r>
    <r>
      <rPr>
        <sz val="8"/>
        <color indexed="8"/>
        <rFont val="굴림"/>
        <family val="3"/>
        <charset val="129"/>
      </rPr>
      <t>투자활동으로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인한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현금유출액</t>
    </r>
  </si>
  <si>
    <r>
      <rPr>
        <sz val="8"/>
        <color indexed="8"/>
        <rFont val="굴림"/>
        <family val="3"/>
        <charset val="129"/>
      </rPr>
      <t>장기금융상품의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증가</t>
    </r>
  </si>
  <si>
    <r>
      <rPr>
        <sz val="8"/>
        <color indexed="8"/>
        <rFont val="굴림"/>
        <family val="3"/>
        <charset val="129"/>
      </rPr>
      <t>매도가능증권의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취득</t>
    </r>
  </si>
  <si>
    <r>
      <rPr>
        <sz val="8"/>
        <color indexed="8"/>
        <rFont val="굴림"/>
        <family val="3"/>
        <charset val="129"/>
      </rPr>
      <t>종속회사주식의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취득</t>
    </r>
  </si>
  <si>
    <r>
      <rPr>
        <sz val="8"/>
        <color indexed="8"/>
        <rFont val="굴림"/>
        <family val="3"/>
        <charset val="129"/>
      </rPr>
      <t>토지의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취득</t>
    </r>
  </si>
  <si>
    <r>
      <rPr>
        <sz val="8"/>
        <color indexed="8"/>
        <rFont val="굴림"/>
        <family val="3"/>
        <charset val="129"/>
      </rPr>
      <t>설비자산의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취득</t>
    </r>
  </si>
  <si>
    <r>
      <rPr>
        <sz val="8"/>
        <color indexed="8"/>
        <rFont val="굴림"/>
        <family val="3"/>
        <charset val="129"/>
      </rPr>
      <t>건설중인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자산의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증가</t>
    </r>
  </si>
  <si>
    <r>
      <t>III.</t>
    </r>
    <r>
      <rPr>
        <sz val="8"/>
        <color indexed="8"/>
        <rFont val="굴림"/>
        <family val="3"/>
        <charset val="129"/>
      </rPr>
      <t>재무활동으로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인한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현금흐름</t>
    </r>
  </si>
  <si>
    <r>
      <t>1.</t>
    </r>
    <r>
      <rPr>
        <sz val="8"/>
        <color indexed="8"/>
        <rFont val="굴림"/>
        <family val="3"/>
        <charset val="129"/>
      </rPr>
      <t>재무활동으로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인한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현금유입액</t>
    </r>
  </si>
  <si>
    <r>
      <rPr>
        <sz val="8"/>
        <color indexed="8"/>
        <rFont val="굴림"/>
        <family val="3"/>
        <charset val="129"/>
      </rPr>
      <t>단기차입금의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차입</t>
    </r>
  </si>
  <si>
    <r>
      <rPr>
        <sz val="8"/>
        <color indexed="8"/>
        <rFont val="굴림"/>
        <family val="3"/>
        <charset val="129"/>
      </rPr>
      <t>사채의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증가</t>
    </r>
  </si>
  <si>
    <r>
      <t>2.</t>
    </r>
    <r>
      <rPr>
        <sz val="8"/>
        <color indexed="8"/>
        <rFont val="굴림"/>
        <family val="3"/>
        <charset val="129"/>
      </rPr>
      <t>재무활동으로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인한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현금유출액</t>
    </r>
  </si>
  <si>
    <r>
      <rPr>
        <sz val="8"/>
        <color indexed="8"/>
        <rFont val="굴림"/>
        <family val="3"/>
        <charset val="129"/>
      </rPr>
      <t>유동성장기차입금의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상환</t>
    </r>
  </si>
  <si>
    <r>
      <rPr>
        <sz val="8"/>
        <color indexed="8"/>
        <rFont val="굴림"/>
        <family val="3"/>
        <charset val="129"/>
      </rPr>
      <t>주식발행비</t>
    </r>
  </si>
  <si>
    <r>
      <rPr>
        <sz val="8"/>
        <color indexed="8"/>
        <rFont val="굴림"/>
        <family val="3"/>
        <charset val="129"/>
      </rPr>
      <t>자기주식의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취득</t>
    </r>
  </si>
  <si>
    <r>
      <rPr>
        <sz val="8"/>
        <color indexed="8"/>
        <rFont val="굴림"/>
        <family val="3"/>
        <charset val="129"/>
      </rPr>
      <t>배당금의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지급</t>
    </r>
  </si>
  <si>
    <r>
      <t>IV.</t>
    </r>
    <r>
      <rPr>
        <sz val="8"/>
        <color indexed="8"/>
        <rFont val="굴림"/>
        <family val="3"/>
        <charset val="129"/>
      </rPr>
      <t>연결실체의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변동으로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인한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현금의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증가</t>
    </r>
  </si>
  <si>
    <r>
      <t>V.</t>
    </r>
    <r>
      <rPr>
        <sz val="8"/>
        <color indexed="8"/>
        <rFont val="굴림"/>
        <family val="3"/>
        <charset val="129"/>
      </rPr>
      <t>현금의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증가</t>
    </r>
  </si>
  <si>
    <r>
      <t>VI.</t>
    </r>
    <r>
      <rPr>
        <sz val="8"/>
        <color indexed="8"/>
        <rFont val="굴림"/>
        <family val="3"/>
        <charset val="129"/>
      </rPr>
      <t>기초의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현금</t>
    </r>
  </si>
  <si>
    <r>
      <t>VII.</t>
    </r>
    <r>
      <rPr>
        <sz val="8"/>
        <color indexed="8"/>
        <rFont val="굴림"/>
        <family val="3"/>
        <charset val="129"/>
      </rPr>
      <t>기말의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현금</t>
    </r>
  </si>
  <si>
    <r>
      <t xml:space="preserve">[2009.12.31 </t>
    </r>
    <r>
      <rPr>
        <sz val="8"/>
        <color indexed="8"/>
        <rFont val="굴림"/>
        <family val="3"/>
        <charset val="129"/>
      </rPr>
      <t>현재</t>
    </r>
    <r>
      <rPr>
        <sz val="8"/>
        <color indexed="8"/>
        <rFont val="Arial"/>
        <family val="2"/>
      </rPr>
      <t>]</t>
    </r>
  </si>
  <si>
    <r>
      <t>(</t>
    </r>
    <r>
      <rPr>
        <sz val="8"/>
        <color indexed="8"/>
        <rFont val="굴림"/>
        <family val="3"/>
        <charset val="129"/>
      </rPr>
      <t>단위</t>
    </r>
    <r>
      <rPr>
        <sz val="8"/>
        <color indexed="8"/>
        <rFont val="Arial"/>
        <family val="2"/>
      </rPr>
      <t xml:space="preserve"> : </t>
    </r>
    <r>
      <rPr>
        <sz val="8"/>
        <color indexed="8"/>
        <rFont val="굴림"/>
        <family val="3"/>
        <charset val="129"/>
      </rPr>
      <t>주</t>
    </r>
    <r>
      <rPr>
        <sz val="8"/>
        <color indexed="8"/>
        <rFont val="Arial"/>
        <family val="2"/>
      </rPr>
      <t>)</t>
    </r>
  </si>
  <si>
    <r>
      <rPr>
        <sz val="8"/>
        <color indexed="8"/>
        <rFont val="굴림"/>
        <family val="3"/>
        <charset val="129"/>
      </rPr>
      <t>주식의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종류</t>
    </r>
  </si>
  <si>
    <r>
      <rPr>
        <sz val="8"/>
        <color indexed="8"/>
        <rFont val="굴림"/>
        <family val="3"/>
        <charset val="129"/>
      </rPr>
      <t>비고</t>
    </r>
  </si>
  <si>
    <r>
      <rPr>
        <sz val="8"/>
        <color indexed="8"/>
        <rFont val="굴림"/>
        <family val="3"/>
        <charset val="129"/>
      </rPr>
      <t>보통주</t>
    </r>
  </si>
  <si>
    <r>
      <rPr>
        <sz val="8"/>
        <color indexed="8"/>
        <rFont val="굴림"/>
        <family val="3"/>
        <charset val="129"/>
      </rPr>
      <t>우선주</t>
    </r>
  </si>
  <si>
    <r>
      <rPr>
        <sz val="8"/>
        <color indexed="8"/>
        <rFont val="굴림"/>
        <family val="3"/>
        <charset val="129"/>
      </rPr>
      <t>합계</t>
    </r>
  </si>
  <si>
    <t>구 분</t>
  </si>
  <si>
    <t>과            목</t>
  </si>
  <si>
    <t>자            산</t>
  </si>
  <si>
    <t>자   산   총   계</t>
  </si>
  <si>
    <t>부            채</t>
  </si>
  <si>
    <t>부   채   총   계</t>
  </si>
  <si>
    <t>자            본</t>
  </si>
  <si>
    <t>자    본    총    계</t>
  </si>
  <si>
    <t>부 채 와 자 본 총 계</t>
  </si>
  <si>
    <t>(*3) 당사는 2009년 11월 12일자 이사회 결의에 따라 주식발행초과금 462,000백만원을 자본전입하여 보통주 231백만주를 발행한 후, 동 발행주식 전체를 무상감자하여 감자차손(자본조정) 421,909백만원을 상계하고 잔액 40,091백만원을 감자차익  (기타자본잉여금)으로 계상하였습니다.</t>
  </si>
  <si>
    <t>자   본   총   계</t>
  </si>
  <si>
    <t>현금및현금성자산     &lt;주석 18&gt;</t>
  </si>
  <si>
    <t>단기투자자산      &lt;주석 8,9,20&gt;</t>
  </si>
  <si>
    <t>매출채권       &lt;주석 13,18,20&gt;</t>
  </si>
  <si>
    <t xml:space="preserve"> 대손충당금</t>
  </si>
  <si>
    <t>미수금             &lt;주석 20&gt;</t>
  </si>
  <si>
    <t>유동성이연법인세자산  &lt;주석 26&gt;</t>
  </si>
  <si>
    <t>(2)재고자산           &lt;주석 12&gt;</t>
  </si>
  <si>
    <t>장기금융상품         &lt;주석 7&gt;</t>
  </si>
  <si>
    <t>매도가능증권         &lt;주석 9&gt;</t>
  </si>
  <si>
    <t>장기대여금          &lt;주석 20&gt;</t>
  </si>
  <si>
    <t>(2)유형자산      &lt;주석 2,10,12,23&gt;</t>
  </si>
  <si>
    <t xml:space="preserve"> 감가상각누계액</t>
  </si>
  <si>
    <t>(3)무형자산           &lt;주석 11&gt;</t>
  </si>
  <si>
    <t>장기매출채권        &lt;주석 13&gt;</t>
  </si>
  <si>
    <t>보증금             &lt;주석 20&gt;</t>
  </si>
  <si>
    <t>기타의비유동자산     &lt;주석 20&gt;</t>
  </si>
  <si>
    <t>비유동성이연법인세자산 &lt;주석 26&gt;</t>
  </si>
  <si>
    <t>단기차입금  &lt;주석 14,15,18,23,24&gt;</t>
  </si>
  <si>
    <t>매입채무         &lt;주석 18,20&gt;</t>
  </si>
  <si>
    <t>미지급금           &lt;주석 20&gt;</t>
  </si>
  <si>
    <t>유동성사채          &lt;주석 16&gt;</t>
  </si>
  <si>
    <t xml:space="preserve"> 유동성사채할인발행차금</t>
  </si>
  <si>
    <t>유동성파생상품부채    &lt;주석 15&gt;</t>
  </si>
  <si>
    <t>사채              &lt;주석 16&gt;</t>
  </si>
  <si>
    <t xml:space="preserve"> 사채할인발행차금</t>
  </si>
  <si>
    <t>퇴직급여충당부채     &lt;주석 17&gt;</t>
  </si>
  <si>
    <t xml:space="preserve"> 퇴직보험예치금</t>
  </si>
  <si>
    <t xml:space="preserve"> 퇴직연금운용자산</t>
  </si>
  <si>
    <t xml:space="preserve"> 국민연금전환금</t>
  </si>
  <si>
    <t>임대보증금          &lt;주석 20&gt;</t>
  </si>
  <si>
    <t>비유동성이연법인세부채 &lt;주석 26&gt;</t>
  </si>
  <si>
    <t>(1)자본금             &lt;주석 21&gt;</t>
  </si>
  <si>
    <t>자기주식           &lt;주석 22&gt;</t>
  </si>
  <si>
    <t>(4)연결기타포괄손익누계액 &lt;주석 25&gt;</t>
  </si>
  <si>
    <t>토지재평가이익      &lt;주석 2,10&gt;</t>
  </si>
  <si>
    <t xml:space="preserve">(5)연결이익잉여금         </t>
  </si>
  <si>
    <t xml:space="preserve">                 "첨부된 연결재무제표에 대한 주석 참조"</t>
  </si>
  <si>
    <t>I.매출액                &lt;주석 20&gt;</t>
  </si>
  <si>
    <t>II.매출원가               &lt;주석 20&gt;</t>
  </si>
  <si>
    <t xml:space="preserve">    계</t>
  </si>
  <si>
    <t xml:space="preserve">IV.판매비와관리비    </t>
  </si>
  <si>
    <t>급여                 &lt;주석 20&gt;</t>
  </si>
  <si>
    <t>복리후생비             &lt;주석 30&gt;</t>
  </si>
  <si>
    <t>임차료                &lt;주석 20&gt;</t>
  </si>
  <si>
    <t>지급수수료             &lt;주석 20&gt;</t>
  </si>
  <si>
    <t>광고선전비             &lt;주석 20)</t>
  </si>
  <si>
    <t>운반비                &lt;주석 20&gt;</t>
  </si>
  <si>
    <t>대손상각비           &lt;주석 13,20&gt;</t>
  </si>
  <si>
    <t>이자수익              &lt;주석 13&gt;</t>
  </si>
  <si>
    <t>임대료                &lt;주석 20&gt;</t>
  </si>
  <si>
    <t>기부금                &lt;주석 30&gt;</t>
  </si>
  <si>
    <t xml:space="preserve">파생상품거래손실       </t>
  </si>
  <si>
    <t>파생상품평가손실        &lt;주석 15&gt;</t>
  </si>
  <si>
    <t>토지재평가손실          &lt;주석 10&gt;</t>
  </si>
  <si>
    <t>IX.법인세비용             &lt;주석 26&gt;</t>
  </si>
  <si>
    <t>XII.주당손익(지배회사지분)    &lt;주석 27&gt;</t>
  </si>
  <si>
    <t>※당사는 2009년 3월 20일 주주총회에서 주식배당 2%(보통주, 구형우선주 모두 보통주로 배당)가 승인  되어, 보통주 194,752주가 신규로 발행되었습니다.</t>
  </si>
  <si>
    <t>KRX: 103150</t>
    <phoneticPr fontId="22" type="noConversion"/>
  </si>
  <si>
    <t>HITE Brewery</t>
    <phoneticPr fontId="22" type="noConversion"/>
  </si>
  <si>
    <t>Hite Brewery</t>
    <phoneticPr fontId="22" type="noConversion"/>
  </si>
  <si>
    <t>ASAHI 
GROUP</t>
    <phoneticPr fontId="22" type="noConversion"/>
  </si>
  <si>
    <t>Income Statement</t>
    <phoneticPr fontId="22" type="noConversion"/>
  </si>
  <si>
    <t>Share count</t>
    <phoneticPr fontId="22" type="noConversion"/>
  </si>
  <si>
    <t>24-3 당사는 희석성 잠재적보통주가 없으므로 희석주당순이익은 기본주당순이익과동일합니다.</t>
  </si>
  <si>
    <t>TSINGTAO 
BREWERY</t>
    <phoneticPr fontId="22" type="noConversion"/>
  </si>
  <si>
    <t>Capital IQ</t>
    <phoneticPr fontId="22" type="noConversion"/>
  </si>
  <si>
    <r>
      <rPr>
        <sz val="8"/>
        <rFont val="Arial Unicode MS"/>
        <family val="3"/>
        <charset val="129"/>
      </rPr>
      <t xml:space="preserve">차입금 추가하기 /// </t>
    </r>
    <r>
      <rPr>
        <sz val="8"/>
        <rFont val="Arial"/>
        <family val="2"/>
      </rPr>
      <t xml:space="preserve">EJS!!: </t>
    </r>
    <r>
      <rPr>
        <sz val="8"/>
        <rFont val="Arial Unicode MS"/>
        <family val="3"/>
        <charset val="129"/>
      </rPr>
      <t>차입금에 대한 환율리스크를 헤지하기 위해서 계약한 파생상품은 차입금에 포함시켜야될까?</t>
    </r>
    <r>
      <rPr>
        <sz val="8"/>
        <rFont val="Arial"/>
        <family val="2"/>
      </rPr>
      <t xml:space="preserve"> // CIQ</t>
    </r>
    <r>
      <rPr>
        <sz val="8"/>
        <rFont val="Arial Unicode MS"/>
        <family val="3"/>
        <charset val="129"/>
      </rPr>
      <t xml:space="preserve">는 이를 </t>
    </r>
    <r>
      <rPr>
        <sz val="8"/>
        <rFont val="Arial"/>
        <family val="2"/>
      </rPr>
      <t>Debt</t>
    </r>
    <r>
      <rPr>
        <sz val="8"/>
        <rFont val="Arial Unicode MS"/>
        <family val="3"/>
        <charset val="129"/>
      </rPr>
      <t>에 포함시켰음</t>
    </r>
    <r>
      <rPr>
        <sz val="8"/>
        <rFont val="Arial"/>
        <family val="2"/>
      </rPr>
      <t xml:space="preserve"> // </t>
    </r>
    <r>
      <rPr>
        <sz val="8"/>
        <rFont val="Arial Unicode MS"/>
        <family val="3"/>
        <charset val="129"/>
      </rPr>
      <t>나는 포함시키지는 않음</t>
    </r>
    <phoneticPr fontId="22" type="noConversion"/>
  </si>
  <si>
    <t>Subsidiary's net income before acquisition</t>
    <phoneticPr fontId="22" type="noConversion"/>
  </si>
  <si>
    <t>Preferred stock dividends</t>
  </si>
  <si>
    <t>Preferred stock dividends</t>
    <phoneticPr fontId="22" type="noConversion"/>
  </si>
  <si>
    <t>Net income to common stock shareholders</t>
  </si>
  <si>
    <t>Net income to common stock shareholders</t>
    <phoneticPr fontId="22" type="noConversion"/>
  </si>
  <si>
    <t>TYO: 2502</t>
    <phoneticPr fontId="22" type="noConversion"/>
  </si>
  <si>
    <t>Preferred stock price on current date</t>
    <phoneticPr fontId="22" type="noConversion"/>
  </si>
  <si>
    <t>배당금 세부내용</t>
    <phoneticPr fontId="22" type="noConversion"/>
  </si>
  <si>
    <r>
      <t xml:space="preserve">27. </t>
    </r>
    <r>
      <rPr>
        <sz val="8"/>
        <color indexed="8"/>
        <rFont val="바탕"/>
        <family val="1"/>
        <charset val="129"/>
      </rPr>
      <t>주당이익</t>
    </r>
  </si>
  <si>
    <r>
      <t xml:space="preserve">27-1 </t>
    </r>
    <r>
      <rPr>
        <sz val="8"/>
        <color indexed="8"/>
        <rFont val="바탕"/>
        <family val="1"/>
        <charset val="129"/>
      </rPr>
      <t>기본주당지배회사지분순이익의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바탕"/>
        <family val="1"/>
        <charset val="129"/>
      </rPr>
      <t>산정내역은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바탕"/>
        <family val="1"/>
        <charset val="129"/>
      </rPr>
      <t>다음과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바탕"/>
        <family val="1"/>
        <charset val="129"/>
      </rPr>
      <t>같습니다</t>
    </r>
    <r>
      <rPr>
        <sz val="8"/>
        <color indexed="8"/>
        <rFont val="Arial"/>
        <family val="2"/>
      </rPr>
      <t>.</t>
    </r>
  </si>
  <si>
    <r>
      <rPr>
        <sz val="8"/>
        <color indexed="8"/>
        <rFont val="굴림"/>
        <family val="3"/>
        <charset val="129"/>
      </rPr>
      <t>구분</t>
    </r>
  </si>
  <si>
    <r>
      <rPr>
        <sz val="8"/>
        <color indexed="8"/>
        <rFont val="굴림"/>
        <family val="3"/>
        <charset val="129"/>
      </rPr>
      <t>금액</t>
    </r>
  </si>
  <si>
    <r>
      <rPr>
        <sz val="8"/>
        <color indexed="8"/>
        <rFont val="굴림"/>
        <family val="3"/>
        <charset val="129"/>
      </rPr>
      <t>가</t>
    </r>
    <r>
      <rPr>
        <sz val="8"/>
        <color indexed="8"/>
        <rFont val="Arial"/>
        <family val="2"/>
      </rPr>
      <t>.</t>
    </r>
    <r>
      <rPr>
        <sz val="8"/>
        <color indexed="8"/>
        <rFont val="굴림"/>
        <family val="3"/>
        <charset val="129"/>
      </rPr>
      <t>지배회사지분순이익</t>
    </r>
  </si>
  <si>
    <r>
      <t>99,231,879,817</t>
    </r>
    <r>
      <rPr>
        <sz val="8"/>
        <color indexed="8"/>
        <rFont val="굴림"/>
        <family val="3"/>
        <charset val="129"/>
      </rPr>
      <t>원</t>
    </r>
  </si>
  <si>
    <r>
      <rPr>
        <sz val="8"/>
        <color indexed="8"/>
        <rFont val="굴림"/>
        <family val="3"/>
        <charset val="129"/>
      </rPr>
      <t>나</t>
    </r>
    <r>
      <rPr>
        <sz val="8"/>
        <color indexed="8"/>
        <rFont val="Arial"/>
        <family val="2"/>
      </rPr>
      <t>.</t>
    </r>
    <r>
      <rPr>
        <sz val="8"/>
        <color indexed="8"/>
        <rFont val="굴림"/>
        <family val="3"/>
        <charset val="129"/>
      </rPr>
      <t>우선주배당금</t>
    </r>
  </si>
  <si>
    <r>
      <t>1,043,126,000</t>
    </r>
    <r>
      <rPr>
        <sz val="8"/>
        <color indexed="8"/>
        <rFont val="굴림"/>
        <family val="3"/>
        <charset val="129"/>
      </rPr>
      <t>원</t>
    </r>
  </si>
  <si>
    <r>
      <rPr>
        <sz val="8"/>
        <color indexed="8"/>
        <rFont val="굴림"/>
        <family val="3"/>
        <charset val="129"/>
      </rPr>
      <t>다</t>
    </r>
    <r>
      <rPr>
        <sz val="8"/>
        <color indexed="8"/>
        <rFont val="Arial"/>
        <family val="2"/>
      </rPr>
      <t>.</t>
    </r>
    <r>
      <rPr>
        <sz val="8"/>
        <color indexed="8"/>
        <rFont val="굴림"/>
        <family val="3"/>
        <charset val="129"/>
      </rPr>
      <t>보통주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지배회사지분순이익</t>
    </r>
    <r>
      <rPr>
        <sz val="8"/>
        <color indexed="8"/>
        <rFont val="Arial"/>
        <family val="2"/>
      </rPr>
      <t>(</t>
    </r>
    <r>
      <rPr>
        <sz val="8"/>
        <color indexed="8"/>
        <rFont val="굴림"/>
        <family val="3"/>
        <charset val="129"/>
      </rPr>
      <t>다</t>
    </r>
    <r>
      <rPr>
        <sz val="8"/>
        <color indexed="8"/>
        <rFont val="Arial"/>
        <family val="2"/>
      </rPr>
      <t xml:space="preserve"> = </t>
    </r>
    <r>
      <rPr>
        <sz val="8"/>
        <color indexed="8"/>
        <rFont val="굴림"/>
        <family val="3"/>
        <charset val="129"/>
      </rPr>
      <t>가</t>
    </r>
    <r>
      <rPr>
        <sz val="8"/>
        <color indexed="8"/>
        <rFont val="Arial"/>
        <family val="2"/>
      </rPr>
      <t xml:space="preserve"> - </t>
    </r>
    <r>
      <rPr>
        <sz val="8"/>
        <color indexed="8"/>
        <rFont val="굴림"/>
        <family val="3"/>
        <charset val="129"/>
      </rPr>
      <t>나</t>
    </r>
    <r>
      <rPr>
        <sz val="8"/>
        <color indexed="8"/>
        <rFont val="Arial"/>
        <family val="2"/>
      </rPr>
      <t>)</t>
    </r>
  </si>
  <si>
    <r>
      <t>98,188,753,817</t>
    </r>
    <r>
      <rPr>
        <sz val="8"/>
        <color indexed="8"/>
        <rFont val="굴림"/>
        <family val="3"/>
        <charset val="129"/>
      </rPr>
      <t>원</t>
    </r>
  </si>
  <si>
    <r>
      <rPr>
        <sz val="8"/>
        <color indexed="8"/>
        <rFont val="굴림"/>
        <family val="3"/>
        <charset val="129"/>
      </rPr>
      <t>라</t>
    </r>
    <r>
      <rPr>
        <sz val="8"/>
        <color indexed="8"/>
        <rFont val="Arial"/>
        <family val="2"/>
      </rPr>
      <t>.</t>
    </r>
    <r>
      <rPr>
        <sz val="8"/>
        <color indexed="8"/>
        <rFont val="굴림"/>
        <family val="3"/>
        <charset val="129"/>
      </rPr>
      <t>가중평균유통보통주식수</t>
    </r>
  </si>
  <si>
    <r>
      <t>9,558,377</t>
    </r>
    <r>
      <rPr>
        <sz val="8"/>
        <color indexed="8"/>
        <rFont val="굴림"/>
        <family val="3"/>
        <charset val="129"/>
      </rPr>
      <t>주</t>
    </r>
  </si>
  <si>
    <r>
      <rPr>
        <sz val="8"/>
        <color indexed="8"/>
        <rFont val="굴림"/>
        <family val="3"/>
        <charset val="129"/>
      </rPr>
      <t>마</t>
    </r>
    <r>
      <rPr>
        <sz val="8"/>
        <color indexed="8"/>
        <rFont val="Arial"/>
        <family val="2"/>
      </rPr>
      <t>.</t>
    </r>
    <r>
      <rPr>
        <sz val="8"/>
        <color indexed="8"/>
        <rFont val="굴림"/>
        <family val="3"/>
        <charset val="129"/>
      </rPr>
      <t>기본주당지배회사지분순이익</t>
    </r>
    <r>
      <rPr>
        <sz val="8"/>
        <color indexed="8"/>
        <rFont val="Arial"/>
        <family val="2"/>
      </rPr>
      <t>(</t>
    </r>
    <r>
      <rPr>
        <sz val="8"/>
        <color indexed="8"/>
        <rFont val="굴림"/>
        <family val="3"/>
        <charset val="129"/>
      </rPr>
      <t>마</t>
    </r>
    <r>
      <rPr>
        <sz val="8"/>
        <color indexed="8"/>
        <rFont val="Arial"/>
        <family val="2"/>
      </rPr>
      <t xml:space="preserve"> = </t>
    </r>
    <r>
      <rPr>
        <sz val="8"/>
        <color indexed="8"/>
        <rFont val="굴림"/>
        <family val="3"/>
        <charset val="129"/>
      </rPr>
      <t>다</t>
    </r>
    <r>
      <rPr>
        <sz val="8"/>
        <color indexed="8"/>
        <rFont val="Arial"/>
        <family val="2"/>
      </rPr>
      <t xml:space="preserve"> ÷ </t>
    </r>
    <r>
      <rPr>
        <sz val="8"/>
        <color indexed="8"/>
        <rFont val="굴림"/>
        <family val="3"/>
        <charset val="129"/>
      </rPr>
      <t>라</t>
    </r>
    <r>
      <rPr>
        <sz val="8"/>
        <color indexed="8"/>
        <rFont val="Arial"/>
        <family val="2"/>
      </rPr>
      <t>)</t>
    </r>
  </si>
  <si>
    <r>
      <t>10,273</t>
    </r>
    <r>
      <rPr>
        <sz val="8"/>
        <color indexed="8"/>
        <rFont val="굴림"/>
        <family val="3"/>
        <charset val="129"/>
      </rPr>
      <t>원</t>
    </r>
  </si>
  <si>
    <r>
      <t xml:space="preserve">28. </t>
    </r>
    <r>
      <rPr>
        <sz val="8"/>
        <color indexed="8"/>
        <rFont val="바탕"/>
        <family val="1"/>
        <charset val="129"/>
      </rPr>
      <t>배당금</t>
    </r>
  </si>
  <si>
    <r>
      <t xml:space="preserve">28-1 </t>
    </r>
    <r>
      <rPr>
        <sz val="8"/>
        <color indexed="8"/>
        <rFont val="바탕"/>
        <family val="1"/>
        <charset val="129"/>
      </rPr>
      <t>당사의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바탕"/>
        <family val="1"/>
        <charset val="129"/>
      </rPr>
      <t>주주에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바탕"/>
        <family val="1"/>
        <charset val="129"/>
      </rPr>
      <t>대한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바탕"/>
        <family val="1"/>
        <charset val="129"/>
      </rPr>
      <t>배당금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바탕"/>
        <family val="1"/>
        <charset val="129"/>
      </rPr>
      <t>산정내역은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바탕"/>
        <family val="1"/>
        <charset val="129"/>
      </rPr>
      <t>다음과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바탕"/>
        <family val="1"/>
        <charset val="129"/>
      </rPr>
      <t>같습니다</t>
    </r>
    <r>
      <rPr>
        <sz val="8"/>
        <color indexed="8"/>
        <rFont val="Arial"/>
        <family val="2"/>
      </rPr>
      <t>.</t>
    </r>
  </si>
  <si>
    <r>
      <rPr>
        <sz val="8"/>
        <color indexed="8"/>
        <rFont val="굴림"/>
        <family val="3"/>
        <charset val="129"/>
      </rPr>
      <t>현금배당</t>
    </r>
  </si>
  <si>
    <r>
      <rPr>
        <sz val="8"/>
        <color indexed="8"/>
        <rFont val="굴림"/>
        <family val="3"/>
        <charset val="129"/>
      </rPr>
      <t>보통주</t>
    </r>
  </si>
  <si>
    <r>
      <rPr>
        <sz val="8"/>
        <color indexed="8"/>
        <rFont val="굴림"/>
        <family val="3"/>
        <charset val="129"/>
      </rPr>
      <t>우선주</t>
    </r>
  </si>
  <si>
    <r>
      <rPr>
        <sz val="8"/>
        <color indexed="8"/>
        <rFont val="굴림"/>
        <family val="3"/>
        <charset val="129"/>
      </rPr>
      <t>합계</t>
    </r>
  </si>
  <si>
    <r>
      <rPr>
        <sz val="8"/>
        <color indexed="8"/>
        <rFont val="굴림"/>
        <family val="3"/>
        <charset val="129"/>
      </rPr>
      <t>주당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액면금액</t>
    </r>
  </si>
  <si>
    <r>
      <rPr>
        <sz val="8"/>
        <color indexed="8"/>
        <rFont val="굴림"/>
        <family val="3"/>
        <charset val="129"/>
      </rPr>
      <t>액면배당률</t>
    </r>
  </si>
  <si>
    <r>
      <t>1</t>
    </r>
    <r>
      <rPr>
        <sz val="8"/>
        <color indexed="8"/>
        <rFont val="굴림"/>
        <family val="3"/>
        <charset val="129"/>
      </rPr>
      <t>주당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굴림"/>
        <family val="3"/>
        <charset val="129"/>
      </rPr>
      <t>배당금</t>
    </r>
  </si>
  <si>
    <r>
      <rPr>
        <sz val="8"/>
        <color indexed="8"/>
        <rFont val="굴림"/>
        <family val="3"/>
        <charset val="129"/>
      </rPr>
      <t>발행주식수</t>
    </r>
  </si>
  <si>
    <r>
      <rPr>
        <sz val="8"/>
        <color indexed="8"/>
        <rFont val="굴림"/>
        <family val="3"/>
        <charset val="129"/>
      </rPr>
      <t>배당금총액</t>
    </r>
  </si>
  <si>
    <t>&lt;당기&gt;                                              (단위: 원,주)</t>
  </si>
  <si>
    <t>Diluted common shares outstanding</t>
    <phoneticPr fontId="22" type="noConversion"/>
  </si>
  <si>
    <t>Preferred shares outstanding (non-dilutive)</t>
    <phoneticPr fontId="22" type="noConversion"/>
  </si>
  <si>
    <t>하이트맥주 연결재무제표</t>
    <phoneticPr fontId="22" type="noConversion"/>
  </si>
  <si>
    <r>
      <rPr>
        <sz val="8"/>
        <rFont val="Arial Unicode MS"/>
        <family val="3"/>
        <charset val="129"/>
      </rPr>
      <t>계열사로부터</t>
    </r>
    <r>
      <rPr>
        <sz val="8"/>
        <rFont val="Arial"/>
        <family val="2"/>
      </rPr>
      <t xml:space="preserve"> </t>
    </r>
    <r>
      <rPr>
        <sz val="8"/>
        <rFont val="Arial Unicode MS"/>
        <family val="3"/>
        <charset val="129"/>
      </rPr>
      <t>수취한</t>
    </r>
    <r>
      <rPr>
        <sz val="8"/>
        <rFont val="Arial"/>
        <family val="2"/>
      </rPr>
      <t xml:space="preserve"> </t>
    </r>
    <r>
      <rPr>
        <sz val="8"/>
        <rFont val="Arial Unicode MS"/>
        <family val="3"/>
        <charset val="129"/>
      </rPr>
      <t>임대료가</t>
    </r>
    <r>
      <rPr>
        <sz val="8"/>
        <rFont val="Arial"/>
        <family val="2"/>
      </rPr>
      <t xml:space="preserve"> </t>
    </r>
    <r>
      <rPr>
        <sz val="8"/>
        <rFont val="Arial Unicode MS"/>
        <family val="3"/>
        <charset val="129"/>
      </rPr>
      <t>영업외수익으로</t>
    </r>
    <r>
      <rPr>
        <sz val="8"/>
        <rFont val="Arial"/>
        <family val="2"/>
      </rPr>
      <t xml:space="preserve"> </t>
    </r>
    <r>
      <rPr>
        <sz val="8"/>
        <rFont val="Arial Unicode MS"/>
        <family val="3"/>
        <charset val="129"/>
      </rPr>
      <t>잡혀</t>
    </r>
    <r>
      <rPr>
        <sz val="8"/>
        <rFont val="Arial"/>
        <family val="2"/>
      </rPr>
      <t xml:space="preserve"> </t>
    </r>
    <r>
      <rPr>
        <sz val="8"/>
        <rFont val="Arial Unicode MS"/>
        <family val="3"/>
        <charset val="129"/>
      </rPr>
      <t>있음</t>
    </r>
    <phoneticPr fontId="22" type="noConversion"/>
  </si>
  <si>
    <t>Diluted shares outstanding (mm)</t>
    <phoneticPr fontId="22" type="noConversion"/>
  </si>
  <si>
    <t>BAABTAVMT0NBTAFI/////wFQAwAAADBDSVEuTllTRTpJQk0uSVFfRUJJVERBX0VTVF9DSVEuRlkyMDEwLjIwMjAtMTAtMTcFAAAAAAAAAAgAAAATKENhcGFiaWxpdHkgTmVlZGVkKSxzQlbjctgIKgD79+Ry2AgmQ0lRLk5ZU0U6SUJNLklRX0VCSVREQV9FU1RfQ0lRLkZZMjAxMC4FAAAAAAAAAAgAAAATKENhcGFiaWxpdHkgTmVlZGVkKT59CVfjctgIvO0ygyBz2AgwQ0lRLk5ZU0U6SUJNLklRX0VCSVREQV9FU1RfQ0lRLkZZMjAxMC4yMDIwLTEwLTE4BQAAAAAAAAAIAAAAEyhDYXBhYmlsaXR5IE5lZWRlZCm3Ri+DIHPYCKrqsewyc9gI</t>
  </si>
  <si>
    <t>HITE Brewery</t>
  </si>
  <si>
    <t>Vlookup &amp; Match</t>
    <phoneticPr fontId="22" type="noConversion"/>
  </si>
  <si>
    <t>단순 링크</t>
    <phoneticPr fontId="22" type="noConversion"/>
  </si>
  <si>
    <t>Market capitalization (mm)</t>
    <phoneticPr fontId="22" type="noConversion"/>
  </si>
  <si>
    <t>Revenues - LFY</t>
    <phoneticPr fontId="22" type="noConversion"/>
  </si>
  <si>
    <t>Diluted shares outstanding</t>
    <phoneticPr fontId="22" type="noConversion"/>
  </si>
  <si>
    <t>Hlookup &amp; Match</t>
    <phoneticPr fontId="22" type="noConversion"/>
  </si>
  <si>
    <t>Oriental
Brewery</t>
    <phoneticPr fontId="22" type="noConversion"/>
  </si>
  <si>
    <t>Transpose</t>
    <phoneticPr fontId="22" type="noConversion"/>
  </si>
  <si>
    <t>Match</t>
    <phoneticPr fontId="22" type="noConversion"/>
  </si>
  <si>
    <t>범위 안에서 순서</t>
    <phoneticPr fontId="22" type="noConversion"/>
  </si>
  <si>
    <t>선택하기</t>
    <phoneticPr fontId="22" type="noConversion"/>
  </si>
  <si>
    <t>High</t>
    <phoneticPr fontId="22" type="noConversion"/>
  </si>
  <si>
    <t>Low</t>
    <phoneticPr fontId="22" type="noConversion"/>
  </si>
  <si>
    <t>Median</t>
    <phoneticPr fontId="22" type="noConversion"/>
  </si>
  <si>
    <t>Enterprise Value</t>
    <phoneticPr fontId="22" type="noConversion"/>
  </si>
  <si>
    <t>Choose</t>
    <phoneticPr fontId="22" type="noConversion"/>
  </si>
  <si>
    <t>Offset</t>
    <phoneticPr fontId="22" type="noConversion"/>
  </si>
  <si>
    <t>Vlookup</t>
    <phoneticPr fontId="22" type="noConversion"/>
  </si>
  <si>
    <t>VLOOKUP</t>
    <phoneticPr fontId="22" type="noConversion"/>
  </si>
  <si>
    <t>Hite Brewery</t>
  </si>
  <si>
    <t>국내 30대 선호도</t>
  </si>
  <si>
    <r>
      <rPr>
        <sz val="11"/>
        <rFont val="맑은 고딕"/>
        <family val="3"/>
        <charset val="129"/>
      </rPr>
      <t>국내</t>
    </r>
    <r>
      <rPr>
        <sz val="11"/>
        <rFont val="Garamond"/>
        <family val="1"/>
      </rPr>
      <t xml:space="preserve"> </t>
    </r>
    <r>
      <rPr>
        <sz val="11"/>
        <rFont val="Arial Unicode MS"/>
        <family val="2"/>
        <charset val="129"/>
      </rPr>
      <t>총</t>
    </r>
    <r>
      <rPr>
        <sz val="11"/>
        <rFont val="Garamond"/>
        <family val="1"/>
      </rPr>
      <t xml:space="preserve"> </t>
    </r>
    <r>
      <rPr>
        <sz val="11"/>
        <rFont val="맑은 고딕"/>
        <family val="3"/>
        <charset val="129"/>
      </rPr>
      <t>선호도</t>
    </r>
    <phoneticPr fontId="22" type="noConversion"/>
  </si>
  <si>
    <r>
      <rPr>
        <sz val="11"/>
        <rFont val="맑은 고딕"/>
        <family val="3"/>
        <charset val="129"/>
      </rPr>
      <t>국내</t>
    </r>
    <r>
      <rPr>
        <sz val="11"/>
        <rFont val="Garamond"/>
        <family val="1"/>
      </rPr>
      <t xml:space="preserve"> 30</t>
    </r>
    <r>
      <rPr>
        <sz val="11"/>
        <rFont val="Arial Unicode MS"/>
        <family val="2"/>
        <charset val="129"/>
      </rPr>
      <t>대</t>
    </r>
    <r>
      <rPr>
        <sz val="11"/>
        <rFont val="Garamond"/>
        <family val="1"/>
      </rPr>
      <t xml:space="preserve"> </t>
    </r>
    <r>
      <rPr>
        <sz val="11"/>
        <rFont val="맑은 고딕"/>
        <family val="3"/>
        <charset val="129"/>
      </rPr>
      <t>선호도</t>
    </r>
    <phoneticPr fontId="22" type="noConversion"/>
  </si>
  <si>
    <r>
      <t>1</t>
    </r>
    <r>
      <rPr>
        <sz val="11"/>
        <rFont val="Arial"/>
        <family val="2"/>
      </rPr>
      <t>등</t>
    </r>
  </si>
  <si>
    <r>
      <t>2</t>
    </r>
    <r>
      <rPr>
        <sz val="11"/>
        <rFont val="Arial"/>
        <family val="2"/>
      </rPr>
      <t>등</t>
    </r>
  </si>
  <si>
    <r>
      <t>5</t>
    </r>
    <r>
      <rPr>
        <sz val="11"/>
        <rFont val="Arial"/>
        <family val="2"/>
      </rPr>
      <t>등</t>
    </r>
  </si>
  <si>
    <r>
      <t>3</t>
    </r>
    <r>
      <rPr>
        <sz val="11"/>
        <rFont val="Arial"/>
        <family val="2"/>
      </rPr>
      <t>등</t>
    </r>
  </si>
  <si>
    <r>
      <t>6</t>
    </r>
    <r>
      <rPr>
        <sz val="11"/>
        <rFont val="Arial"/>
        <family val="2"/>
      </rPr>
      <t>등</t>
    </r>
  </si>
  <si>
    <r>
      <t>8</t>
    </r>
    <r>
      <rPr>
        <sz val="11"/>
        <rFont val="Arial"/>
        <family val="2"/>
      </rPr>
      <t>등</t>
    </r>
  </si>
  <si>
    <r>
      <t>7</t>
    </r>
    <r>
      <rPr>
        <sz val="11"/>
        <rFont val="Arial"/>
        <family val="2"/>
      </rPr>
      <t>등</t>
    </r>
  </si>
  <si>
    <r>
      <rPr>
        <sz val="11"/>
        <rFont val="Arial Unicode MS"/>
        <family val="2"/>
        <charset val="129"/>
      </rPr>
      <t>국내</t>
    </r>
    <r>
      <rPr>
        <sz val="11"/>
        <rFont val="Garamond"/>
        <family val="1"/>
      </rPr>
      <t xml:space="preserve"> </t>
    </r>
    <r>
      <rPr>
        <sz val="11"/>
        <rFont val="Arial Unicode MS"/>
        <family val="2"/>
        <charset val="129"/>
      </rPr>
      <t>선호도</t>
    </r>
    <phoneticPr fontId="22" type="noConversion"/>
  </si>
  <si>
    <r>
      <rPr>
        <sz val="11"/>
        <rFont val="Arial Unicode MS"/>
        <family val="2"/>
        <charset val="129"/>
      </rPr>
      <t>국내</t>
    </r>
    <r>
      <rPr>
        <sz val="11"/>
        <rFont val="Garamond"/>
        <family val="1"/>
      </rPr>
      <t xml:space="preserve"> 30</t>
    </r>
    <r>
      <rPr>
        <sz val="11"/>
        <rFont val="Arial Unicode MS"/>
        <family val="2"/>
        <charset val="129"/>
      </rPr>
      <t>대</t>
    </r>
    <r>
      <rPr>
        <sz val="11"/>
        <rFont val="Garamond"/>
        <family val="1"/>
      </rPr>
      <t xml:space="preserve"> </t>
    </r>
    <r>
      <rPr>
        <sz val="11"/>
        <rFont val="Arial Unicode MS"/>
        <family val="2"/>
        <charset val="129"/>
      </rPr>
      <t>선호도</t>
    </r>
  </si>
  <si>
    <t>국내 총 선호도</t>
  </si>
  <si>
    <t>HLOOKUP</t>
    <phoneticPr fontId="22" type="noConversion"/>
  </si>
  <si>
    <t>Alt, e, s, e</t>
    <phoneticPr fontId="22" type="noConversion"/>
  </si>
  <si>
    <t>①</t>
    <phoneticPr fontId="22" type="noConversion"/>
  </si>
  <si>
    <t>②</t>
    <phoneticPr fontId="22" type="noConversion"/>
  </si>
  <si>
    <t>③</t>
    <phoneticPr fontId="22" type="noConversion"/>
  </si>
  <si>
    <t>※</t>
    <phoneticPr fontId="22" type="noConversion"/>
  </si>
  <si>
    <t>Latest update:</t>
  </si>
  <si>
    <t>© 2021 Wall Street Training Asia Inc.</t>
    <phoneticPr fontId="84" type="noConversion"/>
  </si>
  <si>
    <t xml:space="preserve">For more information, please visit/contatct Wall Street Training Asia Inc. through www.wallstreettraining.co.kr </t>
    <phoneticPr fontId="84" type="noConversion"/>
  </si>
  <si>
    <t>© 2021 (주)월스트릿트레이닝아시아.</t>
    <phoneticPr fontId="84" type="noConversion"/>
  </si>
  <si>
    <t>이를 위반시에는 형사/민사상의 법적 책임을 질수 있으며, 특별한 문의가 있는경우 www.wallstreettraining.co.kr에 있는 정보로 연락주시기 바랍니다.</t>
  </si>
  <si>
    <t>가치평가 시트 구성하기</t>
    <phoneticPr fontId="84" type="noConversion"/>
  </si>
  <si>
    <t>OB맥주 가치평가 실습</t>
    <phoneticPr fontId="22" type="noConversion"/>
  </si>
  <si>
    <t>동일한 논리, 차이점은 단지 어떻게 present하고 싶은지에 따라 HLOOKUP을 사용할 수 있음</t>
    <phoneticPr fontId="22" type="noConversion"/>
  </si>
  <si>
    <t>CPSE: CARL B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</si>
</sst>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176" formatCode="_(* #,##0.0_);_(* \(#,##0.0\)_)\ ;_(* 0_)"/>
    <numFmt numFmtId="177" formatCode="0.0%"/>
    <numFmt numFmtId="178" formatCode="_(* #,##0.0_);_(* \(#,##0.0\)_)\ ;_(* 0.0_)"/>
    <numFmt numFmtId="179" formatCode="#,##0.0_);\(#,##0.0\);\-_)"/>
    <numFmt numFmtId="180" formatCode="0.0%_);\(0.0%\);0.0%_);@_)"/>
    <numFmt numFmtId="181" formatCode="#,##0.00_);\(#,##0.00\);#,##0.00_);@_)"/>
    <numFmt numFmtId="182" formatCode="0.0"/>
    <numFmt numFmtId="183" formatCode="#,##0.0_);\(#,##0.0\);@_)"/>
    <numFmt numFmtId="184" formatCode="mm/dd/yy;@"/>
    <numFmt numFmtId="185" formatCode="#,##0_);\(#,##0\);@_)"/>
    <numFmt numFmtId="186" formatCode="&quot;Tranche &quot;0"/>
    <numFmt numFmtId="187" formatCode="#,##0.00\ [$kr.-406]"/>
    <numFmt numFmtId="188" formatCode="[$€-2]\ #,##0.00"/>
    <numFmt numFmtId="189" formatCode="[$$-409]#,##0.00"/>
    <numFmt numFmtId="190" formatCode="0.000"/>
    <numFmt numFmtId="191" formatCode="0.00\x"/>
    <numFmt numFmtId="192" formatCode="[$¥-804]#,##0.00"/>
    <numFmt numFmtId="193" formatCode="0.0\x_);\(0.0\x\);@_)"/>
    <numFmt numFmtId="194" formatCode="&quot;₩&quot;#,##0.0_);\(&quot;₩&quot;#,##0.0\);@_)"/>
    <numFmt numFmtId="195" formatCode="&quot;₩&quot;#,##0.00_);\(&quot;₩&quot;#,##0.00\);@_)"/>
    <numFmt numFmtId="196" formatCode="#,##0.0"/>
    <numFmt numFmtId="197" formatCode="&quot;₩&quot;#,##0_);\(&quot;₩&quot;#,##0\);@_)"/>
    <numFmt numFmtId="198" formatCode="#,##0.000_);\(#,##0.000\);#,##0.000_);@_)"/>
    <numFmt numFmtId="199" formatCode="[$¥-411]#,##0.0"/>
    <numFmt numFmtId="200" formatCode="[$¥-411]#,##0"/>
    <numFmt numFmtId="201" formatCode="#,##0.0\ [$kr.-406]"/>
    <numFmt numFmtId="202" formatCode="[$€-2]\ #,##0.0"/>
    <numFmt numFmtId="203" formatCode="[$$-409]#,##0.0"/>
    <numFmt numFmtId="204" formatCode="0.0\x"/>
    <numFmt numFmtId="205" formatCode="0.0_ "/>
    <numFmt numFmtId="206" formatCode="#,##0.000;\-#,##0.000"/>
    <numFmt numFmtId="207" formatCode="#,##0.000_);\(#,##0.000\)"/>
    <numFmt numFmtId="215" formatCode="0.0_);[Red]\(0.0\)"/>
  </numFmts>
  <fonts count="89">
    <font>
      <sz val="10"/>
      <name val="Arial"/>
      <family val="2"/>
    </font>
    <font>
      <sz val="8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family val="1"/>
      <charset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i/>
      <sz val="8"/>
      <name val="Arial"/>
      <family val="2"/>
    </font>
    <font>
      <b/>
      <sz val="8"/>
      <name val="Arial"/>
      <family val="2"/>
    </font>
    <font>
      <b/>
      <u/>
      <sz val="8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name val="Verdana"/>
      <family val="2"/>
    </font>
    <font>
      <sz val="11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8"/>
      <color indexed="8"/>
      <name val="굴림"/>
      <family val="3"/>
      <charset val="129"/>
    </font>
    <font>
      <sz val="8"/>
      <name val="Arial Unicode MS"/>
      <family val="3"/>
      <charset val="129"/>
    </font>
    <font>
      <b/>
      <sz val="8"/>
      <name val="Arial Unicode MS"/>
      <family val="3"/>
      <charset val="129"/>
    </font>
    <font>
      <sz val="8"/>
      <name val="Arial"/>
      <family val="2"/>
    </font>
    <font>
      <b/>
      <sz val="8"/>
      <name val="맑은 고딕"/>
      <family val="3"/>
      <charset val="129"/>
    </font>
    <font>
      <b/>
      <sz val="9"/>
      <color indexed="81"/>
      <name val="돋움"/>
      <family val="3"/>
      <charset val="129"/>
    </font>
    <font>
      <sz val="8"/>
      <color indexed="8"/>
      <name val="바탕"/>
      <family val="1"/>
      <charset val="129"/>
    </font>
    <font>
      <b/>
      <sz val="8"/>
      <name val="Arial Unicode MS"/>
      <family val="3"/>
      <charset val="129"/>
    </font>
    <font>
      <sz val="8"/>
      <name val="Arial"/>
      <family val="2"/>
    </font>
    <font>
      <b/>
      <u/>
      <sz val="11"/>
      <name val="Arial"/>
      <family val="2"/>
    </font>
    <font>
      <sz val="10"/>
      <color theme="1"/>
      <name val="Verdana"/>
      <family val="2"/>
    </font>
    <font>
      <u/>
      <sz val="10"/>
      <color theme="10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b/>
      <u val="double"/>
      <sz val="8"/>
      <color rgb="FF0000FF"/>
      <name val="Arial"/>
      <family val="2"/>
    </font>
    <font>
      <b/>
      <u/>
      <sz val="8"/>
      <color rgb="FF0000FF"/>
      <name val="Arial"/>
      <family val="2"/>
    </font>
    <font>
      <i/>
      <sz val="8"/>
      <color rgb="FF0000FF"/>
      <name val="Arial"/>
      <family val="2"/>
    </font>
    <font>
      <sz val="8"/>
      <color theme="0"/>
      <name val="Arial"/>
      <family val="2"/>
    </font>
    <font>
      <b/>
      <sz val="15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Garamond"/>
      <family val="1"/>
    </font>
    <font>
      <b/>
      <sz val="11"/>
      <color theme="0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1"/>
      <color theme="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Arial"/>
      <family val="2"/>
    </font>
    <font>
      <i/>
      <sz val="11"/>
      <color theme="1"/>
      <name val="Arial"/>
      <family val="2"/>
    </font>
    <font>
      <sz val="15"/>
      <color theme="0"/>
      <name val="Arial"/>
      <family val="2"/>
    </font>
    <font>
      <sz val="11"/>
      <color rgb="FF008000"/>
      <name val="Arial"/>
      <family val="2"/>
    </font>
    <font>
      <b/>
      <sz val="11"/>
      <color rgb="FF7030A0"/>
      <name val="Arial"/>
      <family val="2"/>
    </font>
    <font>
      <b/>
      <sz val="11"/>
      <color theme="9" tint="-0.249977111117893"/>
      <name val="Arial"/>
      <family val="2"/>
    </font>
    <font>
      <sz val="10"/>
      <color rgb="FF000000"/>
      <name val="바탕"/>
      <family val="1"/>
      <charset val="129"/>
    </font>
    <font>
      <sz val="11"/>
      <color rgb="FF000000"/>
      <name val="굴림"/>
      <family val="3"/>
      <charset val="129"/>
    </font>
    <font>
      <b/>
      <sz val="11"/>
      <color rgb="FF0000FF"/>
      <name val="Arial"/>
      <family val="2"/>
    </font>
    <font>
      <sz val="11"/>
      <color rgb="FF7030A0"/>
      <name val="Arial"/>
      <family val="2"/>
    </font>
    <font>
      <b/>
      <sz val="11"/>
      <name val="맑은 고딕"/>
      <family val="3"/>
      <charset val="129"/>
    </font>
    <font>
      <sz val="11"/>
      <name val="Arial Unicode MS"/>
      <family val="2"/>
      <charset val="129"/>
    </font>
    <font>
      <b/>
      <sz val="11"/>
      <color theme="0"/>
      <name val="Arial Unicode MS"/>
      <family val="2"/>
      <charset val="129"/>
    </font>
    <font>
      <i/>
      <sz val="11"/>
      <color rgb="FF008000"/>
      <name val="Arial"/>
      <family val="2"/>
    </font>
    <font>
      <sz val="11"/>
      <name val="Garamond"/>
      <family val="1"/>
    </font>
    <font>
      <b/>
      <sz val="11"/>
      <name val="Garamond"/>
      <family val="1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i/>
      <sz val="11"/>
      <name val="돋움"/>
      <family val="2"/>
      <charset val="129"/>
    </font>
    <font>
      <sz val="11"/>
      <name val="Segoe UI Symbol"/>
      <family val="2"/>
    </font>
    <font>
      <sz val="11"/>
      <color theme="1"/>
      <name val="맑은 고딕"/>
      <family val="2"/>
      <scheme val="minor"/>
    </font>
    <font>
      <sz val="6"/>
      <color theme="1"/>
      <name val="Garamond"/>
      <family val="1"/>
    </font>
    <font>
      <b/>
      <sz val="16"/>
      <color theme="1"/>
      <name val="Garamond"/>
      <family val="1"/>
    </font>
    <font>
      <sz val="11"/>
      <color theme="1"/>
      <name val="Garamond"/>
      <family val="1"/>
    </font>
    <font>
      <b/>
      <sz val="15"/>
      <color theme="1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color rgb="FF0000FF"/>
      <name val="Garamond"/>
      <family val="1"/>
    </font>
    <font>
      <sz val="11"/>
      <color theme="1"/>
      <name val="맑은 고딕"/>
      <family val="2"/>
      <charset val="129"/>
      <scheme val="minor"/>
    </font>
    <font>
      <i/>
      <sz val="8"/>
      <color theme="1"/>
      <name val="맑은 고딕"/>
      <family val="2"/>
      <scheme val="minor"/>
    </font>
    <font>
      <i/>
      <sz val="11"/>
      <name val="돋움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6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6">
    <xf numFmtId="0" fontId="0" fillId="0" borderId="0"/>
    <xf numFmtId="0" fontId="14" fillId="0" borderId="0" applyAlignment="0"/>
    <xf numFmtId="0" fontId="15" fillId="0" borderId="0" applyAlignment="0"/>
    <xf numFmtId="0" fontId="7" fillId="2" borderId="0" applyAlignment="0"/>
    <xf numFmtId="0" fontId="13" fillId="0" borderId="0" applyAlignment="0"/>
    <xf numFmtId="0" fontId="5" fillId="3" borderId="0" applyAlignment="0"/>
    <xf numFmtId="0" fontId="4" fillId="4" borderId="0" applyAlignment="0"/>
    <xf numFmtId="0" fontId="3" fillId="0" borderId="0" applyAlignment="0"/>
    <xf numFmtId="0" fontId="39" fillId="0" borderId="0"/>
    <xf numFmtId="0" fontId="19" fillId="0" borderId="0"/>
    <xf numFmtId="0" fontId="24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9" fillId="0" borderId="0"/>
    <xf numFmtId="0" fontId="6" fillId="5" borderId="0" applyAlignment="0"/>
    <xf numFmtId="0" fontId="10" fillId="0" borderId="0" applyAlignment="0"/>
    <xf numFmtId="0" fontId="9" fillId="0" borderId="0" applyAlignment="0"/>
    <xf numFmtId="0" fontId="11" fillId="0" borderId="0" applyAlignment="0"/>
    <xf numFmtId="0" fontId="12" fillId="0" borderId="0" applyAlignment="0"/>
    <xf numFmtId="0" fontId="8" fillId="0" borderId="0" applyAlignment="0"/>
    <xf numFmtId="0" fontId="2" fillId="0" borderId="0" applyAlignment="0"/>
    <xf numFmtId="9" fontId="19" fillId="0" borderId="0" applyFont="0" applyFill="0" applyBorder="0" applyAlignment="0" applyProtection="0"/>
    <xf numFmtId="0" fontId="19" fillId="0" borderId="0" applyFill="0" applyBorder="0" applyProtection="0">
      <protection locked="0"/>
    </xf>
    <xf numFmtId="0" fontId="40" fillId="0" borderId="0" applyNumberFormat="0" applyFill="0" applyBorder="0" applyAlignment="0" applyProtection="0"/>
    <xf numFmtId="0" fontId="79" fillId="0" borderId="0"/>
    <xf numFmtId="0" fontId="86" fillId="0" borderId="0">
      <alignment vertical="center"/>
    </xf>
  </cellStyleXfs>
  <cellXfs count="336">
    <xf numFmtId="0" fontId="1" fillId="0" borderId="0" xfId="0" applyFont="1"/>
    <xf numFmtId="0" fontId="2" fillId="0" borderId="0" xfId="0" applyFont="1"/>
    <xf numFmtId="0" fontId="17" fillId="0" borderId="0" xfId="0" applyFont="1"/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3" fillId="0" borderId="0" xfId="4" applyAlignment="1"/>
    <xf numFmtId="0" fontId="16" fillId="0" borderId="0" xfId="0" applyFont="1"/>
    <xf numFmtId="176" fontId="8" fillId="0" borderId="0" xfId="0" applyNumberFormat="1" applyFont="1" applyAlignment="1">
      <alignment horizontal="left" vertical="top"/>
    </xf>
    <xf numFmtId="176" fontId="1" fillId="0" borderId="0" xfId="0" applyNumberFormat="1" applyFont="1"/>
    <xf numFmtId="0" fontId="1" fillId="0" borderId="0" xfId="0" applyFont="1" applyAlignment="1">
      <alignment horizontal="left" vertical="center"/>
    </xf>
    <xf numFmtId="176" fontId="41" fillId="0" borderId="0" xfId="0" applyNumberFormat="1" applyFont="1" applyAlignment="1">
      <alignment horizontal="left" vertical="top"/>
    </xf>
    <xf numFmtId="178" fontId="42" fillId="0" borderId="0" xfId="0" applyNumberFormat="1" applyFont="1" applyAlignment="1">
      <alignment horizontal="right" vertical="top" wrapText="1"/>
    </xf>
    <xf numFmtId="178" fontId="41" fillId="0" borderId="0" xfId="0" applyNumberFormat="1" applyFont="1" applyAlignment="1">
      <alignment horizontal="right" vertical="top" wrapText="1"/>
    </xf>
    <xf numFmtId="178" fontId="42" fillId="0" borderId="2" xfId="0" applyNumberFormat="1" applyFont="1" applyBorder="1" applyAlignment="1">
      <alignment horizontal="right" vertical="top" wrapText="1"/>
    </xf>
    <xf numFmtId="178" fontId="41" fillId="0" borderId="0" xfId="0" applyNumberFormat="1" applyFont="1" applyAlignment="1">
      <alignment horizontal="left" vertical="top"/>
    </xf>
    <xf numFmtId="178" fontId="43" fillId="0" borderId="2" xfId="0" applyNumberFormat="1" applyFont="1" applyBorder="1" applyAlignment="1">
      <alignment horizontal="right" vertical="top" wrapText="1"/>
    </xf>
    <xf numFmtId="178" fontId="44" fillId="0" borderId="0" xfId="0" applyNumberFormat="1" applyFont="1" applyAlignment="1">
      <alignment horizontal="right" vertical="top" wrapText="1"/>
    </xf>
    <xf numFmtId="178" fontId="43" fillId="0" borderId="0" xfId="0" applyNumberFormat="1" applyFont="1" applyAlignment="1">
      <alignment horizontal="right" vertical="top" wrapText="1"/>
    </xf>
    <xf numFmtId="178" fontId="41" fillId="0" borderId="0" xfId="0" applyNumberFormat="1" applyFont="1" applyAlignment="1">
      <alignment horizontal="right" vertical="top"/>
    </xf>
    <xf numFmtId="178" fontId="45" fillId="0" borderId="0" xfId="0" applyNumberFormat="1" applyFont="1" applyAlignment="1">
      <alignment horizontal="right" vertical="top"/>
    </xf>
    <xf numFmtId="178" fontId="1" fillId="0" borderId="0" xfId="0" applyNumberFormat="1" applyFont="1"/>
    <xf numFmtId="0" fontId="46" fillId="8" borderId="0" xfId="0" applyFont="1" applyFill="1"/>
    <xf numFmtId="179" fontId="47" fillId="8" borderId="0" xfId="0" applyNumberFormat="1" applyFont="1" applyFill="1"/>
    <xf numFmtId="179" fontId="48" fillId="8" borderId="0" xfId="0" applyNumberFormat="1" applyFont="1" applyFill="1"/>
    <xf numFmtId="9" fontId="45" fillId="0" borderId="0" xfId="0" applyNumberFormat="1" applyFont="1" applyAlignment="1">
      <alignment horizontal="right" vertical="top"/>
    </xf>
    <xf numFmtId="0" fontId="18" fillId="0" borderId="0" xfId="0" applyFont="1" applyAlignment="1">
      <alignment horizontal="left" vertical="top"/>
    </xf>
    <xf numFmtId="0" fontId="49" fillId="8" borderId="0" xfId="13" applyFont="1" applyFill="1"/>
    <xf numFmtId="9" fontId="16" fillId="0" borderId="0" xfId="0" applyNumberFormat="1" applyFont="1" applyAlignment="1">
      <alignment horizontal="right" vertical="top"/>
    </xf>
    <xf numFmtId="179" fontId="0" fillId="8" borderId="0" xfId="0" applyNumberFormat="1" applyFill="1"/>
    <xf numFmtId="0" fontId="50" fillId="8" borderId="0" xfId="0" applyFont="1" applyFill="1"/>
    <xf numFmtId="0" fontId="25" fillId="0" borderId="0" xfId="0" applyFont="1"/>
    <xf numFmtId="0" fontId="25" fillId="8" borderId="0" xfId="0" applyFont="1" applyFill="1"/>
    <xf numFmtId="0" fontId="26" fillId="0" borderId="0" xfId="0" applyFont="1"/>
    <xf numFmtId="0" fontId="25" fillId="6" borderId="0" xfId="0" applyFont="1" applyFill="1" applyAlignment="1">
      <alignment horizontal="center" vertical="center" wrapText="1"/>
    </xf>
    <xf numFmtId="0" fontId="25" fillId="6" borderId="0" xfId="0" applyFont="1" applyFill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6" borderId="0" xfId="0" applyFont="1" applyFill="1" applyAlignment="1">
      <alignment horizontal="center"/>
    </xf>
    <xf numFmtId="183" fontId="25" fillId="0" borderId="0" xfId="0" applyNumberFormat="1" applyFont="1"/>
    <xf numFmtId="184" fontId="25" fillId="0" borderId="0" xfId="0" applyNumberFormat="1" applyFont="1" applyAlignment="1">
      <alignment horizontal="center"/>
    </xf>
    <xf numFmtId="185" fontId="25" fillId="0" borderId="0" xfId="0" applyNumberFormat="1" applyFont="1"/>
    <xf numFmtId="181" fontId="25" fillId="0" borderId="0" xfId="0" applyNumberFormat="1" applyFont="1"/>
    <xf numFmtId="181" fontId="51" fillId="0" borderId="0" xfId="0" applyNumberFormat="1" applyFont="1"/>
    <xf numFmtId="0" fontId="27" fillId="0" borderId="0" xfId="0" applyFont="1"/>
    <xf numFmtId="0" fontId="52" fillId="0" borderId="0" xfId="0" applyFont="1" applyAlignment="1">
      <alignment horizontal="left" indent="1"/>
    </xf>
    <xf numFmtId="186" fontId="25" fillId="0" borderId="0" xfId="0" applyNumberFormat="1" applyFont="1" applyAlignment="1">
      <alignment horizontal="left" indent="1"/>
    </xf>
    <xf numFmtId="0" fontId="25" fillId="0" borderId="0" xfId="0" applyFont="1" applyAlignment="1">
      <alignment horizontal="left" indent="1"/>
    </xf>
    <xf numFmtId="0" fontId="52" fillId="0" borderId="0" xfId="0" applyFont="1"/>
    <xf numFmtId="0" fontId="53" fillId="0" borderId="0" xfId="0" applyFont="1"/>
    <xf numFmtId="0" fontId="25" fillId="10" borderId="0" xfId="0" applyFont="1" applyFill="1"/>
    <xf numFmtId="0" fontId="53" fillId="0" borderId="0" xfId="0" applyFont="1" applyAlignment="1">
      <alignment horizontal="left"/>
    </xf>
    <xf numFmtId="180" fontId="26" fillId="0" borderId="0" xfId="0" applyNumberFormat="1" applyFont="1"/>
    <xf numFmtId="177" fontId="25" fillId="0" borderId="0" xfId="0" applyNumberFormat="1" applyFont="1"/>
    <xf numFmtId="191" fontId="25" fillId="0" borderId="0" xfId="0" applyNumberFormat="1" applyFont="1"/>
    <xf numFmtId="0" fontId="1" fillId="10" borderId="0" xfId="0" applyFont="1" applyFill="1"/>
    <xf numFmtId="0" fontId="52" fillId="0" borderId="14" xfId="0" applyFont="1" applyBorder="1" applyAlignment="1">
      <alignment horizontal="centerContinuous"/>
    </xf>
    <xf numFmtId="0" fontId="28" fillId="0" borderId="15" xfId="0" applyFont="1" applyBorder="1" applyAlignment="1">
      <alignment horizontal="right"/>
    </xf>
    <xf numFmtId="0" fontId="28" fillId="0" borderId="15" xfId="0" applyFont="1" applyBorder="1" applyAlignment="1">
      <alignment horizontal="right" wrapText="1"/>
    </xf>
    <xf numFmtId="193" fontId="25" fillId="0" borderId="0" xfId="0" applyNumberFormat="1" applyFont="1" applyAlignment="1">
      <alignment horizontal="right"/>
    </xf>
    <xf numFmtId="193" fontId="25" fillId="0" borderId="14" xfId="0" applyNumberFormat="1" applyFont="1" applyBorder="1" applyAlignment="1">
      <alignment horizontal="centerContinuous"/>
    </xf>
    <xf numFmtId="0" fontId="54" fillId="0" borderId="15" xfId="0" applyFont="1" applyBorder="1" applyAlignment="1">
      <alignment horizontal="left" wrapText="1"/>
    </xf>
    <xf numFmtId="0" fontId="54" fillId="0" borderId="15" xfId="0" applyFont="1" applyBorder="1" applyAlignment="1">
      <alignment horizontal="right" wrapText="1"/>
    </xf>
    <xf numFmtId="0" fontId="25" fillId="0" borderId="16" xfId="0" applyFont="1" applyBorder="1"/>
    <xf numFmtId="0" fontId="55" fillId="0" borderId="0" xfId="0" applyFont="1"/>
    <xf numFmtId="2" fontId="25" fillId="0" borderId="0" xfId="0" applyNumberFormat="1" applyFont="1"/>
    <xf numFmtId="191" fontId="25" fillId="0" borderId="16" xfId="0" applyNumberFormat="1" applyFont="1" applyBorder="1"/>
    <xf numFmtId="0" fontId="25" fillId="0" borderId="0" xfId="0" applyFont="1" applyAlignment="1">
      <alignment horizontal="left" indent="2"/>
    </xf>
    <xf numFmtId="178" fontId="8" fillId="0" borderId="0" xfId="0" applyNumberFormat="1" applyFont="1" applyAlignment="1">
      <alignment horizontal="left" vertical="top"/>
    </xf>
    <xf numFmtId="187" fontId="54" fillId="0" borderId="0" xfId="0" applyNumberFormat="1" applyFont="1"/>
    <xf numFmtId="188" fontId="54" fillId="0" borderId="0" xfId="0" applyNumberFormat="1" applyFont="1"/>
    <xf numFmtId="189" fontId="54" fillId="0" borderId="0" xfId="0" applyNumberFormat="1" applyFont="1"/>
    <xf numFmtId="0" fontId="56" fillId="0" borderId="0" xfId="0" applyFont="1"/>
    <xf numFmtId="0" fontId="40" fillId="0" borderId="0" xfId="23"/>
    <xf numFmtId="0" fontId="5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7" fillId="7" borderId="6" xfId="0" applyFont="1" applyFill="1" applyBorder="1" applyAlignment="1">
      <alignment horizontal="left" vertical="center"/>
    </xf>
    <xf numFmtId="0" fontId="57" fillId="0" borderId="8" xfId="0" applyFont="1" applyBorder="1" applyAlignment="1">
      <alignment horizontal="left" vertical="center"/>
    </xf>
    <xf numFmtId="0" fontId="57" fillId="0" borderId="9" xfId="0" applyFont="1" applyBorder="1" applyAlignment="1">
      <alignment horizontal="left" vertical="center"/>
    </xf>
    <xf numFmtId="0" fontId="57" fillId="0" borderId="10" xfId="0" applyFont="1" applyBorder="1" applyAlignment="1">
      <alignment horizontal="left" vertical="center"/>
    </xf>
    <xf numFmtId="0" fontId="57" fillId="0" borderId="8" xfId="0" applyFont="1" applyBorder="1" applyAlignment="1">
      <alignment horizontal="left" vertical="center" indent="1"/>
    </xf>
    <xf numFmtId="0" fontId="57" fillId="0" borderId="11" xfId="0" applyFont="1" applyBorder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57" fillId="0" borderId="8" xfId="0" applyFont="1" applyBorder="1" applyAlignment="1">
      <alignment horizontal="left" vertical="top"/>
    </xf>
    <xf numFmtId="0" fontId="57" fillId="0" borderId="9" xfId="0" applyFont="1" applyBorder="1" applyAlignment="1">
      <alignment horizontal="left" vertical="top"/>
    </xf>
    <xf numFmtId="0" fontId="57" fillId="0" borderId="10" xfId="0" applyFont="1" applyBorder="1" applyAlignment="1">
      <alignment horizontal="left" vertical="top"/>
    </xf>
    <xf numFmtId="3" fontId="57" fillId="0" borderId="9" xfId="0" applyNumberFormat="1" applyFont="1" applyBorder="1" applyAlignment="1">
      <alignment horizontal="left" vertical="top"/>
    </xf>
    <xf numFmtId="3" fontId="57" fillId="0" borderId="10" xfId="0" applyNumberFormat="1" applyFont="1" applyBorder="1" applyAlignment="1">
      <alignment horizontal="left" vertical="top"/>
    </xf>
    <xf numFmtId="0" fontId="57" fillId="0" borderId="11" xfId="0" applyFont="1" applyBorder="1" applyAlignment="1">
      <alignment horizontal="left" vertical="top"/>
    </xf>
    <xf numFmtId="0" fontId="57" fillId="0" borderId="12" xfId="0" applyFont="1" applyBorder="1" applyAlignment="1">
      <alignment horizontal="left" vertical="top"/>
    </xf>
    <xf numFmtId="3" fontId="57" fillId="0" borderId="12" xfId="0" applyNumberFormat="1" applyFont="1" applyBorder="1" applyAlignment="1">
      <alignment horizontal="left" vertical="top"/>
    </xf>
    <xf numFmtId="3" fontId="57" fillId="0" borderId="13" xfId="0" applyNumberFormat="1" applyFont="1" applyBorder="1" applyAlignment="1">
      <alignment horizontal="left" vertical="top"/>
    </xf>
    <xf numFmtId="0" fontId="58" fillId="0" borderId="0" xfId="0" applyFont="1" applyAlignment="1">
      <alignment horizontal="left" vertical="center"/>
    </xf>
    <xf numFmtId="180" fontId="55" fillId="0" borderId="0" xfId="0" applyNumberFormat="1" applyFont="1"/>
    <xf numFmtId="192" fontId="54" fillId="0" borderId="0" xfId="0" applyNumberFormat="1" applyFont="1"/>
    <xf numFmtId="195" fontId="54" fillId="0" borderId="0" xfId="0" applyNumberFormat="1" applyFont="1"/>
    <xf numFmtId="196" fontId="57" fillId="0" borderId="10" xfId="0" applyNumberFormat="1" applyFont="1" applyBorder="1" applyAlignment="1">
      <alignment horizontal="right" vertical="center"/>
    </xf>
    <xf numFmtId="196" fontId="57" fillId="0" borderId="9" xfId="0" applyNumberFormat="1" applyFont="1" applyBorder="1" applyAlignment="1">
      <alignment horizontal="right" vertical="center"/>
    </xf>
    <xf numFmtId="196" fontId="57" fillId="0" borderId="13" xfId="0" applyNumberFormat="1" applyFont="1" applyBorder="1" applyAlignment="1">
      <alignment horizontal="right" vertical="center"/>
    </xf>
    <xf numFmtId="196" fontId="1" fillId="0" borderId="0" xfId="0" applyNumberFormat="1" applyFont="1"/>
    <xf numFmtId="196" fontId="57" fillId="11" borderId="9" xfId="0" applyNumberFormat="1" applyFont="1" applyFill="1" applyBorder="1" applyAlignment="1">
      <alignment horizontal="right" vertical="center"/>
    </xf>
    <xf numFmtId="0" fontId="25" fillId="0" borderId="17" xfId="0" applyFont="1" applyBorder="1"/>
    <xf numFmtId="0" fontId="25" fillId="0" borderId="15" xfId="0" applyFont="1" applyBorder="1"/>
    <xf numFmtId="183" fontId="25" fillId="0" borderId="17" xfId="0" applyNumberFormat="1" applyFont="1" applyBorder="1"/>
    <xf numFmtId="194" fontId="26" fillId="0" borderId="0" xfId="0" applyNumberFormat="1" applyFont="1"/>
    <xf numFmtId="197" fontId="27" fillId="0" borderId="0" xfId="0" applyNumberFormat="1" applyFont="1"/>
    <xf numFmtId="197" fontId="25" fillId="0" borderId="0" xfId="0" applyNumberFormat="1" applyFont="1"/>
    <xf numFmtId="197" fontId="26" fillId="0" borderId="0" xfId="0" applyNumberFormat="1" applyFont="1"/>
    <xf numFmtId="185" fontId="51" fillId="0" borderId="0" xfId="0" applyNumberFormat="1" applyFont="1"/>
    <xf numFmtId="0" fontId="59" fillId="9" borderId="3" xfId="0" applyFont="1" applyFill="1" applyBorder="1" applyAlignment="1">
      <alignment horizontal="center"/>
    </xf>
    <xf numFmtId="198" fontId="51" fillId="9" borderId="0" xfId="0" applyNumberFormat="1" applyFont="1" applyFill="1"/>
    <xf numFmtId="181" fontId="51" fillId="9" borderId="0" xfId="0" applyNumberFormat="1" applyFont="1" applyFill="1"/>
    <xf numFmtId="0" fontId="25" fillId="9" borderId="0" xfId="0" applyFont="1" applyFill="1"/>
    <xf numFmtId="2" fontId="51" fillId="9" borderId="0" xfId="0" applyNumberFormat="1" applyFont="1" applyFill="1"/>
    <xf numFmtId="182" fontId="51" fillId="9" borderId="0" xfId="0" applyNumberFormat="1" applyFont="1" applyFill="1"/>
    <xf numFmtId="192" fontId="51" fillId="9" borderId="0" xfId="0" applyNumberFormat="1" applyFont="1" applyFill="1"/>
    <xf numFmtId="187" fontId="51" fillId="9" borderId="0" xfId="0" applyNumberFormat="1" applyFont="1" applyFill="1"/>
    <xf numFmtId="188" fontId="51" fillId="9" borderId="0" xfId="0" applyNumberFormat="1" applyFont="1" applyFill="1"/>
    <xf numFmtId="189" fontId="51" fillId="9" borderId="0" xfId="0" applyNumberFormat="1" applyFont="1" applyFill="1"/>
    <xf numFmtId="0" fontId="51" fillId="9" borderId="0" xfId="0" applyFont="1" applyFill="1"/>
    <xf numFmtId="14" fontId="25" fillId="0" borderId="0" xfId="0" applyNumberFormat="1" applyFont="1" applyAlignment="1">
      <alignment horizontal="center"/>
    </xf>
    <xf numFmtId="0" fontId="56" fillId="8" borderId="0" xfId="0" applyFont="1" applyFill="1" applyAlignment="1">
      <alignment horizontal="center"/>
    </xf>
    <xf numFmtId="195" fontId="51" fillId="9" borderId="0" xfId="0" applyNumberFormat="1" applyFont="1" applyFill="1"/>
    <xf numFmtId="0" fontId="25" fillId="6" borderId="4" xfId="0" applyFont="1" applyFill="1" applyBorder="1" applyAlignment="1">
      <alignment horizontal="center"/>
    </xf>
    <xf numFmtId="198" fontId="25" fillId="0" borderId="0" xfId="0" applyNumberFormat="1" applyFont="1"/>
    <xf numFmtId="194" fontId="51" fillId="9" borderId="0" xfId="0" applyNumberFormat="1" applyFont="1" applyFill="1"/>
    <xf numFmtId="183" fontId="51" fillId="9" borderId="0" xfId="0" applyNumberFormat="1" applyFont="1" applyFill="1"/>
    <xf numFmtId="194" fontId="54" fillId="0" borderId="0" xfId="0" applyNumberFormat="1" applyFont="1"/>
    <xf numFmtId="197" fontId="54" fillId="0" borderId="0" xfId="0" applyNumberFormat="1" applyFont="1"/>
    <xf numFmtId="199" fontId="54" fillId="0" borderId="0" xfId="0" applyNumberFormat="1" applyFont="1"/>
    <xf numFmtId="200" fontId="54" fillId="0" borderId="0" xfId="0" applyNumberFormat="1" applyFont="1"/>
    <xf numFmtId="196" fontId="54" fillId="0" borderId="0" xfId="0" applyNumberFormat="1" applyFont="1"/>
    <xf numFmtId="201" fontId="54" fillId="0" borderId="0" xfId="0" applyNumberFormat="1" applyFont="1"/>
    <xf numFmtId="202" fontId="54" fillId="0" borderId="0" xfId="0" applyNumberFormat="1" applyFont="1"/>
    <xf numFmtId="203" fontId="54" fillId="0" borderId="0" xfId="0" applyNumberFormat="1" applyFont="1"/>
    <xf numFmtId="196" fontId="27" fillId="0" borderId="0" xfId="0" applyNumberFormat="1" applyFont="1"/>
    <xf numFmtId="196" fontId="57" fillId="0" borderId="12" xfId="0" applyNumberFormat="1" applyFont="1" applyBorder="1" applyAlignment="1">
      <alignment horizontal="right" vertical="center"/>
    </xf>
    <xf numFmtId="0" fontId="60" fillId="0" borderId="0" xfId="0" applyFont="1"/>
    <xf numFmtId="177" fontId="51" fillId="9" borderId="0" xfId="0" applyNumberFormat="1" applyFont="1" applyFill="1"/>
    <xf numFmtId="0" fontId="25" fillId="0" borderId="0" xfId="0" applyFont="1" applyAlignment="1">
      <alignment horizontal="right"/>
    </xf>
    <xf numFmtId="0" fontId="60" fillId="0" borderId="0" xfId="0" applyFont="1" applyAlignment="1">
      <alignment horizontal="left" indent="1"/>
    </xf>
    <xf numFmtId="199" fontId="51" fillId="9" borderId="0" xfId="0" applyNumberFormat="1" applyFont="1" applyFill="1"/>
    <xf numFmtId="201" fontId="51" fillId="9" borderId="0" xfId="0" applyNumberFormat="1" applyFont="1" applyFill="1"/>
    <xf numFmtId="202" fontId="51" fillId="9" borderId="0" xfId="0" applyNumberFormat="1" applyFont="1" applyFill="1"/>
    <xf numFmtId="203" fontId="51" fillId="9" borderId="0" xfId="0" applyNumberFormat="1" applyFont="1" applyFill="1"/>
    <xf numFmtId="185" fontId="51" fillId="9" borderId="0" xfId="0" applyNumberFormat="1" applyFont="1" applyFill="1"/>
    <xf numFmtId="200" fontId="51" fillId="9" borderId="0" xfId="0" applyNumberFormat="1" applyFont="1" applyFill="1"/>
    <xf numFmtId="204" fontId="25" fillId="0" borderId="0" xfId="0" applyNumberFormat="1" applyFont="1"/>
    <xf numFmtId="3" fontId="25" fillId="0" borderId="0" xfId="0" applyNumberFormat="1" applyFont="1"/>
    <xf numFmtId="37" fontId="25" fillId="0" borderId="0" xfId="0" applyNumberFormat="1" applyFont="1"/>
    <xf numFmtId="198" fontId="25" fillId="0" borderId="17" xfId="0" applyNumberFormat="1" applyFont="1" applyBorder="1"/>
    <xf numFmtId="0" fontId="25" fillId="0" borderId="15" xfId="0" applyFont="1" applyBorder="1" applyAlignment="1">
      <alignment horizontal="right"/>
    </xf>
    <xf numFmtId="204" fontId="25" fillId="0" borderId="17" xfId="0" applyNumberFormat="1" applyFont="1" applyBorder="1"/>
    <xf numFmtId="198" fontId="27" fillId="0" borderId="0" xfId="0" applyNumberFormat="1" applyFont="1"/>
    <xf numFmtId="190" fontId="25" fillId="0" borderId="0" xfId="0" applyNumberFormat="1" applyFont="1"/>
    <xf numFmtId="196" fontId="57" fillId="0" borderId="0" xfId="0" applyNumberFormat="1" applyFont="1" applyAlignment="1">
      <alignment horizontal="right" vertical="center"/>
    </xf>
    <xf numFmtId="14" fontId="25" fillId="0" borderId="0" xfId="0" applyNumberFormat="1" applyFont="1" applyAlignment="1">
      <alignment horizontal="right"/>
    </xf>
    <xf numFmtId="0" fontId="56" fillId="8" borderId="1" xfId="0" applyFont="1" applyFill="1" applyBorder="1" applyAlignment="1">
      <alignment horizontal="center"/>
    </xf>
    <xf numFmtId="0" fontId="56" fillId="8" borderId="0" xfId="0" applyFont="1" applyFill="1"/>
    <xf numFmtId="0" fontId="47" fillId="8" borderId="0" xfId="0" applyFont="1" applyFill="1"/>
    <xf numFmtId="0" fontId="61" fillId="8" borderId="0" xfId="0" applyFont="1" applyFill="1"/>
    <xf numFmtId="0" fontId="56" fillId="12" borderId="0" xfId="0" applyFont="1" applyFill="1" applyAlignment="1">
      <alignment horizontal="left"/>
    </xf>
    <xf numFmtId="0" fontId="56" fillId="12" borderId="0" xfId="0" applyFont="1" applyFill="1" applyAlignment="1">
      <alignment horizontal="right"/>
    </xf>
    <xf numFmtId="0" fontId="56" fillId="12" borderId="0" xfId="0" applyFont="1" applyFill="1"/>
    <xf numFmtId="190" fontId="56" fillId="12" borderId="0" xfId="0" applyNumberFormat="1" applyFont="1" applyFill="1" applyAlignment="1">
      <alignment horizontal="right"/>
    </xf>
    <xf numFmtId="0" fontId="50" fillId="0" borderId="0" xfId="0" applyFont="1"/>
    <xf numFmtId="0" fontId="27" fillId="6" borderId="0" xfId="0" applyFont="1" applyFill="1"/>
    <xf numFmtId="0" fontId="25" fillId="6" borderId="0" xfId="0" applyFont="1" applyFill="1" applyAlignment="1">
      <alignment horizontal="left" vertical="center" wrapText="1"/>
    </xf>
    <xf numFmtId="0" fontId="47" fillId="0" borderId="0" xfId="0" applyFont="1"/>
    <xf numFmtId="0" fontId="61" fillId="0" borderId="0" xfId="0" applyFont="1"/>
    <xf numFmtId="0" fontId="27" fillId="6" borderId="1" xfId="0" applyFont="1" applyFill="1" applyBorder="1"/>
    <xf numFmtId="0" fontId="25" fillId="6" borderId="1" xfId="0" applyFont="1" applyFill="1" applyBorder="1"/>
    <xf numFmtId="197" fontId="25" fillId="6" borderId="1" xfId="0" applyNumberFormat="1" applyFont="1" applyFill="1" applyBorder="1"/>
    <xf numFmtId="0" fontId="26" fillId="0" borderId="0" xfId="0" applyFont="1" applyAlignment="1">
      <alignment horizontal="right"/>
    </xf>
    <xf numFmtId="0" fontId="27" fillId="0" borderId="14" xfId="0" applyFont="1" applyBorder="1" applyAlignment="1">
      <alignment horizontal="centerContinuous"/>
    </xf>
    <xf numFmtId="0" fontId="25" fillId="13" borderId="0" xfId="0" applyFont="1" applyFill="1"/>
    <xf numFmtId="204" fontId="25" fillId="13" borderId="0" xfId="0" applyNumberFormat="1" applyFont="1" applyFill="1"/>
    <xf numFmtId="204" fontId="25" fillId="13" borderId="0" xfId="0" applyNumberFormat="1" applyFont="1" applyFill="1" applyAlignment="1">
      <alignment horizontal="right"/>
    </xf>
    <xf numFmtId="0" fontId="54" fillId="10" borderId="0" xfId="0" applyFont="1" applyFill="1" applyAlignment="1">
      <alignment horizontal="right" wrapText="1"/>
    </xf>
    <xf numFmtId="0" fontId="6" fillId="5" borderId="0" xfId="0" applyFont="1" applyFill="1"/>
    <xf numFmtId="0" fontId="11" fillId="2" borderId="0" xfId="0" applyFont="1" applyFill="1" applyAlignment="1">
      <alignment wrapText="1"/>
    </xf>
    <xf numFmtId="14" fontId="11" fillId="2" borderId="0" xfId="0" applyNumberFormat="1" applyFont="1" applyFill="1" applyAlignment="1">
      <alignment wrapText="1"/>
    </xf>
    <xf numFmtId="49" fontId="1" fillId="0" borderId="0" xfId="0" applyNumberFormat="1" applyFont="1"/>
    <xf numFmtId="0" fontId="8" fillId="0" borderId="0" xfId="0" applyFont="1" applyAlignment="1">
      <alignment horizontal="left" vertical="center"/>
    </xf>
    <xf numFmtId="184" fontId="25" fillId="0" borderId="0" xfId="0" applyNumberFormat="1" applyFont="1" applyAlignment="1">
      <alignment horizontal="right"/>
    </xf>
    <xf numFmtId="0" fontId="0" fillId="14" borderId="5" xfId="0" applyFill="1" applyBorder="1"/>
    <xf numFmtId="0" fontId="57" fillId="7" borderId="18" xfId="0" applyFont="1" applyFill="1" applyBorder="1" applyAlignment="1">
      <alignment horizontal="left" vertical="center"/>
    </xf>
    <xf numFmtId="0" fontId="57" fillId="7" borderId="19" xfId="0" applyFont="1" applyFill="1" applyBorder="1" applyAlignment="1">
      <alignment horizontal="left" vertical="center"/>
    </xf>
    <xf numFmtId="0" fontId="57" fillId="0" borderId="8" xfId="0" applyFont="1" applyBorder="1" applyAlignment="1">
      <alignment horizontal="left" vertical="center" indent="2"/>
    </xf>
    <xf numFmtId="0" fontId="57" fillId="0" borderId="11" xfId="0" applyFont="1" applyBorder="1" applyAlignment="1">
      <alignment horizontal="left" vertical="center" indent="1"/>
    </xf>
    <xf numFmtId="0" fontId="42" fillId="0" borderId="0" xfId="0" applyFont="1" applyAlignment="1">
      <alignment horizontal="left" vertical="center"/>
    </xf>
    <xf numFmtId="0" fontId="57" fillId="7" borderId="20" xfId="0" applyFont="1" applyFill="1" applyBorder="1" applyAlignment="1">
      <alignment horizontal="left" vertical="center"/>
    </xf>
    <xf numFmtId="0" fontId="57" fillId="7" borderId="21" xfId="0" applyFont="1" applyFill="1" applyBorder="1" applyAlignment="1">
      <alignment horizontal="left" vertical="center"/>
    </xf>
    <xf numFmtId="0" fontId="57" fillId="7" borderId="18" xfId="0" applyFont="1" applyFill="1" applyBorder="1" applyAlignment="1">
      <alignment horizontal="right" vertical="center"/>
    </xf>
    <xf numFmtId="0" fontId="57" fillId="7" borderId="19" xfId="0" applyFont="1" applyFill="1" applyBorder="1" applyAlignment="1">
      <alignment horizontal="right" vertical="center"/>
    </xf>
    <xf numFmtId="0" fontId="57" fillId="0" borderId="9" xfId="0" applyFont="1" applyBorder="1" applyAlignment="1">
      <alignment horizontal="right" vertical="center"/>
    </xf>
    <xf numFmtId="0" fontId="57" fillId="0" borderId="10" xfId="0" applyFont="1" applyBorder="1" applyAlignment="1">
      <alignment horizontal="right" vertical="center"/>
    </xf>
    <xf numFmtId="3" fontId="57" fillId="0" borderId="10" xfId="0" applyNumberFormat="1" applyFont="1" applyBorder="1" applyAlignment="1">
      <alignment horizontal="right" vertical="center"/>
    </xf>
    <xf numFmtId="3" fontId="57" fillId="0" borderId="9" xfId="0" applyNumberFormat="1" applyFont="1" applyBorder="1" applyAlignment="1">
      <alignment horizontal="right" vertical="center"/>
    </xf>
    <xf numFmtId="0" fontId="57" fillId="0" borderId="12" xfId="0" applyFont="1" applyBorder="1" applyAlignment="1">
      <alignment horizontal="right" vertical="center"/>
    </xf>
    <xf numFmtId="3" fontId="57" fillId="0" borderId="13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7" fillId="0" borderId="0" xfId="0" applyFont="1" applyAlignment="1">
      <alignment horizontal="right" vertical="center"/>
    </xf>
    <xf numFmtId="0" fontId="25" fillId="0" borderId="0" xfId="0" applyFont="1" applyAlignment="1">
      <alignment wrapText="1"/>
    </xf>
    <xf numFmtId="3" fontId="1" fillId="0" borderId="0" xfId="0" applyNumberFormat="1" applyFont="1" applyAlignment="1">
      <alignment horizontal="left" vertical="center"/>
    </xf>
    <xf numFmtId="0" fontId="57" fillId="7" borderId="9" xfId="0" applyFont="1" applyFill="1" applyBorder="1" applyAlignment="1">
      <alignment horizontal="right" vertical="center"/>
    </xf>
    <xf numFmtId="3" fontId="57" fillId="0" borderId="12" xfId="0" applyNumberFormat="1" applyFont="1" applyBorder="1" applyAlignment="1">
      <alignment horizontal="right" vertical="center"/>
    </xf>
    <xf numFmtId="0" fontId="57" fillId="0" borderId="13" xfId="0" applyFont="1" applyBorder="1" applyAlignment="1">
      <alignment horizontal="right" vertical="center"/>
    </xf>
    <xf numFmtId="0" fontId="65" fillId="0" borderId="0" xfId="0" applyFont="1"/>
    <xf numFmtId="0" fontId="57" fillId="15" borderId="8" xfId="0" applyFont="1" applyFill="1" applyBorder="1" applyAlignment="1">
      <alignment horizontal="left" vertical="center" indent="1"/>
    </xf>
    <xf numFmtId="3" fontId="57" fillId="15" borderId="9" xfId="0" applyNumberFormat="1" applyFont="1" applyFill="1" applyBorder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57" fillId="15" borderId="8" xfId="0" applyFont="1" applyFill="1" applyBorder="1" applyAlignment="1">
      <alignment horizontal="left" vertical="center"/>
    </xf>
    <xf numFmtId="0" fontId="57" fillId="15" borderId="9" xfId="0" applyFont="1" applyFill="1" applyBorder="1" applyAlignment="1">
      <alignment horizontal="right" vertical="center"/>
    </xf>
    <xf numFmtId="3" fontId="57" fillId="15" borderId="10" xfId="0" applyNumberFormat="1" applyFont="1" applyFill="1" applyBorder="1" applyAlignment="1">
      <alignment horizontal="right" vertical="center"/>
    </xf>
    <xf numFmtId="0" fontId="57" fillId="16" borderId="8" xfId="0" applyFont="1" applyFill="1" applyBorder="1" applyAlignment="1">
      <alignment horizontal="left" vertical="center" indent="1"/>
    </xf>
    <xf numFmtId="3" fontId="57" fillId="16" borderId="9" xfId="0" applyNumberFormat="1" applyFont="1" applyFill="1" applyBorder="1" applyAlignment="1">
      <alignment horizontal="right" vertical="center"/>
    </xf>
    <xf numFmtId="0" fontId="57" fillId="17" borderId="8" xfId="0" applyFont="1" applyFill="1" applyBorder="1" applyAlignment="1">
      <alignment horizontal="left" vertical="center" indent="1"/>
    </xf>
    <xf numFmtId="3" fontId="57" fillId="17" borderId="9" xfId="0" applyNumberFormat="1" applyFont="1" applyFill="1" applyBorder="1" applyAlignment="1">
      <alignment horizontal="right" vertical="center"/>
    </xf>
    <xf numFmtId="0" fontId="57" fillId="18" borderId="8" xfId="0" applyFont="1" applyFill="1" applyBorder="1" applyAlignment="1">
      <alignment horizontal="left" vertical="center" indent="2"/>
    </xf>
    <xf numFmtId="3" fontId="57" fillId="18" borderId="9" xfId="0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left" vertical="center"/>
    </xf>
    <xf numFmtId="0" fontId="64" fillId="0" borderId="0" xfId="0" applyFont="1"/>
    <xf numFmtId="3" fontId="1" fillId="0" borderId="0" xfId="0" applyNumberFormat="1" applyFont="1" applyAlignment="1">
      <alignment horizontal="right" vertical="center"/>
    </xf>
    <xf numFmtId="0" fontId="57" fillId="19" borderId="8" xfId="0" applyFont="1" applyFill="1" applyBorder="1" applyAlignment="1">
      <alignment horizontal="left" vertical="center"/>
    </xf>
    <xf numFmtId="0" fontId="57" fillId="19" borderId="9" xfId="0" applyFont="1" applyFill="1" applyBorder="1" applyAlignment="1">
      <alignment horizontal="right" vertical="center"/>
    </xf>
    <xf numFmtId="3" fontId="57" fillId="19" borderId="10" xfId="0" applyNumberFormat="1" applyFont="1" applyFill="1" applyBorder="1" applyAlignment="1">
      <alignment horizontal="right" vertical="center"/>
    </xf>
    <xf numFmtId="0" fontId="57" fillId="7" borderId="0" xfId="0" applyFont="1" applyFill="1" applyAlignment="1">
      <alignment horizontal="left" vertical="center"/>
    </xf>
    <xf numFmtId="0" fontId="57" fillId="7" borderId="0" xfId="0" applyFont="1" applyFill="1" applyAlignment="1">
      <alignment horizontal="right" vertical="center"/>
    </xf>
    <xf numFmtId="0" fontId="36" fillId="0" borderId="0" xfId="0" applyFont="1"/>
    <xf numFmtId="0" fontId="66" fillId="0" borderId="0" xfId="0" applyFont="1" applyAlignment="1">
      <alignment vertical="top" wrapText="1"/>
    </xf>
    <xf numFmtId="0" fontId="66" fillId="0" borderId="0" xfId="0" applyFont="1" applyAlignment="1">
      <alignment horizontal="right" vertical="top" wrapText="1"/>
    </xf>
    <xf numFmtId="0" fontId="57" fillId="7" borderId="7" xfId="0" applyFont="1" applyFill="1" applyBorder="1" applyAlignment="1">
      <alignment horizontal="right" vertical="center"/>
    </xf>
    <xf numFmtId="0" fontId="57" fillId="7" borderId="22" xfId="0" applyFont="1" applyFill="1" applyBorder="1" applyAlignment="1">
      <alignment horizontal="right" vertical="center"/>
    </xf>
    <xf numFmtId="0" fontId="57" fillId="7" borderId="10" xfId="0" applyFont="1" applyFill="1" applyBorder="1" applyAlignment="1">
      <alignment horizontal="right" vertical="center"/>
    </xf>
    <xf numFmtId="9" fontId="57" fillId="0" borderId="9" xfId="0" applyNumberFormat="1" applyFont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198" fontId="27" fillId="9" borderId="0" xfId="0" applyNumberFormat="1" applyFont="1" applyFill="1"/>
    <xf numFmtId="0" fontId="31" fillId="0" borderId="0" xfId="0" applyFont="1"/>
    <xf numFmtId="183" fontId="0" fillId="0" borderId="0" xfId="0" applyNumberFormat="1"/>
    <xf numFmtId="0" fontId="37" fillId="0" borderId="0" xfId="0" applyFont="1" applyAlignment="1">
      <alignment horizontal="left" vertical="center"/>
    </xf>
    <xf numFmtId="0" fontId="38" fillId="0" borderId="0" xfId="0" applyFont="1"/>
    <xf numFmtId="177" fontId="26" fillId="0" borderId="17" xfId="0" applyNumberFormat="1" applyFont="1" applyBorder="1"/>
    <xf numFmtId="177" fontId="26" fillId="0" borderId="0" xfId="0" applyNumberFormat="1" applyFont="1"/>
    <xf numFmtId="205" fontId="25" fillId="10" borderId="0" xfId="0" applyNumberFormat="1" applyFont="1" applyFill="1"/>
    <xf numFmtId="37" fontId="68" fillId="0" borderId="0" xfId="0" applyNumberFormat="1" applyFont="1"/>
    <xf numFmtId="206" fontId="68" fillId="0" borderId="0" xfId="0" applyNumberFormat="1" applyFont="1"/>
    <xf numFmtId="0" fontId="52" fillId="0" borderId="0" xfId="0" applyFont="1" applyAlignment="1">
      <alignment horizontal="centerContinuous"/>
    </xf>
    <xf numFmtId="193" fontId="25" fillId="0" borderId="0" xfId="0" applyNumberFormat="1" applyFont="1" applyAlignment="1">
      <alignment horizontal="centerContinuous"/>
    </xf>
    <xf numFmtId="0" fontId="69" fillId="0" borderId="0" xfId="0" applyFont="1"/>
    <xf numFmtId="0" fontId="25" fillId="20" borderId="0" xfId="0" applyFont="1" applyFill="1"/>
    <xf numFmtId="193" fontId="25" fillId="20" borderId="0" xfId="0" applyNumberFormat="1" applyFont="1" applyFill="1" applyAlignment="1">
      <alignment horizontal="right"/>
    </xf>
    <xf numFmtId="0" fontId="52" fillId="20" borderId="0" xfId="0" applyFont="1" applyFill="1" applyAlignment="1">
      <alignment horizontal="centerContinuous"/>
    </xf>
    <xf numFmtId="193" fontId="25" fillId="20" borderId="0" xfId="0" applyNumberFormat="1" applyFont="1" applyFill="1" applyAlignment="1">
      <alignment horizontal="centerContinuous"/>
    </xf>
    <xf numFmtId="0" fontId="50" fillId="20" borderId="0" xfId="0" applyFont="1" applyFill="1"/>
    <xf numFmtId="0" fontId="71" fillId="20" borderId="0" xfId="0" applyFont="1" applyFill="1"/>
    <xf numFmtId="207" fontId="25" fillId="0" borderId="0" xfId="0" applyNumberFormat="1" applyFont="1"/>
    <xf numFmtId="196" fontId="25" fillId="0" borderId="16" xfId="0" applyNumberFormat="1" applyFont="1" applyBorder="1"/>
    <xf numFmtId="196" fontId="25" fillId="0" borderId="0" xfId="0" applyNumberFormat="1" applyFont="1" applyAlignment="1">
      <alignment wrapText="1"/>
    </xf>
    <xf numFmtId="196" fontId="25" fillId="0" borderId="0" xfId="0" applyNumberFormat="1" applyFont="1"/>
    <xf numFmtId="177" fontId="26" fillId="0" borderId="16" xfId="0" applyNumberFormat="1" applyFont="1" applyBorder="1"/>
    <xf numFmtId="177" fontId="26" fillId="0" borderId="0" xfId="0" applyNumberFormat="1" applyFont="1" applyAlignment="1">
      <alignment wrapText="1"/>
    </xf>
    <xf numFmtId="177" fontId="26" fillId="20" borderId="0" xfId="0" applyNumberFormat="1" applyFont="1" applyFill="1"/>
    <xf numFmtId="0" fontId="50" fillId="21" borderId="0" xfId="0" applyFont="1" applyFill="1"/>
    <xf numFmtId="0" fontId="25" fillId="21" borderId="0" xfId="0" applyFont="1" applyFill="1"/>
    <xf numFmtId="193" fontId="25" fillId="21" borderId="0" xfId="0" applyNumberFormat="1" applyFont="1" applyFill="1" applyAlignment="1">
      <alignment horizontal="right"/>
    </xf>
    <xf numFmtId="0" fontId="52" fillId="21" borderId="0" xfId="0" applyFont="1" applyFill="1" applyAlignment="1">
      <alignment horizontal="centerContinuous"/>
    </xf>
    <xf numFmtId="193" fontId="25" fillId="21" borderId="0" xfId="0" applyNumberFormat="1" applyFont="1" applyFill="1" applyAlignment="1">
      <alignment horizontal="centerContinuous"/>
    </xf>
    <xf numFmtId="193" fontId="70" fillId="0" borderId="0" xfId="0" applyNumberFormat="1" applyFont="1"/>
    <xf numFmtId="0" fontId="27" fillId="0" borderId="0" xfId="0" applyFont="1" applyAlignment="1">
      <alignment horizontal="center"/>
    </xf>
    <xf numFmtId="0" fontId="67" fillId="9" borderId="3" xfId="0" applyFont="1" applyFill="1" applyBorder="1" applyAlignment="1">
      <alignment horizontal="center"/>
    </xf>
    <xf numFmtId="0" fontId="70" fillId="0" borderId="0" xfId="0" applyFont="1" applyAlignment="1">
      <alignment horizontal="right"/>
    </xf>
    <xf numFmtId="0" fontId="54" fillId="0" borderId="0" xfId="0" applyFont="1"/>
    <xf numFmtId="0" fontId="62" fillId="0" borderId="16" xfId="0" applyFont="1" applyBorder="1"/>
    <xf numFmtId="196" fontId="62" fillId="0" borderId="16" xfId="0" applyNumberFormat="1" applyFont="1" applyBorder="1"/>
    <xf numFmtId="177" fontId="72" fillId="0" borderId="16" xfId="0" applyNumberFormat="1" applyFont="1" applyBorder="1"/>
    <xf numFmtId="0" fontId="62" fillId="0" borderId="0" xfId="0" applyFont="1" applyAlignment="1">
      <alignment wrapText="1"/>
    </xf>
    <xf numFmtId="196" fontId="62" fillId="0" borderId="0" xfId="0" applyNumberFormat="1" applyFont="1" applyAlignment="1">
      <alignment wrapText="1"/>
    </xf>
    <xf numFmtId="177" fontId="72" fillId="0" borderId="0" xfId="0" applyNumberFormat="1" applyFont="1" applyAlignment="1">
      <alignment wrapText="1"/>
    </xf>
    <xf numFmtId="0" fontId="62" fillId="0" borderId="0" xfId="0" applyFont="1"/>
    <xf numFmtId="196" fontId="62" fillId="0" borderId="0" xfId="0" applyNumberFormat="1" applyFont="1"/>
    <xf numFmtId="177" fontId="72" fillId="0" borderId="0" xfId="0" applyNumberFormat="1" applyFont="1"/>
    <xf numFmtId="0" fontId="73" fillId="6" borderId="0" xfId="0" applyFont="1" applyFill="1" applyAlignment="1">
      <alignment horizontal="center" vertical="center" wrapText="1"/>
    </xf>
    <xf numFmtId="0" fontId="73" fillId="6" borderId="0" xfId="0" applyFont="1" applyFill="1" applyAlignment="1">
      <alignment horizontal="center" vertical="center"/>
    </xf>
    <xf numFmtId="0" fontId="73" fillId="0" borderId="0" xfId="0" applyFont="1"/>
    <xf numFmtId="0" fontId="74" fillId="0" borderId="0" xfId="0" applyFont="1"/>
    <xf numFmtId="0" fontId="73" fillId="0" borderId="0" xfId="0" applyFont="1" applyAlignment="1">
      <alignment horizontal="center"/>
    </xf>
    <xf numFmtId="3" fontId="73" fillId="0" borderId="0" xfId="0" applyNumberFormat="1" applyFont="1"/>
    <xf numFmtId="197" fontId="63" fillId="0" borderId="0" xfId="0" applyNumberFormat="1" applyFont="1"/>
    <xf numFmtId="3" fontId="68" fillId="0" borderId="0" xfId="0" applyNumberFormat="1" applyFont="1"/>
    <xf numFmtId="0" fontId="76" fillId="0" borderId="0" xfId="0" applyFont="1"/>
    <xf numFmtId="0" fontId="56" fillId="0" borderId="0" xfId="0" applyFont="1" applyAlignment="1">
      <alignment horizontal="left"/>
    </xf>
    <xf numFmtId="0" fontId="56" fillId="0" borderId="0" xfId="0" applyFont="1" applyAlignment="1">
      <alignment horizontal="right"/>
    </xf>
    <xf numFmtId="190" fontId="56" fillId="0" borderId="0" xfId="0" applyNumberFormat="1" applyFont="1" applyAlignment="1">
      <alignment horizontal="right"/>
    </xf>
    <xf numFmtId="177" fontId="77" fillId="0" borderId="0" xfId="0" applyNumberFormat="1" applyFont="1"/>
    <xf numFmtId="177" fontId="78" fillId="0" borderId="0" xfId="0" applyNumberFormat="1" applyFont="1"/>
    <xf numFmtId="3" fontId="25" fillId="0" borderId="0" xfId="0" applyNumberFormat="1" applyFont="1" applyAlignment="1">
      <alignment horizontal="left"/>
    </xf>
    <xf numFmtId="0" fontId="50" fillId="12" borderId="0" xfId="0" applyFont="1" applyFill="1"/>
    <xf numFmtId="3" fontId="25" fillId="10" borderId="0" xfId="0" applyNumberFormat="1" applyFont="1" applyFill="1"/>
    <xf numFmtId="0" fontId="70" fillId="0" borderId="0" xfId="0" applyFont="1"/>
    <xf numFmtId="0" fontId="80" fillId="0" borderId="0" xfId="24" applyFont="1" applyAlignment="1">
      <alignment horizontal="center" vertical="center"/>
    </xf>
    <xf numFmtId="0" fontId="81" fillId="0" borderId="32" xfId="24" applyFont="1" applyBorder="1"/>
    <xf numFmtId="0" fontId="82" fillId="0" borderId="32" xfId="24" applyFont="1" applyBorder="1"/>
    <xf numFmtId="0" fontId="79" fillId="0" borderId="32" xfId="24" applyBorder="1"/>
    <xf numFmtId="0" fontId="79" fillId="0" borderId="0" xfId="24"/>
    <xf numFmtId="0" fontId="82" fillId="0" borderId="0" xfId="24" applyFont="1"/>
    <xf numFmtId="0" fontId="83" fillId="0" borderId="0" xfId="24" applyFont="1"/>
    <xf numFmtId="0" fontId="83" fillId="0" borderId="0" xfId="24" applyFont="1" applyAlignment="1">
      <alignment horizontal="right"/>
    </xf>
    <xf numFmtId="14" fontId="85" fillId="9" borderId="0" xfId="24" applyNumberFormat="1" applyFont="1" applyFill="1" applyAlignment="1">
      <alignment horizontal="right"/>
    </xf>
    <xf numFmtId="0" fontId="86" fillId="0" borderId="0" xfId="25">
      <alignment vertical="center"/>
    </xf>
    <xf numFmtId="0" fontId="87" fillId="0" borderId="0" xfId="24" applyFont="1"/>
    <xf numFmtId="0" fontId="73" fillId="9" borderId="0" xfId="0" applyFont="1" applyFill="1"/>
    <xf numFmtId="0" fontId="25" fillId="9" borderId="16" xfId="0" applyFont="1" applyFill="1" applyBorder="1"/>
    <xf numFmtId="183" fontId="25" fillId="9" borderId="0" xfId="0" applyNumberFormat="1" applyFont="1" applyFill="1"/>
    <xf numFmtId="0" fontId="88" fillId="0" borderId="0" xfId="0" applyFont="1"/>
    <xf numFmtId="3" fontId="25" fillId="9" borderId="0" xfId="0" applyNumberFormat="1" applyFont="1" applyFill="1"/>
    <xf numFmtId="204" fontId="25" fillId="9" borderId="17" xfId="0" applyNumberFormat="1" applyFont="1" applyFill="1" applyBorder="1"/>
    <xf numFmtId="204" fontId="25" fillId="9" borderId="0" xfId="0" applyNumberFormat="1" applyFont="1" applyFill="1"/>
    <xf numFmtId="204" fontId="25" fillId="9" borderId="0" xfId="0" applyNumberFormat="1" applyFont="1" applyFill="1" applyAlignment="1">
      <alignment horizontal="right"/>
    </xf>
    <xf numFmtId="197" fontId="63" fillId="9" borderId="0" xfId="0" applyNumberFormat="1" applyFont="1" applyFill="1"/>
    <xf numFmtId="0" fontId="56" fillId="8" borderId="1" xfId="0" applyFont="1" applyFill="1" applyBorder="1" applyAlignment="1">
      <alignment horizontal="center"/>
    </xf>
    <xf numFmtId="0" fontId="56" fillId="8" borderId="0" xfId="0" applyFont="1" applyFill="1" applyAlignment="1">
      <alignment horizontal="center"/>
    </xf>
    <xf numFmtId="0" fontId="57" fillId="0" borderId="27" xfId="0" applyFont="1" applyBorder="1" applyAlignment="1">
      <alignment horizontal="left" vertical="top"/>
    </xf>
    <xf numFmtId="0" fontId="57" fillId="0" borderId="29" xfId="0" applyFont="1" applyBorder="1" applyAlignment="1">
      <alignment horizontal="left" vertical="top"/>
    </xf>
    <xf numFmtId="0" fontId="57" fillId="7" borderId="18" xfId="0" applyFont="1" applyFill="1" applyBorder="1" applyAlignment="1">
      <alignment horizontal="center" vertical="center"/>
    </xf>
    <xf numFmtId="0" fontId="57" fillId="7" borderId="25" xfId="0" applyFont="1" applyFill="1" applyBorder="1" applyAlignment="1">
      <alignment horizontal="center" vertical="center"/>
    </xf>
    <xf numFmtId="0" fontId="57" fillId="7" borderId="19" xfId="0" applyFont="1" applyFill="1" applyBorder="1" applyAlignment="1">
      <alignment horizontal="center" vertical="center"/>
    </xf>
    <xf numFmtId="0" fontId="57" fillId="0" borderId="24" xfId="0" applyFont="1" applyBorder="1" applyAlignment="1">
      <alignment horizontal="left" vertical="top"/>
    </xf>
    <xf numFmtId="0" fontId="57" fillId="0" borderId="22" xfId="0" applyFont="1" applyBorder="1" applyAlignment="1">
      <alignment horizontal="left" vertical="top"/>
    </xf>
    <xf numFmtId="0" fontId="57" fillId="0" borderId="19" xfId="0" applyFont="1" applyBorder="1" applyAlignment="1">
      <alignment horizontal="left" vertical="top"/>
    </xf>
    <xf numFmtId="3" fontId="57" fillId="0" borderId="30" xfId="0" applyNumberFormat="1" applyFont="1" applyBorder="1" applyAlignment="1">
      <alignment horizontal="left" vertical="center"/>
    </xf>
    <xf numFmtId="3" fontId="57" fillId="0" borderId="31" xfId="0" applyNumberFormat="1" applyFont="1" applyBorder="1" applyAlignment="1">
      <alignment horizontal="left" vertical="center"/>
    </xf>
    <xf numFmtId="3" fontId="57" fillId="0" borderId="23" xfId="0" applyNumberFormat="1" applyFont="1" applyBorder="1" applyAlignment="1">
      <alignment horizontal="left" vertical="center"/>
    </xf>
    <xf numFmtId="0" fontId="57" fillId="7" borderId="24" xfId="0" applyFont="1" applyFill="1" applyBorder="1" applyAlignment="1">
      <alignment horizontal="center" vertical="center"/>
    </xf>
    <xf numFmtId="0" fontId="57" fillId="0" borderId="26" xfId="0" applyFont="1" applyBorder="1" applyAlignment="1">
      <alignment horizontal="left" vertical="center"/>
    </xf>
    <xf numFmtId="0" fontId="57" fillId="0" borderId="21" xfId="0" applyFont="1" applyBorder="1" applyAlignment="1">
      <alignment horizontal="left" vertical="center"/>
    </xf>
    <xf numFmtId="0" fontId="57" fillId="0" borderId="28" xfId="0" applyFont="1" applyBorder="1" applyAlignment="1">
      <alignment horizontal="left" vertical="top"/>
    </xf>
    <xf numFmtId="215" fontId="25" fillId="9" borderId="16" xfId="0" applyNumberFormat="1" applyFont="1" applyFill="1" applyBorder="1"/>
  </cellXfs>
  <cellStyles count="29">
    <cellStyle name="ChartingText" xfId="1" xr:uid="{00000000-0005-0000-0000-000000000000}"/>
    <cellStyle name="CHPAboveAverage" xfId="2" xr:uid="{00000000-0005-0000-0000-000001000000}"/>
    <cellStyle name="CHPBelowAverage" xfId="2" xr:uid="{00000000-0005-0000-0000-000002000000}"/>
    <cellStyle name="CHPBottom" xfId="2" xr:uid="{00000000-0005-0000-0000-000003000000}"/>
    <cellStyle name="CHPTop" xfId="2" xr:uid="{00000000-0005-0000-0000-000004000000}"/>
    <cellStyle name="ColumnHeaderNormal" xfId="3" xr:uid="{00000000-0005-0000-0000-000005000000}"/>
    <cellStyle name="Invisible" xfId="4" xr:uid="{00000000-0005-0000-0000-000006000000}"/>
    <cellStyle name="NewColumnHeaderNormal" xfId="5" xr:uid="{00000000-0005-0000-0000-000007000000}"/>
    <cellStyle name="NewSectionHeaderNormal" xfId="6" xr:uid="{00000000-0005-0000-0000-000008000000}"/>
    <cellStyle name="NewTitleNormal" xfId="7" xr:uid="{00000000-0005-0000-0000-000009000000}"/>
    <cellStyle name="Normal 13 2" xfId="8" xr:uid="{00000000-0005-0000-0000-00000A000000}"/>
    <cellStyle name="Normal 2" xfId="9" xr:uid="{00000000-0005-0000-0000-00000B000000}"/>
    <cellStyle name="Normal 4" xfId="10" xr:uid="{00000000-0005-0000-0000-00000C000000}"/>
    <cellStyle name="Normal 5" xfId="11" xr:uid="{00000000-0005-0000-0000-00000D000000}"/>
    <cellStyle name="Normal 5 3" xfId="12" xr:uid="{00000000-0005-0000-0000-00000E000000}"/>
    <cellStyle name="Normal_Comparable Companies_Template v2-18-09" xfId="13" xr:uid="{00000000-0005-0000-0000-00000F000000}"/>
    <cellStyle name="SectionHeaderNormal" xfId="14" xr:uid="{00000000-0005-0000-0000-000010000000}"/>
    <cellStyle name="SubScript" xfId="15" xr:uid="{00000000-0005-0000-0000-000011000000}"/>
    <cellStyle name="SuperScript" xfId="16" xr:uid="{00000000-0005-0000-0000-000012000000}"/>
    <cellStyle name="TextBold" xfId="17" xr:uid="{00000000-0005-0000-0000-000013000000}"/>
    <cellStyle name="TextItalic" xfId="18" xr:uid="{00000000-0005-0000-0000-000014000000}"/>
    <cellStyle name="TextNormal" xfId="19" xr:uid="{00000000-0005-0000-0000-000015000000}"/>
    <cellStyle name="TitleNormal" xfId="20" xr:uid="{00000000-0005-0000-0000-000016000000}"/>
    <cellStyle name="백분율 2" xfId="21" xr:uid="{00000000-0005-0000-0000-000017000000}"/>
    <cellStyle name="표준" xfId="0" builtinId="0"/>
    <cellStyle name="표준 2" xfId="22" xr:uid="{00000000-0005-0000-0000-00001A000000}"/>
    <cellStyle name="표준 2 2" xfId="24" xr:uid="{41A55738-790F-448A-80CB-7860504F4405}"/>
    <cellStyle name="표준 3" xfId="25" xr:uid="{E09E40D0-BF44-4198-8095-EE138DD0270A}"/>
    <cellStyle name="하이퍼링크" xfId="23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  <mruColors>
      <color rgb="FFFFFFCC"/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'Trading Comps_Output (실습)'!$C$190</c:f>
              <c:strCache>
                <c:ptCount val="1"/>
                <c:pt idx="0">
                  <c:v>Lower Value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'Trading Comps_Output (실습)'!$B$191:$B$197</c:f>
              <c:strCache>
                <c:ptCount val="7"/>
                <c:pt idx="0">
                  <c:v>LFY EV/EBITDA</c:v>
                </c:pt>
                <c:pt idx="1">
                  <c:v>LFY EV/EBIT</c:v>
                </c:pt>
                <c:pt idx="2">
                  <c:v>LFY P/E</c:v>
                </c:pt>
                <c:pt idx="3">
                  <c:v>1 YR EV/EBITDA</c:v>
                </c:pt>
                <c:pt idx="4">
                  <c:v>1 YR EV/EBIT</c:v>
                </c:pt>
                <c:pt idx="5">
                  <c:v>1 YR P/E</c:v>
                </c:pt>
                <c:pt idx="6">
                  <c:v>PEG</c:v>
                </c:pt>
              </c:strCache>
            </c:strRef>
          </c:cat>
          <c:val>
            <c:numRef>
              <c:f>'Trading Comps_Output (실습)'!$C$191:$C$197</c:f>
              <c:numCache>
                <c:formatCode>#,##0</c:formatCode>
                <c:ptCount val="7"/>
                <c:pt idx="0">
                  <c:v>1923.2076261404954</c:v>
                </c:pt>
                <c:pt idx="1">
                  <c:v>2094.8615322239289</c:v>
                </c:pt>
                <c:pt idx="2">
                  <c:v>79.06488989182256</c:v>
                </c:pt>
                <c:pt idx="3">
                  <c:v>1639.7898958335932</c:v>
                </c:pt>
                <c:pt idx="4">
                  <c:v>1568.2166944642327</c:v>
                </c:pt>
                <c:pt idx="5">
                  <c:v>42.731575653173799</c:v>
                </c:pt>
                <c:pt idx="6">
                  <c:v>9.4341069125368973E-5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0-49C0-942E-55D86E5E5837}"/>
            </c:ext>
          </c:extLst>
        </c:ser>
        <c:ser>
          <c:idx val="1"/>
          <c:order val="1"/>
          <c:tx>
            <c:strRef>
              <c:f>'Trading Comps_Output (실습)'!$D$190</c:f>
              <c:strCache>
                <c:ptCount val="1"/>
                <c:pt idx="0">
                  <c:v>Column Value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'Trading Comps_Output (실습)'!$B$191:$B$197</c:f>
              <c:strCache>
                <c:ptCount val="7"/>
                <c:pt idx="0">
                  <c:v>LFY EV/EBITDA</c:v>
                </c:pt>
                <c:pt idx="1">
                  <c:v>LFY EV/EBIT</c:v>
                </c:pt>
                <c:pt idx="2">
                  <c:v>LFY P/E</c:v>
                </c:pt>
                <c:pt idx="3">
                  <c:v>1 YR EV/EBITDA</c:v>
                </c:pt>
                <c:pt idx="4">
                  <c:v>1 YR EV/EBIT</c:v>
                </c:pt>
                <c:pt idx="5">
                  <c:v>1 YR P/E</c:v>
                </c:pt>
                <c:pt idx="6">
                  <c:v>PEG</c:v>
                </c:pt>
              </c:strCache>
            </c:strRef>
          </c:cat>
          <c:val>
            <c:numRef>
              <c:f>'Trading Comps_Output (실습)'!$D$191:$D$197</c:f>
              <c:numCache>
                <c:formatCode>#,##0</c:formatCode>
                <c:ptCount val="7"/>
                <c:pt idx="0">
                  <c:v>945.50476273490585</c:v>
                </c:pt>
                <c:pt idx="1">
                  <c:v>773.85085665147244</c:v>
                </c:pt>
                <c:pt idx="2">
                  <c:v>3367.0862466498179</c:v>
                </c:pt>
                <c:pt idx="3">
                  <c:v>1280.2934117438417</c:v>
                </c:pt>
                <c:pt idx="4">
                  <c:v>1916.803029099528</c:v>
                </c:pt>
                <c:pt idx="5">
                  <c:v>3766.4824120232197</c:v>
                </c:pt>
                <c:pt idx="6">
                  <c:v>3809.2138933353244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0-49C0-942E-55D86E5E5837}"/>
            </c:ext>
          </c:extLst>
        </c:ser>
        <c:ser>
          <c:idx val="2"/>
          <c:order val="2"/>
          <c:tx>
            <c:strRef>
              <c:f>'Trading Comps_Output (실습)'!$E$190</c:f>
              <c:strCache>
                <c:ptCount val="1"/>
                <c:pt idx="0">
                  <c:v>Upper Value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'Trading Comps_Output (실습)'!$B$191:$B$197</c:f>
              <c:strCache>
                <c:ptCount val="7"/>
                <c:pt idx="0">
                  <c:v>LFY EV/EBITDA</c:v>
                </c:pt>
                <c:pt idx="1">
                  <c:v>LFY EV/EBIT</c:v>
                </c:pt>
                <c:pt idx="2">
                  <c:v>LFY P/E</c:v>
                </c:pt>
                <c:pt idx="3">
                  <c:v>1 YR EV/EBITDA</c:v>
                </c:pt>
                <c:pt idx="4">
                  <c:v>1 YR EV/EBIT</c:v>
                </c:pt>
                <c:pt idx="5">
                  <c:v>1 YR P/E</c:v>
                </c:pt>
                <c:pt idx="6">
                  <c:v>PEG</c:v>
                </c:pt>
              </c:strCache>
            </c:strRef>
          </c:cat>
          <c:val>
            <c:numRef>
              <c:f>'Trading Comps_Output (실습)'!$E$191:$E$197</c:f>
              <c:numCache>
                <c:formatCode>#,##0</c:formatCode>
                <c:ptCount val="7"/>
                <c:pt idx="0">
                  <c:v>2868.7123888754013</c:v>
                </c:pt>
                <c:pt idx="1">
                  <c:v>2868.7123888754013</c:v>
                </c:pt>
                <c:pt idx="2">
                  <c:v>3446.1511365416404</c:v>
                </c:pt>
                <c:pt idx="3">
                  <c:v>2920.0833075774349</c:v>
                </c:pt>
                <c:pt idx="4">
                  <c:v>3485.0197235637606</c:v>
                </c:pt>
                <c:pt idx="5">
                  <c:v>3809.2139876763936</c:v>
                </c:pt>
                <c:pt idx="6">
                  <c:v>3809.2139876763936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0-49C0-942E-55D86E5E5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063408"/>
        <c:axId val="1"/>
      </c:barChart>
      <c:catAx>
        <c:axId val="44106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 w="3175">
            <a:solidFill>
              <a:schemeClr val="tx1"/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ko-KR"/>
          </a:p>
        </c:txPr>
        <c:crossAx val="4410634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거래배수 </a:t>
            </a:r>
            <a:r>
              <a:rPr lang="en-US" altLang="ko-KR"/>
              <a:t>(</a:t>
            </a:r>
            <a:r>
              <a:rPr lang="en-US" altLang="ko-KR" sz="1400" b="0" i="0" u="none" strike="noStrike" baseline="0">
                <a:effectLst/>
              </a:rPr>
              <a:t>LTM)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'Trading Comps_Output (실습)'!$B$122</c:f>
              <c:strCache>
                <c:ptCount val="1"/>
                <c:pt idx="0">
                  <c:v>HITE Brewery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'Trading Comps_Output (실습)'!$F$119:$I$119</c:f>
              <c:strCache>
                <c:ptCount val="4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</c:strCache>
            </c:strRef>
          </c:cat>
          <c:val>
            <c:numRef>
              <c:f>'Trading Comps_Output (실습)'!$F$122:$I$122</c:f>
              <c:numCache>
                <c:formatCode>0.0\x</c:formatCode>
                <c:ptCount val="4"/>
                <c:pt idx="0">
                  <c:v>2.4948077908690007</c:v>
                </c:pt>
                <c:pt idx="1">
                  <c:v>10.085686118827006</c:v>
                </c:pt>
                <c:pt idx="2">
                  <c:v>13.992377069505583</c:v>
                </c:pt>
                <c:pt idx="3">
                  <c:v>15.56496430556585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9-48B3-B1FB-11D39AC1F9EA}"/>
            </c:ext>
          </c:extLst>
        </c:ser>
        <c:ser>
          <c:idx val="1"/>
          <c:order val="1"/>
          <c:tx>
            <c:strRef>
              <c:f>'Trading Comps_Output (실습)'!$B$123</c:f>
              <c:strCache>
                <c:ptCount val="1"/>
                <c:pt idx="0">
                  <c:v>ASAHI 
GROUP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'Trading Comps_Output (실습)'!$F$119:$I$119</c:f>
              <c:strCache>
                <c:ptCount val="4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</c:strCache>
            </c:strRef>
          </c:cat>
          <c:val>
            <c:numRef>
              <c:f>'Trading Comps_Output (실습)'!$F$123:$I$123</c:f>
              <c:numCache>
                <c:formatCode>0.0\x</c:formatCode>
                <c:ptCount val="4"/>
                <c:pt idx="0">
                  <c:v>1.1582969820271187</c:v>
                </c:pt>
                <c:pt idx="1">
                  <c:v>8.3893463933290349</c:v>
                </c:pt>
                <c:pt idx="2">
                  <c:v>14.305276273264312</c:v>
                </c:pt>
                <c:pt idx="3">
                  <c:v>16.799790050560517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59-48B3-B1FB-11D39AC1F9EA}"/>
            </c:ext>
          </c:extLst>
        </c:ser>
        <c:ser>
          <c:idx val="2"/>
          <c:order val="2"/>
          <c:tx>
            <c:strRef>
              <c:f>'Trading Comps_Output (실습)'!$B$124</c:f>
              <c:strCache>
                <c:ptCount val="1"/>
                <c:pt idx="0">
                  <c:v>TSINGTAO 
BREWERY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'Trading Comps_Output (실습)'!$F$119:$I$119</c:f>
              <c:strCache>
                <c:ptCount val="4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</c:strCache>
            </c:strRef>
          </c:cat>
          <c:val>
            <c:numRef>
              <c:f>'Trading Comps_Output (실습)'!$F$124:$I$124</c:f>
              <c:numCache>
                <c:formatCode>0.0\x</c:formatCode>
                <c:ptCount val="4"/>
                <c:pt idx="0">
                  <c:v>0.99238445632229988</c:v>
                </c:pt>
                <c:pt idx="1">
                  <c:v>8.6610146963532397</c:v>
                </c:pt>
                <c:pt idx="2">
                  <c:v>11.763696717283294</c:v>
                </c:pt>
                <c:pt idx="3">
                  <c:v>17.345550093695589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59-48B3-B1FB-11D39AC1F9EA}"/>
            </c:ext>
          </c:extLst>
        </c:ser>
        <c:ser>
          <c:idx val="3"/>
          <c:order val="3"/>
          <c:tx>
            <c:strRef>
              <c:f>'Trading Comps_Output (실습)'!$B$125</c:f>
              <c:strCache>
                <c:ptCount val="1"/>
                <c:pt idx="0">
                  <c:v>CARLSBERG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'Trading Comps_Output (실습)'!$F$119:$I$119</c:f>
              <c:strCache>
                <c:ptCount val="4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</c:strCache>
            </c:strRef>
          </c:cat>
          <c:val>
            <c:numRef>
              <c:f>'Trading Comps_Output (실습)'!$F$125:$I$125</c:f>
              <c:numCache>
                <c:formatCode>0.0\x</c:formatCode>
                <c:ptCount val="4"/>
                <c:pt idx="0">
                  <c:v>1.714056005670237</c:v>
                </c:pt>
                <c:pt idx="1">
                  <c:v>7.6489121311121968</c:v>
                </c:pt>
                <c:pt idx="2">
                  <c:v>10.671427314815476</c:v>
                </c:pt>
                <c:pt idx="3">
                  <c:v>11.927025443351583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59-48B3-B1FB-11D39AC1F9EA}"/>
            </c:ext>
          </c:extLst>
        </c:ser>
        <c:ser>
          <c:idx val="4"/>
          <c:order val="4"/>
          <c:tx>
            <c:strRef>
              <c:f>'Trading Comps_Output (실습)'!$B$126</c:f>
              <c:strCache>
                <c:ptCount val="1"/>
                <c:pt idx="0">
                  <c:v>HEINEKEN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'Trading Comps_Output (실습)'!$F$119:$I$119</c:f>
              <c:strCache>
                <c:ptCount val="4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</c:strCache>
            </c:strRef>
          </c:cat>
          <c:val>
            <c:numRef>
              <c:f>'Trading Comps_Output (실습)'!$F$126:$I$126</c:f>
              <c:numCache>
                <c:formatCode>0.0\x</c:formatCode>
                <c:ptCount val="4"/>
                <c:pt idx="0">
                  <c:v>1.7664231506639005</c:v>
                </c:pt>
                <c:pt idx="1">
                  <c:v>9.718632761193863</c:v>
                </c:pt>
                <c:pt idx="2">
                  <c:v>14.613498445644344</c:v>
                </c:pt>
                <c:pt idx="3">
                  <c:v>18.856835921306704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59-48B3-B1FB-11D39AC1F9EA}"/>
            </c:ext>
          </c:extLst>
        </c:ser>
        <c:ser>
          <c:idx val="5"/>
          <c:order val="5"/>
          <c:tx>
            <c:strRef>
              <c:f>'Trading Comps_Output (실습)'!$B$127</c:f>
              <c:strCache>
                <c:ptCount val="1"/>
                <c:pt idx="0">
                  <c:v>MOLSON
COORS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'Trading Comps_Output (실습)'!$F$119:$I$119</c:f>
              <c:strCache>
                <c:ptCount val="4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</c:strCache>
            </c:strRef>
          </c:cat>
          <c:val>
            <c:numRef>
              <c:f>'Trading Comps_Output (실습)'!$F$127:$I$127</c:f>
              <c:numCache>
                <c:formatCode>0.0\x</c:formatCode>
                <c:ptCount val="4"/>
                <c:pt idx="0">
                  <c:v>1.7233293760717585</c:v>
                </c:pt>
                <c:pt idx="1">
                  <c:v>8.2739455351488296</c:v>
                </c:pt>
                <c:pt idx="2">
                  <c:v>12.336694995278565</c:v>
                </c:pt>
                <c:pt idx="3">
                  <c:v>23.012314328451676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59-48B3-B1FB-11D39AC1F9EA}"/>
            </c:ext>
          </c:extLst>
        </c:ser>
        <c:ser>
          <c:idx val="6"/>
          <c:order val="6"/>
          <c:tx>
            <c:strRef>
              <c:f>'Trading Comps_Output (실습)'!$B$128</c:f>
              <c:strCache>
                <c:ptCount val="1"/>
                <c:pt idx="0">
                  <c:v>BOSTON 
BEER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'Trading Comps_Output (실습)'!$F$119:$I$119</c:f>
              <c:strCache>
                <c:ptCount val="4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</c:strCache>
            </c:strRef>
          </c:cat>
          <c:val>
            <c:numRef>
              <c:f>'Trading Comps_Output (실습)'!$F$128:$I$128</c:f>
              <c:numCache>
                <c:formatCode>0.0\x</c:formatCode>
                <c:ptCount val="4"/>
                <c:pt idx="0">
                  <c:v>1.5663166371523636</c:v>
                </c:pt>
                <c:pt idx="1">
                  <c:v>8.9993551848724369</c:v>
                </c:pt>
                <c:pt idx="2">
                  <c:v>11.751706782357195</c:v>
                </c:pt>
                <c:pt idx="3">
                  <c:v>20.935602796408688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59-48B3-B1FB-11D39AC1F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768527"/>
        <c:axId val="1603743983"/>
      </c:barChart>
      <c:catAx>
        <c:axId val="160376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3743983"/>
        <c:crosses val="autoZero"/>
        <c:auto val="1"/>
        <c:lblAlgn val="ctr"/>
        <c:lblOffset val="100"/>
        <c:noMultiLvlLbl val="0"/>
      </c:catAx>
      <c:valAx>
        <c:axId val="16037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376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aseline="0"/>
              <a:t>거래배수 </a:t>
            </a:r>
            <a:r>
              <a:rPr lang="en-US" altLang="ko-KR" baseline="0"/>
              <a:t>(</a:t>
            </a:r>
            <a:r>
              <a:rPr lang="en-US" altLang="ko-KR" sz="1400" b="0" i="0" u="none" strike="noStrike" baseline="0">
                <a:effectLst/>
              </a:rPr>
              <a:t>Year 1 forecast)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'Trading Comps_Output (실습)'!$B$122</c:f>
              <c:strCache>
                <c:ptCount val="1"/>
                <c:pt idx="0">
                  <c:v>HITE Brewery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'Trading Comps_Output (실습)'!$J$119:$N$119</c:f>
              <c:strCache>
                <c:ptCount val="5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</c:v>
                </c:pt>
                <c:pt idx="4">
                  <c:v>PEG ratio</c:v>
                </c:pt>
              </c:strCache>
            </c:strRef>
          </c:cat>
          <c:val>
            <c:numRef>
              <c:f>'Trading Comps_Output (실습)'!$J$122:$N$122</c:f>
              <c:numCache>
                <c:formatCode>0.0\x</c:formatCode>
                <c:ptCount val="5"/>
                <c:pt idx="0">
                  <c:v>2.456033795866027</c:v>
                </c:pt>
                <c:pt idx="1">
                  <c:v>11.275388545314426</c:v>
                </c:pt>
                <c:pt idx="2">
                  <c:v>17.235949159100024</c:v>
                </c:pt>
                <c:pt idx="3">
                  <c:v>24.921900046498095</c:v>
                </c:pt>
                <c:pt idx="4">
                  <c:v>9.9687600185992373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0-439E-9145-77B4F05B1611}"/>
            </c:ext>
          </c:extLst>
        </c:ser>
        <c:ser>
          <c:idx val="1"/>
          <c:order val="1"/>
          <c:tx>
            <c:strRef>
              <c:f>'Trading Comps_Output (실습)'!$B$123</c:f>
              <c:strCache>
                <c:ptCount val="1"/>
                <c:pt idx="0">
                  <c:v>ASAHI 
GROUP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'Trading Comps_Output (실습)'!$J$119:$N$119</c:f>
              <c:strCache>
                <c:ptCount val="5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</c:v>
                </c:pt>
                <c:pt idx="4">
                  <c:v>PEG ratio</c:v>
                </c:pt>
              </c:strCache>
            </c:strRef>
          </c:cat>
          <c:val>
            <c:numRef>
              <c:f>'Trading Comps_Output (실습)'!$J$123:$N$123</c:f>
              <c:numCache>
                <c:formatCode>0.0\x</c:formatCode>
                <c:ptCount val="5"/>
                <c:pt idx="0">
                  <c:v>1.092154038309604</c:v>
                </c:pt>
                <c:pt idx="1">
                  <c:v>7.292628328870272</c:v>
                </c:pt>
                <c:pt idx="2">
                  <c:v>12.414198571797328</c:v>
                </c:pt>
                <c:pt idx="3">
                  <c:v>14.971607150940935</c:v>
                </c:pt>
                <c:pt idx="4">
                  <c:v>4.2776020431259809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0-439E-9145-77B4F05B1611}"/>
            </c:ext>
          </c:extLst>
        </c:ser>
        <c:ser>
          <c:idx val="2"/>
          <c:order val="2"/>
          <c:tx>
            <c:strRef>
              <c:f>'Trading Comps_Output (실습)'!$B$124</c:f>
              <c:strCache>
                <c:ptCount val="1"/>
                <c:pt idx="0">
                  <c:v>TSINGTAO 
BREWERY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'Trading Comps_Output (실습)'!$J$119:$N$119</c:f>
              <c:strCache>
                <c:ptCount val="5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</c:v>
                </c:pt>
                <c:pt idx="4">
                  <c:v>PEG ratio</c:v>
                </c:pt>
              </c:strCache>
            </c:strRef>
          </c:cat>
          <c:val>
            <c:numRef>
              <c:f>'Trading Comps_Output (실습)'!$J$124:$N$124</c:f>
              <c:numCache>
                <c:formatCode>0.0\x</c:formatCode>
                <c:ptCount val="5"/>
                <c:pt idx="0">
                  <c:v>0.87156702893810367</c:v>
                </c:pt>
                <c:pt idx="1">
                  <c:v>7.1950477009669385</c:v>
                </c:pt>
                <c:pt idx="2">
                  <c:v>9.388788356928071</c:v>
                </c:pt>
                <c:pt idx="3">
                  <c:v>14.585374444972516</c:v>
                </c:pt>
                <c:pt idx="4">
                  <c:v>4.167249841420718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00-439E-9145-77B4F05B1611}"/>
            </c:ext>
          </c:extLst>
        </c:ser>
        <c:ser>
          <c:idx val="3"/>
          <c:order val="3"/>
          <c:tx>
            <c:strRef>
              <c:f>'Trading Comps_Output (실습)'!$B$125</c:f>
              <c:strCache>
                <c:ptCount val="1"/>
                <c:pt idx="0">
                  <c:v>CARLSBERG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'Trading Comps_Output (실습)'!$J$119:$N$119</c:f>
              <c:strCache>
                <c:ptCount val="5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</c:v>
                </c:pt>
                <c:pt idx="4">
                  <c:v>PEG ratio</c:v>
                </c:pt>
              </c:strCache>
            </c:strRef>
          </c:cat>
          <c:val>
            <c:numRef>
              <c:f>'Trading Comps_Output (실습)'!$J$125:$N$125</c:f>
              <c:numCache>
                <c:formatCode>0.0\x</c:formatCode>
                <c:ptCount val="5"/>
                <c:pt idx="0">
                  <c:v>1.6928960521261638</c:v>
                </c:pt>
                <c:pt idx="1">
                  <c:v>7.5289213416111691</c:v>
                </c:pt>
                <c:pt idx="2">
                  <c:v>10.428946602147199</c:v>
                </c:pt>
                <c:pt idx="3">
                  <c:v>11.967421783487254</c:v>
                </c:pt>
                <c:pt idx="4">
                  <c:v>3.9891405944957512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00-439E-9145-77B4F05B1611}"/>
            </c:ext>
          </c:extLst>
        </c:ser>
        <c:ser>
          <c:idx val="4"/>
          <c:order val="4"/>
          <c:tx>
            <c:strRef>
              <c:f>'Trading Comps_Output (실습)'!$B$126</c:f>
              <c:strCache>
                <c:ptCount val="1"/>
                <c:pt idx="0">
                  <c:v>HEINEKEN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'Trading Comps_Output (실습)'!$J$119:$N$119</c:f>
              <c:strCache>
                <c:ptCount val="5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</c:v>
                </c:pt>
                <c:pt idx="4">
                  <c:v>PEG ratio</c:v>
                </c:pt>
              </c:strCache>
            </c:strRef>
          </c:cat>
          <c:val>
            <c:numRef>
              <c:f>'Trading Comps_Output (실습)'!$J$126:$N$126</c:f>
              <c:numCache>
                <c:formatCode>0.0\x</c:formatCode>
                <c:ptCount val="5"/>
                <c:pt idx="0">
                  <c:v>1.5904554689420241</c:v>
                </c:pt>
                <c:pt idx="1">
                  <c:v>8.1494304887057627</c:v>
                </c:pt>
                <c:pt idx="2">
                  <c:v>13.07391998492567</c:v>
                </c:pt>
                <c:pt idx="3">
                  <c:v>13.207749677551657</c:v>
                </c:pt>
                <c:pt idx="4">
                  <c:v>3.7736427650147588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00-439E-9145-77B4F05B1611}"/>
            </c:ext>
          </c:extLst>
        </c:ser>
        <c:ser>
          <c:idx val="5"/>
          <c:order val="5"/>
          <c:tx>
            <c:strRef>
              <c:f>'Trading Comps_Output (실습)'!$B$127</c:f>
              <c:strCache>
                <c:ptCount val="1"/>
                <c:pt idx="0">
                  <c:v>MOLSON
COORS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'Trading Comps_Output (실습)'!$J$119:$N$119</c:f>
              <c:strCache>
                <c:ptCount val="5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</c:v>
                </c:pt>
                <c:pt idx="4">
                  <c:v>PEG ratio</c:v>
                </c:pt>
              </c:strCache>
            </c:strRef>
          </c:cat>
          <c:val>
            <c:numRef>
              <c:f>'Trading Comps_Output (실습)'!$J$127:$N$127</c:f>
              <c:numCache>
                <c:formatCode>0.0\x</c:formatCode>
                <c:ptCount val="5"/>
                <c:pt idx="0">
                  <c:v>1.5497759054587683</c:v>
                </c:pt>
                <c:pt idx="1">
                  <c:v>8.1776347367853468</c:v>
                </c:pt>
                <c:pt idx="2">
                  <c:v>12.26448169233055</c:v>
                </c:pt>
                <c:pt idx="3">
                  <c:v>6.2583544670913041</c:v>
                </c:pt>
                <c:pt idx="4">
                  <c:v>4.1722363113942027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00-439E-9145-77B4F05B1611}"/>
            </c:ext>
          </c:extLst>
        </c:ser>
        <c:ser>
          <c:idx val="6"/>
          <c:order val="6"/>
          <c:tx>
            <c:strRef>
              <c:f>'Trading Comps_Output (실습)'!$B$128</c:f>
              <c:strCache>
                <c:ptCount val="1"/>
                <c:pt idx="0">
                  <c:v>BOSTON 
BEER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'Trading Comps_Output (실습)'!$J$119:$N$119</c:f>
              <c:strCache>
                <c:ptCount val="5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</c:v>
                </c:pt>
                <c:pt idx="4">
                  <c:v>PEG ratio</c:v>
                </c:pt>
              </c:strCache>
            </c:strRef>
          </c:cat>
          <c:val>
            <c:numRef>
              <c:f>'Trading Comps_Output (실습)'!$J$128:$N$128</c:f>
              <c:numCache>
                <c:formatCode>0.0\x</c:formatCode>
                <c:ptCount val="5"/>
                <c:pt idx="0">
                  <c:v>1.4569956051206308</c:v>
                </c:pt>
                <c:pt idx="1">
                  <c:v>6.331760522114533</c:v>
                </c:pt>
                <c:pt idx="2">
                  <c:v>7.7559685052792178</c:v>
                </c:pt>
                <c:pt idx="3">
                  <c:v>13.94975212995663</c:v>
                </c:pt>
                <c:pt idx="4">
                  <c:v>3.985643465701894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00-439E-9145-77B4F05B1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768527"/>
        <c:axId val="1603743983"/>
      </c:barChart>
      <c:catAx>
        <c:axId val="160376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3743983"/>
        <c:crosses val="autoZero"/>
        <c:auto val="1"/>
        <c:lblAlgn val="ctr"/>
        <c:lblOffset val="100"/>
        <c:noMultiLvlLbl val="0"/>
      </c:catAx>
      <c:valAx>
        <c:axId val="16037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376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Enterprise Value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'Trading Comps_Output (실습)'!$F$167:$N$167</c:f>
              <c:strCache>
                <c:ptCount val="9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  <c:pt idx="4">
                  <c:v>EV / Revenues</c:v>
                </c:pt>
                <c:pt idx="5">
                  <c:v>EV / EBITDA</c:v>
                </c:pt>
                <c:pt idx="6">
                  <c:v>EV / EBIT</c:v>
                </c:pt>
                <c:pt idx="7">
                  <c:v>P/E</c:v>
                </c:pt>
                <c:pt idx="8">
                  <c:v>PEG ratio</c:v>
                </c:pt>
              </c:strCache>
            </c:strRef>
          </c:cat>
          <c:val>
            <c:numRef>
              <c:f>'Trading Comps_Output (실습)'!$F$173:$N$173</c:f>
              <c:numCache>
                <c:formatCode>#,##0</c:formatCode>
                <c:ptCount val="9"/>
                <c:pt idx="0">
                  <c:v>2036038.0524208113</c:v>
                </c:pt>
                <c:pt idx="1">
                  <c:v>2535898.9783253027</c:v>
                </c:pt>
                <c:pt idx="2">
                  <c:v>2868712.3888754011</c:v>
                </c:pt>
                <c:pt idx="3">
                  <c:v>3446151.1365416404</c:v>
                </c:pt>
                <c:pt idx="4">
                  <c:v>2064526.0261164755</c:v>
                </c:pt>
                <c:pt idx="5">
                  <c:v>2920083.3075774349</c:v>
                </c:pt>
                <c:pt idx="6">
                  <c:v>3485019.7235637605</c:v>
                </c:pt>
                <c:pt idx="7">
                  <c:v>3809213.9876763937</c:v>
                </c:pt>
                <c:pt idx="8">
                  <c:v>3809213.9876763937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4-4667-A5DF-8786A2DF1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152016"/>
        <c:axId val="441151184"/>
      </c:barChart>
      <c:catAx>
        <c:axId val="4411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1151184"/>
        <c:crosses val="autoZero"/>
        <c:auto val="1"/>
        <c:lblAlgn val="ctr"/>
        <c:lblOffset val="100"/>
        <c:noMultiLvlLbl val="0"/>
      </c:catAx>
      <c:valAx>
        <c:axId val="44115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11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'Trading Comps_Output (정답)'!$C$190</c:f>
              <c:strCache>
                <c:ptCount val="1"/>
                <c:pt idx="0">
                  <c:v>Lower Value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'Trading Comps_Output (정답)'!$B$191:$B$197</c:f>
              <c:strCache>
                <c:ptCount val="7"/>
                <c:pt idx="0">
                  <c:v>LFY EV/EBITDA</c:v>
                </c:pt>
                <c:pt idx="1">
                  <c:v>LFY EV/EBIT</c:v>
                </c:pt>
                <c:pt idx="2">
                  <c:v>LFY P/E</c:v>
                </c:pt>
                <c:pt idx="3">
                  <c:v>1 YR EV/EBITDA</c:v>
                </c:pt>
                <c:pt idx="4">
                  <c:v>1 YR EV/EBIT</c:v>
                </c:pt>
                <c:pt idx="5">
                  <c:v>1 YR P/E</c:v>
                </c:pt>
                <c:pt idx="6">
                  <c:v>PEG</c:v>
                </c:pt>
              </c:strCache>
            </c:strRef>
          </c:cat>
          <c:val>
            <c:numRef>
              <c:f>'Trading Comps_Output (정답)'!$C$191:$C$197</c:f>
              <c:numCache>
                <c:formatCode>#,##0</c:formatCode>
                <c:ptCount val="7"/>
                <c:pt idx="0">
                  <c:v>1923.2076261404954</c:v>
                </c:pt>
                <c:pt idx="1">
                  <c:v>2094.8615322239289</c:v>
                </c:pt>
                <c:pt idx="2">
                  <c:v>1931.5523538143545</c:v>
                </c:pt>
                <c:pt idx="3">
                  <c:v>1639.7898958335932</c:v>
                </c:pt>
                <c:pt idx="4">
                  <c:v>1568.2166944642327</c:v>
                </c:pt>
                <c:pt idx="5">
                  <c:v>1182.6864140415653</c:v>
                </c:pt>
                <c:pt idx="6">
                  <c:v>1629.6112134861414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8-4211-8572-374D50EE9922}"/>
            </c:ext>
          </c:extLst>
        </c:ser>
        <c:ser>
          <c:idx val="1"/>
          <c:order val="1"/>
          <c:tx>
            <c:strRef>
              <c:f>'Trading Comps_Output (정답)'!$D$190</c:f>
              <c:strCache>
                <c:ptCount val="1"/>
                <c:pt idx="0">
                  <c:v>Column Value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25400">
              <a:noFill/>
            </a:ln>
          </c:spPr>
          <c:invertIfNegative val="0"/>
          <c:cat>
            <c:strRef>
              <c:f>'Trading Comps_Output (정답)'!$B$191:$B$197</c:f>
              <c:strCache>
                <c:ptCount val="7"/>
                <c:pt idx="0">
                  <c:v>LFY EV/EBITDA</c:v>
                </c:pt>
                <c:pt idx="1">
                  <c:v>LFY EV/EBIT</c:v>
                </c:pt>
                <c:pt idx="2">
                  <c:v>LFY P/E</c:v>
                </c:pt>
                <c:pt idx="3">
                  <c:v>1 YR EV/EBITDA</c:v>
                </c:pt>
                <c:pt idx="4">
                  <c:v>1 YR EV/EBIT</c:v>
                </c:pt>
                <c:pt idx="5">
                  <c:v>1 YR P/E</c:v>
                </c:pt>
                <c:pt idx="6">
                  <c:v>PEG</c:v>
                </c:pt>
              </c:strCache>
            </c:strRef>
          </c:cat>
          <c:val>
            <c:numRef>
              <c:f>'Trading Comps_Output (정답)'!$D$191:$D$197</c:f>
              <c:numCache>
                <c:formatCode>#,##0</c:formatCode>
                <c:ptCount val="7"/>
                <c:pt idx="0">
                  <c:v>945.50476273490585</c:v>
                </c:pt>
                <c:pt idx="1">
                  <c:v>773.85085665147244</c:v>
                </c:pt>
                <c:pt idx="2">
                  <c:v>1514.5987827272859</c:v>
                </c:pt>
                <c:pt idx="3">
                  <c:v>1280.2934117438417</c:v>
                </c:pt>
                <c:pt idx="4">
                  <c:v>1916.803029099528</c:v>
                </c:pt>
                <c:pt idx="5">
                  <c:v>2626.5275736348285</c:v>
                </c:pt>
                <c:pt idx="6">
                  <c:v>2179.6027741902521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38-4211-8572-374D50EE9922}"/>
            </c:ext>
          </c:extLst>
        </c:ser>
        <c:ser>
          <c:idx val="2"/>
          <c:order val="2"/>
          <c:tx>
            <c:strRef>
              <c:f>'Trading Comps_Output (정답)'!$E$190</c:f>
              <c:strCache>
                <c:ptCount val="1"/>
                <c:pt idx="0">
                  <c:v>Upper Value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'Trading Comps_Output (정답)'!$B$191:$B$197</c:f>
              <c:strCache>
                <c:ptCount val="7"/>
                <c:pt idx="0">
                  <c:v>LFY EV/EBITDA</c:v>
                </c:pt>
                <c:pt idx="1">
                  <c:v>LFY EV/EBIT</c:v>
                </c:pt>
                <c:pt idx="2">
                  <c:v>LFY P/E</c:v>
                </c:pt>
                <c:pt idx="3">
                  <c:v>1 YR EV/EBITDA</c:v>
                </c:pt>
                <c:pt idx="4">
                  <c:v>1 YR EV/EBIT</c:v>
                </c:pt>
                <c:pt idx="5">
                  <c:v>1 YR P/E</c:v>
                </c:pt>
                <c:pt idx="6">
                  <c:v>PEG</c:v>
                </c:pt>
              </c:strCache>
            </c:strRef>
          </c:cat>
          <c:val>
            <c:numRef>
              <c:f>'Trading Comps_Output (정답)'!$E$191:$E$197</c:f>
              <c:numCache>
                <c:formatCode>#,##0</c:formatCode>
                <c:ptCount val="7"/>
                <c:pt idx="0">
                  <c:v>2868.7123888754013</c:v>
                </c:pt>
                <c:pt idx="1">
                  <c:v>2868.7123888754013</c:v>
                </c:pt>
                <c:pt idx="2">
                  <c:v>3446.1511365416404</c:v>
                </c:pt>
                <c:pt idx="3">
                  <c:v>2920.0833075774349</c:v>
                </c:pt>
                <c:pt idx="4">
                  <c:v>3485.0197235637606</c:v>
                </c:pt>
                <c:pt idx="5">
                  <c:v>3809.2139876763936</c:v>
                </c:pt>
                <c:pt idx="6">
                  <c:v>3809.2139876763936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38-4211-8572-374D50EE9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063408"/>
        <c:axId val="1"/>
      </c:barChart>
      <c:catAx>
        <c:axId val="44106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 w="3175">
            <a:solidFill>
              <a:schemeClr val="tx1"/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ko-KR"/>
          </a:p>
        </c:txPr>
        <c:crossAx val="4410634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거래배수 </a:t>
            </a:r>
            <a:r>
              <a:rPr lang="en-US" altLang="ko-KR"/>
              <a:t>(</a:t>
            </a:r>
            <a:r>
              <a:rPr lang="en-US" altLang="ko-KR" sz="1400" b="0" i="0" u="none" strike="noStrike" baseline="0">
                <a:effectLst/>
              </a:rPr>
              <a:t>LTM)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'Trading Comps_Output (정답)'!$B$122</c:f>
              <c:strCache>
                <c:ptCount val="1"/>
                <c:pt idx="0">
                  <c:v>HITE Brewery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'Trading Comps_Output (정답)'!$F$119:$I$119</c:f>
              <c:strCache>
                <c:ptCount val="4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</c:strCache>
            </c:strRef>
          </c:cat>
          <c:val>
            <c:numRef>
              <c:f>'Trading Comps_Output (정답)'!$F$122:$I$122</c:f>
              <c:numCache>
                <c:formatCode>0.0\x</c:formatCode>
                <c:ptCount val="4"/>
                <c:pt idx="0">
                  <c:v>2.4948077908690007</c:v>
                </c:pt>
                <c:pt idx="1">
                  <c:v>10.085686118827006</c:v>
                </c:pt>
                <c:pt idx="2">
                  <c:v>13.992377069505583</c:v>
                </c:pt>
                <c:pt idx="3">
                  <c:v>15.56496430556585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D-4745-AB90-62FF57B85EE5}"/>
            </c:ext>
          </c:extLst>
        </c:ser>
        <c:ser>
          <c:idx val="1"/>
          <c:order val="1"/>
          <c:tx>
            <c:strRef>
              <c:f>'Trading Comps_Output (정답)'!$B$123</c:f>
              <c:strCache>
                <c:ptCount val="1"/>
                <c:pt idx="0">
                  <c:v>ASAHI 
GROUP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'Trading Comps_Output (정답)'!$F$119:$I$119</c:f>
              <c:strCache>
                <c:ptCount val="4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</c:strCache>
            </c:strRef>
          </c:cat>
          <c:val>
            <c:numRef>
              <c:f>'Trading Comps_Output (정답)'!$F$123:$I$123</c:f>
              <c:numCache>
                <c:formatCode>0.0\x</c:formatCode>
                <c:ptCount val="4"/>
                <c:pt idx="0">
                  <c:v>1.1582969820271187</c:v>
                </c:pt>
                <c:pt idx="1">
                  <c:v>8.3893463933290349</c:v>
                </c:pt>
                <c:pt idx="2">
                  <c:v>14.305276273264312</c:v>
                </c:pt>
                <c:pt idx="3">
                  <c:v>16.799790050560517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8D-4745-AB90-62FF57B85EE5}"/>
            </c:ext>
          </c:extLst>
        </c:ser>
        <c:ser>
          <c:idx val="2"/>
          <c:order val="2"/>
          <c:tx>
            <c:strRef>
              <c:f>'Trading Comps_Output (정답)'!$B$124</c:f>
              <c:strCache>
                <c:ptCount val="1"/>
                <c:pt idx="0">
                  <c:v>TSINGTAO 
BREWERY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'Trading Comps_Output (정답)'!$F$119:$I$119</c:f>
              <c:strCache>
                <c:ptCount val="4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</c:strCache>
            </c:strRef>
          </c:cat>
          <c:val>
            <c:numRef>
              <c:f>'Trading Comps_Output (정답)'!$F$124:$I$124</c:f>
              <c:numCache>
                <c:formatCode>0.0\x</c:formatCode>
                <c:ptCount val="4"/>
                <c:pt idx="0">
                  <c:v>0.99238445632229988</c:v>
                </c:pt>
                <c:pt idx="1">
                  <c:v>8.6610146963532397</c:v>
                </c:pt>
                <c:pt idx="2">
                  <c:v>11.763696717283294</c:v>
                </c:pt>
                <c:pt idx="3">
                  <c:v>17.345550093695589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8D-4745-AB90-62FF57B85EE5}"/>
            </c:ext>
          </c:extLst>
        </c:ser>
        <c:ser>
          <c:idx val="3"/>
          <c:order val="3"/>
          <c:tx>
            <c:strRef>
              <c:f>'Trading Comps_Output (정답)'!$B$125</c:f>
              <c:strCache>
                <c:ptCount val="1"/>
                <c:pt idx="0">
                  <c:v>CARLSBERG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'Trading Comps_Output (정답)'!$F$119:$I$119</c:f>
              <c:strCache>
                <c:ptCount val="4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</c:strCache>
            </c:strRef>
          </c:cat>
          <c:val>
            <c:numRef>
              <c:f>'Trading Comps_Output (정답)'!$F$125:$I$125</c:f>
              <c:numCache>
                <c:formatCode>0.0\x</c:formatCode>
                <c:ptCount val="4"/>
                <c:pt idx="0">
                  <c:v>1.714056005670237</c:v>
                </c:pt>
                <c:pt idx="1">
                  <c:v>7.6489121311121968</c:v>
                </c:pt>
                <c:pt idx="2">
                  <c:v>10.671427314815476</c:v>
                </c:pt>
                <c:pt idx="3">
                  <c:v>11.927025443351583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8D-4745-AB90-62FF57B85EE5}"/>
            </c:ext>
          </c:extLst>
        </c:ser>
        <c:ser>
          <c:idx val="4"/>
          <c:order val="4"/>
          <c:tx>
            <c:strRef>
              <c:f>'Trading Comps_Output (정답)'!$B$126</c:f>
              <c:strCache>
                <c:ptCount val="1"/>
                <c:pt idx="0">
                  <c:v>HEINEKEN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'Trading Comps_Output (정답)'!$F$119:$I$119</c:f>
              <c:strCache>
                <c:ptCount val="4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</c:strCache>
            </c:strRef>
          </c:cat>
          <c:val>
            <c:numRef>
              <c:f>'Trading Comps_Output (정답)'!$F$126:$I$126</c:f>
              <c:numCache>
                <c:formatCode>0.0\x</c:formatCode>
                <c:ptCount val="4"/>
                <c:pt idx="0">
                  <c:v>1.7664231506639005</c:v>
                </c:pt>
                <c:pt idx="1">
                  <c:v>9.718632761193863</c:v>
                </c:pt>
                <c:pt idx="2">
                  <c:v>14.613498445644344</c:v>
                </c:pt>
                <c:pt idx="3">
                  <c:v>18.856835921306704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8D-4745-AB90-62FF57B85EE5}"/>
            </c:ext>
          </c:extLst>
        </c:ser>
        <c:ser>
          <c:idx val="5"/>
          <c:order val="5"/>
          <c:tx>
            <c:strRef>
              <c:f>'Trading Comps_Output (정답)'!$B$127</c:f>
              <c:strCache>
                <c:ptCount val="1"/>
                <c:pt idx="0">
                  <c:v>MOLSON
COORS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'Trading Comps_Output (정답)'!$F$119:$I$119</c:f>
              <c:strCache>
                <c:ptCount val="4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</c:strCache>
            </c:strRef>
          </c:cat>
          <c:val>
            <c:numRef>
              <c:f>'Trading Comps_Output (정답)'!$F$127:$I$127</c:f>
              <c:numCache>
                <c:formatCode>0.0\x</c:formatCode>
                <c:ptCount val="4"/>
                <c:pt idx="0">
                  <c:v>1.7233293760717585</c:v>
                </c:pt>
                <c:pt idx="1">
                  <c:v>8.2739455351488296</c:v>
                </c:pt>
                <c:pt idx="2">
                  <c:v>12.336694995278565</c:v>
                </c:pt>
                <c:pt idx="3">
                  <c:v>23.012314328451676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8D-4745-AB90-62FF57B85EE5}"/>
            </c:ext>
          </c:extLst>
        </c:ser>
        <c:ser>
          <c:idx val="6"/>
          <c:order val="6"/>
          <c:tx>
            <c:strRef>
              <c:f>'Trading Comps_Output (정답)'!$B$128</c:f>
              <c:strCache>
                <c:ptCount val="1"/>
                <c:pt idx="0">
                  <c:v>BOSTON 
BEER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'Trading Comps_Output (정답)'!$F$119:$I$119</c:f>
              <c:strCache>
                <c:ptCount val="4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</c:strCache>
            </c:strRef>
          </c:cat>
          <c:val>
            <c:numRef>
              <c:f>'Trading Comps_Output (정답)'!$F$128:$I$128</c:f>
              <c:numCache>
                <c:formatCode>0.0\x</c:formatCode>
                <c:ptCount val="4"/>
                <c:pt idx="0">
                  <c:v>1.5663166371523636</c:v>
                </c:pt>
                <c:pt idx="1">
                  <c:v>8.9993551848724369</c:v>
                </c:pt>
                <c:pt idx="2">
                  <c:v>11.751706782357195</c:v>
                </c:pt>
                <c:pt idx="3">
                  <c:v>20.935602796408688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8D-4745-AB90-62FF57B85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768527"/>
        <c:axId val="1603743983"/>
      </c:barChart>
      <c:catAx>
        <c:axId val="160376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3743983"/>
        <c:crosses val="autoZero"/>
        <c:auto val="1"/>
        <c:lblAlgn val="ctr"/>
        <c:lblOffset val="100"/>
        <c:noMultiLvlLbl val="0"/>
      </c:catAx>
      <c:valAx>
        <c:axId val="16037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376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aseline="0"/>
              <a:t>거래배수 </a:t>
            </a:r>
            <a:r>
              <a:rPr lang="en-US" altLang="ko-KR" baseline="0"/>
              <a:t>(</a:t>
            </a:r>
            <a:r>
              <a:rPr lang="en-US" altLang="ko-KR" sz="1400" b="0" i="0" u="none" strike="noStrike" baseline="0">
                <a:effectLst/>
              </a:rPr>
              <a:t>Year 1 forecast)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'Trading Comps_Output (정답)'!$B$122</c:f>
              <c:strCache>
                <c:ptCount val="1"/>
                <c:pt idx="0">
                  <c:v>HITE Brewery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'Trading Comps_Output (정답)'!$J$119:$N$119</c:f>
              <c:strCache>
                <c:ptCount val="5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</c:v>
                </c:pt>
                <c:pt idx="4">
                  <c:v>PEG ratio</c:v>
                </c:pt>
              </c:strCache>
            </c:strRef>
          </c:cat>
          <c:val>
            <c:numRef>
              <c:f>'Trading Comps_Output (정답)'!$J$122:$N$122</c:f>
              <c:numCache>
                <c:formatCode>0.0\x</c:formatCode>
                <c:ptCount val="5"/>
                <c:pt idx="0">
                  <c:v>2.456033795866027</c:v>
                </c:pt>
                <c:pt idx="1">
                  <c:v>11.275388545314426</c:v>
                </c:pt>
                <c:pt idx="2">
                  <c:v>17.235949159100024</c:v>
                </c:pt>
                <c:pt idx="3">
                  <c:v>24.921900046498095</c:v>
                </c:pt>
                <c:pt idx="4">
                  <c:v>9.9687600185992373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A-44DE-96C9-2DCB91AE170A}"/>
            </c:ext>
          </c:extLst>
        </c:ser>
        <c:ser>
          <c:idx val="1"/>
          <c:order val="1"/>
          <c:tx>
            <c:strRef>
              <c:f>'Trading Comps_Output (정답)'!$B$123</c:f>
              <c:strCache>
                <c:ptCount val="1"/>
                <c:pt idx="0">
                  <c:v>ASAHI 
GROUP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'Trading Comps_Output (정답)'!$J$119:$N$119</c:f>
              <c:strCache>
                <c:ptCount val="5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</c:v>
                </c:pt>
                <c:pt idx="4">
                  <c:v>PEG ratio</c:v>
                </c:pt>
              </c:strCache>
            </c:strRef>
          </c:cat>
          <c:val>
            <c:numRef>
              <c:f>'Trading Comps_Output (정답)'!$J$123:$N$123</c:f>
              <c:numCache>
                <c:formatCode>0.0\x</c:formatCode>
                <c:ptCount val="5"/>
                <c:pt idx="0">
                  <c:v>1.092154038309604</c:v>
                </c:pt>
                <c:pt idx="1">
                  <c:v>7.292628328870272</c:v>
                </c:pt>
                <c:pt idx="2">
                  <c:v>12.414198571797328</c:v>
                </c:pt>
                <c:pt idx="3">
                  <c:v>14.971607150940935</c:v>
                </c:pt>
                <c:pt idx="4">
                  <c:v>4.2776020431259809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4A-44DE-96C9-2DCB91AE170A}"/>
            </c:ext>
          </c:extLst>
        </c:ser>
        <c:ser>
          <c:idx val="2"/>
          <c:order val="2"/>
          <c:tx>
            <c:strRef>
              <c:f>'Trading Comps_Output (정답)'!$B$124</c:f>
              <c:strCache>
                <c:ptCount val="1"/>
                <c:pt idx="0">
                  <c:v>TSINGTAO 
BREWERY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'Trading Comps_Output (정답)'!$J$119:$N$119</c:f>
              <c:strCache>
                <c:ptCount val="5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</c:v>
                </c:pt>
                <c:pt idx="4">
                  <c:v>PEG ratio</c:v>
                </c:pt>
              </c:strCache>
            </c:strRef>
          </c:cat>
          <c:val>
            <c:numRef>
              <c:f>'Trading Comps_Output (정답)'!$J$124:$N$124</c:f>
              <c:numCache>
                <c:formatCode>0.0\x</c:formatCode>
                <c:ptCount val="5"/>
                <c:pt idx="0">
                  <c:v>0.87156702893810367</c:v>
                </c:pt>
                <c:pt idx="1">
                  <c:v>7.1950477009669385</c:v>
                </c:pt>
                <c:pt idx="2">
                  <c:v>9.388788356928071</c:v>
                </c:pt>
                <c:pt idx="3">
                  <c:v>14.585374444972516</c:v>
                </c:pt>
                <c:pt idx="4">
                  <c:v>4.167249841420718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4A-44DE-96C9-2DCB91AE170A}"/>
            </c:ext>
          </c:extLst>
        </c:ser>
        <c:ser>
          <c:idx val="3"/>
          <c:order val="3"/>
          <c:tx>
            <c:strRef>
              <c:f>'Trading Comps_Output (정답)'!$B$125</c:f>
              <c:strCache>
                <c:ptCount val="1"/>
                <c:pt idx="0">
                  <c:v>CARLSBERG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'Trading Comps_Output (정답)'!$J$119:$N$119</c:f>
              <c:strCache>
                <c:ptCount val="5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</c:v>
                </c:pt>
                <c:pt idx="4">
                  <c:v>PEG ratio</c:v>
                </c:pt>
              </c:strCache>
            </c:strRef>
          </c:cat>
          <c:val>
            <c:numRef>
              <c:f>'Trading Comps_Output (정답)'!$J$125:$N$125</c:f>
              <c:numCache>
                <c:formatCode>0.0\x</c:formatCode>
                <c:ptCount val="5"/>
                <c:pt idx="0">
                  <c:v>1.6928960521261638</c:v>
                </c:pt>
                <c:pt idx="1">
                  <c:v>7.5289213416111691</c:v>
                </c:pt>
                <c:pt idx="2">
                  <c:v>10.428946602147199</c:v>
                </c:pt>
                <c:pt idx="3">
                  <c:v>11.967421783487254</c:v>
                </c:pt>
                <c:pt idx="4">
                  <c:v>3.9891405944957512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4A-44DE-96C9-2DCB91AE170A}"/>
            </c:ext>
          </c:extLst>
        </c:ser>
        <c:ser>
          <c:idx val="4"/>
          <c:order val="4"/>
          <c:tx>
            <c:strRef>
              <c:f>'Trading Comps_Output (정답)'!$B$126</c:f>
              <c:strCache>
                <c:ptCount val="1"/>
                <c:pt idx="0">
                  <c:v>HEINEKEN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'Trading Comps_Output (정답)'!$J$119:$N$119</c:f>
              <c:strCache>
                <c:ptCount val="5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</c:v>
                </c:pt>
                <c:pt idx="4">
                  <c:v>PEG ratio</c:v>
                </c:pt>
              </c:strCache>
            </c:strRef>
          </c:cat>
          <c:val>
            <c:numRef>
              <c:f>'Trading Comps_Output (정답)'!$J$126:$N$126</c:f>
              <c:numCache>
                <c:formatCode>0.0\x</c:formatCode>
                <c:ptCount val="5"/>
                <c:pt idx="0">
                  <c:v>1.5904554689420241</c:v>
                </c:pt>
                <c:pt idx="1">
                  <c:v>8.1494304887057627</c:v>
                </c:pt>
                <c:pt idx="2">
                  <c:v>13.07391998492567</c:v>
                </c:pt>
                <c:pt idx="3">
                  <c:v>13.207749677551657</c:v>
                </c:pt>
                <c:pt idx="4">
                  <c:v>3.7736427650147588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4A-44DE-96C9-2DCB91AE170A}"/>
            </c:ext>
          </c:extLst>
        </c:ser>
        <c:ser>
          <c:idx val="5"/>
          <c:order val="5"/>
          <c:tx>
            <c:strRef>
              <c:f>'Trading Comps_Output (정답)'!$B$127</c:f>
              <c:strCache>
                <c:ptCount val="1"/>
                <c:pt idx="0">
                  <c:v>MOLSON
COORS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'Trading Comps_Output (정답)'!$J$119:$N$119</c:f>
              <c:strCache>
                <c:ptCount val="5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</c:v>
                </c:pt>
                <c:pt idx="4">
                  <c:v>PEG ratio</c:v>
                </c:pt>
              </c:strCache>
            </c:strRef>
          </c:cat>
          <c:val>
            <c:numRef>
              <c:f>'Trading Comps_Output (정답)'!$J$127:$N$127</c:f>
              <c:numCache>
                <c:formatCode>0.0\x</c:formatCode>
                <c:ptCount val="5"/>
                <c:pt idx="0">
                  <c:v>1.5497759054587683</c:v>
                </c:pt>
                <c:pt idx="1">
                  <c:v>8.1776347367853468</c:v>
                </c:pt>
                <c:pt idx="2">
                  <c:v>12.26448169233055</c:v>
                </c:pt>
                <c:pt idx="3">
                  <c:v>6.2583544670913041</c:v>
                </c:pt>
                <c:pt idx="4">
                  <c:v>4.1722363113942027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4A-44DE-96C9-2DCB91AE170A}"/>
            </c:ext>
          </c:extLst>
        </c:ser>
        <c:ser>
          <c:idx val="6"/>
          <c:order val="6"/>
          <c:tx>
            <c:strRef>
              <c:f>'Trading Comps_Output (정답)'!$B$128</c:f>
              <c:strCache>
                <c:ptCount val="1"/>
                <c:pt idx="0">
                  <c:v>BOSTON 
BEER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'Trading Comps_Output (정답)'!$J$119:$N$119</c:f>
              <c:strCache>
                <c:ptCount val="5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</c:v>
                </c:pt>
                <c:pt idx="4">
                  <c:v>PEG ratio</c:v>
                </c:pt>
              </c:strCache>
            </c:strRef>
          </c:cat>
          <c:val>
            <c:numRef>
              <c:f>'Trading Comps_Output (정답)'!$J$128:$N$128</c:f>
              <c:numCache>
                <c:formatCode>0.0\x</c:formatCode>
                <c:ptCount val="5"/>
                <c:pt idx="0">
                  <c:v>1.4569956051206308</c:v>
                </c:pt>
                <c:pt idx="1">
                  <c:v>6.331760522114533</c:v>
                </c:pt>
                <c:pt idx="2">
                  <c:v>7.7559685052792178</c:v>
                </c:pt>
                <c:pt idx="3">
                  <c:v>13.94975212995663</c:v>
                </c:pt>
                <c:pt idx="4">
                  <c:v>3.985643465701894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4A-44DE-96C9-2DCB91AE1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768527"/>
        <c:axId val="1603743983"/>
      </c:barChart>
      <c:catAx>
        <c:axId val="160376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3743983"/>
        <c:crosses val="autoZero"/>
        <c:auto val="1"/>
        <c:lblAlgn val="ctr"/>
        <c:lblOffset val="100"/>
        <c:noMultiLvlLbl val="0"/>
      </c:catAx>
      <c:valAx>
        <c:axId val="16037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376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Enterprise Value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'Trading Comps_Output (정답)'!$F$167:$N$167</c:f>
              <c:strCache>
                <c:ptCount val="9"/>
                <c:pt idx="0">
                  <c:v>EV / Revenues</c:v>
                </c:pt>
                <c:pt idx="1">
                  <c:v>EV / EBITDA</c:v>
                </c:pt>
                <c:pt idx="2">
                  <c:v>EV / EBIT</c:v>
                </c:pt>
                <c:pt idx="3">
                  <c:v>P/E </c:v>
                </c:pt>
                <c:pt idx="4">
                  <c:v>EV / Revenues</c:v>
                </c:pt>
                <c:pt idx="5">
                  <c:v>EV / EBITDA</c:v>
                </c:pt>
                <c:pt idx="6">
                  <c:v>EV / EBIT</c:v>
                </c:pt>
                <c:pt idx="7">
                  <c:v>P/E</c:v>
                </c:pt>
                <c:pt idx="8">
                  <c:v>PEG ratio</c:v>
                </c:pt>
              </c:strCache>
            </c:strRef>
          </c:cat>
          <c:val>
            <c:numRef>
              <c:f>'Trading Comps_Output (정답)'!$F$173:$N$173</c:f>
              <c:numCache>
                <c:formatCode>#,##0</c:formatCode>
                <c:ptCount val="9"/>
                <c:pt idx="0">
                  <c:v>2036038.0524208113</c:v>
                </c:pt>
                <c:pt idx="1">
                  <c:v>2535898.9783253027</c:v>
                </c:pt>
                <c:pt idx="2">
                  <c:v>2868712.3888754011</c:v>
                </c:pt>
                <c:pt idx="3">
                  <c:v>3446151.1365416404</c:v>
                </c:pt>
                <c:pt idx="4">
                  <c:v>2064526.0261164755</c:v>
                </c:pt>
                <c:pt idx="5">
                  <c:v>2920083.3075774349</c:v>
                </c:pt>
                <c:pt idx="6">
                  <c:v>3485019.7235637605</c:v>
                </c:pt>
                <c:pt idx="7">
                  <c:v>3809213.9876763937</c:v>
                </c:pt>
                <c:pt idx="8">
                  <c:v>3809213.9876763937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5-43FE-8C0B-77BA62CBF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152016"/>
        <c:axId val="441151184"/>
      </c:barChart>
      <c:catAx>
        <c:axId val="4411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1151184"/>
        <c:crosses val="autoZero"/>
        <c:auto val="1"/>
        <c:lblAlgn val="ctr"/>
        <c:lblOffset val="100"/>
        <c:noMultiLvlLbl val="0"/>
      </c:catAx>
      <c:valAx>
        <c:axId val="44115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11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295275</xdr:colOff>
      <xdr:row>23</xdr:row>
      <xdr:rowOff>166946</xdr:rowOff>
    </xdr:from>
    <xdr:to>
      <xdr:col>12</xdr:col>
      <xdr:colOff>133350</xdr:colOff>
      <xdr:row>25</xdr:row>
      <xdr:rowOff>201056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83F3955-0C99-4A73-8C36-A76BEC508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503795" y="5249486"/>
          <a:ext cx="1560195" cy="4760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190</xdr:row>
      <xdr:rowOff>38100</xdr:rowOff>
    </xdr:from>
    <xdr:to>
      <xdr:col>12</xdr:col>
      <xdr:colOff>15240</xdr:colOff>
      <xdr:row>217</xdr:row>
      <xdr:rowOff>38100</xdr:rowOff>
    </xdr:to>
    <xdr:graphicFrame macro="">
      <xdr:nvGraphicFramePr>
        <xdr:cNvPr id="5541958" name="Chart 3">
          <a:extLst>
            <a:ext uri="{FF2B5EF4-FFF2-40B4-BE49-F238E27FC236}">
              <a16:creationId xmlns:a16="http://schemas.microsoft.com/office/drawing/2014/main" id="{6809B19A-75CD-47C6-9245-26941F016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883920</xdr:colOff>
      <xdr:row>204</xdr:row>
      <xdr:rowOff>83820</xdr:rowOff>
    </xdr:from>
    <xdr:to>
      <xdr:col>12</xdr:col>
      <xdr:colOff>2019300</xdr:colOff>
      <xdr:row>204</xdr:row>
      <xdr:rowOff>83820</xdr:rowOff>
    </xdr:to>
    <xdr:cxnSp macro="">
      <xdr:nvCxnSpPr>
        <xdr:cNvPr id="5541959" name="Straight Connector 6">
          <a:extLst>
            <a:ext uri="{FF2B5EF4-FFF2-40B4-BE49-F238E27FC236}">
              <a16:creationId xmlns:a16="http://schemas.microsoft.com/office/drawing/2014/main" id="{953D4D67-38FE-444E-A8C7-FE19BEC1DF90}"/>
            </a:ext>
          </a:extLst>
        </xdr:cNvPr>
        <xdr:cNvCxnSpPr>
          <a:cxnSpLocks noChangeShapeType="1"/>
        </xdr:cNvCxnSpPr>
      </xdr:nvCxnSpPr>
      <xdr:spPr bwMode="auto">
        <a:xfrm>
          <a:off x="7764780" y="15224760"/>
          <a:ext cx="6842760" cy="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1048872</xdr:colOff>
      <xdr:row>116</xdr:row>
      <xdr:rowOff>170330</xdr:rowOff>
    </xdr:from>
    <xdr:to>
      <xdr:col>20</xdr:col>
      <xdr:colOff>802343</xdr:colOff>
      <xdr:row>139</xdr:row>
      <xdr:rowOff>79339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B4AAFEE8-0A0C-4F7E-930A-990BB9F5C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140</xdr:row>
      <xdr:rowOff>0</xdr:rowOff>
    </xdr:from>
    <xdr:to>
      <xdr:col>20</xdr:col>
      <xdr:colOff>820271</xdr:colOff>
      <xdr:row>163</xdr:row>
      <xdr:rowOff>16586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6969D194-AE30-4903-BE6B-0E81A8703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166</xdr:row>
      <xdr:rowOff>0</xdr:rowOff>
    </xdr:from>
    <xdr:to>
      <xdr:col>19</xdr:col>
      <xdr:colOff>332286</xdr:colOff>
      <xdr:row>185</xdr:row>
      <xdr:rowOff>58783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8E52486-61FA-4C79-BC78-6C0FFE56A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190</xdr:row>
      <xdr:rowOff>38100</xdr:rowOff>
    </xdr:from>
    <xdr:to>
      <xdr:col>12</xdr:col>
      <xdr:colOff>15240</xdr:colOff>
      <xdr:row>217</xdr:row>
      <xdr:rowOff>38100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E913BF3-7501-4A8B-BDB4-279F0CFD1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883920</xdr:colOff>
      <xdr:row>204</xdr:row>
      <xdr:rowOff>83820</xdr:rowOff>
    </xdr:from>
    <xdr:to>
      <xdr:col>12</xdr:col>
      <xdr:colOff>2019300</xdr:colOff>
      <xdr:row>204</xdr:row>
      <xdr:rowOff>83820</xdr:rowOff>
    </xdr:to>
    <xdr:cxnSp macro="">
      <xdr:nvCxnSpPr>
        <xdr:cNvPr id="3" name="Straight Connector 6">
          <a:extLst>
            <a:ext uri="{FF2B5EF4-FFF2-40B4-BE49-F238E27FC236}">
              <a16:creationId xmlns:a16="http://schemas.microsoft.com/office/drawing/2014/main" id="{34E5D997-2B48-4D7B-A9C2-800163C629E6}"/>
            </a:ext>
          </a:extLst>
        </xdr:cNvPr>
        <xdr:cNvCxnSpPr>
          <a:cxnSpLocks noChangeShapeType="1"/>
        </xdr:cNvCxnSpPr>
      </xdr:nvCxnSpPr>
      <xdr:spPr bwMode="auto">
        <a:xfrm>
          <a:off x="7597140" y="37376100"/>
          <a:ext cx="6583680" cy="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1048872</xdr:colOff>
      <xdr:row>116</xdr:row>
      <xdr:rowOff>170330</xdr:rowOff>
    </xdr:from>
    <xdr:to>
      <xdr:col>20</xdr:col>
      <xdr:colOff>802343</xdr:colOff>
      <xdr:row>139</xdr:row>
      <xdr:rowOff>79339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510C3CE-47A9-47C2-8C68-172D395B1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140</xdr:row>
      <xdr:rowOff>0</xdr:rowOff>
    </xdr:from>
    <xdr:to>
      <xdr:col>20</xdr:col>
      <xdr:colOff>820271</xdr:colOff>
      <xdr:row>163</xdr:row>
      <xdr:rowOff>16586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7CC8F7E-3A18-42E2-A7BE-79F39435A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166</xdr:row>
      <xdr:rowOff>0</xdr:rowOff>
    </xdr:from>
    <xdr:to>
      <xdr:col>19</xdr:col>
      <xdr:colOff>332286</xdr:colOff>
      <xdr:row>185</xdr:row>
      <xdr:rowOff>58783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B242972-67C1-4DD0-AF49-4FCA3110F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38100</xdr:rowOff>
    </xdr:from>
    <xdr:to>
      <xdr:col>0</xdr:col>
      <xdr:colOff>1882140</xdr:colOff>
      <xdr:row>2</xdr:row>
      <xdr:rowOff>228600</xdr:rowOff>
    </xdr:to>
    <xdr:pic>
      <xdr:nvPicPr>
        <xdr:cNvPr id="3475" name="Picture 2">
          <a:extLst>
            <a:ext uri="{FF2B5EF4-FFF2-40B4-BE49-F238E27FC236}">
              <a16:creationId xmlns:a16="http://schemas.microsoft.com/office/drawing/2014/main" id="{AB871BF1-4FF9-4B45-B005-3877ACB9C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38100"/>
          <a:ext cx="183642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38100</xdr:rowOff>
    </xdr:from>
    <xdr:to>
      <xdr:col>0</xdr:col>
      <xdr:colOff>1882140</xdr:colOff>
      <xdr:row>2</xdr:row>
      <xdr:rowOff>228600</xdr:rowOff>
    </xdr:to>
    <xdr:pic>
      <xdr:nvPicPr>
        <xdr:cNvPr id="71034" name="Picture 2">
          <a:extLst>
            <a:ext uri="{FF2B5EF4-FFF2-40B4-BE49-F238E27FC236}">
              <a16:creationId xmlns:a16="http://schemas.microsoft.com/office/drawing/2014/main" id="{34A3DFEF-A7BB-412C-B302-CE9A8C71B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38100"/>
          <a:ext cx="183642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45720</xdr:rowOff>
    </xdr:from>
    <xdr:to>
      <xdr:col>0</xdr:col>
      <xdr:colOff>1882140</xdr:colOff>
      <xdr:row>2</xdr:row>
      <xdr:rowOff>228600</xdr:rowOff>
    </xdr:to>
    <xdr:pic>
      <xdr:nvPicPr>
        <xdr:cNvPr id="4477" name="Picture 2">
          <a:extLst>
            <a:ext uri="{FF2B5EF4-FFF2-40B4-BE49-F238E27FC236}">
              <a16:creationId xmlns:a16="http://schemas.microsoft.com/office/drawing/2014/main" id="{5A32E0DD-8560-41ED-86E8-BAE3F5AE0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5720"/>
          <a:ext cx="183642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62</xdr:row>
      <xdr:rowOff>0</xdr:rowOff>
    </xdr:from>
    <xdr:to>
      <xdr:col>18</xdr:col>
      <xdr:colOff>0</xdr:colOff>
      <xdr:row>85</xdr:row>
      <xdr:rowOff>0</xdr:rowOff>
    </xdr:to>
    <xdr:pic>
      <xdr:nvPicPr>
        <xdr:cNvPr id="140987" name="그림 1">
          <a:extLst>
            <a:ext uri="{FF2B5EF4-FFF2-40B4-BE49-F238E27FC236}">
              <a16:creationId xmlns:a16="http://schemas.microsoft.com/office/drawing/2014/main" id="{E87132C3-2BA7-44A1-947D-573AC78C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1220" y="9875520"/>
          <a:ext cx="8823960" cy="350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14</xdr:col>
      <xdr:colOff>38100</xdr:colOff>
      <xdr:row>126</xdr:row>
      <xdr:rowOff>121920</xdr:rowOff>
    </xdr:to>
    <xdr:pic>
      <xdr:nvPicPr>
        <xdr:cNvPr id="140988" name="그림 4">
          <a:extLst>
            <a:ext uri="{FF2B5EF4-FFF2-40B4-BE49-F238E27FC236}">
              <a16:creationId xmlns:a16="http://schemas.microsoft.com/office/drawing/2014/main" id="{B8FA524B-FFB3-4E88-BA59-8E66C3CB5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1220" y="13533120"/>
          <a:ext cx="6423660" cy="6217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unse/Desktop/Wall%20Street%20Training%20Asia/Online/WST_SHAK%20&#47784;&#45944;_&#49884;&#510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bout:bla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Cover"/>
      <sheetName val="Operations"/>
      <sheetName val="Income Statement"/>
      <sheetName val="Balance Sheet"/>
      <sheetName val="Cash Flow"/>
      <sheetName val="Working Capital"/>
      <sheetName val="PP&amp;E"/>
      <sheetName val="Other LT Items"/>
      <sheetName val="Equity"/>
      <sheetName val="Shares"/>
      <sheetName val="Debt&amp;Interest"/>
      <sheetName val="DCF"/>
      <sheetName val="SHAK_10K"/>
      <sheetName val="Capital IQ&gt;&gt;&gt;&gt;&gt;"/>
      <sheetName val="Key Stats"/>
      <sheetName val="IS"/>
      <sheetName val="BS"/>
      <sheetName val="SCF"/>
      <sheetName val="Multiples"/>
      <sheetName val="Historical Capitalization"/>
      <sheetName val="Capital Structure Summary"/>
      <sheetName val="Capital Structure Details"/>
      <sheetName val="Ratios"/>
      <sheetName val="Supplemental"/>
      <sheetName val="Segments"/>
      <sheetName val="WACC"/>
      <sheetName val="Input Tab"/>
      <sheetName val="Trading Multiples"/>
      <sheetName val="Valuation Chart"/>
      <sheetName val="Comparable M&amp;A Transactions"/>
      <sheetName val="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H1">
            <v>43291</v>
          </cell>
        </row>
      </sheetData>
      <sheetData sheetId="27">
        <row r="15">
          <cell r="AD15" t="str">
            <v>Public Peer List</v>
          </cell>
        </row>
        <row r="16">
          <cell r="AD16" t="str">
            <v>Private Peer List</v>
          </cell>
        </row>
        <row r="17">
          <cell r="AD17" t="str">
            <v>Mixed Peer List</v>
          </cell>
        </row>
        <row r="18">
          <cell r="AD18" t="str">
            <v>Quick Comps</v>
          </cell>
        </row>
        <row r="19">
          <cell r="AD19" t="str">
            <v>CompSet / Watchlist</v>
          </cell>
        </row>
      </sheetData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Stats"/>
      <sheetName val="Income Statement"/>
      <sheetName val="Balance Sheet"/>
      <sheetName val="Cash Flow"/>
      <sheetName val="Multiples"/>
      <sheetName val="Historical Capitalization"/>
      <sheetName val="Capital Structure Summary"/>
      <sheetName val="Capital Structure Details"/>
      <sheetName val="Ratios"/>
      <sheetName val="Supplemental"/>
      <sheetName val="Industry Specific"/>
      <sheetName val="Pension OPEB"/>
      <sheetName val="Segments"/>
      <sheetName val="Cover"/>
      <sheetName val="OB맥주_Research"/>
      <sheetName val="DCF&gt;&gt;&gt;"/>
      <sheetName val="Statement of Cash Flow"/>
      <sheetName val="Assets Schedule"/>
      <sheetName val="Non-debt Liabilities Schedule"/>
      <sheetName val="Debt Schedule"/>
      <sheetName val="Equity Schedule"/>
      <sheetName val="DCF Valuation"/>
      <sheetName val="WACC"/>
      <sheetName val="Football"/>
      <sheetName val="LBO&gt;&gt;&gt;"/>
      <sheetName val="LBO_Analysis"/>
      <sheetName val="LBO Financing Structure"/>
      <sheetName val="LBO Graph"/>
      <sheetName val="Trading Comps &gt;&gt;&gt;"/>
      <sheetName val="Trading Comps_Input"/>
      <sheetName val="Trading Comps_Output"/>
      <sheetName val="Precedent Transactions&gt;&gt;&gt;"/>
      <sheetName val="Precedent Transactions_Input"/>
      <sheetName val="Precedent Transactions_Output"/>
      <sheetName val="Actual Financial Statements&gt;&gt;&gt;"/>
      <sheetName val="OB_IS"/>
      <sheetName val="OB_BS"/>
      <sheetName val="OB_SCF"/>
      <sheetName val="OB맥주_DART"/>
      <sheetName val="하이트진로_DART"/>
      <sheetName val="IS"/>
      <sheetName val="BS"/>
      <sheetName val="SCF"/>
      <sheetName val="Working Capital"/>
      <sheetName val="PP&amp;E"/>
      <sheetName val="Intangibles"/>
      <sheetName val="Other LT Items"/>
      <sheetName val="Equity"/>
      <sheetName val="Share"/>
      <sheetName val="Debt&amp;Interest"/>
      <sheetName val="DCF Analysis"/>
      <sheetName val="CR"/>
      <sheetName val="LBO_Summary"/>
      <sheetName val="Wall Street Training"/>
      <sheetName val="투자은행과 사모펀드"/>
    </sheetNames>
    <sheetDataSet>
      <sheetData sheetId="0" refreshError="1"/>
      <sheetData sheetId="1">
        <row r="12">
          <cell r="AJ12" t="str">
            <v>Net Sales</v>
          </cell>
          <cell r="AP12">
            <v>0</v>
          </cell>
        </row>
      </sheetData>
      <sheetData sheetId="2"/>
      <sheetData sheetId="3">
        <row r="80">
          <cell r="P80">
            <v>2010</v>
          </cell>
        </row>
      </sheetData>
      <sheetData sheetId="4" refreshError="1"/>
      <sheetData sheetId="5" refreshError="1"/>
      <sheetData sheetId="6" refreshError="1"/>
      <sheetData sheetId="7" refreshError="1">
        <row r="14">
          <cell r="V14" t="str">
            <v>IQDCS917863134</v>
          </cell>
        </row>
        <row r="15">
          <cell r="V15" t="str">
            <v>IQDCS923207510</v>
          </cell>
        </row>
        <row r="16">
          <cell r="V16" t="str">
            <v>IQDCS923207569</v>
          </cell>
        </row>
        <row r="17">
          <cell r="V17" t="str">
            <v>IQDCS923207570</v>
          </cell>
        </row>
        <row r="18">
          <cell r="V18" t="str">
            <v>IQDCS923207571</v>
          </cell>
        </row>
        <row r="19">
          <cell r="V19" t="str">
            <v>IQDCS923207572</v>
          </cell>
        </row>
        <row r="20">
          <cell r="V20" t="str">
            <v>IQDCS923207573</v>
          </cell>
        </row>
        <row r="21">
          <cell r="V21" t="str">
            <v>IQDCS923207574</v>
          </cell>
        </row>
        <row r="22">
          <cell r="V22" t="str">
            <v>IQDCS923207575</v>
          </cell>
        </row>
        <row r="23">
          <cell r="V23" t="str">
            <v>IQDCS923207576</v>
          </cell>
        </row>
        <row r="24">
          <cell r="V24" t="str">
            <v>IQDCS923212114</v>
          </cell>
        </row>
        <row r="25">
          <cell r="V25" t="str">
            <v>IQDCS923207577</v>
          </cell>
        </row>
        <row r="32">
          <cell r="V32" t="str">
            <v>IQDCS917863134</v>
          </cell>
        </row>
        <row r="33">
          <cell r="V33" t="str">
            <v>IQDCS921082138</v>
          </cell>
        </row>
        <row r="34">
          <cell r="V34" t="str">
            <v>IQDCS920788839</v>
          </cell>
        </row>
        <row r="35">
          <cell r="V35" t="str">
            <v>IQDCS920009847</v>
          </cell>
        </row>
        <row r="36">
          <cell r="V36" t="str">
            <v>IQDCS920009846</v>
          </cell>
        </row>
        <row r="37">
          <cell r="V37" t="str">
            <v>IQDCS919287754</v>
          </cell>
        </row>
        <row r="38">
          <cell r="V38" t="str">
            <v>IQDCS918915118</v>
          </cell>
        </row>
        <row r="39">
          <cell r="V39" t="str">
            <v>IQDCS918501939</v>
          </cell>
        </row>
        <row r="40">
          <cell r="V40" t="str">
            <v>IQDCS917466995</v>
          </cell>
        </row>
        <row r="41">
          <cell r="V41" t="str">
            <v>IQDCS917182729</v>
          </cell>
        </row>
        <row r="42">
          <cell r="V42" t="str">
            <v>IQDCS916202998</v>
          </cell>
        </row>
        <row r="43">
          <cell r="V43" t="str">
            <v>IQDCS915018595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6">
          <cell r="K6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0">
          <cell r="Q20">
            <v>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dart.fss.or.kr/dsaf001/main.do?rcpNo=20100405001258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dart.fss.or.kr/dsaf001/main.do?rcpNo=20100331000603&amp;dcmNo=25862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AE0-B451-47A0-9058-DB3820F01CD5}">
  <sheetPr>
    <tabColor rgb="FF000000"/>
  </sheetPr>
  <dimension ref="A1:M36"/>
  <sheetViews>
    <sheetView showGridLines="0" view="pageBreakPreview" zoomScaleNormal="100" zoomScaleSheetLayoutView="100" workbookViewId="0"/>
  </sheetViews>
  <sheetFormatPr defaultColWidth="10" defaultRowHeight="17.399999999999999"/>
  <cols>
    <col min="1" max="3" width="3" style="302" customWidth="1"/>
    <col min="4" max="4" width="17" style="302" bestFit="1" customWidth="1"/>
    <col min="5" max="5" width="8.5546875" style="302" customWidth="1"/>
    <col min="6" max="6" width="20.77734375" style="302" customWidth="1"/>
    <col min="7" max="7" width="10.109375" style="302" customWidth="1"/>
    <col min="8" max="8" width="14.109375" style="302" customWidth="1"/>
    <col min="9" max="9" width="17" style="302" bestFit="1" customWidth="1"/>
    <col min="10" max="10" width="8.5546875" style="302" customWidth="1"/>
    <col min="11" max="11" width="15.109375" style="302" customWidth="1"/>
    <col min="12" max="12" width="10" style="302"/>
    <col min="13" max="13" width="2.44140625" style="302" customWidth="1"/>
    <col min="14" max="14" width="3" style="302" customWidth="1"/>
    <col min="15" max="16384" width="10" style="302"/>
  </cols>
  <sheetData>
    <row r="1" spans="1:13" ht="21.6" thickBot="1">
      <c r="A1" s="298"/>
      <c r="B1" s="299"/>
      <c r="C1" s="300"/>
      <c r="D1" s="300"/>
      <c r="E1" s="300"/>
      <c r="F1" s="300"/>
      <c r="G1" s="300"/>
      <c r="H1" s="300"/>
      <c r="I1" s="300"/>
      <c r="J1" s="300"/>
      <c r="K1" s="299"/>
      <c r="L1" s="300"/>
      <c r="M1" s="301"/>
    </row>
    <row r="2" spans="1:13" ht="24" customHeight="1">
      <c r="A2" s="303"/>
      <c r="B2" s="304" t="s">
        <v>876</v>
      </c>
      <c r="C2" s="303"/>
      <c r="D2" s="303"/>
      <c r="E2" s="303"/>
      <c r="F2" s="303"/>
      <c r="G2" s="303"/>
      <c r="H2" s="303"/>
      <c r="I2" s="303"/>
      <c r="J2" s="303"/>
      <c r="K2" s="305" t="s">
        <v>877</v>
      </c>
      <c r="L2" s="303"/>
    </row>
    <row r="3" spans="1:13" ht="6.75" customHeight="1" thickBot="1">
      <c r="A3" s="303"/>
      <c r="B3" s="299"/>
      <c r="C3" s="300"/>
      <c r="D3" s="300"/>
      <c r="E3" s="300"/>
      <c r="F3" s="300"/>
      <c r="G3" s="300"/>
      <c r="H3" s="300"/>
      <c r="I3" s="300"/>
      <c r="J3" s="300"/>
      <c r="K3" s="299"/>
      <c r="L3" s="300"/>
      <c r="M3" s="301"/>
    </row>
    <row r="4" spans="1:13">
      <c r="A4" s="303"/>
      <c r="B4" s="303"/>
      <c r="C4" s="303"/>
      <c r="D4" s="303"/>
      <c r="E4" s="303"/>
      <c r="F4" s="303"/>
      <c r="G4" s="303"/>
      <c r="H4" s="303"/>
      <c r="I4" s="303"/>
      <c r="J4" s="303"/>
      <c r="K4" s="303"/>
      <c r="L4" s="303"/>
    </row>
    <row r="5" spans="1:13">
      <c r="A5" s="303"/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</row>
    <row r="6" spans="1:13">
      <c r="A6" s="303"/>
      <c r="B6" s="303"/>
      <c r="C6" s="303"/>
      <c r="D6" s="303" t="s">
        <v>871</v>
      </c>
      <c r="E6" s="303"/>
      <c r="F6" s="306">
        <f ca="1">TODAY()</f>
        <v>45831</v>
      </c>
      <c r="G6" s="303"/>
      <c r="H6" s="303"/>
      <c r="I6" s="303"/>
      <c r="J6" s="303"/>
      <c r="K6" s="303"/>
      <c r="L6" s="303"/>
    </row>
    <row r="7" spans="1:13">
      <c r="A7" s="303"/>
      <c r="B7" s="303"/>
      <c r="C7" s="303"/>
      <c r="D7" s="303"/>
      <c r="E7" s="303"/>
      <c r="F7" s="303"/>
      <c r="G7" s="303"/>
      <c r="H7" s="303"/>
      <c r="I7" s="303"/>
      <c r="J7" s="303"/>
      <c r="K7" s="303"/>
      <c r="L7" s="303"/>
    </row>
    <row r="8" spans="1:13">
      <c r="A8" s="303"/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</row>
    <row r="9" spans="1:13">
      <c r="A9" s="303"/>
      <c r="B9" s="303"/>
      <c r="C9" s="303"/>
      <c r="D9" s="303"/>
      <c r="E9" s="303"/>
      <c r="F9" s="303"/>
      <c r="G9" s="303"/>
      <c r="H9" s="303"/>
      <c r="I9" s="303"/>
      <c r="J9" s="303"/>
      <c r="K9" s="303"/>
      <c r="L9" s="303"/>
    </row>
    <row r="10" spans="1:13">
      <c r="A10" s="303"/>
      <c r="B10" s="303"/>
      <c r="C10" s="303"/>
      <c r="D10" s="303"/>
      <c r="E10" s="303"/>
      <c r="F10" s="303"/>
      <c r="G10" s="303"/>
      <c r="H10" s="303"/>
      <c r="I10" s="303"/>
      <c r="J10" s="303"/>
      <c r="K10" s="303"/>
      <c r="L10" s="303"/>
    </row>
    <row r="11" spans="1:13">
      <c r="A11" s="303"/>
      <c r="B11" s="303"/>
      <c r="C11" s="303"/>
      <c r="D11" s="303"/>
      <c r="E11" s="303"/>
      <c r="F11" s="303"/>
      <c r="G11" s="303"/>
      <c r="H11" s="303"/>
      <c r="I11" s="303"/>
      <c r="J11" s="303"/>
      <c r="K11" s="303"/>
      <c r="L11" s="303"/>
    </row>
    <row r="12" spans="1:13">
      <c r="A12" s="303"/>
      <c r="B12" s="303"/>
      <c r="C12" s="303"/>
      <c r="D12" s="303"/>
      <c r="E12" s="303"/>
      <c r="F12" s="303"/>
      <c r="G12" s="303"/>
      <c r="H12" s="303"/>
      <c r="I12" s="303"/>
      <c r="J12" s="303"/>
      <c r="K12" s="303"/>
      <c r="L12" s="303"/>
    </row>
    <row r="13" spans="1:13">
      <c r="A13" s="303"/>
      <c r="B13" s="303"/>
      <c r="C13" s="303"/>
      <c r="D13" s="303"/>
      <c r="E13" s="303"/>
      <c r="F13" s="303"/>
      <c r="G13" s="303"/>
      <c r="H13" s="303"/>
      <c r="I13" s="303"/>
      <c r="J13" s="303"/>
      <c r="K13" s="303"/>
      <c r="L13" s="303"/>
    </row>
    <row r="14" spans="1:13">
      <c r="A14" s="303"/>
      <c r="B14" s="303"/>
      <c r="C14" s="303"/>
      <c r="D14" s="303"/>
      <c r="E14" s="303"/>
      <c r="F14" s="303"/>
      <c r="G14" s="303"/>
      <c r="H14" s="303"/>
      <c r="I14" s="303"/>
      <c r="J14" s="303"/>
      <c r="K14" s="303"/>
      <c r="L14" s="303"/>
    </row>
    <row r="17" spans="2:6">
      <c r="F17" s="307"/>
    </row>
    <row r="21" spans="2:6">
      <c r="B21" s="307"/>
    </row>
    <row r="29" spans="2:6">
      <c r="C29" s="308" t="s">
        <v>872</v>
      </c>
    </row>
    <row r="30" spans="2:6">
      <c r="C30" s="308" t="s">
        <v>558</v>
      </c>
    </row>
    <row r="31" spans="2:6">
      <c r="C31" s="308" t="s">
        <v>873</v>
      </c>
    </row>
    <row r="32" spans="2:6">
      <c r="C32" s="308"/>
    </row>
    <row r="33" spans="3:3">
      <c r="C33" s="308" t="s">
        <v>874</v>
      </c>
    </row>
    <row r="34" spans="3:3">
      <c r="C34" s="308" t="s">
        <v>559</v>
      </c>
    </row>
    <row r="35" spans="3:3">
      <c r="C35" s="308" t="s">
        <v>560</v>
      </c>
    </row>
    <row r="36" spans="3:3">
      <c r="C36" s="308" t="s">
        <v>875</v>
      </c>
    </row>
  </sheetData>
  <phoneticPr fontId="22" type="noConversion"/>
  <pageMargins left="0.7" right="0.7" top="0.75" bottom="0.75" header="0.3" footer="0.3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I84"/>
  <sheetViews>
    <sheetView showGridLines="0" workbookViewId="0"/>
  </sheetViews>
  <sheetFormatPr defaultRowHeight="10.199999999999999"/>
  <sheetData>
    <row r="1" spans="1:1" s="21" customFormat="1" ht="23.4">
      <c r="A1" s="26" t="s">
        <v>525</v>
      </c>
    </row>
    <row r="2" spans="1:1" s="21" customFormat="1" ht="23.4">
      <c r="A2" s="26"/>
    </row>
    <row r="84" spans="2:9">
      <c r="B84" s="53">
        <f>IFERROR((B79+B82)/(B66+B83),0)</f>
        <v>0</v>
      </c>
      <c r="C84" s="53">
        <f t="shared" ref="C84:I84" si="0">IFERROR((C79+C82)/(C66+C83),0)</f>
        <v>0</v>
      </c>
      <c r="D84" s="53">
        <f t="shared" si="0"/>
        <v>0</v>
      </c>
      <c r="E84" s="53"/>
      <c r="F84" s="53">
        <f t="shared" si="0"/>
        <v>0</v>
      </c>
      <c r="G84" s="53">
        <f t="shared" si="0"/>
        <v>0</v>
      </c>
      <c r="H84" s="53">
        <f t="shared" si="0"/>
        <v>0</v>
      </c>
      <c r="I84" s="53">
        <f t="shared" si="0"/>
        <v>0</v>
      </c>
    </row>
  </sheetData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T195"/>
  <sheetViews>
    <sheetView showGridLines="0" zoomScale="96" zoomScaleNormal="100" workbookViewId="0">
      <pane xSplit="2" ySplit="9" topLeftCell="C174" activePane="bottomRight" state="frozen"/>
      <selection activeCell="O33" sqref="O33"/>
      <selection pane="topRight" activeCell="O33" sqref="O33"/>
      <selection pane="bottomLeft" activeCell="O33" sqref="O33"/>
      <selection pane="bottomRight" activeCell="D183" sqref="D183"/>
    </sheetView>
  </sheetViews>
  <sheetFormatPr defaultColWidth="15.77734375" defaultRowHeight="15" customHeight="1"/>
  <cols>
    <col min="1" max="1" width="3.77734375" style="30" customWidth="1"/>
    <col min="2" max="2" width="41.77734375" style="30" customWidth="1"/>
    <col min="3" max="6" width="15.77734375" style="30" customWidth="1"/>
    <col min="7" max="16384" width="15.77734375" style="30"/>
  </cols>
  <sheetData>
    <row r="1" spans="1:11" s="28" customFormat="1" ht="19.2">
      <c r="A1" s="22" t="s">
        <v>104</v>
      </c>
    </row>
    <row r="2" spans="1:11" s="28" customFormat="1" ht="15" customHeight="1">
      <c r="A2" s="23" t="s">
        <v>537</v>
      </c>
    </row>
    <row r="4" spans="1:11" ht="15" customHeight="1" thickBot="1">
      <c r="A4" s="30" t="s">
        <v>98</v>
      </c>
      <c r="B4" s="29" t="s">
        <v>107</v>
      </c>
      <c r="C4" s="31"/>
      <c r="D4" s="31"/>
      <c r="E4" s="31"/>
      <c r="F4" s="31"/>
      <c r="G4" s="31"/>
      <c r="H4" s="31"/>
      <c r="I4" s="31"/>
      <c r="J4" s="31"/>
    </row>
    <row r="5" spans="1:11" ht="15" customHeight="1">
      <c r="B5" s="32" t="s">
        <v>108</v>
      </c>
      <c r="D5" s="183"/>
      <c r="G5" s="183"/>
    </row>
    <row r="6" spans="1:11" ht="13.8">
      <c r="B6" s="155"/>
      <c r="C6" s="318" t="s">
        <v>128</v>
      </c>
      <c r="D6" s="318"/>
      <c r="E6" s="319" t="s">
        <v>127</v>
      </c>
      <c r="F6" s="319"/>
      <c r="G6" s="319" t="s">
        <v>131</v>
      </c>
      <c r="H6" s="319"/>
      <c r="I6" s="319"/>
      <c r="J6" s="319"/>
    </row>
    <row r="7" spans="1:11" ht="13.8">
      <c r="B7" s="121"/>
      <c r="C7" s="121" t="s">
        <v>128</v>
      </c>
      <c r="D7" s="121" t="s">
        <v>128</v>
      </c>
      <c r="E7" s="36" t="s">
        <v>129</v>
      </c>
      <c r="F7" s="36" t="s">
        <v>130</v>
      </c>
      <c r="G7" s="36" t="s">
        <v>132</v>
      </c>
      <c r="H7" s="36" t="s">
        <v>133</v>
      </c>
      <c r="I7" s="36" t="s">
        <v>135</v>
      </c>
      <c r="J7" s="36" t="s">
        <v>134</v>
      </c>
    </row>
    <row r="8" spans="1:11" ht="13.8">
      <c r="B8" s="36"/>
      <c r="C8" s="36" t="s">
        <v>136</v>
      </c>
      <c r="D8" s="36" t="s">
        <v>136</v>
      </c>
      <c r="E8" s="36" t="s">
        <v>137</v>
      </c>
      <c r="F8" s="36" t="s">
        <v>251</v>
      </c>
      <c r="G8" s="36" t="s">
        <v>138</v>
      </c>
      <c r="H8" s="36" t="s">
        <v>139</v>
      </c>
      <c r="I8" s="36" t="s">
        <v>140</v>
      </c>
      <c r="J8" s="36" t="s">
        <v>140</v>
      </c>
    </row>
    <row r="9" spans="1:11" ht="27.6">
      <c r="B9" s="165" t="s">
        <v>109</v>
      </c>
      <c r="C9" s="33" t="s">
        <v>226</v>
      </c>
      <c r="D9" s="33" t="s">
        <v>783</v>
      </c>
      <c r="E9" s="33" t="s">
        <v>784</v>
      </c>
      <c r="F9" s="33" t="s">
        <v>788</v>
      </c>
      <c r="G9" s="34" t="s">
        <v>117</v>
      </c>
      <c r="H9" s="34" t="s">
        <v>118</v>
      </c>
      <c r="I9" s="33" t="s">
        <v>119</v>
      </c>
      <c r="J9" s="33" t="s">
        <v>120</v>
      </c>
    </row>
    <row r="10" spans="1:11" ht="15" customHeight="1">
      <c r="B10" s="30" t="s">
        <v>110</v>
      </c>
      <c r="C10" s="35" t="s">
        <v>261</v>
      </c>
      <c r="D10" s="35" t="s">
        <v>781</v>
      </c>
      <c r="E10" s="35" t="s">
        <v>796</v>
      </c>
      <c r="F10" s="35" t="s">
        <v>123</v>
      </c>
      <c r="G10" s="35" t="s">
        <v>122</v>
      </c>
      <c r="H10" s="35" t="s">
        <v>124</v>
      </c>
      <c r="I10" s="35" t="s">
        <v>121</v>
      </c>
      <c r="J10" s="35" t="s">
        <v>125</v>
      </c>
    </row>
    <row r="11" spans="1:11" ht="15" customHeight="1">
      <c r="B11" s="30" t="s">
        <v>126</v>
      </c>
      <c r="C11" s="118">
        <v>40178</v>
      </c>
      <c r="D11" s="118">
        <v>40178</v>
      </c>
      <c r="E11" s="118">
        <v>40178</v>
      </c>
      <c r="F11" s="118">
        <v>40178</v>
      </c>
      <c r="G11" s="118">
        <v>40178</v>
      </c>
      <c r="H11" s="118">
        <v>40178</v>
      </c>
      <c r="I11" s="118">
        <v>40178</v>
      </c>
      <c r="J11" s="118">
        <v>40178</v>
      </c>
    </row>
    <row r="12" spans="1:11" ht="15" customHeight="1">
      <c r="B12" s="30" t="s">
        <v>111</v>
      </c>
      <c r="C12" s="118">
        <v>40178</v>
      </c>
      <c r="D12" s="118">
        <v>40178</v>
      </c>
      <c r="E12" s="118">
        <v>40178</v>
      </c>
      <c r="F12" s="118">
        <v>40178</v>
      </c>
      <c r="G12" s="118">
        <v>40178</v>
      </c>
      <c r="H12" s="118">
        <v>40178</v>
      </c>
      <c r="I12" s="118">
        <v>40178</v>
      </c>
      <c r="J12" s="118">
        <v>40178</v>
      </c>
      <c r="K12" s="38"/>
    </row>
    <row r="13" spans="1:11" ht="15" customHeight="1">
      <c r="B13" s="30" t="s">
        <v>112</v>
      </c>
      <c r="C13" s="107" t="s">
        <v>224</v>
      </c>
      <c r="D13" s="107" t="s">
        <v>224</v>
      </c>
      <c r="E13" s="107" t="s">
        <v>224</v>
      </c>
      <c r="F13" s="107" t="s">
        <v>224</v>
      </c>
      <c r="G13" s="107" t="s">
        <v>224</v>
      </c>
      <c r="H13" s="107" t="s">
        <v>224</v>
      </c>
      <c r="I13" s="107" t="s">
        <v>224</v>
      </c>
      <c r="J13" s="107" t="s">
        <v>224</v>
      </c>
    </row>
    <row r="14" spans="1:11" ht="15" customHeight="1">
      <c r="B14" s="30" t="s">
        <v>113</v>
      </c>
      <c r="C14" s="41"/>
      <c r="D14" s="106">
        <v>170000</v>
      </c>
      <c r="E14" s="106">
        <v>1732</v>
      </c>
      <c r="F14" s="41">
        <v>16.48</v>
      </c>
      <c r="G14" s="41">
        <v>396.1</v>
      </c>
      <c r="H14" s="41">
        <v>35.81</v>
      </c>
      <c r="I14" s="41">
        <f>45.92/2</f>
        <v>22.96</v>
      </c>
      <c r="J14" s="41">
        <v>47.53</v>
      </c>
    </row>
    <row r="15" spans="1:11" ht="15" customHeight="1">
      <c r="B15" s="30" t="s">
        <v>797</v>
      </c>
      <c r="C15" s="41"/>
      <c r="D15" s="106">
        <v>68700</v>
      </c>
      <c r="E15" s="106"/>
      <c r="F15" s="41"/>
      <c r="G15" s="41"/>
      <c r="H15" s="41"/>
      <c r="I15" s="41"/>
      <c r="J15" s="41"/>
    </row>
    <row r="16" spans="1:11" ht="15" customHeight="1">
      <c r="B16" s="30" t="s">
        <v>262</v>
      </c>
      <c r="C16" s="91">
        <v>0.24199999999999999</v>
      </c>
      <c r="D16" s="91">
        <v>0.24199999999999999</v>
      </c>
      <c r="E16" s="91">
        <v>0.40689999999999998</v>
      </c>
      <c r="F16" s="91">
        <v>0.25</v>
      </c>
      <c r="G16" s="91">
        <v>0.25</v>
      </c>
      <c r="H16" s="91">
        <v>0.255</v>
      </c>
      <c r="I16" s="91">
        <v>0.39200000000000002</v>
      </c>
      <c r="J16" s="91">
        <v>0.39200000000000002</v>
      </c>
    </row>
    <row r="17" spans="1:10" ht="15" customHeight="1">
      <c r="B17" s="30" t="s">
        <v>225</v>
      </c>
      <c r="C17" s="41">
        <v>1</v>
      </c>
      <c r="D17" s="41">
        <v>1</v>
      </c>
      <c r="E17" s="41">
        <v>12.68258</v>
      </c>
      <c r="F17" s="41">
        <v>170.70285000000001</v>
      </c>
      <c r="G17" s="41">
        <v>224.05884</v>
      </c>
      <c r="H17" s="41">
        <v>1680.3065799999999</v>
      </c>
      <c r="I17" s="41">
        <v>1171.57755</v>
      </c>
      <c r="J17" s="41">
        <v>1171.57755</v>
      </c>
    </row>
    <row r="18" spans="1:10" ht="15" customHeight="1">
      <c r="B18" s="30" t="s">
        <v>114</v>
      </c>
      <c r="C18" s="154">
        <v>40179</v>
      </c>
      <c r="D18" s="154">
        <v>40182</v>
      </c>
      <c r="E18" s="154">
        <v>40182</v>
      </c>
      <c r="F18" s="154">
        <v>40180</v>
      </c>
      <c r="G18" s="154">
        <v>40182</v>
      </c>
      <c r="H18" s="154">
        <v>40182</v>
      </c>
      <c r="I18" s="154">
        <v>40182</v>
      </c>
      <c r="J18" s="154">
        <v>40182</v>
      </c>
    </row>
    <row r="19" spans="1:10" ht="15" customHeight="1">
      <c r="B19" s="30" t="s">
        <v>535</v>
      </c>
      <c r="C19" s="154"/>
      <c r="D19" s="154"/>
      <c r="E19" s="154"/>
      <c r="F19" s="154"/>
      <c r="G19" s="154"/>
      <c r="H19" s="154"/>
      <c r="I19" s="154"/>
      <c r="J19" s="154"/>
    </row>
    <row r="21" spans="1:10" ht="15" customHeight="1">
      <c r="A21" s="30" t="s">
        <v>98</v>
      </c>
      <c r="B21" s="29" t="s">
        <v>141</v>
      </c>
      <c r="C21" s="31"/>
      <c r="D21" s="31"/>
      <c r="E21" s="31"/>
      <c r="F21" s="31"/>
      <c r="G21" s="31"/>
      <c r="H21" s="31"/>
      <c r="I21" s="31"/>
      <c r="J21" s="31"/>
    </row>
    <row r="22" spans="1:10" ht="15" customHeight="1">
      <c r="B22" s="163"/>
    </row>
    <row r="23" spans="1:10" ht="15" customHeight="1">
      <c r="B23" s="42" t="s">
        <v>156</v>
      </c>
      <c r="C23" s="108">
        <v>20.11</v>
      </c>
      <c r="D23" s="108">
        <v>41.973813999999997</v>
      </c>
      <c r="E23" s="108">
        <v>464.87462099999999</v>
      </c>
      <c r="F23" s="108">
        <v>1315.346448</v>
      </c>
      <c r="G23" s="108">
        <v>152.55000000000001</v>
      </c>
      <c r="H23" s="108">
        <v>488.666607</v>
      </c>
      <c r="I23" s="108">
        <v>184.4</v>
      </c>
      <c r="J23" s="108">
        <v>14.058999999999999</v>
      </c>
    </row>
    <row r="24" spans="1:10" ht="15" customHeight="1">
      <c r="B24" s="43" t="s">
        <v>157</v>
      </c>
    </row>
    <row r="25" spans="1:10" ht="15" customHeight="1">
      <c r="B25" s="44">
        <v>1</v>
      </c>
      <c r="C25" s="110"/>
      <c r="D25" s="110"/>
      <c r="E25" s="109">
        <v>1.7999999999999999E-2</v>
      </c>
      <c r="F25" s="110"/>
      <c r="G25" s="111">
        <v>2.4715000000000001E-2</v>
      </c>
      <c r="H25" s="111">
        <v>3.2265000000000002E-2</v>
      </c>
      <c r="I25" s="111">
        <v>7.4</v>
      </c>
      <c r="J25" s="111">
        <v>2.1596039999999999</v>
      </c>
    </row>
    <row r="26" spans="1:10" ht="15" customHeight="1">
      <c r="B26" s="44">
        <f>B25+1</f>
        <v>2</v>
      </c>
      <c r="C26" s="110"/>
      <c r="D26" s="110"/>
      <c r="E26" s="109">
        <v>0.1966</v>
      </c>
      <c r="F26" s="110"/>
      <c r="G26" s="111">
        <v>3.8435999999999998E-2</v>
      </c>
      <c r="H26" s="111">
        <v>0.28139999999999998</v>
      </c>
      <c r="I26" s="110"/>
      <c r="J26" s="110"/>
    </row>
    <row r="27" spans="1:10" ht="15" customHeight="1">
      <c r="B27" s="44">
        <f t="shared" ref="B27:B34" si="0">B26+1</f>
        <v>3</v>
      </c>
      <c r="C27" s="110"/>
      <c r="D27" s="110"/>
      <c r="E27" s="109">
        <v>0.33</v>
      </c>
      <c r="F27" s="110"/>
      <c r="G27" s="111">
        <v>4.5201999999999999E-2</v>
      </c>
      <c r="H27" s="111">
        <v>2.6287999999999999E-2</v>
      </c>
      <c r="I27" s="110"/>
      <c r="J27" s="110"/>
    </row>
    <row r="28" spans="1:10" ht="15" customHeight="1">
      <c r="B28" s="44">
        <f t="shared" si="0"/>
        <v>4</v>
      </c>
      <c r="C28" s="110"/>
      <c r="D28" s="110"/>
      <c r="E28" s="109">
        <v>0.13300000000000001</v>
      </c>
      <c r="F28" s="110"/>
      <c r="G28" s="112">
        <v>4.4290000000000003E-2</v>
      </c>
      <c r="H28" s="111">
        <v>0.26395800000000003</v>
      </c>
      <c r="I28" s="110"/>
      <c r="J28" s="110"/>
    </row>
    <row r="29" spans="1:10" ht="15" customHeight="1">
      <c r="B29" s="44">
        <f t="shared" si="0"/>
        <v>5</v>
      </c>
      <c r="C29" s="110"/>
      <c r="D29" s="110"/>
      <c r="E29" s="109">
        <v>0.51790000000000003</v>
      </c>
      <c r="F29" s="110"/>
      <c r="G29" s="111">
        <v>6.1938E-2</v>
      </c>
      <c r="H29" s="111">
        <v>5.3082999999999998E-2</v>
      </c>
      <c r="I29" s="110"/>
      <c r="J29" s="110"/>
    </row>
    <row r="30" spans="1:10" ht="15" customHeight="1">
      <c r="B30" s="44">
        <f t="shared" si="0"/>
        <v>6</v>
      </c>
      <c r="C30" s="110"/>
      <c r="D30" s="110"/>
      <c r="E30" s="109">
        <v>0.58750000000000002</v>
      </c>
      <c r="F30" s="110"/>
      <c r="G30" s="111">
        <v>6.4416000000000001E-2</v>
      </c>
      <c r="H30" s="111">
        <v>0.56286199999999997</v>
      </c>
      <c r="I30" s="110"/>
      <c r="J30" s="110"/>
    </row>
    <row r="31" spans="1:10" ht="15" customHeight="1">
      <c r="B31" s="44">
        <f t="shared" si="0"/>
        <v>7</v>
      </c>
      <c r="C31" s="110"/>
      <c r="D31" s="110"/>
      <c r="E31" s="109">
        <v>0.62</v>
      </c>
      <c r="F31" s="110"/>
      <c r="G31" s="111">
        <v>9.9718000000000001E-2</v>
      </c>
      <c r="H31" s="110"/>
      <c r="I31" s="110"/>
      <c r="J31" s="110"/>
    </row>
    <row r="32" spans="1:10" ht="15" customHeight="1">
      <c r="B32" s="44">
        <f t="shared" si="0"/>
        <v>8</v>
      </c>
      <c r="C32" s="110"/>
      <c r="D32" s="110"/>
      <c r="E32" s="110"/>
      <c r="F32" s="110"/>
      <c r="G32" s="111">
        <v>2.5513999999999998E-2</v>
      </c>
      <c r="H32" s="110"/>
      <c r="I32" s="110"/>
      <c r="J32" s="110"/>
    </row>
    <row r="33" spans="2:10" ht="15" customHeight="1">
      <c r="B33" s="44">
        <f t="shared" si="0"/>
        <v>9</v>
      </c>
      <c r="C33" s="110"/>
      <c r="D33" s="110"/>
      <c r="E33" s="110"/>
      <c r="F33" s="110"/>
      <c r="G33" s="110"/>
      <c r="H33" s="110"/>
      <c r="I33" s="110"/>
      <c r="J33" s="110"/>
    </row>
    <row r="34" spans="2:10" ht="15" customHeight="1">
      <c r="B34" s="44">
        <f t="shared" si="0"/>
        <v>10</v>
      </c>
      <c r="C34" s="110"/>
      <c r="D34" s="110"/>
      <c r="E34" s="110"/>
      <c r="F34" s="110"/>
      <c r="G34" s="110"/>
      <c r="H34" s="110"/>
      <c r="I34" s="110"/>
      <c r="J34" s="110"/>
    </row>
    <row r="35" spans="2:10" ht="15" customHeight="1">
      <c r="C35" s="152">
        <f>SUM(C25:C34)</f>
        <v>0</v>
      </c>
      <c r="D35" s="152">
        <f>SUM(D25:D34)</f>
        <v>0</v>
      </c>
      <c r="E35" s="152">
        <f>SUM(E25:E34)</f>
        <v>2.403</v>
      </c>
      <c r="F35" s="152">
        <f>SUM(F25:F34)</f>
        <v>0</v>
      </c>
      <c r="G35" s="152">
        <f>SUM(G25:G34)</f>
        <v>0.404229</v>
      </c>
      <c r="H35" s="152">
        <f>SUM(H25:H34)</f>
        <v>1.2198560000000001</v>
      </c>
      <c r="I35" s="152">
        <f>SUM(I25:I34)</f>
        <v>7.4</v>
      </c>
      <c r="J35" s="152">
        <f>SUM(J25:J34)</f>
        <v>2.1596039999999999</v>
      </c>
    </row>
    <row r="36" spans="2:10" ht="15" customHeight="1">
      <c r="B36" s="43" t="s">
        <v>158</v>
      </c>
      <c r="H36" s="48"/>
    </row>
    <row r="37" spans="2:10" ht="15" customHeight="1">
      <c r="B37" s="44">
        <v>1</v>
      </c>
      <c r="C37" s="120"/>
      <c r="D37" s="113"/>
      <c r="E37" s="144">
        <v>1115</v>
      </c>
      <c r="F37" s="113"/>
      <c r="G37" s="114">
        <v>261.39</v>
      </c>
      <c r="H37" s="115">
        <v>36.03</v>
      </c>
      <c r="I37" s="116">
        <v>37</v>
      </c>
      <c r="J37" s="116">
        <v>30.23</v>
      </c>
    </row>
    <row r="38" spans="2:10" ht="15" customHeight="1">
      <c r="B38" s="44">
        <f>B37+1</f>
        <v>2</v>
      </c>
      <c r="C38" s="110"/>
      <c r="D38" s="110"/>
      <c r="E38" s="143">
        <v>1185</v>
      </c>
      <c r="F38" s="110"/>
      <c r="G38" s="117">
        <v>173.12</v>
      </c>
      <c r="H38" s="109">
        <v>36.03</v>
      </c>
      <c r="I38" s="110"/>
      <c r="J38" s="110"/>
    </row>
    <row r="39" spans="2:10" ht="15" customHeight="1">
      <c r="B39" s="44">
        <f t="shared" ref="B39:B46" si="1">B38+1</f>
        <v>3</v>
      </c>
      <c r="C39" s="110"/>
      <c r="D39" s="110"/>
      <c r="E39" s="143">
        <v>1090</v>
      </c>
      <c r="F39" s="110"/>
      <c r="G39" s="117">
        <v>216.65</v>
      </c>
      <c r="H39" s="109">
        <v>44.22</v>
      </c>
      <c r="I39" s="110"/>
      <c r="J39" s="110"/>
    </row>
    <row r="40" spans="2:10" ht="15" customHeight="1">
      <c r="B40" s="44">
        <f t="shared" si="1"/>
        <v>4</v>
      </c>
      <c r="C40" s="110"/>
      <c r="D40" s="110"/>
      <c r="E40" s="143">
        <v>830</v>
      </c>
      <c r="F40" s="110"/>
      <c r="G40" s="117">
        <v>232.71</v>
      </c>
      <c r="H40" s="109">
        <v>44.22</v>
      </c>
      <c r="I40" s="110"/>
      <c r="J40" s="110"/>
    </row>
    <row r="41" spans="2:10" ht="15" customHeight="1">
      <c r="B41" s="44">
        <f t="shared" si="1"/>
        <v>5</v>
      </c>
      <c r="C41" s="110"/>
      <c r="D41" s="110"/>
      <c r="E41" s="143">
        <v>1205</v>
      </c>
      <c r="F41" s="110"/>
      <c r="G41" s="117">
        <v>306.89</v>
      </c>
      <c r="H41" s="109">
        <v>21.9</v>
      </c>
      <c r="I41" s="110"/>
      <c r="J41" s="110"/>
    </row>
    <row r="42" spans="2:10" ht="15" customHeight="1">
      <c r="B42" s="44">
        <f t="shared" si="1"/>
        <v>6</v>
      </c>
      <c r="C42" s="110"/>
      <c r="D42" s="110"/>
      <c r="E42" s="143">
        <v>1374</v>
      </c>
      <c r="F42" s="110"/>
      <c r="G42" s="117">
        <v>472.11</v>
      </c>
      <c r="H42" s="109">
        <v>21.9</v>
      </c>
      <c r="I42" s="110"/>
      <c r="J42" s="110"/>
    </row>
    <row r="43" spans="2:10" ht="15" customHeight="1">
      <c r="B43" s="44">
        <f t="shared" si="1"/>
        <v>7</v>
      </c>
      <c r="C43" s="110"/>
      <c r="D43" s="110"/>
      <c r="E43" s="143">
        <v>1688</v>
      </c>
      <c r="F43" s="110"/>
      <c r="G43" s="117">
        <v>446.9</v>
      </c>
      <c r="H43" s="110"/>
      <c r="I43" s="110"/>
      <c r="J43" s="110"/>
    </row>
    <row r="44" spans="2:10" ht="15" customHeight="1">
      <c r="B44" s="44">
        <f t="shared" si="1"/>
        <v>8</v>
      </c>
      <c r="C44" s="110"/>
      <c r="D44" s="110"/>
      <c r="E44" s="110"/>
      <c r="F44" s="110"/>
      <c r="G44" s="117">
        <v>268.89999999999998</v>
      </c>
      <c r="H44" s="110"/>
      <c r="I44" s="110"/>
      <c r="J44" s="110"/>
    </row>
    <row r="45" spans="2:10" ht="15" customHeight="1">
      <c r="B45" s="44">
        <f t="shared" si="1"/>
        <v>9</v>
      </c>
      <c r="C45" s="110"/>
      <c r="D45" s="110"/>
      <c r="E45" s="110"/>
      <c r="F45" s="110"/>
      <c r="G45" s="110"/>
      <c r="H45" s="110"/>
      <c r="I45" s="110"/>
      <c r="J45" s="110"/>
    </row>
    <row r="46" spans="2:10" ht="15" customHeight="1">
      <c r="B46" s="44">
        <f t="shared" si="1"/>
        <v>10</v>
      </c>
      <c r="C46" s="110"/>
      <c r="D46" s="110"/>
      <c r="E46" s="110"/>
      <c r="F46" s="110"/>
      <c r="G46" s="110"/>
      <c r="H46" s="110"/>
      <c r="I46" s="110"/>
      <c r="J46" s="110"/>
    </row>
    <row r="48" spans="2:10" ht="15" customHeight="1">
      <c r="B48" s="45" t="s">
        <v>159</v>
      </c>
      <c r="C48" s="152">
        <f>SUMPRODUCT((C37:C46&lt;C14)*(C37:C46),C25:C34)</f>
        <v>0</v>
      </c>
      <c r="D48" s="152">
        <f>SUMPRODUCT((D37:D46&lt;D14)*(D37:D46),D25:D34)</f>
        <v>0</v>
      </c>
      <c r="E48" s="152">
        <f>SUMPRODUCT((E37:E46&lt;E14)*(E37:E46),E25:E34)</f>
        <v>3200.9854999999998</v>
      </c>
      <c r="F48" s="152">
        <f>SUMPRODUCT((F37:F46&lt;F14)*(F37:F46),F25:F34)</f>
        <v>0</v>
      </c>
      <c r="G48" s="152">
        <f>SUMPRODUCT((G37:G46&lt;G14)*(G37:G46),G25:G34)</f>
        <v>59.082900790000004</v>
      </c>
      <c r="H48" s="152">
        <f>SUMPRODUCT((H37:H46&lt;H14)*(H37:H46),H25:H34)</f>
        <v>13.489195499999999</v>
      </c>
      <c r="I48" s="152">
        <f>SUMPRODUCT((I37:I46&lt;I14)*(I37:I46),I25:I34)</f>
        <v>0</v>
      </c>
      <c r="J48" s="152">
        <f>SUMPRODUCT((J37:J46&lt;J14)*(J37:J46),J25:J34)</f>
        <v>65.284828919999995</v>
      </c>
    </row>
    <row r="49" spans="1:10" ht="15" customHeight="1">
      <c r="B49" s="45" t="s">
        <v>160</v>
      </c>
      <c r="C49" s="152">
        <f>SUMIF(C37:C46,"&lt;"&amp;C14,C25:C34)</f>
        <v>0</v>
      </c>
      <c r="D49" s="152">
        <f>SUMIF(D37:D46,"&lt;"&amp;D14,D25:D34)</f>
        <v>0</v>
      </c>
      <c r="E49" s="152">
        <f t="shared" ref="E49:J49" si="2">SUMIF(E37:E46,"&lt;"&amp;E14,E25:E34)</f>
        <v>2.403</v>
      </c>
      <c r="F49" s="152">
        <f t="shared" si="2"/>
        <v>0</v>
      </c>
      <c r="G49" s="152">
        <f t="shared" si="2"/>
        <v>0.240095</v>
      </c>
      <c r="H49" s="152">
        <f>SUMIF(H37:H46,"&lt;"&amp;H14,G25:G34)</f>
        <v>0.12635399999999999</v>
      </c>
      <c r="I49" s="152">
        <f t="shared" si="2"/>
        <v>0</v>
      </c>
      <c r="J49" s="152">
        <f t="shared" si="2"/>
        <v>2.1596039999999999</v>
      </c>
    </row>
    <row r="50" spans="1:10" ht="15" customHeight="1">
      <c r="B50" s="45" t="s">
        <v>161</v>
      </c>
      <c r="C50" s="152">
        <f>IFERROR(C49-C48/C14,0)</f>
        <v>0</v>
      </c>
      <c r="D50" s="152">
        <f>IFERROR(D49-D48/D14,0)</f>
        <v>0</v>
      </c>
      <c r="E50" s="152">
        <f>IFERROR(E49-E48/E14,0)</f>
        <v>0.55485594688221718</v>
      </c>
      <c r="F50" s="152">
        <f>IFERROR(F49-F48/F14,0)</f>
        <v>0</v>
      </c>
      <c r="G50" s="152">
        <f>IFERROR(G49-G48/G14,0)</f>
        <v>9.0933422645796513E-2</v>
      </c>
      <c r="H50" s="152">
        <f>IFERROR(H49-H48/H14,0)</f>
        <v>-0.25033395029321415</v>
      </c>
      <c r="I50" s="152">
        <f>IFERROR(I49-I48/I14,0)</f>
        <v>0</v>
      </c>
      <c r="J50" s="152">
        <f>IFERROR(J49-J48/J14,0)</f>
        <v>0.78605405428150643</v>
      </c>
    </row>
    <row r="51" spans="1:10" ht="15" customHeight="1">
      <c r="B51" s="45" t="s">
        <v>162</v>
      </c>
      <c r="C51" s="110"/>
      <c r="D51" s="110"/>
      <c r="E51" s="110"/>
      <c r="F51" s="110"/>
      <c r="G51" s="110"/>
      <c r="H51" s="110"/>
      <c r="I51" s="110"/>
      <c r="J51" s="110"/>
    </row>
    <row r="52" spans="1:10" ht="15" customHeight="1">
      <c r="B52" s="45" t="s">
        <v>163</v>
      </c>
      <c r="C52" s="110"/>
      <c r="D52" s="110"/>
      <c r="E52" s="110"/>
      <c r="F52" s="110"/>
      <c r="G52" s="110"/>
      <c r="H52" s="110"/>
      <c r="I52" s="110"/>
      <c r="J52" s="110"/>
    </row>
    <row r="53" spans="1:10" ht="15" customHeight="1">
      <c r="B53" s="46" t="s">
        <v>825</v>
      </c>
      <c r="C53" s="151">
        <f>OB맥주_DART!D254/10^6</f>
        <v>20.611000000000001</v>
      </c>
      <c r="D53" s="151">
        <f>+하이트진로_DART!C275/10^6</f>
        <v>9.5578520000000005</v>
      </c>
      <c r="E53" s="151">
        <f>E23+SUM(E50:E52)</f>
        <v>465.42947694688223</v>
      </c>
      <c r="F53" s="151">
        <f t="shared" ref="F53:J53" si="3">F23+SUM(F50:F52)</f>
        <v>1315.346448</v>
      </c>
      <c r="G53" s="151">
        <f t="shared" si="3"/>
        <v>152.64093342264582</v>
      </c>
      <c r="H53" s="151">
        <f>H23+SUM(H50:H52)</f>
        <v>488.41627304970677</v>
      </c>
      <c r="I53" s="151">
        <f t="shared" si="3"/>
        <v>184.4</v>
      </c>
      <c r="J53" s="151">
        <f t="shared" si="3"/>
        <v>14.845054054281505</v>
      </c>
    </row>
    <row r="54" spans="1:10" ht="15" customHeight="1">
      <c r="B54" s="270" t="s">
        <v>826</v>
      </c>
      <c r="C54" s="110"/>
      <c r="D54" s="235">
        <f>+하이트진로_DART!D275/10^6</f>
        <v>0.37254500000000002</v>
      </c>
      <c r="E54" s="110"/>
      <c r="F54" s="110"/>
      <c r="G54" s="110"/>
      <c r="H54" s="110"/>
      <c r="I54" s="110"/>
      <c r="J54" s="110"/>
    </row>
    <row r="55" spans="1:10" ht="15" customHeight="1">
      <c r="B55" s="46"/>
      <c r="D55" s="202"/>
    </row>
    <row r="56" spans="1:10" ht="15" customHeight="1">
      <c r="A56" s="30" t="s">
        <v>98</v>
      </c>
      <c r="B56" s="29" t="s">
        <v>142</v>
      </c>
      <c r="C56" s="31"/>
      <c r="D56" s="31"/>
      <c r="E56" s="31"/>
      <c r="F56" s="31"/>
      <c r="G56" s="31"/>
      <c r="H56" s="31"/>
      <c r="I56" s="31"/>
      <c r="J56" s="31"/>
    </row>
    <row r="58" spans="1:10" ht="15" customHeight="1">
      <c r="B58" s="164" t="s">
        <v>143</v>
      </c>
      <c r="C58" s="36"/>
      <c r="D58" s="36"/>
      <c r="E58" s="36"/>
      <c r="F58" s="36"/>
      <c r="G58" s="36"/>
      <c r="H58" s="36"/>
      <c r="I58" s="36"/>
      <c r="J58" s="36"/>
    </row>
    <row r="59" spans="1:10" ht="15" customHeight="1">
      <c r="C59" s="154">
        <f>C12</f>
        <v>40178</v>
      </c>
      <c r="D59" s="154">
        <f>D12</f>
        <v>40178</v>
      </c>
      <c r="E59" s="154">
        <f>E12</f>
        <v>40178</v>
      </c>
      <c r="F59" s="154">
        <f>F12</f>
        <v>40178</v>
      </c>
      <c r="G59" s="154">
        <f>G12</f>
        <v>40178</v>
      </c>
      <c r="H59" s="154">
        <f>H12</f>
        <v>40178</v>
      </c>
      <c r="I59" s="154">
        <f>I12</f>
        <v>40178</v>
      </c>
      <c r="J59" s="154">
        <f>J12</f>
        <v>40178</v>
      </c>
    </row>
    <row r="60" spans="1:10" ht="15" customHeight="1">
      <c r="B60" s="30" t="s">
        <v>144</v>
      </c>
      <c r="C60" s="123">
        <f>OB맥주_DART!F113</f>
        <v>816110.18687400001</v>
      </c>
      <c r="D60" s="123">
        <f>+하이트진로_DART!D96/10^6</f>
        <v>1049535.950404</v>
      </c>
      <c r="E60" s="139">
        <v>1022318</v>
      </c>
      <c r="F60" s="139">
        <v>18026.107887999999</v>
      </c>
      <c r="G60" s="140">
        <v>59382</v>
      </c>
      <c r="H60" s="141">
        <v>14701</v>
      </c>
      <c r="I60" s="142">
        <v>3032.4</v>
      </c>
      <c r="J60" s="142">
        <v>415.053</v>
      </c>
    </row>
    <row r="61" spans="1:10" ht="15" customHeight="1">
      <c r="B61" s="30" t="s">
        <v>145</v>
      </c>
      <c r="C61" s="124">
        <f>-OB맥주_DART!F117</f>
        <v>-346672.53416699998</v>
      </c>
      <c r="D61" s="124">
        <f>-하이트진로_DART!D101/10^6</f>
        <v>-516464.509487</v>
      </c>
      <c r="E61" s="124">
        <v>-508293</v>
      </c>
      <c r="F61" s="124">
        <v>-10311.587428999999</v>
      </c>
      <c r="G61" s="124">
        <v>-30187</v>
      </c>
      <c r="H61" s="124">
        <v>-9466</v>
      </c>
      <c r="I61" s="124">
        <v>-1726.9</v>
      </c>
      <c r="J61" s="124">
        <v>-201.23500000000001</v>
      </c>
    </row>
    <row r="62" spans="1:10" ht="15" customHeight="1">
      <c r="B62" s="30" t="s">
        <v>146</v>
      </c>
      <c r="C62" s="37">
        <f>(SUM(C60:C61))</f>
        <v>469437.65270700003</v>
      </c>
      <c r="D62" s="37">
        <f>(SUM(D60:D61))</f>
        <v>533071.44091699994</v>
      </c>
      <c r="E62" s="37">
        <f>SUM(E60:E61)</f>
        <v>514025</v>
      </c>
      <c r="F62" s="37">
        <f>SUM(F60:F61)</f>
        <v>7714.5204589999994</v>
      </c>
      <c r="G62" s="37">
        <f>SUM(G60:G61)</f>
        <v>29195</v>
      </c>
      <c r="H62" s="37">
        <f>SUM(H60:H61)</f>
        <v>5235</v>
      </c>
      <c r="I62" s="37">
        <f>SUM(I60:I61)</f>
        <v>1305.5</v>
      </c>
      <c r="J62" s="37">
        <f>SUM(J60:J61)</f>
        <v>213.81799999999998</v>
      </c>
    </row>
    <row r="63" spans="1:10" ht="15" customHeight="1">
      <c r="B63" s="30" t="s">
        <v>147</v>
      </c>
      <c r="C63" s="124">
        <f>-OB맥주_DART!F126</f>
        <v>-273131.99738800002</v>
      </c>
      <c r="D63" s="124">
        <f>-하이트진로_DART!D110/10^6</f>
        <v>-346124.49099299998</v>
      </c>
      <c r="E63" s="124">
        <v>-431248</v>
      </c>
      <c r="F63" s="124">
        <v>-6003.3946319999995</v>
      </c>
      <c r="G63" s="124">
        <v>-20172</v>
      </c>
      <c r="H63" s="124">
        <v>-3458</v>
      </c>
      <c r="I63" s="124">
        <v>-900.8</v>
      </c>
      <c r="J63" s="124">
        <v>-158.49799999999999</v>
      </c>
    </row>
    <row r="64" spans="1:10" ht="15" customHeight="1">
      <c r="B64" s="42" t="s">
        <v>148</v>
      </c>
      <c r="C64" s="133">
        <f>(SUM(C62:C63))</f>
        <v>196305.65531900001</v>
      </c>
      <c r="D64" s="133">
        <f>(SUM(D62:D63))</f>
        <v>186946.94992399996</v>
      </c>
      <c r="E64" s="133">
        <f>SUM(E62:E63)</f>
        <v>82777</v>
      </c>
      <c r="F64" s="133">
        <f>SUM(F62:F63)</f>
        <v>1711.1258269999998</v>
      </c>
      <c r="G64" s="133">
        <f>SUM(G62:G63)</f>
        <v>9023</v>
      </c>
      <c r="H64" s="133">
        <f>SUM(H62:H63)</f>
        <v>1777</v>
      </c>
      <c r="I64" s="133">
        <f>SUM(I62:I63)</f>
        <v>404.70000000000005</v>
      </c>
      <c r="J64" s="133">
        <f>SUM(J62:J63)</f>
        <v>55.319999999999993</v>
      </c>
    </row>
    <row r="65" spans="2:11" ht="15" customHeight="1">
      <c r="B65" s="30" t="s">
        <v>149</v>
      </c>
      <c r="C65" s="124">
        <f>OB맥주_DART!G138</f>
        <v>-18738.184243</v>
      </c>
      <c r="D65" s="124">
        <f>(+하이트진로_DART!D138-하이트진로_DART!D145)/(10^6)</f>
        <v>-57875.339339999999</v>
      </c>
      <c r="E65" s="124">
        <v>5301</v>
      </c>
      <c r="F65" s="124">
        <v>28.178223000000003</v>
      </c>
      <c r="G65" s="124">
        <v>-3318</v>
      </c>
      <c r="H65" s="124">
        <v>-349</v>
      </c>
      <c r="I65" s="124">
        <v>312.8</v>
      </c>
      <c r="J65" s="124">
        <v>-0.88800000000000001</v>
      </c>
    </row>
    <row r="66" spans="2:11" ht="15" customHeight="1">
      <c r="B66" s="30" t="s">
        <v>150</v>
      </c>
      <c r="C66" s="37">
        <f>C64+C65</f>
        <v>177567.47107600002</v>
      </c>
      <c r="D66" s="37">
        <f>D64+D65</f>
        <v>129071.61058399995</v>
      </c>
      <c r="E66" s="37">
        <f>E64+E65</f>
        <v>88078</v>
      </c>
      <c r="F66" s="37">
        <f>F64+F65</f>
        <v>1739.3040499999997</v>
      </c>
      <c r="G66" s="37">
        <f>SUM(G64:G65)</f>
        <v>5705</v>
      </c>
      <c r="H66" s="37">
        <f>SUM(H64:H65)</f>
        <v>1428</v>
      </c>
      <c r="I66" s="37">
        <f>SUM(I64:I65)</f>
        <v>717.5</v>
      </c>
      <c r="J66" s="37">
        <f>SUM(J64:J65)</f>
        <v>54.431999999999995</v>
      </c>
    </row>
    <row r="67" spans="2:11" ht="15" customHeight="1">
      <c r="B67" s="30" t="s">
        <v>151</v>
      </c>
      <c r="C67" s="124">
        <f>-OB맥주_DART!F151</f>
        <v>-50768.021622</v>
      </c>
      <c r="D67" s="124">
        <f>-하이트진로_DART!D156/10^6</f>
        <v>-29656.899034999999</v>
      </c>
      <c r="E67" s="124">
        <v>-41471</v>
      </c>
      <c r="F67" s="124">
        <v>-440.22110500000002</v>
      </c>
      <c r="G67" s="124">
        <v>-1538</v>
      </c>
      <c r="H67" s="124">
        <v>-286</v>
      </c>
      <c r="I67" s="124">
        <v>14.7</v>
      </c>
      <c r="J67" s="124">
        <v>-23.248999999999999</v>
      </c>
    </row>
    <row r="68" spans="2:11" ht="15" customHeight="1">
      <c r="B68" s="30" t="s">
        <v>223</v>
      </c>
      <c r="C68" s="124">
        <v>0</v>
      </c>
      <c r="D68" s="124">
        <v>0</v>
      </c>
      <c r="E68" s="124">
        <v>0</v>
      </c>
      <c r="F68" s="124">
        <v>0</v>
      </c>
      <c r="G68" s="124">
        <v>0</v>
      </c>
      <c r="H68" s="124">
        <v>0</v>
      </c>
      <c r="I68" s="124">
        <v>-9</v>
      </c>
      <c r="J68" s="124">
        <v>0</v>
      </c>
    </row>
    <row r="69" spans="2:11" ht="15" customHeight="1">
      <c r="B69" s="30" t="s">
        <v>791</v>
      </c>
      <c r="C69" s="124"/>
      <c r="D69" s="124">
        <f>-하이트진로_DART!D157/10^6</f>
        <v>-182.83173199999999</v>
      </c>
      <c r="E69" s="124"/>
      <c r="F69" s="124"/>
      <c r="G69" s="124"/>
      <c r="H69" s="124"/>
      <c r="I69" s="124"/>
      <c r="J69" s="124"/>
    </row>
    <row r="70" spans="2:11" ht="15" customHeight="1">
      <c r="B70" s="30" t="s">
        <v>221</v>
      </c>
      <c r="C70" s="37">
        <f>SUM(C66:C68)</f>
        <v>126799.44945400002</v>
      </c>
      <c r="D70" s="37">
        <f>SUM(D66:D69)</f>
        <v>99231.87981699995</v>
      </c>
      <c r="E70" s="37">
        <f>SUM(E66:E68)</f>
        <v>46607</v>
      </c>
      <c r="F70" s="37">
        <f t="shared" ref="F70:J70" si="4">SUM(F66:F68)</f>
        <v>1299.0829449999997</v>
      </c>
      <c r="G70" s="37">
        <f t="shared" si="4"/>
        <v>4167</v>
      </c>
      <c r="H70" s="37">
        <f t="shared" si="4"/>
        <v>1142</v>
      </c>
      <c r="I70" s="37">
        <f t="shared" si="4"/>
        <v>723.2</v>
      </c>
      <c r="J70" s="37">
        <f t="shared" si="4"/>
        <v>31.182999999999996</v>
      </c>
      <c r="K70" s="40"/>
    </row>
    <row r="71" spans="2:11" ht="15" customHeight="1">
      <c r="B71" s="30" t="s">
        <v>222</v>
      </c>
      <c r="C71" s="124">
        <v>0</v>
      </c>
      <c r="D71" s="124">
        <v>0</v>
      </c>
      <c r="E71" s="124">
        <v>1038</v>
      </c>
      <c r="F71" s="124">
        <v>-49.1</v>
      </c>
      <c r="G71" s="124">
        <v>-565</v>
      </c>
      <c r="H71" s="124">
        <v>-124</v>
      </c>
      <c r="I71" s="124">
        <v>-2.8</v>
      </c>
      <c r="J71" s="124">
        <v>0</v>
      </c>
    </row>
    <row r="72" spans="2:11" ht="15" customHeight="1">
      <c r="B72" s="30" t="s">
        <v>153</v>
      </c>
      <c r="C72" s="37">
        <f>(SUM(C70:C71))</f>
        <v>126799.44945400002</v>
      </c>
      <c r="D72" s="37">
        <f>(SUM(D70:D71))</f>
        <v>99231.87981699995</v>
      </c>
      <c r="E72" s="37">
        <f>SUM(E70:E71)</f>
        <v>47645</v>
      </c>
      <c r="F72" s="37">
        <f>SUM(F70:F71)</f>
        <v>1249.9829449999997</v>
      </c>
      <c r="G72" s="37">
        <f>SUM(G70:G71)</f>
        <v>3602</v>
      </c>
      <c r="H72" s="37">
        <f>SUM(H70:H71)</f>
        <v>1018</v>
      </c>
      <c r="I72" s="37">
        <f>SUM(I70:I71)</f>
        <v>720.40000000000009</v>
      </c>
      <c r="J72" s="37">
        <f>SUM(J70:J71)</f>
        <v>31.182999999999996</v>
      </c>
    </row>
    <row r="73" spans="2:11" ht="15" customHeight="1">
      <c r="B73" s="30" t="s">
        <v>793</v>
      </c>
      <c r="C73" s="124">
        <v>0</v>
      </c>
      <c r="D73" s="124">
        <f>+하이트진로_DART!D263/10^6</f>
        <v>1043.126</v>
      </c>
      <c r="E73" s="124">
        <v>0</v>
      </c>
      <c r="F73" s="124">
        <v>0</v>
      </c>
      <c r="G73" s="124">
        <v>0</v>
      </c>
      <c r="H73" s="124">
        <v>0</v>
      </c>
      <c r="I73" s="124">
        <v>0</v>
      </c>
      <c r="J73" s="124">
        <v>0</v>
      </c>
    </row>
    <row r="74" spans="2:11" ht="15" customHeight="1">
      <c r="B74" s="30" t="s">
        <v>795</v>
      </c>
      <c r="C74" s="37">
        <f>+C72-C73</f>
        <v>126799.44945400002</v>
      </c>
      <c r="D74" s="37">
        <f>+D72-D73</f>
        <v>98188.753816999946</v>
      </c>
      <c r="E74" s="37">
        <f>+E72-E73</f>
        <v>47645</v>
      </c>
      <c r="F74" s="37">
        <f>+F72-F73</f>
        <v>1249.9829449999997</v>
      </c>
      <c r="G74" s="37">
        <f>+G72-G73</f>
        <v>3602</v>
      </c>
      <c r="H74" s="37">
        <f>+H72-H73</f>
        <v>1018</v>
      </c>
      <c r="I74" s="37">
        <f>+I72-I73</f>
        <v>720.40000000000009</v>
      </c>
      <c r="J74" s="37">
        <f>+J72-J73</f>
        <v>31.182999999999996</v>
      </c>
    </row>
    <row r="75" spans="2:11" ht="15" customHeight="1">
      <c r="B75" s="30" t="s">
        <v>152</v>
      </c>
      <c r="C75" s="124">
        <f>OB맥주_DART!D254/10^6</f>
        <v>20.611000000000001</v>
      </c>
      <c r="D75" s="124">
        <f>+하이트진로_DART!E275/10^6</f>
        <v>9.9303969999999993</v>
      </c>
      <c r="E75" s="124">
        <v>465.19234499999999</v>
      </c>
      <c r="F75" s="124">
        <v>1315.798875</v>
      </c>
      <c r="G75" s="124">
        <v>152.654</v>
      </c>
      <c r="H75" s="124">
        <v>489.97459400000002</v>
      </c>
      <c r="I75" s="124">
        <v>185.9</v>
      </c>
      <c r="J75" s="124">
        <v>14.356</v>
      </c>
    </row>
    <row r="76" spans="2:11" ht="15" customHeight="1">
      <c r="C76" s="37"/>
      <c r="D76" s="37"/>
      <c r="E76" s="37"/>
      <c r="F76" s="37"/>
      <c r="G76" s="37"/>
      <c r="H76" s="37"/>
      <c r="I76" s="37"/>
      <c r="J76" s="37"/>
    </row>
    <row r="77" spans="2:11" ht="15" customHeight="1">
      <c r="B77" s="47" t="s">
        <v>164</v>
      </c>
      <c r="C77" s="37"/>
      <c r="D77" s="37"/>
      <c r="E77" s="37"/>
      <c r="F77" s="37"/>
      <c r="G77" s="37"/>
      <c r="H77" s="37"/>
      <c r="I77" s="37"/>
      <c r="J77" s="37"/>
    </row>
    <row r="78" spans="2:11" ht="15" customHeight="1">
      <c r="B78" s="65" t="s">
        <v>255</v>
      </c>
      <c r="C78" s="124">
        <v>0</v>
      </c>
      <c r="D78" s="124">
        <v>0</v>
      </c>
      <c r="E78" s="124">
        <v>0</v>
      </c>
      <c r="F78" s="124">
        <v>0</v>
      </c>
      <c r="G78" s="124">
        <f>-67-40-20-31-34-56-95-72-100</f>
        <v>-515</v>
      </c>
      <c r="H78" s="124">
        <v>0</v>
      </c>
      <c r="I78" s="124">
        <f>-(7.6+0.9)</f>
        <v>-8.5</v>
      </c>
      <c r="J78" s="124">
        <v>0</v>
      </c>
    </row>
    <row r="79" spans="2:11" ht="15" customHeight="1">
      <c r="B79" s="65" t="s">
        <v>260</v>
      </c>
      <c r="C79" s="124">
        <v>0</v>
      </c>
      <c r="D79" s="124">
        <f>-(+하이트진로_DART!D157)/(10^6)</f>
        <v>-182.83173199999999</v>
      </c>
      <c r="E79" s="124">
        <v>0</v>
      </c>
      <c r="F79" s="124">
        <v>190.444896</v>
      </c>
      <c r="G79" s="124">
        <v>0</v>
      </c>
      <c r="H79" s="124">
        <v>0</v>
      </c>
      <c r="I79" s="124">
        <v>-10.4</v>
      </c>
      <c r="J79" s="124">
        <v>0</v>
      </c>
    </row>
    <row r="80" spans="2:11" ht="15" customHeight="1">
      <c r="B80" s="45" t="s">
        <v>528</v>
      </c>
      <c r="C80" s="37">
        <f>+SUM(C78,C79)</f>
        <v>0</v>
      </c>
      <c r="D80" s="37">
        <f>+SUM(D78,D79)</f>
        <v>-182.83173199999999</v>
      </c>
      <c r="E80" s="37">
        <f>+SUM(E78,E79)</f>
        <v>0</v>
      </c>
      <c r="F80" s="37">
        <f>+SUM(F78,F79)</f>
        <v>190.444896</v>
      </c>
      <c r="G80" s="37">
        <f>+SUM(G78,G79)</f>
        <v>-515</v>
      </c>
      <c r="H80" s="37">
        <f>+SUM(H78,H79)</f>
        <v>0</v>
      </c>
      <c r="I80" s="37">
        <f>+SUM(I78,I79)</f>
        <v>-18.899999999999999</v>
      </c>
      <c r="J80" s="37">
        <f>+SUM(J78,J79)</f>
        <v>0</v>
      </c>
    </row>
    <row r="81" spans="2:11" ht="15" customHeight="1">
      <c r="B81" s="45"/>
      <c r="C81" s="37"/>
      <c r="D81" s="202"/>
      <c r="E81" s="37"/>
      <c r="F81" s="37"/>
      <c r="G81" s="37"/>
      <c r="H81" s="37"/>
      <c r="I81" s="37"/>
      <c r="J81" s="37"/>
    </row>
    <row r="82" spans="2:11" ht="15" customHeight="1">
      <c r="B82" s="65" t="s">
        <v>256</v>
      </c>
      <c r="C82" s="124">
        <v>0</v>
      </c>
      <c r="D82" s="124">
        <v>0</v>
      </c>
      <c r="E82" s="124">
        <v>0</v>
      </c>
      <c r="F82" s="124">
        <v>0</v>
      </c>
      <c r="G82" s="124">
        <v>-17</v>
      </c>
      <c r="H82" s="124">
        <v>0</v>
      </c>
      <c r="I82" s="124">
        <v>-5.7</v>
      </c>
      <c r="J82" s="124">
        <v>0</v>
      </c>
      <c r="K82" s="202"/>
    </row>
    <row r="83" spans="2:11" ht="15" customHeight="1">
      <c r="B83" s="65" t="s">
        <v>526</v>
      </c>
      <c r="C83" s="124">
        <v>0</v>
      </c>
      <c r="D83" s="124">
        <v>0</v>
      </c>
      <c r="E83" s="124">
        <v>0</v>
      </c>
      <c r="F83" s="124">
        <v>0</v>
      </c>
      <c r="G83" s="124">
        <v>0</v>
      </c>
      <c r="H83" s="124">
        <v>-1</v>
      </c>
      <c r="I83" s="124">
        <v>0</v>
      </c>
      <c r="J83" s="124">
        <v>0</v>
      </c>
      <c r="K83" s="202"/>
    </row>
    <row r="84" spans="2:11" ht="15" customHeight="1">
      <c r="B84" s="65" t="s">
        <v>257</v>
      </c>
      <c r="C84" s="124">
        <f>-OB맥주_DART!E143</f>
        <v>-238.2</v>
      </c>
      <c r="D84" s="124">
        <v>0</v>
      </c>
      <c r="E84" s="124">
        <v>-887</v>
      </c>
      <c r="F84" s="124">
        <v>-1.8</v>
      </c>
      <c r="G84" s="124">
        <f>3-41</f>
        <v>-38</v>
      </c>
      <c r="H84" s="124">
        <v>14</v>
      </c>
      <c r="I84" s="124">
        <v>46</v>
      </c>
      <c r="J84" s="124">
        <v>0</v>
      </c>
      <c r="K84" s="202"/>
    </row>
    <row r="85" spans="2:11" ht="15" customHeight="1">
      <c r="B85" s="65" t="s">
        <v>258</v>
      </c>
      <c r="C85" s="124">
        <f>OB맥주_DART!G135</f>
        <v>871.43611499999997</v>
      </c>
      <c r="D85" s="124">
        <f>(+하이트진로_DART!C143-하이트진로_DART!C150)/(10^6)</f>
        <v>-3747.4055020000001</v>
      </c>
      <c r="E85" s="124">
        <v>6914</v>
      </c>
      <c r="F85" s="124">
        <v>-39.799999999999997</v>
      </c>
      <c r="G85" s="124">
        <f>61+40-10-60</f>
        <v>31</v>
      </c>
      <c r="H85" s="124">
        <v>39</v>
      </c>
      <c r="I85" s="124">
        <v>0</v>
      </c>
      <c r="J85" s="124">
        <v>0</v>
      </c>
    </row>
    <row r="86" spans="2:11" ht="15" customHeight="1">
      <c r="B86" s="65" t="s">
        <v>259</v>
      </c>
      <c r="C86" s="124">
        <f>-OB맥주_DART!E145</f>
        <v>-96.044994000000003</v>
      </c>
      <c r="D86" s="124">
        <f>(-하이트진로_DART!C153)/(10^6)</f>
        <v>-1997.0924709999999</v>
      </c>
      <c r="E86" s="124">
        <v>-8318</v>
      </c>
      <c r="F86" s="124">
        <v>-67.900000000000006</v>
      </c>
      <c r="G86" s="124">
        <v>-37</v>
      </c>
      <c r="H86" s="124">
        <v>-187</v>
      </c>
      <c r="I86" s="124">
        <v>0</v>
      </c>
      <c r="J86" s="124">
        <v>-1</v>
      </c>
    </row>
    <row r="87" spans="2:11" ht="15" customHeight="1">
      <c r="B87" s="65" t="s">
        <v>252</v>
      </c>
      <c r="C87" s="124">
        <v>0</v>
      </c>
      <c r="D87" s="124">
        <v>0</v>
      </c>
      <c r="E87" s="124">
        <v>8512</v>
      </c>
      <c r="F87" s="124">
        <v>0</v>
      </c>
      <c r="G87" s="124">
        <v>104</v>
      </c>
      <c r="H87" s="124">
        <v>127</v>
      </c>
      <c r="I87" s="124">
        <f>382-1.2</f>
        <v>380.8</v>
      </c>
      <c r="J87" s="124">
        <v>0</v>
      </c>
    </row>
    <row r="88" spans="2:11" ht="15" customHeight="1">
      <c r="B88" s="65" t="s">
        <v>253</v>
      </c>
      <c r="C88" s="124">
        <f>-OB맥주_DART!G132</f>
        <v>-3222.2555549999997</v>
      </c>
      <c r="D88" s="124">
        <f>+(SUM(하이트진로_DART!C141:C142)-SUM(하이트진로_DART!C147:C148))/10^6</f>
        <v>24092.607413999998</v>
      </c>
      <c r="E88" s="124">
        <v>1815</v>
      </c>
      <c r="F88" s="124">
        <v>3.478996</v>
      </c>
      <c r="G88" s="124">
        <v>-582</v>
      </c>
      <c r="H88" s="124">
        <v>-47</v>
      </c>
      <c r="I88" s="124">
        <v>6.1</v>
      </c>
      <c r="J88" s="124">
        <v>0</v>
      </c>
    </row>
    <row r="89" spans="2:11" ht="15" customHeight="1">
      <c r="B89" s="65" t="s">
        <v>254</v>
      </c>
      <c r="C89" s="124">
        <v>0</v>
      </c>
      <c r="D89" s="124">
        <f>+(SUM(하이트진로_DART!C140,하이트진로_DART!C144)-SUM(하이트진로_DART!C149,하이트진로_DART!C151:C152,하이트진로_DART!C154))/10^6</f>
        <v>-28188.197284999998</v>
      </c>
      <c r="E89" s="124">
        <v>-862</v>
      </c>
      <c r="F89" s="124">
        <v>-11.4</v>
      </c>
      <c r="G89" s="124">
        <v>0</v>
      </c>
      <c r="H89" s="124">
        <v>238</v>
      </c>
      <c r="I89" s="124">
        <f>5.3+2.8-1.5-3.6+3.6</f>
        <v>6.6</v>
      </c>
      <c r="J89" s="124">
        <v>0</v>
      </c>
    </row>
    <row r="90" spans="2:11" ht="15" customHeight="1">
      <c r="B90" s="45" t="s">
        <v>527</v>
      </c>
      <c r="C90" s="37">
        <f>+SUM(C82:C89)</f>
        <v>-2685.0644339999999</v>
      </c>
      <c r="D90" s="37">
        <f>+SUM(D82:D89)</f>
        <v>-9840.0878439999979</v>
      </c>
      <c r="E90" s="37">
        <f>+SUM(E82:E89)</f>
        <v>7174</v>
      </c>
      <c r="F90" s="37">
        <f>+SUM(F82:F89)</f>
        <v>-117.42100400000001</v>
      </c>
      <c r="G90" s="37">
        <f>+SUM(G82:G89)</f>
        <v>-539</v>
      </c>
      <c r="H90" s="37">
        <f>+SUM(H82:H89)</f>
        <v>183</v>
      </c>
      <c r="I90" s="37">
        <f>+SUM(I82:I89)</f>
        <v>433.80000000000007</v>
      </c>
      <c r="J90" s="37">
        <f>+SUM(J82:J89)</f>
        <v>-1</v>
      </c>
    </row>
    <row r="91" spans="2:11" ht="15" customHeight="1">
      <c r="B91" s="45" t="s">
        <v>165</v>
      </c>
      <c r="C91" s="37">
        <f>+C90*C16*-1</f>
        <v>649.78559302799999</v>
      </c>
      <c r="D91" s="37">
        <f>+D90*D16*-1</f>
        <v>2381.3012582479996</v>
      </c>
      <c r="E91" s="37">
        <f>+E90*E16*-1</f>
        <v>-2919.1005999999998</v>
      </c>
      <c r="F91" s="37">
        <f>+F90*F16*-1</f>
        <v>29.355251000000003</v>
      </c>
      <c r="G91" s="37">
        <f>+G90*G16*-1</f>
        <v>134.75</v>
      </c>
      <c r="H91" s="37">
        <f>+H90*H16*-1</f>
        <v>-46.664999999999999</v>
      </c>
      <c r="I91" s="37">
        <f>+I90*I16*-1</f>
        <v>-170.04960000000003</v>
      </c>
      <c r="J91" s="37">
        <f>+J90*J16*-1</f>
        <v>0.39200000000000002</v>
      </c>
    </row>
    <row r="92" spans="2:11" ht="15" customHeight="1">
      <c r="C92" s="37"/>
      <c r="D92" s="37"/>
      <c r="E92" s="37"/>
      <c r="F92" s="37"/>
      <c r="G92" s="37"/>
      <c r="H92" s="37"/>
      <c r="I92" s="37"/>
      <c r="J92" s="37"/>
    </row>
    <row r="93" spans="2:11" ht="15" customHeight="1">
      <c r="B93" s="47" t="s">
        <v>166</v>
      </c>
      <c r="C93" s="37"/>
      <c r="D93" s="202"/>
      <c r="E93" s="37"/>
      <c r="F93" s="37"/>
      <c r="G93" s="37"/>
      <c r="H93" s="37"/>
      <c r="I93" s="37"/>
      <c r="J93" s="37"/>
    </row>
    <row r="94" spans="2:11" ht="15" customHeight="1">
      <c r="B94" s="45" t="s">
        <v>167</v>
      </c>
      <c r="C94" s="37">
        <f>C64-C80</f>
        <v>196305.65531900001</v>
      </c>
      <c r="D94" s="37">
        <f>D64-D80</f>
        <v>187129.78165599995</v>
      </c>
      <c r="E94" s="37">
        <f>E64-E80</f>
        <v>82777</v>
      </c>
      <c r="F94" s="37">
        <f>F64-F80</f>
        <v>1520.6809309999999</v>
      </c>
      <c r="G94" s="37">
        <f>G64-G80</f>
        <v>9538</v>
      </c>
      <c r="H94" s="37">
        <f>H64-H80</f>
        <v>1777</v>
      </c>
      <c r="I94" s="37">
        <f>I64-I80</f>
        <v>423.6</v>
      </c>
      <c r="J94" s="37">
        <f>J64-J80</f>
        <v>55.319999999999993</v>
      </c>
    </row>
    <row r="95" spans="2:11" ht="15" customHeight="1">
      <c r="B95" s="45" t="s">
        <v>168</v>
      </c>
      <c r="C95" s="124">
        <f>OB맥주_DART!G160</f>
        <v>55129.789770999996</v>
      </c>
      <c r="D95" s="124">
        <f>+(하이트진로_DART!C174+하이트진로_DART!C176)/10^6</f>
        <v>72484.728950000004</v>
      </c>
      <c r="E95" s="124">
        <v>58372</v>
      </c>
      <c r="F95" s="124">
        <v>544.76173400000005</v>
      </c>
      <c r="G95" s="124">
        <v>3769</v>
      </c>
      <c r="H95" s="124">
        <v>895</v>
      </c>
      <c r="I95" s="124">
        <v>208</v>
      </c>
      <c r="J95" s="124">
        <v>16.919</v>
      </c>
    </row>
    <row r="96" spans="2:11" ht="15" customHeight="1">
      <c r="B96" s="45" t="s">
        <v>169</v>
      </c>
      <c r="C96" s="37">
        <f t="shared" ref="C96:J96" si="5">C94+C95</f>
        <v>251435.44508999999</v>
      </c>
      <c r="D96" s="37">
        <f>D94+D95</f>
        <v>259614.51060599997</v>
      </c>
      <c r="E96" s="37">
        <f t="shared" si="5"/>
        <v>141149</v>
      </c>
      <c r="F96" s="37">
        <f t="shared" si="5"/>
        <v>2065.442665</v>
      </c>
      <c r="G96" s="37">
        <f t="shared" si="5"/>
        <v>13307</v>
      </c>
      <c r="H96" s="37">
        <f t="shared" si="5"/>
        <v>2672</v>
      </c>
      <c r="I96" s="37">
        <f t="shared" si="5"/>
        <v>631.6</v>
      </c>
      <c r="J96" s="37">
        <f t="shared" si="5"/>
        <v>72.23899999999999</v>
      </c>
    </row>
    <row r="97" spans="2:10" ht="15" customHeight="1">
      <c r="B97" s="45" t="s">
        <v>150</v>
      </c>
      <c r="C97" s="37">
        <f>C66-C80-C90</f>
        <v>180252.53551000002</v>
      </c>
      <c r="D97" s="37">
        <f>D66-D80-D90</f>
        <v>139094.53015999997</v>
      </c>
      <c r="E97" s="37">
        <f>E66-E80-E90</f>
        <v>80904</v>
      </c>
      <c r="F97" s="37">
        <f>F66-F80-F90</f>
        <v>1666.2801579999998</v>
      </c>
      <c r="G97" s="37">
        <f>G66-G80-G90</f>
        <v>6759</v>
      </c>
      <c r="H97" s="37">
        <f>H66-H80-H90</f>
        <v>1245</v>
      </c>
      <c r="I97" s="37">
        <f>I66-I80-I90</f>
        <v>302.59999999999991</v>
      </c>
      <c r="J97" s="37">
        <f>J66-J80-J90</f>
        <v>55.431999999999995</v>
      </c>
    </row>
    <row r="98" spans="2:10" ht="15" customHeight="1">
      <c r="B98" s="45" t="s">
        <v>170</v>
      </c>
      <c r="C98" s="37">
        <f>-C97*C16</f>
        <v>-43621.113593419999</v>
      </c>
      <c r="D98" s="37">
        <f>-D97*D16</f>
        <v>-33660.876298719988</v>
      </c>
      <c r="E98" s="37">
        <f>-E97*E16</f>
        <v>-32919.837599999999</v>
      </c>
      <c r="F98" s="37">
        <f>-F97*F16</f>
        <v>-416.57003949999995</v>
      </c>
      <c r="G98" s="37">
        <f>-G97*G16</f>
        <v>-1689.75</v>
      </c>
      <c r="H98" s="37">
        <f>-H97*H16</f>
        <v>-317.47500000000002</v>
      </c>
      <c r="I98" s="37">
        <f>-I97*I16</f>
        <v>-118.61919999999996</v>
      </c>
      <c r="J98" s="37">
        <f>-J97*J16</f>
        <v>-21.729343999999998</v>
      </c>
    </row>
    <row r="99" spans="2:10" ht="15" customHeight="1">
      <c r="B99" s="45" t="s">
        <v>171</v>
      </c>
      <c r="C99" s="37">
        <f>C97+C98</f>
        <v>136631.42191658</v>
      </c>
      <c r="D99" s="37">
        <f>D97+D98</f>
        <v>105433.65386127998</v>
      </c>
      <c r="E99" s="37">
        <f t="shared" ref="E99:J99" si="6">E97+E98</f>
        <v>47984.162400000001</v>
      </c>
      <c r="F99" s="37">
        <f t="shared" si="6"/>
        <v>1249.7101184999999</v>
      </c>
      <c r="G99" s="37">
        <f t="shared" si="6"/>
        <v>5069.25</v>
      </c>
      <c r="H99" s="37">
        <f t="shared" si="6"/>
        <v>927.52499999999998</v>
      </c>
      <c r="I99" s="37">
        <f t="shared" si="6"/>
        <v>183.98079999999993</v>
      </c>
      <c r="J99" s="37">
        <f t="shared" si="6"/>
        <v>33.702655999999998</v>
      </c>
    </row>
    <row r="100" spans="2:10" ht="15" customHeight="1">
      <c r="B100" s="45" t="s">
        <v>792</v>
      </c>
      <c r="C100" s="37">
        <f>+C73</f>
        <v>0</v>
      </c>
      <c r="D100" s="37">
        <f>+D73</f>
        <v>1043.126</v>
      </c>
      <c r="E100" s="37">
        <f>+E73</f>
        <v>0</v>
      </c>
      <c r="F100" s="37">
        <f>+F73</f>
        <v>0</v>
      </c>
      <c r="G100" s="37">
        <f>+G73</f>
        <v>0</v>
      </c>
      <c r="H100" s="37">
        <f>+H73</f>
        <v>0</v>
      </c>
      <c r="I100" s="37">
        <f>+I73</f>
        <v>0</v>
      </c>
      <c r="J100" s="37">
        <f>+J73</f>
        <v>0</v>
      </c>
    </row>
    <row r="101" spans="2:10" ht="15" customHeight="1">
      <c r="B101" s="45" t="s">
        <v>794</v>
      </c>
      <c r="C101" s="37">
        <f>+C99-C100</f>
        <v>136631.42191658</v>
      </c>
      <c r="D101" s="37">
        <f>+D99-D100</f>
        <v>104390.52786127997</v>
      </c>
      <c r="E101" s="37">
        <f>+E99-E100</f>
        <v>47984.162400000001</v>
      </c>
      <c r="F101" s="37">
        <f>+F99-F100</f>
        <v>1249.7101184999999</v>
      </c>
      <c r="G101" s="37">
        <f>+G99-G100</f>
        <v>5069.25</v>
      </c>
      <c r="H101" s="37">
        <f>+H99-H100</f>
        <v>927.52499999999998</v>
      </c>
      <c r="I101" s="37">
        <f>+I99-I100</f>
        <v>183.98079999999993</v>
      </c>
      <c r="J101" s="37">
        <f>+J99-J100</f>
        <v>33.702655999999998</v>
      </c>
    </row>
    <row r="102" spans="2:10" ht="15" customHeight="1">
      <c r="B102" s="45"/>
      <c r="C102" s="37"/>
      <c r="D102" s="37"/>
      <c r="E102" s="37"/>
      <c r="F102" s="37"/>
      <c r="G102" s="37"/>
      <c r="H102" s="37"/>
      <c r="I102" s="37"/>
      <c r="J102" s="37"/>
    </row>
    <row r="103" spans="2:10" ht="15" customHeight="1">
      <c r="C103" s="37"/>
      <c r="D103" s="37"/>
      <c r="E103" s="37"/>
      <c r="F103" s="37"/>
      <c r="G103" s="37"/>
      <c r="H103" s="37"/>
      <c r="I103" s="37"/>
      <c r="J103" s="37"/>
    </row>
    <row r="104" spans="2:10" ht="15" customHeight="1">
      <c r="B104" s="49" t="s">
        <v>172</v>
      </c>
      <c r="C104" s="37"/>
      <c r="D104" s="37"/>
      <c r="E104" s="127"/>
      <c r="F104" s="129"/>
      <c r="G104" s="67"/>
      <c r="H104" s="68"/>
      <c r="I104" s="69"/>
      <c r="J104" s="69"/>
    </row>
    <row r="105" spans="2:10" ht="15" customHeight="1">
      <c r="B105" s="43" t="s">
        <v>173</v>
      </c>
      <c r="C105" s="126">
        <f>C101/C53</f>
        <v>6629.0535110659357</v>
      </c>
      <c r="D105" s="126">
        <f>D101/D53</f>
        <v>10921.965297357603</v>
      </c>
      <c r="E105" s="127">
        <f>E101/E53</f>
        <v>103.09652649154462</v>
      </c>
      <c r="F105" s="129">
        <f>F101/F53</f>
        <v>0.95009958813527728</v>
      </c>
      <c r="G105" s="67">
        <f>G101/G53</f>
        <v>33.210292195762513</v>
      </c>
      <c r="H105" s="68">
        <f>H101/H53</f>
        <v>1.8990460620987633</v>
      </c>
      <c r="I105" s="69">
        <f>I101/I53</f>
        <v>0.99772668112798224</v>
      </c>
      <c r="J105" s="69">
        <f>J101/J53</f>
        <v>2.2702952698430705</v>
      </c>
    </row>
    <row r="107" spans="2:10" ht="15" customHeight="1">
      <c r="B107" s="164" t="s">
        <v>154</v>
      </c>
      <c r="C107" s="36"/>
      <c r="D107" s="36"/>
      <c r="E107" s="36"/>
      <c r="F107" s="36"/>
      <c r="G107" s="36"/>
      <c r="H107" s="36"/>
      <c r="I107" s="36"/>
      <c r="J107" s="36"/>
    </row>
    <row r="108" spans="2:10" ht="15" customHeight="1">
      <c r="B108" s="32" t="s">
        <v>155</v>
      </c>
      <c r="C108" s="154">
        <f>C12</f>
        <v>40178</v>
      </c>
      <c r="D108" s="154">
        <f>D12</f>
        <v>40178</v>
      </c>
      <c r="E108" s="154">
        <f>E12</f>
        <v>40178</v>
      </c>
      <c r="F108" s="154">
        <f>F12</f>
        <v>40178</v>
      </c>
      <c r="G108" s="154">
        <f>G12</f>
        <v>40178</v>
      </c>
      <c r="H108" s="154">
        <f>H12</f>
        <v>40178</v>
      </c>
      <c r="I108" s="154">
        <f>I12</f>
        <v>40178</v>
      </c>
      <c r="J108" s="154">
        <f>J12</f>
        <v>40178</v>
      </c>
    </row>
    <row r="109" spans="2:10" ht="15" customHeight="1">
      <c r="B109" s="30" t="s">
        <v>242</v>
      </c>
      <c r="C109" s="125">
        <f>C60</f>
        <v>816110.18687400001</v>
      </c>
      <c r="D109" s="125">
        <f>D60</f>
        <v>1049535.950404</v>
      </c>
      <c r="E109" s="127">
        <f>E60</f>
        <v>1022318</v>
      </c>
      <c r="F109" s="127">
        <f>F60</f>
        <v>18026.107887999999</v>
      </c>
      <c r="G109" s="130">
        <f>G60</f>
        <v>59382</v>
      </c>
      <c r="H109" s="131">
        <f>H60</f>
        <v>14701</v>
      </c>
      <c r="I109" s="132">
        <f>I60</f>
        <v>3032.4</v>
      </c>
      <c r="J109" s="132">
        <f>J60</f>
        <v>415.053</v>
      </c>
    </row>
    <row r="110" spans="2:10" ht="15" customHeight="1">
      <c r="B110" s="30" t="s">
        <v>244</v>
      </c>
      <c r="C110" s="37">
        <f>C96</f>
        <v>251435.44508999999</v>
      </c>
      <c r="D110" s="37">
        <f>D96</f>
        <v>259614.51060599997</v>
      </c>
      <c r="E110" s="37">
        <f>E96</f>
        <v>141149</v>
      </c>
      <c r="F110" s="37">
        <f>F96</f>
        <v>2065.442665</v>
      </c>
      <c r="G110" s="37">
        <f>G96</f>
        <v>13307</v>
      </c>
      <c r="H110" s="37">
        <f>H96</f>
        <v>2672</v>
      </c>
      <c r="I110" s="37">
        <f>I96</f>
        <v>631.6</v>
      </c>
      <c r="J110" s="37">
        <f>J96</f>
        <v>72.23899999999999</v>
      </c>
    </row>
    <row r="111" spans="2:10" ht="15" customHeight="1">
      <c r="B111" s="30" t="s">
        <v>246</v>
      </c>
      <c r="C111" s="37">
        <f>C94</f>
        <v>196305.65531900001</v>
      </c>
      <c r="D111" s="37">
        <f>D94</f>
        <v>187129.78165599995</v>
      </c>
      <c r="E111" s="37">
        <f>E94</f>
        <v>82777</v>
      </c>
      <c r="F111" s="37">
        <f>F94</f>
        <v>1520.6809309999999</v>
      </c>
      <c r="G111" s="37">
        <f>G94</f>
        <v>9538</v>
      </c>
      <c r="H111" s="37">
        <f>H94</f>
        <v>1777</v>
      </c>
      <c r="I111" s="37">
        <f>I94</f>
        <v>423.6</v>
      </c>
      <c r="J111" s="37">
        <f>J94</f>
        <v>55.319999999999993</v>
      </c>
    </row>
    <row r="112" spans="2:10" ht="15" customHeight="1">
      <c r="B112" s="30" t="s">
        <v>248</v>
      </c>
      <c r="C112" s="39">
        <f>C105</f>
        <v>6629.0535110659357</v>
      </c>
      <c r="D112" s="39">
        <f>D105</f>
        <v>10921.965297357603</v>
      </c>
      <c r="E112" s="40">
        <f>E105</f>
        <v>103.09652649154462</v>
      </c>
      <c r="F112" s="40">
        <f>F105</f>
        <v>0.95009958813527728</v>
      </c>
      <c r="G112" s="40">
        <f>G105</f>
        <v>33.210292195762513</v>
      </c>
      <c r="H112" s="40">
        <f>H105</f>
        <v>1.8990460620987633</v>
      </c>
      <c r="I112" s="40">
        <f>I105</f>
        <v>0.99772668112798224</v>
      </c>
      <c r="J112" s="40">
        <f>J105</f>
        <v>2.2702952698430705</v>
      </c>
    </row>
    <row r="113" spans="1:10" ht="15" customHeight="1">
      <c r="D113" s="202"/>
    </row>
    <row r="114" spans="1:10" ht="15" customHeight="1">
      <c r="A114" s="30" t="s">
        <v>98</v>
      </c>
      <c r="B114" s="29" t="s">
        <v>176</v>
      </c>
      <c r="C114" s="119"/>
      <c r="D114" s="119"/>
      <c r="E114" s="119"/>
      <c r="F114" s="119"/>
      <c r="G114" s="119"/>
      <c r="H114" s="119"/>
      <c r="I114" s="119"/>
      <c r="J114" s="119"/>
    </row>
    <row r="115" spans="1:10" ht="15" customHeight="1">
      <c r="D115" s="220"/>
    </row>
    <row r="116" spans="1:10" s="70" customFormat="1" ht="15" customHeight="1">
      <c r="B116" s="135" t="s">
        <v>177</v>
      </c>
      <c r="C116" s="182">
        <f>C11</f>
        <v>40178</v>
      </c>
      <c r="D116" s="182">
        <f>D11</f>
        <v>40178</v>
      </c>
      <c r="E116" s="182">
        <f>E11</f>
        <v>40178</v>
      </c>
      <c r="F116" s="182">
        <f>F11</f>
        <v>40178</v>
      </c>
      <c r="G116" s="182">
        <f>G11</f>
        <v>40178</v>
      </c>
      <c r="H116" s="182">
        <f>H11</f>
        <v>40178</v>
      </c>
      <c r="I116" s="182">
        <f>I11</f>
        <v>40178</v>
      </c>
      <c r="J116" s="182">
        <f>J11</f>
        <v>40178</v>
      </c>
    </row>
    <row r="117" spans="1:10" ht="15" customHeight="1">
      <c r="B117" s="45" t="s">
        <v>178</v>
      </c>
      <c r="C117" s="123">
        <f>OB맥주_DART!E71</f>
        <v>543.51779999999997</v>
      </c>
      <c r="D117" s="123">
        <f>(SUM(하이트진로_DART!C51,하이트진로_DART!C58:C60))/(10^6)</f>
        <v>773252.33410700003</v>
      </c>
      <c r="E117" s="139">
        <v>186220</v>
      </c>
      <c r="F117" s="139">
        <v>181.81286900000001</v>
      </c>
      <c r="G117" s="140">
        <v>3322</v>
      </c>
      <c r="H117" s="141">
        <v>1301</v>
      </c>
      <c r="I117" s="142">
        <v>300.3</v>
      </c>
      <c r="J117" s="142">
        <v>0</v>
      </c>
    </row>
    <row r="118" spans="1:10" ht="15" customHeight="1">
      <c r="B118" s="45" t="s">
        <v>179</v>
      </c>
      <c r="C118" s="124">
        <f>OB맥주_DART!E84+OB맥주_DART!E85</f>
        <v>435506.87779699999</v>
      </c>
      <c r="D118" s="124">
        <f>(SUM(하이트진로_DART!C62:C63))/(10^6)</f>
        <v>249303.071505</v>
      </c>
      <c r="E118" s="124">
        <v>205656</v>
      </c>
      <c r="F118" s="124">
        <v>1230.138696</v>
      </c>
      <c r="G118" s="124">
        <v>36075</v>
      </c>
      <c r="H118" s="124">
        <v>7401</v>
      </c>
      <c r="I118" s="124">
        <v>1412.7</v>
      </c>
      <c r="J118" s="124">
        <v>0</v>
      </c>
    </row>
    <row r="119" spans="1:10" ht="15" customHeight="1">
      <c r="B119" s="45" t="s">
        <v>180</v>
      </c>
      <c r="C119" s="124">
        <v>0</v>
      </c>
      <c r="D119" s="124">
        <f>+하이트진로_DART!D87</f>
        <v>0</v>
      </c>
      <c r="E119" s="124">
        <v>4230</v>
      </c>
      <c r="F119" s="124">
        <v>174.85478499999999</v>
      </c>
      <c r="G119" s="124">
        <v>4660</v>
      </c>
      <c r="H119" s="124">
        <v>296</v>
      </c>
      <c r="I119" s="124">
        <v>13.2</v>
      </c>
      <c r="J119" s="124">
        <v>0</v>
      </c>
    </row>
    <row r="120" spans="1:10" ht="15" customHeight="1">
      <c r="B120" s="45" t="s">
        <v>181</v>
      </c>
      <c r="C120" s="124">
        <v>0</v>
      </c>
      <c r="D120" s="124">
        <f>+D15*D54</f>
        <v>25593.841500000002</v>
      </c>
      <c r="E120" s="124">
        <v>0</v>
      </c>
      <c r="F120" s="124">
        <v>0</v>
      </c>
      <c r="G120" s="124">
        <v>0</v>
      </c>
      <c r="H120" s="124">
        <v>0</v>
      </c>
      <c r="I120" s="124">
        <v>0</v>
      </c>
      <c r="J120" s="124">
        <v>0</v>
      </c>
    </row>
    <row r="121" spans="1:10" ht="15" customHeight="1">
      <c r="B121" s="30" t="s">
        <v>182</v>
      </c>
      <c r="C121" s="37">
        <f>SUM(C117:C120)</f>
        <v>436050.39559699997</v>
      </c>
      <c r="D121" s="37">
        <f>SUM(D117:D120)</f>
        <v>1048149.247112</v>
      </c>
      <c r="E121" s="37">
        <f>SUM(E117:E120)</f>
        <v>396106</v>
      </c>
      <c r="F121" s="37">
        <f t="shared" ref="F121:J121" si="7">SUM(F117:F120)</f>
        <v>1586.8063500000001</v>
      </c>
      <c r="G121" s="37">
        <f t="shared" si="7"/>
        <v>44057</v>
      </c>
      <c r="H121" s="37">
        <f t="shared" si="7"/>
        <v>8998</v>
      </c>
      <c r="I121" s="37">
        <f t="shared" si="7"/>
        <v>1726.2</v>
      </c>
      <c r="J121" s="37">
        <f t="shared" si="7"/>
        <v>0</v>
      </c>
    </row>
    <row r="122" spans="1:10" ht="15" customHeight="1">
      <c r="B122" s="45" t="s">
        <v>183</v>
      </c>
      <c r="C122" s="124">
        <f>-OB맥주_DART!E10</f>
        <v>-134104.48734299999</v>
      </c>
      <c r="D122" s="124">
        <f>-SUM(하이트진로_DART!C12:C13)/10^6</f>
        <v>-54593.621247000003</v>
      </c>
      <c r="E122" s="124">
        <v>-18082</v>
      </c>
      <c r="F122" s="124">
        <v>-5374.8865370000003</v>
      </c>
      <c r="G122" s="124">
        <v>-2734</v>
      </c>
      <c r="H122" s="124">
        <v>-520</v>
      </c>
      <c r="I122" s="124">
        <v>-734.2</v>
      </c>
      <c r="J122" s="124">
        <v>-55.481000000000002</v>
      </c>
    </row>
    <row r="123" spans="1:10" ht="15" customHeight="1">
      <c r="B123" s="46" t="s">
        <v>184</v>
      </c>
      <c r="C123" s="37">
        <f>SUM(C121:C122)</f>
        <v>301945.90825400001</v>
      </c>
      <c r="D123" s="37">
        <f>SUM(D121:D122)</f>
        <v>993555.62586500007</v>
      </c>
      <c r="E123" s="37">
        <f t="shared" ref="E123:J123" si="8">SUM(E121:E122)</f>
        <v>378024</v>
      </c>
      <c r="F123" s="37">
        <f t="shared" si="8"/>
        <v>-3788.0801870000005</v>
      </c>
      <c r="G123" s="37">
        <f t="shared" si="8"/>
        <v>41323</v>
      </c>
      <c r="H123" s="37">
        <f t="shared" si="8"/>
        <v>8478</v>
      </c>
      <c r="I123" s="37">
        <f t="shared" si="8"/>
        <v>992</v>
      </c>
      <c r="J123" s="37">
        <f t="shared" si="8"/>
        <v>-55.481000000000002</v>
      </c>
    </row>
    <row r="125" spans="1:10" ht="15" customHeight="1">
      <c r="A125" s="30" t="s">
        <v>98</v>
      </c>
      <c r="B125" s="29" t="s">
        <v>174</v>
      </c>
      <c r="C125" s="119"/>
      <c r="D125" s="119"/>
      <c r="E125" s="119"/>
      <c r="F125" s="119"/>
      <c r="G125" s="119"/>
      <c r="H125" s="119"/>
      <c r="I125" s="119"/>
      <c r="J125" s="119"/>
    </row>
    <row r="127" spans="1:10" s="70" customFormat="1" ht="15" customHeight="1">
      <c r="B127" s="164" t="s">
        <v>175</v>
      </c>
      <c r="C127" s="36"/>
      <c r="D127" s="36"/>
      <c r="E127" s="36"/>
      <c r="F127" s="36"/>
      <c r="G127" s="36"/>
      <c r="H127" s="36"/>
      <c r="I127" s="36"/>
      <c r="J127" s="36"/>
    </row>
    <row r="128" spans="1:10" ht="15" customHeight="1">
      <c r="B128" s="135" t="s">
        <v>155</v>
      </c>
      <c r="C128" s="154">
        <f>DATE(YEAR(C108)+1,MONTH(C108),DAY(C108))</f>
        <v>40543</v>
      </c>
      <c r="D128" s="154">
        <f>DATE(YEAR(D108)+1,MONTH(D108),DAY(D108))</f>
        <v>40543</v>
      </c>
      <c r="E128" s="154">
        <f>DATE(YEAR(E108)+1,MONTH(E108),DAY(E108))</f>
        <v>40543</v>
      </c>
      <c r="F128" s="154">
        <f>DATE(YEAR(F108)+1,MONTH(F108),DAY(F108))</f>
        <v>40543</v>
      </c>
      <c r="G128" s="154">
        <f>DATE(YEAR(G108)+1,MONTH(G108),DAY(G108))</f>
        <v>40543</v>
      </c>
      <c r="H128" s="154">
        <f>DATE(YEAR(H108)+1,MONTH(H108),DAY(H108))</f>
        <v>40543</v>
      </c>
      <c r="I128" s="154">
        <f>DATE(YEAR(I108)+1,MONTH(I108),DAY(I108))</f>
        <v>40543</v>
      </c>
      <c r="J128" s="154">
        <f>DATE(YEAR(J108)+1,MONTH(J108),DAY(J108))</f>
        <v>40543</v>
      </c>
    </row>
    <row r="129" spans="2:20" ht="15" customHeight="1">
      <c r="B129" s="30" t="s">
        <v>185</v>
      </c>
      <c r="C129" s="123">
        <f>C109*(1+$C$134)</f>
        <v>840593.49248022004</v>
      </c>
      <c r="D129" s="123">
        <v>1066105.2263499999</v>
      </c>
      <c r="E129" s="139">
        <v>1084231.539266</v>
      </c>
      <c r="F129" s="139">
        <v>20524.903630000001</v>
      </c>
      <c r="G129" s="140">
        <v>60124.231254999999</v>
      </c>
      <c r="H129" s="141">
        <v>16327.515762000001</v>
      </c>
      <c r="I129" s="142">
        <v>3371.9868670000001</v>
      </c>
      <c r="J129" s="142">
        <v>446.19518199999999</v>
      </c>
      <c r="L129" s="237"/>
      <c r="N129" s="237"/>
      <c r="O129" s="237"/>
      <c r="Q129" s="237"/>
      <c r="R129" s="237"/>
      <c r="S129" s="237"/>
      <c r="T129" s="237"/>
    </row>
    <row r="130" spans="2:20" ht="15" customHeight="1">
      <c r="B130" s="30" t="s">
        <v>186</v>
      </c>
      <c r="C130" s="124">
        <f>C110*(1+$C$134)</f>
        <v>258978.5084427</v>
      </c>
      <c r="D130" s="124">
        <v>232221.750527</v>
      </c>
      <c r="E130" s="124">
        <v>162376.005011</v>
      </c>
      <c r="F130" s="124">
        <v>2486.269726</v>
      </c>
      <c r="G130" s="124">
        <v>13519.077848000001</v>
      </c>
      <c r="H130" s="124">
        <v>3186.5032500000002</v>
      </c>
      <c r="I130" s="124">
        <v>639.03856900000005</v>
      </c>
      <c r="J130" s="124">
        <v>102.673564</v>
      </c>
      <c r="L130" s="237"/>
      <c r="N130" s="237"/>
      <c r="O130" s="237"/>
      <c r="Q130" s="237"/>
      <c r="R130" s="237"/>
      <c r="S130" s="237"/>
      <c r="T130" s="237"/>
    </row>
    <row r="131" spans="2:20" ht="15" customHeight="1">
      <c r="B131" s="30" t="s">
        <v>187</v>
      </c>
      <c r="C131" s="124">
        <f>C111*(1+$C$134)</f>
        <v>202194.82497857002</v>
      </c>
      <c r="D131" s="124">
        <v>151914.49230300001</v>
      </c>
      <c r="E131" s="124">
        <v>95386.572658999998</v>
      </c>
      <c r="F131" s="124">
        <v>1905.3394960000001</v>
      </c>
      <c r="G131" s="124">
        <v>9759.7655460000005</v>
      </c>
      <c r="H131" s="124">
        <v>1986.258656</v>
      </c>
      <c r="I131" s="124">
        <v>426.09415799999999</v>
      </c>
      <c r="J131" s="124">
        <v>83.819889000000003</v>
      </c>
      <c r="L131" s="237"/>
      <c r="N131" s="237"/>
      <c r="O131" s="237"/>
      <c r="Q131" s="237"/>
      <c r="R131" s="237"/>
      <c r="S131" s="237"/>
      <c r="T131" s="237"/>
    </row>
    <row r="132" spans="2:20" ht="15" customHeight="1">
      <c r="B132" s="30" t="s">
        <v>188</v>
      </c>
      <c r="C132" s="143">
        <f>C112*(1+$C$134)</f>
        <v>6827.9251163979143</v>
      </c>
      <c r="D132" s="143">
        <v>6821.3097589999998</v>
      </c>
      <c r="E132" s="109">
        <v>115.685643</v>
      </c>
      <c r="F132" s="109">
        <v>1.129899</v>
      </c>
      <c r="G132" s="109">
        <v>33.098190000000002</v>
      </c>
      <c r="H132" s="109">
        <v>2.711287</v>
      </c>
      <c r="I132" s="109">
        <v>3.6686960000000002</v>
      </c>
      <c r="J132" s="109">
        <v>3.4072290000000001</v>
      </c>
      <c r="L132" s="237"/>
      <c r="N132" s="237"/>
      <c r="O132" s="237"/>
      <c r="Q132" s="237"/>
      <c r="R132" s="237"/>
      <c r="S132" s="237"/>
      <c r="T132" s="237"/>
    </row>
    <row r="133" spans="2:20" ht="15" customHeight="1">
      <c r="B133" s="138" t="s">
        <v>189</v>
      </c>
      <c r="D133" s="137" t="s">
        <v>789</v>
      </c>
      <c r="E133" s="137" t="s">
        <v>520</v>
      </c>
      <c r="F133" s="137" t="s">
        <v>520</v>
      </c>
      <c r="G133" s="137" t="s">
        <v>520</v>
      </c>
      <c r="H133" s="137" t="s">
        <v>520</v>
      </c>
      <c r="I133" s="137" t="s">
        <v>520</v>
      </c>
      <c r="J133" s="137" t="s">
        <v>520</v>
      </c>
    </row>
    <row r="134" spans="2:20" ht="15" customHeight="1">
      <c r="B134" s="138" t="s">
        <v>519</v>
      </c>
      <c r="C134" s="136">
        <v>0.03</v>
      </c>
      <c r="D134" s="136"/>
      <c r="E134" s="136"/>
      <c r="F134" s="136"/>
      <c r="G134" s="136"/>
      <c r="H134" s="136"/>
      <c r="I134" s="136"/>
      <c r="J134" s="136"/>
    </row>
    <row r="136" spans="2:20" ht="15" customHeight="1">
      <c r="B136" s="164" t="s">
        <v>211</v>
      </c>
      <c r="C136" s="36"/>
      <c r="D136" s="36"/>
      <c r="E136" s="36"/>
      <c r="F136" s="36"/>
      <c r="G136" s="36"/>
      <c r="H136" s="36"/>
      <c r="I136" s="36"/>
      <c r="J136" s="36"/>
    </row>
    <row r="137" spans="2:20" ht="15" customHeight="1">
      <c r="B137" s="135" t="s">
        <v>155</v>
      </c>
      <c r="C137" s="154">
        <f>DATE(YEAR(C128)+1,MONTH(C128),DAY(C128))</f>
        <v>40908</v>
      </c>
      <c r="D137" s="154">
        <f>DATE(YEAR(D128)+1,MONTH(D128),DAY(D128))</f>
        <v>40908</v>
      </c>
      <c r="E137" s="154">
        <f>DATE(YEAR(E128)+1,MONTH(E128),DAY(E128))</f>
        <v>40908</v>
      </c>
      <c r="F137" s="154">
        <f>DATE(YEAR(F128)+1,MONTH(F128),DAY(F128))</f>
        <v>40908</v>
      </c>
      <c r="G137" s="154">
        <f>DATE(YEAR(G128)+1,MONTH(G128),DAY(G128))</f>
        <v>40908</v>
      </c>
      <c r="H137" s="154">
        <f>DATE(YEAR(H128)+1,MONTH(H128),DAY(H128))</f>
        <v>40908</v>
      </c>
      <c r="I137" s="154">
        <f>DATE(YEAR(I128)+1,MONTH(I128),DAY(I128))</f>
        <v>40908</v>
      </c>
      <c r="J137" s="154">
        <f>DATE(YEAR(J128)+1,MONTH(J128),DAY(J128))</f>
        <v>40908</v>
      </c>
    </row>
    <row r="138" spans="2:20" ht="15" customHeight="1">
      <c r="B138" s="30" t="s">
        <v>212</v>
      </c>
      <c r="C138" s="123">
        <f>C129*(1+$C$143)</f>
        <v>857405.36232982448</v>
      </c>
      <c r="D138" s="123">
        <v>1026773.256205</v>
      </c>
      <c r="E138" s="139">
        <v>1047978.2839480001</v>
      </c>
      <c r="F138" s="139">
        <v>23600.283378</v>
      </c>
      <c r="G138" s="140">
        <v>63774.438596</v>
      </c>
      <c r="H138" s="141">
        <v>17198.217605000002</v>
      </c>
      <c r="I138" s="142">
        <v>3583.3462509999999</v>
      </c>
      <c r="J138" s="142">
        <v>526.507475</v>
      </c>
    </row>
    <row r="139" spans="2:20" ht="15" customHeight="1">
      <c r="B139" s="30" t="s">
        <v>213</v>
      </c>
      <c r="C139" s="124">
        <f>C130*(1+$C$143)</f>
        <v>264158.078611554</v>
      </c>
      <c r="D139" s="124">
        <v>210816.92344700001</v>
      </c>
      <c r="E139" s="124">
        <v>170310.301886</v>
      </c>
      <c r="F139" s="124">
        <v>2859.5132119999998</v>
      </c>
      <c r="G139" s="124">
        <v>13403.795034999999</v>
      </c>
      <c r="H139" s="124">
        <v>3405.0065079999999</v>
      </c>
      <c r="I139" s="124">
        <v>683.53118099999995</v>
      </c>
      <c r="J139" s="124">
        <v>103.99242099999999</v>
      </c>
    </row>
    <row r="140" spans="2:20" ht="15" customHeight="1">
      <c r="B140" s="30" t="s">
        <v>214</v>
      </c>
      <c r="C140" s="124">
        <f>C131*(1+$C$143)</f>
        <v>206238.72147814141</v>
      </c>
      <c r="D140" s="124">
        <v>132914.72743299999</v>
      </c>
      <c r="E140" s="124">
        <v>112273.608272</v>
      </c>
      <c r="F140" s="124">
        <v>2170.689918</v>
      </c>
      <c r="G140" s="124">
        <v>9131.4647989999994</v>
      </c>
      <c r="H140" s="124">
        <v>2173.068479</v>
      </c>
      <c r="I140" s="124">
        <v>430.03932800000001</v>
      </c>
      <c r="J140" s="124">
        <v>83.964386000000005</v>
      </c>
    </row>
    <row r="141" spans="2:20" ht="15" customHeight="1">
      <c r="B141" s="30" t="s">
        <v>215</v>
      </c>
      <c r="C141" s="143">
        <f>C132*(1+$C$143)</f>
        <v>6964.4836187258725</v>
      </c>
      <c r="D141" s="124">
        <v>5101.4448899999998</v>
      </c>
      <c r="E141" s="109">
        <v>127.9079</v>
      </c>
      <c r="F141" s="109">
        <v>1.259979</v>
      </c>
      <c r="G141" s="109">
        <v>30.031013999999999</v>
      </c>
      <c r="H141" s="109">
        <v>2.252011</v>
      </c>
      <c r="I141" s="109">
        <v>3.4036179999999998</v>
      </c>
      <c r="J141" s="109">
        <v>5.0037459999999996</v>
      </c>
    </row>
    <row r="142" spans="2:20" ht="15" customHeight="1">
      <c r="B142" s="138" t="s">
        <v>189</v>
      </c>
      <c r="D142" s="137" t="s">
        <v>789</v>
      </c>
      <c r="E142" s="137" t="s">
        <v>520</v>
      </c>
      <c r="F142" s="137" t="s">
        <v>520</v>
      </c>
      <c r="G142" s="137" t="s">
        <v>520</v>
      </c>
      <c r="H142" s="137" t="s">
        <v>520</v>
      </c>
      <c r="I142" s="137" t="s">
        <v>520</v>
      </c>
      <c r="J142" s="137" t="s">
        <v>520</v>
      </c>
    </row>
    <row r="143" spans="2:20" ht="15" customHeight="1">
      <c r="B143" s="138" t="s">
        <v>519</v>
      </c>
      <c r="C143" s="136">
        <v>0.02</v>
      </c>
      <c r="D143" s="136"/>
      <c r="E143" s="136"/>
      <c r="F143" s="136"/>
      <c r="G143" s="136"/>
      <c r="H143" s="136"/>
      <c r="I143" s="136"/>
      <c r="J143" s="136"/>
    </row>
    <row r="145" spans="2:10" ht="15" customHeight="1">
      <c r="B145" s="164" t="s">
        <v>190</v>
      </c>
      <c r="C145" s="36"/>
      <c r="D145" s="36"/>
      <c r="E145" s="36"/>
      <c r="F145" s="36"/>
      <c r="G145" s="36"/>
      <c r="H145" s="36"/>
      <c r="I145" s="36"/>
      <c r="J145" s="36"/>
    </row>
    <row r="146" spans="2:10" ht="15" customHeight="1">
      <c r="B146" s="30" t="s">
        <v>191</v>
      </c>
      <c r="C146" s="136">
        <v>2.5000000000000001E-2</v>
      </c>
      <c r="D146" s="136">
        <v>2.5000000000000001E-2</v>
      </c>
      <c r="E146" s="136">
        <v>3.5000000000000003E-2</v>
      </c>
      <c r="F146" s="136">
        <v>3.5000000000000003E-2</v>
      </c>
      <c r="G146" s="136">
        <v>0.03</v>
      </c>
      <c r="H146" s="136">
        <v>3.5000000000000003E-2</v>
      </c>
      <c r="I146" s="136">
        <v>1.4999999999999999E-2</v>
      </c>
      <c r="J146" s="136">
        <v>3.5000000000000003E-2</v>
      </c>
    </row>
    <row r="147" spans="2:10" ht="15" customHeight="1">
      <c r="B147" s="135" t="s">
        <v>189</v>
      </c>
      <c r="C147" s="137" t="s">
        <v>521</v>
      </c>
      <c r="D147" s="137" t="s">
        <v>520</v>
      </c>
      <c r="E147" s="137" t="s">
        <v>520</v>
      </c>
      <c r="F147" s="137" t="s">
        <v>521</v>
      </c>
      <c r="G147" s="137" t="s">
        <v>521</v>
      </c>
      <c r="H147" s="137" t="s">
        <v>520</v>
      </c>
      <c r="I147" s="137" t="s">
        <v>520</v>
      </c>
      <c r="J147" s="137" t="s">
        <v>520</v>
      </c>
    </row>
    <row r="149" spans="2:10" ht="15" customHeight="1">
      <c r="B149" s="164" t="s">
        <v>192</v>
      </c>
      <c r="C149" s="36"/>
      <c r="D149" s="36"/>
      <c r="E149" s="36"/>
      <c r="F149" s="36"/>
      <c r="G149" s="36"/>
      <c r="H149" s="36"/>
      <c r="I149" s="36"/>
      <c r="J149" s="36"/>
    </row>
    <row r="150" spans="2:10" ht="15" customHeight="1">
      <c r="B150" s="135" t="s">
        <v>193</v>
      </c>
      <c r="C150" s="154">
        <f>DATE(YEAR(C18),12,31)</f>
        <v>40543</v>
      </c>
      <c r="D150" s="154">
        <f>DATE(YEAR(D18),12,31)</f>
        <v>40543</v>
      </c>
      <c r="E150" s="154">
        <f>DATE(YEAR(E18),12,31)</f>
        <v>40543</v>
      </c>
      <c r="F150" s="154">
        <f>DATE(YEAR(F18),12,31)</f>
        <v>40543</v>
      </c>
      <c r="G150" s="154">
        <f>DATE(YEAR(G18),12,31)</f>
        <v>40543</v>
      </c>
      <c r="H150" s="154">
        <f>DATE(YEAR(H18),12,31)</f>
        <v>40543</v>
      </c>
      <c r="I150" s="154">
        <f>DATE(YEAR(I18),12,31)</f>
        <v>40543</v>
      </c>
      <c r="J150" s="154">
        <f>DATE(YEAR(J18),12,31)</f>
        <v>40543</v>
      </c>
    </row>
    <row r="151" spans="2:10" ht="15" customHeight="1">
      <c r="B151" s="135" t="s">
        <v>194</v>
      </c>
      <c r="C151" s="39">
        <f>MAX(0,C150-C128)</f>
        <v>0</v>
      </c>
      <c r="D151" s="39">
        <f>MAX(0,D150-D128)</f>
        <v>0</v>
      </c>
      <c r="E151" s="39">
        <f>MAX(0,E150-E128)</f>
        <v>0</v>
      </c>
      <c r="F151" s="39">
        <f>MAX(0,F150-F128)</f>
        <v>0</v>
      </c>
      <c r="G151" s="39">
        <f>MAX(0,G150-G128)</f>
        <v>0</v>
      </c>
      <c r="H151" s="39">
        <f>MAX(0,H150-H128)</f>
        <v>0</v>
      </c>
      <c r="I151" s="39">
        <f>MAX(0,I150-I128)</f>
        <v>0</v>
      </c>
      <c r="J151" s="39">
        <f>MAX(0,J150-J128)</f>
        <v>0</v>
      </c>
    </row>
    <row r="152" spans="2:10" ht="15" customHeight="1">
      <c r="B152" s="135" t="s">
        <v>195</v>
      </c>
      <c r="C152" s="39">
        <f>MAX(0,C128-C150)</f>
        <v>0</v>
      </c>
      <c r="D152" s="39">
        <f>MAX(0,D128-D150)</f>
        <v>0</v>
      </c>
      <c r="E152" s="39">
        <f>MAX(0,E128-E150)</f>
        <v>0</v>
      </c>
      <c r="F152" s="39">
        <f>MAX(0,F128-F150)</f>
        <v>0</v>
      </c>
      <c r="G152" s="39">
        <f>MAX(0,G128-G150)</f>
        <v>0</v>
      </c>
      <c r="H152" s="39">
        <f>MAX(0,H128-H150)</f>
        <v>0</v>
      </c>
      <c r="I152" s="39">
        <f>MAX(0,I128-I150)</f>
        <v>0</v>
      </c>
      <c r="J152" s="39">
        <f>MAX(0,J128-J150)</f>
        <v>0</v>
      </c>
    </row>
    <row r="153" spans="2:10" ht="15" customHeight="1">
      <c r="B153" s="135" t="s">
        <v>196</v>
      </c>
      <c r="C153" s="50">
        <f>IF(C152&gt;0,C152/365,0)</f>
        <v>0</v>
      </c>
      <c r="D153" s="50">
        <f>IF(D152&gt;0,D152/365,0)</f>
        <v>0</v>
      </c>
      <c r="E153" s="50">
        <f>IF(E152&gt;0,E152/365,0)</f>
        <v>0</v>
      </c>
      <c r="F153" s="50">
        <f>IF(F152&gt;0,F152/365,0)</f>
        <v>0</v>
      </c>
      <c r="G153" s="50">
        <f>IF(G152&gt;0,G152/365,0)</f>
        <v>0</v>
      </c>
      <c r="H153" s="50">
        <f>IF(H152&gt;0,H152/365,0)</f>
        <v>0</v>
      </c>
      <c r="I153" s="50">
        <f>IF(I152&gt;0,I152/365,0)</f>
        <v>0</v>
      </c>
      <c r="J153" s="50">
        <f>IF(J152&gt;0,J152/365,0)</f>
        <v>0</v>
      </c>
    </row>
    <row r="154" spans="2:10" ht="15" customHeight="1">
      <c r="B154" s="135" t="s">
        <v>197</v>
      </c>
      <c r="C154" s="50">
        <f>IF(C151&gt;0,(365-C151)/365,1-C153)</f>
        <v>1</v>
      </c>
      <c r="D154" s="50">
        <f>IF(D151&gt;0,(365-D151)/365,1-D153)</f>
        <v>1</v>
      </c>
      <c r="E154" s="50">
        <f t="shared" ref="E154:J154" si="9">IF(E151&gt;0,(365-E151)/365,1-E153)</f>
        <v>1</v>
      </c>
      <c r="F154" s="50">
        <f t="shared" si="9"/>
        <v>1</v>
      </c>
      <c r="G154" s="50">
        <f t="shared" si="9"/>
        <v>1</v>
      </c>
      <c r="H154" s="50">
        <f t="shared" si="9"/>
        <v>1</v>
      </c>
      <c r="I154" s="50">
        <f t="shared" si="9"/>
        <v>1</v>
      </c>
      <c r="J154" s="50">
        <f t="shared" si="9"/>
        <v>1</v>
      </c>
    </row>
    <row r="155" spans="2:10" ht="15" customHeight="1">
      <c r="B155" s="135" t="s">
        <v>198</v>
      </c>
      <c r="C155" s="51">
        <f>1-C154-C153</f>
        <v>0</v>
      </c>
      <c r="D155" s="51">
        <f>1-D154-D153</f>
        <v>0</v>
      </c>
      <c r="E155" s="51">
        <f t="shared" ref="E155:J155" si="10">1-E154-E153</f>
        <v>0</v>
      </c>
      <c r="F155" s="51">
        <f t="shared" si="10"/>
        <v>0</v>
      </c>
      <c r="G155" s="51">
        <f t="shared" si="10"/>
        <v>0</v>
      </c>
      <c r="H155" s="51">
        <f t="shared" si="10"/>
        <v>0</v>
      </c>
      <c r="I155" s="51">
        <f t="shared" si="10"/>
        <v>0</v>
      </c>
      <c r="J155" s="51">
        <f t="shared" si="10"/>
        <v>0</v>
      </c>
    </row>
    <row r="157" spans="2:10" ht="15" customHeight="1">
      <c r="B157" s="164" t="s">
        <v>199</v>
      </c>
      <c r="C157" s="36"/>
      <c r="D157" s="36"/>
      <c r="E157" s="36"/>
      <c r="F157" s="36"/>
      <c r="G157" s="36"/>
      <c r="H157" s="36"/>
      <c r="I157" s="36"/>
      <c r="J157" s="36"/>
    </row>
    <row r="158" spans="2:10" ht="15" customHeight="1">
      <c r="B158" s="135" t="s">
        <v>155</v>
      </c>
      <c r="C158" s="154">
        <f>C150</f>
        <v>40543</v>
      </c>
      <c r="D158" s="154">
        <f>D150</f>
        <v>40543</v>
      </c>
      <c r="E158" s="154">
        <f t="shared" ref="E158:J158" si="11">E150</f>
        <v>40543</v>
      </c>
      <c r="F158" s="154">
        <f t="shared" si="11"/>
        <v>40543</v>
      </c>
      <c r="G158" s="154">
        <f t="shared" si="11"/>
        <v>40543</v>
      </c>
      <c r="H158" s="154">
        <f t="shared" si="11"/>
        <v>40543</v>
      </c>
      <c r="I158" s="154">
        <f t="shared" si="11"/>
        <v>40543</v>
      </c>
      <c r="J158" s="154">
        <f t="shared" si="11"/>
        <v>40543</v>
      </c>
    </row>
    <row r="159" spans="2:10" ht="15" customHeight="1">
      <c r="B159" s="30" t="s">
        <v>200</v>
      </c>
      <c r="C159" s="125">
        <f t="shared" ref="C159:D162" si="12">C109*C$153+C129*C$154+C138*C$155</f>
        <v>840593.49248022004</v>
      </c>
      <c r="D159" s="125">
        <f t="shared" si="12"/>
        <v>1066105.2263499999</v>
      </c>
      <c r="E159" s="127">
        <f t="shared" ref="E159:F162" si="13">E109*E$153+E129*E$154+E138*E$155</f>
        <v>1084231.539266</v>
      </c>
      <c r="F159" s="127">
        <f t="shared" si="13"/>
        <v>20524.903630000001</v>
      </c>
      <c r="G159" s="130">
        <f t="shared" ref="G159:J162" si="14">G109*G$153+G129*G$154+G138*G$155</f>
        <v>60124.231254999999</v>
      </c>
      <c r="H159" s="131">
        <f t="shared" si="14"/>
        <v>16327.515762000001</v>
      </c>
      <c r="I159" s="132">
        <f t="shared" si="14"/>
        <v>3371.9868670000001</v>
      </c>
      <c r="J159" s="132">
        <f t="shared" si="14"/>
        <v>446.19518199999999</v>
      </c>
    </row>
    <row r="160" spans="2:10" ht="15" customHeight="1">
      <c r="B160" s="30" t="s">
        <v>201</v>
      </c>
      <c r="C160" s="37">
        <f t="shared" si="12"/>
        <v>258978.5084427</v>
      </c>
      <c r="D160" s="37">
        <f t="shared" si="12"/>
        <v>232221.750527</v>
      </c>
      <c r="E160" s="37">
        <f t="shared" si="13"/>
        <v>162376.005011</v>
      </c>
      <c r="F160" s="37">
        <f t="shared" si="13"/>
        <v>2486.269726</v>
      </c>
      <c r="G160" s="37">
        <f t="shared" si="14"/>
        <v>13519.077848000001</v>
      </c>
      <c r="H160" s="37">
        <f t="shared" si="14"/>
        <v>3186.5032500000002</v>
      </c>
      <c r="I160" s="37">
        <f t="shared" si="14"/>
        <v>639.03856900000005</v>
      </c>
      <c r="J160" s="37">
        <f t="shared" si="14"/>
        <v>102.673564</v>
      </c>
    </row>
    <row r="161" spans="1:14" ht="15" customHeight="1">
      <c r="B161" s="30" t="s">
        <v>202</v>
      </c>
      <c r="C161" s="37">
        <f t="shared" si="12"/>
        <v>202194.82497857002</v>
      </c>
      <c r="D161" s="37">
        <f t="shared" si="12"/>
        <v>151914.49230300001</v>
      </c>
      <c r="E161" s="37">
        <f t="shared" si="13"/>
        <v>95386.572658999998</v>
      </c>
      <c r="F161" s="37">
        <f t="shared" si="13"/>
        <v>1905.3394960000001</v>
      </c>
      <c r="G161" s="37">
        <f t="shared" si="14"/>
        <v>9759.7655460000005</v>
      </c>
      <c r="H161" s="37">
        <f t="shared" si="14"/>
        <v>1986.258656</v>
      </c>
      <c r="I161" s="37">
        <f t="shared" si="14"/>
        <v>426.09415799999999</v>
      </c>
      <c r="J161" s="37">
        <f t="shared" si="14"/>
        <v>83.819889000000003</v>
      </c>
    </row>
    <row r="162" spans="1:14" ht="15" customHeight="1">
      <c r="B162" s="30" t="s">
        <v>203</v>
      </c>
      <c r="C162" s="37">
        <f t="shared" si="12"/>
        <v>6827.9251163979143</v>
      </c>
      <c r="D162" s="37">
        <f t="shared" si="12"/>
        <v>6821.3097589999998</v>
      </c>
      <c r="E162" s="37">
        <f t="shared" si="13"/>
        <v>115.685643</v>
      </c>
      <c r="F162" s="37">
        <f t="shared" si="13"/>
        <v>1.129899</v>
      </c>
      <c r="G162" s="37">
        <f t="shared" si="14"/>
        <v>33.098190000000002</v>
      </c>
      <c r="H162" s="37">
        <f t="shared" si="14"/>
        <v>2.711287</v>
      </c>
      <c r="I162" s="37">
        <f t="shared" si="14"/>
        <v>3.6686960000000002</v>
      </c>
      <c r="J162" s="37">
        <f t="shared" si="14"/>
        <v>3.4072290000000001</v>
      </c>
    </row>
    <row r="164" spans="1:14" ht="15" customHeight="1">
      <c r="A164" s="30" t="s">
        <v>98</v>
      </c>
      <c r="B164" s="29" t="s">
        <v>204</v>
      </c>
      <c r="C164" s="119"/>
      <c r="D164" s="119"/>
      <c r="E164" s="119"/>
      <c r="F164" s="119"/>
      <c r="G164" s="119"/>
      <c r="H164" s="119"/>
      <c r="I164" s="119"/>
      <c r="J164" s="119"/>
    </row>
    <row r="166" spans="1:14" s="70" customFormat="1" ht="15" customHeight="1">
      <c r="B166" s="164" t="s">
        <v>205</v>
      </c>
      <c r="C166" s="36"/>
      <c r="D166" s="36"/>
      <c r="E166" s="36"/>
      <c r="F166" s="36"/>
      <c r="G166" s="36"/>
      <c r="H166" s="36"/>
      <c r="I166" s="36"/>
      <c r="J166" s="36"/>
      <c r="L166" s="30"/>
      <c r="M166" s="30"/>
      <c r="N166" s="30"/>
    </row>
    <row r="167" spans="1:14" ht="15" customHeight="1">
      <c r="B167" s="45" t="s">
        <v>206</v>
      </c>
      <c r="C167" s="93"/>
      <c r="D167" s="126">
        <f>D14</f>
        <v>170000</v>
      </c>
      <c r="E167" s="128">
        <f>E14</f>
        <v>1732</v>
      </c>
      <c r="F167" s="92">
        <f>F14</f>
        <v>16.48</v>
      </c>
      <c r="G167" s="67">
        <f>G14</f>
        <v>396.1</v>
      </c>
      <c r="H167" s="68">
        <f>H14</f>
        <v>35.81</v>
      </c>
      <c r="I167" s="69">
        <f>I14</f>
        <v>22.96</v>
      </c>
      <c r="J167" s="69">
        <f>J14</f>
        <v>47.53</v>
      </c>
    </row>
    <row r="168" spans="1:14" ht="15" customHeight="1">
      <c r="B168" s="45" t="s">
        <v>829</v>
      </c>
      <c r="C168" s="122">
        <f>C53</f>
        <v>20.611000000000001</v>
      </c>
      <c r="D168" s="122">
        <f>D53</f>
        <v>9.5578520000000005</v>
      </c>
      <c r="E168" s="122">
        <f>E53</f>
        <v>465.42947694688223</v>
      </c>
      <c r="F168" s="122">
        <f>F53</f>
        <v>1315.346448</v>
      </c>
      <c r="G168" s="122">
        <f>G53</f>
        <v>152.64093342264582</v>
      </c>
      <c r="H168" s="122">
        <f>H53</f>
        <v>488.41627304970677</v>
      </c>
      <c r="I168" s="122">
        <f>I53</f>
        <v>184.4</v>
      </c>
      <c r="J168" s="122">
        <f>J53</f>
        <v>14.845054054281505</v>
      </c>
    </row>
    <row r="169" spans="1:14" ht="15" customHeight="1">
      <c r="B169" s="45"/>
      <c r="C169" s="40"/>
      <c r="D169" s="122"/>
      <c r="E169" s="122"/>
      <c r="F169" s="122"/>
      <c r="G169" s="122"/>
      <c r="H169" s="122"/>
      <c r="I169" s="122"/>
      <c r="J169" s="122"/>
    </row>
    <row r="170" spans="1:14" ht="15" customHeight="1">
      <c r="B170" s="46" t="s">
        <v>208</v>
      </c>
      <c r="C170" s="40"/>
      <c r="D170" s="37">
        <f>+D167*D168</f>
        <v>1624834.84</v>
      </c>
      <c r="E170" s="37">
        <f>+E167*E168</f>
        <v>806123.85407200002</v>
      </c>
      <c r="F170" s="37">
        <f>+F167*F168</f>
        <v>21676.90946304</v>
      </c>
      <c r="G170" s="37">
        <f>+G167*G168</f>
        <v>60461.073728710013</v>
      </c>
      <c r="H170" s="37">
        <f>+H167*H168</f>
        <v>17490.18673791</v>
      </c>
      <c r="I170" s="37">
        <f>+I167*I168</f>
        <v>4233.8240000000005</v>
      </c>
      <c r="J170" s="37">
        <f>+J167*J168</f>
        <v>705.58541919999993</v>
      </c>
    </row>
    <row r="171" spans="1:14" ht="15" customHeight="1">
      <c r="C171" s="37"/>
      <c r="D171" s="37"/>
      <c r="E171" s="37"/>
      <c r="F171" s="37"/>
      <c r="G171" s="37"/>
      <c r="H171" s="37"/>
      <c r="I171" s="37"/>
      <c r="J171" s="37"/>
    </row>
    <row r="172" spans="1:14" ht="15" customHeight="1">
      <c r="B172" s="45" t="s">
        <v>184</v>
      </c>
      <c r="C172" s="40"/>
      <c r="D172" s="37">
        <f>D123</f>
        <v>993555.62586500007</v>
      </c>
      <c r="E172" s="37">
        <f>E123</f>
        <v>378024</v>
      </c>
      <c r="F172" s="37">
        <f>F123</f>
        <v>-3788.0801870000005</v>
      </c>
      <c r="G172" s="37">
        <f>G123</f>
        <v>41323</v>
      </c>
      <c r="H172" s="37">
        <f>H123</f>
        <v>8478</v>
      </c>
      <c r="I172" s="37">
        <f>I123</f>
        <v>992</v>
      </c>
      <c r="J172" s="37">
        <f>J123</f>
        <v>-55.481000000000002</v>
      </c>
    </row>
    <row r="173" spans="1:14" ht="15" customHeight="1">
      <c r="B173" s="46" t="s">
        <v>209</v>
      </c>
      <c r="C173" s="40"/>
      <c r="D173" s="37">
        <f>D172+D170</f>
        <v>2618390.4658650002</v>
      </c>
      <c r="E173" s="37">
        <f>E172+E170</f>
        <v>1184147.8540719999</v>
      </c>
      <c r="F173" s="37">
        <f>F172+F170</f>
        <v>17888.82927604</v>
      </c>
      <c r="G173" s="37">
        <f>G172+G170</f>
        <v>101784.07372871001</v>
      </c>
      <c r="H173" s="37">
        <f>H172+H170</f>
        <v>25968.18673791</v>
      </c>
      <c r="I173" s="37">
        <f>I172+I170</f>
        <v>5225.8240000000005</v>
      </c>
      <c r="J173" s="37">
        <f>J172+J170</f>
        <v>650.10441919999994</v>
      </c>
    </row>
    <row r="175" spans="1:14" ht="15" customHeight="1">
      <c r="B175" s="164" t="s">
        <v>210</v>
      </c>
      <c r="C175" s="36"/>
      <c r="D175" s="36"/>
      <c r="E175" s="36"/>
      <c r="F175" s="36"/>
      <c r="G175" s="36"/>
      <c r="H175" s="36"/>
      <c r="I175" s="36"/>
      <c r="J175" s="36"/>
    </row>
    <row r="176" spans="1:14" ht="15" customHeight="1">
      <c r="B176" s="47" t="s">
        <v>154</v>
      </c>
    </row>
    <row r="177" spans="2:10" ht="15" customHeight="1">
      <c r="B177" s="30" t="s">
        <v>243</v>
      </c>
      <c r="C177" s="52"/>
      <c r="D177" s="145">
        <f>IFERROR(D$173/D109,"NM")</f>
        <v>2.4948077908690007</v>
      </c>
      <c r="E177" s="145">
        <f t="shared" ref="E177:F179" si="15">IFERROR(E$173/E109,"NM")</f>
        <v>1.1582969820271187</v>
      </c>
      <c r="F177" s="145">
        <f t="shared" si="15"/>
        <v>0.99238445632229988</v>
      </c>
      <c r="G177" s="145">
        <f t="shared" ref="G177:J179" si="16">IFERROR(G$173/G109,"NM")</f>
        <v>1.714056005670237</v>
      </c>
      <c r="H177" s="145">
        <f t="shared" si="16"/>
        <v>1.7664231506639005</v>
      </c>
      <c r="I177" s="145">
        <f t="shared" si="16"/>
        <v>1.7233293760717585</v>
      </c>
      <c r="J177" s="145">
        <f t="shared" si="16"/>
        <v>1.5663166371523636</v>
      </c>
    </row>
    <row r="178" spans="2:10" ht="15" customHeight="1">
      <c r="B178" s="30" t="s">
        <v>245</v>
      </c>
      <c r="C178" s="52"/>
      <c r="D178" s="145">
        <f>IFERROR(D$173/D110,"NM")</f>
        <v>10.085686118827006</v>
      </c>
      <c r="E178" s="145">
        <f t="shared" si="15"/>
        <v>8.3893463933290349</v>
      </c>
      <c r="F178" s="145">
        <f t="shared" si="15"/>
        <v>8.6610146963532397</v>
      </c>
      <c r="G178" s="145">
        <f t="shared" si="16"/>
        <v>7.6489121311121968</v>
      </c>
      <c r="H178" s="145">
        <f t="shared" si="16"/>
        <v>9.718632761193863</v>
      </c>
      <c r="I178" s="145">
        <f t="shared" si="16"/>
        <v>8.2739455351488296</v>
      </c>
      <c r="J178" s="145">
        <f t="shared" si="16"/>
        <v>8.9993551848724369</v>
      </c>
    </row>
    <row r="179" spans="2:10" ht="15" customHeight="1">
      <c r="B179" s="30" t="s">
        <v>247</v>
      </c>
      <c r="C179" s="52"/>
      <c r="D179" s="145">
        <f>IFERROR(D$173/D111,"NM")</f>
        <v>13.992377069505583</v>
      </c>
      <c r="E179" s="145">
        <f t="shared" si="15"/>
        <v>14.305276273264312</v>
      </c>
      <c r="F179" s="145">
        <f t="shared" si="15"/>
        <v>11.763696717283294</v>
      </c>
      <c r="G179" s="145">
        <f t="shared" si="16"/>
        <v>10.671427314815476</v>
      </c>
      <c r="H179" s="145">
        <f t="shared" si="16"/>
        <v>14.613498445644344</v>
      </c>
      <c r="I179" s="145">
        <f t="shared" si="16"/>
        <v>12.336694995278565</v>
      </c>
      <c r="J179" s="145">
        <f t="shared" si="16"/>
        <v>11.751706782357195</v>
      </c>
    </row>
    <row r="180" spans="2:10" ht="15" customHeight="1">
      <c r="B180" s="30" t="s">
        <v>249</v>
      </c>
      <c r="C180" s="52"/>
      <c r="D180" s="145">
        <f>IFERROR(D14/D112, "NM")</f>
        <v>15.56496430556585</v>
      </c>
      <c r="E180" s="145">
        <f>IFERROR(E14/E112, "NM")</f>
        <v>16.799790050560517</v>
      </c>
      <c r="F180" s="145">
        <f>IFERROR(F14/F112, "NM")</f>
        <v>17.345550093695589</v>
      </c>
      <c r="G180" s="145">
        <f>IFERROR(G14/G112, "NM")</f>
        <v>11.927025443351583</v>
      </c>
      <c r="H180" s="145">
        <f>IFERROR(H14/H112, "NM")</f>
        <v>18.856835921306704</v>
      </c>
      <c r="I180" s="145">
        <f>IFERROR(I14/I112, "NM")</f>
        <v>23.012314328451676</v>
      </c>
      <c r="J180" s="145">
        <f>IFERROR(J14/J112, "NM")</f>
        <v>20.935602796408688</v>
      </c>
    </row>
    <row r="181" spans="2:10" ht="15" customHeight="1">
      <c r="C181" s="52"/>
      <c r="D181" s="145"/>
      <c r="E181" s="145"/>
      <c r="F181" s="145"/>
      <c r="G181" s="145"/>
      <c r="H181" s="145"/>
      <c r="I181" s="145"/>
      <c r="J181" s="145"/>
    </row>
    <row r="182" spans="2:10" ht="15" customHeight="1">
      <c r="B182" s="47" t="s">
        <v>216</v>
      </c>
      <c r="C182" s="52"/>
      <c r="D182" s="145"/>
      <c r="E182" s="145"/>
      <c r="F182" s="145"/>
      <c r="G182" s="145"/>
      <c r="H182" s="145"/>
      <c r="I182" s="145"/>
      <c r="J182" s="145"/>
    </row>
    <row r="183" spans="2:10" ht="15" customHeight="1">
      <c r="B183" s="30" t="s">
        <v>217</v>
      </c>
      <c r="C183" s="52"/>
      <c r="D183" s="145">
        <f>IFERROR(D$173/D159, "NM")</f>
        <v>2.456033795866027</v>
      </c>
      <c r="E183" s="145">
        <f t="shared" ref="E183:F185" si="17">IFERROR(E$173/E159, "NM")</f>
        <v>1.092154038309604</v>
      </c>
      <c r="F183" s="145">
        <f t="shared" si="17"/>
        <v>0.87156702893810367</v>
      </c>
      <c r="G183" s="145">
        <f t="shared" ref="G183:J185" si="18">IFERROR(G$173/G159, "NM")</f>
        <v>1.6928960521261638</v>
      </c>
      <c r="H183" s="145">
        <f t="shared" si="18"/>
        <v>1.5904554689420241</v>
      </c>
      <c r="I183" s="145">
        <f t="shared" si="18"/>
        <v>1.5497759054587683</v>
      </c>
      <c r="J183" s="145">
        <f t="shared" si="18"/>
        <v>1.4569956051206308</v>
      </c>
    </row>
    <row r="184" spans="2:10" ht="15" customHeight="1">
      <c r="B184" s="30" t="s">
        <v>218</v>
      </c>
      <c r="C184" s="52"/>
      <c r="D184" s="145">
        <f>IFERROR(D$173/D160, "NM")</f>
        <v>11.275388545314426</v>
      </c>
      <c r="E184" s="145">
        <f t="shared" si="17"/>
        <v>7.292628328870272</v>
      </c>
      <c r="F184" s="145">
        <f t="shared" si="17"/>
        <v>7.1950477009669385</v>
      </c>
      <c r="G184" s="145">
        <f t="shared" si="18"/>
        <v>7.5289213416111691</v>
      </c>
      <c r="H184" s="145">
        <f t="shared" si="18"/>
        <v>8.1494304887057627</v>
      </c>
      <c r="I184" s="145">
        <f t="shared" si="18"/>
        <v>8.1776347367853468</v>
      </c>
      <c r="J184" s="145">
        <f t="shared" si="18"/>
        <v>6.331760522114533</v>
      </c>
    </row>
    <row r="185" spans="2:10" ht="15" customHeight="1">
      <c r="B185" s="30" t="s">
        <v>219</v>
      </c>
      <c r="C185" s="52"/>
      <c r="D185" s="145">
        <f>IFERROR(D$173/D161, "NM")</f>
        <v>17.235949159100024</v>
      </c>
      <c r="E185" s="145">
        <f t="shared" si="17"/>
        <v>12.414198571797328</v>
      </c>
      <c r="F185" s="145">
        <f t="shared" si="17"/>
        <v>9.388788356928071</v>
      </c>
      <c r="G185" s="145">
        <f t="shared" si="18"/>
        <v>10.428946602147199</v>
      </c>
      <c r="H185" s="145">
        <f t="shared" si="18"/>
        <v>13.07391998492567</v>
      </c>
      <c r="I185" s="145">
        <f t="shared" si="18"/>
        <v>12.26448169233055</v>
      </c>
      <c r="J185" s="145">
        <f t="shared" si="18"/>
        <v>7.7559685052792178</v>
      </c>
    </row>
    <row r="186" spans="2:10" ht="15" customHeight="1">
      <c r="B186" s="30" t="s">
        <v>220</v>
      </c>
      <c r="C186" s="52"/>
      <c r="D186" s="145">
        <f>IFERROR(D14/D162,"NM")</f>
        <v>24.921900046498095</v>
      </c>
      <c r="E186" s="145">
        <f>IFERROR(E14/E162,"NM")</f>
        <v>14.971607150940935</v>
      </c>
      <c r="F186" s="145">
        <f>IFERROR(F14/F162,"NM")</f>
        <v>14.585374444972516</v>
      </c>
      <c r="G186" s="145">
        <f>IFERROR(G14/G162,"NM")</f>
        <v>11.967421783487254</v>
      </c>
      <c r="H186" s="145">
        <f>IFERROR(H14/H162,"NM")</f>
        <v>13.207749677551657</v>
      </c>
      <c r="I186" s="145">
        <f>IFERROR(I14/I162,"NM")</f>
        <v>6.2583544670913041</v>
      </c>
      <c r="J186" s="145">
        <f>IFERROR(J14/J162,"NM")</f>
        <v>13.94975212995663</v>
      </c>
    </row>
    <row r="187" spans="2:10" ht="15" customHeight="1">
      <c r="D187" s="145"/>
      <c r="E187" s="145"/>
      <c r="F187" s="145"/>
      <c r="G187" s="145"/>
      <c r="H187" s="145"/>
      <c r="I187" s="145"/>
      <c r="J187" s="145"/>
    </row>
    <row r="188" spans="2:10" ht="15" customHeight="1">
      <c r="B188" s="30" t="s">
        <v>228</v>
      </c>
      <c r="C188" s="52"/>
      <c r="D188" s="145">
        <f>IFERROR(D186/(D146*100), "NM")</f>
        <v>9.9687600185992373</v>
      </c>
      <c r="E188" s="145">
        <f>IFERROR(E186/(E146*100), "NM")</f>
        <v>4.2776020431259809</v>
      </c>
      <c r="F188" s="145">
        <f>IFERROR(F186/(F146*100), "NM")</f>
        <v>4.167249841420718</v>
      </c>
      <c r="G188" s="145">
        <f>IFERROR(G186/(G146*100), "NM")</f>
        <v>3.9891405944957512</v>
      </c>
      <c r="H188" s="145">
        <f>IFERROR(H186/(H146*100), "NM")</f>
        <v>3.7736427650147588</v>
      </c>
      <c r="I188" s="145">
        <f>IFERROR(I186/(I146*100), "NM")</f>
        <v>4.1722363113942027</v>
      </c>
      <c r="J188" s="145">
        <f>IFERROR(J186/(J146*100), "NM")</f>
        <v>3.985643465701894</v>
      </c>
    </row>
    <row r="195" spans="7:7" ht="15" customHeight="1">
      <c r="G195" s="297"/>
    </row>
  </sheetData>
  <mergeCells count="3">
    <mergeCell ref="C6:D6"/>
    <mergeCell ref="E6:F6"/>
    <mergeCell ref="G6:J6"/>
  </mergeCells>
  <phoneticPr fontId="22" type="noConversion"/>
  <dataValidations disablePrompts="1" count="1">
    <dataValidation type="list" allowBlank="1" showInputMessage="1" showErrorMessage="1" sqref="G13:J13 C13:F13" xr:uid="{00000000-0002-0000-0200-000000000000}">
      <formula1>"Select:,Q1,Q2,Q3,Q4"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B1"/>
  <sheetViews>
    <sheetView workbookViewId="0"/>
  </sheetViews>
  <sheetFormatPr defaultRowHeight="10.199999999999999"/>
  <sheetData>
    <row r="1" spans="1:2">
      <c r="A1">
        <v>2</v>
      </c>
      <c r="B1" t="s">
        <v>830</v>
      </c>
    </row>
  </sheetData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CB89-E009-453A-B49A-9271EB4A8DDA}">
  <sheetPr>
    <tabColor rgb="FF008000"/>
  </sheetPr>
  <dimension ref="C3:K36"/>
  <sheetViews>
    <sheetView showGridLines="0" topLeftCell="B24" zoomScale="130" zoomScaleNormal="130" workbookViewId="0">
      <selection activeCell="E28" sqref="E28"/>
    </sheetView>
  </sheetViews>
  <sheetFormatPr defaultRowHeight="14.4"/>
  <cols>
    <col min="1" max="2" width="8.88671875" style="282"/>
    <col min="3" max="3" width="24" style="282" bestFit="1" customWidth="1"/>
    <col min="4" max="11" width="18.77734375" style="282" customWidth="1"/>
    <col min="12" max="16384" width="8.88671875" style="282"/>
  </cols>
  <sheetData>
    <row r="3" spans="3:5">
      <c r="C3" s="283" t="s">
        <v>850</v>
      </c>
    </row>
    <row r="4" spans="3:5">
      <c r="D4" s="282" t="s">
        <v>226</v>
      </c>
    </row>
    <row r="5" spans="3:5">
      <c r="C5" s="282" t="s">
        <v>864</v>
      </c>
      <c r="D5" s="309" t="str">
        <f>VLOOKUP(D$4,$C$10:$E$17,2,FALSE)</f>
        <v>1등</v>
      </c>
    </row>
    <row r="6" spans="3:5">
      <c r="C6" s="282" t="s">
        <v>852</v>
      </c>
      <c r="D6" s="309" t="str">
        <f>VLOOKUP(D$4,$C$10:$E$17,3,FALSE)</f>
        <v>2등</v>
      </c>
    </row>
    <row r="9" spans="3:5" ht="17.399999999999999">
      <c r="D9" s="284" t="s">
        <v>853</v>
      </c>
      <c r="E9" s="284" t="s">
        <v>854</v>
      </c>
    </row>
    <row r="10" spans="3:5">
      <c r="C10" s="282" t="s">
        <v>226</v>
      </c>
      <c r="D10" s="284" t="s">
        <v>855</v>
      </c>
      <c r="E10" s="284" t="s">
        <v>856</v>
      </c>
    </row>
    <row r="11" spans="3:5">
      <c r="C11" s="282" t="s">
        <v>851</v>
      </c>
      <c r="D11" s="284" t="s">
        <v>857</v>
      </c>
      <c r="E11" s="284" t="s">
        <v>858</v>
      </c>
    </row>
    <row r="12" spans="3:5">
      <c r="C12" s="282" t="s">
        <v>115</v>
      </c>
      <c r="D12" s="284" t="s">
        <v>858</v>
      </c>
      <c r="E12" s="284" t="s">
        <v>857</v>
      </c>
    </row>
    <row r="13" spans="3:5">
      <c r="C13" s="282" t="s">
        <v>116</v>
      </c>
      <c r="D13" s="284" t="s">
        <v>856</v>
      </c>
      <c r="E13" s="284" t="s">
        <v>859</v>
      </c>
    </row>
    <row r="14" spans="3:5">
      <c r="C14" s="282" t="s">
        <v>117</v>
      </c>
      <c r="D14" s="284" t="s">
        <v>860</v>
      </c>
      <c r="E14" s="284" t="s">
        <v>855</v>
      </c>
    </row>
    <row r="15" spans="3:5">
      <c r="C15" s="282" t="s">
        <v>118</v>
      </c>
      <c r="D15" s="284" t="s">
        <v>858</v>
      </c>
      <c r="E15" s="284" t="s">
        <v>858</v>
      </c>
    </row>
    <row r="16" spans="3:5">
      <c r="C16" s="282" t="s">
        <v>119</v>
      </c>
      <c r="D16" s="284" t="s">
        <v>859</v>
      </c>
      <c r="E16" s="284" t="s">
        <v>860</v>
      </c>
    </row>
    <row r="17" spans="3:11">
      <c r="C17" s="282" t="s">
        <v>120</v>
      </c>
      <c r="D17" s="284" t="s">
        <v>861</v>
      </c>
      <c r="E17" s="284" t="s">
        <v>861</v>
      </c>
    </row>
    <row r="25" spans="3:11">
      <c r="C25" s="283" t="s">
        <v>865</v>
      </c>
    </row>
    <row r="26" spans="3:11">
      <c r="D26" s="282" t="s">
        <v>864</v>
      </c>
      <c r="E26" s="282" t="s">
        <v>852</v>
      </c>
    </row>
    <row r="27" spans="3:11">
      <c r="C27" s="282" t="s">
        <v>226</v>
      </c>
      <c r="D27" s="309" t="str">
        <f>HLOOKUP($C$27,$C$31:$K$33,2,FALSE)</f>
        <v>1등</v>
      </c>
      <c r="E27" s="309" t="str">
        <f>HLOOKUP($C$27,$C$31:$K$33,3,FALSE)</f>
        <v>2등</v>
      </c>
    </row>
    <row r="28" spans="3:11">
      <c r="C28" s="282" t="s">
        <v>226</v>
      </c>
      <c r="D28" s="309" t="str" cm="1">
        <f t="array" ref="D28">VLOOKUP($C$27,TRANSPOSE($C$31:$K$33),2,FALSE)</f>
        <v>1등</v>
      </c>
      <c r="E28" s="309" t="str" cm="1">
        <f t="array" ref="E28">VLOOKUP($C$27,TRANSPOSE($C$31:$K$33),3,FALSE)</f>
        <v>2등</v>
      </c>
    </row>
    <row r="31" spans="3:11" ht="28.8">
      <c r="C31" s="280"/>
      <c r="D31" s="280" t="s">
        <v>226</v>
      </c>
      <c r="E31" s="280" t="s">
        <v>783</v>
      </c>
      <c r="F31" s="280" t="s">
        <v>784</v>
      </c>
      <c r="G31" s="280" t="s">
        <v>788</v>
      </c>
      <c r="H31" s="281" t="s">
        <v>117</v>
      </c>
      <c r="I31" s="281" t="s">
        <v>118</v>
      </c>
      <c r="J31" s="280" t="s">
        <v>119</v>
      </c>
      <c r="K31" s="280" t="s">
        <v>120</v>
      </c>
    </row>
    <row r="32" spans="3:11" ht="15">
      <c r="C32" s="284" t="s">
        <v>862</v>
      </c>
      <c r="D32" s="284" t="s">
        <v>855</v>
      </c>
      <c r="E32" s="284" t="s">
        <v>857</v>
      </c>
      <c r="F32" s="284" t="s">
        <v>858</v>
      </c>
      <c r="G32" s="284" t="s">
        <v>856</v>
      </c>
      <c r="H32" s="284" t="s">
        <v>860</v>
      </c>
      <c r="I32" s="284" t="s">
        <v>858</v>
      </c>
      <c r="J32" s="284" t="s">
        <v>859</v>
      </c>
      <c r="K32" s="284" t="s">
        <v>861</v>
      </c>
    </row>
    <row r="33" spans="3:11" ht="15">
      <c r="C33" s="284" t="s">
        <v>863</v>
      </c>
      <c r="D33" s="284" t="s">
        <v>856</v>
      </c>
      <c r="E33" s="284" t="s">
        <v>858</v>
      </c>
      <c r="F33" s="284" t="s">
        <v>857</v>
      </c>
      <c r="G33" s="284" t="s">
        <v>859</v>
      </c>
      <c r="H33" s="284" t="s">
        <v>855</v>
      </c>
      <c r="I33" s="284" t="s">
        <v>858</v>
      </c>
      <c r="J33" s="284" t="s">
        <v>860</v>
      </c>
      <c r="K33" s="284" t="s">
        <v>861</v>
      </c>
    </row>
    <row r="36" spans="3:11">
      <c r="D36" s="285"/>
      <c r="E36" s="285"/>
      <c r="F36" s="285"/>
      <c r="G36" s="285"/>
      <c r="H36" s="285"/>
      <c r="I36" s="285"/>
      <c r="J36" s="285"/>
      <c r="K36" s="285"/>
    </row>
  </sheetData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164F-BFA9-49E0-BB17-7C6B42249D4C}">
  <sheetPr>
    <tabColor rgb="FFFF0000"/>
  </sheetPr>
  <dimension ref="C3:K36"/>
  <sheetViews>
    <sheetView showGridLines="0" zoomScale="87" zoomScaleNormal="130" workbookViewId="0">
      <selection activeCell="K36" sqref="K36"/>
    </sheetView>
  </sheetViews>
  <sheetFormatPr defaultRowHeight="14.4"/>
  <cols>
    <col min="1" max="2" width="8.88671875" style="282"/>
    <col min="3" max="3" width="24" style="282" bestFit="1" customWidth="1"/>
    <col min="4" max="11" width="18.77734375" style="282" customWidth="1"/>
    <col min="12" max="16384" width="8.88671875" style="282"/>
  </cols>
  <sheetData>
    <row r="3" spans="3:5">
      <c r="C3" s="283" t="s">
        <v>850</v>
      </c>
    </row>
    <row r="4" spans="3:5">
      <c r="D4" s="282" t="s">
        <v>226</v>
      </c>
    </row>
    <row r="5" spans="3:5">
      <c r="C5" s="282" t="s">
        <v>864</v>
      </c>
      <c r="D5" s="282" t="str">
        <f>VLOOKUP(D$4,$C$10:$E$17,2,FALSE)</f>
        <v>1등</v>
      </c>
    </row>
    <row r="6" spans="3:5">
      <c r="C6" s="282" t="s">
        <v>852</v>
      </c>
      <c r="D6" s="282" t="str">
        <f>VLOOKUP(D$4,$C$10:$E$17,3,FALSE)</f>
        <v>2등</v>
      </c>
    </row>
    <row r="9" spans="3:5" ht="17.399999999999999">
      <c r="D9" s="284" t="s">
        <v>853</v>
      </c>
      <c r="E9" s="284" t="s">
        <v>854</v>
      </c>
    </row>
    <row r="10" spans="3:5">
      <c r="C10" s="282" t="s">
        <v>226</v>
      </c>
      <c r="D10" s="284" t="s">
        <v>855</v>
      </c>
      <c r="E10" s="284" t="s">
        <v>856</v>
      </c>
    </row>
    <row r="11" spans="3:5">
      <c r="C11" s="282" t="s">
        <v>851</v>
      </c>
      <c r="D11" s="284" t="s">
        <v>857</v>
      </c>
      <c r="E11" s="284" t="s">
        <v>858</v>
      </c>
    </row>
    <row r="12" spans="3:5">
      <c r="C12" s="282" t="s">
        <v>115</v>
      </c>
      <c r="D12" s="284" t="s">
        <v>858</v>
      </c>
      <c r="E12" s="284" t="s">
        <v>857</v>
      </c>
    </row>
    <row r="13" spans="3:5">
      <c r="C13" s="282" t="s">
        <v>116</v>
      </c>
      <c r="D13" s="284" t="s">
        <v>856</v>
      </c>
      <c r="E13" s="284" t="s">
        <v>859</v>
      </c>
    </row>
    <row r="14" spans="3:5">
      <c r="C14" s="282" t="s">
        <v>117</v>
      </c>
      <c r="D14" s="284" t="s">
        <v>860</v>
      </c>
      <c r="E14" s="284" t="s">
        <v>855</v>
      </c>
    </row>
    <row r="15" spans="3:5">
      <c r="C15" s="282" t="s">
        <v>118</v>
      </c>
      <c r="D15" s="284" t="s">
        <v>858</v>
      </c>
      <c r="E15" s="284" t="s">
        <v>858</v>
      </c>
    </row>
    <row r="16" spans="3:5">
      <c r="C16" s="282" t="s">
        <v>119</v>
      </c>
      <c r="D16" s="284" t="s">
        <v>859</v>
      </c>
      <c r="E16" s="284" t="s">
        <v>860</v>
      </c>
    </row>
    <row r="17" spans="3:11">
      <c r="C17" s="282" t="s">
        <v>120</v>
      </c>
      <c r="D17" s="284" t="s">
        <v>861</v>
      </c>
      <c r="E17" s="284" t="s">
        <v>861</v>
      </c>
    </row>
    <row r="25" spans="3:11">
      <c r="C25" s="283" t="s">
        <v>865</v>
      </c>
    </row>
    <row r="26" spans="3:11">
      <c r="D26" s="282" t="s">
        <v>864</v>
      </c>
      <c r="E26" s="282" t="s">
        <v>852</v>
      </c>
    </row>
    <row r="27" spans="3:11">
      <c r="C27" s="282" t="s">
        <v>226</v>
      </c>
      <c r="D27" s="282" t="str">
        <f>HLOOKUP($C27,$C$31:$K$33,2,FALSE)</f>
        <v>1등</v>
      </c>
      <c r="E27" s="282" t="str">
        <f>HLOOKUP($C27,$C$31:$K$33,3,FALSE)</f>
        <v>2등</v>
      </c>
    </row>
    <row r="31" spans="3:11" ht="28.8">
      <c r="C31" s="280"/>
      <c r="D31" s="280" t="s">
        <v>226</v>
      </c>
      <c r="E31" s="280" t="s">
        <v>783</v>
      </c>
      <c r="F31" s="280" t="s">
        <v>784</v>
      </c>
      <c r="G31" s="280" t="s">
        <v>788</v>
      </c>
      <c r="H31" s="281" t="s">
        <v>117</v>
      </c>
      <c r="I31" s="281" t="s">
        <v>118</v>
      </c>
      <c r="J31" s="280" t="s">
        <v>119</v>
      </c>
      <c r="K31" s="280" t="s">
        <v>120</v>
      </c>
    </row>
    <row r="32" spans="3:11" ht="15">
      <c r="C32" s="284" t="s">
        <v>862</v>
      </c>
      <c r="D32" s="284" t="s">
        <v>855</v>
      </c>
      <c r="E32" s="284" t="s">
        <v>857</v>
      </c>
      <c r="F32" s="284" t="s">
        <v>858</v>
      </c>
      <c r="G32" s="284" t="s">
        <v>856</v>
      </c>
      <c r="H32" s="284" t="s">
        <v>860</v>
      </c>
      <c r="I32" s="284" t="s">
        <v>858</v>
      </c>
      <c r="J32" s="284" t="s">
        <v>859</v>
      </c>
      <c r="K32" s="284" t="s">
        <v>861</v>
      </c>
    </row>
    <row r="33" spans="3:11" ht="15">
      <c r="C33" s="284" t="s">
        <v>863</v>
      </c>
      <c r="D33" s="284" t="s">
        <v>856</v>
      </c>
      <c r="E33" s="284" t="s">
        <v>858</v>
      </c>
      <c r="F33" s="284" t="s">
        <v>857</v>
      </c>
      <c r="G33" s="284" t="s">
        <v>859</v>
      </c>
      <c r="H33" s="284" t="s">
        <v>855</v>
      </c>
      <c r="I33" s="284" t="s">
        <v>858</v>
      </c>
      <c r="J33" s="284" t="s">
        <v>860</v>
      </c>
      <c r="K33" s="284" t="s">
        <v>861</v>
      </c>
    </row>
    <row r="36" spans="3:11">
      <c r="D36" s="285"/>
      <c r="E36" s="285"/>
      <c r="F36" s="285"/>
      <c r="G36" s="285"/>
      <c r="H36" s="285"/>
      <c r="I36" s="285"/>
      <c r="J36" s="285"/>
      <c r="K36" s="285"/>
    </row>
  </sheetData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8000"/>
  </sheetPr>
  <dimension ref="A1:AD216"/>
  <sheetViews>
    <sheetView showGridLines="0" zoomScale="91" zoomScaleNormal="85" workbookViewId="0"/>
  </sheetViews>
  <sheetFormatPr defaultColWidth="15.5546875" defaultRowHeight="13.8" outlineLevelRow="2"/>
  <cols>
    <col min="1" max="1" width="5.109375" style="30" customWidth="1"/>
    <col min="2" max="2" width="30.5546875" style="30" customWidth="1"/>
    <col min="3" max="3" width="15.5546875" style="30"/>
    <col min="4" max="6" width="22.33203125" style="30" bestFit="1" customWidth="1"/>
    <col min="7" max="8" width="21" style="30" bestFit="1" customWidth="1"/>
    <col min="9" max="9" width="19.6640625" style="30" bestFit="1" customWidth="1"/>
    <col min="10" max="10" width="22.33203125" style="30" bestFit="1" customWidth="1"/>
    <col min="11" max="12" width="21" style="30" bestFit="1" customWidth="1"/>
    <col min="13" max="13" width="18.44140625" style="30" bestFit="1" customWidth="1"/>
    <col min="14" max="14" width="15.6640625" style="30" bestFit="1" customWidth="1"/>
    <col min="15" max="15" width="21" style="48" bestFit="1" customWidth="1"/>
    <col min="16" max="16" width="18.44140625" style="48" bestFit="1" customWidth="1"/>
    <col min="17" max="16384" width="15.5546875" style="48"/>
  </cols>
  <sheetData>
    <row r="1" spans="1:19" s="28" customFormat="1" ht="19.2">
      <c r="A1" s="22" t="s">
        <v>104</v>
      </c>
    </row>
    <row r="2" spans="1:19" s="28" customFormat="1" ht="15" customHeight="1">
      <c r="A2" s="23" t="s">
        <v>538</v>
      </c>
    </row>
    <row r="3" spans="1:19" s="30" customFormat="1"/>
    <row r="4" spans="1:19" s="30" customFormat="1">
      <c r="B4" s="159" t="s">
        <v>227</v>
      </c>
      <c r="C4" s="159" t="s">
        <v>110</v>
      </c>
      <c r="D4" s="160" t="s">
        <v>834</v>
      </c>
      <c r="E4" s="160" t="s">
        <v>209</v>
      </c>
      <c r="F4" s="160" t="s">
        <v>835</v>
      </c>
      <c r="G4" s="160" t="s">
        <v>244</v>
      </c>
      <c r="H4" s="160" t="s">
        <v>246</v>
      </c>
      <c r="I4" s="161" t="s">
        <v>248</v>
      </c>
      <c r="J4" s="160" t="s">
        <v>200</v>
      </c>
      <c r="K4" s="160" t="s">
        <v>201</v>
      </c>
      <c r="L4" s="160" t="s">
        <v>202</v>
      </c>
      <c r="M4" s="160" t="s">
        <v>203</v>
      </c>
      <c r="N4" s="160" t="s">
        <v>191</v>
      </c>
      <c r="O4" s="160" t="s">
        <v>184</v>
      </c>
      <c r="P4" s="160" t="s">
        <v>829</v>
      </c>
    </row>
    <row r="5" spans="1:19" s="30" customFormat="1">
      <c r="B5" s="159"/>
      <c r="C5" s="159"/>
      <c r="D5" s="160"/>
      <c r="E5" s="160"/>
      <c r="F5" s="161" t="s">
        <v>243</v>
      </c>
      <c r="G5" s="161" t="s">
        <v>245</v>
      </c>
      <c r="H5" s="295" t="s">
        <v>247</v>
      </c>
      <c r="I5" s="161" t="s">
        <v>249</v>
      </c>
      <c r="J5" s="161" t="s">
        <v>217</v>
      </c>
      <c r="K5" s="161" t="s">
        <v>218</v>
      </c>
      <c r="L5" s="161" t="s">
        <v>219</v>
      </c>
      <c r="M5" s="161" t="s">
        <v>220</v>
      </c>
      <c r="N5" s="161" t="s">
        <v>228</v>
      </c>
      <c r="O5" s="162"/>
      <c r="P5" s="162"/>
    </row>
    <row r="6" spans="1:19" s="30" customFormat="1">
      <c r="B6" s="289"/>
      <c r="C6" s="289"/>
      <c r="D6" s="290"/>
      <c r="E6" s="290"/>
      <c r="F6" s="70"/>
      <c r="G6" s="70"/>
      <c r="H6" s="70"/>
      <c r="I6" s="70"/>
      <c r="J6" s="70"/>
      <c r="K6" s="70"/>
      <c r="L6" s="70"/>
      <c r="M6" s="70"/>
      <c r="N6" s="70"/>
      <c r="O6" s="291"/>
      <c r="P6" s="291"/>
    </row>
    <row r="7" spans="1:19" s="30" customFormat="1" ht="19.2" outlineLevel="2">
      <c r="B7" s="157" t="s">
        <v>529</v>
      </c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</row>
    <row r="8" spans="1:19" s="30" customFormat="1" outlineLevel="2">
      <c r="C8" s="57"/>
      <c r="D8" s="57"/>
    </row>
    <row r="9" spans="1:19" s="30" customFormat="1" ht="14.4" outlineLevel="2">
      <c r="A9" s="253"/>
      <c r="B9" s="253" t="s">
        <v>833</v>
      </c>
      <c r="C9" s="249"/>
      <c r="D9" s="249"/>
      <c r="E9" s="248"/>
      <c r="F9" s="250"/>
      <c r="G9" s="251"/>
      <c r="H9" s="251"/>
      <c r="I9" s="251"/>
      <c r="J9" s="250"/>
      <c r="K9" s="251"/>
      <c r="L9" s="251"/>
      <c r="M9" s="251"/>
      <c r="N9" s="248"/>
      <c r="O9" s="248"/>
      <c r="P9" s="248"/>
    </row>
    <row r="10" spans="1:19" s="30" customFormat="1" outlineLevel="2">
      <c r="C10" s="57"/>
      <c r="D10" s="57"/>
      <c r="F10" s="245"/>
      <c r="G10" s="246"/>
      <c r="H10" s="246"/>
      <c r="I10" s="246"/>
      <c r="J10" s="245"/>
      <c r="K10" s="246"/>
      <c r="L10" s="246"/>
      <c r="M10" s="246"/>
    </row>
    <row r="11" spans="1:19" s="30" customFormat="1" outlineLevel="2">
      <c r="C11" s="57"/>
      <c r="D11" s="57"/>
      <c r="F11" s="54" t="s">
        <v>536</v>
      </c>
      <c r="G11" s="58"/>
      <c r="H11" s="58"/>
      <c r="I11" s="58"/>
      <c r="J11" s="54" t="s">
        <v>199</v>
      </c>
      <c r="K11" s="58"/>
      <c r="L11" s="58"/>
      <c r="M11" s="58"/>
    </row>
    <row r="12" spans="1:19" s="30" customFormat="1" ht="28.2" outlineLevel="2" thickBot="1">
      <c r="B12" s="59" t="s">
        <v>229</v>
      </c>
      <c r="C12" s="59" t="s">
        <v>110</v>
      </c>
      <c r="D12" s="60" t="s">
        <v>523</v>
      </c>
      <c r="E12" s="60" t="s">
        <v>505</v>
      </c>
      <c r="F12" s="60" t="s">
        <v>230</v>
      </c>
      <c r="G12" s="60" t="s">
        <v>169</v>
      </c>
      <c r="H12" s="60" t="s">
        <v>167</v>
      </c>
      <c r="I12" s="60" t="s">
        <v>231</v>
      </c>
      <c r="J12" s="60" t="s">
        <v>230</v>
      </c>
      <c r="K12" s="60" t="s">
        <v>169</v>
      </c>
      <c r="L12" s="60" t="s">
        <v>167</v>
      </c>
      <c r="M12" s="60" t="s">
        <v>231</v>
      </c>
      <c r="N12" s="60" t="s">
        <v>524</v>
      </c>
      <c r="O12" s="60" t="s">
        <v>184</v>
      </c>
      <c r="P12" s="60" t="s">
        <v>836</v>
      </c>
    </row>
    <row r="13" spans="1:19" s="30" customFormat="1" ht="14.4" outlineLevel="2">
      <c r="B13" s="62" t="s">
        <v>232</v>
      </c>
      <c r="C13" s="57"/>
      <c r="D13" s="57"/>
      <c r="F13" s="245"/>
      <c r="G13" s="246"/>
      <c r="H13" s="246"/>
      <c r="I13" s="246"/>
      <c r="J13" s="245"/>
      <c r="K13" s="246"/>
      <c r="L13" s="246"/>
      <c r="M13" s="246"/>
    </row>
    <row r="14" spans="1:19" s="30" customFormat="1" ht="16.8" outlineLevel="2">
      <c r="B14" s="61" t="s">
        <v>226</v>
      </c>
      <c r="C14" s="271" t="str">
        <f>+'Trading Comps_Input'!C10</f>
        <v>OB</v>
      </c>
      <c r="D14" s="272"/>
      <c r="E14" s="272"/>
      <c r="F14" s="272">
        <f>+'Trading Comps_Input'!C109</f>
        <v>816110.18687400001</v>
      </c>
      <c r="G14" s="272">
        <f>+'Trading Comps_Input'!C110</f>
        <v>251435.44508999999</v>
      </c>
      <c r="H14" s="272">
        <f>+'Trading Comps_Input'!C111</f>
        <v>196305.65531900001</v>
      </c>
      <c r="I14" s="272">
        <f>+'Trading Comps_Input'!C112</f>
        <v>6629.0535110659357</v>
      </c>
      <c r="J14" s="272">
        <f>+'Trading Comps_Input'!C129</f>
        <v>840593.49248022004</v>
      </c>
      <c r="K14" s="272">
        <f>+'Trading Comps_Input'!C130</f>
        <v>258978.5084427</v>
      </c>
      <c r="L14" s="272">
        <f>+'Trading Comps_Input'!C131</f>
        <v>202194.82497857002</v>
      </c>
      <c r="M14" s="272">
        <f>+'Trading Comps_Input'!C132</f>
        <v>6827.9251163979143</v>
      </c>
      <c r="N14" s="273">
        <f>+'Trading Comps_Input'!C146</f>
        <v>2.5000000000000001E-2</v>
      </c>
      <c r="O14" s="272">
        <f>+'Trading Comps_Input'!C123</f>
        <v>301945.90825400001</v>
      </c>
      <c r="P14" s="272">
        <f>+'Trading Comps_Input'!C168</f>
        <v>20.611000000000001</v>
      </c>
      <c r="S14" s="293" t="s">
        <v>867</v>
      </c>
    </row>
    <row r="15" spans="1:19" s="30" customFormat="1" ht="16.8" outlineLevel="2">
      <c r="B15" s="201" t="s">
        <v>782</v>
      </c>
      <c r="C15" s="274" t="str">
        <f>+'Trading Comps_Input'!D10</f>
        <v>KRX: 103150</v>
      </c>
      <c r="D15" s="275">
        <f>+'Trading Comps_Input'!D170</f>
        <v>1624834.84</v>
      </c>
      <c r="E15" s="275">
        <f>+'Trading Comps_Input'!D173</f>
        <v>2618390.4658650002</v>
      </c>
      <c r="F15" s="275">
        <f>+'Trading Comps_Input'!D109</f>
        <v>1049535.950404</v>
      </c>
      <c r="G15" s="275">
        <f>+'Trading Comps_Input'!D110</f>
        <v>259614.51060599997</v>
      </c>
      <c r="H15" s="275">
        <f>+'Trading Comps_Input'!D111</f>
        <v>187129.78165599995</v>
      </c>
      <c r="I15" s="275">
        <f>+'Trading Comps_Input'!D112</f>
        <v>10921.965297357603</v>
      </c>
      <c r="J15" s="275">
        <f>+'Trading Comps_Input'!D129</f>
        <v>1066105.2263499999</v>
      </c>
      <c r="K15" s="275">
        <f>+'Trading Comps_Input'!D130</f>
        <v>232221.750527</v>
      </c>
      <c r="L15" s="275">
        <f>+'Trading Comps_Input'!D131</f>
        <v>151914.49230300001</v>
      </c>
      <c r="M15" s="275">
        <f>+'Trading Comps_Input'!D132</f>
        <v>6821.3097589999998</v>
      </c>
      <c r="N15" s="276">
        <f>+'Trading Comps_Input'!D146</f>
        <v>2.5000000000000001E-2</v>
      </c>
      <c r="O15" s="275">
        <f>+'Trading Comps_Input'!D123</f>
        <v>993555.62586500007</v>
      </c>
      <c r="P15" s="275">
        <f>+'Trading Comps_Input'!D168</f>
        <v>9.5578520000000005</v>
      </c>
      <c r="S15" s="293" t="s">
        <v>868</v>
      </c>
    </row>
    <row r="16" spans="1:19" s="30" customFormat="1" ht="16.8" outlineLevel="2">
      <c r="B16" s="30" t="s">
        <v>115</v>
      </c>
      <c r="C16" s="277" t="str">
        <f>+'Trading Comps_Input'!E10</f>
        <v>TYO: 2502</v>
      </c>
      <c r="D16" s="278">
        <f>+'Trading Comps_Input'!E170</f>
        <v>806123.85407200002</v>
      </c>
      <c r="E16" s="278">
        <f>+'Trading Comps_Input'!E173</f>
        <v>1184147.8540719999</v>
      </c>
      <c r="F16" s="278">
        <f>+'Trading Comps_Input'!E109</f>
        <v>1022318</v>
      </c>
      <c r="G16" s="278">
        <f>+'Trading Comps_Input'!E110</f>
        <v>141149</v>
      </c>
      <c r="H16" s="278">
        <f>+'Trading Comps_Input'!E111</f>
        <v>82777</v>
      </c>
      <c r="I16" s="278">
        <f>+'Trading Comps_Input'!E112</f>
        <v>103.09652649154462</v>
      </c>
      <c r="J16" s="278">
        <f>+'Trading Comps_Input'!E129</f>
        <v>1084231.539266</v>
      </c>
      <c r="K16" s="278">
        <f>+'Trading Comps_Input'!E130</f>
        <v>162376.005011</v>
      </c>
      <c r="L16" s="278">
        <f>+'Trading Comps_Input'!E131</f>
        <v>95386.572658999998</v>
      </c>
      <c r="M16" s="278">
        <f>+'Trading Comps_Input'!E132</f>
        <v>115.685643</v>
      </c>
      <c r="N16" s="279">
        <f>+'Trading Comps_Input'!E146</f>
        <v>3.5000000000000003E-2</v>
      </c>
      <c r="O16" s="278">
        <f>+'Trading Comps_Input'!E123</f>
        <v>378024</v>
      </c>
      <c r="P16" s="278">
        <f>+'Trading Comps_Input'!E168</f>
        <v>465.42947694688223</v>
      </c>
      <c r="S16" s="293" t="s">
        <v>869</v>
      </c>
    </row>
    <row r="17" spans="1:19" s="30" customFormat="1" ht="14.4" outlineLevel="2">
      <c r="B17" s="30" t="s">
        <v>116</v>
      </c>
      <c r="C17" s="277" t="str">
        <f>+'Trading Comps_Input'!F10</f>
        <v>SEHK:168</v>
      </c>
      <c r="D17" s="278">
        <f>+'Trading Comps_Input'!F170</f>
        <v>21676.90946304</v>
      </c>
      <c r="E17" s="278">
        <f>+'Trading Comps_Input'!F173</f>
        <v>17888.82927604</v>
      </c>
      <c r="F17" s="278">
        <f>+'Trading Comps_Input'!F109</f>
        <v>18026.107887999999</v>
      </c>
      <c r="G17" s="278">
        <f>+'Trading Comps_Input'!F110</f>
        <v>2065.442665</v>
      </c>
      <c r="H17" s="278">
        <f>+'Trading Comps_Input'!F111</f>
        <v>1520.6809309999999</v>
      </c>
      <c r="I17" s="278">
        <f>+'Trading Comps_Input'!F112</f>
        <v>0.95009958813527728</v>
      </c>
      <c r="J17" s="278">
        <f>+'Trading Comps_Input'!F129</f>
        <v>20524.903630000001</v>
      </c>
      <c r="K17" s="278">
        <f>+'Trading Comps_Input'!F130</f>
        <v>2486.269726</v>
      </c>
      <c r="L17" s="278">
        <f>+'Trading Comps_Input'!F131</f>
        <v>1905.3394960000001</v>
      </c>
      <c r="M17" s="278">
        <f>+'Trading Comps_Input'!F132</f>
        <v>1.129899</v>
      </c>
      <c r="N17" s="279">
        <f>+'Trading Comps_Input'!F146</f>
        <v>3.5000000000000003E-2</v>
      </c>
      <c r="O17" s="278">
        <f>+'Trading Comps_Input'!F123</f>
        <v>-3788.0801870000005</v>
      </c>
      <c r="P17" s="278">
        <f>+'Trading Comps_Input'!F168</f>
        <v>1315.346448</v>
      </c>
      <c r="S17" s="241"/>
    </row>
    <row r="18" spans="1:19" s="30" customFormat="1" ht="15" outlineLevel="2">
      <c r="B18" s="30" t="s">
        <v>117</v>
      </c>
      <c r="C18" s="277" t="s">
        <v>879</v>
      </c>
      <c r="D18" s="278">
        <f>+'Trading Comps_Input'!G170</f>
        <v>60461.073728710013</v>
      </c>
      <c r="E18" s="278">
        <f>+'Trading Comps_Input'!G173</f>
        <v>101784.07372871001</v>
      </c>
      <c r="F18" s="278">
        <f>+'Trading Comps_Input'!G109</f>
        <v>59382</v>
      </c>
      <c r="G18" s="278">
        <f>+'Trading Comps_Input'!G110</f>
        <v>13307</v>
      </c>
      <c r="H18" s="278">
        <f>+'Trading Comps_Input'!G111</f>
        <v>9538</v>
      </c>
      <c r="I18" s="278">
        <f>+'Trading Comps_Input'!G112</f>
        <v>33.210292195762513</v>
      </c>
      <c r="J18" s="278">
        <f>+'Trading Comps_Input'!G129</f>
        <v>60124.231254999999</v>
      </c>
      <c r="K18" s="278">
        <f>+'Trading Comps_Input'!G130</f>
        <v>13519.077848000001</v>
      </c>
      <c r="L18" s="278">
        <f>+'Trading Comps_Input'!G131</f>
        <v>9759.7655460000005</v>
      </c>
      <c r="M18" s="278">
        <f>+'Trading Comps_Input'!G132</f>
        <v>33.098190000000002</v>
      </c>
      <c r="N18" s="279">
        <f>+'Trading Comps_Input'!G146</f>
        <v>0.03</v>
      </c>
      <c r="O18" s="278">
        <f>+'Trading Comps_Input'!G123</f>
        <v>41323</v>
      </c>
      <c r="P18" s="278">
        <f>+'Trading Comps_Input'!G168</f>
        <v>152.64093342264582</v>
      </c>
      <c r="S18" s="292" t="s">
        <v>870</v>
      </c>
    </row>
    <row r="19" spans="1:19" s="30" customFormat="1" ht="14.4" outlineLevel="2">
      <c r="B19" s="30" t="s">
        <v>118</v>
      </c>
      <c r="C19" s="277" t="str">
        <f>+'Trading Comps_Input'!H10</f>
        <v>ENXTAM:HEIA</v>
      </c>
      <c r="D19" s="278">
        <f>+'Trading Comps_Input'!H170</f>
        <v>17490.18673791</v>
      </c>
      <c r="E19" s="278">
        <f>+'Trading Comps_Input'!H173</f>
        <v>25968.18673791</v>
      </c>
      <c r="F19" s="278">
        <f>+'Trading Comps_Input'!H109</f>
        <v>14701</v>
      </c>
      <c r="G19" s="278">
        <f>+'Trading Comps_Input'!H110</f>
        <v>2672</v>
      </c>
      <c r="H19" s="278">
        <f>+'Trading Comps_Input'!H111</f>
        <v>1777</v>
      </c>
      <c r="I19" s="278">
        <f>+'Trading Comps_Input'!H112</f>
        <v>1.8990460620987633</v>
      </c>
      <c r="J19" s="278">
        <f>+'Trading Comps_Input'!H129</f>
        <v>16327.515762000001</v>
      </c>
      <c r="K19" s="278">
        <f>+'Trading Comps_Input'!H130</f>
        <v>3186.5032500000002</v>
      </c>
      <c r="L19" s="278">
        <f>+'Trading Comps_Input'!H131</f>
        <v>1986.258656</v>
      </c>
      <c r="M19" s="278">
        <f>+'Trading Comps_Input'!H132</f>
        <v>2.711287</v>
      </c>
      <c r="N19" s="279">
        <f>+'Trading Comps_Input'!H146</f>
        <v>3.5000000000000003E-2</v>
      </c>
      <c r="O19" s="278">
        <f>+'Trading Comps_Input'!H123</f>
        <v>8478</v>
      </c>
      <c r="P19" s="278">
        <f>+'Trading Comps_Input'!H168</f>
        <v>488.41627304970677</v>
      </c>
      <c r="S19" s="241"/>
    </row>
    <row r="20" spans="1:19" s="30" customFormat="1" ht="14.4" outlineLevel="2">
      <c r="B20" s="30" t="s">
        <v>119</v>
      </c>
      <c r="C20" s="277" t="str">
        <f>+'Trading Comps_Input'!I10</f>
        <v>NYSE: TAP</v>
      </c>
      <c r="D20" s="278">
        <f>+'Trading Comps_Input'!I170</f>
        <v>4233.8240000000005</v>
      </c>
      <c r="E20" s="278">
        <f>+'Trading Comps_Input'!I173</f>
        <v>5225.8240000000005</v>
      </c>
      <c r="F20" s="278">
        <f>+'Trading Comps_Input'!I109</f>
        <v>3032.4</v>
      </c>
      <c r="G20" s="278">
        <f>+'Trading Comps_Input'!I110</f>
        <v>631.6</v>
      </c>
      <c r="H20" s="278">
        <f>+'Trading Comps_Input'!I111</f>
        <v>423.6</v>
      </c>
      <c r="I20" s="278">
        <f>+'Trading Comps_Input'!I112</f>
        <v>0.99772668112798224</v>
      </c>
      <c r="J20" s="278">
        <f>+'Trading Comps_Input'!I129</f>
        <v>3371.9868670000001</v>
      </c>
      <c r="K20" s="278">
        <f>+'Trading Comps_Input'!I130</f>
        <v>639.03856900000005</v>
      </c>
      <c r="L20" s="278">
        <f>+'Trading Comps_Input'!I131</f>
        <v>426.09415799999999</v>
      </c>
      <c r="M20" s="278">
        <f>+'Trading Comps_Input'!I132</f>
        <v>3.6686960000000002</v>
      </c>
      <c r="N20" s="279">
        <f>+'Trading Comps_Input'!I146</f>
        <v>1.4999999999999999E-2</v>
      </c>
      <c r="O20" s="278">
        <f>+'Trading Comps_Input'!I123</f>
        <v>992</v>
      </c>
      <c r="P20" s="278">
        <f>+'Trading Comps_Input'!I168</f>
        <v>184.4</v>
      </c>
      <c r="S20" s="241"/>
    </row>
    <row r="21" spans="1:19" s="30" customFormat="1" ht="14.4" outlineLevel="2">
      <c r="B21" s="30" t="s">
        <v>120</v>
      </c>
      <c r="C21" s="277" t="str">
        <f>+'Trading Comps_Input'!J10</f>
        <v>NYSE: SAM</v>
      </c>
      <c r="D21" s="278">
        <f>+'Trading Comps_Input'!J170</f>
        <v>705.58541919999993</v>
      </c>
      <c r="E21" s="278">
        <f>+'Trading Comps_Input'!J173</f>
        <v>650.10441919999994</v>
      </c>
      <c r="F21" s="278">
        <f>+'Trading Comps_Input'!J109</f>
        <v>415.053</v>
      </c>
      <c r="G21" s="278">
        <f>+'Trading Comps_Input'!J110</f>
        <v>72.23899999999999</v>
      </c>
      <c r="H21" s="278">
        <f>+'Trading Comps_Input'!J111</f>
        <v>55.319999999999993</v>
      </c>
      <c r="I21" s="278">
        <f>+'Trading Comps_Input'!J112</f>
        <v>2.2702952698430705</v>
      </c>
      <c r="J21" s="278">
        <f>+'Trading Comps_Input'!J129</f>
        <v>446.19518199999999</v>
      </c>
      <c r="K21" s="278">
        <f>+'Trading Comps_Input'!J130</f>
        <v>102.673564</v>
      </c>
      <c r="L21" s="278">
        <f>+'Trading Comps_Input'!J131</f>
        <v>83.819889000000003</v>
      </c>
      <c r="M21" s="278">
        <f>+'Trading Comps_Input'!J132</f>
        <v>3.4072290000000001</v>
      </c>
      <c r="N21" s="279">
        <f>+'Trading Comps_Input'!J146</f>
        <v>3.5000000000000003E-2</v>
      </c>
      <c r="O21" s="278">
        <f>+'Trading Comps_Input'!J123</f>
        <v>-55.481000000000002</v>
      </c>
      <c r="P21" s="278">
        <f>+'Trading Comps_Input'!J168</f>
        <v>14.845054054281505</v>
      </c>
      <c r="S21" s="241"/>
    </row>
    <row r="22" spans="1:19" s="30" customFormat="1" ht="13.8" customHeight="1" outlineLevel="2">
      <c r="A22" s="247"/>
      <c r="C22" s="57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41"/>
      <c r="O22" s="254"/>
      <c r="P22" s="254"/>
      <c r="S22" s="241"/>
    </row>
    <row r="23" spans="1:19" s="30" customFormat="1" ht="13.8" customHeight="1" outlineLevel="2" collapsed="1">
      <c r="A23" s="247"/>
      <c r="C23" s="57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41"/>
      <c r="O23" s="254"/>
      <c r="P23" s="254"/>
      <c r="S23" s="241"/>
    </row>
    <row r="24" spans="1:19" s="30" customFormat="1" ht="15" outlineLevel="2" collapsed="1">
      <c r="A24" s="253"/>
      <c r="B24" s="253" t="s">
        <v>849</v>
      </c>
      <c r="C24" s="249"/>
      <c r="D24" s="249"/>
      <c r="E24" s="248"/>
      <c r="F24" s="250"/>
      <c r="G24" s="251"/>
      <c r="H24" s="251"/>
      <c r="I24" s="251"/>
      <c r="J24" s="250"/>
      <c r="K24" s="251"/>
      <c r="L24" s="251"/>
      <c r="M24" s="251"/>
      <c r="N24" s="260"/>
      <c r="O24" s="248"/>
      <c r="P24" s="248"/>
    </row>
    <row r="25" spans="1:19" s="30" customFormat="1" ht="13.8" customHeight="1" outlineLevel="2">
      <c r="A25" s="247"/>
      <c r="C25" s="57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41"/>
      <c r="O25" s="254"/>
      <c r="P25" s="254"/>
      <c r="S25" s="241"/>
    </row>
    <row r="26" spans="1:19" s="30" customFormat="1" ht="13.8" customHeight="1" outlineLevel="2">
      <c r="A26" s="247"/>
      <c r="C26" s="57"/>
      <c r="D26" s="57"/>
      <c r="F26" s="54" t="s">
        <v>536</v>
      </c>
      <c r="G26" s="58"/>
      <c r="H26" s="58"/>
      <c r="I26" s="58"/>
      <c r="J26" s="54" t="s">
        <v>199</v>
      </c>
      <c r="K26" s="58"/>
      <c r="L26" s="58"/>
      <c r="M26" s="58"/>
      <c r="S26" s="241"/>
    </row>
    <row r="27" spans="1:19" s="30" customFormat="1" ht="28.2" customHeight="1" outlineLevel="2" thickBot="1">
      <c r="A27" s="247"/>
      <c r="B27" s="59" t="s">
        <v>229</v>
      </c>
      <c r="C27" s="59" t="s">
        <v>110</v>
      </c>
      <c r="D27" s="60" t="s">
        <v>523</v>
      </c>
      <c r="E27" s="60" t="s">
        <v>505</v>
      </c>
      <c r="F27" s="60" t="s">
        <v>230</v>
      </c>
      <c r="G27" s="60" t="s">
        <v>169</v>
      </c>
      <c r="H27" s="60" t="s">
        <v>167</v>
      </c>
      <c r="I27" s="60" t="s">
        <v>231</v>
      </c>
      <c r="J27" s="60" t="s">
        <v>230</v>
      </c>
      <c r="K27" s="60" t="s">
        <v>169</v>
      </c>
      <c r="L27" s="60" t="s">
        <v>167</v>
      </c>
      <c r="M27" s="60" t="s">
        <v>231</v>
      </c>
      <c r="N27" s="60" t="s">
        <v>524</v>
      </c>
      <c r="O27" s="60" t="s">
        <v>184</v>
      </c>
      <c r="P27" s="60" t="s">
        <v>836</v>
      </c>
      <c r="S27" s="241"/>
    </row>
    <row r="28" spans="1:19" s="30" customFormat="1" ht="13.8" customHeight="1" outlineLevel="2">
      <c r="A28" s="247"/>
      <c r="C28" s="57"/>
      <c r="D28" s="254"/>
      <c r="E28" s="254"/>
      <c r="F28" s="254"/>
      <c r="G28" s="254"/>
      <c r="H28" s="254"/>
      <c r="I28" s="254"/>
      <c r="J28" s="254"/>
      <c r="K28" s="254"/>
      <c r="L28" s="254"/>
      <c r="M28" s="254"/>
      <c r="N28" s="241"/>
      <c r="O28" s="254"/>
      <c r="P28" s="254"/>
      <c r="S28" s="241"/>
    </row>
    <row r="29" spans="1:19" s="30" customFormat="1" ht="13.8" customHeight="1" outlineLevel="2">
      <c r="A29" s="247"/>
      <c r="B29" s="61" t="s">
        <v>226</v>
      </c>
      <c r="C29" s="335" t="str">
        <f>VLOOKUP(C$4,'Trading Comps_Input'!$B$9:$J$188,MATCH($B42,$B$42:$B$49,0)+1,FALSE)</f>
        <v>OB</v>
      </c>
      <c r="D29" s="335">
        <f>VLOOKUP(D$4,'Trading Comps_Input'!$B$9:$J$188,MATCH($B42,$B$42:$B$49,0)+1,FALSE)</f>
        <v>0</v>
      </c>
      <c r="E29" s="335">
        <f>VLOOKUP(E$4,'Trading Comps_Input'!$B$9:$J$188,MATCH($B42,$B$42:$B$49,0)+1,FALSE)</f>
        <v>0</v>
      </c>
      <c r="F29" s="335">
        <f>VLOOKUP(F$4,'Trading Comps_Input'!$B$9:$J$188,MATCH($B42,$B$42:$B$49,0)+1,FALSE)</f>
        <v>816110.18687400001</v>
      </c>
      <c r="G29" s="335">
        <f>VLOOKUP(G$4,'Trading Comps_Input'!$B$9:$J$188,MATCH($B42,$B$42:$B$49,0)+1,FALSE)</f>
        <v>251435.44508999999</v>
      </c>
      <c r="H29" s="335">
        <f>VLOOKUP(H$4,'Trading Comps_Input'!$B$9:$J$188,MATCH($B42,$B$42:$B$49,0)+1,FALSE)</f>
        <v>196305.65531900001</v>
      </c>
      <c r="I29" s="335">
        <f>VLOOKUP(I$4,'Trading Comps_Input'!$B$9:$J$188,MATCH($B42,$B$42:$B$49,0)+1,FALSE)</f>
        <v>6629.0535110659357</v>
      </c>
      <c r="J29" s="335">
        <f>VLOOKUP(J$4,'Trading Comps_Input'!$B$9:$J$188,MATCH($B42,$B$42:$B$49,0)+1,FALSE)</f>
        <v>840593.49248022004</v>
      </c>
      <c r="K29" s="335">
        <f>VLOOKUP(K$4,'Trading Comps_Input'!$B$9:$J$188,MATCH($B42,$B$42:$B$49,0)+1,FALSE)</f>
        <v>258978.5084427</v>
      </c>
      <c r="L29" s="335">
        <f>VLOOKUP(L$4,'Trading Comps_Input'!$B$9:$J$188,MATCH($B42,$B$42:$B$49,0)+1,FALSE)</f>
        <v>202194.82497857002</v>
      </c>
      <c r="M29" s="335">
        <f>VLOOKUP(M$4,'Trading Comps_Input'!$B$9:$J$188,MATCH($B42,$B$42:$B$49,0)+1,FALSE)</f>
        <v>6827.9251163979143</v>
      </c>
      <c r="N29" s="335">
        <f>VLOOKUP(N$4,'Trading Comps_Input'!$B$9:$J$188,MATCH($B42,$B$42:$B$49,0)+1,FALSE)</f>
        <v>2.5000000000000001E-2</v>
      </c>
      <c r="O29" s="335">
        <f>VLOOKUP(O$4,'Trading Comps_Input'!$B$9:$J$188,MATCH($B42,$B$42:$B$49,0)+1,FALSE)</f>
        <v>301945.90825400001</v>
      </c>
      <c r="P29" s="335">
        <f>VLOOKUP(P$4,'Trading Comps_Input'!$B$9:$J$188,MATCH($B42,$B$42:$B$49,0)+1,FALSE)</f>
        <v>20.611000000000001</v>
      </c>
      <c r="S29" s="241"/>
    </row>
    <row r="30" spans="1:19" s="30" customFormat="1" ht="13.8" customHeight="1" outlineLevel="2">
      <c r="A30" s="247"/>
      <c r="B30" s="201" t="s">
        <v>782</v>
      </c>
      <c r="C30" s="335" t="str">
        <f>VLOOKUP(C$4,'Trading Comps_Input'!$B$9:$J$188,MATCH($B43,$B$42:$B$49,0)+1,FALSE)</f>
        <v>KRX: 103150</v>
      </c>
      <c r="D30" s="335">
        <f>VLOOKUP(D$4,'Trading Comps_Input'!$B$9:$J$188,MATCH($B43,$B$42:$B$49,0)+1,FALSE)</f>
        <v>1624834.84</v>
      </c>
      <c r="E30" s="335">
        <f>VLOOKUP(E$4,'Trading Comps_Input'!$B$9:$J$188,MATCH($B43,$B$42:$B$49,0)+1,FALSE)</f>
        <v>2618390.4658650002</v>
      </c>
      <c r="F30" s="335">
        <f>VLOOKUP(F$4,'Trading Comps_Input'!$B$9:$J$188,MATCH($B43,$B$42:$B$49,0)+1,FALSE)</f>
        <v>1049535.950404</v>
      </c>
      <c r="G30" s="335">
        <f>VLOOKUP(G$4,'Trading Comps_Input'!$B$9:$J$188,MATCH($B43,$B$42:$B$49,0)+1,FALSE)</f>
        <v>259614.51060599997</v>
      </c>
      <c r="H30" s="335">
        <f>VLOOKUP(H$4,'Trading Comps_Input'!$B$9:$J$188,MATCH($B43,$B$42:$B$49,0)+1,FALSE)</f>
        <v>187129.78165599995</v>
      </c>
      <c r="I30" s="335">
        <f>VLOOKUP(I$4,'Trading Comps_Input'!$B$9:$J$188,MATCH($B43,$B$42:$B$49,0)+1,FALSE)</f>
        <v>10921.965297357603</v>
      </c>
      <c r="J30" s="335">
        <f>VLOOKUP(J$4,'Trading Comps_Input'!$B$9:$J$188,MATCH($B43,$B$42:$B$49,0)+1,FALSE)</f>
        <v>1066105.2263499999</v>
      </c>
      <c r="K30" s="335">
        <f>VLOOKUP(K$4,'Trading Comps_Input'!$B$9:$J$188,MATCH($B43,$B$42:$B$49,0)+1,FALSE)</f>
        <v>232221.750527</v>
      </c>
      <c r="L30" s="335">
        <f>VLOOKUP(L$4,'Trading Comps_Input'!$B$9:$J$188,MATCH($B43,$B$42:$B$49,0)+1,FALSE)</f>
        <v>151914.49230300001</v>
      </c>
      <c r="M30" s="335">
        <f>VLOOKUP(M$4,'Trading Comps_Input'!$B$9:$J$188,MATCH($B43,$B$42:$B$49,0)+1,FALSE)</f>
        <v>6821.3097589999998</v>
      </c>
      <c r="N30" s="335">
        <f>VLOOKUP(N$4,'Trading Comps_Input'!$B$9:$J$188,MATCH($B43,$B$42:$B$49,0)+1,FALSE)</f>
        <v>2.5000000000000001E-2</v>
      </c>
      <c r="O30" s="335">
        <f>VLOOKUP(O$4,'Trading Comps_Input'!$B$9:$J$188,MATCH($B43,$B$42:$B$49,0)+1,FALSE)</f>
        <v>993555.62586500007</v>
      </c>
      <c r="P30" s="335">
        <f>VLOOKUP(P$4,'Trading Comps_Input'!$B$9:$J$188,MATCH($B43,$B$42:$B$49,0)+1,FALSE)</f>
        <v>9.5578520000000005</v>
      </c>
      <c r="S30" s="241"/>
    </row>
    <row r="31" spans="1:19" s="30" customFormat="1" ht="13.8" customHeight="1" outlineLevel="2">
      <c r="A31" s="247"/>
      <c r="B31" s="30" t="s">
        <v>115</v>
      </c>
      <c r="C31" s="335" t="str">
        <f>VLOOKUP(C$4,'Trading Comps_Input'!$B$9:$J$188,MATCH($B44,$B$42:$B$49,0)+1,FALSE)</f>
        <v>TYO: 2502</v>
      </c>
      <c r="D31" s="335">
        <f>VLOOKUP(D$4,'Trading Comps_Input'!$B$9:$J$188,MATCH($B44,$B$42:$B$49,0)+1,FALSE)</f>
        <v>806123.85407200002</v>
      </c>
      <c r="E31" s="335">
        <f>VLOOKUP(E$4,'Trading Comps_Input'!$B$9:$J$188,MATCH($B44,$B$42:$B$49,0)+1,FALSE)</f>
        <v>1184147.8540719999</v>
      </c>
      <c r="F31" s="335">
        <f>VLOOKUP(F$4,'Trading Comps_Input'!$B$9:$J$188,MATCH($B44,$B$42:$B$49,0)+1,FALSE)</f>
        <v>1022318</v>
      </c>
      <c r="G31" s="335">
        <f>VLOOKUP(G$4,'Trading Comps_Input'!$B$9:$J$188,MATCH($B44,$B$42:$B$49,0)+1,FALSE)</f>
        <v>141149</v>
      </c>
      <c r="H31" s="335">
        <f>VLOOKUP(H$4,'Trading Comps_Input'!$B$9:$J$188,MATCH($B44,$B$42:$B$49,0)+1,FALSE)</f>
        <v>82777</v>
      </c>
      <c r="I31" s="335">
        <f>VLOOKUP(I$4,'Trading Comps_Input'!$B$9:$J$188,MATCH($B44,$B$42:$B$49,0)+1,FALSE)</f>
        <v>103.09652649154462</v>
      </c>
      <c r="J31" s="335">
        <f>VLOOKUP(J$4,'Trading Comps_Input'!$B$9:$J$188,MATCH($B44,$B$42:$B$49,0)+1,FALSE)</f>
        <v>1084231.539266</v>
      </c>
      <c r="K31" s="335">
        <f>VLOOKUP(K$4,'Trading Comps_Input'!$B$9:$J$188,MATCH($B44,$B$42:$B$49,0)+1,FALSE)</f>
        <v>162376.005011</v>
      </c>
      <c r="L31" s="335">
        <f>VLOOKUP(L$4,'Trading Comps_Input'!$B$9:$J$188,MATCH($B44,$B$42:$B$49,0)+1,FALSE)</f>
        <v>95386.572658999998</v>
      </c>
      <c r="M31" s="335">
        <f>VLOOKUP(M$4,'Trading Comps_Input'!$B$9:$J$188,MATCH($B44,$B$42:$B$49,0)+1,FALSE)</f>
        <v>115.685643</v>
      </c>
      <c r="N31" s="335">
        <f>VLOOKUP(N$4,'Trading Comps_Input'!$B$9:$J$188,MATCH($B44,$B$42:$B$49,0)+1,FALSE)</f>
        <v>3.5000000000000003E-2</v>
      </c>
      <c r="O31" s="335">
        <f>VLOOKUP(O$4,'Trading Comps_Input'!$B$9:$J$188,MATCH($B44,$B$42:$B$49,0)+1,FALSE)</f>
        <v>378024</v>
      </c>
      <c r="P31" s="335">
        <f>VLOOKUP(P$4,'Trading Comps_Input'!$B$9:$J$188,MATCH($B44,$B$42:$B$49,0)+1,FALSE)</f>
        <v>465.42947694688223</v>
      </c>
      <c r="S31" s="241"/>
    </row>
    <row r="32" spans="1:19" s="30" customFormat="1" ht="13.8" customHeight="1" outlineLevel="2">
      <c r="A32" s="247"/>
      <c r="B32" s="30" t="s">
        <v>116</v>
      </c>
      <c r="C32" s="335" t="str">
        <f>VLOOKUP(C$4,'Trading Comps_Input'!$B$9:$J$188,MATCH($B45,$B$42:$B$49,0)+1,FALSE)</f>
        <v>SEHK:168</v>
      </c>
      <c r="D32" s="335">
        <f>VLOOKUP(D$4,'Trading Comps_Input'!$B$9:$J$188,MATCH($B45,$B$42:$B$49,0)+1,FALSE)</f>
        <v>21676.90946304</v>
      </c>
      <c r="E32" s="335">
        <f>VLOOKUP(E$4,'Trading Comps_Input'!$B$9:$J$188,MATCH($B45,$B$42:$B$49,0)+1,FALSE)</f>
        <v>17888.82927604</v>
      </c>
      <c r="F32" s="335">
        <f>VLOOKUP(F$4,'Trading Comps_Input'!$B$9:$J$188,MATCH($B45,$B$42:$B$49,0)+1,FALSE)</f>
        <v>18026.107887999999</v>
      </c>
      <c r="G32" s="335">
        <f>VLOOKUP(G$4,'Trading Comps_Input'!$B$9:$J$188,MATCH($B45,$B$42:$B$49,0)+1,FALSE)</f>
        <v>2065.442665</v>
      </c>
      <c r="H32" s="335">
        <f>VLOOKUP(H$4,'Trading Comps_Input'!$B$9:$J$188,MATCH($B45,$B$42:$B$49,0)+1,FALSE)</f>
        <v>1520.6809309999999</v>
      </c>
      <c r="I32" s="335">
        <f>VLOOKUP(I$4,'Trading Comps_Input'!$B$9:$J$188,MATCH($B45,$B$42:$B$49,0)+1,FALSE)</f>
        <v>0.95009958813527728</v>
      </c>
      <c r="J32" s="335">
        <f>VLOOKUP(J$4,'Trading Comps_Input'!$B$9:$J$188,MATCH($B45,$B$42:$B$49,0)+1,FALSE)</f>
        <v>20524.903630000001</v>
      </c>
      <c r="K32" s="335">
        <f>VLOOKUP(K$4,'Trading Comps_Input'!$B$9:$J$188,MATCH($B45,$B$42:$B$49,0)+1,FALSE)</f>
        <v>2486.269726</v>
      </c>
      <c r="L32" s="335">
        <f>VLOOKUP(L$4,'Trading Comps_Input'!$B$9:$J$188,MATCH($B45,$B$42:$B$49,0)+1,FALSE)</f>
        <v>1905.3394960000001</v>
      </c>
      <c r="M32" s="335">
        <f>VLOOKUP(M$4,'Trading Comps_Input'!$B$9:$J$188,MATCH($B45,$B$42:$B$49,0)+1,FALSE)</f>
        <v>1.129899</v>
      </c>
      <c r="N32" s="335">
        <f>VLOOKUP(N$4,'Trading Comps_Input'!$B$9:$J$188,MATCH($B45,$B$42:$B$49,0)+1,FALSE)</f>
        <v>3.5000000000000003E-2</v>
      </c>
      <c r="O32" s="335">
        <f>VLOOKUP(O$4,'Trading Comps_Input'!$B$9:$J$188,MATCH($B45,$B$42:$B$49,0)+1,FALSE)</f>
        <v>-3788.0801870000005</v>
      </c>
      <c r="P32" s="335">
        <f>VLOOKUP(P$4,'Trading Comps_Input'!$B$9:$J$188,MATCH($B45,$B$42:$B$49,0)+1,FALSE)</f>
        <v>1315.346448</v>
      </c>
      <c r="S32" s="241"/>
    </row>
    <row r="33" spans="1:19" s="30" customFormat="1" ht="13.8" customHeight="1" outlineLevel="2">
      <c r="A33" s="247"/>
      <c r="B33" s="30" t="s">
        <v>117</v>
      </c>
      <c r="C33" s="335" t="str">
        <f>VLOOKUP(C$4,'Trading Comps_Input'!$B$9:$J$188,MATCH($B46,$B$42:$B$49,0)+1,FALSE)</f>
        <v>CPSE:CARL B</v>
      </c>
      <c r="D33" s="335">
        <f>VLOOKUP(D$4,'Trading Comps_Input'!$B$9:$J$188,MATCH($B46,$B$42:$B$49,0)+1,FALSE)</f>
        <v>60461.073728710013</v>
      </c>
      <c r="E33" s="335">
        <f>VLOOKUP(E$4,'Trading Comps_Input'!$B$9:$J$188,MATCH($B46,$B$42:$B$49,0)+1,FALSE)</f>
        <v>101784.07372871001</v>
      </c>
      <c r="F33" s="335">
        <f>VLOOKUP(F$4,'Trading Comps_Input'!$B$9:$J$188,MATCH($B46,$B$42:$B$49,0)+1,FALSE)</f>
        <v>59382</v>
      </c>
      <c r="G33" s="335">
        <f>VLOOKUP(G$4,'Trading Comps_Input'!$B$9:$J$188,MATCH($B46,$B$42:$B$49,0)+1,FALSE)</f>
        <v>13307</v>
      </c>
      <c r="H33" s="335">
        <f>VLOOKUP(H$4,'Trading Comps_Input'!$B$9:$J$188,MATCH($B46,$B$42:$B$49,0)+1,FALSE)</f>
        <v>9538</v>
      </c>
      <c r="I33" s="335">
        <f>VLOOKUP(I$4,'Trading Comps_Input'!$B$9:$J$188,MATCH($B46,$B$42:$B$49,0)+1,FALSE)</f>
        <v>33.210292195762513</v>
      </c>
      <c r="J33" s="335">
        <f>VLOOKUP(J$4,'Trading Comps_Input'!$B$9:$J$188,MATCH($B46,$B$42:$B$49,0)+1,FALSE)</f>
        <v>60124.231254999999</v>
      </c>
      <c r="K33" s="335">
        <f>VLOOKUP(K$4,'Trading Comps_Input'!$B$9:$J$188,MATCH($B46,$B$42:$B$49,0)+1,FALSE)</f>
        <v>13519.077848000001</v>
      </c>
      <c r="L33" s="335">
        <f>VLOOKUP(L$4,'Trading Comps_Input'!$B$9:$J$188,MATCH($B46,$B$42:$B$49,0)+1,FALSE)</f>
        <v>9759.7655460000005</v>
      </c>
      <c r="M33" s="335">
        <f>VLOOKUP(M$4,'Trading Comps_Input'!$B$9:$J$188,MATCH($B46,$B$42:$B$49,0)+1,FALSE)</f>
        <v>33.098190000000002</v>
      </c>
      <c r="N33" s="335">
        <f>VLOOKUP(N$4,'Trading Comps_Input'!$B$9:$J$188,MATCH($B46,$B$42:$B$49,0)+1,FALSE)</f>
        <v>0.03</v>
      </c>
      <c r="O33" s="335">
        <f>VLOOKUP(O$4,'Trading Comps_Input'!$B$9:$J$188,MATCH($B46,$B$42:$B$49,0)+1,FALSE)</f>
        <v>41323</v>
      </c>
      <c r="P33" s="335">
        <f>VLOOKUP(P$4,'Trading Comps_Input'!$B$9:$J$188,MATCH($B46,$B$42:$B$49,0)+1,FALSE)</f>
        <v>152.64093342264582</v>
      </c>
      <c r="S33" s="241"/>
    </row>
    <row r="34" spans="1:19" s="30" customFormat="1" ht="13.8" customHeight="1" outlineLevel="2">
      <c r="A34" s="247"/>
      <c r="B34" s="30" t="s">
        <v>118</v>
      </c>
      <c r="C34" s="335" t="str">
        <f>VLOOKUP(C$4,'Trading Comps_Input'!$B$9:$J$188,MATCH($B47,$B$42:$B$49,0)+1,FALSE)</f>
        <v>ENXTAM:HEIA</v>
      </c>
      <c r="D34" s="335">
        <f>VLOOKUP(D$4,'Trading Comps_Input'!$B$9:$J$188,MATCH($B47,$B$42:$B$49,0)+1,FALSE)</f>
        <v>17490.18673791</v>
      </c>
      <c r="E34" s="335">
        <f>VLOOKUP(E$4,'Trading Comps_Input'!$B$9:$J$188,MATCH($B47,$B$42:$B$49,0)+1,FALSE)</f>
        <v>25968.18673791</v>
      </c>
      <c r="F34" s="335">
        <f>VLOOKUP(F$4,'Trading Comps_Input'!$B$9:$J$188,MATCH($B47,$B$42:$B$49,0)+1,FALSE)</f>
        <v>14701</v>
      </c>
      <c r="G34" s="335">
        <f>VLOOKUP(G$4,'Trading Comps_Input'!$B$9:$J$188,MATCH($B47,$B$42:$B$49,0)+1,FALSE)</f>
        <v>2672</v>
      </c>
      <c r="H34" s="335">
        <f>VLOOKUP(H$4,'Trading Comps_Input'!$B$9:$J$188,MATCH($B47,$B$42:$B$49,0)+1,FALSE)</f>
        <v>1777</v>
      </c>
      <c r="I34" s="335">
        <f>VLOOKUP(I$4,'Trading Comps_Input'!$B$9:$J$188,MATCH($B47,$B$42:$B$49,0)+1,FALSE)</f>
        <v>1.8990460620987633</v>
      </c>
      <c r="J34" s="335">
        <f>VLOOKUP(J$4,'Trading Comps_Input'!$B$9:$J$188,MATCH($B47,$B$42:$B$49,0)+1,FALSE)</f>
        <v>16327.515762000001</v>
      </c>
      <c r="K34" s="335">
        <f>VLOOKUP(K$4,'Trading Comps_Input'!$B$9:$J$188,MATCH($B47,$B$42:$B$49,0)+1,FALSE)</f>
        <v>3186.5032500000002</v>
      </c>
      <c r="L34" s="335">
        <f>VLOOKUP(L$4,'Trading Comps_Input'!$B$9:$J$188,MATCH($B47,$B$42:$B$49,0)+1,FALSE)</f>
        <v>1986.258656</v>
      </c>
      <c r="M34" s="335">
        <f>VLOOKUP(M$4,'Trading Comps_Input'!$B$9:$J$188,MATCH($B47,$B$42:$B$49,0)+1,FALSE)</f>
        <v>2.711287</v>
      </c>
      <c r="N34" s="335">
        <f>VLOOKUP(N$4,'Trading Comps_Input'!$B$9:$J$188,MATCH($B47,$B$42:$B$49,0)+1,FALSE)</f>
        <v>3.5000000000000003E-2</v>
      </c>
      <c r="O34" s="335">
        <f>VLOOKUP(O$4,'Trading Comps_Input'!$B$9:$J$188,MATCH($B47,$B$42:$B$49,0)+1,FALSE)</f>
        <v>8478</v>
      </c>
      <c r="P34" s="335">
        <f>VLOOKUP(P$4,'Trading Comps_Input'!$B$9:$J$188,MATCH($B47,$B$42:$B$49,0)+1,FALSE)</f>
        <v>488.41627304970677</v>
      </c>
      <c r="S34" s="241"/>
    </row>
    <row r="35" spans="1:19" s="30" customFormat="1" ht="13.8" customHeight="1" outlineLevel="2">
      <c r="A35" s="247"/>
      <c r="B35" s="30" t="s">
        <v>119</v>
      </c>
      <c r="C35" s="335" t="str">
        <f>VLOOKUP(C$4,'Trading Comps_Input'!$B$9:$J$188,MATCH($B48,$B$42:$B$49,0)+1,FALSE)</f>
        <v>NYSE: TAP</v>
      </c>
      <c r="D35" s="335">
        <f>VLOOKUP(D$4,'Trading Comps_Input'!$B$9:$J$188,MATCH($B48,$B$42:$B$49,0)+1,FALSE)</f>
        <v>4233.8240000000005</v>
      </c>
      <c r="E35" s="335">
        <f>VLOOKUP(E$4,'Trading Comps_Input'!$B$9:$J$188,MATCH($B48,$B$42:$B$49,0)+1,FALSE)</f>
        <v>5225.8240000000005</v>
      </c>
      <c r="F35" s="335">
        <f>VLOOKUP(F$4,'Trading Comps_Input'!$B$9:$J$188,MATCH($B48,$B$42:$B$49,0)+1,FALSE)</f>
        <v>3032.4</v>
      </c>
      <c r="G35" s="335">
        <f>VLOOKUP(G$4,'Trading Comps_Input'!$B$9:$J$188,MATCH($B48,$B$42:$B$49,0)+1,FALSE)</f>
        <v>631.6</v>
      </c>
      <c r="H35" s="335">
        <f>VLOOKUP(H$4,'Trading Comps_Input'!$B$9:$J$188,MATCH($B48,$B$42:$B$49,0)+1,FALSE)</f>
        <v>423.6</v>
      </c>
      <c r="I35" s="335">
        <f>VLOOKUP(I$4,'Trading Comps_Input'!$B$9:$J$188,MATCH($B48,$B$42:$B$49,0)+1,FALSE)</f>
        <v>0.99772668112798224</v>
      </c>
      <c r="J35" s="335">
        <f>VLOOKUP(J$4,'Trading Comps_Input'!$B$9:$J$188,MATCH($B48,$B$42:$B$49,0)+1,FALSE)</f>
        <v>3371.9868670000001</v>
      </c>
      <c r="K35" s="335">
        <f>VLOOKUP(K$4,'Trading Comps_Input'!$B$9:$J$188,MATCH($B48,$B$42:$B$49,0)+1,FALSE)</f>
        <v>639.03856900000005</v>
      </c>
      <c r="L35" s="335">
        <f>VLOOKUP(L$4,'Trading Comps_Input'!$B$9:$J$188,MATCH($B48,$B$42:$B$49,0)+1,FALSE)</f>
        <v>426.09415799999999</v>
      </c>
      <c r="M35" s="335">
        <f>VLOOKUP(M$4,'Trading Comps_Input'!$B$9:$J$188,MATCH($B48,$B$42:$B$49,0)+1,FALSE)</f>
        <v>3.6686960000000002</v>
      </c>
      <c r="N35" s="335">
        <f>VLOOKUP(N$4,'Trading Comps_Input'!$B$9:$J$188,MATCH($B48,$B$42:$B$49,0)+1,FALSE)</f>
        <v>1.4999999999999999E-2</v>
      </c>
      <c r="O35" s="335">
        <f>VLOOKUP(O$4,'Trading Comps_Input'!$B$9:$J$188,MATCH($B48,$B$42:$B$49,0)+1,FALSE)</f>
        <v>992</v>
      </c>
      <c r="P35" s="335">
        <f>VLOOKUP(P$4,'Trading Comps_Input'!$B$9:$J$188,MATCH($B48,$B$42:$B$49,0)+1,FALSE)</f>
        <v>184.4</v>
      </c>
      <c r="S35" s="241"/>
    </row>
    <row r="36" spans="1:19" s="30" customFormat="1" ht="13.8" customHeight="1" outlineLevel="2">
      <c r="A36" s="247"/>
      <c r="B36" s="30" t="s">
        <v>120</v>
      </c>
      <c r="C36" s="335" t="str">
        <f>VLOOKUP(C$4,'Trading Comps_Input'!$B$9:$J$188,MATCH($B49,$B$42:$B$49,0)+1,FALSE)</f>
        <v>NYSE: SAM</v>
      </c>
      <c r="D36" s="335">
        <f>VLOOKUP(D$4,'Trading Comps_Input'!$B$9:$J$188,MATCH($B49,$B$42:$B$49,0)+1,FALSE)</f>
        <v>705.58541919999993</v>
      </c>
      <c r="E36" s="335">
        <f>VLOOKUP(E$4,'Trading Comps_Input'!$B$9:$J$188,MATCH($B49,$B$42:$B$49,0)+1,FALSE)</f>
        <v>650.10441919999994</v>
      </c>
      <c r="F36" s="335">
        <f>VLOOKUP(F$4,'Trading Comps_Input'!$B$9:$J$188,MATCH($B49,$B$42:$B$49,0)+1,FALSE)</f>
        <v>415.053</v>
      </c>
      <c r="G36" s="335">
        <f>VLOOKUP(G$4,'Trading Comps_Input'!$B$9:$J$188,MATCH($B49,$B$42:$B$49,0)+1,FALSE)</f>
        <v>72.23899999999999</v>
      </c>
      <c r="H36" s="335">
        <f>VLOOKUP(H$4,'Trading Comps_Input'!$B$9:$J$188,MATCH($B49,$B$42:$B$49,0)+1,FALSE)</f>
        <v>55.319999999999993</v>
      </c>
      <c r="I36" s="335">
        <f>VLOOKUP(I$4,'Trading Comps_Input'!$B$9:$J$188,MATCH($B49,$B$42:$B$49,0)+1,FALSE)</f>
        <v>2.2702952698430705</v>
      </c>
      <c r="J36" s="335">
        <f>VLOOKUP(J$4,'Trading Comps_Input'!$B$9:$J$188,MATCH($B49,$B$42:$B$49,0)+1,FALSE)</f>
        <v>446.19518199999999</v>
      </c>
      <c r="K36" s="335">
        <f>VLOOKUP(K$4,'Trading Comps_Input'!$B$9:$J$188,MATCH($B49,$B$42:$B$49,0)+1,FALSE)</f>
        <v>102.673564</v>
      </c>
      <c r="L36" s="335">
        <f>VLOOKUP(L$4,'Trading Comps_Input'!$B$9:$J$188,MATCH($B49,$B$42:$B$49,0)+1,FALSE)</f>
        <v>83.819889000000003</v>
      </c>
      <c r="M36" s="335">
        <f>VLOOKUP(M$4,'Trading Comps_Input'!$B$9:$J$188,MATCH($B49,$B$42:$B$49,0)+1,FALSE)</f>
        <v>3.4072290000000001</v>
      </c>
      <c r="N36" s="335">
        <f>VLOOKUP(N$4,'Trading Comps_Input'!$B$9:$J$188,MATCH($B49,$B$42:$B$49,0)+1,FALSE)</f>
        <v>3.5000000000000003E-2</v>
      </c>
      <c r="O36" s="335">
        <f>VLOOKUP(O$4,'Trading Comps_Input'!$B$9:$J$188,MATCH($B49,$B$42:$B$49,0)+1,FALSE)</f>
        <v>-55.481000000000002</v>
      </c>
      <c r="P36" s="335">
        <f>VLOOKUP(P$4,'Trading Comps_Input'!$B$9:$J$188,MATCH($B49,$B$42:$B$49,0)+1,FALSE)</f>
        <v>14.845054054281505</v>
      </c>
    </row>
    <row r="37" spans="1:19" s="30" customFormat="1" ht="13.8" customHeight="1" outlineLevel="2">
      <c r="A37" s="247"/>
      <c r="C37" s="57"/>
      <c r="D37" s="254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</row>
    <row r="38" spans="1:19" s="30" customFormat="1" outlineLevel="1">
      <c r="A38" s="252"/>
      <c r="B38" s="252" t="s">
        <v>832</v>
      </c>
      <c r="C38" s="249"/>
      <c r="D38" s="249"/>
      <c r="E38" s="248"/>
      <c r="F38" s="250"/>
      <c r="G38" s="251"/>
      <c r="H38" s="251"/>
      <c r="I38" s="251"/>
      <c r="J38" s="250"/>
      <c r="K38" s="251"/>
      <c r="L38" s="251"/>
      <c r="M38" s="251"/>
      <c r="N38" s="248"/>
      <c r="O38" s="248"/>
      <c r="P38" s="248"/>
    </row>
    <row r="39" spans="1:19" s="30" customFormat="1" outlineLevel="2">
      <c r="C39" s="57"/>
      <c r="D39" s="57"/>
      <c r="F39" s="245"/>
      <c r="G39" s="246"/>
      <c r="H39" s="246"/>
      <c r="I39" s="246"/>
      <c r="J39" s="245"/>
      <c r="K39" s="246"/>
      <c r="L39" s="246"/>
      <c r="M39" s="246"/>
    </row>
    <row r="40" spans="1:19" s="30" customFormat="1" outlineLevel="2">
      <c r="B40" s="239" t="s">
        <v>840</v>
      </c>
      <c r="C40" s="57"/>
      <c r="D40" s="57"/>
      <c r="F40" s="245"/>
      <c r="G40" s="246"/>
      <c r="H40" s="246"/>
      <c r="I40" s="246"/>
      <c r="J40" s="245"/>
      <c r="K40" s="246"/>
      <c r="L40" s="246"/>
      <c r="M40" s="246"/>
    </row>
    <row r="41" spans="1:19" s="30" customFormat="1" ht="14.4" outlineLevel="2">
      <c r="C41" s="266" t="s">
        <v>841</v>
      </c>
      <c r="D41" s="57"/>
      <c r="F41" s="245"/>
      <c r="G41" s="246"/>
      <c r="H41" s="246"/>
      <c r="I41" s="246"/>
      <c r="J41" s="245"/>
      <c r="K41" s="246"/>
      <c r="L41" s="246"/>
      <c r="M41" s="246"/>
    </row>
    <row r="42" spans="1:19" s="30" customFormat="1" outlineLevel="2">
      <c r="B42" s="61" t="s">
        <v>226</v>
      </c>
      <c r="C42" s="310">
        <f>MATCH($B42,$B$42:$B$49,0)+1</f>
        <v>2</v>
      </c>
      <c r="D42" s="57"/>
      <c r="F42" s="245"/>
      <c r="G42" s="246"/>
      <c r="H42" s="246"/>
      <c r="I42" s="246"/>
      <c r="J42" s="245"/>
      <c r="K42" s="246"/>
      <c r="L42" s="246"/>
      <c r="M42" s="246"/>
    </row>
    <row r="43" spans="1:19" s="30" customFormat="1" outlineLevel="2">
      <c r="B43" s="201" t="s">
        <v>782</v>
      </c>
      <c r="C43" s="310">
        <f t="shared" ref="C43:C49" si="0">MATCH($B43,$B$42:$B$49,0)+1</f>
        <v>3</v>
      </c>
      <c r="D43" s="57"/>
      <c r="F43" s="245"/>
      <c r="G43" s="246"/>
      <c r="H43" s="246"/>
      <c r="I43" s="246"/>
      <c r="J43" s="245"/>
      <c r="K43" s="246"/>
      <c r="L43" s="246"/>
      <c r="M43" s="246"/>
    </row>
    <row r="44" spans="1:19" s="30" customFormat="1" outlineLevel="2">
      <c r="B44" s="30" t="s">
        <v>115</v>
      </c>
      <c r="C44" s="310">
        <f t="shared" si="0"/>
        <v>4</v>
      </c>
      <c r="D44" s="57"/>
      <c r="F44" s="245"/>
      <c r="G44" s="246"/>
      <c r="H44" s="246"/>
      <c r="I44" s="246"/>
      <c r="J44" s="245"/>
      <c r="K44" s="246"/>
      <c r="L44" s="246"/>
      <c r="M44" s="246"/>
    </row>
    <row r="45" spans="1:19" s="30" customFormat="1" outlineLevel="2">
      <c r="B45" s="30" t="s">
        <v>116</v>
      </c>
      <c r="C45" s="310">
        <f t="shared" si="0"/>
        <v>5</v>
      </c>
      <c r="D45" s="57"/>
      <c r="F45" s="245"/>
      <c r="G45" s="246"/>
      <c r="H45" s="246"/>
      <c r="I45" s="246"/>
      <c r="J45" s="245"/>
      <c r="K45" s="246"/>
      <c r="L45" s="246"/>
      <c r="M45" s="246"/>
    </row>
    <row r="46" spans="1:19" s="30" customFormat="1" outlineLevel="2">
      <c r="B46" s="30" t="s">
        <v>117</v>
      </c>
      <c r="C46" s="310">
        <f t="shared" si="0"/>
        <v>6</v>
      </c>
      <c r="D46" s="57"/>
      <c r="F46" s="245"/>
      <c r="G46" s="246"/>
      <c r="H46" s="246"/>
      <c r="I46" s="246"/>
      <c r="J46" s="245"/>
      <c r="K46" s="246"/>
      <c r="L46" s="246"/>
      <c r="M46" s="246"/>
    </row>
    <row r="47" spans="1:19" s="30" customFormat="1" outlineLevel="2">
      <c r="B47" s="30" t="s">
        <v>118</v>
      </c>
      <c r="C47" s="310">
        <f t="shared" si="0"/>
        <v>7</v>
      </c>
      <c r="D47" s="57"/>
      <c r="F47" s="245"/>
      <c r="G47" s="246"/>
      <c r="H47" s="246"/>
      <c r="I47" s="246"/>
      <c r="J47" s="245"/>
      <c r="K47" s="246"/>
      <c r="L47" s="246"/>
      <c r="M47" s="246"/>
    </row>
    <row r="48" spans="1:19" s="30" customFormat="1" outlineLevel="2">
      <c r="B48" s="30" t="s">
        <v>119</v>
      </c>
      <c r="C48" s="310">
        <f t="shared" si="0"/>
        <v>8</v>
      </c>
      <c r="D48" s="57"/>
      <c r="F48" s="245"/>
      <c r="G48" s="246"/>
      <c r="H48" s="246"/>
      <c r="I48" s="246"/>
      <c r="J48" s="245"/>
      <c r="K48" s="246"/>
      <c r="L48" s="246"/>
      <c r="M48" s="246"/>
    </row>
    <row r="49" spans="2:16" s="30" customFormat="1" outlineLevel="2">
      <c r="B49" s="30" t="s">
        <v>120</v>
      </c>
      <c r="C49" s="310">
        <f t="shared" si="0"/>
        <v>9</v>
      </c>
      <c r="D49" s="57"/>
      <c r="F49" s="245"/>
      <c r="G49" s="246"/>
      <c r="H49" s="246"/>
      <c r="I49" s="246"/>
      <c r="J49" s="245"/>
      <c r="K49" s="246"/>
      <c r="L49" s="246"/>
      <c r="M49" s="246"/>
    </row>
    <row r="50" spans="2:16" s="30" customFormat="1" outlineLevel="2">
      <c r="C50" s="57"/>
      <c r="D50" s="57"/>
      <c r="F50" s="245"/>
      <c r="G50" s="246"/>
      <c r="H50" s="246"/>
      <c r="I50" s="246"/>
      <c r="J50" s="245"/>
      <c r="K50" s="246"/>
      <c r="L50" s="246"/>
      <c r="M50" s="246"/>
    </row>
    <row r="51" spans="2:16" s="30" customFormat="1" outlineLevel="2">
      <c r="C51" s="57"/>
      <c r="D51" s="57"/>
      <c r="F51" s="245"/>
      <c r="G51" s="246"/>
      <c r="H51" s="246"/>
      <c r="I51" s="246"/>
      <c r="J51" s="245"/>
      <c r="K51" s="246"/>
      <c r="L51" s="246"/>
      <c r="M51" s="246"/>
    </row>
    <row r="52" spans="2:16" s="30" customFormat="1" outlineLevel="2" collapsed="1">
      <c r="C52" s="57"/>
      <c r="D52" s="57"/>
      <c r="F52" s="245"/>
      <c r="G52" s="246"/>
      <c r="H52" s="246"/>
      <c r="I52" s="246"/>
      <c r="J52" s="245"/>
      <c r="K52" s="246"/>
      <c r="L52" s="246"/>
      <c r="M52" s="246"/>
    </row>
    <row r="53" spans="2:16" s="30" customFormat="1" outlineLevel="1">
      <c r="C53" s="57"/>
      <c r="D53" s="57"/>
      <c r="F53" s="54" t="s">
        <v>536</v>
      </c>
      <c r="G53" s="58"/>
      <c r="H53" s="58"/>
      <c r="I53" s="58"/>
      <c r="J53" s="54" t="s">
        <v>199</v>
      </c>
      <c r="K53" s="58"/>
      <c r="L53" s="58"/>
      <c r="M53" s="58"/>
    </row>
    <row r="54" spans="2:16" s="30" customFormat="1" ht="28.2" outlineLevel="1" thickBot="1">
      <c r="B54" s="59" t="s">
        <v>229</v>
      </c>
      <c r="C54" s="59" t="s">
        <v>110</v>
      </c>
      <c r="D54" s="60" t="s">
        <v>523</v>
      </c>
      <c r="E54" s="60" t="s">
        <v>505</v>
      </c>
      <c r="F54" s="60" t="s">
        <v>230</v>
      </c>
      <c r="G54" s="60" t="s">
        <v>169</v>
      </c>
      <c r="H54" s="60" t="s">
        <v>167</v>
      </c>
      <c r="I54" s="60" t="s">
        <v>231</v>
      </c>
      <c r="J54" s="60" t="s">
        <v>230</v>
      </c>
      <c r="K54" s="60" t="s">
        <v>169</v>
      </c>
      <c r="L54" s="60" t="s">
        <v>167</v>
      </c>
      <c r="M54" s="60" t="s">
        <v>231</v>
      </c>
      <c r="N54" s="60" t="s">
        <v>524</v>
      </c>
      <c r="O54" s="60" t="s">
        <v>184</v>
      </c>
      <c r="P54" s="60" t="s">
        <v>836</v>
      </c>
    </row>
    <row r="55" spans="2:16" s="30" customFormat="1" ht="14.4" outlineLevel="1">
      <c r="B55" s="62"/>
    </row>
    <row r="56" spans="2:16" s="30" customFormat="1" outlineLevel="1">
      <c r="B56" s="61" t="s">
        <v>226</v>
      </c>
      <c r="C56" s="335" t="str">
        <f>VLOOKUP(C$4,'Trading Comps_Input'!$B$9:$J$188,MATCH($B42,$B$42:$B$49,0)+1,FALSE)</f>
        <v>OB</v>
      </c>
      <c r="D56" s="335">
        <f>VLOOKUP(D$4,'Trading Comps_Input'!$B$9:$J$188,MATCH($B42,$B$42:$B$49,0)+1,FALSE)</f>
        <v>0</v>
      </c>
      <c r="E56" s="335">
        <f>VLOOKUP(E$4,'Trading Comps_Input'!$B$9:$J$188,MATCH($B42,$B$42:$B$49,0)+1,FALSE)</f>
        <v>0</v>
      </c>
      <c r="F56" s="335">
        <f>VLOOKUP(F$4,'Trading Comps_Input'!$B$9:$J$188,MATCH($B42,$B$42:$B$49,0)+1,FALSE)</f>
        <v>816110.18687400001</v>
      </c>
      <c r="G56" s="335">
        <f>VLOOKUP(G$4,'Trading Comps_Input'!$B$9:$J$188,MATCH($B42,$B$42:$B$49,0)+1,FALSE)</f>
        <v>251435.44508999999</v>
      </c>
      <c r="H56" s="335">
        <f>VLOOKUP(H$4,'Trading Comps_Input'!$B$9:$J$188,MATCH($B42,$B$42:$B$49,0)+1,FALSE)</f>
        <v>196305.65531900001</v>
      </c>
      <c r="I56" s="335">
        <f>VLOOKUP(I$4,'Trading Comps_Input'!$B$9:$J$188,MATCH($B42,$B$42:$B$49,0)+1,FALSE)</f>
        <v>6629.0535110659357</v>
      </c>
      <c r="J56" s="335">
        <f>VLOOKUP(J$4,'Trading Comps_Input'!$B$9:$J$188,MATCH($B42,$B$42:$B$49,0)+1,FALSE)</f>
        <v>840593.49248022004</v>
      </c>
      <c r="K56" s="335">
        <f>VLOOKUP(K$4,'Trading Comps_Input'!$B$9:$J$188,MATCH($B42,$B$42:$B$49,0)+1,FALSE)</f>
        <v>258978.5084427</v>
      </c>
      <c r="L56" s="335">
        <f>VLOOKUP(L$4,'Trading Comps_Input'!$B$9:$J$188,MATCH($B42,$B$42:$B$49,0)+1,FALSE)</f>
        <v>202194.82497857002</v>
      </c>
      <c r="M56" s="335">
        <f>VLOOKUP(M$4,'Trading Comps_Input'!$B$9:$J$188,MATCH($B42,$B$42:$B$49,0)+1,FALSE)</f>
        <v>6827.9251163979143</v>
      </c>
      <c r="N56" s="335">
        <f>VLOOKUP(N$4,'Trading Comps_Input'!$B$9:$J$188,MATCH($B42,$B$42:$B$49,0)+1,FALSE)</f>
        <v>2.5000000000000001E-2</v>
      </c>
      <c r="O56" s="335">
        <f>VLOOKUP(O$4,'Trading Comps_Input'!$B$9:$J$188,MATCH($B42,$B$42:$B$49,0)+1,FALSE)</f>
        <v>301945.90825400001</v>
      </c>
      <c r="P56" s="335">
        <f>VLOOKUP(P$4,'Trading Comps_Input'!$B$9:$J$188,MATCH($B42,$B$42:$B$49,0)+1,FALSE)</f>
        <v>20.611000000000001</v>
      </c>
    </row>
    <row r="57" spans="2:16" s="30" customFormat="1" outlineLevel="1">
      <c r="B57" s="201" t="s">
        <v>782</v>
      </c>
      <c r="C57" s="335" t="str">
        <f>VLOOKUP(C$4,'Trading Comps_Input'!$B$9:$J$188,MATCH($B43,$B$42:$B$49,0)+1,FALSE)</f>
        <v>KRX: 103150</v>
      </c>
      <c r="D57" s="335">
        <f>VLOOKUP(D$4,'Trading Comps_Input'!$B$9:$J$188,MATCH($B43,$B$42:$B$49,0)+1,FALSE)</f>
        <v>1624834.84</v>
      </c>
      <c r="E57" s="335">
        <f>VLOOKUP(E$4,'Trading Comps_Input'!$B$9:$J$188,MATCH($B43,$B$42:$B$49,0)+1,FALSE)</f>
        <v>2618390.4658650002</v>
      </c>
      <c r="F57" s="335">
        <f>VLOOKUP(F$4,'Trading Comps_Input'!$B$9:$J$188,MATCH($B43,$B$42:$B$49,0)+1,FALSE)</f>
        <v>1049535.950404</v>
      </c>
      <c r="G57" s="335">
        <f>VLOOKUP(G$4,'Trading Comps_Input'!$B$9:$J$188,MATCH($B43,$B$42:$B$49,0)+1,FALSE)</f>
        <v>259614.51060599997</v>
      </c>
      <c r="H57" s="335">
        <f>VLOOKUP(H$4,'Trading Comps_Input'!$B$9:$J$188,MATCH($B43,$B$42:$B$49,0)+1,FALSE)</f>
        <v>187129.78165599995</v>
      </c>
      <c r="I57" s="335">
        <f>VLOOKUP(I$4,'Trading Comps_Input'!$B$9:$J$188,MATCH($B43,$B$42:$B$49,0)+1,FALSE)</f>
        <v>10921.965297357603</v>
      </c>
      <c r="J57" s="335">
        <f>VLOOKUP(J$4,'Trading Comps_Input'!$B$9:$J$188,MATCH($B43,$B$42:$B$49,0)+1,FALSE)</f>
        <v>1066105.2263499999</v>
      </c>
      <c r="K57" s="335">
        <f>VLOOKUP(K$4,'Trading Comps_Input'!$B$9:$J$188,MATCH($B43,$B$42:$B$49,0)+1,FALSE)</f>
        <v>232221.750527</v>
      </c>
      <c r="L57" s="335">
        <f>VLOOKUP(L$4,'Trading Comps_Input'!$B$9:$J$188,MATCH($B43,$B$42:$B$49,0)+1,FALSE)</f>
        <v>151914.49230300001</v>
      </c>
      <c r="M57" s="335">
        <f>VLOOKUP(M$4,'Trading Comps_Input'!$B$9:$J$188,MATCH($B43,$B$42:$B$49,0)+1,FALSE)</f>
        <v>6821.3097589999998</v>
      </c>
      <c r="N57" s="335">
        <f>VLOOKUP(N$4,'Trading Comps_Input'!$B$9:$J$188,MATCH($B43,$B$42:$B$49,0)+1,FALSE)</f>
        <v>2.5000000000000001E-2</v>
      </c>
      <c r="O57" s="335">
        <f>VLOOKUP(O$4,'Trading Comps_Input'!$B$9:$J$188,MATCH($B43,$B$42:$B$49,0)+1,FALSE)</f>
        <v>993555.62586500007</v>
      </c>
      <c r="P57" s="335">
        <f>VLOOKUP(P$4,'Trading Comps_Input'!$B$9:$J$188,MATCH($B43,$B$42:$B$49,0)+1,FALSE)</f>
        <v>9.5578520000000005</v>
      </c>
    </row>
    <row r="58" spans="2:16" s="30" customFormat="1" outlineLevel="1">
      <c r="B58" s="30" t="s">
        <v>115</v>
      </c>
      <c r="C58" s="335" t="str">
        <f>VLOOKUP(C$4,'Trading Comps_Input'!$B$9:$J$188,MATCH($B44,$B$42:$B$49,0)+1,FALSE)</f>
        <v>TYO: 2502</v>
      </c>
      <c r="D58" s="335">
        <f>VLOOKUP(D$4,'Trading Comps_Input'!$B$9:$J$188,MATCH($B44,$B$42:$B$49,0)+1,FALSE)</f>
        <v>806123.85407200002</v>
      </c>
      <c r="E58" s="335">
        <f>VLOOKUP(E$4,'Trading Comps_Input'!$B$9:$J$188,MATCH($B44,$B$42:$B$49,0)+1,FALSE)</f>
        <v>1184147.8540719999</v>
      </c>
      <c r="F58" s="335">
        <f>VLOOKUP(F$4,'Trading Comps_Input'!$B$9:$J$188,MATCH($B44,$B$42:$B$49,0)+1,FALSE)</f>
        <v>1022318</v>
      </c>
      <c r="G58" s="335">
        <f>VLOOKUP(G$4,'Trading Comps_Input'!$B$9:$J$188,MATCH($B44,$B$42:$B$49,0)+1,FALSE)</f>
        <v>141149</v>
      </c>
      <c r="H58" s="335">
        <f>VLOOKUP(H$4,'Trading Comps_Input'!$B$9:$J$188,MATCH($B44,$B$42:$B$49,0)+1,FALSE)</f>
        <v>82777</v>
      </c>
      <c r="I58" s="335">
        <f>VLOOKUP(I$4,'Trading Comps_Input'!$B$9:$J$188,MATCH($B44,$B$42:$B$49,0)+1,FALSE)</f>
        <v>103.09652649154462</v>
      </c>
      <c r="J58" s="335">
        <f>VLOOKUP(J$4,'Trading Comps_Input'!$B$9:$J$188,MATCH($B44,$B$42:$B$49,0)+1,FALSE)</f>
        <v>1084231.539266</v>
      </c>
      <c r="K58" s="335">
        <f>VLOOKUP(K$4,'Trading Comps_Input'!$B$9:$J$188,MATCH($B44,$B$42:$B$49,0)+1,FALSE)</f>
        <v>162376.005011</v>
      </c>
      <c r="L58" s="335">
        <f>VLOOKUP(L$4,'Trading Comps_Input'!$B$9:$J$188,MATCH($B44,$B$42:$B$49,0)+1,FALSE)</f>
        <v>95386.572658999998</v>
      </c>
      <c r="M58" s="335">
        <f>VLOOKUP(M$4,'Trading Comps_Input'!$B$9:$J$188,MATCH($B44,$B$42:$B$49,0)+1,FALSE)</f>
        <v>115.685643</v>
      </c>
      <c r="N58" s="335">
        <f>VLOOKUP(N$4,'Trading Comps_Input'!$B$9:$J$188,MATCH($B44,$B$42:$B$49,0)+1,FALSE)</f>
        <v>3.5000000000000003E-2</v>
      </c>
      <c r="O58" s="335">
        <f>VLOOKUP(O$4,'Trading Comps_Input'!$B$9:$J$188,MATCH($B44,$B$42:$B$49,0)+1,FALSE)</f>
        <v>378024</v>
      </c>
      <c r="P58" s="335">
        <f>VLOOKUP(P$4,'Trading Comps_Input'!$B$9:$J$188,MATCH($B44,$B$42:$B$49,0)+1,FALSE)</f>
        <v>465.42947694688223</v>
      </c>
    </row>
    <row r="59" spans="2:16" s="30" customFormat="1" outlineLevel="1">
      <c r="B59" s="30" t="s">
        <v>116</v>
      </c>
      <c r="C59" s="335" t="str">
        <f>VLOOKUP(C$4,'Trading Comps_Input'!$B$9:$J$188,MATCH($B45,$B$42:$B$49,0)+1,FALSE)</f>
        <v>SEHK:168</v>
      </c>
      <c r="D59" s="335">
        <f>VLOOKUP(D$4,'Trading Comps_Input'!$B$9:$J$188,MATCH($B45,$B$42:$B$49,0)+1,FALSE)</f>
        <v>21676.90946304</v>
      </c>
      <c r="E59" s="335">
        <f>VLOOKUP(E$4,'Trading Comps_Input'!$B$9:$J$188,MATCH($B45,$B$42:$B$49,0)+1,FALSE)</f>
        <v>17888.82927604</v>
      </c>
      <c r="F59" s="335">
        <f>VLOOKUP(F$4,'Trading Comps_Input'!$B$9:$J$188,MATCH($B45,$B$42:$B$49,0)+1,FALSE)</f>
        <v>18026.107887999999</v>
      </c>
      <c r="G59" s="335">
        <f>VLOOKUP(G$4,'Trading Comps_Input'!$B$9:$J$188,MATCH($B45,$B$42:$B$49,0)+1,FALSE)</f>
        <v>2065.442665</v>
      </c>
      <c r="H59" s="335">
        <f>VLOOKUP(H$4,'Trading Comps_Input'!$B$9:$J$188,MATCH($B45,$B$42:$B$49,0)+1,FALSE)</f>
        <v>1520.6809309999999</v>
      </c>
      <c r="I59" s="335">
        <f>VLOOKUP(I$4,'Trading Comps_Input'!$B$9:$J$188,MATCH($B45,$B$42:$B$49,0)+1,FALSE)</f>
        <v>0.95009958813527728</v>
      </c>
      <c r="J59" s="335">
        <f>VLOOKUP(J$4,'Trading Comps_Input'!$B$9:$J$188,MATCH($B45,$B$42:$B$49,0)+1,FALSE)</f>
        <v>20524.903630000001</v>
      </c>
      <c r="K59" s="335">
        <f>VLOOKUP(K$4,'Trading Comps_Input'!$B$9:$J$188,MATCH($B45,$B$42:$B$49,0)+1,FALSE)</f>
        <v>2486.269726</v>
      </c>
      <c r="L59" s="335">
        <f>VLOOKUP(L$4,'Trading Comps_Input'!$B$9:$J$188,MATCH($B45,$B$42:$B$49,0)+1,FALSE)</f>
        <v>1905.3394960000001</v>
      </c>
      <c r="M59" s="335">
        <f>VLOOKUP(M$4,'Trading Comps_Input'!$B$9:$J$188,MATCH($B45,$B$42:$B$49,0)+1,FALSE)</f>
        <v>1.129899</v>
      </c>
      <c r="N59" s="335">
        <f>VLOOKUP(N$4,'Trading Comps_Input'!$B$9:$J$188,MATCH($B45,$B$42:$B$49,0)+1,FALSE)</f>
        <v>3.5000000000000003E-2</v>
      </c>
      <c r="O59" s="335">
        <f>VLOOKUP(O$4,'Trading Comps_Input'!$B$9:$J$188,MATCH($B45,$B$42:$B$49,0)+1,FALSE)</f>
        <v>-3788.0801870000005</v>
      </c>
      <c r="P59" s="335">
        <f>VLOOKUP(P$4,'Trading Comps_Input'!$B$9:$J$188,MATCH($B45,$B$42:$B$49,0)+1,FALSE)</f>
        <v>1315.346448</v>
      </c>
    </row>
    <row r="60" spans="2:16" s="30" customFormat="1" outlineLevel="1">
      <c r="B60" s="30" t="s">
        <v>117</v>
      </c>
      <c r="C60" s="335" t="str">
        <f>VLOOKUP(C$4,'Trading Comps_Input'!$B$9:$J$188,MATCH($B46,$B$42:$B$49,0)+1,FALSE)</f>
        <v>CPSE:CARL B</v>
      </c>
      <c r="D60" s="335">
        <f>VLOOKUP(D$4,'Trading Comps_Input'!$B$9:$J$188,MATCH($B46,$B$42:$B$49,0)+1,FALSE)</f>
        <v>60461.073728710013</v>
      </c>
      <c r="E60" s="335">
        <f>VLOOKUP(E$4,'Trading Comps_Input'!$B$9:$J$188,MATCH($B46,$B$42:$B$49,0)+1,FALSE)</f>
        <v>101784.07372871001</v>
      </c>
      <c r="F60" s="335">
        <f>VLOOKUP(F$4,'Trading Comps_Input'!$B$9:$J$188,MATCH($B46,$B$42:$B$49,0)+1,FALSE)</f>
        <v>59382</v>
      </c>
      <c r="G60" s="335">
        <f>VLOOKUP(G$4,'Trading Comps_Input'!$B$9:$J$188,MATCH($B46,$B$42:$B$49,0)+1,FALSE)</f>
        <v>13307</v>
      </c>
      <c r="H60" s="335">
        <f>VLOOKUP(H$4,'Trading Comps_Input'!$B$9:$J$188,MATCH($B46,$B$42:$B$49,0)+1,FALSE)</f>
        <v>9538</v>
      </c>
      <c r="I60" s="335">
        <f>VLOOKUP(I$4,'Trading Comps_Input'!$B$9:$J$188,MATCH($B46,$B$42:$B$49,0)+1,FALSE)</f>
        <v>33.210292195762513</v>
      </c>
      <c r="J60" s="335">
        <f>VLOOKUP(J$4,'Trading Comps_Input'!$B$9:$J$188,MATCH($B46,$B$42:$B$49,0)+1,FALSE)</f>
        <v>60124.231254999999</v>
      </c>
      <c r="K60" s="335">
        <f>VLOOKUP(K$4,'Trading Comps_Input'!$B$9:$J$188,MATCH($B46,$B$42:$B$49,0)+1,FALSE)</f>
        <v>13519.077848000001</v>
      </c>
      <c r="L60" s="335">
        <f>VLOOKUP(L$4,'Trading Comps_Input'!$B$9:$J$188,MATCH($B46,$B$42:$B$49,0)+1,FALSE)</f>
        <v>9759.7655460000005</v>
      </c>
      <c r="M60" s="335">
        <f>VLOOKUP(M$4,'Trading Comps_Input'!$B$9:$J$188,MATCH($B46,$B$42:$B$49,0)+1,FALSE)</f>
        <v>33.098190000000002</v>
      </c>
      <c r="N60" s="335">
        <f>VLOOKUP(N$4,'Trading Comps_Input'!$B$9:$J$188,MATCH($B46,$B$42:$B$49,0)+1,FALSE)</f>
        <v>0.03</v>
      </c>
      <c r="O60" s="335">
        <f>VLOOKUP(O$4,'Trading Comps_Input'!$B$9:$J$188,MATCH($B46,$B$42:$B$49,0)+1,FALSE)</f>
        <v>41323</v>
      </c>
      <c r="P60" s="335">
        <f>VLOOKUP(P$4,'Trading Comps_Input'!$B$9:$J$188,MATCH($B46,$B$42:$B$49,0)+1,FALSE)</f>
        <v>152.64093342264582</v>
      </c>
    </row>
    <row r="61" spans="2:16" s="30" customFormat="1" outlineLevel="1">
      <c r="B61" s="30" t="s">
        <v>118</v>
      </c>
      <c r="C61" s="335" t="str">
        <f>VLOOKUP(C$4,'Trading Comps_Input'!$B$9:$J$188,MATCH($B47,$B$42:$B$49,0)+1,FALSE)</f>
        <v>ENXTAM:HEIA</v>
      </c>
      <c r="D61" s="335">
        <f>VLOOKUP(D$4,'Trading Comps_Input'!$B$9:$J$188,MATCH($B47,$B$42:$B$49,0)+1,FALSE)</f>
        <v>17490.18673791</v>
      </c>
      <c r="E61" s="335">
        <f>VLOOKUP(E$4,'Trading Comps_Input'!$B$9:$J$188,MATCH($B47,$B$42:$B$49,0)+1,FALSE)</f>
        <v>25968.18673791</v>
      </c>
      <c r="F61" s="335">
        <f>VLOOKUP(F$4,'Trading Comps_Input'!$B$9:$J$188,MATCH($B47,$B$42:$B$49,0)+1,FALSE)</f>
        <v>14701</v>
      </c>
      <c r="G61" s="335">
        <f>VLOOKUP(G$4,'Trading Comps_Input'!$B$9:$J$188,MATCH($B47,$B$42:$B$49,0)+1,FALSE)</f>
        <v>2672</v>
      </c>
      <c r="H61" s="335">
        <f>VLOOKUP(H$4,'Trading Comps_Input'!$B$9:$J$188,MATCH($B47,$B$42:$B$49,0)+1,FALSE)</f>
        <v>1777</v>
      </c>
      <c r="I61" s="335">
        <f>VLOOKUP(I$4,'Trading Comps_Input'!$B$9:$J$188,MATCH($B47,$B$42:$B$49,0)+1,FALSE)</f>
        <v>1.8990460620987633</v>
      </c>
      <c r="J61" s="335">
        <f>VLOOKUP(J$4,'Trading Comps_Input'!$B$9:$J$188,MATCH($B47,$B$42:$B$49,0)+1,FALSE)</f>
        <v>16327.515762000001</v>
      </c>
      <c r="K61" s="335">
        <f>VLOOKUP(K$4,'Trading Comps_Input'!$B$9:$J$188,MATCH($B47,$B$42:$B$49,0)+1,FALSE)</f>
        <v>3186.5032500000002</v>
      </c>
      <c r="L61" s="335">
        <f>VLOOKUP(L$4,'Trading Comps_Input'!$B$9:$J$188,MATCH($B47,$B$42:$B$49,0)+1,FALSE)</f>
        <v>1986.258656</v>
      </c>
      <c r="M61" s="335">
        <f>VLOOKUP(M$4,'Trading Comps_Input'!$B$9:$J$188,MATCH($B47,$B$42:$B$49,0)+1,FALSE)</f>
        <v>2.711287</v>
      </c>
      <c r="N61" s="335">
        <f>VLOOKUP(N$4,'Trading Comps_Input'!$B$9:$J$188,MATCH($B47,$B$42:$B$49,0)+1,FALSE)</f>
        <v>3.5000000000000003E-2</v>
      </c>
      <c r="O61" s="335">
        <f>VLOOKUP(O$4,'Trading Comps_Input'!$B$9:$J$188,MATCH($B47,$B$42:$B$49,0)+1,FALSE)</f>
        <v>8478</v>
      </c>
      <c r="P61" s="335">
        <f>VLOOKUP(P$4,'Trading Comps_Input'!$B$9:$J$188,MATCH($B47,$B$42:$B$49,0)+1,FALSE)</f>
        <v>488.41627304970677</v>
      </c>
    </row>
    <row r="62" spans="2:16" s="30" customFormat="1" outlineLevel="1">
      <c r="B62" s="30" t="s">
        <v>119</v>
      </c>
      <c r="C62" s="335" t="str">
        <f>VLOOKUP(C$4,'Trading Comps_Input'!$B$9:$J$188,MATCH($B48,$B$42:$B$49,0)+1,FALSE)</f>
        <v>NYSE: TAP</v>
      </c>
      <c r="D62" s="335">
        <f>VLOOKUP(D$4,'Trading Comps_Input'!$B$9:$J$188,MATCH($B48,$B$42:$B$49,0)+1,FALSE)</f>
        <v>4233.8240000000005</v>
      </c>
      <c r="E62" s="335">
        <f>VLOOKUP(E$4,'Trading Comps_Input'!$B$9:$J$188,MATCH($B48,$B$42:$B$49,0)+1,FALSE)</f>
        <v>5225.8240000000005</v>
      </c>
      <c r="F62" s="335">
        <f>VLOOKUP(F$4,'Trading Comps_Input'!$B$9:$J$188,MATCH($B48,$B$42:$B$49,0)+1,FALSE)</f>
        <v>3032.4</v>
      </c>
      <c r="G62" s="335">
        <f>VLOOKUP(G$4,'Trading Comps_Input'!$B$9:$J$188,MATCH($B48,$B$42:$B$49,0)+1,FALSE)</f>
        <v>631.6</v>
      </c>
      <c r="H62" s="335">
        <f>VLOOKUP(H$4,'Trading Comps_Input'!$B$9:$J$188,MATCH($B48,$B$42:$B$49,0)+1,FALSE)</f>
        <v>423.6</v>
      </c>
      <c r="I62" s="335">
        <f>VLOOKUP(I$4,'Trading Comps_Input'!$B$9:$J$188,MATCH($B48,$B$42:$B$49,0)+1,FALSE)</f>
        <v>0.99772668112798224</v>
      </c>
      <c r="J62" s="335">
        <f>VLOOKUP(J$4,'Trading Comps_Input'!$B$9:$J$188,MATCH($B48,$B$42:$B$49,0)+1,FALSE)</f>
        <v>3371.9868670000001</v>
      </c>
      <c r="K62" s="335">
        <f>VLOOKUP(K$4,'Trading Comps_Input'!$B$9:$J$188,MATCH($B48,$B$42:$B$49,0)+1,FALSE)</f>
        <v>639.03856900000005</v>
      </c>
      <c r="L62" s="335">
        <f>VLOOKUP(L$4,'Trading Comps_Input'!$B$9:$J$188,MATCH($B48,$B$42:$B$49,0)+1,FALSE)</f>
        <v>426.09415799999999</v>
      </c>
      <c r="M62" s="335">
        <f>VLOOKUP(M$4,'Trading Comps_Input'!$B$9:$J$188,MATCH($B48,$B$42:$B$49,0)+1,FALSE)</f>
        <v>3.6686960000000002</v>
      </c>
      <c r="N62" s="335">
        <f>VLOOKUP(N$4,'Trading Comps_Input'!$B$9:$J$188,MATCH($B48,$B$42:$B$49,0)+1,FALSE)</f>
        <v>1.4999999999999999E-2</v>
      </c>
      <c r="O62" s="335">
        <f>VLOOKUP(O$4,'Trading Comps_Input'!$B$9:$J$188,MATCH($B48,$B$42:$B$49,0)+1,FALSE)</f>
        <v>992</v>
      </c>
      <c r="P62" s="335">
        <f>VLOOKUP(P$4,'Trading Comps_Input'!$B$9:$J$188,MATCH($B48,$B$42:$B$49,0)+1,FALSE)</f>
        <v>184.4</v>
      </c>
    </row>
    <row r="63" spans="2:16" s="30" customFormat="1" outlineLevel="1">
      <c r="B63" s="30" t="s">
        <v>120</v>
      </c>
      <c r="C63" s="335" t="str">
        <f>VLOOKUP(C$4,'Trading Comps_Input'!$B$9:$J$188,MATCH($B49,$B$42:$B$49,0)+1,FALSE)</f>
        <v>NYSE: SAM</v>
      </c>
      <c r="D63" s="335">
        <f>VLOOKUP(D$4,'Trading Comps_Input'!$B$9:$J$188,MATCH($B49,$B$42:$B$49,0)+1,FALSE)</f>
        <v>705.58541919999993</v>
      </c>
      <c r="E63" s="335">
        <f>VLOOKUP(E$4,'Trading Comps_Input'!$B$9:$J$188,MATCH($B49,$B$42:$B$49,0)+1,FALSE)</f>
        <v>650.10441919999994</v>
      </c>
      <c r="F63" s="335">
        <f>VLOOKUP(F$4,'Trading Comps_Input'!$B$9:$J$188,MATCH($B49,$B$42:$B$49,0)+1,FALSE)</f>
        <v>415.053</v>
      </c>
      <c r="G63" s="335">
        <f>VLOOKUP(G$4,'Trading Comps_Input'!$B$9:$J$188,MATCH($B49,$B$42:$B$49,0)+1,FALSE)</f>
        <v>72.23899999999999</v>
      </c>
      <c r="H63" s="335">
        <f>VLOOKUP(H$4,'Trading Comps_Input'!$B$9:$J$188,MATCH($B49,$B$42:$B$49,0)+1,FALSE)</f>
        <v>55.319999999999993</v>
      </c>
      <c r="I63" s="335">
        <f>VLOOKUP(I$4,'Trading Comps_Input'!$B$9:$J$188,MATCH($B49,$B$42:$B$49,0)+1,FALSE)</f>
        <v>2.2702952698430705</v>
      </c>
      <c r="J63" s="335">
        <f>VLOOKUP(J$4,'Trading Comps_Input'!$B$9:$J$188,MATCH($B49,$B$42:$B$49,0)+1,FALSE)</f>
        <v>446.19518199999999</v>
      </c>
      <c r="K63" s="335">
        <f>VLOOKUP(K$4,'Trading Comps_Input'!$B$9:$J$188,MATCH($B49,$B$42:$B$49,0)+1,FALSE)</f>
        <v>102.673564</v>
      </c>
      <c r="L63" s="335">
        <f>VLOOKUP(L$4,'Trading Comps_Input'!$B$9:$J$188,MATCH($B49,$B$42:$B$49,0)+1,FALSE)</f>
        <v>83.819889000000003</v>
      </c>
      <c r="M63" s="335">
        <f>VLOOKUP(M$4,'Trading Comps_Input'!$B$9:$J$188,MATCH($B49,$B$42:$B$49,0)+1,FALSE)</f>
        <v>3.4072290000000001</v>
      </c>
      <c r="N63" s="335">
        <f>VLOOKUP(N$4,'Trading Comps_Input'!$B$9:$J$188,MATCH($B49,$B$42:$B$49,0)+1,FALSE)</f>
        <v>3.5000000000000003E-2</v>
      </c>
      <c r="O63" s="335">
        <f>VLOOKUP(O$4,'Trading Comps_Input'!$B$9:$J$188,MATCH($B49,$B$42:$B$49,0)+1,FALSE)</f>
        <v>-55.481000000000002</v>
      </c>
      <c r="P63" s="335">
        <f>VLOOKUP(P$4,'Trading Comps_Input'!$B$9:$J$188,MATCH($B49,$B$42:$B$49,0)+1,FALSE)</f>
        <v>14.845054054281505</v>
      </c>
    </row>
    <row r="64" spans="2:16" s="30" customFormat="1" outlineLevel="1">
      <c r="O64" s="40"/>
    </row>
    <row r="65" spans="1:16" s="30" customFormat="1" outlineLevel="1">
      <c r="A65" s="261"/>
      <c r="B65" s="261" t="s">
        <v>837</v>
      </c>
      <c r="C65" s="263"/>
      <c r="D65" s="263"/>
      <c r="E65" s="262"/>
      <c r="F65" s="264"/>
      <c r="G65" s="265"/>
      <c r="H65" s="265"/>
      <c r="I65" s="265"/>
      <c r="J65" s="264"/>
      <c r="K65" s="265"/>
      <c r="L65" s="265"/>
      <c r="M65" s="265"/>
      <c r="N65" s="262"/>
      <c r="O65" s="262"/>
      <c r="P65" s="262"/>
    </row>
    <row r="66" spans="1:16" s="30" customFormat="1" outlineLevel="1">
      <c r="O66" s="40"/>
    </row>
    <row r="67" spans="1:16" s="30" customFormat="1" ht="14.4" outlineLevel="1">
      <c r="B67" s="312" t="s">
        <v>878</v>
      </c>
      <c r="O67" s="40"/>
    </row>
    <row r="68" spans="1:16" s="30" customFormat="1" outlineLevel="2">
      <c r="O68" s="40"/>
    </row>
    <row r="69" spans="1:16" s="30" customFormat="1" outlineLevel="2">
      <c r="B69" s="30" t="s">
        <v>227</v>
      </c>
      <c r="C69" s="30" t="s">
        <v>838</v>
      </c>
      <c r="D69" s="30" t="s">
        <v>831</v>
      </c>
      <c r="E69" s="30" t="s">
        <v>115</v>
      </c>
      <c r="F69" s="30" t="s">
        <v>116</v>
      </c>
      <c r="G69" s="30" t="s">
        <v>117</v>
      </c>
      <c r="H69" s="30" t="s">
        <v>118</v>
      </c>
      <c r="I69" s="30" t="s">
        <v>119</v>
      </c>
      <c r="J69" s="30" t="s">
        <v>120</v>
      </c>
      <c r="O69" s="40"/>
    </row>
    <row r="70" spans="1:16" s="30" customFormat="1" outlineLevel="2">
      <c r="B70" s="30" t="s">
        <v>110</v>
      </c>
      <c r="C70" s="37" t="str">
        <f>HLOOKUP(C$69,'Trading Comps_Input'!$B$9:$J$188,MATCH($B70,'Trading Comps_Input'!$B$9:$B$188,0),FALSE)</f>
        <v>OB</v>
      </c>
      <c r="D70" s="37" t="str">
        <f>HLOOKUP(D$69,'Trading Comps_Input'!$B$9:$J$188,MATCH($B70,'Trading Comps_Input'!$B$9:$B$188,0),FALSE)</f>
        <v>KRX: 103150</v>
      </c>
      <c r="E70" s="37" t="str">
        <f>HLOOKUP(E$69,'Trading Comps_Input'!$B$9:$J$188,MATCH($B70,'Trading Comps_Input'!$B$9:$B$188,0),FALSE)</f>
        <v>TYO: 2502</v>
      </c>
      <c r="F70" s="37" t="str">
        <f>HLOOKUP(F$69,'Trading Comps_Input'!$B$9:$J$188,MATCH($B70,'Trading Comps_Input'!$B$9:$B$188,0),FALSE)</f>
        <v>SEHK:168</v>
      </c>
      <c r="G70" s="37" t="str">
        <f>HLOOKUP(G$69,'Trading Comps_Input'!$B$9:$J$188,MATCH($B70,'Trading Comps_Input'!$B$9:$B$188,0),FALSE)</f>
        <v>CPSE:CARL B</v>
      </c>
      <c r="H70" s="37" t="str">
        <f>HLOOKUP(H$69,'Trading Comps_Input'!$B$9:$J$188,MATCH($B70,'Trading Comps_Input'!$B$9:$B$188,0),FALSE)</f>
        <v>ENXTAM:HEIA</v>
      </c>
      <c r="I70" s="37" t="str">
        <f>HLOOKUP(I$69,'Trading Comps_Input'!$B$9:$J$188,MATCH($B70,'Trading Comps_Input'!$B$9:$B$188,0),FALSE)</f>
        <v>NYSE: TAP</v>
      </c>
      <c r="J70" s="37" t="str">
        <f>HLOOKUP(J$69,'Trading Comps_Input'!$B$9:$J$188,MATCH($B70,'Trading Comps_Input'!$B$9:$B$188,0),FALSE)</f>
        <v>NYSE: SAM</v>
      </c>
      <c r="O70" s="40"/>
    </row>
    <row r="71" spans="1:16" s="30" customFormat="1" outlineLevel="2">
      <c r="B71" s="30" t="s">
        <v>208</v>
      </c>
      <c r="C71" s="311" cm="1">
        <f t="array" ref="C71:J83">TRANSPOSE(D56:P63)</f>
        <v>0</v>
      </c>
      <c r="D71" s="311">
        <v>1624834.84</v>
      </c>
      <c r="E71" s="311">
        <v>806123.85407200002</v>
      </c>
      <c r="F71" s="311">
        <v>21676.90946304</v>
      </c>
      <c r="G71" s="311">
        <v>60461.073728710013</v>
      </c>
      <c r="H71" s="311">
        <v>17490.18673791</v>
      </c>
      <c r="I71" s="311">
        <v>4233.8240000000005</v>
      </c>
      <c r="J71" s="311">
        <v>705.58541919999993</v>
      </c>
      <c r="O71" s="40"/>
    </row>
    <row r="72" spans="1:16" s="30" customFormat="1" outlineLevel="2">
      <c r="B72" s="30" t="s">
        <v>209</v>
      </c>
      <c r="C72" s="311">
        <v>0</v>
      </c>
      <c r="D72" s="311">
        <v>2618390.4658650002</v>
      </c>
      <c r="E72" s="311">
        <v>1184147.8540719999</v>
      </c>
      <c r="F72" s="311">
        <v>17888.82927604</v>
      </c>
      <c r="G72" s="311">
        <v>101784.07372871001</v>
      </c>
      <c r="H72" s="311">
        <v>25968.18673791</v>
      </c>
      <c r="I72" s="311">
        <v>5225.8240000000005</v>
      </c>
      <c r="J72" s="311">
        <v>650.10441919999994</v>
      </c>
      <c r="O72" s="40"/>
    </row>
    <row r="73" spans="1:16" s="30" customFormat="1" outlineLevel="2">
      <c r="B73" s="30" t="s">
        <v>242</v>
      </c>
      <c r="C73" s="311">
        <v>816110.18687400001</v>
      </c>
      <c r="D73" s="311">
        <v>1049535.950404</v>
      </c>
      <c r="E73" s="311">
        <v>1022318</v>
      </c>
      <c r="F73" s="311">
        <v>18026.107887999999</v>
      </c>
      <c r="G73" s="311">
        <v>59382</v>
      </c>
      <c r="H73" s="311">
        <v>14701</v>
      </c>
      <c r="I73" s="311">
        <v>3032.4</v>
      </c>
      <c r="J73" s="311">
        <v>415.053</v>
      </c>
      <c r="O73" s="40"/>
    </row>
    <row r="74" spans="1:16" s="30" customFormat="1" outlineLevel="2">
      <c r="B74" s="30" t="s">
        <v>244</v>
      </c>
      <c r="C74" s="311">
        <v>251435.44508999999</v>
      </c>
      <c r="D74" s="311">
        <v>259614.51060599997</v>
      </c>
      <c r="E74" s="311">
        <v>141149</v>
      </c>
      <c r="F74" s="311">
        <v>2065.442665</v>
      </c>
      <c r="G74" s="311">
        <v>13307</v>
      </c>
      <c r="H74" s="311">
        <v>2672</v>
      </c>
      <c r="I74" s="311">
        <v>631.6</v>
      </c>
      <c r="J74" s="311">
        <v>72.23899999999999</v>
      </c>
      <c r="O74" s="40"/>
    </row>
    <row r="75" spans="1:16" s="30" customFormat="1" outlineLevel="2">
      <c r="B75" s="30" t="s">
        <v>246</v>
      </c>
      <c r="C75" s="311">
        <v>196305.65531900001</v>
      </c>
      <c r="D75" s="311">
        <v>187129.78165599995</v>
      </c>
      <c r="E75" s="311">
        <v>82777</v>
      </c>
      <c r="F75" s="311">
        <v>1520.6809309999999</v>
      </c>
      <c r="G75" s="311">
        <v>9538</v>
      </c>
      <c r="H75" s="311">
        <v>1777</v>
      </c>
      <c r="I75" s="311">
        <v>423.6</v>
      </c>
      <c r="J75" s="311">
        <v>55.319999999999993</v>
      </c>
      <c r="O75" s="40"/>
    </row>
    <row r="76" spans="1:16" s="30" customFormat="1" outlineLevel="2">
      <c r="B76" s="30" t="s">
        <v>248</v>
      </c>
      <c r="C76" s="311">
        <v>6629.0535110659357</v>
      </c>
      <c r="D76" s="311">
        <v>10921.965297357603</v>
      </c>
      <c r="E76" s="311">
        <v>103.09652649154462</v>
      </c>
      <c r="F76" s="311">
        <v>0.95009958813527728</v>
      </c>
      <c r="G76" s="311">
        <v>33.210292195762513</v>
      </c>
      <c r="H76" s="311">
        <v>1.8990460620987633</v>
      </c>
      <c r="I76" s="311">
        <v>0.99772668112798224</v>
      </c>
      <c r="J76" s="311">
        <v>2.2702952698430705</v>
      </c>
      <c r="O76" s="40"/>
    </row>
    <row r="77" spans="1:16" s="30" customFormat="1" outlineLevel="2">
      <c r="B77" s="30" t="s">
        <v>200</v>
      </c>
      <c r="C77" s="311">
        <v>840593.49248022004</v>
      </c>
      <c r="D77" s="311">
        <v>1066105.2263499999</v>
      </c>
      <c r="E77" s="311">
        <v>1084231.539266</v>
      </c>
      <c r="F77" s="311">
        <v>20524.903630000001</v>
      </c>
      <c r="G77" s="311">
        <v>60124.231254999999</v>
      </c>
      <c r="H77" s="311">
        <v>16327.515762000001</v>
      </c>
      <c r="I77" s="311">
        <v>3371.9868670000001</v>
      </c>
      <c r="J77" s="311">
        <v>446.19518199999999</v>
      </c>
      <c r="O77" s="40"/>
    </row>
    <row r="78" spans="1:16" s="30" customFormat="1" outlineLevel="2">
      <c r="B78" s="30" t="s">
        <v>201</v>
      </c>
      <c r="C78" s="311">
        <v>258978.5084427</v>
      </c>
      <c r="D78" s="311">
        <v>232221.750527</v>
      </c>
      <c r="E78" s="311">
        <v>162376.005011</v>
      </c>
      <c r="F78" s="311">
        <v>2486.269726</v>
      </c>
      <c r="G78" s="311">
        <v>13519.077848000001</v>
      </c>
      <c r="H78" s="311">
        <v>3186.5032500000002</v>
      </c>
      <c r="I78" s="311">
        <v>639.03856900000005</v>
      </c>
      <c r="J78" s="311">
        <v>102.673564</v>
      </c>
      <c r="O78" s="40"/>
    </row>
    <row r="79" spans="1:16" s="30" customFormat="1" outlineLevel="2">
      <c r="B79" s="30" t="s">
        <v>202</v>
      </c>
      <c r="C79" s="311">
        <v>202194.82497857002</v>
      </c>
      <c r="D79" s="311">
        <v>151914.49230300001</v>
      </c>
      <c r="E79" s="311">
        <v>95386.572658999998</v>
      </c>
      <c r="F79" s="311">
        <v>1905.3394960000001</v>
      </c>
      <c r="G79" s="311">
        <v>9759.7655460000005</v>
      </c>
      <c r="H79" s="311">
        <v>1986.258656</v>
      </c>
      <c r="I79" s="311">
        <v>426.09415799999999</v>
      </c>
      <c r="J79" s="311">
        <v>83.819889000000003</v>
      </c>
      <c r="O79" s="40"/>
    </row>
    <row r="80" spans="1:16" s="30" customFormat="1" outlineLevel="2">
      <c r="B80" s="30" t="s">
        <v>203</v>
      </c>
      <c r="C80" s="311">
        <v>6827.9251163979143</v>
      </c>
      <c r="D80" s="311">
        <v>6821.3097589999998</v>
      </c>
      <c r="E80" s="311">
        <v>115.685643</v>
      </c>
      <c r="F80" s="311">
        <v>1.129899</v>
      </c>
      <c r="G80" s="311">
        <v>33.098190000000002</v>
      </c>
      <c r="H80" s="311">
        <v>2.711287</v>
      </c>
      <c r="I80" s="311">
        <v>3.6686960000000002</v>
      </c>
      <c r="J80" s="311">
        <v>3.4072290000000001</v>
      </c>
      <c r="O80" s="40"/>
    </row>
    <row r="81" spans="2:16" s="30" customFormat="1" outlineLevel="2">
      <c r="B81" s="30" t="s">
        <v>191</v>
      </c>
      <c r="C81" s="311">
        <v>2.5000000000000001E-2</v>
      </c>
      <c r="D81" s="311">
        <v>2.5000000000000001E-2</v>
      </c>
      <c r="E81" s="311">
        <v>3.5000000000000003E-2</v>
      </c>
      <c r="F81" s="311">
        <v>3.5000000000000003E-2</v>
      </c>
      <c r="G81" s="311">
        <v>0.03</v>
      </c>
      <c r="H81" s="311">
        <v>3.5000000000000003E-2</v>
      </c>
      <c r="I81" s="311">
        <v>1.4999999999999999E-2</v>
      </c>
      <c r="J81" s="311">
        <v>3.5000000000000003E-2</v>
      </c>
      <c r="O81" s="40"/>
    </row>
    <row r="82" spans="2:16" s="30" customFormat="1" outlineLevel="2">
      <c r="B82" s="30" t="s">
        <v>184</v>
      </c>
      <c r="C82" s="311">
        <v>301945.90825400001</v>
      </c>
      <c r="D82" s="311">
        <v>993555.62586500007</v>
      </c>
      <c r="E82" s="311">
        <v>378024</v>
      </c>
      <c r="F82" s="311">
        <v>-3788.0801870000005</v>
      </c>
      <c r="G82" s="311">
        <v>41323</v>
      </c>
      <c r="H82" s="311">
        <v>8478</v>
      </c>
      <c r="I82" s="311">
        <v>992</v>
      </c>
      <c r="J82" s="311">
        <v>-55.481000000000002</v>
      </c>
      <c r="O82" s="40"/>
    </row>
    <row r="83" spans="2:16" s="30" customFormat="1" outlineLevel="2">
      <c r="B83" s="30" t="s">
        <v>207</v>
      </c>
      <c r="C83" s="311">
        <v>20.611000000000001</v>
      </c>
      <c r="D83" s="311">
        <v>9.5578520000000005</v>
      </c>
      <c r="E83" s="311">
        <v>465.42947694688223</v>
      </c>
      <c r="F83" s="311">
        <v>1315.346448</v>
      </c>
      <c r="G83" s="311">
        <v>152.64093342264582</v>
      </c>
      <c r="H83" s="311">
        <v>488.41627304970677</v>
      </c>
      <c r="I83" s="311">
        <v>184.4</v>
      </c>
      <c r="J83" s="311">
        <v>14.845054054281505</v>
      </c>
      <c r="O83" s="40"/>
    </row>
    <row r="84" spans="2:16" s="30" customFormat="1" outlineLevel="2">
      <c r="O84" s="40"/>
    </row>
    <row r="85" spans="2:16" s="30" customFormat="1" outlineLevel="2">
      <c r="C85" s="146"/>
      <c r="D85" s="146"/>
      <c r="E85" s="146"/>
      <c r="F85" s="146"/>
      <c r="G85" s="146"/>
      <c r="H85" s="146"/>
      <c r="I85" s="146"/>
    </row>
    <row r="86" spans="2:16" s="30" customFormat="1" outlineLevel="2">
      <c r="C86" s="146"/>
      <c r="D86" s="146"/>
      <c r="E86" s="146"/>
      <c r="F86" s="146"/>
      <c r="G86" s="146"/>
      <c r="H86" s="146"/>
      <c r="I86" s="146"/>
    </row>
    <row r="87" spans="2:16" s="30" customFormat="1" outlineLevel="2">
      <c r="B87" s="239" t="s">
        <v>839</v>
      </c>
      <c r="C87" s="146"/>
      <c r="D87" s="146"/>
      <c r="E87" s="146"/>
      <c r="F87" s="146"/>
      <c r="G87" s="146"/>
      <c r="H87" s="146"/>
      <c r="I87" s="146"/>
    </row>
    <row r="88" spans="2:16" s="30" customFormat="1" outlineLevel="2">
      <c r="B88" s="110" t="str" cm="1">
        <f t="array" ref="B88:P88">TRANSPOSE(B69:B83)</f>
        <v>Company name</v>
      </c>
      <c r="C88" s="313" t="str">
        <v>Ticker</v>
      </c>
      <c r="D88" s="313" t="str">
        <v>Market capitalization (mm)</v>
      </c>
      <c r="E88" s="313" t="str">
        <v>Enterprise value (EV)</v>
      </c>
      <c r="F88" s="313" t="str">
        <v>Revenues - LFY</v>
      </c>
      <c r="G88" s="313" t="str">
        <v>EBITDA - LFY</v>
      </c>
      <c r="H88" s="313" t="str">
        <v>EBIT - LFY</v>
      </c>
      <c r="I88" s="313" t="str">
        <v>EPS - LFY</v>
      </c>
      <c r="J88" s="313" t="str">
        <v>Revenues - Calendar year 1</v>
      </c>
      <c r="K88" s="313" t="str">
        <v>EBITDA - Calendar year 1</v>
      </c>
      <c r="L88" s="313" t="str">
        <v>EBIT - Calendar year 1</v>
      </c>
      <c r="M88" s="313" t="str">
        <v>EPS - Calendar year 1</v>
      </c>
      <c r="N88" s="313" t="str">
        <v>Long-term growth rate</v>
      </c>
      <c r="O88" s="313" t="str">
        <v>Net debt</v>
      </c>
      <c r="P88" s="313" t="str">
        <v>Diluted shares outstanding (mm)</v>
      </c>
    </row>
    <row r="89" spans="2:16" s="30" customFormat="1" outlineLevel="2">
      <c r="B89" s="110" t="str" cm="1">
        <f t="array" ref="B89:B96">TRANSPOSE(C69:J69)</f>
        <v>Oriental
Brewery</v>
      </c>
      <c r="C89" s="313" t="str" cm="1">
        <f t="array" ref="C89:C96">TRANSPOSE(C70:J70)</f>
        <v>OB</v>
      </c>
      <c r="D89" s="313"/>
      <c r="E89" s="313"/>
      <c r="F89" s="313"/>
      <c r="G89" s="313"/>
      <c r="H89" s="313"/>
      <c r="I89" s="313"/>
      <c r="J89" s="313"/>
      <c r="K89" s="313"/>
      <c r="L89" s="313"/>
      <c r="M89" s="313"/>
      <c r="N89" s="313"/>
      <c r="O89" s="313"/>
      <c r="P89" s="313"/>
    </row>
    <row r="90" spans="2:16" s="30" customFormat="1" outlineLevel="2">
      <c r="B90" s="110" t="str">
        <v>HITE Brewery</v>
      </c>
      <c r="C90" s="313" t="str">
        <v>KRX: 103150</v>
      </c>
      <c r="D90" s="313"/>
      <c r="E90" s="313"/>
      <c r="F90" s="313"/>
      <c r="G90" s="313"/>
      <c r="H90" s="313"/>
      <c r="I90" s="313"/>
      <c r="J90" s="313"/>
      <c r="K90" s="313"/>
      <c r="L90" s="313"/>
      <c r="M90" s="313"/>
      <c r="N90" s="313"/>
      <c r="O90" s="313"/>
      <c r="P90" s="313"/>
    </row>
    <row r="91" spans="2:16" s="30" customFormat="1" outlineLevel="2">
      <c r="B91" s="110" t="str">
        <v>ASAHI 
GROUP</v>
      </c>
      <c r="C91" s="313" t="str">
        <v>TYO: 2502</v>
      </c>
      <c r="D91" s="313"/>
      <c r="E91" s="313"/>
      <c r="F91" s="313"/>
      <c r="G91" s="313"/>
      <c r="H91" s="313"/>
      <c r="I91" s="313"/>
      <c r="J91" s="313"/>
      <c r="K91" s="313"/>
      <c r="L91" s="313"/>
      <c r="M91" s="313"/>
      <c r="N91" s="313"/>
      <c r="O91" s="313"/>
      <c r="P91" s="313"/>
    </row>
    <row r="92" spans="2:16" s="30" customFormat="1" outlineLevel="2">
      <c r="B92" s="110" t="str">
        <v>TSINGTAO 
BREWERY</v>
      </c>
      <c r="C92" s="313" t="str">
        <v>SEHK:168</v>
      </c>
      <c r="D92" s="313"/>
      <c r="E92" s="313"/>
      <c r="F92" s="313"/>
      <c r="G92" s="313"/>
      <c r="H92" s="313"/>
      <c r="I92" s="313"/>
      <c r="J92" s="313"/>
      <c r="K92" s="313"/>
      <c r="L92" s="313"/>
      <c r="M92" s="313"/>
      <c r="N92" s="313"/>
      <c r="O92" s="313"/>
      <c r="P92" s="313"/>
    </row>
    <row r="93" spans="2:16" s="30" customFormat="1" outlineLevel="2">
      <c r="B93" s="110" t="str">
        <v>CARLSBERG</v>
      </c>
      <c r="C93" s="313" t="str">
        <v>CPSE:CARL B</v>
      </c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</row>
    <row r="94" spans="2:16" s="30" customFormat="1" outlineLevel="2">
      <c r="B94" s="110" t="str">
        <v>HEINEKEN</v>
      </c>
      <c r="C94" s="313" t="str">
        <v>ENXTAM:HEIA</v>
      </c>
      <c r="D94" s="313"/>
      <c r="E94" s="313"/>
      <c r="F94" s="313"/>
      <c r="G94" s="313"/>
      <c r="H94" s="313"/>
      <c r="I94" s="313"/>
      <c r="J94" s="313"/>
      <c r="K94" s="313"/>
      <c r="L94" s="313"/>
      <c r="M94" s="313"/>
      <c r="N94" s="313"/>
      <c r="O94" s="313"/>
      <c r="P94" s="313"/>
    </row>
    <row r="95" spans="2:16" s="30" customFormat="1" outlineLevel="2">
      <c r="B95" s="110" t="str">
        <v>MOLSON
COORS</v>
      </c>
      <c r="C95" s="313" t="str">
        <v>NYSE: TAP</v>
      </c>
      <c r="D95" s="313"/>
      <c r="E95" s="313"/>
      <c r="F95" s="313"/>
      <c r="G95" s="313"/>
      <c r="H95" s="313"/>
      <c r="I95" s="313"/>
      <c r="J95" s="313"/>
      <c r="K95" s="313"/>
      <c r="L95" s="313"/>
      <c r="M95" s="313"/>
      <c r="N95" s="313"/>
      <c r="O95" s="313"/>
      <c r="P95" s="313"/>
    </row>
    <row r="96" spans="2:16" s="30" customFormat="1" outlineLevel="2">
      <c r="B96" s="110" t="str">
        <v>BOSTON 
BEER</v>
      </c>
      <c r="C96" s="313" t="str">
        <v>NYSE: SAM</v>
      </c>
      <c r="D96" s="313"/>
      <c r="E96" s="313"/>
      <c r="F96" s="313"/>
      <c r="G96" s="313"/>
      <c r="H96" s="313"/>
      <c r="I96" s="313"/>
      <c r="J96" s="313"/>
      <c r="K96" s="313"/>
      <c r="L96" s="313"/>
      <c r="M96" s="313"/>
      <c r="N96" s="313"/>
      <c r="O96" s="313"/>
      <c r="P96" s="313"/>
    </row>
    <row r="97" spans="2:16" s="30" customFormat="1" outlineLevel="2">
      <c r="K97" s="257"/>
      <c r="L97" s="257"/>
      <c r="M97" s="257"/>
      <c r="N97" s="257"/>
      <c r="O97" s="257"/>
      <c r="P97" s="257"/>
    </row>
    <row r="98" spans="2:16" s="30" customFormat="1" outlineLevel="2">
      <c r="O98" s="40"/>
    </row>
    <row r="99" spans="2:16" s="30" customFormat="1" outlineLevel="2">
      <c r="B99" s="239" t="s">
        <v>866</v>
      </c>
      <c r="O99" s="40"/>
    </row>
    <row r="100" spans="2:16" s="30" customFormat="1" outlineLevel="2">
      <c r="B100" s="30" t="s">
        <v>227</v>
      </c>
      <c r="C100" s="30" t="s">
        <v>110</v>
      </c>
      <c r="D100" s="30" t="s">
        <v>208</v>
      </c>
      <c r="E100" s="30" t="s">
        <v>209</v>
      </c>
      <c r="F100" s="30" t="s">
        <v>242</v>
      </c>
      <c r="G100" s="30" t="s">
        <v>244</v>
      </c>
      <c r="H100" s="30" t="s">
        <v>246</v>
      </c>
      <c r="I100" s="30" t="s">
        <v>248</v>
      </c>
      <c r="J100" s="30" t="s">
        <v>200</v>
      </c>
      <c r="K100" s="30" t="s">
        <v>201</v>
      </c>
      <c r="L100" s="30" t="s">
        <v>202</v>
      </c>
      <c r="M100" s="30" t="s">
        <v>203</v>
      </c>
      <c r="N100" s="30" t="s">
        <v>191</v>
      </c>
      <c r="O100" s="30" t="s">
        <v>184</v>
      </c>
      <c r="P100" s="30" t="s">
        <v>207</v>
      </c>
    </row>
    <row r="101" spans="2:16" s="30" customFormat="1" outlineLevel="2">
      <c r="B101" s="30" t="s">
        <v>838</v>
      </c>
      <c r="C101" s="311"/>
      <c r="D101" s="311"/>
      <c r="E101" s="311"/>
      <c r="F101" s="311"/>
      <c r="G101" s="311"/>
      <c r="H101" s="311"/>
      <c r="I101" s="311"/>
      <c r="J101" s="311"/>
      <c r="K101" s="311"/>
      <c r="L101" s="311"/>
      <c r="M101" s="311"/>
      <c r="N101" s="311"/>
      <c r="O101" s="311"/>
      <c r="P101" s="311"/>
    </row>
    <row r="102" spans="2:16" s="30" customFormat="1" outlineLevel="2">
      <c r="B102" s="30" t="s">
        <v>831</v>
      </c>
      <c r="C102" s="311"/>
      <c r="D102" s="311"/>
      <c r="E102" s="311"/>
      <c r="F102" s="311"/>
      <c r="G102" s="311"/>
      <c r="H102" s="311"/>
      <c r="I102" s="311"/>
      <c r="J102" s="311"/>
      <c r="K102" s="311"/>
      <c r="L102" s="311"/>
      <c r="M102" s="311"/>
      <c r="N102" s="311"/>
      <c r="O102" s="311"/>
      <c r="P102" s="311"/>
    </row>
    <row r="103" spans="2:16" s="30" customFormat="1" outlineLevel="2">
      <c r="B103" s="30" t="s">
        <v>115</v>
      </c>
      <c r="C103" s="311"/>
      <c r="D103" s="311"/>
      <c r="E103" s="311"/>
      <c r="F103" s="311"/>
      <c r="G103" s="311"/>
      <c r="H103" s="311"/>
      <c r="I103" s="311"/>
      <c r="J103" s="311"/>
      <c r="K103" s="311"/>
      <c r="L103" s="311"/>
      <c r="M103" s="311"/>
      <c r="N103" s="311"/>
      <c r="O103" s="311"/>
      <c r="P103" s="311"/>
    </row>
    <row r="104" spans="2:16" s="30" customFormat="1" outlineLevel="2">
      <c r="B104" s="30" t="s">
        <v>116</v>
      </c>
      <c r="C104" s="311"/>
      <c r="D104" s="311"/>
      <c r="E104" s="311"/>
      <c r="F104" s="311"/>
      <c r="G104" s="311"/>
      <c r="H104" s="311"/>
      <c r="I104" s="311"/>
      <c r="J104" s="311"/>
      <c r="K104" s="311"/>
      <c r="L104" s="311"/>
      <c r="M104" s="311"/>
      <c r="N104" s="311"/>
      <c r="O104" s="311"/>
      <c r="P104" s="311"/>
    </row>
    <row r="105" spans="2:16" s="30" customFormat="1" outlineLevel="2">
      <c r="B105" s="30" t="s">
        <v>117</v>
      </c>
      <c r="C105" s="311"/>
      <c r="D105" s="311"/>
      <c r="E105" s="311"/>
      <c r="F105" s="311"/>
      <c r="G105" s="311"/>
      <c r="H105" s="311"/>
      <c r="I105" s="311"/>
      <c r="J105" s="311"/>
      <c r="K105" s="311"/>
      <c r="L105" s="311"/>
      <c r="M105" s="311"/>
      <c r="N105" s="311"/>
      <c r="O105" s="311"/>
      <c r="P105" s="311"/>
    </row>
    <row r="106" spans="2:16" s="30" customFormat="1" outlineLevel="2">
      <c r="B106" s="30" t="s">
        <v>118</v>
      </c>
      <c r="C106" s="311"/>
      <c r="D106" s="311"/>
      <c r="E106" s="311"/>
      <c r="F106" s="311"/>
      <c r="G106" s="311"/>
      <c r="H106" s="311"/>
      <c r="I106" s="311"/>
      <c r="J106" s="311"/>
      <c r="K106" s="311"/>
      <c r="L106" s="311"/>
      <c r="M106" s="311"/>
      <c r="N106" s="311"/>
      <c r="O106" s="311"/>
      <c r="P106" s="311"/>
    </row>
    <row r="107" spans="2:16" s="30" customFormat="1" outlineLevel="2">
      <c r="B107" s="30" t="s">
        <v>119</v>
      </c>
      <c r="C107" s="311"/>
      <c r="D107" s="311"/>
      <c r="E107" s="311"/>
      <c r="F107" s="311"/>
      <c r="G107" s="311"/>
      <c r="H107" s="311"/>
      <c r="I107" s="311"/>
      <c r="J107" s="311"/>
      <c r="K107" s="311"/>
      <c r="L107" s="311"/>
      <c r="M107" s="311"/>
      <c r="N107" s="311"/>
      <c r="O107" s="311"/>
      <c r="P107" s="311"/>
    </row>
    <row r="108" spans="2:16" s="30" customFormat="1" outlineLevel="2">
      <c r="B108" s="30" t="s">
        <v>120</v>
      </c>
      <c r="C108" s="311"/>
      <c r="D108" s="311"/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</row>
    <row r="109" spans="2:16" s="30" customFormat="1" outlineLevel="2">
      <c r="O109" s="40"/>
    </row>
    <row r="110" spans="2:16" s="30" customFormat="1" outlineLevel="2">
      <c r="O110" s="40"/>
    </row>
    <row r="111" spans="2:16" s="30" customFormat="1" outlineLevel="2">
      <c r="O111" s="40"/>
    </row>
    <row r="112" spans="2:16" s="30" customFormat="1" outlineLevel="2">
      <c r="O112" s="40"/>
    </row>
    <row r="113" spans="1:20" s="30" customFormat="1" outlineLevel="2">
      <c r="O113" s="40"/>
    </row>
    <row r="114" spans="1:20" s="30" customFormat="1" outlineLevel="2">
      <c r="O114" s="40"/>
    </row>
    <row r="115" spans="1:20" s="30" customFormat="1" outlineLevel="2">
      <c r="O115" s="40"/>
    </row>
    <row r="116" spans="1:20" s="30" customFormat="1" outlineLevel="1"/>
    <row r="117" spans="1:20" ht="19.2">
      <c r="B117" s="157" t="s">
        <v>530</v>
      </c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</row>
    <row r="118" spans="1:20">
      <c r="F118" s="172" t="s">
        <v>536</v>
      </c>
      <c r="G118" s="172"/>
      <c r="H118" s="172"/>
      <c r="I118" s="172"/>
      <c r="J118" s="172" t="s">
        <v>199</v>
      </c>
      <c r="K118" s="172"/>
      <c r="L118" s="172"/>
      <c r="M118" s="172"/>
    </row>
    <row r="119" spans="1:20" ht="14.4" thickBot="1">
      <c r="A119" s="30" t="s">
        <v>98</v>
      </c>
      <c r="B119" s="59" t="s">
        <v>229</v>
      </c>
      <c r="C119" s="59" t="s">
        <v>110</v>
      </c>
      <c r="D119" s="55"/>
      <c r="E119" s="56"/>
      <c r="F119" s="60" t="s">
        <v>233</v>
      </c>
      <c r="G119" s="60" t="s">
        <v>234</v>
      </c>
      <c r="H119" s="60" t="s">
        <v>235</v>
      </c>
      <c r="I119" s="60" t="s">
        <v>236</v>
      </c>
      <c r="J119" s="60" t="s">
        <v>233</v>
      </c>
      <c r="K119" s="60" t="s">
        <v>234</v>
      </c>
      <c r="L119" s="60" t="s">
        <v>235</v>
      </c>
      <c r="M119" s="60" t="s">
        <v>237</v>
      </c>
      <c r="N119" s="60" t="s">
        <v>238</v>
      </c>
      <c r="O119" s="176"/>
    </row>
    <row r="121" spans="1:20">
      <c r="B121" s="61" t="s">
        <v>250</v>
      </c>
      <c r="C121" s="99" t="str">
        <f t="shared" ref="C121:C128" si="1">C56</f>
        <v>OB</v>
      </c>
      <c r="D121" s="61"/>
      <c r="E121" s="61"/>
      <c r="F121" s="61"/>
      <c r="G121" s="61"/>
      <c r="H121" s="61"/>
      <c r="I121" s="61"/>
      <c r="J121" s="64"/>
      <c r="K121" s="64"/>
      <c r="L121" s="64"/>
      <c r="M121" s="64"/>
      <c r="N121" s="64"/>
    </row>
    <row r="122" spans="1:20">
      <c r="B122" s="30" t="s">
        <v>831</v>
      </c>
      <c r="C122" s="99" t="str">
        <f t="shared" si="1"/>
        <v>KRX: 103150</v>
      </c>
      <c r="F122" s="314">
        <f>VLOOKUP(F$5,'Trading Comps_Input'!$B$9:$J$188,MATCH($B42,$B$42:$B$49,0)+2,FALSE)</f>
        <v>2.4948077908690007</v>
      </c>
      <c r="G122" s="314">
        <f>VLOOKUP(G$5,'Trading Comps_Input'!$B$9:$J$188,MATCH($B42,$B$42:$B$49,0)+2,FALSE)</f>
        <v>10.085686118827006</v>
      </c>
      <c r="H122" s="314">
        <f>VLOOKUP(H$5,'Trading Comps_Input'!$B$9:$J$188,MATCH($B42,$B$42:$B$49,0)+2,FALSE)</f>
        <v>13.992377069505583</v>
      </c>
      <c r="I122" s="314">
        <f>VLOOKUP(I$5,'Trading Comps_Input'!$B$9:$J$188,MATCH($B42,$B$42:$B$49,0)+2,FALSE)</f>
        <v>15.56496430556585</v>
      </c>
      <c r="J122" s="314">
        <f>VLOOKUP(J$5,'Trading Comps_Input'!$B$9:$J$188,MATCH($B42,$B$42:$B$49,0)+2,FALSE)</f>
        <v>2.456033795866027</v>
      </c>
      <c r="K122" s="314">
        <f>VLOOKUP(K$5,'Trading Comps_Input'!$B$9:$J$188,MATCH($B42,$B$42:$B$49,0)+2,FALSE)</f>
        <v>11.275388545314426</v>
      </c>
      <c r="L122" s="314">
        <f>VLOOKUP(L$5,'Trading Comps_Input'!$B$9:$J$188,MATCH($B42,$B$42:$B$49,0)+2,FALSE)</f>
        <v>17.235949159100024</v>
      </c>
      <c r="M122" s="314">
        <f>VLOOKUP(M$5,'Trading Comps_Input'!$B$9:$J$188,MATCH($B42,$B$42:$B$49,0)+2,FALSE)</f>
        <v>24.921900046498095</v>
      </c>
      <c r="N122" s="314">
        <f>VLOOKUP(N$5,'Trading Comps_Input'!$B$9:$J$188,MATCH($B42,$B$42:$B$49,0)+2,FALSE)</f>
        <v>9.9687600185992373</v>
      </c>
    </row>
    <row r="123" spans="1:20">
      <c r="B123" s="30" t="s">
        <v>115</v>
      </c>
      <c r="C123" s="30" t="str">
        <f t="shared" si="1"/>
        <v>TYO: 2502</v>
      </c>
      <c r="F123" s="314">
        <f>VLOOKUP(F$5,'Trading Comps_Input'!$B$9:$J$188,MATCH($B43,$B$42:$B$49,0)+2,FALSE)</f>
        <v>1.1582969820271187</v>
      </c>
      <c r="G123" s="314">
        <f>VLOOKUP(G$5,'Trading Comps_Input'!$B$9:$J$188,MATCH($B43,$B$42:$B$49,0)+2,FALSE)</f>
        <v>8.3893463933290349</v>
      </c>
      <c r="H123" s="314">
        <f>VLOOKUP(H$5,'Trading Comps_Input'!$B$9:$J$188,MATCH($B43,$B$42:$B$49,0)+2,FALSE)</f>
        <v>14.305276273264312</v>
      </c>
      <c r="I123" s="314">
        <f>VLOOKUP(I$5,'Trading Comps_Input'!$B$9:$J$188,MATCH($B43,$B$42:$B$49,0)+2,FALSE)</f>
        <v>16.799790050560517</v>
      </c>
      <c r="J123" s="314">
        <f>VLOOKUP(J$5,'Trading Comps_Input'!$B$9:$J$188,MATCH($B43,$B$42:$B$49,0)+2,FALSE)</f>
        <v>1.092154038309604</v>
      </c>
      <c r="K123" s="314">
        <f>VLOOKUP(K$5,'Trading Comps_Input'!$B$9:$J$188,MATCH($B43,$B$42:$B$49,0)+2,FALSE)</f>
        <v>7.292628328870272</v>
      </c>
      <c r="L123" s="314">
        <f>VLOOKUP(L$5,'Trading Comps_Input'!$B$9:$J$188,MATCH($B43,$B$42:$B$49,0)+2,FALSE)</f>
        <v>12.414198571797328</v>
      </c>
      <c r="M123" s="314">
        <f>VLOOKUP(M$5,'Trading Comps_Input'!$B$9:$J$188,MATCH($B43,$B$42:$B$49,0)+2,FALSE)</f>
        <v>14.971607150940935</v>
      </c>
      <c r="N123" s="314">
        <f>VLOOKUP(N$5,'Trading Comps_Input'!$B$9:$J$188,MATCH($B43,$B$42:$B$49,0)+2,FALSE)</f>
        <v>4.2776020431259809</v>
      </c>
      <c r="T123" s="30"/>
    </row>
    <row r="124" spans="1:20">
      <c r="B124" s="30" t="s">
        <v>116</v>
      </c>
      <c r="C124" s="30" t="str">
        <f t="shared" si="1"/>
        <v>SEHK:168</v>
      </c>
      <c r="F124" s="314">
        <f>VLOOKUP(F$5,'Trading Comps_Input'!$B$9:$J$188,MATCH($B44,$B$42:$B$49,0)+2,FALSE)</f>
        <v>0.99238445632229988</v>
      </c>
      <c r="G124" s="314">
        <f>VLOOKUP(G$5,'Trading Comps_Input'!$B$9:$J$188,MATCH($B44,$B$42:$B$49,0)+2,FALSE)</f>
        <v>8.6610146963532397</v>
      </c>
      <c r="H124" s="314">
        <f>VLOOKUP(H$5,'Trading Comps_Input'!$B$9:$J$188,MATCH($B44,$B$42:$B$49,0)+2,FALSE)</f>
        <v>11.763696717283294</v>
      </c>
      <c r="I124" s="314">
        <f>VLOOKUP(I$5,'Trading Comps_Input'!$B$9:$J$188,MATCH($B44,$B$42:$B$49,0)+2,FALSE)</f>
        <v>17.345550093695589</v>
      </c>
      <c r="J124" s="314">
        <f>VLOOKUP(J$5,'Trading Comps_Input'!$B$9:$J$188,MATCH($B44,$B$42:$B$49,0)+2,FALSE)</f>
        <v>0.87156702893810367</v>
      </c>
      <c r="K124" s="314">
        <f>VLOOKUP(K$5,'Trading Comps_Input'!$B$9:$J$188,MATCH($B44,$B$42:$B$49,0)+2,FALSE)</f>
        <v>7.1950477009669385</v>
      </c>
      <c r="L124" s="314">
        <f>VLOOKUP(L$5,'Trading Comps_Input'!$B$9:$J$188,MATCH($B44,$B$42:$B$49,0)+2,FALSE)</f>
        <v>9.388788356928071</v>
      </c>
      <c r="M124" s="314">
        <f>VLOOKUP(M$5,'Trading Comps_Input'!$B$9:$J$188,MATCH($B44,$B$42:$B$49,0)+2,FALSE)</f>
        <v>14.585374444972516</v>
      </c>
      <c r="N124" s="314">
        <f>VLOOKUP(N$5,'Trading Comps_Input'!$B$9:$J$188,MATCH($B44,$B$42:$B$49,0)+2,FALSE)</f>
        <v>4.167249841420718</v>
      </c>
      <c r="T124" s="30"/>
    </row>
    <row r="125" spans="1:20">
      <c r="B125" s="30" t="s">
        <v>117</v>
      </c>
      <c r="C125" s="30" t="str">
        <f t="shared" si="1"/>
        <v>CPSE:CARL B</v>
      </c>
      <c r="F125" s="314">
        <f>VLOOKUP(F$5,'Trading Comps_Input'!$B$9:$J$188,MATCH($B45,$B$42:$B$49,0)+2,FALSE)</f>
        <v>1.714056005670237</v>
      </c>
      <c r="G125" s="314">
        <f>VLOOKUP(G$5,'Trading Comps_Input'!$B$9:$J$188,MATCH($B45,$B$42:$B$49,0)+2,FALSE)</f>
        <v>7.6489121311121968</v>
      </c>
      <c r="H125" s="314">
        <f>VLOOKUP(H$5,'Trading Comps_Input'!$B$9:$J$188,MATCH($B45,$B$42:$B$49,0)+2,FALSE)</f>
        <v>10.671427314815476</v>
      </c>
      <c r="I125" s="314">
        <f>VLOOKUP(I$5,'Trading Comps_Input'!$B$9:$J$188,MATCH($B45,$B$42:$B$49,0)+2,FALSE)</f>
        <v>11.927025443351583</v>
      </c>
      <c r="J125" s="314">
        <f>VLOOKUP(J$5,'Trading Comps_Input'!$B$9:$J$188,MATCH($B45,$B$42:$B$49,0)+2,FALSE)</f>
        <v>1.6928960521261638</v>
      </c>
      <c r="K125" s="314">
        <f>VLOOKUP(K$5,'Trading Comps_Input'!$B$9:$J$188,MATCH($B45,$B$42:$B$49,0)+2,FALSE)</f>
        <v>7.5289213416111691</v>
      </c>
      <c r="L125" s="314">
        <f>VLOOKUP(L$5,'Trading Comps_Input'!$B$9:$J$188,MATCH($B45,$B$42:$B$49,0)+2,FALSE)</f>
        <v>10.428946602147199</v>
      </c>
      <c r="M125" s="314">
        <f>VLOOKUP(M$5,'Trading Comps_Input'!$B$9:$J$188,MATCH($B45,$B$42:$B$49,0)+2,FALSE)</f>
        <v>11.967421783487254</v>
      </c>
      <c r="N125" s="314">
        <f>VLOOKUP(N$5,'Trading Comps_Input'!$B$9:$J$188,MATCH($B45,$B$42:$B$49,0)+2,FALSE)</f>
        <v>3.9891405944957512</v>
      </c>
      <c r="T125" s="30"/>
    </row>
    <row r="126" spans="1:20">
      <c r="B126" s="30" t="s">
        <v>118</v>
      </c>
      <c r="C126" s="30" t="str">
        <f t="shared" si="1"/>
        <v>ENXTAM:HEIA</v>
      </c>
      <c r="F126" s="314">
        <f>VLOOKUP(F$5,'Trading Comps_Input'!$B$9:$J$188,MATCH($B46,$B$42:$B$49,0)+2,FALSE)</f>
        <v>1.7664231506639005</v>
      </c>
      <c r="G126" s="314">
        <f>VLOOKUP(G$5,'Trading Comps_Input'!$B$9:$J$188,MATCH($B46,$B$42:$B$49,0)+2,FALSE)</f>
        <v>9.718632761193863</v>
      </c>
      <c r="H126" s="314">
        <f>VLOOKUP(H$5,'Trading Comps_Input'!$B$9:$J$188,MATCH($B46,$B$42:$B$49,0)+2,FALSE)</f>
        <v>14.613498445644344</v>
      </c>
      <c r="I126" s="314">
        <f>VLOOKUP(I$5,'Trading Comps_Input'!$B$9:$J$188,MATCH($B46,$B$42:$B$49,0)+2,FALSE)</f>
        <v>18.856835921306704</v>
      </c>
      <c r="J126" s="314">
        <f>VLOOKUP(J$5,'Trading Comps_Input'!$B$9:$J$188,MATCH($B46,$B$42:$B$49,0)+2,FALSE)</f>
        <v>1.5904554689420241</v>
      </c>
      <c r="K126" s="314">
        <f>VLOOKUP(K$5,'Trading Comps_Input'!$B$9:$J$188,MATCH($B46,$B$42:$B$49,0)+2,FALSE)</f>
        <v>8.1494304887057627</v>
      </c>
      <c r="L126" s="314">
        <f>VLOOKUP(L$5,'Trading Comps_Input'!$B$9:$J$188,MATCH($B46,$B$42:$B$49,0)+2,FALSE)</f>
        <v>13.07391998492567</v>
      </c>
      <c r="M126" s="314">
        <f>VLOOKUP(M$5,'Trading Comps_Input'!$B$9:$J$188,MATCH($B46,$B$42:$B$49,0)+2,FALSE)</f>
        <v>13.207749677551657</v>
      </c>
      <c r="N126" s="314">
        <f>VLOOKUP(N$5,'Trading Comps_Input'!$B$9:$J$188,MATCH($B46,$B$42:$B$49,0)+2,FALSE)</f>
        <v>3.7736427650147588</v>
      </c>
      <c r="T126" s="30"/>
    </row>
    <row r="127" spans="1:20">
      <c r="B127" s="30" t="s">
        <v>119</v>
      </c>
      <c r="C127" s="30" t="str">
        <f t="shared" si="1"/>
        <v>NYSE: TAP</v>
      </c>
      <c r="F127" s="314">
        <f>VLOOKUP(F$5,'Trading Comps_Input'!$B$9:$J$188,MATCH($B47,$B$42:$B$49,0)+2,FALSE)</f>
        <v>1.7233293760717585</v>
      </c>
      <c r="G127" s="314">
        <f>VLOOKUP(G$5,'Trading Comps_Input'!$B$9:$J$188,MATCH($B47,$B$42:$B$49,0)+2,FALSE)</f>
        <v>8.2739455351488296</v>
      </c>
      <c r="H127" s="314">
        <f>VLOOKUP(H$5,'Trading Comps_Input'!$B$9:$J$188,MATCH($B47,$B$42:$B$49,0)+2,FALSE)</f>
        <v>12.336694995278565</v>
      </c>
      <c r="I127" s="314">
        <f>VLOOKUP(I$5,'Trading Comps_Input'!$B$9:$J$188,MATCH($B47,$B$42:$B$49,0)+2,FALSE)</f>
        <v>23.012314328451676</v>
      </c>
      <c r="J127" s="314">
        <f>VLOOKUP(J$5,'Trading Comps_Input'!$B$9:$J$188,MATCH($B47,$B$42:$B$49,0)+2,FALSE)</f>
        <v>1.5497759054587683</v>
      </c>
      <c r="K127" s="314">
        <f>VLOOKUP(K$5,'Trading Comps_Input'!$B$9:$J$188,MATCH($B47,$B$42:$B$49,0)+2,FALSE)</f>
        <v>8.1776347367853468</v>
      </c>
      <c r="L127" s="314">
        <f>VLOOKUP(L$5,'Trading Comps_Input'!$B$9:$J$188,MATCH($B47,$B$42:$B$49,0)+2,FALSE)</f>
        <v>12.26448169233055</v>
      </c>
      <c r="M127" s="314">
        <f>VLOOKUP(M$5,'Trading Comps_Input'!$B$9:$J$188,MATCH($B47,$B$42:$B$49,0)+2,FALSE)</f>
        <v>6.2583544670913041</v>
      </c>
      <c r="N127" s="314">
        <f>VLOOKUP(N$5,'Trading Comps_Input'!$B$9:$J$188,MATCH($B47,$B$42:$B$49,0)+2,FALSE)</f>
        <v>4.1722363113942027</v>
      </c>
      <c r="T127" s="30"/>
    </row>
    <row r="128" spans="1:20">
      <c r="B128" s="30" t="s">
        <v>120</v>
      </c>
      <c r="C128" s="30" t="str">
        <f t="shared" si="1"/>
        <v>NYSE: SAM</v>
      </c>
      <c r="F128" s="314">
        <f>VLOOKUP(F$5,'Trading Comps_Input'!$B$9:$J$188,MATCH($B48,$B$42:$B$49,0)+2,FALSE)</f>
        <v>1.5663166371523636</v>
      </c>
      <c r="G128" s="314">
        <f>VLOOKUP(G$5,'Trading Comps_Input'!$B$9:$J$188,MATCH($B48,$B$42:$B$49,0)+2,FALSE)</f>
        <v>8.9993551848724369</v>
      </c>
      <c r="H128" s="314">
        <f>VLOOKUP(H$5,'Trading Comps_Input'!$B$9:$J$188,MATCH($B48,$B$42:$B$49,0)+2,FALSE)</f>
        <v>11.751706782357195</v>
      </c>
      <c r="I128" s="314">
        <f>VLOOKUP(I$5,'Trading Comps_Input'!$B$9:$J$188,MATCH($B48,$B$42:$B$49,0)+2,FALSE)</f>
        <v>20.935602796408688</v>
      </c>
      <c r="J128" s="314">
        <f>VLOOKUP(J$5,'Trading Comps_Input'!$B$9:$J$188,MATCH($B48,$B$42:$B$49,0)+2,FALSE)</f>
        <v>1.4569956051206308</v>
      </c>
      <c r="K128" s="314">
        <f>VLOOKUP(K$5,'Trading Comps_Input'!$B$9:$J$188,MATCH($B48,$B$42:$B$49,0)+2,FALSE)</f>
        <v>6.331760522114533</v>
      </c>
      <c r="L128" s="314">
        <f>VLOOKUP(L$5,'Trading Comps_Input'!$B$9:$J$188,MATCH($B48,$B$42:$B$49,0)+2,FALSE)</f>
        <v>7.7559685052792178</v>
      </c>
      <c r="M128" s="314">
        <f>VLOOKUP(M$5,'Trading Comps_Input'!$B$9:$J$188,MATCH($B48,$B$42:$B$49,0)+2,FALSE)</f>
        <v>13.94975212995663</v>
      </c>
      <c r="N128" s="314">
        <f>VLOOKUP(N$5,'Trading Comps_Input'!$B$9:$J$188,MATCH($B48,$B$42:$B$49,0)+2,FALSE)</f>
        <v>3.985643465701894</v>
      </c>
      <c r="T128" s="30"/>
    </row>
    <row r="129" spans="1:30">
      <c r="F129" s="63"/>
      <c r="G129" s="63"/>
      <c r="H129" s="63"/>
      <c r="I129" s="63"/>
      <c r="J129" s="63"/>
      <c r="K129" s="63"/>
      <c r="L129" s="63"/>
      <c r="M129" s="63"/>
      <c r="N129" s="63"/>
      <c r="T129" s="30"/>
    </row>
    <row r="130" spans="1:30">
      <c r="F130" s="63"/>
      <c r="G130" s="63"/>
      <c r="H130" s="63"/>
      <c r="I130" s="63"/>
      <c r="J130" s="63"/>
      <c r="K130" s="63"/>
      <c r="L130" s="63"/>
      <c r="M130" s="63"/>
      <c r="N130" s="63"/>
      <c r="T130" s="30"/>
    </row>
    <row r="131" spans="1:30">
      <c r="A131" s="30" t="s">
        <v>98</v>
      </c>
      <c r="E131" s="173" t="s">
        <v>239</v>
      </c>
      <c r="F131" s="315">
        <f>MAX(F$121:F$128)</f>
        <v>2.4948077908690007</v>
      </c>
      <c r="G131" s="315">
        <f t="shared" ref="G131:N131" si="2">MAX(G$121:G$128)</f>
        <v>10.085686118827006</v>
      </c>
      <c r="H131" s="315">
        <f t="shared" si="2"/>
        <v>14.613498445644344</v>
      </c>
      <c r="I131" s="315">
        <f t="shared" si="2"/>
        <v>23.012314328451676</v>
      </c>
      <c r="J131" s="315">
        <f t="shared" si="2"/>
        <v>2.456033795866027</v>
      </c>
      <c r="K131" s="315">
        <f t="shared" si="2"/>
        <v>11.275388545314426</v>
      </c>
      <c r="L131" s="315">
        <f t="shared" si="2"/>
        <v>17.235949159100024</v>
      </c>
      <c r="M131" s="315">
        <f t="shared" si="2"/>
        <v>24.921900046498095</v>
      </c>
      <c r="N131" s="315">
        <f t="shared" si="2"/>
        <v>9.9687600185992373</v>
      </c>
      <c r="O131" s="242"/>
      <c r="P131" s="242"/>
      <c r="Q131" s="242"/>
      <c r="R131" s="242"/>
      <c r="T131" s="242"/>
      <c r="U131" s="242"/>
      <c r="V131" s="242"/>
      <c r="W131" s="242"/>
    </row>
    <row r="132" spans="1:30">
      <c r="E132" s="173" t="s">
        <v>106</v>
      </c>
      <c r="F132" s="315">
        <f>MEDIAN(F$121:F$128)</f>
        <v>1.714056005670237</v>
      </c>
      <c r="G132" s="315">
        <f t="shared" ref="G132:N132" si="3">MEDIAN(G$121:G$128)</f>
        <v>8.6610146963532397</v>
      </c>
      <c r="H132" s="315">
        <f t="shared" si="3"/>
        <v>12.336694995278565</v>
      </c>
      <c r="I132" s="315">
        <f t="shared" si="3"/>
        <v>17.345550093695589</v>
      </c>
      <c r="J132" s="315">
        <f t="shared" si="3"/>
        <v>1.5497759054587683</v>
      </c>
      <c r="K132" s="315">
        <f t="shared" si="3"/>
        <v>7.5289213416111691</v>
      </c>
      <c r="L132" s="315">
        <f t="shared" si="3"/>
        <v>12.26448169233055</v>
      </c>
      <c r="M132" s="315">
        <f t="shared" si="3"/>
        <v>13.94975212995663</v>
      </c>
      <c r="N132" s="315">
        <f t="shared" si="3"/>
        <v>4.167249841420718</v>
      </c>
      <c r="O132" s="242"/>
      <c r="P132" s="242"/>
      <c r="Q132" s="242"/>
      <c r="R132" s="242"/>
      <c r="T132" s="242"/>
      <c r="U132" s="242"/>
      <c r="V132" s="242"/>
      <c r="W132" s="242"/>
    </row>
    <row r="133" spans="1:30">
      <c r="E133" s="173" t="s">
        <v>240</v>
      </c>
      <c r="F133" s="315">
        <f>MIN(F$121:F$128)</f>
        <v>0.99238445632229988</v>
      </c>
      <c r="G133" s="315">
        <f t="shared" ref="G133:N133" si="4">MIN(G$121:G$128)</f>
        <v>7.6489121311121968</v>
      </c>
      <c r="H133" s="315">
        <f t="shared" si="4"/>
        <v>10.671427314815476</v>
      </c>
      <c r="I133" s="315">
        <f t="shared" si="4"/>
        <v>11.927025443351583</v>
      </c>
      <c r="J133" s="315">
        <f t="shared" si="4"/>
        <v>0.87156702893810367</v>
      </c>
      <c r="K133" s="315">
        <f t="shared" si="4"/>
        <v>6.331760522114533</v>
      </c>
      <c r="L133" s="315">
        <f t="shared" si="4"/>
        <v>7.7559685052792178</v>
      </c>
      <c r="M133" s="315">
        <f t="shared" si="4"/>
        <v>6.2583544670913041</v>
      </c>
      <c r="N133" s="315">
        <f t="shared" si="4"/>
        <v>3.7736427650147588</v>
      </c>
      <c r="O133" s="242"/>
      <c r="P133" s="242"/>
      <c r="Q133" s="242"/>
      <c r="R133" s="242"/>
      <c r="T133" s="242"/>
      <c r="U133" s="242"/>
      <c r="V133" s="242"/>
      <c r="W133" s="242"/>
    </row>
    <row r="134" spans="1:30">
      <c r="E134" s="173" t="s">
        <v>241</v>
      </c>
      <c r="F134" s="315">
        <f>AVERAGE(F$121:F$128)</f>
        <v>1.630802056968097</v>
      </c>
      <c r="G134" s="315">
        <f t="shared" ref="G134:N134" si="5">AVERAGE(G$121:G$128)</f>
        <v>8.825270402976658</v>
      </c>
      <c r="H134" s="315">
        <f t="shared" si="5"/>
        <v>12.77638251402125</v>
      </c>
      <c r="I134" s="315">
        <f t="shared" si="5"/>
        <v>17.777440419905805</v>
      </c>
      <c r="J134" s="315">
        <f t="shared" si="5"/>
        <v>1.5299825563944744</v>
      </c>
      <c r="K134" s="315">
        <f t="shared" si="5"/>
        <v>7.9929730949097779</v>
      </c>
      <c r="L134" s="315">
        <f t="shared" si="5"/>
        <v>11.794607553215437</v>
      </c>
      <c r="M134" s="315">
        <f t="shared" si="5"/>
        <v>14.266022814356916</v>
      </c>
      <c r="N134" s="315">
        <f t="shared" si="5"/>
        <v>4.9048964342503627</v>
      </c>
      <c r="O134" s="242"/>
      <c r="P134" s="242"/>
      <c r="Q134" s="242"/>
      <c r="R134" s="242"/>
      <c r="T134" s="242"/>
      <c r="U134" s="242"/>
      <c r="V134" s="242"/>
      <c r="W134" s="242"/>
    </row>
    <row r="135" spans="1:30">
      <c r="F135" s="145"/>
      <c r="G135" s="145"/>
      <c r="H135" s="145"/>
      <c r="I135" s="145"/>
      <c r="J135" s="145"/>
      <c r="K135" s="145"/>
      <c r="L135" s="145"/>
      <c r="M135" s="145"/>
      <c r="N135" s="145"/>
      <c r="O135" s="242"/>
      <c r="P135" s="242"/>
      <c r="Q135" s="242"/>
      <c r="R135" s="242"/>
      <c r="T135" s="242"/>
      <c r="U135" s="242"/>
      <c r="V135" s="242"/>
      <c r="W135" s="242"/>
    </row>
    <row r="136" spans="1:30">
      <c r="E136" s="173" t="s">
        <v>522</v>
      </c>
      <c r="F136" s="315">
        <f>AVERAGE(F$122:F$128)</f>
        <v>1.630802056968097</v>
      </c>
      <c r="G136" s="315">
        <f t="shared" ref="G136:N136" si="6">AVERAGE(G$122:G$128)</f>
        <v>8.825270402976658</v>
      </c>
      <c r="H136" s="315">
        <f t="shared" si="6"/>
        <v>12.77638251402125</v>
      </c>
      <c r="I136" s="315">
        <f t="shared" si="6"/>
        <v>17.777440419905805</v>
      </c>
      <c r="J136" s="315">
        <f t="shared" si="6"/>
        <v>1.5299825563944744</v>
      </c>
      <c r="K136" s="315">
        <f t="shared" si="6"/>
        <v>7.9929730949097779</v>
      </c>
      <c r="L136" s="315">
        <f t="shared" si="6"/>
        <v>11.794607553215437</v>
      </c>
      <c r="M136" s="315">
        <f t="shared" si="6"/>
        <v>14.266022814356916</v>
      </c>
      <c r="N136" s="315">
        <f t="shared" si="6"/>
        <v>4.9048964342503627</v>
      </c>
      <c r="O136" s="242"/>
      <c r="P136" s="242"/>
      <c r="Q136" s="242"/>
      <c r="R136" s="242"/>
      <c r="T136" s="242"/>
      <c r="U136" s="242"/>
      <c r="V136" s="242"/>
      <c r="W136" s="242"/>
    </row>
    <row r="137" spans="1:30">
      <c r="E137" s="173" t="s">
        <v>250</v>
      </c>
      <c r="F137" s="316" t="str">
        <f>IF(ISBLANK(F121),"NA",F121)</f>
        <v>NA</v>
      </c>
      <c r="G137" s="316" t="str">
        <f t="shared" ref="G137:N137" si="7">IF(ISBLANK(G121),"NA",G121)</f>
        <v>NA</v>
      </c>
      <c r="H137" s="316" t="str">
        <f t="shared" si="7"/>
        <v>NA</v>
      </c>
      <c r="I137" s="316" t="str">
        <f t="shared" si="7"/>
        <v>NA</v>
      </c>
      <c r="J137" s="316" t="str">
        <f t="shared" si="7"/>
        <v>NA</v>
      </c>
      <c r="K137" s="316" t="str">
        <f t="shared" si="7"/>
        <v>NA</v>
      </c>
      <c r="L137" s="316" t="str">
        <f t="shared" si="7"/>
        <v>NA</v>
      </c>
      <c r="M137" s="316" t="str">
        <f t="shared" si="7"/>
        <v>NA</v>
      </c>
      <c r="N137" s="316" t="str">
        <f t="shared" si="7"/>
        <v>NA</v>
      </c>
      <c r="O137" s="242"/>
      <c r="P137" s="242"/>
      <c r="Q137" s="242"/>
      <c r="R137" s="242"/>
      <c r="T137" s="242"/>
      <c r="U137" s="242"/>
      <c r="V137" s="242"/>
      <c r="W137" s="242"/>
    </row>
    <row r="139" spans="1:30" ht="19.2">
      <c r="A139" s="30" t="s">
        <v>98</v>
      </c>
      <c r="B139" s="157" t="s">
        <v>531</v>
      </c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</row>
    <row r="140" spans="1:30" ht="19.2">
      <c r="B140" s="166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71" t="s">
        <v>534</v>
      </c>
    </row>
    <row r="141" spans="1:30">
      <c r="D141" s="168" t="s">
        <v>239</v>
      </c>
      <c r="E141" s="169"/>
      <c r="F141" s="170"/>
      <c r="G141" s="170"/>
      <c r="H141" s="170"/>
      <c r="I141" s="170"/>
      <c r="J141" s="170"/>
      <c r="K141" s="170"/>
      <c r="L141" s="170"/>
      <c r="M141" s="170"/>
      <c r="N141" s="170"/>
    </row>
    <row r="142" spans="1:30" ht="14.4">
      <c r="D142" s="42" t="s">
        <v>505</v>
      </c>
      <c r="F142" s="103">
        <f>F131*F56</f>
        <v>2036038.0524208113</v>
      </c>
      <c r="G142" s="103">
        <f>G131*G56</f>
        <v>2535898.9783253027</v>
      </c>
      <c r="H142" s="103">
        <f>H131*H56</f>
        <v>2868712.3888754011</v>
      </c>
      <c r="I142" s="103">
        <f>I143+I144</f>
        <v>3446151.1365416404</v>
      </c>
      <c r="J142" s="103">
        <f>J131*J56</f>
        <v>2064526.0261164755</v>
      </c>
      <c r="K142" s="103">
        <f>K131*K56</f>
        <v>2920083.3075774349</v>
      </c>
      <c r="L142" s="103">
        <f>L131*L56</f>
        <v>3485019.7235637605</v>
      </c>
      <c r="M142" s="103">
        <f>M143+M144</f>
        <v>3809213.9876763937</v>
      </c>
      <c r="N142" s="103">
        <f>N143+N144</f>
        <v>3809213.9876763937</v>
      </c>
      <c r="V142" s="103"/>
      <c r="W142" s="243"/>
      <c r="X142" s="147"/>
      <c r="Y142" s="244"/>
      <c r="Z142" s="105"/>
      <c r="AA142" s="296"/>
      <c r="AB142" s="296"/>
      <c r="AC142" s="296"/>
      <c r="AD142" s="296"/>
    </row>
    <row r="143" spans="1:30" ht="14.4">
      <c r="D143" s="30" t="s">
        <v>184</v>
      </c>
      <c r="F143" s="243">
        <f t="shared" ref="F143:N143" si="8">$O$56</f>
        <v>301945.90825400001</v>
      </c>
      <c r="G143" s="243">
        <f t="shared" si="8"/>
        <v>301945.90825400001</v>
      </c>
      <c r="H143" s="243">
        <f t="shared" si="8"/>
        <v>301945.90825400001</v>
      </c>
      <c r="I143" s="243">
        <f t="shared" si="8"/>
        <v>301945.90825400001</v>
      </c>
      <c r="J143" s="243">
        <f t="shared" si="8"/>
        <v>301945.90825400001</v>
      </c>
      <c r="K143" s="243">
        <f t="shared" si="8"/>
        <v>301945.90825400001</v>
      </c>
      <c r="L143" s="243">
        <f t="shared" si="8"/>
        <v>301945.90825400001</v>
      </c>
      <c r="M143" s="243">
        <f t="shared" si="8"/>
        <v>301945.90825400001</v>
      </c>
      <c r="N143" s="243">
        <f t="shared" si="8"/>
        <v>301945.90825400001</v>
      </c>
      <c r="V143" s="103"/>
      <c r="W143" s="243"/>
      <c r="X143" s="147"/>
      <c r="Y143" s="244"/>
      <c r="Z143" s="105"/>
      <c r="AA143" s="296"/>
      <c r="AB143" s="296"/>
      <c r="AC143" s="296"/>
      <c r="AD143" s="296"/>
    </row>
    <row r="144" spans="1:30" ht="14.4">
      <c r="D144" s="30" t="s">
        <v>506</v>
      </c>
      <c r="F144" s="147">
        <f>F142-F143</f>
        <v>1734092.1441668114</v>
      </c>
      <c r="G144" s="147">
        <f t="shared" ref="G144:L144" si="9">G142-G143</f>
        <v>2233953.0700713028</v>
      </c>
      <c r="H144" s="147">
        <f t="shared" si="9"/>
        <v>2566766.4806214012</v>
      </c>
      <c r="I144" s="147">
        <f>I131*$I$56*$P$56</f>
        <v>3144205.2282876405</v>
      </c>
      <c r="J144" s="147">
        <f t="shared" si="9"/>
        <v>1762580.1178624756</v>
      </c>
      <c r="K144" s="147">
        <f t="shared" si="9"/>
        <v>2618137.399323435</v>
      </c>
      <c r="L144" s="147">
        <f t="shared" si="9"/>
        <v>3183073.8153097606</v>
      </c>
      <c r="M144" s="147">
        <f>M131*$M$56*$P$56</f>
        <v>3507268.0794223938</v>
      </c>
      <c r="N144" s="147">
        <f>100*N131*$N$56*$P$56*$M$56</f>
        <v>3507268.0794223938</v>
      </c>
      <c r="V144" s="103"/>
      <c r="W144" s="243"/>
      <c r="X144" s="147"/>
      <c r="Y144" s="244"/>
      <c r="Z144" s="105"/>
      <c r="AA144" s="296"/>
      <c r="AB144" s="296"/>
      <c r="AC144" s="296"/>
      <c r="AD144" s="296"/>
    </row>
    <row r="145" spans="4:30" ht="14.4">
      <c r="D145" s="30" t="s">
        <v>507</v>
      </c>
      <c r="F145" s="244">
        <f t="shared" ref="F145:N145" si="10">$P$56</f>
        <v>20.611000000000001</v>
      </c>
      <c r="G145" s="244">
        <f t="shared" si="10"/>
        <v>20.611000000000001</v>
      </c>
      <c r="H145" s="244">
        <f t="shared" si="10"/>
        <v>20.611000000000001</v>
      </c>
      <c r="I145" s="244">
        <f t="shared" si="10"/>
        <v>20.611000000000001</v>
      </c>
      <c r="J145" s="244">
        <f t="shared" si="10"/>
        <v>20.611000000000001</v>
      </c>
      <c r="K145" s="244">
        <f t="shared" si="10"/>
        <v>20.611000000000001</v>
      </c>
      <c r="L145" s="244">
        <f t="shared" si="10"/>
        <v>20.611000000000001</v>
      </c>
      <c r="M145" s="244">
        <f t="shared" si="10"/>
        <v>20.611000000000001</v>
      </c>
      <c r="N145" s="244">
        <f t="shared" si="10"/>
        <v>20.611000000000001</v>
      </c>
      <c r="V145" s="103"/>
      <c r="W145" s="243"/>
      <c r="X145" s="147"/>
      <c r="Y145" s="244"/>
      <c r="Z145" s="105"/>
      <c r="AA145" s="296"/>
      <c r="AB145" s="296"/>
      <c r="AC145" s="296"/>
      <c r="AD145" s="296"/>
    </row>
    <row r="146" spans="4:30" ht="14.4">
      <c r="D146" s="32" t="s">
        <v>206</v>
      </c>
      <c r="F146" s="105">
        <f>F144/F145</f>
        <v>84134.30421458499</v>
      </c>
      <c r="G146" s="105">
        <f t="shared" ref="G146:N146" si="11">G144/G145</f>
        <v>108386.44753147846</v>
      </c>
      <c r="H146" s="105">
        <f t="shared" si="11"/>
        <v>124533.81595368499</v>
      </c>
      <c r="I146" s="105">
        <f t="shared" si="11"/>
        <v>152549.86309677552</v>
      </c>
      <c r="J146" s="105">
        <f t="shared" si="11"/>
        <v>85516.477505335773</v>
      </c>
      <c r="K146" s="105">
        <f t="shared" si="11"/>
        <v>127026.21897644147</v>
      </c>
      <c r="L146" s="105">
        <f t="shared" si="11"/>
        <v>154435.68071950707</v>
      </c>
      <c r="M146" s="105">
        <f t="shared" si="11"/>
        <v>170164.8672758427</v>
      </c>
      <c r="N146" s="105">
        <f t="shared" si="11"/>
        <v>170164.8672758427</v>
      </c>
      <c r="T146" s="30"/>
      <c r="V146" s="103"/>
      <c r="W146" s="243"/>
      <c r="X146" s="147"/>
      <c r="Y146" s="244"/>
      <c r="Z146" s="105"/>
      <c r="AA146" s="296"/>
      <c r="AB146" s="296"/>
      <c r="AC146" s="296"/>
      <c r="AD146" s="296"/>
    </row>
    <row r="147" spans="4:30" ht="14.4">
      <c r="F147" s="104"/>
      <c r="G147" s="104"/>
      <c r="H147" s="104"/>
      <c r="I147" s="104"/>
      <c r="J147" s="104"/>
      <c r="K147" s="104"/>
      <c r="L147" s="104"/>
      <c r="M147" s="104"/>
      <c r="N147" s="104"/>
      <c r="T147" s="30"/>
      <c r="V147" s="103"/>
      <c r="W147" s="243"/>
      <c r="X147" s="147"/>
      <c r="Y147" s="244"/>
      <c r="Z147" s="105"/>
      <c r="AA147" s="296"/>
      <c r="AB147" s="296"/>
      <c r="AC147" s="296"/>
      <c r="AD147" s="296"/>
    </row>
    <row r="148" spans="4:30" ht="14.4">
      <c r="D148" s="168" t="s">
        <v>106</v>
      </c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V148" s="103"/>
      <c r="W148" s="243"/>
      <c r="X148" s="147"/>
      <c r="Y148" s="244"/>
      <c r="Z148" s="105"/>
      <c r="AA148" s="296"/>
      <c r="AB148" s="296"/>
      <c r="AC148" s="296"/>
      <c r="AD148" s="296"/>
    </row>
    <row r="149" spans="4:30" ht="14.4">
      <c r="D149" s="42" t="s">
        <v>505</v>
      </c>
      <c r="F149" s="103">
        <f>F56*F132</f>
        <v>1398858.5671000392</v>
      </c>
      <c r="G149" s="103">
        <f t="shared" ref="G149:N149" si="12">G56*G132</f>
        <v>2177686.085108608</v>
      </c>
      <c r="H149" s="103">
        <f t="shared" si="12"/>
        <v>2421762.9955187864</v>
      </c>
      <c r="I149" s="103">
        <f t="shared" si="12"/>
        <v>114984.57974998282</v>
      </c>
      <c r="J149" s="103">
        <f t="shared" si="12"/>
        <v>1302731.5409312814</v>
      </c>
      <c r="K149" s="103">
        <f t="shared" si="12"/>
        <v>1949828.8192328725</v>
      </c>
      <c r="L149" s="103">
        <f t="shared" si="12"/>
        <v>2479814.7292336519</v>
      </c>
      <c r="M149" s="103">
        <f t="shared" si="12"/>
        <v>95247.862935656172</v>
      </c>
      <c r="N149" s="103">
        <f t="shared" si="12"/>
        <v>0.10418124603551795</v>
      </c>
      <c r="V149" s="103"/>
      <c r="W149" s="243"/>
      <c r="X149" s="147"/>
      <c r="Y149" s="244"/>
      <c r="Z149" s="105"/>
      <c r="AA149" s="296"/>
      <c r="AB149" s="296"/>
      <c r="AC149" s="296"/>
      <c r="AD149" s="296"/>
    </row>
    <row r="150" spans="4:30" ht="14.4">
      <c r="D150" s="30" t="s">
        <v>184</v>
      </c>
      <c r="F150" s="243">
        <f t="shared" ref="F150:N150" si="13">$O$56</f>
        <v>301945.90825400001</v>
      </c>
      <c r="G150" s="243">
        <f t="shared" si="13"/>
        <v>301945.90825400001</v>
      </c>
      <c r="H150" s="243">
        <f t="shared" si="13"/>
        <v>301945.90825400001</v>
      </c>
      <c r="I150" s="243">
        <f t="shared" si="13"/>
        <v>301945.90825400001</v>
      </c>
      <c r="J150" s="243">
        <f t="shared" si="13"/>
        <v>301945.90825400001</v>
      </c>
      <c r="K150" s="243">
        <f t="shared" si="13"/>
        <v>301945.90825400001</v>
      </c>
      <c r="L150" s="243">
        <f t="shared" si="13"/>
        <v>301945.90825400001</v>
      </c>
      <c r="M150" s="243">
        <f t="shared" si="13"/>
        <v>301945.90825400001</v>
      </c>
      <c r="N150" s="243">
        <f t="shared" si="13"/>
        <v>301945.90825400001</v>
      </c>
      <c r="V150" s="103"/>
      <c r="W150" s="243"/>
      <c r="X150" s="147"/>
      <c r="Y150" s="244"/>
      <c r="Z150" s="105"/>
      <c r="AA150" s="296"/>
      <c r="AB150" s="296"/>
      <c r="AC150" s="296"/>
      <c r="AD150" s="296"/>
    </row>
    <row r="151" spans="4:30">
      <c r="D151" s="30" t="s">
        <v>506</v>
      </c>
      <c r="F151" s="147">
        <f>F149-F150</f>
        <v>1096912.6588460393</v>
      </c>
      <c r="G151" s="147">
        <f t="shared" ref="G151:N151" si="14">G149-G150</f>
        <v>1875740.1768546081</v>
      </c>
      <c r="H151" s="147">
        <f t="shared" si="14"/>
        <v>2119817.0872647865</v>
      </c>
      <c r="I151" s="147">
        <f t="shared" si="14"/>
        <v>-186961.3285040172</v>
      </c>
      <c r="J151" s="147">
        <f t="shared" si="14"/>
        <v>1000785.6326772814</v>
      </c>
      <c r="K151" s="147">
        <f t="shared" si="14"/>
        <v>1647882.9109788723</v>
      </c>
      <c r="L151" s="147">
        <f t="shared" si="14"/>
        <v>2177868.820979652</v>
      </c>
      <c r="M151" s="147">
        <f t="shared" si="14"/>
        <v>-206698.04531834385</v>
      </c>
      <c r="N151" s="147">
        <f t="shared" si="14"/>
        <v>-301945.80407275399</v>
      </c>
    </row>
    <row r="152" spans="4:30">
      <c r="D152" s="30" t="s">
        <v>507</v>
      </c>
      <c r="F152" s="244">
        <f t="shared" ref="F152:N152" si="15">$P$56</f>
        <v>20.611000000000001</v>
      </c>
      <c r="G152" s="244">
        <f t="shared" si="15"/>
        <v>20.611000000000001</v>
      </c>
      <c r="H152" s="244">
        <f t="shared" si="15"/>
        <v>20.611000000000001</v>
      </c>
      <c r="I152" s="244">
        <f t="shared" si="15"/>
        <v>20.611000000000001</v>
      </c>
      <c r="J152" s="244">
        <f t="shared" si="15"/>
        <v>20.611000000000001</v>
      </c>
      <c r="K152" s="244">
        <f t="shared" si="15"/>
        <v>20.611000000000001</v>
      </c>
      <c r="L152" s="244">
        <f t="shared" si="15"/>
        <v>20.611000000000001</v>
      </c>
      <c r="M152" s="244">
        <f t="shared" si="15"/>
        <v>20.611000000000001</v>
      </c>
      <c r="N152" s="244">
        <f t="shared" si="15"/>
        <v>20.611000000000001</v>
      </c>
    </row>
    <row r="153" spans="4:30" ht="14.4">
      <c r="D153" s="32" t="s">
        <v>206</v>
      </c>
      <c r="F153" s="105">
        <f>F151/F152</f>
        <v>53219.768999371176</v>
      </c>
      <c r="G153" s="105">
        <f t="shared" ref="G153:N153" si="16">G151/G152</f>
        <v>91006.752552258899</v>
      </c>
      <c r="H153" s="105">
        <f t="shared" si="16"/>
        <v>102848.82282590783</v>
      </c>
      <c r="I153" s="105">
        <f t="shared" si="16"/>
        <v>-9070.948935229595</v>
      </c>
      <c r="J153" s="105">
        <f t="shared" si="16"/>
        <v>48555.898921802989</v>
      </c>
      <c r="K153" s="105">
        <f t="shared" si="16"/>
        <v>79951.623452470638</v>
      </c>
      <c r="L153" s="105">
        <f t="shared" si="16"/>
        <v>105665.3641734827</v>
      </c>
      <c r="M153" s="105">
        <f t="shared" si="16"/>
        <v>-10028.530654424523</v>
      </c>
      <c r="N153" s="105">
        <f t="shared" si="16"/>
        <v>-14649.740627468535</v>
      </c>
    </row>
    <row r="154" spans="4:30">
      <c r="F154" s="104"/>
      <c r="G154" s="104"/>
      <c r="H154" s="104"/>
      <c r="I154" s="104"/>
      <c r="J154" s="104"/>
      <c r="K154" s="104"/>
      <c r="L154" s="104"/>
      <c r="M154" s="104"/>
      <c r="N154" s="104"/>
    </row>
    <row r="155" spans="4:30">
      <c r="D155" s="168" t="s">
        <v>240</v>
      </c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</row>
    <row r="156" spans="4:30">
      <c r="D156" s="42" t="s">
        <v>505</v>
      </c>
      <c r="F156" s="103">
        <f>F56*F133</f>
        <v>809895.06410004501</v>
      </c>
      <c r="G156" s="103">
        <f t="shared" ref="G156:N156" si="17">G56*G133</f>
        <v>1923207.6261404955</v>
      </c>
      <c r="H156" s="103">
        <f t="shared" si="17"/>
        <v>2094861.5322239287</v>
      </c>
      <c r="I156" s="103">
        <f t="shared" si="17"/>
        <v>79064.88989182256</v>
      </c>
      <c r="J156" s="103">
        <f t="shared" si="17"/>
        <v>732633.57278568961</v>
      </c>
      <c r="K156" s="103">
        <f t="shared" si="17"/>
        <v>1639789.8958335931</v>
      </c>
      <c r="L156" s="103">
        <f t="shared" si="17"/>
        <v>1568216.6944642328</v>
      </c>
      <c r="M156" s="103">
        <f t="shared" si="17"/>
        <v>42731.575653173801</v>
      </c>
      <c r="N156" s="103">
        <f t="shared" si="17"/>
        <v>9.4341069125368979E-2</v>
      </c>
    </row>
    <row r="157" spans="4:30">
      <c r="D157" s="30" t="s">
        <v>184</v>
      </c>
      <c r="F157" s="243">
        <f t="shared" ref="F157:N157" si="18">$O$56</f>
        <v>301945.90825400001</v>
      </c>
      <c r="G157" s="243">
        <f t="shared" si="18"/>
        <v>301945.90825400001</v>
      </c>
      <c r="H157" s="243">
        <f t="shared" si="18"/>
        <v>301945.90825400001</v>
      </c>
      <c r="I157" s="243">
        <f t="shared" si="18"/>
        <v>301945.90825400001</v>
      </c>
      <c r="J157" s="243">
        <f t="shared" si="18"/>
        <v>301945.90825400001</v>
      </c>
      <c r="K157" s="243">
        <f t="shared" si="18"/>
        <v>301945.90825400001</v>
      </c>
      <c r="L157" s="243">
        <f t="shared" si="18"/>
        <v>301945.90825400001</v>
      </c>
      <c r="M157" s="243">
        <f t="shared" si="18"/>
        <v>301945.90825400001</v>
      </c>
      <c r="N157" s="243">
        <f t="shared" si="18"/>
        <v>301945.90825400001</v>
      </c>
    </row>
    <row r="158" spans="4:30">
      <c r="D158" s="30" t="s">
        <v>506</v>
      </c>
      <c r="F158" s="147">
        <f>F156-F157</f>
        <v>507949.155846045</v>
      </c>
      <c r="G158" s="147">
        <f t="shared" ref="G158" si="19">G156-G157</f>
        <v>1621261.7178864954</v>
      </c>
      <c r="H158" s="147">
        <f t="shared" ref="H158" si="20">H156-H157</f>
        <v>1792915.6239699288</v>
      </c>
      <c r="I158" s="147">
        <f t="shared" ref="I158" si="21">I156-I157</f>
        <v>-222881.01836217745</v>
      </c>
      <c r="J158" s="147">
        <f t="shared" ref="J158" si="22">J156-J157</f>
        <v>430687.6645316896</v>
      </c>
      <c r="K158" s="147">
        <f t="shared" ref="K158" si="23">K156-K157</f>
        <v>1337843.987579593</v>
      </c>
      <c r="L158" s="147">
        <f t="shared" ref="L158" si="24">L156-L157</f>
        <v>1266270.7862102329</v>
      </c>
      <c r="M158" s="147">
        <f t="shared" ref="M158" si="25">M156-M157</f>
        <v>-259214.33260082622</v>
      </c>
      <c r="N158" s="147">
        <f t="shared" ref="N158" si="26">N156-N157</f>
        <v>-301945.8139129309</v>
      </c>
    </row>
    <row r="159" spans="4:30">
      <c r="D159" s="30" t="s">
        <v>507</v>
      </c>
      <c r="F159" s="244">
        <f t="shared" ref="F159:N159" si="27">$P$56</f>
        <v>20.611000000000001</v>
      </c>
      <c r="G159" s="244">
        <f t="shared" si="27"/>
        <v>20.611000000000001</v>
      </c>
      <c r="H159" s="244">
        <f t="shared" si="27"/>
        <v>20.611000000000001</v>
      </c>
      <c r="I159" s="244">
        <f t="shared" si="27"/>
        <v>20.611000000000001</v>
      </c>
      <c r="J159" s="244">
        <f t="shared" si="27"/>
        <v>20.611000000000001</v>
      </c>
      <c r="K159" s="244">
        <f t="shared" si="27"/>
        <v>20.611000000000001</v>
      </c>
      <c r="L159" s="244">
        <f t="shared" si="27"/>
        <v>20.611000000000001</v>
      </c>
      <c r="M159" s="244">
        <f t="shared" si="27"/>
        <v>20.611000000000001</v>
      </c>
      <c r="N159" s="244">
        <f t="shared" si="27"/>
        <v>20.611000000000001</v>
      </c>
    </row>
    <row r="160" spans="4:30" ht="14.4">
      <c r="D160" s="102" t="s">
        <v>206</v>
      </c>
      <c r="F160" s="105">
        <f>F158/F159</f>
        <v>24644.566292079227</v>
      </c>
      <c r="G160" s="105">
        <f t="shared" ref="G160" si="28">G158/G159</f>
        <v>78660.022215637058</v>
      </c>
      <c r="H160" s="105">
        <f t="shared" ref="H160" si="29">H158/H159</f>
        <v>86988.288970449212</v>
      </c>
      <c r="I160" s="105">
        <f t="shared" ref="I160" si="30">I158/I159</f>
        <v>-10813.692608906771</v>
      </c>
      <c r="J160" s="105">
        <f t="shared" ref="J160" si="31">J158/J159</f>
        <v>20896.010117495007</v>
      </c>
      <c r="K160" s="105">
        <f t="shared" ref="K160" si="32">K158/K159</f>
        <v>64909.222627703311</v>
      </c>
      <c r="L160" s="105">
        <f t="shared" ref="L160" si="33">L158/L159</f>
        <v>61436.649663297889</v>
      </c>
      <c r="M160" s="105">
        <f t="shared" ref="M160" si="34">M158/M159</f>
        <v>-12576.504420010006</v>
      </c>
      <c r="N160" s="105">
        <f t="shared" ref="N160" si="35">N158/N159</f>
        <v>-14649.741104892091</v>
      </c>
    </row>
    <row r="163" spans="1:16" s="30" customFormat="1" ht="14.4">
      <c r="A163" s="253" t="s">
        <v>842</v>
      </c>
      <c r="B163" s="248"/>
      <c r="C163" s="249"/>
      <c r="D163" s="249"/>
      <c r="E163" s="248"/>
      <c r="F163" s="250"/>
      <c r="G163" s="251"/>
      <c r="H163" s="251"/>
      <c r="I163" s="251"/>
      <c r="J163" s="250"/>
      <c r="K163" s="251"/>
      <c r="L163" s="251"/>
      <c r="M163" s="251"/>
      <c r="N163" s="248"/>
      <c r="O163" s="248"/>
      <c r="P163" s="248"/>
    </row>
    <row r="166" spans="1:16">
      <c r="F166" s="172" t="s">
        <v>536</v>
      </c>
      <c r="G166" s="172"/>
      <c r="H166" s="172"/>
      <c r="I166" s="172"/>
      <c r="J166" s="172" t="s">
        <v>199</v>
      </c>
      <c r="K166" s="172"/>
      <c r="L166" s="172"/>
      <c r="M166" s="172"/>
    </row>
    <row r="167" spans="1:16" ht="14.4" thickBot="1">
      <c r="D167" s="30" t="s">
        <v>846</v>
      </c>
      <c r="F167" s="60" t="s">
        <v>233</v>
      </c>
      <c r="G167" s="60" t="s">
        <v>234</v>
      </c>
      <c r="H167" s="60" t="s">
        <v>235</v>
      </c>
      <c r="I167" s="60" t="s">
        <v>236</v>
      </c>
      <c r="J167" s="60" t="s">
        <v>233</v>
      </c>
      <c r="K167" s="60" t="s">
        <v>234</v>
      </c>
      <c r="L167" s="60" t="s">
        <v>235</v>
      </c>
      <c r="M167" s="60" t="s">
        <v>237</v>
      </c>
      <c r="N167" s="60" t="s">
        <v>238</v>
      </c>
    </row>
    <row r="168" spans="1:16">
      <c r="D168" s="30" t="s">
        <v>843</v>
      </c>
      <c r="F168" s="317">
        <v>2036038.0524208113</v>
      </c>
      <c r="G168" s="317">
        <v>2535898.9783253027</v>
      </c>
      <c r="H168" s="317">
        <v>2868712.3888754011</v>
      </c>
      <c r="I168" s="317">
        <v>3446151.1365416404</v>
      </c>
      <c r="J168" s="317">
        <v>2064526.0261164755</v>
      </c>
      <c r="K168" s="317">
        <v>2920083.3075774349</v>
      </c>
      <c r="L168" s="317">
        <v>3485019.7235637605</v>
      </c>
      <c r="M168" s="317">
        <v>3809213.9876763937</v>
      </c>
      <c r="N168" s="317">
        <v>3809213.9876763937</v>
      </c>
    </row>
    <row r="169" spans="1:16">
      <c r="D169" s="30" t="s">
        <v>845</v>
      </c>
      <c r="F169" s="317">
        <v>1398858.5671000392</v>
      </c>
      <c r="G169" s="317">
        <v>2177686.085108608</v>
      </c>
      <c r="H169" s="317">
        <v>2421762.9955187864</v>
      </c>
      <c r="I169" s="317">
        <v>114984.57974998282</v>
      </c>
      <c r="J169" s="317">
        <v>1302731.5409312814</v>
      </c>
      <c r="K169" s="317">
        <v>1949828.8192328725</v>
      </c>
      <c r="L169" s="317">
        <v>2479814.7292336519</v>
      </c>
      <c r="M169" s="317">
        <v>95247.862935656172</v>
      </c>
      <c r="N169" s="317">
        <v>0.10418124603551795</v>
      </c>
    </row>
    <row r="170" spans="1:16">
      <c r="D170" s="30" t="s">
        <v>844</v>
      </c>
      <c r="F170" s="317">
        <v>809895.06410004501</v>
      </c>
      <c r="G170" s="317">
        <v>1923207.6261404955</v>
      </c>
      <c r="H170" s="317">
        <v>2094861.5322239287</v>
      </c>
      <c r="I170" s="317">
        <v>79064.88989182256</v>
      </c>
      <c r="J170" s="317">
        <v>732633.57278568961</v>
      </c>
      <c r="K170" s="317">
        <v>1639789.8958335931</v>
      </c>
      <c r="L170" s="317">
        <v>1568216.6944642328</v>
      </c>
      <c r="M170" s="317">
        <v>42731.575653173801</v>
      </c>
      <c r="N170" s="317">
        <v>9.4341069125368979E-2</v>
      </c>
    </row>
    <row r="171" spans="1:16">
      <c r="F171" s="287"/>
      <c r="G171" s="287"/>
      <c r="H171" s="287"/>
      <c r="I171" s="287"/>
      <c r="J171" s="287"/>
      <c r="K171" s="287"/>
      <c r="L171" s="287"/>
      <c r="M171" s="287"/>
      <c r="N171" s="287"/>
    </row>
    <row r="172" spans="1:16" outlineLevel="1">
      <c r="D172" s="267" t="s">
        <v>847</v>
      </c>
    </row>
    <row r="173" spans="1:16" ht="14.4" outlineLevel="1">
      <c r="C173" s="269"/>
      <c r="D173" s="268">
        <v>1</v>
      </c>
      <c r="F173" s="313">
        <f>CHOOSE($D$173,F168,F169,F170)</f>
        <v>2036038.0524208113</v>
      </c>
      <c r="G173" s="313">
        <f>CHOOSE($D$173,G168,G169,G170)</f>
        <v>2535898.9783253027</v>
      </c>
      <c r="H173" s="313">
        <f t="shared" ref="H173:N173" si="36">CHOOSE($D$173,H168,H169,H170)</f>
        <v>2868712.3888754011</v>
      </c>
      <c r="I173" s="313">
        <f t="shared" si="36"/>
        <v>3446151.1365416404</v>
      </c>
      <c r="J173" s="313">
        <f t="shared" si="36"/>
        <v>2064526.0261164755</v>
      </c>
      <c r="K173" s="313">
        <f t="shared" si="36"/>
        <v>2920083.3075774349</v>
      </c>
      <c r="L173" s="313">
        <f t="shared" si="36"/>
        <v>3485019.7235637605</v>
      </c>
      <c r="M173" s="313">
        <f t="shared" si="36"/>
        <v>3809213.9876763937</v>
      </c>
      <c r="N173" s="313">
        <f t="shared" si="36"/>
        <v>3809213.9876763937</v>
      </c>
    </row>
    <row r="174" spans="1:16" ht="14.4" outlineLevel="1">
      <c r="D174" s="288"/>
    </row>
    <row r="175" spans="1:16" ht="14.4" outlineLevel="1" collapsed="1">
      <c r="D175" s="288"/>
    </row>
    <row r="176" spans="1:16" outlineLevel="1">
      <c r="D176" s="267" t="s">
        <v>848</v>
      </c>
    </row>
    <row r="177" spans="1:14" outlineLevel="1">
      <c r="D177" s="268" t="s">
        <v>239</v>
      </c>
      <c r="F177" s="146">
        <f t="shared" ref="F177:K178" ca="1" si="37">OFFSET(F167,1,0)</f>
        <v>2036038.0524208113</v>
      </c>
      <c r="G177" s="146">
        <f t="shared" ca="1" si="37"/>
        <v>2535898.9783253027</v>
      </c>
      <c r="H177" s="146">
        <f t="shared" ca="1" si="37"/>
        <v>2868712.3888754011</v>
      </c>
      <c r="I177" s="146">
        <f t="shared" ca="1" si="37"/>
        <v>3446151.1365416404</v>
      </c>
      <c r="J177" s="146">
        <f t="shared" ca="1" si="37"/>
        <v>2064526.0261164755</v>
      </c>
      <c r="K177" s="146">
        <f t="shared" ca="1" si="37"/>
        <v>2920083.3075774349</v>
      </c>
    </row>
    <row r="178" spans="1:14" ht="14.4" outlineLevel="1">
      <c r="D178" s="288"/>
      <c r="F178" s="146"/>
    </row>
    <row r="179" spans="1:14">
      <c r="F179" s="48"/>
      <c r="G179" s="48"/>
      <c r="H179" s="48"/>
      <c r="I179" s="48"/>
      <c r="J179" s="48"/>
      <c r="K179" s="48"/>
      <c r="L179" s="48"/>
      <c r="M179" s="48"/>
      <c r="N179" s="48"/>
    </row>
    <row r="180" spans="1:14">
      <c r="F180" s="146">
        <f t="shared" ref="F180:N180" ca="1" si="38">OFFSET(F167,MATCH($D$177,$D$168:$D$170,0),0)</f>
        <v>2036038.0524208113</v>
      </c>
      <c r="G180" s="146">
        <f t="shared" ca="1" si="38"/>
        <v>2535898.9783253027</v>
      </c>
      <c r="H180" s="146">
        <f t="shared" ca="1" si="38"/>
        <v>2868712.3888754011</v>
      </c>
      <c r="I180" s="146">
        <f t="shared" ca="1" si="38"/>
        <v>3446151.1365416404</v>
      </c>
      <c r="J180" s="146">
        <f t="shared" ca="1" si="38"/>
        <v>2064526.0261164755</v>
      </c>
      <c r="K180" s="146">
        <f t="shared" ca="1" si="38"/>
        <v>2920083.3075774349</v>
      </c>
      <c r="L180" s="146">
        <f t="shared" ca="1" si="38"/>
        <v>3485019.7235637605</v>
      </c>
      <c r="M180" s="146">
        <f t="shared" ca="1" si="38"/>
        <v>3809213.9876763937</v>
      </c>
      <c r="N180" s="146">
        <f t="shared" ca="1" si="38"/>
        <v>3809213.9876763937</v>
      </c>
    </row>
    <row r="189" spans="1:14" ht="14.4">
      <c r="E189" s="171" t="s">
        <v>533</v>
      </c>
    </row>
    <row r="190" spans="1:14" ht="14.4" thickBot="1">
      <c r="A190" s="30" t="s">
        <v>98</v>
      </c>
      <c r="B190" s="100" t="s">
        <v>508</v>
      </c>
      <c r="C190" s="149" t="s">
        <v>509</v>
      </c>
      <c r="D190" s="149" t="s">
        <v>510</v>
      </c>
      <c r="E190" s="149" t="s">
        <v>511</v>
      </c>
      <c r="G190" s="100" t="s">
        <v>532</v>
      </c>
      <c r="H190" s="100"/>
      <c r="I190" s="100"/>
      <c r="J190" s="100"/>
      <c r="K190" s="100"/>
      <c r="L190" s="100"/>
    </row>
    <row r="191" spans="1:14">
      <c r="B191" s="30" t="s">
        <v>512</v>
      </c>
      <c r="C191" s="146">
        <f>(G156)/1000</f>
        <v>1923.2076261404954</v>
      </c>
      <c r="D191" s="146">
        <f>E191-C191</f>
        <v>945.50476273490585</v>
      </c>
      <c r="E191" s="146">
        <f>(H142)/1000</f>
        <v>2868.7123888754013</v>
      </c>
    </row>
    <row r="192" spans="1:14">
      <c r="B192" s="30" t="s">
        <v>513</v>
      </c>
      <c r="C192" s="146">
        <f>(H156)/1000</f>
        <v>2094.8615322239289</v>
      </c>
      <c r="D192" s="146">
        <f t="shared" ref="D192:D197" si="39">E192-C192</f>
        <v>773.85085665147244</v>
      </c>
      <c r="E192" s="146">
        <f>(H142)/1000</f>
        <v>2868.7123888754013</v>
      </c>
    </row>
    <row r="193" spans="2:14">
      <c r="B193" s="30" t="s">
        <v>514</v>
      </c>
      <c r="C193" s="146">
        <f>(I156)/1000</f>
        <v>79.06488989182256</v>
      </c>
      <c r="D193" s="146">
        <f t="shared" si="39"/>
        <v>3367.0862466498179</v>
      </c>
      <c r="E193" s="146">
        <f>(I142)/1000</f>
        <v>3446.1511365416404</v>
      </c>
    </row>
    <row r="194" spans="2:14">
      <c r="B194" s="30" t="s">
        <v>515</v>
      </c>
      <c r="C194" s="146">
        <f>(K156)/1000</f>
        <v>1639.7898958335932</v>
      </c>
      <c r="D194" s="146">
        <f t="shared" si="39"/>
        <v>1280.2934117438417</v>
      </c>
      <c r="E194" s="146">
        <f>(K142)/1000</f>
        <v>2920.0833075774349</v>
      </c>
    </row>
    <row r="195" spans="2:14">
      <c r="B195" s="30" t="s">
        <v>516</v>
      </c>
      <c r="C195" s="146">
        <f>(L156)/1000</f>
        <v>1568.2166944642327</v>
      </c>
      <c r="D195" s="146">
        <f t="shared" si="39"/>
        <v>1916.803029099528</v>
      </c>
      <c r="E195" s="146">
        <f>(L142)/1000</f>
        <v>3485.0197235637606</v>
      </c>
    </row>
    <row r="196" spans="2:14">
      <c r="B196" s="30" t="s">
        <v>517</v>
      </c>
      <c r="C196" s="146">
        <f>(M156)/1000</f>
        <v>42.731575653173799</v>
      </c>
      <c r="D196" s="146">
        <f t="shared" si="39"/>
        <v>3766.4824120232197</v>
      </c>
      <c r="E196" s="146">
        <f>(M142)/1000</f>
        <v>3809.2139876763936</v>
      </c>
    </row>
    <row r="197" spans="2:14">
      <c r="B197" s="30" t="s">
        <v>518</v>
      </c>
      <c r="C197" s="146">
        <f>(N156)/1000</f>
        <v>9.4341069125368973E-5</v>
      </c>
      <c r="D197" s="146">
        <f t="shared" si="39"/>
        <v>3809.2138933353244</v>
      </c>
      <c r="E197" s="146">
        <f>(N142)/1000</f>
        <v>3809.2139876763936</v>
      </c>
    </row>
    <row r="205" spans="2:14">
      <c r="N205" s="48" t="s">
        <v>539</v>
      </c>
    </row>
    <row r="216" spans="1:1">
      <c r="A216" s="30" t="s">
        <v>98</v>
      </c>
    </row>
  </sheetData>
  <phoneticPr fontId="22" type="noConversion"/>
  <dataValidations disablePrompts="1" count="1">
    <dataValidation type="list" allowBlank="1" showInputMessage="1" showErrorMessage="1" sqref="D177" xr:uid="{00000000-0002-0000-0400-000000000000}">
      <formula1>$D$168:$D$170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D7D8-9C1E-4071-B3DB-463C176B2FC0}">
  <sheetPr>
    <tabColor rgb="FFFF0000"/>
  </sheetPr>
  <dimension ref="A1:AD216"/>
  <sheetViews>
    <sheetView showGridLines="0" tabSelected="1" topLeftCell="P186" zoomScale="85" zoomScaleNormal="85" workbookViewId="0">
      <selection activeCell="AD216" sqref="AD216"/>
    </sheetView>
  </sheetViews>
  <sheetFormatPr defaultColWidth="15.5546875" defaultRowHeight="13.8" outlineLevelRow="2"/>
  <cols>
    <col min="1" max="1" width="5.109375" style="30" customWidth="1"/>
    <col min="2" max="2" width="30.5546875" style="30" customWidth="1"/>
    <col min="3" max="14" width="15.5546875" style="30"/>
    <col min="15" max="16384" width="15.5546875" style="48"/>
  </cols>
  <sheetData>
    <row r="1" spans="1:19" s="28" customFormat="1" ht="19.2">
      <c r="A1" s="22" t="s">
        <v>104</v>
      </c>
    </row>
    <row r="2" spans="1:19" s="28" customFormat="1" ht="15" customHeight="1">
      <c r="A2" s="23" t="s">
        <v>538</v>
      </c>
    </row>
    <row r="3" spans="1:19" s="30" customFormat="1"/>
    <row r="4" spans="1:19" s="30" customFormat="1">
      <c r="B4" s="159" t="s">
        <v>227</v>
      </c>
      <c r="C4" s="159" t="s">
        <v>110</v>
      </c>
      <c r="D4" s="160" t="s">
        <v>834</v>
      </c>
      <c r="E4" s="160" t="s">
        <v>209</v>
      </c>
      <c r="F4" s="160" t="s">
        <v>835</v>
      </c>
      <c r="G4" s="160" t="s">
        <v>244</v>
      </c>
      <c r="H4" s="160" t="s">
        <v>246</v>
      </c>
      <c r="I4" s="161" t="s">
        <v>248</v>
      </c>
      <c r="J4" s="160" t="s">
        <v>200</v>
      </c>
      <c r="K4" s="160" t="s">
        <v>201</v>
      </c>
      <c r="L4" s="160" t="s">
        <v>202</v>
      </c>
      <c r="M4" s="160" t="s">
        <v>203</v>
      </c>
      <c r="N4" s="160" t="s">
        <v>191</v>
      </c>
      <c r="O4" s="160" t="s">
        <v>184</v>
      </c>
      <c r="P4" s="160" t="s">
        <v>829</v>
      </c>
    </row>
    <row r="5" spans="1:19" s="30" customFormat="1">
      <c r="B5" s="159"/>
      <c r="C5" s="159"/>
      <c r="D5" s="160"/>
      <c r="E5" s="160"/>
      <c r="F5" s="161" t="s">
        <v>243</v>
      </c>
      <c r="G5" s="161" t="s">
        <v>245</v>
      </c>
      <c r="H5" s="295" t="s">
        <v>247</v>
      </c>
      <c r="I5" s="161" t="s">
        <v>249</v>
      </c>
      <c r="J5" s="161" t="s">
        <v>217</v>
      </c>
      <c r="K5" s="161" t="s">
        <v>218</v>
      </c>
      <c r="L5" s="161" t="s">
        <v>219</v>
      </c>
      <c r="M5" s="161" t="s">
        <v>220</v>
      </c>
      <c r="N5" s="161" t="s">
        <v>228</v>
      </c>
      <c r="O5" s="162"/>
      <c r="P5" s="162"/>
    </row>
    <row r="6" spans="1:19" s="30" customFormat="1">
      <c r="B6" s="289"/>
      <c r="C6" s="289"/>
      <c r="D6" s="290"/>
      <c r="E6" s="290"/>
      <c r="F6" s="70"/>
      <c r="G6" s="70"/>
      <c r="H6" s="70"/>
      <c r="I6" s="70"/>
      <c r="J6" s="70"/>
      <c r="K6" s="70"/>
      <c r="L6" s="70"/>
      <c r="M6" s="70"/>
      <c r="N6" s="70"/>
      <c r="O6" s="291"/>
      <c r="P6" s="291"/>
    </row>
    <row r="7" spans="1:19" s="30" customFormat="1" ht="19.2" outlineLevel="2">
      <c r="B7" s="157" t="s">
        <v>529</v>
      </c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</row>
    <row r="8" spans="1:19" s="30" customFormat="1" outlineLevel="2">
      <c r="C8" s="57"/>
      <c r="D8" s="57"/>
    </row>
    <row r="9" spans="1:19" s="30" customFormat="1" ht="14.4" outlineLevel="2">
      <c r="A9" s="253"/>
      <c r="B9" s="253" t="s">
        <v>833</v>
      </c>
      <c r="C9" s="249"/>
      <c r="D9" s="249"/>
      <c r="E9" s="248"/>
      <c r="F9" s="250"/>
      <c r="G9" s="251"/>
      <c r="H9" s="251"/>
      <c r="I9" s="251"/>
      <c r="J9" s="250"/>
      <c r="K9" s="251"/>
      <c r="L9" s="251"/>
      <c r="M9" s="251"/>
      <c r="N9" s="248"/>
      <c r="O9" s="248"/>
      <c r="P9" s="248"/>
    </row>
    <row r="10" spans="1:19" s="30" customFormat="1" outlineLevel="2">
      <c r="C10" s="57"/>
      <c r="D10" s="57"/>
      <c r="F10" s="245"/>
      <c r="G10" s="246"/>
      <c r="H10" s="246"/>
      <c r="I10" s="246"/>
      <c r="J10" s="245"/>
      <c r="K10" s="246"/>
      <c r="L10" s="246"/>
      <c r="M10" s="246"/>
    </row>
    <row r="11" spans="1:19" s="30" customFormat="1" outlineLevel="2">
      <c r="C11" s="57"/>
      <c r="D11" s="57"/>
      <c r="F11" s="54" t="s">
        <v>536</v>
      </c>
      <c r="G11" s="58"/>
      <c r="H11" s="58"/>
      <c r="I11" s="58"/>
      <c r="J11" s="54" t="s">
        <v>199</v>
      </c>
      <c r="K11" s="58"/>
      <c r="L11" s="58"/>
      <c r="M11" s="58"/>
    </row>
    <row r="12" spans="1:19" s="30" customFormat="1" ht="28.2" outlineLevel="2" thickBot="1">
      <c r="B12" s="59" t="s">
        <v>229</v>
      </c>
      <c r="C12" s="59" t="s">
        <v>110</v>
      </c>
      <c r="D12" s="60" t="s">
        <v>523</v>
      </c>
      <c r="E12" s="60" t="s">
        <v>505</v>
      </c>
      <c r="F12" s="60" t="s">
        <v>230</v>
      </c>
      <c r="G12" s="60" t="s">
        <v>169</v>
      </c>
      <c r="H12" s="60" t="s">
        <v>167</v>
      </c>
      <c r="I12" s="60" t="s">
        <v>231</v>
      </c>
      <c r="J12" s="60" t="s">
        <v>230</v>
      </c>
      <c r="K12" s="60" t="s">
        <v>169</v>
      </c>
      <c r="L12" s="60" t="s">
        <v>167</v>
      </c>
      <c r="M12" s="60" t="s">
        <v>231</v>
      </c>
      <c r="N12" s="60" t="s">
        <v>524</v>
      </c>
      <c r="O12" s="60" t="s">
        <v>184</v>
      </c>
      <c r="P12" s="60" t="s">
        <v>836</v>
      </c>
    </row>
    <row r="13" spans="1:19" s="30" customFormat="1" ht="14.4" outlineLevel="2">
      <c r="B13" s="62" t="s">
        <v>232</v>
      </c>
      <c r="C13" s="57"/>
      <c r="D13" s="57"/>
      <c r="F13" s="245"/>
      <c r="G13" s="246"/>
      <c r="H13" s="246"/>
      <c r="I13" s="246"/>
      <c r="J13" s="245"/>
      <c r="K13" s="246"/>
      <c r="L13" s="246"/>
      <c r="M13" s="246"/>
    </row>
    <row r="14" spans="1:19" s="30" customFormat="1" ht="16.8" outlineLevel="2">
      <c r="B14" s="61" t="s">
        <v>226</v>
      </c>
      <c r="C14" s="271" t="str">
        <f>+'Trading Comps_Input'!C10</f>
        <v>OB</v>
      </c>
      <c r="D14" s="272"/>
      <c r="E14" s="272"/>
      <c r="F14" s="272">
        <f>+'Trading Comps_Input'!C109</f>
        <v>816110.18687400001</v>
      </c>
      <c r="G14" s="272">
        <f>+'Trading Comps_Input'!C110</f>
        <v>251435.44508999999</v>
      </c>
      <c r="H14" s="272">
        <f>+'Trading Comps_Input'!C111</f>
        <v>196305.65531900001</v>
      </c>
      <c r="I14" s="272">
        <f>+'Trading Comps_Input'!C112</f>
        <v>6629.0535110659357</v>
      </c>
      <c r="J14" s="272">
        <f>+'Trading Comps_Input'!C129</f>
        <v>840593.49248022004</v>
      </c>
      <c r="K14" s="272">
        <f>+'Trading Comps_Input'!C130</f>
        <v>258978.5084427</v>
      </c>
      <c r="L14" s="272">
        <f>+'Trading Comps_Input'!C131</f>
        <v>202194.82497857002</v>
      </c>
      <c r="M14" s="272">
        <f>+'Trading Comps_Input'!C132</f>
        <v>6827.9251163979143</v>
      </c>
      <c r="N14" s="273">
        <f>+'Trading Comps_Input'!C146</f>
        <v>2.5000000000000001E-2</v>
      </c>
      <c r="O14" s="272">
        <f>+'Trading Comps_Input'!C123</f>
        <v>301945.90825400001</v>
      </c>
      <c r="P14" s="272">
        <f>+'Trading Comps_Input'!C168</f>
        <v>20.611000000000001</v>
      </c>
      <c r="S14" s="293" t="s">
        <v>867</v>
      </c>
    </row>
    <row r="15" spans="1:19" s="30" customFormat="1" ht="16.8" outlineLevel="2">
      <c r="B15" s="201" t="s">
        <v>782</v>
      </c>
      <c r="C15" s="274" t="str">
        <f>+'Trading Comps_Input'!D10</f>
        <v>KRX: 103150</v>
      </c>
      <c r="D15" s="275">
        <f>+'Trading Comps_Input'!D170</f>
        <v>1624834.84</v>
      </c>
      <c r="E15" s="275">
        <f>+'Trading Comps_Input'!D173</f>
        <v>2618390.4658650002</v>
      </c>
      <c r="F15" s="275">
        <f>+'Trading Comps_Input'!D109</f>
        <v>1049535.950404</v>
      </c>
      <c r="G15" s="275">
        <f>+'Trading Comps_Input'!D110</f>
        <v>259614.51060599997</v>
      </c>
      <c r="H15" s="275">
        <f>+'Trading Comps_Input'!D111</f>
        <v>187129.78165599995</v>
      </c>
      <c r="I15" s="275">
        <f>+'Trading Comps_Input'!D112</f>
        <v>10921.965297357603</v>
      </c>
      <c r="J15" s="275">
        <f>+'Trading Comps_Input'!D129</f>
        <v>1066105.2263499999</v>
      </c>
      <c r="K15" s="275">
        <f>+'Trading Comps_Input'!D130</f>
        <v>232221.750527</v>
      </c>
      <c r="L15" s="275">
        <f>+'Trading Comps_Input'!D131</f>
        <v>151914.49230300001</v>
      </c>
      <c r="M15" s="275">
        <f>+'Trading Comps_Input'!D132</f>
        <v>6821.3097589999998</v>
      </c>
      <c r="N15" s="276">
        <f>+'Trading Comps_Input'!D146</f>
        <v>2.5000000000000001E-2</v>
      </c>
      <c r="O15" s="275">
        <f>+'Trading Comps_Input'!D123</f>
        <v>993555.62586500007</v>
      </c>
      <c r="P15" s="275">
        <f>+'Trading Comps_Input'!D168</f>
        <v>9.5578520000000005</v>
      </c>
      <c r="S15" s="293" t="s">
        <v>868</v>
      </c>
    </row>
    <row r="16" spans="1:19" s="30" customFormat="1" ht="16.8" outlineLevel="2">
      <c r="B16" s="30" t="s">
        <v>115</v>
      </c>
      <c r="C16" s="277" t="str">
        <f>+'Trading Comps_Input'!E10</f>
        <v>TYO: 2502</v>
      </c>
      <c r="D16" s="278">
        <f>+'Trading Comps_Input'!E170</f>
        <v>806123.85407200002</v>
      </c>
      <c r="E16" s="278">
        <f>+'Trading Comps_Input'!E173</f>
        <v>1184147.8540719999</v>
      </c>
      <c r="F16" s="278">
        <f>+'Trading Comps_Input'!E109</f>
        <v>1022318</v>
      </c>
      <c r="G16" s="278">
        <f>+'Trading Comps_Input'!E110</f>
        <v>141149</v>
      </c>
      <c r="H16" s="278">
        <f>+'Trading Comps_Input'!E111</f>
        <v>82777</v>
      </c>
      <c r="I16" s="278">
        <f>+'Trading Comps_Input'!E112</f>
        <v>103.09652649154462</v>
      </c>
      <c r="J16" s="278">
        <f>+'Trading Comps_Input'!E129</f>
        <v>1084231.539266</v>
      </c>
      <c r="K16" s="278">
        <f>+'Trading Comps_Input'!E130</f>
        <v>162376.005011</v>
      </c>
      <c r="L16" s="278">
        <f>+'Trading Comps_Input'!E131</f>
        <v>95386.572658999998</v>
      </c>
      <c r="M16" s="278">
        <f>+'Trading Comps_Input'!E132</f>
        <v>115.685643</v>
      </c>
      <c r="N16" s="279">
        <f>+'Trading Comps_Input'!E146</f>
        <v>3.5000000000000003E-2</v>
      </c>
      <c r="O16" s="278">
        <f>+'Trading Comps_Input'!E123</f>
        <v>378024</v>
      </c>
      <c r="P16" s="278">
        <f>+'Trading Comps_Input'!E168</f>
        <v>465.42947694688223</v>
      </c>
      <c r="S16" s="293" t="s">
        <v>869</v>
      </c>
    </row>
    <row r="17" spans="1:19" s="30" customFormat="1" ht="14.4" outlineLevel="2">
      <c r="B17" s="30" t="s">
        <v>116</v>
      </c>
      <c r="C17" s="277" t="str">
        <f>+'Trading Comps_Input'!F10</f>
        <v>SEHK:168</v>
      </c>
      <c r="D17" s="278">
        <f>+'Trading Comps_Input'!F170</f>
        <v>21676.90946304</v>
      </c>
      <c r="E17" s="278">
        <f>+'Trading Comps_Input'!F173</f>
        <v>17888.82927604</v>
      </c>
      <c r="F17" s="278">
        <f>+'Trading Comps_Input'!F109</f>
        <v>18026.107887999999</v>
      </c>
      <c r="G17" s="278">
        <f>+'Trading Comps_Input'!F110</f>
        <v>2065.442665</v>
      </c>
      <c r="H17" s="278">
        <f>+'Trading Comps_Input'!F111</f>
        <v>1520.6809309999999</v>
      </c>
      <c r="I17" s="278">
        <f>+'Trading Comps_Input'!F112</f>
        <v>0.95009958813527728</v>
      </c>
      <c r="J17" s="278">
        <f>+'Trading Comps_Input'!F129</f>
        <v>20524.903630000001</v>
      </c>
      <c r="K17" s="278">
        <f>+'Trading Comps_Input'!F130</f>
        <v>2486.269726</v>
      </c>
      <c r="L17" s="278">
        <f>+'Trading Comps_Input'!F131</f>
        <v>1905.3394960000001</v>
      </c>
      <c r="M17" s="278">
        <f>+'Trading Comps_Input'!F132</f>
        <v>1.129899</v>
      </c>
      <c r="N17" s="279">
        <f>+'Trading Comps_Input'!F146</f>
        <v>3.5000000000000003E-2</v>
      </c>
      <c r="O17" s="278">
        <f>+'Trading Comps_Input'!F123</f>
        <v>-3788.0801870000005</v>
      </c>
      <c r="P17" s="278">
        <f>+'Trading Comps_Input'!F168</f>
        <v>1315.346448</v>
      </c>
      <c r="S17" s="241"/>
    </row>
    <row r="18" spans="1:19" s="30" customFormat="1" ht="15" outlineLevel="2">
      <c r="B18" s="30" t="s">
        <v>117</v>
      </c>
      <c r="C18" s="277" t="str">
        <f>+'Trading Comps_Input'!G10</f>
        <v>CPSE:CARL B</v>
      </c>
      <c r="D18" s="278">
        <f>+'Trading Comps_Input'!G170</f>
        <v>60461.073728710013</v>
      </c>
      <c r="E18" s="278">
        <f>+'Trading Comps_Input'!G173</f>
        <v>101784.07372871001</v>
      </c>
      <c r="F18" s="278">
        <f>+'Trading Comps_Input'!G109</f>
        <v>59382</v>
      </c>
      <c r="G18" s="278">
        <f>+'Trading Comps_Input'!G110</f>
        <v>13307</v>
      </c>
      <c r="H18" s="278">
        <f>+'Trading Comps_Input'!G111</f>
        <v>9538</v>
      </c>
      <c r="I18" s="278">
        <f>+'Trading Comps_Input'!G112</f>
        <v>33.210292195762513</v>
      </c>
      <c r="J18" s="278">
        <f>+'Trading Comps_Input'!G129</f>
        <v>60124.231254999999</v>
      </c>
      <c r="K18" s="278">
        <f>+'Trading Comps_Input'!G130</f>
        <v>13519.077848000001</v>
      </c>
      <c r="L18" s="278">
        <f>+'Trading Comps_Input'!G131</f>
        <v>9759.7655460000005</v>
      </c>
      <c r="M18" s="278">
        <f>+'Trading Comps_Input'!G132</f>
        <v>33.098190000000002</v>
      </c>
      <c r="N18" s="279">
        <f>+'Trading Comps_Input'!G146</f>
        <v>0.03</v>
      </c>
      <c r="O18" s="278">
        <f>+'Trading Comps_Input'!G123</f>
        <v>41323</v>
      </c>
      <c r="P18" s="278">
        <f>+'Trading Comps_Input'!G168</f>
        <v>152.64093342264582</v>
      </c>
      <c r="S18" s="292" t="s">
        <v>870</v>
      </c>
    </row>
    <row r="19" spans="1:19" s="30" customFormat="1" ht="14.4" outlineLevel="2">
      <c r="B19" s="30" t="s">
        <v>118</v>
      </c>
      <c r="C19" s="277" t="str">
        <f>+'Trading Comps_Input'!H10</f>
        <v>ENXTAM:HEIA</v>
      </c>
      <c r="D19" s="278">
        <f>+'Trading Comps_Input'!H170</f>
        <v>17490.18673791</v>
      </c>
      <c r="E19" s="278">
        <f>+'Trading Comps_Input'!H173</f>
        <v>25968.18673791</v>
      </c>
      <c r="F19" s="278">
        <f>+'Trading Comps_Input'!H109</f>
        <v>14701</v>
      </c>
      <c r="G19" s="278">
        <f>+'Trading Comps_Input'!H110</f>
        <v>2672</v>
      </c>
      <c r="H19" s="278">
        <f>+'Trading Comps_Input'!H111</f>
        <v>1777</v>
      </c>
      <c r="I19" s="278">
        <f>+'Trading Comps_Input'!H112</f>
        <v>1.8990460620987633</v>
      </c>
      <c r="J19" s="278">
        <f>+'Trading Comps_Input'!H129</f>
        <v>16327.515762000001</v>
      </c>
      <c r="K19" s="278">
        <f>+'Trading Comps_Input'!H130</f>
        <v>3186.5032500000002</v>
      </c>
      <c r="L19" s="278">
        <f>+'Trading Comps_Input'!H131</f>
        <v>1986.258656</v>
      </c>
      <c r="M19" s="278">
        <f>+'Trading Comps_Input'!H132</f>
        <v>2.711287</v>
      </c>
      <c r="N19" s="279">
        <f>+'Trading Comps_Input'!H146</f>
        <v>3.5000000000000003E-2</v>
      </c>
      <c r="O19" s="278">
        <f>+'Trading Comps_Input'!H123</f>
        <v>8478</v>
      </c>
      <c r="P19" s="278">
        <f>+'Trading Comps_Input'!H168</f>
        <v>488.41627304970677</v>
      </c>
      <c r="S19" s="241"/>
    </row>
    <row r="20" spans="1:19" s="30" customFormat="1" ht="14.4" outlineLevel="2">
      <c r="B20" s="30" t="s">
        <v>119</v>
      </c>
      <c r="C20" s="277" t="str">
        <f>+'Trading Comps_Input'!I10</f>
        <v>NYSE: TAP</v>
      </c>
      <c r="D20" s="278">
        <f>+'Trading Comps_Input'!I170</f>
        <v>4233.8240000000005</v>
      </c>
      <c r="E20" s="278">
        <f>+'Trading Comps_Input'!I173</f>
        <v>5225.8240000000005</v>
      </c>
      <c r="F20" s="278">
        <f>+'Trading Comps_Input'!I109</f>
        <v>3032.4</v>
      </c>
      <c r="G20" s="278">
        <f>+'Trading Comps_Input'!I110</f>
        <v>631.6</v>
      </c>
      <c r="H20" s="278">
        <f>+'Trading Comps_Input'!I111</f>
        <v>423.6</v>
      </c>
      <c r="I20" s="278">
        <f>+'Trading Comps_Input'!I112</f>
        <v>0.99772668112798224</v>
      </c>
      <c r="J20" s="278">
        <f>+'Trading Comps_Input'!I129</f>
        <v>3371.9868670000001</v>
      </c>
      <c r="K20" s="278">
        <f>+'Trading Comps_Input'!I130</f>
        <v>639.03856900000005</v>
      </c>
      <c r="L20" s="278">
        <f>+'Trading Comps_Input'!I131</f>
        <v>426.09415799999999</v>
      </c>
      <c r="M20" s="278">
        <f>+'Trading Comps_Input'!I132</f>
        <v>3.6686960000000002</v>
      </c>
      <c r="N20" s="279">
        <f>+'Trading Comps_Input'!I146</f>
        <v>1.4999999999999999E-2</v>
      </c>
      <c r="O20" s="278">
        <f>+'Trading Comps_Input'!I123</f>
        <v>992</v>
      </c>
      <c r="P20" s="278">
        <f>+'Trading Comps_Input'!I168</f>
        <v>184.4</v>
      </c>
      <c r="S20" s="241"/>
    </row>
    <row r="21" spans="1:19" s="30" customFormat="1" ht="14.4" outlineLevel="2">
      <c r="B21" s="30" t="s">
        <v>120</v>
      </c>
      <c r="C21" s="277" t="str">
        <f>+'Trading Comps_Input'!J10</f>
        <v>NYSE: SAM</v>
      </c>
      <c r="D21" s="278">
        <f>+'Trading Comps_Input'!J170</f>
        <v>705.58541919999993</v>
      </c>
      <c r="E21" s="278">
        <f>+'Trading Comps_Input'!J173</f>
        <v>650.10441919999994</v>
      </c>
      <c r="F21" s="278">
        <f>+'Trading Comps_Input'!J109</f>
        <v>415.053</v>
      </c>
      <c r="G21" s="278">
        <f>+'Trading Comps_Input'!J110</f>
        <v>72.23899999999999</v>
      </c>
      <c r="H21" s="278">
        <f>+'Trading Comps_Input'!J111</f>
        <v>55.319999999999993</v>
      </c>
      <c r="I21" s="278">
        <f>+'Trading Comps_Input'!J112</f>
        <v>2.2702952698430705</v>
      </c>
      <c r="J21" s="278">
        <f>+'Trading Comps_Input'!J129</f>
        <v>446.19518199999999</v>
      </c>
      <c r="K21" s="278">
        <f>+'Trading Comps_Input'!J130</f>
        <v>102.673564</v>
      </c>
      <c r="L21" s="278">
        <f>+'Trading Comps_Input'!J131</f>
        <v>83.819889000000003</v>
      </c>
      <c r="M21" s="278">
        <f>+'Trading Comps_Input'!J132</f>
        <v>3.4072290000000001</v>
      </c>
      <c r="N21" s="279">
        <f>+'Trading Comps_Input'!J146</f>
        <v>3.5000000000000003E-2</v>
      </c>
      <c r="O21" s="278">
        <f>+'Trading Comps_Input'!J123</f>
        <v>-55.481000000000002</v>
      </c>
      <c r="P21" s="278">
        <f>+'Trading Comps_Input'!J168</f>
        <v>14.845054054281505</v>
      </c>
      <c r="S21" s="241"/>
    </row>
    <row r="22" spans="1:19" s="30" customFormat="1" ht="13.8" customHeight="1" outlineLevel="2">
      <c r="A22" s="247"/>
      <c r="C22" s="57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41"/>
      <c r="O22" s="254"/>
      <c r="P22" s="254"/>
      <c r="S22" s="241"/>
    </row>
    <row r="23" spans="1:19" s="30" customFormat="1" ht="13.8" customHeight="1" outlineLevel="2" collapsed="1">
      <c r="A23" s="247"/>
      <c r="C23" s="57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41"/>
      <c r="O23" s="254"/>
      <c r="P23" s="254"/>
      <c r="S23" s="241"/>
    </row>
    <row r="24" spans="1:19" s="30" customFormat="1" ht="15" outlineLevel="2" collapsed="1">
      <c r="A24" s="253"/>
      <c r="B24" s="253" t="s">
        <v>849</v>
      </c>
      <c r="C24" s="249"/>
      <c r="D24" s="249"/>
      <c r="E24" s="248"/>
      <c r="F24" s="250"/>
      <c r="G24" s="251"/>
      <c r="H24" s="251"/>
      <c r="I24" s="251"/>
      <c r="J24" s="250"/>
      <c r="K24" s="251"/>
      <c r="L24" s="251"/>
      <c r="M24" s="251"/>
      <c r="N24" s="260"/>
      <c r="O24" s="248"/>
      <c r="P24" s="248"/>
    </row>
    <row r="25" spans="1:19" s="30" customFormat="1" ht="13.8" customHeight="1" outlineLevel="2">
      <c r="A25" s="247"/>
      <c r="C25" s="57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41"/>
      <c r="O25" s="254"/>
      <c r="P25" s="254"/>
      <c r="S25" s="241"/>
    </row>
    <row r="26" spans="1:19" s="30" customFormat="1" ht="13.8" customHeight="1" outlineLevel="2">
      <c r="A26" s="247"/>
      <c r="C26" s="57"/>
      <c r="D26" s="57"/>
      <c r="F26" s="54" t="s">
        <v>536</v>
      </c>
      <c r="G26" s="58"/>
      <c r="H26" s="58"/>
      <c r="I26" s="58"/>
      <c r="J26" s="54" t="s">
        <v>199</v>
      </c>
      <c r="K26" s="58"/>
      <c r="L26" s="58"/>
      <c r="M26" s="58"/>
      <c r="S26" s="241"/>
    </row>
    <row r="27" spans="1:19" s="30" customFormat="1" ht="28.2" customHeight="1" outlineLevel="2" thickBot="1">
      <c r="A27" s="247"/>
      <c r="B27" s="59" t="s">
        <v>229</v>
      </c>
      <c r="C27" s="59" t="s">
        <v>110</v>
      </c>
      <c r="D27" s="60" t="s">
        <v>523</v>
      </c>
      <c r="E27" s="60" t="s">
        <v>505</v>
      </c>
      <c r="F27" s="60" t="s">
        <v>230</v>
      </c>
      <c r="G27" s="60" t="s">
        <v>169</v>
      </c>
      <c r="H27" s="60" t="s">
        <v>167</v>
      </c>
      <c r="I27" s="60" t="s">
        <v>231</v>
      </c>
      <c r="J27" s="60" t="s">
        <v>230</v>
      </c>
      <c r="K27" s="60" t="s">
        <v>169</v>
      </c>
      <c r="L27" s="60" t="s">
        <v>167</v>
      </c>
      <c r="M27" s="60" t="s">
        <v>231</v>
      </c>
      <c r="N27" s="60" t="s">
        <v>524</v>
      </c>
      <c r="O27" s="60" t="s">
        <v>184</v>
      </c>
      <c r="P27" s="60" t="s">
        <v>836</v>
      </c>
      <c r="S27" s="241"/>
    </row>
    <row r="28" spans="1:19" s="30" customFormat="1" ht="13.8" customHeight="1" outlineLevel="2">
      <c r="A28" s="247"/>
      <c r="C28" s="57"/>
      <c r="D28" s="254"/>
      <c r="E28" s="254"/>
      <c r="F28" s="254"/>
      <c r="G28" s="254"/>
      <c r="H28" s="254"/>
      <c r="I28" s="254"/>
      <c r="J28" s="254"/>
      <c r="K28" s="254"/>
      <c r="L28" s="254"/>
      <c r="M28" s="254"/>
      <c r="N28" s="241"/>
      <c r="O28" s="254"/>
      <c r="P28" s="254"/>
      <c r="S28" s="241"/>
    </row>
    <row r="29" spans="1:19" s="30" customFormat="1" ht="13.8" customHeight="1" outlineLevel="2">
      <c r="A29" s="247"/>
      <c r="B29" s="61" t="s">
        <v>226</v>
      </c>
      <c r="C29" s="61" t="str">
        <f>VLOOKUP(C$4,'Trading Comps_Input'!$B$9:$J$188,2,FALSE)</f>
        <v>OB</v>
      </c>
      <c r="D29" s="255">
        <f>VLOOKUP(D$4,'Trading Comps_Input'!$B$9:$J$188,2,FALSE)</f>
        <v>0</v>
      </c>
      <c r="E29" s="255">
        <f>VLOOKUP(E$4,'Trading Comps_Input'!$B$9:$J$188,2,FALSE)</f>
        <v>0</v>
      </c>
      <c r="F29" s="255">
        <f>VLOOKUP(F$4,'Trading Comps_Input'!$B$9:$J$188,2,FALSE)</f>
        <v>816110.18687400001</v>
      </c>
      <c r="G29" s="255">
        <f>VLOOKUP(G$4,'Trading Comps_Input'!$B$9:$J$188,2,FALSE)</f>
        <v>251435.44508999999</v>
      </c>
      <c r="H29" s="255">
        <f>VLOOKUP(H$4,'Trading Comps_Input'!$B$9:$J$188,2,FALSE)</f>
        <v>196305.65531900001</v>
      </c>
      <c r="I29" s="255">
        <f>VLOOKUP(I$4,'Trading Comps_Input'!$B$9:$J$188,2,FALSE)</f>
        <v>6629.0535110659357</v>
      </c>
      <c r="J29" s="255">
        <f>VLOOKUP(J$4,'Trading Comps_Input'!$B$9:$J$188,2,FALSE)</f>
        <v>840593.49248022004</v>
      </c>
      <c r="K29" s="255">
        <f>VLOOKUP(K$4,'Trading Comps_Input'!$B$9:$J$188,2,FALSE)</f>
        <v>258978.5084427</v>
      </c>
      <c r="L29" s="255">
        <f>VLOOKUP(L$4,'Trading Comps_Input'!$B$9:$J$188,2,FALSE)</f>
        <v>202194.82497857002</v>
      </c>
      <c r="M29" s="255">
        <f>VLOOKUP(M$4,'Trading Comps_Input'!$B$9:$J$188,2,FALSE)</f>
        <v>6827.9251163979143</v>
      </c>
      <c r="N29" s="258">
        <f>VLOOKUP(N$4,'Trading Comps_Input'!$B$9:$J$188,2,FALSE)</f>
        <v>2.5000000000000001E-2</v>
      </c>
      <c r="O29" s="255">
        <f>VLOOKUP(O$4,'Trading Comps_Input'!$B$9:$J$188,2,FALSE)</f>
        <v>301945.90825400001</v>
      </c>
      <c r="P29" s="255">
        <f>VLOOKUP(P$4,'Trading Comps_Input'!$B$9:$J$188,2,FALSE)</f>
        <v>20.611000000000001</v>
      </c>
      <c r="S29" s="241"/>
    </row>
    <row r="30" spans="1:19" s="30" customFormat="1" ht="13.8" customHeight="1" outlineLevel="2">
      <c r="A30" s="247"/>
      <c r="B30" s="201" t="s">
        <v>782</v>
      </c>
      <c r="C30" s="201" t="str">
        <f>VLOOKUP(C$4,'Trading Comps_Input'!$B$9:$J$188,3,FALSE)</f>
        <v>KRX: 103150</v>
      </c>
      <c r="D30" s="256">
        <f>VLOOKUP(D$4,'Trading Comps_Input'!$B$9:$J$188,3,FALSE)</f>
        <v>1624834.84</v>
      </c>
      <c r="E30" s="256">
        <f>VLOOKUP(E$4,'Trading Comps_Input'!$B$9:$J$188,3,FALSE)</f>
        <v>2618390.4658650002</v>
      </c>
      <c r="F30" s="256">
        <f>VLOOKUP(F$4,'Trading Comps_Input'!$B$9:$J$188,3,FALSE)</f>
        <v>1049535.950404</v>
      </c>
      <c r="G30" s="256">
        <f>VLOOKUP(G$4,'Trading Comps_Input'!$B$9:$J$188,3,FALSE)</f>
        <v>259614.51060599997</v>
      </c>
      <c r="H30" s="256">
        <f>VLOOKUP(H$4,'Trading Comps_Input'!$B$9:$J$188,3,FALSE)</f>
        <v>187129.78165599995</v>
      </c>
      <c r="I30" s="256">
        <f>VLOOKUP(I$4,'Trading Comps_Input'!$B$9:$J$188,3,FALSE)</f>
        <v>10921.965297357603</v>
      </c>
      <c r="J30" s="256">
        <f>VLOOKUP(J$4,'Trading Comps_Input'!$B$9:$J$188,3,FALSE)</f>
        <v>1066105.2263499999</v>
      </c>
      <c r="K30" s="256">
        <f>VLOOKUP(K$4,'Trading Comps_Input'!$B$9:$J$188,3,FALSE)</f>
        <v>232221.750527</v>
      </c>
      <c r="L30" s="256">
        <f>VLOOKUP(L$4,'Trading Comps_Input'!$B$9:$J$188,3,FALSE)</f>
        <v>151914.49230300001</v>
      </c>
      <c r="M30" s="256">
        <f>VLOOKUP(M$4,'Trading Comps_Input'!$B$9:$J$188,3,FALSE)</f>
        <v>6821.3097589999998</v>
      </c>
      <c r="N30" s="259">
        <f>VLOOKUP(N$4,'Trading Comps_Input'!$B$9:$J$188,3,FALSE)</f>
        <v>2.5000000000000001E-2</v>
      </c>
      <c r="O30" s="256">
        <f>VLOOKUP(O$4,'Trading Comps_Input'!$B$9:$J$188,3,FALSE)</f>
        <v>993555.62586500007</v>
      </c>
      <c r="P30" s="256">
        <f>VLOOKUP(P$4,'Trading Comps_Input'!$B$9:$J$188,3,FALSE)</f>
        <v>9.5578520000000005</v>
      </c>
      <c r="S30" s="241"/>
    </row>
    <row r="31" spans="1:19" s="30" customFormat="1" ht="13.8" customHeight="1" outlineLevel="2">
      <c r="A31" s="247"/>
      <c r="B31" s="30" t="s">
        <v>115</v>
      </c>
      <c r="C31" s="30" t="str">
        <f>VLOOKUP(C$4,'Trading Comps_Input'!$B$9:$J$188,5,FALSE)</f>
        <v>SEHK:168</v>
      </c>
      <c r="D31" s="257">
        <f>VLOOKUP(D$4,'Trading Comps_Input'!$B$9:$J$188,5,FALSE)</f>
        <v>21676.90946304</v>
      </c>
      <c r="E31" s="257">
        <f>VLOOKUP(E$4,'Trading Comps_Input'!$B$9:$J$188,5,FALSE)</f>
        <v>17888.82927604</v>
      </c>
      <c r="F31" s="257">
        <f>VLOOKUP(F$4,'Trading Comps_Input'!$B$9:$J$188,5,FALSE)</f>
        <v>18026.107887999999</v>
      </c>
      <c r="G31" s="257">
        <f>VLOOKUP(G$4,'Trading Comps_Input'!$B$9:$J$188,5,FALSE)</f>
        <v>2065.442665</v>
      </c>
      <c r="H31" s="257">
        <f>VLOOKUP(H$4,'Trading Comps_Input'!$B$9:$J$188,5,FALSE)</f>
        <v>1520.6809309999999</v>
      </c>
      <c r="I31" s="257">
        <f>VLOOKUP(I$4,'Trading Comps_Input'!$B$9:$J$188,5,FALSE)</f>
        <v>0.95009958813527728</v>
      </c>
      <c r="J31" s="257">
        <f>VLOOKUP(J$4,'Trading Comps_Input'!$B$9:$J$188,5,FALSE)</f>
        <v>20524.903630000001</v>
      </c>
      <c r="K31" s="257">
        <f>VLOOKUP(K$4,'Trading Comps_Input'!$B$9:$J$188,5,FALSE)</f>
        <v>2486.269726</v>
      </c>
      <c r="L31" s="257">
        <f>VLOOKUP(L$4,'Trading Comps_Input'!$B$9:$J$188,5,FALSE)</f>
        <v>1905.3394960000001</v>
      </c>
      <c r="M31" s="257">
        <f>VLOOKUP(M$4,'Trading Comps_Input'!$B$9:$J$188,5,FALSE)</f>
        <v>1.129899</v>
      </c>
      <c r="N31" s="241">
        <f>VLOOKUP(N$4,'Trading Comps_Input'!$B$9:$J$188,5,FALSE)</f>
        <v>3.5000000000000003E-2</v>
      </c>
      <c r="O31" s="257">
        <f>VLOOKUP(O$4,'Trading Comps_Input'!$B$9:$J$188,5,FALSE)</f>
        <v>-3788.0801870000005</v>
      </c>
      <c r="P31" s="257">
        <f>VLOOKUP(P$4,'Trading Comps_Input'!$B$9:$J$188,5,FALSE)</f>
        <v>1315.346448</v>
      </c>
      <c r="S31" s="241"/>
    </row>
    <row r="32" spans="1:19" s="30" customFormat="1" ht="13.8" customHeight="1" outlineLevel="2">
      <c r="A32" s="247"/>
      <c r="B32" s="30" t="s">
        <v>116</v>
      </c>
      <c r="C32" s="30" t="str">
        <f>VLOOKUP(C$4,'Trading Comps_Input'!$B$9:$J$188,6,FALSE)</f>
        <v>CPSE:CARL B</v>
      </c>
      <c r="D32" s="257">
        <f>VLOOKUP(D$4,'Trading Comps_Input'!$B$9:$J$188,6,FALSE)</f>
        <v>60461.073728710013</v>
      </c>
      <c r="E32" s="257">
        <f>VLOOKUP(E$4,'Trading Comps_Input'!$B$9:$J$188,6,FALSE)</f>
        <v>101784.07372871001</v>
      </c>
      <c r="F32" s="257">
        <f>VLOOKUP(F$4,'Trading Comps_Input'!$B$9:$J$188,6,FALSE)</f>
        <v>59382</v>
      </c>
      <c r="G32" s="257">
        <f>VLOOKUP(G$4,'Trading Comps_Input'!$B$9:$J$188,6,FALSE)</f>
        <v>13307</v>
      </c>
      <c r="H32" s="257">
        <f>VLOOKUP(H$4,'Trading Comps_Input'!$B$9:$J$188,6,FALSE)</f>
        <v>9538</v>
      </c>
      <c r="I32" s="257">
        <f>VLOOKUP(I$4,'Trading Comps_Input'!$B$9:$J$188,6,FALSE)</f>
        <v>33.210292195762513</v>
      </c>
      <c r="J32" s="257">
        <f>VLOOKUP(J$4,'Trading Comps_Input'!$B$9:$J$188,6,FALSE)</f>
        <v>60124.231254999999</v>
      </c>
      <c r="K32" s="257">
        <f>VLOOKUP(K$4,'Trading Comps_Input'!$B$9:$J$188,6,FALSE)</f>
        <v>13519.077848000001</v>
      </c>
      <c r="L32" s="257">
        <f>VLOOKUP(L$4,'Trading Comps_Input'!$B$9:$J$188,6,FALSE)</f>
        <v>9759.7655460000005</v>
      </c>
      <c r="M32" s="257">
        <f>VLOOKUP(M$4,'Trading Comps_Input'!$B$9:$J$188,6,FALSE)</f>
        <v>33.098190000000002</v>
      </c>
      <c r="N32" s="241">
        <f>VLOOKUP(N$4,'Trading Comps_Input'!$B$9:$J$188,6,FALSE)</f>
        <v>0.03</v>
      </c>
      <c r="O32" s="257">
        <f>VLOOKUP(O$4,'Trading Comps_Input'!$B$9:$J$188,6,FALSE)</f>
        <v>41323</v>
      </c>
      <c r="P32" s="257">
        <f>VLOOKUP(P$4,'Trading Comps_Input'!$B$9:$J$188,6,FALSE)</f>
        <v>152.64093342264582</v>
      </c>
      <c r="S32" s="241"/>
    </row>
    <row r="33" spans="1:19" s="30" customFormat="1" ht="13.8" customHeight="1" outlineLevel="2">
      <c r="A33" s="247"/>
      <c r="B33" s="30" t="s">
        <v>117</v>
      </c>
      <c r="C33" s="30" t="str">
        <f>VLOOKUP(C$4,'Trading Comps_Input'!$B$9:$J$188,8,FALSE)</f>
        <v>NYSE: TAP</v>
      </c>
      <c r="D33" s="257">
        <f>VLOOKUP(D$4,'Trading Comps_Input'!$B$9:$J$188,8,FALSE)</f>
        <v>4233.8240000000005</v>
      </c>
      <c r="E33" s="257">
        <f>VLOOKUP(E$4,'Trading Comps_Input'!$B$9:$J$188,8,FALSE)</f>
        <v>5225.8240000000005</v>
      </c>
      <c r="F33" s="257">
        <f>VLOOKUP(F$4,'Trading Comps_Input'!$B$9:$J$188,8,FALSE)</f>
        <v>3032.4</v>
      </c>
      <c r="G33" s="257">
        <f>VLOOKUP(G$4,'Trading Comps_Input'!$B$9:$J$188,8,FALSE)</f>
        <v>631.6</v>
      </c>
      <c r="H33" s="257">
        <f>VLOOKUP(H$4,'Trading Comps_Input'!$B$9:$J$188,8,FALSE)</f>
        <v>423.6</v>
      </c>
      <c r="I33" s="257">
        <f>VLOOKUP(I$4,'Trading Comps_Input'!$B$9:$J$188,8,FALSE)</f>
        <v>0.99772668112798224</v>
      </c>
      <c r="J33" s="257">
        <f>VLOOKUP(J$4,'Trading Comps_Input'!$B$9:$J$188,8,FALSE)</f>
        <v>3371.9868670000001</v>
      </c>
      <c r="K33" s="257">
        <f>VLOOKUP(K$4,'Trading Comps_Input'!$B$9:$J$188,8,FALSE)</f>
        <v>639.03856900000005</v>
      </c>
      <c r="L33" s="257">
        <f>VLOOKUP(L$4,'Trading Comps_Input'!$B$9:$J$188,8,FALSE)</f>
        <v>426.09415799999999</v>
      </c>
      <c r="M33" s="257">
        <f>VLOOKUP(M$4,'Trading Comps_Input'!$B$9:$J$188,8,FALSE)</f>
        <v>3.6686960000000002</v>
      </c>
      <c r="N33" s="241">
        <f>VLOOKUP(N$4,'Trading Comps_Input'!$B$9:$J$188,8,FALSE)</f>
        <v>1.4999999999999999E-2</v>
      </c>
      <c r="O33" s="257">
        <f>VLOOKUP(O$4,'Trading Comps_Input'!$B$9:$J$188,8,FALSE)</f>
        <v>992</v>
      </c>
      <c r="P33" s="257">
        <f>VLOOKUP(P$4,'Trading Comps_Input'!$B$9:$J$188,8,FALSE)</f>
        <v>184.4</v>
      </c>
      <c r="S33" s="241"/>
    </row>
    <row r="34" spans="1:19" s="30" customFormat="1" ht="13.8" customHeight="1" outlineLevel="2">
      <c r="A34" s="247"/>
      <c r="B34" s="30" t="s">
        <v>118</v>
      </c>
      <c r="C34" s="30" t="str">
        <f>VLOOKUP(C$4,'Trading Comps_Input'!$B$9:$J$188,9,FALSE)</f>
        <v>NYSE: SAM</v>
      </c>
      <c r="D34" s="257">
        <f>VLOOKUP(D$4,'Trading Comps_Input'!$B$9:$J$188,9,FALSE)</f>
        <v>705.58541919999993</v>
      </c>
      <c r="E34" s="257">
        <f>VLOOKUP(E$4,'Trading Comps_Input'!$B$9:$J$188,9,FALSE)</f>
        <v>650.10441919999994</v>
      </c>
      <c r="F34" s="257">
        <f>VLOOKUP(F$4,'Trading Comps_Input'!$B$9:$J$188,9,FALSE)</f>
        <v>415.053</v>
      </c>
      <c r="G34" s="257">
        <f>VLOOKUP(G$4,'Trading Comps_Input'!$B$9:$J$188,9,FALSE)</f>
        <v>72.23899999999999</v>
      </c>
      <c r="H34" s="257">
        <f>VLOOKUP(H$4,'Trading Comps_Input'!$B$9:$J$188,9,FALSE)</f>
        <v>55.319999999999993</v>
      </c>
      <c r="I34" s="257">
        <f>VLOOKUP(I$4,'Trading Comps_Input'!$B$9:$J$188,9,FALSE)</f>
        <v>2.2702952698430705</v>
      </c>
      <c r="J34" s="257">
        <f>VLOOKUP(J$4,'Trading Comps_Input'!$B$9:$J$188,9,FALSE)</f>
        <v>446.19518199999999</v>
      </c>
      <c r="K34" s="257">
        <f>VLOOKUP(K$4,'Trading Comps_Input'!$B$9:$J$188,9,FALSE)</f>
        <v>102.673564</v>
      </c>
      <c r="L34" s="257">
        <f>VLOOKUP(L$4,'Trading Comps_Input'!$B$9:$J$188,9,FALSE)</f>
        <v>83.819889000000003</v>
      </c>
      <c r="M34" s="257">
        <f>VLOOKUP(M$4,'Trading Comps_Input'!$B$9:$J$188,9,FALSE)</f>
        <v>3.4072290000000001</v>
      </c>
      <c r="N34" s="241">
        <f>VLOOKUP(N$4,'Trading Comps_Input'!$B$9:$J$188,9,FALSE)</f>
        <v>3.5000000000000003E-2</v>
      </c>
      <c r="O34" s="257">
        <f>VLOOKUP(O$4,'Trading Comps_Input'!$B$9:$J$188,9,FALSE)</f>
        <v>-55.481000000000002</v>
      </c>
      <c r="P34" s="257">
        <f>VLOOKUP(P$4,'Trading Comps_Input'!$B$9:$J$188,9,FALSE)</f>
        <v>14.845054054281505</v>
      </c>
      <c r="S34" s="241"/>
    </row>
    <row r="35" spans="1:19" s="30" customFormat="1" ht="13.8" customHeight="1" outlineLevel="2">
      <c r="A35" s="247"/>
      <c r="B35" s="30" t="s">
        <v>119</v>
      </c>
      <c r="C35" s="30" t="e">
        <f>VLOOKUP(C$4,'Trading Comps_Input'!$B$9:$J$188,10,FALSE)</f>
        <v>#REF!</v>
      </c>
      <c r="D35" s="257" t="e">
        <f>VLOOKUP(D$4,'Trading Comps_Input'!$B$9:$J$188,10,FALSE)</f>
        <v>#REF!</v>
      </c>
      <c r="E35" s="257" t="e">
        <f>VLOOKUP(E$4,'Trading Comps_Input'!$B$9:$J$188,10,FALSE)</f>
        <v>#REF!</v>
      </c>
      <c r="F35" s="257" t="e">
        <f>VLOOKUP(F$4,'Trading Comps_Input'!$B$9:$J$188,10,FALSE)</f>
        <v>#REF!</v>
      </c>
      <c r="G35" s="257" t="e">
        <f>VLOOKUP(G$4,'Trading Comps_Input'!$B$9:$J$188,10,FALSE)</f>
        <v>#REF!</v>
      </c>
      <c r="H35" s="257" t="e">
        <f>VLOOKUP(H$4,'Trading Comps_Input'!$B$9:$J$188,10,FALSE)</f>
        <v>#REF!</v>
      </c>
      <c r="I35" s="257" t="e">
        <f>VLOOKUP(I$4,'Trading Comps_Input'!$B$9:$J$188,10,FALSE)</f>
        <v>#REF!</v>
      </c>
      <c r="J35" s="257" t="e">
        <f>VLOOKUP(J$4,'Trading Comps_Input'!$B$9:$J$188,10,FALSE)</f>
        <v>#REF!</v>
      </c>
      <c r="K35" s="257" t="e">
        <f>VLOOKUP(K$4,'Trading Comps_Input'!$B$9:$J$188,10,FALSE)</f>
        <v>#REF!</v>
      </c>
      <c r="L35" s="257" t="e">
        <f>VLOOKUP(L$4,'Trading Comps_Input'!$B$9:$J$188,10,FALSE)</f>
        <v>#REF!</v>
      </c>
      <c r="M35" s="257" t="e">
        <f>VLOOKUP(M$4,'Trading Comps_Input'!$B$9:$J$188,10,FALSE)</f>
        <v>#REF!</v>
      </c>
      <c r="N35" s="241" t="e">
        <f>VLOOKUP(N$4,'Trading Comps_Input'!$B$9:$J$188,10,FALSE)</f>
        <v>#REF!</v>
      </c>
      <c r="O35" s="257" t="e">
        <f>VLOOKUP(O$4,'Trading Comps_Input'!$B$9:$J$188,10,FALSE)</f>
        <v>#REF!</v>
      </c>
      <c r="P35" s="257" t="e">
        <f>VLOOKUP(P$4,'Trading Comps_Input'!$B$9:$J$188,10,FALSE)</f>
        <v>#REF!</v>
      </c>
      <c r="S35" s="241"/>
    </row>
    <row r="36" spans="1:19" s="30" customFormat="1" ht="13.8" customHeight="1" outlineLevel="2">
      <c r="A36" s="247"/>
      <c r="B36" s="30" t="s">
        <v>120</v>
      </c>
      <c r="C36" s="30" t="e">
        <f>VLOOKUP(C$4,'Trading Comps_Input'!$B$9:$J$188,11,FALSE)</f>
        <v>#REF!</v>
      </c>
      <c r="D36" s="257" t="e">
        <f>VLOOKUP(D$4,'Trading Comps_Input'!$B$9:$J$188,11,FALSE)</f>
        <v>#REF!</v>
      </c>
      <c r="E36" s="257" t="e">
        <f>VLOOKUP(E$4,'Trading Comps_Input'!$B$9:$J$188,11,FALSE)</f>
        <v>#REF!</v>
      </c>
      <c r="F36" s="257" t="e">
        <f>VLOOKUP(F$4,'Trading Comps_Input'!$B$9:$J$188,11,FALSE)</f>
        <v>#REF!</v>
      </c>
      <c r="G36" s="257" t="e">
        <f>VLOOKUP(G$4,'Trading Comps_Input'!$B$9:$J$188,11,FALSE)</f>
        <v>#REF!</v>
      </c>
      <c r="H36" s="257" t="e">
        <f>VLOOKUP(H$4,'Trading Comps_Input'!$B$9:$J$188,11,FALSE)</f>
        <v>#REF!</v>
      </c>
      <c r="I36" s="257" t="e">
        <f>VLOOKUP(I$4,'Trading Comps_Input'!$B$9:$J$188,11,FALSE)</f>
        <v>#REF!</v>
      </c>
      <c r="J36" s="257" t="e">
        <f>VLOOKUP(J$4,'Trading Comps_Input'!$B$9:$J$188,11,FALSE)</f>
        <v>#REF!</v>
      </c>
      <c r="K36" s="257" t="e">
        <f>VLOOKUP(K$4,'Trading Comps_Input'!$B$9:$J$188,11,FALSE)</f>
        <v>#REF!</v>
      </c>
      <c r="L36" s="257" t="e">
        <f>VLOOKUP(L$4,'Trading Comps_Input'!$B$9:$J$188,11,FALSE)</f>
        <v>#REF!</v>
      </c>
      <c r="M36" s="257" t="e">
        <f>VLOOKUP(M$4,'Trading Comps_Input'!$B$9:$J$188,11,FALSE)</f>
        <v>#REF!</v>
      </c>
      <c r="N36" s="241" t="e">
        <f>VLOOKUP(N$4,'Trading Comps_Input'!$B$9:$J$188,11,FALSE)</f>
        <v>#REF!</v>
      </c>
      <c r="O36" s="257" t="e">
        <f>VLOOKUP(O$4,'Trading Comps_Input'!$B$9:$J$188,11,FALSE)</f>
        <v>#REF!</v>
      </c>
      <c r="P36" s="257" t="e">
        <f>VLOOKUP(P$4,'Trading Comps_Input'!$B$9:$J$188,11,FALSE)</f>
        <v>#REF!</v>
      </c>
    </row>
    <row r="37" spans="1:19" s="30" customFormat="1" ht="13.8" customHeight="1" outlineLevel="2">
      <c r="A37" s="247"/>
      <c r="C37" s="57"/>
      <c r="D37" s="254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</row>
    <row r="38" spans="1:19" s="30" customFormat="1" outlineLevel="1">
      <c r="A38" s="252"/>
      <c r="B38" s="252" t="s">
        <v>832</v>
      </c>
      <c r="C38" s="249"/>
      <c r="D38" s="249"/>
      <c r="E38" s="248"/>
      <c r="F38" s="250"/>
      <c r="G38" s="251"/>
      <c r="H38" s="251"/>
      <c r="I38" s="251"/>
      <c r="J38" s="250"/>
      <c r="K38" s="251"/>
      <c r="L38" s="251"/>
      <c r="M38" s="251"/>
      <c r="N38" s="248"/>
      <c r="O38" s="248"/>
      <c r="P38" s="248"/>
    </row>
    <row r="39" spans="1:19" s="30" customFormat="1" outlineLevel="2">
      <c r="C39" s="57"/>
      <c r="D39" s="57"/>
      <c r="F39" s="245"/>
      <c r="G39" s="246"/>
      <c r="H39" s="246"/>
      <c r="I39" s="246"/>
      <c r="J39" s="245"/>
      <c r="K39" s="246"/>
      <c r="L39" s="246"/>
      <c r="M39" s="246"/>
    </row>
    <row r="40" spans="1:19" s="30" customFormat="1" outlineLevel="2">
      <c r="B40" s="239" t="s">
        <v>840</v>
      </c>
      <c r="C40" s="57"/>
      <c r="D40" s="57"/>
      <c r="F40" s="245"/>
      <c r="G40" s="246"/>
      <c r="H40" s="246"/>
      <c r="I40" s="246"/>
      <c r="J40" s="245"/>
      <c r="K40" s="246"/>
      <c r="L40" s="246"/>
      <c r="M40" s="246"/>
    </row>
    <row r="41" spans="1:19" s="30" customFormat="1" ht="14.4" outlineLevel="2">
      <c r="C41" s="266" t="s">
        <v>841</v>
      </c>
      <c r="D41" s="57"/>
      <c r="F41" s="245"/>
      <c r="G41" s="246"/>
      <c r="H41" s="246"/>
      <c r="I41" s="246"/>
      <c r="J41" s="245"/>
      <c r="K41" s="246"/>
      <c r="L41" s="246"/>
      <c r="M41" s="246"/>
    </row>
    <row r="42" spans="1:19" s="30" customFormat="1" outlineLevel="2">
      <c r="B42" s="61" t="s">
        <v>226</v>
      </c>
      <c r="C42" s="294">
        <f>MATCH(B42,$B$42:$B$49,0)</f>
        <v>1</v>
      </c>
      <c r="D42" s="57"/>
      <c r="F42" s="245"/>
      <c r="G42" s="246"/>
      <c r="H42" s="246"/>
      <c r="I42" s="246"/>
      <c r="J42" s="245"/>
      <c r="K42" s="246"/>
      <c r="L42" s="246"/>
      <c r="M42" s="246"/>
    </row>
    <row r="43" spans="1:19" s="30" customFormat="1" outlineLevel="2">
      <c r="B43" s="201" t="s">
        <v>782</v>
      </c>
      <c r="C43" s="294">
        <f>MATCH(B43,$B$42:$B$49,0)</f>
        <v>2</v>
      </c>
      <c r="D43" s="57"/>
      <c r="F43" s="245"/>
      <c r="G43" s="246"/>
      <c r="H43" s="246"/>
      <c r="I43" s="246"/>
      <c r="J43" s="245"/>
      <c r="K43" s="246"/>
      <c r="L43" s="246"/>
      <c r="M43" s="246"/>
    </row>
    <row r="44" spans="1:19" s="30" customFormat="1" outlineLevel="2">
      <c r="B44" s="30" t="s">
        <v>115</v>
      </c>
      <c r="C44" s="294">
        <f>MATCH(B44,$B$42:$B$49,0)</f>
        <v>3</v>
      </c>
      <c r="D44" s="57"/>
      <c r="F44" s="245"/>
      <c r="G44" s="246"/>
      <c r="H44" s="246"/>
      <c r="I44" s="246"/>
      <c r="J44" s="245"/>
      <c r="K44" s="246"/>
      <c r="L44" s="246"/>
      <c r="M44" s="246"/>
    </row>
    <row r="45" spans="1:19" s="30" customFormat="1" outlineLevel="2">
      <c r="B45" s="30" t="s">
        <v>116</v>
      </c>
      <c r="C45" s="294">
        <f t="shared" ref="C45:C49" si="0">MATCH(B45,$B$42:$B$49,0)</f>
        <v>4</v>
      </c>
      <c r="D45" s="57"/>
      <c r="F45" s="245"/>
      <c r="G45" s="246"/>
      <c r="H45" s="246"/>
      <c r="I45" s="246"/>
      <c r="J45" s="245"/>
      <c r="K45" s="246"/>
      <c r="L45" s="246"/>
      <c r="M45" s="246"/>
    </row>
    <row r="46" spans="1:19" s="30" customFormat="1" outlineLevel="2">
      <c r="B46" s="30" t="s">
        <v>117</v>
      </c>
      <c r="C46" s="294">
        <f t="shared" si="0"/>
        <v>5</v>
      </c>
      <c r="D46" s="57"/>
      <c r="F46" s="245"/>
      <c r="G46" s="246"/>
      <c r="H46" s="246"/>
      <c r="I46" s="246"/>
      <c r="J46" s="245"/>
      <c r="K46" s="246"/>
      <c r="L46" s="246"/>
      <c r="M46" s="246"/>
    </row>
    <row r="47" spans="1:19" s="30" customFormat="1" outlineLevel="2">
      <c r="B47" s="30" t="s">
        <v>118</v>
      </c>
      <c r="C47" s="294">
        <f t="shared" si="0"/>
        <v>6</v>
      </c>
      <c r="D47" s="57"/>
      <c r="F47" s="245"/>
      <c r="G47" s="246"/>
      <c r="H47" s="246"/>
      <c r="I47" s="246"/>
      <c r="J47" s="245"/>
      <c r="K47" s="246"/>
      <c r="L47" s="246"/>
      <c r="M47" s="246"/>
    </row>
    <row r="48" spans="1:19" s="30" customFormat="1" outlineLevel="2">
      <c r="B48" s="30" t="s">
        <v>119</v>
      </c>
      <c r="C48" s="294">
        <f t="shared" si="0"/>
        <v>7</v>
      </c>
      <c r="D48" s="57"/>
      <c r="F48" s="245"/>
      <c r="G48" s="246"/>
      <c r="H48" s="246"/>
      <c r="I48" s="246"/>
      <c r="J48" s="245"/>
      <c r="K48" s="246"/>
      <c r="L48" s="246"/>
      <c r="M48" s="246"/>
    </row>
    <row r="49" spans="2:16" s="30" customFormat="1" outlineLevel="2">
      <c r="B49" s="30" t="s">
        <v>120</v>
      </c>
      <c r="C49" s="294">
        <f t="shared" si="0"/>
        <v>8</v>
      </c>
      <c r="D49" s="57"/>
      <c r="F49" s="245"/>
      <c r="G49" s="246"/>
      <c r="H49" s="246"/>
      <c r="I49" s="246"/>
      <c r="J49" s="245"/>
      <c r="K49" s="246"/>
      <c r="L49" s="246"/>
      <c r="M49" s="246"/>
    </row>
    <row r="50" spans="2:16" s="30" customFormat="1" outlineLevel="2">
      <c r="C50" s="57"/>
      <c r="D50" s="57"/>
      <c r="F50" s="245"/>
      <c r="G50" s="246"/>
      <c r="H50" s="246"/>
      <c r="I50" s="246"/>
      <c r="J50" s="245"/>
      <c r="K50" s="246"/>
      <c r="L50" s="246"/>
      <c r="M50" s="246"/>
    </row>
    <row r="51" spans="2:16" s="30" customFormat="1" outlineLevel="2">
      <c r="C51" s="57"/>
      <c r="D51" s="57"/>
      <c r="F51" s="245"/>
      <c r="G51" s="246"/>
      <c r="H51" s="246"/>
      <c r="I51" s="246"/>
      <c r="J51" s="245"/>
      <c r="K51" s="246"/>
      <c r="L51" s="246"/>
      <c r="M51" s="246"/>
    </row>
    <row r="52" spans="2:16" s="30" customFormat="1" outlineLevel="2" collapsed="1">
      <c r="C52" s="57"/>
      <c r="D52" s="57"/>
      <c r="F52" s="245"/>
      <c r="G52" s="246"/>
      <c r="H52" s="246"/>
      <c r="I52" s="246"/>
      <c r="J52" s="245"/>
      <c r="K52" s="246"/>
      <c r="L52" s="246"/>
      <c r="M52" s="246"/>
    </row>
    <row r="53" spans="2:16" s="30" customFormat="1" outlineLevel="1">
      <c r="C53" s="57"/>
      <c r="D53" s="57"/>
      <c r="F53" s="54" t="s">
        <v>536</v>
      </c>
      <c r="G53" s="58"/>
      <c r="H53" s="58"/>
      <c r="I53" s="58"/>
      <c r="J53" s="54" t="s">
        <v>199</v>
      </c>
      <c r="K53" s="58"/>
      <c r="L53" s="58"/>
      <c r="M53" s="58"/>
    </row>
    <row r="54" spans="2:16" s="30" customFormat="1" ht="28.2" outlineLevel="1" thickBot="1">
      <c r="B54" s="59" t="s">
        <v>229</v>
      </c>
      <c r="C54" s="59" t="s">
        <v>110</v>
      </c>
      <c r="D54" s="60" t="s">
        <v>523</v>
      </c>
      <c r="E54" s="60" t="s">
        <v>505</v>
      </c>
      <c r="F54" s="60" t="s">
        <v>230</v>
      </c>
      <c r="G54" s="60" t="s">
        <v>169</v>
      </c>
      <c r="H54" s="60" t="s">
        <v>167</v>
      </c>
      <c r="I54" s="60" t="s">
        <v>231</v>
      </c>
      <c r="J54" s="60" t="s">
        <v>230</v>
      </c>
      <c r="K54" s="60" t="s">
        <v>169</v>
      </c>
      <c r="L54" s="60" t="s">
        <v>167</v>
      </c>
      <c r="M54" s="60" t="s">
        <v>231</v>
      </c>
      <c r="N54" s="60" t="s">
        <v>524</v>
      </c>
      <c r="O54" s="60" t="s">
        <v>184</v>
      </c>
      <c r="P54" s="60" t="s">
        <v>836</v>
      </c>
    </row>
    <row r="55" spans="2:16" s="30" customFormat="1" ht="14.4" outlineLevel="1">
      <c r="B55" s="62"/>
    </row>
    <row r="56" spans="2:16" s="30" customFormat="1" ht="14.4" outlineLevel="1">
      <c r="B56" s="61" t="s">
        <v>226</v>
      </c>
      <c r="C56" s="101" t="str">
        <f>VLOOKUP(C$4,'Trading Comps_Input'!$B$9:$J$188,MATCH($B56,'Trading Comps_Input'!$C$9:$J$9,0)+1,FALSE)</f>
        <v>OB</v>
      </c>
      <c r="D56" s="101">
        <f>VLOOKUP(D$4,'Trading Comps_Input'!$B$9:$J$188,MATCH($B56,'Trading Comps_Input'!$C$9:$J$9,0)+1,FALSE)</f>
        <v>0</v>
      </c>
      <c r="E56" s="101">
        <f>VLOOKUP(E$4,'Trading Comps_Input'!$B$9:$J$188,MATCH($B56,'Trading Comps_Input'!$C$9:$J$9,0)+1,FALSE)</f>
        <v>0</v>
      </c>
      <c r="F56" s="101">
        <f>VLOOKUP(F$4,'Trading Comps_Input'!$B$9:$J$188,MATCH($B56,'Trading Comps_Input'!$C$9:$J$9,0)+1,FALSE)</f>
        <v>816110.18687400001</v>
      </c>
      <c r="G56" s="101">
        <f>VLOOKUP(G$4,'Trading Comps_Input'!$B$9:$J$188,MATCH($B56,'Trading Comps_Input'!$C$9:$J$9,0)+1,FALSE)</f>
        <v>251435.44508999999</v>
      </c>
      <c r="H56" s="101">
        <f>VLOOKUP(H$4,'Trading Comps_Input'!$B$9:$J$188,MATCH($B56,'Trading Comps_Input'!$C$9:$J$9,0)+1,FALSE)</f>
        <v>196305.65531900001</v>
      </c>
      <c r="I56" s="101">
        <f>VLOOKUP(I$4,'Trading Comps_Input'!$B$9:$J$188,MATCH($B56,'Trading Comps_Input'!$C$9:$J$9,0)+1,FALSE)</f>
        <v>6629.0535110659357</v>
      </c>
      <c r="J56" s="101">
        <f>VLOOKUP(J$4,'Trading Comps_Input'!$B$9:$J$188,MATCH($B56,'Trading Comps_Input'!$C$9:$J$9,0)+1,FALSE)</f>
        <v>840593.49248022004</v>
      </c>
      <c r="K56" s="101">
        <f>VLOOKUP(K$4,'Trading Comps_Input'!$B$9:$J$188,MATCH($B56,'Trading Comps_Input'!$C$9:$J$9,0)+1,FALSE)</f>
        <v>258978.5084427</v>
      </c>
      <c r="L56" s="101">
        <f>VLOOKUP(L$4,'Trading Comps_Input'!$B$9:$J$188,MATCH($B56,'Trading Comps_Input'!$C$9:$J$9,0)+1,FALSE)</f>
        <v>202194.82497857002</v>
      </c>
      <c r="M56" s="101">
        <f>VLOOKUP(M$4,'Trading Comps_Input'!$B$9:$J$188,MATCH($B56,'Trading Comps_Input'!$C$9:$J$9,0)+1,FALSE)</f>
        <v>6827.9251163979143</v>
      </c>
      <c r="N56" s="240">
        <f>VLOOKUP(N$4,'Trading Comps_Input'!$B$9:$J$188,MATCH($B56,'Trading Comps_Input'!$C$9:$J$9,0)+1,FALSE)</f>
        <v>2.5000000000000001E-2</v>
      </c>
      <c r="O56" s="101">
        <f>VLOOKUP(O$4,'Trading Comps_Input'!$B$9:$J$188,MATCH($B56,'Trading Comps_Input'!$C$9:$J$9,0)+1,FALSE)</f>
        <v>301945.90825400001</v>
      </c>
      <c r="P56" s="148">
        <f>VLOOKUP(P$4,'Trading Comps_Input'!$B$9:$J$188,MATCH($B56,'Trading Comps_Input'!$C$9:$J$9,0)+1,FALSE)</f>
        <v>20.611000000000001</v>
      </c>
    </row>
    <row r="57" spans="2:16" s="30" customFormat="1" outlineLevel="1">
      <c r="B57" s="201" t="s">
        <v>782</v>
      </c>
      <c r="C57" s="101" t="str">
        <f>VLOOKUP(C$4,'Trading Comps_Input'!$B$9:$J$188,MATCH($B57,'Trading Comps_Input'!$B$9:$J$9,0),FALSE)</f>
        <v>KRX: 103150</v>
      </c>
      <c r="D57" s="101">
        <f>VLOOKUP(D$4,'Trading Comps_Input'!$B$9:$J$188,MATCH($B57,'Trading Comps_Input'!$B$9:$J$9,0),FALSE)</f>
        <v>1624834.84</v>
      </c>
      <c r="E57" s="101">
        <f>VLOOKUP(E$4,'Trading Comps_Input'!$B$9:$J$188,MATCH($B57,'Trading Comps_Input'!$B$9:$J$9,0),FALSE)</f>
        <v>2618390.4658650002</v>
      </c>
      <c r="F57" s="101">
        <f>VLOOKUP(F$4,'Trading Comps_Input'!$B$9:$J$188,MATCH($B57,'Trading Comps_Input'!$B$9:$J$9,0),FALSE)</f>
        <v>1049535.950404</v>
      </c>
      <c r="G57" s="101">
        <f>VLOOKUP(G$4,'Trading Comps_Input'!$B$9:$J$188,MATCH($B57,'Trading Comps_Input'!$B$9:$J$9,0),FALSE)</f>
        <v>259614.51060599997</v>
      </c>
      <c r="H57" s="101">
        <f>VLOOKUP(H$4,'Trading Comps_Input'!$B$9:$J$188,MATCH($B57,'Trading Comps_Input'!$B$9:$J$9,0),FALSE)</f>
        <v>187129.78165599995</v>
      </c>
      <c r="I57" s="101">
        <f>VLOOKUP(I$4,'Trading Comps_Input'!$B$9:$J$188,MATCH($B57,'Trading Comps_Input'!$B$9:$J$9,0),FALSE)</f>
        <v>10921.965297357603</v>
      </c>
      <c r="J57" s="101">
        <f>VLOOKUP(J$4,'Trading Comps_Input'!$B$9:$J$188,MATCH($B57,'Trading Comps_Input'!$B$9:$J$9,0),FALSE)</f>
        <v>1066105.2263499999</v>
      </c>
      <c r="K57" s="101">
        <f>VLOOKUP(K$4,'Trading Comps_Input'!$B$9:$J$188,MATCH($B57,'Trading Comps_Input'!$B$9:$J$9,0),FALSE)</f>
        <v>232221.750527</v>
      </c>
      <c r="L57" s="101">
        <f>VLOOKUP(L$4,'Trading Comps_Input'!$B$9:$J$188,MATCH($B57,'Trading Comps_Input'!$B$9:$J$9,0),FALSE)</f>
        <v>151914.49230300001</v>
      </c>
      <c r="M57" s="101">
        <f>VLOOKUP(M$4,'Trading Comps_Input'!$B$9:$J$188,MATCH($B57,'Trading Comps_Input'!$B$9:$J$9,0),FALSE)</f>
        <v>6821.3097589999998</v>
      </c>
      <c r="N57" s="101">
        <f>VLOOKUP(N$4,'Trading Comps_Input'!$B$9:$J$188,MATCH($B57,'Trading Comps_Input'!$B$9:$J$9,0),FALSE)</f>
        <v>2.5000000000000001E-2</v>
      </c>
      <c r="O57" s="101">
        <f>VLOOKUP(O$4,'Trading Comps_Input'!$B$9:$J$188,MATCH($B57,'Trading Comps_Input'!$B$9:$J$9,0),FALSE)</f>
        <v>993555.62586500007</v>
      </c>
      <c r="P57" s="101">
        <f>VLOOKUP(P$4,'Trading Comps_Input'!$B$9:$J$188,MATCH($B57,'Trading Comps_Input'!$B$9:$J$9,0),FALSE)</f>
        <v>9.5578520000000005</v>
      </c>
    </row>
    <row r="58" spans="2:16" s="30" customFormat="1" outlineLevel="1">
      <c r="B58" s="30" t="s">
        <v>115</v>
      </c>
      <c r="C58" s="37" t="str">
        <f>VLOOKUP(C$4,'Trading Comps_Input'!$B$9:$J$188,MATCH($B58,'Trading Comps_Input'!$B$9:$J$9,0),FALSE)</f>
        <v>TYO: 2502</v>
      </c>
      <c r="D58" s="37">
        <f>VLOOKUP(D$4,'Trading Comps_Input'!$B$9:$J$188,MATCH($B58,'Trading Comps_Input'!$B$9:$J$9,0),FALSE)</f>
        <v>806123.85407200002</v>
      </c>
      <c r="E58" s="37">
        <f>VLOOKUP(E$4,'Trading Comps_Input'!$B$9:$J$188,MATCH($B58,'Trading Comps_Input'!$B$9:$J$9,0),FALSE)</f>
        <v>1184147.8540719999</v>
      </c>
      <c r="F58" s="37">
        <f>VLOOKUP(F$4,'Trading Comps_Input'!$B$9:$J$188,MATCH($B58,'Trading Comps_Input'!$B$9:$J$9,0),FALSE)</f>
        <v>1022318</v>
      </c>
      <c r="G58" s="37">
        <f>VLOOKUP(G$4,'Trading Comps_Input'!$B$9:$J$188,MATCH($B58,'Trading Comps_Input'!$B$9:$J$9,0),FALSE)</f>
        <v>141149</v>
      </c>
      <c r="H58" s="37">
        <f>VLOOKUP(H$4,'Trading Comps_Input'!$B$9:$J$188,MATCH($B58,'Trading Comps_Input'!$B$9:$J$9,0),FALSE)</f>
        <v>82777</v>
      </c>
      <c r="I58" s="37">
        <f>VLOOKUP(I$4,'Trading Comps_Input'!$B$9:$J$188,MATCH($B58,'Trading Comps_Input'!$B$9:$J$9,0),FALSE)</f>
        <v>103.09652649154462</v>
      </c>
      <c r="J58" s="37">
        <f>VLOOKUP(J$4,'Trading Comps_Input'!$B$9:$J$188,MATCH($B58,'Trading Comps_Input'!$B$9:$J$9,0),FALSE)</f>
        <v>1084231.539266</v>
      </c>
      <c r="K58" s="37">
        <f>VLOOKUP(K$4,'Trading Comps_Input'!$B$9:$J$188,MATCH($B58,'Trading Comps_Input'!$B$9:$J$9,0),FALSE)</f>
        <v>162376.005011</v>
      </c>
      <c r="L58" s="37">
        <f>VLOOKUP(L$4,'Trading Comps_Input'!$B$9:$J$188,MATCH($B58,'Trading Comps_Input'!$B$9:$J$9,0),FALSE)</f>
        <v>95386.572658999998</v>
      </c>
      <c r="M58" s="37">
        <f>VLOOKUP(M$4,'Trading Comps_Input'!$B$9:$J$188,MATCH($B58,'Trading Comps_Input'!$B$9:$J$9,0),FALSE)</f>
        <v>115.685643</v>
      </c>
      <c r="N58" s="37">
        <f>VLOOKUP(N$4,'Trading Comps_Input'!$B$9:$J$188,MATCH($B58,'Trading Comps_Input'!$B$9:$J$9,0),FALSE)</f>
        <v>3.5000000000000003E-2</v>
      </c>
      <c r="O58" s="37">
        <f>VLOOKUP(O$4,'Trading Comps_Input'!$B$9:$J$188,MATCH($B58,'Trading Comps_Input'!$B$9:$J$9,0),FALSE)</f>
        <v>378024</v>
      </c>
      <c r="P58" s="37">
        <f>VLOOKUP(P$4,'Trading Comps_Input'!$B$9:$J$188,MATCH($B58,'Trading Comps_Input'!$B$9:$J$9,0),FALSE)</f>
        <v>465.42947694688223</v>
      </c>
    </row>
    <row r="59" spans="2:16" s="30" customFormat="1" outlineLevel="1">
      <c r="B59" s="30" t="s">
        <v>116</v>
      </c>
      <c r="C59" s="37" t="str">
        <f>VLOOKUP(C$4,'Trading Comps_Input'!$B$9:$J$188,MATCH($B59,'Trading Comps_Input'!$B$9:$J$9,0),FALSE)</f>
        <v>SEHK:168</v>
      </c>
      <c r="D59" s="37">
        <f>VLOOKUP(D$4,'Trading Comps_Input'!$B$9:$J$188,MATCH($B59,'Trading Comps_Input'!$B$9:$J$9,0),FALSE)</f>
        <v>21676.90946304</v>
      </c>
      <c r="E59" s="37">
        <f>VLOOKUP(E$4,'Trading Comps_Input'!$B$9:$J$188,MATCH($B59,'Trading Comps_Input'!$B$9:$J$9,0),FALSE)</f>
        <v>17888.82927604</v>
      </c>
      <c r="F59" s="37">
        <f>VLOOKUP(F$4,'Trading Comps_Input'!$B$9:$J$188,MATCH($B59,'Trading Comps_Input'!$B$9:$J$9,0),FALSE)</f>
        <v>18026.107887999999</v>
      </c>
      <c r="G59" s="37">
        <f>VLOOKUP(G$4,'Trading Comps_Input'!$B$9:$J$188,MATCH($B59,'Trading Comps_Input'!$B$9:$J$9,0),FALSE)</f>
        <v>2065.442665</v>
      </c>
      <c r="H59" s="37">
        <f>VLOOKUP(H$4,'Trading Comps_Input'!$B$9:$J$188,MATCH($B59,'Trading Comps_Input'!$B$9:$J$9,0),FALSE)</f>
        <v>1520.6809309999999</v>
      </c>
      <c r="I59" s="37">
        <f>VLOOKUP(I$4,'Trading Comps_Input'!$B$9:$J$188,MATCH($B59,'Trading Comps_Input'!$B$9:$J$9,0),FALSE)</f>
        <v>0.95009958813527728</v>
      </c>
      <c r="J59" s="37">
        <f>VLOOKUP(J$4,'Trading Comps_Input'!$B$9:$J$188,MATCH($B59,'Trading Comps_Input'!$B$9:$J$9,0),FALSE)</f>
        <v>20524.903630000001</v>
      </c>
      <c r="K59" s="37">
        <f>VLOOKUP(K$4,'Trading Comps_Input'!$B$9:$J$188,MATCH($B59,'Trading Comps_Input'!$B$9:$J$9,0),FALSE)</f>
        <v>2486.269726</v>
      </c>
      <c r="L59" s="37">
        <f>VLOOKUP(L$4,'Trading Comps_Input'!$B$9:$J$188,MATCH($B59,'Trading Comps_Input'!$B$9:$J$9,0),FALSE)</f>
        <v>1905.3394960000001</v>
      </c>
      <c r="M59" s="37">
        <f>VLOOKUP(M$4,'Trading Comps_Input'!$B$9:$J$188,MATCH($B59,'Trading Comps_Input'!$B$9:$J$9,0),FALSE)</f>
        <v>1.129899</v>
      </c>
      <c r="N59" s="37">
        <f>VLOOKUP(N$4,'Trading Comps_Input'!$B$9:$J$188,MATCH($B59,'Trading Comps_Input'!$B$9:$J$9,0),FALSE)</f>
        <v>3.5000000000000003E-2</v>
      </c>
      <c r="O59" s="37">
        <f>VLOOKUP(O$4,'Trading Comps_Input'!$B$9:$J$188,MATCH($B59,'Trading Comps_Input'!$B$9:$J$9,0),FALSE)</f>
        <v>-3788.0801870000005</v>
      </c>
      <c r="P59" s="37">
        <f>VLOOKUP(P$4,'Trading Comps_Input'!$B$9:$J$188,MATCH($B59,'Trading Comps_Input'!$B$9:$J$9,0),FALSE)</f>
        <v>1315.346448</v>
      </c>
    </row>
    <row r="60" spans="2:16" s="30" customFormat="1" outlineLevel="1">
      <c r="B60" s="30" t="s">
        <v>117</v>
      </c>
      <c r="C60" s="37" t="str">
        <f>VLOOKUP(C$4,'Trading Comps_Input'!$B$9:$J$188,MATCH($B60,'Trading Comps_Input'!$B$9:$J$9,0),FALSE)</f>
        <v>CPSE:CARL B</v>
      </c>
      <c r="D60" s="37">
        <f>VLOOKUP(D$4,'Trading Comps_Input'!$B$9:$J$188,MATCH($B60,'Trading Comps_Input'!$B$9:$J$9,0),FALSE)</f>
        <v>60461.073728710013</v>
      </c>
      <c r="E60" s="37">
        <f>VLOOKUP(E$4,'Trading Comps_Input'!$B$9:$J$188,MATCH($B60,'Trading Comps_Input'!$B$9:$J$9,0),FALSE)</f>
        <v>101784.07372871001</v>
      </c>
      <c r="F60" s="37">
        <f>VLOOKUP(F$4,'Trading Comps_Input'!$B$9:$J$188,MATCH($B60,'Trading Comps_Input'!$B$9:$J$9,0),FALSE)</f>
        <v>59382</v>
      </c>
      <c r="G60" s="37">
        <f>VLOOKUP(G$4,'Trading Comps_Input'!$B$9:$J$188,MATCH($B60,'Trading Comps_Input'!$B$9:$J$9,0),FALSE)</f>
        <v>13307</v>
      </c>
      <c r="H60" s="37">
        <f>VLOOKUP(H$4,'Trading Comps_Input'!$B$9:$J$188,MATCH($B60,'Trading Comps_Input'!$B$9:$J$9,0),FALSE)</f>
        <v>9538</v>
      </c>
      <c r="I60" s="37">
        <f>VLOOKUP(I$4,'Trading Comps_Input'!$B$9:$J$188,MATCH($B60,'Trading Comps_Input'!$B$9:$J$9,0),FALSE)</f>
        <v>33.210292195762513</v>
      </c>
      <c r="J60" s="37">
        <f>VLOOKUP(J$4,'Trading Comps_Input'!$B$9:$J$188,MATCH($B60,'Trading Comps_Input'!$B$9:$J$9,0),FALSE)</f>
        <v>60124.231254999999</v>
      </c>
      <c r="K60" s="37">
        <f>VLOOKUP(K$4,'Trading Comps_Input'!$B$9:$J$188,MATCH($B60,'Trading Comps_Input'!$B$9:$J$9,0),FALSE)</f>
        <v>13519.077848000001</v>
      </c>
      <c r="L60" s="37">
        <f>VLOOKUP(L$4,'Trading Comps_Input'!$B$9:$J$188,MATCH($B60,'Trading Comps_Input'!$B$9:$J$9,0),FALSE)</f>
        <v>9759.7655460000005</v>
      </c>
      <c r="M60" s="37">
        <f>VLOOKUP(M$4,'Trading Comps_Input'!$B$9:$J$188,MATCH($B60,'Trading Comps_Input'!$B$9:$J$9,0),FALSE)</f>
        <v>33.098190000000002</v>
      </c>
      <c r="N60" s="37">
        <f>VLOOKUP(N$4,'Trading Comps_Input'!$B$9:$J$188,MATCH($B60,'Trading Comps_Input'!$B$9:$J$9,0),FALSE)</f>
        <v>0.03</v>
      </c>
      <c r="O60" s="37">
        <f>VLOOKUP(O$4,'Trading Comps_Input'!$B$9:$J$188,MATCH($B60,'Trading Comps_Input'!$B$9:$J$9,0),FALSE)</f>
        <v>41323</v>
      </c>
      <c r="P60" s="37">
        <f>VLOOKUP(P$4,'Trading Comps_Input'!$B$9:$J$188,MATCH($B60,'Trading Comps_Input'!$B$9:$J$9,0),FALSE)</f>
        <v>152.64093342264582</v>
      </c>
    </row>
    <row r="61" spans="2:16" s="30" customFormat="1" outlineLevel="1">
      <c r="B61" s="30" t="s">
        <v>118</v>
      </c>
      <c r="C61" s="37" t="str">
        <f>VLOOKUP(C$4,'Trading Comps_Input'!$B$9:$J$188,MATCH($B61,'Trading Comps_Input'!$B$9:$J$9,0),FALSE)</f>
        <v>ENXTAM:HEIA</v>
      </c>
      <c r="D61" s="37">
        <f>VLOOKUP(D$4,'Trading Comps_Input'!$B$9:$J$188,MATCH($B61,'Trading Comps_Input'!$B$9:$J$9,0),FALSE)</f>
        <v>17490.18673791</v>
      </c>
      <c r="E61" s="37">
        <f>VLOOKUP(E$4,'Trading Comps_Input'!$B$9:$J$188,MATCH($B61,'Trading Comps_Input'!$B$9:$J$9,0),FALSE)</f>
        <v>25968.18673791</v>
      </c>
      <c r="F61" s="37">
        <f>VLOOKUP(F$4,'Trading Comps_Input'!$B$9:$J$188,MATCH($B61,'Trading Comps_Input'!$B$9:$J$9,0),FALSE)</f>
        <v>14701</v>
      </c>
      <c r="G61" s="37">
        <f>VLOOKUP(G$4,'Trading Comps_Input'!$B$9:$J$188,MATCH($B61,'Trading Comps_Input'!$B$9:$J$9,0),FALSE)</f>
        <v>2672</v>
      </c>
      <c r="H61" s="37">
        <f>VLOOKUP(H$4,'Trading Comps_Input'!$B$9:$J$188,MATCH($B61,'Trading Comps_Input'!$B$9:$J$9,0),FALSE)</f>
        <v>1777</v>
      </c>
      <c r="I61" s="37">
        <f>VLOOKUP(I$4,'Trading Comps_Input'!$B$9:$J$188,MATCH($B61,'Trading Comps_Input'!$B$9:$J$9,0),FALSE)</f>
        <v>1.8990460620987633</v>
      </c>
      <c r="J61" s="37">
        <f>VLOOKUP(J$4,'Trading Comps_Input'!$B$9:$J$188,MATCH($B61,'Trading Comps_Input'!$B$9:$J$9,0),FALSE)</f>
        <v>16327.515762000001</v>
      </c>
      <c r="K61" s="37">
        <f>VLOOKUP(K$4,'Trading Comps_Input'!$B$9:$J$188,MATCH($B61,'Trading Comps_Input'!$B$9:$J$9,0),FALSE)</f>
        <v>3186.5032500000002</v>
      </c>
      <c r="L61" s="37">
        <f>VLOOKUP(L$4,'Trading Comps_Input'!$B$9:$J$188,MATCH($B61,'Trading Comps_Input'!$B$9:$J$9,0),FALSE)</f>
        <v>1986.258656</v>
      </c>
      <c r="M61" s="37">
        <f>VLOOKUP(M$4,'Trading Comps_Input'!$B$9:$J$188,MATCH($B61,'Trading Comps_Input'!$B$9:$J$9,0),FALSE)</f>
        <v>2.711287</v>
      </c>
      <c r="N61" s="37">
        <f>VLOOKUP(N$4,'Trading Comps_Input'!$B$9:$J$188,MATCH($B61,'Trading Comps_Input'!$B$9:$J$9,0),FALSE)</f>
        <v>3.5000000000000003E-2</v>
      </c>
      <c r="O61" s="37">
        <f>VLOOKUP(O$4,'Trading Comps_Input'!$B$9:$J$188,MATCH($B61,'Trading Comps_Input'!$B$9:$J$9,0),FALSE)</f>
        <v>8478</v>
      </c>
      <c r="P61" s="37">
        <f>VLOOKUP(P$4,'Trading Comps_Input'!$B$9:$J$188,MATCH($B61,'Trading Comps_Input'!$B$9:$J$9,0),FALSE)</f>
        <v>488.41627304970677</v>
      </c>
    </row>
    <row r="62" spans="2:16" s="30" customFormat="1" outlineLevel="1">
      <c r="B62" s="30" t="s">
        <v>119</v>
      </c>
      <c r="C62" s="37" t="str">
        <f>VLOOKUP(C$4,'Trading Comps_Input'!$B$9:$J$188,MATCH($B62,'Trading Comps_Input'!$B$9:$J$9,0),FALSE)</f>
        <v>NYSE: TAP</v>
      </c>
      <c r="D62" s="37">
        <f>VLOOKUP(D$4,'Trading Comps_Input'!$B$9:$J$188,MATCH($B62,'Trading Comps_Input'!$B$9:$J$9,0),FALSE)</f>
        <v>4233.8240000000005</v>
      </c>
      <c r="E62" s="37">
        <f>VLOOKUP(E$4,'Trading Comps_Input'!$B$9:$J$188,MATCH($B62,'Trading Comps_Input'!$B$9:$J$9,0),FALSE)</f>
        <v>5225.8240000000005</v>
      </c>
      <c r="F62" s="37">
        <f>VLOOKUP(F$4,'Trading Comps_Input'!$B$9:$J$188,MATCH($B62,'Trading Comps_Input'!$B$9:$J$9,0),FALSE)</f>
        <v>3032.4</v>
      </c>
      <c r="G62" s="37">
        <f>VLOOKUP(G$4,'Trading Comps_Input'!$B$9:$J$188,MATCH($B62,'Trading Comps_Input'!$B$9:$J$9,0),FALSE)</f>
        <v>631.6</v>
      </c>
      <c r="H62" s="37">
        <f>VLOOKUP(H$4,'Trading Comps_Input'!$B$9:$J$188,MATCH($B62,'Trading Comps_Input'!$B$9:$J$9,0),FALSE)</f>
        <v>423.6</v>
      </c>
      <c r="I62" s="37">
        <f>VLOOKUP(I$4,'Trading Comps_Input'!$B$9:$J$188,MATCH($B62,'Trading Comps_Input'!$B$9:$J$9,0),FALSE)</f>
        <v>0.99772668112798224</v>
      </c>
      <c r="J62" s="37">
        <f>VLOOKUP(J$4,'Trading Comps_Input'!$B$9:$J$188,MATCH($B62,'Trading Comps_Input'!$B$9:$J$9,0),FALSE)</f>
        <v>3371.9868670000001</v>
      </c>
      <c r="K62" s="37">
        <f>VLOOKUP(K$4,'Trading Comps_Input'!$B$9:$J$188,MATCH($B62,'Trading Comps_Input'!$B$9:$J$9,0),FALSE)</f>
        <v>639.03856900000005</v>
      </c>
      <c r="L62" s="37">
        <f>VLOOKUP(L$4,'Trading Comps_Input'!$B$9:$J$188,MATCH($B62,'Trading Comps_Input'!$B$9:$J$9,0),FALSE)</f>
        <v>426.09415799999999</v>
      </c>
      <c r="M62" s="37">
        <f>VLOOKUP(M$4,'Trading Comps_Input'!$B$9:$J$188,MATCH($B62,'Trading Comps_Input'!$B$9:$J$9,0),FALSE)</f>
        <v>3.6686960000000002</v>
      </c>
      <c r="N62" s="37">
        <f>VLOOKUP(N$4,'Trading Comps_Input'!$B$9:$J$188,MATCH($B62,'Trading Comps_Input'!$B$9:$J$9,0),FALSE)</f>
        <v>1.4999999999999999E-2</v>
      </c>
      <c r="O62" s="37">
        <f>VLOOKUP(O$4,'Trading Comps_Input'!$B$9:$J$188,MATCH($B62,'Trading Comps_Input'!$B$9:$J$9,0),FALSE)</f>
        <v>992</v>
      </c>
      <c r="P62" s="37">
        <f>VLOOKUP(P$4,'Trading Comps_Input'!$B$9:$J$188,MATCH($B62,'Trading Comps_Input'!$B$9:$J$9,0),FALSE)</f>
        <v>184.4</v>
      </c>
    </row>
    <row r="63" spans="2:16" s="30" customFormat="1" outlineLevel="1">
      <c r="B63" s="30" t="s">
        <v>120</v>
      </c>
      <c r="C63" s="37" t="str">
        <f>VLOOKUP(C$4,'Trading Comps_Input'!$B$9:$J$188,MATCH($B63,'Trading Comps_Input'!$B$9:$J$9,0),FALSE)</f>
        <v>NYSE: SAM</v>
      </c>
      <c r="D63" s="37">
        <f>VLOOKUP(D$4,'Trading Comps_Input'!$B$9:$J$188,MATCH($B63,'Trading Comps_Input'!$B$9:$J$9,0),FALSE)</f>
        <v>705.58541919999993</v>
      </c>
      <c r="E63" s="37">
        <f>VLOOKUP(E$4,'Trading Comps_Input'!$B$9:$J$188,MATCH($B63,'Trading Comps_Input'!$B$9:$J$9,0),FALSE)</f>
        <v>650.10441919999994</v>
      </c>
      <c r="F63" s="37">
        <f>VLOOKUP(F$4,'Trading Comps_Input'!$B$9:$J$188,MATCH($B63,'Trading Comps_Input'!$B$9:$J$9,0),FALSE)</f>
        <v>415.053</v>
      </c>
      <c r="G63" s="37">
        <f>VLOOKUP(G$4,'Trading Comps_Input'!$B$9:$J$188,MATCH($B63,'Trading Comps_Input'!$B$9:$J$9,0),FALSE)</f>
        <v>72.23899999999999</v>
      </c>
      <c r="H63" s="37">
        <f>VLOOKUP(H$4,'Trading Comps_Input'!$B$9:$J$188,MATCH($B63,'Trading Comps_Input'!$B$9:$J$9,0),FALSE)</f>
        <v>55.319999999999993</v>
      </c>
      <c r="I63" s="37">
        <f>VLOOKUP(I$4,'Trading Comps_Input'!$B$9:$J$188,MATCH($B63,'Trading Comps_Input'!$B$9:$J$9,0),FALSE)</f>
        <v>2.2702952698430705</v>
      </c>
      <c r="J63" s="37">
        <f>VLOOKUP(J$4,'Trading Comps_Input'!$B$9:$J$188,MATCH($B63,'Trading Comps_Input'!$B$9:$J$9,0),FALSE)</f>
        <v>446.19518199999999</v>
      </c>
      <c r="K63" s="37">
        <f>VLOOKUP(K$4,'Trading Comps_Input'!$B$9:$J$188,MATCH($B63,'Trading Comps_Input'!$B$9:$J$9,0),FALSE)</f>
        <v>102.673564</v>
      </c>
      <c r="L63" s="37">
        <f>VLOOKUP(L$4,'Trading Comps_Input'!$B$9:$J$188,MATCH($B63,'Trading Comps_Input'!$B$9:$J$9,0),FALSE)</f>
        <v>83.819889000000003</v>
      </c>
      <c r="M63" s="37">
        <f>VLOOKUP(M$4,'Trading Comps_Input'!$B$9:$J$188,MATCH($B63,'Trading Comps_Input'!$B$9:$J$9,0),FALSE)</f>
        <v>3.4072290000000001</v>
      </c>
      <c r="N63" s="37">
        <f>VLOOKUP(N$4,'Trading Comps_Input'!$B$9:$J$188,MATCH($B63,'Trading Comps_Input'!$B$9:$J$9,0),FALSE)</f>
        <v>3.5000000000000003E-2</v>
      </c>
      <c r="O63" s="37">
        <f>VLOOKUP(O$4,'Trading Comps_Input'!$B$9:$J$188,MATCH($B63,'Trading Comps_Input'!$B$9:$J$9,0),FALSE)</f>
        <v>-55.481000000000002</v>
      </c>
      <c r="P63" s="37">
        <f>VLOOKUP(P$4,'Trading Comps_Input'!$B$9:$J$188,MATCH($B63,'Trading Comps_Input'!$B$9:$J$9,0),FALSE)</f>
        <v>14.845054054281505</v>
      </c>
    </row>
    <row r="64" spans="2:16" s="30" customFormat="1" outlineLevel="1">
      <c r="O64" s="40"/>
    </row>
    <row r="65" spans="1:16" s="30" customFormat="1" outlineLevel="1">
      <c r="A65" s="261"/>
      <c r="B65" s="261" t="s">
        <v>837</v>
      </c>
      <c r="C65" s="263"/>
      <c r="D65" s="263"/>
      <c r="E65" s="262"/>
      <c r="F65" s="264"/>
      <c r="G65" s="265"/>
      <c r="H65" s="265"/>
      <c r="I65" s="265"/>
      <c r="J65" s="264"/>
      <c r="K65" s="265"/>
      <c r="L65" s="265"/>
      <c r="M65" s="265"/>
      <c r="N65" s="262"/>
      <c r="O65" s="262"/>
      <c r="P65" s="262"/>
    </row>
    <row r="66" spans="1:16" s="30" customFormat="1" outlineLevel="1">
      <c r="O66" s="40"/>
    </row>
    <row r="67" spans="1:16" s="30" customFormat="1" ht="14.4" outlineLevel="1">
      <c r="B67" s="312" t="s">
        <v>878</v>
      </c>
      <c r="O67" s="40"/>
    </row>
    <row r="68" spans="1:16" s="30" customFormat="1" outlineLevel="2">
      <c r="O68" s="40"/>
    </row>
    <row r="69" spans="1:16" s="30" customFormat="1" outlineLevel="2">
      <c r="B69" s="30" t="s">
        <v>227</v>
      </c>
      <c r="C69" s="30" t="s">
        <v>838</v>
      </c>
      <c r="D69" s="30" t="s">
        <v>831</v>
      </c>
      <c r="E69" s="30" t="s">
        <v>115</v>
      </c>
      <c r="F69" s="30" t="s">
        <v>116</v>
      </c>
      <c r="G69" s="30" t="s">
        <v>117</v>
      </c>
      <c r="H69" s="30" t="s">
        <v>118</v>
      </c>
      <c r="I69" s="30" t="s">
        <v>119</v>
      </c>
      <c r="J69" s="30" t="s">
        <v>120</v>
      </c>
      <c r="O69" s="40"/>
    </row>
    <row r="70" spans="1:16" s="30" customFormat="1" outlineLevel="2">
      <c r="B70" s="30" t="s">
        <v>110</v>
      </c>
      <c r="C70" s="37" t="str">
        <f>HLOOKUP(C$69,'Trading Comps_Input'!$B$9:$J$188,MATCH($B70,'Trading Comps_Input'!$B$9:$B$188,0),FALSE)</f>
        <v>OB</v>
      </c>
      <c r="D70" s="37" t="str">
        <f>HLOOKUP(D$69,'Trading Comps_Input'!$B$9:$J$188,MATCH($B70,'Trading Comps_Input'!$B$9:$B$188,0),FALSE)</f>
        <v>KRX: 103150</v>
      </c>
      <c r="E70" s="37" t="str">
        <f>HLOOKUP(E$69,'Trading Comps_Input'!$B$9:$J$188,MATCH($B70,'Trading Comps_Input'!$B$9:$B$188,0),FALSE)</f>
        <v>TYO: 2502</v>
      </c>
      <c r="F70" s="37" t="str">
        <f>HLOOKUP(F$69,'Trading Comps_Input'!$B$9:$J$188,MATCH($B70,'Trading Comps_Input'!$B$9:$B$188,0),FALSE)</f>
        <v>SEHK:168</v>
      </c>
      <c r="G70" s="37" t="str">
        <f>HLOOKUP(G$69,'Trading Comps_Input'!$B$9:$J$188,MATCH($B70,'Trading Comps_Input'!$B$9:$B$188,0),FALSE)</f>
        <v>CPSE:CARL B</v>
      </c>
      <c r="H70" s="37" t="str">
        <f>HLOOKUP(H$69,'Trading Comps_Input'!$B$9:$J$188,MATCH($B70,'Trading Comps_Input'!$B$9:$B$188,0),FALSE)</f>
        <v>ENXTAM:HEIA</v>
      </c>
      <c r="I70" s="37" t="str">
        <f>HLOOKUP(I$69,'Trading Comps_Input'!$B$9:$J$188,MATCH($B70,'Trading Comps_Input'!$B$9:$B$188,0),FALSE)</f>
        <v>NYSE: TAP</v>
      </c>
      <c r="J70" s="37" t="str">
        <f>HLOOKUP(J$69,'Trading Comps_Input'!$B$9:$J$188,MATCH($B70,'Trading Comps_Input'!$B$9:$B$188,0),FALSE)</f>
        <v>NYSE: SAM</v>
      </c>
      <c r="O70" s="40"/>
    </row>
    <row r="71" spans="1:16" s="30" customFormat="1" outlineLevel="2">
      <c r="B71" s="30" t="s">
        <v>208</v>
      </c>
      <c r="C71" s="37">
        <f>HLOOKUP(C$69,'Trading Comps_Input'!$B$9:$J$188,MATCH($B71,'Trading Comps_Input'!$B$9:$B$188,0),FALSE)</f>
        <v>0</v>
      </c>
      <c r="D71" s="37">
        <f>HLOOKUP(D$69,'Trading Comps_Input'!$B$9:$J$188,MATCH($B71,'Trading Comps_Input'!$B$9:$B$188,0),FALSE)</f>
        <v>1624834.84</v>
      </c>
      <c r="E71" s="37">
        <f>HLOOKUP(E$69,'Trading Comps_Input'!$B$9:$J$188,MATCH($B71,'Trading Comps_Input'!$B$9:$B$188,0),FALSE)</f>
        <v>806123.85407200002</v>
      </c>
      <c r="F71" s="37">
        <f>HLOOKUP(F$69,'Trading Comps_Input'!$B$9:$J$188,MATCH($B71,'Trading Comps_Input'!$B$9:$B$188,0),FALSE)</f>
        <v>21676.90946304</v>
      </c>
      <c r="G71" s="37">
        <f>HLOOKUP(G$69,'Trading Comps_Input'!$B$9:$J$188,MATCH($B71,'Trading Comps_Input'!$B$9:$B$188,0),FALSE)</f>
        <v>60461.073728710013</v>
      </c>
      <c r="H71" s="37">
        <f>HLOOKUP(H$69,'Trading Comps_Input'!$B$9:$J$188,MATCH($B71,'Trading Comps_Input'!$B$9:$B$188,0),FALSE)</f>
        <v>17490.18673791</v>
      </c>
      <c r="I71" s="37">
        <f>HLOOKUP(I$69,'Trading Comps_Input'!$B$9:$J$188,MATCH($B71,'Trading Comps_Input'!$B$9:$B$188,0),FALSE)</f>
        <v>4233.8240000000005</v>
      </c>
      <c r="J71" s="37">
        <f>HLOOKUP(J$69,'Trading Comps_Input'!$B$9:$J$188,MATCH($B71,'Trading Comps_Input'!$B$9:$B$188,0),FALSE)</f>
        <v>705.58541919999993</v>
      </c>
      <c r="O71" s="40"/>
    </row>
    <row r="72" spans="1:16" s="30" customFormat="1" outlineLevel="2">
      <c r="B72" s="30" t="s">
        <v>209</v>
      </c>
      <c r="C72" s="37">
        <f>HLOOKUP(C$69,'Trading Comps_Input'!$B$9:$J$188,MATCH($B72,'Trading Comps_Input'!$B$9:$B$188,0),FALSE)</f>
        <v>0</v>
      </c>
      <c r="D72" s="37">
        <f>HLOOKUP(D$69,'Trading Comps_Input'!$B$9:$J$188,MATCH($B72,'Trading Comps_Input'!$B$9:$B$188,0),FALSE)</f>
        <v>2618390.4658650002</v>
      </c>
      <c r="E72" s="37">
        <f>HLOOKUP(E$69,'Trading Comps_Input'!$B$9:$J$188,MATCH($B72,'Trading Comps_Input'!$B$9:$B$188,0),FALSE)</f>
        <v>1184147.8540719999</v>
      </c>
      <c r="F72" s="37">
        <f>HLOOKUP(F$69,'Trading Comps_Input'!$B$9:$J$188,MATCH($B72,'Trading Comps_Input'!$B$9:$B$188,0),FALSE)</f>
        <v>17888.82927604</v>
      </c>
      <c r="G72" s="37">
        <f>HLOOKUP(G$69,'Trading Comps_Input'!$B$9:$J$188,MATCH($B72,'Trading Comps_Input'!$B$9:$B$188,0),FALSE)</f>
        <v>101784.07372871001</v>
      </c>
      <c r="H72" s="37">
        <f>HLOOKUP(H$69,'Trading Comps_Input'!$B$9:$J$188,MATCH($B72,'Trading Comps_Input'!$B$9:$B$188,0),FALSE)</f>
        <v>25968.18673791</v>
      </c>
      <c r="I72" s="37">
        <f>HLOOKUP(I$69,'Trading Comps_Input'!$B$9:$J$188,MATCH($B72,'Trading Comps_Input'!$B$9:$B$188,0),FALSE)</f>
        <v>5225.8240000000005</v>
      </c>
      <c r="J72" s="37">
        <f>HLOOKUP(J$69,'Trading Comps_Input'!$B$9:$J$188,MATCH($B72,'Trading Comps_Input'!$B$9:$B$188,0),FALSE)</f>
        <v>650.10441919999994</v>
      </c>
      <c r="O72" s="40"/>
    </row>
    <row r="73" spans="1:16" s="30" customFormat="1" outlineLevel="2">
      <c r="B73" s="30" t="s">
        <v>242</v>
      </c>
      <c r="C73" s="37">
        <f>HLOOKUP(C$69,'Trading Comps_Input'!$B$9:$J$188,MATCH($B73,'Trading Comps_Input'!$B$9:$B$188,0),FALSE)</f>
        <v>816110.18687400001</v>
      </c>
      <c r="D73" s="37">
        <f>HLOOKUP(D$69,'Trading Comps_Input'!$B$9:$J$188,MATCH($B73,'Trading Comps_Input'!$B$9:$B$188,0),FALSE)</f>
        <v>1049535.950404</v>
      </c>
      <c r="E73" s="37">
        <f>HLOOKUP(E$69,'Trading Comps_Input'!$B$9:$J$188,MATCH($B73,'Trading Comps_Input'!$B$9:$B$188,0),FALSE)</f>
        <v>1022318</v>
      </c>
      <c r="F73" s="37">
        <f>HLOOKUP(F$69,'Trading Comps_Input'!$B$9:$J$188,MATCH($B73,'Trading Comps_Input'!$B$9:$B$188,0),FALSE)</f>
        <v>18026.107887999999</v>
      </c>
      <c r="G73" s="37">
        <f>HLOOKUP(G$69,'Trading Comps_Input'!$B$9:$J$188,MATCH($B73,'Trading Comps_Input'!$B$9:$B$188,0),FALSE)</f>
        <v>59382</v>
      </c>
      <c r="H73" s="37">
        <f>HLOOKUP(H$69,'Trading Comps_Input'!$B$9:$J$188,MATCH($B73,'Trading Comps_Input'!$B$9:$B$188,0),FALSE)</f>
        <v>14701</v>
      </c>
      <c r="I73" s="37">
        <f>HLOOKUP(I$69,'Trading Comps_Input'!$B$9:$J$188,MATCH($B73,'Trading Comps_Input'!$B$9:$B$188,0),FALSE)</f>
        <v>3032.4</v>
      </c>
      <c r="J73" s="37">
        <f>HLOOKUP(J$69,'Trading Comps_Input'!$B$9:$J$188,MATCH($B73,'Trading Comps_Input'!$B$9:$B$188,0),FALSE)</f>
        <v>415.053</v>
      </c>
      <c r="O73" s="40"/>
    </row>
    <row r="74" spans="1:16" s="30" customFormat="1" outlineLevel="2">
      <c r="B74" s="30" t="s">
        <v>244</v>
      </c>
      <c r="C74" s="37">
        <f>HLOOKUP(C$69,'Trading Comps_Input'!$B$9:$J$188,MATCH($B74,'Trading Comps_Input'!$B$9:$B$188,0),FALSE)</f>
        <v>251435.44508999999</v>
      </c>
      <c r="D74" s="37">
        <f>HLOOKUP(D$69,'Trading Comps_Input'!$B$9:$J$188,MATCH($B74,'Trading Comps_Input'!$B$9:$B$188,0),FALSE)</f>
        <v>259614.51060599997</v>
      </c>
      <c r="E74" s="37">
        <f>HLOOKUP(E$69,'Trading Comps_Input'!$B$9:$J$188,MATCH($B74,'Trading Comps_Input'!$B$9:$B$188,0),FALSE)</f>
        <v>141149</v>
      </c>
      <c r="F74" s="37">
        <f>HLOOKUP(F$69,'Trading Comps_Input'!$B$9:$J$188,MATCH($B74,'Trading Comps_Input'!$B$9:$B$188,0),FALSE)</f>
        <v>2065.442665</v>
      </c>
      <c r="G74" s="37">
        <f>HLOOKUP(G$69,'Trading Comps_Input'!$B$9:$J$188,MATCH($B74,'Trading Comps_Input'!$B$9:$B$188,0),FALSE)</f>
        <v>13307</v>
      </c>
      <c r="H74" s="37">
        <f>HLOOKUP(H$69,'Trading Comps_Input'!$B$9:$J$188,MATCH($B74,'Trading Comps_Input'!$B$9:$B$188,0),FALSE)</f>
        <v>2672</v>
      </c>
      <c r="I74" s="37">
        <f>HLOOKUP(I$69,'Trading Comps_Input'!$B$9:$J$188,MATCH($B74,'Trading Comps_Input'!$B$9:$B$188,0),FALSE)</f>
        <v>631.6</v>
      </c>
      <c r="J74" s="37">
        <f>HLOOKUP(J$69,'Trading Comps_Input'!$B$9:$J$188,MATCH($B74,'Trading Comps_Input'!$B$9:$B$188,0),FALSE)</f>
        <v>72.23899999999999</v>
      </c>
      <c r="O74" s="40"/>
    </row>
    <row r="75" spans="1:16" s="30" customFormat="1" outlineLevel="2">
      <c r="B75" s="30" t="s">
        <v>246</v>
      </c>
      <c r="C75" s="37">
        <f>HLOOKUP(C$69,'Trading Comps_Input'!$B$9:$J$188,MATCH($B75,'Trading Comps_Input'!$B$9:$B$188,0),FALSE)</f>
        <v>196305.65531900001</v>
      </c>
      <c r="D75" s="37">
        <f>HLOOKUP(D$69,'Trading Comps_Input'!$B$9:$J$188,MATCH($B75,'Trading Comps_Input'!$B$9:$B$188,0),FALSE)</f>
        <v>187129.78165599995</v>
      </c>
      <c r="E75" s="37">
        <f>HLOOKUP(E$69,'Trading Comps_Input'!$B$9:$J$188,MATCH($B75,'Trading Comps_Input'!$B$9:$B$188,0),FALSE)</f>
        <v>82777</v>
      </c>
      <c r="F75" s="37">
        <f>HLOOKUP(F$69,'Trading Comps_Input'!$B$9:$J$188,MATCH($B75,'Trading Comps_Input'!$B$9:$B$188,0),FALSE)</f>
        <v>1520.6809309999999</v>
      </c>
      <c r="G75" s="37">
        <f>HLOOKUP(G$69,'Trading Comps_Input'!$B$9:$J$188,MATCH($B75,'Trading Comps_Input'!$B$9:$B$188,0),FALSE)</f>
        <v>9538</v>
      </c>
      <c r="H75" s="37">
        <f>HLOOKUP(H$69,'Trading Comps_Input'!$B$9:$J$188,MATCH($B75,'Trading Comps_Input'!$B$9:$B$188,0),FALSE)</f>
        <v>1777</v>
      </c>
      <c r="I75" s="37">
        <f>HLOOKUP(I$69,'Trading Comps_Input'!$B$9:$J$188,MATCH($B75,'Trading Comps_Input'!$B$9:$B$188,0),FALSE)</f>
        <v>423.6</v>
      </c>
      <c r="J75" s="37">
        <f>HLOOKUP(J$69,'Trading Comps_Input'!$B$9:$J$188,MATCH($B75,'Trading Comps_Input'!$B$9:$B$188,0),FALSE)</f>
        <v>55.319999999999993</v>
      </c>
      <c r="O75" s="40"/>
    </row>
    <row r="76" spans="1:16" s="30" customFormat="1" outlineLevel="2">
      <c r="B76" s="30" t="s">
        <v>248</v>
      </c>
      <c r="C76" s="37">
        <f>HLOOKUP(C$69,'Trading Comps_Input'!$B$9:$J$188,MATCH($B76,'Trading Comps_Input'!$B$9:$B$188,0),FALSE)</f>
        <v>6629.0535110659357</v>
      </c>
      <c r="D76" s="37">
        <f>HLOOKUP(D$69,'Trading Comps_Input'!$B$9:$J$188,MATCH($B76,'Trading Comps_Input'!$B$9:$B$188,0),FALSE)</f>
        <v>10921.965297357603</v>
      </c>
      <c r="E76" s="37">
        <f>HLOOKUP(E$69,'Trading Comps_Input'!$B$9:$J$188,MATCH($B76,'Trading Comps_Input'!$B$9:$B$188,0),FALSE)</f>
        <v>103.09652649154462</v>
      </c>
      <c r="F76" s="37">
        <f>HLOOKUP(F$69,'Trading Comps_Input'!$B$9:$J$188,MATCH($B76,'Trading Comps_Input'!$B$9:$B$188,0),FALSE)</f>
        <v>0.95009958813527728</v>
      </c>
      <c r="G76" s="37">
        <f>HLOOKUP(G$69,'Trading Comps_Input'!$B$9:$J$188,MATCH($B76,'Trading Comps_Input'!$B$9:$B$188,0),FALSE)</f>
        <v>33.210292195762513</v>
      </c>
      <c r="H76" s="37">
        <f>HLOOKUP(H$69,'Trading Comps_Input'!$B$9:$J$188,MATCH($B76,'Trading Comps_Input'!$B$9:$B$188,0),FALSE)</f>
        <v>1.8990460620987633</v>
      </c>
      <c r="I76" s="37">
        <f>HLOOKUP(I$69,'Trading Comps_Input'!$B$9:$J$188,MATCH($B76,'Trading Comps_Input'!$B$9:$B$188,0),FALSE)</f>
        <v>0.99772668112798224</v>
      </c>
      <c r="J76" s="37">
        <f>HLOOKUP(J$69,'Trading Comps_Input'!$B$9:$J$188,MATCH($B76,'Trading Comps_Input'!$B$9:$B$188,0),FALSE)</f>
        <v>2.2702952698430705</v>
      </c>
      <c r="O76" s="40"/>
    </row>
    <row r="77" spans="1:16" s="30" customFormat="1" outlineLevel="2">
      <c r="B77" s="30" t="s">
        <v>200</v>
      </c>
      <c r="C77" s="37">
        <f>HLOOKUP(C$69,'Trading Comps_Input'!$B$9:$J$188,MATCH($B77,'Trading Comps_Input'!$B$9:$B$188,0),FALSE)</f>
        <v>840593.49248022004</v>
      </c>
      <c r="D77" s="37">
        <f>HLOOKUP(D$69,'Trading Comps_Input'!$B$9:$J$188,MATCH($B77,'Trading Comps_Input'!$B$9:$B$188,0),FALSE)</f>
        <v>1066105.2263499999</v>
      </c>
      <c r="E77" s="37">
        <f>HLOOKUP(E$69,'Trading Comps_Input'!$B$9:$J$188,MATCH($B77,'Trading Comps_Input'!$B$9:$B$188,0),FALSE)</f>
        <v>1084231.539266</v>
      </c>
      <c r="F77" s="37">
        <f>HLOOKUP(F$69,'Trading Comps_Input'!$B$9:$J$188,MATCH($B77,'Trading Comps_Input'!$B$9:$B$188,0),FALSE)</f>
        <v>20524.903630000001</v>
      </c>
      <c r="G77" s="37">
        <f>HLOOKUP(G$69,'Trading Comps_Input'!$B$9:$J$188,MATCH($B77,'Trading Comps_Input'!$B$9:$B$188,0),FALSE)</f>
        <v>60124.231254999999</v>
      </c>
      <c r="H77" s="37">
        <f>HLOOKUP(H$69,'Trading Comps_Input'!$B$9:$J$188,MATCH($B77,'Trading Comps_Input'!$B$9:$B$188,0),FALSE)</f>
        <v>16327.515762000001</v>
      </c>
      <c r="I77" s="37">
        <f>HLOOKUP(I$69,'Trading Comps_Input'!$B$9:$J$188,MATCH($B77,'Trading Comps_Input'!$B$9:$B$188,0),FALSE)</f>
        <v>3371.9868670000001</v>
      </c>
      <c r="J77" s="37">
        <f>HLOOKUP(J$69,'Trading Comps_Input'!$B$9:$J$188,MATCH($B77,'Trading Comps_Input'!$B$9:$B$188,0),FALSE)</f>
        <v>446.19518199999999</v>
      </c>
      <c r="O77" s="40"/>
    </row>
    <row r="78" spans="1:16" s="30" customFormat="1" outlineLevel="2">
      <c r="B78" s="30" t="s">
        <v>201</v>
      </c>
      <c r="C78" s="37">
        <f>HLOOKUP(C$69,'Trading Comps_Input'!$B$9:$J$188,MATCH($B78,'Trading Comps_Input'!$B$9:$B$188,0),FALSE)</f>
        <v>258978.5084427</v>
      </c>
      <c r="D78" s="37">
        <f>HLOOKUP(D$69,'Trading Comps_Input'!$B$9:$J$188,MATCH($B78,'Trading Comps_Input'!$B$9:$B$188,0),FALSE)</f>
        <v>232221.750527</v>
      </c>
      <c r="E78" s="37">
        <f>HLOOKUP(E$69,'Trading Comps_Input'!$B$9:$J$188,MATCH($B78,'Trading Comps_Input'!$B$9:$B$188,0),FALSE)</f>
        <v>162376.005011</v>
      </c>
      <c r="F78" s="37">
        <f>HLOOKUP(F$69,'Trading Comps_Input'!$B$9:$J$188,MATCH($B78,'Trading Comps_Input'!$B$9:$B$188,0),FALSE)</f>
        <v>2486.269726</v>
      </c>
      <c r="G78" s="37">
        <f>HLOOKUP(G$69,'Trading Comps_Input'!$B$9:$J$188,MATCH($B78,'Trading Comps_Input'!$B$9:$B$188,0),FALSE)</f>
        <v>13519.077848000001</v>
      </c>
      <c r="H78" s="37">
        <f>HLOOKUP(H$69,'Trading Comps_Input'!$B$9:$J$188,MATCH($B78,'Trading Comps_Input'!$B$9:$B$188,0),FALSE)</f>
        <v>3186.5032500000002</v>
      </c>
      <c r="I78" s="37">
        <f>HLOOKUP(I$69,'Trading Comps_Input'!$B$9:$J$188,MATCH($B78,'Trading Comps_Input'!$B$9:$B$188,0),FALSE)</f>
        <v>639.03856900000005</v>
      </c>
      <c r="J78" s="37">
        <f>HLOOKUP(J$69,'Trading Comps_Input'!$B$9:$J$188,MATCH($B78,'Trading Comps_Input'!$B$9:$B$188,0),FALSE)</f>
        <v>102.673564</v>
      </c>
      <c r="O78" s="40"/>
    </row>
    <row r="79" spans="1:16" s="30" customFormat="1" outlineLevel="2">
      <c r="B79" s="30" t="s">
        <v>202</v>
      </c>
      <c r="C79" s="37">
        <f>HLOOKUP(C$69,'Trading Comps_Input'!$B$9:$J$188,MATCH($B79,'Trading Comps_Input'!$B$9:$B$188,0),FALSE)</f>
        <v>202194.82497857002</v>
      </c>
      <c r="D79" s="37">
        <f>HLOOKUP(D$69,'Trading Comps_Input'!$B$9:$J$188,MATCH($B79,'Trading Comps_Input'!$B$9:$B$188,0),FALSE)</f>
        <v>151914.49230300001</v>
      </c>
      <c r="E79" s="37">
        <f>HLOOKUP(E$69,'Trading Comps_Input'!$B$9:$J$188,MATCH($B79,'Trading Comps_Input'!$B$9:$B$188,0),FALSE)</f>
        <v>95386.572658999998</v>
      </c>
      <c r="F79" s="37">
        <f>HLOOKUP(F$69,'Trading Comps_Input'!$B$9:$J$188,MATCH($B79,'Trading Comps_Input'!$B$9:$B$188,0),FALSE)</f>
        <v>1905.3394960000001</v>
      </c>
      <c r="G79" s="37">
        <f>HLOOKUP(G$69,'Trading Comps_Input'!$B$9:$J$188,MATCH($B79,'Trading Comps_Input'!$B$9:$B$188,0),FALSE)</f>
        <v>9759.7655460000005</v>
      </c>
      <c r="H79" s="37">
        <f>HLOOKUP(H$69,'Trading Comps_Input'!$B$9:$J$188,MATCH($B79,'Trading Comps_Input'!$B$9:$B$188,0),FALSE)</f>
        <v>1986.258656</v>
      </c>
      <c r="I79" s="37">
        <f>HLOOKUP(I$69,'Trading Comps_Input'!$B$9:$J$188,MATCH($B79,'Trading Comps_Input'!$B$9:$B$188,0),FALSE)</f>
        <v>426.09415799999999</v>
      </c>
      <c r="J79" s="37">
        <f>HLOOKUP(J$69,'Trading Comps_Input'!$B$9:$J$188,MATCH($B79,'Trading Comps_Input'!$B$9:$B$188,0),FALSE)</f>
        <v>83.819889000000003</v>
      </c>
      <c r="O79" s="40"/>
    </row>
    <row r="80" spans="1:16" s="30" customFormat="1" outlineLevel="2">
      <c r="B80" s="30" t="s">
        <v>203</v>
      </c>
      <c r="C80" s="37">
        <f>HLOOKUP(C$69,'Trading Comps_Input'!$B$9:$J$188,MATCH($B80,'Trading Comps_Input'!$B$9:$B$188,0),FALSE)</f>
        <v>6827.9251163979143</v>
      </c>
      <c r="D80" s="37">
        <f>HLOOKUP(D$69,'Trading Comps_Input'!$B$9:$J$188,MATCH($B80,'Trading Comps_Input'!$B$9:$B$188,0),FALSE)</f>
        <v>6821.3097589999998</v>
      </c>
      <c r="E80" s="37">
        <f>HLOOKUP(E$69,'Trading Comps_Input'!$B$9:$J$188,MATCH($B80,'Trading Comps_Input'!$B$9:$B$188,0),FALSE)</f>
        <v>115.685643</v>
      </c>
      <c r="F80" s="37">
        <f>HLOOKUP(F$69,'Trading Comps_Input'!$B$9:$J$188,MATCH($B80,'Trading Comps_Input'!$B$9:$B$188,0),FALSE)</f>
        <v>1.129899</v>
      </c>
      <c r="G80" s="37">
        <f>HLOOKUP(G$69,'Trading Comps_Input'!$B$9:$J$188,MATCH($B80,'Trading Comps_Input'!$B$9:$B$188,0),FALSE)</f>
        <v>33.098190000000002</v>
      </c>
      <c r="H80" s="37">
        <f>HLOOKUP(H$69,'Trading Comps_Input'!$B$9:$J$188,MATCH($B80,'Trading Comps_Input'!$B$9:$B$188,0),FALSE)</f>
        <v>2.711287</v>
      </c>
      <c r="I80" s="37">
        <f>HLOOKUP(I$69,'Trading Comps_Input'!$B$9:$J$188,MATCH($B80,'Trading Comps_Input'!$B$9:$B$188,0),FALSE)</f>
        <v>3.6686960000000002</v>
      </c>
      <c r="J80" s="37">
        <f>HLOOKUP(J$69,'Trading Comps_Input'!$B$9:$J$188,MATCH($B80,'Trading Comps_Input'!$B$9:$B$188,0),FALSE)</f>
        <v>3.4072290000000001</v>
      </c>
      <c r="O80" s="40"/>
    </row>
    <row r="81" spans="2:16" s="30" customFormat="1" outlineLevel="2">
      <c r="B81" s="30" t="s">
        <v>191</v>
      </c>
      <c r="C81" s="37">
        <f>HLOOKUP(C$69,'Trading Comps_Input'!$B$9:$J$188,MATCH($B81,'Trading Comps_Input'!$B$9:$B$188,0),FALSE)</f>
        <v>2.5000000000000001E-2</v>
      </c>
      <c r="D81" s="37">
        <f>HLOOKUP(D$69,'Trading Comps_Input'!$B$9:$J$188,MATCH($B81,'Trading Comps_Input'!$B$9:$B$188,0),FALSE)</f>
        <v>2.5000000000000001E-2</v>
      </c>
      <c r="E81" s="37">
        <f>HLOOKUP(E$69,'Trading Comps_Input'!$B$9:$J$188,MATCH($B81,'Trading Comps_Input'!$B$9:$B$188,0),FALSE)</f>
        <v>3.5000000000000003E-2</v>
      </c>
      <c r="F81" s="37">
        <f>HLOOKUP(F$69,'Trading Comps_Input'!$B$9:$J$188,MATCH($B81,'Trading Comps_Input'!$B$9:$B$188,0),FALSE)</f>
        <v>3.5000000000000003E-2</v>
      </c>
      <c r="G81" s="37">
        <f>HLOOKUP(G$69,'Trading Comps_Input'!$B$9:$J$188,MATCH($B81,'Trading Comps_Input'!$B$9:$B$188,0),FALSE)</f>
        <v>0.03</v>
      </c>
      <c r="H81" s="37">
        <f>HLOOKUP(H$69,'Trading Comps_Input'!$B$9:$J$188,MATCH($B81,'Trading Comps_Input'!$B$9:$B$188,0),FALSE)</f>
        <v>3.5000000000000003E-2</v>
      </c>
      <c r="I81" s="37">
        <f>HLOOKUP(I$69,'Trading Comps_Input'!$B$9:$J$188,MATCH($B81,'Trading Comps_Input'!$B$9:$B$188,0),FALSE)</f>
        <v>1.4999999999999999E-2</v>
      </c>
      <c r="J81" s="37">
        <f>HLOOKUP(J$69,'Trading Comps_Input'!$B$9:$J$188,MATCH($B81,'Trading Comps_Input'!$B$9:$B$188,0),FALSE)</f>
        <v>3.5000000000000003E-2</v>
      </c>
      <c r="O81" s="40"/>
    </row>
    <row r="82" spans="2:16" s="30" customFormat="1" outlineLevel="2">
      <c r="B82" s="30" t="s">
        <v>184</v>
      </c>
      <c r="C82" s="37">
        <f>HLOOKUP(C$69,'Trading Comps_Input'!$B$9:$J$188,MATCH($B82,'Trading Comps_Input'!$B$9:$B$188,0),FALSE)</f>
        <v>301945.90825400001</v>
      </c>
      <c r="D82" s="37">
        <f>HLOOKUP(D$69,'Trading Comps_Input'!$B$9:$J$188,MATCH($B82,'Trading Comps_Input'!$B$9:$B$188,0),FALSE)</f>
        <v>993555.62586500007</v>
      </c>
      <c r="E82" s="37">
        <f>HLOOKUP(E$69,'Trading Comps_Input'!$B$9:$J$188,MATCH($B82,'Trading Comps_Input'!$B$9:$B$188,0),FALSE)</f>
        <v>378024</v>
      </c>
      <c r="F82" s="37">
        <f>HLOOKUP(F$69,'Trading Comps_Input'!$B$9:$J$188,MATCH($B82,'Trading Comps_Input'!$B$9:$B$188,0),FALSE)</f>
        <v>-3788.0801870000005</v>
      </c>
      <c r="G82" s="37">
        <f>HLOOKUP(G$69,'Trading Comps_Input'!$B$9:$J$188,MATCH($B82,'Trading Comps_Input'!$B$9:$B$188,0),FALSE)</f>
        <v>41323</v>
      </c>
      <c r="H82" s="37">
        <f>HLOOKUP(H$69,'Trading Comps_Input'!$B$9:$J$188,MATCH($B82,'Trading Comps_Input'!$B$9:$B$188,0),FALSE)</f>
        <v>8478</v>
      </c>
      <c r="I82" s="37">
        <f>HLOOKUP(I$69,'Trading Comps_Input'!$B$9:$J$188,MATCH($B82,'Trading Comps_Input'!$B$9:$B$188,0),FALSE)</f>
        <v>992</v>
      </c>
      <c r="J82" s="37">
        <f>HLOOKUP(J$69,'Trading Comps_Input'!$B$9:$J$188,MATCH($B82,'Trading Comps_Input'!$B$9:$B$188,0),FALSE)</f>
        <v>-55.481000000000002</v>
      </c>
      <c r="O82" s="40"/>
    </row>
    <row r="83" spans="2:16" s="30" customFormat="1" outlineLevel="2">
      <c r="B83" s="30" t="s">
        <v>207</v>
      </c>
      <c r="C83" s="37">
        <f>HLOOKUP(C$69,'Trading Comps_Input'!$B$9:$J$188,MATCH($B83,'Trading Comps_Input'!$B$9:$B$188,0),FALSE)</f>
        <v>20.611000000000001</v>
      </c>
      <c r="D83" s="37">
        <f>HLOOKUP(D$69,'Trading Comps_Input'!$B$9:$J$188,MATCH($B83,'Trading Comps_Input'!$B$9:$B$188,0),FALSE)</f>
        <v>9.5578520000000005</v>
      </c>
      <c r="E83" s="37">
        <f>HLOOKUP(E$69,'Trading Comps_Input'!$B$9:$J$188,MATCH($B83,'Trading Comps_Input'!$B$9:$B$188,0),FALSE)</f>
        <v>465.42947694688223</v>
      </c>
      <c r="F83" s="37">
        <f>HLOOKUP(F$69,'Trading Comps_Input'!$B$9:$J$188,MATCH($B83,'Trading Comps_Input'!$B$9:$B$188,0),FALSE)</f>
        <v>1315.346448</v>
      </c>
      <c r="G83" s="37">
        <f>HLOOKUP(G$69,'Trading Comps_Input'!$B$9:$J$188,MATCH($B83,'Trading Comps_Input'!$B$9:$B$188,0),FALSE)</f>
        <v>152.64093342264582</v>
      </c>
      <c r="H83" s="37">
        <f>HLOOKUP(H$69,'Trading Comps_Input'!$B$9:$J$188,MATCH($B83,'Trading Comps_Input'!$B$9:$B$188,0),FALSE)</f>
        <v>488.41627304970677</v>
      </c>
      <c r="I83" s="37">
        <f>HLOOKUP(I$69,'Trading Comps_Input'!$B$9:$J$188,MATCH($B83,'Trading Comps_Input'!$B$9:$B$188,0),FALSE)</f>
        <v>184.4</v>
      </c>
      <c r="J83" s="37">
        <f>HLOOKUP(J$69,'Trading Comps_Input'!$B$9:$J$188,MATCH($B83,'Trading Comps_Input'!$B$9:$B$188,0),FALSE)</f>
        <v>14.845054054281505</v>
      </c>
      <c r="O83" s="40"/>
    </row>
    <row r="84" spans="2:16" s="30" customFormat="1" outlineLevel="2">
      <c r="O84" s="40"/>
    </row>
    <row r="85" spans="2:16" s="30" customFormat="1" outlineLevel="2">
      <c r="C85" s="146"/>
      <c r="D85" s="146"/>
      <c r="E85" s="146"/>
      <c r="F85" s="146"/>
      <c r="G85" s="146"/>
      <c r="H85" s="146"/>
      <c r="I85" s="146"/>
    </row>
    <row r="86" spans="2:16" s="30" customFormat="1" outlineLevel="2">
      <c r="C86" s="146"/>
      <c r="D86" s="146"/>
      <c r="E86" s="146"/>
      <c r="F86" s="146"/>
      <c r="G86" s="146"/>
      <c r="H86" s="146"/>
      <c r="I86" s="146"/>
    </row>
    <row r="87" spans="2:16" s="30" customFormat="1" outlineLevel="2">
      <c r="B87" s="239" t="s">
        <v>839</v>
      </c>
      <c r="C87" s="146"/>
      <c r="D87" s="146"/>
      <c r="E87" s="146"/>
      <c r="F87" s="146"/>
      <c r="G87" s="146"/>
      <c r="H87" s="146"/>
      <c r="I87" s="146"/>
    </row>
    <row r="88" spans="2:16" s="30" customFormat="1" outlineLevel="2">
      <c r="B88" s="30" t="str">
        <f t="array" ref="B88:P96">TRANSPOSE(B69:J83)</f>
        <v>Company name</v>
      </c>
      <c r="C88" s="146" t="str">
        <v>Ticker</v>
      </c>
      <c r="D88" s="146" t="str">
        <v>Market capitalization (mm)</v>
      </c>
      <c r="E88" s="146" t="str">
        <v>Enterprise value (EV)</v>
      </c>
      <c r="F88" s="146" t="str">
        <v>Revenues - LFY</v>
      </c>
      <c r="G88" s="146" t="str">
        <v>EBITDA - LFY</v>
      </c>
      <c r="H88" s="146" t="str">
        <v>EBIT - LFY</v>
      </c>
      <c r="I88" s="146" t="str">
        <v>EPS - LFY</v>
      </c>
      <c r="J88" s="146" t="str">
        <v>Revenues - Calendar year 1</v>
      </c>
      <c r="K88" s="146" t="str">
        <v>EBITDA - Calendar year 1</v>
      </c>
      <c r="L88" s="146" t="str">
        <v>EBIT - Calendar year 1</v>
      </c>
      <c r="M88" s="146" t="str">
        <v>EPS - Calendar year 1</v>
      </c>
      <c r="N88" s="146" t="str">
        <v>Long-term growth rate</v>
      </c>
      <c r="O88" s="146" t="str">
        <v>Net debt</v>
      </c>
      <c r="P88" s="146" t="str">
        <v>Diluted shares outstanding (mm)</v>
      </c>
    </row>
    <row r="89" spans="2:16" s="30" customFormat="1" outlineLevel="2">
      <c r="B89" s="30" t="str">
        <v>Oriental
Brewery</v>
      </c>
      <c r="C89" s="146" t="str">
        <v>OB</v>
      </c>
      <c r="D89" s="146">
        <v>0</v>
      </c>
      <c r="E89" s="146">
        <v>0</v>
      </c>
      <c r="F89" s="146">
        <v>816110.18687400001</v>
      </c>
      <c r="G89" s="146">
        <v>251435.44508999999</v>
      </c>
      <c r="H89" s="146">
        <v>196305.65531900001</v>
      </c>
      <c r="I89" s="146">
        <v>6629.0535110659357</v>
      </c>
      <c r="J89" s="146">
        <v>840593.49248022004</v>
      </c>
      <c r="K89" s="146">
        <v>258978.5084427</v>
      </c>
      <c r="L89" s="146">
        <v>202194.82497857002</v>
      </c>
      <c r="M89" s="146">
        <v>6827.9251163979143</v>
      </c>
      <c r="N89" s="146">
        <v>2.5000000000000001E-2</v>
      </c>
      <c r="O89" s="146">
        <v>301945.90825400001</v>
      </c>
      <c r="P89" s="146">
        <v>20.611000000000001</v>
      </c>
    </row>
    <row r="90" spans="2:16" s="30" customFormat="1" outlineLevel="2">
      <c r="B90" s="30" t="str">
        <v>HITE Brewery</v>
      </c>
      <c r="C90" s="146" t="str">
        <v>KRX: 103150</v>
      </c>
      <c r="D90" s="146">
        <v>1624834.84</v>
      </c>
      <c r="E90" s="146">
        <v>2618390.4658650002</v>
      </c>
      <c r="F90" s="146">
        <v>1049535.950404</v>
      </c>
      <c r="G90" s="146">
        <v>259614.51060599997</v>
      </c>
      <c r="H90" s="146">
        <v>187129.78165599995</v>
      </c>
      <c r="I90" s="146">
        <v>10921.965297357603</v>
      </c>
      <c r="J90" s="146">
        <v>1066105.2263499999</v>
      </c>
      <c r="K90" s="146">
        <v>232221.750527</v>
      </c>
      <c r="L90" s="146">
        <v>151914.49230300001</v>
      </c>
      <c r="M90" s="146">
        <v>6821.3097589999998</v>
      </c>
      <c r="N90" s="146">
        <v>2.5000000000000001E-2</v>
      </c>
      <c r="O90" s="146">
        <v>993555.62586500007</v>
      </c>
      <c r="P90" s="146">
        <v>9.5578520000000005</v>
      </c>
    </row>
    <row r="91" spans="2:16" s="30" customFormat="1" outlineLevel="2">
      <c r="B91" s="30" t="str">
        <v>ASAHI 
GROUP</v>
      </c>
      <c r="C91" s="146" t="str">
        <v>TYO: 2502</v>
      </c>
      <c r="D91" s="146">
        <v>806123.85407200002</v>
      </c>
      <c r="E91" s="146">
        <v>1184147.8540719999</v>
      </c>
      <c r="F91" s="146">
        <v>1022318</v>
      </c>
      <c r="G91" s="146">
        <v>141149</v>
      </c>
      <c r="H91" s="146">
        <v>82777</v>
      </c>
      <c r="I91" s="146">
        <v>103.09652649154462</v>
      </c>
      <c r="J91" s="146">
        <v>1084231.539266</v>
      </c>
      <c r="K91" s="146">
        <v>162376.005011</v>
      </c>
      <c r="L91" s="146">
        <v>95386.572658999998</v>
      </c>
      <c r="M91" s="146">
        <v>115.685643</v>
      </c>
      <c r="N91" s="146">
        <v>3.5000000000000003E-2</v>
      </c>
      <c r="O91" s="146">
        <v>378024</v>
      </c>
      <c r="P91" s="146">
        <v>465.42947694688223</v>
      </c>
    </row>
    <row r="92" spans="2:16" s="30" customFormat="1" outlineLevel="2">
      <c r="B92" s="30" t="str">
        <v>TSINGTAO 
BREWERY</v>
      </c>
      <c r="C92" s="146" t="str">
        <v>SEHK:168</v>
      </c>
      <c r="D92" s="146">
        <v>21676.90946304</v>
      </c>
      <c r="E92" s="146">
        <v>17888.82927604</v>
      </c>
      <c r="F92" s="146">
        <v>18026.107887999999</v>
      </c>
      <c r="G92" s="146">
        <v>2065.442665</v>
      </c>
      <c r="H92" s="146">
        <v>1520.6809309999999</v>
      </c>
      <c r="I92" s="146">
        <v>0.95009958813527728</v>
      </c>
      <c r="J92" s="146">
        <v>20524.903630000001</v>
      </c>
      <c r="K92" s="146">
        <v>2486.269726</v>
      </c>
      <c r="L92" s="146">
        <v>1905.3394960000001</v>
      </c>
      <c r="M92" s="146">
        <v>1.129899</v>
      </c>
      <c r="N92" s="146">
        <v>3.5000000000000003E-2</v>
      </c>
      <c r="O92" s="146">
        <v>-3788.0801870000005</v>
      </c>
      <c r="P92" s="146">
        <v>1315.346448</v>
      </c>
    </row>
    <row r="93" spans="2:16" s="30" customFormat="1" outlineLevel="2">
      <c r="B93" s="30" t="str">
        <v>CARLSBERG</v>
      </c>
      <c r="C93" s="146" t="str">
        <v>CPSE:CARL B</v>
      </c>
      <c r="D93" s="146">
        <v>60461.073728710013</v>
      </c>
      <c r="E93" s="146">
        <v>101784.07372871001</v>
      </c>
      <c r="F93" s="146">
        <v>59382</v>
      </c>
      <c r="G93" s="146">
        <v>13307</v>
      </c>
      <c r="H93" s="146">
        <v>9538</v>
      </c>
      <c r="I93" s="146">
        <v>33.210292195762513</v>
      </c>
      <c r="J93" s="146">
        <v>60124.231254999999</v>
      </c>
      <c r="K93" s="146">
        <v>13519.077848000001</v>
      </c>
      <c r="L93" s="146">
        <v>9759.7655460000005</v>
      </c>
      <c r="M93" s="146">
        <v>33.098190000000002</v>
      </c>
      <c r="N93" s="146">
        <v>0.03</v>
      </c>
      <c r="O93" s="146">
        <v>41323</v>
      </c>
      <c r="P93" s="146">
        <v>152.64093342264582</v>
      </c>
    </row>
    <row r="94" spans="2:16" s="30" customFormat="1" outlineLevel="2">
      <c r="B94" s="30" t="str">
        <v>HEINEKEN</v>
      </c>
      <c r="C94" s="146" t="str">
        <v>ENXTAM:HEIA</v>
      </c>
      <c r="D94" s="146">
        <v>17490.18673791</v>
      </c>
      <c r="E94" s="146">
        <v>25968.18673791</v>
      </c>
      <c r="F94" s="146">
        <v>14701</v>
      </c>
      <c r="G94" s="146">
        <v>2672</v>
      </c>
      <c r="H94" s="146">
        <v>1777</v>
      </c>
      <c r="I94" s="146">
        <v>1.8990460620987633</v>
      </c>
      <c r="J94" s="146">
        <v>16327.515762000001</v>
      </c>
      <c r="K94" s="146">
        <v>3186.5032500000002</v>
      </c>
      <c r="L94" s="146">
        <v>1986.258656</v>
      </c>
      <c r="M94" s="146">
        <v>2.711287</v>
      </c>
      <c r="N94" s="146">
        <v>3.5000000000000003E-2</v>
      </c>
      <c r="O94" s="146">
        <v>8478</v>
      </c>
      <c r="P94" s="146">
        <v>488.41627304970677</v>
      </c>
    </row>
    <row r="95" spans="2:16" s="30" customFormat="1" outlineLevel="2">
      <c r="B95" s="30" t="str">
        <v>MOLSON
COORS</v>
      </c>
      <c r="C95" s="146" t="str">
        <v>NYSE: TAP</v>
      </c>
      <c r="D95" s="146">
        <v>4233.8240000000005</v>
      </c>
      <c r="E95" s="146">
        <v>5225.8240000000005</v>
      </c>
      <c r="F95" s="146">
        <v>3032.4</v>
      </c>
      <c r="G95" s="146">
        <v>631.6</v>
      </c>
      <c r="H95" s="146">
        <v>423.6</v>
      </c>
      <c r="I95" s="146">
        <v>0.99772668112798224</v>
      </c>
      <c r="J95" s="146">
        <v>3371.9868670000001</v>
      </c>
      <c r="K95" s="146">
        <v>639.03856900000005</v>
      </c>
      <c r="L95" s="146">
        <v>426.09415799999999</v>
      </c>
      <c r="M95" s="146">
        <v>3.6686960000000002</v>
      </c>
      <c r="N95" s="146">
        <v>1.4999999999999999E-2</v>
      </c>
      <c r="O95" s="146">
        <v>992</v>
      </c>
      <c r="P95" s="146">
        <v>184.4</v>
      </c>
    </row>
    <row r="96" spans="2:16" s="30" customFormat="1" outlineLevel="2">
      <c r="B96" s="30" t="str">
        <v>BOSTON 
BEER</v>
      </c>
      <c r="C96" s="146" t="str">
        <v>NYSE: SAM</v>
      </c>
      <c r="D96" s="146">
        <v>705.58541919999993</v>
      </c>
      <c r="E96" s="146">
        <v>650.10441919999994</v>
      </c>
      <c r="F96" s="146">
        <v>415.053</v>
      </c>
      <c r="G96" s="146">
        <v>72.23899999999999</v>
      </c>
      <c r="H96" s="146">
        <v>55.319999999999993</v>
      </c>
      <c r="I96" s="146">
        <v>2.2702952698430705</v>
      </c>
      <c r="J96" s="146">
        <v>446.19518199999999</v>
      </c>
      <c r="K96" s="146">
        <v>102.673564</v>
      </c>
      <c r="L96" s="146">
        <v>83.819889000000003</v>
      </c>
      <c r="M96" s="146">
        <v>3.4072290000000001</v>
      </c>
      <c r="N96" s="146">
        <v>3.5000000000000003E-2</v>
      </c>
      <c r="O96" s="146">
        <v>-55.481000000000002</v>
      </c>
      <c r="P96" s="146">
        <v>14.845054054281505</v>
      </c>
    </row>
    <row r="97" spans="2:16" s="30" customFormat="1" outlineLevel="2">
      <c r="K97" s="257"/>
      <c r="L97" s="257"/>
      <c r="M97" s="257"/>
      <c r="N97" s="257"/>
      <c r="O97" s="257"/>
      <c r="P97" s="257"/>
    </row>
    <row r="98" spans="2:16" s="30" customFormat="1" outlineLevel="2">
      <c r="O98" s="40"/>
    </row>
    <row r="99" spans="2:16" s="30" customFormat="1" outlineLevel="2">
      <c r="B99" s="239" t="s">
        <v>866</v>
      </c>
      <c r="O99" s="40"/>
    </row>
    <row r="100" spans="2:16" s="30" customFormat="1" outlineLevel="2">
      <c r="B100" s="30" t="s">
        <v>227</v>
      </c>
      <c r="C100" s="30" t="s">
        <v>110</v>
      </c>
      <c r="D100" s="30" t="s">
        <v>208</v>
      </c>
      <c r="E100" s="30" t="s">
        <v>209</v>
      </c>
      <c r="F100" s="30" t="s">
        <v>242</v>
      </c>
      <c r="G100" s="30" t="s">
        <v>244</v>
      </c>
      <c r="H100" s="30" t="s">
        <v>246</v>
      </c>
      <c r="I100" s="30" t="s">
        <v>248</v>
      </c>
      <c r="J100" s="30" t="s">
        <v>200</v>
      </c>
      <c r="K100" s="30" t="s">
        <v>201</v>
      </c>
      <c r="L100" s="30" t="s">
        <v>202</v>
      </c>
      <c r="M100" s="30" t="s">
        <v>203</v>
      </c>
      <c r="N100" s="30" t="s">
        <v>191</v>
      </c>
      <c r="O100" s="30" t="s">
        <v>184</v>
      </c>
      <c r="P100" s="30" t="s">
        <v>207</v>
      </c>
    </row>
    <row r="101" spans="2:16" s="30" customFormat="1" outlineLevel="2">
      <c r="B101" s="30" t="s">
        <v>838</v>
      </c>
      <c r="C101" s="37" t="str">
        <f>HLOOKUP($B101,'Trading Comps_Input'!$B$9:$J$188,MATCH(C$100,'Trading Comps_Input'!$B$9:$B$188,0),FALSE)</f>
        <v>OB</v>
      </c>
      <c r="D101" s="37">
        <f>HLOOKUP($B101,'Trading Comps_Input'!$B$9:$J$188,MATCH(D$100,'Trading Comps_Input'!$B$9:$B$188,0),FALSE)</f>
        <v>0</v>
      </c>
      <c r="E101" s="37">
        <f>HLOOKUP($B101,'Trading Comps_Input'!$B$9:$J$188,MATCH(E$100,'Trading Comps_Input'!$B$9:$B$188,0),FALSE)</f>
        <v>0</v>
      </c>
      <c r="F101" s="37">
        <f>HLOOKUP($B101,'Trading Comps_Input'!$B$9:$J$188,MATCH(F$100,'Trading Comps_Input'!$B$9:$B$188,0),FALSE)</f>
        <v>816110.18687400001</v>
      </c>
      <c r="G101" s="37">
        <f>HLOOKUP($B101,'Trading Comps_Input'!$B$9:$J$188,MATCH(G$100,'Trading Comps_Input'!$B$9:$B$188,0),FALSE)</f>
        <v>251435.44508999999</v>
      </c>
      <c r="H101" s="37">
        <f>HLOOKUP($B101,'Trading Comps_Input'!$B$9:$J$188,MATCH(H$100,'Trading Comps_Input'!$B$9:$B$188,0),FALSE)</f>
        <v>196305.65531900001</v>
      </c>
      <c r="I101" s="37">
        <f>HLOOKUP($B101,'Trading Comps_Input'!$B$9:$J$188,MATCH(I$100,'Trading Comps_Input'!$B$9:$B$188,0),FALSE)</f>
        <v>6629.0535110659357</v>
      </c>
      <c r="J101" s="37">
        <f>HLOOKUP($B101,'Trading Comps_Input'!$B$9:$J$188,MATCH(J$100,'Trading Comps_Input'!$B$9:$B$188,0),FALSE)</f>
        <v>840593.49248022004</v>
      </c>
      <c r="K101" s="37">
        <f>HLOOKUP($B101,'Trading Comps_Input'!$B$9:$J$188,MATCH(K$100,'Trading Comps_Input'!$B$9:$B$188,0),FALSE)</f>
        <v>258978.5084427</v>
      </c>
      <c r="L101" s="37">
        <f>HLOOKUP($B101,'Trading Comps_Input'!$B$9:$J$188,MATCH(L$100,'Trading Comps_Input'!$B$9:$B$188,0),FALSE)</f>
        <v>202194.82497857002</v>
      </c>
      <c r="M101" s="37">
        <f>HLOOKUP($B101,'Trading Comps_Input'!$B$9:$J$188,MATCH(M$100,'Trading Comps_Input'!$B$9:$B$188,0),FALSE)</f>
        <v>6827.9251163979143</v>
      </c>
      <c r="N101" s="37">
        <f>HLOOKUP($B101,'Trading Comps_Input'!$B$9:$J$188,MATCH(N$100,'Trading Comps_Input'!$B$9:$B$188,0),FALSE)</f>
        <v>2.5000000000000001E-2</v>
      </c>
      <c r="O101" s="37">
        <f>HLOOKUP($B101,'Trading Comps_Input'!$B$9:$J$188,MATCH(O$100,'Trading Comps_Input'!$B$9:$B$188,0),FALSE)</f>
        <v>301945.90825400001</v>
      </c>
      <c r="P101" s="37">
        <f>HLOOKUP($B101,'Trading Comps_Input'!$B$9:$J$188,MATCH(P$100,'Trading Comps_Input'!$B$9:$B$188,0),FALSE)</f>
        <v>20.611000000000001</v>
      </c>
    </row>
    <row r="102" spans="2:16" s="30" customFormat="1" outlineLevel="2">
      <c r="B102" s="30" t="s">
        <v>831</v>
      </c>
      <c r="C102" s="37" t="str">
        <f>HLOOKUP($B102,'Trading Comps_Input'!$B$9:$J$188,MATCH(C$100,'Trading Comps_Input'!$B$9:$B$188,0),FALSE)</f>
        <v>KRX: 103150</v>
      </c>
      <c r="D102" s="37">
        <f>HLOOKUP($B102,'Trading Comps_Input'!$B$9:$J$188,MATCH(D$100,'Trading Comps_Input'!$B$9:$B$188,0),FALSE)</f>
        <v>1624834.84</v>
      </c>
      <c r="E102" s="37">
        <f>HLOOKUP($B102,'Trading Comps_Input'!$B$9:$J$188,MATCH(E$100,'Trading Comps_Input'!$B$9:$B$188,0),FALSE)</f>
        <v>2618390.4658650002</v>
      </c>
      <c r="F102" s="37">
        <f>HLOOKUP($B102,'Trading Comps_Input'!$B$9:$J$188,MATCH(F$100,'Trading Comps_Input'!$B$9:$B$188,0),FALSE)</f>
        <v>1049535.950404</v>
      </c>
      <c r="G102" s="37">
        <f>HLOOKUP($B102,'Trading Comps_Input'!$B$9:$J$188,MATCH(G$100,'Trading Comps_Input'!$B$9:$B$188,0),FALSE)</f>
        <v>259614.51060599997</v>
      </c>
      <c r="H102" s="37">
        <f>HLOOKUP($B102,'Trading Comps_Input'!$B$9:$J$188,MATCH(H$100,'Trading Comps_Input'!$B$9:$B$188,0),FALSE)</f>
        <v>187129.78165599995</v>
      </c>
      <c r="I102" s="37">
        <f>HLOOKUP($B102,'Trading Comps_Input'!$B$9:$J$188,MATCH(I$100,'Trading Comps_Input'!$B$9:$B$188,0),FALSE)</f>
        <v>10921.965297357603</v>
      </c>
      <c r="J102" s="37">
        <f>HLOOKUP($B102,'Trading Comps_Input'!$B$9:$J$188,MATCH(J$100,'Trading Comps_Input'!$B$9:$B$188,0),FALSE)</f>
        <v>1066105.2263499999</v>
      </c>
      <c r="K102" s="37">
        <f>HLOOKUP($B102,'Trading Comps_Input'!$B$9:$J$188,MATCH(K$100,'Trading Comps_Input'!$B$9:$B$188,0),FALSE)</f>
        <v>232221.750527</v>
      </c>
      <c r="L102" s="37">
        <f>HLOOKUP($B102,'Trading Comps_Input'!$B$9:$J$188,MATCH(L$100,'Trading Comps_Input'!$B$9:$B$188,0),FALSE)</f>
        <v>151914.49230300001</v>
      </c>
      <c r="M102" s="37">
        <f>HLOOKUP($B102,'Trading Comps_Input'!$B$9:$J$188,MATCH(M$100,'Trading Comps_Input'!$B$9:$B$188,0),FALSE)</f>
        <v>6821.3097589999998</v>
      </c>
      <c r="N102" s="37">
        <f>HLOOKUP($B102,'Trading Comps_Input'!$B$9:$J$188,MATCH(N$100,'Trading Comps_Input'!$B$9:$B$188,0),FALSE)</f>
        <v>2.5000000000000001E-2</v>
      </c>
      <c r="O102" s="37">
        <f>HLOOKUP($B102,'Trading Comps_Input'!$B$9:$J$188,MATCH(O$100,'Trading Comps_Input'!$B$9:$B$188,0),FALSE)</f>
        <v>993555.62586500007</v>
      </c>
      <c r="P102" s="37">
        <f>HLOOKUP($B102,'Trading Comps_Input'!$B$9:$J$188,MATCH(P$100,'Trading Comps_Input'!$B$9:$B$188,0),FALSE)</f>
        <v>9.5578520000000005</v>
      </c>
    </row>
    <row r="103" spans="2:16" s="30" customFormat="1" outlineLevel="2">
      <c r="B103" s="30" t="s">
        <v>115</v>
      </c>
      <c r="C103" s="37" t="str">
        <f>HLOOKUP($B103,'Trading Comps_Input'!$B$9:$J$188,MATCH(C$100,'Trading Comps_Input'!$B$9:$B$188,0),FALSE)</f>
        <v>TYO: 2502</v>
      </c>
      <c r="D103" s="37">
        <f>HLOOKUP($B103,'Trading Comps_Input'!$B$9:$J$188,MATCH(D$100,'Trading Comps_Input'!$B$9:$B$188,0),FALSE)</f>
        <v>806123.85407200002</v>
      </c>
      <c r="E103" s="37">
        <f>HLOOKUP($B103,'Trading Comps_Input'!$B$9:$J$188,MATCH(E$100,'Trading Comps_Input'!$B$9:$B$188,0),FALSE)</f>
        <v>1184147.8540719999</v>
      </c>
      <c r="F103" s="37">
        <f>HLOOKUP($B103,'Trading Comps_Input'!$B$9:$J$188,MATCH(F$100,'Trading Comps_Input'!$B$9:$B$188,0),FALSE)</f>
        <v>1022318</v>
      </c>
      <c r="G103" s="37">
        <f>HLOOKUP($B103,'Trading Comps_Input'!$B$9:$J$188,MATCH(G$100,'Trading Comps_Input'!$B$9:$B$188,0),FALSE)</f>
        <v>141149</v>
      </c>
      <c r="H103" s="37">
        <f>HLOOKUP($B103,'Trading Comps_Input'!$B$9:$J$188,MATCH(H$100,'Trading Comps_Input'!$B$9:$B$188,0),FALSE)</f>
        <v>82777</v>
      </c>
      <c r="I103" s="37">
        <f>HLOOKUP($B103,'Trading Comps_Input'!$B$9:$J$188,MATCH(I$100,'Trading Comps_Input'!$B$9:$B$188,0),FALSE)</f>
        <v>103.09652649154462</v>
      </c>
      <c r="J103" s="37">
        <f>HLOOKUP($B103,'Trading Comps_Input'!$B$9:$J$188,MATCH(J$100,'Trading Comps_Input'!$B$9:$B$188,0),FALSE)</f>
        <v>1084231.539266</v>
      </c>
      <c r="K103" s="37">
        <f>HLOOKUP($B103,'Trading Comps_Input'!$B$9:$J$188,MATCH(K$100,'Trading Comps_Input'!$B$9:$B$188,0),FALSE)</f>
        <v>162376.005011</v>
      </c>
      <c r="L103" s="37">
        <f>HLOOKUP($B103,'Trading Comps_Input'!$B$9:$J$188,MATCH(L$100,'Trading Comps_Input'!$B$9:$B$188,0),FALSE)</f>
        <v>95386.572658999998</v>
      </c>
      <c r="M103" s="37">
        <f>HLOOKUP($B103,'Trading Comps_Input'!$B$9:$J$188,MATCH(M$100,'Trading Comps_Input'!$B$9:$B$188,0),FALSE)</f>
        <v>115.685643</v>
      </c>
      <c r="N103" s="37">
        <f>HLOOKUP($B103,'Trading Comps_Input'!$B$9:$J$188,MATCH(N$100,'Trading Comps_Input'!$B$9:$B$188,0),FALSE)</f>
        <v>3.5000000000000003E-2</v>
      </c>
      <c r="O103" s="37">
        <f>HLOOKUP($B103,'Trading Comps_Input'!$B$9:$J$188,MATCH(O$100,'Trading Comps_Input'!$B$9:$B$188,0),FALSE)</f>
        <v>378024</v>
      </c>
      <c r="P103" s="37">
        <f>HLOOKUP($B103,'Trading Comps_Input'!$B$9:$J$188,MATCH(P$100,'Trading Comps_Input'!$B$9:$B$188,0),FALSE)</f>
        <v>465.42947694688223</v>
      </c>
    </row>
    <row r="104" spans="2:16" s="30" customFormat="1" outlineLevel="2">
      <c r="B104" s="30" t="s">
        <v>116</v>
      </c>
      <c r="C104" s="37" t="str">
        <f>HLOOKUP($B104,'Trading Comps_Input'!$B$9:$J$188,MATCH(C$100,'Trading Comps_Input'!$B$9:$B$188,0),FALSE)</f>
        <v>SEHK:168</v>
      </c>
      <c r="D104" s="37">
        <f>HLOOKUP($B104,'Trading Comps_Input'!$B$9:$J$188,MATCH(D$100,'Trading Comps_Input'!$B$9:$B$188,0),FALSE)</f>
        <v>21676.90946304</v>
      </c>
      <c r="E104" s="37">
        <f>HLOOKUP($B104,'Trading Comps_Input'!$B$9:$J$188,MATCH(E$100,'Trading Comps_Input'!$B$9:$B$188,0),FALSE)</f>
        <v>17888.82927604</v>
      </c>
      <c r="F104" s="37">
        <f>HLOOKUP($B104,'Trading Comps_Input'!$B$9:$J$188,MATCH(F$100,'Trading Comps_Input'!$B$9:$B$188,0),FALSE)</f>
        <v>18026.107887999999</v>
      </c>
      <c r="G104" s="37">
        <f>HLOOKUP($B104,'Trading Comps_Input'!$B$9:$J$188,MATCH(G$100,'Trading Comps_Input'!$B$9:$B$188,0),FALSE)</f>
        <v>2065.442665</v>
      </c>
      <c r="H104" s="37">
        <f>HLOOKUP($B104,'Trading Comps_Input'!$B$9:$J$188,MATCH(H$100,'Trading Comps_Input'!$B$9:$B$188,0),FALSE)</f>
        <v>1520.6809309999999</v>
      </c>
      <c r="I104" s="37">
        <f>HLOOKUP($B104,'Trading Comps_Input'!$B$9:$J$188,MATCH(I$100,'Trading Comps_Input'!$B$9:$B$188,0),FALSE)</f>
        <v>0.95009958813527728</v>
      </c>
      <c r="J104" s="37">
        <f>HLOOKUP($B104,'Trading Comps_Input'!$B$9:$J$188,MATCH(J$100,'Trading Comps_Input'!$B$9:$B$188,0),FALSE)</f>
        <v>20524.903630000001</v>
      </c>
      <c r="K104" s="37">
        <f>HLOOKUP($B104,'Trading Comps_Input'!$B$9:$J$188,MATCH(K$100,'Trading Comps_Input'!$B$9:$B$188,0),FALSE)</f>
        <v>2486.269726</v>
      </c>
      <c r="L104" s="37">
        <f>HLOOKUP($B104,'Trading Comps_Input'!$B$9:$J$188,MATCH(L$100,'Trading Comps_Input'!$B$9:$B$188,0),FALSE)</f>
        <v>1905.3394960000001</v>
      </c>
      <c r="M104" s="37">
        <f>HLOOKUP($B104,'Trading Comps_Input'!$B$9:$J$188,MATCH(M$100,'Trading Comps_Input'!$B$9:$B$188,0),FALSE)</f>
        <v>1.129899</v>
      </c>
      <c r="N104" s="37">
        <f>HLOOKUP($B104,'Trading Comps_Input'!$B$9:$J$188,MATCH(N$100,'Trading Comps_Input'!$B$9:$B$188,0),FALSE)</f>
        <v>3.5000000000000003E-2</v>
      </c>
      <c r="O104" s="37">
        <f>HLOOKUP($B104,'Trading Comps_Input'!$B$9:$J$188,MATCH(O$100,'Trading Comps_Input'!$B$9:$B$188,0),FALSE)</f>
        <v>-3788.0801870000005</v>
      </c>
      <c r="P104" s="37">
        <f>HLOOKUP($B104,'Trading Comps_Input'!$B$9:$J$188,MATCH(P$100,'Trading Comps_Input'!$B$9:$B$188,0),FALSE)</f>
        <v>1315.346448</v>
      </c>
    </row>
    <row r="105" spans="2:16" s="30" customFormat="1" outlineLevel="2">
      <c r="B105" s="30" t="s">
        <v>117</v>
      </c>
      <c r="C105" s="37" t="str">
        <f>HLOOKUP($B105,'Trading Comps_Input'!$B$9:$J$188,MATCH(C$100,'Trading Comps_Input'!$B$9:$B$188,0),FALSE)</f>
        <v>CPSE:CARL B</v>
      </c>
      <c r="D105" s="37">
        <f>HLOOKUP($B105,'Trading Comps_Input'!$B$9:$J$188,MATCH(D$100,'Trading Comps_Input'!$B$9:$B$188,0),FALSE)</f>
        <v>60461.073728710013</v>
      </c>
      <c r="E105" s="37">
        <f>HLOOKUP($B105,'Trading Comps_Input'!$B$9:$J$188,MATCH(E$100,'Trading Comps_Input'!$B$9:$B$188,0),FALSE)</f>
        <v>101784.07372871001</v>
      </c>
      <c r="F105" s="37">
        <f>HLOOKUP($B105,'Trading Comps_Input'!$B$9:$J$188,MATCH(F$100,'Trading Comps_Input'!$B$9:$B$188,0),FALSE)</f>
        <v>59382</v>
      </c>
      <c r="G105" s="37">
        <f>HLOOKUP($B105,'Trading Comps_Input'!$B$9:$J$188,MATCH(G$100,'Trading Comps_Input'!$B$9:$B$188,0),FALSE)</f>
        <v>13307</v>
      </c>
      <c r="H105" s="37">
        <f>HLOOKUP($B105,'Trading Comps_Input'!$B$9:$J$188,MATCH(H$100,'Trading Comps_Input'!$B$9:$B$188,0),FALSE)</f>
        <v>9538</v>
      </c>
      <c r="I105" s="37">
        <f>HLOOKUP($B105,'Trading Comps_Input'!$B$9:$J$188,MATCH(I$100,'Trading Comps_Input'!$B$9:$B$188,0),FALSE)</f>
        <v>33.210292195762513</v>
      </c>
      <c r="J105" s="37">
        <f>HLOOKUP($B105,'Trading Comps_Input'!$B$9:$J$188,MATCH(J$100,'Trading Comps_Input'!$B$9:$B$188,0),FALSE)</f>
        <v>60124.231254999999</v>
      </c>
      <c r="K105" s="37">
        <f>HLOOKUP($B105,'Trading Comps_Input'!$B$9:$J$188,MATCH(K$100,'Trading Comps_Input'!$B$9:$B$188,0),FALSE)</f>
        <v>13519.077848000001</v>
      </c>
      <c r="L105" s="37">
        <f>HLOOKUP($B105,'Trading Comps_Input'!$B$9:$J$188,MATCH(L$100,'Trading Comps_Input'!$B$9:$B$188,0),FALSE)</f>
        <v>9759.7655460000005</v>
      </c>
      <c r="M105" s="37">
        <f>HLOOKUP($B105,'Trading Comps_Input'!$B$9:$J$188,MATCH(M$100,'Trading Comps_Input'!$B$9:$B$188,0),FALSE)</f>
        <v>33.098190000000002</v>
      </c>
      <c r="N105" s="37">
        <f>HLOOKUP($B105,'Trading Comps_Input'!$B$9:$J$188,MATCH(N$100,'Trading Comps_Input'!$B$9:$B$188,0),FALSE)</f>
        <v>0.03</v>
      </c>
      <c r="O105" s="37">
        <f>HLOOKUP($B105,'Trading Comps_Input'!$B$9:$J$188,MATCH(O$100,'Trading Comps_Input'!$B$9:$B$188,0),FALSE)</f>
        <v>41323</v>
      </c>
      <c r="P105" s="37">
        <f>HLOOKUP($B105,'Trading Comps_Input'!$B$9:$J$188,MATCH(P$100,'Trading Comps_Input'!$B$9:$B$188,0),FALSE)</f>
        <v>152.64093342264582</v>
      </c>
    </row>
    <row r="106" spans="2:16" s="30" customFormat="1" outlineLevel="2">
      <c r="B106" s="30" t="s">
        <v>118</v>
      </c>
      <c r="C106" s="37" t="str">
        <f>HLOOKUP($B106,'Trading Comps_Input'!$B$9:$J$188,MATCH(C$100,'Trading Comps_Input'!$B$9:$B$188,0),FALSE)</f>
        <v>ENXTAM:HEIA</v>
      </c>
      <c r="D106" s="37">
        <f>HLOOKUP($B106,'Trading Comps_Input'!$B$9:$J$188,MATCH(D$100,'Trading Comps_Input'!$B$9:$B$188,0),FALSE)</f>
        <v>17490.18673791</v>
      </c>
      <c r="E106" s="37">
        <f>HLOOKUP($B106,'Trading Comps_Input'!$B$9:$J$188,MATCH(E$100,'Trading Comps_Input'!$B$9:$B$188,0),FALSE)</f>
        <v>25968.18673791</v>
      </c>
      <c r="F106" s="37">
        <f>HLOOKUP($B106,'Trading Comps_Input'!$B$9:$J$188,MATCH(F$100,'Trading Comps_Input'!$B$9:$B$188,0),FALSE)</f>
        <v>14701</v>
      </c>
      <c r="G106" s="37">
        <f>HLOOKUP($B106,'Trading Comps_Input'!$B$9:$J$188,MATCH(G$100,'Trading Comps_Input'!$B$9:$B$188,0),FALSE)</f>
        <v>2672</v>
      </c>
      <c r="H106" s="37">
        <f>HLOOKUP($B106,'Trading Comps_Input'!$B$9:$J$188,MATCH(H$100,'Trading Comps_Input'!$B$9:$B$188,0),FALSE)</f>
        <v>1777</v>
      </c>
      <c r="I106" s="37">
        <f>HLOOKUP($B106,'Trading Comps_Input'!$B$9:$J$188,MATCH(I$100,'Trading Comps_Input'!$B$9:$B$188,0),FALSE)</f>
        <v>1.8990460620987633</v>
      </c>
      <c r="J106" s="37">
        <f>HLOOKUP($B106,'Trading Comps_Input'!$B$9:$J$188,MATCH(J$100,'Trading Comps_Input'!$B$9:$B$188,0),FALSE)</f>
        <v>16327.515762000001</v>
      </c>
      <c r="K106" s="37">
        <f>HLOOKUP($B106,'Trading Comps_Input'!$B$9:$J$188,MATCH(K$100,'Trading Comps_Input'!$B$9:$B$188,0),FALSE)</f>
        <v>3186.5032500000002</v>
      </c>
      <c r="L106" s="37">
        <f>HLOOKUP($B106,'Trading Comps_Input'!$B$9:$J$188,MATCH(L$100,'Trading Comps_Input'!$B$9:$B$188,0),FALSE)</f>
        <v>1986.258656</v>
      </c>
      <c r="M106" s="37">
        <f>HLOOKUP($B106,'Trading Comps_Input'!$B$9:$J$188,MATCH(M$100,'Trading Comps_Input'!$B$9:$B$188,0),FALSE)</f>
        <v>2.711287</v>
      </c>
      <c r="N106" s="37">
        <f>HLOOKUP($B106,'Trading Comps_Input'!$B$9:$J$188,MATCH(N$100,'Trading Comps_Input'!$B$9:$B$188,0),FALSE)</f>
        <v>3.5000000000000003E-2</v>
      </c>
      <c r="O106" s="37">
        <f>HLOOKUP($B106,'Trading Comps_Input'!$B$9:$J$188,MATCH(O$100,'Trading Comps_Input'!$B$9:$B$188,0),FALSE)</f>
        <v>8478</v>
      </c>
      <c r="P106" s="37">
        <f>HLOOKUP($B106,'Trading Comps_Input'!$B$9:$J$188,MATCH(P$100,'Trading Comps_Input'!$B$9:$B$188,0),FALSE)</f>
        <v>488.41627304970677</v>
      </c>
    </row>
    <row r="107" spans="2:16" s="30" customFormat="1" outlineLevel="2">
      <c r="B107" s="30" t="s">
        <v>119</v>
      </c>
      <c r="C107" s="37" t="str">
        <f>HLOOKUP($B107,'Trading Comps_Input'!$B$9:$J$188,MATCH(C$100,'Trading Comps_Input'!$B$9:$B$188,0),FALSE)</f>
        <v>NYSE: TAP</v>
      </c>
      <c r="D107" s="37">
        <f>HLOOKUP($B107,'Trading Comps_Input'!$B$9:$J$188,MATCH(D$100,'Trading Comps_Input'!$B$9:$B$188,0),FALSE)</f>
        <v>4233.8240000000005</v>
      </c>
      <c r="E107" s="37">
        <f>HLOOKUP($B107,'Trading Comps_Input'!$B$9:$J$188,MATCH(E$100,'Trading Comps_Input'!$B$9:$B$188,0),FALSE)</f>
        <v>5225.8240000000005</v>
      </c>
      <c r="F107" s="37">
        <f>HLOOKUP($B107,'Trading Comps_Input'!$B$9:$J$188,MATCH(F$100,'Trading Comps_Input'!$B$9:$B$188,0),FALSE)</f>
        <v>3032.4</v>
      </c>
      <c r="G107" s="37">
        <f>HLOOKUP($B107,'Trading Comps_Input'!$B$9:$J$188,MATCH(G$100,'Trading Comps_Input'!$B$9:$B$188,0),FALSE)</f>
        <v>631.6</v>
      </c>
      <c r="H107" s="37">
        <f>HLOOKUP($B107,'Trading Comps_Input'!$B$9:$J$188,MATCH(H$100,'Trading Comps_Input'!$B$9:$B$188,0),FALSE)</f>
        <v>423.6</v>
      </c>
      <c r="I107" s="37">
        <f>HLOOKUP($B107,'Trading Comps_Input'!$B$9:$J$188,MATCH(I$100,'Trading Comps_Input'!$B$9:$B$188,0),FALSE)</f>
        <v>0.99772668112798224</v>
      </c>
      <c r="J107" s="37">
        <f>HLOOKUP($B107,'Trading Comps_Input'!$B$9:$J$188,MATCH(J$100,'Trading Comps_Input'!$B$9:$B$188,0),FALSE)</f>
        <v>3371.9868670000001</v>
      </c>
      <c r="K107" s="37">
        <f>HLOOKUP($B107,'Trading Comps_Input'!$B$9:$J$188,MATCH(K$100,'Trading Comps_Input'!$B$9:$B$188,0),FALSE)</f>
        <v>639.03856900000005</v>
      </c>
      <c r="L107" s="37">
        <f>HLOOKUP($B107,'Trading Comps_Input'!$B$9:$J$188,MATCH(L$100,'Trading Comps_Input'!$B$9:$B$188,0),FALSE)</f>
        <v>426.09415799999999</v>
      </c>
      <c r="M107" s="37">
        <f>HLOOKUP($B107,'Trading Comps_Input'!$B$9:$J$188,MATCH(M$100,'Trading Comps_Input'!$B$9:$B$188,0),FALSE)</f>
        <v>3.6686960000000002</v>
      </c>
      <c r="N107" s="37">
        <f>HLOOKUP($B107,'Trading Comps_Input'!$B$9:$J$188,MATCH(N$100,'Trading Comps_Input'!$B$9:$B$188,0),FALSE)</f>
        <v>1.4999999999999999E-2</v>
      </c>
      <c r="O107" s="37">
        <f>HLOOKUP($B107,'Trading Comps_Input'!$B$9:$J$188,MATCH(O$100,'Trading Comps_Input'!$B$9:$B$188,0),FALSE)</f>
        <v>992</v>
      </c>
      <c r="P107" s="37">
        <f>HLOOKUP($B107,'Trading Comps_Input'!$B$9:$J$188,MATCH(P$100,'Trading Comps_Input'!$B$9:$B$188,0),FALSE)</f>
        <v>184.4</v>
      </c>
    </row>
    <row r="108" spans="2:16" s="30" customFormat="1" outlineLevel="2">
      <c r="B108" s="30" t="s">
        <v>120</v>
      </c>
      <c r="C108" s="37" t="str">
        <f>HLOOKUP($B108,'Trading Comps_Input'!$B$9:$J$188,MATCH(C$100,'Trading Comps_Input'!$B$9:$B$188,0),FALSE)</f>
        <v>NYSE: SAM</v>
      </c>
      <c r="D108" s="37">
        <f>HLOOKUP($B108,'Trading Comps_Input'!$B$9:$J$188,MATCH(D$100,'Trading Comps_Input'!$B$9:$B$188,0),FALSE)</f>
        <v>705.58541919999993</v>
      </c>
      <c r="E108" s="37">
        <f>HLOOKUP($B108,'Trading Comps_Input'!$B$9:$J$188,MATCH(E$100,'Trading Comps_Input'!$B$9:$B$188,0),FALSE)</f>
        <v>650.10441919999994</v>
      </c>
      <c r="F108" s="37">
        <f>HLOOKUP($B108,'Trading Comps_Input'!$B$9:$J$188,MATCH(F$100,'Trading Comps_Input'!$B$9:$B$188,0),FALSE)</f>
        <v>415.053</v>
      </c>
      <c r="G108" s="37">
        <f>HLOOKUP($B108,'Trading Comps_Input'!$B$9:$J$188,MATCH(G$100,'Trading Comps_Input'!$B$9:$B$188,0),FALSE)</f>
        <v>72.23899999999999</v>
      </c>
      <c r="H108" s="37">
        <f>HLOOKUP($B108,'Trading Comps_Input'!$B$9:$J$188,MATCH(H$100,'Trading Comps_Input'!$B$9:$B$188,0),FALSE)</f>
        <v>55.319999999999993</v>
      </c>
      <c r="I108" s="37">
        <f>HLOOKUP($B108,'Trading Comps_Input'!$B$9:$J$188,MATCH(I$100,'Trading Comps_Input'!$B$9:$B$188,0),FALSE)</f>
        <v>2.2702952698430705</v>
      </c>
      <c r="J108" s="37">
        <f>HLOOKUP($B108,'Trading Comps_Input'!$B$9:$J$188,MATCH(J$100,'Trading Comps_Input'!$B$9:$B$188,0),FALSE)</f>
        <v>446.19518199999999</v>
      </c>
      <c r="K108" s="37">
        <f>HLOOKUP($B108,'Trading Comps_Input'!$B$9:$J$188,MATCH(K$100,'Trading Comps_Input'!$B$9:$B$188,0),FALSE)</f>
        <v>102.673564</v>
      </c>
      <c r="L108" s="37">
        <f>HLOOKUP($B108,'Trading Comps_Input'!$B$9:$J$188,MATCH(L$100,'Trading Comps_Input'!$B$9:$B$188,0),FALSE)</f>
        <v>83.819889000000003</v>
      </c>
      <c r="M108" s="37">
        <f>HLOOKUP($B108,'Trading Comps_Input'!$B$9:$J$188,MATCH(M$100,'Trading Comps_Input'!$B$9:$B$188,0),FALSE)</f>
        <v>3.4072290000000001</v>
      </c>
      <c r="N108" s="37">
        <f>HLOOKUP($B108,'Trading Comps_Input'!$B$9:$J$188,MATCH(N$100,'Trading Comps_Input'!$B$9:$B$188,0),FALSE)</f>
        <v>3.5000000000000003E-2</v>
      </c>
      <c r="O108" s="37">
        <f>HLOOKUP($B108,'Trading Comps_Input'!$B$9:$J$188,MATCH(O$100,'Trading Comps_Input'!$B$9:$B$188,0),FALSE)</f>
        <v>-55.481000000000002</v>
      </c>
      <c r="P108" s="37">
        <f>HLOOKUP($B108,'Trading Comps_Input'!$B$9:$J$188,MATCH(P$100,'Trading Comps_Input'!$B$9:$B$188,0),FALSE)</f>
        <v>14.845054054281505</v>
      </c>
    </row>
    <row r="109" spans="2:16" s="30" customFormat="1" outlineLevel="2">
      <c r="O109" s="40"/>
    </row>
    <row r="110" spans="2:16" s="30" customFormat="1" outlineLevel="2">
      <c r="O110" s="40"/>
    </row>
    <row r="111" spans="2:16" s="30" customFormat="1" outlineLevel="2">
      <c r="O111" s="40"/>
    </row>
    <row r="112" spans="2:16" s="30" customFormat="1" outlineLevel="2">
      <c r="O112" s="40"/>
    </row>
    <row r="113" spans="1:20" s="30" customFormat="1" outlineLevel="2">
      <c r="O113" s="40"/>
    </row>
    <row r="114" spans="1:20" s="30" customFormat="1" outlineLevel="2">
      <c r="O114" s="40"/>
    </row>
    <row r="115" spans="1:20" s="30" customFormat="1" outlineLevel="2">
      <c r="O115" s="40"/>
    </row>
    <row r="116" spans="1:20" s="30" customFormat="1" outlineLevel="1"/>
    <row r="117" spans="1:20" ht="19.2">
      <c r="B117" s="157" t="s">
        <v>530</v>
      </c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</row>
    <row r="118" spans="1:20">
      <c r="F118" s="172" t="s">
        <v>536</v>
      </c>
      <c r="G118" s="172"/>
      <c r="H118" s="172"/>
      <c r="I118" s="172"/>
      <c r="J118" s="172" t="s">
        <v>199</v>
      </c>
      <c r="K118" s="172"/>
      <c r="L118" s="172"/>
      <c r="M118" s="172"/>
    </row>
    <row r="119" spans="1:20" ht="14.4" thickBot="1">
      <c r="A119" s="30" t="s">
        <v>98</v>
      </c>
      <c r="B119" s="59" t="s">
        <v>229</v>
      </c>
      <c r="C119" s="59" t="s">
        <v>110</v>
      </c>
      <c r="D119" s="55"/>
      <c r="E119" s="56"/>
      <c r="F119" s="60" t="s">
        <v>233</v>
      </c>
      <c r="G119" s="60" t="s">
        <v>234</v>
      </c>
      <c r="H119" s="60" t="s">
        <v>235</v>
      </c>
      <c r="I119" s="60" t="s">
        <v>236</v>
      </c>
      <c r="J119" s="60" t="s">
        <v>233</v>
      </c>
      <c r="K119" s="60" t="s">
        <v>234</v>
      </c>
      <c r="L119" s="60" t="s">
        <v>235</v>
      </c>
      <c r="M119" s="60" t="s">
        <v>237</v>
      </c>
      <c r="N119" s="60" t="s">
        <v>238</v>
      </c>
      <c r="O119" s="176"/>
    </row>
    <row r="121" spans="1:20">
      <c r="B121" s="61" t="s">
        <v>250</v>
      </c>
      <c r="C121" s="99" t="str">
        <f t="shared" ref="C121:C128" si="1">C56</f>
        <v>OB</v>
      </c>
      <c r="D121" s="61"/>
      <c r="E121" s="61"/>
      <c r="F121" s="61"/>
      <c r="G121" s="61"/>
      <c r="H121" s="61"/>
      <c r="I121" s="61"/>
      <c r="J121" s="64"/>
      <c r="K121" s="64"/>
      <c r="L121" s="64"/>
      <c r="M121" s="64"/>
      <c r="N121" s="64"/>
    </row>
    <row r="122" spans="1:20">
      <c r="B122" s="30" t="s">
        <v>831</v>
      </c>
      <c r="C122" s="99" t="str">
        <f t="shared" si="1"/>
        <v>KRX: 103150</v>
      </c>
      <c r="F122" s="150">
        <f>VLOOKUP(F$5,'Trading Comps_Input'!$B$9:$J$188,MATCH($B122,'Trading Comps_Input'!$B$9:$J$9,0),FALSE)</f>
        <v>2.4948077908690007</v>
      </c>
      <c r="G122" s="150">
        <f>VLOOKUP(G$5,'Trading Comps_Input'!$B$9:$J$188,MATCH($B122,'Trading Comps_Input'!$B$9:$J$9,0),FALSE)</f>
        <v>10.085686118827006</v>
      </c>
      <c r="H122" s="150">
        <f>VLOOKUP(H$5,'Trading Comps_Input'!$B$9:$J$188,MATCH($B122,'Trading Comps_Input'!$B$9:$J$9,0),FALSE)</f>
        <v>13.992377069505583</v>
      </c>
      <c r="I122" s="150">
        <f>VLOOKUP(I$5,'Trading Comps_Input'!$B$9:$J$188,MATCH($B122,'Trading Comps_Input'!$B$9:$J$9,0),FALSE)</f>
        <v>15.56496430556585</v>
      </c>
      <c r="J122" s="150">
        <f>VLOOKUP(J$5,'Trading Comps_Input'!$B$9:$J$188,MATCH($B122,'Trading Comps_Input'!$B$9:$J$9,0),FALSE)</f>
        <v>2.456033795866027</v>
      </c>
      <c r="K122" s="150">
        <f>VLOOKUP(K$5,'Trading Comps_Input'!$B$9:$J$188,MATCH($B122,'Trading Comps_Input'!$B$9:$J$9,0),FALSE)</f>
        <v>11.275388545314426</v>
      </c>
      <c r="L122" s="150">
        <f>VLOOKUP(L$5,'Trading Comps_Input'!$B$9:$J$188,MATCH($B122,'Trading Comps_Input'!$B$9:$J$9,0),FALSE)</f>
        <v>17.235949159100024</v>
      </c>
      <c r="M122" s="150">
        <f>VLOOKUP(M$5,'Trading Comps_Input'!$B$9:$J$188,MATCH($B122,'Trading Comps_Input'!$B$9:$J$9,0),FALSE)</f>
        <v>24.921900046498095</v>
      </c>
      <c r="N122" s="150">
        <f>VLOOKUP(N$5,'Trading Comps_Input'!$B$9:$J$188,MATCH($B122,'Trading Comps_Input'!$B$9:$J$9,0),FALSE)</f>
        <v>9.9687600185992373</v>
      </c>
    </row>
    <row r="123" spans="1:20">
      <c r="B123" s="30" t="s">
        <v>115</v>
      </c>
      <c r="C123" s="30" t="str">
        <f t="shared" si="1"/>
        <v>TYO: 2502</v>
      </c>
      <c r="F123" s="145">
        <f>VLOOKUP(F$5,'Trading Comps_Input'!$B$9:$J$188,MATCH($B123,'Trading Comps_Input'!$B$9:$J$9,0),FALSE)</f>
        <v>1.1582969820271187</v>
      </c>
      <c r="G123" s="145">
        <f>VLOOKUP(G$5,'Trading Comps_Input'!$B$9:$J$188,MATCH($B123,'Trading Comps_Input'!$B$9:$J$9,0),FALSE)</f>
        <v>8.3893463933290349</v>
      </c>
      <c r="H123" s="145">
        <f>VLOOKUP(H$5,'Trading Comps_Input'!$B$9:$J$188,MATCH($B123,'Trading Comps_Input'!$B$9:$J$9,0),FALSE)</f>
        <v>14.305276273264312</v>
      </c>
      <c r="I123" s="145">
        <f>VLOOKUP(I$5,'Trading Comps_Input'!$B$9:$J$188,MATCH($B123,'Trading Comps_Input'!$B$9:$J$9,0),FALSE)</f>
        <v>16.799790050560517</v>
      </c>
      <c r="J123" s="145">
        <f>VLOOKUP(J$5,'Trading Comps_Input'!$B$9:$J$188,MATCH($B123,'Trading Comps_Input'!$B$9:$J$9,0),FALSE)</f>
        <v>1.092154038309604</v>
      </c>
      <c r="K123" s="145">
        <f>VLOOKUP(K$5,'Trading Comps_Input'!$B$9:$J$188,MATCH($B123,'Trading Comps_Input'!$B$9:$J$9,0),FALSE)</f>
        <v>7.292628328870272</v>
      </c>
      <c r="L123" s="145">
        <f>VLOOKUP(L$5,'Trading Comps_Input'!$B$9:$J$188,MATCH($B123,'Trading Comps_Input'!$B$9:$J$9,0),FALSE)</f>
        <v>12.414198571797328</v>
      </c>
      <c r="M123" s="145">
        <f>VLOOKUP(M$5,'Trading Comps_Input'!$B$9:$J$188,MATCH($B123,'Trading Comps_Input'!$B$9:$J$9,0),FALSE)</f>
        <v>14.971607150940935</v>
      </c>
      <c r="N123" s="145">
        <f>VLOOKUP(N$5,'Trading Comps_Input'!$B$9:$J$188,MATCH($B123,'Trading Comps_Input'!$B$9:$J$9,0),FALSE)</f>
        <v>4.2776020431259809</v>
      </c>
      <c r="T123" s="30"/>
    </row>
    <row r="124" spans="1:20">
      <c r="B124" s="30" t="s">
        <v>116</v>
      </c>
      <c r="C124" s="30" t="str">
        <f t="shared" si="1"/>
        <v>SEHK:168</v>
      </c>
      <c r="F124" s="145">
        <f>VLOOKUP(F$5,'Trading Comps_Input'!$B$9:$J$188,MATCH($B124,'Trading Comps_Input'!$B$9:$J$9,0),FALSE)</f>
        <v>0.99238445632229988</v>
      </c>
      <c r="G124" s="145">
        <f>VLOOKUP(G$5,'Trading Comps_Input'!$B$9:$J$188,MATCH($B124,'Trading Comps_Input'!$B$9:$J$9,0),FALSE)</f>
        <v>8.6610146963532397</v>
      </c>
      <c r="H124" s="145">
        <f>VLOOKUP(H$5,'Trading Comps_Input'!$B$9:$J$188,MATCH($B124,'Trading Comps_Input'!$B$9:$J$9,0),FALSE)</f>
        <v>11.763696717283294</v>
      </c>
      <c r="I124" s="145">
        <f>VLOOKUP(I$5,'Trading Comps_Input'!$B$9:$J$188,MATCH($B124,'Trading Comps_Input'!$B$9:$J$9,0),FALSE)</f>
        <v>17.345550093695589</v>
      </c>
      <c r="J124" s="145">
        <f>VLOOKUP(J$5,'Trading Comps_Input'!$B$9:$J$188,MATCH($B124,'Trading Comps_Input'!$B$9:$J$9,0),FALSE)</f>
        <v>0.87156702893810367</v>
      </c>
      <c r="K124" s="145">
        <f>VLOOKUP(K$5,'Trading Comps_Input'!$B$9:$J$188,MATCH($B124,'Trading Comps_Input'!$B$9:$J$9,0),FALSE)</f>
        <v>7.1950477009669385</v>
      </c>
      <c r="L124" s="145">
        <f>VLOOKUP(L$5,'Trading Comps_Input'!$B$9:$J$188,MATCH($B124,'Trading Comps_Input'!$B$9:$J$9,0),FALSE)</f>
        <v>9.388788356928071</v>
      </c>
      <c r="M124" s="145">
        <f>VLOOKUP(M$5,'Trading Comps_Input'!$B$9:$J$188,MATCH($B124,'Trading Comps_Input'!$B$9:$J$9,0),FALSE)</f>
        <v>14.585374444972516</v>
      </c>
      <c r="N124" s="145">
        <f>VLOOKUP(N$5,'Trading Comps_Input'!$B$9:$J$188,MATCH($B124,'Trading Comps_Input'!$B$9:$J$9,0),FALSE)</f>
        <v>4.167249841420718</v>
      </c>
      <c r="T124" s="30"/>
    </row>
    <row r="125" spans="1:20">
      <c r="B125" s="30" t="s">
        <v>117</v>
      </c>
      <c r="C125" s="30" t="str">
        <f t="shared" si="1"/>
        <v>CPSE:CARL B</v>
      </c>
      <c r="F125" s="145">
        <f>VLOOKUP(F$5,'Trading Comps_Input'!$B$9:$J$188,MATCH($B125,'Trading Comps_Input'!$B$9:$J$9,0),FALSE)</f>
        <v>1.714056005670237</v>
      </c>
      <c r="G125" s="145">
        <f>VLOOKUP(G$5,'Trading Comps_Input'!$B$9:$J$188,MATCH($B125,'Trading Comps_Input'!$B$9:$J$9,0),FALSE)</f>
        <v>7.6489121311121968</v>
      </c>
      <c r="H125" s="145">
        <f>VLOOKUP(H$5,'Trading Comps_Input'!$B$9:$J$188,MATCH($B125,'Trading Comps_Input'!$B$9:$J$9,0),FALSE)</f>
        <v>10.671427314815476</v>
      </c>
      <c r="I125" s="145">
        <f>VLOOKUP(I$5,'Trading Comps_Input'!$B$9:$J$188,MATCH($B125,'Trading Comps_Input'!$B$9:$J$9,0),FALSE)</f>
        <v>11.927025443351583</v>
      </c>
      <c r="J125" s="145">
        <f>VLOOKUP(J$5,'Trading Comps_Input'!$B$9:$J$188,MATCH($B125,'Trading Comps_Input'!$B$9:$J$9,0),FALSE)</f>
        <v>1.6928960521261638</v>
      </c>
      <c r="K125" s="145">
        <f>VLOOKUP(K$5,'Trading Comps_Input'!$B$9:$J$188,MATCH($B125,'Trading Comps_Input'!$B$9:$J$9,0),FALSE)</f>
        <v>7.5289213416111691</v>
      </c>
      <c r="L125" s="145">
        <f>VLOOKUP(L$5,'Trading Comps_Input'!$B$9:$J$188,MATCH($B125,'Trading Comps_Input'!$B$9:$J$9,0),FALSE)</f>
        <v>10.428946602147199</v>
      </c>
      <c r="M125" s="145">
        <f>VLOOKUP(M$5,'Trading Comps_Input'!$B$9:$J$188,MATCH($B125,'Trading Comps_Input'!$B$9:$J$9,0),FALSE)</f>
        <v>11.967421783487254</v>
      </c>
      <c r="N125" s="145">
        <f>VLOOKUP(N$5,'Trading Comps_Input'!$B$9:$J$188,MATCH($B125,'Trading Comps_Input'!$B$9:$J$9,0),FALSE)</f>
        <v>3.9891405944957512</v>
      </c>
      <c r="T125" s="30"/>
    </row>
    <row r="126" spans="1:20">
      <c r="B126" s="30" t="s">
        <v>118</v>
      </c>
      <c r="C126" s="30" t="str">
        <f t="shared" si="1"/>
        <v>ENXTAM:HEIA</v>
      </c>
      <c r="F126" s="145">
        <f>VLOOKUP(F$5,'Trading Comps_Input'!$B$9:$J$188,MATCH($B126,'Trading Comps_Input'!$B$9:$J$9,0),FALSE)</f>
        <v>1.7664231506639005</v>
      </c>
      <c r="G126" s="145">
        <f>VLOOKUP(G$5,'Trading Comps_Input'!$B$9:$J$188,MATCH($B126,'Trading Comps_Input'!$B$9:$J$9,0),FALSE)</f>
        <v>9.718632761193863</v>
      </c>
      <c r="H126" s="145">
        <f>VLOOKUP(H$5,'Trading Comps_Input'!$B$9:$J$188,MATCH($B126,'Trading Comps_Input'!$B$9:$J$9,0),FALSE)</f>
        <v>14.613498445644344</v>
      </c>
      <c r="I126" s="145">
        <f>VLOOKUP(I$5,'Trading Comps_Input'!$B$9:$J$188,MATCH($B126,'Trading Comps_Input'!$B$9:$J$9,0),FALSE)</f>
        <v>18.856835921306704</v>
      </c>
      <c r="J126" s="145">
        <f>VLOOKUP(J$5,'Trading Comps_Input'!$B$9:$J$188,MATCH($B126,'Trading Comps_Input'!$B$9:$J$9,0),FALSE)</f>
        <v>1.5904554689420241</v>
      </c>
      <c r="K126" s="145">
        <f>VLOOKUP(K$5,'Trading Comps_Input'!$B$9:$J$188,MATCH($B126,'Trading Comps_Input'!$B$9:$J$9,0),FALSE)</f>
        <v>8.1494304887057627</v>
      </c>
      <c r="L126" s="145">
        <f>VLOOKUP(L$5,'Trading Comps_Input'!$B$9:$J$188,MATCH($B126,'Trading Comps_Input'!$B$9:$J$9,0),FALSE)</f>
        <v>13.07391998492567</v>
      </c>
      <c r="M126" s="145">
        <f>VLOOKUP(M$5,'Trading Comps_Input'!$B$9:$J$188,MATCH($B126,'Trading Comps_Input'!$B$9:$J$9,0),FALSE)</f>
        <v>13.207749677551657</v>
      </c>
      <c r="N126" s="145">
        <f>VLOOKUP(N$5,'Trading Comps_Input'!$B$9:$J$188,MATCH($B126,'Trading Comps_Input'!$B$9:$J$9,0),FALSE)</f>
        <v>3.7736427650147588</v>
      </c>
      <c r="T126" s="30"/>
    </row>
    <row r="127" spans="1:20">
      <c r="B127" s="30" t="s">
        <v>119</v>
      </c>
      <c r="C127" s="30" t="str">
        <f t="shared" si="1"/>
        <v>NYSE: TAP</v>
      </c>
      <c r="F127" s="145">
        <f>VLOOKUP(F$5,'Trading Comps_Input'!$B$9:$J$188,MATCH($B127,'Trading Comps_Input'!$B$9:$J$9,0),FALSE)</f>
        <v>1.7233293760717585</v>
      </c>
      <c r="G127" s="145">
        <f>VLOOKUP(G$5,'Trading Comps_Input'!$B$9:$J$188,MATCH($B127,'Trading Comps_Input'!$B$9:$J$9,0),FALSE)</f>
        <v>8.2739455351488296</v>
      </c>
      <c r="H127" s="145">
        <f>VLOOKUP(H$5,'Trading Comps_Input'!$B$9:$J$188,MATCH($B127,'Trading Comps_Input'!$B$9:$J$9,0),FALSE)</f>
        <v>12.336694995278565</v>
      </c>
      <c r="I127" s="145">
        <f>VLOOKUP(I$5,'Trading Comps_Input'!$B$9:$J$188,MATCH($B127,'Trading Comps_Input'!$B$9:$J$9,0),FALSE)</f>
        <v>23.012314328451676</v>
      </c>
      <c r="J127" s="145">
        <f>VLOOKUP(J$5,'Trading Comps_Input'!$B$9:$J$188,MATCH($B127,'Trading Comps_Input'!$B$9:$J$9,0),FALSE)</f>
        <v>1.5497759054587683</v>
      </c>
      <c r="K127" s="145">
        <f>VLOOKUP(K$5,'Trading Comps_Input'!$B$9:$J$188,MATCH($B127,'Trading Comps_Input'!$B$9:$J$9,0),FALSE)</f>
        <v>8.1776347367853468</v>
      </c>
      <c r="L127" s="145">
        <f>VLOOKUP(L$5,'Trading Comps_Input'!$B$9:$J$188,MATCH($B127,'Trading Comps_Input'!$B$9:$J$9,0),FALSE)</f>
        <v>12.26448169233055</v>
      </c>
      <c r="M127" s="145">
        <f>VLOOKUP(M$5,'Trading Comps_Input'!$B$9:$J$188,MATCH($B127,'Trading Comps_Input'!$B$9:$J$9,0),FALSE)</f>
        <v>6.2583544670913041</v>
      </c>
      <c r="N127" s="145">
        <f>VLOOKUP(N$5,'Trading Comps_Input'!$B$9:$J$188,MATCH($B127,'Trading Comps_Input'!$B$9:$J$9,0),FALSE)</f>
        <v>4.1722363113942027</v>
      </c>
      <c r="T127" s="30"/>
    </row>
    <row r="128" spans="1:20">
      <c r="B128" s="30" t="s">
        <v>120</v>
      </c>
      <c r="C128" s="30" t="str">
        <f t="shared" si="1"/>
        <v>NYSE: SAM</v>
      </c>
      <c r="F128" s="145">
        <f>VLOOKUP(F$5,'Trading Comps_Input'!$B$9:$J$188,MATCH($B128,'Trading Comps_Input'!$B$9:$J$9,0),FALSE)</f>
        <v>1.5663166371523636</v>
      </c>
      <c r="G128" s="145">
        <f>VLOOKUP(G$5,'Trading Comps_Input'!$B$9:$J$188,MATCH($B128,'Trading Comps_Input'!$B$9:$J$9,0),FALSE)</f>
        <v>8.9993551848724369</v>
      </c>
      <c r="H128" s="145">
        <f>VLOOKUP(H$5,'Trading Comps_Input'!$B$9:$J$188,MATCH($B128,'Trading Comps_Input'!$B$9:$J$9,0),FALSE)</f>
        <v>11.751706782357195</v>
      </c>
      <c r="I128" s="145">
        <f>VLOOKUP(I$5,'Trading Comps_Input'!$B$9:$J$188,MATCH($B128,'Trading Comps_Input'!$B$9:$J$9,0),FALSE)</f>
        <v>20.935602796408688</v>
      </c>
      <c r="J128" s="145">
        <f>VLOOKUP(J$5,'Trading Comps_Input'!$B$9:$J$188,MATCH($B128,'Trading Comps_Input'!$B$9:$J$9,0),FALSE)</f>
        <v>1.4569956051206308</v>
      </c>
      <c r="K128" s="145">
        <f>VLOOKUP(K$5,'Trading Comps_Input'!$B$9:$J$188,MATCH($B128,'Trading Comps_Input'!$B$9:$J$9,0),FALSE)</f>
        <v>6.331760522114533</v>
      </c>
      <c r="L128" s="145">
        <f>VLOOKUP(L$5,'Trading Comps_Input'!$B$9:$J$188,MATCH($B128,'Trading Comps_Input'!$B$9:$J$9,0),FALSE)</f>
        <v>7.7559685052792178</v>
      </c>
      <c r="M128" s="145">
        <f>VLOOKUP(M$5,'Trading Comps_Input'!$B$9:$J$188,MATCH($B128,'Trading Comps_Input'!$B$9:$J$9,0),FALSE)</f>
        <v>13.94975212995663</v>
      </c>
      <c r="N128" s="145">
        <f>VLOOKUP(N$5,'Trading Comps_Input'!$B$9:$J$188,MATCH($B128,'Trading Comps_Input'!$B$9:$J$9,0),FALSE)</f>
        <v>3.985643465701894</v>
      </c>
      <c r="T128" s="30"/>
    </row>
    <row r="129" spans="1:30">
      <c r="F129" s="63"/>
      <c r="G129" s="63"/>
      <c r="H129" s="63"/>
      <c r="I129" s="63"/>
      <c r="J129" s="63"/>
      <c r="K129" s="63"/>
      <c r="L129" s="63"/>
      <c r="M129" s="63"/>
      <c r="N129" s="63"/>
      <c r="T129" s="30"/>
    </row>
    <row r="130" spans="1:30">
      <c r="F130" s="63"/>
      <c r="G130" s="63"/>
      <c r="H130" s="63"/>
      <c r="I130" s="63"/>
      <c r="J130" s="63"/>
      <c r="K130" s="63"/>
      <c r="L130" s="63"/>
      <c r="M130" s="63"/>
      <c r="N130" s="63"/>
      <c r="T130" s="30"/>
    </row>
    <row r="131" spans="1:30">
      <c r="A131" s="30" t="s">
        <v>98</v>
      </c>
      <c r="E131" s="173" t="s">
        <v>239</v>
      </c>
      <c r="F131" s="174">
        <f t="shared" ref="F131:N131" si="2">MAX(F121:F128)</f>
        <v>2.4948077908690007</v>
      </c>
      <c r="G131" s="174">
        <f t="shared" si="2"/>
        <v>10.085686118827006</v>
      </c>
      <c r="H131" s="174">
        <f t="shared" si="2"/>
        <v>14.613498445644344</v>
      </c>
      <c r="I131" s="174">
        <f t="shared" si="2"/>
        <v>23.012314328451676</v>
      </c>
      <c r="J131" s="174">
        <f t="shared" si="2"/>
        <v>2.456033795866027</v>
      </c>
      <c r="K131" s="174">
        <f t="shared" si="2"/>
        <v>11.275388545314426</v>
      </c>
      <c r="L131" s="174">
        <f t="shared" si="2"/>
        <v>17.235949159100024</v>
      </c>
      <c r="M131" s="174">
        <f t="shared" si="2"/>
        <v>24.921900046498095</v>
      </c>
      <c r="N131" s="174">
        <f t="shared" si="2"/>
        <v>9.9687600185992373</v>
      </c>
      <c r="O131" s="242"/>
      <c r="P131" s="242"/>
      <c r="Q131" s="242"/>
      <c r="R131" s="242"/>
      <c r="T131" s="242"/>
      <c r="U131" s="242"/>
      <c r="V131" s="242"/>
      <c r="W131" s="242"/>
    </row>
    <row r="132" spans="1:30">
      <c r="E132" s="173" t="s">
        <v>106</v>
      </c>
      <c r="F132" s="174">
        <f t="shared" ref="F132:N132" si="3">MEDIAN(F121:F128)</f>
        <v>1.714056005670237</v>
      </c>
      <c r="G132" s="174">
        <f t="shared" si="3"/>
        <v>8.6610146963532397</v>
      </c>
      <c r="H132" s="174">
        <f t="shared" si="3"/>
        <v>12.336694995278565</v>
      </c>
      <c r="I132" s="174">
        <f t="shared" si="3"/>
        <v>17.345550093695589</v>
      </c>
      <c r="J132" s="174">
        <f t="shared" si="3"/>
        <v>1.5497759054587683</v>
      </c>
      <c r="K132" s="174">
        <f t="shared" si="3"/>
        <v>7.5289213416111691</v>
      </c>
      <c r="L132" s="174">
        <f t="shared" si="3"/>
        <v>12.26448169233055</v>
      </c>
      <c r="M132" s="174">
        <f t="shared" si="3"/>
        <v>13.94975212995663</v>
      </c>
      <c r="N132" s="174">
        <f t="shared" si="3"/>
        <v>4.167249841420718</v>
      </c>
      <c r="O132" s="242"/>
      <c r="P132" s="242"/>
      <c r="Q132" s="242"/>
      <c r="R132" s="242"/>
      <c r="T132" s="242"/>
      <c r="U132" s="242"/>
      <c r="V132" s="242"/>
      <c r="W132" s="242"/>
    </row>
    <row r="133" spans="1:30">
      <c r="E133" s="173" t="s">
        <v>240</v>
      </c>
      <c r="F133" s="174">
        <f t="shared" ref="F133:N133" si="4">MIN(F121:F128)</f>
        <v>0.99238445632229988</v>
      </c>
      <c r="G133" s="174">
        <f t="shared" si="4"/>
        <v>7.6489121311121968</v>
      </c>
      <c r="H133" s="174">
        <f t="shared" si="4"/>
        <v>10.671427314815476</v>
      </c>
      <c r="I133" s="174">
        <f t="shared" si="4"/>
        <v>11.927025443351583</v>
      </c>
      <c r="J133" s="174">
        <f t="shared" si="4"/>
        <v>0.87156702893810367</v>
      </c>
      <c r="K133" s="174">
        <f t="shared" si="4"/>
        <v>6.331760522114533</v>
      </c>
      <c r="L133" s="174">
        <f t="shared" si="4"/>
        <v>7.7559685052792178</v>
      </c>
      <c r="M133" s="174">
        <f t="shared" si="4"/>
        <v>6.2583544670913041</v>
      </c>
      <c r="N133" s="174">
        <f t="shared" si="4"/>
        <v>3.7736427650147588</v>
      </c>
      <c r="O133" s="242"/>
      <c r="P133" s="242"/>
      <c r="Q133" s="242"/>
      <c r="R133" s="242"/>
      <c r="T133" s="242"/>
      <c r="U133" s="242"/>
      <c r="V133" s="242"/>
      <c r="W133" s="242"/>
    </row>
    <row r="134" spans="1:30">
      <c r="E134" s="173" t="s">
        <v>241</v>
      </c>
      <c r="F134" s="174">
        <f t="shared" ref="F134:N134" si="5">AVERAGE(F121:F128)</f>
        <v>1.630802056968097</v>
      </c>
      <c r="G134" s="174">
        <f t="shared" si="5"/>
        <v>8.825270402976658</v>
      </c>
      <c r="H134" s="174">
        <f t="shared" si="5"/>
        <v>12.77638251402125</v>
      </c>
      <c r="I134" s="174">
        <f>AVERAGE(I121:I128)</f>
        <v>17.777440419905805</v>
      </c>
      <c r="J134" s="174">
        <f t="shared" si="5"/>
        <v>1.5299825563944744</v>
      </c>
      <c r="K134" s="174">
        <f t="shared" si="5"/>
        <v>7.9929730949097779</v>
      </c>
      <c r="L134" s="174">
        <f t="shared" si="5"/>
        <v>11.794607553215437</v>
      </c>
      <c r="M134" s="174">
        <f t="shared" si="5"/>
        <v>14.266022814356916</v>
      </c>
      <c r="N134" s="174">
        <f t="shared" si="5"/>
        <v>4.9048964342503627</v>
      </c>
      <c r="O134" s="242"/>
      <c r="P134" s="242"/>
      <c r="Q134" s="242"/>
      <c r="R134" s="242"/>
      <c r="T134" s="242"/>
      <c r="U134" s="242"/>
      <c r="V134" s="242"/>
      <c r="W134" s="242"/>
    </row>
    <row r="135" spans="1:30">
      <c r="F135" s="145"/>
      <c r="G135" s="145"/>
      <c r="H135" s="145"/>
      <c r="I135" s="145"/>
      <c r="J135" s="145"/>
      <c r="K135" s="145"/>
      <c r="L135" s="145"/>
      <c r="M135" s="145"/>
      <c r="N135" s="145"/>
      <c r="O135" s="242"/>
      <c r="P135" s="242"/>
      <c r="Q135" s="242"/>
      <c r="R135" s="242"/>
      <c r="T135" s="242"/>
      <c r="U135" s="242"/>
      <c r="V135" s="242"/>
      <c r="W135" s="242"/>
    </row>
    <row r="136" spans="1:30">
      <c r="E136" s="173" t="s">
        <v>522</v>
      </c>
      <c r="F136" s="174">
        <f t="shared" ref="F136:N136" si="6">AVERAGE(F122:F128)</f>
        <v>1.630802056968097</v>
      </c>
      <c r="G136" s="174">
        <f t="shared" si="6"/>
        <v>8.825270402976658</v>
      </c>
      <c r="H136" s="174">
        <f t="shared" si="6"/>
        <v>12.77638251402125</v>
      </c>
      <c r="I136" s="174">
        <f t="shared" si="6"/>
        <v>17.777440419905805</v>
      </c>
      <c r="J136" s="174">
        <f t="shared" si="6"/>
        <v>1.5299825563944744</v>
      </c>
      <c r="K136" s="174">
        <f t="shared" si="6"/>
        <v>7.9929730949097779</v>
      </c>
      <c r="L136" s="174">
        <f t="shared" si="6"/>
        <v>11.794607553215437</v>
      </c>
      <c r="M136" s="174">
        <f t="shared" si="6"/>
        <v>14.266022814356916</v>
      </c>
      <c r="N136" s="174">
        <f t="shared" si="6"/>
        <v>4.9048964342503627</v>
      </c>
      <c r="O136" s="242"/>
      <c r="P136" s="242"/>
      <c r="Q136" s="242"/>
      <c r="R136" s="242"/>
      <c r="T136" s="242"/>
      <c r="U136" s="242"/>
      <c r="V136" s="242"/>
      <c r="W136" s="242"/>
    </row>
    <row r="137" spans="1:30">
      <c r="E137" s="173" t="s">
        <v>250</v>
      </c>
      <c r="F137" s="175" t="str">
        <f t="shared" ref="F137:N137" si="7">IF(ISBLANK(F121),"NA",F121)</f>
        <v>NA</v>
      </c>
      <c r="G137" s="175" t="str">
        <f t="shared" si="7"/>
        <v>NA</v>
      </c>
      <c r="H137" s="175" t="str">
        <f t="shared" si="7"/>
        <v>NA</v>
      </c>
      <c r="I137" s="175" t="str">
        <f t="shared" si="7"/>
        <v>NA</v>
      </c>
      <c r="J137" s="175" t="str">
        <f t="shared" si="7"/>
        <v>NA</v>
      </c>
      <c r="K137" s="175" t="str">
        <f t="shared" si="7"/>
        <v>NA</v>
      </c>
      <c r="L137" s="175" t="str">
        <f t="shared" si="7"/>
        <v>NA</v>
      </c>
      <c r="M137" s="175" t="str">
        <f t="shared" si="7"/>
        <v>NA</v>
      </c>
      <c r="N137" s="175" t="str">
        <f t="shared" si="7"/>
        <v>NA</v>
      </c>
      <c r="O137" s="242"/>
      <c r="P137" s="242"/>
      <c r="Q137" s="242"/>
      <c r="R137" s="242"/>
      <c r="T137" s="242"/>
      <c r="U137" s="242"/>
      <c r="V137" s="242"/>
      <c r="W137" s="242"/>
    </row>
    <row r="139" spans="1:30" ht="19.2">
      <c r="A139" s="30" t="s">
        <v>98</v>
      </c>
      <c r="B139" s="157" t="s">
        <v>531</v>
      </c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</row>
    <row r="140" spans="1:30" ht="19.2">
      <c r="B140" s="166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71" t="s">
        <v>534</v>
      </c>
    </row>
    <row r="141" spans="1:30">
      <c r="D141" s="168" t="s">
        <v>239</v>
      </c>
      <c r="E141" s="169"/>
      <c r="F141" s="170"/>
      <c r="G141" s="170"/>
      <c r="H141" s="170"/>
      <c r="I141" s="170"/>
      <c r="J141" s="170"/>
      <c r="K141" s="170"/>
      <c r="L141" s="170"/>
      <c r="M141" s="170"/>
      <c r="N141" s="170"/>
    </row>
    <row r="142" spans="1:30" ht="14.4">
      <c r="D142" s="42" t="s">
        <v>505</v>
      </c>
      <c r="F142" s="103">
        <f>F131*F56</f>
        <v>2036038.0524208113</v>
      </c>
      <c r="G142" s="103">
        <f>G131*G56</f>
        <v>2535898.9783253027</v>
      </c>
      <c r="H142" s="103">
        <f>H131*H56</f>
        <v>2868712.3888754011</v>
      </c>
      <c r="I142" s="103">
        <f>I143+I144</f>
        <v>3446151.1365416404</v>
      </c>
      <c r="J142" s="103">
        <f>J131*J56</f>
        <v>2064526.0261164755</v>
      </c>
      <c r="K142" s="103">
        <f>K131*K56</f>
        <v>2920083.3075774349</v>
      </c>
      <c r="L142" s="103">
        <f>L131*L56</f>
        <v>3485019.7235637605</v>
      </c>
      <c r="M142" s="103">
        <f>M143+M144</f>
        <v>3809213.9876763937</v>
      </c>
      <c r="N142" s="103">
        <f>N143+N144</f>
        <v>3809213.9876763937</v>
      </c>
      <c r="V142" s="103"/>
      <c r="W142" s="243"/>
      <c r="X142" s="147"/>
      <c r="Y142" s="244"/>
      <c r="Z142" s="105"/>
      <c r="AA142" s="296"/>
      <c r="AB142" s="296"/>
      <c r="AC142" s="296"/>
      <c r="AD142" s="296"/>
    </row>
    <row r="143" spans="1:30" ht="14.4">
      <c r="D143" s="30" t="s">
        <v>184</v>
      </c>
      <c r="F143" s="243">
        <f t="shared" ref="F143:N143" si="8">$O$56</f>
        <v>301945.90825400001</v>
      </c>
      <c r="G143" s="243">
        <f t="shared" si="8"/>
        <v>301945.90825400001</v>
      </c>
      <c r="H143" s="243">
        <f t="shared" si="8"/>
        <v>301945.90825400001</v>
      </c>
      <c r="I143" s="243">
        <f t="shared" si="8"/>
        <v>301945.90825400001</v>
      </c>
      <c r="J143" s="243">
        <f t="shared" si="8"/>
        <v>301945.90825400001</v>
      </c>
      <c r="K143" s="243">
        <f t="shared" si="8"/>
        <v>301945.90825400001</v>
      </c>
      <c r="L143" s="243">
        <f t="shared" si="8"/>
        <v>301945.90825400001</v>
      </c>
      <c r="M143" s="243">
        <f t="shared" si="8"/>
        <v>301945.90825400001</v>
      </c>
      <c r="N143" s="243">
        <f t="shared" si="8"/>
        <v>301945.90825400001</v>
      </c>
      <c r="V143" s="103"/>
      <c r="W143" s="243"/>
      <c r="X143" s="147"/>
      <c r="Y143" s="244"/>
      <c r="Z143" s="105"/>
      <c r="AA143" s="296"/>
      <c r="AB143" s="296"/>
      <c r="AC143" s="296"/>
      <c r="AD143" s="296"/>
    </row>
    <row r="144" spans="1:30" ht="14.4">
      <c r="D144" s="30" t="s">
        <v>506</v>
      </c>
      <c r="F144" s="147">
        <f>F142-F143</f>
        <v>1734092.1441668114</v>
      </c>
      <c r="G144" s="147">
        <f t="shared" ref="G144:L144" si="9">G142-G143</f>
        <v>2233953.0700713028</v>
      </c>
      <c r="H144" s="147">
        <f t="shared" si="9"/>
        <v>2566766.4806214012</v>
      </c>
      <c r="I144" s="147">
        <f>I131*$I$56*$P$56</f>
        <v>3144205.2282876405</v>
      </c>
      <c r="J144" s="147">
        <f t="shared" si="9"/>
        <v>1762580.1178624756</v>
      </c>
      <c r="K144" s="147">
        <f t="shared" si="9"/>
        <v>2618137.399323435</v>
      </c>
      <c r="L144" s="147">
        <f t="shared" si="9"/>
        <v>3183073.8153097606</v>
      </c>
      <c r="M144" s="147">
        <f>M131*$M$56*$P$56</f>
        <v>3507268.0794223938</v>
      </c>
      <c r="N144" s="147">
        <f>100*N131*$N$56*$P$56*$M$56</f>
        <v>3507268.0794223938</v>
      </c>
      <c r="V144" s="103"/>
      <c r="W144" s="243"/>
      <c r="X144" s="147"/>
      <c r="Y144" s="244"/>
      <c r="Z144" s="105"/>
      <c r="AA144" s="296"/>
      <c r="AB144" s="296"/>
      <c r="AC144" s="296"/>
      <c r="AD144" s="296"/>
    </row>
    <row r="145" spans="4:30" ht="14.4">
      <c r="D145" s="30" t="s">
        <v>507</v>
      </c>
      <c r="F145" s="244">
        <f t="shared" ref="F145:N145" si="10">$P$56</f>
        <v>20.611000000000001</v>
      </c>
      <c r="G145" s="244">
        <f t="shared" si="10"/>
        <v>20.611000000000001</v>
      </c>
      <c r="H145" s="244">
        <f t="shared" si="10"/>
        <v>20.611000000000001</v>
      </c>
      <c r="I145" s="244">
        <f t="shared" si="10"/>
        <v>20.611000000000001</v>
      </c>
      <c r="J145" s="244">
        <f t="shared" si="10"/>
        <v>20.611000000000001</v>
      </c>
      <c r="K145" s="244">
        <f t="shared" si="10"/>
        <v>20.611000000000001</v>
      </c>
      <c r="L145" s="244">
        <f t="shared" si="10"/>
        <v>20.611000000000001</v>
      </c>
      <c r="M145" s="244">
        <f t="shared" si="10"/>
        <v>20.611000000000001</v>
      </c>
      <c r="N145" s="244">
        <f t="shared" si="10"/>
        <v>20.611000000000001</v>
      </c>
      <c r="V145" s="103"/>
      <c r="W145" s="243"/>
      <c r="X145" s="147"/>
      <c r="Y145" s="244"/>
      <c r="Z145" s="105"/>
      <c r="AA145" s="296"/>
      <c r="AB145" s="296"/>
      <c r="AC145" s="296"/>
      <c r="AD145" s="296"/>
    </row>
    <row r="146" spans="4:30" ht="14.4">
      <c r="D146" s="32" t="s">
        <v>206</v>
      </c>
      <c r="F146" s="105">
        <f>F144/F145</f>
        <v>84134.30421458499</v>
      </c>
      <c r="G146" s="105">
        <f t="shared" ref="G146:N146" si="11">G144/G145</f>
        <v>108386.44753147846</v>
      </c>
      <c r="H146" s="105">
        <f t="shared" si="11"/>
        <v>124533.81595368499</v>
      </c>
      <c r="I146" s="105">
        <f t="shared" si="11"/>
        <v>152549.86309677552</v>
      </c>
      <c r="J146" s="105">
        <f t="shared" si="11"/>
        <v>85516.477505335773</v>
      </c>
      <c r="K146" s="105">
        <f t="shared" si="11"/>
        <v>127026.21897644147</v>
      </c>
      <c r="L146" s="105">
        <f t="shared" si="11"/>
        <v>154435.68071950707</v>
      </c>
      <c r="M146" s="105">
        <f t="shared" si="11"/>
        <v>170164.8672758427</v>
      </c>
      <c r="N146" s="105">
        <f t="shared" si="11"/>
        <v>170164.8672758427</v>
      </c>
      <c r="T146" s="30"/>
      <c r="V146" s="103"/>
      <c r="W146" s="243"/>
      <c r="X146" s="147"/>
      <c r="Y146" s="244"/>
      <c r="Z146" s="105"/>
      <c r="AA146" s="296"/>
      <c r="AB146" s="296"/>
      <c r="AC146" s="296"/>
      <c r="AD146" s="296"/>
    </row>
    <row r="147" spans="4:30" ht="14.4">
      <c r="F147" s="104"/>
      <c r="G147" s="104"/>
      <c r="H147" s="104"/>
      <c r="I147" s="104"/>
      <c r="J147" s="104"/>
      <c r="K147" s="104"/>
      <c r="L147" s="104"/>
      <c r="M147" s="104"/>
      <c r="N147" s="104"/>
      <c r="T147" s="30"/>
      <c r="V147" s="103"/>
      <c r="W147" s="243"/>
      <c r="X147" s="147"/>
      <c r="Y147" s="244"/>
      <c r="Z147" s="105"/>
      <c r="AA147" s="296"/>
      <c r="AB147" s="296"/>
      <c r="AC147" s="296"/>
      <c r="AD147" s="296"/>
    </row>
    <row r="148" spans="4:30" ht="14.4">
      <c r="D148" s="168" t="s">
        <v>106</v>
      </c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V148" s="103"/>
      <c r="W148" s="243"/>
      <c r="X148" s="147"/>
      <c r="Y148" s="244"/>
      <c r="Z148" s="105"/>
      <c r="AA148" s="296"/>
      <c r="AB148" s="296"/>
      <c r="AC148" s="296"/>
      <c r="AD148" s="296"/>
    </row>
    <row r="149" spans="4:30" ht="14.4">
      <c r="D149" s="42" t="s">
        <v>505</v>
      </c>
      <c r="F149" s="103">
        <f>F132*F56</f>
        <v>1398858.5671000392</v>
      </c>
      <c r="G149" s="103">
        <f>G132*G56</f>
        <v>2177686.085108608</v>
      </c>
      <c r="H149" s="103">
        <f>H132*H56</f>
        <v>2421762.9955187864</v>
      </c>
      <c r="I149" s="103">
        <f>I150+I151</f>
        <v>2671893.0814808956</v>
      </c>
      <c r="J149" s="103">
        <f>J132*J56</f>
        <v>1302731.5409312814</v>
      </c>
      <c r="K149" s="103">
        <f>K132*K56</f>
        <v>1949828.8192328725</v>
      </c>
      <c r="L149" s="103">
        <f>L132*L56</f>
        <v>2479814.7292336519</v>
      </c>
      <c r="M149" s="103">
        <f>M150+M151</f>
        <v>2265099.6112208096</v>
      </c>
      <c r="N149" s="103">
        <f>N150+N151</f>
        <v>1768092.3818900101</v>
      </c>
      <c r="V149" s="103"/>
      <c r="W149" s="243"/>
      <c r="X149" s="147"/>
      <c r="Y149" s="244"/>
      <c r="Z149" s="105"/>
      <c r="AA149" s="296"/>
      <c r="AB149" s="296"/>
      <c r="AC149" s="296"/>
      <c r="AD149" s="296"/>
    </row>
    <row r="150" spans="4:30" ht="14.4">
      <c r="D150" s="30" t="s">
        <v>184</v>
      </c>
      <c r="F150" s="243">
        <f t="shared" ref="F150:N150" si="12">$O$56</f>
        <v>301945.90825400001</v>
      </c>
      <c r="G150" s="243">
        <f t="shared" si="12"/>
        <v>301945.90825400001</v>
      </c>
      <c r="H150" s="243">
        <f t="shared" si="12"/>
        <v>301945.90825400001</v>
      </c>
      <c r="I150" s="243">
        <f t="shared" si="12"/>
        <v>301945.90825400001</v>
      </c>
      <c r="J150" s="243">
        <f t="shared" si="12"/>
        <v>301945.90825400001</v>
      </c>
      <c r="K150" s="243">
        <f t="shared" si="12"/>
        <v>301945.90825400001</v>
      </c>
      <c r="L150" s="243">
        <f t="shared" si="12"/>
        <v>301945.90825400001</v>
      </c>
      <c r="M150" s="243">
        <f t="shared" si="12"/>
        <v>301945.90825400001</v>
      </c>
      <c r="N150" s="243">
        <f t="shared" si="12"/>
        <v>301945.90825400001</v>
      </c>
      <c r="V150" s="103"/>
      <c r="W150" s="243"/>
      <c r="X150" s="147"/>
      <c r="Y150" s="244"/>
      <c r="Z150" s="105"/>
      <c r="AA150" s="296"/>
      <c r="AB150" s="296"/>
      <c r="AC150" s="296"/>
      <c r="AD150" s="296"/>
    </row>
    <row r="151" spans="4:30">
      <c r="D151" s="30" t="s">
        <v>506</v>
      </c>
      <c r="F151" s="147">
        <f>F149-F150</f>
        <v>1096912.6588460393</v>
      </c>
      <c r="G151" s="147">
        <f t="shared" ref="G151:L151" si="13">G149-G150</f>
        <v>1875740.1768546081</v>
      </c>
      <c r="H151" s="147">
        <f t="shared" si="13"/>
        <v>2119817.0872647865</v>
      </c>
      <c r="I151" s="147">
        <f>I132*$I$56*$P$56</f>
        <v>2369947.1732268957</v>
      </c>
      <c r="J151" s="147">
        <f t="shared" si="13"/>
        <v>1000785.6326772814</v>
      </c>
      <c r="K151" s="147">
        <f t="shared" si="13"/>
        <v>1647882.9109788723</v>
      </c>
      <c r="L151" s="147">
        <f t="shared" si="13"/>
        <v>2177868.820979652</v>
      </c>
      <c r="M151" s="147">
        <f>M132*$M$56*$P$56</f>
        <v>1963153.7029668095</v>
      </c>
      <c r="N151" s="147">
        <f>100*$N$132*$N$56*$P$56*$M$56</f>
        <v>1466146.47363601</v>
      </c>
    </row>
    <row r="152" spans="4:30">
      <c r="D152" s="30" t="s">
        <v>507</v>
      </c>
      <c r="F152" s="244">
        <f t="shared" ref="F152:N152" si="14">$P$56</f>
        <v>20.611000000000001</v>
      </c>
      <c r="G152" s="244">
        <f t="shared" si="14"/>
        <v>20.611000000000001</v>
      </c>
      <c r="H152" s="244">
        <f t="shared" si="14"/>
        <v>20.611000000000001</v>
      </c>
      <c r="I152" s="244">
        <f t="shared" si="14"/>
        <v>20.611000000000001</v>
      </c>
      <c r="J152" s="244">
        <f t="shared" si="14"/>
        <v>20.611000000000001</v>
      </c>
      <c r="K152" s="244">
        <f t="shared" si="14"/>
        <v>20.611000000000001</v>
      </c>
      <c r="L152" s="244">
        <f t="shared" si="14"/>
        <v>20.611000000000001</v>
      </c>
      <c r="M152" s="244">
        <f t="shared" si="14"/>
        <v>20.611000000000001</v>
      </c>
      <c r="N152" s="244">
        <f t="shared" si="14"/>
        <v>20.611000000000001</v>
      </c>
    </row>
    <row r="153" spans="4:30" ht="14.4">
      <c r="D153" s="32" t="s">
        <v>206</v>
      </c>
      <c r="F153" s="105">
        <f>F151/F152</f>
        <v>53219.768999371176</v>
      </c>
      <c r="G153" s="105">
        <f t="shared" ref="G153:M153" si="15">G151/G152</f>
        <v>91006.752552258899</v>
      </c>
      <c r="H153" s="105">
        <f t="shared" si="15"/>
        <v>102848.82282590783</v>
      </c>
      <c r="I153" s="105">
        <f t="shared" si="15"/>
        <v>114984.5797499828</v>
      </c>
      <c r="J153" s="105">
        <f t="shared" si="15"/>
        <v>48555.898921802989</v>
      </c>
      <c r="K153" s="105">
        <f t="shared" si="15"/>
        <v>79951.623452470638</v>
      </c>
      <c r="L153" s="105">
        <f t="shared" si="15"/>
        <v>105665.3641734827</v>
      </c>
      <c r="M153" s="105">
        <f t="shared" si="15"/>
        <v>95247.862935656172</v>
      </c>
      <c r="N153" s="105">
        <f>N151/N152</f>
        <v>71134.174646354368</v>
      </c>
    </row>
    <row r="154" spans="4:30">
      <c r="F154" s="104"/>
      <c r="G154" s="104"/>
      <c r="H154" s="104"/>
      <c r="I154" s="104"/>
      <c r="J154" s="104"/>
      <c r="K154" s="104"/>
      <c r="L154" s="104"/>
      <c r="M154" s="104"/>
      <c r="N154" s="104"/>
    </row>
    <row r="155" spans="4:30">
      <c r="D155" s="168" t="s">
        <v>240</v>
      </c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</row>
    <row r="156" spans="4:30">
      <c r="D156" s="42" t="s">
        <v>505</v>
      </c>
      <c r="F156" s="103">
        <f>F133*F56</f>
        <v>809895.06410004501</v>
      </c>
      <c r="G156" s="103">
        <f>G133*G56</f>
        <v>1923207.6261404955</v>
      </c>
      <c r="H156" s="103">
        <f>H133*H56</f>
        <v>2094861.5322239287</v>
      </c>
      <c r="I156" s="103">
        <f>I157+I158</f>
        <v>1931552.3538143546</v>
      </c>
      <c r="J156" s="103">
        <f>J133*J56</f>
        <v>732633.57278568961</v>
      </c>
      <c r="K156" s="103">
        <f>K133*K56</f>
        <v>1639789.8958335931</v>
      </c>
      <c r="L156" s="103">
        <f>L133*L56</f>
        <v>1568216.6944642328</v>
      </c>
      <c r="M156" s="103">
        <f>M157+M158</f>
        <v>1182686.4140415653</v>
      </c>
      <c r="N156" s="103">
        <f>N157+N158</f>
        <v>1629611.2134861415</v>
      </c>
    </row>
    <row r="157" spans="4:30">
      <c r="D157" s="30" t="s">
        <v>184</v>
      </c>
      <c r="F157" s="243">
        <f t="shared" ref="F157:N157" si="16">$O$56</f>
        <v>301945.90825400001</v>
      </c>
      <c r="G157" s="243">
        <f t="shared" si="16"/>
        <v>301945.90825400001</v>
      </c>
      <c r="H157" s="243">
        <f t="shared" si="16"/>
        <v>301945.90825400001</v>
      </c>
      <c r="I157" s="243">
        <f t="shared" si="16"/>
        <v>301945.90825400001</v>
      </c>
      <c r="J157" s="243">
        <f t="shared" si="16"/>
        <v>301945.90825400001</v>
      </c>
      <c r="K157" s="243">
        <f t="shared" si="16"/>
        <v>301945.90825400001</v>
      </c>
      <c r="L157" s="243">
        <f t="shared" si="16"/>
        <v>301945.90825400001</v>
      </c>
      <c r="M157" s="243">
        <f t="shared" si="16"/>
        <v>301945.90825400001</v>
      </c>
      <c r="N157" s="243">
        <f t="shared" si="16"/>
        <v>301945.90825400001</v>
      </c>
    </row>
    <row r="158" spans="4:30">
      <c r="D158" s="30" t="s">
        <v>506</v>
      </c>
      <c r="F158" s="147">
        <f>F156-F157</f>
        <v>507949.155846045</v>
      </c>
      <c r="G158" s="147">
        <f t="shared" ref="G158:L158" si="17">G156-G157</f>
        <v>1621261.7178864954</v>
      </c>
      <c r="H158" s="147">
        <f t="shared" si="17"/>
        <v>1792915.6239699288</v>
      </c>
      <c r="I158" s="147">
        <f>I133*$I$56*$P$56</f>
        <v>1629606.4455603547</v>
      </c>
      <c r="J158" s="147">
        <f t="shared" si="17"/>
        <v>430687.6645316896</v>
      </c>
      <c r="K158" s="147">
        <f t="shared" si="17"/>
        <v>1337843.987579593</v>
      </c>
      <c r="L158" s="147">
        <f t="shared" si="17"/>
        <v>1266270.7862102329</v>
      </c>
      <c r="M158" s="147">
        <f>M133*$M$56*$P$56</f>
        <v>880740.50578756526</v>
      </c>
      <c r="N158" s="147">
        <f>100*N133*$N$56*$P$56*$M$56</f>
        <v>1327665.3052321414</v>
      </c>
    </row>
    <row r="159" spans="4:30">
      <c r="D159" s="30" t="s">
        <v>507</v>
      </c>
      <c r="F159" s="244">
        <f t="shared" ref="F159:N159" si="18">$P$56</f>
        <v>20.611000000000001</v>
      </c>
      <c r="G159" s="244">
        <f t="shared" si="18"/>
        <v>20.611000000000001</v>
      </c>
      <c r="H159" s="244">
        <f t="shared" si="18"/>
        <v>20.611000000000001</v>
      </c>
      <c r="I159" s="244">
        <f t="shared" si="18"/>
        <v>20.611000000000001</v>
      </c>
      <c r="J159" s="244">
        <f t="shared" si="18"/>
        <v>20.611000000000001</v>
      </c>
      <c r="K159" s="244">
        <f t="shared" si="18"/>
        <v>20.611000000000001</v>
      </c>
      <c r="L159" s="244">
        <f t="shared" si="18"/>
        <v>20.611000000000001</v>
      </c>
      <c r="M159" s="244">
        <f t="shared" si="18"/>
        <v>20.611000000000001</v>
      </c>
      <c r="N159" s="244">
        <f t="shared" si="18"/>
        <v>20.611000000000001</v>
      </c>
    </row>
    <row r="160" spans="4:30" ht="14.4">
      <c r="D160" s="102" t="s">
        <v>206</v>
      </c>
      <c r="F160" s="105">
        <f>F158/F159</f>
        <v>24644.566292079227</v>
      </c>
      <c r="G160" s="105">
        <f t="shared" ref="G160:N160" si="19">G158/G159</f>
        <v>78660.022215637058</v>
      </c>
      <c r="H160" s="105">
        <f t="shared" si="19"/>
        <v>86988.288970449212</v>
      </c>
      <c r="I160" s="105">
        <f t="shared" si="19"/>
        <v>79064.88989182256</v>
      </c>
      <c r="J160" s="105">
        <f t="shared" si="19"/>
        <v>20896.010117495007</v>
      </c>
      <c r="K160" s="105">
        <f t="shared" si="19"/>
        <v>64909.222627703311</v>
      </c>
      <c r="L160" s="105">
        <f t="shared" si="19"/>
        <v>61436.649663297889</v>
      </c>
      <c r="M160" s="105">
        <f t="shared" si="19"/>
        <v>42731.575653173801</v>
      </c>
      <c r="N160" s="105">
        <f t="shared" si="19"/>
        <v>64415.375538893859</v>
      </c>
    </row>
    <row r="163" spans="1:16" s="30" customFormat="1" ht="14.4">
      <c r="A163" s="253" t="s">
        <v>842</v>
      </c>
      <c r="B163" s="248"/>
      <c r="C163" s="249"/>
      <c r="D163" s="249"/>
      <c r="E163" s="248"/>
      <c r="F163" s="250"/>
      <c r="G163" s="251"/>
      <c r="H163" s="251"/>
      <c r="I163" s="251"/>
      <c r="J163" s="250"/>
      <c r="K163" s="251"/>
      <c r="L163" s="251"/>
      <c r="M163" s="251"/>
      <c r="N163" s="248"/>
      <c r="O163" s="248"/>
      <c r="P163" s="248"/>
    </row>
    <row r="166" spans="1:16">
      <c r="F166" s="172" t="s">
        <v>536</v>
      </c>
      <c r="G166" s="172"/>
      <c r="H166" s="172"/>
      <c r="I166" s="172"/>
      <c r="J166" s="172" t="s">
        <v>199</v>
      </c>
      <c r="K166" s="172"/>
      <c r="L166" s="172"/>
      <c r="M166" s="172"/>
    </row>
    <row r="167" spans="1:16" ht="14.4" thickBot="1">
      <c r="D167" s="30" t="s">
        <v>846</v>
      </c>
      <c r="F167" s="60" t="s">
        <v>233</v>
      </c>
      <c r="G167" s="60" t="s">
        <v>234</v>
      </c>
      <c r="H167" s="60" t="s">
        <v>235</v>
      </c>
      <c r="I167" s="60" t="s">
        <v>236</v>
      </c>
      <c r="J167" s="60" t="s">
        <v>233</v>
      </c>
      <c r="K167" s="60" t="s">
        <v>234</v>
      </c>
      <c r="L167" s="60" t="s">
        <v>235</v>
      </c>
      <c r="M167" s="60" t="s">
        <v>237</v>
      </c>
      <c r="N167" s="60" t="s">
        <v>238</v>
      </c>
    </row>
    <row r="168" spans="1:16">
      <c r="D168" s="30" t="s">
        <v>843</v>
      </c>
      <c r="F168" s="286">
        <f>+F142</f>
        <v>2036038.0524208113</v>
      </c>
      <c r="G168" s="286">
        <f t="shared" ref="G168:N168" si="20">+G142</f>
        <v>2535898.9783253027</v>
      </c>
      <c r="H168" s="286">
        <f t="shared" si="20"/>
        <v>2868712.3888754011</v>
      </c>
      <c r="I168" s="286">
        <f t="shared" si="20"/>
        <v>3446151.1365416404</v>
      </c>
      <c r="J168" s="286">
        <f t="shared" si="20"/>
        <v>2064526.0261164755</v>
      </c>
      <c r="K168" s="286">
        <f t="shared" si="20"/>
        <v>2920083.3075774349</v>
      </c>
      <c r="L168" s="286">
        <f t="shared" si="20"/>
        <v>3485019.7235637605</v>
      </c>
      <c r="M168" s="286">
        <f t="shared" si="20"/>
        <v>3809213.9876763937</v>
      </c>
      <c r="N168" s="286">
        <f t="shared" si="20"/>
        <v>3809213.9876763937</v>
      </c>
    </row>
    <row r="169" spans="1:16">
      <c r="D169" s="30" t="s">
        <v>845</v>
      </c>
      <c r="F169" s="287">
        <f>+F149</f>
        <v>1398858.5671000392</v>
      </c>
      <c r="G169" s="287">
        <f t="shared" ref="G169:N169" si="21">+G149</f>
        <v>2177686.085108608</v>
      </c>
      <c r="H169" s="287">
        <f t="shared" si="21"/>
        <v>2421762.9955187864</v>
      </c>
      <c r="I169" s="287">
        <f t="shared" si="21"/>
        <v>2671893.0814808956</v>
      </c>
      <c r="J169" s="287">
        <f t="shared" si="21"/>
        <v>1302731.5409312814</v>
      </c>
      <c r="K169" s="287">
        <f t="shared" si="21"/>
        <v>1949828.8192328725</v>
      </c>
      <c r="L169" s="287">
        <f t="shared" si="21"/>
        <v>2479814.7292336519</v>
      </c>
      <c r="M169" s="287">
        <f t="shared" si="21"/>
        <v>2265099.6112208096</v>
      </c>
      <c r="N169" s="287">
        <f t="shared" si="21"/>
        <v>1768092.3818900101</v>
      </c>
    </row>
    <row r="170" spans="1:16">
      <c r="D170" s="30" t="s">
        <v>844</v>
      </c>
      <c r="F170" s="287">
        <f>+F156</f>
        <v>809895.06410004501</v>
      </c>
      <c r="G170" s="287">
        <f t="shared" ref="G170:N170" si="22">+G156</f>
        <v>1923207.6261404955</v>
      </c>
      <c r="H170" s="287">
        <f t="shared" si="22"/>
        <v>2094861.5322239287</v>
      </c>
      <c r="I170" s="287">
        <f t="shared" si="22"/>
        <v>1931552.3538143546</v>
      </c>
      <c r="J170" s="287">
        <f t="shared" si="22"/>
        <v>732633.57278568961</v>
      </c>
      <c r="K170" s="287">
        <f t="shared" si="22"/>
        <v>1639789.8958335931</v>
      </c>
      <c r="L170" s="287">
        <f t="shared" si="22"/>
        <v>1568216.6944642328</v>
      </c>
      <c r="M170" s="287">
        <f t="shared" si="22"/>
        <v>1182686.4140415653</v>
      </c>
      <c r="N170" s="287">
        <f t="shared" si="22"/>
        <v>1629611.2134861415</v>
      </c>
    </row>
    <row r="171" spans="1:16">
      <c r="F171" s="287"/>
      <c r="G171" s="287"/>
      <c r="H171" s="287"/>
      <c r="I171" s="287"/>
      <c r="J171" s="287"/>
      <c r="K171" s="287"/>
      <c r="L171" s="287"/>
      <c r="M171" s="287"/>
      <c r="N171" s="287"/>
    </row>
    <row r="172" spans="1:16" outlineLevel="1">
      <c r="D172" s="267" t="s">
        <v>847</v>
      </c>
    </row>
    <row r="173" spans="1:16" ht="14.4" outlineLevel="1">
      <c r="C173" s="269"/>
      <c r="D173" s="268">
        <v>1</v>
      </c>
      <c r="F173" s="146">
        <f>CHOOSE($D$173,F168,F169,F170)</f>
        <v>2036038.0524208113</v>
      </c>
      <c r="G173" s="146">
        <f>CHOOSE($D$173,G168,G169,G170)</f>
        <v>2535898.9783253027</v>
      </c>
      <c r="H173" s="146">
        <f t="shared" ref="H173:N173" si="23">CHOOSE($D$173,H168,H169,H170)</f>
        <v>2868712.3888754011</v>
      </c>
      <c r="I173" s="146">
        <f t="shared" si="23"/>
        <v>3446151.1365416404</v>
      </c>
      <c r="J173" s="146">
        <f t="shared" si="23"/>
        <v>2064526.0261164755</v>
      </c>
      <c r="K173" s="146">
        <f t="shared" si="23"/>
        <v>2920083.3075774349</v>
      </c>
      <c r="L173" s="146">
        <f t="shared" si="23"/>
        <v>3485019.7235637605</v>
      </c>
      <c r="M173" s="146">
        <f t="shared" si="23"/>
        <v>3809213.9876763937</v>
      </c>
      <c r="N173" s="146">
        <f t="shared" si="23"/>
        <v>3809213.9876763937</v>
      </c>
    </row>
    <row r="174" spans="1:16" ht="14.4" outlineLevel="1">
      <c r="D174" s="288"/>
    </row>
    <row r="175" spans="1:16" ht="14.4" outlineLevel="1" collapsed="1">
      <c r="D175" s="288"/>
    </row>
    <row r="176" spans="1:16" outlineLevel="1">
      <c r="D176" s="267" t="s">
        <v>848</v>
      </c>
    </row>
    <row r="177" spans="1:14" outlineLevel="1">
      <c r="D177" s="268" t="s">
        <v>239</v>
      </c>
      <c r="F177" s="146">
        <f t="shared" ref="F177:K177" ca="1" si="24">OFFSET(F167,1,0)</f>
        <v>2036038.0524208113</v>
      </c>
      <c r="G177" s="146">
        <f t="shared" ca="1" si="24"/>
        <v>2535898.9783253027</v>
      </c>
      <c r="H177" s="146">
        <f t="shared" ca="1" si="24"/>
        <v>2868712.3888754011</v>
      </c>
      <c r="I177" s="146">
        <f t="shared" ca="1" si="24"/>
        <v>3446151.1365416404</v>
      </c>
      <c r="J177" s="146">
        <f t="shared" ca="1" si="24"/>
        <v>2064526.0261164755</v>
      </c>
      <c r="K177" s="146">
        <f t="shared" ca="1" si="24"/>
        <v>2920083.3075774349</v>
      </c>
    </row>
    <row r="178" spans="1:14" ht="14.4" outlineLevel="1">
      <c r="D178" s="288"/>
    </row>
    <row r="179" spans="1:14">
      <c r="F179" s="48"/>
      <c r="G179" s="48"/>
      <c r="H179" s="48"/>
      <c r="I179" s="48"/>
      <c r="J179" s="48"/>
      <c r="K179" s="48"/>
      <c r="L179" s="48"/>
      <c r="M179" s="48"/>
      <c r="N179" s="48"/>
    </row>
    <row r="180" spans="1:14">
      <c r="F180" s="146">
        <f t="shared" ref="F180:N180" ca="1" si="25">OFFSET(F167,MATCH($D$177,$D$168:$D$170,0),0)</f>
        <v>2036038.0524208113</v>
      </c>
      <c r="G180" s="146">
        <f t="shared" ca="1" si="25"/>
        <v>2535898.9783253027</v>
      </c>
      <c r="H180" s="146">
        <f t="shared" ca="1" si="25"/>
        <v>2868712.3888754011</v>
      </c>
      <c r="I180" s="146">
        <f t="shared" ca="1" si="25"/>
        <v>3446151.1365416404</v>
      </c>
      <c r="J180" s="146">
        <f t="shared" ca="1" si="25"/>
        <v>2064526.0261164755</v>
      </c>
      <c r="K180" s="146">
        <f t="shared" ca="1" si="25"/>
        <v>2920083.3075774349</v>
      </c>
      <c r="L180" s="146">
        <f t="shared" ca="1" si="25"/>
        <v>3485019.7235637605</v>
      </c>
      <c r="M180" s="146">
        <f t="shared" ca="1" si="25"/>
        <v>3809213.9876763937</v>
      </c>
      <c r="N180" s="146">
        <f t="shared" ca="1" si="25"/>
        <v>3809213.9876763937</v>
      </c>
    </row>
    <row r="189" spans="1:14" ht="14.4">
      <c r="E189" s="171" t="s">
        <v>533</v>
      </c>
    </row>
    <row r="190" spans="1:14" ht="14.4" thickBot="1">
      <c r="A190" s="30" t="s">
        <v>98</v>
      </c>
      <c r="B190" s="100" t="s">
        <v>508</v>
      </c>
      <c r="C190" s="149" t="s">
        <v>509</v>
      </c>
      <c r="D190" s="149" t="s">
        <v>510</v>
      </c>
      <c r="E190" s="149" t="s">
        <v>511</v>
      </c>
      <c r="G190" s="100" t="s">
        <v>532</v>
      </c>
      <c r="H190" s="100"/>
      <c r="I190" s="100"/>
      <c r="J190" s="100"/>
      <c r="K190" s="100"/>
      <c r="L190" s="100"/>
    </row>
    <row r="191" spans="1:14">
      <c r="B191" s="30" t="s">
        <v>512</v>
      </c>
      <c r="C191" s="146">
        <f>(G156)/1000</f>
        <v>1923.2076261404954</v>
      </c>
      <c r="D191" s="146">
        <f>E191-C191</f>
        <v>945.50476273490585</v>
      </c>
      <c r="E191" s="146">
        <f>(H142)/1000</f>
        <v>2868.7123888754013</v>
      </c>
    </row>
    <row r="192" spans="1:14">
      <c r="B192" s="30" t="s">
        <v>513</v>
      </c>
      <c r="C192" s="146">
        <f>(H156)/1000</f>
        <v>2094.8615322239289</v>
      </c>
      <c r="D192" s="146">
        <f t="shared" ref="D192:D197" si="26">E192-C192</f>
        <v>773.85085665147244</v>
      </c>
      <c r="E192" s="146">
        <f>(H142)/1000</f>
        <v>2868.7123888754013</v>
      </c>
    </row>
    <row r="193" spans="2:14">
      <c r="B193" s="30" t="s">
        <v>514</v>
      </c>
      <c r="C193" s="146">
        <f>(I156)/1000</f>
        <v>1931.5523538143545</v>
      </c>
      <c r="D193" s="146">
        <f t="shared" si="26"/>
        <v>1514.5987827272859</v>
      </c>
      <c r="E193" s="146">
        <f>(I142)/1000</f>
        <v>3446.1511365416404</v>
      </c>
    </row>
    <row r="194" spans="2:14">
      <c r="B194" s="30" t="s">
        <v>515</v>
      </c>
      <c r="C194" s="146">
        <f>(K156)/1000</f>
        <v>1639.7898958335932</v>
      </c>
      <c r="D194" s="146">
        <f t="shared" si="26"/>
        <v>1280.2934117438417</v>
      </c>
      <c r="E194" s="146">
        <f>(K142)/1000</f>
        <v>2920.0833075774349</v>
      </c>
    </row>
    <row r="195" spans="2:14">
      <c r="B195" s="30" t="s">
        <v>516</v>
      </c>
      <c r="C195" s="146">
        <f>(L156)/1000</f>
        <v>1568.2166944642327</v>
      </c>
      <c r="D195" s="146">
        <f t="shared" si="26"/>
        <v>1916.803029099528</v>
      </c>
      <c r="E195" s="146">
        <f>(L142)/1000</f>
        <v>3485.0197235637606</v>
      </c>
    </row>
    <row r="196" spans="2:14">
      <c r="B196" s="30" t="s">
        <v>517</v>
      </c>
      <c r="C196" s="146">
        <f>(M156)/1000</f>
        <v>1182.6864140415653</v>
      </c>
      <c r="D196" s="146">
        <f t="shared" si="26"/>
        <v>2626.5275736348285</v>
      </c>
      <c r="E196" s="146">
        <f>(M142)/1000</f>
        <v>3809.2139876763936</v>
      </c>
    </row>
    <row r="197" spans="2:14">
      <c r="B197" s="30" t="s">
        <v>518</v>
      </c>
      <c r="C197" s="146">
        <f>(N156)/1000</f>
        <v>1629.6112134861414</v>
      </c>
      <c r="D197" s="146">
        <f t="shared" si="26"/>
        <v>2179.6027741902521</v>
      </c>
      <c r="E197" s="146">
        <f>(N142)/1000</f>
        <v>3809.2139876763936</v>
      </c>
    </row>
    <row r="205" spans="2:14">
      <c r="N205" s="48" t="s">
        <v>539</v>
      </c>
    </row>
    <row r="216" spans="1:30" s="30" customFormat="1">
      <c r="A216" s="30" t="s">
        <v>98</v>
      </c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</row>
  </sheetData>
  <phoneticPr fontId="22" type="noConversion"/>
  <dataValidations disablePrompts="1" count="1">
    <dataValidation type="list" allowBlank="1" showInputMessage="1" showErrorMessage="1" sqref="D177" xr:uid="{6F2E97B9-37C4-4B37-9D2C-C8FA7F074E2C}">
      <formula1>$D$168:$D$170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2B2B2"/>
    <outlinePr summaryBelow="0" summaryRight="0"/>
    <pageSetUpPr autoPageBreaks="0"/>
  </sheetPr>
  <dimension ref="A1:IK45"/>
  <sheetViews>
    <sheetView showGridLines="0" workbookViewId="0">
      <pane xSplit="1" ySplit="13" topLeftCell="B14" activePane="bottomRight" state="frozen"/>
      <selection activeCell="O33" sqref="O33"/>
      <selection pane="topRight" activeCell="O33" sqref="O33"/>
      <selection pane="bottomLeft" activeCell="O33" sqref="O33"/>
      <selection pane="bottomRight"/>
    </sheetView>
  </sheetViews>
  <sheetFormatPr defaultRowHeight="10.199999999999999" outlineLevelCol="1"/>
  <cols>
    <col min="1" max="1" width="32.77734375" customWidth="1"/>
    <col min="2" max="4" width="12.77734375" customWidth="1"/>
    <col min="5" max="8" width="12.77734375" customWidth="1" outlineLevel="1"/>
    <col min="9" max="19" width="10.77734375" customWidth="1"/>
    <col min="20" max="22" width="11.77734375" customWidth="1"/>
  </cols>
  <sheetData>
    <row r="1" spans="1:245">
      <c r="B1" s="3"/>
      <c r="C1" s="2"/>
      <c r="F1" s="2"/>
      <c r="H1" s="3"/>
    </row>
    <row r="2" spans="1:245">
      <c r="B2" s="3"/>
      <c r="C2" s="2"/>
      <c r="F2" s="2"/>
      <c r="H2" s="3"/>
    </row>
    <row r="3" spans="1:245">
      <c r="B3" s="3"/>
      <c r="C3" s="2"/>
      <c r="F3" s="2"/>
      <c r="H3" s="3"/>
    </row>
    <row r="4" spans="1:245" ht="16.2">
      <c r="A4" s="1" t="s">
        <v>2</v>
      </c>
      <c r="B4" s="3"/>
      <c r="C4" s="2"/>
      <c r="F4" s="2"/>
      <c r="H4" s="3"/>
    </row>
    <row r="5" spans="1:245">
      <c r="A5" s="6" t="s">
        <v>101</v>
      </c>
      <c r="B5" s="3"/>
      <c r="C5" s="2"/>
    </row>
    <row r="6" spans="1:245">
      <c r="A6" s="6"/>
      <c r="B6" s="2" t="s">
        <v>540</v>
      </c>
      <c r="C6" t="s">
        <v>541</v>
      </c>
      <c r="D6" s="3"/>
      <c r="E6" s="2" t="s">
        <v>542</v>
      </c>
      <c r="F6" t="s">
        <v>543</v>
      </c>
    </row>
    <row r="7" spans="1:245">
      <c r="A7" s="6"/>
      <c r="B7" s="2" t="s">
        <v>544</v>
      </c>
      <c r="C7" t="s">
        <v>545</v>
      </c>
      <c r="D7" s="3"/>
      <c r="E7" s="2" t="s">
        <v>546</v>
      </c>
      <c r="F7" t="s">
        <v>547</v>
      </c>
    </row>
    <row r="8" spans="1:245">
      <c r="A8" s="6"/>
      <c r="B8" s="2" t="s">
        <v>548</v>
      </c>
      <c r="C8" t="s">
        <v>549</v>
      </c>
      <c r="D8" s="3"/>
      <c r="E8" s="2" t="s">
        <v>550</v>
      </c>
      <c r="F8" t="s">
        <v>551</v>
      </c>
    </row>
    <row r="9" spans="1:245">
      <c r="A9" s="6"/>
      <c r="B9" s="2" t="s">
        <v>552</v>
      </c>
      <c r="C9" t="s">
        <v>553</v>
      </c>
      <c r="D9" s="3"/>
      <c r="E9" s="2" t="s">
        <v>554</v>
      </c>
      <c r="F9" s="180" t="s">
        <v>555</v>
      </c>
    </row>
    <row r="10" spans="1:245">
      <c r="A10" s="6"/>
      <c r="B10" s="2" t="s">
        <v>556</v>
      </c>
      <c r="C10" t="s">
        <v>557</v>
      </c>
      <c r="D10" s="3"/>
      <c r="E10" s="181"/>
      <c r="F10" s="181"/>
    </row>
    <row r="11" spans="1:245">
      <c r="A11" s="3"/>
    </row>
    <row r="12" spans="1:245">
      <c r="A12" s="177" t="s">
        <v>3</v>
      </c>
      <c r="B12" s="177"/>
      <c r="C12" s="177"/>
      <c r="D12" s="177"/>
      <c r="E12" s="177"/>
      <c r="F12" s="177"/>
      <c r="G12" s="177"/>
      <c r="H12" s="17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</row>
    <row r="13" spans="1:245">
      <c r="A13" s="178" t="s">
        <v>103</v>
      </c>
      <c r="B13" s="179">
        <v>39447</v>
      </c>
      <c r="C13" s="179">
        <f>+B13+366</f>
        <v>39813</v>
      </c>
      <c r="D13" s="179">
        <f>+C13+365</f>
        <v>40178</v>
      </c>
      <c r="E13" s="179">
        <f>+D13+365</f>
        <v>40543</v>
      </c>
      <c r="F13" s="179">
        <f>+E13+365</f>
        <v>40908</v>
      </c>
      <c r="G13" s="179">
        <f>+F13+366</f>
        <v>41274</v>
      </c>
      <c r="H13" s="179">
        <f>+G13+365</f>
        <v>41639</v>
      </c>
    </row>
    <row r="14" spans="1:245">
      <c r="A14" s="4" t="s">
        <v>1</v>
      </c>
      <c r="B14" s="3"/>
      <c r="C14" s="3"/>
      <c r="D14" s="3"/>
      <c r="E14" s="3"/>
      <c r="F14" s="3"/>
      <c r="G14" s="3"/>
      <c r="H14" s="3"/>
    </row>
    <row r="15" spans="1:245">
      <c r="A15" s="4" t="s">
        <v>4</v>
      </c>
      <c r="B15" s="11">
        <v>662072.61899999995</v>
      </c>
      <c r="C15" s="11">
        <v>750526.94299999997</v>
      </c>
      <c r="D15" s="11">
        <v>816110.18700000003</v>
      </c>
      <c r="E15" s="11">
        <v>914149.16090000002</v>
      </c>
      <c r="F15" s="11">
        <v>1073545.8478399999</v>
      </c>
      <c r="G15" s="11">
        <v>1259710.9209</v>
      </c>
      <c r="H15" s="11">
        <v>1484804.1438</v>
      </c>
    </row>
    <row r="16" spans="1:245">
      <c r="A16" s="3"/>
      <c r="B16" s="14"/>
      <c r="C16" s="18"/>
      <c r="D16" s="19"/>
      <c r="E16" s="27">
        <f>+E15/D15-1</f>
        <v>0.1201295798798796</v>
      </c>
      <c r="F16" s="27">
        <f>+F15/E15-1</f>
        <v>0.17436616884608891</v>
      </c>
      <c r="G16" s="27">
        <f>+G15/F15-1</f>
        <v>0.17341138567539405</v>
      </c>
      <c r="H16" s="27">
        <f>+H15/G15-1</f>
        <v>0.17868641064029367</v>
      </c>
    </row>
    <row r="17" spans="1:16">
      <c r="A17" s="3" t="s">
        <v>5</v>
      </c>
      <c r="B17" s="12">
        <v>265158.53200000001</v>
      </c>
      <c r="C17" s="12">
        <v>315913.467</v>
      </c>
      <c r="D17" s="12">
        <v>349660.50199999998</v>
      </c>
      <c r="E17" s="12">
        <v>406299.97080000001</v>
      </c>
      <c r="F17" s="12">
        <v>470314.38907999999</v>
      </c>
      <c r="G17" s="12">
        <v>536603.93253999995</v>
      </c>
      <c r="H17" s="12">
        <v>606993.14480999997</v>
      </c>
    </row>
    <row r="18" spans="1:16">
      <c r="A18" s="4" t="s">
        <v>6</v>
      </c>
      <c r="B18" s="13">
        <v>396914.087</v>
      </c>
      <c r="C18" s="13">
        <v>434613.47600000002</v>
      </c>
      <c r="D18" s="13">
        <v>466449.685</v>
      </c>
      <c r="E18" s="13">
        <v>507849.19010000001</v>
      </c>
      <c r="F18" s="13">
        <v>603231.45875999995</v>
      </c>
      <c r="G18" s="13">
        <v>723106.98835999996</v>
      </c>
      <c r="H18" s="13">
        <v>877810.99898999999</v>
      </c>
    </row>
    <row r="19" spans="1:16">
      <c r="A19" s="3"/>
      <c r="B19" s="24"/>
      <c r="C19" s="24"/>
      <c r="D19" s="24"/>
      <c r="E19" s="27">
        <f>+E18/E15</f>
        <v>0.55554302494793217</v>
      </c>
      <c r="F19" s="27">
        <f>+F18/F15</f>
        <v>0.56190563260406268</v>
      </c>
      <c r="G19" s="27">
        <f>+G18/G15</f>
        <v>0.57402613279193959</v>
      </c>
      <c r="H19" s="27">
        <f>+H18/H15</f>
        <v>0.59119649056437396</v>
      </c>
    </row>
    <row r="20" spans="1:16">
      <c r="A20" s="3" t="s">
        <v>7</v>
      </c>
      <c r="B20" s="12">
        <v>253281.81600000002</v>
      </c>
      <c r="C20" s="12">
        <v>256313.698</v>
      </c>
      <c r="D20" s="12">
        <v>262873.20400000003</v>
      </c>
      <c r="E20" s="12">
        <v>277598.13200000004</v>
      </c>
      <c r="F20" s="12">
        <v>314661.228</v>
      </c>
      <c r="G20" s="12">
        <v>350889.40883000003</v>
      </c>
      <c r="H20" s="12">
        <v>398398.75073000003</v>
      </c>
      <c r="J20" s="8"/>
      <c r="K20" s="8"/>
      <c r="L20" s="8"/>
      <c r="M20" s="8"/>
      <c r="N20" s="8"/>
      <c r="O20" s="8"/>
      <c r="P20" s="8"/>
    </row>
    <row r="21" spans="1:16">
      <c r="A21" s="3" t="s">
        <v>10</v>
      </c>
      <c r="B21" s="12">
        <v>0</v>
      </c>
      <c r="C21" s="12">
        <v>8158.7520000000004</v>
      </c>
      <c r="D21" s="12">
        <v>7270.8239999999996</v>
      </c>
      <c r="E21" s="12">
        <v>4314.8515399999997</v>
      </c>
      <c r="F21" s="12">
        <v>4120.79</v>
      </c>
      <c r="G21" s="12">
        <v>4243.7460000000001</v>
      </c>
      <c r="H21" s="12">
        <v>6680.2790000000005</v>
      </c>
    </row>
    <row r="22" spans="1:16">
      <c r="A22" s="3"/>
      <c r="B22" s="14"/>
      <c r="C22" s="14"/>
      <c r="D22" s="14"/>
      <c r="E22" s="14"/>
      <c r="F22" s="14"/>
      <c r="G22" s="14"/>
      <c r="H22" s="14"/>
    </row>
    <row r="23" spans="1:16">
      <c r="A23" s="4" t="s">
        <v>11</v>
      </c>
      <c r="B23" s="13">
        <v>253281.81599999999</v>
      </c>
      <c r="C23" s="13">
        <v>264472.45</v>
      </c>
      <c r="D23" s="13">
        <v>270144.02799999999</v>
      </c>
      <c r="E23" s="13">
        <v>281912.98353999999</v>
      </c>
      <c r="F23" s="13">
        <v>318782.01799999998</v>
      </c>
      <c r="G23" s="13">
        <v>355133.15483000001</v>
      </c>
      <c r="H23" s="13">
        <v>405079.02973000001</v>
      </c>
    </row>
    <row r="24" spans="1:16">
      <c r="A24" s="3"/>
      <c r="B24" s="14"/>
      <c r="C24" s="18"/>
      <c r="D24" s="19"/>
      <c r="E24" s="27">
        <f>+E20/E15</f>
        <v>0.30366831133630157</v>
      </c>
      <c r="F24" s="27">
        <f>+F20/F15</f>
        <v>0.2931046015716105</v>
      </c>
      <c r="G24" s="27">
        <f>+G20/G15</f>
        <v>0.27854756437239364</v>
      </c>
      <c r="H24" s="27">
        <f>+H20/H15</f>
        <v>0.26831737532089184</v>
      </c>
    </row>
    <row r="25" spans="1:16">
      <c r="A25" s="4" t="s">
        <v>12</v>
      </c>
      <c r="B25" s="11">
        <v>143632.27100000001</v>
      </c>
      <c r="C25" s="11">
        <v>170141.02600000001</v>
      </c>
      <c r="D25" s="11">
        <v>196305.65700000001</v>
      </c>
      <c r="E25" s="11">
        <v>225936.20655999999</v>
      </c>
      <c r="F25" s="11">
        <v>284449.44076000003</v>
      </c>
      <c r="G25" s="11">
        <v>367973.83353</v>
      </c>
      <c r="H25" s="11">
        <v>472731.96925999998</v>
      </c>
      <c r="I25" s="20">
        <f>+H25+OB_SCF!H18</f>
        <v>528953.74009999994</v>
      </c>
    </row>
    <row r="26" spans="1:16">
      <c r="A26" s="3"/>
      <c r="B26" s="19"/>
      <c r="C26" s="19"/>
      <c r="D26" s="19"/>
      <c r="E26" s="19"/>
      <c r="F26" s="19"/>
      <c r="G26" s="19"/>
      <c r="H26" s="19"/>
    </row>
    <row r="27" spans="1:16">
      <c r="A27" s="3" t="s">
        <v>13</v>
      </c>
      <c r="B27" s="12">
        <v>-5668</v>
      </c>
      <c r="C27" s="12">
        <v>-3224.3</v>
      </c>
      <c r="D27" s="12">
        <v>-5138.8999999999996</v>
      </c>
      <c r="E27" s="12">
        <v>-71687.199999999997</v>
      </c>
      <c r="F27" s="12">
        <v>-42354</v>
      </c>
      <c r="G27" s="12">
        <v>-26167</v>
      </c>
      <c r="H27" s="12">
        <v>-33001.5</v>
      </c>
    </row>
    <row r="28" spans="1:16">
      <c r="A28" s="3" t="s">
        <v>14</v>
      </c>
      <c r="B28" s="12">
        <v>13049.877</v>
      </c>
      <c r="C28" s="12">
        <v>14630.322</v>
      </c>
      <c r="D28" s="12">
        <v>12756.581</v>
      </c>
      <c r="E28" s="12">
        <v>10694.386</v>
      </c>
      <c r="F28" s="12">
        <v>10212.608</v>
      </c>
      <c r="G28" s="12">
        <v>9954.4140000000007</v>
      </c>
      <c r="H28" s="12">
        <v>10805.082</v>
      </c>
    </row>
    <row r="29" spans="1:16">
      <c r="A29" s="4" t="s">
        <v>15</v>
      </c>
      <c r="B29" s="13">
        <v>7381.83</v>
      </c>
      <c r="C29" s="13">
        <v>11406.065000000001</v>
      </c>
      <c r="D29" s="13">
        <v>7617.6540000000005</v>
      </c>
      <c r="E29" s="13">
        <v>-60992.800000000003</v>
      </c>
      <c r="F29" s="13">
        <v>-32141.4</v>
      </c>
      <c r="G29" s="13">
        <v>-16212.6</v>
      </c>
      <c r="H29" s="13">
        <v>-22196.400000000001</v>
      </c>
    </row>
    <row r="30" spans="1:16">
      <c r="A30" s="3"/>
      <c r="B30" s="14"/>
      <c r="C30" s="14"/>
      <c r="D30" s="14"/>
      <c r="E30" s="14"/>
      <c r="F30" s="14"/>
      <c r="G30" s="14"/>
      <c r="H30" s="14"/>
    </row>
    <row r="31" spans="1:16">
      <c r="A31" s="3" t="s">
        <v>16</v>
      </c>
      <c r="B31" s="12">
        <v>0</v>
      </c>
      <c r="C31" s="12">
        <v>8549.3549999999996</v>
      </c>
      <c r="D31" s="12">
        <v>1553.68</v>
      </c>
      <c r="E31" s="12">
        <v>0</v>
      </c>
      <c r="F31" s="12">
        <v>0</v>
      </c>
      <c r="G31" s="12">
        <v>0</v>
      </c>
      <c r="H31" s="12">
        <v>0</v>
      </c>
    </row>
    <row r="32" spans="1:16">
      <c r="A32" s="3" t="s">
        <v>17</v>
      </c>
      <c r="B32" s="12">
        <v>-217.5</v>
      </c>
      <c r="C32" s="12">
        <v>-2011.5</v>
      </c>
      <c r="D32" s="12">
        <v>3222.2559999999999</v>
      </c>
      <c r="E32" s="12">
        <v>-11663.5</v>
      </c>
      <c r="F32" s="12">
        <v>-24.7</v>
      </c>
      <c r="G32" s="12">
        <v>905.11699999999996</v>
      </c>
      <c r="H32" s="12">
        <v>-240.7</v>
      </c>
    </row>
    <row r="33" spans="1:17">
      <c r="A33" s="3" t="s">
        <v>18</v>
      </c>
      <c r="B33" s="12">
        <v>2343.0070000000001</v>
      </c>
      <c r="C33" s="12">
        <v>2774.9870000000001</v>
      </c>
      <c r="D33" s="12">
        <v>-31669</v>
      </c>
      <c r="E33" s="12">
        <v>-39490.199999999997</v>
      </c>
      <c r="F33" s="12">
        <v>-14453.5</v>
      </c>
      <c r="G33" s="12">
        <v>-3241</v>
      </c>
      <c r="H33" s="12">
        <v>-13374.6</v>
      </c>
    </row>
    <row r="34" spans="1:17">
      <c r="A34" s="4" t="s">
        <v>19</v>
      </c>
      <c r="B34" s="13">
        <v>153139.63699999999</v>
      </c>
      <c r="C34" s="13">
        <v>190859.96799999999</v>
      </c>
      <c r="D34" s="13">
        <v>177030.28400000001</v>
      </c>
      <c r="E34" s="13">
        <v>113789.66349000001</v>
      </c>
      <c r="F34" s="13">
        <v>237829.86472000001</v>
      </c>
      <c r="G34" s="13">
        <v>349425.29940000002</v>
      </c>
      <c r="H34" s="13">
        <v>436920.28451999999</v>
      </c>
      <c r="J34" s="20"/>
    </row>
    <row r="35" spans="1:17">
      <c r="A35" s="3"/>
      <c r="B35" s="14"/>
      <c r="C35" s="14"/>
      <c r="D35" s="14"/>
      <c r="E35" s="14"/>
      <c r="F35" s="14"/>
      <c r="G35" s="14"/>
      <c r="H35" s="14"/>
    </row>
    <row r="36" spans="1:17">
      <c r="A36" s="3" t="s">
        <v>20</v>
      </c>
      <c r="B36" s="12">
        <v>17778.667000000001</v>
      </c>
      <c r="C36" s="12">
        <v>8630.4290000000001</v>
      </c>
      <c r="D36" s="12">
        <v>537.2360000000001</v>
      </c>
      <c r="E36" s="12">
        <v>3410.393</v>
      </c>
      <c r="F36" s="12">
        <v>157.52600000000001</v>
      </c>
      <c r="G36" s="12">
        <v>-849.2</v>
      </c>
      <c r="H36" s="12">
        <v>-73.5</v>
      </c>
      <c r="I36" s="8"/>
      <c r="J36" s="8"/>
      <c r="K36" s="8"/>
      <c r="L36" s="8"/>
      <c r="M36" s="8"/>
      <c r="N36" s="8"/>
      <c r="O36" s="8"/>
      <c r="P36" s="8"/>
      <c r="Q36" s="8"/>
    </row>
    <row r="37" spans="1:17">
      <c r="A37" s="4" t="s">
        <v>21</v>
      </c>
      <c r="B37" s="13">
        <v>170918.304</v>
      </c>
      <c r="C37" s="13">
        <v>199490.397</v>
      </c>
      <c r="D37" s="13">
        <v>177567.47500000001</v>
      </c>
      <c r="E37" s="13">
        <v>117200.05649</v>
      </c>
      <c r="F37" s="13">
        <v>237987.39072</v>
      </c>
      <c r="G37" s="13">
        <v>348576.10639999999</v>
      </c>
      <c r="H37" s="13">
        <v>436846.83252</v>
      </c>
    </row>
    <row r="38" spans="1:17">
      <c r="A38" s="3"/>
      <c r="B38" s="14"/>
      <c r="C38" s="14"/>
      <c r="D38" s="14"/>
      <c r="E38" s="14"/>
      <c r="F38" s="14"/>
      <c r="G38" s="14"/>
      <c r="H38" s="14"/>
    </row>
    <row r="39" spans="1:17">
      <c r="A39" s="3" t="s">
        <v>22</v>
      </c>
      <c r="B39" s="12">
        <v>54995.362000000001</v>
      </c>
      <c r="C39" s="12">
        <v>80275.801999999996</v>
      </c>
      <c r="D39" s="12">
        <v>50768.021999999997</v>
      </c>
      <c r="E39" s="12">
        <v>-14364.8</v>
      </c>
      <c r="F39" s="12">
        <v>66042.093410000001</v>
      </c>
      <c r="G39" s="12">
        <v>82529.940210000001</v>
      </c>
      <c r="H39" s="12">
        <v>126675.18253000001</v>
      </c>
    </row>
    <row r="40" spans="1:17">
      <c r="A40" s="4" t="s">
        <v>23</v>
      </c>
      <c r="B40" s="13">
        <v>115922.942</v>
      </c>
      <c r="C40" s="13">
        <v>119214.595</v>
      </c>
      <c r="D40" s="13">
        <v>126799.45299999999</v>
      </c>
      <c r="E40" s="13">
        <v>131564.88923</v>
      </c>
      <c r="F40" s="13">
        <v>171945.29730999999</v>
      </c>
      <c r="G40" s="13">
        <v>266046.16619000002</v>
      </c>
      <c r="H40" s="13">
        <v>310171.64999000001</v>
      </c>
    </row>
    <row r="41" spans="1:17">
      <c r="A41" s="3"/>
      <c r="B41" s="3"/>
      <c r="C41" s="3"/>
      <c r="D41" s="66">
        <f>SUM(D39:D40)</f>
        <v>177567.47499999998</v>
      </c>
      <c r="E41" s="3"/>
      <c r="F41" s="3"/>
      <c r="G41" s="3"/>
      <c r="H41" s="3"/>
    </row>
    <row r="42" spans="1:17">
      <c r="A42" s="3"/>
      <c r="B42" s="3"/>
      <c r="C42" s="3"/>
      <c r="D42" s="3"/>
      <c r="E42" s="3"/>
      <c r="F42" s="3"/>
      <c r="G42" s="3"/>
      <c r="H42" s="3"/>
    </row>
    <row r="43" spans="1:17">
      <c r="D43" t="e">
        <f>sum</f>
        <v>#NAME?</v>
      </c>
    </row>
    <row r="44" spans="1:17">
      <c r="B44" s="20"/>
    </row>
    <row r="45" spans="1:17">
      <c r="B45" s="20"/>
    </row>
  </sheetData>
  <phoneticPr fontId="0" type="noConversion"/>
  <pageMargins left="0.2" right="0.2" top="0.5" bottom="0.5" header="0.5" footer="0.5"/>
  <pageSetup fitToWidth="0" fitToHeight="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2B2B2"/>
    <outlinePr summaryBelow="0" summaryRight="0"/>
    <pageSetUpPr autoPageBreaks="0"/>
  </sheetPr>
  <dimension ref="A1:IK60"/>
  <sheetViews>
    <sheetView showGridLines="0" workbookViewId="0">
      <pane xSplit="1" ySplit="13" topLeftCell="B14" activePane="bottomRight" state="frozen"/>
      <selection activeCell="O33" sqref="O33"/>
      <selection pane="topRight" activeCell="O33" sqref="O33"/>
      <selection pane="bottomLeft" activeCell="O33" sqref="O33"/>
      <selection pane="bottomRight"/>
    </sheetView>
  </sheetViews>
  <sheetFormatPr defaultRowHeight="10.199999999999999" outlineLevelCol="1"/>
  <cols>
    <col min="1" max="1" width="32.77734375" customWidth="1"/>
    <col min="2" max="4" width="12.77734375" customWidth="1"/>
    <col min="5" max="8" width="12.77734375" customWidth="1" outlineLevel="1"/>
    <col min="9" max="19" width="10.77734375" customWidth="1"/>
    <col min="20" max="22" width="11.77734375" customWidth="1"/>
  </cols>
  <sheetData>
    <row r="1" spans="1:245">
      <c r="B1" s="3"/>
      <c r="C1" s="2"/>
      <c r="F1" s="2"/>
      <c r="H1" s="3"/>
    </row>
    <row r="2" spans="1:245">
      <c r="B2" s="3"/>
      <c r="C2" s="2"/>
      <c r="F2" s="2"/>
      <c r="H2" s="3"/>
    </row>
    <row r="3" spans="1:245">
      <c r="B3" s="3"/>
      <c r="C3" s="2"/>
      <c r="F3" s="2"/>
      <c r="H3" s="3"/>
    </row>
    <row r="4" spans="1:245" ht="16.2">
      <c r="A4" s="1" t="s">
        <v>24</v>
      </c>
      <c r="B4" s="3"/>
      <c r="C4" s="2"/>
      <c r="F4" s="2"/>
      <c r="H4" s="3"/>
    </row>
    <row r="5" spans="1:245">
      <c r="A5" s="6" t="s">
        <v>101</v>
      </c>
      <c r="B5" s="3"/>
      <c r="C5" s="2"/>
    </row>
    <row r="6" spans="1:245">
      <c r="A6" s="6"/>
      <c r="B6" s="2" t="s">
        <v>540</v>
      </c>
      <c r="C6" t="s">
        <v>541</v>
      </c>
      <c r="D6" s="3"/>
      <c r="E6" s="2" t="s">
        <v>542</v>
      </c>
      <c r="F6" t="s">
        <v>543</v>
      </c>
    </row>
    <row r="7" spans="1:245">
      <c r="A7" s="6"/>
      <c r="B7" s="2" t="s">
        <v>544</v>
      </c>
      <c r="C7" t="s">
        <v>545</v>
      </c>
      <c r="D7" s="3"/>
      <c r="E7" s="2" t="s">
        <v>546</v>
      </c>
      <c r="F7" t="s">
        <v>547</v>
      </c>
    </row>
    <row r="8" spans="1:245">
      <c r="A8" s="6"/>
      <c r="B8" s="2" t="s">
        <v>548</v>
      </c>
      <c r="C8" t="s">
        <v>549</v>
      </c>
      <c r="D8" s="3"/>
      <c r="E8" s="2" t="s">
        <v>550</v>
      </c>
      <c r="F8" t="s">
        <v>551</v>
      </c>
    </row>
    <row r="9" spans="1:245">
      <c r="A9" s="6"/>
      <c r="B9" s="2" t="s">
        <v>552</v>
      </c>
      <c r="C9" t="s">
        <v>553</v>
      </c>
      <c r="D9" s="3"/>
      <c r="E9" s="2" t="s">
        <v>554</v>
      </c>
      <c r="F9" s="180" t="s">
        <v>555</v>
      </c>
    </row>
    <row r="10" spans="1:245">
      <c r="A10" s="6"/>
      <c r="B10" s="2" t="s">
        <v>556</v>
      </c>
      <c r="C10" t="s">
        <v>557</v>
      </c>
      <c r="D10" s="3"/>
      <c r="E10" s="181"/>
      <c r="F10" s="181"/>
    </row>
    <row r="11" spans="1:245">
      <c r="A11" s="3"/>
    </row>
    <row r="12" spans="1:245">
      <c r="A12" s="177" t="s">
        <v>25</v>
      </c>
      <c r="B12" s="177"/>
      <c r="C12" s="177"/>
      <c r="D12" s="177"/>
      <c r="E12" s="177"/>
      <c r="F12" s="177"/>
      <c r="G12" s="177"/>
      <c r="H12" s="17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</row>
    <row r="13" spans="1:245">
      <c r="A13" s="178" t="s">
        <v>103</v>
      </c>
      <c r="B13" s="179">
        <v>39447</v>
      </c>
      <c r="C13" s="179">
        <f>+B13+366</f>
        <v>39813</v>
      </c>
      <c r="D13" s="179">
        <f>+C13+365</f>
        <v>40178</v>
      </c>
      <c r="E13" s="179">
        <f>+D13+365</f>
        <v>40543</v>
      </c>
      <c r="F13" s="179">
        <f>+E13+365</f>
        <v>40908</v>
      </c>
      <c r="G13" s="179">
        <f>+F13+366</f>
        <v>41274</v>
      </c>
      <c r="H13" s="179">
        <f>+G13+365</f>
        <v>41639</v>
      </c>
    </row>
    <row r="14" spans="1:245">
      <c r="A14" s="25" t="s">
        <v>26</v>
      </c>
      <c r="B14" s="3"/>
      <c r="C14" s="3"/>
      <c r="D14" s="3"/>
      <c r="E14" s="3"/>
      <c r="F14" s="7"/>
      <c r="G14" s="7"/>
      <c r="H14" s="10"/>
    </row>
    <row r="15" spans="1:245">
      <c r="A15" s="3" t="s">
        <v>27</v>
      </c>
      <c r="B15" s="12">
        <v>141202.33300000001</v>
      </c>
      <c r="C15" s="12">
        <v>81719.096999999994</v>
      </c>
      <c r="D15" s="12">
        <v>134104.48699999999</v>
      </c>
      <c r="E15" s="12">
        <v>175503.16441999999</v>
      </c>
      <c r="F15" s="12">
        <v>167647.66451999999</v>
      </c>
      <c r="G15" s="12">
        <v>177904.76295</v>
      </c>
      <c r="H15" s="12">
        <v>444287.56994000002</v>
      </c>
    </row>
    <row r="16" spans="1:245">
      <c r="A16" s="3" t="s">
        <v>28</v>
      </c>
      <c r="B16" s="12">
        <v>89.244</v>
      </c>
      <c r="C16" s="12">
        <v>188.98</v>
      </c>
      <c r="D16" s="12">
        <v>4.2350000000000003</v>
      </c>
      <c r="E16" s="12">
        <v>3.6097700000000001</v>
      </c>
      <c r="F16" s="12">
        <v>2.4449999999999998</v>
      </c>
      <c r="G16" s="12">
        <v>108.77177</v>
      </c>
      <c r="H16" s="12">
        <v>0</v>
      </c>
    </row>
    <row r="17" spans="1:8">
      <c r="A17" s="4" t="s">
        <v>29</v>
      </c>
      <c r="B17" s="13">
        <v>141291.57699999999</v>
      </c>
      <c r="C17" s="13">
        <v>81908.077000000005</v>
      </c>
      <c r="D17" s="13">
        <v>134108.72200000001</v>
      </c>
      <c r="E17" s="13">
        <v>175506.77419</v>
      </c>
      <c r="F17" s="13">
        <v>167650.10952</v>
      </c>
      <c r="G17" s="13">
        <v>178013.53472</v>
      </c>
      <c r="H17" s="13">
        <v>444287.56994000002</v>
      </c>
    </row>
    <row r="18" spans="1:8">
      <c r="A18" s="3"/>
      <c r="B18" s="14"/>
      <c r="C18" s="14"/>
      <c r="D18" s="14"/>
      <c r="E18" s="14"/>
      <c r="F18" s="14"/>
      <c r="G18" s="14"/>
      <c r="H18" s="14"/>
    </row>
    <row r="19" spans="1:8">
      <c r="A19" s="4" t="s">
        <v>30</v>
      </c>
      <c r="B19" s="11">
        <v>226950.07500000001</v>
      </c>
      <c r="C19" s="11">
        <v>229792.83800000002</v>
      </c>
      <c r="D19" s="11">
        <v>258384.84</v>
      </c>
      <c r="E19" s="11">
        <v>260889.69761</v>
      </c>
      <c r="F19" s="11">
        <v>271626.56430999999</v>
      </c>
      <c r="G19" s="11">
        <v>280582.45789000002</v>
      </c>
      <c r="H19" s="11">
        <v>312554.32465000002</v>
      </c>
    </row>
    <row r="20" spans="1:8">
      <c r="A20" s="3"/>
      <c r="B20" s="14"/>
      <c r="C20" s="14"/>
      <c r="D20" s="14"/>
      <c r="E20" s="14"/>
      <c r="F20" s="14"/>
      <c r="G20" s="14"/>
      <c r="H20" s="14"/>
    </row>
    <row r="21" spans="1:8">
      <c r="A21" s="3" t="s">
        <v>31</v>
      </c>
      <c r="B21" s="12">
        <v>48102.141000000003</v>
      </c>
      <c r="C21" s="12">
        <v>52157.858999999997</v>
      </c>
      <c r="D21" s="12">
        <v>53492.258000000002</v>
      </c>
      <c r="E21" s="12">
        <v>55540.348149999998</v>
      </c>
      <c r="F21" s="12">
        <v>66835.084289999999</v>
      </c>
      <c r="G21" s="12">
        <v>79230.574689999994</v>
      </c>
      <c r="H21" s="12">
        <v>79888.53512</v>
      </c>
    </row>
    <row r="22" spans="1:8">
      <c r="A22" s="3" t="s">
        <v>32</v>
      </c>
      <c r="B22" s="12">
        <v>1152.0899999999999</v>
      </c>
      <c r="C22" s="12">
        <v>1080.3900000000001</v>
      </c>
      <c r="D22" s="12">
        <v>3597.2089999999998</v>
      </c>
      <c r="E22" s="12">
        <v>2066.9140000000002</v>
      </c>
      <c r="F22" s="12">
        <v>2264.0129999999999</v>
      </c>
      <c r="G22" s="12">
        <v>2596.1179999999999</v>
      </c>
      <c r="H22" s="12">
        <v>2608.5430000000001</v>
      </c>
    </row>
    <row r="23" spans="1:8">
      <c r="A23" s="3" t="s">
        <v>33</v>
      </c>
      <c r="B23" s="12">
        <v>13358.04</v>
      </c>
      <c r="C23" s="12">
        <v>12582.742</v>
      </c>
      <c r="D23" s="12">
        <v>10870.469000000001</v>
      </c>
      <c r="E23" s="12">
        <v>1257.63609</v>
      </c>
      <c r="F23" s="12">
        <v>242.61465999999999</v>
      </c>
      <c r="G23" s="12">
        <v>68.017930000000007</v>
      </c>
      <c r="H23" s="12">
        <v>2623.8174399999998</v>
      </c>
    </row>
    <row r="24" spans="1:8">
      <c r="A24" s="4" t="s">
        <v>34</v>
      </c>
      <c r="B24" s="13">
        <f>+SUM(B17,B19,B21:B23)</f>
        <v>430853.92300000001</v>
      </c>
      <c r="C24" s="13">
        <f t="shared" ref="C24:H24" si="0">+SUM(C17,C19,C21:C23)</f>
        <v>377521.90600000008</v>
      </c>
      <c r="D24" s="13">
        <f t="shared" si="0"/>
        <v>460453.49800000002</v>
      </c>
      <c r="E24" s="13">
        <f t="shared" si="0"/>
        <v>495261.37003999995</v>
      </c>
      <c r="F24" s="13">
        <f t="shared" si="0"/>
        <v>508618.38578000001</v>
      </c>
      <c r="G24" s="13">
        <f t="shared" si="0"/>
        <v>540490.70322999998</v>
      </c>
      <c r="H24" s="13">
        <f t="shared" si="0"/>
        <v>841962.79015000002</v>
      </c>
    </row>
    <row r="25" spans="1:8">
      <c r="A25" s="3"/>
      <c r="B25" s="14"/>
      <c r="C25" s="14"/>
      <c r="D25" s="14"/>
      <c r="E25" s="14"/>
      <c r="F25" s="14"/>
      <c r="G25" s="14"/>
      <c r="H25" s="14"/>
    </row>
    <row r="26" spans="1:8">
      <c r="A26" s="4" t="s">
        <v>35</v>
      </c>
      <c r="B26" s="11">
        <v>437536.34100000001</v>
      </c>
      <c r="C26" s="11">
        <v>596454.35800000001</v>
      </c>
      <c r="D26" s="11">
        <v>593634.67299999995</v>
      </c>
      <c r="E26" s="11">
        <v>674308.29640999995</v>
      </c>
      <c r="F26" s="11">
        <v>685008.39717999997</v>
      </c>
      <c r="G26" s="11">
        <v>692900.24855000002</v>
      </c>
      <c r="H26" s="11">
        <v>735282.49974999996</v>
      </c>
    </row>
    <row r="27" spans="1:8">
      <c r="A27" s="3"/>
      <c r="B27" s="14"/>
      <c r="C27" s="14"/>
      <c r="D27" s="14"/>
      <c r="E27" s="14"/>
      <c r="F27" s="14"/>
      <c r="G27" s="14"/>
      <c r="H27" s="14"/>
    </row>
    <row r="28" spans="1:8">
      <c r="A28" s="3" t="s">
        <v>36</v>
      </c>
      <c r="B28" s="12">
        <v>1286.2719999999999</v>
      </c>
      <c r="C28" s="12">
        <v>2447.4569999999999</v>
      </c>
      <c r="D28" s="12">
        <v>3989.1370000000002</v>
      </c>
      <c r="E28" s="12">
        <v>86.177000000000007</v>
      </c>
      <c r="F28" s="12">
        <v>190.929</v>
      </c>
      <c r="G28" s="12">
        <v>76.320999999999998</v>
      </c>
      <c r="H28" s="12">
        <v>70.906000000000006</v>
      </c>
    </row>
    <row r="29" spans="1:8">
      <c r="A29" s="3" t="s">
        <v>37</v>
      </c>
      <c r="B29" s="12">
        <v>227469.21400000001</v>
      </c>
      <c r="C29" s="12">
        <v>207826.932</v>
      </c>
      <c r="D29" s="12">
        <v>188184.65100000001</v>
      </c>
      <c r="E29" s="12">
        <v>1154161.895</v>
      </c>
      <c r="F29" s="12">
        <v>1154161.895</v>
      </c>
      <c r="G29" s="12">
        <v>1154161.895</v>
      </c>
      <c r="H29" s="12">
        <v>1154161.895</v>
      </c>
    </row>
    <row r="30" spans="1:8">
      <c r="A30" s="3" t="s">
        <v>38</v>
      </c>
      <c r="B30" s="12">
        <v>2152.1080000000002</v>
      </c>
      <c r="C30" s="12">
        <v>2117.0129999999999</v>
      </c>
      <c r="D30" s="12">
        <v>1526.279</v>
      </c>
      <c r="E30" s="12">
        <v>318637.245</v>
      </c>
      <c r="F30" s="12">
        <v>320029.14600000001</v>
      </c>
      <c r="G30" s="12">
        <v>319782.60800000001</v>
      </c>
      <c r="H30" s="12">
        <v>320981.32799999998</v>
      </c>
    </row>
    <row r="31" spans="1:8">
      <c r="A31" s="3" t="s">
        <v>39</v>
      </c>
      <c r="B31" s="12">
        <v>40981.933000000005</v>
      </c>
      <c r="C31" s="12">
        <v>35771.735999999997</v>
      </c>
      <c r="D31" s="12">
        <v>34348.366999999998</v>
      </c>
      <c r="E31" s="12">
        <v>42059.105009999999</v>
      </c>
      <c r="F31" s="12">
        <v>31510.953369999999</v>
      </c>
      <c r="G31" s="12">
        <v>26742.143660000002</v>
      </c>
      <c r="H31" s="12">
        <v>26919.647000000001</v>
      </c>
    </row>
    <row r="32" spans="1:8">
      <c r="A32" s="4" t="s">
        <v>40</v>
      </c>
      <c r="B32" s="15">
        <v>1140279.791</v>
      </c>
      <c r="C32" s="15">
        <v>1222139.402</v>
      </c>
      <c r="D32" s="15">
        <v>1282136.605</v>
      </c>
      <c r="E32" s="15">
        <v>2691722.1054600002</v>
      </c>
      <c r="F32" s="15">
        <v>2705668.5803299998</v>
      </c>
      <c r="G32" s="15">
        <v>2739546.80644</v>
      </c>
      <c r="H32" s="15">
        <v>3084051.5539000002</v>
      </c>
    </row>
    <row r="33" spans="1:8">
      <c r="A33" s="3"/>
      <c r="B33" s="14"/>
      <c r="C33" s="14"/>
      <c r="D33" s="14"/>
      <c r="E33" s="14"/>
      <c r="F33" s="14"/>
      <c r="G33" s="14"/>
      <c r="H33" s="14"/>
    </row>
    <row r="34" spans="1:8">
      <c r="A34" s="25" t="s">
        <v>41</v>
      </c>
      <c r="B34" s="14"/>
      <c r="C34" s="14"/>
      <c r="D34" s="14"/>
      <c r="E34" s="14"/>
      <c r="F34" s="14"/>
      <c r="G34" s="14"/>
      <c r="H34" s="14"/>
    </row>
    <row r="35" spans="1:8">
      <c r="A35" s="3" t="s">
        <v>42</v>
      </c>
      <c r="B35" s="12">
        <v>24162.547999999999</v>
      </c>
      <c r="C35" s="12">
        <v>33300.754000000001</v>
      </c>
      <c r="D35" s="12">
        <v>24499.905999999999</v>
      </c>
      <c r="E35" s="12">
        <v>58075.116999999998</v>
      </c>
      <c r="F35" s="12">
        <v>92453.967000000004</v>
      </c>
      <c r="G35" s="12">
        <v>81839.462</v>
      </c>
      <c r="H35" s="12">
        <v>95145.573000000004</v>
      </c>
    </row>
    <row r="36" spans="1:8">
      <c r="A36" s="3" t="s">
        <v>43</v>
      </c>
      <c r="B36" s="12">
        <v>203701.353</v>
      </c>
      <c r="C36" s="12">
        <v>132604.03200000001</v>
      </c>
      <c r="D36" s="12">
        <v>177498.842</v>
      </c>
      <c r="E36" s="12">
        <v>15329.191999999999</v>
      </c>
      <c r="F36" s="12">
        <v>14650.694</v>
      </c>
      <c r="G36" s="12">
        <v>11473.718000000001</v>
      </c>
      <c r="H36" s="12">
        <v>16989.547999999999</v>
      </c>
    </row>
    <row r="37" spans="1:8">
      <c r="A37" s="3" t="s">
        <v>44</v>
      </c>
      <c r="B37" s="12">
        <v>5363.1610000000001</v>
      </c>
      <c r="C37" s="12">
        <v>57020.228000000003</v>
      </c>
      <c r="D37" s="12">
        <v>543.51800000000003</v>
      </c>
      <c r="E37" s="12">
        <v>62462.076000000001</v>
      </c>
      <c r="F37" s="12">
        <v>2744.3470000000002</v>
      </c>
      <c r="G37" s="12">
        <v>83763.820999999996</v>
      </c>
      <c r="H37" s="12">
        <v>109562.34</v>
      </c>
    </row>
    <row r="38" spans="1:8">
      <c r="A38" s="3" t="s">
        <v>45</v>
      </c>
      <c r="B38" s="12">
        <v>30000</v>
      </c>
      <c r="C38" s="12">
        <v>40000</v>
      </c>
      <c r="D38" s="12">
        <v>0</v>
      </c>
      <c r="E38" s="12">
        <v>0</v>
      </c>
      <c r="F38" s="12">
        <v>0</v>
      </c>
      <c r="G38" s="12">
        <v>0</v>
      </c>
      <c r="H38" s="12">
        <v>56000</v>
      </c>
    </row>
    <row r="39" spans="1:8">
      <c r="A39" s="3" t="s">
        <v>46</v>
      </c>
      <c r="B39" s="12">
        <v>46644.962</v>
      </c>
      <c r="C39" s="12">
        <v>69712.11</v>
      </c>
      <c r="D39" s="12">
        <v>56040.604999999996</v>
      </c>
      <c r="E39" s="12">
        <v>104411.86278</v>
      </c>
      <c r="F39" s="12">
        <v>155952.82358999999</v>
      </c>
      <c r="G39" s="12">
        <v>159134.76837000001</v>
      </c>
      <c r="H39" s="12">
        <v>176159.60281000001</v>
      </c>
    </row>
    <row r="40" spans="1:8">
      <c r="A40" s="3" t="s">
        <v>47</v>
      </c>
      <c r="B40" s="12">
        <v>64549.264999999999</v>
      </c>
      <c r="C40" s="12">
        <v>66266.028000000006</v>
      </c>
      <c r="D40" s="12">
        <v>73223.31</v>
      </c>
      <c r="E40" s="12">
        <v>221759.46687999999</v>
      </c>
      <c r="F40" s="12">
        <v>336808.55829999998</v>
      </c>
      <c r="G40" s="12">
        <v>288577.94864000002</v>
      </c>
      <c r="H40" s="12">
        <v>369116.16211999999</v>
      </c>
    </row>
    <row r="41" spans="1:8">
      <c r="A41" s="4" t="s">
        <v>48</v>
      </c>
      <c r="B41" s="13">
        <f>+SUM(B35:B40)</f>
        <v>374421.28900000005</v>
      </c>
      <c r="C41" s="13">
        <f t="shared" ref="C41:H41" si="1">+SUM(C35:C40)</f>
        <v>398903.152</v>
      </c>
      <c r="D41" s="13">
        <f t="shared" si="1"/>
        <v>331806.18099999998</v>
      </c>
      <c r="E41" s="13">
        <f t="shared" si="1"/>
        <v>462037.71466</v>
      </c>
      <c r="F41" s="13">
        <f t="shared" si="1"/>
        <v>602610.38988999999</v>
      </c>
      <c r="G41" s="13">
        <f t="shared" si="1"/>
        <v>624789.71800999995</v>
      </c>
      <c r="H41" s="13">
        <f t="shared" si="1"/>
        <v>822973.22592999996</v>
      </c>
    </row>
    <row r="42" spans="1:8">
      <c r="A42" s="3"/>
      <c r="B42" s="14"/>
      <c r="C42" s="14"/>
      <c r="D42" s="14"/>
      <c r="E42" s="14"/>
      <c r="F42" s="14"/>
      <c r="G42" s="14"/>
      <c r="H42" s="14"/>
    </row>
    <row r="43" spans="1:8">
      <c r="A43" s="3" t="s">
        <v>49</v>
      </c>
      <c r="B43" s="12">
        <v>40000</v>
      </c>
      <c r="C43" s="12">
        <v>0</v>
      </c>
      <c r="D43" s="12">
        <v>435506.87699999998</v>
      </c>
      <c r="E43" s="12">
        <v>756323.78599999996</v>
      </c>
      <c r="F43" s="12">
        <v>469282.64199999999</v>
      </c>
      <c r="G43" s="12">
        <v>320000</v>
      </c>
      <c r="H43" s="12">
        <v>652000</v>
      </c>
    </row>
    <row r="44" spans="1:8">
      <c r="A44" s="3" t="s">
        <v>50</v>
      </c>
      <c r="B44" s="12">
        <v>14269.710999999999</v>
      </c>
      <c r="C44" s="12">
        <v>12573.013000000001</v>
      </c>
      <c r="D44" s="12">
        <v>12191.977000000001</v>
      </c>
      <c r="E44" s="12">
        <v>17200.42382</v>
      </c>
      <c r="F44" s="12">
        <v>24024.284149999999</v>
      </c>
      <c r="G44" s="12">
        <v>31647.672139999999</v>
      </c>
      <c r="H44" s="12">
        <v>23523.29696</v>
      </c>
    </row>
    <row r="45" spans="1:8">
      <c r="A45" s="4" t="s">
        <v>51</v>
      </c>
      <c r="B45" s="13">
        <v>428691</v>
      </c>
      <c r="C45" s="13">
        <v>411476.16499999998</v>
      </c>
      <c r="D45" s="13">
        <v>779505.03599999996</v>
      </c>
      <c r="E45" s="13">
        <v>1236478.8447799999</v>
      </c>
      <c r="F45" s="13">
        <v>1096497.92588</v>
      </c>
      <c r="G45" s="13">
        <v>976972.22204000002</v>
      </c>
      <c r="H45" s="13">
        <v>1499281.69028</v>
      </c>
    </row>
    <row r="46" spans="1:8">
      <c r="A46" s="3"/>
      <c r="B46" s="14"/>
      <c r="C46" s="14"/>
      <c r="D46" s="14"/>
      <c r="E46" s="14"/>
      <c r="F46" s="14"/>
      <c r="G46" s="14"/>
      <c r="H46" s="14"/>
    </row>
    <row r="47" spans="1:8">
      <c r="A47" s="25" t="s">
        <v>105</v>
      </c>
      <c r="B47" s="14"/>
      <c r="C47" s="14"/>
      <c r="D47" s="14"/>
      <c r="E47" s="14"/>
      <c r="F47" s="14"/>
      <c r="G47" s="14"/>
      <c r="H47" s="14"/>
    </row>
    <row r="48" spans="1:8">
      <c r="A48" s="3" t="s">
        <v>52</v>
      </c>
      <c r="B48" s="12">
        <v>1000</v>
      </c>
      <c r="C48" s="12">
        <v>1000</v>
      </c>
      <c r="D48" s="12">
        <v>1000</v>
      </c>
      <c r="E48" s="12">
        <v>0</v>
      </c>
      <c r="F48" s="12">
        <v>0</v>
      </c>
      <c r="G48" s="12">
        <v>0</v>
      </c>
      <c r="H48" s="12">
        <v>0</v>
      </c>
    </row>
    <row r="49" spans="1:8">
      <c r="A49" s="4" t="s">
        <v>53</v>
      </c>
      <c r="B49" s="13">
        <v>1000</v>
      </c>
      <c r="C49" s="13">
        <v>1000</v>
      </c>
      <c r="D49" s="13">
        <v>1000</v>
      </c>
      <c r="E49" s="13">
        <v>0</v>
      </c>
      <c r="F49" s="13">
        <v>0</v>
      </c>
      <c r="G49" s="13">
        <v>0</v>
      </c>
      <c r="H49" s="13">
        <v>0</v>
      </c>
    </row>
    <row r="50" spans="1:8">
      <c r="A50" s="3"/>
      <c r="B50" s="14"/>
      <c r="C50" s="14"/>
      <c r="D50" s="14"/>
      <c r="E50" s="14"/>
      <c r="F50" s="14"/>
      <c r="G50" s="14"/>
      <c r="H50" s="14"/>
    </row>
    <row r="51" spans="1:8">
      <c r="A51" s="3" t="s">
        <v>54</v>
      </c>
      <c r="B51" s="12">
        <v>52800</v>
      </c>
      <c r="C51" s="12">
        <v>52800</v>
      </c>
      <c r="D51" s="12">
        <v>40222</v>
      </c>
      <c r="E51" s="12">
        <v>22011</v>
      </c>
      <c r="F51" s="12">
        <v>22011</v>
      </c>
      <c r="G51" s="12">
        <v>22011</v>
      </c>
      <c r="H51" s="12">
        <v>22011</v>
      </c>
    </row>
    <row r="52" spans="1:8">
      <c r="A52" s="3" t="s">
        <v>55</v>
      </c>
      <c r="B52" s="12">
        <v>464625.33500000002</v>
      </c>
      <c r="C52" s="12">
        <v>464625.33500000002</v>
      </c>
      <c r="D52" s="12">
        <v>42495.798000000003</v>
      </c>
      <c r="E52" s="12">
        <v>1295399.1260800001</v>
      </c>
      <c r="F52" s="12">
        <v>1295399.1260800001</v>
      </c>
      <c r="G52" s="12">
        <v>31926.5</v>
      </c>
      <c r="H52" s="12">
        <v>31926.5</v>
      </c>
    </row>
    <row r="53" spans="1:8">
      <c r="A53" s="3" t="s">
        <v>56</v>
      </c>
      <c r="B53" s="12">
        <v>193190.897</v>
      </c>
      <c r="C53" s="12">
        <v>155105.052</v>
      </c>
      <c r="D53" s="12">
        <v>281904.50099999999</v>
      </c>
      <c r="E53" s="12">
        <v>137833.13459999999</v>
      </c>
      <c r="F53" s="12">
        <v>291760.52836</v>
      </c>
      <c r="G53" s="12">
        <v>1708637.0844000001</v>
      </c>
      <c r="H53" s="12">
        <v>1530832.36362</v>
      </c>
    </row>
    <row r="54" spans="1:8">
      <c r="A54" s="3" t="s">
        <v>57</v>
      </c>
      <c r="B54" s="12">
        <v>-27.4</v>
      </c>
      <c r="C54" s="12">
        <v>137132.85</v>
      </c>
      <c r="D54" s="12">
        <v>137009.269</v>
      </c>
      <c r="E54" s="12">
        <v>0</v>
      </c>
      <c r="F54" s="12">
        <v>0</v>
      </c>
      <c r="G54" s="12">
        <v>0</v>
      </c>
      <c r="H54" s="12">
        <v>0</v>
      </c>
    </row>
    <row r="55" spans="1:8">
      <c r="A55" s="4" t="s">
        <v>58</v>
      </c>
      <c r="B55" s="13">
        <v>710588.79099999997</v>
      </c>
      <c r="C55" s="13">
        <v>809663.23699999996</v>
      </c>
      <c r="D55" s="13">
        <v>501631.56800000003</v>
      </c>
      <c r="E55" s="13">
        <v>1455243.2606800001</v>
      </c>
      <c r="F55" s="13">
        <v>1609170.65444</v>
      </c>
      <c r="G55" s="13">
        <v>1762574.5844000001</v>
      </c>
      <c r="H55" s="13">
        <v>1584769.86362</v>
      </c>
    </row>
    <row r="56" spans="1:8">
      <c r="A56" s="3"/>
      <c r="B56" s="14"/>
      <c r="C56" s="14"/>
      <c r="D56" s="14"/>
      <c r="E56" s="14"/>
      <c r="F56" s="14"/>
      <c r="G56" s="14"/>
      <c r="H56" s="14"/>
    </row>
    <row r="57" spans="1:8">
      <c r="A57" s="4" t="s">
        <v>59</v>
      </c>
      <c r="B57" s="16">
        <v>711588.79099999997</v>
      </c>
      <c r="C57" s="16">
        <v>810663.23699999996</v>
      </c>
      <c r="D57" s="16">
        <v>502631.56800000003</v>
      </c>
      <c r="E57" s="16">
        <v>1455243.2606800001</v>
      </c>
      <c r="F57" s="16">
        <v>1609170.65444</v>
      </c>
      <c r="G57" s="16">
        <v>1762574.5844000001</v>
      </c>
      <c r="H57" s="16">
        <v>1584769.86362</v>
      </c>
    </row>
    <row r="58" spans="1:8">
      <c r="A58" s="3"/>
      <c r="B58" s="14"/>
      <c r="C58" s="14"/>
      <c r="D58" s="14"/>
      <c r="E58" s="14"/>
      <c r="F58" s="14"/>
      <c r="G58" s="14"/>
      <c r="H58" s="14"/>
    </row>
    <row r="59" spans="1:8">
      <c r="A59" s="4" t="s">
        <v>60</v>
      </c>
      <c r="B59" s="17">
        <v>1140279.791</v>
      </c>
      <c r="C59" s="17">
        <v>1222139.402</v>
      </c>
      <c r="D59" s="17">
        <v>1282136.6040000001</v>
      </c>
      <c r="E59" s="17">
        <v>2691722.1054600002</v>
      </c>
      <c r="F59" s="17">
        <v>2705668.5803200002</v>
      </c>
      <c r="G59" s="17">
        <v>2739546.80644</v>
      </c>
      <c r="H59" s="17">
        <v>3084051.5539000002</v>
      </c>
    </row>
    <row r="60" spans="1:8">
      <c r="A60" s="3"/>
      <c r="B60" s="3"/>
      <c r="C60" s="3"/>
      <c r="D60" s="3"/>
      <c r="E60" s="3"/>
      <c r="F60" s="3"/>
      <c r="G60" s="3"/>
      <c r="H60" s="3"/>
    </row>
  </sheetData>
  <phoneticPr fontId="0" type="noConversion"/>
  <pageMargins left="0.2" right="0.2" top="0.5" bottom="0.5" header="0.5" footer="0.5"/>
  <pageSetup fitToWidth="0" fitToHeight="0" orientation="landscape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2B2B2"/>
    <outlinePr summaryBelow="0" summaryRight="0"/>
    <pageSetUpPr autoPageBreaks="0"/>
  </sheetPr>
  <dimension ref="A3:IK60"/>
  <sheetViews>
    <sheetView showGridLines="0" workbookViewId="0">
      <pane xSplit="1" ySplit="13" topLeftCell="B14" activePane="bottomRight" state="frozen"/>
      <selection activeCell="O33" sqref="O33"/>
      <selection pane="topRight" activeCell="O33" sqref="O33"/>
      <selection pane="bottomLeft" activeCell="O33" sqref="O33"/>
      <selection pane="bottomRight" activeCell="B14" sqref="B14"/>
    </sheetView>
  </sheetViews>
  <sheetFormatPr defaultRowHeight="10.199999999999999" outlineLevelCol="1"/>
  <cols>
    <col min="1" max="1" width="32.77734375" customWidth="1"/>
    <col min="2" max="4" width="12.77734375" customWidth="1"/>
    <col min="5" max="8" width="12.77734375" customWidth="1" outlineLevel="1"/>
    <col min="9" max="19" width="10.77734375" customWidth="1"/>
    <col min="20" max="22" width="11.77734375" customWidth="1"/>
  </cols>
  <sheetData>
    <row r="3" spans="1:245">
      <c r="B3" s="3"/>
      <c r="C3" s="2"/>
      <c r="F3" s="2"/>
      <c r="H3" s="3"/>
    </row>
    <row r="4" spans="1:245" ht="16.2">
      <c r="A4" s="1" t="s">
        <v>61</v>
      </c>
      <c r="B4" s="3"/>
      <c r="C4" s="2"/>
      <c r="F4" s="2"/>
      <c r="H4" s="3"/>
    </row>
    <row r="5" spans="1:245">
      <c r="A5" s="6" t="s">
        <v>101</v>
      </c>
      <c r="B5" s="3"/>
      <c r="C5" s="2"/>
    </row>
    <row r="6" spans="1:245">
      <c r="A6" s="6"/>
      <c r="B6" s="2" t="s">
        <v>540</v>
      </c>
      <c r="C6" t="s">
        <v>541</v>
      </c>
      <c r="D6" s="3"/>
      <c r="E6" s="2" t="s">
        <v>542</v>
      </c>
      <c r="F6" t="s">
        <v>543</v>
      </c>
    </row>
    <row r="7" spans="1:245">
      <c r="A7" s="6"/>
      <c r="B7" s="2" t="s">
        <v>544</v>
      </c>
      <c r="C7" t="s">
        <v>545</v>
      </c>
      <c r="D7" s="3"/>
      <c r="E7" s="2" t="s">
        <v>546</v>
      </c>
      <c r="F7" t="s">
        <v>547</v>
      </c>
    </row>
    <row r="8" spans="1:245">
      <c r="A8" s="6"/>
      <c r="B8" s="2" t="s">
        <v>548</v>
      </c>
      <c r="C8" t="s">
        <v>549</v>
      </c>
      <c r="D8" s="3"/>
      <c r="E8" s="2" t="s">
        <v>550</v>
      </c>
      <c r="F8" t="s">
        <v>551</v>
      </c>
    </row>
    <row r="9" spans="1:245">
      <c r="A9" s="6"/>
      <c r="B9" s="2" t="s">
        <v>552</v>
      </c>
      <c r="C9" t="s">
        <v>553</v>
      </c>
      <c r="D9" s="3"/>
      <c r="E9" s="2" t="s">
        <v>554</v>
      </c>
      <c r="F9" s="180" t="s">
        <v>555</v>
      </c>
    </row>
    <row r="10" spans="1:245">
      <c r="A10" s="6"/>
      <c r="B10" s="2" t="s">
        <v>556</v>
      </c>
      <c r="C10" t="s">
        <v>557</v>
      </c>
      <c r="D10" s="3"/>
      <c r="E10" s="181"/>
      <c r="F10" s="181"/>
    </row>
    <row r="11" spans="1:245">
      <c r="A11" s="3"/>
    </row>
    <row r="12" spans="1:245">
      <c r="A12" s="177" t="s">
        <v>62</v>
      </c>
      <c r="B12" s="177"/>
      <c r="C12" s="177"/>
      <c r="D12" s="177"/>
      <c r="E12" s="177"/>
      <c r="F12" s="177"/>
      <c r="G12" s="177"/>
      <c r="H12" s="17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</row>
    <row r="13" spans="1:245">
      <c r="A13" s="178" t="s">
        <v>102</v>
      </c>
      <c r="B13" s="179">
        <v>39447</v>
      </c>
      <c r="C13" s="179">
        <f>+B13+366</f>
        <v>39813</v>
      </c>
      <c r="D13" s="179">
        <f>+C13+365</f>
        <v>40178</v>
      </c>
      <c r="E13" s="179">
        <f>+D13+365</f>
        <v>40543</v>
      </c>
      <c r="F13" s="179">
        <f>+E13+365</f>
        <v>40908</v>
      </c>
      <c r="G13" s="179">
        <f>+F13+366</f>
        <v>41274</v>
      </c>
      <c r="H13" s="179">
        <f>+G13+365</f>
        <v>41639</v>
      </c>
    </row>
    <row r="14" spans="1:245">
      <c r="A14" s="4" t="s">
        <v>1</v>
      </c>
      <c r="B14" s="3"/>
      <c r="C14" s="3"/>
      <c r="D14" s="3"/>
      <c r="E14" s="3"/>
      <c r="F14" s="3"/>
      <c r="G14" s="3"/>
      <c r="H14" s="3"/>
    </row>
    <row r="15" spans="1:245">
      <c r="A15" s="4" t="s">
        <v>0</v>
      </c>
      <c r="B15" s="11">
        <v>115922.944</v>
      </c>
      <c r="C15" s="11">
        <v>119214.595</v>
      </c>
      <c r="D15" s="11">
        <v>126799.44899999999</v>
      </c>
      <c r="E15" s="11">
        <v>131564.88936999999</v>
      </c>
      <c r="F15" s="11">
        <v>171945.29650999999</v>
      </c>
      <c r="G15" s="11">
        <v>266046.16443</v>
      </c>
      <c r="H15" s="11">
        <v>310171.64964000002</v>
      </c>
    </row>
    <row r="16" spans="1:245">
      <c r="A16" s="3" t="s">
        <v>8</v>
      </c>
      <c r="B16" s="12">
        <v>39936.53</v>
      </c>
      <c r="C16" s="12">
        <v>35844.875999999997</v>
      </c>
      <c r="D16" s="12">
        <v>34788.294999999998</v>
      </c>
      <c r="E16" s="12">
        <v>73202.868539999996</v>
      </c>
      <c r="F16" s="12">
        <v>60511.428249999997</v>
      </c>
      <c r="G16" s="12">
        <v>51203.203320000001</v>
      </c>
      <c r="H16" s="12">
        <v>54341.732040000003</v>
      </c>
    </row>
    <row r="17" spans="1:8">
      <c r="A17" s="3" t="s">
        <v>9</v>
      </c>
      <c r="B17" s="12">
        <v>20354.736000000001</v>
      </c>
      <c r="C17" s="12">
        <v>20382.632000000001</v>
      </c>
      <c r="D17" s="12">
        <v>20341.494999999999</v>
      </c>
      <c r="E17" s="12">
        <v>646.51103000000001</v>
      </c>
      <c r="F17" s="12">
        <v>1307.07629</v>
      </c>
      <c r="G17" s="12">
        <v>1463.8054400000001</v>
      </c>
      <c r="H17" s="12">
        <v>1880.0388</v>
      </c>
    </row>
    <row r="18" spans="1:8">
      <c r="A18" s="4" t="s">
        <v>63</v>
      </c>
      <c r="B18" s="13">
        <v>60291.266000000003</v>
      </c>
      <c r="C18" s="13">
        <v>56227.508000000002</v>
      </c>
      <c r="D18" s="13">
        <v>55129.79</v>
      </c>
      <c r="E18" s="13">
        <v>73849.379570000005</v>
      </c>
      <c r="F18" s="13">
        <v>61818.504540000002</v>
      </c>
      <c r="G18" s="13">
        <v>52667.008759999997</v>
      </c>
      <c r="H18" s="13">
        <v>56221.770839999997</v>
      </c>
    </row>
    <row r="19" spans="1:8">
      <c r="A19" s="3"/>
      <c r="B19" s="14"/>
      <c r="C19" s="14"/>
      <c r="D19" s="14"/>
      <c r="E19" s="14"/>
      <c r="F19" s="14"/>
      <c r="G19" s="14"/>
      <c r="H19" s="14"/>
    </row>
    <row r="20" spans="1:8">
      <c r="A20" s="3" t="s">
        <v>64</v>
      </c>
      <c r="B20" s="12">
        <v>-2404.6999999999998</v>
      </c>
      <c r="C20" s="12">
        <v>-8630.4</v>
      </c>
      <c r="D20" s="12">
        <v>-871.4</v>
      </c>
      <c r="E20" s="12">
        <v>-3410.4</v>
      </c>
      <c r="F20" s="12">
        <v>-157.5</v>
      </c>
      <c r="G20" s="12">
        <v>849.19227999999998</v>
      </c>
      <c r="H20" s="12">
        <v>73.452309999999997</v>
      </c>
    </row>
    <row r="21" spans="1:8">
      <c r="A21" s="3" t="s">
        <v>65</v>
      </c>
      <c r="B21" s="12">
        <v>-15373.9</v>
      </c>
      <c r="C21" s="12">
        <v>0</v>
      </c>
      <c r="D21" s="12">
        <v>238.2</v>
      </c>
      <c r="E21" s="12">
        <v>0</v>
      </c>
      <c r="F21" s="12">
        <v>0</v>
      </c>
      <c r="G21" s="12">
        <v>0</v>
      </c>
      <c r="H21" s="12">
        <v>0</v>
      </c>
    </row>
    <row r="22" spans="1:8">
      <c r="A22" s="3" t="s">
        <v>66</v>
      </c>
      <c r="B22" s="12">
        <v>0</v>
      </c>
      <c r="C22" s="12">
        <v>0</v>
      </c>
      <c r="D22" s="12">
        <v>96.045000000000002</v>
      </c>
      <c r="E22" s="12">
        <v>0</v>
      </c>
      <c r="F22" s="12">
        <v>0</v>
      </c>
      <c r="G22" s="12">
        <v>0</v>
      </c>
      <c r="H22" s="12">
        <v>0</v>
      </c>
    </row>
    <row r="23" spans="1:8">
      <c r="A23" s="3" t="s">
        <v>67</v>
      </c>
      <c r="B23" s="12">
        <v>0</v>
      </c>
      <c r="C23" s="12">
        <v>-8549.4</v>
      </c>
      <c r="D23" s="12">
        <v>-1553.7</v>
      </c>
      <c r="E23" s="12">
        <v>0</v>
      </c>
      <c r="F23" s="12">
        <v>0</v>
      </c>
      <c r="G23" s="12">
        <v>0</v>
      </c>
      <c r="H23" s="12">
        <v>0</v>
      </c>
    </row>
    <row r="24" spans="1:8">
      <c r="A24" s="3" t="s">
        <v>68</v>
      </c>
      <c r="B24" s="12">
        <v>0</v>
      </c>
      <c r="C24" s="12">
        <v>-41.5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</row>
    <row r="25" spans="1:8">
      <c r="A25" s="3" t="s">
        <v>69</v>
      </c>
      <c r="B25" s="12">
        <v>8267.89</v>
      </c>
      <c r="C25" s="12">
        <v>14797.511</v>
      </c>
      <c r="D25" s="12">
        <v>13328.396000000001</v>
      </c>
      <c r="E25" s="12">
        <v>-2887.4</v>
      </c>
      <c r="F25" s="12">
        <v>75230.673110000003</v>
      </c>
      <c r="G25" s="12">
        <v>10824.418750000001</v>
      </c>
      <c r="H25" s="12">
        <v>28873.066200000001</v>
      </c>
    </row>
    <row r="26" spans="1:8">
      <c r="A26" s="3" t="s">
        <v>70</v>
      </c>
      <c r="B26" s="12">
        <v>20997.179</v>
      </c>
      <c r="C26" s="12">
        <v>-3283</v>
      </c>
      <c r="D26" s="12">
        <v>-29408.400000000001</v>
      </c>
      <c r="E26" s="12">
        <v>15029.93111</v>
      </c>
      <c r="F26" s="12">
        <v>-1283.3</v>
      </c>
      <c r="G26" s="12">
        <v>-4046.8</v>
      </c>
      <c r="H26" s="12">
        <v>-20143.099999999999</v>
      </c>
    </row>
    <row r="27" spans="1:8">
      <c r="A27" s="3" t="s">
        <v>71</v>
      </c>
      <c r="B27" s="12">
        <v>4003.087</v>
      </c>
      <c r="C27" s="12">
        <v>-3902.2</v>
      </c>
      <c r="D27" s="12">
        <v>-1334.4</v>
      </c>
      <c r="E27" s="12">
        <v>-1735.4</v>
      </c>
      <c r="F27" s="12">
        <v>-11294.7</v>
      </c>
      <c r="G27" s="12">
        <v>-12395.5</v>
      </c>
      <c r="H27" s="12">
        <v>-658</v>
      </c>
    </row>
    <row r="28" spans="1:8">
      <c r="A28" s="3" t="s">
        <v>72</v>
      </c>
      <c r="B28" s="12">
        <v>5027.2529999999997</v>
      </c>
      <c r="C28" s="12">
        <v>9402.0630000000001</v>
      </c>
      <c r="D28" s="12">
        <v>-8488.5</v>
      </c>
      <c r="E28" s="12">
        <v>31714.339209999998</v>
      </c>
      <c r="F28" s="12">
        <v>34321.705000000002</v>
      </c>
      <c r="G28" s="12">
        <v>-10527.1</v>
      </c>
      <c r="H28" s="12">
        <v>13346.4408</v>
      </c>
    </row>
    <row r="29" spans="1:8">
      <c r="A29" s="3" t="s">
        <v>73</v>
      </c>
      <c r="B29" s="12">
        <v>25966.695</v>
      </c>
      <c r="C29" s="12"/>
      <c r="D29" s="12"/>
      <c r="E29" s="12"/>
      <c r="F29" s="12"/>
      <c r="G29" s="12"/>
      <c r="H29" s="12"/>
    </row>
    <row r="30" spans="1:8">
      <c r="A30" s="3" t="s">
        <v>74</v>
      </c>
      <c r="B30" s="12">
        <v>-2430.1999999999998</v>
      </c>
      <c r="C30" s="12">
        <v>-802.8</v>
      </c>
      <c r="D30" s="12">
        <v>3098.86</v>
      </c>
      <c r="E30" s="12">
        <v>0</v>
      </c>
      <c r="F30" s="12">
        <v>0</v>
      </c>
      <c r="G30" s="12">
        <v>0</v>
      </c>
      <c r="H30" s="12">
        <v>0</v>
      </c>
    </row>
    <row r="31" spans="1:8">
      <c r="A31" s="3" t="s">
        <v>75</v>
      </c>
      <c r="B31" s="12">
        <v>67769.167000000001</v>
      </c>
      <c r="C31" s="12">
        <v>-85183.8</v>
      </c>
      <c r="D31" s="12">
        <v>35982.529000000002</v>
      </c>
      <c r="E31" s="12">
        <v>-50629.4</v>
      </c>
      <c r="F31" s="12">
        <v>100329.209</v>
      </c>
      <c r="G31" s="12">
        <v>-54350.400000000001</v>
      </c>
      <c r="H31" s="12">
        <v>51774.87328</v>
      </c>
    </row>
    <row r="32" spans="1:8">
      <c r="A32" s="4" t="s">
        <v>76</v>
      </c>
      <c r="B32" s="13">
        <v>288036.587</v>
      </c>
      <c r="C32" s="13">
        <v>79984.676000000007</v>
      </c>
      <c r="D32" s="13">
        <v>178762.764</v>
      </c>
      <c r="E32" s="13">
        <v>193495.89163999999</v>
      </c>
      <c r="F32" s="13">
        <v>430909.79304000002</v>
      </c>
      <c r="G32" s="13">
        <v>249066.98125000001</v>
      </c>
      <c r="H32" s="13">
        <v>439660.14392</v>
      </c>
    </row>
    <row r="33" spans="1:8">
      <c r="A33" s="3"/>
      <c r="B33" s="14"/>
      <c r="C33" s="14"/>
      <c r="D33" s="14"/>
      <c r="E33" s="14"/>
      <c r="F33" s="14"/>
      <c r="G33" s="14"/>
      <c r="H33" s="14"/>
    </row>
    <row r="34" spans="1:8">
      <c r="A34" s="3" t="s">
        <v>77</v>
      </c>
      <c r="B34" s="12">
        <v>-27941.8</v>
      </c>
      <c r="C34" s="12">
        <v>-24923.9</v>
      </c>
      <c r="D34" s="12">
        <v>-32498.400000000001</v>
      </c>
      <c r="E34" s="12">
        <v>-40189.300000000003</v>
      </c>
      <c r="F34" s="12">
        <v>-67237.100000000006</v>
      </c>
      <c r="G34" s="12">
        <v>-54157.2</v>
      </c>
      <c r="H34" s="12">
        <v>-94961.3</v>
      </c>
    </row>
    <row r="35" spans="1:8">
      <c r="A35" s="3" t="s">
        <v>78</v>
      </c>
      <c r="B35" s="12">
        <v>2423.77</v>
      </c>
      <c r="C35" s="12">
        <v>809.89700000000005</v>
      </c>
      <c r="D35" s="12">
        <v>951.18</v>
      </c>
      <c r="E35" s="12">
        <v>15467.406000000001</v>
      </c>
      <c r="F35" s="12">
        <v>1543.22965</v>
      </c>
      <c r="G35" s="12">
        <v>824.12039000000004</v>
      </c>
      <c r="H35" s="12">
        <v>1144.5640800000001</v>
      </c>
    </row>
    <row r="36" spans="1:8">
      <c r="A36" s="3" t="s">
        <v>79</v>
      </c>
      <c r="B36" s="12">
        <v>37471</v>
      </c>
      <c r="C36" s="12">
        <v>13518.224</v>
      </c>
      <c r="D36" s="12">
        <v>289.61500000000001</v>
      </c>
      <c r="E36" s="12">
        <v>0</v>
      </c>
      <c r="F36" s="12">
        <v>0</v>
      </c>
      <c r="G36" s="12">
        <v>0</v>
      </c>
      <c r="H36" s="12">
        <v>0</v>
      </c>
    </row>
    <row r="37" spans="1:8">
      <c r="A37" s="3" t="s">
        <v>80</v>
      </c>
      <c r="B37" s="12">
        <v>-975.3</v>
      </c>
      <c r="C37" s="12">
        <v>-705.3</v>
      </c>
      <c r="D37" s="12">
        <v>-104.8</v>
      </c>
      <c r="E37" s="12">
        <v>-2008.5</v>
      </c>
      <c r="F37" s="12">
        <v>-1967.8</v>
      </c>
      <c r="G37" s="12">
        <v>-1823.5</v>
      </c>
      <c r="H37" s="12">
        <v>-2919.4</v>
      </c>
    </row>
    <row r="38" spans="1:8">
      <c r="A38" s="3" t="s">
        <v>81</v>
      </c>
      <c r="B38" s="12">
        <v>581.971</v>
      </c>
      <c r="C38" s="12">
        <v>88.433999999999997</v>
      </c>
      <c r="D38" s="12">
        <v>-43.4</v>
      </c>
      <c r="E38" s="12">
        <v>2.4700000000000002</v>
      </c>
      <c r="F38" s="12">
        <v>1.7050000000000001</v>
      </c>
      <c r="G38" s="12">
        <v>8.2814999999999994</v>
      </c>
      <c r="H38" s="12">
        <v>114.18677</v>
      </c>
    </row>
    <row r="39" spans="1:8">
      <c r="A39" s="3" t="s">
        <v>82</v>
      </c>
      <c r="B39" s="12">
        <v>10389.694</v>
      </c>
      <c r="C39" s="12">
        <v>-100.3</v>
      </c>
      <c r="D39" s="12">
        <v>941.40499999999997</v>
      </c>
      <c r="E39" s="12">
        <v>703.31399999999996</v>
      </c>
      <c r="F39" s="12">
        <v>1435.5665200000001</v>
      </c>
      <c r="G39" s="12">
        <v>893.74656000000004</v>
      </c>
      <c r="H39" s="12">
        <v>755.96244000000002</v>
      </c>
    </row>
    <row r="40" spans="1:8">
      <c r="A40" s="3" t="s">
        <v>83</v>
      </c>
      <c r="B40" s="12">
        <v>584.61300000000006</v>
      </c>
      <c r="C40" s="12">
        <v>7294.7860000000001</v>
      </c>
      <c r="D40" s="12">
        <v>529.64599999999996</v>
      </c>
      <c r="E40" s="12">
        <v>-683.7</v>
      </c>
      <c r="F40" s="12">
        <v>4079.1382100000001</v>
      </c>
      <c r="G40" s="12">
        <v>-1378.7</v>
      </c>
      <c r="H40" s="12">
        <v>-3355.9</v>
      </c>
    </row>
    <row r="41" spans="1:8">
      <c r="A41" s="4" t="s">
        <v>84</v>
      </c>
      <c r="B41" s="13">
        <v>22533.946</v>
      </c>
      <c r="C41" s="13">
        <v>-4018.2</v>
      </c>
      <c r="D41" s="13">
        <v>-29934.7</v>
      </c>
      <c r="E41" s="13">
        <v>-26708.3</v>
      </c>
      <c r="F41" s="13">
        <v>-62145.3</v>
      </c>
      <c r="G41" s="13">
        <v>-55633.3</v>
      </c>
      <c r="H41" s="13">
        <v>-99221.9</v>
      </c>
    </row>
    <row r="42" spans="1:8">
      <c r="A42" s="3"/>
      <c r="B42" s="14"/>
      <c r="C42" s="14"/>
      <c r="D42" s="14"/>
      <c r="E42" s="14"/>
      <c r="F42" s="14"/>
      <c r="G42" s="14"/>
      <c r="H42" s="14"/>
    </row>
    <row r="43" spans="1:8">
      <c r="A43" s="3" t="s">
        <v>85</v>
      </c>
      <c r="B43" s="12">
        <v>5275.3720000000003</v>
      </c>
      <c r="C43" s="12">
        <v>51850.678</v>
      </c>
      <c r="D43" s="12">
        <v>30781.22</v>
      </c>
      <c r="E43" s="12">
        <v>22318.951000000001</v>
      </c>
      <c r="F43" s="12">
        <v>0</v>
      </c>
      <c r="G43" s="12">
        <v>80806.582850000006</v>
      </c>
      <c r="H43" s="12">
        <v>26470.336729999999</v>
      </c>
    </row>
    <row r="44" spans="1:8">
      <c r="A44" s="3" t="s">
        <v>86</v>
      </c>
      <c r="B44" s="12">
        <v>0</v>
      </c>
      <c r="C44" s="12">
        <v>0</v>
      </c>
      <c r="D44" s="12">
        <v>434707.89299999998</v>
      </c>
      <c r="E44" s="12">
        <v>832075.54200000002</v>
      </c>
      <c r="F44" s="12">
        <v>0</v>
      </c>
      <c r="G44" s="12">
        <v>30000</v>
      </c>
      <c r="H44" s="12">
        <v>388000</v>
      </c>
    </row>
    <row r="45" spans="1:8">
      <c r="A45" s="4" t="s">
        <v>87</v>
      </c>
      <c r="B45" s="13">
        <v>5275.3720000000003</v>
      </c>
      <c r="C45" s="13">
        <v>51850.678</v>
      </c>
      <c r="D45" s="13">
        <v>465489.11300000001</v>
      </c>
      <c r="E45" s="13">
        <v>854394.49300000002</v>
      </c>
      <c r="F45" s="13">
        <v>0</v>
      </c>
      <c r="G45" s="13">
        <v>110806.58285000001</v>
      </c>
      <c r="H45" s="13">
        <v>414470.33672999998</v>
      </c>
    </row>
    <row r="46" spans="1:8">
      <c r="A46" s="3" t="s">
        <v>88</v>
      </c>
      <c r="B46" s="12">
        <v>-60009.4</v>
      </c>
      <c r="C46" s="12">
        <v>0</v>
      </c>
      <c r="D46" s="12">
        <v>-87224.2</v>
      </c>
      <c r="E46" s="12">
        <v>0</v>
      </c>
      <c r="F46" s="12">
        <v>-59670.1</v>
      </c>
      <c r="G46" s="12">
        <v>0</v>
      </c>
      <c r="H46" s="12">
        <v>0</v>
      </c>
    </row>
    <row r="47" spans="1:8">
      <c r="A47" s="3" t="s">
        <v>89</v>
      </c>
      <c r="B47" s="12">
        <v>-80116.800000000003</v>
      </c>
      <c r="C47" s="12">
        <v>-30000</v>
      </c>
      <c r="D47" s="12">
        <v>-40000</v>
      </c>
      <c r="E47" s="12">
        <v>-1094574.5</v>
      </c>
      <c r="F47" s="12">
        <v>-306000</v>
      </c>
      <c r="G47" s="12">
        <v>-184000</v>
      </c>
      <c r="H47" s="12">
        <v>0</v>
      </c>
    </row>
    <row r="48" spans="1:8">
      <c r="A48" s="4" t="s">
        <v>90</v>
      </c>
      <c r="B48" s="13">
        <v>-140126.29999999999</v>
      </c>
      <c r="C48" s="13">
        <v>-30000</v>
      </c>
      <c r="D48" s="13">
        <v>-127224.2</v>
      </c>
      <c r="E48" s="13">
        <v>-1094574.5</v>
      </c>
      <c r="F48" s="13">
        <v>-365670.1</v>
      </c>
      <c r="G48" s="13">
        <v>-184000</v>
      </c>
      <c r="H48" s="13">
        <v>0</v>
      </c>
    </row>
    <row r="49" spans="1:8">
      <c r="A49" s="3"/>
      <c r="B49" s="14"/>
      <c r="C49" s="14"/>
      <c r="D49" s="14"/>
      <c r="E49" s="14"/>
      <c r="F49" s="14"/>
      <c r="G49" s="14"/>
      <c r="H49" s="14"/>
    </row>
    <row r="50" spans="1:8">
      <c r="A50" s="3" t="s">
        <v>91</v>
      </c>
      <c r="B50" s="12">
        <v>0</v>
      </c>
      <c r="C50" s="12">
        <v>0</v>
      </c>
      <c r="D50" s="12">
        <v>2220</v>
      </c>
      <c r="E50" s="12">
        <v>571210.18999999994</v>
      </c>
      <c r="F50" s="12">
        <v>0</v>
      </c>
      <c r="G50" s="12">
        <v>0</v>
      </c>
      <c r="H50" s="12">
        <v>0</v>
      </c>
    </row>
    <row r="51" spans="1:8">
      <c r="A51" s="3" t="s">
        <v>92</v>
      </c>
      <c r="B51" s="12">
        <v>0</v>
      </c>
      <c r="C51" s="12">
        <v>0</v>
      </c>
      <c r="D51" s="12">
        <v>-434708.9</v>
      </c>
      <c r="E51" s="12">
        <v>-459985.9</v>
      </c>
      <c r="F51" s="12">
        <v>0</v>
      </c>
      <c r="G51" s="12">
        <v>0</v>
      </c>
      <c r="H51" s="12">
        <v>0</v>
      </c>
    </row>
    <row r="52" spans="1:8">
      <c r="A52" s="3"/>
      <c r="B52" s="14"/>
      <c r="C52" s="14"/>
      <c r="D52" s="14"/>
      <c r="E52" s="14"/>
      <c r="F52" s="14"/>
      <c r="G52" s="14"/>
      <c r="H52" s="14"/>
    </row>
    <row r="53" spans="1:8">
      <c r="A53" s="3" t="s">
        <v>93</v>
      </c>
      <c r="B53" s="12">
        <v>-44116</v>
      </c>
      <c r="C53" s="12">
        <v>-157300.4</v>
      </c>
      <c r="D53" s="12">
        <v>0</v>
      </c>
      <c r="E53" s="12">
        <v>0</v>
      </c>
      <c r="F53" s="12">
        <v>-10900</v>
      </c>
      <c r="G53" s="12">
        <v>-110000</v>
      </c>
      <c r="H53" s="12">
        <v>-488500</v>
      </c>
    </row>
    <row r="54" spans="1:8">
      <c r="A54" s="4" t="s">
        <v>94</v>
      </c>
      <c r="B54" s="13">
        <v>-44116</v>
      </c>
      <c r="C54" s="13">
        <v>-157300.4</v>
      </c>
      <c r="D54" s="13">
        <v>0</v>
      </c>
      <c r="E54" s="13">
        <v>0</v>
      </c>
      <c r="F54" s="13">
        <v>-10900</v>
      </c>
      <c r="G54" s="13">
        <v>-110000</v>
      </c>
      <c r="H54" s="13">
        <v>-488500</v>
      </c>
    </row>
    <row r="55" spans="1:8">
      <c r="A55" s="3"/>
      <c r="B55" s="14"/>
      <c r="C55" s="14"/>
      <c r="D55" s="14"/>
      <c r="E55" s="14"/>
      <c r="F55" s="14"/>
      <c r="G55" s="14"/>
      <c r="H55" s="14"/>
    </row>
    <row r="56" spans="1:8">
      <c r="A56" s="3" t="s">
        <v>95</v>
      </c>
      <c r="B56" s="12">
        <v>0</v>
      </c>
      <c r="C56" s="12">
        <v>0</v>
      </c>
      <c r="D56" s="12">
        <v>-2218.6999999999998</v>
      </c>
      <c r="E56" s="12">
        <v>-484.8</v>
      </c>
      <c r="F56" s="12">
        <v>10</v>
      </c>
      <c r="G56" s="12">
        <v>-52</v>
      </c>
      <c r="H56" s="12">
        <v>-24</v>
      </c>
    </row>
    <row r="57" spans="1:8">
      <c r="A57" s="4" t="s">
        <v>96</v>
      </c>
      <c r="B57" s="13">
        <v>-178966.9</v>
      </c>
      <c r="C57" s="13">
        <v>-135449.79999999999</v>
      </c>
      <c r="D57" s="13">
        <v>-96442.7</v>
      </c>
      <c r="E57" s="13">
        <v>-129440.6</v>
      </c>
      <c r="F57" s="13">
        <v>-376560.1</v>
      </c>
      <c r="G57" s="13">
        <v>-183245.4</v>
      </c>
      <c r="H57" s="13">
        <v>-74053.7</v>
      </c>
    </row>
    <row r="58" spans="1:8">
      <c r="A58" s="3"/>
      <c r="B58" s="14"/>
      <c r="C58" s="14"/>
      <c r="D58" s="14"/>
      <c r="E58" s="14"/>
      <c r="F58" s="14"/>
      <c r="G58" s="14"/>
      <c r="H58" s="14"/>
    </row>
    <row r="59" spans="1:8">
      <c r="A59" s="4" t="s">
        <v>97</v>
      </c>
      <c r="B59" s="15">
        <v>131603.652</v>
      </c>
      <c r="C59" s="15">
        <v>-59483.199999999997</v>
      </c>
      <c r="D59" s="15">
        <v>52385.39</v>
      </c>
      <c r="E59" s="15">
        <v>37359.038999999997</v>
      </c>
      <c r="F59" s="15">
        <v>-7855.5</v>
      </c>
      <c r="G59" s="15">
        <v>10257.098</v>
      </c>
      <c r="H59" s="15">
        <v>266382.80800000002</v>
      </c>
    </row>
    <row r="60" spans="1:8">
      <c r="A60" s="3"/>
      <c r="B60" s="3"/>
      <c r="C60" s="3"/>
      <c r="D60" s="3"/>
      <c r="E60" s="3"/>
      <c r="F60" s="3"/>
      <c r="G60" s="3"/>
      <c r="H60" s="3"/>
    </row>
  </sheetData>
  <phoneticPr fontId="0" type="noConversion"/>
  <pageMargins left="0.2" right="0.2" top="0.5" bottom="0.5" header="0.5" footer="0.5"/>
  <pageSetup fitToWidth="0" fitToHeight="0" orientation="landscape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73"/>
  <sheetViews>
    <sheetView workbookViewId="0"/>
  </sheetViews>
  <sheetFormatPr defaultRowHeight="10.199999999999999"/>
  <cols>
    <col min="1" max="1" width="3.77734375" customWidth="1"/>
    <col min="2" max="2" width="30.5546875" customWidth="1"/>
    <col min="3" max="3" width="17.44140625" bestFit="1" customWidth="1"/>
    <col min="4" max="4" width="17.5546875" bestFit="1" customWidth="1"/>
    <col min="5" max="5" width="17.44140625" bestFit="1" customWidth="1"/>
    <col min="6" max="6" width="17.5546875" bestFit="1" customWidth="1"/>
    <col min="7" max="7" width="15.77734375" customWidth="1"/>
    <col min="8" max="8" width="10.77734375" bestFit="1" customWidth="1"/>
  </cols>
  <sheetData>
    <row r="1" spans="1:6">
      <c r="A1" s="2" t="s">
        <v>263</v>
      </c>
    </row>
    <row r="2" spans="1:6" ht="13.2">
      <c r="B2" s="71" t="s">
        <v>264</v>
      </c>
    </row>
    <row r="4" spans="1:6">
      <c r="A4" s="2" t="s">
        <v>25</v>
      </c>
    </row>
    <row r="5" spans="1:6">
      <c r="A5" s="2"/>
      <c r="B5" s="72" t="s">
        <v>265</v>
      </c>
      <c r="D5" s="73">
        <v>1000000</v>
      </c>
      <c r="E5" s="73"/>
      <c r="F5" s="72" t="s">
        <v>472</v>
      </c>
    </row>
    <row r="6" spans="1:6">
      <c r="B6" s="74" t="s">
        <v>714</v>
      </c>
      <c r="C6" s="322">
        <v>2008.12</v>
      </c>
      <c r="D6" s="324"/>
      <c r="E6" s="331">
        <v>2009.12</v>
      </c>
      <c r="F6" s="323"/>
    </row>
    <row r="7" spans="1:6">
      <c r="B7" s="75" t="s">
        <v>715</v>
      </c>
      <c r="C7" s="76"/>
      <c r="D7" s="77"/>
      <c r="E7" s="76"/>
      <c r="F7" s="76"/>
    </row>
    <row r="8" spans="1:6">
      <c r="B8" s="75" t="s">
        <v>266</v>
      </c>
      <c r="C8" s="95">
        <v>0</v>
      </c>
      <c r="D8" s="94">
        <v>339045.18135799997</v>
      </c>
      <c r="E8" s="95">
        <v>0</v>
      </c>
      <c r="F8" s="95">
        <v>422042.33168100001</v>
      </c>
    </row>
    <row r="9" spans="1:6">
      <c r="B9" s="75" t="s">
        <v>267</v>
      </c>
      <c r="C9" s="95">
        <v>0</v>
      </c>
      <c r="D9" s="94">
        <v>286887.32264999999</v>
      </c>
      <c r="E9" s="95">
        <v>0</v>
      </c>
      <c r="F9" s="95">
        <v>368550.073668</v>
      </c>
    </row>
    <row r="10" spans="1:6">
      <c r="B10" s="78" t="s">
        <v>268</v>
      </c>
      <c r="C10" s="95">
        <v>81719.096858000004</v>
      </c>
      <c r="D10" s="94">
        <v>0</v>
      </c>
      <c r="E10" s="95">
        <v>134104.48734299999</v>
      </c>
      <c r="F10" s="95">
        <v>0</v>
      </c>
    </row>
    <row r="11" spans="1:6">
      <c r="B11" s="78" t="s">
        <v>269</v>
      </c>
      <c r="C11" s="95">
        <v>218112.47014799999</v>
      </c>
      <c r="D11" s="94">
        <v>0</v>
      </c>
      <c r="E11" s="95">
        <v>249749.44603399999</v>
      </c>
      <c r="F11" s="95">
        <v>0</v>
      </c>
    </row>
    <row r="12" spans="1:6">
      <c r="B12" s="78" t="s">
        <v>270</v>
      </c>
      <c r="C12" s="95">
        <v>-29030.692825999999</v>
      </c>
      <c r="D12" s="94">
        <v>0</v>
      </c>
      <c r="E12" s="95">
        <v>-31213.609808000001</v>
      </c>
      <c r="F12" s="95">
        <v>0</v>
      </c>
    </row>
    <row r="13" spans="1:6">
      <c r="B13" s="78" t="s">
        <v>271</v>
      </c>
      <c r="C13" s="95">
        <v>2110.658273</v>
      </c>
      <c r="D13" s="94">
        <v>0</v>
      </c>
      <c r="E13" s="95">
        <v>1574.6837129999999</v>
      </c>
      <c r="F13" s="95">
        <v>0</v>
      </c>
    </row>
    <row r="14" spans="1:6">
      <c r="B14" s="78" t="s">
        <v>270</v>
      </c>
      <c r="C14" s="95">
        <v>-240.36110300000001</v>
      </c>
      <c r="D14" s="94">
        <v>0</v>
      </c>
      <c r="E14" s="95">
        <v>-240.36110300000001</v>
      </c>
      <c r="F14" s="95">
        <v>0</v>
      </c>
    </row>
    <row r="15" spans="1:6">
      <c r="B15" s="78" t="s">
        <v>272</v>
      </c>
      <c r="C15" s="95">
        <v>250</v>
      </c>
      <c r="D15" s="94">
        <v>0</v>
      </c>
      <c r="E15" s="95" t="s">
        <v>273</v>
      </c>
      <c r="F15" s="95">
        <v>0</v>
      </c>
    </row>
    <row r="16" spans="1:6">
      <c r="B16" s="78" t="s">
        <v>274</v>
      </c>
      <c r="C16" s="95">
        <v>114.03913900000001</v>
      </c>
      <c r="D16" s="94">
        <v>0</v>
      </c>
      <c r="E16" s="95">
        <v>103.51522199999999</v>
      </c>
      <c r="F16" s="95">
        <v>0</v>
      </c>
    </row>
    <row r="17" spans="2:6">
      <c r="B17" s="78" t="s">
        <v>275</v>
      </c>
      <c r="C17" s="95">
        <v>1080.390355</v>
      </c>
      <c r="D17" s="94">
        <v>0</v>
      </c>
      <c r="E17" s="95">
        <v>3597.2094769999999</v>
      </c>
      <c r="F17" s="95">
        <v>0</v>
      </c>
    </row>
    <row r="18" spans="2:6">
      <c r="B18" s="78" t="s">
        <v>276</v>
      </c>
      <c r="C18" s="95">
        <v>188.98</v>
      </c>
      <c r="D18" s="94">
        <v>0</v>
      </c>
      <c r="E18" s="95">
        <v>4.2350000000000003</v>
      </c>
      <c r="F18" s="95">
        <v>0</v>
      </c>
    </row>
    <row r="19" spans="2:6">
      <c r="B19" s="78" t="s">
        <v>277</v>
      </c>
      <c r="C19" s="95" t="s">
        <v>273</v>
      </c>
      <c r="D19" s="94">
        <v>0</v>
      </c>
      <c r="E19" s="95">
        <v>214.90201099999999</v>
      </c>
      <c r="F19" s="95">
        <v>0</v>
      </c>
    </row>
    <row r="20" spans="2:6">
      <c r="B20" s="78" t="s">
        <v>278</v>
      </c>
      <c r="C20" s="95">
        <v>226.201965</v>
      </c>
      <c r="D20" s="94">
        <v>0</v>
      </c>
      <c r="E20" s="95">
        <v>776.41008499999998</v>
      </c>
      <c r="F20" s="95">
        <v>0</v>
      </c>
    </row>
    <row r="21" spans="2:6">
      <c r="B21" s="78" t="s">
        <v>279</v>
      </c>
      <c r="C21" s="95">
        <v>12356.539841</v>
      </c>
      <c r="D21" s="94">
        <v>0</v>
      </c>
      <c r="E21" s="95">
        <v>9879.1556939999991</v>
      </c>
      <c r="F21" s="95">
        <v>0</v>
      </c>
    </row>
    <row r="22" spans="2:6">
      <c r="B22" s="75" t="s">
        <v>280</v>
      </c>
      <c r="C22" s="95">
        <v>0</v>
      </c>
      <c r="D22" s="94">
        <v>52157.858708</v>
      </c>
      <c r="E22" s="95">
        <v>0</v>
      </c>
      <c r="F22" s="95">
        <v>53492.258012999999</v>
      </c>
    </row>
    <row r="23" spans="2:6">
      <c r="B23" s="78" t="s">
        <v>281</v>
      </c>
      <c r="C23" s="95">
        <v>9789.9654129999999</v>
      </c>
      <c r="D23" s="94">
        <v>0</v>
      </c>
      <c r="E23" s="95">
        <v>8069.5017049999997</v>
      </c>
      <c r="F23" s="95">
        <v>0</v>
      </c>
    </row>
    <row r="24" spans="2:6">
      <c r="B24" s="78" t="s">
        <v>282</v>
      </c>
      <c r="C24" s="95">
        <v>-80.042788000000002</v>
      </c>
      <c r="D24" s="94">
        <v>0</v>
      </c>
      <c r="E24" s="95">
        <v>-101.642985</v>
      </c>
      <c r="F24" s="95">
        <v>0</v>
      </c>
    </row>
    <row r="25" spans="2:6">
      <c r="B25" s="78" t="s">
        <v>283</v>
      </c>
      <c r="C25" s="95">
        <v>10526.066325</v>
      </c>
      <c r="D25" s="94">
        <v>0</v>
      </c>
      <c r="E25" s="95">
        <v>18631.856747999998</v>
      </c>
      <c r="F25" s="95">
        <v>0</v>
      </c>
    </row>
    <row r="26" spans="2:6">
      <c r="B26" s="78" t="s">
        <v>284</v>
      </c>
      <c r="C26" s="95">
        <v>1559.762066</v>
      </c>
      <c r="D26" s="94">
        <v>0</v>
      </c>
      <c r="E26" s="95">
        <v>1599.1536840000001</v>
      </c>
      <c r="F26" s="95">
        <v>0</v>
      </c>
    </row>
    <row r="27" spans="2:6">
      <c r="B27" s="78" t="s">
        <v>285</v>
      </c>
      <c r="C27" s="95">
        <v>24101.728351000002</v>
      </c>
      <c r="D27" s="94">
        <v>0</v>
      </c>
      <c r="E27" s="95">
        <v>23290.792529999999</v>
      </c>
      <c r="F27" s="95">
        <v>0</v>
      </c>
    </row>
    <row r="28" spans="2:6">
      <c r="B28" s="78" t="s">
        <v>286</v>
      </c>
      <c r="C28" s="95">
        <v>4939.6033580000003</v>
      </c>
      <c r="D28" s="94">
        <v>0</v>
      </c>
      <c r="E28" s="95">
        <v>1109.8460580000001</v>
      </c>
      <c r="F28" s="95">
        <v>0</v>
      </c>
    </row>
    <row r="29" spans="2:6">
      <c r="B29" s="78" t="s">
        <v>287</v>
      </c>
      <c r="C29" s="95">
        <v>1320.775983</v>
      </c>
      <c r="D29" s="94">
        <v>0</v>
      </c>
      <c r="E29" s="95">
        <v>892.75027299999999</v>
      </c>
      <c r="F29" s="95">
        <v>0</v>
      </c>
    </row>
    <row r="30" spans="2:6">
      <c r="B30" s="75" t="s">
        <v>288</v>
      </c>
      <c r="C30" s="95">
        <v>0</v>
      </c>
      <c r="D30" s="94">
        <v>883094.22016200004</v>
      </c>
      <c r="E30" s="95">
        <v>0</v>
      </c>
      <c r="F30" s="95">
        <v>860094.272857</v>
      </c>
    </row>
    <row r="31" spans="2:6">
      <c r="B31" s="75" t="s">
        <v>289</v>
      </c>
      <c r="C31" s="95">
        <v>0</v>
      </c>
      <c r="D31" s="94">
        <v>3709.4660140000001</v>
      </c>
      <c r="E31" s="95">
        <v>0</v>
      </c>
      <c r="F31" s="95">
        <v>5251.1456690000005</v>
      </c>
    </row>
    <row r="32" spans="2:6">
      <c r="B32" s="78" t="s">
        <v>290</v>
      </c>
      <c r="C32" s="95">
        <v>23.816499</v>
      </c>
      <c r="D32" s="94">
        <v>0</v>
      </c>
      <c r="E32" s="95">
        <v>23.816499</v>
      </c>
      <c r="F32" s="95">
        <v>0</v>
      </c>
    </row>
    <row r="33" spans="2:6">
      <c r="B33" s="78" t="s">
        <v>276</v>
      </c>
      <c r="C33" s="95">
        <v>74.285880000000006</v>
      </c>
      <c r="D33" s="94">
        <v>0</v>
      </c>
      <c r="E33" s="95">
        <v>64.205879999999993</v>
      </c>
      <c r="F33" s="95">
        <v>0</v>
      </c>
    </row>
    <row r="34" spans="2:6">
      <c r="B34" s="78" t="s">
        <v>291</v>
      </c>
      <c r="C34" s="95">
        <v>2349.3550460000001</v>
      </c>
      <c r="D34" s="94">
        <v>0</v>
      </c>
      <c r="E34" s="95">
        <v>3901.114701</v>
      </c>
      <c r="F34" s="95">
        <v>0</v>
      </c>
    </row>
    <row r="35" spans="2:6">
      <c r="B35" s="78" t="s">
        <v>292</v>
      </c>
      <c r="C35" s="95">
        <v>1262.008589</v>
      </c>
      <c r="D35" s="94">
        <v>0</v>
      </c>
      <c r="E35" s="95">
        <v>1262.008589</v>
      </c>
      <c r="F35" s="95">
        <v>0</v>
      </c>
    </row>
    <row r="36" spans="2:6">
      <c r="B36" s="75" t="s">
        <v>293</v>
      </c>
      <c r="C36" s="95">
        <v>0</v>
      </c>
      <c r="D36" s="94">
        <v>596454.35794300004</v>
      </c>
      <c r="E36" s="95">
        <v>0</v>
      </c>
      <c r="F36" s="95">
        <v>593634.67320199998</v>
      </c>
    </row>
    <row r="37" spans="2:6">
      <c r="B37" s="78" t="s">
        <v>294</v>
      </c>
      <c r="C37" s="95">
        <v>354838.75420000002</v>
      </c>
      <c r="D37" s="94">
        <v>0</v>
      </c>
      <c r="E37" s="95">
        <v>354619.56819999998</v>
      </c>
      <c r="F37" s="95">
        <v>0</v>
      </c>
    </row>
    <row r="38" spans="2:6">
      <c r="B38" s="78" t="s">
        <v>295</v>
      </c>
      <c r="C38" s="95">
        <v>197294.33960199999</v>
      </c>
      <c r="D38" s="94">
        <v>0</v>
      </c>
      <c r="E38" s="95">
        <v>198139.64522199999</v>
      </c>
      <c r="F38" s="95">
        <v>0</v>
      </c>
    </row>
    <row r="39" spans="2:6">
      <c r="B39" s="78" t="s">
        <v>296</v>
      </c>
      <c r="C39" s="95">
        <v>-53176.363293000002</v>
      </c>
      <c r="D39" s="94">
        <v>0</v>
      </c>
      <c r="E39" s="95">
        <v>-58099.793419000001</v>
      </c>
      <c r="F39" s="95">
        <v>0</v>
      </c>
    </row>
    <row r="40" spans="2:6">
      <c r="B40" s="78" t="s">
        <v>297</v>
      </c>
      <c r="C40" s="95">
        <v>44480.767164999997</v>
      </c>
      <c r="D40" s="94">
        <v>0</v>
      </c>
      <c r="E40" s="95">
        <v>44883.798114999998</v>
      </c>
      <c r="F40" s="95">
        <v>0</v>
      </c>
    </row>
    <row r="41" spans="2:6">
      <c r="B41" s="78" t="s">
        <v>296</v>
      </c>
      <c r="C41" s="95">
        <v>-23263.284014000001</v>
      </c>
      <c r="D41" s="94">
        <v>0</v>
      </c>
      <c r="E41" s="95">
        <v>-25155.059346999999</v>
      </c>
      <c r="F41" s="95">
        <v>0</v>
      </c>
    </row>
    <row r="42" spans="2:6">
      <c r="B42" s="78" t="s">
        <v>298</v>
      </c>
      <c r="C42" s="95" t="s">
        <v>273</v>
      </c>
      <c r="D42" s="94">
        <v>0</v>
      </c>
      <c r="E42" s="95">
        <v>-24.234369000000001</v>
      </c>
      <c r="F42" s="95">
        <v>0</v>
      </c>
    </row>
    <row r="43" spans="2:6">
      <c r="B43" s="78" t="s">
        <v>299</v>
      </c>
      <c r="C43" s="95">
        <v>465570.66318500001</v>
      </c>
      <c r="D43" s="94">
        <v>0</v>
      </c>
      <c r="E43" s="95">
        <v>473922.10804100003</v>
      </c>
      <c r="F43" s="95">
        <v>0</v>
      </c>
    </row>
    <row r="44" spans="2:6">
      <c r="B44" s="78" t="s">
        <v>296</v>
      </c>
      <c r="C44" s="95">
        <v>-415512.46812699997</v>
      </c>
      <c r="D44" s="94">
        <v>0</v>
      </c>
      <c r="E44" s="95">
        <v>-429375.57240900001</v>
      </c>
      <c r="F44" s="95">
        <v>0</v>
      </c>
    </row>
    <row r="45" spans="2:6">
      <c r="B45" s="78" t="s">
        <v>298</v>
      </c>
      <c r="C45" s="95" t="s">
        <v>273</v>
      </c>
      <c r="D45" s="94">
        <v>0</v>
      </c>
      <c r="E45" s="95">
        <v>-71.810625000000002</v>
      </c>
      <c r="F45" s="95">
        <v>0</v>
      </c>
    </row>
    <row r="46" spans="2:6">
      <c r="B46" s="78" t="s">
        <v>300</v>
      </c>
      <c r="C46" s="95">
        <v>98372.943127999999</v>
      </c>
      <c r="D46" s="94">
        <v>0</v>
      </c>
      <c r="E46" s="95">
        <v>106995.096187</v>
      </c>
      <c r="F46" s="95">
        <v>0</v>
      </c>
    </row>
    <row r="47" spans="2:6">
      <c r="B47" s="78" t="s">
        <v>296</v>
      </c>
      <c r="C47" s="95">
        <v>-84572.160388000004</v>
      </c>
      <c r="D47" s="94">
        <v>0</v>
      </c>
      <c r="E47" s="95">
        <v>-87964.870769000001</v>
      </c>
      <c r="F47" s="95">
        <v>0</v>
      </c>
    </row>
    <row r="48" spans="2:6">
      <c r="B48" s="78" t="s">
        <v>301</v>
      </c>
      <c r="C48" s="95">
        <v>3872.7260139999999</v>
      </c>
      <c r="D48" s="94">
        <v>0</v>
      </c>
      <c r="E48" s="95">
        <v>4087.8679780000002</v>
      </c>
      <c r="F48" s="95">
        <v>0</v>
      </c>
    </row>
    <row r="49" spans="2:6">
      <c r="B49" s="78" t="s">
        <v>296</v>
      </c>
      <c r="C49" s="95">
        <v>-2900.2510430000002</v>
      </c>
      <c r="D49" s="94">
        <v>0</v>
      </c>
      <c r="E49" s="95">
        <v>-2960.3549130000001</v>
      </c>
      <c r="F49" s="95">
        <v>0</v>
      </c>
    </row>
    <row r="50" spans="2:6">
      <c r="B50" s="78" t="s">
        <v>302</v>
      </c>
      <c r="C50" s="95">
        <v>6272.3337860000001</v>
      </c>
      <c r="D50" s="94">
        <v>0</v>
      </c>
      <c r="E50" s="95">
        <v>6624.4295860000002</v>
      </c>
      <c r="F50" s="95">
        <v>0</v>
      </c>
    </row>
    <row r="51" spans="2:6">
      <c r="B51" s="78" t="s">
        <v>296</v>
      </c>
      <c r="C51" s="95">
        <v>-4953.1111259999998</v>
      </c>
      <c r="D51" s="94">
        <v>0</v>
      </c>
      <c r="E51" s="95">
        <v>-5579.0018380000001</v>
      </c>
      <c r="F51" s="95">
        <v>0</v>
      </c>
    </row>
    <row r="52" spans="2:6">
      <c r="B52" s="78" t="s">
        <v>303</v>
      </c>
      <c r="C52" s="95">
        <v>42880.228276000002</v>
      </c>
      <c r="D52" s="94">
        <v>0</v>
      </c>
      <c r="E52" s="95">
        <v>44830.408441</v>
      </c>
      <c r="F52" s="95">
        <v>0</v>
      </c>
    </row>
    <row r="53" spans="2:6">
      <c r="B53" s="78" t="s">
        <v>296</v>
      </c>
      <c r="C53" s="95">
        <v>-32855.747767000001</v>
      </c>
      <c r="D53" s="94">
        <v>0</v>
      </c>
      <c r="E53" s="95">
        <v>-33597.565197000004</v>
      </c>
      <c r="F53" s="95">
        <v>0</v>
      </c>
    </row>
    <row r="54" spans="2:6">
      <c r="B54" s="78" t="s">
        <v>304</v>
      </c>
      <c r="C54" s="95">
        <v>104.988345</v>
      </c>
      <c r="D54" s="94">
        <v>0</v>
      </c>
      <c r="E54" s="95">
        <v>2360.014318</v>
      </c>
      <c r="F54" s="95">
        <v>0</v>
      </c>
    </row>
    <row r="55" spans="2:6">
      <c r="B55" s="75" t="s">
        <v>305</v>
      </c>
      <c r="C55" s="95">
        <v>0</v>
      </c>
      <c r="D55" s="94">
        <v>209943.94461000001</v>
      </c>
      <c r="E55" s="95">
        <v>0</v>
      </c>
      <c r="F55" s="95">
        <v>189710.92988400001</v>
      </c>
    </row>
    <row r="56" spans="2:6">
      <c r="B56" s="78" t="s">
        <v>306</v>
      </c>
      <c r="C56" s="95">
        <v>207826.93247599999</v>
      </c>
      <c r="D56" s="94">
        <v>0</v>
      </c>
      <c r="E56" s="95">
        <v>188184.65104</v>
      </c>
      <c r="F56" s="95">
        <v>0</v>
      </c>
    </row>
    <row r="57" spans="2:6">
      <c r="B57" s="78" t="s">
        <v>307</v>
      </c>
      <c r="C57" s="95">
        <v>792.60066300000005</v>
      </c>
      <c r="D57" s="94">
        <v>0</v>
      </c>
      <c r="E57" s="95">
        <v>679.69330100000002</v>
      </c>
      <c r="F57" s="95">
        <v>0</v>
      </c>
    </row>
    <row r="58" spans="2:6">
      <c r="B58" s="78" t="s">
        <v>308</v>
      </c>
      <c r="C58" s="95">
        <v>1324.4114709999999</v>
      </c>
      <c r="D58" s="94">
        <v>0</v>
      </c>
      <c r="E58" s="95">
        <v>846.58554300000003</v>
      </c>
      <c r="F58" s="95">
        <v>0</v>
      </c>
    </row>
    <row r="59" spans="2:6">
      <c r="B59" s="75" t="s">
        <v>309</v>
      </c>
      <c r="C59" s="95">
        <v>0</v>
      </c>
      <c r="D59" s="94">
        <v>72986.451595000006</v>
      </c>
      <c r="E59" s="95">
        <v>0</v>
      </c>
      <c r="F59" s="95">
        <v>71497.524101999996</v>
      </c>
    </row>
    <row r="60" spans="2:6">
      <c r="B60" s="78" t="s">
        <v>310</v>
      </c>
      <c r="C60" s="95">
        <v>56947.647194999998</v>
      </c>
      <c r="D60" s="94">
        <v>0</v>
      </c>
      <c r="E60" s="95">
        <v>53825.102207999997</v>
      </c>
      <c r="F60" s="95">
        <v>0</v>
      </c>
    </row>
    <row r="61" spans="2:6">
      <c r="B61" s="78" t="s">
        <v>270</v>
      </c>
      <c r="C61" s="95">
        <v>-18470.921600999998</v>
      </c>
      <c r="D61" s="94">
        <v>0</v>
      </c>
      <c r="E61" s="95">
        <v>-15413.936385999999</v>
      </c>
      <c r="F61" s="95">
        <v>0</v>
      </c>
    </row>
    <row r="62" spans="2:6">
      <c r="B62" s="78" t="s">
        <v>311</v>
      </c>
      <c r="C62" s="95">
        <v>4306.1767300000001</v>
      </c>
      <c r="D62" s="94">
        <v>0</v>
      </c>
      <c r="E62" s="95">
        <v>332.23599999999999</v>
      </c>
      <c r="F62" s="95">
        <v>0</v>
      </c>
    </row>
    <row r="63" spans="2:6">
      <c r="B63" s="78" t="s">
        <v>270</v>
      </c>
      <c r="C63" s="95">
        <v>-4306.1767300000001</v>
      </c>
      <c r="D63" s="94">
        <v>0</v>
      </c>
      <c r="E63" s="95">
        <v>-332.23599999999999</v>
      </c>
      <c r="F63" s="95">
        <v>0</v>
      </c>
    </row>
    <row r="64" spans="2:6">
      <c r="B64" s="78" t="s">
        <v>312</v>
      </c>
      <c r="C64" s="95">
        <v>9423.1651290000009</v>
      </c>
      <c r="D64" s="94">
        <v>0</v>
      </c>
      <c r="E64" s="95">
        <v>8731.76</v>
      </c>
      <c r="F64" s="95">
        <v>0</v>
      </c>
    </row>
    <row r="65" spans="2:7">
      <c r="B65" s="78" t="s">
        <v>313</v>
      </c>
      <c r="C65" s="95">
        <v>22827.958306</v>
      </c>
      <c r="D65" s="94">
        <v>0</v>
      </c>
      <c r="E65" s="95">
        <v>22343.009835000001</v>
      </c>
      <c r="F65" s="95">
        <v>0</v>
      </c>
    </row>
    <row r="66" spans="2:7">
      <c r="B66" s="78" t="s">
        <v>314</v>
      </c>
      <c r="C66" s="95">
        <v>2258.602566</v>
      </c>
      <c r="D66" s="94">
        <v>0</v>
      </c>
      <c r="E66" s="95">
        <v>2011.5884450000001</v>
      </c>
      <c r="F66" s="95">
        <v>0</v>
      </c>
    </row>
    <row r="67" spans="2:7">
      <c r="B67" s="75" t="s">
        <v>716</v>
      </c>
      <c r="C67" s="95">
        <v>0</v>
      </c>
      <c r="D67" s="94">
        <v>1222139.4015200001</v>
      </c>
      <c r="E67" s="95">
        <v>0</v>
      </c>
      <c r="F67" s="95">
        <v>1282136.604538</v>
      </c>
    </row>
    <row r="68" spans="2:7">
      <c r="B68" s="75" t="s">
        <v>717</v>
      </c>
      <c r="C68" s="95">
        <v>0</v>
      </c>
      <c r="D68" s="94">
        <v>0</v>
      </c>
      <c r="E68" s="95">
        <v>0</v>
      </c>
      <c r="F68" s="95">
        <v>0</v>
      </c>
    </row>
    <row r="69" spans="2:7">
      <c r="B69" s="75" t="s">
        <v>315</v>
      </c>
      <c r="C69" s="95">
        <v>0</v>
      </c>
      <c r="D69" s="94">
        <v>366572.19444300001</v>
      </c>
      <c r="E69" s="95">
        <v>0</v>
      </c>
      <c r="F69" s="95">
        <v>298892.68723799998</v>
      </c>
      <c r="G69" s="97">
        <f>E71+E84+E85</f>
        <v>436050.39559700002</v>
      </c>
    </row>
    <row r="70" spans="2:7">
      <c r="B70" s="78" t="s">
        <v>316</v>
      </c>
      <c r="C70" s="95">
        <v>33300.753674</v>
      </c>
      <c r="D70" s="94">
        <v>0</v>
      </c>
      <c r="E70" s="95">
        <v>24499.906048000001</v>
      </c>
      <c r="F70" s="95">
        <v>0</v>
      </c>
    </row>
    <row r="71" spans="2:7">
      <c r="B71" s="78" t="s">
        <v>317</v>
      </c>
      <c r="C71" s="95">
        <v>57020.227591000003</v>
      </c>
      <c r="D71" s="94">
        <v>0</v>
      </c>
      <c r="E71" s="95">
        <v>543.51779999999997</v>
      </c>
      <c r="F71" s="95">
        <v>0</v>
      </c>
    </row>
    <row r="72" spans="2:7">
      <c r="B72" s="78" t="s">
        <v>318</v>
      </c>
      <c r="C72" s="95">
        <v>45320.419010999998</v>
      </c>
      <c r="D72" s="94">
        <v>0</v>
      </c>
      <c r="E72" s="95">
        <v>49192.720657999998</v>
      </c>
      <c r="F72" s="95">
        <v>0</v>
      </c>
    </row>
    <row r="73" spans="2:7">
      <c r="B73" s="78" t="s">
        <v>319</v>
      </c>
      <c r="C73" s="95">
        <v>37381.151951</v>
      </c>
      <c r="D73" s="94">
        <v>0</v>
      </c>
      <c r="E73" s="95">
        <v>23127.110713999999</v>
      </c>
      <c r="F73" s="95">
        <v>0</v>
      </c>
    </row>
    <row r="74" spans="2:7">
      <c r="B74" s="78" t="s">
        <v>320</v>
      </c>
      <c r="C74" s="95">
        <v>267.693129</v>
      </c>
      <c r="D74" s="94">
        <v>0</v>
      </c>
      <c r="E74" s="95">
        <v>257.994058</v>
      </c>
      <c r="F74" s="95">
        <v>0</v>
      </c>
    </row>
    <row r="75" spans="2:7">
      <c r="B75" s="78" t="s">
        <v>321</v>
      </c>
      <c r="C75" s="95">
        <v>128787.626722</v>
      </c>
      <c r="D75" s="94">
        <v>0</v>
      </c>
      <c r="E75" s="95">
        <v>176021.93910300001</v>
      </c>
      <c r="F75" s="95">
        <v>0</v>
      </c>
    </row>
    <row r="76" spans="2:7">
      <c r="B76" s="78" t="s">
        <v>322</v>
      </c>
      <c r="C76" s="95">
        <v>3816.4045799999999</v>
      </c>
      <c r="D76" s="94">
        <v>0</v>
      </c>
      <c r="E76" s="95">
        <v>1476.9025979999999</v>
      </c>
      <c r="F76" s="95">
        <v>0</v>
      </c>
    </row>
    <row r="77" spans="2:7">
      <c r="B77" s="78" t="s">
        <v>323</v>
      </c>
      <c r="C77" s="95">
        <v>130.539132</v>
      </c>
      <c r="D77" s="94">
        <v>0</v>
      </c>
      <c r="E77" s="95">
        <v>177.142301</v>
      </c>
      <c r="F77" s="95">
        <v>0</v>
      </c>
    </row>
    <row r="78" spans="2:7">
      <c r="B78" s="78" t="s">
        <v>324</v>
      </c>
      <c r="C78" s="95">
        <v>20179.092404999999</v>
      </c>
      <c r="D78" s="94">
        <v>0</v>
      </c>
      <c r="E78" s="95">
        <v>23110.835687999999</v>
      </c>
      <c r="F78" s="95">
        <v>0</v>
      </c>
    </row>
    <row r="79" spans="2:7">
      <c r="B79" s="78" t="s">
        <v>325</v>
      </c>
      <c r="C79" s="95">
        <v>126.11</v>
      </c>
      <c r="D79" s="94">
        <v>0</v>
      </c>
      <c r="E79" s="95">
        <v>126.11</v>
      </c>
      <c r="F79" s="95">
        <v>0</v>
      </c>
    </row>
    <row r="80" spans="2:7">
      <c r="B80" s="78" t="s">
        <v>277</v>
      </c>
      <c r="C80" s="95" t="s">
        <v>273</v>
      </c>
      <c r="D80" s="94">
        <v>0</v>
      </c>
      <c r="E80" s="95">
        <v>357.77826700000003</v>
      </c>
      <c r="F80" s="95">
        <v>0</v>
      </c>
    </row>
    <row r="81" spans="2:6">
      <c r="B81" s="78" t="s">
        <v>326</v>
      </c>
      <c r="C81" s="95">
        <v>40000</v>
      </c>
      <c r="D81" s="94">
        <v>0</v>
      </c>
      <c r="E81" s="95" t="s">
        <v>273</v>
      </c>
      <c r="F81" s="95">
        <v>0</v>
      </c>
    </row>
    <row r="82" spans="2:6">
      <c r="B82" s="78" t="s">
        <v>327</v>
      </c>
      <c r="C82" s="95">
        <v>242.17624799999999</v>
      </c>
      <c r="D82" s="94">
        <v>0</v>
      </c>
      <c r="E82" s="95">
        <v>0.73000299999999996</v>
      </c>
      <c r="F82" s="95">
        <v>0</v>
      </c>
    </row>
    <row r="83" spans="2:6">
      <c r="B83" s="75" t="s">
        <v>328</v>
      </c>
      <c r="C83" s="95">
        <v>0</v>
      </c>
      <c r="D83" s="94">
        <v>44903.970459999997</v>
      </c>
      <c r="E83" s="95">
        <v>0</v>
      </c>
      <c r="F83" s="95">
        <v>480612.349147</v>
      </c>
    </row>
    <row r="84" spans="2:6">
      <c r="B84" s="78" t="s">
        <v>329</v>
      </c>
      <c r="C84" s="95" t="s">
        <v>273</v>
      </c>
      <c r="D84" s="94">
        <v>0</v>
      </c>
      <c r="E84" s="95">
        <v>155482.28640000001</v>
      </c>
      <c r="F84" s="95">
        <v>0</v>
      </c>
    </row>
    <row r="85" spans="2:6">
      <c r="B85" s="78" t="s">
        <v>330</v>
      </c>
      <c r="C85" s="95" t="s">
        <v>273</v>
      </c>
      <c r="D85" s="94">
        <v>0</v>
      </c>
      <c r="E85" s="95">
        <v>280024.59139700001</v>
      </c>
      <c r="F85" s="95">
        <v>0</v>
      </c>
    </row>
    <row r="86" spans="2:6">
      <c r="B86" s="78" t="s">
        <v>331</v>
      </c>
      <c r="C86" s="95">
        <v>42392.945133000001</v>
      </c>
      <c r="D86" s="94">
        <v>0</v>
      </c>
      <c r="E86" s="95">
        <v>39702.110056999998</v>
      </c>
      <c r="F86" s="95">
        <v>0</v>
      </c>
    </row>
    <row r="87" spans="2:6">
      <c r="B87" s="78" t="s">
        <v>332</v>
      </c>
      <c r="C87" s="95">
        <v>-29401.504134999999</v>
      </c>
      <c r="D87" s="94">
        <v>0</v>
      </c>
      <c r="E87" s="95">
        <v>-27239.307026999999</v>
      </c>
      <c r="F87" s="95">
        <v>0</v>
      </c>
    </row>
    <row r="88" spans="2:6">
      <c r="B88" s="78" t="s">
        <v>333</v>
      </c>
      <c r="C88" s="95">
        <v>-418.4282</v>
      </c>
      <c r="D88" s="94">
        <v>0</v>
      </c>
      <c r="E88" s="95">
        <v>-270.82589999999999</v>
      </c>
      <c r="F88" s="95">
        <v>0</v>
      </c>
    </row>
    <row r="89" spans="2:6">
      <c r="B89" s="78" t="s">
        <v>334</v>
      </c>
      <c r="C89" s="95">
        <v>32330.957662000001</v>
      </c>
      <c r="D89" s="94">
        <v>0</v>
      </c>
      <c r="E89" s="95">
        <v>32913.49422</v>
      </c>
      <c r="F89" s="95">
        <v>0</v>
      </c>
    </row>
    <row r="90" spans="2:6">
      <c r="B90" s="75" t="s">
        <v>718</v>
      </c>
      <c r="C90" s="95">
        <v>0</v>
      </c>
      <c r="D90" s="94">
        <v>411476.164903</v>
      </c>
      <c r="E90" s="95">
        <v>0</v>
      </c>
      <c r="F90" s="95">
        <v>779505.03638499998</v>
      </c>
    </row>
    <row r="91" spans="2:6">
      <c r="B91" s="75" t="s">
        <v>719</v>
      </c>
      <c r="C91" s="95">
        <v>0</v>
      </c>
      <c r="D91" s="94">
        <v>0</v>
      </c>
      <c r="E91" s="95">
        <v>0</v>
      </c>
      <c r="F91" s="95">
        <v>0</v>
      </c>
    </row>
    <row r="92" spans="2:6">
      <c r="B92" s="75" t="s">
        <v>335</v>
      </c>
      <c r="C92" s="95">
        <v>0</v>
      </c>
      <c r="D92" s="94">
        <v>53800</v>
      </c>
      <c r="E92" s="95">
        <v>0</v>
      </c>
      <c r="F92" s="95">
        <v>41222</v>
      </c>
    </row>
    <row r="93" spans="2:6">
      <c r="B93" s="78" t="s">
        <v>336</v>
      </c>
      <c r="C93" s="95">
        <v>52800</v>
      </c>
      <c r="D93" s="94">
        <v>0</v>
      </c>
      <c r="E93" s="95">
        <v>40222</v>
      </c>
      <c r="F93" s="95">
        <v>0</v>
      </c>
    </row>
    <row r="94" spans="2:6">
      <c r="B94" s="78" t="s">
        <v>337</v>
      </c>
      <c r="C94" s="95">
        <v>1000</v>
      </c>
      <c r="D94" s="94">
        <v>0</v>
      </c>
      <c r="E94" s="95">
        <v>1000</v>
      </c>
      <c r="F94" s="95">
        <v>0</v>
      </c>
    </row>
    <row r="95" spans="2:6">
      <c r="B95" s="75" t="s">
        <v>338</v>
      </c>
      <c r="C95" s="95">
        <v>0</v>
      </c>
      <c r="D95" s="94">
        <v>464625.33500000002</v>
      </c>
      <c r="E95" s="95">
        <v>0</v>
      </c>
      <c r="F95" s="95">
        <v>42495.797720000002</v>
      </c>
    </row>
    <row r="96" spans="2:6">
      <c r="B96" s="78" t="s">
        <v>339</v>
      </c>
      <c r="C96" s="95">
        <v>464625.33500000002</v>
      </c>
      <c r="D96" s="94">
        <v>0</v>
      </c>
      <c r="E96" s="95">
        <v>2404.6694000000002</v>
      </c>
      <c r="F96" s="95">
        <v>0</v>
      </c>
    </row>
    <row r="97" spans="1:6">
      <c r="B97" s="78" t="s">
        <v>340</v>
      </c>
      <c r="C97" s="95" t="s">
        <v>273</v>
      </c>
      <c r="D97" s="94">
        <v>0</v>
      </c>
      <c r="E97" s="95">
        <v>40091.128320000003</v>
      </c>
      <c r="F97" s="95">
        <v>0</v>
      </c>
    </row>
    <row r="98" spans="1:6">
      <c r="B98" s="75" t="s">
        <v>341</v>
      </c>
      <c r="C98" s="95">
        <v>0</v>
      </c>
      <c r="D98" s="94" t="s">
        <v>273</v>
      </c>
      <c r="E98" s="95">
        <v>0</v>
      </c>
      <c r="F98" s="95">
        <v>-1.45536</v>
      </c>
    </row>
    <row r="99" spans="1:6">
      <c r="B99" s="78" t="s">
        <v>342</v>
      </c>
      <c r="C99" s="95" t="s">
        <v>273</v>
      </c>
      <c r="D99" s="94">
        <v>0</v>
      </c>
      <c r="E99" s="95">
        <v>-1.45536</v>
      </c>
      <c r="F99" s="95">
        <v>0</v>
      </c>
    </row>
    <row r="100" spans="1:6">
      <c r="B100" s="75" t="s">
        <v>343</v>
      </c>
      <c r="C100" s="95">
        <v>0</v>
      </c>
      <c r="D100" s="94">
        <v>137132.84963000001</v>
      </c>
      <c r="E100" s="95">
        <v>0</v>
      </c>
      <c r="F100" s="95">
        <v>137010.72435199999</v>
      </c>
    </row>
    <row r="101" spans="1:6">
      <c r="B101" s="78" t="s">
        <v>344</v>
      </c>
      <c r="C101" s="95" t="s">
        <v>273</v>
      </c>
      <c r="D101" s="94">
        <v>0</v>
      </c>
      <c r="E101" s="95">
        <v>-271.19592599999999</v>
      </c>
      <c r="F101" s="95">
        <v>0</v>
      </c>
    </row>
    <row r="102" spans="1:6">
      <c r="B102" s="78" t="s">
        <v>345</v>
      </c>
      <c r="C102" s="95" t="s">
        <v>273</v>
      </c>
      <c r="D102" s="94">
        <v>0</v>
      </c>
      <c r="E102" s="95">
        <v>162.895724</v>
      </c>
      <c r="F102" s="95">
        <v>0</v>
      </c>
    </row>
    <row r="103" spans="1:6">
      <c r="B103" s="78" t="s">
        <v>346</v>
      </c>
      <c r="C103" s="95">
        <v>137132.84963000001</v>
      </c>
      <c r="D103" s="94">
        <v>0</v>
      </c>
      <c r="E103" s="95">
        <v>137119.024554</v>
      </c>
      <c r="F103" s="95">
        <v>0</v>
      </c>
    </row>
    <row r="104" spans="1:6">
      <c r="B104" s="75" t="s">
        <v>347</v>
      </c>
      <c r="C104" s="95">
        <v>0</v>
      </c>
      <c r="D104" s="94">
        <v>155105.05198700001</v>
      </c>
      <c r="E104" s="95">
        <v>0</v>
      </c>
      <c r="F104" s="95">
        <v>281904.50144099997</v>
      </c>
    </row>
    <row r="105" spans="1:6">
      <c r="B105" s="78" t="s">
        <v>348</v>
      </c>
      <c r="C105" s="95">
        <v>19654.144</v>
      </c>
      <c r="D105" s="94">
        <v>0</v>
      </c>
      <c r="E105" s="95">
        <v>29042.243999999999</v>
      </c>
      <c r="F105" s="95">
        <v>0</v>
      </c>
    </row>
    <row r="106" spans="1:6">
      <c r="B106" s="78" t="s">
        <v>349</v>
      </c>
      <c r="C106" s="95">
        <v>135450.90798700001</v>
      </c>
      <c r="D106" s="94">
        <v>0</v>
      </c>
      <c r="E106" s="95">
        <v>252862.25744099999</v>
      </c>
      <c r="F106" s="95">
        <v>0</v>
      </c>
    </row>
    <row r="107" spans="1:6">
      <c r="B107" s="75" t="s">
        <v>720</v>
      </c>
      <c r="C107" s="95">
        <v>0</v>
      </c>
      <c r="D107" s="94">
        <v>810663.23661699996</v>
      </c>
      <c r="E107" s="95">
        <v>0</v>
      </c>
      <c r="F107" s="95">
        <v>502631.56815299997</v>
      </c>
    </row>
    <row r="108" spans="1:6">
      <c r="B108" s="79" t="s">
        <v>721</v>
      </c>
      <c r="C108" s="134">
        <v>0</v>
      </c>
      <c r="D108" s="96">
        <v>1222139.4015200001</v>
      </c>
      <c r="E108" s="134">
        <v>0</v>
      </c>
      <c r="F108" s="134">
        <v>1282136.604538</v>
      </c>
    </row>
    <row r="109" spans="1:6">
      <c r="B109" s="80"/>
      <c r="C109" s="153"/>
      <c r="D109" s="153"/>
      <c r="E109" s="153"/>
      <c r="F109" s="153"/>
    </row>
    <row r="110" spans="1:6">
      <c r="A110" s="2" t="s">
        <v>3</v>
      </c>
    </row>
    <row r="111" spans="1:6">
      <c r="B111" s="72" t="s">
        <v>265</v>
      </c>
      <c r="D111" s="73"/>
      <c r="E111" s="73"/>
      <c r="F111" s="72" t="s">
        <v>472</v>
      </c>
    </row>
    <row r="112" spans="1:6" ht="14.1" customHeight="1">
      <c r="B112" s="74" t="s">
        <v>714</v>
      </c>
      <c r="C112" s="322">
        <v>2008.12</v>
      </c>
      <c r="D112" s="324"/>
      <c r="E112" s="322">
        <v>2009.12</v>
      </c>
      <c r="F112" s="323"/>
    </row>
    <row r="113" spans="2:6" ht="12.6" customHeight="1">
      <c r="B113" s="75" t="s">
        <v>350</v>
      </c>
      <c r="C113" s="95">
        <v>0</v>
      </c>
      <c r="D113" s="94">
        <v>750526.94293899997</v>
      </c>
      <c r="E113" s="95">
        <v>0</v>
      </c>
      <c r="F113" s="95">
        <v>816110.18687400001</v>
      </c>
    </row>
    <row r="114" spans="2:6" ht="12.6" customHeight="1">
      <c r="B114" s="75" t="s">
        <v>351</v>
      </c>
      <c r="C114" s="95">
        <v>1388443.3905189999</v>
      </c>
      <c r="D114" s="94">
        <v>0</v>
      </c>
      <c r="E114" s="95">
        <v>1496974.0442250001</v>
      </c>
      <c r="F114" s="95">
        <v>0</v>
      </c>
    </row>
    <row r="115" spans="2:6" ht="12.6" customHeight="1">
      <c r="B115" s="75" t="s">
        <v>352</v>
      </c>
      <c r="C115" s="95">
        <v>3946.5062800000001</v>
      </c>
      <c r="D115" s="94">
        <v>0</v>
      </c>
      <c r="E115" s="95">
        <v>4283.4982099999997</v>
      </c>
      <c r="F115" s="95">
        <v>0</v>
      </c>
    </row>
    <row r="116" spans="2:6" ht="12.6" customHeight="1">
      <c r="B116" s="75" t="s">
        <v>353</v>
      </c>
      <c r="C116" s="95">
        <v>-641862.95386000001</v>
      </c>
      <c r="D116" s="94">
        <v>0</v>
      </c>
      <c r="E116" s="95">
        <v>-685147.35556099995</v>
      </c>
      <c r="F116" s="95">
        <v>0</v>
      </c>
    </row>
    <row r="117" spans="2:6" ht="12.6" customHeight="1">
      <c r="B117" s="75" t="s">
        <v>354</v>
      </c>
      <c r="C117" s="95">
        <v>0</v>
      </c>
      <c r="D117" s="94">
        <v>311618.008875</v>
      </c>
      <c r="E117" s="95">
        <v>0</v>
      </c>
      <c r="F117" s="95">
        <v>346672.53416699998</v>
      </c>
    </row>
    <row r="118" spans="2:6" ht="12.6" customHeight="1">
      <c r="B118" s="75" t="s">
        <v>355</v>
      </c>
      <c r="C118" s="95">
        <v>310746.069189</v>
      </c>
      <c r="D118" s="94">
        <v>0</v>
      </c>
      <c r="E118" s="95">
        <v>345930.19449999998</v>
      </c>
      <c r="F118" s="95">
        <v>0</v>
      </c>
    </row>
    <row r="119" spans="2:6" ht="12.6" customHeight="1">
      <c r="B119" s="78" t="s">
        <v>356</v>
      </c>
      <c r="C119" s="95">
        <v>8627.9379580000004</v>
      </c>
      <c r="D119" s="94">
        <v>0</v>
      </c>
      <c r="E119" s="95">
        <v>9709.9226249999992</v>
      </c>
      <c r="F119" s="95">
        <v>0</v>
      </c>
    </row>
    <row r="120" spans="2:6" ht="12.6" customHeight="1">
      <c r="B120" s="78" t="s">
        <v>357</v>
      </c>
      <c r="C120" s="95">
        <v>313237.33331800002</v>
      </c>
      <c r="D120" s="94">
        <v>0</v>
      </c>
      <c r="E120" s="95">
        <v>344931.97757400002</v>
      </c>
      <c r="F120" s="95">
        <v>0</v>
      </c>
    </row>
    <row r="121" spans="2:6" ht="12.6" customHeight="1">
      <c r="B121" s="78" t="s">
        <v>100</v>
      </c>
      <c r="C121" s="95">
        <v>321865.27127600001</v>
      </c>
      <c r="D121" s="94">
        <v>0</v>
      </c>
      <c r="E121" s="95">
        <v>354641.90019900003</v>
      </c>
      <c r="F121" s="95">
        <v>0</v>
      </c>
    </row>
    <row r="122" spans="2:6" ht="12.6" customHeight="1">
      <c r="B122" s="78" t="s">
        <v>358</v>
      </c>
      <c r="C122" s="95">
        <v>-1409.279462</v>
      </c>
      <c r="D122" s="94">
        <v>0</v>
      </c>
      <c r="E122" s="95">
        <v>-743.84697900000003</v>
      </c>
      <c r="F122" s="95">
        <v>0</v>
      </c>
    </row>
    <row r="123" spans="2:6" ht="12.6" customHeight="1">
      <c r="B123" s="78" t="s">
        <v>359</v>
      </c>
      <c r="C123" s="95">
        <v>-9709.9226249999992</v>
      </c>
      <c r="D123" s="94">
        <v>0</v>
      </c>
      <c r="E123" s="95">
        <v>-7967.8587200000002</v>
      </c>
      <c r="F123" s="95">
        <v>0</v>
      </c>
    </row>
    <row r="124" spans="2:6" ht="12.6" customHeight="1">
      <c r="B124" s="75" t="s">
        <v>360</v>
      </c>
      <c r="C124" s="95">
        <v>871.93968600000005</v>
      </c>
      <c r="D124" s="94">
        <v>0</v>
      </c>
      <c r="E124" s="95">
        <v>742.33966699999996</v>
      </c>
      <c r="F124" s="95">
        <v>0</v>
      </c>
    </row>
    <row r="125" spans="2:6" ht="12.6" customHeight="1">
      <c r="B125" s="75" t="s">
        <v>361</v>
      </c>
      <c r="C125" s="95">
        <v>0</v>
      </c>
      <c r="D125" s="94">
        <v>438908.93406399997</v>
      </c>
      <c r="E125" s="95">
        <v>0</v>
      </c>
      <c r="F125" s="95">
        <v>469437.65270699997</v>
      </c>
    </row>
    <row r="126" spans="2:6" ht="12.6" customHeight="1">
      <c r="B126" s="75" t="s">
        <v>362</v>
      </c>
      <c r="C126" s="95">
        <v>0</v>
      </c>
      <c r="D126" s="94">
        <v>268809.383004</v>
      </c>
      <c r="E126" s="95">
        <v>0</v>
      </c>
      <c r="F126" s="95">
        <v>273131.99738800002</v>
      </c>
    </row>
    <row r="127" spans="2:6" ht="12.6" customHeight="1">
      <c r="B127" s="75" t="s">
        <v>363</v>
      </c>
      <c r="C127" s="95">
        <v>0</v>
      </c>
      <c r="D127" s="94">
        <v>170099.55106</v>
      </c>
      <c r="E127" s="95">
        <v>0</v>
      </c>
      <c r="F127" s="95">
        <v>196305.65531900001</v>
      </c>
    </row>
    <row r="128" spans="2:6" ht="12.6" customHeight="1">
      <c r="B128" s="75" t="s">
        <v>364</v>
      </c>
      <c r="C128" s="95">
        <v>0</v>
      </c>
      <c r="D128" s="94">
        <v>39027.532190999998</v>
      </c>
      <c r="E128" s="95">
        <v>0</v>
      </c>
      <c r="F128" s="98">
        <v>25489.455287000001</v>
      </c>
    </row>
    <row r="129" spans="2:7" ht="12.6" customHeight="1">
      <c r="B129" s="75" t="s">
        <v>365</v>
      </c>
      <c r="C129" s="95">
        <v>14630.322095</v>
      </c>
      <c r="D129" s="94">
        <v>0</v>
      </c>
      <c r="E129" s="98">
        <v>12756.581486999999</v>
      </c>
      <c r="F129" s="95">
        <v>0</v>
      </c>
    </row>
    <row r="130" spans="2:7" ht="12.6" customHeight="1">
      <c r="B130" s="75" t="s">
        <v>366</v>
      </c>
      <c r="C130" s="95">
        <v>41.475000000000001</v>
      </c>
      <c r="D130" s="94">
        <v>0</v>
      </c>
      <c r="E130" s="95" t="s">
        <v>273</v>
      </c>
      <c r="F130" s="95">
        <v>0</v>
      </c>
    </row>
    <row r="131" spans="2:7" ht="12.6" customHeight="1">
      <c r="B131" s="75" t="s">
        <v>367</v>
      </c>
      <c r="C131" s="95">
        <v>553.72749999999996</v>
      </c>
      <c r="D131" s="94">
        <v>0</v>
      </c>
      <c r="E131" s="98">
        <v>56.754829999999998</v>
      </c>
      <c r="F131" s="95">
        <v>0</v>
      </c>
    </row>
    <row r="132" spans="2:7" ht="12.6" customHeight="1">
      <c r="B132" s="75" t="s">
        <v>368</v>
      </c>
      <c r="C132" s="95">
        <v>2260.6321710000002</v>
      </c>
      <c r="D132" s="94">
        <v>0</v>
      </c>
      <c r="E132" s="98">
        <v>7496.7865670000001</v>
      </c>
      <c r="F132" s="95">
        <v>0</v>
      </c>
      <c r="G132" s="97">
        <f>E132+E133-E140-E141</f>
        <v>3222.2555549999997</v>
      </c>
    </row>
    <row r="133" spans="2:7" ht="12.6" customHeight="1">
      <c r="B133" s="75" t="s">
        <v>369</v>
      </c>
      <c r="C133" s="95">
        <v>638.80202999999995</v>
      </c>
      <c r="D133" s="94">
        <v>0</v>
      </c>
      <c r="E133" s="98">
        <v>366.20288499999998</v>
      </c>
      <c r="F133" s="95">
        <v>0</v>
      </c>
      <c r="G133" s="97"/>
    </row>
    <row r="134" spans="2:7" ht="12.6" customHeight="1">
      <c r="B134" s="75" t="s">
        <v>370</v>
      </c>
      <c r="C134" s="95">
        <v>8549.3550460000006</v>
      </c>
      <c r="D134" s="94">
        <v>0</v>
      </c>
      <c r="E134" s="95">
        <v>1553.6796549999999</v>
      </c>
      <c r="F134" s="95">
        <v>0</v>
      </c>
      <c r="G134" s="97"/>
    </row>
    <row r="135" spans="2:7" ht="12.6" customHeight="1">
      <c r="B135" s="75" t="s">
        <v>371</v>
      </c>
      <c r="C135" s="95">
        <v>8958.2774320000008</v>
      </c>
      <c r="D135" s="94">
        <v>0</v>
      </c>
      <c r="E135" s="98">
        <v>1015.706337</v>
      </c>
      <c r="F135" s="95">
        <v>0</v>
      </c>
      <c r="G135" s="97">
        <f>E135-E144</f>
        <v>871.43611499999997</v>
      </c>
    </row>
    <row r="136" spans="2:7" ht="12.6" customHeight="1">
      <c r="B136" s="75" t="s">
        <v>372</v>
      </c>
      <c r="C136" s="95">
        <v>186.182087</v>
      </c>
      <c r="D136" s="94">
        <v>0</v>
      </c>
      <c r="E136" s="95" t="s">
        <v>273</v>
      </c>
      <c r="F136" s="95">
        <v>0</v>
      </c>
      <c r="G136" s="97"/>
    </row>
    <row r="137" spans="2:7" ht="12.6" customHeight="1">
      <c r="B137" s="75" t="s">
        <v>373</v>
      </c>
      <c r="C137" s="95">
        <v>3208.7588300000002</v>
      </c>
      <c r="D137" s="94">
        <v>0</v>
      </c>
      <c r="E137" s="95">
        <v>2243.7435260000002</v>
      </c>
      <c r="F137" s="95">
        <v>0</v>
      </c>
      <c r="G137" s="97">
        <f>E129-E139-E131</f>
        <v>7560.8997839999993</v>
      </c>
    </row>
    <row r="138" spans="2:7" ht="12.6" customHeight="1">
      <c r="B138" s="75" t="s">
        <v>374</v>
      </c>
      <c r="C138" s="95">
        <v>0</v>
      </c>
      <c r="D138" s="94">
        <v>9636.6857070000005</v>
      </c>
      <c r="E138" s="95">
        <v>0</v>
      </c>
      <c r="F138" s="98">
        <v>44227.63953</v>
      </c>
      <c r="G138" s="97">
        <f>F128-F138</f>
        <v>-18738.184243</v>
      </c>
    </row>
    <row r="139" spans="2:7" ht="12.6" customHeight="1">
      <c r="B139" s="75" t="s">
        <v>375</v>
      </c>
      <c r="C139" s="95">
        <v>3224.2567680000002</v>
      </c>
      <c r="D139" s="94">
        <v>0</v>
      </c>
      <c r="E139" s="98">
        <v>5138.9268730000003</v>
      </c>
      <c r="F139" s="95">
        <v>0</v>
      </c>
      <c r="G139" s="97"/>
    </row>
    <row r="140" spans="2:7" ht="12.6" customHeight="1">
      <c r="B140" s="75" t="s">
        <v>376</v>
      </c>
      <c r="C140" s="95">
        <v>4392.1559100000004</v>
      </c>
      <c r="D140" s="94">
        <v>0</v>
      </c>
      <c r="E140" s="98">
        <v>3807.5166239999999</v>
      </c>
      <c r="F140" s="95">
        <v>0</v>
      </c>
      <c r="G140" s="97">
        <f>E134+E137-E142-E145-E146-E147-E148-E149</f>
        <v>-30268.085357</v>
      </c>
    </row>
    <row r="141" spans="2:7" ht="12.6" customHeight="1">
      <c r="B141" s="75" t="s">
        <v>377</v>
      </c>
      <c r="C141" s="95">
        <v>518.74289099999999</v>
      </c>
      <c r="D141" s="94">
        <v>0</v>
      </c>
      <c r="E141" s="98">
        <v>833.21727299999998</v>
      </c>
      <c r="F141" s="95">
        <v>0</v>
      </c>
      <c r="G141" s="97"/>
    </row>
    <row r="142" spans="2:7" ht="12.6" customHeight="1">
      <c r="B142" s="75" t="s">
        <v>378</v>
      </c>
      <c r="C142" s="95">
        <v>88</v>
      </c>
      <c r="D142" s="94">
        <v>0</v>
      </c>
      <c r="E142" s="95">
        <v>84.908908999999994</v>
      </c>
      <c r="F142" s="95">
        <v>0</v>
      </c>
      <c r="G142" s="97"/>
    </row>
    <row r="143" spans="2:7" ht="12.6" customHeight="1">
      <c r="B143" s="75" t="s">
        <v>379</v>
      </c>
      <c r="C143" s="95" t="s">
        <v>273</v>
      </c>
      <c r="D143" s="94">
        <v>0</v>
      </c>
      <c r="E143" s="98">
        <v>238.2</v>
      </c>
      <c r="F143" s="95">
        <v>0</v>
      </c>
      <c r="G143" s="97"/>
    </row>
    <row r="144" spans="2:7" ht="12.6" customHeight="1">
      <c r="B144" s="75" t="s">
        <v>380</v>
      </c>
      <c r="C144" s="95">
        <v>514.03027399999996</v>
      </c>
      <c r="D144" s="94">
        <v>0</v>
      </c>
      <c r="E144" s="98">
        <v>144.27022199999999</v>
      </c>
      <c r="F144" s="95">
        <v>0</v>
      </c>
      <c r="G144" s="97"/>
    </row>
    <row r="145" spans="1:7" ht="12.6" customHeight="1">
      <c r="B145" s="75" t="s">
        <v>381</v>
      </c>
      <c r="C145" s="95" t="s">
        <v>273</v>
      </c>
      <c r="D145" s="94">
        <v>0</v>
      </c>
      <c r="E145" s="95">
        <v>96.044994000000003</v>
      </c>
      <c r="F145" s="95">
        <v>0</v>
      </c>
      <c r="G145" s="97"/>
    </row>
    <row r="146" spans="1:7" ht="12.6" customHeight="1">
      <c r="B146" s="75" t="s">
        <v>382</v>
      </c>
      <c r="C146" s="95">
        <v>37.13259</v>
      </c>
      <c r="D146" s="94">
        <v>0</v>
      </c>
      <c r="E146" s="95">
        <v>46.603169000000001</v>
      </c>
      <c r="F146" s="95">
        <v>0</v>
      </c>
      <c r="G146" s="97"/>
    </row>
    <row r="147" spans="1:7" ht="12.6" customHeight="1">
      <c r="B147" s="75" t="s">
        <v>383</v>
      </c>
      <c r="C147" s="95">
        <v>492.55</v>
      </c>
      <c r="D147" s="94">
        <v>0</v>
      </c>
      <c r="E147" s="95">
        <v>5425.3</v>
      </c>
      <c r="F147" s="95">
        <v>0</v>
      </c>
      <c r="G147" s="97"/>
    </row>
    <row r="148" spans="1:7" ht="12.6" customHeight="1">
      <c r="B148" s="75" t="s">
        <v>384</v>
      </c>
      <c r="C148" s="95">
        <v>369.817274</v>
      </c>
      <c r="D148" s="94">
        <v>0</v>
      </c>
      <c r="E148" s="95">
        <v>4049.6514659999998</v>
      </c>
      <c r="F148" s="95">
        <v>0</v>
      </c>
      <c r="G148" s="97"/>
    </row>
    <row r="149" spans="1:7" ht="12.6" customHeight="1">
      <c r="B149" s="75" t="s">
        <v>385</v>
      </c>
      <c r="C149" s="95" t="s">
        <v>273</v>
      </c>
      <c r="D149" s="94">
        <v>0</v>
      </c>
      <c r="E149" s="95">
        <v>24363</v>
      </c>
      <c r="F149" s="95">
        <v>0</v>
      </c>
      <c r="G149" s="97"/>
    </row>
    <row r="150" spans="1:7" ht="12.6" customHeight="1">
      <c r="B150" s="75" t="s">
        <v>386</v>
      </c>
      <c r="C150" s="95">
        <v>0</v>
      </c>
      <c r="D150" s="94">
        <v>199490.39754400001</v>
      </c>
      <c r="E150" s="95">
        <v>0</v>
      </c>
      <c r="F150" s="95">
        <v>177567.47107599999</v>
      </c>
      <c r="G150" s="97"/>
    </row>
    <row r="151" spans="1:7" ht="12.6" customHeight="1">
      <c r="B151" s="75" t="s">
        <v>387</v>
      </c>
      <c r="C151" s="95">
        <v>0</v>
      </c>
      <c r="D151" s="94">
        <v>80275.802221999998</v>
      </c>
      <c r="E151" s="95">
        <v>0</v>
      </c>
      <c r="F151" s="95">
        <v>50768.021622</v>
      </c>
      <c r="G151" s="97"/>
    </row>
    <row r="152" spans="1:7" ht="12.6" customHeight="1">
      <c r="B152" s="79" t="s">
        <v>388</v>
      </c>
      <c r="C152" s="134">
        <v>0</v>
      </c>
      <c r="D152" s="96">
        <v>119214.59532199999</v>
      </c>
      <c r="E152" s="134">
        <v>0</v>
      </c>
      <c r="F152" s="134">
        <v>126799.449454</v>
      </c>
      <c r="G152" s="97"/>
    </row>
    <row r="153" spans="1:7" ht="12.6" customHeight="1">
      <c r="B153" s="80"/>
      <c r="C153" s="153"/>
      <c r="D153" s="153"/>
      <c r="E153" s="153"/>
      <c r="F153" s="153"/>
      <c r="G153" s="97"/>
    </row>
    <row r="154" spans="1:7">
      <c r="A154" s="2" t="s">
        <v>389</v>
      </c>
      <c r="G154" s="97"/>
    </row>
    <row r="155" spans="1:7">
      <c r="B155" s="72" t="s">
        <v>265</v>
      </c>
      <c r="D155" s="73"/>
      <c r="E155" s="73"/>
      <c r="F155" s="72" t="s">
        <v>472</v>
      </c>
      <c r="G155" s="97"/>
    </row>
    <row r="156" spans="1:7" ht="14.1" customHeight="1">
      <c r="B156" s="74" t="s">
        <v>714</v>
      </c>
      <c r="C156" s="322">
        <v>2008.12</v>
      </c>
      <c r="D156" s="324"/>
      <c r="E156" s="322">
        <v>2009.12</v>
      </c>
      <c r="F156" s="323"/>
      <c r="G156" s="97"/>
    </row>
    <row r="157" spans="1:7" ht="12.6" customHeight="1">
      <c r="B157" s="75" t="s">
        <v>390</v>
      </c>
      <c r="C157" s="95">
        <v>0</v>
      </c>
      <c r="D157" s="94">
        <v>79984.676091999994</v>
      </c>
      <c r="E157" s="95">
        <v>0</v>
      </c>
      <c r="F157" s="95">
        <v>178762.76426600001</v>
      </c>
      <c r="G157" s="97"/>
    </row>
    <row r="158" spans="1:7" ht="12.6" customHeight="1">
      <c r="B158" s="75" t="s">
        <v>391</v>
      </c>
      <c r="C158" s="95">
        <v>119214.59532199999</v>
      </c>
      <c r="D158" s="94">
        <v>0</v>
      </c>
      <c r="E158" s="95">
        <v>126799.449454</v>
      </c>
      <c r="F158" s="95">
        <v>0</v>
      </c>
      <c r="G158" s="97"/>
    </row>
    <row r="159" spans="1:7" ht="12.6" customHeight="1">
      <c r="B159" s="75" t="s">
        <v>392</v>
      </c>
      <c r="C159" s="95">
        <v>72232.704113</v>
      </c>
      <c r="D159" s="94">
        <v>0</v>
      </c>
      <c r="E159" s="95">
        <v>69301.809099000006</v>
      </c>
      <c r="F159" s="95">
        <v>0</v>
      </c>
      <c r="G159" s="97"/>
    </row>
    <row r="160" spans="1:7" ht="12.6" customHeight="1">
      <c r="B160" s="78" t="s">
        <v>393</v>
      </c>
      <c r="C160" s="95">
        <v>35844.875650000002</v>
      </c>
      <c r="D160" s="94">
        <v>0</v>
      </c>
      <c r="E160" s="95">
        <v>34788.294728000001</v>
      </c>
      <c r="F160" s="95">
        <v>0</v>
      </c>
      <c r="G160" s="97">
        <f>SUM(E160,E162)</f>
        <v>55129.789770999996</v>
      </c>
    </row>
    <row r="161" spans="2:7" ht="12.6" customHeight="1">
      <c r="B161" s="78" t="s">
        <v>384</v>
      </c>
      <c r="C161" s="95" t="s">
        <v>273</v>
      </c>
      <c r="D161" s="94">
        <v>0</v>
      </c>
      <c r="E161" s="95">
        <v>202.31556</v>
      </c>
      <c r="F161" s="95">
        <v>0</v>
      </c>
      <c r="G161" s="97"/>
    </row>
    <row r="162" spans="2:7" ht="12.6" customHeight="1">
      <c r="B162" s="78" t="s">
        <v>394</v>
      </c>
      <c r="C162" s="95">
        <v>20382.632205000002</v>
      </c>
      <c r="D162" s="94">
        <v>0</v>
      </c>
      <c r="E162" s="95">
        <v>20341.495042999999</v>
      </c>
      <c r="F162" s="95">
        <v>0</v>
      </c>
      <c r="G162" s="97"/>
    </row>
    <row r="163" spans="2:7" ht="12.6" customHeight="1">
      <c r="B163" s="78" t="s">
        <v>395</v>
      </c>
      <c r="C163" s="95">
        <v>14972.968553999999</v>
      </c>
      <c r="D163" s="94">
        <v>0</v>
      </c>
      <c r="E163" s="95">
        <v>12611.368109999999</v>
      </c>
      <c r="F163" s="95">
        <v>0</v>
      </c>
      <c r="G163" s="97"/>
    </row>
    <row r="164" spans="2:7" ht="12.6" customHeight="1">
      <c r="B164" s="78" t="s">
        <v>380</v>
      </c>
      <c r="C164" s="95">
        <v>514.03027399999996</v>
      </c>
      <c r="D164" s="94">
        <v>0</v>
      </c>
      <c r="E164" s="95">
        <v>144.27022199999999</v>
      </c>
      <c r="F164" s="95">
        <v>0</v>
      </c>
      <c r="G164" s="97"/>
    </row>
    <row r="165" spans="2:7" ht="12.6" customHeight="1">
      <c r="B165" s="78" t="s">
        <v>381</v>
      </c>
      <c r="C165" s="95" t="s">
        <v>273</v>
      </c>
      <c r="D165" s="94">
        <v>0</v>
      </c>
      <c r="E165" s="95">
        <v>96.044994000000003</v>
      </c>
      <c r="F165" s="95">
        <v>0</v>
      </c>
      <c r="G165" s="97"/>
    </row>
    <row r="166" spans="2:7" ht="12.6" customHeight="1">
      <c r="B166" s="78" t="s">
        <v>382</v>
      </c>
      <c r="C166" s="95">
        <v>37.13259</v>
      </c>
      <c r="D166" s="94">
        <v>0</v>
      </c>
      <c r="E166" s="95">
        <v>46.603169000000001</v>
      </c>
      <c r="F166" s="95">
        <v>0</v>
      </c>
      <c r="G166" s="97"/>
    </row>
    <row r="167" spans="2:7" ht="12.6" customHeight="1">
      <c r="B167" s="78" t="s">
        <v>396</v>
      </c>
      <c r="C167" s="95">
        <v>481.06484</v>
      </c>
      <c r="D167" s="94">
        <v>0</v>
      </c>
      <c r="E167" s="95">
        <v>833.21727299999998</v>
      </c>
      <c r="F167" s="95">
        <v>0</v>
      </c>
    </row>
    <row r="168" spans="2:7" ht="12.6" customHeight="1">
      <c r="B168" s="78" t="s">
        <v>379</v>
      </c>
      <c r="C168" s="95" t="s">
        <v>273</v>
      </c>
      <c r="D168" s="94">
        <v>0</v>
      </c>
      <c r="E168" s="95">
        <v>238.2</v>
      </c>
      <c r="F168" s="95">
        <v>0</v>
      </c>
    </row>
    <row r="169" spans="2:7" ht="12.6" customHeight="1">
      <c r="B169" s="75" t="s">
        <v>397</v>
      </c>
      <c r="C169" s="95">
        <v>-18428.946045000001</v>
      </c>
      <c r="D169" s="94">
        <v>0</v>
      </c>
      <c r="E169" s="95">
        <v>-2934.4945109999999</v>
      </c>
      <c r="F169" s="95">
        <v>0</v>
      </c>
    </row>
    <row r="170" spans="2:7" ht="12.6" customHeight="1">
      <c r="B170" s="78" t="s">
        <v>371</v>
      </c>
      <c r="C170" s="95">
        <v>8958.2774320000008</v>
      </c>
      <c r="D170" s="94">
        <v>0</v>
      </c>
      <c r="E170" s="95">
        <v>1015.706337</v>
      </c>
      <c r="F170" s="95">
        <v>0</v>
      </c>
    </row>
    <row r="171" spans="2:7" ht="12.6" customHeight="1">
      <c r="B171" s="78" t="s">
        <v>398</v>
      </c>
      <c r="C171" s="95">
        <v>186.182087</v>
      </c>
      <c r="D171" s="94">
        <v>0</v>
      </c>
      <c r="E171" s="95" t="s">
        <v>273</v>
      </c>
      <c r="F171" s="95">
        <v>0</v>
      </c>
    </row>
    <row r="172" spans="2:7" ht="12.6" customHeight="1">
      <c r="B172" s="78" t="s">
        <v>399</v>
      </c>
      <c r="C172" s="95">
        <v>693.65647999999999</v>
      </c>
      <c r="D172" s="94">
        <v>0</v>
      </c>
      <c r="E172" s="95">
        <v>365.108519</v>
      </c>
      <c r="F172" s="95">
        <v>0</v>
      </c>
    </row>
    <row r="173" spans="2:7" ht="12.6" customHeight="1">
      <c r="B173" s="78" t="s">
        <v>400</v>
      </c>
      <c r="C173" s="95">
        <v>41.475000000000001</v>
      </c>
      <c r="D173" s="94">
        <v>0</v>
      </c>
      <c r="E173" s="95" t="s">
        <v>273</v>
      </c>
      <c r="F173" s="95">
        <v>0</v>
      </c>
    </row>
    <row r="174" spans="2:7" ht="12.6" customHeight="1">
      <c r="B174" s="78" t="s">
        <v>370</v>
      </c>
      <c r="C174" s="95">
        <v>8549.3550460000006</v>
      </c>
      <c r="D174" s="94">
        <v>0</v>
      </c>
      <c r="E174" s="95">
        <v>1553.6796549999999</v>
      </c>
      <c r="F174" s="95">
        <v>0</v>
      </c>
    </row>
    <row r="175" spans="2:7" ht="12.6" customHeight="1">
      <c r="B175" s="75" t="s">
        <v>401</v>
      </c>
      <c r="C175" s="95">
        <v>-93033.677297999995</v>
      </c>
      <c r="D175" s="94">
        <v>0</v>
      </c>
      <c r="E175" s="95">
        <v>-14403.999776000001</v>
      </c>
      <c r="F175" s="95">
        <v>0</v>
      </c>
    </row>
    <row r="176" spans="2:7" ht="12.6" customHeight="1">
      <c r="B176" s="78" t="s">
        <v>402</v>
      </c>
      <c r="C176" s="95">
        <v>10683.665472999999</v>
      </c>
      <c r="D176" s="94">
        <v>0</v>
      </c>
      <c r="E176" s="95">
        <v>-29474.002959000001</v>
      </c>
      <c r="F176" s="95">
        <v>0</v>
      </c>
    </row>
    <row r="177" spans="2:6" ht="12.6" customHeight="1">
      <c r="B177" s="78" t="s">
        <v>403</v>
      </c>
      <c r="C177" s="95">
        <v>520.712309</v>
      </c>
      <c r="D177" s="94">
        <v>0</v>
      </c>
      <c r="E177" s="95">
        <v>535.97456</v>
      </c>
      <c r="F177" s="95">
        <v>0</v>
      </c>
    </row>
    <row r="178" spans="2:6" ht="12.6" customHeight="1">
      <c r="B178" s="78" t="s">
        <v>404</v>
      </c>
      <c r="C178" s="95">
        <v>257.785259</v>
      </c>
      <c r="D178" s="94">
        <v>0</v>
      </c>
      <c r="E178" s="95">
        <v>10.523917000000001</v>
      </c>
      <c r="F178" s="95">
        <v>0</v>
      </c>
    </row>
    <row r="179" spans="2:6" ht="12.6" customHeight="1">
      <c r="B179" s="78" t="s">
        <v>405</v>
      </c>
      <c r="C179" s="95">
        <v>71.699202</v>
      </c>
      <c r="D179" s="94">
        <v>0</v>
      </c>
      <c r="E179" s="95">
        <v>-2516.8191219999999</v>
      </c>
      <c r="F179" s="95">
        <v>0</v>
      </c>
    </row>
    <row r="180" spans="2:6" ht="12.6" customHeight="1">
      <c r="B180" s="78" t="s">
        <v>406</v>
      </c>
      <c r="C180" s="95">
        <v>407.10390599999999</v>
      </c>
      <c r="D180" s="94">
        <v>0</v>
      </c>
      <c r="E180" s="95">
        <v>-550.20812000000001</v>
      </c>
      <c r="F180" s="95">
        <v>0</v>
      </c>
    </row>
    <row r="181" spans="2:6" ht="12.6" customHeight="1">
      <c r="B181" s="78" t="s">
        <v>407</v>
      </c>
      <c r="C181" s="95">
        <v>-3902.2333429999999</v>
      </c>
      <c r="D181" s="94">
        <v>0</v>
      </c>
      <c r="E181" s="95">
        <v>-1334.3993049999999</v>
      </c>
      <c r="F181" s="95">
        <v>0</v>
      </c>
    </row>
    <row r="182" spans="2:6" ht="12.6" customHeight="1">
      <c r="B182" s="78" t="s">
        <v>408</v>
      </c>
      <c r="C182" s="95">
        <v>-13966.713597</v>
      </c>
      <c r="D182" s="94">
        <v>0</v>
      </c>
      <c r="E182" s="95">
        <v>65.559771999999995</v>
      </c>
      <c r="F182" s="95">
        <v>0</v>
      </c>
    </row>
    <row r="183" spans="2:6" ht="12.6" customHeight="1">
      <c r="B183" s="78" t="s">
        <v>409</v>
      </c>
      <c r="C183" s="95">
        <v>41.475000000000001</v>
      </c>
      <c r="D183" s="94">
        <v>0</v>
      </c>
      <c r="E183" s="95" t="s">
        <v>273</v>
      </c>
      <c r="F183" s="95">
        <v>0</v>
      </c>
    </row>
    <row r="184" spans="2:6" ht="12.6" customHeight="1">
      <c r="B184" s="78" t="s">
        <v>410</v>
      </c>
      <c r="C184" s="95">
        <v>9402.0633369999996</v>
      </c>
      <c r="D184" s="94">
        <v>0</v>
      </c>
      <c r="E184" s="95">
        <v>-8488.5059669999991</v>
      </c>
      <c r="F184" s="95">
        <v>0</v>
      </c>
    </row>
    <row r="185" spans="2:6" ht="12.6" customHeight="1">
      <c r="B185" s="78" t="s">
        <v>411</v>
      </c>
      <c r="C185" s="95">
        <v>2582.5000030000001</v>
      </c>
      <c r="D185" s="94">
        <v>0</v>
      </c>
      <c r="E185" s="95">
        <v>3920.0533180000002</v>
      </c>
      <c r="F185" s="95">
        <v>0</v>
      </c>
    </row>
    <row r="186" spans="2:6" ht="12.6" customHeight="1">
      <c r="B186" s="78" t="s">
        <v>412</v>
      </c>
      <c r="C186" s="95">
        <v>-68.801255999999995</v>
      </c>
      <c r="D186" s="94">
        <v>0</v>
      </c>
      <c r="E186" s="95">
        <v>-9.699071</v>
      </c>
      <c r="F186" s="95">
        <v>0</v>
      </c>
    </row>
    <row r="187" spans="2:6" ht="12.6" customHeight="1">
      <c r="B187" s="78" t="s">
        <v>413</v>
      </c>
      <c r="C187" s="95">
        <v>-71159.605853000001</v>
      </c>
      <c r="D187" s="94">
        <v>0</v>
      </c>
      <c r="E187" s="95">
        <v>47234.312381000003</v>
      </c>
      <c r="F187" s="95">
        <v>0</v>
      </c>
    </row>
    <row r="188" spans="2:6" ht="12.6" customHeight="1">
      <c r="B188" s="78" t="s">
        <v>414</v>
      </c>
      <c r="C188" s="95">
        <v>62.284160999999997</v>
      </c>
      <c r="D188" s="94">
        <v>0</v>
      </c>
      <c r="E188" s="95">
        <v>-2339.5019820000002</v>
      </c>
      <c r="F188" s="95">
        <v>0</v>
      </c>
    </row>
    <row r="189" spans="2:6" ht="12.6" customHeight="1">
      <c r="B189" s="78" t="s">
        <v>415</v>
      </c>
      <c r="C189" s="95">
        <v>-1457.024915</v>
      </c>
      <c r="D189" s="94">
        <v>0</v>
      </c>
      <c r="E189" s="95">
        <v>2931.7432829999998</v>
      </c>
      <c r="F189" s="95">
        <v>0</v>
      </c>
    </row>
    <row r="190" spans="2:6" ht="12.6" customHeight="1">
      <c r="B190" s="78" t="s">
        <v>416</v>
      </c>
      <c r="C190" s="95">
        <v>227.716252</v>
      </c>
      <c r="D190" s="94">
        <v>0</v>
      </c>
      <c r="E190" s="95">
        <v>-241.446245</v>
      </c>
      <c r="F190" s="95">
        <v>0</v>
      </c>
    </row>
    <row r="191" spans="2:6" ht="12.6" customHeight="1">
      <c r="B191" s="78" t="s">
        <v>417</v>
      </c>
      <c r="C191" s="95">
        <v>-7906.0684380000002</v>
      </c>
      <c r="D191" s="94">
        <v>0</v>
      </c>
      <c r="E191" s="95">
        <v>2162.1971079999998</v>
      </c>
      <c r="F191" s="95">
        <v>0</v>
      </c>
    </row>
    <row r="192" spans="2:6" ht="12.6" customHeight="1">
      <c r="B192" s="78" t="s">
        <v>418</v>
      </c>
      <c r="C192" s="95">
        <v>98.405900000000003</v>
      </c>
      <c r="D192" s="94">
        <v>0</v>
      </c>
      <c r="E192" s="95">
        <v>147.60230000000001</v>
      </c>
      <c r="F192" s="95">
        <v>0</v>
      </c>
    </row>
    <row r="193" spans="2:6" ht="12.6" customHeight="1">
      <c r="B193" s="78" t="s">
        <v>419</v>
      </c>
      <c r="C193" s="95">
        <v>-8914.7865829999992</v>
      </c>
      <c r="D193" s="94">
        <v>0</v>
      </c>
      <c r="E193" s="95">
        <v>-15473.371842</v>
      </c>
      <c r="F193" s="95">
        <v>0</v>
      </c>
    </row>
    <row r="194" spans="2:6" ht="12.6" customHeight="1">
      <c r="B194" s="78" t="s">
        <v>420</v>
      </c>
      <c r="C194" s="95">
        <v>76.060856000000001</v>
      </c>
      <c r="D194" s="94">
        <v>0</v>
      </c>
      <c r="E194" s="95">
        <v>336.19852600000002</v>
      </c>
      <c r="F194" s="95">
        <v>0</v>
      </c>
    </row>
    <row r="195" spans="2:6" ht="12.6" customHeight="1">
      <c r="B195" s="78" t="s">
        <v>421</v>
      </c>
      <c r="C195" s="95">
        <v>-23.279036000000001</v>
      </c>
      <c r="D195" s="94">
        <v>0</v>
      </c>
      <c r="E195" s="95">
        <v>-165.02986999999999</v>
      </c>
      <c r="F195" s="95">
        <v>0</v>
      </c>
    </row>
    <row r="196" spans="2:6" ht="12.6" customHeight="1">
      <c r="B196" s="78" t="s">
        <v>422</v>
      </c>
      <c r="C196" s="95">
        <v>-9263.8096420000002</v>
      </c>
      <c r="D196" s="94">
        <v>0</v>
      </c>
      <c r="E196" s="95">
        <v>-14254.041236999999</v>
      </c>
      <c r="F196" s="95">
        <v>0</v>
      </c>
    </row>
    <row r="197" spans="2:6" ht="12.6" customHeight="1">
      <c r="B197" s="78" t="s">
        <v>423</v>
      </c>
      <c r="C197" s="95">
        <v>-802.82629299999996</v>
      </c>
      <c r="D197" s="94">
        <v>0</v>
      </c>
      <c r="E197" s="95">
        <v>2563.966488</v>
      </c>
      <c r="F197" s="95">
        <v>0</v>
      </c>
    </row>
    <row r="198" spans="2:6" ht="12.6" customHeight="1">
      <c r="B198" s="78" t="s">
        <v>424</v>
      </c>
      <c r="C198" s="95" t="s">
        <v>273</v>
      </c>
      <c r="D198" s="94">
        <v>0</v>
      </c>
      <c r="E198" s="95">
        <v>534.89429099999995</v>
      </c>
      <c r="F198" s="95">
        <v>0</v>
      </c>
    </row>
    <row r="199" spans="2:6" ht="12.6" customHeight="1">
      <c r="B199" s="75" t="s">
        <v>425</v>
      </c>
      <c r="C199" s="95">
        <v>0</v>
      </c>
      <c r="D199" s="94">
        <v>-4018.1496739999998</v>
      </c>
      <c r="E199" s="95">
        <v>0</v>
      </c>
      <c r="F199" s="95">
        <v>-29934.722707000001</v>
      </c>
    </row>
    <row r="200" spans="2:6" ht="12.6" customHeight="1">
      <c r="B200" s="75" t="s">
        <v>426</v>
      </c>
      <c r="C200" s="95">
        <v>30468.018263000002</v>
      </c>
      <c r="D200" s="94">
        <v>0</v>
      </c>
      <c r="E200" s="95">
        <v>11974.851769999999</v>
      </c>
      <c r="F200" s="95">
        <v>0</v>
      </c>
    </row>
    <row r="201" spans="2:6" ht="12.6" customHeight="1">
      <c r="B201" s="78" t="s">
        <v>427</v>
      </c>
      <c r="C201" s="95" t="s">
        <v>273</v>
      </c>
      <c r="D201" s="94">
        <v>0</v>
      </c>
      <c r="E201" s="95">
        <v>250</v>
      </c>
      <c r="F201" s="95">
        <v>0</v>
      </c>
    </row>
    <row r="202" spans="2:6" ht="12.6" customHeight="1">
      <c r="B202" s="78" t="s">
        <v>428</v>
      </c>
      <c r="C202" s="95">
        <v>2.5</v>
      </c>
      <c r="D202" s="94">
        <v>0</v>
      </c>
      <c r="E202" s="95" t="s">
        <v>273</v>
      </c>
      <c r="F202" s="95">
        <v>0</v>
      </c>
    </row>
    <row r="203" spans="2:6" ht="12.6" customHeight="1">
      <c r="B203" s="78" t="s">
        <v>429</v>
      </c>
      <c r="C203" s="95">
        <v>1567.7135000000001</v>
      </c>
      <c r="D203" s="94">
        <v>0</v>
      </c>
      <c r="E203" s="95">
        <v>1800.2174660000001</v>
      </c>
      <c r="F203" s="95">
        <v>0</v>
      </c>
    </row>
    <row r="204" spans="2:6" ht="12.6" customHeight="1">
      <c r="B204" s="78" t="s">
        <v>430</v>
      </c>
      <c r="C204" s="95">
        <v>89.244</v>
      </c>
      <c r="D204" s="94">
        <v>0</v>
      </c>
      <c r="E204" s="95">
        <v>197.59</v>
      </c>
      <c r="F204" s="95">
        <v>0</v>
      </c>
    </row>
    <row r="205" spans="2:6" ht="12.6" customHeight="1">
      <c r="B205" s="78" t="s">
        <v>431</v>
      </c>
      <c r="C205" s="95" t="s">
        <v>273</v>
      </c>
      <c r="D205" s="94">
        <v>0</v>
      </c>
      <c r="E205" s="95">
        <v>1764.9449999999999</v>
      </c>
      <c r="F205" s="95">
        <v>0</v>
      </c>
    </row>
    <row r="206" spans="2:6" ht="12.6" customHeight="1">
      <c r="B206" s="78" t="s">
        <v>432</v>
      </c>
      <c r="C206" s="95">
        <v>7200</v>
      </c>
      <c r="D206" s="94">
        <v>0</v>
      </c>
      <c r="E206" s="95" t="s">
        <v>273</v>
      </c>
      <c r="F206" s="95">
        <v>0</v>
      </c>
    </row>
    <row r="207" spans="2:6" ht="12.6" customHeight="1">
      <c r="B207" s="78" t="s">
        <v>433</v>
      </c>
      <c r="C207" s="95">
        <v>6083.6938849999997</v>
      </c>
      <c r="D207" s="94">
        <v>0</v>
      </c>
      <c r="E207" s="95">
        <v>6649.9926290000003</v>
      </c>
      <c r="F207" s="95">
        <v>0</v>
      </c>
    </row>
    <row r="208" spans="2:6" ht="12.6" customHeight="1">
      <c r="B208" s="78" t="s">
        <v>434</v>
      </c>
      <c r="C208" s="95">
        <v>13518.224</v>
      </c>
      <c r="D208" s="94">
        <v>0</v>
      </c>
      <c r="E208" s="95">
        <v>289.61500000000001</v>
      </c>
      <c r="F208" s="95">
        <v>0</v>
      </c>
    </row>
    <row r="209" spans="2:6" ht="12.6" customHeight="1">
      <c r="B209" s="78" t="s">
        <v>435</v>
      </c>
      <c r="C209" s="95">
        <v>86.224999999999994</v>
      </c>
      <c r="D209" s="94">
        <v>0</v>
      </c>
      <c r="E209" s="95" t="s">
        <v>273</v>
      </c>
      <c r="F209" s="95">
        <v>0</v>
      </c>
    </row>
    <row r="210" spans="2:6" ht="12.6" customHeight="1">
      <c r="B210" s="78" t="s">
        <v>436</v>
      </c>
      <c r="C210" s="95">
        <v>15.84</v>
      </c>
      <c r="D210" s="94">
        <v>0</v>
      </c>
      <c r="E210" s="95" t="s">
        <v>273</v>
      </c>
      <c r="F210" s="95">
        <v>0</v>
      </c>
    </row>
    <row r="211" spans="2:6" ht="12.6" customHeight="1">
      <c r="B211" s="78" t="s">
        <v>437</v>
      </c>
      <c r="C211" s="95">
        <v>654.94783700000005</v>
      </c>
      <c r="D211" s="94">
        <v>0</v>
      </c>
      <c r="E211" s="95">
        <v>827.94295</v>
      </c>
      <c r="F211" s="95">
        <v>0</v>
      </c>
    </row>
    <row r="212" spans="2:6" ht="12.6" customHeight="1">
      <c r="B212" s="78" t="s">
        <v>438</v>
      </c>
      <c r="C212" s="95" t="s">
        <v>273</v>
      </c>
      <c r="D212" s="94">
        <v>0</v>
      </c>
      <c r="E212" s="95">
        <v>81.922728000000006</v>
      </c>
      <c r="F212" s="95">
        <v>0</v>
      </c>
    </row>
    <row r="213" spans="2:6" ht="12.6" customHeight="1">
      <c r="B213" s="78" t="s">
        <v>439</v>
      </c>
      <c r="C213" s="95">
        <v>52.883499999999998</v>
      </c>
      <c r="D213" s="94">
        <v>0</v>
      </c>
      <c r="E213" s="95">
        <v>41.313499999999998</v>
      </c>
      <c r="F213" s="95">
        <v>0</v>
      </c>
    </row>
    <row r="214" spans="2:6" ht="12.6" customHeight="1">
      <c r="B214" s="78" t="s">
        <v>440</v>
      </c>
      <c r="C214" s="95">
        <v>1196.746541</v>
      </c>
      <c r="D214" s="94">
        <v>0</v>
      </c>
      <c r="E214" s="95">
        <v>71.312496999999993</v>
      </c>
      <c r="F214" s="95">
        <v>0</v>
      </c>
    </row>
    <row r="215" spans="2:6" ht="12.6" customHeight="1">
      <c r="B215" s="75" t="s">
        <v>441</v>
      </c>
      <c r="C215" s="95">
        <v>-34486.167936999998</v>
      </c>
      <c r="D215" s="94">
        <v>0</v>
      </c>
      <c r="E215" s="95">
        <v>-41909.574477000002</v>
      </c>
      <c r="F215" s="95">
        <v>0</v>
      </c>
    </row>
    <row r="216" spans="2:6" ht="12.6" customHeight="1">
      <c r="B216" s="78" t="s">
        <v>442</v>
      </c>
      <c r="C216" s="95">
        <v>6184.0150139999996</v>
      </c>
      <c r="D216" s="94">
        <v>0</v>
      </c>
      <c r="E216" s="95">
        <v>5958.5874999999996</v>
      </c>
      <c r="F216" s="95">
        <v>0</v>
      </c>
    </row>
    <row r="217" spans="2:6" ht="12.6" customHeight="1">
      <c r="B217" s="78" t="s">
        <v>443</v>
      </c>
      <c r="C217" s="95">
        <v>1485.4589000000001</v>
      </c>
      <c r="D217" s="94">
        <v>0</v>
      </c>
      <c r="E217" s="95">
        <v>1315.2689949999999</v>
      </c>
      <c r="F217" s="95">
        <v>0</v>
      </c>
    </row>
    <row r="218" spans="2:6" ht="12.6" customHeight="1">
      <c r="B218" s="78" t="s">
        <v>444</v>
      </c>
      <c r="C218" s="95">
        <v>3.31</v>
      </c>
      <c r="D218" s="94">
        <v>0</v>
      </c>
      <c r="E218" s="95">
        <v>2.7650000000000001</v>
      </c>
      <c r="F218" s="95">
        <v>0</v>
      </c>
    </row>
    <row r="219" spans="2:6" ht="12.6" customHeight="1">
      <c r="B219" s="78" t="s">
        <v>445</v>
      </c>
      <c r="C219" s="95">
        <v>0</v>
      </c>
      <c r="D219" s="94">
        <v>0</v>
      </c>
      <c r="E219" s="95">
        <v>2003.145</v>
      </c>
      <c r="F219" s="95">
        <v>0</v>
      </c>
    </row>
    <row r="220" spans="2:6" ht="12.6" customHeight="1">
      <c r="B220" s="78" t="s">
        <v>446</v>
      </c>
      <c r="C220" s="95">
        <v>1184.2139010000001</v>
      </c>
      <c r="D220" s="94">
        <v>0</v>
      </c>
      <c r="E220" s="95">
        <v>26.613935999999999</v>
      </c>
      <c r="F220" s="95">
        <v>0</v>
      </c>
    </row>
    <row r="221" spans="2:6" ht="12.6" customHeight="1">
      <c r="B221" s="78" t="s">
        <v>447</v>
      </c>
      <c r="C221" s="95">
        <v>548.41060000000004</v>
      </c>
      <c r="D221" s="94">
        <v>0</v>
      </c>
      <c r="E221" s="95">
        <v>845.30561999999998</v>
      </c>
      <c r="F221" s="95">
        <v>0</v>
      </c>
    </row>
    <row r="222" spans="2:6" ht="12.6" customHeight="1">
      <c r="B222" s="78" t="s">
        <v>448</v>
      </c>
      <c r="C222" s="95">
        <v>405.94639999999998</v>
      </c>
      <c r="D222" s="94">
        <v>0</v>
      </c>
      <c r="E222" s="95">
        <v>403.03095000000002</v>
      </c>
      <c r="F222" s="95">
        <v>0</v>
      </c>
    </row>
    <row r="223" spans="2:6" ht="12.6" customHeight="1">
      <c r="B223" s="78" t="s">
        <v>449</v>
      </c>
      <c r="C223" s="95">
        <v>8996.5358620000006</v>
      </c>
      <c r="D223" s="94">
        <v>0</v>
      </c>
      <c r="E223" s="95">
        <v>8405.1669139999995</v>
      </c>
      <c r="F223" s="95">
        <v>0</v>
      </c>
    </row>
    <row r="224" spans="2:6" ht="12.6" customHeight="1">
      <c r="B224" s="78" t="s">
        <v>450</v>
      </c>
      <c r="C224" s="95">
        <v>8487.5046000000002</v>
      </c>
      <c r="D224" s="94">
        <v>0</v>
      </c>
      <c r="E224" s="95">
        <v>12997.931</v>
      </c>
      <c r="F224" s="95">
        <v>0</v>
      </c>
    </row>
    <row r="225" spans="2:6" ht="12.6" customHeight="1">
      <c r="B225" s="78" t="s">
        <v>451</v>
      </c>
      <c r="C225" s="95">
        <v>657.19395299999996</v>
      </c>
      <c r="D225" s="94">
        <v>0</v>
      </c>
      <c r="E225" s="95">
        <v>564.37006399999996</v>
      </c>
      <c r="F225" s="95">
        <v>0</v>
      </c>
    </row>
    <row r="226" spans="2:6" ht="12.6" customHeight="1">
      <c r="B226" s="78" t="s">
        <v>452</v>
      </c>
      <c r="C226" s="95">
        <v>659.74599999999998</v>
      </c>
      <c r="D226" s="94">
        <v>0</v>
      </c>
      <c r="E226" s="95">
        <v>352.0958</v>
      </c>
      <c r="F226" s="95">
        <v>0</v>
      </c>
    </row>
    <row r="227" spans="2:6" ht="12.6" customHeight="1">
      <c r="B227" s="78" t="s">
        <v>453</v>
      </c>
      <c r="C227" s="95">
        <v>5128.5782810000001</v>
      </c>
      <c r="D227" s="94">
        <v>0</v>
      </c>
      <c r="E227" s="95">
        <v>6588.8111790000003</v>
      </c>
      <c r="F227" s="95">
        <v>0</v>
      </c>
    </row>
    <row r="228" spans="2:6" ht="12.6" customHeight="1">
      <c r="B228" s="78" t="s">
        <v>454</v>
      </c>
      <c r="C228" s="95">
        <v>40</v>
      </c>
      <c r="D228" s="94">
        <v>0</v>
      </c>
      <c r="E228" s="95">
        <v>2341.7322640000002</v>
      </c>
      <c r="F228" s="95">
        <v>0</v>
      </c>
    </row>
    <row r="229" spans="2:6" ht="12.6" customHeight="1">
      <c r="B229" s="78" t="s">
        <v>455</v>
      </c>
      <c r="C229" s="95">
        <v>97.508488</v>
      </c>
      <c r="D229" s="94">
        <v>0</v>
      </c>
      <c r="E229" s="95">
        <v>72.505255000000005</v>
      </c>
      <c r="F229" s="95">
        <v>0</v>
      </c>
    </row>
    <row r="230" spans="2:6" ht="12.6" customHeight="1">
      <c r="B230" s="78" t="s">
        <v>456</v>
      </c>
      <c r="C230" s="95">
        <v>607.74593800000002</v>
      </c>
      <c r="D230" s="94">
        <v>0</v>
      </c>
      <c r="E230" s="95">
        <v>32.244999999999997</v>
      </c>
      <c r="F230" s="95">
        <v>0</v>
      </c>
    </row>
    <row r="231" spans="2:6" ht="12.6" customHeight="1">
      <c r="B231" s="75" t="s">
        <v>457</v>
      </c>
      <c r="C231" s="95">
        <v>0</v>
      </c>
      <c r="D231" s="94">
        <v>-135449.762174</v>
      </c>
      <c r="E231" s="95">
        <v>0</v>
      </c>
      <c r="F231" s="95">
        <v>-96442.651073999994</v>
      </c>
    </row>
    <row r="232" spans="2:6" ht="12.6" customHeight="1">
      <c r="B232" s="75" t="s">
        <v>458</v>
      </c>
      <c r="C232" s="95">
        <v>57213.838898000002</v>
      </c>
      <c r="D232" s="94">
        <v>0</v>
      </c>
      <c r="E232" s="95">
        <v>467709.11379700003</v>
      </c>
      <c r="F232" s="95">
        <v>0</v>
      </c>
    </row>
    <row r="233" spans="2:6" ht="12.6" customHeight="1">
      <c r="B233" s="78" t="s">
        <v>459</v>
      </c>
      <c r="C233" s="95">
        <v>57213.838898000002</v>
      </c>
      <c r="D233" s="94">
        <v>0</v>
      </c>
      <c r="E233" s="95">
        <v>30781.22</v>
      </c>
      <c r="F233" s="95">
        <v>0</v>
      </c>
    </row>
    <row r="234" spans="2:6" ht="12.6" customHeight="1">
      <c r="B234" s="78" t="s">
        <v>460</v>
      </c>
      <c r="C234" s="95" t="s">
        <v>273</v>
      </c>
      <c r="D234" s="94">
        <v>0</v>
      </c>
      <c r="E234" s="95">
        <v>154683.30239999999</v>
      </c>
      <c r="F234" s="95">
        <v>0</v>
      </c>
    </row>
    <row r="235" spans="2:6" ht="12.6" customHeight="1">
      <c r="B235" s="78" t="s">
        <v>461</v>
      </c>
      <c r="C235" s="95" t="s">
        <v>273</v>
      </c>
      <c r="D235" s="94">
        <v>0</v>
      </c>
      <c r="E235" s="95">
        <v>280024.59139700001</v>
      </c>
      <c r="F235" s="95">
        <v>0</v>
      </c>
    </row>
    <row r="236" spans="2:6" ht="12.6" customHeight="1">
      <c r="B236" s="78" t="s">
        <v>462</v>
      </c>
      <c r="C236" s="95" t="s">
        <v>273</v>
      </c>
      <c r="D236" s="94">
        <v>0</v>
      </c>
      <c r="E236" s="95">
        <v>2220</v>
      </c>
      <c r="F236" s="95">
        <v>0</v>
      </c>
    </row>
    <row r="237" spans="2:6" ht="12.6" customHeight="1">
      <c r="B237" s="75" t="s">
        <v>463</v>
      </c>
      <c r="C237" s="95">
        <v>-192663.60107199999</v>
      </c>
      <c r="D237" s="94">
        <v>0</v>
      </c>
      <c r="E237" s="95">
        <v>-564151.76487099996</v>
      </c>
      <c r="F237" s="95">
        <v>0</v>
      </c>
    </row>
    <row r="238" spans="2:6" ht="12.6" customHeight="1">
      <c r="B238" s="78" t="s">
        <v>464</v>
      </c>
      <c r="C238" s="95">
        <v>5363.1610719999999</v>
      </c>
      <c r="D238" s="94">
        <v>0</v>
      </c>
      <c r="E238" s="95">
        <v>87224.227591000003</v>
      </c>
      <c r="F238" s="95">
        <v>0</v>
      </c>
    </row>
    <row r="239" spans="2:6" ht="12.6" customHeight="1">
      <c r="B239" s="78" t="s">
        <v>465</v>
      </c>
      <c r="C239" s="95">
        <v>30000</v>
      </c>
      <c r="D239" s="94">
        <v>0</v>
      </c>
      <c r="E239" s="95">
        <v>40000</v>
      </c>
      <c r="F239" s="95">
        <v>0</v>
      </c>
    </row>
    <row r="240" spans="2:6" ht="12.6" customHeight="1">
      <c r="B240" s="78" t="s">
        <v>466</v>
      </c>
      <c r="C240" s="95" t="s">
        <v>273</v>
      </c>
      <c r="D240" s="94">
        <v>0</v>
      </c>
      <c r="E240" s="95">
        <v>2218.6655999999998</v>
      </c>
      <c r="F240" s="95">
        <v>0</v>
      </c>
    </row>
    <row r="241" spans="1:8" ht="12.6" customHeight="1">
      <c r="B241" s="78" t="s">
        <v>467</v>
      </c>
      <c r="C241" s="95" t="s">
        <v>273</v>
      </c>
      <c r="D241" s="94">
        <v>0</v>
      </c>
      <c r="E241" s="95">
        <v>434708.87167999998</v>
      </c>
      <c r="F241" s="95">
        <v>0</v>
      </c>
    </row>
    <row r="242" spans="1:8" ht="12.6" customHeight="1">
      <c r="B242" s="78" t="s">
        <v>468</v>
      </c>
      <c r="C242" s="95">
        <v>157300.44</v>
      </c>
      <c r="D242" s="94">
        <v>0</v>
      </c>
      <c r="E242" s="95" t="s">
        <v>273</v>
      </c>
      <c r="F242" s="95">
        <v>0</v>
      </c>
    </row>
    <row r="243" spans="1:8" ht="12.6" customHeight="1">
      <c r="B243" s="75" t="s">
        <v>469</v>
      </c>
      <c r="C243" s="95">
        <v>0</v>
      </c>
      <c r="D243" s="94">
        <v>-59483.235756000002</v>
      </c>
      <c r="E243" s="95">
        <v>0</v>
      </c>
      <c r="F243" s="95">
        <v>52385.390485000004</v>
      </c>
    </row>
    <row r="244" spans="1:8" ht="12.6" customHeight="1">
      <c r="B244" s="75" t="s">
        <v>470</v>
      </c>
      <c r="C244" s="95">
        <v>0</v>
      </c>
      <c r="D244" s="94">
        <v>141202.33261400001</v>
      </c>
      <c r="E244" s="95">
        <v>0</v>
      </c>
      <c r="F244" s="95">
        <v>81719.096858000004</v>
      </c>
    </row>
    <row r="245" spans="1:8" ht="12.6" customHeight="1">
      <c r="B245" s="79" t="s">
        <v>471</v>
      </c>
      <c r="C245" s="134">
        <v>0</v>
      </c>
      <c r="D245" s="96">
        <v>81719.096858000004</v>
      </c>
      <c r="E245" s="134">
        <v>0</v>
      </c>
      <c r="F245" s="134">
        <v>134104.48734299999</v>
      </c>
    </row>
    <row r="247" spans="1:8" ht="12.6" customHeight="1">
      <c r="A247" s="90" t="s">
        <v>473</v>
      </c>
      <c r="C247" s="73"/>
      <c r="D247" s="73"/>
      <c r="E247" s="73"/>
      <c r="F247" s="73"/>
      <c r="G247" s="73"/>
      <c r="H247" s="73"/>
    </row>
    <row r="248" spans="1:8" ht="12.6" customHeight="1">
      <c r="B248" s="80" t="s">
        <v>474</v>
      </c>
      <c r="C248" s="73"/>
      <c r="D248" s="73"/>
      <c r="E248" s="73"/>
      <c r="F248" s="73"/>
      <c r="G248" s="73"/>
      <c r="H248" s="73"/>
    </row>
    <row r="249" spans="1:8" ht="14.1" customHeight="1">
      <c r="B249" s="325" t="s">
        <v>475</v>
      </c>
      <c r="C249" s="326"/>
      <c r="D249" s="326"/>
      <c r="E249" s="326"/>
      <c r="F249" s="327"/>
      <c r="G249" s="73"/>
      <c r="H249" s="73"/>
    </row>
    <row r="250" spans="1:8" ht="12.6" customHeight="1">
      <c r="B250" s="81" t="s">
        <v>99</v>
      </c>
      <c r="C250" s="82" t="s">
        <v>476</v>
      </c>
      <c r="D250" s="82" t="s">
        <v>477</v>
      </c>
      <c r="E250" s="82" t="s">
        <v>478</v>
      </c>
      <c r="F250" s="83" t="s">
        <v>479</v>
      </c>
      <c r="G250" s="73"/>
      <c r="H250" s="73"/>
    </row>
    <row r="251" spans="1:8" ht="12.6" customHeight="1">
      <c r="B251" s="81" t="s">
        <v>480</v>
      </c>
      <c r="C251" s="328">
        <v>50000000</v>
      </c>
      <c r="D251" s="84">
        <v>20111000</v>
      </c>
      <c r="E251" s="84">
        <v>2000</v>
      </c>
      <c r="F251" s="85">
        <v>40222000000</v>
      </c>
      <c r="G251" s="73"/>
      <c r="H251" s="73"/>
    </row>
    <row r="252" spans="1:8" ht="12.6" customHeight="1">
      <c r="B252" s="81" t="s">
        <v>481</v>
      </c>
      <c r="C252" s="329"/>
      <c r="D252" s="84">
        <v>300000</v>
      </c>
      <c r="E252" s="84">
        <v>2000</v>
      </c>
      <c r="F252" s="85">
        <v>600000000</v>
      </c>
      <c r="G252" s="73"/>
      <c r="H252" s="73"/>
    </row>
    <row r="253" spans="1:8" ht="12.6" customHeight="1">
      <c r="B253" s="81" t="s">
        <v>482</v>
      </c>
      <c r="C253" s="330"/>
      <c r="D253" s="84">
        <v>200000</v>
      </c>
      <c r="E253" s="84">
        <v>2000</v>
      </c>
      <c r="F253" s="85">
        <v>400000000</v>
      </c>
      <c r="G253" s="73"/>
      <c r="H253" s="73"/>
    </row>
    <row r="254" spans="1:8" ht="12.6" customHeight="1">
      <c r="B254" s="86" t="s">
        <v>483</v>
      </c>
      <c r="C254" s="87"/>
      <c r="D254" s="88">
        <v>20611000</v>
      </c>
      <c r="E254" s="87"/>
      <c r="F254" s="89">
        <v>41222000000</v>
      </c>
      <c r="G254" s="73"/>
      <c r="H254" s="73"/>
    </row>
    <row r="255" spans="1:8" ht="12.6" customHeight="1">
      <c r="B255" s="9"/>
      <c r="C255" s="73"/>
      <c r="D255" s="73"/>
      <c r="E255" s="73"/>
      <c r="F255" s="73"/>
      <c r="G255" s="73"/>
      <c r="H255" s="73"/>
    </row>
    <row r="256" spans="1:8" ht="12.6" customHeight="1">
      <c r="B256" s="80" t="s">
        <v>484</v>
      </c>
      <c r="C256" s="73"/>
      <c r="D256" s="73"/>
      <c r="E256" s="73"/>
      <c r="F256" s="73"/>
      <c r="G256" s="73"/>
      <c r="H256" s="73"/>
    </row>
    <row r="257" spans="2:8" ht="12.6" customHeight="1">
      <c r="B257" s="9"/>
      <c r="C257" s="73"/>
      <c r="D257" s="73"/>
      <c r="E257" s="73"/>
      <c r="F257" s="73"/>
      <c r="G257" s="73"/>
      <c r="H257" s="73"/>
    </row>
    <row r="258" spans="2:8" ht="12.6" customHeight="1">
      <c r="B258" s="80" t="s">
        <v>485</v>
      </c>
      <c r="C258" s="73"/>
      <c r="D258" s="73"/>
      <c r="E258" s="73"/>
      <c r="F258" s="73"/>
      <c r="G258" s="73"/>
      <c r="H258" s="73"/>
    </row>
    <row r="259" spans="2:8" ht="14.1" customHeight="1">
      <c r="B259" s="325" t="s">
        <v>475</v>
      </c>
      <c r="C259" s="326"/>
      <c r="D259" s="326"/>
      <c r="E259" s="326"/>
      <c r="F259" s="326"/>
      <c r="G259" s="326"/>
      <c r="H259" s="327"/>
    </row>
    <row r="260" spans="2:8" ht="14.1" customHeight="1">
      <c r="B260" s="332" t="s">
        <v>486</v>
      </c>
      <c r="C260" s="320" t="s">
        <v>480</v>
      </c>
      <c r="D260" s="334"/>
      <c r="E260" s="320" t="s">
        <v>487</v>
      </c>
      <c r="F260" s="334"/>
      <c r="G260" s="320" t="s">
        <v>488</v>
      </c>
      <c r="H260" s="321"/>
    </row>
    <row r="261" spans="2:8" ht="12.6" customHeight="1">
      <c r="B261" s="333"/>
      <c r="C261" s="82" t="s">
        <v>489</v>
      </c>
      <c r="D261" s="82" t="s">
        <v>490</v>
      </c>
      <c r="E261" s="82" t="s">
        <v>489</v>
      </c>
      <c r="F261" s="82" t="s">
        <v>490</v>
      </c>
      <c r="G261" s="82" t="s">
        <v>489</v>
      </c>
      <c r="H261" s="83" t="s">
        <v>490</v>
      </c>
    </row>
    <row r="262" spans="2:8" ht="12.6" customHeight="1">
      <c r="B262" s="81" t="s">
        <v>491</v>
      </c>
      <c r="C262" s="84">
        <v>26400000</v>
      </c>
      <c r="D262" s="84">
        <v>52800000000</v>
      </c>
      <c r="E262" s="84">
        <v>300000</v>
      </c>
      <c r="F262" s="84">
        <v>600000000</v>
      </c>
      <c r="G262" s="84">
        <v>200000</v>
      </c>
      <c r="H262" s="85">
        <v>400000000</v>
      </c>
    </row>
    <row r="263" spans="2:8" ht="12.6" customHeight="1">
      <c r="B263" s="81" t="s">
        <v>492</v>
      </c>
      <c r="C263" s="84">
        <v>-6400000</v>
      </c>
      <c r="D263" s="84">
        <v>-12800000000</v>
      </c>
      <c r="E263" s="82" t="s">
        <v>273</v>
      </c>
      <c r="F263" s="82" t="s">
        <v>273</v>
      </c>
      <c r="G263" s="82" t="s">
        <v>273</v>
      </c>
      <c r="H263" s="83" t="s">
        <v>273</v>
      </c>
    </row>
    <row r="264" spans="2:8" ht="12.6" customHeight="1">
      <c r="B264" s="81" t="s">
        <v>493</v>
      </c>
      <c r="C264" s="84">
        <v>111000</v>
      </c>
      <c r="D264" s="84">
        <v>222000000</v>
      </c>
      <c r="E264" s="82" t="s">
        <v>273</v>
      </c>
      <c r="F264" s="82" t="s">
        <v>273</v>
      </c>
      <c r="G264" s="82" t="s">
        <v>273</v>
      </c>
      <c r="H264" s="83" t="s">
        <v>273</v>
      </c>
    </row>
    <row r="265" spans="2:8" ht="12.6" customHeight="1">
      <c r="B265" s="81" t="s">
        <v>494</v>
      </c>
      <c r="C265" s="84">
        <v>231000000</v>
      </c>
      <c r="D265" s="84">
        <v>462000000000</v>
      </c>
      <c r="E265" s="82" t="s">
        <v>273</v>
      </c>
      <c r="F265" s="82" t="s">
        <v>273</v>
      </c>
      <c r="G265" s="82" t="s">
        <v>273</v>
      </c>
      <c r="H265" s="83" t="s">
        <v>273</v>
      </c>
    </row>
    <row r="266" spans="2:8" ht="12.6" customHeight="1">
      <c r="B266" s="81" t="s">
        <v>495</v>
      </c>
      <c r="C266" s="84">
        <v>-231000000</v>
      </c>
      <c r="D266" s="84">
        <v>-462000000000</v>
      </c>
      <c r="E266" s="82" t="s">
        <v>273</v>
      </c>
      <c r="F266" s="82" t="s">
        <v>273</v>
      </c>
      <c r="G266" s="82" t="s">
        <v>273</v>
      </c>
      <c r="H266" s="83" t="s">
        <v>273</v>
      </c>
    </row>
    <row r="267" spans="2:8" ht="12.6" customHeight="1">
      <c r="B267" s="86" t="s">
        <v>496</v>
      </c>
      <c r="C267" s="88">
        <v>20111000</v>
      </c>
      <c r="D267" s="88">
        <v>40222000000</v>
      </c>
      <c r="E267" s="88">
        <v>300000</v>
      </c>
      <c r="F267" s="88">
        <v>600000000</v>
      </c>
      <c r="G267" s="88">
        <v>200000</v>
      </c>
      <c r="H267" s="89">
        <v>400000000</v>
      </c>
    </row>
    <row r="268" spans="2:8" ht="12.6" customHeight="1">
      <c r="B268" s="9"/>
      <c r="C268" s="73"/>
      <c r="D268" s="73"/>
      <c r="E268" s="73"/>
      <c r="F268" s="73"/>
      <c r="G268" s="73"/>
      <c r="H268" s="73"/>
    </row>
    <row r="269" spans="2:8" ht="12.6" customHeight="1">
      <c r="B269" s="80" t="s">
        <v>497</v>
      </c>
      <c r="C269" s="73"/>
      <c r="D269" s="73"/>
      <c r="E269" s="73"/>
      <c r="F269" s="73"/>
      <c r="G269" s="73"/>
      <c r="H269" s="73"/>
    </row>
    <row r="270" spans="2:8" ht="12.6" customHeight="1">
      <c r="B270" s="9"/>
      <c r="C270" s="73"/>
      <c r="D270" s="73"/>
      <c r="E270" s="73"/>
      <c r="F270" s="73"/>
      <c r="G270" s="73"/>
      <c r="H270" s="73"/>
    </row>
    <row r="271" spans="2:8" ht="12.6" customHeight="1">
      <c r="B271" s="80" t="s">
        <v>498</v>
      </c>
      <c r="C271" s="73"/>
      <c r="D271" s="73"/>
      <c r="E271" s="73"/>
      <c r="F271" s="73"/>
      <c r="G271" s="73"/>
      <c r="H271" s="73"/>
    </row>
    <row r="272" spans="2:8" ht="12.6" customHeight="1">
      <c r="B272" s="73"/>
      <c r="C272" s="73"/>
      <c r="D272" s="73"/>
      <c r="E272" s="73"/>
      <c r="F272" s="73"/>
      <c r="G272" s="73"/>
      <c r="H272" s="73"/>
    </row>
    <row r="273" spans="2:8" ht="12.6" customHeight="1">
      <c r="B273" s="80" t="s">
        <v>722</v>
      </c>
      <c r="C273" s="73"/>
      <c r="D273" s="73"/>
      <c r="E273" s="73"/>
      <c r="F273" s="73"/>
      <c r="G273" s="73"/>
      <c r="H273" s="73"/>
    </row>
  </sheetData>
  <mergeCells count="13">
    <mergeCell ref="E6:F6"/>
    <mergeCell ref="C6:D6"/>
    <mergeCell ref="E112:F112"/>
    <mergeCell ref="C112:D112"/>
    <mergeCell ref="B260:B261"/>
    <mergeCell ref="C260:D260"/>
    <mergeCell ref="E260:F260"/>
    <mergeCell ref="G260:H260"/>
    <mergeCell ref="E156:F156"/>
    <mergeCell ref="C156:D156"/>
    <mergeCell ref="B249:F249"/>
    <mergeCell ref="C251:C253"/>
    <mergeCell ref="B259:H259"/>
  </mergeCells>
  <phoneticPr fontId="22" type="noConversion"/>
  <hyperlinks>
    <hyperlink ref="B2" r:id="rId1" xr:uid="{00000000-0004-0000-0C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52"/>
  <sheetViews>
    <sheetView workbookViewId="0"/>
  </sheetViews>
  <sheetFormatPr defaultRowHeight="10.199999999999999"/>
  <cols>
    <col min="1" max="1" width="3.77734375" customWidth="1"/>
    <col min="2" max="2" width="30.5546875" customWidth="1"/>
    <col min="3" max="3" width="17.44140625" customWidth="1"/>
    <col min="4" max="4" width="17.5546875" customWidth="1"/>
    <col min="5" max="5" width="17.44140625" customWidth="1"/>
    <col min="6" max="6" width="17.5546875" customWidth="1"/>
    <col min="7" max="7" width="11.44140625" customWidth="1"/>
    <col min="8" max="8" width="10.77734375" customWidth="1"/>
  </cols>
  <sheetData>
    <row r="1" spans="1:8" ht="10.8">
      <c r="A1" s="2" t="s">
        <v>562</v>
      </c>
    </row>
    <row r="2" spans="1:8" ht="13.2">
      <c r="B2" s="71" t="s">
        <v>561</v>
      </c>
    </row>
    <row r="3" spans="1:8" ht="12" customHeight="1"/>
    <row r="4" spans="1:8" ht="12" customHeight="1">
      <c r="B4" s="236" t="s">
        <v>827</v>
      </c>
    </row>
    <row r="5" spans="1:8" ht="12" customHeight="1">
      <c r="B5" s="80"/>
      <c r="C5" s="80"/>
      <c r="D5" s="9"/>
      <c r="E5" s="9"/>
      <c r="F5" s="9"/>
      <c r="G5" s="9"/>
      <c r="H5" s="9"/>
    </row>
    <row r="6" spans="1:8" ht="12" customHeight="1">
      <c r="A6" s="2" t="s">
        <v>25</v>
      </c>
      <c r="B6" s="80"/>
      <c r="C6" s="80"/>
      <c r="D6" s="9"/>
      <c r="E6" s="9"/>
      <c r="F6" s="9"/>
      <c r="G6" s="9"/>
      <c r="H6" s="9"/>
    </row>
    <row r="7" spans="1:8" ht="12" customHeight="1">
      <c r="B7" s="80" t="s">
        <v>563</v>
      </c>
      <c r="C7" s="80" t="s">
        <v>564</v>
      </c>
      <c r="D7" s="9"/>
      <c r="E7" s="9"/>
      <c r="F7" s="9"/>
      <c r="G7" s="9"/>
      <c r="H7" s="9"/>
    </row>
    <row r="8" spans="1:8" ht="12" customHeight="1">
      <c r="B8" s="74" t="s">
        <v>714</v>
      </c>
      <c r="C8" s="191" t="s">
        <v>565</v>
      </c>
      <c r="D8" s="192"/>
      <c r="E8" s="9"/>
      <c r="F8" s="9"/>
      <c r="G8" s="9"/>
      <c r="H8" s="9"/>
    </row>
    <row r="9" spans="1:8" ht="12" customHeight="1">
      <c r="B9" s="75" t="s">
        <v>715</v>
      </c>
      <c r="C9" s="193"/>
      <c r="D9" s="194"/>
      <c r="E9" s="9"/>
      <c r="F9" s="9"/>
      <c r="G9" s="9"/>
      <c r="H9" s="9"/>
    </row>
    <row r="10" spans="1:8" ht="12" customHeight="1">
      <c r="B10" s="75" t="s">
        <v>566</v>
      </c>
      <c r="C10" s="193"/>
      <c r="D10" s="195">
        <v>572179733499</v>
      </c>
      <c r="E10" s="9"/>
      <c r="F10" s="9"/>
      <c r="G10" s="9"/>
      <c r="H10" s="9"/>
    </row>
    <row r="11" spans="1:8" ht="12" customHeight="1">
      <c r="B11" s="78" t="s">
        <v>567</v>
      </c>
      <c r="C11" s="193"/>
      <c r="D11" s="195">
        <v>451266611275</v>
      </c>
      <c r="E11" s="9"/>
      <c r="F11" s="9"/>
      <c r="G11" s="9"/>
      <c r="H11" s="9"/>
    </row>
    <row r="12" spans="1:8" ht="12" customHeight="1">
      <c r="B12" s="217" t="s">
        <v>724</v>
      </c>
      <c r="C12" s="218">
        <v>44233059985</v>
      </c>
      <c r="D12" s="194"/>
      <c r="E12" s="9"/>
      <c r="G12" s="9"/>
      <c r="H12" s="9"/>
    </row>
    <row r="13" spans="1:8" ht="12" customHeight="1">
      <c r="B13" s="217" t="s">
        <v>725</v>
      </c>
      <c r="C13" s="218">
        <v>10360561262</v>
      </c>
      <c r="D13" s="194"/>
      <c r="E13" s="9"/>
      <c r="F13" s="9"/>
      <c r="G13" s="9"/>
      <c r="H13" s="9"/>
    </row>
    <row r="14" spans="1:8" ht="12" customHeight="1">
      <c r="B14" s="186" t="s">
        <v>726</v>
      </c>
      <c r="C14" s="196">
        <v>375090064170</v>
      </c>
      <c r="D14" s="194"/>
      <c r="E14" s="9"/>
      <c r="F14" s="9"/>
      <c r="G14" s="9"/>
      <c r="H14" s="9"/>
    </row>
    <row r="15" spans="1:8" ht="12" customHeight="1">
      <c r="B15" s="186" t="s">
        <v>727</v>
      </c>
      <c r="C15" s="196">
        <v>-34918594728</v>
      </c>
      <c r="D15" s="194"/>
      <c r="E15" s="9"/>
      <c r="F15" s="9"/>
      <c r="G15" s="9"/>
      <c r="H15" s="9"/>
    </row>
    <row r="16" spans="1:8" ht="12" customHeight="1">
      <c r="B16" s="186" t="s">
        <v>728</v>
      </c>
      <c r="C16" s="196">
        <v>38129508346</v>
      </c>
      <c r="D16" s="194"/>
      <c r="E16" s="9"/>
      <c r="F16" s="9"/>
      <c r="G16" s="9"/>
      <c r="H16" s="9"/>
    </row>
    <row r="17" spans="2:8" ht="12" customHeight="1">
      <c r="B17" s="186" t="s">
        <v>727</v>
      </c>
      <c r="C17" s="196">
        <v>-2478586454</v>
      </c>
      <c r="D17" s="194"/>
      <c r="E17" s="9"/>
      <c r="F17" s="9"/>
      <c r="G17" s="9"/>
      <c r="H17" s="9"/>
    </row>
    <row r="18" spans="2:8" ht="12" customHeight="1">
      <c r="B18" s="186" t="s">
        <v>568</v>
      </c>
      <c r="C18" s="196">
        <v>418068883</v>
      </c>
      <c r="D18" s="194"/>
      <c r="E18" s="9"/>
      <c r="F18" s="9"/>
      <c r="G18" s="9"/>
      <c r="H18" s="9"/>
    </row>
    <row r="19" spans="2:8" ht="12" customHeight="1">
      <c r="B19" s="186" t="s">
        <v>569</v>
      </c>
      <c r="C19" s="196">
        <v>4514000725</v>
      </c>
      <c r="D19" s="194"/>
      <c r="E19" s="9"/>
      <c r="F19" s="9"/>
      <c r="G19" s="9"/>
      <c r="H19" s="9"/>
    </row>
    <row r="20" spans="2:8" ht="12" customHeight="1">
      <c r="B20" s="186" t="s">
        <v>570</v>
      </c>
      <c r="C20" s="196">
        <v>6944756405</v>
      </c>
      <c r="D20" s="194"/>
      <c r="E20" s="9"/>
      <c r="F20" s="9"/>
      <c r="G20" s="9"/>
      <c r="H20" s="9"/>
    </row>
    <row r="21" spans="2:8" ht="12" customHeight="1">
      <c r="B21" s="186" t="s">
        <v>729</v>
      </c>
      <c r="C21" s="196">
        <v>8973772681</v>
      </c>
      <c r="D21" s="194"/>
      <c r="E21" s="9"/>
      <c r="F21" s="9"/>
      <c r="G21" s="9"/>
      <c r="H21" s="9"/>
    </row>
    <row r="22" spans="2:8" ht="12" customHeight="1">
      <c r="B22" s="78" t="s">
        <v>730</v>
      </c>
      <c r="C22" s="193"/>
      <c r="D22" s="195">
        <v>120913122224</v>
      </c>
      <c r="E22" s="9"/>
      <c r="F22" s="9"/>
      <c r="G22" s="9"/>
      <c r="H22" s="9"/>
    </row>
    <row r="23" spans="2:8" ht="12" customHeight="1">
      <c r="B23" s="186" t="s">
        <v>571</v>
      </c>
      <c r="C23" s="196">
        <v>15100040414</v>
      </c>
      <c r="D23" s="194"/>
      <c r="E23" s="9"/>
      <c r="F23" s="9"/>
      <c r="G23" s="9"/>
      <c r="H23" s="9"/>
    </row>
    <row r="24" spans="2:8" ht="12" customHeight="1">
      <c r="B24" s="186" t="s">
        <v>572</v>
      </c>
      <c r="C24" s="196">
        <v>23986082064</v>
      </c>
      <c r="D24" s="194"/>
      <c r="E24" s="9"/>
      <c r="F24" s="9"/>
      <c r="G24" s="9"/>
      <c r="H24" s="9"/>
    </row>
    <row r="25" spans="2:8" ht="12" customHeight="1">
      <c r="B25" s="186" t="s">
        <v>573</v>
      </c>
      <c r="C25" s="196">
        <v>47232429099</v>
      </c>
      <c r="D25" s="194"/>
      <c r="E25" s="9"/>
      <c r="F25" s="9"/>
      <c r="G25" s="9"/>
      <c r="H25" s="9"/>
    </row>
    <row r="26" spans="2:8" ht="12" customHeight="1">
      <c r="B26" s="186" t="s">
        <v>574</v>
      </c>
      <c r="C26" s="196">
        <v>9734469435</v>
      </c>
      <c r="D26" s="194"/>
      <c r="E26" s="9"/>
      <c r="F26" s="9"/>
      <c r="G26" s="9"/>
      <c r="H26" s="9"/>
    </row>
    <row r="27" spans="2:8" ht="12" customHeight="1">
      <c r="B27" s="186" t="s">
        <v>575</v>
      </c>
      <c r="C27" s="196">
        <v>6484855483</v>
      </c>
      <c r="D27" s="194"/>
      <c r="E27" s="9"/>
      <c r="F27" s="9"/>
      <c r="G27" s="9"/>
      <c r="H27" s="9"/>
    </row>
    <row r="28" spans="2:8" ht="12" customHeight="1">
      <c r="B28" s="186" t="s">
        <v>576</v>
      </c>
      <c r="C28" s="196">
        <v>18375245729</v>
      </c>
      <c r="D28" s="194"/>
      <c r="E28" s="9"/>
      <c r="F28" s="9"/>
      <c r="G28" s="9"/>
      <c r="H28" s="9"/>
    </row>
    <row r="29" spans="2:8" ht="12" customHeight="1">
      <c r="B29" s="75" t="s">
        <v>577</v>
      </c>
      <c r="C29" s="193"/>
      <c r="D29" s="195">
        <v>1729565479684</v>
      </c>
      <c r="E29" s="9"/>
      <c r="F29" s="9"/>
      <c r="G29" s="9"/>
      <c r="H29" s="9"/>
    </row>
    <row r="30" spans="2:8" ht="12" customHeight="1">
      <c r="B30" s="78" t="s">
        <v>578</v>
      </c>
      <c r="C30" s="193"/>
      <c r="D30" s="195">
        <v>1965768911</v>
      </c>
      <c r="E30" s="9"/>
      <c r="F30" s="9"/>
      <c r="G30" s="9"/>
      <c r="H30" s="9"/>
    </row>
    <row r="31" spans="2:8" ht="12" customHeight="1">
      <c r="B31" s="186" t="s">
        <v>731</v>
      </c>
      <c r="C31" s="196">
        <v>183700000</v>
      </c>
      <c r="D31" s="194"/>
      <c r="E31" s="9"/>
      <c r="F31" s="9"/>
      <c r="G31" s="9"/>
      <c r="H31" s="9"/>
    </row>
    <row r="32" spans="2:8" ht="12" customHeight="1">
      <c r="B32" s="186" t="s">
        <v>732</v>
      </c>
      <c r="C32" s="196">
        <v>1655400911</v>
      </c>
      <c r="D32" s="194"/>
      <c r="E32" s="9"/>
      <c r="F32" s="9"/>
      <c r="G32" s="9"/>
      <c r="H32" s="9"/>
    </row>
    <row r="33" spans="2:8" ht="12" customHeight="1">
      <c r="B33" s="186" t="s">
        <v>733</v>
      </c>
      <c r="C33" s="196">
        <v>126668000</v>
      </c>
      <c r="D33" s="194"/>
      <c r="E33" s="9"/>
      <c r="F33" s="9"/>
      <c r="G33" s="9"/>
      <c r="H33" s="9"/>
    </row>
    <row r="34" spans="2:8" ht="12" customHeight="1">
      <c r="B34" s="78" t="s">
        <v>734</v>
      </c>
      <c r="C34" s="193"/>
      <c r="D34" s="195">
        <v>1643409698974</v>
      </c>
      <c r="E34" s="9"/>
      <c r="F34" s="9"/>
      <c r="G34" s="9"/>
      <c r="H34" s="9"/>
    </row>
    <row r="35" spans="2:8" ht="12" customHeight="1">
      <c r="B35" s="186" t="s">
        <v>579</v>
      </c>
      <c r="C35" s="196">
        <v>445545967978</v>
      </c>
      <c r="D35" s="194"/>
      <c r="E35" s="9"/>
      <c r="F35" s="9"/>
      <c r="G35" s="9"/>
      <c r="H35" s="9"/>
    </row>
    <row r="36" spans="2:8" ht="12" customHeight="1">
      <c r="B36" s="186" t="s">
        <v>580</v>
      </c>
      <c r="C36" s="196">
        <v>1827294910673</v>
      </c>
      <c r="D36" s="194"/>
      <c r="E36" s="9"/>
      <c r="F36" s="9"/>
      <c r="G36" s="9"/>
      <c r="H36" s="9"/>
    </row>
    <row r="37" spans="2:8" ht="12" customHeight="1">
      <c r="B37" s="186" t="s">
        <v>735</v>
      </c>
      <c r="C37" s="196">
        <v>-663346149670</v>
      </c>
      <c r="D37" s="194"/>
      <c r="E37" s="9"/>
      <c r="F37" s="9"/>
      <c r="G37" s="9"/>
      <c r="H37" s="9"/>
    </row>
    <row r="38" spans="2:8" ht="12" customHeight="1">
      <c r="B38" s="186" t="s">
        <v>581</v>
      </c>
      <c r="C38" s="196">
        <v>33914969993</v>
      </c>
      <c r="D38" s="194"/>
      <c r="E38" s="9"/>
      <c r="F38" s="9"/>
      <c r="G38" s="9"/>
      <c r="H38" s="9"/>
    </row>
    <row r="39" spans="2:8" ht="12" customHeight="1">
      <c r="B39" s="78" t="s">
        <v>736</v>
      </c>
      <c r="C39" s="193"/>
      <c r="D39" s="195">
        <v>12555632493</v>
      </c>
      <c r="E39" s="9"/>
      <c r="F39" s="9"/>
      <c r="G39" s="9"/>
      <c r="H39" s="9"/>
    </row>
    <row r="40" spans="2:8" ht="12" customHeight="1">
      <c r="B40" s="186" t="s">
        <v>582</v>
      </c>
      <c r="C40" s="196">
        <v>12546520208</v>
      </c>
      <c r="D40" s="194"/>
      <c r="E40" s="9"/>
      <c r="F40" s="9"/>
      <c r="G40" s="9"/>
      <c r="H40" s="9"/>
    </row>
    <row r="41" spans="2:8" ht="12" customHeight="1">
      <c r="B41" s="186" t="s">
        <v>583</v>
      </c>
      <c r="C41" s="196">
        <v>9112285</v>
      </c>
      <c r="D41" s="194"/>
      <c r="E41" s="9"/>
      <c r="F41" s="9"/>
      <c r="G41" s="9"/>
      <c r="H41" s="9"/>
    </row>
    <row r="42" spans="2:8" ht="12" customHeight="1">
      <c r="B42" s="78" t="s">
        <v>584</v>
      </c>
      <c r="C42" s="193"/>
      <c r="D42" s="195">
        <v>71634379306</v>
      </c>
      <c r="E42" s="9"/>
      <c r="F42" s="9"/>
      <c r="G42" s="9"/>
      <c r="H42" s="9"/>
    </row>
    <row r="43" spans="2:8" ht="12" customHeight="1">
      <c r="B43" s="186" t="s">
        <v>737</v>
      </c>
      <c r="C43" s="196">
        <v>22808191744</v>
      </c>
      <c r="D43" s="194"/>
      <c r="E43" s="9"/>
      <c r="F43" s="9"/>
      <c r="G43" s="9"/>
      <c r="H43" s="9"/>
    </row>
    <row r="44" spans="2:8" ht="12" customHeight="1">
      <c r="B44" s="186" t="s">
        <v>727</v>
      </c>
      <c r="C44" s="196">
        <v>-4371956100</v>
      </c>
      <c r="D44" s="194"/>
      <c r="E44" s="9"/>
      <c r="F44" s="9"/>
      <c r="G44" s="9"/>
      <c r="H44" s="9"/>
    </row>
    <row r="45" spans="2:8" ht="12" customHeight="1">
      <c r="B45" s="186" t="s">
        <v>738</v>
      </c>
      <c r="C45" s="196">
        <v>42619682085</v>
      </c>
      <c r="D45" s="194"/>
      <c r="E45" s="9"/>
      <c r="F45" s="9"/>
      <c r="G45" s="9"/>
      <c r="H45" s="9"/>
    </row>
    <row r="46" spans="2:8" ht="12" customHeight="1">
      <c r="B46" s="186" t="s">
        <v>739</v>
      </c>
      <c r="C46" s="196">
        <v>10367544043</v>
      </c>
      <c r="D46" s="194"/>
      <c r="E46" s="9"/>
      <c r="F46" s="9"/>
      <c r="G46" s="9"/>
      <c r="H46" s="9"/>
    </row>
    <row r="47" spans="2:8" ht="12" customHeight="1">
      <c r="B47" s="186" t="s">
        <v>740</v>
      </c>
      <c r="C47" s="196">
        <v>210917534</v>
      </c>
      <c r="D47" s="194"/>
      <c r="E47" s="9"/>
      <c r="F47" s="9"/>
      <c r="G47" s="9"/>
      <c r="H47" s="9"/>
    </row>
    <row r="48" spans="2:8" ht="12" customHeight="1">
      <c r="B48" s="75" t="s">
        <v>716</v>
      </c>
      <c r="C48" s="193"/>
      <c r="D48" s="195">
        <v>2301745213183</v>
      </c>
      <c r="E48" s="9"/>
      <c r="F48" s="9"/>
      <c r="G48" s="9"/>
      <c r="H48" s="9"/>
    </row>
    <row r="49" spans="2:8" ht="12" customHeight="1">
      <c r="B49" s="75" t="s">
        <v>717</v>
      </c>
      <c r="C49" s="193"/>
      <c r="D49" s="194"/>
      <c r="E49" s="9"/>
      <c r="F49" s="9"/>
      <c r="G49" s="9"/>
      <c r="H49" s="9"/>
    </row>
    <row r="50" spans="2:8" ht="12" customHeight="1">
      <c r="B50" s="75" t="s">
        <v>585</v>
      </c>
      <c r="C50" s="193"/>
      <c r="D50" s="195">
        <v>1136276184243</v>
      </c>
      <c r="E50" s="9"/>
      <c r="F50" s="9"/>
      <c r="G50" s="9"/>
      <c r="H50" s="9"/>
    </row>
    <row r="51" spans="2:8" ht="12" customHeight="1">
      <c r="B51" s="217" t="s">
        <v>741</v>
      </c>
      <c r="C51" s="218">
        <v>562162920635</v>
      </c>
      <c r="D51" s="194"/>
      <c r="G51" s="202"/>
      <c r="H51" s="9"/>
    </row>
    <row r="52" spans="2:8" ht="12" customHeight="1">
      <c r="B52" s="186" t="s">
        <v>742</v>
      </c>
      <c r="C52" s="196">
        <v>26416576617</v>
      </c>
      <c r="D52" s="194"/>
      <c r="G52" s="9"/>
      <c r="H52" s="9"/>
    </row>
    <row r="53" spans="2:8" ht="12" customHeight="1">
      <c r="B53" s="186" t="s">
        <v>743</v>
      </c>
      <c r="C53" s="196">
        <v>65789368987</v>
      </c>
      <c r="D53" s="194"/>
      <c r="E53" s="199"/>
      <c r="F53" s="9"/>
      <c r="G53" s="9"/>
      <c r="H53" s="9"/>
    </row>
    <row r="54" spans="2:8" ht="12" customHeight="1">
      <c r="B54" s="186" t="s">
        <v>586</v>
      </c>
      <c r="C54" s="196">
        <v>241759961014</v>
      </c>
      <c r="D54" s="194"/>
      <c r="E54" s="199"/>
      <c r="F54" s="9"/>
      <c r="G54" s="9"/>
      <c r="H54" s="9"/>
    </row>
    <row r="55" spans="2:8" ht="12" customHeight="1">
      <c r="B55" s="186" t="s">
        <v>587</v>
      </c>
      <c r="C55" s="196">
        <v>14027868901</v>
      </c>
      <c r="D55" s="194"/>
      <c r="E55" s="199"/>
      <c r="F55" s="9"/>
      <c r="G55" s="9"/>
      <c r="H55" s="9"/>
    </row>
    <row r="56" spans="2:8" ht="12" customHeight="1">
      <c r="B56" s="186" t="s">
        <v>588</v>
      </c>
      <c r="C56" s="196">
        <v>6658733561</v>
      </c>
      <c r="D56" s="194"/>
      <c r="E56" s="199"/>
      <c r="F56" s="9"/>
      <c r="G56" s="9"/>
      <c r="H56" s="9"/>
    </row>
    <row r="57" spans="2:8" ht="12" customHeight="1">
      <c r="B57" s="186" t="s">
        <v>589</v>
      </c>
      <c r="C57" s="196">
        <v>8371341056</v>
      </c>
      <c r="D57" s="194"/>
      <c r="E57" s="199"/>
      <c r="F57" s="9"/>
      <c r="G57" s="9"/>
      <c r="H57" s="9"/>
    </row>
    <row r="58" spans="2:8" ht="12" customHeight="1">
      <c r="B58" s="217" t="s">
        <v>744</v>
      </c>
      <c r="C58" s="218">
        <v>200000000000</v>
      </c>
      <c r="D58" s="194"/>
      <c r="E58" s="199"/>
      <c r="G58" s="9"/>
      <c r="H58" s="9"/>
    </row>
    <row r="59" spans="2:8" ht="12" customHeight="1">
      <c r="B59" s="217" t="s">
        <v>745</v>
      </c>
      <c r="C59" s="218">
        <v>-82643871</v>
      </c>
      <c r="D59" s="194"/>
      <c r="E59" s="199"/>
      <c r="F59" s="9"/>
      <c r="G59" s="9"/>
      <c r="H59" s="9"/>
    </row>
    <row r="60" spans="2:8" ht="12" customHeight="1">
      <c r="B60" s="217" t="s">
        <v>746</v>
      </c>
      <c r="C60" s="218">
        <v>11172057343</v>
      </c>
      <c r="D60" s="194"/>
      <c r="E60" s="199"/>
      <c r="F60" s="219" t="s">
        <v>790</v>
      </c>
      <c r="G60" s="9"/>
      <c r="H60" s="9"/>
    </row>
    <row r="61" spans="2:8" ht="12" customHeight="1">
      <c r="B61" s="75" t="s">
        <v>590</v>
      </c>
      <c r="C61" s="193"/>
      <c r="D61" s="195">
        <v>323959751113</v>
      </c>
      <c r="E61" s="199"/>
      <c r="F61" s="234"/>
      <c r="G61" s="9"/>
      <c r="H61" s="9"/>
    </row>
    <row r="62" spans="2:8" ht="12" customHeight="1">
      <c r="B62" s="217" t="s">
        <v>747</v>
      </c>
      <c r="C62" s="218">
        <v>250000000000</v>
      </c>
      <c r="D62" s="194"/>
      <c r="F62" s="9"/>
      <c r="G62" s="9"/>
      <c r="H62" s="9"/>
    </row>
    <row r="63" spans="2:8" ht="12" customHeight="1">
      <c r="B63" s="217" t="s">
        <v>748</v>
      </c>
      <c r="C63" s="218">
        <v>-696928495</v>
      </c>
      <c r="D63" s="194"/>
      <c r="E63" s="9"/>
      <c r="F63" s="9"/>
      <c r="G63" s="9"/>
      <c r="H63" s="9"/>
    </row>
    <row r="64" spans="2:8" ht="12" customHeight="1">
      <c r="B64" s="186" t="s">
        <v>749</v>
      </c>
      <c r="C64" s="196">
        <v>85137344851</v>
      </c>
      <c r="D64" s="194"/>
      <c r="E64" s="9"/>
      <c r="F64" s="9"/>
      <c r="G64" s="9"/>
      <c r="H64" s="9"/>
    </row>
    <row r="65" spans="2:8" ht="12" customHeight="1">
      <c r="B65" s="186" t="s">
        <v>750</v>
      </c>
      <c r="C65" s="196">
        <v>-67688753496</v>
      </c>
      <c r="D65" s="194"/>
      <c r="E65" s="9"/>
      <c r="G65" s="9"/>
      <c r="H65" s="9"/>
    </row>
    <row r="66" spans="2:8" ht="12" customHeight="1">
      <c r="B66" s="186" t="s">
        <v>751</v>
      </c>
      <c r="C66" s="196">
        <v>-2449795179</v>
      </c>
      <c r="D66" s="194"/>
      <c r="E66" s="9"/>
      <c r="F66" s="9"/>
      <c r="G66" s="9"/>
      <c r="H66" s="9"/>
    </row>
    <row r="67" spans="2:8" ht="12" customHeight="1">
      <c r="B67" s="186" t="s">
        <v>752</v>
      </c>
      <c r="C67" s="196">
        <v>-1159045656</v>
      </c>
      <c r="D67" s="194"/>
      <c r="E67" s="9"/>
      <c r="F67" s="9"/>
      <c r="G67" s="9"/>
      <c r="H67" s="9"/>
    </row>
    <row r="68" spans="2:8" ht="12" customHeight="1">
      <c r="B68" s="186" t="s">
        <v>753</v>
      </c>
      <c r="C68" s="196">
        <v>22876220727</v>
      </c>
      <c r="D68" s="194"/>
      <c r="E68" s="9"/>
      <c r="F68" s="9"/>
      <c r="G68" s="9"/>
      <c r="H68" s="9"/>
    </row>
    <row r="69" spans="2:8" ht="12" customHeight="1">
      <c r="B69" s="186" t="s">
        <v>754</v>
      </c>
      <c r="C69" s="196">
        <v>37940708361</v>
      </c>
      <c r="D69" s="194"/>
      <c r="E69" s="9"/>
      <c r="F69" s="9"/>
      <c r="G69" s="9"/>
      <c r="H69" s="9"/>
    </row>
    <row r="70" spans="2:8" ht="12" customHeight="1">
      <c r="B70" s="75" t="s">
        <v>718</v>
      </c>
      <c r="C70" s="193"/>
      <c r="D70" s="195">
        <v>1460235935356</v>
      </c>
      <c r="E70" s="9"/>
      <c r="F70" s="9"/>
      <c r="G70" s="9"/>
      <c r="H70" s="9"/>
    </row>
    <row r="71" spans="2:8" ht="12" customHeight="1">
      <c r="B71" s="75" t="s">
        <v>719</v>
      </c>
      <c r="C71" s="193"/>
      <c r="D71" s="194"/>
      <c r="E71" s="9"/>
      <c r="F71" s="9"/>
      <c r="G71" s="9"/>
      <c r="H71" s="9"/>
    </row>
    <row r="72" spans="2:8" ht="12" customHeight="1">
      <c r="B72" s="75" t="s">
        <v>591</v>
      </c>
      <c r="C72" s="193"/>
      <c r="D72" s="195">
        <v>841509277827</v>
      </c>
      <c r="E72" s="9"/>
      <c r="F72" s="9"/>
      <c r="G72" s="9"/>
      <c r="H72" s="9"/>
    </row>
    <row r="73" spans="2:8" ht="12" customHeight="1">
      <c r="B73" s="78" t="s">
        <v>755</v>
      </c>
      <c r="C73" s="193"/>
      <c r="D73" s="195">
        <v>49684265000</v>
      </c>
      <c r="E73" s="9"/>
      <c r="F73" s="9"/>
      <c r="G73" s="9"/>
      <c r="H73" s="9"/>
    </row>
    <row r="74" spans="2:8" ht="12" customHeight="1">
      <c r="B74" s="186" t="s">
        <v>592</v>
      </c>
      <c r="C74" s="196">
        <v>47819590000</v>
      </c>
      <c r="D74" s="194"/>
      <c r="E74" s="9"/>
      <c r="F74" s="9"/>
      <c r="G74" s="9"/>
      <c r="H74" s="9"/>
    </row>
    <row r="75" spans="2:8" ht="12" customHeight="1">
      <c r="B75" s="186" t="s">
        <v>593</v>
      </c>
      <c r="C75" s="196">
        <v>1864675000</v>
      </c>
      <c r="D75" s="194"/>
      <c r="F75" s="9"/>
      <c r="G75" s="9"/>
      <c r="H75" s="9"/>
    </row>
    <row r="76" spans="2:8" ht="12" customHeight="1">
      <c r="B76" s="78" t="s">
        <v>594</v>
      </c>
      <c r="C76" s="193"/>
      <c r="D76" s="195">
        <v>516746572978</v>
      </c>
      <c r="E76" s="9"/>
      <c r="F76" s="9"/>
      <c r="G76" s="9"/>
      <c r="H76" s="9"/>
    </row>
    <row r="77" spans="2:8" ht="12" customHeight="1">
      <c r="B77" s="186" t="s">
        <v>595</v>
      </c>
      <c r="C77" s="196">
        <v>516746572978</v>
      </c>
      <c r="D77" s="194"/>
      <c r="E77" s="9"/>
      <c r="F77" s="9"/>
      <c r="G77" s="9"/>
      <c r="H77" s="9"/>
    </row>
    <row r="78" spans="2:8" ht="12" customHeight="1">
      <c r="B78" s="78" t="s">
        <v>596</v>
      </c>
      <c r="C78" s="193"/>
      <c r="D78" s="195">
        <v>-1071624000</v>
      </c>
      <c r="E78" s="9"/>
      <c r="F78" s="9"/>
      <c r="G78" s="9"/>
      <c r="H78" s="9"/>
    </row>
    <row r="79" spans="2:8" ht="12" customHeight="1">
      <c r="B79" s="186" t="s">
        <v>756</v>
      </c>
      <c r="C79" s="196">
        <v>-1071624000</v>
      </c>
      <c r="D79" s="194"/>
      <c r="E79" s="9"/>
      <c r="F79" s="9"/>
      <c r="G79" s="9"/>
      <c r="H79" s="9"/>
    </row>
    <row r="80" spans="2:8" ht="12" customHeight="1">
      <c r="B80" s="78" t="s">
        <v>757</v>
      </c>
      <c r="C80" s="193"/>
      <c r="D80" s="195">
        <v>149406485633</v>
      </c>
      <c r="E80" s="9"/>
      <c r="F80" s="9"/>
      <c r="G80" s="9"/>
      <c r="H80" s="9"/>
    </row>
    <row r="81" spans="1:8" ht="12" customHeight="1">
      <c r="B81" s="186" t="s">
        <v>597</v>
      </c>
      <c r="C81" s="196">
        <v>88655854</v>
      </c>
      <c r="D81" s="194"/>
      <c r="E81" s="9"/>
      <c r="F81" s="9"/>
      <c r="G81" s="9"/>
      <c r="H81" s="9"/>
    </row>
    <row r="82" spans="1:8" ht="12" customHeight="1">
      <c r="B82" s="186" t="s">
        <v>758</v>
      </c>
      <c r="C82" s="196">
        <v>149317829779</v>
      </c>
      <c r="D82" s="194"/>
      <c r="E82" s="9"/>
      <c r="F82" s="9"/>
      <c r="G82" s="9"/>
      <c r="H82" s="9"/>
    </row>
    <row r="83" spans="1:8" ht="12" customHeight="1">
      <c r="B83" s="78" t="s">
        <v>759</v>
      </c>
      <c r="C83" s="193"/>
      <c r="D83" s="195">
        <v>126743578216</v>
      </c>
      <c r="E83" s="9"/>
      <c r="F83" s="9"/>
      <c r="G83" s="9"/>
      <c r="H83" s="9"/>
    </row>
    <row r="84" spans="1:8" ht="12" customHeight="1">
      <c r="B84" s="186" t="s">
        <v>598</v>
      </c>
      <c r="C84" s="196">
        <v>2500000000</v>
      </c>
      <c r="D84" s="194"/>
      <c r="E84" s="9"/>
      <c r="F84" s="9"/>
      <c r="G84" s="9"/>
      <c r="H84" s="9"/>
    </row>
    <row r="85" spans="1:8" ht="12" customHeight="1">
      <c r="B85" s="186" t="s">
        <v>599</v>
      </c>
      <c r="C85" s="196">
        <v>25000000000</v>
      </c>
      <c r="D85" s="194"/>
      <c r="E85" s="9"/>
      <c r="F85" s="9"/>
      <c r="G85" s="9"/>
      <c r="H85" s="9"/>
    </row>
    <row r="86" spans="1:8" ht="12" customHeight="1">
      <c r="B86" s="186" t="s">
        <v>600</v>
      </c>
      <c r="C86" s="196">
        <v>99243578216</v>
      </c>
      <c r="D86" s="194"/>
      <c r="E86" s="9"/>
      <c r="F86" s="9"/>
      <c r="G86" s="9"/>
      <c r="H86" s="9"/>
    </row>
    <row r="87" spans="1:8" ht="12" customHeight="1">
      <c r="B87" s="75" t="s">
        <v>601</v>
      </c>
      <c r="C87" s="193"/>
      <c r="D87" s="194">
        <v>0</v>
      </c>
      <c r="F87" s="9"/>
      <c r="G87" s="9"/>
      <c r="H87" s="9"/>
    </row>
    <row r="88" spans="1:8" ht="12" customHeight="1">
      <c r="B88" s="75" t="s">
        <v>723</v>
      </c>
      <c r="C88" s="193"/>
      <c r="D88" s="195">
        <v>841509277827</v>
      </c>
      <c r="E88" s="9"/>
      <c r="F88" s="9"/>
      <c r="G88" s="9"/>
      <c r="H88" s="9"/>
    </row>
    <row r="89" spans="1:8" ht="12" customHeight="1">
      <c r="B89" s="79" t="s">
        <v>721</v>
      </c>
      <c r="C89" s="197"/>
      <c r="D89" s="198">
        <v>2301745213183</v>
      </c>
      <c r="E89" s="9"/>
      <c r="F89" s="9"/>
      <c r="G89" s="9"/>
      <c r="H89" s="9"/>
    </row>
    <row r="90" spans="1:8" ht="12" customHeight="1">
      <c r="B90" s="9"/>
      <c r="C90" s="199"/>
      <c r="D90" s="199"/>
      <c r="E90" s="9"/>
      <c r="F90" s="9"/>
      <c r="G90" s="9"/>
      <c r="H90" s="9"/>
    </row>
    <row r="91" spans="1:8" ht="12" customHeight="1">
      <c r="B91" s="80" t="s">
        <v>760</v>
      </c>
      <c r="C91" s="199"/>
      <c r="D91" s="199"/>
      <c r="E91" s="9"/>
      <c r="F91" s="9"/>
      <c r="G91" s="9"/>
      <c r="H91" s="9"/>
    </row>
    <row r="92" spans="1:8" ht="12" customHeight="1">
      <c r="B92" s="9"/>
      <c r="C92" s="199"/>
      <c r="D92" s="199"/>
      <c r="E92" s="9"/>
      <c r="F92" s="9"/>
      <c r="G92" s="9"/>
      <c r="H92" s="9"/>
    </row>
    <row r="93" spans="1:8" ht="12" customHeight="1">
      <c r="A93" s="2" t="s">
        <v>785</v>
      </c>
      <c r="B93" s="80"/>
      <c r="C93" s="200"/>
      <c r="D93" s="199"/>
      <c r="E93" s="9"/>
      <c r="F93" s="9"/>
      <c r="G93" s="9"/>
      <c r="H93" s="9"/>
    </row>
    <row r="94" spans="1:8" ht="12" customHeight="1">
      <c r="B94" s="80" t="s">
        <v>563</v>
      </c>
      <c r="C94" s="80" t="s">
        <v>564</v>
      </c>
      <c r="D94" s="9"/>
      <c r="E94" s="9"/>
      <c r="F94" s="9"/>
      <c r="G94" s="9"/>
      <c r="H94" s="9"/>
    </row>
    <row r="95" spans="1:8" ht="12" customHeight="1">
      <c r="B95" s="74" t="s">
        <v>714</v>
      </c>
      <c r="C95" s="184" t="s">
        <v>565</v>
      </c>
      <c r="D95" s="185"/>
      <c r="E95" s="9"/>
      <c r="F95" s="9"/>
      <c r="G95" s="9"/>
      <c r="H95" s="9"/>
    </row>
    <row r="96" spans="1:8" ht="12" customHeight="1">
      <c r="B96" s="75" t="s">
        <v>761</v>
      </c>
      <c r="C96" s="193"/>
      <c r="D96" s="195">
        <v>1049535950404</v>
      </c>
      <c r="E96" s="9"/>
      <c r="F96" s="9"/>
      <c r="G96" s="9"/>
      <c r="H96" s="9"/>
    </row>
    <row r="97" spans="2:8" ht="12" customHeight="1">
      <c r="B97" s="78" t="s">
        <v>602</v>
      </c>
      <c r="C97" s="196">
        <v>1954625321186</v>
      </c>
      <c r="D97" s="194"/>
      <c r="E97" s="9"/>
      <c r="F97" s="9"/>
      <c r="G97" s="9"/>
      <c r="H97" s="9"/>
    </row>
    <row r="98" spans="2:8" ht="12" customHeight="1">
      <c r="B98" s="186" t="s">
        <v>603</v>
      </c>
      <c r="C98" s="196">
        <v>1950594008558</v>
      </c>
      <c r="D98" s="194"/>
      <c r="E98" s="9"/>
      <c r="F98" s="9"/>
      <c r="G98" s="9"/>
      <c r="H98" s="9"/>
    </row>
    <row r="99" spans="2:8" ht="12" customHeight="1">
      <c r="B99" s="186" t="s">
        <v>604</v>
      </c>
      <c r="C99" s="196">
        <v>4031312628</v>
      </c>
      <c r="D99" s="194"/>
      <c r="E99" s="9"/>
      <c r="F99" s="9"/>
      <c r="G99" s="9"/>
      <c r="H99" s="9"/>
    </row>
    <row r="100" spans="2:8" ht="12" customHeight="1">
      <c r="B100" s="78" t="s">
        <v>605</v>
      </c>
      <c r="C100" s="196">
        <v>-905089370782</v>
      </c>
      <c r="D100" s="194"/>
      <c r="E100" s="9"/>
      <c r="F100" s="9"/>
      <c r="G100" s="9"/>
      <c r="H100" s="9"/>
    </row>
    <row r="101" spans="2:8" ht="12" customHeight="1">
      <c r="B101" s="75" t="s">
        <v>762</v>
      </c>
      <c r="C101" s="193"/>
      <c r="D101" s="195">
        <v>516464509487</v>
      </c>
      <c r="E101" s="9"/>
      <c r="F101" s="9"/>
      <c r="G101" s="9"/>
      <c r="H101" s="9"/>
    </row>
    <row r="102" spans="2:8" ht="12" customHeight="1">
      <c r="B102" s="78" t="s">
        <v>606</v>
      </c>
      <c r="C102" s="196">
        <v>19719895067</v>
      </c>
      <c r="D102" s="194"/>
      <c r="E102" s="9"/>
      <c r="F102" s="9"/>
      <c r="G102" s="9"/>
      <c r="H102" s="9"/>
    </row>
    <row r="103" spans="2:8" ht="12" customHeight="1">
      <c r="B103" s="78" t="s">
        <v>607</v>
      </c>
      <c r="C103" s="196">
        <v>505775005915</v>
      </c>
      <c r="D103" s="194"/>
      <c r="E103" s="9"/>
      <c r="F103" s="9"/>
      <c r="G103" s="9"/>
      <c r="H103" s="9"/>
    </row>
    <row r="104" spans="2:8" ht="12" customHeight="1">
      <c r="B104" s="78" t="s">
        <v>608</v>
      </c>
      <c r="C104" s="196">
        <v>24971086669</v>
      </c>
      <c r="D104" s="194"/>
      <c r="E104" s="9"/>
      <c r="F104" s="9"/>
      <c r="G104" s="9"/>
      <c r="H104" s="9"/>
    </row>
    <row r="105" spans="2:8" ht="12" customHeight="1">
      <c r="B105" s="78" t="s">
        <v>763</v>
      </c>
      <c r="C105" s="196">
        <v>550465987651</v>
      </c>
      <c r="D105" s="194"/>
      <c r="E105" s="9"/>
      <c r="F105" s="9"/>
      <c r="G105" s="9"/>
      <c r="H105" s="9"/>
    </row>
    <row r="106" spans="2:8" ht="12" customHeight="1">
      <c r="B106" s="78" t="s">
        <v>609</v>
      </c>
      <c r="C106" s="196">
        <v>-1282329930</v>
      </c>
      <c r="D106" s="194"/>
      <c r="E106" s="9"/>
      <c r="F106" s="9"/>
      <c r="G106" s="9"/>
      <c r="H106" s="9"/>
    </row>
    <row r="107" spans="2:8" ht="12" customHeight="1">
      <c r="B107" s="78" t="s">
        <v>610</v>
      </c>
      <c r="C107" s="196">
        <v>-11134252337</v>
      </c>
      <c r="D107" s="194"/>
      <c r="E107" s="9"/>
      <c r="F107" s="9"/>
      <c r="G107" s="9"/>
      <c r="H107" s="9"/>
    </row>
    <row r="108" spans="2:8" ht="12" customHeight="1">
      <c r="B108" s="78" t="s">
        <v>611</v>
      </c>
      <c r="C108" s="196">
        <v>-21584895897</v>
      </c>
      <c r="D108" s="194"/>
      <c r="E108" s="9"/>
      <c r="F108" s="9"/>
      <c r="G108" s="9"/>
      <c r="H108" s="9"/>
    </row>
    <row r="109" spans="2:8" ht="12" customHeight="1">
      <c r="B109" s="75" t="s">
        <v>612</v>
      </c>
      <c r="C109" s="193"/>
      <c r="D109" s="195">
        <v>533071440917</v>
      </c>
      <c r="E109" s="9"/>
      <c r="F109" s="9"/>
      <c r="G109" s="9"/>
      <c r="H109" s="9"/>
    </row>
    <row r="110" spans="2:8" ht="12" customHeight="1">
      <c r="B110" s="75" t="s">
        <v>764</v>
      </c>
      <c r="C110" s="193"/>
      <c r="D110" s="195">
        <v>346124490993</v>
      </c>
      <c r="E110" s="9"/>
      <c r="F110" s="9"/>
      <c r="G110" s="9"/>
      <c r="H110" s="9"/>
    </row>
    <row r="111" spans="2:8" ht="12" customHeight="1">
      <c r="B111" s="78" t="s">
        <v>765</v>
      </c>
      <c r="C111" s="196">
        <v>58505776944</v>
      </c>
      <c r="D111" s="194"/>
      <c r="E111" s="9"/>
      <c r="F111" s="9"/>
      <c r="G111" s="9"/>
      <c r="H111" s="9"/>
    </row>
    <row r="112" spans="2:8" ht="12" customHeight="1">
      <c r="B112" s="78" t="s">
        <v>613</v>
      </c>
      <c r="C112" s="196">
        <v>7203853891</v>
      </c>
      <c r="D112" s="194"/>
      <c r="E112" s="9"/>
      <c r="F112" s="9"/>
      <c r="G112" s="9"/>
      <c r="H112" s="9"/>
    </row>
    <row r="113" spans="2:8" ht="12" customHeight="1">
      <c r="B113" s="78" t="s">
        <v>766</v>
      </c>
      <c r="C113" s="196">
        <v>14700275104</v>
      </c>
      <c r="D113" s="194"/>
      <c r="E113" s="9"/>
      <c r="F113" s="9"/>
      <c r="G113" s="9"/>
      <c r="H113" s="9"/>
    </row>
    <row r="114" spans="2:8" ht="12" customHeight="1">
      <c r="B114" s="78" t="s">
        <v>614</v>
      </c>
      <c r="C114" s="196">
        <v>670545360</v>
      </c>
      <c r="D114" s="194"/>
      <c r="E114" s="9"/>
      <c r="F114" s="9"/>
      <c r="G114" s="9"/>
      <c r="H114" s="9"/>
    </row>
    <row r="115" spans="2:8" ht="12" customHeight="1">
      <c r="B115" s="78" t="s">
        <v>615</v>
      </c>
      <c r="C115" s="196">
        <v>4259991190</v>
      </c>
      <c r="D115" s="194"/>
      <c r="E115" s="9"/>
      <c r="F115" s="9"/>
      <c r="G115" s="9"/>
      <c r="H115" s="9"/>
    </row>
    <row r="116" spans="2:8" ht="12" customHeight="1">
      <c r="B116" s="78" t="s">
        <v>616</v>
      </c>
      <c r="C116" s="196">
        <v>943350867</v>
      </c>
      <c r="D116" s="194"/>
      <c r="E116" s="9"/>
      <c r="F116" s="9"/>
      <c r="G116" s="9"/>
      <c r="H116" s="9"/>
    </row>
    <row r="117" spans="2:8" ht="12" customHeight="1">
      <c r="B117" s="78" t="s">
        <v>617</v>
      </c>
      <c r="C117" s="196">
        <v>978941840</v>
      </c>
      <c r="D117" s="194"/>
      <c r="E117" s="9"/>
      <c r="F117" s="9"/>
      <c r="G117" s="9"/>
      <c r="H117" s="9"/>
    </row>
    <row r="118" spans="2:8" ht="12" customHeight="1">
      <c r="B118" s="78" t="s">
        <v>618</v>
      </c>
      <c r="C118" s="196">
        <v>201393710</v>
      </c>
      <c r="D118" s="194"/>
      <c r="E118" s="9"/>
      <c r="F118" s="9"/>
      <c r="G118" s="9"/>
      <c r="H118" s="9"/>
    </row>
    <row r="119" spans="2:8" ht="12" customHeight="1">
      <c r="B119" s="78" t="s">
        <v>619</v>
      </c>
      <c r="C119" s="196">
        <v>4051295838</v>
      </c>
      <c r="D119" s="194"/>
      <c r="E119" s="9"/>
      <c r="F119" s="9"/>
      <c r="G119" s="9"/>
      <c r="H119" s="9"/>
    </row>
    <row r="120" spans="2:8" ht="12" customHeight="1">
      <c r="B120" s="78" t="s">
        <v>620</v>
      </c>
      <c r="C120" s="196">
        <v>657806271</v>
      </c>
      <c r="D120" s="194"/>
      <c r="E120" s="9"/>
      <c r="F120" s="9"/>
      <c r="G120" s="9"/>
      <c r="H120" s="9"/>
    </row>
    <row r="121" spans="2:8" ht="12" customHeight="1">
      <c r="B121" s="78" t="s">
        <v>621</v>
      </c>
      <c r="C121" s="196">
        <v>2954859404</v>
      </c>
      <c r="D121" s="194"/>
      <c r="E121" s="9"/>
      <c r="F121" s="9"/>
      <c r="G121" s="9"/>
      <c r="H121" s="9"/>
    </row>
    <row r="122" spans="2:8" ht="12" customHeight="1">
      <c r="B122" s="78" t="s">
        <v>767</v>
      </c>
      <c r="C122" s="196">
        <v>377122741</v>
      </c>
      <c r="D122" s="194"/>
      <c r="E122" s="9"/>
      <c r="F122" s="9"/>
      <c r="G122" s="9"/>
      <c r="H122" s="9"/>
    </row>
    <row r="123" spans="2:8" ht="12" customHeight="1">
      <c r="B123" s="78" t="s">
        <v>622</v>
      </c>
      <c r="C123" s="196">
        <v>5536169510</v>
      </c>
      <c r="D123" s="194"/>
      <c r="E123" s="9"/>
      <c r="F123" s="9"/>
      <c r="G123" s="9"/>
      <c r="H123" s="9"/>
    </row>
    <row r="124" spans="2:8" ht="12" customHeight="1">
      <c r="B124" s="78" t="s">
        <v>623</v>
      </c>
      <c r="C124" s="196">
        <v>467556222</v>
      </c>
      <c r="D124" s="194"/>
      <c r="E124" s="9"/>
      <c r="F124" s="9"/>
      <c r="G124" s="9"/>
      <c r="H124" s="9"/>
    </row>
    <row r="125" spans="2:8" ht="12" customHeight="1">
      <c r="B125" s="78" t="s">
        <v>624</v>
      </c>
      <c r="C125" s="196">
        <v>1583566516</v>
      </c>
      <c r="D125" s="194"/>
      <c r="E125" s="9"/>
      <c r="F125" s="9"/>
      <c r="G125" s="9"/>
      <c r="H125" s="9"/>
    </row>
    <row r="126" spans="2:8" ht="12" customHeight="1">
      <c r="B126" s="78" t="s">
        <v>625</v>
      </c>
      <c r="C126" s="196">
        <v>1905590357</v>
      </c>
      <c r="D126" s="194"/>
      <c r="E126" s="9"/>
      <c r="F126" s="9"/>
      <c r="G126" s="9"/>
      <c r="H126" s="9"/>
    </row>
    <row r="127" spans="2:8" ht="12" customHeight="1">
      <c r="B127" s="78" t="s">
        <v>768</v>
      </c>
      <c r="C127" s="196">
        <v>25728652741</v>
      </c>
      <c r="D127" s="194"/>
      <c r="E127" s="9"/>
      <c r="F127" s="9"/>
      <c r="G127" s="9"/>
      <c r="H127" s="9"/>
    </row>
    <row r="128" spans="2:8" ht="12" customHeight="1">
      <c r="B128" s="78" t="s">
        <v>769</v>
      </c>
      <c r="C128" s="196">
        <v>93265305469</v>
      </c>
      <c r="D128" s="194"/>
      <c r="E128" s="9"/>
      <c r="F128" s="9"/>
      <c r="G128" s="9"/>
      <c r="H128" s="9"/>
    </row>
    <row r="129" spans="2:8" ht="12" customHeight="1">
      <c r="B129" s="78" t="s">
        <v>770</v>
      </c>
      <c r="C129" s="196">
        <v>44440326831</v>
      </c>
      <c r="D129" s="194"/>
      <c r="E129" s="9"/>
      <c r="F129" s="9"/>
      <c r="G129" s="9"/>
      <c r="H129" s="9"/>
    </row>
    <row r="130" spans="2:8" ht="12" customHeight="1">
      <c r="B130" s="78" t="s">
        <v>626</v>
      </c>
      <c r="C130" s="196">
        <v>29342011696</v>
      </c>
      <c r="D130" s="194"/>
      <c r="E130" s="9"/>
      <c r="F130" s="9"/>
      <c r="G130" s="9"/>
      <c r="H130" s="9"/>
    </row>
    <row r="131" spans="2:8" ht="12" customHeight="1">
      <c r="B131" s="78" t="s">
        <v>627</v>
      </c>
      <c r="C131" s="196">
        <v>5953148690</v>
      </c>
      <c r="D131" s="194"/>
      <c r="E131" s="9"/>
      <c r="F131" s="9"/>
      <c r="G131" s="9"/>
      <c r="H131" s="9"/>
    </row>
    <row r="132" spans="2:8" ht="12" customHeight="1">
      <c r="B132" s="78" t="s">
        <v>628</v>
      </c>
      <c r="C132" s="196">
        <v>2800162555</v>
      </c>
      <c r="D132" s="194"/>
      <c r="E132" s="9"/>
      <c r="F132" s="9"/>
      <c r="G132" s="9"/>
      <c r="H132" s="9"/>
    </row>
    <row r="133" spans="2:8" ht="12" customHeight="1">
      <c r="B133" s="78" t="s">
        <v>771</v>
      </c>
      <c r="C133" s="196">
        <v>2577617590</v>
      </c>
      <c r="D133" s="194"/>
      <c r="E133" s="9"/>
      <c r="F133" s="9"/>
      <c r="G133" s="9"/>
      <c r="H133" s="9"/>
    </row>
    <row r="134" spans="2:8" ht="12" customHeight="1">
      <c r="B134" s="78" t="s">
        <v>629</v>
      </c>
      <c r="C134" s="196">
        <v>333294784</v>
      </c>
      <c r="D134" s="194"/>
      <c r="E134" s="9"/>
      <c r="F134" s="9"/>
      <c r="G134" s="9"/>
      <c r="H134" s="9"/>
    </row>
    <row r="135" spans="2:8" ht="12" customHeight="1">
      <c r="B135" s="78" t="s">
        <v>630</v>
      </c>
      <c r="C135" s="196">
        <v>36383101315</v>
      </c>
      <c r="D135" s="194"/>
      <c r="E135" s="9"/>
      <c r="F135" s="9"/>
      <c r="G135" s="9"/>
      <c r="H135" s="9"/>
    </row>
    <row r="136" spans="2:8" ht="12" customHeight="1">
      <c r="B136" s="78" t="s">
        <v>631</v>
      </c>
      <c r="C136" s="196">
        <v>302773557</v>
      </c>
      <c r="D136" s="194"/>
      <c r="E136" s="9"/>
      <c r="F136" s="9"/>
      <c r="G136" s="9"/>
      <c r="H136" s="9"/>
    </row>
    <row r="137" spans="2:8" ht="12" customHeight="1">
      <c r="B137" s="75" t="s">
        <v>632</v>
      </c>
      <c r="C137" s="193"/>
      <c r="D137" s="195">
        <v>186946949924</v>
      </c>
      <c r="E137" s="9"/>
      <c r="F137" s="9"/>
      <c r="G137" s="9"/>
      <c r="H137" s="9"/>
    </row>
    <row r="138" spans="2:8" ht="12" customHeight="1">
      <c r="B138" s="222" t="s">
        <v>633</v>
      </c>
      <c r="C138" s="223"/>
      <c r="D138" s="224">
        <v>40221929217</v>
      </c>
      <c r="E138" s="9"/>
      <c r="G138" s="9"/>
      <c r="H138" s="9"/>
    </row>
    <row r="139" spans="2:8" ht="12" customHeight="1">
      <c r="B139" s="78" t="s">
        <v>772</v>
      </c>
      <c r="C139" s="196">
        <v>10657712521</v>
      </c>
      <c r="D139" s="194"/>
      <c r="E139" s="9"/>
      <c r="F139" s="9"/>
      <c r="G139" s="9"/>
      <c r="H139" s="9"/>
    </row>
    <row r="140" spans="2:8" ht="12" customHeight="1">
      <c r="B140" s="215" t="s">
        <v>773</v>
      </c>
      <c r="C140" s="216">
        <v>648481894</v>
      </c>
      <c r="D140" s="194"/>
      <c r="E140" s="238" t="s">
        <v>828</v>
      </c>
      <c r="G140" s="9"/>
      <c r="H140" s="9"/>
    </row>
    <row r="141" spans="2:8" ht="12" customHeight="1">
      <c r="B141" s="213" t="s">
        <v>634</v>
      </c>
      <c r="C141" s="214">
        <v>16031620750</v>
      </c>
      <c r="D141" s="194"/>
      <c r="G141" s="202"/>
      <c r="H141" s="9"/>
    </row>
    <row r="142" spans="2:8" ht="12" customHeight="1">
      <c r="B142" s="213" t="s">
        <v>635</v>
      </c>
      <c r="C142" s="214">
        <v>10401194264</v>
      </c>
      <c r="D142" s="194"/>
      <c r="E142" s="9"/>
      <c r="F142" s="9"/>
      <c r="G142" s="9"/>
      <c r="H142" s="9"/>
    </row>
    <row r="143" spans="2:8" ht="12" customHeight="1">
      <c r="B143" s="207" t="s">
        <v>636</v>
      </c>
      <c r="C143" s="208">
        <v>903467896</v>
      </c>
      <c r="D143" s="194"/>
      <c r="E143" s="202"/>
      <c r="G143" s="9"/>
      <c r="H143" s="9"/>
    </row>
    <row r="144" spans="2:8" ht="12" customHeight="1">
      <c r="B144" s="215" t="s">
        <v>637</v>
      </c>
      <c r="C144" s="216">
        <v>1579451892</v>
      </c>
      <c r="D144" s="194"/>
      <c r="E144" s="9"/>
      <c r="G144" s="9"/>
      <c r="H144" s="9"/>
    </row>
    <row r="145" spans="2:8" ht="12" customHeight="1">
      <c r="B145" s="222" t="s">
        <v>638</v>
      </c>
      <c r="C145" s="223"/>
      <c r="D145" s="224">
        <v>98097268557</v>
      </c>
      <c r="E145" s="9"/>
      <c r="F145" s="202"/>
      <c r="G145" s="9"/>
      <c r="H145" s="9"/>
    </row>
    <row r="146" spans="2:8" ht="12" customHeight="1">
      <c r="B146" s="78" t="s">
        <v>639</v>
      </c>
      <c r="C146" s="196">
        <v>58692964017</v>
      </c>
      <c r="D146" s="194"/>
      <c r="E146" s="9"/>
      <c r="F146" s="9"/>
      <c r="G146" s="9"/>
      <c r="H146" s="9"/>
    </row>
    <row r="147" spans="2:8" ht="12" customHeight="1">
      <c r="B147" s="213" t="s">
        <v>640</v>
      </c>
      <c r="C147" s="214">
        <v>2001896181</v>
      </c>
      <c r="D147" s="194"/>
      <c r="E147" s="9"/>
      <c r="F147" s="9"/>
      <c r="G147" s="9"/>
      <c r="H147" s="9"/>
    </row>
    <row r="148" spans="2:8" ht="12" customHeight="1">
      <c r="B148" s="213" t="s">
        <v>641</v>
      </c>
      <c r="C148" s="214">
        <v>338311419</v>
      </c>
      <c r="D148" s="194"/>
      <c r="E148" s="9"/>
      <c r="F148" s="9"/>
      <c r="G148" s="9"/>
      <c r="H148" s="9"/>
    </row>
    <row r="149" spans="2:8" ht="12" customHeight="1">
      <c r="B149" s="215" t="s">
        <v>774</v>
      </c>
      <c r="C149" s="216">
        <v>2877956338</v>
      </c>
      <c r="D149" s="194"/>
      <c r="E149" s="9"/>
      <c r="G149" s="9"/>
      <c r="H149" s="9"/>
    </row>
    <row r="150" spans="2:8" ht="12" customHeight="1">
      <c r="B150" s="207" t="s">
        <v>642</v>
      </c>
      <c r="C150" s="208">
        <v>4650873398</v>
      </c>
      <c r="D150" s="194"/>
      <c r="E150" s="202"/>
      <c r="G150" s="9"/>
      <c r="H150" s="9"/>
    </row>
    <row r="151" spans="2:8" ht="12" customHeight="1">
      <c r="B151" s="215" t="s">
        <v>775</v>
      </c>
      <c r="C151" s="216">
        <v>14126422709</v>
      </c>
      <c r="D151" s="194"/>
      <c r="E151" s="9"/>
      <c r="G151" s="202"/>
      <c r="H151" s="9"/>
    </row>
    <row r="152" spans="2:8" ht="12" customHeight="1">
      <c r="B152" s="215" t="s">
        <v>776</v>
      </c>
      <c r="C152" s="216">
        <v>11172057343</v>
      </c>
      <c r="D152" s="194"/>
      <c r="E152" s="9"/>
      <c r="G152" s="9"/>
      <c r="H152" s="9"/>
    </row>
    <row r="153" spans="2:8" ht="12" customHeight="1">
      <c r="B153" s="207" t="s">
        <v>777</v>
      </c>
      <c r="C153" s="208">
        <v>1997092471</v>
      </c>
      <c r="D153" s="194"/>
      <c r="E153" s="202"/>
      <c r="G153" s="9"/>
      <c r="H153" s="9"/>
    </row>
    <row r="154" spans="2:8" ht="12" customHeight="1">
      <c r="B154" s="215" t="s">
        <v>643</v>
      </c>
      <c r="C154" s="216">
        <v>2239694681</v>
      </c>
      <c r="D154" s="194"/>
      <c r="E154" s="9"/>
      <c r="F154" s="9"/>
      <c r="G154" s="9"/>
      <c r="H154" s="9"/>
    </row>
    <row r="155" spans="2:8" ht="12" customHeight="1">
      <c r="B155" s="75" t="s">
        <v>644</v>
      </c>
      <c r="C155" s="193"/>
      <c r="D155" s="195">
        <v>129071610584</v>
      </c>
      <c r="E155" s="202"/>
      <c r="F155" s="9"/>
      <c r="G155" s="9"/>
      <c r="H155" s="9"/>
    </row>
    <row r="156" spans="2:8" ht="12" customHeight="1">
      <c r="B156" s="75" t="s">
        <v>778</v>
      </c>
      <c r="C156" s="193"/>
      <c r="D156" s="195">
        <v>29656899035</v>
      </c>
      <c r="E156" s="221"/>
      <c r="G156" s="9"/>
      <c r="H156" s="9"/>
    </row>
    <row r="157" spans="2:8" ht="12" customHeight="1">
      <c r="B157" s="210" t="s">
        <v>645</v>
      </c>
      <c r="C157" s="211"/>
      <c r="D157" s="212">
        <v>182831732</v>
      </c>
      <c r="E157" s="202"/>
      <c r="G157" s="9"/>
      <c r="H157" s="9"/>
    </row>
    <row r="158" spans="2:8" ht="12" customHeight="1">
      <c r="B158" s="75" t="s">
        <v>646</v>
      </c>
      <c r="C158" s="193"/>
      <c r="D158" s="195">
        <v>99231879817</v>
      </c>
      <c r="E158" s="202"/>
      <c r="F158" s="9"/>
      <c r="G158" s="9"/>
      <c r="H158" s="9"/>
    </row>
    <row r="159" spans="2:8" ht="12" customHeight="1">
      <c r="B159" s="78" t="s">
        <v>647</v>
      </c>
      <c r="C159" s="193"/>
      <c r="D159" s="195">
        <v>99231879817</v>
      </c>
      <c r="E159" s="9"/>
      <c r="F159" s="209"/>
      <c r="G159" s="9"/>
      <c r="H159" s="9"/>
    </row>
    <row r="160" spans="2:8" ht="12" customHeight="1">
      <c r="B160" s="78" t="s">
        <v>648</v>
      </c>
      <c r="C160" s="193"/>
      <c r="D160" s="194" t="s">
        <v>273</v>
      </c>
      <c r="E160" s="9"/>
      <c r="F160" s="9"/>
      <c r="G160" s="9"/>
      <c r="H160" s="9"/>
    </row>
    <row r="161" spans="1:8" ht="12" customHeight="1">
      <c r="B161" s="75" t="s">
        <v>779</v>
      </c>
      <c r="C161" s="193"/>
      <c r="D161" s="194"/>
      <c r="E161" s="9"/>
      <c r="F161" s="9"/>
      <c r="G161" s="9"/>
      <c r="H161" s="9"/>
    </row>
    <row r="162" spans="1:8" ht="12" customHeight="1">
      <c r="B162" s="78" t="s">
        <v>649</v>
      </c>
      <c r="C162" s="193"/>
      <c r="D162" s="195">
        <v>10273</v>
      </c>
      <c r="E162" s="9"/>
      <c r="F162" s="9"/>
      <c r="G162" s="9"/>
      <c r="H162" s="9"/>
    </row>
    <row r="163" spans="1:8" ht="12" customHeight="1">
      <c r="B163" s="187" t="s">
        <v>650</v>
      </c>
      <c r="C163" s="197"/>
      <c r="D163" s="198">
        <v>10273</v>
      </c>
      <c r="E163" s="9"/>
      <c r="F163" s="9"/>
      <c r="G163" s="9"/>
      <c r="H163" s="9"/>
    </row>
    <row r="164" spans="1:8" ht="12" customHeight="1">
      <c r="B164" s="9"/>
      <c r="C164" s="199"/>
      <c r="D164" s="199"/>
      <c r="E164" s="9"/>
      <c r="F164" s="9"/>
      <c r="G164" s="9"/>
      <c r="H164" s="9"/>
    </row>
    <row r="165" spans="1:8" ht="12" customHeight="1">
      <c r="B165" s="80" t="s">
        <v>760</v>
      </c>
      <c r="C165" s="199"/>
      <c r="D165" s="199"/>
      <c r="E165" s="9"/>
      <c r="F165" s="9"/>
      <c r="G165" s="9"/>
      <c r="H165" s="9"/>
    </row>
    <row r="166" spans="1:8" ht="12" customHeight="1">
      <c r="B166" s="9"/>
      <c r="C166" s="199"/>
      <c r="D166" s="199"/>
      <c r="E166" s="9"/>
      <c r="F166" s="9"/>
      <c r="G166" s="9"/>
      <c r="H166" s="9"/>
    </row>
    <row r="167" spans="1:8" ht="12" customHeight="1">
      <c r="A167" s="2" t="s">
        <v>389</v>
      </c>
      <c r="B167" s="80"/>
      <c r="C167" s="80"/>
      <c r="D167" s="9"/>
      <c r="E167" s="9"/>
      <c r="F167" s="9"/>
      <c r="G167" s="9"/>
      <c r="H167" s="9"/>
    </row>
    <row r="168" spans="1:8" ht="12" customHeight="1">
      <c r="B168" s="80" t="s">
        <v>563</v>
      </c>
      <c r="C168" s="80" t="s">
        <v>564</v>
      </c>
      <c r="D168" s="9"/>
      <c r="E168" s="9"/>
      <c r="F168" s="9"/>
      <c r="G168" s="9"/>
      <c r="H168" s="9"/>
    </row>
    <row r="169" spans="1:8" ht="12" customHeight="1">
      <c r="B169" s="74" t="s">
        <v>714</v>
      </c>
      <c r="C169" s="184" t="s">
        <v>565</v>
      </c>
      <c r="D169" s="185"/>
      <c r="E169" s="9"/>
      <c r="F169" s="9"/>
      <c r="G169" s="9"/>
      <c r="H169" s="9"/>
    </row>
    <row r="170" spans="1:8" ht="12" customHeight="1">
      <c r="B170" s="75" t="s">
        <v>651</v>
      </c>
      <c r="C170" s="193"/>
      <c r="D170" s="195">
        <v>99166087067</v>
      </c>
      <c r="E170" s="9"/>
      <c r="F170" s="9"/>
      <c r="G170" s="9"/>
      <c r="H170" s="9"/>
    </row>
    <row r="171" spans="1:8" ht="12" customHeight="1">
      <c r="B171" s="78" t="s">
        <v>652</v>
      </c>
      <c r="C171" s="196">
        <v>99231879817</v>
      </c>
      <c r="D171" s="194"/>
      <c r="E171" s="9"/>
      <c r="F171" s="9"/>
      <c r="G171" s="9"/>
      <c r="H171" s="9"/>
    </row>
    <row r="172" spans="1:8" ht="12" customHeight="1">
      <c r="B172" s="78" t="s">
        <v>653</v>
      </c>
      <c r="C172" s="196">
        <v>121014574177</v>
      </c>
      <c r="D172" s="194"/>
      <c r="E172" s="9"/>
      <c r="F172" s="9"/>
      <c r="G172" s="9"/>
      <c r="H172" s="9"/>
    </row>
    <row r="173" spans="1:8" ht="12" customHeight="1">
      <c r="B173" s="186" t="s">
        <v>613</v>
      </c>
      <c r="C173" s="196">
        <v>12794775808</v>
      </c>
      <c r="D173" s="194"/>
      <c r="E173" s="9"/>
      <c r="F173" s="9"/>
      <c r="G173" s="9"/>
      <c r="H173" s="9"/>
    </row>
    <row r="174" spans="1:8" ht="12" customHeight="1">
      <c r="B174" s="186" t="s">
        <v>622</v>
      </c>
      <c r="C174" s="196">
        <v>72151434166</v>
      </c>
      <c r="D174" s="194"/>
      <c r="E174" s="9"/>
      <c r="G174" s="9"/>
      <c r="H174" s="9"/>
    </row>
    <row r="175" spans="1:8" ht="12" customHeight="1">
      <c r="B175" s="186" t="s">
        <v>654</v>
      </c>
      <c r="C175" s="196">
        <v>2577617590</v>
      </c>
      <c r="D175" s="194"/>
      <c r="E175" s="9"/>
      <c r="F175" s="9"/>
      <c r="G175" s="9"/>
      <c r="H175" s="9"/>
    </row>
    <row r="176" spans="1:8" ht="12" customHeight="1">
      <c r="B176" s="186" t="s">
        <v>629</v>
      </c>
      <c r="C176" s="196">
        <v>333294784</v>
      </c>
      <c r="D176" s="194"/>
      <c r="E176" s="9"/>
      <c r="F176" s="9"/>
      <c r="G176" s="9"/>
      <c r="H176" s="9"/>
    </row>
    <row r="177" spans="2:8" ht="12" customHeight="1">
      <c r="B177" s="186" t="s">
        <v>655</v>
      </c>
      <c r="C177" s="196">
        <v>473957834</v>
      </c>
      <c r="D177" s="194"/>
      <c r="E177" s="9"/>
      <c r="F177" s="9"/>
      <c r="G177" s="9"/>
      <c r="H177" s="9"/>
    </row>
    <row r="178" spans="2:8" ht="12" customHeight="1">
      <c r="B178" s="186" t="s">
        <v>641</v>
      </c>
      <c r="C178" s="196">
        <v>50533280</v>
      </c>
      <c r="D178" s="194"/>
      <c r="E178" s="9"/>
      <c r="F178" s="9"/>
      <c r="G178" s="9"/>
      <c r="H178" s="9"/>
    </row>
    <row r="179" spans="2:8" ht="12" customHeight="1">
      <c r="B179" s="186" t="s">
        <v>642</v>
      </c>
      <c r="C179" s="196">
        <v>4650873398</v>
      </c>
      <c r="D179" s="194"/>
      <c r="E179" s="9"/>
      <c r="F179" s="9"/>
      <c r="G179" s="9"/>
      <c r="H179" s="9"/>
    </row>
    <row r="180" spans="2:8" ht="12" customHeight="1">
      <c r="B180" s="186" t="s">
        <v>656</v>
      </c>
      <c r="C180" s="196">
        <v>14126422709</v>
      </c>
      <c r="D180" s="194"/>
      <c r="E180" s="9"/>
      <c r="F180" s="9"/>
      <c r="G180" s="9"/>
      <c r="H180" s="9"/>
    </row>
    <row r="181" spans="2:8" ht="12" customHeight="1">
      <c r="B181" s="186" t="s">
        <v>657</v>
      </c>
      <c r="C181" s="196">
        <v>11172057343</v>
      </c>
      <c r="D181" s="194"/>
      <c r="E181" s="9"/>
      <c r="F181" s="9"/>
      <c r="G181" s="9"/>
      <c r="H181" s="9"/>
    </row>
    <row r="182" spans="2:8" ht="12" customHeight="1">
      <c r="B182" s="186" t="s">
        <v>658</v>
      </c>
      <c r="C182" s="196">
        <v>1997092471</v>
      </c>
      <c r="D182" s="194"/>
      <c r="E182" s="9"/>
      <c r="F182" s="9"/>
      <c r="G182" s="9"/>
      <c r="H182" s="9"/>
    </row>
    <row r="183" spans="2:8" ht="12" customHeight="1">
      <c r="B183" s="186" t="s">
        <v>659</v>
      </c>
      <c r="C183" s="196">
        <v>503683062</v>
      </c>
      <c r="D183" s="194"/>
      <c r="E183" s="9"/>
      <c r="F183" s="9"/>
      <c r="G183" s="9"/>
      <c r="H183" s="9"/>
    </row>
    <row r="184" spans="2:8" ht="12" customHeight="1">
      <c r="B184" s="186" t="s">
        <v>660</v>
      </c>
      <c r="C184" s="196">
        <v>182831732</v>
      </c>
      <c r="D184" s="194"/>
      <c r="E184" s="9"/>
      <c r="F184" s="9"/>
      <c r="G184" s="9"/>
      <c r="H184" s="9"/>
    </row>
    <row r="185" spans="2:8" ht="12" customHeight="1">
      <c r="B185" s="78" t="s">
        <v>661</v>
      </c>
      <c r="C185" s="196">
        <v>-16049618976</v>
      </c>
      <c r="D185" s="194"/>
      <c r="E185" s="9"/>
      <c r="F185" s="9"/>
      <c r="G185" s="9"/>
      <c r="H185" s="9"/>
    </row>
    <row r="186" spans="2:8" ht="12" customHeight="1">
      <c r="B186" s="186" t="s">
        <v>662</v>
      </c>
      <c r="C186" s="196">
        <v>4215587287</v>
      </c>
      <c r="D186" s="194"/>
      <c r="E186" s="9"/>
      <c r="F186" s="9"/>
      <c r="G186" s="9"/>
      <c r="H186" s="9"/>
    </row>
    <row r="187" spans="2:8" ht="12" customHeight="1">
      <c r="B187" s="186" t="s">
        <v>635</v>
      </c>
      <c r="C187" s="196">
        <v>10394449793</v>
      </c>
      <c r="D187" s="194"/>
      <c r="E187" s="9"/>
      <c r="F187" s="9"/>
      <c r="G187" s="9"/>
      <c r="H187" s="9"/>
    </row>
    <row r="188" spans="2:8" ht="12" customHeight="1">
      <c r="B188" s="186" t="s">
        <v>636</v>
      </c>
      <c r="C188" s="196">
        <v>903467896</v>
      </c>
      <c r="D188" s="194"/>
      <c r="E188" s="9"/>
      <c r="F188" s="9"/>
      <c r="G188" s="9"/>
      <c r="H188" s="9"/>
    </row>
    <row r="189" spans="2:8" ht="12" customHeight="1">
      <c r="B189" s="186" t="s">
        <v>637</v>
      </c>
      <c r="C189" s="196">
        <v>536114000</v>
      </c>
      <c r="D189" s="194"/>
      <c r="E189" s="9"/>
      <c r="F189" s="9"/>
      <c r="G189" s="9"/>
      <c r="H189" s="9"/>
    </row>
    <row r="190" spans="2:8" ht="12" customHeight="1">
      <c r="B190" s="78" t="s">
        <v>663</v>
      </c>
      <c r="C190" s="196">
        <v>-105030747951</v>
      </c>
      <c r="D190" s="194"/>
      <c r="E190" s="9"/>
      <c r="F190" s="9"/>
      <c r="G190" s="9"/>
      <c r="H190" s="9"/>
    </row>
    <row r="191" spans="2:8" ht="12" customHeight="1">
      <c r="B191" s="186" t="s">
        <v>664</v>
      </c>
      <c r="C191" s="196">
        <v>-2077224539</v>
      </c>
      <c r="D191" s="194"/>
      <c r="E191" s="9"/>
      <c r="F191" s="9"/>
      <c r="G191" s="9"/>
      <c r="H191" s="9"/>
    </row>
    <row r="192" spans="2:8" ht="12" customHeight="1">
      <c r="B192" s="186" t="s">
        <v>665</v>
      </c>
      <c r="C192" s="196">
        <v>-67680884</v>
      </c>
      <c r="D192" s="194"/>
      <c r="E192" s="9"/>
      <c r="F192" s="9"/>
      <c r="G192" s="9"/>
      <c r="H192" s="9"/>
    </row>
    <row r="193" spans="2:8" ht="12" customHeight="1">
      <c r="B193" s="186" t="s">
        <v>568</v>
      </c>
      <c r="C193" s="196">
        <v>887129062</v>
      </c>
      <c r="D193" s="194"/>
      <c r="E193" s="9"/>
      <c r="F193" s="9"/>
      <c r="G193" s="9"/>
      <c r="H193" s="9"/>
    </row>
    <row r="194" spans="2:8" ht="12" customHeight="1">
      <c r="B194" s="186" t="s">
        <v>569</v>
      </c>
      <c r="C194" s="196">
        <v>997275154</v>
      </c>
      <c r="D194" s="194"/>
      <c r="E194" s="9"/>
      <c r="F194" s="9"/>
      <c r="G194" s="9"/>
      <c r="H194" s="9"/>
    </row>
    <row r="195" spans="2:8" ht="12" customHeight="1">
      <c r="B195" s="186" t="s">
        <v>570</v>
      </c>
      <c r="C195" s="196">
        <v>-3122787268</v>
      </c>
      <c r="D195" s="194"/>
      <c r="E195" s="9"/>
      <c r="F195" s="9"/>
      <c r="G195" s="9"/>
      <c r="H195" s="9"/>
    </row>
    <row r="196" spans="2:8" ht="12" customHeight="1">
      <c r="B196" s="186" t="s">
        <v>666</v>
      </c>
      <c r="C196" s="196">
        <v>1367352045</v>
      </c>
      <c r="D196" s="194"/>
      <c r="E196" s="9"/>
      <c r="F196" s="9"/>
      <c r="G196" s="9"/>
      <c r="H196" s="9"/>
    </row>
    <row r="197" spans="2:8" ht="12" customHeight="1">
      <c r="B197" s="186" t="s">
        <v>667</v>
      </c>
      <c r="C197" s="196">
        <v>-17311615727</v>
      </c>
      <c r="D197" s="194"/>
      <c r="E197" s="9"/>
      <c r="F197" s="9"/>
      <c r="G197" s="9"/>
      <c r="H197" s="9"/>
    </row>
    <row r="198" spans="2:8" ht="12" customHeight="1">
      <c r="B198" s="186" t="s">
        <v>668</v>
      </c>
      <c r="C198" s="196">
        <v>3134160388</v>
      </c>
      <c r="D198" s="194"/>
      <c r="E198" s="9"/>
      <c r="F198" s="9"/>
      <c r="G198" s="9"/>
      <c r="H198" s="9"/>
    </row>
    <row r="199" spans="2:8" ht="12" customHeight="1">
      <c r="B199" s="186" t="s">
        <v>669</v>
      </c>
      <c r="C199" s="196">
        <v>-10300000</v>
      </c>
      <c r="D199" s="194"/>
      <c r="E199" s="9"/>
      <c r="F199" s="9"/>
      <c r="G199" s="9"/>
      <c r="H199" s="9"/>
    </row>
    <row r="200" spans="2:8" ht="12" customHeight="1">
      <c r="B200" s="186" t="s">
        <v>670</v>
      </c>
      <c r="C200" s="196">
        <v>3066463769</v>
      </c>
      <c r="D200" s="194"/>
      <c r="E200" s="9"/>
      <c r="F200" s="9"/>
      <c r="G200" s="9"/>
      <c r="H200" s="9"/>
    </row>
    <row r="201" spans="2:8" ht="12" customHeight="1">
      <c r="B201" s="186" t="s">
        <v>671</v>
      </c>
      <c r="C201" s="196">
        <v>-5273258746</v>
      </c>
      <c r="D201" s="194"/>
      <c r="E201" s="9"/>
      <c r="F201" s="9"/>
      <c r="G201" s="9"/>
      <c r="H201" s="9"/>
    </row>
    <row r="202" spans="2:8" ht="12" customHeight="1">
      <c r="B202" s="186" t="s">
        <v>672</v>
      </c>
      <c r="C202" s="196">
        <v>5761114817</v>
      </c>
      <c r="D202" s="194"/>
      <c r="E202" s="9"/>
      <c r="F202" s="9"/>
      <c r="G202" s="9"/>
      <c r="H202" s="9"/>
    </row>
    <row r="203" spans="2:8" ht="12" customHeight="1">
      <c r="B203" s="186" t="s">
        <v>586</v>
      </c>
      <c r="C203" s="196">
        <v>-60508438734</v>
      </c>
      <c r="D203" s="194"/>
      <c r="E203" s="9"/>
      <c r="F203" s="9"/>
      <c r="G203" s="9"/>
      <c r="H203" s="9"/>
    </row>
    <row r="204" spans="2:8" ht="12" customHeight="1">
      <c r="B204" s="186" t="s">
        <v>587</v>
      </c>
      <c r="C204" s="196">
        <v>-1610038214</v>
      </c>
      <c r="D204" s="194"/>
      <c r="E204" s="9"/>
      <c r="F204" s="9"/>
      <c r="G204" s="9"/>
      <c r="H204" s="9"/>
    </row>
    <row r="205" spans="2:8" ht="12" customHeight="1">
      <c r="B205" s="186" t="s">
        <v>588</v>
      </c>
      <c r="C205" s="196">
        <v>-22021161691</v>
      </c>
      <c r="D205" s="194"/>
      <c r="E205" s="9"/>
      <c r="F205" s="9"/>
      <c r="G205" s="9"/>
      <c r="H205" s="9"/>
    </row>
    <row r="206" spans="2:8" ht="12" customHeight="1">
      <c r="B206" s="186" t="s">
        <v>589</v>
      </c>
      <c r="C206" s="196">
        <v>4105768584</v>
      </c>
      <c r="D206" s="194"/>
      <c r="E206" s="9"/>
      <c r="F206" s="9"/>
      <c r="G206" s="9"/>
      <c r="H206" s="9"/>
    </row>
    <row r="207" spans="2:8" ht="12" customHeight="1">
      <c r="B207" s="186" t="s">
        <v>673</v>
      </c>
      <c r="C207" s="196">
        <v>-21629941</v>
      </c>
      <c r="D207" s="194"/>
      <c r="E207" s="9"/>
      <c r="F207" s="9"/>
      <c r="G207" s="9"/>
      <c r="H207" s="9"/>
    </row>
    <row r="208" spans="2:8" ht="12" customHeight="1">
      <c r="B208" s="186" t="s">
        <v>674</v>
      </c>
      <c r="C208" s="196">
        <v>5114635000</v>
      </c>
      <c r="D208" s="194"/>
      <c r="E208" s="9"/>
      <c r="F208" s="9"/>
      <c r="G208" s="9"/>
      <c r="H208" s="9"/>
    </row>
    <row r="209" spans="2:8" ht="12" customHeight="1">
      <c r="B209" s="186" t="s">
        <v>675</v>
      </c>
      <c r="C209" s="196">
        <v>-9148290084</v>
      </c>
      <c r="D209" s="194"/>
      <c r="E209" s="9"/>
      <c r="F209" s="9"/>
      <c r="G209" s="9"/>
      <c r="H209" s="9"/>
    </row>
    <row r="210" spans="2:8" ht="12" customHeight="1">
      <c r="B210" s="186" t="s">
        <v>676</v>
      </c>
      <c r="C210" s="196">
        <v>-4022813202</v>
      </c>
      <c r="D210" s="194"/>
      <c r="E210" s="9"/>
      <c r="F210" s="9"/>
      <c r="G210" s="9"/>
      <c r="H210" s="9"/>
    </row>
    <row r="211" spans="2:8" ht="12" customHeight="1">
      <c r="B211" s="186" t="s">
        <v>677</v>
      </c>
      <c r="C211" s="196">
        <v>-149795179</v>
      </c>
      <c r="D211" s="194"/>
      <c r="E211" s="9"/>
      <c r="F211" s="9"/>
      <c r="G211" s="9"/>
      <c r="H211" s="9"/>
    </row>
    <row r="212" spans="2:8" ht="12" customHeight="1">
      <c r="B212" s="186" t="s">
        <v>678</v>
      </c>
      <c r="C212" s="196">
        <v>54964400</v>
      </c>
      <c r="D212" s="194"/>
      <c r="E212" s="9"/>
      <c r="F212" s="9"/>
      <c r="G212" s="9"/>
      <c r="H212" s="9"/>
    </row>
    <row r="213" spans="2:8" ht="12" customHeight="1">
      <c r="B213" s="186" t="s">
        <v>679</v>
      </c>
      <c r="C213" s="196">
        <v>-4174576961</v>
      </c>
      <c r="D213" s="194"/>
      <c r="E213" s="9"/>
      <c r="F213" s="9"/>
      <c r="G213" s="9"/>
      <c r="H213" s="9"/>
    </row>
    <row r="214" spans="2:8" ht="12" customHeight="1">
      <c r="B214" s="75" t="s">
        <v>680</v>
      </c>
      <c r="C214" s="193"/>
      <c r="D214" s="195">
        <v>-264540658238</v>
      </c>
      <c r="E214" s="9"/>
      <c r="F214" s="9"/>
      <c r="G214" s="9"/>
      <c r="H214" s="9"/>
    </row>
    <row r="215" spans="2:8" ht="12" customHeight="1">
      <c r="B215" s="78" t="s">
        <v>681</v>
      </c>
      <c r="C215" s="196">
        <v>2577386536</v>
      </c>
      <c r="D215" s="194"/>
      <c r="E215" s="9"/>
      <c r="F215" s="9"/>
      <c r="G215" s="9"/>
      <c r="H215" s="9"/>
    </row>
    <row r="216" spans="2:8" ht="12" customHeight="1">
      <c r="B216" s="186" t="s">
        <v>682</v>
      </c>
      <c r="C216" s="196">
        <v>1191114000</v>
      </c>
      <c r="D216" s="194"/>
      <c r="E216" s="9"/>
      <c r="F216" s="9"/>
      <c r="G216" s="9"/>
      <c r="H216" s="9"/>
    </row>
    <row r="217" spans="2:8" ht="12" customHeight="1">
      <c r="B217" s="186" t="s">
        <v>683</v>
      </c>
      <c r="C217" s="196">
        <v>380000000</v>
      </c>
      <c r="D217" s="194"/>
      <c r="E217" s="9"/>
      <c r="F217" s="9"/>
      <c r="G217" s="9"/>
      <c r="H217" s="9"/>
    </row>
    <row r="218" spans="2:8" ht="12" customHeight="1">
      <c r="B218" s="186" t="s">
        <v>684</v>
      </c>
      <c r="C218" s="196">
        <v>597514500</v>
      </c>
      <c r="D218" s="194"/>
      <c r="E218" s="9"/>
      <c r="F218" s="9"/>
      <c r="G218" s="9"/>
      <c r="H218" s="9"/>
    </row>
    <row r="219" spans="2:8" ht="12" customHeight="1">
      <c r="B219" s="186" t="s">
        <v>685</v>
      </c>
      <c r="C219" s="196">
        <v>408758036</v>
      </c>
      <c r="D219" s="194"/>
      <c r="E219" s="9"/>
      <c r="F219" s="9"/>
      <c r="G219" s="9"/>
      <c r="H219" s="9"/>
    </row>
    <row r="220" spans="2:8" ht="12" customHeight="1">
      <c r="B220" s="78" t="s">
        <v>686</v>
      </c>
      <c r="C220" s="196">
        <v>-267118044774</v>
      </c>
      <c r="D220" s="194"/>
      <c r="E220" s="9"/>
      <c r="F220" s="9"/>
      <c r="G220" s="9"/>
      <c r="H220" s="9"/>
    </row>
    <row r="221" spans="2:8" ht="12" customHeight="1">
      <c r="B221" s="186" t="s">
        <v>687</v>
      </c>
      <c r="C221" s="196">
        <v>39361000</v>
      </c>
      <c r="D221" s="194"/>
      <c r="E221" s="9"/>
      <c r="F221" s="9"/>
      <c r="G221" s="9"/>
      <c r="H221" s="9"/>
    </row>
    <row r="222" spans="2:8" ht="12" customHeight="1">
      <c r="B222" s="186" t="s">
        <v>688</v>
      </c>
      <c r="C222" s="196">
        <v>1045375000</v>
      </c>
      <c r="D222" s="194"/>
      <c r="E222" s="9"/>
      <c r="F222" s="9"/>
      <c r="G222" s="9"/>
      <c r="H222" s="9"/>
    </row>
    <row r="223" spans="2:8" ht="12" customHeight="1">
      <c r="B223" s="186" t="s">
        <v>689</v>
      </c>
      <c r="C223" s="196">
        <v>27922919838</v>
      </c>
      <c r="D223" s="194"/>
      <c r="E223" s="9"/>
      <c r="F223" s="9"/>
      <c r="G223" s="9"/>
      <c r="H223" s="9"/>
    </row>
    <row r="224" spans="2:8" ht="12" customHeight="1">
      <c r="B224" s="186" t="s">
        <v>690</v>
      </c>
      <c r="C224" s="196">
        <v>17392621455</v>
      </c>
      <c r="D224" s="194"/>
      <c r="E224" s="9"/>
      <c r="F224" s="9"/>
      <c r="G224" s="9"/>
      <c r="H224" s="9"/>
    </row>
    <row r="225" spans="2:8" ht="12" customHeight="1">
      <c r="B225" s="186" t="s">
        <v>691</v>
      </c>
      <c r="C225" s="196">
        <v>58119238103</v>
      </c>
      <c r="D225" s="194"/>
      <c r="E225" s="9"/>
      <c r="F225" s="9"/>
      <c r="G225" s="9"/>
      <c r="H225" s="9"/>
    </row>
    <row r="226" spans="2:8" ht="12" customHeight="1">
      <c r="B226" s="186" t="s">
        <v>692</v>
      </c>
      <c r="C226" s="196">
        <v>162598529378</v>
      </c>
      <c r="D226" s="194"/>
      <c r="E226" s="9"/>
      <c r="F226" s="9"/>
      <c r="G226" s="9"/>
      <c r="H226" s="9"/>
    </row>
    <row r="227" spans="2:8" ht="12" customHeight="1">
      <c r="B227" s="75" t="s">
        <v>693</v>
      </c>
      <c r="C227" s="193"/>
      <c r="D227" s="195">
        <v>185580157793</v>
      </c>
      <c r="E227" s="9"/>
      <c r="F227" s="9"/>
      <c r="G227" s="9"/>
      <c r="H227" s="9"/>
    </row>
    <row r="228" spans="2:8" ht="12" customHeight="1">
      <c r="B228" s="78" t="s">
        <v>694</v>
      </c>
      <c r="C228" s="196">
        <v>265126085637</v>
      </c>
      <c r="D228" s="194"/>
      <c r="E228" s="9"/>
      <c r="F228" s="9"/>
      <c r="G228" s="9"/>
      <c r="H228" s="9"/>
    </row>
    <row r="229" spans="2:8" ht="12" customHeight="1">
      <c r="B229" s="186" t="s">
        <v>695</v>
      </c>
      <c r="C229" s="196">
        <v>165574369373</v>
      </c>
      <c r="D229" s="194"/>
      <c r="E229" s="9"/>
      <c r="F229" s="9"/>
      <c r="G229" s="9"/>
      <c r="H229" s="9"/>
    </row>
    <row r="230" spans="2:8" ht="12" customHeight="1">
      <c r="B230" s="186" t="s">
        <v>696</v>
      </c>
      <c r="C230" s="196">
        <v>99551716264</v>
      </c>
      <c r="D230" s="194"/>
      <c r="E230" s="9"/>
      <c r="F230" s="9"/>
      <c r="G230" s="9"/>
      <c r="H230" s="9"/>
    </row>
    <row r="231" spans="2:8" ht="12" customHeight="1">
      <c r="B231" s="78" t="s">
        <v>697</v>
      </c>
      <c r="C231" s="196">
        <v>-79545927844</v>
      </c>
      <c r="D231" s="194"/>
      <c r="E231" s="9"/>
      <c r="F231" s="9"/>
      <c r="G231" s="9"/>
      <c r="H231" s="9"/>
    </row>
    <row r="232" spans="2:8" ht="12" customHeight="1">
      <c r="B232" s="186" t="s">
        <v>698</v>
      </c>
      <c r="C232" s="196">
        <v>54912663754</v>
      </c>
      <c r="D232" s="194"/>
      <c r="E232" s="9"/>
      <c r="F232" s="9"/>
      <c r="G232" s="9"/>
      <c r="H232" s="9"/>
    </row>
    <row r="233" spans="2:8" ht="12" customHeight="1">
      <c r="B233" s="186" t="s">
        <v>699</v>
      </c>
      <c r="C233" s="196">
        <v>4756840</v>
      </c>
      <c r="D233" s="194"/>
      <c r="E233" s="9"/>
      <c r="F233" s="9"/>
      <c r="G233" s="9"/>
      <c r="H233" s="9"/>
    </row>
    <row r="234" spans="2:8" ht="12" customHeight="1">
      <c r="B234" s="186" t="s">
        <v>700</v>
      </c>
      <c r="C234" s="196">
        <v>265880000</v>
      </c>
      <c r="D234" s="194"/>
      <c r="E234" s="9"/>
      <c r="F234" s="9"/>
      <c r="G234" s="9"/>
      <c r="H234" s="9"/>
    </row>
    <row r="235" spans="2:8" ht="12" customHeight="1">
      <c r="B235" s="186" t="s">
        <v>701</v>
      </c>
      <c r="C235" s="196">
        <v>24362627250</v>
      </c>
      <c r="D235" s="194"/>
      <c r="E235" s="9"/>
      <c r="F235" s="9"/>
      <c r="G235" s="9"/>
      <c r="H235" s="9"/>
    </row>
    <row r="236" spans="2:8" ht="12" customHeight="1">
      <c r="B236" s="75" t="s">
        <v>702</v>
      </c>
      <c r="C236" s="193"/>
      <c r="D236" s="195">
        <v>476234988</v>
      </c>
      <c r="E236" s="9"/>
      <c r="F236" s="9"/>
      <c r="G236" s="9"/>
      <c r="H236" s="9"/>
    </row>
    <row r="237" spans="2:8" ht="12" customHeight="1">
      <c r="B237" s="75" t="s">
        <v>703</v>
      </c>
      <c r="C237" s="193"/>
      <c r="D237" s="195">
        <v>20681821610</v>
      </c>
      <c r="E237" s="9"/>
      <c r="F237" s="9"/>
      <c r="G237" s="9"/>
      <c r="H237" s="9"/>
    </row>
    <row r="238" spans="2:8" ht="12" customHeight="1">
      <c r="B238" s="75" t="s">
        <v>704</v>
      </c>
      <c r="C238" s="193"/>
      <c r="D238" s="195">
        <v>23551238375</v>
      </c>
      <c r="E238" s="9"/>
      <c r="F238" s="9"/>
      <c r="G238" s="9"/>
      <c r="H238" s="9"/>
    </row>
    <row r="239" spans="2:8" ht="12" customHeight="1">
      <c r="B239" s="79" t="s">
        <v>705</v>
      </c>
      <c r="C239" s="197"/>
      <c r="D239" s="198">
        <v>44233059985</v>
      </c>
      <c r="E239" s="9"/>
      <c r="F239" s="9"/>
      <c r="G239" s="9"/>
      <c r="H239" s="9"/>
    </row>
    <row r="240" spans="2:8" ht="12" customHeight="1">
      <c r="B240" s="9"/>
      <c r="C240" s="199"/>
      <c r="D240" s="199"/>
      <c r="E240" s="9"/>
      <c r="F240" s="9"/>
      <c r="G240" s="9"/>
      <c r="H240" s="9"/>
    </row>
    <row r="241" spans="1:8" ht="12" customHeight="1">
      <c r="B241" s="80" t="s">
        <v>760</v>
      </c>
      <c r="C241" s="199"/>
      <c r="D241" s="199"/>
      <c r="E241" s="9"/>
      <c r="F241" s="9"/>
      <c r="G241" s="9"/>
      <c r="H241" s="9"/>
    </row>
    <row r="242" spans="1:8" ht="12" customHeight="1">
      <c r="B242" s="9"/>
      <c r="C242" s="199"/>
      <c r="D242" s="199"/>
      <c r="E242" s="9"/>
      <c r="F242" s="9"/>
      <c r="G242" s="9"/>
      <c r="H242" s="9"/>
    </row>
    <row r="243" spans="1:8" ht="12" customHeight="1">
      <c r="A243" s="227" t="s">
        <v>798</v>
      </c>
      <c r="B243" s="188"/>
      <c r="C243" s="199"/>
      <c r="D243" s="199"/>
      <c r="E243" s="9"/>
      <c r="F243" s="9"/>
      <c r="G243" s="9"/>
      <c r="H243" s="9"/>
    </row>
    <row r="244" spans="1:8" ht="12" customHeight="1">
      <c r="B244" s="188"/>
      <c r="C244" s="199"/>
      <c r="D244" s="199"/>
      <c r="E244" s="9"/>
      <c r="F244" s="9"/>
      <c r="G244" s="9"/>
      <c r="H244" s="9"/>
    </row>
    <row r="245" spans="1:8" ht="12" customHeight="1">
      <c r="B245" s="80" t="s">
        <v>799</v>
      </c>
      <c r="C245" s="9"/>
      <c r="D245" s="9"/>
      <c r="E245" s="9"/>
      <c r="F245" s="9"/>
    </row>
    <row r="246" spans="1:8" ht="12" customHeight="1">
      <c r="B246" s="80" t="s">
        <v>800</v>
      </c>
      <c r="C246" s="199"/>
      <c r="D246" s="199"/>
      <c r="E246" s="199"/>
      <c r="F246" s="9"/>
    </row>
    <row r="247" spans="1:8" ht="12" customHeight="1">
      <c r="B247" s="74" t="s">
        <v>801</v>
      </c>
      <c r="C247" s="230" t="s">
        <v>802</v>
      </c>
      <c r="D247" s="199"/>
      <c r="E247" s="199"/>
      <c r="F247" s="9"/>
    </row>
    <row r="248" spans="1:8" ht="13.8" customHeight="1">
      <c r="B248" s="75" t="s">
        <v>803</v>
      </c>
      <c r="C248" s="194" t="s">
        <v>804</v>
      </c>
      <c r="D248" s="199"/>
      <c r="E248" s="199"/>
      <c r="F248" s="9"/>
    </row>
    <row r="249" spans="1:8" ht="12" customHeight="1">
      <c r="B249" s="75" t="s">
        <v>805</v>
      </c>
      <c r="C249" s="194" t="s">
        <v>806</v>
      </c>
      <c r="D249" s="199"/>
      <c r="E249" s="199"/>
      <c r="F249" s="9"/>
    </row>
    <row r="250" spans="1:8" ht="12" customHeight="1">
      <c r="B250" s="75" t="s">
        <v>807</v>
      </c>
      <c r="C250" s="194" t="s">
        <v>808</v>
      </c>
      <c r="D250" s="199"/>
      <c r="E250" s="199"/>
      <c r="F250" s="9"/>
    </row>
    <row r="251" spans="1:8" ht="12" customHeight="1">
      <c r="B251" s="75" t="s">
        <v>809</v>
      </c>
      <c r="C251" s="194" t="s">
        <v>810</v>
      </c>
      <c r="D251" s="199"/>
      <c r="E251" s="199"/>
      <c r="F251" s="9"/>
    </row>
    <row r="252" spans="1:8" ht="12" customHeight="1">
      <c r="B252" s="79" t="s">
        <v>811</v>
      </c>
      <c r="C252" s="205" t="s">
        <v>812</v>
      </c>
      <c r="D252" s="199"/>
      <c r="E252" s="199"/>
      <c r="F252" s="9"/>
    </row>
    <row r="253" spans="1:8" ht="12" customHeight="1">
      <c r="B253" s="9"/>
      <c r="C253" s="199"/>
      <c r="D253" s="199"/>
      <c r="E253" s="199"/>
      <c r="F253" s="9"/>
    </row>
    <row r="254" spans="1:8" ht="12" customHeight="1">
      <c r="B254" s="80" t="s">
        <v>813</v>
      </c>
      <c r="C254" s="199"/>
      <c r="D254" s="199"/>
      <c r="E254" s="199"/>
      <c r="F254" s="9"/>
    </row>
    <row r="255" spans="1:8" ht="12" customHeight="1">
      <c r="B255" s="80" t="s">
        <v>814</v>
      </c>
      <c r="C255" s="199"/>
      <c r="D255" s="199"/>
      <c r="E255" s="199"/>
      <c r="F255" s="9"/>
      <c r="G255" s="9"/>
      <c r="H255" s="9"/>
    </row>
    <row r="256" spans="1:8" ht="12" customHeight="1">
      <c r="B256" s="80" t="s">
        <v>824</v>
      </c>
      <c r="C256" s="199"/>
      <c r="D256" s="199"/>
      <c r="E256" s="199"/>
      <c r="F256" s="9"/>
      <c r="G256" s="9"/>
      <c r="H256" s="9"/>
    </row>
    <row r="257" spans="1:8" ht="12" customHeight="1">
      <c r="B257" s="189" t="s">
        <v>801</v>
      </c>
      <c r="C257" s="191" t="s">
        <v>815</v>
      </c>
      <c r="D257" s="231"/>
      <c r="E257" s="192"/>
      <c r="F257" s="9"/>
      <c r="G257" s="9"/>
      <c r="H257" s="9"/>
    </row>
    <row r="258" spans="1:8" ht="12" customHeight="1">
      <c r="B258" s="190"/>
      <c r="C258" s="203" t="s">
        <v>816</v>
      </c>
      <c r="D258" s="203" t="s">
        <v>817</v>
      </c>
      <c r="E258" s="232" t="s">
        <v>818</v>
      </c>
      <c r="F258" s="9"/>
      <c r="G258" s="9"/>
      <c r="H258" s="9"/>
    </row>
    <row r="259" spans="1:8" ht="12" customHeight="1">
      <c r="B259" s="75" t="s">
        <v>819</v>
      </c>
      <c r="C259" s="196">
        <v>5000</v>
      </c>
      <c r="D259" s="196">
        <v>5000</v>
      </c>
      <c r="E259" s="194" t="s">
        <v>273</v>
      </c>
      <c r="F259" s="9"/>
      <c r="G259" s="9"/>
      <c r="H259" s="9"/>
    </row>
    <row r="260" spans="1:8" ht="12" customHeight="1">
      <c r="B260" s="75" t="s">
        <v>820</v>
      </c>
      <c r="C260" s="233">
        <v>0.55000000000000004</v>
      </c>
      <c r="D260" s="233">
        <v>0.56000000000000005</v>
      </c>
      <c r="E260" s="194" t="s">
        <v>273</v>
      </c>
      <c r="F260" s="9"/>
      <c r="G260" s="9"/>
      <c r="H260" s="9"/>
    </row>
    <row r="261" spans="1:8" ht="12" customHeight="1">
      <c r="B261" s="75" t="s">
        <v>821</v>
      </c>
      <c r="C261" s="196">
        <v>2750</v>
      </c>
      <c r="D261" s="196">
        <v>2800</v>
      </c>
      <c r="E261" s="194" t="s">
        <v>273</v>
      </c>
      <c r="F261" s="9"/>
      <c r="G261" s="9"/>
      <c r="H261" s="9"/>
    </row>
    <row r="262" spans="1:8" ht="12" customHeight="1">
      <c r="B262" s="75" t="s">
        <v>822</v>
      </c>
      <c r="C262" s="196">
        <v>9557852</v>
      </c>
      <c r="D262" s="196">
        <v>372545</v>
      </c>
      <c r="E262" s="195">
        <v>9930397</v>
      </c>
      <c r="F262" s="9"/>
      <c r="G262" s="9"/>
      <c r="H262" s="9"/>
    </row>
    <row r="263" spans="1:8" ht="12" customHeight="1">
      <c r="B263" s="79" t="s">
        <v>823</v>
      </c>
      <c r="C263" s="204">
        <v>26284093000</v>
      </c>
      <c r="D263" s="204">
        <v>1043126000</v>
      </c>
      <c r="E263" s="198">
        <v>27327219000</v>
      </c>
      <c r="F263" s="9"/>
      <c r="G263" s="9"/>
      <c r="H263" s="9"/>
    </row>
    <row r="264" spans="1:8" ht="12" customHeight="1">
      <c r="B264" s="228"/>
      <c r="C264" s="229"/>
      <c r="E264" s="9"/>
      <c r="F264" s="9"/>
      <c r="G264" s="9"/>
      <c r="H264" s="9"/>
    </row>
    <row r="265" spans="1:8" ht="12" customHeight="1">
      <c r="B265" s="228"/>
      <c r="C265" s="229"/>
      <c r="D265" s="199"/>
      <c r="E265" s="9"/>
      <c r="F265" s="9"/>
      <c r="G265" s="9"/>
      <c r="H265" s="9"/>
    </row>
    <row r="266" spans="1:8" ht="12" customHeight="1">
      <c r="A266" s="2" t="s">
        <v>786</v>
      </c>
      <c r="B266" s="80"/>
      <c r="C266" s="9"/>
      <c r="D266" s="9"/>
      <c r="E266" s="9"/>
      <c r="F266" s="9"/>
      <c r="G266" s="9"/>
      <c r="H266" s="9"/>
    </row>
    <row r="267" spans="1:8" ht="12" customHeight="1">
      <c r="B267" s="80" t="s">
        <v>706</v>
      </c>
      <c r="C267" s="80" t="s">
        <v>707</v>
      </c>
      <c r="D267" s="9"/>
      <c r="E267" s="9"/>
      <c r="F267" s="9"/>
      <c r="G267" s="9"/>
      <c r="H267" s="9"/>
    </row>
    <row r="268" spans="1:8" ht="12" customHeight="1">
      <c r="B268" s="225" t="s">
        <v>713</v>
      </c>
      <c r="C268" s="225" t="s">
        <v>708</v>
      </c>
      <c r="D268" s="225"/>
      <c r="E268" s="225"/>
      <c r="F268" s="225" t="s">
        <v>709</v>
      </c>
      <c r="G268" s="9"/>
      <c r="H268" s="9"/>
    </row>
    <row r="269" spans="1:8" ht="12" customHeight="1">
      <c r="B269" s="225"/>
      <c r="C269" s="226" t="s">
        <v>710</v>
      </c>
      <c r="D269" s="226" t="s">
        <v>711</v>
      </c>
      <c r="E269" s="226" t="s">
        <v>712</v>
      </c>
      <c r="F269" s="226"/>
      <c r="G269" s="9"/>
      <c r="H269" s="9"/>
    </row>
    <row r="270" spans="1:8" ht="12" customHeight="1">
      <c r="B270" s="75" t="s">
        <v>499</v>
      </c>
      <c r="C270" s="196">
        <v>22500000</v>
      </c>
      <c r="D270" s="196">
        <v>7500000</v>
      </c>
      <c r="E270" s="196">
        <v>30000000</v>
      </c>
      <c r="F270" s="194" t="s">
        <v>273</v>
      </c>
      <c r="G270" s="9"/>
      <c r="H270" s="9"/>
    </row>
    <row r="271" spans="1:8" ht="12" customHeight="1">
      <c r="B271" s="75" t="s">
        <v>500</v>
      </c>
      <c r="C271" s="196">
        <v>9563918</v>
      </c>
      <c r="D271" s="196">
        <v>372935</v>
      </c>
      <c r="E271" s="196">
        <v>9936853</v>
      </c>
      <c r="F271" s="194" t="s">
        <v>273</v>
      </c>
      <c r="G271" s="9"/>
      <c r="H271" s="9"/>
    </row>
    <row r="272" spans="1:8" ht="12" customHeight="1">
      <c r="B272" s="75" t="s">
        <v>501</v>
      </c>
      <c r="C272" s="193" t="s">
        <v>273</v>
      </c>
      <c r="D272" s="193" t="s">
        <v>273</v>
      </c>
      <c r="E272" s="193" t="s">
        <v>273</v>
      </c>
      <c r="F272" s="194" t="s">
        <v>273</v>
      </c>
      <c r="G272" s="9"/>
      <c r="H272" s="9"/>
    </row>
    <row r="273" spans="2:8" ht="12" customHeight="1">
      <c r="B273" s="75" t="s">
        <v>502</v>
      </c>
      <c r="C273" s="196">
        <v>9563918</v>
      </c>
      <c r="D273" s="196">
        <v>372935</v>
      </c>
      <c r="E273" s="196">
        <v>9936853</v>
      </c>
      <c r="F273" s="194" t="s">
        <v>273</v>
      </c>
      <c r="G273" s="9"/>
      <c r="H273" s="9"/>
    </row>
    <row r="274" spans="2:8" ht="12" customHeight="1">
      <c r="B274" s="75" t="s">
        <v>503</v>
      </c>
      <c r="C274" s="196">
        <v>6066</v>
      </c>
      <c r="D274" s="193">
        <v>390</v>
      </c>
      <c r="E274" s="196">
        <v>6456</v>
      </c>
      <c r="F274" s="194" t="s">
        <v>273</v>
      </c>
      <c r="G274" s="9"/>
      <c r="H274" s="9"/>
    </row>
    <row r="275" spans="2:8" ht="12" customHeight="1">
      <c r="B275" s="79" t="s">
        <v>504</v>
      </c>
      <c r="C275" s="204">
        <v>9557852</v>
      </c>
      <c r="D275" s="204">
        <v>372545</v>
      </c>
      <c r="E275" s="204">
        <v>9930397</v>
      </c>
      <c r="F275" s="205" t="s">
        <v>273</v>
      </c>
      <c r="G275" s="9"/>
      <c r="H275" s="9"/>
    </row>
    <row r="276" spans="2:8" ht="12" customHeight="1">
      <c r="B276" s="80" t="s">
        <v>780</v>
      </c>
      <c r="C276" s="9"/>
      <c r="D276" s="9"/>
      <c r="E276" s="9"/>
      <c r="F276" s="9"/>
      <c r="G276" s="9"/>
      <c r="H276" s="9"/>
    </row>
    <row r="277" spans="2:8" ht="12" customHeight="1">
      <c r="B277" s="9"/>
      <c r="D277" s="9"/>
      <c r="E277" s="9"/>
      <c r="F277" s="9"/>
      <c r="G277" s="9"/>
      <c r="H277" s="9"/>
    </row>
    <row r="278" spans="2:8" ht="12" customHeight="1">
      <c r="B278" s="206" t="s">
        <v>787</v>
      </c>
    </row>
    <row r="279" spans="2:8" ht="12" customHeight="1"/>
    <row r="280" spans="2:8" ht="12" customHeight="1"/>
    <row r="281" spans="2:8" ht="12" customHeight="1"/>
    <row r="282" spans="2:8" ht="12" customHeight="1"/>
    <row r="283" spans="2:8" ht="12" customHeight="1"/>
    <row r="284" spans="2:8" ht="12" customHeight="1"/>
    <row r="285" spans="2:8" ht="12" customHeight="1"/>
    <row r="286" spans="2:8" ht="12" customHeight="1"/>
    <row r="287" spans="2:8" ht="12" customHeight="1"/>
    <row r="288" spans="2: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</sheetData>
  <phoneticPr fontId="22" type="noConversion"/>
  <hyperlinks>
    <hyperlink ref="B2" r:id="rId1" xr:uid="{00000000-0004-0000-0D00-000001000000}"/>
  </hyperlinks>
  <pageMargins left="0.7" right="0.7" top="0.75" bottom="0.75" header="0.3" footer="0.3"/>
  <pageSetup paperSize="9" orientation="portrait" horizontalDpi="4294967292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2</vt:i4>
      </vt:variant>
    </vt:vector>
  </HeadingPairs>
  <TitlesOfParts>
    <vt:vector size="14" baseType="lpstr">
      <vt:lpstr>Cover</vt:lpstr>
      <vt:lpstr>Trading Comps &gt;&gt;&gt;</vt:lpstr>
      <vt:lpstr>Trading Comps_Input</vt:lpstr>
      <vt:lpstr>함수 실습 (실습)</vt:lpstr>
      <vt:lpstr>함수 실습 (정답)</vt:lpstr>
      <vt:lpstr>Trading Comps_Output (실습)</vt:lpstr>
      <vt:lpstr>Trading Comps_Output (정답)</vt:lpstr>
      <vt:lpstr>OB_IS</vt:lpstr>
      <vt:lpstr>OB_BS</vt:lpstr>
      <vt:lpstr>OB_SCF</vt:lpstr>
      <vt:lpstr>OB맥주_DART</vt:lpstr>
      <vt:lpstr>하이트진로_DART</vt:lpstr>
      <vt:lpstr>Cover!Circ</vt:lpstr>
      <vt:lpstr>Cover!Print_Area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2025-06-23T07:10:18Z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</Properties>
</file>