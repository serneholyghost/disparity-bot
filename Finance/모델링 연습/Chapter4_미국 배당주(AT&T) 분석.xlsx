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ustomProperty1.bin" ContentType="application/vnd.openxmlformats-officedocument.spreadsheetml.customProperty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채현기\Desktop\모델링 연습\"/>
    </mc:Choice>
  </mc:AlternateContent>
  <xr:revisionPtr revIDLastSave="0" documentId="13_ncr:1_{3C3E7304-BCED-45A2-AE2A-692E285BAC7B}" xr6:coauthVersionLast="47" xr6:coauthVersionMax="47" xr10:uidLastSave="{00000000-0000-0000-0000-000000000000}"/>
  <bookViews>
    <workbookView xWindow="-108" yWindow="-108" windowWidth="23256" windowHeight="12456" tabRatio="807" firstSheet="1" activeTab="6" xr2:uid="{00000000-000D-0000-FFFF-FFFF00000000}"/>
  </bookViews>
  <sheets>
    <sheet name="_CIQHiddenCacheSheet" sheetId="137" state="veryHidden" r:id="rId1"/>
    <sheet name="Cover" sheetId="138" r:id="rId2"/>
    <sheet name="현황판" sheetId="99" r:id="rId3"/>
    <sheet name="IBPE_배당 수익률 계산기 (교재)" sheetId="135" r:id="rId4"/>
    <sheet name="IBPE_배당 수익률 계산기 (정답)" sheetId="134" r:id="rId5"/>
    <sheet name="Data_ AT&amp;T 데이터" sheetId="127" r:id="rId6"/>
    <sheet name="Data_CIQ 다운로드" sheetId="100" r:id="rId7"/>
    <sheet name="CR" sheetId="32" state="hidden" r:id="rId8"/>
  </sheets>
  <externalReferences>
    <externalReference r:id="rId9"/>
    <externalReference r:id="rId10"/>
  </externalReferences>
  <definedNames>
    <definedName name="__FDS_HYPERLINK_TOGGLE_STATE__" hidden="1">"ON"</definedName>
    <definedName name="_Order1" hidden="1">0</definedName>
    <definedName name="CIQWBGuid" localSheetId="1" hidden="1">"e2734957-fdc8-4b05-a470-5f478324b605"</definedName>
    <definedName name="CIQWBGuid" hidden="1">"bc3f9ea8-2066-42e6-bfe6-e31113e3a0c3"</definedName>
    <definedName name="CIQWBInfo" hidden="1">"{ ""CIQVersion"":""9.45.614.5792"" }"</definedName>
    <definedName name="circ" localSheetId="7">[1]Cover!$K$6</definedName>
    <definedName name="Circ">Cover!$K$6</definedName>
    <definedName name="Date">[2]WACC!$H$1</definedName>
    <definedName name="Days" localSheetId="7">#REF!</definedName>
    <definedName name="GVKey">""</definedName>
    <definedName name="IQ_ADDIN" hidden="1">"AUTO"</definedName>
    <definedName name="IQ_AVG_PRICE_TARGET" hidden="1">"c82"</definedName>
    <definedName name="IQ_CH">110000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ST_ACT_EPS_PRIMARY" hidden="1">"c2232"</definedName>
    <definedName name="IQ_EST_EPS_SURPRISE" hidden="1">"c1635"</definedName>
    <definedName name="IQ_EST_NUM_BUY_REUT" hidden="1">"c3869"</definedName>
    <definedName name="IQ_EST_NUM_BUY_THOM" hidden="1">"c5165"</definedName>
    <definedName name="IQ_EST_NUM_HOLD_REUT" hidden="1">"c3871"</definedName>
    <definedName name="IQ_EST_NUM_HOLD_THOM" hidden="1">"c5167"</definedName>
    <definedName name="IQ_EST_NUM_OUTPERFORM_REUT" hidden="1">"c3870"</definedName>
    <definedName name="IQ_EST_NUM_OUTPERFORM_THOM" hidden="1">"c5166"</definedName>
    <definedName name="IQ_EST_NUM_SELL_REUT" hidden="1">"c3873"</definedName>
    <definedName name="IQ_EST_NUM_SELL_THOM" hidden="1">"c5169"</definedName>
    <definedName name="IQ_EST_NUM_UNDERPERFORM_REUT" hidden="1">"c3872"</definedName>
    <definedName name="IQ_EST_NUM_UNDERPERFORM_THOM" hidden="1">"c5168"</definedName>
    <definedName name="IQ_EXPENSE_CODE_" hidden="1">"test"</definedName>
    <definedName name="IQ_FH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1" hidden="1">"06/19/2018 03:31:41"</definedName>
    <definedName name="IQ_NAMES_REVISION_DATE_" hidden="1">"03/09/2021 01:19:21"</definedName>
    <definedName name="IQ_NAV_ACT_OR_EST" hidden="1">"c2225"</definedName>
    <definedName name="IQ_NTM">6000</definedName>
    <definedName name="IQ_OG_TOTAL_OIL_PRODUCTON" hidden="1">"c2059"</definedName>
    <definedName name="IQ_OPENED55" hidden="1">1</definedName>
    <definedName name="IQ_PRIMARY_EPS_TYPE_THOM" hidden="1">"c5297"</definedName>
    <definedName name="IQ_QTD" hidden="1">750000</definedName>
    <definedName name="IQ_SHAREOUTSTANDING" hidden="1">"c1347"</definedName>
    <definedName name="IQ_TODAY" hidden="1">0</definedName>
    <definedName name="IQ_TOTAL_PENSION_OBLIGATION" hidden="1">"c1292"</definedName>
    <definedName name="IQ_WEEK">50000</definedName>
    <definedName name="IQ_YTD">3000</definedName>
    <definedName name="IQ_YTDMONTH" hidden="1">130000</definedName>
    <definedName name="IQRCapitalStructureDetailsV13" hidden="1">'[1]Capital Structure Details'!$V$14:$V$25</definedName>
    <definedName name="IQRCapitalStructureDetailsV31" hidden="1">'[1]Capital Structure Details'!$V$32:$V$43</definedName>
    <definedName name="IQRIncomeStatementAJ11" hidden="1">'[1]Income Statement'!$AJ$12</definedName>
    <definedName name="IQRIncomeStatementAP11" hidden="1">'[1]Income Statement'!$AP$12</definedName>
    <definedName name="IQRInput1C10" localSheetId="5" hidden="1">#REF!</definedName>
    <definedName name="IQRInput1C10" localSheetId="6" hidden="1">#REF!</definedName>
    <definedName name="IQRInput1C10" localSheetId="3" hidden="1">#REF!</definedName>
    <definedName name="IQRInput1C10" localSheetId="4" hidden="1">#REF!</definedName>
    <definedName name="IQRInput1C10" localSheetId="2" hidden="1">#REF!</definedName>
    <definedName name="IQRInput1C10" hidden="1">#REF!</definedName>
    <definedName name="IQRInput1C11" localSheetId="5" hidden="1">#REF!</definedName>
    <definedName name="IQRInput1C11" localSheetId="6" hidden="1">#REF!</definedName>
    <definedName name="IQRInput1C11" localSheetId="3" hidden="1">#REF!</definedName>
    <definedName name="IQRInput1C11" localSheetId="4" hidden="1">#REF!</definedName>
    <definedName name="IQRInput1C11" localSheetId="2" hidden="1">#REF!</definedName>
    <definedName name="IQRInput1C11" hidden="1">#REF!</definedName>
    <definedName name="IQRInput1C14" localSheetId="5" hidden="1">#REF!</definedName>
    <definedName name="IQRInput1C14" localSheetId="6" hidden="1">#REF!</definedName>
    <definedName name="IQRInput1C14" localSheetId="3" hidden="1">#REF!</definedName>
    <definedName name="IQRInput1C14" localSheetId="4" hidden="1">#REF!</definedName>
    <definedName name="IQRInput1C14" localSheetId="2" hidden="1">#REF!</definedName>
    <definedName name="IQRInput1C14" hidden="1">#REF!</definedName>
    <definedName name="IQRInput1D10" localSheetId="5" hidden="1">#REF!</definedName>
    <definedName name="IQRInput1D10" localSheetId="6" hidden="1">#REF!</definedName>
    <definedName name="IQRInput1D10" localSheetId="3" hidden="1">#REF!</definedName>
    <definedName name="IQRInput1D10" localSheetId="4" hidden="1">#REF!</definedName>
    <definedName name="IQRInput1D10" localSheetId="2" hidden="1">#REF!</definedName>
    <definedName name="IQRInput1D10" hidden="1">#REF!</definedName>
    <definedName name="IQRInputC14" localSheetId="5" hidden="1">#REF!</definedName>
    <definedName name="IQRInputC14" localSheetId="6" hidden="1">#REF!</definedName>
    <definedName name="IQRInputC14" localSheetId="3" hidden="1">#REF!</definedName>
    <definedName name="IQRInputC14" localSheetId="4" hidden="1">#REF!</definedName>
    <definedName name="IQRInputC14" localSheetId="2" hidden="1">#REF!</definedName>
    <definedName name="IQRInputC14" hidden="1">#REF!</definedName>
    <definedName name="IQRInputC9" localSheetId="5" hidden="1">#REF!</definedName>
    <definedName name="IQRInputC9" localSheetId="6" hidden="1">#REF!</definedName>
    <definedName name="IQRInputC9" localSheetId="3" hidden="1">#REF!</definedName>
    <definedName name="IQRInputC9" localSheetId="4" hidden="1">#REF!</definedName>
    <definedName name="IQRInputC9" localSheetId="2" hidden="1">#REF!</definedName>
    <definedName name="IQRInputC9" hidden="1">#REF!</definedName>
    <definedName name="IQRInputTabC14" localSheetId="5" hidden="1">#REF!</definedName>
    <definedName name="IQRInputTabC14" localSheetId="6" hidden="1">#REF!</definedName>
    <definedName name="IQRInputTabC14" localSheetId="3" hidden="1">#REF!</definedName>
    <definedName name="IQRInputTabC14" localSheetId="4" hidden="1">#REF!</definedName>
    <definedName name="IQRInputTabC14" localSheetId="2" hidden="1">#REF!</definedName>
    <definedName name="IQRInputTabC14" hidden="1">#REF!</definedName>
    <definedName name="IQRInputTabC15" localSheetId="5" hidden="1">#REF!</definedName>
    <definedName name="IQRInputTabC15" localSheetId="6" hidden="1">#REF!</definedName>
    <definedName name="IQRInputTabC15" localSheetId="3" hidden="1">#REF!</definedName>
    <definedName name="IQRInputTabC15" localSheetId="4" hidden="1">#REF!</definedName>
    <definedName name="IQRInputTabC15" localSheetId="2" hidden="1">#REF!</definedName>
    <definedName name="IQRInputTabC15" hidden="1">#REF!</definedName>
    <definedName name="IQRInputTabC9" localSheetId="5" hidden="1">#REF!</definedName>
    <definedName name="IQRInputTabC9" localSheetId="6" hidden="1">#REF!</definedName>
    <definedName name="IQRInputTabC9" localSheetId="3" hidden="1">#REF!</definedName>
    <definedName name="IQRInputTabC9" localSheetId="4" hidden="1">#REF!</definedName>
    <definedName name="IQRInputTabC9" localSheetId="2" hidden="1">#REF!</definedName>
    <definedName name="IQRInputTabC9" hidden="1">#REF!</definedName>
    <definedName name="IQRWACCAnalysisBB10" localSheetId="5" hidden="1">#REF!</definedName>
    <definedName name="IQRWACCAnalysisBB10" localSheetId="6" hidden="1">#REF!</definedName>
    <definedName name="IQRWACCAnalysisBB10" localSheetId="3" hidden="1">#REF!</definedName>
    <definedName name="IQRWACCAnalysisBB10" localSheetId="4" hidden="1">#REF!</definedName>
    <definedName name="IQRWACCAnalysisBB10" localSheetId="2" hidden="1">#REF!</definedName>
    <definedName name="IQRWACCAnalysisBB10" hidden="1">#REF!</definedName>
    <definedName name="IQRWACCAnalysisBC10" localSheetId="5" hidden="1">#REF!</definedName>
    <definedName name="IQRWACCAnalysisBC10" localSheetId="6" hidden="1">#REF!</definedName>
    <definedName name="IQRWACCAnalysisBC10" localSheetId="3" hidden="1">#REF!</definedName>
    <definedName name="IQRWACCAnalysisBC10" localSheetId="4" hidden="1">#REF!</definedName>
    <definedName name="IQRWACCAnalysisBC10" localSheetId="2" hidden="1">#REF!</definedName>
    <definedName name="IQRWACCAnalysisBC10" hidden="1">#REF!</definedName>
    <definedName name="IQRWACCAnalysisBF10" localSheetId="5" hidden="1">#REF!</definedName>
    <definedName name="IQRWACCAnalysisBF10" localSheetId="6" hidden="1">#REF!</definedName>
    <definedName name="IQRWACCAnalysisBF10" localSheetId="3" hidden="1">#REF!</definedName>
    <definedName name="IQRWACCAnalysisBF10" localSheetId="4" hidden="1">#REF!</definedName>
    <definedName name="IQRWACCAnalysisBF10" localSheetId="2" hidden="1">#REF!</definedName>
    <definedName name="IQRWACCAnalysisBF10" hidden="1">#REF!</definedName>
    <definedName name="IQRWACCAnalysisBH10" localSheetId="5" hidden="1">#REF!</definedName>
    <definedName name="IQRWACCAnalysisBH10" localSheetId="6" hidden="1">#REF!</definedName>
    <definedName name="IQRWACCAnalysisBH10" localSheetId="3" hidden="1">#REF!</definedName>
    <definedName name="IQRWACCAnalysisBH10" localSheetId="4" hidden="1">#REF!</definedName>
    <definedName name="IQRWACCAnalysisBH10" localSheetId="2" hidden="1">#REF!</definedName>
    <definedName name="IQRWACCAnalysisBH10" hidden="1">#REF!</definedName>
    <definedName name="IQRWACCAnalysisBJ10" localSheetId="5" hidden="1">#REF!</definedName>
    <definedName name="IQRWACCAnalysisBJ10" localSheetId="6" hidden="1">#REF!</definedName>
    <definedName name="IQRWACCAnalysisBJ10" localSheetId="3" hidden="1">#REF!</definedName>
    <definedName name="IQRWACCAnalysisBJ10" localSheetId="4" hidden="1">#REF!</definedName>
    <definedName name="IQRWACCAnalysisBJ10" localSheetId="2" hidden="1">#REF!</definedName>
    <definedName name="IQRWACCAnalysisBJ10" hidden="1">#REF!</definedName>
    <definedName name="IQRWACCAnalysisBK10" localSheetId="5" hidden="1">#REF!</definedName>
    <definedName name="IQRWACCAnalysisBK10" localSheetId="6" hidden="1">#REF!</definedName>
    <definedName name="IQRWACCAnalysisBK10" localSheetId="3" hidden="1">#REF!</definedName>
    <definedName name="IQRWACCAnalysisBK10" localSheetId="4" hidden="1">#REF!</definedName>
    <definedName name="IQRWACCAnalysisBK10" localSheetId="2" hidden="1">#REF!</definedName>
    <definedName name="IQRWACCAnalysisBK10" hidden="1">#REF!</definedName>
    <definedName name="IQRWACCAnalysisBL10" localSheetId="5" hidden="1">#REF!</definedName>
    <definedName name="IQRWACCAnalysisBL10" localSheetId="6" hidden="1">#REF!</definedName>
    <definedName name="IQRWACCAnalysisBL10" localSheetId="3" hidden="1">#REF!</definedName>
    <definedName name="IQRWACCAnalysisBL10" localSheetId="4" hidden="1">#REF!</definedName>
    <definedName name="IQRWACCAnalysisBL10" localSheetId="2" hidden="1">#REF!</definedName>
    <definedName name="IQRWACCAnalysisBL10" hidden="1">#REF!</definedName>
    <definedName name="IQRWACCAnalysisBM10" localSheetId="5" hidden="1">#REF!</definedName>
    <definedName name="IQRWACCAnalysisBM10" localSheetId="6" hidden="1">#REF!</definedName>
    <definedName name="IQRWACCAnalysisBM10" localSheetId="3" hidden="1">#REF!</definedName>
    <definedName name="IQRWACCAnalysisBM10" localSheetId="4" hidden="1">#REF!</definedName>
    <definedName name="IQRWACCAnalysisBM10" localSheetId="2" hidden="1">#REF!</definedName>
    <definedName name="IQRWACCAnalysisBM10" hidden="1">#REF!</definedName>
    <definedName name="IQRWACCAnalysisBN10" localSheetId="5" hidden="1">#REF!</definedName>
    <definedName name="IQRWACCAnalysisBN10" localSheetId="6" hidden="1">#REF!</definedName>
    <definedName name="IQRWACCAnalysisBN10" localSheetId="3" hidden="1">#REF!</definedName>
    <definedName name="IQRWACCAnalysisBN10" localSheetId="4" hidden="1">#REF!</definedName>
    <definedName name="IQRWACCAnalysisBN10" localSheetId="2" hidden="1">#REF!</definedName>
    <definedName name="IQRWACCAnalysisBN10" hidden="1">#REF!</definedName>
    <definedName name="IQRWACCAnalysisBO10" localSheetId="5" hidden="1">#REF!</definedName>
    <definedName name="IQRWACCAnalysisBO10" localSheetId="6" hidden="1">#REF!</definedName>
    <definedName name="IQRWACCAnalysisBO10" localSheetId="3" hidden="1">#REF!</definedName>
    <definedName name="IQRWACCAnalysisBO10" localSheetId="4" hidden="1">#REF!</definedName>
    <definedName name="IQRWACCAnalysisBO10" localSheetId="2" hidden="1">#REF!</definedName>
    <definedName name="IQRWACCAnalysisBO10" hidden="1">#REF!</definedName>
    <definedName name="IQRWACCAnalysisBP10" localSheetId="5" hidden="1">#REF!</definedName>
    <definedName name="IQRWACCAnalysisBP10" localSheetId="6" hidden="1">#REF!</definedName>
    <definedName name="IQRWACCAnalysisBP10" localSheetId="3" hidden="1">#REF!</definedName>
    <definedName name="IQRWACCAnalysisBP10" localSheetId="4" hidden="1">#REF!</definedName>
    <definedName name="IQRWACCAnalysisBP10" localSheetId="2" hidden="1">#REF!</definedName>
    <definedName name="IQRWACCAnalysisBP10" hidden="1">#REF!</definedName>
    <definedName name="IQRWACCAnalysisBQ10" localSheetId="5" hidden="1">#REF!</definedName>
    <definedName name="IQRWACCAnalysisBQ10" localSheetId="6" hidden="1">#REF!</definedName>
    <definedName name="IQRWACCAnalysisBQ10" localSheetId="3" hidden="1">#REF!</definedName>
    <definedName name="IQRWACCAnalysisBQ10" localSheetId="4" hidden="1">#REF!</definedName>
    <definedName name="IQRWACCAnalysisBQ10" localSheetId="2" hidden="1">#REF!</definedName>
    <definedName name="IQRWACCAnalysisBQ10" hidden="1">#REF!</definedName>
    <definedName name="IQRWACCAnalysisBR10" localSheetId="5" hidden="1">#REF!</definedName>
    <definedName name="IQRWACCAnalysisBR10" localSheetId="6" hidden="1">#REF!</definedName>
    <definedName name="IQRWACCAnalysisBR10" localSheetId="3" hidden="1">#REF!</definedName>
    <definedName name="IQRWACCAnalysisBR10" localSheetId="4" hidden="1">#REF!</definedName>
    <definedName name="IQRWACCAnalysisBR10" localSheetId="2" hidden="1">#REF!</definedName>
    <definedName name="IQRWACCAnalysisBR10" hidden="1">#REF!</definedName>
    <definedName name="IQRWACCAnalysisBS10" localSheetId="5" hidden="1">#REF!</definedName>
    <definedName name="IQRWACCAnalysisBS10" localSheetId="6" hidden="1">#REF!</definedName>
    <definedName name="IQRWACCAnalysisBS10" localSheetId="3" hidden="1">#REF!</definedName>
    <definedName name="IQRWACCAnalysisBS10" localSheetId="4" hidden="1">#REF!</definedName>
    <definedName name="IQRWACCAnalysisBS10" localSheetId="2" hidden="1">#REF!</definedName>
    <definedName name="IQRWACCAnalysisBS10" hidden="1">#REF!</definedName>
    <definedName name="IQRWACCAnalysisBT10" localSheetId="5" hidden="1">#REF!</definedName>
    <definedName name="IQRWACCAnalysisBT10" localSheetId="6" hidden="1">#REF!</definedName>
    <definedName name="IQRWACCAnalysisBT10" localSheetId="3" hidden="1">#REF!</definedName>
    <definedName name="IQRWACCAnalysisBT10" localSheetId="4" hidden="1">#REF!</definedName>
    <definedName name="IQRWACCAnalysisBT10" localSheetId="2" hidden="1">#REF!</definedName>
    <definedName name="IQRWACCAnalysisBT10" hidden="1">#REF!</definedName>
    <definedName name="IQRWACCAnalysisBU10" localSheetId="5" hidden="1">#REF!</definedName>
    <definedName name="IQRWACCAnalysisBU10" localSheetId="6" hidden="1">#REF!</definedName>
    <definedName name="IQRWACCAnalysisBU10" localSheetId="3" hidden="1">#REF!</definedName>
    <definedName name="IQRWACCAnalysisBU10" localSheetId="4" hidden="1">#REF!</definedName>
    <definedName name="IQRWACCAnalysisBU10" localSheetId="2" hidden="1">#REF!</definedName>
    <definedName name="IQRWACCAnalysisBU10" hidden="1">#REF!</definedName>
    <definedName name="IQRWACCAnalysisBV10" localSheetId="5" hidden="1">#REF!</definedName>
    <definedName name="IQRWACCAnalysisBV10" localSheetId="6" hidden="1">#REF!</definedName>
    <definedName name="IQRWACCAnalysisBV10" localSheetId="3" hidden="1">#REF!</definedName>
    <definedName name="IQRWACCAnalysisBV10" localSheetId="4" hidden="1">#REF!</definedName>
    <definedName name="IQRWACCAnalysisBV10" localSheetId="2" hidden="1">#REF!</definedName>
    <definedName name="IQRWACCAnalysisBV10" hidden="1">#REF!</definedName>
    <definedName name="IQRWACCAnalysisBW10" localSheetId="5" hidden="1">#REF!</definedName>
    <definedName name="IQRWACCAnalysisBW10" localSheetId="6" hidden="1">#REF!</definedName>
    <definedName name="IQRWACCAnalysisBW10" localSheetId="3" hidden="1">#REF!</definedName>
    <definedName name="IQRWACCAnalysisBW10" localSheetId="4" hidden="1">#REF!</definedName>
    <definedName name="IQRWACCAnalysisBW10" localSheetId="2" hidden="1">#REF!</definedName>
    <definedName name="IQRWACCAnalysisBW10" hidden="1">#REF!</definedName>
    <definedName name="IQRWACCAnalysisBX10" localSheetId="5" hidden="1">#REF!</definedName>
    <definedName name="IQRWACCAnalysisBX10" localSheetId="6" hidden="1">#REF!</definedName>
    <definedName name="IQRWACCAnalysisBX10" localSheetId="3" hidden="1">#REF!</definedName>
    <definedName name="IQRWACCAnalysisBX10" localSheetId="4" hidden="1">#REF!</definedName>
    <definedName name="IQRWACCAnalysisBX10" localSheetId="2" hidden="1">#REF!</definedName>
    <definedName name="IQRWACCAnalysisBX10" hidden="1">#REF!</definedName>
    <definedName name="IQRWACCAnalysisBY10" localSheetId="5" hidden="1">#REF!</definedName>
    <definedName name="IQRWACCAnalysisBY10" localSheetId="6" hidden="1">#REF!</definedName>
    <definedName name="IQRWACCAnalysisBY10" localSheetId="3" hidden="1">#REF!</definedName>
    <definedName name="IQRWACCAnalysisBY10" localSheetId="4" hidden="1">#REF!</definedName>
    <definedName name="IQRWACCAnalysisBY10" localSheetId="2" hidden="1">#REF!</definedName>
    <definedName name="IQRWACCAnalysisBY10" hidden="1">#REF!</definedName>
    <definedName name="IQRWACCAnalysisBZ10" localSheetId="5" hidden="1">#REF!</definedName>
    <definedName name="IQRWACCAnalysisBZ10" localSheetId="6" hidden="1">#REF!</definedName>
    <definedName name="IQRWACCAnalysisBZ10" localSheetId="3" hidden="1">#REF!</definedName>
    <definedName name="IQRWACCAnalysisBZ10" localSheetId="4" hidden="1">#REF!</definedName>
    <definedName name="IQRWACCAnalysisBZ10" localSheetId="2" hidden="1">#REF!</definedName>
    <definedName name="IQRWACCAnalysisBZ10" hidden="1">#REF!</definedName>
    <definedName name="IQRWACCAnalysisCA10" localSheetId="5" hidden="1">#REF!</definedName>
    <definedName name="IQRWACCAnalysisCA10" localSheetId="6" hidden="1">#REF!</definedName>
    <definedName name="IQRWACCAnalysisCA10" localSheetId="3" hidden="1">#REF!</definedName>
    <definedName name="IQRWACCAnalysisCA10" localSheetId="4" hidden="1">#REF!</definedName>
    <definedName name="IQRWACCAnalysisCA10" localSheetId="2" hidden="1">#REF!</definedName>
    <definedName name="IQRWACCAnalysisCA10" hidden="1">#REF!</definedName>
    <definedName name="IQRWACCAnalysisCB10" localSheetId="5" hidden="1">#REF!</definedName>
    <definedName name="IQRWACCAnalysisCB10" localSheetId="6" hidden="1">#REF!</definedName>
    <definedName name="IQRWACCAnalysisCB10" localSheetId="3" hidden="1">#REF!</definedName>
    <definedName name="IQRWACCAnalysisCB10" localSheetId="4" hidden="1">#REF!</definedName>
    <definedName name="IQRWACCAnalysisCB10" localSheetId="2" hidden="1">#REF!</definedName>
    <definedName name="IQRWACCAnalysisCB10" hidden="1">#REF!</definedName>
    <definedName name="IQRWACCAnalysisCC10" localSheetId="5" hidden="1">#REF!</definedName>
    <definedName name="IQRWACCAnalysisCC10" localSheetId="6" hidden="1">#REF!</definedName>
    <definedName name="IQRWACCAnalysisCC10" localSheetId="3" hidden="1">#REF!</definedName>
    <definedName name="IQRWACCAnalysisCC10" localSheetId="4" hidden="1">#REF!</definedName>
    <definedName name="IQRWACCAnalysisCC10" localSheetId="2" hidden="1">#REF!</definedName>
    <definedName name="IQRWACCAnalysisCC10" hidden="1">#REF!</definedName>
    <definedName name="IQRWACCAnalysisCD10" localSheetId="5" hidden="1">#REF!</definedName>
    <definedName name="IQRWACCAnalysisCD10" localSheetId="6" hidden="1">#REF!</definedName>
    <definedName name="IQRWACCAnalysisCD10" localSheetId="3" hidden="1">#REF!</definedName>
    <definedName name="IQRWACCAnalysisCD10" localSheetId="4" hidden="1">#REF!</definedName>
    <definedName name="IQRWACCAnalysisCD10" localSheetId="2" hidden="1">#REF!</definedName>
    <definedName name="IQRWACCAnalysisCD10" hidden="1">#REF!</definedName>
    <definedName name="List">'[2]Input Tab'!$AD$15:$AD$19</definedName>
    <definedName name="ListOffset" hidden="1">1</definedName>
    <definedName name="o" localSheetId="1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_xlnm.Print_Area" localSheetId="1">Cover!$A$1:$N$27</definedName>
    <definedName name="SPSet">"current"</definedName>
    <definedName name="SPWS_WBID">"D37EBD5C-BA90-4B94-B2F1-78539D014FA9"</definedName>
    <definedName name="wrn.Basic._.Report." localSheetId="1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clientcopy." localSheetId="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 localSheetId="1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filecopy." localSheetId="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print." localSheetId="1" hidden="1">{#N/A,#N/A,FALSE,"Japan 2003";#N/A,#N/A,FALSE,"Sheet2"}</definedName>
    <definedName name="wrn.print." hidden="1">{#N/A,#N/A,FALSE,"Japan 2003";#N/A,#N/A,FALSE,"Sheet2"}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6" i="135" l="1"/>
  <c r="D74" i="135"/>
  <c r="D53" i="135"/>
  <c r="D64" i="135"/>
  <c r="E189" i="135"/>
  <c r="F189" i="135" s="1"/>
  <c r="E188" i="135"/>
  <c r="F188" i="135" s="1"/>
  <c r="C142" i="135"/>
  <c r="C143" i="135" s="1"/>
  <c r="C110" i="135"/>
  <c r="C140" i="135" s="1"/>
  <c r="D174" i="135"/>
  <c r="D28" i="134"/>
  <c r="D43" i="134"/>
  <c r="D29" i="134"/>
  <c r="F6" i="138"/>
  <c r="D96" i="134" s="1"/>
  <c r="K2" i="138"/>
  <c r="C173" i="135" l="1"/>
  <c r="D96" i="135"/>
  <c r="A2" i="127" l="1"/>
  <c r="L12" i="127"/>
  <c r="L15" i="127"/>
  <c r="L25" i="127"/>
  <c r="L26" i="127"/>
  <c r="D34" i="127"/>
  <c r="E34" i="127"/>
  <c r="F34" i="127"/>
  <c r="G34" i="127"/>
  <c r="H34" i="127"/>
  <c r="I34" i="127"/>
  <c r="D40" i="127"/>
  <c r="E40" i="127"/>
  <c r="F40" i="127"/>
  <c r="G40" i="127"/>
  <c r="H40" i="127"/>
  <c r="I40" i="127"/>
  <c r="D41" i="127"/>
  <c r="E41" i="127"/>
  <c r="F41" i="127"/>
  <c r="G41" i="127"/>
  <c r="L41" i="127" s="1"/>
  <c r="H41" i="127"/>
  <c r="I41" i="127"/>
  <c r="D5" i="134"/>
  <c r="J5" i="134"/>
  <c r="D6" i="134"/>
  <c r="D7" i="134"/>
  <c r="D15" i="134"/>
  <c r="D16" i="134"/>
  <c r="E19" i="134"/>
  <c r="F19" i="134" s="1"/>
  <c r="G19" i="134" s="1"/>
  <c r="H19" i="134" s="1"/>
  <c r="I19" i="134" s="1"/>
  <c r="J19" i="134" s="1"/>
  <c r="E20" i="134"/>
  <c r="F20" i="134" s="1"/>
  <c r="J22" i="134"/>
  <c r="D30" i="134"/>
  <c r="D27" i="134" s="1"/>
  <c r="D31" i="134"/>
  <c r="D49" i="134"/>
  <c r="D38" i="134"/>
  <c r="D39" i="134"/>
  <c r="D35" i="134" s="1"/>
  <c r="I35" i="134"/>
  <c r="J35" i="134" s="1"/>
  <c r="M37" i="134"/>
  <c r="K38" i="134"/>
  <c r="M39" i="134"/>
  <c r="E47" i="134"/>
  <c r="F47" i="134" s="1"/>
  <c r="G47" i="134" s="1"/>
  <c r="H47" i="134" s="1"/>
  <c r="I47" i="134" s="1"/>
  <c r="F48" i="134"/>
  <c r="G48" i="134" s="1"/>
  <c r="H48" i="134" s="1"/>
  <c r="I48" i="134" s="1"/>
  <c r="D55" i="134"/>
  <c r="D58" i="134"/>
  <c r="E56" i="134"/>
  <c r="F56" i="134"/>
  <c r="G56" i="134"/>
  <c r="H56" i="134" s="1"/>
  <c r="I56" i="134" s="1"/>
  <c r="J56" i="134" s="1"/>
  <c r="F57" i="134"/>
  <c r="G57" i="134"/>
  <c r="H57" i="134" s="1"/>
  <c r="I57" i="134" s="1"/>
  <c r="D68" i="134"/>
  <c r="E66" i="134"/>
  <c r="F66" i="134"/>
  <c r="G66" i="134" s="1"/>
  <c r="H66" i="134" s="1"/>
  <c r="I66" i="134" s="1"/>
  <c r="J66" i="134" s="1"/>
  <c r="F67" i="134"/>
  <c r="G67" i="134" s="1"/>
  <c r="H67" i="134" s="1"/>
  <c r="I67" i="134"/>
  <c r="D71" i="134"/>
  <c r="F77" i="134"/>
  <c r="F88" i="134" s="1"/>
  <c r="G77" i="134"/>
  <c r="H77" i="134" s="1"/>
  <c r="D78" i="134"/>
  <c r="E78" i="134"/>
  <c r="F78" i="134"/>
  <c r="F89" i="134" s="1"/>
  <c r="G78" i="134"/>
  <c r="H78" i="134" s="1"/>
  <c r="K78" i="134"/>
  <c r="F83" i="134"/>
  <c r="G83" i="134"/>
  <c r="I83" i="134"/>
  <c r="D88" i="134"/>
  <c r="E88" i="134"/>
  <c r="G88" i="134"/>
  <c r="E89" i="134"/>
  <c r="G89" i="134"/>
  <c r="K89" i="134"/>
  <c r="F97" i="134"/>
  <c r="G97" i="134" s="1"/>
  <c r="H97" i="134" s="1"/>
  <c r="I97" i="134" s="1"/>
  <c r="J97" i="134" s="1"/>
  <c r="K97" i="134" s="1"/>
  <c r="L97" i="134" s="1"/>
  <c r="M97" i="134" s="1"/>
  <c r="N97" i="134" s="1"/>
  <c r="D98" i="134"/>
  <c r="E99" i="134"/>
  <c r="E98" i="134"/>
  <c r="F99" i="134"/>
  <c r="G99" i="134"/>
  <c r="H99" i="134"/>
  <c r="I99" i="134"/>
  <c r="J99" i="134"/>
  <c r="K99" i="134"/>
  <c r="L99" i="134"/>
  <c r="M99" i="134"/>
  <c r="N99" i="134"/>
  <c r="D107" i="134"/>
  <c r="D115" i="134" s="1"/>
  <c r="E108" i="134"/>
  <c r="E107" i="134"/>
  <c r="F107" i="134" s="1"/>
  <c r="F108" i="134"/>
  <c r="G108" i="134"/>
  <c r="C110" i="134"/>
  <c r="D110" i="134"/>
  <c r="N110" i="134"/>
  <c r="E111" i="134"/>
  <c r="F111" i="134" s="1"/>
  <c r="F127" i="134"/>
  <c r="G127" i="134"/>
  <c r="H127" i="134" s="1"/>
  <c r="I127" i="134" s="1"/>
  <c r="J127" i="134" s="1"/>
  <c r="K127" i="134" s="1"/>
  <c r="L127" i="134" s="1"/>
  <c r="M127" i="134" s="1"/>
  <c r="N127" i="134" s="1"/>
  <c r="D128" i="134"/>
  <c r="E128" i="134" s="1"/>
  <c r="H129" i="134"/>
  <c r="I129" i="134"/>
  <c r="J129" i="134"/>
  <c r="K129" i="134"/>
  <c r="L129" i="134"/>
  <c r="M129" i="134"/>
  <c r="N129" i="134"/>
  <c r="D137" i="134"/>
  <c r="D138" i="134"/>
  <c r="H138" i="134"/>
  <c r="L138" i="134"/>
  <c r="D145" i="134"/>
  <c r="D141" i="134"/>
  <c r="D144" i="134"/>
  <c r="N140" i="134"/>
  <c r="E141" i="134"/>
  <c r="E144" i="134" s="1"/>
  <c r="C142" i="134"/>
  <c r="C143" i="134" s="1"/>
  <c r="D142" i="134"/>
  <c r="E142" i="134"/>
  <c r="F142" i="134"/>
  <c r="G142" i="134"/>
  <c r="H142" i="134"/>
  <c r="I142" i="134"/>
  <c r="J142" i="134"/>
  <c r="K142" i="134"/>
  <c r="L142" i="134"/>
  <c r="M142" i="134"/>
  <c r="N142" i="134"/>
  <c r="F160" i="134"/>
  <c r="G160" i="134"/>
  <c r="H160" i="134"/>
  <c r="I160" i="134" s="1"/>
  <c r="J160" i="134" s="1"/>
  <c r="K160" i="134" s="1"/>
  <c r="L160" i="134" s="1"/>
  <c r="M160" i="134" s="1"/>
  <c r="N160" i="134" s="1"/>
  <c r="D161" i="134"/>
  <c r="E162" i="134"/>
  <c r="F162" i="134"/>
  <c r="G162" i="134"/>
  <c r="H162" i="134"/>
  <c r="I162" i="134"/>
  <c r="J162" i="134"/>
  <c r="K162" i="134"/>
  <c r="L162" i="134"/>
  <c r="M162" i="134"/>
  <c r="N162" i="134"/>
  <c r="N166" i="134"/>
  <c r="R169" i="134"/>
  <c r="D170" i="134"/>
  <c r="E170" i="134"/>
  <c r="F170" i="134"/>
  <c r="D171" i="134"/>
  <c r="E171" i="134"/>
  <c r="F171" i="134"/>
  <c r="D176" i="134"/>
  <c r="D179" i="134" s="1"/>
  <c r="D175" i="134"/>
  <c r="N173" i="134"/>
  <c r="D174" i="134"/>
  <c r="E174" i="134"/>
  <c r="E175" i="134"/>
  <c r="D5" i="135"/>
  <c r="D16" i="135" s="1"/>
  <c r="J22" i="135" s="1"/>
  <c r="K78" i="135" s="1"/>
  <c r="K89" i="135" s="1"/>
  <c r="D7" i="135"/>
  <c r="E19" i="135"/>
  <c r="F19" i="135" s="1"/>
  <c r="G19" i="135" s="1"/>
  <c r="H19" i="135" s="1"/>
  <c r="I19" i="135" s="1"/>
  <c r="J19" i="135" s="1"/>
  <c r="E20" i="135"/>
  <c r="F20" i="135" s="1"/>
  <c r="G20" i="135" s="1"/>
  <c r="H20" i="135" s="1"/>
  <c r="I20" i="135" s="1"/>
  <c r="J20" i="135" s="1"/>
  <c r="D30" i="135"/>
  <c r="D31" i="135"/>
  <c r="I35" i="135"/>
  <c r="J35" i="135" s="1"/>
  <c r="K35" i="135" s="1"/>
  <c r="K38" i="135"/>
  <c r="D49" i="135"/>
  <c r="D68" i="135" s="1"/>
  <c r="D58" i="135"/>
  <c r="E47" i="135"/>
  <c r="F47" i="135" s="1"/>
  <c r="G47" i="135" s="1"/>
  <c r="H47" i="135" s="1"/>
  <c r="I47" i="135" s="1"/>
  <c r="J47" i="135" s="1"/>
  <c r="F48" i="135"/>
  <c r="G48" i="135" s="1"/>
  <c r="H48" i="135" s="1"/>
  <c r="I48" i="135" s="1"/>
  <c r="E56" i="135"/>
  <c r="F56" i="135" s="1"/>
  <c r="G56" i="135" s="1"/>
  <c r="H56" i="135" s="1"/>
  <c r="I56" i="135" s="1"/>
  <c r="J56" i="135" s="1"/>
  <c r="F57" i="135"/>
  <c r="G57" i="135" s="1"/>
  <c r="H57" i="135" s="1"/>
  <c r="I57" i="135" s="1"/>
  <c r="E66" i="135"/>
  <c r="F66" i="135" s="1"/>
  <c r="G66" i="135" s="1"/>
  <c r="H66" i="135" s="1"/>
  <c r="I66" i="135" s="1"/>
  <c r="J66" i="135" s="1"/>
  <c r="F67" i="135"/>
  <c r="G67" i="135" s="1"/>
  <c r="H67" i="135" s="1"/>
  <c r="I67" i="135" s="1"/>
  <c r="F77" i="135"/>
  <c r="D78" i="135"/>
  <c r="D89" i="135" s="1"/>
  <c r="D88" i="135"/>
  <c r="E88" i="135"/>
  <c r="F97" i="135"/>
  <c r="G97" i="135" s="1"/>
  <c r="H97" i="135" s="1"/>
  <c r="I97" i="135" s="1"/>
  <c r="J97" i="135" s="1"/>
  <c r="K97" i="135" s="1"/>
  <c r="L97" i="135" s="1"/>
  <c r="M97" i="135" s="1"/>
  <c r="N97" i="135" s="1"/>
  <c r="H99" i="135"/>
  <c r="I99" i="135"/>
  <c r="I162" i="135" s="1"/>
  <c r="J99" i="135"/>
  <c r="J162" i="135" s="1"/>
  <c r="K99" i="135"/>
  <c r="K162" i="135" s="1"/>
  <c r="L99" i="135"/>
  <c r="L162" i="135" s="1"/>
  <c r="M99" i="135"/>
  <c r="M162" i="135" s="1"/>
  <c r="N99" i="135"/>
  <c r="N162" i="135" s="1"/>
  <c r="D107" i="135"/>
  <c r="D115" i="135" s="1"/>
  <c r="E108" i="135"/>
  <c r="F108" i="135" s="1"/>
  <c r="D110" i="135"/>
  <c r="N110" i="135"/>
  <c r="N140" i="135" s="1"/>
  <c r="N173" i="135" s="1"/>
  <c r="F127" i="135"/>
  <c r="G127" i="135" s="1"/>
  <c r="H127" i="135" s="1"/>
  <c r="I127" i="135" s="1"/>
  <c r="J127" i="135" s="1"/>
  <c r="K127" i="135" s="1"/>
  <c r="L127" i="135" s="1"/>
  <c r="M127" i="135" s="1"/>
  <c r="N127" i="135" s="1"/>
  <c r="H129" i="135"/>
  <c r="I129" i="135"/>
  <c r="J129" i="135"/>
  <c r="K129" i="135"/>
  <c r="L129" i="135"/>
  <c r="M129" i="135"/>
  <c r="N129" i="135"/>
  <c r="D138" i="135"/>
  <c r="H138" i="135" s="1"/>
  <c r="L138" i="135" s="1"/>
  <c r="D145" i="135"/>
  <c r="D141" i="135"/>
  <c r="D144" i="135" s="1"/>
  <c r="D142" i="135"/>
  <c r="E142" i="135"/>
  <c r="F142" i="135"/>
  <c r="G142" i="135"/>
  <c r="H142" i="135"/>
  <c r="I142" i="135"/>
  <c r="J142" i="135"/>
  <c r="K142" i="135"/>
  <c r="L142" i="135"/>
  <c r="M142" i="135"/>
  <c r="N142" i="135"/>
  <c r="F160" i="135"/>
  <c r="G160" i="135" s="1"/>
  <c r="H160" i="135" s="1"/>
  <c r="I160" i="135" s="1"/>
  <c r="J160" i="135" s="1"/>
  <c r="K160" i="135" s="1"/>
  <c r="L160" i="135" s="1"/>
  <c r="M160" i="135" s="1"/>
  <c r="N160" i="135" s="1"/>
  <c r="H162" i="135"/>
  <c r="N166" i="135"/>
  <c r="D171" i="135"/>
  <c r="E171" i="135"/>
  <c r="D176" i="135"/>
  <c r="D175" i="135"/>
  <c r="A2" i="99"/>
  <c r="E99" i="135" l="1"/>
  <c r="E111" i="135" s="1"/>
  <c r="D55" i="135"/>
  <c r="M37" i="135"/>
  <c r="M39" i="135" s="1"/>
  <c r="D170" i="135"/>
  <c r="D179" i="135" s="1"/>
  <c r="D173" i="135"/>
  <c r="E162" i="135"/>
  <c r="D137" i="135"/>
  <c r="D148" i="135" s="1"/>
  <c r="D39" i="135"/>
  <c r="D6" i="135"/>
  <c r="D15" i="135" s="1"/>
  <c r="J5" i="135"/>
  <c r="D114" i="135" s="1"/>
  <c r="I77" i="134"/>
  <c r="H88" i="134"/>
  <c r="F171" i="135"/>
  <c r="G108" i="135"/>
  <c r="F128" i="134"/>
  <c r="E130" i="134"/>
  <c r="E131" i="134"/>
  <c r="E107" i="135"/>
  <c r="D140" i="135"/>
  <c r="G77" i="135"/>
  <c r="F88" i="135"/>
  <c r="D116" i="134"/>
  <c r="D114" i="134"/>
  <c r="J38" i="135"/>
  <c r="H38" i="135"/>
  <c r="I38" i="135"/>
  <c r="F98" i="134"/>
  <c r="E100" i="134"/>
  <c r="E101" i="134"/>
  <c r="E161" i="134"/>
  <c r="C173" i="134"/>
  <c r="C140" i="134"/>
  <c r="G21" i="134"/>
  <c r="D12" i="134"/>
  <c r="H21" i="134"/>
  <c r="I21" i="134"/>
  <c r="E21" i="134"/>
  <c r="F21" i="134"/>
  <c r="E138" i="134"/>
  <c r="H108" i="134"/>
  <c r="G171" i="134"/>
  <c r="I78" i="134"/>
  <c r="H89" i="134"/>
  <c r="D148" i="134"/>
  <c r="D140" i="134"/>
  <c r="G107" i="134"/>
  <c r="F174" i="134"/>
  <c r="F175" i="134" s="1"/>
  <c r="G111" i="134"/>
  <c r="F141" i="134"/>
  <c r="F144" i="134" s="1"/>
  <c r="D89" i="134"/>
  <c r="D84" i="134"/>
  <c r="D173" i="134"/>
  <c r="I23" i="134"/>
  <c r="J23" i="134" s="1"/>
  <c r="J24" i="134" s="1"/>
  <c r="G20" i="134"/>
  <c r="H20" i="134" s="1"/>
  <c r="I20" i="134" s="1"/>
  <c r="J20" i="134" s="1"/>
  <c r="E42" i="134"/>
  <c r="K35" i="134"/>
  <c r="J38" i="134" s="1"/>
  <c r="L40" i="127"/>
  <c r="E175" i="135" l="1"/>
  <c r="E174" i="135"/>
  <c r="F99" i="135"/>
  <c r="E141" i="135"/>
  <c r="E144" i="135" s="1"/>
  <c r="F111" i="135"/>
  <c r="D116" i="135"/>
  <c r="D149" i="135" s="1"/>
  <c r="D147" i="135"/>
  <c r="N147" i="135" s="1"/>
  <c r="N114" i="135"/>
  <c r="D38" i="135"/>
  <c r="D35" i="135" s="1"/>
  <c r="E78" i="135"/>
  <c r="D128" i="135"/>
  <c r="E128" i="135" s="1"/>
  <c r="D98" i="135"/>
  <c r="E98" i="135" s="1"/>
  <c r="D161" i="135"/>
  <c r="D178" i="135"/>
  <c r="N178" i="135" s="1"/>
  <c r="H38" i="134"/>
  <c r="I38" i="134"/>
  <c r="E50" i="134"/>
  <c r="E24" i="134"/>
  <c r="E23" i="134"/>
  <c r="H29" i="134" s="1"/>
  <c r="H36" i="134"/>
  <c r="H39" i="134" s="1"/>
  <c r="F23" i="134"/>
  <c r="G23" i="134"/>
  <c r="G24" i="134" s="1"/>
  <c r="H23" i="134"/>
  <c r="D149" i="134"/>
  <c r="D180" i="134"/>
  <c r="F107" i="135"/>
  <c r="E170" i="135"/>
  <c r="G174" i="134"/>
  <c r="G175" i="134" s="1"/>
  <c r="H111" i="134"/>
  <c r="G141" i="134"/>
  <c r="G144" i="134" s="1"/>
  <c r="I108" i="134"/>
  <c r="H171" i="134"/>
  <c r="L36" i="134"/>
  <c r="L39" i="134" s="1"/>
  <c r="I50" i="134"/>
  <c r="I24" i="134"/>
  <c r="D106" i="135"/>
  <c r="E106" i="135" s="1"/>
  <c r="F106" i="135" s="1"/>
  <c r="G106" i="135" s="1"/>
  <c r="H106" i="135" s="1"/>
  <c r="I106" i="135" s="1"/>
  <c r="J106" i="135" s="1"/>
  <c r="K106" i="135" s="1"/>
  <c r="L106" i="135" s="1"/>
  <c r="M106" i="135" s="1"/>
  <c r="N106" i="135" s="1"/>
  <c r="E96" i="135"/>
  <c r="F96" i="135" s="1"/>
  <c r="G96" i="135" s="1"/>
  <c r="H96" i="135" s="1"/>
  <c r="I96" i="135" s="1"/>
  <c r="J96" i="135" s="1"/>
  <c r="K96" i="135" s="1"/>
  <c r="L96" i="135" s="1"/>
  <c r="M96" i="135" s="1"/>
  <c r="N96" i="135" s="1"/>
  <c r="D159" i="135"/>
  <c r="D126" i="135"/>
  <c r="E96" i="134"/>
  <c r="F96" i="134" s="1"/>
  <c r="G96" i="134" s="1"/>
  <c r="H96" i="134" s="1"/>
  <c r="I96" i="134" s="1"/>
  <c r="J96" i="134" s="1"/>
  <c r="K96" i="134" s="1"/>
  <c r="L96" i="134" s="1"/>
  <c r="M96" i="134" s="1"/>
  <c r="N96" i="134" s="1"/>
  <c r="D159" i="134"/>
  <c r="D126" i="134"/>
  <c r="D106" i="134"/>
  <c r="E106" i="134" s="1"/>
  <c r="F106" i="134" s="1"/>
  <c r="G106" i="134" s="1"/>
  <c r="H106" i="134" s="1"/>
  <c r="I106" i="134" s="1"/>
  <c r="J106" i="134" s="1"/>
  <c r="K106" i="134" s="1"/>
  <c r="L106" i="134" s="1"/>
  <c r="M106" i="134" s="1"/>
  <c r="N106" i="134" s="1"/>
  <c r="G170" i="134"/>
  <c r="H107" i="134"/>
  <c r="I138" i="134"/>
  <c r="M138" i="134" s="1"/>
  <c r="E137" i="134"/>
  <c r="H77" i="135"/>
  <c r="G88" i="135"/>
  <c r="I21" i="135"/>
  <c r="E21" i="135"/>
  <c r="F21" i="135"/>
  <c r="G21" i="135"/>
  <c r="H21" i="135"/>
  <c r="F161" i="134"/>
  <c r="G98" i="134"/>
  <c r="F100" i="134"/>
  <c r="F101" i="134"/>
  <c r="G50" i="134"/>
  <c r="J36" i="134"/>
  <c r="J39" i="134" s="1"/>
  <c r="J77" i="134"/>
  <c r="I88" i="134"/>
  <c r="G128" i="134"/>
  <c r="F130" i="134"/>
  <c r="F131" i="134"/>
  <c r="H24" i="134"/>
  <c r="K36" i="134"/>
  <c r="K39" i="134" s="1"/>
  <c r="H50" i="134"/>
  <c r="J78" i="134"/>
  <c r="J89" i="134" s="1"/>
  <c r="I89" i="134"/>
  <c r="F24" i="134"/>
  <c r="F50" i="134"/>
  <c r="I36" i="134"/>
  <c r="E163" i="134"/>
  <c r="E164" i="134"/>
  <c r="D147" i="134"/>
  <c r="N147" i="134" s="1"/>
  <c r="D178" i="134"/>
  <c r="N178" i="134" s="1"/>
  <c r="N114" i="134"/>
  <c r="G171" i="135"/>
  <c r="H108" i="135"/>
  <c r="F174" i="135" l="1"/>
  <c r="G99" i="135"/>
  <c r="G162" i="135" s="1"/>
  <c r="F162" i="135"/>
  <c r="F141" i="135"/>
  <c r="F144" i="135" s="1"/>
  <c r="F175" i="135"/>
  <c r="D180" i="135"/>
  <c r="F98" i="135"/>
  <c r="E100" i="135"/>
  <c r="E161" i="135"/>
  <c r="E101" i="135"/>
  <c r="F128" i="135"/>
  <c r="E130" i="135"/>
  <c r="E131" i="135"/>
  <c r="E89" i="135"/>
  <c r="F78" i="135"/>
  <c r="I39" i="134"/>
  <c r="M40" i="134" s="1"/>
  <c r="N40" i="134" s="1"/>
  <c r="G161" i="134"/>
  <c r="G100" i="134"/>
  <c r="H98" i="134"/>
  <c r="G101" i="134"/>
  <c r="G138" i="134" s="1"/>
  <c r="K138" i="134" s="1"/>
  <c r="E126" i="135"/>
  <c r="F126" i="135" s="1"/>
  <c r="G126" i="135" s="1"/>
  <c r="H126" i="135" s="1"/>
  <c r="I126" i="135" s="1"/>
  <c r="J126" i="135" s="1"/>
  <c r="K126" i="135" s="1"/>
  <c r="L126" i="135" s="1"/>
  <c r="M126" i="135" s="1"/>
  <c r="N126" i="135" s="1"/>
  <c r="D136" i="135"/>
  <c r="E136" i="135" s="1"/>
  <c r="F136" i="135" s="1"/>
  <c r="G136" i="135" s="1"/>
  <c r="H136" i="135" s="1"/>
  <c r="I136" i="135" s="1"/>
  <c r="J136" i="135" s="1"/>
  <c r="K136" i="135" s="1"/>
  <c r="L136" i="135" s="1"/>
  <c r="M136" i="135" s="1"/>
  <c r="N136" i="135" s="1"/>
  <c r="M29" i="134"/>
  <c r="I68" i="134"/>
  <c r="F163" i="134"/>
  <c r="F164" i="134"/>
  <c r="D169" i="135"/>
  <c r="E169" i="135" s="1"/>
  <c r="F169" i="135" s="1"/>
  <c r="G169" i="135" s="1"/>
  <c r="H169" i="135" s="1"/>
  <c r="I169" i="135" s="1"/>
  <c r="J169" i="135" s="1"/>
  <c r="K169" i="135" s="1"/>
  <c r="L169" i="135" s="1"/>
  <c r="M169" i="135" s="1"/>
  <c r="N169" i="135" s="1"/>
  <c r="E159" i="135"/>
  <c r="F159" i="135" s="1"/>
  <c r="G159" i="135" s="1"/>
  <c r="H159" i="135" s="1"/>
  <c r="I159" i="135" s="1"/>
  <c r="J159" i="135" s="1"/>
  <c r="K159" i="135" s="1"/>
  <c r="L159" i="135" s="1"/>
  <c r="M159" i="135" s="1"/>
  <c r="N159" i="135" s="1"/>
  <c r="E126" i="134"/>
  <c r="F126" i="134" s="1"/>
  <c r="G126" i="134" s="1"/>
  <c r="H126" i="134" s="1"/>
  <c r="I126" i="134" s="1"/>
  <c r="J126" i="134" s="1"/>
  <c r="K126" i="134" s="1"/>
  <c r="L126" i="134" s="1"/>
  <c r="M126" i="134" s="1"/>
  <c r="N126" i="134" s="1"/>
  <c r="D136" i="134"/>
  <c r="E136" i="134" s="1"/>
  <c r="F136" i="134" s="1"/>
  <c r="G136" i="134" s="1"/>
  <c r="H136" i="134" s="1"/>
  <c r="I136" i="134" s="1"/>
  <c r="J136" i="134" s="1"/>
  <c r="K136" i="134" s="1"/>
  <c r="L136" i="134" s="1"/>
  <c r="M136" i="134" s="1"/>
  <c r="N136" i="134" s="1"/>
  <c r="J36" i="135"/>
  <c r="J39" i="135" s="1"/>
  <c r="G50" i="135"/>
  <c r="G68" i="135" s="1"/>
  <c r="D169" i="134"/>
  <c r="E169" i="134" s="1"/>
  <c r="F169" i="134" s="1"/>
  <c r="G169" i="134" s="1"/>
  <c r="H169" i="134" s="1"/>
  <c r="I169" i="134" s="1"/>
  <c r="J169" i="134" s="1"/>
  <c r="K169" i="134" s="1"/>
  <c r="L169" i="134" s="1"/>
  <c r="M169" i="134" s="1"/>
  <c r="N169" i="134" s="1"/>
  <c r="E159" i="134"/>
  <c r="F159" i="134" s="1"/>
  <c r="G159" i="134" s="1"/>
  <c r="H159" i="134" s="1"/>
  <c r="I159" i="134" s="1"/>
  <c r="J159" i="134" s="1"/>
  <c r="K159" i="134" s="1"/>
  <c r="L159" i="134" s="1"/>
  <c r="M159" i="134" s="1"/>
  <c r="N159" i="134" s="1"/>
  <c r="J108" i="134"/>
  <c r="I171" i="134"/>
  <c r="I36" i="135"/>
  <c r="I39" i="135" s="1"/>
  <c r="F50" i="135"/>
  <c r="F68" i="135" s="1"/>
  <c r="K36" i="135"/>
  <c r="K39" i="135" s="1"/>
  <c r="H50" i="135"/>
  <c r="H68" i="135" s="1"/>
  <c r="H36" i="135"/>
  <c r="H39" i="135" s="1"/>
  <c r="E24" i="135"/>
  <c r="E50" i="135"/>
  <c r="F24" i="135"/>
  <c r="G24" i="135"/>
  <c r="H24" i="135"/>
  <c r="J24" i="135"/>
  <c r="H174" i="134"/>
  <c r="H175" i="134" s="1"/>
  <c r="I111" i="134"/>
  <c r="H141" i="134"/>
  <c r="H144" i="134" s="1"/>
  <c r="K77" i="134"/>
  <c r="K88" i="134" s="1"/>
  <c r="J88" i="134"/>
  <c r="D86" i="134" s="1"/>
  <c r="D74" i="134"/>
  <c r="K29" i="134"/>
  <c r="G68" i="134"/>
  <c r="F138" i="134"/>
  <c r="J138" i="134" s="1"/>
  <c r="I24" i="135"/>
  <c r="L36" i="135"/>
  <c r="L39" i="135" s="1"/>
  <c r="I50" i="135"/>
  <c r="I68" i="135" s="1"/>
  <c r="H170" i="134"/>
  <c r="I107" i="134"/>
  <c r="G107" i="135"/>
  <c r="F170" i="135"/>
  <c r="J25" i="134"/>
  <c r="K25" i="134" s="1"/>
  <c r="G130" i="134"/>
  <c r="H128" i="134"/>
  <c r="G131" i="134"/>
  <c r="H88" i="135"/>
  <c r="I77" i="135"/>
  <c r="H171" i="135"/>
  <c r="I108" i="135"/>
  <c r="J29" i="134"/>
  <c r="F68" i="134"/>
  <c r="L29" i="134"/>
  <c r="H68" i="134"/>
  <c r="I29" i="134"/>
  <c r="G29" i="134" s="1"/>
  <c r="G30" i="134" s="1"/>
  <c r="E59" i="134"/>
  <c r="E68" i="134"/>
  <c r="D64" i="134" s="1"/>
  <c r="F43" i="134"/>
  <c r="G111" i="135" l="1"/>
  <c r="F131" i="135"/>
  <c r="G128" i="135"/>
  <c r="F130" i="135"/>
  <c r="E138" i="135"/>
  <c r="E163" i="135"/>
  <c r="E164" i="135"/>
  <c r="F89" i="135"/>
  <c r="G78" i="135"/>
  <c r="G98" i="135"/>
  <c r="F100" i="135"/>
  <c r="F161" i="135"/>
  <c r="F101" i="135"/>
  <c r="J25" i="135"/>
  <c r="K25" i="135" s="1"/>
  <c r="E43" i="135"/>
  <c r="E59" i="135"/>
  <c r="F59" i="135" s="1"/>
  <c r="G59" i="135" s="1"/>
  <c r="H59" i="135" s="1"/>
  <c r="I59" i="135" s="1"/>
  <c r="E68" i="135"/>
  <c r="D71" i="135" s="1"/>
  <c r="J171" i="134"/>
  <c r="K108" i="134"/>
  <c r="H161" i="134"/>
  <c r="H100" i="134"/>
  <c r="I98" i="134"/>
  <c r="H101" i="134"/>
  <c r="I88" i="135"/>
  <c r="J77" i="135"/>
  <c r="H107" i="135"/>
  <c r="G170" i="135"/>
  <c r="I141" i="134"/>
  <c r="I144" i="134" s="1"/>
  <c r="I174" i="134"/>
  <c r="I175" i="134" s="1"/>
  <c r="J111" i="134"/>
  <c r="M40" i="135"/>
  <c r="N40" i="135" s="1"/>
  <c r="G163" i="134"/>
  <c r="G164" i="134"/>
  <c r="I170" i="134"/>
  <c r="J107" i="134"/>
  <c r="F59" i="134"/>
  <c r="E84" i="134"/>
  <c r="H130" i="134"/>
  <c r="I128" i="134"/>
  <c r="H131" i="134"/>
  <c r="J108" i="135"/>
  <c r="I171" i="135"/>
  <c r="J72" i="134"/>
  <c r="F137" i="134"/>
  <c r="G137" i="134" s="1"/>
  <c r="H137" i="134" s="1"/>
  <c r="I137" i="134" s="1"/>
  <c r="J137" i="134" s="1"/>
  <c r="K137" i="134" s="1"/>
  <c r="L137" i="134" s="1"/>
  <c r="M137" i="134" s="1"/>
  <c r="N137" i="134" s="1"/>
  <c r="H111" i="135" l="1"/>
  <c r="G174" i="135"/>
  <c r="G141" i="135"/>
  <c r="G144" i="135" s="1"/>
  <c r="G175" i="135"/>
  <c r="F163" i="135"/>
  <c r="F164" i="135"/>
  <c r="G100" i="135"/>
  <c r="G101" i="135"/>
  <c r="G161" i="135"/>
  <c r="H98" i="135"/>
  <c r="I138" i="135"/>
  <c r="M138" i="135" s="1"/>
  <c r="E137" i="135"/>
  <c r="H78" i="135"/>
  <c r="G89" i="135"/>
  <c r="H128" i="135"/>
  <c r="G131" i="135"/>
  <c r="G138" i="135" s="1"/>
  <c r="K138" i="135" s="1"/>
  <c r="G130" i="135"/>
  <c r="F138" i="135"/>
  <c r="J138" i="135" s="1"/>
  <c r="J88" i="135"/>
  <c r="K77" i="135"/>
  <c r="K88" i="135" s="1"/>
  <c r="J128" i="134"/>
  <c r="I130" i="134"/>
  <c r="I131" i="134"/>
  <c r="I101" i="134"/>
  <c r="J98" i="134"/>
  <c r="I161" i="134"/>
  <c r="I100" i="134"/>
  <c r="H170" i="135"/>
  <c r="I107" i="135"/>
  <c r="H164" i="134"/>
  <c r="H163" i="134"/>
  <c r="L108" i="134"/>
  <c r="K171" i="134"/>
  <c r="K107" i="134"/>
  <c r="J170" i="134"/>
  <c r="K111" i="134"/>
  <c r="J141" i="134"/>
  <c r="J144" i="134" s="1"/>
  <c r="J174" i="134"/>
  <c r="J175" i="134" s="1"/>
  <c r="G59" i="134"/>
  <c r="F84" i="134"/>
  <c r="K108" i="135"/>
  <c r="J171" i="135"/>
  <c r="H174" i="135" l="1"/>
  <c r="I111" i="135"/>
  <c r="H175" i="135"/>
  <c r="H141" i="135"/>
  <c r="H144" i="135" s="1"/>
  <c r="F137" i="135"/>
  <c r="G137" i="135" s="1"/>
  <c r="H137" i="135" s="1"/>
  <c r="I137" i="135" s="1"/>
  <c r="J137" i="135" s="1"/>
  <c r="K137" i="135" s="1"/>
  <c r="L137" i="135" s="1"/>
  <c r="M137" i="135" s="1"/>
  <c r="N137" i="135" s="1"/>
  <c r="H101" i="135"/>
  <c r="H100" i="135"/>
  <c r="H161" i="135"/>
  <c r="I98" i="135"/>
  <c r="G164" i="135"/>
  <c r="G163" i="135"/>
  <c r="H130" i="135"/>
  <c r="H131" i="135"/>
  <c r="I128" i="135"/>
  <c r="I78" i="135"/>
  <c r="H89" i="135"/>
  <c r="J101" i="134"/>
  <c r="K98" i="134"/>
  <c r="J161" i="134"/>
  <c r="J100" i="134"/>
  <c r="J131" i="134"/>
  <c r="K128" i="134"/>
  <c r="J130" i="134"/>
  <c r="L111" i="134"/>
  <c r="K141" i="134"/>
  <c r="K144" i="134" s="1"/>
  <c r="K174" i="134"/>
  <c r="K175" i="134" s="1"/>
  <c r="L108" i="135"/>
  <c r="K171" i="135"/>
  <c r="L171" i="134"/>
  <c r="M108" i="134"/>
  <c r="J107" i="135"/>
  <c r="I170" i="135"/>
  <c r="L107" i="134"/>
  <c r="K170" i="134"/>
  <c r="H59" i="134"/>
  <c r="G84" i="134"/>
  <c r="I164" i="134"/>
  <c r="I163" i="134"/>
  <c r="I174" i="135" l="1"/>
  <c r="I175" i="135"/>
  <c r="I141" i="135"/>
  <c r="I144" i="135" s="1"/>
  <c r="J111" i="135"/>
  <c r="I100" i="135"/>
  <c r="J98" i="135"/>
  <c r="I161" i="135"/>
  <c r="I101" i="135"/>
  <c r="H163" i="135"/>
  <c r="H164" i="135"/>
  <c r="I130" i="135"/>
  <c r="I131" i="135"/>
  <c r="J128" i="135"/>
  <c r="J78" i="135"/>
  <c r="J89" i="135" s="1"/>
  <c r="I89" i="135"/>
  <c r="M108" i="135"/>
  <c r="L171" i="135"/>
  <c r="L174" i="134"/>
  <c r="L175" i="134" s="1"/>
  <c r="M111" i="134"/>
  <c r="L141" i="134"/>
  <c r="L144" i="134" s="1"/>
  <c r="J170" i="135"/>
  <c r="K107" i="135"/>
  <c r="M107" i="134"/>
  <c r="L170" i="134"/>
  <c r="M171" i="134"/>
  <c r="N108" i="134"/>
  <c r="N171" i="134" s="1"/>
  <c r="J163" i="134"/>
  <c r="J164" i="134"/>
  <c r="K100" i="134"/>
  <c r="K101" i="134"/>
  <c r="L98" i="134"/>
  <c r="K161" i="134"/>
  <c r="I59" i="134"/>
  <c r="H84" i="134"/>
  <c r="K131" i="134"/>
  <c r="L128" i="134"/>
  <c r="K130" i="134"/>
  <c r="J174" i="135" l="1"/>
  <c r="J175" i="135"/>
  <c r="K111" i="135"/>
  <c r="J141" i="135"/>
  <c r="J144" i="135" s="1"/>
  <c r="I164" i="135"/>
  <c r="I163" i="135"/>
  <c r="J161" i="135"/>
  <c r="J100" i="135"/>
  <c r="K98" i="135"/>
  <c r="J101" i="135"/>
  <c r="K128" i="135"/>
  <c r="J130" i="135"/>
  <c r="J131" i="135"/>
  <c r="M174" i="134"/>
  <c r="M175" i="134" s="1"/>
  <c r="N111" i="134"/>
  <c r="M141" i="134"/>
  <c r="M144" i="134" s="1"/>
  <c r="N108" i="135"/>
  <c r="N171" i="135" s="1"/>
  <c r="M171" i="135"/>
  <c r="N107" i="134"/>
  <c r="N170" i="134" s="1"/>
  <c r="M170" i="134"/>
  <c r="I84" i="134"/>
  <c r="D80" i="134" s="1"/>
  <c r="D53" i="134"/>
  <c r="H80" i="134" s="1"/>
  <c r="K163" i="134"/>
  <c r="K164" i="134"/>
  <c r="L130" i="134"/>
  <c r="L131" i="134"/>
  <c r="M128" i="134"/>
  <c r="L100" i="134"/>
  <c r="L101" i="134"/>
  <c r="L161" i="134"/>
  <c r="M98" i="134"/>
  <c r="K170" i="135"/>
  <c r="L107" i="135"/>
  <c r="K174" i="135" l="1"/>
  <c r="L111" i="135"/>
  <c r="K175" i="135"/>
  <c r="K141" i="135"/>
  <c r="K144" i="135" s="1"/>
  <c r="K161" i="135"/>
  <c r="K100" i="135"/>
  <c r="K101" i="135"/>
  <c r="L98" i="135"/>
  <c r="J164" i="135"/>
  <c r="J163" i="135"/>
  <c r="K131" i="135"/>
  <c r="L128" i="135"/>
  <c r="K130" i="135"/>
  <c r="N174" i="134"/>
  <c r="N175" i="134" s="1"/>
  <c r="N176" i="134" s="1"/>
  <c r="N179" i="134" s="1"/>
  <c r="N180" i="134" s="1"/>
  <c r="N112" i="134"/>
  <c r="N115" i="134" s="1"/>
  <c r="N116" i="134" s="1"/>
  <c r="N141" i="134"/>
  <c r="N144" i="134" s="1"/>
  <c r="N145" i="134" s="1"/>
  <c r="N148" i="134" s="1"/>
  <c r="N149" i="134" s="1"/>
  <c r="L170" i="135"/>
  <c r="M107" i="135"/>
  <c r="N98" i="134"/>
  <c r="M100" i="134"/>
  <c r="M101" i="134"/>
  <c r="M161" i="134"/>
  <c r="L163" i="134"/>
  <c r="L164" i="134"/>
  <c r="N128" i="134"/>
  <c r="M130" i="134"/>
  <c r="M131" i="134"/>
  <c r="L174" i="135" l="1"/>
  <c r="L175" i="135"/>
  <c r="L141" i="135"/>
  <c r="L144" i="135" s="1"/>
  <c r="M111" i="135"/>
  <c r="M128" i="135"/>
  <c r="L131" i="135"/>
  <c r="L130" i="135"/>
  <c r="M98" i="135"/>
  <c r="L101" i="135"/>
  <c r="L161" i="135"/>
  <c r="L100" i="135"/>
  <c r="K163" i="135"/>
  <c r="K164" i="135"/>
  <c r="M163" i="134"/>
  <c r="M164" i="134"/>
  <c r="N107" i="135"/>
  <c r="M170" i="135"/>
  <c r="D120" i="134"/>
  <c r="N161" i="134"/>
  <c r="N100" i="134"/>
  <c r="E120" i="134" s="1"/>
  <c r="N101" i="134"/>
  <c r="N104" i="134"/>
  <c r="D151" i="134"/>
  <c r="D153" i="134" s="1"/>
  <c r="E153" i="134" s="1"/>
  <c r="E189" i="134" s="1"/>
  <c r="E151" i="134"/>
  <c r="N130" i="134"/>
  <c r="E152" i="134" s="1"/>
  <c r="N131" i="134"/>
  <c r="N134" i="134"/>
  <c r="D152" i="134"/>
  <c r="D119" i="134"/>
  <c r="E119" i="134"/>
  <c r="D182" i="134"/>
  <c r="E182" i="134"/>
  <c r="M174" i="135" l="1"/>
  <c r="M141" i="135"/>
  <c r="M144" i="135" s="1"/>
  <c r="N111" i="135"/>
  <c r="M175" i="135"/>
  <c r="L164" i="135"/>
  <c r="L163" i="135"/>
  <c r="M100" i="135"/>
  <c r="M101" i="135"/>
  <c r="N98" i="135"/>
  <c r="M161" i="135"/>
  <c r="M130" i="135"/>
  <c r="M131" i="135"/>
  <c r="N128" i="135"/>
  <c r="D121" i="134"/>
  <c r="E121" i="134" s="1"/>
  <c r="E188" i="134" s="1"/>
  <c r="K119" i="134"/>
  <c r="N170" i="135"/>
  <c r="D184" i="134"/>
  <c r="E184" i="134" s="1"/>
  <c r="E190" i="134" s="1"/>
  <c r="K120" i="134"/>
  <c r="N167" i="134"/>
  <c r="N163" i="134"/>
  <c r="E183" i="134" s="1"/>
  <c r="N164" i="134"/>
  <c r="D183" i="134"/>
  <c r="N174" i="135" l="1"/>
  <c r="N141" i="135"/>
  <c r="N144" i="135" s="1"/>
  <c r="N145" i="135" s="1"/>
  <c r="N148" i="135" s="1"/>
  <c r="N149" i="135" s="1"/>
  <c r="N175" i="135"/>
  <c r="N176" i="135" s="1"/>
  <c r="N112" i="135"/>
  <c r="N115" i="135" s="1"/>
  <c r="N116" i="135" s="1"/>
  <c r="D119" i="135" s="1"/>
  <c r="D121" i="135" s="1"/>
  <c r="E121" i="135" s="1"/>
  <c r="N179" i="135"/>
  <c r="N180" i="135" s="1"/>
  <c r="E182" i="135" s="1"/>
  <c r="D120" i="135"/>
  <c r="N161" i="135"/>
  <c r="N100" i="135"/>
  <c r="E120" i="135" s="1"/>
  <c r="N101" i="135"/>
  <c r="N104" i="135"/>
  <c r="M163" i="135"/>
  <c r="M164" i="135"/>
  <c r="N130" i="135"/>
  <c r="E152" i="135" s="1"/>
  <c r="N131" i="135"/>
  <c r="N134" i="135"/>
  <c r="D152" i="135"/>
  <c r="E191" i="134"/>
  <c r="E119" i="135" l="1"/>
  <c r="D151" i="135"/>
  <c r="E151" i="135"/>
  <c r="D153" i="135"/>
  <c r="E153" i="135" s="1"/>
  <c r="D182" i="135"/>
  <c r="D183" i="135"/>
  <c r="N163" i="135"/>
  <c r="E183" i="135" s="1"/>
  <c r="N164" i="135"/>
  <c r="N167" i="135"/>
  <c r="D184" i="135" l="1"/>
  <c r="E184" i="135" s="1"/>
  <c r="E190" i="135" s="1"/>
  <c r="F190" i="135" s="1"/>
  <c r="E191" i="1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WST</author>
  </authors>
  <commentList>
    <comment ref="E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WST: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</t>
        </r>
      </text>
    </comment>
    <comment ref="C2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WST:</t>
        </r>
        <r>
          <rPr>
            <sz val="9"/>
            <color indexed="81"/>
            <rFont val="Tahoma"/>
            <family val="2"/>
          </rPr>
          <t xml:space="preserve">
Change in NWC skipped for simplification</t>
        </r>
      </text>
    </comment>
    <comment ref="K34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WST:</t>
        </r>
        <r>
          <rPr>
            <sz val="9"/>
            <color indexed="81"/>
            <rFont val="Tahoma"/>
            <family val="2"/>
          </rPr>
          <t xml:space="preserve">
Maturity assumption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WST</author>
  </authors>
  <commentList>
    <comment ref="E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WST: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</t>
        </r>
      </text>
    </comment>
    <comment ref="C2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WST:</t>
        </r>
        <r>
          <rPr>
            <sz val="9"/>
            <color indexed="81"/>
            <rFont val="Tahoma"/>
            <family val="2"/>
          </rPr>
          <t xml:space="preserve">
Change in NWC skipped for simplification</t>
        </r>
      </text>
    </comment>
    <comment ref="K34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WST:</t>
        </r>
        <r>
          <rPr>
            <sz val="9"/>
            <color indexed="81"/>
            <rFont val="Tahoma"/>
            <family val="2"/>
          </rPr>
          <t xml:space="preserve">
Maturity assumption</t>
        </r>
      </text>
    </comment>
  </commentList>
</comments>
</file>

<file path=xl/sharedStrings.xml><?xml version="1.0" encoding="utf-8"?>
<sst xmlns="http://schemas.openxmlformats.org/spreadsheetml/2006/main" count="508" uniqueCount="231">
  <si>
    <t>Latest update:</t>
  </si>
  <si>
    <t>No portion of this report may be reproduced, reused, or otherwise distributed in any form without prior written consent.</t>
  </si>
  <si>
    <t xml:space="preserve">For more information, please visit/contatct (주)월스트릿트레이닝아시아 through www.wallstreettraining.co.kr </t>
  </si>
  <si>
    <t>이 파일은 대한민국 및 미국 저작권법의 보호를 받는 저작물 입니다.</t>
  </si>
  <si>
    <t>파일의 원 저자로부터 서면에 의한 허락없이 이 파일의 일부나 전체를 어떠한 형태로도 가공/배포할 수 없습니다.</t>
  </si>
  <si>
    <t>© 2016 홍성현, (주)월스트릿트레이닝아시아.</t>
  </si>
  <si>
    <t xml:space="preserve">이를 위반시에는 형사/민사상의 법적 책임을 질수 있으며, 특별한 문의가 있는경우 </t>
  </si>
  <si>
    <t>www.wallstreettraining.co.kr에 있는 정보로 연락주시기 바랍니다.</t>
  </si>
  <si>
    <r>
      <rPr>
        <sz val="10"/>
        <color theme="1"/>
        <rFont val="Arial Unicode MS"/>
        <family val="2"/>
        <charset val="129"/>
      </rPr>
      <t>연차</t>
    </r>
    <phoneticPr fontId="1" type="noConversion"/>
  </si>
  <si>
    <r>
      <rPr>
        <sz val="10"/>
        <color theme="1"/>
        <rFont val="돋움"/>
        <family val="3"/>
        <charset val="129"/>
      </rPr>
      <t>작년</t>
    </r>
    <phoneticPr fontId="1" type="noConversion"/>
  </si>
  <si>
    <r>
      <rPr>
        <sz val="10"/>
        <color theme="1"/>
        <rFont val="Arial Unicode MS"/>
        <family val="2"/>
        <charset val="129"/>
      </rPr>
      <t>연도별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2"/>
        <charset val="129"/>
      </rPr>
      <t>변화율</t>
    </r>
    <phoneticPr fontId="1" type="noConversion"/>
  </si>
  <si>
    <t>CIQ Ticker:</t>
    <phoneticPr fontId="1" type="noConversion"/>
  </si>
  <si>
    <t>EBIT</t>
    <phoneticPr fontId="1" type="noConversion"/>
  </si>
  <si>
    <t>EBITDA</t>
    <phoneticPr fontId="1" type="noConversion"/>
  </si>
  <si>
    <t>Revenue</t>
    <phoneticPr fontId="1" type="noConversion"/>
  </si>
  <si>
    <t>Capex</t>
    <phoneticPr fontId="1" type="noConversion"/>
  </si>
  <si>
    <t>Increase in Intangibles</t>
    <phoneticPr fontId="1" type="noConversion"/>
  </si>
  <si>
    <t>Asset Sale</t>
    <phoneticPr fontId="1" type="noConversion"/>
  </si>
  <si>
    <t>Tax rate:</t>
    <phoneticPr fontId="1" type="noConversion"/>
  </si>
  <si>
    <t>CFO</t>
    <phoneticPr fontId="1" type="noConversion"/>
  </si>
  <si>
    <t xml:space="preserve">CFI </t>
    <phoneticPr fontId="1" type="noConversion"/>
  </si>
  <si>
    <t>CFF</t>
    <phoneticPr fontId="1" type="noConversion"/>
  </si>
  <si>
    <t>Cash</t>
    <phoneticPr fontId="1" type="noConversion"/>
  </si>
  <si>
    <t>Total Debt</t>
    <phoneticPr fontId="1" type="noConversion"/>
  </si>
  <si>
    <t>Other LT Assets</t>
    <phoneticPr fontId="1" type="noConversion"/>
  </si>
  <si>
    <t>LT Investments</t>
    <phoneticPr fontId="1" type="noConversion"/>
  </si>
  <si>
    <t>Total Equity</t>
    <phoneticPr fontId="1" type="noConversion"/>
  </si>
  <si>
    <t>Net Income</t>
    <phoneticPr fontId="1" type="noConversion"/>
  </si>
  <si>
    <t xml:space="preserve">Date: </t>
    <phoneticPr fontId="1" type="noConversion"/>
  </si>
  <si>
    <t xml:space="preserve">Currency: </t>
    <phoneticPr fontId="1" type="noConversion"/>
  </si>
  <si>
    <t>CIQ Formula</t>
    <phoneticPr fontId="1" type="noConversion"/>
  </si>
  <si>
    <t>EBIT Margin</t>
    <phoneticPr fontId="1" type="noConversion"/>
  </si>
  <si>
    <t>EBITDA Margin</t>
    <phoneticPr fontId="1" type="noConversion"/>
  </si>
  <si>
    <t>NI Margin</t>
    <phoneticPr fontId="1" type="noConversion"/>
  </si>
  <si>
    <t>Total Common Equity</t>
    <phoneticPr fontId="1" type="noConversion"/>
  </si>
  <si>
    <t>Net Income to Company</t>
    <phoneticPr fontId="1" type="noConversion"/>
  </si>
  <si>
    <t>ROE</t>
    <phoneticPr fontId="1" type="noConversion"/>
  </si>
  <si>
    <t>ROE adj.</t>
    <phoneticPr fontId="1" type="noConversion"/>
  </si>
  <si>
    <t>IQ_TOTAL_REV</t>
    <phoneticPr fontId="1" type="noConversion"/>
  </si>
  <si>
    <t>IQ_OPER_INC</t>
    <phoneticPr fontId="1" type="noConversion"/>
  </si>
  <si>
    <t>IQ_EBITDA</t>
    <phoneticPr fontId="1" type="noConversion"/>
  </si>
  <si>
    <t>IQ_NI_COMPANY</t>
    <phoneticPr fontId="1" type="noConversion"/>
  </si>
  <si>
    <t>IQ_NI</t>
    <phoneticPr fontId="1" type="noConversion"/>
  </si>
  <si>
    <t>IQ_CAPEX</t>
    <phoneticPr fontId="1" type="noConversion"/>
  </si>
  <si>
    <t>IQ_SALE_INTAN_CF</t>
    <phoneticPr fontId="1" type="noConversion"/>
  </si>
  <si>
    <t>IQ_SALE_PPE_CF</t>
    <phoneticPr fontId="1" type="noConversion"/>
  </si>
  <si>
    <t>IQ_CASH_OPER</t>
    <phoneticPr fontId="1" type="noConversion"/>
  </si>
  <si>
    <t>IQ_CASH_INVEST</t>
    <phoneticPr fontId="1" type="noConversion"/>
  </si>
  <si>
    <t>IQ_CASH_FINAN</t>
    <phoneticPr fontId="1" type="noConversion"/>
  </si>
  <si>
    <t>IQ_cash_st_invest</t>
    <phoneticPr fontId="1" type="noConversion"/>
  </si>
  <si>
    <t>IQ_TOTAL_DEBT</t>
    <phoneticPr fontId="1" type="noConversion"/>
  </si>
  <si>
    <t>IQ_OTHER_LT_ASSETS</t>
    <phoneticPr fontId="1" type="noConversion"/>
  </si>
  <si>
    <t>IQ_LT_INVEST</t>
    <phoneticPr fontId="1" type="noConversion"/>
  </si>
  <si>
    <t>IQ_TOTAL_COMMON_EQUITY</t>
    <phoneticPr fontId="1" type="noConversion"/>
  </si>
  <si>
    <t>IQ_TOTAL_EQUITY</t>
    <phoneticPr fontId="1" type="noConversion"/>
  </si>
  <si>
    <t>Graphs</t>
    <phoneticPr fontId="1" type="noConversion"/>
  </si>
  <si>
    <r>
      <rPr>
        <b/>
        <sz val="10"/>
        <color theme="0"/>
        <rFont val="돋움"/>
        <family val="3"/>
        <charset val="129"/>
      </rPr>
      <t>가치평가에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필요한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주요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재무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항목들</t>
    </r>
    <phoneticPr fontId="1" type="noConversion"/>
  </si>
  <si>
    <r>
      <rPr>
        <sz val="10"/>
        <color theme="1"/>
        <rFont val="바탕"/>
        <family val="1"/>
        <charset val="129"/>
      </rPr>
      <t>손익계산서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바탕"/>
        <family val="1"/>
        <charset val="129"/>
      </rPr>
      <t>그래프</t>
    </r>
    <phoneticPr fontId="1" type="noConversion"/>
  </si>
  <si>
    <t>현금흐름표 그래프</t>
    <phoneticPr fontId="1" type="noConversion"/>
  </si>
  <si>
    <r>
      <t>ROE</t>
    </r>
    <r>
      <rPr>
        <sz val="10"/>
        <color theme="1"/>
        <rFont val="바탕"/>
        <family val="1"/>
        <charset val="129"/>
      </rPr>
      <t>와</t>
    </r>
    <r>
      <rPr>
        <sz val="10"/>
        <color theme="1"/>
        <rFont val="Garamond"/>
        <family val="1"/>
      </rPr>
      <t xml:space="preserve"> adjusted ROE </t>
    </r>
    <r>
      <rPr>
        <sz val="10"/>
        <color theme="1"/>
        <rFont val="바탕"/>
        <family val="1"/>
        <charset val="129"/>
      </rPr>
      <t>그래프</t>
    </r>
    <phoneticPr fontId="1" type="noConversion"/>
  </si>
  <si>
    <t>x</t>
    <phoneticPr fontId="1" type="noConversion"/>
  </si>
  <si>
    <t>Data from S&amp;P Capital IQ</t>
    <phoneticPr fontId="1" type="noConversion"/>
  </si>
  <si>
    <t>2020 Latest LTM</t>
  </si>
  <si>
    <t>Unlevered FCF</t>
    <phoneticPr fontId="1" type="noConversion"/>
  </si>
  <si>
    <t>D&amp;A</t>
    <phoneticPr fontId="1" type="noConversion"/>
  </si>
  <si>
    <t>Levered FCF</t>
    <phoneticPr fontId="1" type="noConversion"/>
  </si>
  <si>
    <t>Mandatory Debt Repayment</t>
    <phoneticPr fontId="1" type="noConversion"/>
  </si>
  <si>
    <t>FCF</t>
    <phoneticPr fontId="1" type="noConversion"/>
  </si>
  <si>
    <t>Used Values</t>
    <phoneticPr fontId="1" type="noConversion"/>
  </si>
  <si>
    <t>배당 수익률 계산기</t>
    <phoneticPr fontId="1" type="noConversion"/>
  </si>
  <si>
    <t>USD</t>
    <phoneticPr fontId="1" type="noConversion"/>
  </si>
  <si>
    <t>NYSE:T</t>
    <phoneticPr fontId="1" type="noConversion"/>
  </si>
  <si>
    <t>Revenue</t>
  </si>
  <si>
    <t>EBIT</t>
  </si>
  <si>
    <t>EBITDA</t>
  </si>
  <si>
    <t>D&amp;A</t>
  </si>
  <si>
    <t>Net Income to Company</t>
  </si>
  <si>
    <t>Net Income</t>
  </si>
  <si>
    <t>EBIT Margin</t>
  </si>
  <si>
    <t>EBITDA Margin</t>
  </si>
  <si>
    <t>NI Margin</t>
  </si>
  <si>
    <t>Capex</t>
  </si>
  <si>
    <t>Increase in Intangibles</t>
  </si>
  <si>
    <t>Asset Sale</t>
  </si>
  <si>
    <t>Unlevered FCF</t>
  </si>
  <si>
    <t>Levered FCF</t>
  </si>
  <si>
    <t>CFO</t>
  </si>
  <si>
    <t xml:space="preserve">CFI </t>
  </si>
  <si>
    <t>CFF</t>
  </si>
  <si>
    <t>Cash</t>
  </si>
  <si>
    <t>Total Debt</t>
  </si>
  <si>
    <t>Mandatory Debt Repayment</t>
  </si>
  <si>
    <t>Other LT Assets</t>
  </si>
  <si>
    <t>LT Investments</t>
  </si>
  <si>
    <t>Total Common Equity</t>
  </si>
  <si>
    <t>Total Equity</t>
  </si>
  <si>
    <t>ROE</t>
  </si>
  <si>
    <t>ROE adj.</t>
  </si>
  <si>
    <t>NYSE:T</t>
  </si>
  <si>
    <t>AT&amp;T Inc. (NYSE:T)</t>
  </si>
  <si>
    <t>조금 높음</t>
  </si>
  <si>
    <t>회사 소개</t>
  </si>
  <si>
    <t>회사명:</t>
  </si>
  <si>
    <t>AT&amp;T</t>
  </si>
  <si>
    <t>티커:</t>
  </si>
  <si>
    <t>NYSE: T</t>
  </si>
  <si>
    <t>주식가격:</t>
  </si>
  <si>
    <t>배당수익률:</t>
  </si>
  <si>
    <t>배당주기:</t>
  </si>
  <si>
    <t>분기 (1,4,7,10월)</t>
  </si>
  <si>
    <t>배당 성장률:</t>
  </si>
  <si>
    <t>비즈니스Quality</t>
  </si>
  <si>
    <t>5년 매출성장:</t>
  </si>
  <si>
    <t>영업이익 성장:</t>
  </si>
  <si>
    <t>EPS 성장성:</t>
  </si>
  <si>
    <t>배당 커버율(CF):</t>
  </si>
  <si>
    <t>업계평균</t>
  </si>
  <si>
    <t>평가</t>
  </si>
  <si>
    <t>차입금 부담 (낮을수록 긍정적)</t>
  </si>
  <si>
    <t>순차입금/EBIT:</t>
  </si>
  <si>
    <t>산업 평균 수준</t>
  </si>
  <si>
    <t>순차입금/FCF:</t>
  </si>
  <si>
    <t>가치평가 (낮을수록 긍정적)</t>
  </si>
  <si>
    <t>EV/EBIT:</t>
  </si>
  <si>
    <t>EV/FCF:</t>
  </si>
  <si>
    <t>조금 낮음</t>
  </si>
  <si>
    <t>NOA</t>
    <phoneticPr fontId="1" type="noConversion"/>
  </si>
  <si>
    <t>10년 동안의 주식가격 상승</t>
    <phoneticPr fontId="1" type="noConversion"/>
  </si>
  <si>
    <r>
      <rPr>
        <i/>
        <sz val="10"/>
        <color theme="1"/>
        <rFont val="돋움"/>
        <family val="3"/>
        <charset val="129"/>
      </rPr>
      <t>작년</t>
    </r>
    <r>
      <rPr>
        <i/>
        <sz val="10"/>
        <color theme="1"/>
        <rFont val="Garamond"/>
        <family val="1"/>
      </rPr>
      <t xml:space="preserve"> </t>
    </r>
    <r>
      <rPr>
        <i/>
        <sz val="10"/>
        <color theme="1"/>
        <rFont val="돋움"/>
        <family val="3"/>
        <charset val="129"/>
      </rPr>
      <t>대비</t>
    </r>
    <r>
      <rPr>
        <i/>
        <sz val="10"/>
        <color theme="1"/>
        <rFont val="Garamond"/>
        <family val="1"/>
      </rPr>
      <t xml:space="preserve"> 10</t>
    </r>
    <r>
      <rPr>
        <i/>
        <sz val="10"/>
        <color theme="1"/>
        <rFont val="돋움"/>
        <family val="3"/>
        <charset val="129"/>
      </rPr>
      <t>년후</t>
    </r>
    <r>
      <rPr>
        <i/>
        <sz val="10"/>
        <color theme="1"/>
        <rFont val="Garamond"/>
        <family val="1"/>
      </rPr>
      <t xml:space="preserve"> </t>
    </r>
    <r>
      <rPr>
        <i/>
        <sz val="10"/>
        <color theme="1"/>
        <rFont val="돋움"/>
        <family val="3"/>
        <charset val="129"/>
      </rPr>
      <t>성장율</t>
    </r>
    <r>
      <rPr>
        <i/>
        <sz val="10"/>
        <color theme="1"/>
        <rFont val="Garamond"/>
        <family val="1"/>
      </rPr>
      <t>:</t>
    </r>
    <phoneticPr fontId="1" type="noConversion"/>
  </si>
  <si>
    <r>
      <t>10</t>
    </r>
    <r>
      <rPr>
        <b/>
        <sz val="10"/>
        <color theme="1"/>
        <rFont val="바탕"/>
        <family val="1"/>
        <charset val="129"/>
      </rPr>
      <t>년후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바탕"/>
        <family val="1"/>
        <charset val="129"/>
      </rPr>
      <t>총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Garamond"/>
        <family val="1"/>
        <charset val="129"/>
      </rPr>
      <t>수익률</t>
    </r>
    <phoneticPr fontId="1" type="noConversion"/>
  </si>
  <si>
    <t>PV</t>
    <phoneticPr fontId="1" type="noConversion"/>
  </si>
  <si>
    <t>IRR</t>
    <phoneticPr fontId="1" type="noConversion"/>
  </si>
  <si>
    <r>
      <rPr>
        <sz val="10"/>
        <color theme="1"/>
        <rFont val="Arial Unicode MS"/>
        <family val="1"/>
        <charset val="129"/>
      </rPr>
      <t>주식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배당금</t>
    </r>
    <phoneticPr fontId="1" type="noConversion"/>
  </si>
  <si>
    <t>FV</t>
    <phoneticPr fontId="1" type="noConversion"/>
  </si>
  <si>
    <t>NPV</t>
    <phoneticPr fontId="1" type="noConversion"/>
  </si>
  <si>
    <t>XNPV</t>
    <phoneticPr fontId="1" type="noConversion"/>
  </si>
  <si>
    <t>XIRR</t>
    <phoneticPr fontId="1" type="noConversion"/>
  </si>
  <si>
    <r>
      <t xml:space="preserve">* </t>
    </r>
    <r>
      <rPr>
        <sz val="10"/>
        <color theme="1"/>
        <rFont val="Arial Unicode MS"/>
        <family val="1"/>
        <charset val="129"/>
      </rPr>
      <t>증권을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구매한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사람의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기준</t>
    </r>
    <phoneticPr fontId="1" type="noConversion"/>
  </si>
  <si>
    <r>
      <t xml:space="preserve">NPV w/ </t>
    </r>
    <r>
      <rPr>
        <b/>
        <sz val="10"/>
        <rFont val="Arial Unicode MS"/>
        <family val="1"/>
        <charset val="129"/>
      </rPr>
      <t>성장률</t>
    </r>
    <phoneticPr fontId="1" type="noConversion"/>
  </si>
  <si>
    <r>
      <rPr>
        <sz val="10"/>
        <color theme="1"/>
        <rFont val="Arial Unicode MS"/>
        <family val="2"/>
        <charset val="129"/>
      </rPr>
      <t>주식가격</t>
    </r>
    <phoneticPr fontId="1" type="noConversion"/>
  </si>
  <si>
    <r>
      <rPr>
        <sz val="10"/>
        <color theme="1"/>
        <rFont val="Arial Unicode MS"/>
        <family val="2"/>
        <charset val="129"/>
      </rPr>
      <t>시가총액</t>
    </r>
    <r>
      <rPr>
        <sz val="10"/>
        <color theme="1"/>
        <rFont val="Garamond"/>
        <family val="1"/>
      </rPr>
      <t xml:space="preserve"> (</t>
    </r>
    <r>
      <rPr>
        <sz val="10"/>
        <color theme="1"/>
        <rFont val="Arial Unicode MS"/>
        <family val="2"/>
        <charset val="129"/>
      </rPr>
      <t>십억달러</t>
    </r>
    <r>
      <rPr>
        <sz val="10"/>
        <color theme="1"/>
        <rFont val="Garamond"/>
        <family val="1"/>
      </rPr>
      <t>)</t>
    </r>
    <phoneticPr fontId="1" type="noConversion"/>
  </si>
  <si>
    <r>
      <rPr>
        <sz val="10"/>
        <color theme="1"/>
        <rFont val="Arial Unicode MS"/>
        <family val="2"/>
        <charset val="129"/>
      </rPr>
      <t>주당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2"/>
        <charset val="129"/>
      </rPr>
      <t>배당금</t>
    </r>
    <phoneticPr fontId="1" type="noConversion"/>
  </si>
  <si>
    <r>
      <rPr>
        <sz val="10"/>
        <color theme="1"/>
        <rFont val="Arial Unicode MS"/>
        <family val="2"/>
        <charset val="129"/>
      </rPr>
      <t>주식수</t>
    </r>
    <r>
      <rPr>
        <sz val="10"/>
        <color theme="1"/>
        <rFont val="Garamond"/>
        <family val="1"/>
      </rPr>
      <t xml:space="preserve"> (</t>
    </r>
    <r>
      <rPr>
        <sz val="10"/>
        <color theme="1"/>
        <rFont val="Arial Unicode MS"/>
        <family val="2"/>
        <charset val="129"/>
      </rPr>
      <t>백만주</t>
    </r>
    <r>
      <rPr>
        <sz val="10"/>
        <color theme="1"/>
        <rFont val="Garamond"/>
        <family val="1"/>
      </rPr>
      <t>)</t>
    </r>
    <phoneticPr fontId="1" type="noConversion"/>
  </si>
  <si>
    <r>
      <rPr>
        <sz val="10"/>
        <color theme="1"/>
        <rFont val="Arial Unicode MS"/>
        <family val="2"/>
        <charset val="129"/>
      </rPr>
      <t>배당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2"/>
        <charset val="129"/>
      </rPr>
      <t>성장률</t>
    </r>
    <phoneticPr fontId="1" type="noConversion"/>
  </si>
  <si>
    <r>
      <rPr>
        <b/>
        <sz val="10"/>
        <color theme="0"/>
        <rFont val="돋움"/>
        <family val="3"/>
        <charset val="129"/>
      </rPr>
      <t>시나리오</t>
    </r>
    <r>
      <rPr>
        <b/>
        <sz val="10"/>
        <color theme="0"/>
        <rFont val="Garamond"/>
        <family val="1"/>
      </rPr>
      <t xml:space="preserve"> 0. </t>
    </r>
    <r>
      <rPr>
        <b/>
        <sz val="10"/>
        <color theme="0"/>
        <rFont val="돋움"/>
        <family val="3"/>
        <charset val="129"/>
      </rPr>
      <t>손쉬운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계산</t>
    </r>
    <phoneticPr fontId="1" type="noConversion"/>
  </si>
  <si>
    <r>
      <rPr>
        <sz val="10"/>
        <color theme="1"/>
        <rFont val="Arial Unicode MS"/>
        <family val="1"/>
        <charset val="129"/>
      </rPr>
      <t>요구수익률</t>
    </r>
    <phoneticPr fontId="1" type="noConversion"/>
  </si>
  <si>
    <r>
      <rPr>
        <sz val="10"/>
        <color theme="1"/>
        <rFont val="Arial Unicode MS"/>
        <family val="1"/>
        <charset val="129"/>
      </rPr>
      <t>투자기간</t>
    </r>
    <phoneticPr fontId="1" type="noConversion"/>
  </si>
  <si>
    <r>
      <rPr>
        <sz val="10"/>
        <color theme="1"/>
        <rFont val="Arial Unicode MS"/>
        <family val="1"/>
        <charset val="129"/>
      </rPr>
      <t>매각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예정가격</t>
    </r>
    <phoneticPr fontId="1" type="noConversion"/>
  </si>
  <si>
    <r>
      <t xml:space="preserve">PV </t>
    </r>
    <r>
      <rPr>
        <sz val="10"/>
        <color theme="1"/>
        <rFont val="Arial Unicode MS"/>
        <family val="1"/>
        <charset val="129"/>
      </rPr>
      <t>함수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풀이</t>
    </r>
    <phoneticPr fontId="1" type="noConversion"/>
  </si>
  <si>
    <r>
      <rPr>
        <sz val="10"/>
        <color theme="1"/>
        <rFont val="Arial Unicode MS"/>
        <family val="1"/>
        <charset val="129"/>
      </rPr>
      <t>주당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배당금</t>
    </r>
    <phoneticPr fontId="1" type="noConversion"/>
  </si>
  <si>
    <r>
      <rPr>
        <sz val="10"/>
        <color theme="1"/>
        <rFont val="Arial Unicode MS"/>
        <family val="1"/>
        <charset val="129"/>
      </rPr>
      <t>할인계수</t>
    </r>
    <phoneticPr fontId="1" type="noConversion"/>
  </si>
  <si>
    <r>
      <rPr>
        <sz val="10"/>
        <color theme="1"/>
        <rFont val="Arial Unicode MS"/>
        <family val="1"/>
        <charset val="129"/>
      </rPr>
      <t>현재가치</t>
    </r>
    <phoneticPr fontId="1" type="noConversion"/>
  </si>
  <si>
    <r>
      <rPr>
        <sz val="10"/>
        <color theme="1"/>
        <rFont val="돋움"/>
        <family val="3"/>
        <charset val="129"/>
      </rPr>
      <t>∑</t>
    </r>
    <r>
      <rPr>
        <sz val="10"/>
        <color theme="1"/>
        <rFont val="Arial Unicode MS"/>
        <family val="1"/>
        <charset val="129"/>
      </rPr>
      <t>현재가치</t>
    </r>
    <r>
      <rPr>
        <sz val="10"/>
        <color theme="1"/>
        <rFont val="Garamond"/>
        <family val="1"/>
      </rPr>
      <t xml:space="preserve">: </t>
    </r>
    <phoneticPr fontId="1" type="noConversion"/>
  </si>
  <si>
    <r>
      <t xml:space="preserve">* </t>
    </r>
    <r>
      <rPr>
        <sz val="10"/>
        <color theme="1"/>
        <rFont val="Arial Unicode MS"/>
        <family val="1"/>
        <charset val="129"/>
      </rPr>
      <t>증권을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발행한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사람의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기준</t>
    </r>
    <phoneticPr fontId="1" type="noConversion"/>
  </si>
  <si>
    <r>
      <rPr>
        <sz val="10"/>
        <color theme="1"/>
        <rFont val="Arial Unicode MS"/>
        <family val="1"/>
        <charset val="129"/>
      </rPr>
      <t>매각가격</t>
    </r>
    <phoneticPr fontId="1" type="noConversion"/>
  </si>
  <si>
    <r>
      <rPr>
        <sz val="10"/>
        <color theme="1"/>
        <rFont val="Arial Unicode MS"/>
        <family val="1"/>
        <charset val="129"/>
      </rPr>
      <t>쿠폰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수익</t>
    </r>
    <phoneticPr fontId="1" type="noConversion"/>
  </si>
  <si>
    <r>
      <rPr>
        <sz val="10"/>
        <color theme="1"/>
        <rFont val="Arial Unicode MS"/>
        <family val="1"/>
        <charset val="129"/>
      </rPr>
      <t>할증계수</t>
    </r>
    <phoneticPr fontId="1" type="noConversion"/>
  </si>
  <si>
    <r>
      <rPr>
        <sz val="10"/>
        <color theme="1"/>
        <rFont val="Arial Unicode MS"/>
        <family val="1"/>
        <charset val="129"/>
      </rPr>
      <t>만기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상환금액</t>
    </r>
    <phoneticPr fontId="1" type="noConversion"/>
  </si>
  <si>
    <r>
      <rPr>
        <u/>
        <sz val="10"/>
        <color theme="1"/>
        <rFont val="Arial Unicode MS"/>
        <family val="1"/>
        <charset val="129"/>
      </rPr>
      <t>성장률</t>
    </r>
    <r>
      <rPr>
        <u/>
        <sz val="10"/>
        <color theme="1"/>
        <rFont val="Garamond"/>
        <family val="1"/>
      </rPr>
      <t xml:space="preserve"> </t>
    </r>
    <r>
      <rPr>
        <u/>
        <sz val="10"/>
        <color theme="1"/>
        <rFont val="Arial Unicode MS"/>
        <family val="1"/>
        <charset val="129"/>
      </rPr>
      <t>미포함</t>
    </r>
    <phoneticPr fontId="1" type="noConversion"/>
  </si>
  <si>
    <r>
      <rPr>
        <sz val="10"/>
        <color theme="1"/>
        <rFont val="Arial Unicode MS"/>
        <family val="1"/>
        <charset val="129"/>
      </rPr>
      <t>매입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가격</t>
    </r>
    <phoneticPr fontId="1" type="noConversion"/>
  </si>
  <si>
    <r>
      <t xml:space="preserve">&lt;- </t>
    </r>
    <r>
      <rPr>
        <sz val="10"/>
        <color theme="1"/>
        <rFont val="Arial Unicode MS"/>
        <family val="1"/>
        <charset val="129"/>
      </rPr>
      <t>매각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예정가격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포함</t>
    </r>
    <phoneticPr fontId="1" type="noConversion"/>
  </si>
  <si>
    <r>
      <rPr>
        <u/>
        <sz val="10"/>
        <color theme="1"/>
        <rFont val="Arial Unicode MS"/>
        <family val="1"/>
        <charset val="129"/>
      </rPr>
      <t>성장률</t>
    </r>
    <r>
      <rPr>
        <u/>
        <sz val="10"/>
        <color theme="1"/>
        <rFont val="Garamond"/>
        <family val="1"/>
      </rPr>
      <t xml:space="preserve"> </t>
    </r>
    <r>
      <rPr>
        <u/>
        <sz val="10"/>
        <color theme="1"/>
        <rFont val="Arial Unicode MS"/>
        <family val="1"/>
        <charset val="129"/>
      </rPr>
      <t>포함</t>
    </r>
    <phoneticPr fontId="1" type="noConversion"/>
  </si>
  <si>
    <r>
      <t>NPV</t>
    </r>
    <r>
      <rPr>
        <b/>
        <sz val="10"/>
        <color theme="1"/>
        <rFont val="Arial Unicode MS"/>
        <family val="3"/>
        <charset val="129"/>
      </rPr>
      <t>함수는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Arial Unicode MS"/>
        <family val="3"/>
        <charset val="129"/>
      </rPr>
      <t>기본적으로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Arial Unicode MS"/>
        <family val="3"/>
        <charset val="129"/>
      </rPr>
      <t>기말에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Arial Unicode MS"/>
        <family val="3"/>
        <charset val="129"/>
      </rPr>
      <t>투자가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Arial Unicode MS"/>
        <family val="3"/>
        <charset val="129"/>
      </rPr>
      <t>발생한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Arial Unicode MS"/>
        <family val="3"/>
        <charset val="129"/>
      </rPr>
      <t>것으로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Arial Unicode MS"/>
        <family val="3"/>
        <charset val="129"/>
      </rPr>
      <t>간주함</t>
    </r>
    <r>
      <rPr>
        <b/>
        <sz val="10"/>
        <color theme="1"/>
        <rFont val="Garamond"/>
        <family val="1"/>
      </rPr>
      <t xml:space="preserve">, </t>
    </r>
    <r>
      <rPr>
        <b/>
        <sz val="10"/>
        <color theme="1"/>
        <rFont val="Arial Unicode MS"/>
        <family val="3"/>
        <charset val="129"/>
      </rPr>
      <t>첫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Arial Unicode MS"/>
        <family val="3"/>
        <charset val="129"/>
      </rPr>
      <t>변수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Arial Unicode MS"/>
        <family val="3"/>
        <charset val="129"/>
      </rPr>
      <t>부터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Arial Unicode MS"/>
        <family val="3"/>
        <charset val="129"/>
      </rPr>
      <t>할인이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Arial Unicode MS"/>
        <family val="3"/>
        <charset val="129"/>
      </rPr>
      <t>들어가는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Arial Unicode MS"/>
        <family val="3"/>
        <charset val="129"/>
      </rPr>
      <t>것임</t>
    </r>
    <phoneticPr fontId="1" type="noConversion"/>
  </si>
  <si>
    <r>
      <rPr>
        <sz val="10"/>
        <color theme="1"/>
        <rFont val="Arial Unicode MS"/>
        <family val="1"/>
        <charset val="129"/>
      </rPr>
      <t>현금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유입</t>
    </r>
    <r>
      <rPr>
        <sz val="10"/>
        <color theme="1"/>
        <rFont val="Garamond"/>
        <family val="1"/>
      </rPr>
      <t>/(</t>
    </r>
    <r>
      <rPr>
        <sz val="10"/>
        <color theme="1"/>
        <rFont val="Arial Unicode MS"/>
        <family val="1"/>
        <charset val="129"/>
      </rPr>
      <t>유출</t>
    </r>
    <r>
      <rPr>
        <sz val="10"/>
        <color theme="1"/>
        <rFont val="Garamond"/>
        <family val="1"/>
      </rPr>
      <t>)</t>
    </r>
    <phoneticPr fontId="1" type="noConversion"/>
  </si>
  <si>
    <r>
      <rPr>
        <b/>
        <sz val="10"/>
        <color theme="1"/>
        <rFont val="Arial Unicode MS"/>
        <family val="3"/>
        <charset val="129"/>
      </rPr>
      <t>동일한지</t>
    </r>
    <r>
      <rPr>
        <b/>
        <sz val="10"/>
        <color theme="1"/>
        <rFont val="Garamond"/>
        <family val="1"/>
      </rPr>
      <t xml:space="preserve"> Check &lt;- goal check</t>
    </r>
    <phoneticPr fontId="1" type="noConversion"/>
  </si>
  <si>
    <r>
      <rPr>
        <sz val="10"/>
        <color theme="1"/>
        <rFont val="Arial Unicode MS"/>
        <family val="1"/>
        <charset val="129"/>
      </rPr>
      <t>현금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유입</t>
    </r>
    <r>
      <rPr>
        <sz val="10"/>
        <color theme="1"/>
        <rFont val="Garamond"/>
        <family val="1"/>
      </rPr>
      <t>/(</t>
    </r>
    <r>
      <rPr>
        <sz val="10"/>
        <color theme="1"/>
        <rFont val="Arial Unicode MS"/>
        <family val="1"/>
        <charset val="129"/>
      </rPr>
      <t>유출</t>
    </r>
    <r>
      <rPr>
        <sz val="10"/>
        <color theme="1"/>
        <rFont val="Garamond"/>
        <family val="1"/>
      </rPr>
      <t xml:space="preserve">) </t>
    </r>
    <r>
      <rPr>
        <sz val="10"/>
        <color theme="1"/>
        <rFont val="Arial Unicode MS"/>
        <family val="1"/>
        <charset val="129"/>
      </rPr>
      <t>시점</t>
    </r>
    <phoneticPr fontId="1" type="noConversion"/>
  </si>
  <si>
    <r>
      <rPr>
        <b/>
        <sz val="10"/>
        <color theme="1"/>
        <rFont val="Arial Unicode MS"/>
        <family val="3"/>
        <charset val="129"/>
      </rPr>
      <t>만약</t>
    </r>
    <r>
      <rPr>
        <b/>
        <sz val="10"/>
        <color theme="1"/>
        <rFont val="Garamond"/>
        <family val="1"/>
      </rPr>
      <t xml:space="preserve"> IRR</t>
    </r>
    <r>
      <rPr>
        <b/>
        <sz val="10"/>
        <color theme="1"/>
        <rFont val="Arial Unicode MS"/>
        <family val="3"/>
        <charset val="129"/>
      </rPr>
      <t>을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Arial Unicode MS"/>
        <family val="3"/>
        <charset val="129"/>
      </rPr>
      <t>요구수익률로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Arial Unicode MS"/>
        <family val="3"/>
        <charset val="129"/>
      </rPr>
      <t>포함시킨다면</t>
    </r>
    <r>
      <rPr>
        <b/>
        <sz val="10"/>
        <color theme="1"/>
        <rFont val="Garamond"/>
        <family val="1"/>
      </rPr>
      <t>?</t>
    </r>
    <phoneticPr fontId="1" type="noConversion"/>
  </si>
  <si>
    <r>
      <rPr>
        <b/>
        <sz val="10"/>
        <color theme="0"/>
        <rFont val="돋움"/>
        <family val="3"/>
        <charset val="129"/>
      </rPr>
      <t>시나리오</t>
    </r>
    <r>
      <rPr>
        <b/>
        <sz val="10"/>
        <color theme="0"/>
        <rFont val="Garamond"/>
        <family val="1"/>
      </rPr>
      <t xml:space="preserve"> 1. </t>
    </r>
    <r>
      <rPr>
        <b/>
        <sz val="10"/>
        <color theme="0"/>
        <rFont val="돋움"/>
        <family val="3"/>
        <charset val="129"/>
      </rPr>
      <t>현상유지</t>
    </r>
    <r>
      <rPr>
        <b/>
        <sz val="10"/>
        <color theme="0"/>
        <rFont val="Garamond"/>
        <family val="1"/>
      </rPr>
      <t xml:space="preserve">: </t>
    </r>
    <r>
      <rPr>
        <b/>
        <sz val="10"/>
        <color theme="0"/>
        <rFont val="돋움"/>
        <family val="3"/>
        <charset val="129"/>
      </rPr>
      <t>영업상황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유지</t>
    </r>
    <r>
      <rPr>
        <b/>
        <sz val="10"/>
        <color theme="0"/>
        <rFont val="Garamond"/>
        <family val="1"/>
      </rPr>
      <t xml:space="preserve"> &amp; </t>
    </r>
    <r>
      <rPr>
        <b/>
        <sz val="10"/>
        <color theme="0"/>
        <rFont val="돋움"/>
        <family val="3"/>
        <charset val="129"/>
      </rPr>
      <t>배당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현상유지</t>
    </r>
    <r>
      <rPr>
        <b/>
        <sz val="10"/>
        <color theme="0"/>
        <rFont val="Garamond"/>
        <family val="1"/>
      </rPr>
      <t xml:space="preserve"> &amp; </t>
    </r>
    <r>
      <rPr>
        <b/>
        <sz val="10"/>
        <color theme="0"/>
        <rFont val="돋움"/>
        <family val="3"/>
        <charset val="129"/>
      </rPr>
      <t>가치평가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평균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회귀</t>
    </r>
    <phoneticPr fontId="1" type="noConversion"/>
  </si>
  <si>
    <r>
      <rPr>
        <b/>
        <sz val="10"/>
        <color theme="1"/>
        <rFont val="바탕"/>
        <family val="1"/>
        <charset val="129"/>
      </rPr>
      <t>배당수익률</t>
    </r>
    <phoneticPr fontId="1" type="noConversion"/>
  </si>
  <si>
    <r>
      <rPr>
        <sz val="10"/>
        <color theme="1"/>
        <rFont val="바탕"/>
        <family val="1"/>
        <charset val="129"/>
      </rPr>
      <t>총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바탕"/>
        <family val="1"/>
        <charset val="129"/>
      </rPr>
      <t>배당금</t>
    </r>
    <phoneticPr fontId="1" type="noConversion"/>
  </si>
  <si>
    <r>
      <t>3</t>
    </r>
    <r>
      <rPr>
        <b/>
        <sz val="10"/>
        <color theme="1"/>
        <rFont val="돋움"/>
        <family val="3"/>
        <charset val="129"/>
      </rPr>
      <t>년차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돋움"/>
        <family val="3"/>
        <charset val="129"/>
      </rPr>
      <t>이후의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돋움"/>
        <family val="3"/>
        <charset val="129"/>
      </rPr>
      <t>장기</t>
    </r>
    <r>
      <rPr>
        <b/>
        <sz val="10"/>
        <color theme="1"/>
        <rFont val="Garamond"/>
        <family val="1"/>
      </rPr>
      <t xml:space="preserve"> </t>
    </r>
    <r>
      <rPr>
        <b/>
        <sz val="10"/>
        <color theme="1"/>
        <rFont val="돋움"/>
        <family val="3"/>
        <charset val="129"/>
      </rPr>
      <t>성장율</t>
    </r>
    <r>
      <rPr>
        <b/>
        <sz val="10"/>
        <color theme="1"/>
        <rFont val="Garamond"/>
        <family val="1"/>
      </rPr>
      <t>:</t>
    </r>
    <phoneticPr fontId="1" type="noConversion"/>
  </si>
  <si>
    <r>
      <rPr>
        <sz val="10"/>
        <color theme="1"/>
        <rFont val="바탕"/>
        <family val="1"/>
        <charset val="129"/>
      </rPr>
      <t>차입금</t>
    </r>
    <phoneticPr fontId="1" type="noConversion"/>
  </si>
  <si>
    <r>
      <rPr>
        <sz val="10"/>
        <color theme="1"/>
        <rFont val="바탕"/>
        <family val="1"/>
        <charset val="129"/>
      </rPr>
      <t>연간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바탕"/>
        <family val="1"/>
        <charset val="129"/>
      </rPr>
      <t>차입금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바탕"/>
        <family val="1"/>
        <charset val="129"/>
      </rPr>
      <t>상환금액</t>
    </r>
    <phoneticPr fontId="1" type="noConversion"/>
  </si>
  <si>
    <r>
      <rPr>
        <b/>
        <sz val="10"/>
        <color theme="1"/>
        <rFont val="바탕"/>
        <family val="1"/>
        <charset val="129"/>
      </rPr>
      <t>업계평균</t>
    </r>
    <r>
      <rPr>
        <b/>
        <sz val="10"/>
        <color theme="1"/>
        <rFont val="Garamond"/>
        <family val="1"/>
      </rPr>
      <t xml:space="preserve"> EV/FCF:</t>
    </r>
    <phoneticPr fontId="1" type="noConversion"/>
  </si>
  <si>
    <r>
      <rPr>
        <sz val="10"/>
        <color theme="1"/>
        <rFont val="바탕"/>
        <family val="1"/>
        <charset val="129"/>
      </rPr>
      <t>자유현금흐름</t>
    </r>
    <phoneticPr fontId="1" type="noConversion"/>
  </si>
  <si>
    <r>
      <rPr>
        <sz val="10"/>
        <color theme="1"/>
        <rFont val="바탕"/>
        <family val="1"/>
        <charset val="129"/>
      </rPr>
      <t>기업가치</t>
    </r>
    <phoneticPr fontId="1" type="noConversion"/>
  </si>
  <si>
    <r>
      <rPr>
        <sz val="10"/>
        <color theme="1"/>
        <rFont val="바탕"/>
        <family val="1"/>
        <charset val="129"/>
      </rPr>
      <t>주주가치</t>
    </r>
    <phoneticPr fontId="1" type="noConversion"/>
  </si>
  <si>
    <r>
      <rPr>
        <sz val="10"/>
        <color theme="1"/>
        <rFont val="바탕"/>
        <family val="1"/>
        <charset val="129"/>
      </rPr>
      <t>주당가치</t>
    </r>
    <phoneticPr fontId="1" type="noConversion"/>
  </si>
  <si>
    <r>
      <t xml:space="preserve">&lt;--- </t>
    </r>
    <r>
      <rPr>
        <i/>
        <sz val="10"/>
        <color theme="1"/>
        <rFont val="바탕"/>
        <family val="1"/>
        <charset val="129"/>
      </rPr>
      <t>연평균</t>
    </r>
    <r>
      <rPr>
        <i/>
        <sz val="10"/>
        <color theme="1"/>
        <rFont val="Garamond"/>
        <family val="1"/>
      </rPr>
      <t xml:space="preserve"> </t>
    </r>
    <r>
      <rPr>
        <i/>
        <sz val="10"/>
        <color theme="1"/>
        <rFont val="바탕"/>
        <family val="1"/>
        <charset val="129"/>
      </rPr>
      <t>수익률</t>
    </r>
    <r>
      <rPr>
        <i/>
        <sz val="10"/>
        <color theme="1"/>
        <rFont val="Garamond"/>
        <family val="1"/>
      </rPr>
      <t xml:space="preserve"> (IRR)</t>
    </r>
    <phoneticPr fontId="1" type="noConversion"/>
  </si>
  <si>
    <r>
      <t xml:space="preserve">10년후 </t>
    </r>
    <r>
      <rPr>
        <b/>
        <sz val="10"/>
        <color theme="1"/>
        <rFont val="바탕"/>
        <family val="1"/>
        <charset val="129"/>
      </rPr>
      <t>배당수익률</t>
    </r>
    <phoneticPr fontId="1" type="noConversion"/>
  </si>
  <si>
    <r>
      <t xml:space="preserve">&lt;--- </t>
    </r>
    <r>
      <rPr>
        <i/>
        <sz val="10"/>
        <color theme="1"/>
        <rFont val="바탕"/>
        <family val="1"/>
        <charset val="129"/>
      </rPr>
      <t>원금</t>
    </r>
    <r>
      <rPr>
        <i/>
        <sz val="10"/>
        <color rgb="FF000000"/>
        <rFont val="Garamond"/>
        <family val="1"/>
      </rPr>
      <t xml:space="preserve"> </t>
    </r>
    <r>
      <rPr>
        <i/>
        <sz val="10"/>
        <color rgb="FF000000"/>
        <rFont val="바탕"/>
        <family val="1"/>
        <charset val="129"/>
      </rPr>
      <t>회수율</t>
    </r>
    <phoneticPr fontId="1" type="noConversion"/>
  </si>
  <si>
    <r>
      <rPr>
        <b/>
        <sz val="10"/>
        <color theme="0"/>
        <rFont val="돋움"/>
        <family val="3"/>
        <charset val="129"/>
      </rPr>
      <t>시나리오</t>
    </r>
    <r>
      <rPr>
        <b/>
        <sz val="10"/>
        <color theme="0"/>
        <rFont val="Garamond"/>
        <family val="1"/>
      </rPr>
      <t xml:space="preserve"> 2. </t>
    </r>
    <r>
      <rPr>
        <b/>
        <sz val="10"/>
        <color theme="0"/>
        <rFont val="돋움"/>
        <family val="3"/>
        <charset val="129"/>
      </rPr>
      <t>채무부담으로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조정기간</t>
    </r>
    <r>
      <rPr>
        <b/>
        <sz val="10"/>
        <color theme="0"/>
        <rFont val="Garamond"/>
        <family val="1"/>
      </rPr>
      <t xml:space="preserve">: </t>
    </r>
    <r>
      <rPr>
        <b/>
        <sz val="10"/>
        <color theme="0"/>
        <rFont val="돋움"/>
        <family val="3"/>
        <charset val="129"/>
      </rPr>
      <t>영업상황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약간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하락</t>
    </r>
    <r>
      <rPr>
        <b/>
        <sz val="10"/>
        <color theme="0"/>
        <rFont val="Garamond"/>
        <family val="1"/>
      </rPr>
      <t xml:space="preserve"> &amp; </t>
    </r>
    <r>
      <rPr>
        <b/>
        <sz val="10"/>
        <color theme="0"/>
        <rFont val="돋움"/>
        <family val="3"/>
        <charset val="129"/>
      </rPr>
      <t>배당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반토막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이후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정상화</t>
    </r>
    <r>
      <rPr>
        <b/>
        <sz val="10"/>
        <color theme="0"/>
        <rFont val="Garamond"/>
        <family val="1"/>
      </rPr>
      <t xml:space="preserve"> &amp; </t>
    </r>
    <r>
      <rPr>
        <b/>
        <sz val="10"/>
        <color theme="0"/>
        <rFont val="돋움"/>
        <family val="3"/>
        <charset val="129"/>
      </rPr>
      <t>가치평가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평균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회귀</t>
    </r>
    <phoneticPr fontId="1" type="noConversion"/>
  </si>
  <si>
    <r>
      <rPr>
        <sz val="10"/>
        <color theme="1"/>
        <rFont val="바탕"/>
        <family val="1"/>
        <charset val="129"/>
      </rPr>
      <t>자유현금흐름</t>
    </r>
    <r>
      <rPr>
        <sz val="10"/>
        <color theme="1"/>
        <rFont val="Garamond"/>
        <family val="1"/>
      </rPr>
      <t xml:space="preserve"> (</t>
    </r>
    <r>
      <rPr>
        <sz val="10"/>
        <color theme="1"/>
        <rFont val="바탕"/>
        <family val="1"/>
        <charset val="129"/>
      </rPr>
      <t>추정</t>
    </r>
    <r>
      <rPr>
        <sz val="10"/>
        <color theme="1"/>
        <rFont val="Garamond"/>
        <family val="1"/>
      </rPr>
      <t>)</t>
    </r>
    <phoneticPr fontId="1" type="noConversion"/>
  </si>
  <si>
    <r>
      <rPr>
        <sz val="10"/>
        <color theme="1"/>
        <rFont val="바탕"/>
        <family val="1"/>
        <charset val="129"/>
      </rPr>
      <t>업계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바탕"/>
        <family val="1"/>
        <charset val="129"/>
      </rPr>
      <t>평균</t>
    </r>
    <r>
      <rPr>
        <sz val="10"/>
        <color theme="1"/>
        <rFont val="Garamond"/>
        <family val="1"/>
      </rPr>
      <t xml:space="preserve"> EV/FCF:</t>
    </r>
    <phoneticPr fontId="1" type="noConversion"/>
  </si>
  <si>
    <r>
      <rPr>
        <b/>
        <sz val="10"/>
        <color theme="0"/>
        <rFont val="돋움"/>
        <family val="3"/>
        <charset val="129"/>
      </rPr>
      <t>시나리오</t>
    </r>
    <r>
      <rPr>
        <b/>
        <sz val="10"/>
        <color theme="0"/>
        <rFont val="Garamond"/>
        <family val="1"/>
      </rPr>
      <t xml:space="preserve"> 3. </t>
    </r>
    <r>
      <rPr>
        <b/>
        <sz val="10"/>
        <color theme="0"/>
        <rFont val="돋움"/>
        <family val="3"/>
        <charset val="129"/>
      </rPr>
      <t>돈을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잃으려면</t>
    </r>
    <r>
      <rPr>
        <b/>
        <sz val="10"/>
        <color theme="0"/>
        <rFont val="Garamond"/>
        <family val="1"/>
      </rPr>
      <t xml:space="preserve">? </t>
    </r>
    <r>
      <rPr>
        <b/>
        <sz val="10"/>
        <color theme="0"/>
        <rFont val="Arial Unicode MS"/>
        <family val="1"/>
        <charset val="129"/>
      </rPr>
      <t>정상상황 대비 배당 반토막 유지 &amp; 가치평가 평균 회귀</t>
    </r>
    <phoneticPr fontId="1" type="noConversion"/>
  </si>
  <si>
    <r>
      <t xml:space="preserve">&lt;-- </t>
    </r>
    <r>
      <rPr>
        <b/>
        <sz val="10"/>
        <color theme="1"/>
        <rFont val="Arial Unicode MS"/>
        <family val="1"/>
        <charset val="129"/>
      </rPr>
      <t>목표값 찾기</t>
    </r>
    <phoneticPr fontId="1" type="noConversion"/>
  </si>
  <si>
    <r>
      <rPr>
        <sz val="10"/>
        <color theme="1"/>
        <rFont val="Arial Unicode MS"/>
        <family val="1"/>
        <charset val="129"/>
      </rPr>
      <t>성장률</t>
    </r>
    <r>
      <rPr>
        <sz val="10"/>
        <color theme="1"/>
        <rFont val="Garamond"/>
        <family val="1"/>
      </rPr>
      <t xml:space="preserve"> </t>
    </r>
    <r>
      <rPr>
        <sz val="10"/>
        <color theme="1"/>
        <rFont val="Arial Unicode MS"/>
        <family val="1"/>
        <charset val="129"/>
      </rPr>
      <t>포함</t>
    </r>
    <phoneticPr fontId="1" type="noConversion"/>
  </si>
  <si>
    <t>XNPV TEST</t>
    <phoneticPr fontId="1" type="noConversion"/>
  </si>
  <si>
    <r>
      <t xml:space="preserve">NPV w/ </t>
    </r>
    <r>
      <rPr>
        <b/>
        <sz val="10"/>
        <color theme="1"/>
        <rFont val="Arial Unicode MS"/>
        <family val="1"/>
        <charset val="129"/>
      </rPr>
      <t>성장률</t>
    </r>
    <phoneticPr fontId="1" type="noConversion"/>
  </si>
  <si>
    <r>
      <rPr>
        <sz val="10"/>
        <color theme="1"/>
        <rFont val="바탕"/>
        <family val="1"/>
        <charset val="129"/>
      </rPr>
      <t>자유현금흐름</t>
    </r>
    <r>
      <rPr>
        <sz val="10"/>
        <color theme="1"/>
        <rFont val="Garamond"/>
        <family val="1"/>
      </rPr>
      <t xml:space="preserve"> (</t>
    </r>
    <r>
      <rPr>
        <sz val="10"/>
        <color theme="1"/>
        <rFont val="바탕"/>
        <family val="1"/>
        <charset val="129"/>
      </rPr>
      <t>시나리오</t>
    </r>
    <r>
      <rPr>
        <sz val="10"/>
        <color theme="1"/>
        <rFont val="Garamond"/>
        <family val="1"/>
      </rPr>
      <t xml:space="preserve"> 2.)</t>
    </r>
    <phoneticPr fontId="1" type="noConversion"/>
  </si>
  <si>
    <r>
      <rPr>
        <b/>
        <sz val="10"/>
        <color theme="0"/>
        <rFont val="돋움"/>
        <family val="3"/>
        <charset val="129"/>
      </rPr>
      <t>시나리오</t>
    </r>
    <r>
      <rPr>
        <b/>
        <sz val="10"/>
        <color theme="0"/>
        <rFont val="Garamond"/>
        <family val="1"/>
      </rPr>
      <t xml:space="preserve"> 3. </t>
    </r>
    <r>
      <rPr>
        <b/>
        <sz val="10"/>
        <color theme="0"/>
        <rFont val="돋움"/>
        <family val="3"/>
        <charset val="129"/>
      </rPr>
      <t>돈을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돋움"/>
        <family val="3"/>
        <charset val="129"/>
      </rPr>
      <t>잃으려면</t>
    </r>
    <r>
      <rPr>
        <b/>
        <sz val="10"/>
        <color theme="0"/>
        <rFont val="Garamond"/>
        <family val="1"/>
      </rPr>
      <t xml:space="preserve">? </t>
    </r>
    <r>
      <rPr>
        <b/>
        <sz val="10"/>
        <color theme="0"/>
        <rFont val="Arial Unicode MS"/>
        <family val="1"/>
        <charset val="129"/>
      </rPr>
      <t>정상상황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Arial Unicode MS"/>
        <family val="1"/>
        <charset val="129"/>
      </rPr>
      <t>대비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Arial Unicode MS"/>
        <family val="1"/>
        <charset val="129"/>
      </rPr>
      <t>배당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Arial Unicode MS"/>
        <family val="1"/>
        <charset val="129"/>
      </rPr>
      <t>반토막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Arial Unicode MS"/>
        <family val="1"/>
        <charset val="129"/>
      </rPr>
      <t>유지</t>
    </r>
    <r>
      <rPr>
        <b/>
        <sz val="10"/>
        <color theme="0"/>
        <rFont val="Garamond"/>
        <family val="1"/>
      </rPr>
      <t xml:space="preserve"> &amp; </t>
    </r>
    <r>
      <rPr>
        <b/>
        <sz val="10"/>
        <color theme="0"/>
        <rFont val="Arial Unicode MS"/>
        <family val="1"/>
        <charset val="129"/>
      </rPr>
      <t>가치평가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Arial Unicode MS"/>
        <family val="1"/>
        <charset val="129"/>
      </rPr>
      <t>평균</t>
    </r>
    <r>
      <rPr>
        <b/>
        <sz val="10"/>
        <color theme="0"/>
        <rFont val="Garamond"/>
        <family val="1"/>
      </rPr>
      <t xml:space="preserve"> </t>
    </r>
    <r>
      <rPr>
        <b/>
        <sz val="10"/>
        <color theme="0"/>
        <rFont val="Arial Unicode MS"/>
        <family val="1"/>
        <charset val="129"/>
      </rPr>
      <t>회귀</t>
    </r>
    <phoneticPr fontId="1" type="noConversion"/>
  </si>
  <si>
    <r>
      <rPr>
        <sz val="10"/>
        <color theme="1"/>
        <rFont val="바탕"/>
        <family val="1"/>
        <charset val="129"/>
      </rPr>
      <t>자유현금흐름</t>
    </r>
    <r>
      <rPr>
        <sz val="10"/>
        <color theme="1"/>
        <rFont val="Garamond"/>
        <family val="1"/>
      </rPr>
      <t xml:space="preserve"> (</t>
    </r>
    <r>
      <rPr>
        <sz val="10"/>
        <color theme="1"/>
        <rFont val="바탕"/>
        <family val="1"/>
        <charset val="129"/>
      </rPr>
      <t>시나리오</t>
    </r>
    <r>
      <rPr>
        <sz val="10"/>
        <color theme="1"/>
        <rFont val="Garamond"/>
        <family val="1"/>
      </rPr>
      <t xml:space="preserve"> 3.)</t>
    </r>
    <phoneticPr fontId="1" type="noConversion"/>
  </si>
  <si>
    <t>시나리오 1.</t>
    <phoneticPr fontId="1" type="noConversion"/>
  </si>
  <si>
    <t>시나리오 2.</t>
    <phoneticPr fontId="1" type="noConversion"/>
  </si>
  <si>
    <t>시나리오 3.</t>
    <phoneticPr fontId="1" type="noConversion"/>
  </si>
  <si>
    <t>구분</t>
    <phoneticPr fontId="1" type="noConversion"/>
  </si>
  <si>
    <t>확률</t>
    <phoneticPr fontId="1" type="noConversion"/>
  </si>
  <si>
    <t xml:space="preserve">기대 수익률: </t>
    <phoneticPr fontId="1" type="noConversion"/>
  </si>
  <si>
    <r>
      <t xml:space="preserve">AT&amp;T </t>
    </r>
    <r>
      <rPr>
        <b/>
        <sz val="10"/>
        <color theme="0"/>
        <rFont val="Arial Unicode MS"/>
        <family val="1"/>
        <charset val="129"/>
      </rPr>
      <t>투자 기대수익률</t>
    </r>
    <phoneticPr fontId="1" type="noConversion"/>
  </si>
  <si>
    <t>2021 Latest LTM</t>
  </si>
  <si>
    <t>BAABTAVMT0NBTAFI/////wFQZwAAAB9DSVEuTllTRTpULklRX0NPTVBBTllfTkFNRV9MT05HAQAAAIeHAQADAAAAEkFUJlQgSW5jLiAoTllTRTpUKQCSY69ibxHZCDz/0GJvEdkIL0NJUS5OWVNFOlQuSVFfVE9UQUxfUkVWLkZZMjAxNi4yMDIxLTA1LTA3Li4uVVNEAQAAAIeHAQACAAAABjE2Mzc4NgEIAAAABQAAAAExAQAAAAoxOTQ2MjQ2ODc1AwAAAAMxNjACAAAAAjI4BAAAAAEwBwAAAAg1LzcvMjAyMQgAAAAKMTIvMzEvMjAxNgkAAAABMJCKr2JvEdkI/A/SYm8R2QgvQ0lRLk5ZU0U6VC5JUV9UT1RBTF9SRVYuRlkyMDE3LjIwMjEtMDUtMDcuLi5VU0QBAAAAh4cBAAIAAAAGMTYwNTQ2AQgAAAAFAAAAATEBAAAACjIwMTYwNTg4MjYDAAAAAzE2MAIAAAACMjgEAAAAATAHAAAACDUvNy8yMDIxCAAAAAoxMi8zMS8yMDE3CQAAAAEwkIqvYm8R2QgF6dFibxHZCC9DSVEuTllTRTpULklRX1RPVEFMX1JFVi5GWTIwMTguMjAyMS0wNS0wNy4uLlVTRAEAAACHhwEAAgAAAAYxNzA3NTYBCAAAAAUAAAABMQEAAAAKMjA4MjI1MjQyOAMAAAADMTYwAgAAAAIyOAQAAAABMAcAAAAINS83LzIwMjEIAAAACjEyLzMxLzIwMTgJAAAAATCQiq9ibxHZCB6b0WJvEdkIL0NJUS5OWVNFOlQuSVFfVE9UQUxfUkVWLkZZMjAxOS4yMDIxLTA1LTA3Li4uVVNEAQAAAIeHAQACAAAABjE4MTE5MwEIAAAABQAAAAExAQAAAAoyMDgy</t>
  </si>
  <si>
    <t>MjUyNDM0AwAAAAMxNjACAAAAAjI4BAAAAAEwBwAAAAg1LzcvMjAyMQgAAAAKMTIvMzEvMjAxOQkAAAABMJCKr2JvEdkIF3TRYm8R2QgvQ0lRLk5ZU0U6VC5JUV9UT1RBTF9SRVYuRlkyMDIwLjIwMjEtMDUtMDcuLi5VU0QBAAAAh4cBAAIAAAAGMTcxNzYwAQgAAAAFAAAAATEBAAAACjIwODIyNTI0MjcDAAAAAzE2MAIAAAACMjgEAAAAATAHAAAACDUvNy8yMDIxCAAAAAoxMi8zMS8yMDIwCQAAAAEwkIqvYm8R2QgsJtFibxHZCC9DSVEuTllTRTpULklRX1RPVEFMX1JFVi5JUV9MVE0uMjAyMS0wNS0wNy4uLlVTRAEAAACHhwEAAgAAAAYxNzI5MjABCAAAAAUAAAABMQEAAAAKMjA5MDc3Mzc3NgMAAAADMTYwAgAAAAIyOAQAAAABMAcAAAAINS83LzIwMjEIAAAACTMvMzEvMjAyMQkAAAABMJCKr2JvEdkIQ9jQYm8R2QguQ0lRLk5ZU0U6VC5JUV9PUEVSX0lOQy5GWTIwMTYuMjAyMS0wNS0wNy4uLlVTRAEAAACHhwEAAgAAAAUyNDkwNQEIAAAABQAAAAExAQAAAAoxOTQ2MjQ2ODc1AwAAAAMxNjACAAAAAjIxBAAAAAEwBwAAAAg1LzcvMjAyMQgAAAAKMTIvMzEvMjAxNgkAAAABMJCKr2JvEdkI4TbSYm8R2QguQ0lRLk5ZU0U6VC5JUV9PUEVSX0lOQy5GWTIwMTcuMjAyMS0wNS0wNy4uLlVTRAEAAACHhwEAAgAAAAUyMzk5NQEIAAAABQAAAAExAQAAAAoyMDE2MDU4ODI2AwAAAAMxNjACAAAAAjIxBAAAAAEwBwAA</t>
  </si>
  <si>
    <t>AAg1LzcvMjAyMQgAAAAKMTIvMzEvMjAxNwkAAAABMJCKr2JvEdkIBenRYm8R2QguQ0lRLk5ZU0U6VC5JUV9PUEVSX0lOQy5GWTIwMTguMjAyMS0wNS0wNy4uLlVTRAEAAACHhwEAAgAAAAUzMTYxOAEIAAAABQAAAAExAQAAAAoyMDgyMjUyNDI4AwAAAAMxNjACAAAAAjIxBAAAAAEwBwAAAAg1LzcvMjAyMQgAAAAKMTIvMzEvMjAxOAkAAAABMJCKr2JvEdkIBcLRYm8R2QguQ0lRLk5ZU0U6VC5JUV9PUEVSX0lOQy5GWTIwMTkuMjAyMS0wNS0wNy4uLlVTRAEAAACHhwEAAgAAAAUyNzc0MQEIAAAABQAAAAExAQAAAAoyMDgyMjUyNDM0AwAAAAMxNjACAAAAAjIxBAAAAAEwBwAAAAg1LzcvMjAyMQgAAAAKMTIvMzEvMjAxOQkAAAABMJCKr2JvEdkIF3TRYm8R2QguQ0lRLk5ZU0U6VC5JUV9PUEVSX0lOQy5GWTIwMjAuMjAyMS0wNS0wNy4uLlVTRAEAAACHhwEAAgAAAAUyNTY1NgEIAAAABQAAAAExAQAAAAoyMDgyMjUyNDI3AwAAAAMxNjACAAAAAjIxBAAAAAEwBwAAAAg1LzcvMjAyMQgAAAAKMTIvMzEvMjAyMAkAAAABMJCKr2JvEdkIHk3RYm8R2QguQ0lRLk5ZU0U6VC5JUV9PUEVSX0lOQy5JUV9MVE0uMjAyMS0wNS0wNy4uLlVTRAEAAACHhwEAAgAAAAUyNTcwOAEIAAAABQAAAAExAQAAAAoyMDkwNzczNzc2AwAAAAMxNjACAAAAAjIxBAAAAAEwBwAAAAg1LzcvMjAyMQgAAAAJMy8zMS8yMDIxCQAAAAEwkIqv</t>
  </si>
  <si>
    <t>Ym8R2Qg8/9BibxHZCCxDSVEuTllTRTpULklRX0VCSVREQS5GWTIwMTYuMjAyMS0wNS0wNy4uLlVTRAEAAACHhwEAAgAAAAU0ODM5MAEIAAAABQAAAAExAQAAAAoxOTQ2MjQ2ODc1AwAAAAMxNjACAAAABDQwNTEEAAAAATAHAAAACDUvNy8yMDIxCAAAAAoxMi8zMS8yMDE2CQAAAAEwkIqvYm8R2QjhNtJibxHZCCxDSVEuTllTRTpULklRX0VCSVREQS5GWTIwMTcuMjAyMS0wNS0wNy4uLlVTRAEAAACHhwEAAgAAAAU0NTU3MgEIAAAABQAAAAExAQAAAAoyMDE2MDU4ODI2AwAAAAMxNjACAAAABDQwNTEEAAAAATAHAAAACDUvNy8yMDIxCAAAAAoxMi8zMS8yMDE3CQAAAAEwkIqvYm8R2Qj8D9JibxHZCCxDSVEuTllTRTpULklRX0VCSVREQS5GWTIwMTguMjAyMS0wNS0wNy4uLlVTRAEAAACHhwEAAgAAAAU1Njk1NgEIAAAABQAAAAExAQAAAAoyMDgyMjUyNDI4AwAAAAMxNjACAAAABDQwNTEEAAAAATAHAAAACDUvNy8yMDIxCAAAAAoxMi8zMS8yMDE4CQAAAAEwkIqvYm8R2Qgem9FibxHZCCxDSVEuTllTRTpULklRX0VCSVREQS5GWTIwMTkuMjAyMS0wNS0wNy4uLlVTRAEAAACHhwEAAgAAAAU1MjY0NQEIAAAABQAAAAExAQAAAAoyMDgyMjUyNDM0AwAAAAMxNjACAAAABDQwNTEEAAAAATAHAAAACDUvNy8yMDIxCAAAAAoxMi8zMS8yMDE5CQAAAAEwkIqvYm8R2QgXdNFibxHZCCxDSVEuTllTRTpULklRX0VCSVRE</t>
  </si>
  <si>
    <t>QS5GWTIwMjAuMjAyMS0wNS0wNy4uLlVTRAEAAACHhwEAAgAAAAU1MDY4OQEIAAAABQAAAAExAQAAAAoyMDgyMjUyNDI3AwAAAAMxNjACAAAABDQwNTEEAAAAATAHAAAACDUvNy8yMDIxCAAAAAoxMi8zMS8yMDIwCQAAAAEwkIqvYm8R2QgsJtFibxHZCCxDSVEuTllTRTpULklRX0VCSVREQS5JUV9MVE0uMjAyMS0wNS0wNy4uLlVTRAEAAACHhwEAAgAAAAU0OTMyOAEIAAAABQAAAAExAQAAAAoyMDkwNzczNzc2AwAAAAMxNjACAAAABDQwNTEEAAAAATAHAAAACDUvNy8yMDIxCAAAAAkzLzMxLzIwMjEJAAAAATCQiq9ibxHZCDz/0GJvEdkIMENJUS5OWVNFOlQuSVFfTklfQ09NUEFOWS5GWTIwMTYuMjAyMS0wNS0wNy4uLlVTRAEAAACHhwEAAgAAAAUxMzMzMwEIAAAABQAAAAExAQAAAAoxOTQ2MjQ2ODc1AwAAAAMxNjACAAAABTQxNTcxBAAAAAEwBwAAAAg1LzcvMjAyMQgAAAAKMTIvMzEvMjAxNgkAAAABMJCKr2JvEdkI4TbSYm8R2QgwQ0lRLk5ZU0U6VC5JUV9OSV9DT01QQU5ZLkZZMjAxNy4yMDIxLTA1LTA3Li4uVVNEAQAAAIeHAQACAAAABTI5ODQ3AQgAAAAFAAAAATEBAAAACjIwMTYwNTg4MjYDAAAAAzE2MAIAAAAFNDE1NzEEAAAAATAHAAAACDUvNy8yMDIxCAAAAAoxMi8zMS8yMDE3CQAAAAEwkIqvYm8R2QgF6dFibxHZCDBDSVEuTllTRTpULklRX05JX0NPTVBBTlkuRlkyMDE4LjIwMjEtMDUtMDcu</t>
  </si>
  <si>
    <t>Li5VU0QBAAAAh4cBAAIAAAAFMTk5NTMBCAAAAAUAAAABMQEAAAAKMjA4MjI1MjQyOAMAAAADMTYwAgAAAAU0MTU3MQQAAAABMAcAAAAINS83LzIwMjEIAAAACjEyLzMxLzIwMTgJAAAAATCQiq9ibxHZCB6b0WJvEdkIMENJUS5OWVNFOlQuSVFfTklfQ09NUEFOWS5GWTIwMTkuMjAyMS0wNS0wNy4uLlVTRAEAAACHhwEAAgAAAAUxNDk3NQEIAAAABQAAAAExAQAAAAoyMDgyMjUyNDM0AwAAAAMxNjACAAAABTQxNTcxBAAAAAEwBwAAAAg1LzcvMjAyMQgAAAAKMTIvMzEvMjAxOQkAAAABMJCKr2JvEdkIF3TRYm8R2QgwQ0lRLk5ZU0U6VC5JUV9OSV9DT01QQU5ZLkZZMjAyMC4yMDIxLTA1LTA3Li4uVVNEAQAAAIeHAQACAAAABS0zODIxAQgAAAAFAAAAATEBAAAACjIwODIyNTI0MjcDAAAAAzE2MAIAAAAFNDE1NzEEAAAAATAHAAAACDUvNy8yMDIxCAAAAAoxMi8zMS8yMDIwCQAAAAEwkIqvYm8R2QgeTdFibxHZCDBDSVEuTllTRTpULklRX05JX0NPTVBBTlkuSVFfTFRNLjIwMjEtMDUtMDcuLi5VU0QBAAAAh4cBAAIAAAAELTg0MgEIAAAABQAAAAExAQAAAAoyMDkwNzczNzc2AwAAAAMxNjACAAAABTQxNTcxBAAAAAEwBwAAAAg1LzcvMjAyMQgAAAAJMy8zMS8yMDIxCQAAAAEwkIqvYm8R2Qg8/9BibxHZCChDSVEuTllTRTpULklRX05JLkZZMjAxNi4yMDIxLTA1LTA3Li4uVVNEAQAAAIeHAQACAAAABTEyOTc2</t>
  </si>
  <si>
    <t>AQgAAAAFAAAAATEBAAAACjE5NDYyNDY4NzUDAAAAAzE2MAIAAAACMTUEAAAAATAHAAAACDUvNy8yMDIxCAAAAAoxMi8zMS8yMDE2CQAAAAEwkIqvYm8R2QjhNtJibxHZCChDSVEuTllTRTpULklRX05JLkZZMjAxNy4yMDIxLTA1LTA3Li4uVVNEAQAAAIeHAQACAAAABTI5NDUwAQgAAAAFAAAAATEBAAAACjIwMTYwNTg4MjYDAAAAAzE2MAIAAAACMTUEAAAAATAHAAAACDUvNy8yMDIxCAAAAAoxMi8zMS8yMDE3CQAAAAEwkIqvYm8R2QgFwtFibxHZCChDSVEuTllTRTpULklRX05JLkZZMjAxOC4yMDIxLTA1LTA3Li4uVVNEAQAAAIeHAQACAAAABTE5MzcwAQgAAAAFAAAAATEBAAAACjIwODIyNTI0MjgDAAAAAzE2MAIAAAACMTUEAAAAATAHAAAACDUvNy8yMDIxCAAAAAoxMi8zMS8yMDE4CQAAAAEwkIqvYm8R2Qgem9FibxHZCChDSVEuTllTRTpULklRX05JLkZZMjAxOS4yMDIxLTA1LTA3Li4uVVNEAQAAAIeHAQACAAAABTEzOTAzAQgAAAAFAAAAATEBAAAACjIwODIyNTI0MzQDAAAAAzE2MAIAAAACMTUEAAAAATAHAAAACDUvNy8yMDIxCAAAAAoxMi8zMS8yMDE5CQAAAAEwkIqvYm8R2QgXdNFibxHZCChDSVEuTllTRTpULklRX05JLkZZMjAyMC4yMDIxLTA1LTA3Li4uVVNEAQAAAIeHAQACAAAABS01MTc2AQgAAAAFAAAAATEBAAAACjIwODIyNTI0MjcDAAAAAzE2MAIAAAACMTUEAAAAATAHAAAACDUvNy8y</t>
  </si>
  <si>
    <t>MDIxCAAAAAoxMi8zMS8yMDIwCQAAAAEwkIqvYm8R2QgsJtFibxHZCChDSVEuTllTRTpULklRX05JLklRX0xUTS4yMDIxLTA1LTA3Li4uVVNEAQAAAIeHAQACAAAABS0yMjM2AQgAAAAFAAAAATEBAAAACjIwOTA3NzM3NzYDAAAAAzE2MAIAAAACMTUEAAAAATAHAAAACDUvNy8yMDIxCAAAAAkzLzMxLzIwMjEJAAAAATCQiq9ibxHZCEPY0GJvEdkIK0NJUS5OWVNFOlQuSVFfQ0FQRVguRlkyMDE2LjIwMjEtMDUtMDcuLi5VU0QBAAAAh4cBAAIAAAAGLTIyNDA4AQgAAAAFAAAAATEBAAAACjE5NDYyNDY4NzUDAAAAAzE2MAIAAAAEMjAyMQQAAAABMAcAAAAINS83LzIwMjEIAAAACjEyLzMxLzIwMTYJAAAAATCQiq9ibxHZCOE20mJvEdkIK0NJUS5OWVNFOlQuSVFfQ0FQRVguRlkyMDE3LjIwMjEtMDUtMDcuLi5VU0QBAAAAh4cBAAIAAAAGLTIxNTUwAQgAAAAFAAAAATEBAAAACjIwMTYwNTg4MjYDAAAAAzE2MAIAAAAEMjAyMQQAAAABMAcAAAAINS83LzIwMjEIAAAACjEyLzMxLzIwMTcJAAAAATCQiq9ibxHZCAXp0WJvEdkIK0NJUS5OWVNFOlQuSVFfQ0FQRVguRlkyMDE4LjIwMjEtMDUtMDcuLi5VU0QBAAAAh4cBAAIAAAAGLTIxMjUxAQgAAAAFAAAAATEBAAAACjIwODIyNTI0MjgDAAAAAzE2MAIAAAAEMjAyMQQAAAABMAcAAAAINS83LzIwMjEIAAAACjEyLzMxLzIwMTgJAAAAATCQiq9ibxHZCAXC0WJvEdkI</t>
  </si>
  <si>
    <t>K0NJUS5OWVNFOlQuSVFfQ0FQRVguRlkyMDE5LjIwMjEtMDUtMDcuLi5VU0QBAAAAh4cBAAIAAAAGLTE5NjM1AQgAAAAFAAAAATEBAAAACjIwODIyNTI0MzQDAAAAAzE2MAIAAAAEMjAyMQQAAAABMAcAAAAINS83LzIwMjEIAAAACjEyLzMxLzIwMTkJAAAAATCQiq9ibxHZCBd00WJvEdkIK0NJUS5OWVNFOlQuSVFfQ0FQRVguRlkyMDIwLjIwMjEtMDUtMDcuLi5VU0QBAAAAh4cBAAIAAAAGLTE1Njc1AQgAAAAFAAAAATEBAAAACjIwODIyNTI0MjcDAAAAAzE2MAIAAAAEMjAyMQQAAAABMAcAAAAINS83LzIwMjEIAAAACjEyLzMxLzIwMjAJAAAAATCQiq9ibxHZCB5N0WJvEdkIK0NJUS5OWVNFOlQuSVFfQ0FQRVguSVFfTFRNLjIwMjEtMDUtMDcuLi5VU0QBAAAAh4cBAAIAAAAGLTE0NzQyAQgAAAAFAAAAATEBAAAACjIwOTA3NzM3NzYDAAAAAzE2MAIAAAAEMjAyMQQAAAABMAcAAAAINS83LzIwMjEIAAAACTMvMzEvMjAyMQkAAAABMJCKr2JvEdkILCbRYm8R2QgzQ0lRLk5ZU0U6VC5JUV9TQUxFX0lOVEFOX0NGLkZZMjAxNi4yMDIxLTA1LTA3Li4uVVNEAQAAAIeHAQADAAAAAACQiq9ibxHZCOE20mJvEdkIM0NJUS5OWVNFOlQuSVFfU0FMRV9JTlRBTl9DRi5GWTIwMTcuMjAyMS0wNS0wNy4uLlVTRAEAAACHhwEAAwAAAAAAkIqvYm8R2Qj8D9JibxHZCDNDSVEuTllTRTpULklRX1NBTEVfSU5UQU5fQ0YuRlky</t>
  </si>
  <si>
    <t>MDE4LjIwMjEtMDUtMDcuLi5VU0QBAAAAh4cBAAMAAAAAAJCKr2JvEdkIHpvRYm8R2QgzQ0lRLk5ZU0U6VC5JUV9TQUxFX0lOVEFOX0NGLkZZMjAxOS4yMDIxLTA1LTA3Li4uVVNEAQAAAIeHAQADAAAAAACQiq9ibxHZCBd00WJvEdkIM0NJUS5OWVNFOlQuSVFfU0FMRV9JTlRBTl9DRi5GWTIwMjAuMjAyMS0wNS0wNy4uLlVTRAEAAACHhwEAAwAAAAAAkIqvYm8R2QgsJtFibxHZCDNDSVEuTllTRTpULklRX1NBTEVfSU5UQU5fQ0YuSVFfTFRNLjIwMjEtMDUtMDcuLi5VU0QBAAAAh4cBAAMAAAAAAJCKr2JvEdkIPP/QYm8R2QgxQ0lRLk5ZU0U6VC5JUV9TQUxFX1BQRV9DRi5GWTIwMTYuMjAyMS0wNS0wNy4uLlVTRAEAAACHhwEAAgAAAAM2NDYBCAAAAAUAAAABMQEAAAAKMTk0NjI0Njg3NQMAAAADMTYwAgAAAAQyMDQyBAAAAAEwBwAAAAg1LzcvMjAyMQgAAAAKMTIvMzEvMjAxNgkAAAABMJCKr2JvEdkI4TbSYm8R2QgxQ0lRLk5ZU0U6VC5JUV9TQUxFX1BQRV9DRi5GWTIwMTcuMjAyMS0wNS0wNy4uLlVTRAEAAACHhwEAAgAAAAI1OQEIAAAABQAAAAExAQAAAAoyMDE2MDU4ODI2AwAAAAMxNjACAAAABDIwNDIEAAAAATAHAAAACDUvNy8yMDIxCAAAAAoxMi8zMS8yMDE3CQAAAAEwkIqvYm8R2QgF6dFibxHZCDFDSVEuTllTRTpULklRX1NBTEVfUFBFX0NGLkZZMjAxOC4yMDIxLTA1LTA3Li4uVVNEAQAAAIeH</t>
  </si>
  <si>
    <t>AQACAAAABDIxNDgBCAAAAAUAAAABMQEAAAAKMjA4MjI1MjQyOAMAAAADMTYwAgAAAAQyMDQyBAAAAAEwBwAAAAg1LzcvMjAyMQgAAAAKMTIvMzEvMjAxOAkAAAABMJCKr2JvEdkIHpvRYm8R2QgxQ0lRLk5ZU0U6VC5JUV9TQUxFX1BQRV9DRi5GWTIwMTkuMjAyMS0wNS0wNy4uLlVTRAEAAACHhwEAAgAAAAQ0Njg0AQgAAAAFAAAAATEBAAAACjIwODIyNTI0MzQDAAAAAzE2MAIAAAAEMjA0MgQAAAABMAcAAAAINS83LzIwMjEIAAAACjEyLzMxLzIwMTkJAAAAATCQiq9ibxHZCBd00WJvEdkIMUNJUS5OWVNFOlQuSVFfU0FMRV9QUEVfQ0YuRlkyMDIwLjIwMjEtMDUtMDcuLi5VU0QBAAAAh4cBAAIAAAAEMzY0MQEIAAAABQAAAAExAQAAAAoyMDgyMjUyNDI3AwAAAAMxNjACAAAABDIwNDIEAAAAATAHAAAACDUvNy8yMDIxCAAAAAoxMi8zMS8yMDIwCQAAAAEwkIqvYm8R2QgeTdFibxHZCDFDSVEuTllTRTpULklRX1NBTEVfUFBFX0NGLklRX0xUTS4yMDIxLTA1LTA3Li4uVVNEAQAAAIeHAQACAAAABDM1NzQBCAAAAAUAAAABMQEAAAAKMjA5MDc3Mzc3NgMAAAADMTYwAgAAAAQyMDQyBAAAAAEwBwAAAAg1LzcvMjAyMQgAAAAJMy8zMS8yMDIxCQAAAAEwkIqvYm8R2Qg8/9BibxHZCDBDSVEuTllTRTpULklRX1RPVEFMX0RFQlQuRlkyMDE2LjIwMjEtMDUtMDcuLi5VU0QBAAAAh4cBAAIAAAAGMTI3Mzk0AQgAAAAF</t>
  </si>
  <si>
    <t>AAAAATEBAAAACjE5NDYyNDY4NzUDAAAAAzE2MAIAAAAENDE3MwQAAAABMAcAAAAINS83LzIwMjEIAAAACjEyLzMxLzIwMTYJAAAAATCQiq9ibxHZCOE20mJvEdkIMENJUS5OWVNFOlQuSVFfVE9UQUxfREVCVC5GWTIwMTcuMjAyMS0wNS0wNy4uLlVTRAEAAACHhwEAAgAAAAYxNjU2NjcBCAAAAAUAAAABMQEAAAAKMjAxNjA1ODgyNgMAAAADMTYwAgAAAAQ0MTczBAAAAAEwBwAAAAg1LzcvMjAyMQgAAAAKMTIvMzEvMjAxNwkAAAABMJCKr2JvEdkIBenRYm8R2QgwQ0lRLk5ZU0U6VC5JUV9UT1RBTF9ERUJULkZZMjAxOC4yMDIxLTA1LTA3Li4uVVNEAQAAAIeHAQACAAAABjE3OTEwNwEIAAAABQAAAAExAQAAAAoyMDgyMjUyNDI4AwAAAAMxNjACAAAABDQxNzMEAAAAATAHAAAACDUvNy8yMDIxCAAAAAoxMi8zMS8yMDE4CQAAAAEwkIqvYm8R2Qgem9FibxHZCDBDSVEuTllTRTpULklRX1RPVEFMX0RFQlQuRlkyMDE5LjIwMjEtMDUtMDcuLi5VU0QBAAAAh4cBAAIAAAAGMTg4NDAyAQgAAAAFAAAAATEBAAAACjIwODIyNTI0MzQDAAAAAzE2MAIAAAAENDE3MwQAAAABMAcAAAAINS83LzIwMjEIAAAACjEyLzMxLzIwMTkJAAAAATCQiq9ibxHZCBd00WJvEdkIMENJUS5OWVNFOlQuSVFfVE9UQUxfREVCVC5GWTIwMjAuMjAyMS0wNS0wNy4uLlVTRAEAAACHhwEAAgAAAAYxODI5ODQBCAAAAAUAAAABMQEAAAAKMjA4</t>
  </si>
  <si>
    <t>MjI1MjQyNwMAAAADMTYwAgAAAAQ0MTczBAAAAAEwBwAAAAg1LzcvMjAyMQgAAAAKMTIvMzEvMjAyMAkAAAABMJCKr2JvEdkIHk3RYm8R2QgwQ0lRLk5ZU0U6VC5JUV9UT1RBTF9ERUJULklRX0xUTS4yMDIxLTA1LTA3Li4uVVNEAQAAAIeHAQACAAAABjIwMTk2NQEIAAAABQAAAAExAQAAAAoyMDkwNzczNzc2AwAAAAMxNjACAAAABDQxNzMEAAAAATAHAAAACDUvNy8yMDIxCAAAAAkzLzMxLzIwMjEJAAAAATCQiq9ibxHZCEPY0GJvEdkIL0NJUS5OWVNFOlQuSVFfQ0FTSF9PUEVSLkZZMjAxNi4yMDIxLTA1LTA3Li4uVVNEAQAAAIeHAQACAAAABTM4NDQyAQgAAAAFAAAAATEBAAAACjE5NDYyNDY4NzUDAAAAAzE2MAIAAAAEMjAwNgQAAAABMAcAAAAINS83LzIwMjEIAAAACjEyLzMxLzIwMTYJAAAAATCQiq9ibxHZCPwP0mJvEdkIL0NJUS5OWVNFOlQuSVFfQ0FTSF9PUEVSLkZZMjAxNy4yMDIxLTA1LTA3Li4uVVNEAQAAAIeHAQACAAAABTM4MDEwAQgAAAAFAAAAATEBAAAACjIwMTYwNTg4MjYDAAAAAzE2MAIAAAAEMjAwNgQAAAABMAcAAAAINS83LzIwMjEIAAAACjEyLzMxLzIwMTcJAAAAATCQiq9ibxHZCAXC0WJvEdkIL0NJUS5OWVNFOlQuSVFfQ0FTSF9PUEVSLkZZMjAxOC4yMDIxLTA1LTA3Li4uVVNEAQAAAIeHAQACAAAABTQzNjAyAQgAAAAFAAAAATEBAAAACjIwODIyNTI0MjgDAAAAAzE2MAIAAAAE</t>
  </si>
  <si>
    <t>MjAwNgQAAAABMAcAAAAINS83LzIwMjEIAAAACjEyLzMxLzIwMTgJAAAAATCQiq9ibxHZCAXC0WJvEdkIL0NJUS5OWVNFOlQuSVFfQ0FTSF9PUEVSLkZZMjAxOS4yMDIxLTA1LTA3Li4uVVNEAQAAAIeHAQACAAAABTQ4NjY4AQgAAAAFAAAAATEBAAAACjIwODIyNTI0MzQDAAAAAzE2MAIAAAAEMjAwNgQAAAABMAcAAAAINS83LzIwMjEIAAAACjEyLzMxLzIwMTkJAAAAATCQiq9ibxHZCBd00WJvEdkIL0NJUS5OWVNFOlQuSVFfQ0FTSF9PUEVSLkZZMjAyMC4yMDIxLTA1LTA3Li4uVVNEAQAAAIeHAQACAAAABTQzMTMwAQgAAAAFAAAAATEBAAAACjIwODIyNTI0MjcDAAAAAzE2MAIAAAAEMjAwNgQAAAABMAcAAAAINS83LzIwMjEIAAAACjEyLzMxLzIwMjAJAAAAATCQiq9ibxHZCCwm0WJvEdkIL0NJUS5OWVNFOlQuSVFfQ0FTSF9PUEVSLklRX0xUTS4yMDIxLTA1LTA3Li4uVVNEAQAAAIeHAQACAAAABTQ0MTkxAQgAAAAFAAAAATEBAAAACjIwOTA3NzM3NzYDAAAAAzE2MAIAAAAEMjAwNgQAAAABMAcAAAAINS83LzIwMjEIAAAACTMvMzEvMjAyMQkAAAABMJCKr2JvEdkILCbRYm8R2QgxQ0lRLk5ZU0U6VC5JUV9DQVNIX0lOVkVTVC5GWTIwMTYuMjAyMS0wNS0wNy4uLlVTRAEAAACHhwEAAgAAAAYtMjMzMTgBCAAAAAUAAAABMQEAAAAKMTk0NjI0Njg3NQMAAAADMTYwAgAAAAQyMDA1BAAAAAEwBwAAAAg1Lzcv</t>
  </si>
  <si>
    <t>MjAyMQgAAAAKMTIvMzEvMjAxNgkAAAABMJCKr2JvEdkI/A/SYm8R2QgxQ0lRLk5ZU0U6VC5JUV9DQVNIX0lOVkVTVC5GWTIwMTcuMjAyMS0wNS0wNy4uLlVTRAEAAACHhwEAAgAAAAYtMTg5NDMBCAAAAAUAAAABMQEAAAAKMjAxNjA1ODgyNgMAAAADMTYwAgAAAAQyMDA1BAAAAAEwBwAAAAg1LzcvMjAyMQgAAAAKMTIvMzEvMjAxNwkAAAABMJCKr2JvEdkIBenRYm8R2QgxQ0lRLk5ZU0U6VC5JUV9DQVNIX0lOVkVTVC5GWTIwMTguMjAyMS0wNS0wNy4uLlVTRAEAAACHhwEAAgAAAAYtNjMxNDUBCAAAAAUAAAABMQEAAAAKMjA4MjI1MjQyOAMAAAADMTYwAgAAAAQyMDA1BAAAAAEwBwAAAAg1LzcvMjAyMQgAAAAKMTIvMzEvMjAxOAkAAAABMJCKr2JvEdkIBcLRYm8R2QgxQ0lRLk5ZU0U6VC5JUV9DQVNIX0lOVkVTVC5GWTIwMTkuMjAyMS0wNS0wNy4uLlVTRAEAAACHhwEAAgAAAAYtMTY2OTABCAAAAAUAAAABMQEAAAAKMjA4MjI1MjQzNAMAAAADMTYwAgAAAAQyMDA1BAAAAAEwBwAAAAg1LzcvMjAyMQgAAAAKMTIvMzEvMjAxOQkAAAABMJCKr2JvEdkIF3TRYm8R2QgxQ0lRLk5ZU0U6VC5JUV9DQVNIX0lOVkVTVC5GWTIwMjAuMjAyMS0wNS0wNy4uLlVTRAEAAACHhwEAAgAAAAYtMTM1NDgBCAAAAAUAAAABMQEAAAAKMjA4MjI1MjQyNwMAAAADMTYwAgAAAAQyMDA1BAAAAAEwBwAAAAg1LzcvMjAyMQgAAAAK</t>
  </si>
  <si>
    <t>MTIvMzEvMjAyMAkAAAABMJCKr2JvEdkILCbRYm8R2QgxQ0lRLk5ZU0U6VC5JUV9DQVNIX0lOVkVTVC5JUV9MVE0uMjAyMS0wNS0wNy4uLlVTRAEAAACHhwEAAgAAAAYtMzUzNzgBCAAAAAUAAAABMQEAAAAKMjA5MDc3Mzc3NgMAAAADMTYwAgAAAAQyMDA1BAAAAAEwBwAAAAg1LzcvMjAyMQgAAAAJMy8zMS8yMDIxCQAAAAEwkIqvYm8R2Qg8/9BibxHZCDBDSVEuTllTRTpULklRX0NBU0hfRklOQU4uRlkyMDE2LjIwMjEtMDUtMDcuLi5VU0QBAAAAh4cBAAIAAAAGLTE0NDYyAQgAAAAFAAAAATEBAAAACjE5NDYyNDY4NzUDAAAAAzE2MAIAAAAEMjAwNAQAAAABMAcAAAAINS83LzIwMjEIAAAACjEyLzMxLzIwMTYJAAAAATCQiq9ibxHZCOE20mJvEdkIMENJUS5OWVNFOlQuSVFfQ0FTSF9GSU5BTi5GWTIwMTcuMjAyMS0wNS0wNy4uLlVTRAEAAACHhwEAAgAAAAUyNTkzMAEIAAAABQAAAAExAQAAAAoyMDE2MDU4ODI2AwAAAAMxNjACAAAABDIwMDQEAAAAATAHAAAACDUvNy8yMDIxCAAAAAoxMi8zMS8yMDE3CQAAAAEwkIqvYm8R2QgF6dFibxHZCDBDSVEuTllTRTpULklRX0NBU0hfRklOQU4uRlkyMDE4LjIwMjEtMDUtMDcuLi5VU0QBAAAAh4cBAAIAAAAGLTI1OTg5AQgAAAAFAAAAATEBAAAACjIwODIyNTI0MjgDAAAAAzE2MAIAAAAEMjAwNAQAAAABMAcAAAAINS83LzIwMjEIAAAACjEyLzMxLzIwMTgJAAAA</t>
  </si>
  <si>
    <t>ATCQiq9ibxHZCB6b0WJvEdkIMENJUS5OWVNFOlQuSVFfQ0FTSF9GSU5BTi5GWTIwMTkuMjAyMS0wNS0wNy4uLlVTRAEAAACHhwEAAgAAAAYtMjUwODMBCAAAAAUAAAABMQEAAAAKMjA4MjI1MjQzNAMAAAADMTYwAgAAAAQyMDA0BAAAAAEwBwAAAAg1LzcvMjAyMQgAAAAKMTIvMzEvMjAxOQkAAAABMJCKr2JvEdkIF3TRYm8R2QgwQ0lRLk5ZU0U6VC5JUV9DQVNIX0ZJTkFOLkZZMjAyMC4yMDIxLTA1LTA3Li4uVVNEAQAAAIeHAQACAAAABi0zMjAwNwEIAAAABQAAAAExAQAAAAoyMDgyMjUyNDI3AwAAAAMxNjACAAAABDIwMDQEAAAAATAHAAAACDUvNy8yMDIxCAAAAAoxMi8zMS8yMDIwCQAAAAEwkIqvYm8R2QgeTdFibxHZCDBDSVEuTllTRTpULklRX0NBU0hfRklOQU4uSVFfTFRNLjIwMjEtMDUtMDcuLi5VU0QBAAAAh4cBAAIAAAAFLTc0MjUBCAAAAAUAAAABMQEAAAAKMjA5MDc3Mzc3NgMAAAADMTYwAgAAAAQyMDA0BAAAAAEwBwAAAAg1LzcvMjAyMQgAAAAJMy8zMS8yMDIxCQAAAAEwkIqvYm8R2Qg8/9BibxHZCDRDSVEuTllTRTpULklRX0NBU0hfU1RfSU5WRVNULkZZMjAxNi4yMDIxLTA1LTA3Li4uVVNEAQAAAIeHAQACAAAABDU3ODgBCAAAAAUAAAABMQEAAAAKMTk0NjI0Njg3NQMAAAADMTYwAgAAAAQxMDAyBAAAAAEwBwAAAAg1LzcvMjAyMQgAAAAKMTIvMzEvMjAxNgkAAAABMJCKr2JvEdkI4TbS</t>
  </si>
  <si>
    <t>Ym8R2Qg0Q0lRLk5ZU0U6VC5JUV9DQVNIX1NUX0lOVkVTVC5GWTIwMTcuMjAyMS0wNS0wNy4uLlVTRAEAAACHhwEAAgAAAAU1MDQ5OAEIAAAABQAAAAExAQAAAAoyMDE2MDU4ODI2AwAAAAMxNjACAAAABDEwMDIEAAAAATAHAAAACDUvNy8yMDIxCAAAAAoxMi8zMS8yMDE3CQAAAAEwkIqvYm8R2Qj8D9JibxHZCDRDSVEuTllTRTpULklRX0NBU0hfU1RfSU5WRVNULkZZMjAxOC4yMDIxLTA1LTA3Li4uVVNEAQAAAIeHAQACAAAABDUyMDQBCAAAAAUAAAABMQEAAAAKMjA4MjI1MjQyOAMAAAADMTYwAgAAAAQxMDAyBAAAAAEwBwAAAAg1LzcvMjAyMQgAAAAKMTIvMzEvMjAxOAkAAAABMJCKr2JvEdkIHpvRYm8R2Qg0Q0lRLk5ZU0U6VC5JUV9DQVNIX1NUX0lOVkVTVC5GWTIwMTkuMjAyMS0wNS0wNy4uLlVTRAEAAACHhwEAAgAAAAUxMjEzMAEIAAAABQAAAAExAQAAAAoyMDgyMjUyNDM0AwAAAAMxNjACAAAABDEwMDIEAAAAATAHAAAACDUvNy8yMDIxCAAAAAoxMi8zMS8yMDE5CQAAAAEwkIqvYm8R2QgXdNFibxHZCDRDSVEuTllTRTpULklRX0NBU0hfU1RfSU5WRVNULkZZMjAyMC4yMDIxLTA1LTA3Li4uVVNEAQAAAIeHAQACAAAABDk3NjkBCAAAAAUAAAABMQEAAAAKMjA4MjI1MjQyNwMAAAADMTYwAgAAAAQxMDAyBAAAAAEwBwAAAAg1LzcvMjAyMQgAAAAKMTIvMzEvMjAyMAkAAAABMJCKr2JvEdkIHk3RYm8R</t>
  </si>
  <si>
    <t>2Qg0Q0lRLk5ZU0U6VC5JUV9DQVNIX1NUX0lOVkVTVC5JUV9MVE0uMjAyMS0wNS0wNy4uLlVTRAEAAACHhwEAAgAAAAUxMTM0MgEIAAAABQAAAAExAQAAAAoyMDkwNzczNzc2AwAAAAMxNjACAAAABDEwMDIEAAAAATAHAAAACDUvNy8yMDIxCAAAAAkzLzMxLzIwMjEJAAAAATCQiq9ibxHZCEPY0GJvEdkINUNJUS5OWVNFOlQuSVFfT1RIRVJfTFRfQVNTRVRTLkZZMjAxNi4yMDIxLTA1LTA3Li4uVVNEAQAAAIeHAQACAAAABTE2ODEyAQgAAAAFAAAAATEBAAAACjE5NDYyNDY4NzUDAAAAAzE2MAIAAAAEMTA2MAQAAAABMAcAAAAINS83LzIwMjEIAAAACjEyLzMxLzIwMTYJAAAAATCQiq9ibxHZCPwP0mJvEdkINUNJUS5OWVNFOlQuSVFfT1RIRVJfTFRfQVNTRVRTLkZZMjAxNy4yMDIxLTA1LTA3Li4uVVNEAQAAAIeHAQACAAAABTE4NDI3AQgAAAAFAAAAATEBAAAACjIwMTYwNTg4MjYDAAAAAzE2MAIAAAAEMTA2MAQAAAABMAcAAAAINS83LzIwMjEIAAAACjEyLzMxLzIwMTcJAAAAATCQiq9ibxHZCAXC0WJvEdkINUNJUS5OWVNFOlQuSVFfT1RIRVJfTFRfQVNTRVRTLkZZMjAxOC4yMDIxLTA1LTA3Li4uVVNEAQAAAIeHAQACAAAABTIyOTk5AQgAAAAFAAAAATEBAAAACjIwODIyNTI0MjgDAAAAAzE2MAIAAAAEMTA2MAQAAAABMAcAAAAINS83LzIwMjEIAAAACjEyLzMxLzIwMTgJAAAAATCQiq9ibxHZCB6b0WJv</t>
  </si>
  <si>
    <t>EdkINUNJUS5OWVNFOlQuSVFfT1RIRVJfTFRfQVNTRVRTLkZZMjAxOS4yMDIxLTA1LTA3Li4uVVNEAQAAAIeHAQACAAAABTI1NzQ3AQgAAAAFAAAAATEBAAAACjIwODIyNTI0MzQDAAAAAzE2MAIAAAAEMTA2MAQAAAABMAcAAAAINS83LzIwMjEIAAAACjEyLzMxLzIwMTkJAAAAATCQiq9ibxHZCBd00WJvEdkINUNJUS5OWVNFOlQuSVFfT1RIRVJfTFRfQVNTRVRTLkZZMjAyMC4yMDIxLTA1LTA3Li4uVVNEAQAAAIeHAQACAAAABTI4MDg3AQgAAAAFAAAAATEBAAAACjIwODIyNTI0MjcDAAAAAzE2MAIAAAAEMTA2MAQAAAABMAcAAAAINS83LzIwMjEIAAAACjEyLzMxLzIwMjAJAAAAATCQiq9ibxHZCB5N0WJvEdkINUNJUS5OWVNFOlQuSVFfT1RIRVJfTFRfQVNTRVRTLklRX0xUTS4yMDIxLTA1LTA3Li4uVVNEAQAAAIeHAQACAAAABTYwNTI4AQgAAAAFAAAAATEBAAAACjIwOTA3NzM3NzYDAAAAAzE2MAIAAAAEMTA2MAQAAAABMAcAAAAINS83LzIwMjEIAAAACTMvMzEvMjAyMQkAAAABMJCKr2JvEdkIPP/QYm8R2QgvQ0lRLk5ZU0U6VC5JUV9MVF9JTlZFU1QuRlkyMDE2LjIwMjEtMDUtMDcuLi5VU0QBAAAAh4cBAAIAAAAEMTY3NAEIAAAABQAAAAExAQAAAAoxOTQ2MjQ2ODc1AwAAAAMxNjACAAAABDEwNTQEAAAAATAHAAAACDUvNy8yMDIxCAAAAAoxMi8zMS8yMDE2CQAAAAEwkIqvYm8R2QjhNtJibxHZCC9D</t>
  </si>
  <si>
    <t>SVEuTllTRTpULklRX0xUX0lOVkVTVC5GWTIwMTcuMjAyMS0wNS0wNy4uLlVTRAEAAACHhwEAAgAAAAQxNTc3AQgAAAAFAAAAATEBAAAACjIwMTYwNTg4MjYDAAAAAzE2MAIAAAAEMTA1NAQAAAABMAcAAAAINS83LzIwMjEIAAAACjEyLzMxLzIwMTcJAAAAATCQiq9ibxHZCAXp0WJvEdkIL0NJUS5OWVNFOlQuSVFfTFRfSU5WRVNULkZZMjAxOC4yMDIxLTA1LTA3Li4uVVNEAQAAAIeHAQACAAAABDYyNDUBCAAAAAUAAAABMQEAAAAKMjA4MjI1MjQyOAMAAAADMTYwAgAAAAQxMDU0BAAAAAEwBwAAAAg1LzcvMjAyMQgAAAAKMTIvMzEvMjAxOAkAAAABMJCKr2JvEdkIBcLRYm8R2QgvQ0lRLk5ZU0U6VC5JUV9MVF9JTlZFU1QuRlkyMDE5LjIwMjEtMDUtMDcuLi5VU0QBAAAAh4cBAAIAAAAEMzcwNgEIAAAABQAAAAExAQAAAAoyMDgyMjUyNDM0AwAAAAMxNjACAAAABDEwNTQEAAAAATAHAAAACDUvNy8yMDIxCAAAAAoxMi8zMS8yMDE5CQAAAAEwkIqvYm8R2QgXdNFibxHZCC9DSVEuTllTRTpULklRX0xUX0lOVkVTVC5GWTIwMjAuMjAyMS0wNS0wNy4uLlVTRAEAAACHhwEAAgAAAAQzMjMwAQgAAAAFAAAAATEBAAAACjIwODIyNTI0MjcDAAAAAzE2MAIAAAAEMTA1NAQAAAABMAcAAAAINS83LzIwMjEIAAAACjEyLzMxLzIwMjAJAAAAATCQiq9ibxHZCCwm0WJvEdkIL0NJUS5OWVNFOlQuSVFfTFRfSU5WRVNULklR</t>
  </si>
  <si>
    <t>X0xUTS4yMDIxLTA1LTA3Li4uVVNEAQAAAIeHAQACAAAABDE4MDUBCAAAAAUAAAABMQEAAAAKMjA5MDc3Mzc3NgMAAAADMTYwAgAAAAQxMDU0BAAAAAEwBwAAAAg1LzcvMjAyMQgAAAAJMy8zMS8yMDIxCQAAAAEwkIqvYm8R2Qg8/9BibxHZCDlDSVEuTllTRTpULklRX1RPVEFMX0NPTU1PTl9FUVVJVFkuRlkyMDE2LjIwMjEtMDUtMDcuLi5VU0QBAAAAh4cBAAIAAAAGMTIzMTM1AQgAAAAFAAAAATEBAAAACjE5NDYyNDY4NzUDAAAAAzE2MAIAAAAEMTAwNgQAAAABMAcAAAAINS83LzIwMjEIAAAACjEyLzMxLzIwMTYJAAAAATCQiq9ibxHZCPwP0mJvEdkIOUNJUS5OWVNFOlQuSVFfVE9UQUxfQ09NTU9OX0VRVUlUWS5GWTIwMTcuMjAyMS0wNS0wNy4uLlVTRAEAAACHhwEAAgAAAAYxNDA4NjEBCAAAAAUAAAABMQEAAAAKMjAxNjA1ODgyNgMAAAADMTYwAgAAAAQxMDA2BAAAAAEwBwAAAAg1LzcvMjAyMQgAAAAKMTIvMzEvMjAxNwkAAAABMJCKr2JvEdkIBenRYm8R2Qg5Q0lRLk5ZU0U6VC5JUV9UT1RBTF9DT01NT05fRVFVSVRZLkZZMjAxOC4yMDIxLTA1LTA3Li4uVVNEAQAAAIeHAQACAAAABjE4NDA4OQEIAAAABQAAAAExAQAAAAoyMDgyMjUyNDI4AwAAAAMxNjACAAAABDEwMDYEAAAAATAHAAAACDUvNy8yMDIxCAAAAAoxMi8zMS8yMDE4CQAAAAEwkIqvYm8R2Qgem9FibxHZCDlDSVEuTllTRTpULklRX1RP</t>
  </si>
  <si>
    <t>VEFMX0NPTU1PTl9FUVVJVFkuRlkyMDE5LjIwMjEtMDUtMDcuLi5VU0QBAAAAh4cBAAIAAAAGMTg0MjIxAQgAAAAFAAAAATEBAAAACjIwODIyNTI0MzQDAAAAAzE2MAIAAAAEMTAwNgQAAAABMAcAAAAINS83LzIwMjEIAAAACjEyLzMxLzIwMTkJAAAAATCQiq9ibxHZCBd00WJvEdkIOUNJUS5OWVNFOlQuSVFfVE9UQUxfQ09NTU9OX0VRVUlUWS5GWTIwMjAuMjAyMS0wNS0wNy4uLlVTRAEAAACHhwEAAgAAAAYxNjE2NzMBCAAAAAUAAAABMQEAAAAKMjA4MjI1MjQyNwMAAAADMTYwAgAAAAQxMDA2BAAAAAEwBwAAAAg1LzcvMjAyMQgAAAAKMTIvMzEvMjAyMAkAAAABMJCKr2JvEdkIHk3RYm8R2Qg5Q0lRLk5ZU0U6VC5JUV9UT1RBTF9DT01NT05fRVFVSVRZLklRX0xUTS4yMDIxLTA1LTA3Li4uVVNEAQAAAIeHAQACAAAABjE2NTQ4OAEIAAAABQAAAAExAQAAAAoyMDkwNzczNzc2AwAAAAMxNjACAAAABDEwMDYEAAAAATAHAAAACDUvNy8yMDIxCAAAAAkzLzMxLzIwMjEJAAAAATCQiq9ibxHZCDz/0GJvEdkIMkNJUS5OWVNFOlQuSVFfVE9UQUxfRVFVSVRZLkZZMjAxNi4yMDIxLTA1LTA3Li4uVVNEAQAAAIeHAQACAAAABjEyNDExMAEIAAAABQAAAAExAQAAAAoxOTQ2MjQ2ODc1AwAAAAMxNjACAAAABDEyNzUEAAAAATAHAAAACDUvNy8yMDIxCAAAAAoxMi8zMS8yMDE2CQAAAAEwkIqvYm8R2QjhNtJibxHZCDJD</t>
  </si>
  <si>
    <t>SVEuTllTRTpULklRX1RPVEFMX0VRVUlUWS5GWTIwMTcuMjAyMS0wNS0wNy4uLlVTRAEAAACHhwEAAgAAAAYxNDIwMDcBCAAAAAUAAAABMQEAAAAKMjAxNjA1ODgyNgMAAAADMTYwAgAAAAQxMjc1BAAAAAEwBwAAAAg1LzcvMjAyMQgAAAAKMTIvMzEvMjAxNwkAAAABMJCKr2JvEdkI/A/SYm8R2QgyQ0lRLk5ZU0U6VC5JUV9UT1RBTF9FUVVJVFkuRlkyMDE4LjIwMjEtMDUtMDcuLi5VU0QBAAAAh4cBAAIAAAAGMTkzODg0AQgAAAAFAAAAATEBAAAACjIwODIyNTI0MjgDAAAAAzE2MAIAAAAEMTI3NQQAAAABMAcAAAAINS83LzIwMjEIAAAACjEyLzMxLzIwMTgJAAAAATCQiq9ibxHZCAXC0WJvEdkIMkNJUS5OWVNFOlQuSVFfVE9UQUxfRVFVSVRZLkZZMjAxOS4yMDIxLTA1LTA3Li4uVVNEAQAAAIeHAQACAAAABjIwMTkzNAEIAAAABQAAAAExAQAAAAoyMDgyMjUyNDM0AwAAAAMxNjACAAAABDEyNzUEAAAAATAHAAAACDUvNy8yMDIxCAAAAAoxMi8zMS8yMDE5CQAAAAEwkIqvYm8R2QgXdNFibxHZCDJDSVEuTllTRTpULklRX1RPVEFMX0VRVUlUWS5GWTIwMjAuMjAyMS0wNS0wNy4uLlVTRAEAAACHhwEAAgAAAAYxNzkyNDABCAAAAAUAAAABMQEAAAAKMjA4MjI1MjQyNwMAAAADMTYwAgAAAAQxMjc1BAAAAAEwBwAAAAg1LzcvMjAyMQgAAAAKMTIvMzEvMjAyMAkAAAABMJCKr2JvEdkILCbRYm8R2QgyQ0lRLk5Z</t>
  </si>
  <si>
    <t>U0U6VC5JUV9UT1RBTF9FUVVJVFkuSVFfTFRNLjIwMjEtMDUtMDcuLi5VU0QBAAAAh4cBAAIAAAAGMTgzMDc5AQgAAAAFAAAAATEBAAAACjIwOTA3NzM3NzYDAAAAAzE2MAIAAAAEMTI3NQQAAAABMAcAAAAINS83LzIwMjEIAAAACTMvMzEvMjAyMQkAAAABMJCKr2JvEdkIPP/QYm8R2Qg=</t>
  </si>
  <si>
    <t>© 2021 Wall Street Training Asia Inc.</t>
    <phoneticPr fontId="1" type="noConversion"/>
  </si>
  <si>
    <t xml:space="preserve">For more information, please visit/contatct Wall Street Training Asia Inc. through www.wallstreettraining.co.kr </t>
    <phoneticPr fontId="1" type="noConversion"/>
  </si>
  <si>
    <t>© 2021 (주)월스트릿트레이닝아시아.</t>
    <phoneticPr fontId="1" type="noConversion"/>
  </si>
  <si>
    <t>이를 위반시에는 형사/민사상의 법적 책임을 질수 있으며, 특별한 문의가 있는경우 www.wallstreettraining.co.kr에 있는 정보로 연락주시기 바랍니다.</t>
  </si>
  <si>
    <t>기대값</t>
    <phoneticPr fontId="1" type="noConversion"/>
  </si>
  <si>
    <r>
      <rPr>
        <b/>
        <sz val="14"/>
        <color theme="1"/>
        <rFont val="맑은 고딕"/>
        <family val="1"/>
        <charset val="129"/>
      </rPr>
      <t>배당</t>
    </r>
    <r>
      <rPr>
        <b/>
        <sz val="14"/>
        <color theme="1"/>
        <rFont val="Garamond"/>
        <family val="1"/>
      </rPr>
      <t xml:space="preserve"> </t>
    </r>
    <r>
      <rPr>
        <b/>
        <sz val="14"/>
        <color theme="1"/>
        <rFont val="맑은 고딕"/>
        <family val="1"/>
        <charset val="129"/>
      </rPr>
      <t>수익률</t>
    </r>
    <r>
      <rPr>
        <b/>
        <sz val="14"/>
        <color theme="1"/>
        <rFont val="Garamond"/>
        <family val="1"/>
      </rPr>
      <t xml:space="preserve"> </t>
    </r>
    <r>
      <rPr>
        <b/>
        <sz val="14"/>
        <color theme="1"/>
        <rFont val="맑은 고딕"/>
        <family val="1"/>
        <charset val="129"/>
      </rPr>
      <t>계산기</t>
    </r>
    <r>
      <rPr>
        <b/>
        <sz val="14"/>
        <color theme="1"/>
        <rFont val="Garamond"/>
        <family val="1"/>
      </rPr>
      <t xml:space="preserve"> (</t>
    </r>
    <r>
      <rPr>
        <b/>
        <sz val="14"/>
        <color theme="1"/>
        <rFont val="Arial Unicode MS"/>
        <family val="1"/>
        <charset val="129"/>
      </rPr>
      <t>정답)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</si>
</sst>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6" formatCode="&quot;₩&quot;#,##0;[Red]\-&quot;₩&quot;#,##0"/>
    <numFmt numFmtId="8" formatCode="&quot;₩&quot;#,##0.00;[Red]\-&quot;₩&quot;#,##0.00"/>
    <numFmt numFmtId="41" formatCode="_-* #,##0_-;\-* #,##0_-;_-* &quot;-&quot;_-;_-@_-"/>
    <numFmt numFmtId="25" formatCode="\$#,##0.00_);\(\$#,##0.00\)"/>
    <numFmt numFmtId="176" formatCode="#,##0.0_);\(#,##0.0\);#,##0.0_);@_)"/>
    <numFmt numFmtId="177" formatCode="General_)"/>
    <numFmt numFmtId="178" formatCode="_(* #,##0.00_);_(* \(#,##0.00\);_(* &quot;-&quot;??_);_(@_)"/>
    <numFmt numFmtId="179" formatCode="&quot;$&quot;#.#"/>
    <numFmt numFmtId="180" formatCode="0.00;[Red]0.00"/>
    <numFmt numFmtId="181" formatCode="_([$€-2]* #,##0.00_);_([$€-2]* \(#,##0.00\);_([$€-2]* &quot;-&quot;??_)"/>
    <numFmt numFmtId="182" formatCode="\«#,##0;_(* #,##0;_(* &quot;-&quot;??_);_(@_)"/>
    <numFmt numFmtId="183" formatCode="&quot;$&quot;#,##0.00;\-&quot;$&quot;#,##0.00"/>
    <numFmt numFmtId="184" formatCode="_-* #,##0.0_-;\-* #,##0.0_-;_-* &quot;-&quot;??_-;_-@_-"/>
    <numFmt numFmtId="185" formatCode="#,##0.00;[Red]\(#,##0.00\)"/>
    <numFmt numFmtId="186" formatCode="#,##0_);\(#,##0\);#,##0_);@_)"/>
    <numFmt numFmtId="187" formatCode="0.0\x"/>
    <numFmt numFmtId="188" formatCode="0.0%"/>
    <numFmt numFmtId="189" formatCode="0%_);\(0%\);0%_);@_)"/>
    <numFmt numFmtId="190" formatCode="0_ "/>
    <numFmt numFmtId="191" formatCode="\$#,##0.00"/>
    <numFmt numFmtId="192" formatCode="#,##0.0\x"/>
    <numFmt numFmtId="193" formatCode="\$#,##0.00;[Red]\-\$#,##0.00"/>
    <numFmt numFmtId="194" formatCode="_(* #,##0_);_(* \(#,##0\)_)\ ;_(* 0_)"/>
    <numFmt numFmtId="195" formatCode="&quot;₩&quot;#,##0.0;[Red]\-&quot;₩&quot;#,##0.0"/>
    <numFmt numFmtId="196" formatCode="&quot;₩&quot;#,##0.000;[Red]\-&quot;₩&quot;#,##0.000"/>
    <numFmt numFmtId="197" formatCode="&quot;₩&quot;#,##0.000000;[Red]\-&quot;₩&quot;#,##0.000000"/>
    <numFmt numFmtId="198" formatCode="0.00000%"/>
    <numFmt numFmtId="199" formatCode="#.00"/>
    <numFmt numFmtId="200" formatCode="#&quot;년&quot;"/>
    <numFmt numFmtId="201" formatCode="0.000%"/>
    <numFmt numFmtId="202" formatCode="#,##0.0"/>
  </numFmts>
  <fonts count="10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3"/>
      <color indexed="8"/>
      <name val="Verdana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9"/>
      <name val="Verdana"/>
      <family val="2"/>
    </font>
    <font>
      <sz val="1"/>
      <color indexed="9"/>
      <name val="Symbol"/>
      <family val="1"/>
      <charset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b/>
      <u val="singleAccounting"/>
      <sz val="8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sz val="10"/>
      <name val="Times New Roman"/>
      <family val="1"/>
    </font>
    <font>
      <sz val="12"/>
      <name val="tms rmn"/>
    </font>
    <font>
      <sz val="10"/>
      <name val="MS Sans Serif"/>
      <family val="2"/>
    </font>
    <font>
      <sz val="10"/>
      <name val="Courier New"/>
      <family val="3"/>
    </font>
    <font>
      <b/>
      <i/>
      <strike/>
      <sz val="12"/>
      <color indexed="48"/>
      <name val="Arial"/>
      <family val="2"/>
    </font>
    <font>
      <sz val="8"/>
      <color indexed="9"/>
      <name val="Arial"/>
      <family val="2"/>
    </font>
    <font>
      <i/>
      <strike/>
      <sz val="12"/>
      <color indexed="40"/>
      <name val="Arial"/>
      <family val="2"/>
    </font>
    <font>
      <b/>
      <sz val="12"/>
      <name val="Arial"/>
      <family val="2"/>
    </font>
    <font>
      <b/>
      <sz val="12"/>
      <name val="tms rmn"/>
    </font>
    <font>
      <i/>
      <strike/>
      <sz val="12"/>
      <color indexed="10"/>
      <name val="Arial"/>
      <family val="2"/>
    </font>
    <font>
      <sz val="12"/>
      <color indexed="8"/>
      <name val="Times New Roman"/>
      <family val="1"/>
    </font>
    <font>
      <strike/>
      <sz val="12"/>
      <color indexed="46"/>
      <name val="Arial"/>
      <family val="2"/>
    </font>
    <font>
      <sz val="12"/>
      <color indexed="17"/>
      <name val="Arial"/>
      <family val="2"/>
    </font>
    <font>
      <strike/>
      <sz val="10"/>
      <name val="Arial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0"/>
      <color theme="1"/>
      <name val="Arial Unicode MS"/>
      <family val="2"/>
      <charset val="129"/>
    </font>
    <font>
      <i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10"/>
      <color theme="1"/>
      <name val="Garamond"/>
      <family val="1"/>
    </font>
    <font>
      <b/>
      <sz val="14"/>
      <color theme="1"/>
      <name val="Garamond"/>
      <family val="1"/>
    </font>
    <font>
      <i/>
      <sz val="10"/>
      <color theme="1"/>
      <name val="Garamond"/>
      <family val="1"/>
    </font>
    <font>
      <b/>
      <u/>
      <sz val="10"/>
      <color theme="1"/>
      <name val="Garamond"/>
      <family val="1"/>
    </font>
    <font>
      <b/>
      <sz val="10"/>
      <color theme="0"/>
      <name val="Garamond"/>
      <family val="1"/>
    </font>
    <font>
      <sz val="10"/>
      <color theme="0"/>
      <name val="Garamond"/>
      <family val="1"/>
    </font>
    <font>
      <b/>
      <sz val="10"/>
      <color theme="1"/>
      <name val="Garamond"/>
      <family val="1"/>
    </font>
    <font>
      <b/>
      <sz val="10"/>
      <color rgb="FF0000FF"/>
      <name val="Garamond"/>
      <family val="1"/>
    </font>
    <font>
      <sz val="10"/>
      <name val="Garamond"/>
      <family val="1"/>
    </font>
    <font>
      <i/>
      <sz val="10"/>
      <name val="Garamond"/>
      <family val="1"/>
    </font>
    <font>
      <sz val="10"/>
      <color rgb="FF0000FF"/>
      <name val="Garamond"/>
      <family val="1"/>
    </font>
    <font>
      <sz val="6"/>
      <color theme="1"/>
      <name val="Garamond"/>
      <family val="1"/>
    </font>
    <font>
      <b/>
      <sz val="16"/>
      <color theme="1"/>
      <name val="Garamond"/>
      <family val="1"/>
    </font>
    <font>
      <sz val="11"/>
      <color theme="1"/>
      <name val="Garamond"/>
      <family val="1"/>
    </font>
    <font>
      <sz val="11"/>
      <color rgb="FF0000FF"/>
      <name val="Garamond"/>
      <family val="1"/>
    </font>
    <font>
      <b/>
      <sz val="15"/>
      <color theme="1"/>
      <name val="바탕"/>
      <family val="1"/>
      <charset val="129"/>
    </font>
    <font>
      <sz val="10"/>
      <color theme="1"/>
      <name val="바탕"/>
      <family val="1"/>
      <charset val="129"/>
    </font>
    <font>
      <b/>
      <sz val="10"/>
      <color rgb="FF7030A0"/>
      <name val="Garamond"/>
      <family val="1"/>
    </font>
    <font>
      <sz val="10"/>
      <color theme="1"/>
      <name val="Verdana"/>
      <family val="2"/>
    </font>
    <font>
      <sz val="10"/>
      <name val="Verdana"/>
      <family val="2"/>
    </font>
    <font>
      <sz val="11"/>
      <color theme="1"/>
      <name val="맑은 고딕"/>
      <family val="3"/>
      <charset val="129"/>
      <scheme val="minor"/>
    </font>
    <font>
      <sz val="8"/>
      <color rgb="FF0000FF"/>
      <name val="Garamond"/>
      <family val="1"/>
    </font>
    <font>
      <sz val="8"/>
      <name val="Garamond"/>
      <family val="1"/>
    </font>
    <font>
      <sz val="11"/>
      <color theme="1"/>
      <name val="맑은 고딕"/>
      <family val="2"/>
      <charset val="129"/>
      <scheme val="minor"/>
    </font>
    <font>
      <sz val="10"/>
      <color theme="1" tint="0.34998626667073579"/>
      <name val="Garamond"/>
      <family val="1"/>
    </font>
    <font>
      <b/>
      <sz val="14"/>
      <color theme="1"/>
      <name val="바탕"/>
      <family val="1"/>
      <charset val="129"/>
    </font>
    <font>
      <b/>
      <sz val="10"/>
      <name val="Garamond"/>
      <family val="1"/>
    </font>
    <font>
      <b/>
      <sz val="10"/>
      <color rgb="FF006600"/>
      <name val="Garamond"/>
      <family val="1"/>
    </font>
    <font>
      <b/>
      <sz val="14"/>
      <color theme="1"/>
      <name val="맑은 고딕"/>
      <family val="1"/>
      <charset val="129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theme="1"/>
      <name val="바탕"/>
      <family val="1"/>
      <charset val="129"/>
    </font>
    <font>
      <sz val="10"/>
      <color indexed="8"/>
      <name val="Garamond"/>
      <family val="1"/>
    </font>
    <font>
      <b/>
      <sz val="10"/>
      <color indexed="8"/>
      <name val="Garamond"/>
      <family val="1"/>
    </font>
    <font>
      <b/>
      <i/>
      <sz val="10"/>
      <name val="Garamond"/>
      <family val="1"/>
    </font>
    <font>
      <i/>
      <sz val="10"/>
      <color theme="1"/>
      <name val="바탕"/>
      <family val="1"/>
      <charset val="129"/>
    </font>
    <font>
      <i/>
      <sz val="10"/>
      <color rgb="FF000000"/>
      <name val="바탕"/>
      <family val="1"/>
      <charset val="129"/>
    </font>
    <font>
      <b/>
      <sz val="10"/>
      <color theme="1"/>
      <name val="Garamond"/>
      <family val="1"/>
      <charset val="129"/>
    </font>
    <font>
      <b/>
      <sz val="10"/>
      <color rgb="FFFF0000"/>
      <name val="Garamond"/>
      <family val="1"/>
    </font>
    <font>
      <i/>
      <sz val="10"/>
      <color indexed="8"/>
      <name val="Garamond"/>
      <family val="1"/>
    </font>
    <font>
      <sz val="10"/>
      <color theme="1"/>
      <name val="Arial Unicode MS"/>
      <family val="1"/>
      <charset val="129"/>
    </font>
    <font>
      <sz val="10"/>
      <color rgb="FF7030A0"/>
      <name val="Garamond"/>
      <family val="1"/>
    </font>
    <font>
      <b/>
      <sz val="10"/>
      <color theme="1"/>
      <name val="Arial Unicode MS"/>
      <family val="1"/>
      <charset val="129"/>
    </font>
    <font>
      <b/>
      <sz val="10"/>
      <color theme="1"/>
      <name val="Arial Unicode MS"/>
      <family val="3"/>
      <charset val="129"/>
    </font>
    <font>
      <sz val="8"/>
      <color theme="1"/>
      <name val="Garamond"/>
      <family val="1"/>
    </font>
    <font>
      <i/>
      <sz val="10"/>
      <color rgb="FF0000FF"/>
      <name val="Garamond"/>
      <family val="1"/>
    </font>
    <font>
      <i/>
      <sz val="10"/>
      <color rgb="FF7030A0"/>
      <name val="Garamond"/>
      <family val="1"/>
    </font>
    <font>
      <sz val="10"/>
      <color rgb="FF006600"/>
      <name val="Garamond"/>
      <family val="1"/>
    </font>
    <font>
      <u/>
      <sz val="10"/>
      <color theme="1"/>
      <name val="Arial Unicode MS"/>
      <family val="1"/>
      <charset val="129"/>
    </font>
    <font>
      <b/>
      <sz val="10"/>
      <name val="Arial Unicode MS"/>
      <family val="1"/>
      <charset val="129"/>
    </font>
    <font>
      <u/>
      <sz val="10"/>
      <color theme="1"/>
      <name val="Garamond"/>
      <family val="1"/>
    </font>
    <font>
      <i/>
      <sz val="10"/>
      <color rgb="FF000000"/>
      <name val="Garamond"/>
      <family val="1"/>
    </font>
    <font>
      <b/>
      <sz val="10"/>
      <color theme="0"/>
      <name val="Garamond"/>
      <family val="3"/>
      <charset val="129"/>
    </font>
    <font>
      <b/>
      <sz val="10"/>
      <color theme="0"/>
      <name val="Arial Unicode MS"/>
      <family val="1"/>
      <charset val="129"/>
    </font>
    <font>
      <sz val="10"/>
      <color theme="1"/>
      <name val="Segoe UI Symbol"/>
      <family val="1"/>
    </font>
    <font>
      <i/>
      <sz val="8"/>
      <color theme="1"/>
      <name val="맑은 고딕"/>
      <family val="2"/>
      <scheme val="minor"/>
    </font>
    <font>
      <b/>
      <sz val="14"/>
      <color theme="1"/>
      <name val="Arial Unicode MS"/>
      <family val="1"/>
      <charset val="129"/>
    </font>
    <font>
      <b/>
      <sz val="14"/>
      <color theme="1"/>
      <name val="Garamond"/>
      <family val="1"/>
      <charset val="129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8"/>
        <bgColor indexed="17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4">
    <xf numFmtId="0" fontId="0" fillId="0" borderId="0">
      <alignment vertical="center"/>
    </xf>
    <xf numFmtId="0" fontId="3" fillId="0" borderId="0"/>
    <xf numFmtId="0" fontId="2" fillId="0" borderId="0"/>
    <xf numFmtId="0" fontId="8" fillId="0" borderId="0" applyAlignment="0"/>
    <xf numFmtId="0" fontId="12" fillId="0" borderId="0" applyAlignment="0"/>
    <xf numFmtId="0" fontId="13" fillId="0" borderId="0" applyAlignment="0"/>
    <xf numFmtId="0" fontId="13" fillId="0" borderId="0" applyAlignment="0"/>
    <xf numFmtId="0" fontId="13" fillId="0" borderId="0" applyAlignment="0"/>
    <xf numFmtId="0" fontId="13" fillId="0" borderId="0" applyAlignment="0"/>
    <xf numFmtId="0" fontId="11" fillId="6" borderId="0" applyAlignment="0"/>
    <xf numFmtId="0" fontId="14" fillId="7" borderId="0" applyAlignment="0"/>
    <xf numFmtId="0" fontId="15" fillId="8" borderId="0" applyAlignment="0"/>
    <xf numFmtId="0" fontId="16" fillId="0" borderId="0" applyAlignment="0"/>
    <xf numFmtId="0" fontId="7" fillId="5" borderId="0" applyAlignment="0"/>
    <xf numFmtId="0" fontId="17" fillId="0" borderId="0" applyAlignment="0"/>
    <xf numFmtId="0" fontId="18" fillId="0" borderId="0" applyAlignment="0"/>
    <xf numFmtId="0" fontId="9" fillId="0" borderId="0" applyAlignment="0"/>
    <xf numFmtId="0" fontId="10" fillId="0" borderId="0" applyAlignment="0"/>
    <xf numFmtId="0" fontId="6" fillId="0" borderId="0" applyAlignment="0"/>
    <xf numFmtId="0" fontId="4" fillId="0" borderId="0" applyAlignment="0"/>
    <xf numFmtId="0" fontId="9" fillId="0" borderId="0" applyAlignment="0">
      <alignment wrapText="1"/>
    </xf>
    <xf numFmtId="0" fontId="19" fillId="0" borderId="0"/>
    <xf numFmtId="177" fontId="20" fillId="0" borderId="0"/>
    <xf numFmtId="9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" fillId="0" borderId="0" applyFill="0" applyBorder="0" applyAlignment="0"/>
    <xf numFmtId="179" fontId="2" fillId="0" borderId="0" applyFill="0" applyBorder="0" applyAlignment="0"/>
    <xf numFmtId="0" fontId="2" fillId="0" borderId="0" applyFill="0" applyBorder="0" applyAlignment="0"/>
    <xf numFmtId="180" fontId="2" fillId="0" borderId="0" applyFill="0" applyBorder="0" applyAlignment="0"/>
    <xf numFmtId="0" fontId="2" fillId="0" borderId="0" applyFill="0" applyBorder="0" applyAlignment="0"/>
    <xf numFmtId="179" fontId="2" fillId="0" borderId="0" applyFill="0" applyBorder="0" applyAlignment="0"/>
    <xf numFmtId="0" fontId="2" fillId="0" borderId="0" applyFill="0" applyBorder="0" applyAlignment="0"/>
    <xf numFmtId="179" fontId="2" fillId="0" borderId="0" applyFill="0" applyBorder="0" applyAlignment="0"/>
    <xf numFmtId="0" fontId="22" fillId="0" borderId="0" applyNumberForma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3" fillId="0" borderId="0"/>
    <xf numFmtId="0" fontId="24" fillId="0" borderId="0" applyNumberFormat="0" applyAlignment="0"/>
    <xf numFmtId="14" fontId="12" fillId="0" borderId="0" applyFill="0" applyBorder="0" applyAlignment="0"/>
    <xf numFmtId="38" fontId="21" fillId="0" borderId="14">
      <alignment vertical="center"/>
    </xf>
    <xf numFmtId="179" fontId="2" fillId="0" borderId="0" applyFill="0" applyBorder="0" applyAlignment="0"/>
    <xf numFmtId="179" fontId="2" fillId="0" borderId="0" applyFill="0" applyBorder="0" applyAlignment="0"/>
    <xf numFmtId="179" fontId="2" fillId="0" borderId="0" applyFill="0" applyBorder="0" applyAlignment="0"/>
    <xf numFmtId="0" fontId="2" fillId="0" borderId="0" applyFill="0" applyBorder="0" applyAlignment="0"/>
    <xf numFmtId="179" fontId="2" fillId="0" borderId="0" applyFill="0" applyBorder="0" applyAlignment="0"/>
    <xf numFmtId="0" fontId="25" fillId="0" borderId="0"/>
    <xf numFmtId="181" fontId="20" fillId="0" borderId="0" applyFont="0" applyFill="0" applyBorder="0" applyAlignment="0" applyProtection="0"/>
    <xf numFmtId="40" fontId="2" fillId="0" borderId="0" applyNumberFormat="0">
      <alignment horizontal="right"/>
    </xf>
    <xf numFmtId="182" fontId="5" fillId="0" borderId="0">
      <alignment horizontal="left"/>
    </xf>
    <xf numFmtId="38" fontId="5" fillId="9" borderId="0" applyNumberFormat="0" applyBorder="0" applyAlignment="0" applyProtection="0"/>
    <xf numFmtId="0" fontId="26" fillId="0" borderId="13" applyNumberFormat="0" applyAlignment="0" applyProtection="0">
      <alignment horizontal="left" vertical="center"/>
    </xf>
    <xf numFmtId="0" fontId="26" fillId="0" borderId="10">
      <alignment horizontal="left" vertical="center"/>
    </xf>
    <xf numFmtId="0" fontId="27" fillId="0" borderId="0">
      <alignment horizontal="centerContinuous" vertical="center"/>
    </xf>
    <xf numFmtId="10" fontId="5" fillId="10" borderId="6" applyNumberFormat="0" applyBorder="0" applyAlignment="0" applyProtection="0"/>
    <xf numFmtId="179" fontId="2" fillId="0" borderId="0" applyFill="0" applyBorder="0" applyAlignment="0"/>
    <xf numFmtId="179" fontId="2" fillId="0" borderId="0" applyFill="0" applyBorder="0" applyAlignment="0"/>
    <xf numFmtId="179" fontId="2" fillId="0" borderId="0" applyFill="0" applyBorder="0" applyAlignment="0"/>
    <xf numFmtId="0" fontId="2" fillId="0" borderId="0" applyFill="0" applyBorder="0" applyAlignment="0"/>
    <xf numFmtId="179" fontId="2" fillId="0" borderId="0" applyFill="0" applyBorder="0" applyAlignment="0"/>
    <xf numFmtId="0" fontId="2" fillId="9" borderId="0"/>
    <xf numFmtId="183" fontId="2" fillId="0" borderId="0"/>
    <xf numFmtId="0" fontId="28" fillId="0" borderId="0"/>
    <xf numFmtId="0" fontId="29" fillId="11" borderId="0"/>
    <xf numFmtId="0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30" fillId="0" borderId="0"/>
    <xf numFmtId="179" fontId="2" fillId="0" borderId="0" applyFill="0" applyBorder="0" applyAlignment="0"/>
    <xf numFmtId="179" fontId="2" fillId="0" borderId="0" applyFill="0" applyBorder="0" applyAlignment="0"/>
    <xf numFmtId="179" fontId="2" fillId="0" borderId="0" applyFill="0" applyBorder="0" applyAlignment="0"/>
    <xf numFmtId="0" fontId="2" fillId="0" borderId="0" applyFill="0" applyBorder="0" applyAlignment="0"/>
    <xf numFmtId="179" fontId="2" fillId="0" borderId="0" applyFill="0" applyBorder="0" applyAlignment="0"/>
    <xf numFmtId="39" fontId="31" fillId="0" borderId="0" applyNumberFormat="0">
      <alignment horizontal="right"/>
    </xf>
    <xf numFmtId="185" fontId="2" fillId="0" borderId="2" applyBorder="0">
      <alignment horizontal="right"/>
    </xf>
    <xf numFmtId="0" fontId="32" fillId="0" borderId="0"/>
    <xf numFmtId="0" fontId="2" fillId="0" borderId="15" applyAlignment="0"/>
    <xf numFmtId="49" fontId="12" fillId="0" borderId="0" applyFill="0" applyBorder="0" applyAlignment="0"/>
    <xf numFmtId="179" fontId="2" fillId="0" borderId="0" applyFill="0" applyBorder="0" applyAlignment="0"/>
    <xf numFmtId="179" fontId="2" fillId="0" borderId="0" applyFill="0" applyBorder="0" applyAlignment="0"/>
    <xf numFmtId="0" fontId="2" fillId="12" borderId="0"/>
    <xf numFmtId="0" fontId="33" fillId="12" borderId="0" applyFill="0"/>
    <xf numFmtId="0" fontId="34" fillId="0" borderId="0"/>
    <xf numFmtId="0" fontId="61" fillId="0" borderId="0"/>
    <xf numFmtId="0" fontId="2" fillId="0" borderId="0"/>
    <xf numFmtId="0" fontId="62" fillId="0" borderId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63" fillId="0" borderId="0"/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6" fillId="0" borderId="0" applyFont="0" applyFill="0" applyBorder="0" applyAlignment="0" applyProtection="0">
      <alignment vertical="center"/>
    </xf>
  </cellStyleXfs>
  <cellXfs count="218">
    <xf numFmtId="0" fontId="0" fillId="0" borderId="0" xfId="0">
      <alignment vertical="center"/>
    </xf>
    <xf numFmtId="0" fontId="3" fillId="0" borderId="0" xfId="1"/>
    <xf numFmtId="0" fontId="3" fillId="2" borderId="11" xfId="1" applyFill="1" applyBorder="1"/>
    <xf numFmtId="0" fontId="3" fillId="2" borderId="12" xfId="1" applyFill="1" applyBorder="1"/>
    <xf numFmtId="0" fontId="3" fillId="2" borderId="7" xfId="1" applyFill="1" applyBorder="1"/>
    <xf numFmtId="0" fontId="3" fillId="2" borderId="9" xfId="1" applyFill="1" applyBorder="1"/>
    <xf numFmtId="0" fontId="3" fillId="2" borderId="0" xfId="1" applyFill="1"/>
    <xf numFmtId="0" fontId="3" fillId="2" borderId="5" xfId="1" applyFill="1" applyBorder="1"/>
    <xf numFmtId="0" fontId="3" fillId="2" borderId="8" xfId="1" applyFill="1" applyBorder="1"/>
    <xf numFmtId="0" fontId="3" fillId="2" borderId="3" xfId="1" applyFill="1" applyBorder="1"/>
    <xf numFmtId="0" fontId="3" fillId="2" borderId="4" xfId="1" applyFill="1" applyBorder="1"/>
    <xf numFmtId="0" fontId="43" fillId="0" borderId="0" xfId="0" applyFont="1">
      <alignment vertical="center"/>
    </xf>
    <xf numFmtId="0" fontId="44" fillId="0" borderId="1" xfId="0" applyFont="1" applyBorder="1" applyAlignment="1"/>
    <xf numFmtId="0" fontId="43" fillId="0" borderId="1" xfId="0" applyFont="1" applyBorder="1" applyAlignment="1"/>
    <xf numFmtId="0" fontId="45" fillId="0" borderId="0" xfId="0" applyFont="1" applyAlignment="1">
      <alignment horizontal="left"/>
    </xf>
    <xf numFmtId="0" fontId="43" fillId="0" borderId="0" xfId="0" applyFont="1" applyAlignment="1"/>
    <xf numFmtId="0" fontId="46" fillId="0" borderId="0" xfId="0" applyFont="1">
      <alignment vertical="center"/>
    </xf>
    <xf numFmtId="0" fontId="47" fillId="14" borderId="0" xfId="0" applyFont="1" applyFill="1">
      <alignment vertical="center"/>
    </xf>
    <xf numFmtId="0" fontId="48" fillId="14" borderId="0" xfId="0" applyFont="1" applyFill="1">
      <alignment vertical="center"/>
    </xf>
    <xf numFmtId="0" fontId="49" fillId="0" borderId="0" xfId="0" applyFont="1">
      <alignment vertical="center"/>
    </xf>
    <xf numFmtId="0" fontId="43" fillId="4" borderId="3" xfId="0" applyFont="1" applyFill="1" applyBorder="1">
      <alignment vertical="center"/>
    </xf>
    <xf numFmtId="0" fontId="43" fillId="4" borderId="4" xfId="0" applyFont="1" applyFill="1" applyBorder="1" applyAlignment="1">
      <alignment horizontal="right" vertical="center"/>
    </xf>
    <xf numFmtId="0" fontId="43" fillId="4" borderId="3" xfId="0" applyFont="1" applyFill="1" applyBorder="1" applyAlignment="1">
      <alignment horizontal="right" vertical="center"/>
    </xf>
    <xf numFmtId="3" fontId="43" fillId="0" borderId="5" xfId="0" applyNumberFormat="1" applyFont="1" applyBorder="1" applyAlignment="1">
      <alignment horizontal="right" vertical="center"/>
    </xf>
    <xf numFmtId="3" fontId="43" fillId="0" borderId="0" xfId="0" applyNumberFormat="1" applyFont="1">
      <alignment vertical="center"/>
    </xf>
    <xf numFmtId="3" fontId="43" fillId="0" borderId="5" xfId="0" applyNumberFormat="1" applyFont="1" applyBorder="1">
      <alignment vertical="center"/>
    </xf>
    <xf numFmtId="0" fontId="43" fillId="0" borderId="5" xfId="0" applyFont="1" applyBorder="1">
      <alignment vertical="center"/>
    </xf>
    <xf numFmtId="188" fontId="52" fillId="0" borderId="0" xfId="0" applyNumberFormat="1" applyFont="1">
      <alignment vertical="center"/>
    </xf>
    <xf numFmtId="9" fontId="50" fillId="0" borderId="0" xfId="0" applyNumberFormat="1" applyFont="1">
      <alignment vertical="center"/>
    </xf>
    <xf numFmtId="3" fontId="45" fillId="0" borderId="0" xfId="0" applyNumberFormat="1" applyFont="1" applyAlignment="1">
      <alignment horizontal="right" vertical="center"/>
    </xf>
    <xf numFmtId="0" fontId="54" fillId="0" borderId="0" xfId="1" applyFont="1" applyAlignment="1">
      <alignment horizontal="center" vertical="center"/>
    </xf>
    <xf numFmtId="0" fontId="55" fillId="0" borderId="1" xfId="1" applyFont="1" applyBorder="1"/>
    <xf numFmtId="0" fontId="56" fillId="0" borderId="1" xfId="1" applyFont="1" applyBorder="1"/>
    <xf numFmtId="0" fontId="56" fillId="0" borderId="0" xfId="1" applyFont="1"/>
    <xf numFmtId="14" fontId="57" fillId="3" borderId="0" xfId="1" applyNumberFormat="1" applyFont="1" applyFill="1" applyAlignment="1">
      <alignment horizontal="right"/>
    </xf>
    <xf numFmtId="188" fontId="50" fillId="3" borderId="0" xfId="0" applyNumberFormat="1" applyFont="1" applyFill="1">
      <alignment vertical="center"/>
    </xf>
    <xf numFmtId="0" fontId="59" fillId="0" borderId="0" xfId="0" applyFont="1">
      <alignment vertical="center"/>
    </xf>
    <xf numFmtId="0" fontId="60" fillId="0" borderId="1" xfId="0" applyFont="1" applyBorder="1" applyAlignment="1"/>
    <xf numFmtId="0" fontId="60" fillId="0" borderId="0" xfId="0" applyFont="1" applyAlignment="1"/>
    <xf numFmtId="0" fontId="64" fillId="0" borderId="0" xfId="1" applyFont="1"/>
    <xf numFmtId="14" fontId="64" fillId="0" borderId="0" xfId="1" applyNumberFormat="1" applyFont="1"/>
    <xf numFmtId="0" fontId="64" fillId="0" borderId="0" xfId="1" applyFont="1" applyAlignment="1">
      <alignment horizontal="right"/>
    </xf>
    <xf numFmtId="186" fontId="67" fillId="0" borderId="0" xfId="0" applyNumberFormat="1" applyFont="1">
      <alignment vertical="center"/>
    </xf>
    <xf numFmtId="0" fontId="64" fillId="3" borderId="0" xfId="1" applyFont="1" applyFill="1" applyAlignment="1">
      <alignment horizontal="center"/>
    </xf>
    <xf numFmtId="14" fontId="64" fillId="3" borderId="0" xfId="1" applyNumberFormat="1" applyFont="1" applyFill="1" applyAlignment="1">
      <alignment horizontal="center"/>
    </xf>
    <xf numFmtId="188" fontId="53" fillId="3" borderId="0" xfId="0" applyNumberFormat="1" applyFont="1" applyFill="1" applyAlignment="1">
      <alignment horizontal="center"/>
    </xf>
    <xf numFmtId="0" fontId="43" fillId="0" borderId="0" xfId="0" applyFont="1" applyAlignment="1">
      <alignment horizontal="right"/>
    </xf>
    <xf numFmtId="0" fontId="65" fillId="0" borderId="0" xfId="1" applyFont="1"/>
    <xf numFmtId="14" fontId="65" fillId="0" borderId="0" xfId="1" applyNumberFormat="1" applyFont="1"/>
    <xf numFmtId="0" fontId="65" fillId="0" borderId="0" xfId="1" applyFont="1" applyAlignment="1">
      <alignment horizontal="right"/>
    </xf>
    <xf numFmtId="0" fontId="43" fillId="4" borderId="3" xfId="1" applyFont="1" applyFill="1" applyBorder="1"/>
    <xf numFmtId="0" fontId="43" fillId="4" borderId="3" xfId="1" applyFont="1" applyFill="1" applyBorder="1" applyAlignment="1">
      <alignment vertical="center"/>
    </xf>
    <xf numFmtId="0" fontId="43" fillId="4" borderId="3" xfId="1" applyFont="1" applyFill="1" applyBorder="1" applyAlignment="1">
      <alignment horizontal="right" vertical="center"/>
    </xf>
    <xf numFmtId="0" fontId="43" fillId="4" borderId="3" xfId="1" applyFont="1" applyFill="1" applyBorder="1" applyAlignment="1">
      <alignment horizontal="left" vertical="center"/>
    </xf>
    <xf numFmtId="189" fontId="52" fillId="0" borderId="0" xfId="87" applyNumberFormat="1" applyFont="1" applyAlignment="1">
      <alignment horizontal="right" vertical="center"/>
    </xf>
    <xf numFmtId="0" fontId="45" fillId="0" borderId="0" xfId="0" applyFont="1">
      <alignment vertical="center"/>
    </xf>
    <xf numFmtId="186" fontId="51" fillId="0" borderId="0" xfId="87" applyNumberFormat="1" applyFont="1" applyAlignment="1">
      <alignment horizontal="right" vertical="center"/>
    </xf>
    <xf numFmtId="190" fontId="53" fillId="3" borderId="6" xfId="0" applyNumberFormat="1" applyFont="1" applyFill="1" applyBorder="1" applyAlignment="1">
      <alignment horizontal="center"/>
    </xf>
    <xf numFmtId="0" fontId="43" fillId="0" borderId="0" xfId="0" applyFont="1" applyAlignment="1">
      <alignment horizontal="left" vertical="center" indent="1"/>
    </xf>
    <xf numFmtId="186" fontId="69" fillId="0" borderId="0" xfId="87" applyNumberFormat="1" applyFont="1" applyAlignment="1">
      <alignment horizontal="right" vertical="center"/>
    </xf>
    <xf numFmtId="188" fontId="49" fillId="0" borderId="0" xfId="0" applyNumberFormat="1" applyFont="1">
      <alignment vertical="center"/>
    </xf>
    <xf numFmtId="0" fontId="71" fillId="0" borderId="1" xfId="0" applyFont="1" applyBorder="1" applyAlignment="1"/>
    <xf numFmtId="4" fontId="43" fillId="0" borderId="3" xfId="0" applyNumberFormat="1" applyFont="1" applyBorder="1">
      <alignment vertical="center"/>
    </xf>
    <xf numFmtId="4" fontId="43" fillId="0" borderId="4" xfId="0" applyNumberFormat="1" applyFont="1" applyBorder="1">
      <alignment vertical="center"/>
    </xf>
    <xf numFmtId="0" fontId="68" fillId="0" borderId="1" xfId="0" applyFont="1" applyBorder="1" applyAlignment="1"/>
    <xf numFmtId="0" fontId="74" fillId="4" borderId="16" xfId="0" applyFont="1" applyFill="1" applyBorder="1">
      <alignment vertical="center"/>
    </xf>
    <xf numFmtId="0" fontId="0" fillId="4" borderId="10" xfId="0" applyFill="1" applyBorder="1">
      <alignment vertical="center"/>
    </xf>
    <xf numFmtId="0" fontId="7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4" fillId="4" borderId="8" xfId="0" applyFont="1" applyFill="1" applyBorder="1">
      <alignment vertical="center"/>
    </xf>
    <xf numFmtId="0" fontId="0" fillId="4" borderId="3" xfId="0" applyFill="1" applyBorder="1">
      <alignment vertical="center"/>
    </xf>
    <xf numFmtId="191" fontId="0" fillId="0" borderId="4" xfId="0" applyNumberFormat="1" applyBorder="1" applyAlignment="1">
      <alignment horizontal="center" vertical="center"/>
    </xf>
    <xf numFmtId="188" fontId="74" fillId="0" borderId="4" xfId="0" applyNumberFormat="1" applyFont="1" applyBorder="1" applyAlignment="1">
      <alignment horizontal="right" vertical="center"/>
    </xf>
    <xf numFmtId="0" fontId="75" fillId="0" borderId="4" xfId="0" applyFont="1" applyBorder="1" applyAlignment="1">
      <alignment horizontal="center" vertical="center"/>
    </xf>
    <xf numFmtId="0" fontId="74" fillId="4" borderId="3" xfId="0" applyFont="1" applyFill="1" applyBorder="1">
      <alignment vertical="center"/>
    </xf>
    <xf numFmtId="0" fontId="7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4" fillId="4" borderId="2" xfId="0" applyFont="1" applyFill="1" applyBorder="1">
      <alignment vertical="center"/>
    </xf>
    <xf numFmtId="188" fontId="74" fillId="15" borderId="4" xfId="0" applyNumberFormat="1" applyFont="1" applyFill="1" applyBorder="1" applyAlignment="1">
      <alignment horizontal="center" vertical="center"/>
    </xf>
    <xf numFmtId="0" fontId="74" fillId="4" borderId="6" xfId="0" applyFont="1" applyFill="1" applyBorder="1">
      <alignment vertical="center"/>
    </xf>
    <xf numFmtId="0" fontId="74" fillId="4" borderId="4" xfId="0" applyFont="1" applyFill="1" applyBorder="1">
      <alignment vertical="center"/>
    </xf>
    <xf numFmtId="188" fontId="76" fillId="16" borderId="4" xfId="0" applyNumberFormat="1" applyFont="1" applyFill="1" applyBorder="1" applyAlignment="1">
      <alignment horizontal="center" vertical="center"/>
    </xf>
    <xf numFmtId="0" fontId="74" fillId="4" borderId="17" xfId="0" applyFont="1" applyFill="1" applyBorder="1">
      <alignment vertical="center"/>
    </xf>
    <xf numFmtId="0" fontId="0" fillId="4" borderId="4" xfId="0" applyFill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192" fontId="0" fillId="0" borderId="12" xfId="0" applyNumberFormat="1" applyBorder="1">
      <alignment vertical="center"/>
    </xf>
    <xf numFmtId="192" fontId="0" fillId="0" borderId="7" xfId="0" applyNumberFormat="1" applyBorder="1">
      <alignment vertical="center"/>
    </xf>
    <xf numFmtId="0" fontId="0" fillId="17" borderId="7" xfId="0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3" xfId="0" applyBorder="1">
      <alignment vertical="center"/>
    </xf>
    <xf numFmtId="192" fontId="0" fillId="0" borderId="3" xfId="0" applyNumberFormat="1" applyBorder="1">
      <alignment vertical="center"/>
    </xf>
    <xf numFmtId="192" fontId="0" fillId="0" borderId="4" xfId="0" applyNumberFormat="1" applyBorder="1">
      <alignment vertical="center"/>
    </xf>
    <xf numFmtId="0" fontId="0" fillId="17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9" xfId="0" applyBorder="1">
      <alignment vertical="center"/>
    </xf>
    <xf numFmtId="192" fontId="0" fillId="0" borderId="0" xfId="0" applyNumberFormat="1">
      <alignment vertical="center"/>
    </xf>
    <xf numFmtId="192" fontId="0" fillId="0" borderId="5" xfId="0" applyNumberFormat="1" applyBorder="1">
      <alignment vertical="center"/>
    </xf>
    <xf numFmtId="0" fontId="0" fillId="16" borderId="5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72" fillId="14" borderId="16" xfId="0" applyFont="1" applyFill="1" applyBorder="1">
      <alignment vertical="center"/>
    </xf>
    <xf numFmtId="0" fontId="73" fillId="14" borderId="10" xfId="0" applyFont="1" applyFill="1" applyBorder="1">
      <alignment vertical="center"/>
    </xf>
    <xf numFmtId="0" fontId="73" fillId="14" borderId="2" xfId="0" applyFont="1" applyFill="1" applyBorder="1">
      <alignment vertical="center"/>
    </xf>
    <xf numFmtId="0" fontId="72" fillId="14" borderId="10" xfId="0" applyFont="1" applyFill="1" applyBorder="1" applyAlignment="1">
      <alignment horizontal="right" vertical="center"/>
    </xf>
    <xf numFmtId="0" fontId="72" fillId="14" borderId="2" xfId="0" applyFont="1" applyFill="1" applyBorder="1" applyAlignment="1">
      <alignment horizontal="right" vertical="center"/>
    </xf>
    <xf numFmtId="0" fontId="72" fillId="14" borderId="2" xfId="0" applyFont="1" applyFill="1" applyBorder="1" applyAlignment="1">
      <alignment horizontal="center" vertical="center"/>
    </xf>
    <xf numFmtId="188" fontId="51" fillId="0" borderId="0" xfId="0" applyNumberFormat="1" applyFont="1">
      <alignment vertical="center"/>
    </xf>
    <xf numFmtId="188" fontId="69" fillId="0" borderId="0" xfId="0" applyNumberFormat="1" applyFont="1">
      <alignment vertical="center"/>
    </xf>
    <xf numFmtId="187" fontId="43" fillId="0" borderId="0" xfId="0" applyNumberFormat="1" applyFont="1">
      <alignment vertical="center"/>
    </xf>
    <xf numFmtId="194" fontId="78" fillId="0" borderId="0" xfId="87" applyNumberFormat="1" applyFont="1" applyAlignment="1">
      <alignment horizontal="right" vertical="center" wrapText="1"/>
    </xf>
    <xf numFmtId="194" fontId="78" fillId="0" borderId="7" xfId="87" applyNumberFormat="1" applyFont="1" applyBorder="1" applyAlignment="1">
      <alignment horizontal="right" vertical="center" wrapText="1"/>
    </xf>
    <xf numFmtId="0" fontId="43" fillId="0" borderId="0" xfId="0" applyFont="1" applyAlignment="1">
      <alignment horizontal="left" vertical="center"/>
    </xf>
    <xf numFmtId="194" fontId="78" fillId="0" borderId="3" xfId="87" applyNumberFormat="1" applyFont="1" applyBorder="1" applyAlignment="1">
      <alignment horizontal="right" vertical="center" wrapText="1"/>
    </xf>
    <xf numFmtId="187" fontId="50" fillId="3" borderId="0" xfId="0" applyNumberFormat="1" applyFont="1" applyFill="1">
      <alignment vertical="center"/>
    </xf>
    <xf numFmtId="188" fontId="79" fillId="0" borderId="0" xfId="87" applyNumberFormat="1" applyFont="1" applyAlignment="1">
      <alignment horizontal="right" vertical="center" wrapText="1"/>
    </xf>
    <xf numFmtId="194" fontId="79" fillId="0" borderId="5" xfId="87" applyNumberFormat="1" applyFont="1" applyBorder="1" applyAlignment="1">
      <alignment horizontal="right" vertical="center" wrapText="1"/>
    </xf>
    <xf numFmtId="188" fontId="80" fillId="0" borderId="0" xfId="0" applyNumberFormat="1" applyFont="1">
      <alignment vertical="center"/>
    </xf>
    <xf numFmtId="193" fontId="51" fillId="0" borderId="0" xfId="0" applyNumberFormat="1" applyFont="1">
      <alignment vertical="center"/>
    </xf>
    <xf numFmtId="25" fontId="78" fillId="0" borderId="0" xfId="87" applyNumberFormat="1" applyFont="1" applyAlignment="1">
      <alignment horizontal="right" vertical="center" wrapText="1"/>
    </xf>
    <xf numFmtId="4" fontId="70" fillId="0" borderId="4" xfId="0" applyNumberFormat="1" applyFont="1" applyBorder="1">
      <alignment vertical="center"/>
    </xf>
    <xf numFmtId="188" fontId="50" fillId="3" borderId="7" xfId="0" applyNumberFormat="1" applyFont="1" applyFill="1" applyBorder="1">
      <alignment vertical="center"/>
    </xf>
    <xf numFmtId="188" fontId="80" fillId="0" borderId="5" xfId="0" applyNumberFormat="1" applyFont="1" applyBorder="1">
      <alignment vertical="center"/>
    </xf>
    <xf numFmtId="0" fontId="49" fillId="0" borderId="3" xfId="0" applyFont="1" applyBorder="1">
      <alignment vertical="center"/>
    </xf>
    <xf numFmtId="188" fontId="69" fillId="0" borderId="3" xfId="0" applyNumberFormat="1" applyFont="1" applyBorder="1">
      <alignment vertical="center"/>
    </xf>
    <xf numFmtId="188" fontId="79" fillId="0" borderId="3" xfId="87" applyNumberFormat="1" applyFont="1" applyBorder="1" applyAlignment="1">
      <alignment horizontal="right" vertical="center" wrapText="1"/>
    </xf>
    <xf numFmtId="0" fontId="58" fillId="0" borderId="0" xfId="1" applyFont="1"/>
    <xf numFmtId="0" fontId="58" fillId="0" borderId="0" xfId="1" applyFont="1" applyAlignment="1">
      <alignment horizontal="right"/>
    </xf>
    <xf numFmtId="0" fontId="49" fillId="0" borderId="0" xfId="0" applyFont="1" applyAlignment="1"/>
    <xf numFmtId="188" fontId="45" fillId="0" borderId="0" xfId="0" applyNumberFormat="1" applyFont="1" applyAlignment="1"/>
    <xf numFmtId="193" fontId="43" fillId="0" borderId="0" xfId="0" applyNumberFormat="1" applyFont="1" applyAlignment="1"/>
    <xf numFmtId="193" fontId="87" fillId="0" borderId="0" xfId="0" applyNumberFormat="1" applyFont="1" applyAlignment="1"/>
    <xf numFmtId="0" fontId="50" fillId="0" borderId="0" xfId="0" applyFont="1" applyAlignment="1"/>
    <xf numFmtId="6" fontId="43" fillId="0" borderId="0" xfId="0" applyNumberFormat="1" applyFont="1" applyAlignment="1"/>
    <xf numFmtId="8" fontId="43" fillId="0" borderId="0" xfId="0" applyNumberFormat="1" applyFont="1" applyAlignment="1"/>
    <xf numFmtId="196" fontId="43" fillId="0" borderId="0" xfId="0" applyNumberFormat="1" applyFont="1" applyAlignment="1"/>
    <xf numFmtId="197" fontId="43" fillId="0" borderId="0" xfId="0" applyNumberFormat="1" applyFont="1" applyAlignment="1"/>
    <xf numFmtId="10" fontId="45" fillId="0" borderId="0" xfId="0" applyNumberFormat="1" applyFont="1" applyAlignment="1"/>
    <xf numFmtId="193" fontId="87" fillId="18" borderId="0" xfId="0" applyNumberFormat="1" applyFont="1" applyFill="1" applyAlignment="1"/>
    <xf numFmtId="0" fontId="43" fillId="18" borderId="0" xfId="0" applyFont="1" applyFill="1" applyAlignment="1"/>
    <xf numFmtId="198" fontId="45" fillId="0" borderId="0" xfId="0" applyNumberFormat="1" applyFont="1" applyAlignment="1"/>
    <xf numFmtId="188" fontId="85" fillId="0" borderId="0" xfId="87" applyNumberFormat="1" applyFont="1" applyAlignment="1">
      <alignment horizontal="right" vertical="center" wrapText="1"/>
    </xf>
    <xf numFmtId="188" fontId="91" fillId="0" borderId="0" xfId="87" applyNumberFormat="1" applyFont="1" applyAlignment="1">
      <alignment horizontal="right" vertical="center" wrapText="1"/>
    </xf>
    <xf numFmtId="188" fontId="50" fillId="3" borderId="0" xfId="0" applyNumberFormat="1" applyFont="1" applyFill="1" applyAlignment="1">
      <alignment horizontal="center" vertical="center"/>
    </xf>
    <xf numFmtId="0" fontId="43" fillId="4" borderId="0" xfId="0" applyFont="1" applyFill="1" applyAlignment="1">
      <alignment horizontal="right" vertical="center"/>
    </xf>
    <xf numFmtId="0" fontId="43" fillId="4" borderId="8" xfId="0" applyFont="1" applyFill="1" applyBorder="1" applyAlignment="1">
      <alignment horizontal="right" vertical="center"/>
    </xf>
    <xf numFmtId="188" fontId="91" fillId="0" borderId="0" xfId="0" applyNumberFormat="1" applyFont="1" applyAlignment="1"/>
    <xf numFmtId="0" fontId="43" fillId="4" borderId="0" xfId="0" applyFont="1" applyFill="1" applyAlignment="1"/>
    <xf numFmtId="0" fontId="49" fillId="18" borderId="0" xfId="0" applyFont="1" applyFill="1" applyAlignment="1"/>
    <xf numFmtId="196" fontId="43" fillId="18" borderId="0" xfId="0" applyNumberFormat="1" applyFont="1" applyFill="1" applyAlignment="1"/>
    <xf numFmtId="188" fontId="45" fillId="18" borderId="0" xfId="0" applyNumberFormat="1" applyFont="1" applyFill="1" applyAlignment="1"/>
    <xf numFmtId="0" fontId="50" fillId="18" borderId="0" xfId="0" applyFont="1" applyFill="1" applyAlignment="1"/>
    <xf numFmtId="195" fontId="43" fillId="18" borderId="0" xfId="0" applyNumberFormat="1" applyFont="1" applyFill="1" applyAlignment="1"/>
    <xf numFmtId="193" fontId="43" fillId="18" borderId="0" xfId="0" applyNumberFormat="1" applyFont="1" applyFill="1" applyAlignment="1"/>
    <xf numFmtId="187" fontId="70" fillId="3" borderId="0" xfId="0" applyNumberFormat="1" applyFont="1" applyFill="1">
      <alignment vertical="center"/>
    </xf>
    <xf numFmtId="188" fontId="84" fillId="3" borderId="6" xfId="0" applyNumberFormat="1" applyFont="1" applyFill="1" applyBorder="1" applyAlignment="1">
      <alignment horizontal="center" vertical="center"/>
    </xf>
    <xf numFmtId="194" fontId="87" fillId="0" borderId="0" xfId="87" applyNumberFormat="1" applyFont="1" applyAlignment="1">
      <alignment horizontal="right" vertical="center" wrapText="1"/>
    </xf>
    <xf numFmtId="188" fontId="60" fillId="3" borderId="0" xfId="0" applyNumberFormat="1" applyFont="1" applyFill="1">
      <alignment vertical="center"/>
    </xf>
    <xf numFmtId="188" fontId="87" fillId="0" borderId="0" xfId="0" applyNumberFormat="1" applyFont="1">
      <alignment vertical="center"/>
    </xf>
    <xf numFmtId="188" fontId="87" fillId="0" borderId="7" xfId="0" applyNumberFormat="1" applyFont="1" applyBorder="1">
      <alignment vertical="center"/>
    </xf>
    <xf numFmtId="188" fontId="92" fillId="0" borderId="0" xfId="0" applyNumberFormat="1" applyFont="1">
      <alignment vertical="center"/>
    </xf>
    <xf numFmtId="194" fontId="53" fillId="0" borderId="0" xfId="87" applyNumberFormat="1" applyFont="1" applyAlignment="1">
      <alignment horizontal="right" vertical="center" wrapText="1"/>
    </xf>
    <xf numFmtId="3" fontId="53" fillId="0" borderId="0" xfId="0" applyNumberFormat="1" applyFont="1">
      <alignment vertical="center"/>
    </xf>
    <xf numFmtId="194" fontId="87" fillId="0" borderId="7" xfId="87" applyNumberFormat="1" applyFont="1" applyBorder="1" applyAlignment="1">
      <alignment horizontal="right" vertical="center" wrapText="1"/>
    </xf>
    <xf numFmtId="194" fontId="53" fillId="0" borderId="5" xfId="87" applyNumberFormat="1" applyFont="1" applyBorder="1" applyAlignment="1">
      <alignment horizontal="right" vertical="center" wrapText="1"/>
    </xf>
    <xf numFmtId="194" fontId="87" fillId="0" borderId="5" xfId="87" applyNumberFormat="1" applyFont="1" applyBorder="1" applyAlignment="1">
      <alignment horizontal="right" vertical="center" wrapText="1"/>
    </xf>
    <xf numFmtId="194" fontId="53" fillId="0" borderId="3" xfId="87" applyNumberFormat="1" applyFont="1" applyBorder="1" applyAlignment="1">
      <alignment horizontal="right" vertical="center" wrapText="1"/>
    </xf>
    <xf numFmtId="194" fontId="87" fillId="0" borderId="3" xfId="87" applyNumberFormat="1" applyFont="1" applyBorder="1" applyAlignment="1">
      <alignment horizontal="right" vertical="center" wrapText="1"/>
    </xf>
    <xf numFmtId="194" fontId="93" fillId="0" borderId="7" xfId="87" applyNumberFormat="1" applyFont="1" applyBorder="1" applyAlignment="1">
      <alignment horizontal="right" vertical="center" wrapText="1"/>
    </xf>
    <xf numFmtId="10" fontId="91" fillId="0" borderId="0" xfId="0" applyNumberFormat="1" applyFont="1" applyAlignment="1"/>
    <xf numFmtId="0" fontId="69" fillId="0" borderId="0" xfId="0" applyFont="1" applyAlignment="1"/>
    <xf numFmtId="0" fontId="43" fillId="4" borderId="3" xfId="0" applyFont="1" applyFill="1" applyBorder="1" applyAlignment="1"/>
    <xf numFmtId="14" fontId="90" fillId="4" borderId="3" xfId="0" applyNumberFormat="1" applyFont="1" applyFill="1" applyBorder="1" applyAlignment="1"/>
    <xf numFmtId="194" fontId="79" fillId="0" borderId="0" xfId="87" applyNumberFormat="1" applyFont="1" applyAlignment="1">
      <alignment horizontal="right" vertical="center" wrapText="1"/>
    </xf>
    <xf numFmtId="3" fontId="43" fillId="0" borderId="7" xfId="0" applyNumberFormat="1" applyFont="1" applyBorder="1">
      <alignment vertical="center"/>
    </xf>
    <xf numFmtId="188" fontId="92" fillId="0" borderId="5" xfId="0" applyNumberFormat="1" applyFont="1" applyBorder="1">
      <alignment vertical="center"/>
    </xf>
    <xf numFmtId="0" fontId="45" fillId="0" borderId="0" xfId="0" applyFont="1" applyAlignment="1">
      <alignment horizontal="right"/>
    </xf>
    <xf numFmtId="0" fontId="43" fillId="18" borderId="0" xfId="0" applyFont="1" applyFill="1" applyAlignment="1">
      <alignment horizontal="right"/>
    </xf>
    <xf numFmtId="0" fontId="96" fillId="0" borderId="0" xfId="0" applyFont="1" applyAlignment="1"/>
    <xf numFmtId="0" fontId="43" fillId="0" borderId="3" xfId="0" applyFont="1" applyBorder="1">
      <alignment vertical="center"/>
    </xf>
    <xf numFmtId="3" fontId="49" fillId="0" borderId="0" xfId="0" applyNumberFormat="1" applyFont="1" applyAlignment="1">
      <alignment horizontal="right" vertical="center"/>
    </xf>
    <xf numFmtId="0" fontId="49" fillId="0" borderId="0" xfId="0" applyFont="1" applyAlignment="1">
      <alignment horizontal="right" vertical="center"/>
    </xf>
    <xf numFmtId="0" fontId="43" fillId="0" borderId="0" xfId="0" applyFont="1" applyAlignment="1">
      <alignment horizontal="right" vertical="center"/>
    </xf>
    <xf numFmtId="0" fontId="45" fillId="0" borderId="3" xfId="0" applyFont="1" applyBorder="1">
      <alignment vertical="center"/>
    </xf>
    <xf numFmtId="9" fontId="43" fillId="0" borderId="0" xfId="0" applyNumberFormat="1" applyFont="1" applyAlignment="1">
      <alignment horizontal="left" vertical="center"/>
    </xf>
    <xf numFmtId="0" fontId="98" fillId="14" borderId="0" xfId="0" applyFont="1" applyFill="1">
      <alignment vertical="center"/>
    </xf>
    <xf numFmtId="3" fontId="49" fillId="18" borderId="0" xfId="0" applyNumberFormat="1" applyFont="1" applyFill="1">
      <alignment vertical="center"/>
    </xf>
    <xf numFmtId="3" fontId="45" fillId="18" borderId="0" xfId="0" applyNumberFormat="1" applyFont="1" applyFill="1" applyAlignment="1">
      <alignment horizontal="right" vertical="center"/>
    </xf>
    <xf numFmtId="188" fontId="52" fillId="18" borderId="0" xfId="0" applyNumberFormat="1" applyFont="1" applyFill="1">
      <alignment vertical="center"/>
    </xf>
    <xf numFmtId="3" fontId="43" fillId="18" borderId="0" xfId="0" applyNumberFormat="1" applyFont="1" applyFill="1">
      <alignment vertical="center"/>
    </xf>
    <xf numFmtId="193" fontId="43" fillId="3" borderId="0" xfId="0" applyNumberFormat="1" applyFont="1" applyFill="1" applyAlignment="1"/>
    <xf numFmtId="0" fontId="43" fillId="0" borderId="3" xfId="0" applyFont="1" applyBorder="1" applyAlignment="1"/>
    <xf numFmtId="199" fontId="43" fillId="0" borderId="0" xfId="0" applyNumberFormat="1" applyFont="1" applyAlignment="1"/>
    <xf numFmtId="199" fontId="43" fillId="0" borderId="3" xfId="0" applyNumberFormat="1" applyFont="1" applyBorder="1" applyAlignment="1"/>
    <xf numFmtId="200" fontId="43" fillId="0" borderId="0" xfId="0" applyNumberFormat="1" applyFont="1" applyAlignment="1"/>
    <xf numFmtId="0" fontId="49" fillId="0" borderId="0" xfId="0" applyFont="1" applyAlignment="1">
      <alignment horizontal="right"/>
    </xf>
    <xf numFmtId="10" fontId="92" fillId="0" borderId="0" xfId="0" applyNumberFormat="1" applyFont="1" applyAlignment="1"/>
    <xf numFmtId="10" fontId="45" fillId="3" borderId="0" xfId="0" applyNumberFormat="1" applyFont="1" applyFill="1" applyAlignment="1"/>
    <xf numFmtId="4" fontId="60" fillId="0" borderId="4" xfId="0" applyNumberFormat="1" applyFont="1" applyBorder="1">
      <alignment vertical="center"/>
    </xf>
    <xf numFmtId="188" fontId="79" fillId="18" borderId="0" xfId="87" applyNumberFormat="1" applyFont="1" applyFill="1" applyAlignment="1">
      <alignment horizontal="right" vertical="center" wrapText="1"/>
    </xf>
    <xf numFmtId="0" fontId="86" fillId="4" borderId="3" xfId="0" applyFont="1" applyFill="1" applyBorder="1" applyAlignment="1">
      <alignment horizontal="right" vertical="center"/>
    </xf>
    <xf numFmtId="0" fontId="86" fillId="4" borderId="3" xfId="0" applyFont="1" applyFill="1" applyBorder="1">
      <alignment vertical="center"/>
    </xf>
    <xf numFmtId="188" fontId="45" fillId="0" borderId="0" xfId="0" applyNumberFormat="1" applyFont="1">
      <alignment vertical="center"/>
    </xf>
    <xf numFmtId="0" fontId="59" fillId="0" borderId="3" xfId="0" applyFont="1" applyBorder="1">
      <alignment vertical="center"/>
    </xf>
    <xf numFmtId="0" fontId="86" fillId="0" borderId="0" xfId="0" applyFont="1" applyAlignment="1">
      <alignment horizontal="right" vertical="center"/>
    </xf>
    <xf numFmtId="188" fontId="91" fillId="0" borderId="0" xfId="0" applyNumberFormat="1" applyFont="1">
      <alignment vertical="center"/>
    </xf>
    <xf numFmtId="188" fontId="91" fillId="0" borderId="3" xfId="0" applyNumberFormat="1" applyFont="1" applyBorder="1">
      <alignment vertical="center"/>
    </xf>
    <xf numFmtId="188" fontId="87" fillId="0" borderId="3" xfId="0" applyNumberFormat="1" applyFont="1" applyBorder="1">
      <alignment vertical="center"/>
    </xf>
    <xf numFmtId="0" fontId="100" fillId="0" borderId="0" xfId="0" applyFont="1" applyAlignment="1"/>
    <xf numFmtId="201" fontId="45" fillId="0" borderId="0" xfId="0" applyNumberFormat="1" applyFont="1">
      <alignment vertical="center"/>
    </xf>
    <xf numFmtId="176" fontId="51" fillId="0" borderId="0" xfId="87" applyNumberFormat="1" applyFont="1" applyAlignment="1">
      <alignment horizontal="right" vertical="center"/>
    </xf>
    <xf numFmtId="0" fontId="51" fillId="0" borderId="0" xfId="0" applyFont="1">
      <alignment vertical="center"/>
    </xf>
    <xf numFmtId="188" fontId="52" fillId="0" borderId="0" xfId="93" applyNumberFormat="1" applyFont="1" applyFill="1">
      <alignment vertical="center"/>
    </xf>
    <xf numFmtId="0" fontId="51" fillId="14" borderId="0" xfId="0" applyFont="1" applyFill="1">
      <alignment vertical="center"/>
    </xf>
    <xf numFmtId="0" fontId="3" fillId="0" borderId="1" xfId="1" applyBorder="1"/>
    <xf numFmtId="0" fontId="101" fillId="0" borderId="0" xfId="1" applyFont="1"/>
    <xf numFmtId="199" fontId="43" fillId="3" borderId="0" xfId="0" applyNumberFormat="1" applyFont="1" applyFill="1" applyAlignment="1"/>
    <xf numFmtId="202" fontId="43" fillId="0" borderId="0" xfId="0" applyNumberFormat="1" applyFont="1" applyAlignment="1"/>
    <xf numFmtId="0" fontId="103" fillId="0" borderId="1" xfId="0" applyFont="1" applyBorder="1" applyAlignment="1"/>
  </cellXfs>
  <cellStyles count="94">
    <cellStyle name="Calc Currency (0)" xfId="25" xr:uid="{00000000-0005-0000-0000-000000000000}"/>
    <cellStyle name="Calc Currency (2)" xfId="26" xr:uid="{00000000-0005-0000-0000-000001000000}"/>
    <cellStyle name="Calc Percent (0)" xfId="27" xr:uid="{00000000-0005-0000-0000-000002000000}"/>
    <cellStyle name="Calc Percent (1)" xfId="28" xr:uid="{00000000-0005-0000-0000-000003000000}"/>
    <cellStyle name="Calc Percent (2)" xfId="29" xr:uid="{00000000-0005-0000-0000-000004000000}"/>
    <cellStyle name="Calc Units (0)" xfId="30" xr:uid="{00000000-0005-0000-0000-000005000000}"/>
    <cellStyle name="Calc Units (1)" xfId="31" xr:uid="{00000000-0005-0000-0000-000006000000}"/>
    <cellStyle name="Calc Units (2)" xfId="32" xr:uid="{00000000-0005-0000-0000-000007000000}"/>
    <cellStyle name="ChartingText" xfId="4" xr:uid="{00000000-0005-0000-0000-000008000000}"/>
    <cellStyle name="CHPAboveAverage" xfId="5" xr:uid="{00000000-0005-0000-0000-000009000000}"/>
    <cellStyle name="CHPBelowAverage" xfId="6" xr:uid="{00000000-0005-0000-0000-00000A000000}"/>
    <cellStyle name="CHPBottom" xfId="7" xr:uid="{00000000-0005-0000-0000-00000B000000}"/>
    <cellStyle name="CHPTop" xfId="8" xr:uid="{00000000-0005-0000-0000-00000C000000}"/>
    <cellStyle name="Code" xfId="33" xr:uid="{00000000-0005-0000-0000-00000D000000}"/>
    <cellStyle name="ColumnHeaderNormal" xfId="9" xr:uid="{00000000-0005-0000-0000-00000E000000}"/>
    <cellStyle name="Comma [00]" xfId="34" xr:uid="{00000000-0005-0000-0000-00000F000000}"/>
    <cellStyle name="Currency [00]" xfId="35" xr:uid="{00000000-0005-0000-0000-000010000000}"/>
    <cellStyle name="DataBases" xfId="36" xr:uid="{00000000-0005-0000-0000-000011000000}"/>
    <cellStyle name="DataToHide" xfId="37" xr:uid="{00000000-0005-0000-0000-000012000000}"/>
    <cellStyle name="Date Short" xfId="38" xr:uid="{00000000-0005-0000-0000-000013000000}"/>
    <cellStyle name="DELTA" xfId="39" xr:uid="{00000000-0005-0000-0000-000014000000}"/>
    <cellStyle name="Enter Currency (0)" xfId="40" xr:uid="{00000000-0005-0000-0000-000015000000}"/>
    <cellStyle name="Enter Currency (2)" xfId="41" xr:uid="{00000000-0005-0000-0000-000016000000}"/>
    <cellStyle name="Enter Units (0)" xfId="42" xr:uid="{00000000-0005-0000-0000-000017000000}"/>
    <cellStyle name="Enter Units (1)" xfId="43" xr:uid="{00000000-0005-0000-0000-000018000000}"/>
    <cellStyle name="Enter Units (2)" xfId="44" xr:uid="{00000000-0005-0000-0000-000019000000}"/>
    <cellStyle name="Entities" xfId="45" xr:uid="{00000000-0005-0000-0000-00001A000000}"/>
    <cellStyle name="Euro" xfId="46" xr:uid="{00000000-0005-0000-0000-00001B000000}"/>
    <cellStyle name="Final_Data" xfId="47" xr:uid="{00000000-0005-0000-0000-00001C000000}"/>
    <cellStyle name="Footnote" xfId="48" xr:uid="{00000000-0005-0000-0000-00001D000000}"/>
    <cellStyle name="Grey" xfId="49" xr:uid="{00000000-0005-0000-0000-00001E000000}"/>
    <cellStyle name="Header1" xfId="50" xr:uid="{00000000-0005-0000-0000-00001F000000}"/>
    <cellStyle name="Header2" xfId="51" xr:uid="{00000000-0005-0000-0000-000020000000}"/>
    <cellStyle name="Heading" xfId="52" xr:uid="{00000000-0005-0000-0000-000021000000}"/>
    <cellStyle name="Input [yellow]" xfId="53" xr:uid="{00000000-0005-0000-0000-000022000000}"/>
    <cellStyle name="Invisible" xfId="3" xr:uid="{00000000-0005-0000-0000-000023000000}"/>
    <cellStyle name="Link Currency (0)" xfId="54" xr:uid="{00000000-0005-0000-0000-000024000000}"/>
    <cellStyle name="Link Currency (2)" xfId="55" xr:uid="{00000000-0005-0000-0000-000025000000}"/>
    <cellStyle name="Link Units (0)" xfId="56" xr:uid="{00000000-0005-0000-0000-000026000000}"/>
    <cellStyle name="Link Units (1)" xfId="57" xr:uid="{00000000-0005-0000-0000-000027000000}"/>
    <cellStyle name="Link Units (2)" xfId="58" xr:uid="{00000000-0005-0000-0000-000028000000}"/>
    <cellStyle name="LookUpText" xfId="59" xr:uid="{00000000-0005-0000-0000-000029000000}"/>
    <cellStyle name="NewColumnHeaderNormal" xfId="10" xr:uid="{00000000-0005-0000-0000-00002A000000}"/>
    <cellStyle name="NewSectionHeaderNormal" xfId="11" xr:uid="{00000000-0005-0000-0000-00002B000000}"/>
    <cellStyle name="NewTitleNormal" xfId="12" xr:uid="{00000000-0005-0000-0000-00002C000000}"/>
    <cellStyle name="Normal - Style1" xfId="60" xr:uid="{00000000-0005-0000-0000-00002D000000}"/>
    <cellStyle name="Normal 13 2" xfId="82" xr:uid="{00000000-0005-0000-0000-00002E000000}"/>
    <cellStyle name="Normal 2" xfId="83" xr:uid="{00000000-0005-0000-0000-00002F000000}"/>
    <cellStyle name="Normal 2 2" xfId="88" xr:uid="{00000000-0005-0000-0000-000030000000}"/>
    <cellStyle name="Normal 3 4" xfId="89" xr:uid="{00000000-0005-0000-0000-000031000000}"/>
    <cellStyle name="Normal 3 4 2" xfId="90" xr:uid="{00000000-0005-0000-0000-000032000000}"/>
    <cellStyle name="Normal 4" xfId="84" xr:uid="{00000000-0005-0000-0000-000033000000}"/>
    <cellStyle name="Normal 5" xfId="85" xr:uid="{00000000-0005-0000-0000-000034000000}"/>
    <cellStyle name="Normal 5 3" xfId="86" xr:uid="{00000000-0005-0000-0000-000035000000}"/>
    <cellStyle name="Normal_Bradford Final" xfId="22" xr:uid="{00000000-0005-0000-0000-000036000000}"/>
    <cellStyle name="OScommands" xfId="61" xr:uid="{00000000-0005-0000-0000-000037000000}"/>
    <cellStyle name="paint" xfId="62" xr:uid="{00000000-0005-0000-0000-000038000000}"/>
    <cellStyle name="Percent [0]" xfId="63" xr:uid="{00000000-0005-0000-0000-000039000000}"/>
    <cellStyle name="Percent [00]" xfId="64" xr:uid="{00000000-0005-0000-0000-00003A000000}"/>
    <cellStyle name="Percent [2]" xfId="65" xr:uid="{00000000-0005-0000-0000-00003B000000}"/>
    <cellStyle name="Periods" xfId="66" xr:uid="{00000000-0005-0000-0000-00003C000000}"/>
    <cellStyle name="PrePop Currency (0)" xfId="67" xr:uid="{00000000-0005-0000-0000-00003D000000}"/>
    <cellStyle name="PrePop Currency (2)" xfId="68" xr:uid="{00000000-0005-0000-0000-00003E000000}"/>
    <cellStyle name="PrePop Units (0)" xfId="69" xr:uid="{00000000-0005-0000-0000-00003F000000}"/>
    <cellStyle name="PrePop Units (1)" xfId="70" xr:uid="{00000000-0005-0000-0000-000040000000}"/>
    <cellStyle name="PrePop Units (2)" xfId="71" xr:uid="{00000000-0005-0000-0000-000041000000}"/>
    <cellStyle name="ReadInData" xfId="72" xr:uid="{00000000-0005-0000-0000-000042000000}"/>
    <cellStyle name="ReportNums" xfId="73" xr:uid="{00000000-0005-0000-0000-000043000000}"/>
    <cellStyle name="SectionHeaderNormal" xfId="13" xr:uid="{00000000-0005-0000-0000-000044000000}"/>
    <cellStyle name="Strikethru" xfId="74" xr:uid="{00000000-0005-0000-0000-000045000000}"/>
    <cellStyle name="SubScript" xfId="14" xr:uid="{00000000-0005-0000-0000-000046000000}"/>
    <cellStyle name="SuperScript" xfId="15" xr:uid="{00000000-0005-0000-0000-000047000000}"/>
    <cellStyle name="Table" xfId="75" xr:uid="{00000000-0005-0000-0000-000048000000}"/>
    <cellStyle name="Text Indent A" xfId="76" xr:uid="{00000000-0005-0000-0000-000049000000}"/>
    <cellStyle name="Text Indent B" xfId="77" xr:uid="{00000000-0005-0000-0000-00004A000000}"/>
    <cellStyle name="Text Indent C" xfId="78" xr:uid="{00000000-0005-0000-0000-00004B000000}"/>
    <cellStyle name="TextBold" xfId="16" xr:uid="{00000000-0005-0000-0000-00004C000000}"/>
    <cellStyle name="TextItalic" xfId="17" xr:uid="{00000000-0005-0000-0000-00004D000000}"/>
    <cellStyle name="TextNormal" xfId="18" xr:uid="{00000000-0005-0000-0000-00004E000000}"/>
    <cellStyle name="TitleNormal" xfId="19" xr:uid="{00000000-0005-0000-0000-00004F000000}"/>
    <cellStyle name="Total" xfId="20" xr:uid="{00000000-0005-0000-0000-000050000000}"/>
    <cellStyle name="UI Background" xfId="79" xr:uid="{00000000-0005-0000-0000-000051000000}"/>
    <cellStyle name="UIScreenText" xfId="80" xr:uid="{00000000-0005-0000-0000-000052000000}"/>
    <cellStyle name="Variables" xfId="81" xr:uid="{00000000-0005-0000-0000-000053000000}"/>
    <cellStyle name="백분율" xfId="93" builtinId="5"/>
    <cellStyle name="백분율 2" xfId="23" xr:uid="{00000000-0005-0000-0000-000055000000}"/>
    <cellStyle name="백분율 3" xfId="92" xr:uid="{00000000-0005-0000-0000-000056000000}"/>
    <cellStyle name="쉼표 [0] 2" xfId="91" xr:uid="{00000000-0005-0000-0000-000057000000}"/>
    <cellStyle name="쉼표 2" xfId="24" xr:uid="{00000000-0005-0000-0000-000058000000}"/>
    <cellStyle name="표준" xfId="0" builtinId="0"/>
    <cellStyle name="표준 2" xfId="1" xr:uid="{00000000-0005-0000-0000-00005A000000}"/>
    <cellStyle name="표준 2 2" xfId="87" xr:uid="{00000000-0005-0000-0000-00005B000000}"/>
    <cellStyle name="표준 3" xfId="2" xr:uid="{00000000-0005-0000-0000-00005C000000}"/>
    <cellStyle name="표준 4" xfId="21" xr:uid="{00000000-0005-0000-0000-00005D000000}"/>
  </cellStyles>
  <dxfs count="0"/>
  <tableStyles count="0" defaultTableStyle="TableStyleMedium2" defaultPivotStyle="PivotStyleLight16"/>
  <colors>
    <mruColors>
      <color rgb="FFFFFFCC"/>
      <color rgb="FF0000FF"/>
      <color rgb="FF006600"/>
      <color rgb="FFFFFF00"/>
      <color rgb="FF005400"/>
      <color rgb="FF2E6640"/>
      <color rgb="FFE9E9E9"/>
      <color rgb="FF000000"/>
      <color rgb="FFEAEAEA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I/S brief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'Data_ AT&amp;T 데이터'!$C$10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'Data_ AT&amp;T 데이터'!$D$9:$I$9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2020 Latest LTM</c:v>
                </c:pt>
              </c:strCache>
            </c:strRef>
          </c:cat>
          <c:val>
            <c:numRef>
              <c:f>'Data_ AT&amp;T 데이터'!$D$10:$I$10</c:f>
              <c:numCache>
                <c:formatCode>#,##0_);\(#,##0\);#,##0_);@_)</c:formatCode>
                <c:ptCount val="6"/>
                <c:pt idx="0">
                  <c:v>163786</c:v>
                </c:pt>
                <c:pt idx="1">
                  <c:v>160546</c:v>
                </c:pt>
                <c:pt idx="2">
                  <c:v>170756</c:v>
                </c:pt>
                <c:pt idx="3">
                  <c:v>181193</c:v>
                </c:pt>
                <c:pt idx="4">
                  <c:v>171760</c:v>
                </c:pt>
                <c:pt idx="5">
                  <c:v>171760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C-47C9-A9F1-6451E48990C3}"/>
            </c:ext>
          </c:extLst>
        </c:ser>
        <c:ser>
          <c:idx val="1"/>
          <c:order val="1"/>
          <c:tx>
            <c:strRef>
              <c:f>'Data_ AT&amp;T 데이터'!$C$11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'Data_ AT&amp;T 데이터'!$D$9:$I$9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2020 Latest LTM</c:v>
                </c:pt>
              </c:strCache>
            </c:strRef>
          </c:cat>
          <c:val>
            <c:numRef>
              <c:f>'Data_ AT&amp;T 데이터'!$D$11:$I$11</c:f>
              <c:numCache>
                <c:formatCode>#,##0_);\(#,##0\);#,##0_);@_)</c:formatCode>
                <c:ptCount val="6"/>
                <c:pt idx="0">
                  <c:v>24905</c:v>
                </c:pt>
                <c:pt idx="1">
                  <c:v>23995</c:v>
                </c:pt>
                <c:pt idx="2">
                  <c:v>31618</c:v>
                </c:pt>
                <c:pt idx="3">
                  <c:v>27741</c:v>
                </c:pt>
                <c:pt idx="4">
                  <c:v>25285</c:v>
                </c:pt>
                <c:pt idx="5">
                  <c:v>25285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9C-47C9-A9F1-6451E48990C3}"/>
            </c:ext>
          </c:extLst>
        </c:ser>
        <c:ser>
          <c:idx val="2"/>
          <c:order val="2"/>
          <c:tx>
            <c:strRef>
              <c:f>'Data_ AT&amp;T 데이터'!$C$12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'Data_ AT&amp;T 데이터'!$D$9:$I$9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2020 Latest LTM</c:v>
                </c:pt>
              </c:strCache>
            </c:strRef>
          </c:cat>
          <c:val>
            <c:numRef>
              <c:f>'Data_ AT&amp;T 데이터'!$D$12:$I$12</c:f>
              <c:numCache>
                <c:formatCode>#,##0_);\(#,##0\);#,##0_);@_)</c:formatCode>
                <c:ptCount val="6"/>
                <c:pt idx="0">
                  <c:v>48390</c:v>
                </c:pt>
                <c:pt idx="1">
                  <c:v>45572</c:v>
                </c:pt>
                <c:pt idx="2">
                  <c:v>56956</c:v>
                </c:pt>
                <c:pt idx="3">
                  <c:v>52645</c:v>
                </c:pt>
                <c:pt idx="4">
                  <c:v>53801</c:v>
                </c:pt>
                <c:pt idx="5">
                  <c:v>53801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9C-47C9-A9F1-6451E48990C3}"/>
            </c:ext>
          </c:extLst>
        </c:ser>
        <c:ser>
          <c:idx val="3"/>
          <c:order val="3"/>
          <c:tx>
            <c:strRef>
              <c:f>'Data_ AT&amp;T 데이터'!$C$14</c:f>
              <c:strCache>
                <c:ptCount val="1"/>
                <c:pt idx="0">
                  <c:v>Net Income to Company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'Data_ AT&amp;T 데이터'!$D$9:$I$9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2020 Latest LTM</c:v>
                </c:pt>
              </c:strCache>
            </c:strRef>
          </c:cat>
          <c:val>
            <c:numRef>
              <c:f>'Data_ AT&amp;T 데이터'!$D$14:$I$14</c:f>
              <c:numCache>
                <c:formatCode>#,##0_);\(#,##0\);#,##0_);@_)</c:formatCode>
                <c:ptCount val="6"/>
                <c:pt idx="0">
                  <c:v>13333</c:v>
                </c:pt>
                <c:pt idx="1">
                  <c:v>29847</c:v>
                </c:pt>
                <c:pt idx="2">
                  <c:v>19953</c:v>
                </c:pt>
                <c:pt idx="3">
                  <c:v>14975</c:v>
                </c:pt>
                <c:pt idx="4">
                  <c:v>-3821</c:v>
                </c:pt>
                <c:pt idx="5">
                  <c:v>-3821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9C-47C9-A9F1-6451E4899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867072"/>
        <c:axId val="98354880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'Data_CIQ 다운로드'!$C$15</c15:sqref>
                        </c15:formulaRef>
                      </c:ext>
                    </c:extLst>
                    <c:strCache>
                      <c:ptCount val="1"/>
                      <c:pt idx="0">
                        <c:v>Net Income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'Data_CIQ 다운로드'!$D$9:$I$9</c15:sqref>
                        </c15:formulaRef>
                      </c:ext>
                    </c:extLst>
                    <c:strCache>
                      <c:ptCount val="6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  <c:pt idx="4">
                        <c:v>2020</c:v>
                      </c:pt>
                      <c:pt idx="5">
                        <c:v>2021 Latest LTM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'Data_CIQ 다운로드'!$D$15:$I$15</c15:sqref>
                        </c15:formulaRef>
                      </c:ext>
                    </c:extLst>
                    <c:numCache>
                      <c:formatCode>#,##0_);\(#,##0\);#,##0_);@_)</c:formatCode>
                      <c:ptCount val="6"/>
                      <c:pt idx="0">
                        <c:v>12976</c:v>
                      </c:pt>
                      <c:pt idx="1">
                        <c:v>29450</c:v>
                      </c:pt>
                      <c:pt idx="2">
                        <c:v>19370</c:v>
                      </c:pt>
                      <c:pt idx="3">
                        <c:v>13903</c:v>
                      </c:pt>
                      <c:pt idx="4">
                        <c:v>-5176</c:v>
                      </c:pt>
                      <c:pt idx="5">
                        <c:v>-2236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8C9C-47C9-A9F1-6451E48990C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'Data_CIQ 다운로드'!$C$16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'Data_CIQ 다운로드'!$D$9:$I$9</c15:sqref>
                        </c15:formulaRef>
                      </c:ext>
                    </c:extLst>
                    <c:strCache>
                      <c:ptCount val="6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  <c:pt idx="4">
                        <c:v>2020</c:v>
                      </c:pt>
                      <c:pt idx="5">
                        <c:v>2021 Latest LTM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'Data_CIQ 다운로드'!$D$16:$I$16</c15:sqref>
                        </c15:formulaRef>
                      </c:ext>
                    </c:extLst>
                    <c:numCache>
                      <c:formatCode>#,##0.0_);\(#,##0.0\);#,##0.0_);@_)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9C-47C9-A9F1-6451E48990C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'Data_ AT&amp;T 데이터'!$C$17</c:f>
              <c:strCache>
                <c:ptCount val="1"/>
                <c:pt idx="0">
                  <c:v>EBIT Margin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'Data_ AT&amp;T 데이터'!$D$9:$I$9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2020 Latest LTM</c:v>
                </c:pt>
              </c:strCache>
            </c:strRef>
          </c:cat>
          <c:val>
            <c:numRef>
              <c:f>'Data_ AT&amp;T 데이터'!$D$17:$I$17</c:f>
              <c:numCache>
                <c:formatCode>0%_);\(0%\);0%_);@_)</c:formatCode>
                <c:ptCount val="6"/>
                <c:pt idx="0">
                  <c:v>0.15205817347025996</c:v>
                </c:pt>
                <c:pt idx="1">
                  <c:v>0.14945872211079692</c:v>
                </c:pt>
                <c:pt idx="2">
                  <c:v>0.18516479655180493</c:v>
                </c:pt>
                <c:pt idx="3">
                  <c:v>0.15310194102421176</c:v>
                </c:pt>
                <c:pt idx="4">
                  <c:v>0.14721122496506753</c:v>
                </c:pt>
                <c:pt idx="5">
                  <c:v>0.14721122496506753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9C-47C9-A9F1-6451E48990C3}"/>
            </c:ext>
          </c:extLst>
        </c:ser>
        <c:ser>
          <c:idx val="7"/>
          <c:order val="7"/>
          <c:tx>
            <c:strRef>
              <c:f>'Data_ AT&amp;T 데이터'!$C$18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'Data_ AT&amp;T 데이터'!$D$9:$I$9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2020 Latest LTM</c:v>
                </c:pt>
              </c:strCache>
            </c:strRef>
          </c:cat>
          <c:val>
            <c:numRef>
              <c:f>'Data_ AT&amp;T 데이터'!$D$18:$I$18</c:f>
              <c:numCache>
                <c:formatCode>0%_);\(0%\);0%_);@_)</c:formatCode>
                <c:ptCount val="6"/>
                <c:pt idx="0">
                  <c:v>0.29544649725861793</c:v>
                </c:pt>
                <c:pt idx="1">
                  <c:v>0.28385634023893463</c:v>
                </c:pt>
                <c:pt idx="2">
                  <c:v>0.33355196889128347</c:v>
                </c:pt>
                <c:pt idx="3">
                  <c:v>0.29054654429254995</c:v>
                </c:pt>
                <c:pt idx="4">
                  <c:v>0.31323358174196553</c:v>
                </c:pt>
                <c:pt idx="5">
                  <c:v>0.31323358174196553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9C-47C9-A9F1-6451E48990C3}"/>
            </c:ext>
          </c:extLst>
        </c:ser>
        <c:ser>
          <c:idx val="8"/>
          <c:order val="8"/>
          <c:tx>
            <c:strRef>
              <c:f>'Data_ AT&amp;T 데이터'!$C$19</c:f>
              <c:strCache>
                <c:ptCount val="1"/>
                <c:pt idx="0">
                  <c:v>NI Margin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'Data_ AT&amp;T 데이터'!$D$9:$I$9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2020 Latest LTM</c:v>
                </c:pt>
              </c:strCache>
            </c:strRef>
          </c:cat>
          <c:val>
            <c:numRef>
              <c:f>'Data_ AT&amp;T 데이터'!$D$19:$I$19</c:f>
              <c:numCache>
                <c:formatCode>0%_);\(0%\);0%_);@_)</c:formatCode>
                <c:ptCount val="6"/>
                <c:pt idx="0">
                  <c:v>8.1405004090703725E-2</c:v>
                </c:pt>
                <c:pt idx="1">
                  <c:v>0.18590933439637239</c:v>
                </c:pt>
                <c:pt idx="2">
                  <c:v>0.1168509452083675</c:v>
                </c:pt>
                <c:pt idx="3">
                  <c:v>8.2646680611281886E-2</c:v>
                </c:pt>
                <c:pt idx="4">
                  <c:v>-2.2246157428970657E-2</c:v>
                </c:pt>
                <c:pt idx="5">
                  <c:v>-2.2246157428970657E-2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9C-47C9-A9F1-6451E4899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78912"/>
        <c:axId val="98355456"/>
      </c:lineChart>
      <c:catAx>
        <c:axId val="15686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354880"/>
        <c:crosses val="autoZero"/>
        <c:auto val="1"/>
        <c:lblAlgn val="ctr"/>
        <c:lblOffset val="100"/>
        <c:noMultiLvlLbl val="0"/>
      </c:catAx>
      <c:valAx>
        <c:axId val="9835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#,##0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867072"/>
        <c:crosses val="autoZero"/>
        <c:crossBetween val="between"/>
      </c:valAx>
      <c:valAx>
        <c:axId val="98355456"/>
        <c:scaling>
          <c:orientation val="minMax"/>
        </c:scaling>
        <c:delete val="0"/>
        <c:axPos val="r"/>
        <c:numFmt formatCode="0%_);\(0%\);0%_);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7478912"/>
        <c:crosses val="max"/>
        <c:crossBetween val="between"/>
      </c:valAx>
      <c:catAx>
        <c:axId val="157478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8355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CFS brief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'Data_ AT&amp;T 데이터'!$C$28</c:f>
              <c:strCache>
                <c:ptCount val="1"/>
                <c:pt idx="0">
                  <c:v>CFO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'Data_ AT&amp;T 데이터'!$D$9:$I$9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2020 Latest LTM</c:v>
                </c:pt>
              </c:strCache>
            </c:strRef>
          </c:cat>
          <c:val>
            <c:numRef>
              <c:f>'Data_ AT&amp;T 데이터'!$D$28:$I$28</c:f>
              <c:numCache>
                <c:formatCode>#,##0_);\(#,##0\);#,##0_);@_)</c:formatCode>
                <c:ptCount val="6"/>
                <c:pt idx="0">
                  <c:v>38442</c:v>
                </c:pt>
                <c:pt idx="1">
                  <c:v>38010</c:v>
                </c:pt>
                <c:pt idx="2">
                  <c:v>43602</c:v>
                </c:pt>
                <c:pt idx="3">
                  <c:v>48668</c:v>
                </c:pt>
                <c:pt idx="4">
                  <c:v>43130</c:v>
                </c:pt>
                <c:pt idx="5">
                  <c:v>43130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F-4461-94CA-E5231C14FA0A}"/>
            </c:ext>
          </c:extLst>
        </c:ser>
        <c:ser>
          <c:idx val="1"/>
          <c:order val="1"/>
          <c:tx>
            <c:strRef>
              <c:f>'Data_ AT&amp;T 데이터'!$C$29</c:f>
              <c:strCache>
                <c:ptCount val="1"/>
                <c:pt idx="0">
                  <c:v>CFI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'Data_ AT&amp;T 데이터'!$D$9:$I$9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2020 Latest LTM</c:v>
                </c:pt>
              </c:strCache>
            </c:strRef>
          </c:cat>
          <c:val>
            <c:numRef>
              <c:f>'Data_ AT&amp;T 데이터'!$D$29:$I$29</c:f>
              <c:numCache>
                <c:formatCode>#,##0_);\(#,##0\);#,##0_);@_)</c:formatCode>
                <c:ptCount val="6"/>
                <c:pt idx="0">
                  <c:v>-23318</c:v>
                </c:pt>
                <c:pt idx="1">
                  <c:v>-18943</c:v>
                </c:pt>
                <c:pt idx="2">
                  <c:v>-63145</c:v>
                </c:pt>
                <c:pt idx="3">
                  <c:v>-16690</c:v>
                </c:pt>
                <c:pt idx="4">
                  <c:v>-13548</c:v>
                </c:pt>
                <c:pt idx="5">
                  <c:v>-13548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F-4461-94CA-E5231C14FA0A}"/>
            </c:ext>
          </c:extLst>
        </c:ser>
        <c:ser>
          <c:idx val="2"/>
          <c:order val="2"/>
          <c:tx>
            <c:strRef>
              <c:f>'Data_ AT&amp;T 데이터'!$C$30</c:f>
              <c:strCache>
                <c:ptCount val="1"/>
                <c:pt idx="0">
                  <c:v>CFF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'Data_ AT&amp;T 데이터'!$D$9:$I$9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2020 Latest LTM</c:v>
                </c:pt>
              </c:strCache>
            </c:strRef>
          </c:cat>
          <c:val>
            <c:numRef>
              <c:f>'Data_ AT&amp;T 데이터'!$D$30:$I$30</c:f>
              <c:numCache>
                <c:formatCode>#,##0_);\(#,##0\);#,##0_);@_)</c:formatCode>
                <c:ptCount val="6"/>
                <c:pt idx="0">
                  <c:v>-14462</c:v>
                </c:pt>
                <c:pt idx="1">
                  <c:v>25930</c:v>
                </c:pt>
                <c:pt idx="2">
                  <c:v>-25989</c:v>
                </c:pt>
                <c:pt idx="3">
                  <c:v>-25083</c:v>
                </c:pt>
                <c:pt idx="4">
                  <c:v>-32007</c:v>
                </c:pt>
                <c:pt idx="5">
                  <c:v>-32007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F-4461-94CA-E5231C14F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479936"/>
        <c:axId val="98357760"/>
        <c:extLst/>
      </c:barChart>
      <c:catAx>
        <c:axId val="15747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357760"/>
        <c:crosses val="autoZero"/>
        <c:auto val="1"/>
        <c:lblAlgn val="ctr"/>
        <c:lblOffset val="100"/>
        <c:noMultiLvlLbl val="0"/>
      </c:catAx>
      <c:valAx>
        <c:axId val="983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#,##0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747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ROE, adj. ROE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'Data_ AT&amp;T 데이터'!$C$40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'Data_ AT&amp;T 데이터'!$D$9:$I$9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2020 Latest LTM</c:v>
                </c:pt>
              </c:strCache>
            </c:strRef>
          </c:cat>
          <c:val>
            <c:numRef>
              <c:f>'Data_ AT&amp;T 데이터'!$D$40:$I$40</c:f>
              <c:numCache>
                <c:formatCode>0.0%</c:formatCode>
                <c:ptCount val="6"/>
                <c:pt idx="0">
                  <c:v>0.10538027368335566</c:v>
                </c:pt>
                <c:pt idx="1">
                  <c:v>0.20907135402985921</c:v>
                </c:pt>
                <c:pt idx="2">
                  <c:v>0.10522084426554547</c:v>
                </c:pt>
                <c:pt idx="3">
                  <c:v>7.5469137611890072E-2</c:v>
                </c:pt>
                <c:pt idx="4">
                  <c:v>-3.2015240640057403E-2</c:v>
                </c:pt>
                <c:pt idx="5">
                  <c:v>-3.2015240640057403E-2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4-4E72-BB96-7CB5B660576A}"/>
            </c:ext>
          </c:extLst>
        </c:ser>
        <c:ser>
          <c:idx val="1"/>
          <c:order val="1"/>
          <c:tx>
            <c:strRef>
              <c:f>'Data_ AT&amp;T 데이터'!$C$41</c:f>
              <c:strCache>
                <c:ptCount val="1"/>
                <c:pt idx="0">
                  <c:v>ROE adj.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'Data_ AT&amp;T 데이터'!$D$9:$I$9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2020 Latest LTM</c:v>
                </c:pt>
              </c:strCache>
            </c:strRef>
          </c:cat>
          <c:val>
            <c:numRef>
              <c:f>'Data_ AT&amp;T 데이터'!$D$41:$I$41</c:f>
              <c:numCache>
                <c:formatCode>0.0%</c:formatCode>
                <c:ptCount val="6"/>
                <c:pt idx="0">
                  <c:v>0.11057802926363691</c:v>
                </c:pt>
                <c:pt idx="1">
                  <c:v>0.32590772772041654</c:v>
                </c:pt>
                <c:pt idx="2">
                  <c:v>0.10828185705900439</c:v>
                </c:pt>
                <c:pt idx="3">
                  <c:v>8.0814950446130143E-2</c:v>
                </c:pt>
                <c:pt idx="4">
                  <c:v>-3.4067648239684598E-2</c:v>
                </c:pt>
                <c:pt idx="5">
                  <c:v>-3.4067648239684598E-2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94-4E72-BB96-7CB5B6605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86752"/>
        <c:axId val="98360064"/>
      </c:lineChart>
      <c:catAx>
        <c:axId val="16378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360064"/>
        <c:crosses val="autoZero"/>
        <c:auto val="1"/>
        <c:lblAlgn val="ctr"/>
        <c:lblOffset val="100"/>
        <c:noMultiLvlLbl val="0"/>
      </c:catAx>
      <c:valAx>
        <c:axId val="9836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78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'Data_ AT&amp;T 데이터'!$C$25</c:f>
              <c:strCache>
                <c:ptCount val="1"/>
                <c:pt idx="0">
                  <c:v>Unlevered FCF</c:v>
                </c:pt>
              </c:strCache>
            </c:strRef>
          </c:tx>
          <c:invertIfNegative val="0"/>
          <c:cat>
            <c:strRef>
              <c:f>'Data_ AT&amp;T 데이터'!$D$9:$I$9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2020 Latest LTM</c:v>
                </c:pt>
              </c:strCache>
            </c:strRef>
          </c:cat>
          <c:val>
            <c:numRef>
              <c:f>'Data_ AT&amp;T 데이터'!$D$25:$I$25</c:f>
              <c:numCache>
                <c:formatCode>#,##0_);\(#,##0\);#,##0_);@_)</c:formatCode>
                <c:ptCount val="6"/>
                <c:pt idx="0">
                  <c:v>21397.949999999997</c:v>
                </c:pt>
                <c:pt idx="1">
                  <c:v>19042.050000000003</c:v>
                </c:pt>
                <c:pt idx="2">
                  <c:v>31213.22</c:v>
                </c:pt>
                <c:pt idx="3">
                  <c:v>31868.39</c:v>
                </c:pt>
                <c:pt idx="4">
                  <c:v>36457.15</c:v>
                </c:pt>
                <c:pt idx="5">
                  <c:v>36457.15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1-4C9F-97E9-E7EE38D258A8}"/>
            </c:ext>
          </c:extLst>
        </c:ser>
        <c:ser>
          <c:idx val="1"/>
          <c:order val="1"/>
          <c:tx>
            <c:strRef>
              <c:f>'Data_ AT&amp;T 데이터'!$C$26</c:f>
              <c:strCache>
                <c:ptCount val="1"/>
                <c:pt idx="0">
                  <c:v>Levered FCF</c:v>
                </c:pt>
              </c:strCache>
            </c:strRef>
          </c:tx>
          <c:invertIfNegative val="0"/>
          <c:cat>
            <c:strRef>
              <c:f>'Data_ AT&amp;T 데이터'!$D$9:$I$9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2020 Latest LTM</c:v>
                </c:pt>
              </c:strCache>
            </c:strRef>
          </c:cat>
          <c:val>
            <c:numRef>
              <c:f>'Data_ AT&amp;T 데이터'!$D$26:$I$26</c:f>
              <c:numCache>
                <c:formatCode>#,##0_);\(#,##0\);#,##0_);@_)</c:formatCode>
                <c:ptCount val="6"/>
                <c:pt idx="0">
                  <c:v>1959.6000000000004</c:v>
                </c:pt>
                <c:pt idx="1">
                  <c:v>12969.3</c:v>
                </c:pt>
                <c:pt idx="2">
                  <c:v>7694.2999999999993</c:v>
                </c:pt>
                <c:pt idx="3">
                  <c:v>4687.5999999999985</c:v>
                </c:pt>
                <c:pt idx="4">
                  <c:v>-6638.7000000000007</c:v>
                </c:pt>
                <c:pt idx="5">
                  <c:v>-6638.7000000000007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1-4C9F-97E9-E7EE38D25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788288"/>
        <c:axId val="148776064"/>
      </c:barChart>
      <c:catAx>
        <c:axId val="1637882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48776064"/>
        <c:crosses val="autoZero"/>
        <c:auto val="1"/>
        <c:lblAlgn val="ctr"/>
        <c:lblOffset val="100"/>
        <c:noMultiLvlLbl val="0"/>
      </c:catAx>
      <c:valAx>
        <c:axId val="148776064"/>
        <c:scaling>
          <c:orientation val="minMax"/>
        </c:scaling>
        <c:delete val="0"/>
        <c:axPos val="l"/>
        <c:majorGridlines/>
        <c:numFmt formatCode="#,##0_);\(#,##0\);#,##0_);@_)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637882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900"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I/S brief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'Data_CIQ 다운로드'!$C$10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'Data_CIQ 다운로드'!$D$9:$I$9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 Latest LTM</c:v>
                </c:pt>
              </c:strCache>
            </c:strRef>
          </c:cat>
          <c:val>
            <c:numRef>
              <c:f>'Data_CIQ 다운로드'!$D$10:$I$10</c:f>
              <c:numCache>
                <c:formatCode>#,##0_);\(#,##0\);#,##0_);@_)</c:formatCode>
                <c:ptCount val="6"/>
                <c:pt idx="0">
                  <c:v>163786</c:v>
                </c:pt>
                <c:pt idx="1">
                  <c:v>160546</c:v>
                </c:pt>
                <c:pt idx="2">
                  <c:v>170756</c:v>
                </c:pt>
                <c:pt idx="3">
                  <c:v>181193</c:v>
                </c:pt>
                <c:pt idx="4">
                  <c:v>171760</c:v>
                </c:pt>
                <c:pt idx="5">
                  <c:v>172920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C-47C9-A9F1-6451E48990C3}"/>
            </c:ext>
          </c:extLst>
        </c:ser>
        <c:ser>
          <c:idx val="1"/>
          <c:order val="1"/>
          <c:tx>
            <c:strRef>
              <c:f>'Data_CIQ 다운로드'!$C$11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'Data_CIQ 다운로드'!$D$9:$I$9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 Latest LTM</c:v>
                </c:pt>
              </c:strCache>
            </c:strRef>
          </c:cat>
          <c:val>
            <c:numRef>
              <c:f>'Data_CIQ 다운로드'!$D$11:$I$11</c:f>
              <c:numCache>
                <c:formatCode>#,##0_);\(#,##0\);#,##0_);@_)</c:formatCode>
                <c:ptCount val="6"/>
                <c:pt idx="0">
                  <c:v>24905</c:v>
                </c:pt>
                <c:pt idx="1">
                  <c:v>23995</c:v>
                </c:pt>
                <c:pt idx="2">
                  <c:v>31618</c:v>
                </c:pt>
                <c:pt idx="3">
                  <c:v>27741</c:v>
                </c:pt>
                <c:pt idx="4">
                  <c:v>25656</c:v>
                </c:pt>
                <c:pt idx="5">
                  <c:v>25708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9C-47C9-A9F1-6451E48990C3}"/>
            </c:ext>
          </c:extLst>
        </c:ser>
        <c:ser>
          <c:idx val="2"/>
          <c:order val="2"/>
          <c:tx>
            <c:strRef>
              <c:f>'Data_CIQ 다운로드'!$C$12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'Data_CIQ 다운로드'!$D$9:$I$9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 Latest LTM</c:v>
                </c:pt>
              </c:strCache>
            </c:strRef>
          </c:cat>
          <c:val>
            <c:numRef>
              <c:f>'Data_CIQ 다운로드'!$D$12:$I$12</c:f>
              <c:numCache>
                <c:formatCode>#,##0_);\(#,##0\);#,##0_);@_)</c:formatCode>
                <c:ptCount val="6"/>
                <c:pt idx="0">
                  <c:v>48390</c:v>
                </c:pt>
                <c:pt idx="1">
                  <c:v>45572</c:v>
                </c:pt>
                <c:pt idx="2">
                  <c:v>56956</c:v>
                </c:pt>
                <c:pt idx="3">
                  <c:v>52645</c:v>
                </c:pt>
                <c:pt idx="4">
                  <c:v>50689</c:v>
                </c:pt>
                <c:pt idx="5">
                  <c:v>49328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9C-47C9-A9F1-6451E48990C3}"/>
            </c:ext>
          </c:extLst>
        </c:ser>
        <c:ser>
          <c:idx val="3"/>
          <c:order val="3"/>
          <c:tx>
            <c:strRef>
              <c:f>'Data_CIQ 다운로드'!$C$14</c:f>
              <c:strCache>
                <c:ptCount val="1"/>
                <c:pt idx="0">
                  <c:v>Net Income to Company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'Data_CIQ 다운로드'!$D$9:$I$9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 Latest LTM</c:v>
                </c:pt>
              </c:strCache>
            </c:strRef>
          </c:cat>
          <c:val>
            <c:numRef>
              <c:f>'Data_CIQ 다운로드'!$D$14:$I$14</c:f>
              <c:numCache>
                <c:formatCode>#,##0_);\(#,##0\);#,##0_);@_)</c:formatCode>
                <c:ptCount val="6"/>
                <c:pt idx="0">
                  <c:v>13333</c:v>
                </c:pt>
                <c:pt idx="1">
                  <c:v>29847</c:v>
                </c:pt>
                <c:pt idx="2">
                  <c:v>19953</c:v>
                </c:pt>
                <c:pt idx="3">
                  <c:v>14975</c:v>
                </c:pt>
                <c:pt idx="4">
                  <c:v>-3821</c:v>
                </c:pt>
                <c:pt idx="5">
                  <c:v>-842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9C-47C9-A9F1-6451E4899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956672"/>
        <c:axId val="75711040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'Data_CIQ 다운로드'!$C$15</c15:sqref>
                        </c15:formulaRef>
                      </c:ext>
                    </c:extLst>
                    <c:strCache>
                      <c:ptCount val="1"/>
                      <c:pt idx="0">
                        <c:v>Net Income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'Data_CIQ 다운로드'!$D$9:$I$9</c15:sqref>
                        </c15:formulaRef>
                      </c:ext>
                    </c:extLst>
                    <c:strCache>
                      <c:ptCount val="6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  <c:pt idx="4">
                        <c:v>2020</c:v>
                      </c:pt>
                      <c:pt idx="5">
                        <c:v>2021 Latest LTM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'Data_CIQ 다운로드'!$D$15:$I$15</c15:sqref>
                        </c15:formulaRef>
                      </c:ext>
                    </c:extLst>
                    <c:numCache>
                      <c:formatCode>#,##0_);\(#,##0\);#,##0_);@_)</c:formatCode>
                      <c:ptCount val="6"/>
                      <c:pt idx="0">
                        <c:v>12976</c:v>
                      </c:pt>
                      <c:pt idx="1">
                        <c:v>29450</c:v>
                      </c:pt>
                      <c:pt idx="2">
                        <c:v>19370</c:v>
                      </c:pt>
                      <c:pt idx="3">
                        <c:v>13903</c:v>
                      </c:pt>
                      <c:pt idx="4">
                        <c:v>-5176</c:v>
                      </c:pt>
                      <c:pt idx="5">
                        <c:v>-2236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8C9C-47C9-A9F1-6451E48990C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'Data_CIQ 다운로드'!$C$16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'Data_CIQ 다운로드'!$D$9:$I$9</c15:sqref>
                        </c15:formulaRef>
                      </c:ext>
                    </c:extLst>
                    <c:strCache>
                      <c:ptCount val="6"/>
                      <c:pt idx="0">
                        <c:v>2016</c:v>
                      </c:pt>
                      <c:pt idx="1">
                        <c:v>2017</c:v>
                      </c:pt>
                      <c:pt idx="2">
                        <c:v>2018</c:v>
                      </c:pt>
                      <c:pt idx="3">
                        <c:v>2019</c:v>
                      </c:pt>
                      <c:pt idx="4">
                        <c:v>2020</c:v>
                      </c:pt>
                      <c:pt idx="5">
                        <c:v>2021 Latest LTM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'Data_CIQ 다운로드'!$D$16:$I$16</c15:sqref>
                        </c15:formulaRef>
                      </c:ext>
                    </c:extLst>
                    <c:numCache>
                      <c:formatCode>#,##0.0_);\(#,##0.0\);#,##0.0_);@_)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9C-47C9-A9F1-6451E48990C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'Data_CIQ 다운로드'!$C$17</c:f>
              <c:strCache>
                <c:ptCount val="1"/>
                <c:pt idx="0">
                  <c:v>EBIT Margin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'Data_CIQ 다운로드'!$D$9:$I$9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 Latest LTM</c:v>
                </c:pt>
              </c:strCache>
            </c:strRef>
          </c:cat>
          <c:val>
            <c:numRef>
              <c:f>'Data_CIQ 다운로드'!$D$17:$I$17</c:f>
              <c:numCache>
                <c:formatCode>0%_);\(0%\);0%_);@_)</c:formatCode>
                <c:ptCount val="6"/>
                <c:pt idx="0">
                  <c:v>0.15205817347025996</c:v>
                </c:pt>
                <c:pt idx="1">
                  <c:v>0.14945872211079692</c:v>
                </c:pt>
                <c:pt idx="2">
                  <c:v>0.18516479655180493</c:v>
                </c:pt>
                <c:pt idx="3">
                  <c:v>0.15310194102421176</c:v>
                </c:pt>
                <c:pt idx="4">
                  <c:v>0.14937121564974382</c:v>
                </c:pt>
                <c:pt idx="5">
                  <c:v>0.14866990515845477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9C-47C9-A9F1-6451E48990C3}"/>
            </c:ext>
          </c:extLst>
        </c:ser>
        <c:ser>
          <c:idx val="7"/>
          <c:order val="7"/>
          <c:tx>
            <c:strRef>
              <c:f>'Data_CIQ 다운로드'!$C$18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'Data_CIQ 다운로드'!$D$9:$I$9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 Latest LTM</c:v>
                </c:pt>
              </c:strCache>
            </c:strRef>
          </c:cat>
          <c:val>
            <c:numRef>
              <c:f>'Data_CIQ 다운로드'!$D$18:$I$18</c:f>
              <c:numCache>
                <c:formatCode>0%_);\(0%\);0%_);@_)</c:formatCode>
                <c:ptCount val="6"/>
                <c:pt idx="0">
                  <c:v>0.29544649725861793</c:v>
                </c:pt>
                <c:pt idx="1">
                  <c:v>0.28385634023893463</c:v>
                </c:pt>
                <c:pt idx="2">
                  <c:v>0.33355196889128347</c:v>
                </c:pt>
                <c:pt idx="3">
                  <c:v>0.29054654429254995</c:v>
                </c:pt>
                <c:pt idx="4">
                  <c:v>0.29511527713088032</c:v>
                </c:pt>
                <c:pt idx="5">
                  <c:v>0.28526486236409898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9C-47C9-A9F1-6451E48990C3}"/>
            </c:ext>
          </c:extLst>
        </c:ser>
        <c:ser>
          <c:idx val="8"/>
          <c:order val="8"/>
          <c:tx>
            <c:strRef>
              <c:f>'Data_CIQ 다운로드'!$C$19</c:f>
              <c:strCache>
                <c:ptCount val="1"/>
                <c:pt idx="0">
                  <c:v>NI Margin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'Data_CIQ 다운로드'!$D$9:$I$9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 Latest LTM</c:v>
                </c:pt>
              </c:strCache>
            </c:strRef>
          </c:cat>
          <c:val>
            <c:numRef>
              <c:f>'Data_CIQ 다운로드'!$D$19:$I$19</c:f>
              <c:numCache>
                <c:formatCode>0%_);\(0%\);0%_);@_)</c:formatCode>
                <c:ptCount val="6"/>
                <c:pt idx="0">
                  <c:v>8.1405004090703725E-2</c:v>
                </c:pt>
                <c:pt idx="1">
                  <c:v>0.18590933439637239</c:v>
                </c:pt>
                <c:pt idx="2">
                  <c:v>0.1168509452083675</c:v>
                </c:pt>
                <c:pt idx="3">
                  <c:v>8.2646680611281886E-2</c:v>
                </c:pt>
                <c:pt idx="4">
                  <c:v>-2.2246157428970657E-2</c:v>
                </c:pt>
                <c:pt idx="5">
                  <c:v>-4.8693037242655566E-3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9C-47C9-A9F1-6451E4899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957184"/>
        <c:axId val="75711616"/>
      </c:lineChart>
      <c:catAx>
        <c:axId val="13295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711040"/>
        <c:crosses val="autoZero"/>
        <c:auto val="1"/>
        <c:lblAlgn val="ctr"/>
        <c:lblOffset val="100"/>
        <c:noMultiLvlLbl val="0"/>
      </c:catAx>
      <c:valAx>
        <c:axId val="7571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#,##0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956672"/>
        <c:crosses val="autoZero"/>
        <c:crossBetween val="between"/>
      </c:valAx>
      <c:valAx>
        <c:axId val="75711616"/>
        <c:scaling>
          <c:orientation val="minMax"/>
        </c:scaling>
        <c:delete val="0"/>
        <c:axPos val="r"/>
        <c:numFmt formatCode="0%_);\(0%\);0%_);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957184"/>
        <c:crosses val="max"/>
        <c:crossBetween val="between"/>
      </c:valAx>
      <c:catAx>
        <c:axId val="132957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711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CFS brief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'Data_CIQ 다운로드'!$C$28</c:f>
              <c:strCache>
                <c:ptCount val="1"/>
                <c:pt idx="0">
                  <c:v>CFO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'Data_CIQ 다운로드'!$D$9:$I$9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 Latest LTM</c:v>
                </c:pt>
              </c:strCache>
            </c:strRef>
          </c:cat>
          <c:val>
            <c:numRef>
              <c:f>'Data_CIQ 다운로드'!$D$28:$I$28</c:f>
              <c:numCache>
                <c:formatCode>#,##0_);\(#,##0\);#,##0_);@_)</c:formatCode>
                <c:ptCount val="6"/>
                <c:pt idx="0">
                  <c:v>38442</c:v>
                </c:pt>
                <c:pt idx="1">
                  <c:v>38010</c:v>
                </c:pt>
                <c:pt idx="2">
                  <c:v>43602</c:v>
                </c:pt>
                <c:pt idx="3">
                  <c:v>48668</c:v>
                </c:pt>
                <c:pt idx="4">
                  <c:v>43130</c:v>
                </c:pt>
                <c:pt idx="5">
                  <c:v>44191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F-4461-94CA-E5231C14FA0A}"/>
            </c:ext>
          </c:extLst>
        </c:ser>
        <c:ser>
          <c:idx val="1"/>
          <c:order val="1"/>
          <c:tx>
            <c:strRef>
              <c:f>'Data_CIQ 다운로드'!$C$29</c:f>
              <c:strCache>
                <c:ptCount val="1"/>
                <c:pt idx="0">
                  <c:v>CFI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'Data_CIQ 다운로드'!$D$9:$I$9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 Latest LTM</c:v>
                </c:pt>
              </c:strCache>
            </c:strRef>
          </c:cat>
          <c:val>
            <c:numRef>
              <c:f>'Data_CIQ 다운로드'!$D$29:$I$29</c:f>
              <c:numCache>
                <c:formatCode>#,##0_);\(#,##0\);#,##0_);@_)</c:formatCode>
                <c:ptCount val="6"/>
                <c:pt idx="0">
                  <c:v>-23318</c:v>
                </c:pt>
                <c:pt idx="1">
                  <c:v>-18943</c:v>
                </c:pt>
                <c:pt idx="2">
                  <c:v>-63145</c:v>
                </c:pt>
                <c:pt idx="3">
                  <c:v>-16690</c:v>
                </c:pt>
                <c:pt idx="4">
                  <c:v>-13548</c:v>
                </c:pt>
                <c:pt idx="5">
                  <c:v>-35378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F-4461-94CA-E5231C14FA0A}"/>
            </c:ext>
          </c:extLst>
        </c:ser>
        <c:ser>
          <c:idx val="2"/>
          <c:order val="2"/>
          <c:tx>
            <c:strRef>
              <c:f>'Data_CIQ 다운로드'!$C$30</c:f>
              <c:strCache>
                <c:ptCount val="1"/>
                <c:pt idx="0">
                  <c:v>CFF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'Data_CIQ 다운로드'!$D$9:$I$9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 Latest LTM</c:v>
                </c:pt>
              </c:strCache>
            </c:strRef>
          </c:cat>
          <c:val>
            <c:numRef>
              <c:f>'Data_CIQ 다운로드'!$D$30:$I$30</c:f>
              <c:numCache>
                <c:formatCode>#,##0_);\(#,##0\);#,##0_);@_)</c:formatCode>
                <c:ptCount val="6"/>
                <c:pt idx="0">
                  <c:v>-14462</c:v>
                </c:pt>
                <c:pt idx="1">
                  <c:v>25930</c:v>
                </c:pt>
                <c:pt idx="2">
                  <c:v>-25989</c:v>
                </c:pt>
                <c:pt idx="3">
                  <c:v>-25083</c:v>
                </c:pt>
                <c:pt idx="4">
                  <c:v>-32007</c:v>
                </c:pt>
                <c:pt idx="5">
                  <c:v>-7425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F-4461-94CA-E5231C14F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357504"/>
        <c:axId val="75713920"/>
        <c:extLst/>
      </c:barChart>
      <c:catAx>
        <c:axId val="13435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713920"/>
        <c:crosses val="autoZero"/>
        <c:auto val="1"/>
        <c:lblAlgn val="ctr"/>
        <c:lblOffset val="100"/>
        <c:noMultiLvlLbl val="0"/>
      </c:catAx>
      <c:valAx>
        <c:axId val="7571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#,##0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35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ROE, adj. ROE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'Data_CIQ 다운로드'!$C$40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'Data_CIQ 다운로드'!$D$9:$I$9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 Latest LTM</c:v>
                </c:pt>
              </c:strCache>
            </c:strRef>
          </c:cat>
          <c:val>
            <c:numRef>
              <c:f>'Data_CIQ 다운로드'!$D$40:$I$40</c:f>
              <c:numCache>
                <c:formatCode>0.0%</c:formatCode>
                <c:ptCount val="6"/>
                <c:pt idx="0">
                  <c:v>0.10538027368335566</c:v>
                </c:pt>
                <c:pt idx="1">
                  <c:v>0.20907135402985921</c:v>
                </c:pt>
                <c:pt idx="2">
                  <c:v>0.10522084426554547</c:v>
                </c:pt>
                <c:pt idx="3">
                  <c:v>7.5469137611890072E-2</c:v>
                </c:pt>
                <c:pt idx="4">
                  <c:v>-3.2015240640057403E-2</c:v>
                </c:pt>
                <c:pt idx="5">
                  <c:v>-1.3511553707821715E-2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4-4E72-BB96-7CB5B660576A}"/>
            </c:ext>
          </c:extLst>
        </c:ser>
        <c:ser>
          <c:idx val="1"/>
          <c:order val="1"/>
          <c:tx>
            <c:strRef>
              <c:f>'Data_CIQ 다운로드'!$C$41</c:f>
              <c:strCache>
                <c:ptCount val="1"/>
                <c:pt idx="0">
                  <c:v>ROE adj.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'Data_CIQ 다운로드'!$D$9:$I$9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 Latest LTM</c:v>
                </c:pt>
              </c:strCache>
            </c:strRef>
          </c:cat>
          <c:val>
            <c:numRef>
              <c:f>'Data_CIQ 다운로드'!$D$41:$I$41</c:f>
              <c:numCache>
                <c:formatCode>0.0%</c:formatCode>
                <c:ptCount val="6"/>
                <c:pt idx="0">
                  <c:v>0.11057802926363691</c:v>
                </c:pt>
                <c:pt idx="1">
                  <c:v>0.32590772772041654</c:v>
                </c:pt>
                <c:pt idx="2">
                  <c:v>0.10828185705900439</c:v>
                </c:pt>
                <c:pt idx="3">
                  <c:v>8.0788652515239034E-2</c:v>
                </c:pt>
                <c:pt idx="4">
                  <c:v>-3.407415209606067E-2</c:v>
                </c:pt>
                <c:pt idx="5">
                  <c:v>-1.4505728335474161E-2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94-4E72-BB96-7CB5B6605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59040"/>
        <c:axId val="75716224"/>
      </c:lineChart>
      <c:catAx>
        <c:axId val="13435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716224"/>
        <c:crosses val="autoZero"/>
        <c:auto val="1"/>
        <c:lblAlgn val="ctr"/>
        <c:lblOffset val="100"/>
        <c:noMultiLvlLbl val="0"/>
      </c:catAx>
      <c:valAx>
        <c:axId val="7571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35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'Data_CIQ 다운로드'!$C$25</c:f>
              <c:strCache>
                <c:ptCount val="1"/>
                <c:pt idx="0">
                  <c:v>Unlevered FCF</c:v>
                </c:pt>
              </c:strCache>
            </c:strRef>
          </c:tx>
          <c:invertIfNegative val="0"/>
          <c:cat>
            <c:strRef>
              <c:f>'Data_CIQ 다운로드'!$D$9:$I$9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 Latest LTM</c:v>
                </c:pt>
              </c:strCache>
            </c:strRef>
          </c:cat>
          <c:val>
            <c:numRef>
              <c:f>'Data_CIQ 다운로드'!$D$25:$I$25</c:f>
              <c:numCache>
                <c:formatCode>#,##0_);\(#,##0\);#,##0_);@_)</c:formatCode>
                <c:ptCount val="6"/>
                <c:pt idx="0">
                  <c:v>21397.949999999997</c:v>
                </c:pt>
                <c:pt idx="1">
                  <c:v>19042.050000000003</c:v>
                </c:pt>
                <c:pt idx="2">
                  <c:v>31213.22</c:v>
                </c:pt>
                <c:pt idx="3">
                  <c:v>31868.39</c:v>
                </c:pt>
                <c:pt idx="4">
                  <c:v>33267.240000000005</c:v>
                </c:pt>
                <c:pt idx="5">
                  <c:v>32761.32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C-451E-AC5D-9137F556E73D}"/>
            </c:ext>
          </c:extLst>
        </c:ser>
        <c:ser>
          <c:idx val="1"/>
          <c:order val="1"/>
          <c:tx>
            <c:strRef>
              <c:f>'Data_CIQ 다운로드'!$C$26</c:f>
              <c:strCache>
                <c:ptCount val="1"/>
                <c:pt idx="0">
                  <c:v>Levered FCF</c:v>
                </c:pt>
              </c:strCache>
            </c:strRef>
          </c:tx>
          <c:invertIfNegative val="0"/>
          <c:cat>
            <c:strRef>
              <c:f>'Data_CIQ 다운로드'!$D$9:$I$9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 Latest LTM</c:v>
                </c:pt>
              </c:strCache>
            </c:strRef>
          </c:cat>
          <c:val>
            <c:numRef>
              <c:f>'Data_CIQ 다운로드'!$D$26:$I$26</c:f>
              <c:numCache>
                <c:formatCode>#,##0_);\(#,##0\);#,##0_);@_)</c:formatCode>
                <c:ptCount val="6"/>
                <c:pt idx="0">
                  <c:v>1959.6000000000004</c:v>
                </c:pt>
                <c:pt idx="1">
                  <c:v>12969.3</c:v>
                </c:pt>
                <c:pt idx="2">
                  <c:v>7694.2999999999993</c:v>
                </c:pt>
                <c:pt idx="3">
                  <c:v>5015.7999999999993</c:v>
                </c:pt>
                <c:pt idx="4">
                  <c:v>-10475.400000000001</c:v>
                </c:pt>
                <c:pt idx="5">
                  <c:v>-9980.5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DC-451E-AC5D-9137F556E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359552"/>
        <c:axId val="98272384"/>
      </c:barChart>
      <c:catAx>
        <c:axId val="1343595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98272384"/>
        <c:crosses val="autoZero"/>
        <c:auto val="1"/>
        <c:lblAlgn val="ctr"/>
        <c:lblOffset val="100"/>
        <c:noMultiLvlLbl val="0"/>
      </c:catAx>
      <c:valAx>
        <c:axId val="98272384"/>
        <c:scaling>
          <c:orientation val="minMax"/>
        </c:scaling>
        <c:delete val="0"/>
        <c:axPos val="l"/>
        <c:majorGridlines/>
        <c:numFmt formatCode="#,##0_);\(#,##0\);#,##0_);@_)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343595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900"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8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295275</xdr:colOff>
      <xdr:row>23</xdr:row>
      <xdr:rowOff>166946</xdr:rowOff>
    </xdr:from>
    <xdr:to>
      <xdr:col>12</xdr:col>
      <xdr:colOff>133350</xdr:colOff>
      <xdr:row>25</xdr:row>
      <xdr:rowOff>201056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6321982-C571-4E5F-A7F3-034D6282A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503795" y="5302826"/>
          <a:ext cx="1560195" cy="476070"/>
        </a:xfrm>
        <a:prstGeom prst="rect">
          <a:avLst/>
        </a:prstGeom>
      </xdr:spPr>
    </xdr:pic>
    <xdr:clientData/>
  </xdr:twoCellAnchor>
  <xdr:twoCellAnchor editAs="oneCell">
    <xdr:from>
      <xdr:col>0</xdr:col>
      <xdr:colOff>205739</xdr:colOff>
      <xdr:row>23</xdr:row>
      <xdr:rowOff>0</xdr:rowOff>
    </xdr:from>
    <xdr:to>
      <xdr:col>4</xdr:col>
      <xdr:colOff>112072</xdr:colOff>
      <xdr:row>26</xdr:row>
      <xdr:rowOff>38100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277ACA1-0A17-46F2-8791-BE1F093E0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39" y="5082540"/>
          <a:ext cx="1689413" cy="701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</xdr:colOff>
      <xdr:row>47</xdr:row>
      <xdr:rowOff>0</xdr:rowOff>
    </xdr:from>
    <xdr:to>
      <xdr:col>10</xdr:col>
      <xdr:colOff>91109</xdr:colOff>
      <xdr:row>62</xdr:row>
      <xdr:rowOff>132272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132521</xdr:colOff>
      <xdr:row>66</xdr:row>
      <xdr:rowOff>0</xdr:rowOff>
    </xdr:from>
    <xdr:to>
      <xdr:col>10</xdr:col>
      <xdr:colOff>87299</xdr:colOff>
      <xdr:row>81</xdr:row>
      <xdr:rowOff>136082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132521</xdr:colOff>
      <xdr:row>85</xdr:row>
      <xdr:rowOff>0</xdr:rowOff>
    </xdr:from>
    <xdr:to>
      <xdr:col>10</xdr:col>
      <xdr:colOff>85394</xdr:colOff>
      <xdr:row>100</xdr:row>
      <xdr:rowOff>132272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1016000</xdr:colOff>
      <xdr:row>2</xdr:row>
      <xdr:rowOff>44450</xdr:rowOff>
    </xdr:from>
    <xdr:to>
      <xdr:col>11</xdr:col>
      <xdr:colOff>787400</xdr:colOff>
      <xdr:row>4</xdr:row>
      <xdr:rowOff>47625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8400" y="387350"/>
          <a:ext cx="8318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10</xdr:col>
      <xdr:colOff>95250</xdr:colOff>
      <xdr:row>120</xdr:row>
      <xdr:rowOff>133350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</xdr:colOff>
      <xdr:row>47</xdr:row>
      <xdr:rowOff>0</xdr:rowOff>
    </xdr:from>
    <xdr:to>
      <xdr:col>10</xdr:col>
      <xdr:colOff>91109</xdr:colOff>
      <xdr:row>62</xdr:row>
      <xdr:rowOff>132272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132521</xdr:colOff>
      <xdr:row>66</xdr:row>
      <xdr:rowOff>0</xdr:rowOff>
    </xdr:from>
    <xdr:to>
      <xdr:col>10</xdr:col>
      <xdr:colOff>87299</xdr:colOff>
      <xdr:row>81</xdr:row>
      <xdr:rowOff>136082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132521</xdr:colOff>
      <xdr:row>85</xdr:row>
      <xdr:rowOff>0</xdr:rowOff>
    </xdr:from>
    <xdr:to>
      <xdr:col>10</xdr:col>
      <xdr:colOff>85394</xdr:colOff>
      <xdr:row>100</xdr:row>
      <xdr:rowOff>132272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69850</xdr:colOff>
      <xdr:row>2</xdr:row>
      <xdr:rowOff>50800</xdr:rowOff>
    </xdr:from>
    <xdr:to>
      <xdr:col>10</xdr:col>
      <xdr:colOff>891540</xdr:colOff>
      <xdr:row>4</xdr:row>
      <xdr:rowOff>9929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4200" y="387350"/>
          <a:ext cx="825500" cy="290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10</xdr:col>
      <xdr:colOff>95250</xdr:colOff>
      <xdr:row>120</xdr:row>
      <xdr:rowOff>133350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unse/Desktop/Wall%20Street%20Training%20Asia/Online/WST_SHAK%20&#47784;&#45944;_&#49884;&#510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Stats"/>
      <sheetName val="Income Statement"/>
      <sheetName val="Balance Sheet"/>
      <sheetName val="Cash Flow"/>
      <sheetName val="Multiples"/>
      <sheetName val="Historical Capitalization"/>
      <sheetName val="Capital Structure Summary"/>
      <sheetName val="Capital Structure Details"/>
      <sheetName val="Ratios"/>
      <sheetName val="Supplemental"/>
      <sheetName val="Industry Specific"/>
      <sheetName val="Pension OPEB"/>
      <sheetName val="Segments"/>
      <sheetName val="Cover"/>
      <sheetName val="OB맥주_Research"/>
      <sheetName val="DCF&gt;&gt;&gt;"/>
      <sheetName val="Statement of Cash Flow"/>
      <sheetName val="Assets Schedule"/>
      <sheetName val="Non-debt Liabilities Schedule"/>
      <sheetName val="Debt Schedule"/>
      <sheetName val="Equity Schedule"/>
      <sheetName val="DCF Valuation"/>
      <sheetName val="WACC"/>
      <sheetName val="Football"/>
      <sheetName val="LBO&gt;&gt;&gt;"/>
      <sheetName val="LBO_Analysis"/>
      <sheetName val="LBO Financing Structure"/>
      <sheetName val="LBO Graph"/>
      <sheetName val="Trading Comps &gt;&gt;&gt;"/>
      <sheetName val="Trading Comps_Input"/>
      <sheetName val="Trading Comps_Output"/>
      <sheetName val="Precedent Transactions&gt;&gt;&gt;"/>
      <sheetName val="Precedent Transactions_Input"/>
      <sheetName val="Precedent Transactions_Output"/>
      <sheetName val="Actual Financial Statements&gt;&gt;&gt;"/>
      <sheetName val="OB_IS"/>
      <sheetName val="OB_BS"/>
      <sheetName val="OB_SCF"/>
      <sheetName val="OB맥주_DART"/>
      <sheetName val="하이트진로_DART"/>
      <sheetName val="IS"/>
      <sheetName val="BS"/>
      <sheetName val="SCF"/>
      <sheetName val="Working Capital"/>
      <sheetName val="PP&amp;E"/>
      <sheetName val="Intangibles"/>
      <sheetName val="Other LT Items"/>
      <sheetName val="Equity"/>
      <sheetName val="Share"/>
      <sheetName val="Debt&amp;Interest"/>
      <sheetName val="DCF Analysis"/>
      <sheetName val="CR"/>
      <sheetName val="LBO_Summary"/>
      <sheetName val="Wall Street Training"/>
      <sheetName val="투자은행과 사모펀드"/>
    </sheetNames>
    <sheetDataSet>
      <sheetData sheetId="0" refreshError="1"/>
      <sheetData sheetId="1">
        <row r="12">
          <cell r="AJ12" t="str">
            <v>Net Sales</v>
          </cell>
          <cell r="AP12">
            <v>0</v>
          </cell>
        </row>
      </sheetData>
      <sheetData sheetId="2"/>
      <sheetData sheetId="3">
        <row r="80">
          <cell r="P80">
            <v>2010</v>
          </cell>
        </row>
      </sheetData>
      <sheetData sheetId="4" refreshError="1"/>
      <sheetData sheetId="5" refreshError="1"/>
      <sheetData sheetId="6" refreshError="1"/>
      <sheetData sheetId="7" refreshError="1">
        <row r="14">
          <cell r="V14" t="str">
            <v>IQDCS917863134</v>
          </cell>
        </row>
        <row r="15">
          <cell r="V15" t="str">
            <v>IQDCS923207510</v>
          </cell>
        </row>
        <row r="16">
          <cell r="V16" t="str">
            <v>IQDCS923207569</v>
          </cell>
        </row>
        <row r="17">
          <cell r="V17" t="str">
            <v>IQDCS923207570</v>
          </cell>
        </row>
        <row r="18">
          <cell r="V18" t="str">
            <v>IQDCS923207571</v>
          </cell>
        </row>
        <row r="19">
          <cell r="V19" t="str">
            <v>IQDCS923207572</v>
          </cell>
        </row>
        <row r="20">
          <cell r="V20" t="str">
            <v>IQDCS923207573</v>
          </cell>
        </row>
        <row r="21">
          <cell r="V21" t="str">
            <v>IQDCS923207574</v>
          </cell>
        </row>
        <row r="22">
          <cell r="V22" t="str">
            <v>IQDCS923207575</v>
          </cell>
        </row>
        <row r="23">
          <cell r="V23" t="str">
            <v>IQDCS923207576</v>
          </cell>
        </row>
        <row r="24">
          <cell r="V24" t="str">
            <v>IQDCS923212114</v>
          </cell>
        </row>
        <row r="25">
          <cell r="V25" t="str">
            <v>IQDCS923207577</v>
          </cell>
        </row>
        <row r="32">
          <cell r="V32" t="str">
            <v>IQDCS917863134</v>
          </cell>
        </row>
        <row r="33">
          <cell r="V33" t="str">
            <v>IQDCS921082138</v>
          </cell>
        </row>
        <row r="34">
          <cell r="V34" t="str">
            <v>IQDCS920788839</v>
          </cell>
        </row>
        <row r="35">
          <cell r="V35" t="str">
            <v>IQDCS920009847</v>
          </cell>
        </row>
        <row r="36">
          <cell r="V36" t="str">
            <v>IQDCS920009846</v>
          </cell>
        </row>
        <row r="37">
          <cell r="V37" t="str">
            <v>IQDCS919287754</v>
          </cell>
        </row>
        <row r="38">
          <cell r="V38" t="str">
            <v>IQDCS918915118</v>
          </cell>
        </row>
        <row r="39">
          <cell r="V39" t="str">
            <v>IQDCS918501939</v>
          </cell>
        </row>
        <row r="40">
          <cell r="V40" t="str">
            <v>IQDCS917466995</v>
          </cell>
        </row>
        <row r="41">
          <cell r="V41" t="str">
            <v>IQDCS917182729</v>
          </cell>
        </row>
        <row r="42">
          <cell r="V42" t="str">
            <v>IQDCS916202998</v>
          </cell>
        </row>
        <row r="43">
          <cell r="V43" t="str">
            <v>IQDCS915018595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6">
          <cell r="K6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0">
          <cell r="Q20">
            <v>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Cover"/>
      <sheetName val="Operations"/>
      <sheetName val="Income Statement"/>
      <sheetName val="Balance Sheet"/>
      <sheetName val="Cash Flow"/>
      <sheetName val="Working Capital"/>
      <sheetName val="PP&amp;E"/>
      <sheetName val="Other LT Items"/>
      <sheetName val="Equity"/>
      <sheetName val="Shares"/>
      <sheetName val="Debt&amp;Interest"/>
      <sheetName val="DCF"/>
      <sheetName val="SHAK_10K"/>
      <sheetName val="Capital IQ&gt;&gt;&gt;&gt;&gt;"/>
      <sheetName val="Key Stats"/>
      <sheetName val="IS"/>
      <sheetName val="BS"/>
      <sheetName val="SCF"/>
      <sheetName val="Multiples"/>
      <sheetName val="Historical Capitalization"/>
      <sheetName val="Capital Structure Summary"/>
      <sheetName val="Capital Structure Details"/>
      <sheetName val="Ratios"/>
      <sheetName val="Supplemental"/>
      <sheetName val="Segments"/>
      <sheetName val="WACC"/>
      <sheetName val="Input Tab"/>
      <sheetName val="Trading Multiples"/>
      <sheetName val="Valuation Chart"/>
      <sheetName val="Comparable M&amp;A Transactions"/>
      <sheetName val="C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H1">
            <v>43291</v>
          </cell>
        </row>
      </sheetData>
      <sheetData sheetId="27">
        <row r="15">
          <cell r="AD15" t="str">
            <v>Public Peer List</v>
          </cell>
        </row>
        <row r="16">
          <cell r="AD16" t="str">
            <v>Private Peer List</v>
          </cell>
        </row>
        <row r="17">
          <cell r="AD17" t="str">
            <v>Mixed Peer List</v>
          </cell>
        </row>
        <row r="18">
          <cell r="AD18" t="str">
            <v>Quick Comps</v>
          </cell>
        </row>
        <row r="19">
          <cell r="AD19" t="str">
            <v>CompSet / Watchlist</v>
          </cell>
        </row>
      </sheetData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A817-06DA-4288-AEB5-64EC23AFC614}">
  <dimension ref="A1:Z1"/>
  <sheetViews>
    <sheetView workbookViewId="0"/>
  </sheetViews>
  <sheetFormatPr defaultRowHeight="17.399999999999999"/>
  <sheetData>
    <row r="1" spans="1:26">
      <c r="A1">
        <v>26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  <c r="S1" t="s">
        <v>217</v>
      </c>
      <c r="T1" t="s">
        <v>218</v>
      </c>
      <c r="U1" t="s">
        <v>219</v>
      </c>
      <c r="V1" t="s">
        <v>220</v>
      </c>
      <c r="W1" t="s">
        <v>221</v>
      </c>
      <c r="X1" t="s">
        <v>222</v>
      </c>
      <c r="Y1" t="s">
        <v>223</v>
      </c>
      <c r="Z1" t="s">
        <v>224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9DD2-6062-49C9-878E-F82CE9C1A835}">
  <sheetPr>
    <tabColor rgb="FF000000"/>
  </sheetPr>
  <dimension ref="A1:M36"/>
  <sheetViews>
    <sheetView showGridLines="0" view="pageBreakPreview" zoomScaleNormal="100" zoomScaleSheetLayoutView="100" workbookViewId="0">
      <selection activeCell="K2" sqref="K2"/>
    </sheetView>
  </sheetViews>
  <sheetFormatPr defaultColWidth="9" defaultRowHeight="17.399999999999999"/>
  <cols>
    <col min="1" max="3" width="2.69921875" style="1" customWidth="1"/>
    <col min="4" max="4" width="15.296875" style="1" bestFit="1" customWidth="1"/>
    <col min="5" max="5" width="7.69921875" style="1" customWidth="1"/>
    <col min="6" max="6" width="18.69921875" style="1" customWidth="1"/>
    <col min="7" max="7" width="9.09765625" style="1" customWidth="1"/>
    <col min="8" max="8" width="12.69921875" style="1" customWidth="1"/>
    <col min="9" max="9" width="15.296875" style="1" bestFit="1" customWidth="1"/>
    <col min="10" max="10" width="7.69921875" style="1" customWidth="1"/>
    <col min="11" max="11" width="13.59765625" style="1" customWidth="1"/>
    <col min="12" max="12" width="9" style="1"/>
    <col min="13" max="13" width="2.19921875" style="1" customWidth="1"/>
    <col min="14" max="14" width="2.69921875" style="1" customWidth="1"/>
    <col min="15" max="16384" width="9" style="1"/>
  </cols>
  <sheetData>
    <row r="1" spans="1:13" ht="21.6" thickBot="1">
      <c r="A1" s="30"/>
      <c r="B1" s="31"/>
      <c r="C1" s="32"/>
      <c r="D1" s="32"/>
      <c r="E1" s="32"/>
      <c r="F1" s="32"/>
      <c r="G1" s="32"/>
      <c r="H1" s="32"/>
      <c r="I1" s="32"/>
      <c r="J1" s="32"/>
      <c r="K1" s="31"/>
      <c r="L1" s="32"/>
      <c r="M1" s="213"/>
    </row>
    <row r="2" spans="1:13" ht="24" customHeight="1">
      <c r="A2" s="33"/>
      <c r="B2" s="125" t="s">
        <v>69</v>
      </c>
      <c r="C2" s="33"/>
      <c r="D2" s="33"/>
      <c r="E2" s="33"/>
      <c r="F2" s="33"/>
      <c r="G2" s="33"/>
      <c r="H2" s="33"/>
      <c r="I2" s="33"/>
      <c r="J2" s="33"/>
      <c r="K2" s="126" t="str">
        <f>'Data_ AT&amp;T 데이터'!D4</f>
        <v>AT&amp;T Inc. (NYSE:T)</v>
      </c>
      <c r="L2" s="33"/>
    </row>
    <row r="3" spans="1:13" ht="6.75" customHeight="1" thickBot="1">
      <c r="A3" s="33"/>
      <c r="B3" s="31"/>
      <c r="C3" s="32"/>
      <c r="D3" s="32"/>
      <c r="E3" s="32"/>
      <c r="F3" s="32"/>
      <c r="G3" s="32"/>
      <c r="H3" s="32"/>
      <c r="I3" s="32"/>
      <c r="J3" s="32"/>
      <c r="K3" s="31"/>
      <c r="L3" s="32"/>
      <c r="M3" s="213"/>
    </row>
    <row r="4" spans="1:13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>
      <c r="A6" s="33"/>
      <c r="B6" s="33"/>
      <c r="C6" s="33"/>
      <c r="D6" s="33" t="s">
        <v>0</v>
      </c>
      <c r="E6" s="33"/>
      <c r="F6" s="34">
        <f ca="1">TODAY()</f>
        <v>45831</v>
      </c>
      <c r="G6" s="33"/>
      <c r="H6" s="33"/>
      <c r="I6" s="33"/>
      <c r="J6" s="33"/>
      <c r="K6" s="33"/>
      <c r="L6" s="33"/>
    </row>
    <row r="7" spans="1:13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3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1:13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</row>
    <row r="10" spans="1:1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3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3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spans="1: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</row>
    <row r="14" spans="1:1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7" spans="2:6">
      <c r="F17"/>
    </row>
    <row r="21" spans="2:6">
      <c r="B21"/>
    </row>
    <row r="29" spans="2:6">
      <c r="C29" s="214" t="s">
        <v>225</v>
      </c>
    </row>
    <row r="30" spans="2:6">
      <c r="C30" s="214" t="s">
        <v>1</v>
      </c>
    </row>
    <row r="31" spans="2:6">
      <c r="C31" s="214" t="s">
        <v>226</v>
      </c>
    </row>
    <row r="32" spans="2:6">
      <c r="C32" s="214"/>
    </row>
    <row r="33" spans="3:3">
      <c r="C33" s="214" t="s">
        <v>227</v>
      </c>
    </row>
    <row r="34" spans="3:3">
      <c r="C34" s="214" t="s">
        <v>3</v>
      </c>
    </row>
    <row r="35" spans="3:3">
      <c r="C35" s="214" t="s">
        <v>4</v>
      </c>
    </row>
    <row r="36" spans="3:3">
      <c r="C36" s="214" t="s">
        <v>228</v>
      </c>
    </row>
  </sheetData>
  <phoneticPr fontId="1" type="noConversion"/>
  <pageMargins left="0.7" right="0.7" top="0.75" bottom="0.75" header="0.3" footer="0.3"/>
  <pageSetup paperSize="9" scale="9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</sheetPr>
  <dimension ref="A1:G20"/>
  <sheetViews>
    <sheetView showGridLines="0" zoomScale="130" zoomScaleNormal="130" workbookViewId="0">
      <pane ySplit="3" topLeftCell="A4" activePane="bottomLeft" state="frozen"/>
      <selection activeCell="A6" sqref="A6"/>
      <selection pane="bottomLeft"/>
    </sheetView>
  </sheetViews>
  <sheetFormatPr defaultColWidth="8.59765625" defaultRowHeight="13.2"/>
  <cols>
    <col min="1" max="2" width="1.796875" style="11" customWidth="1"/>
    <col min="3" max="3" width="2.5" style="11" customWidth="1"/>
    <col min="4" max="4" width="11.09765625" style="11" customWidth="1"/>
    <col min="5" max="7" width="15.09765625" style="11" bestFit="1" customWidth="1"/>
    <col min="8" max="9" width="10.796875" style="11" customWidth="1"/>
    <col min="10" max="16384" width="8.59765625" style="11"/>
  </cols>
  <sheetData>
    <row r="1" spans="1:7" ht="8.1" customHeight="1"/>
    <row r="2" spans="1:7" s="13" customFormat="1" ht="18" thickBot="1">
      <c r="A2" s="64" t="str">
        <f>""&amp;'Data_ AT&amp;T 데이터'!D4&amp;" – 현황판"</f>
        <v>AT&amp;T Inc. (NYSE:T) – 현황판</v>
      </c>
    </row>
    <row r="3" spans="1:7" s="15" customFormat="1"/>
    <row r="5" spans="1:7" ht="17.399999999999999">
      <c r="C5" s="100" t="s">
        <v>101</v>
      </c>
      <c r="D5" s="101"/>
      <c r="E5" s="101"/>
      <c r="F5" s="101"/>
      <c r="G5" s="102"/>
    </row>
    <row r="6" spans="1:7" ht="17.399999999999999">
      <c r="C6" s="65" t="s">
        <v>102</v>
      </c>
      <c r="D6" s="66"/>
      <c r="E6" s="67" t="s">
        <v>103</v>
      </c>
      <c r="F6" s="65" t="s">
        <v>104</v>
      </c>
      <c r="G6" s="68" t="s">
        <v>105</v>
      </c>
    </row>
    <row r="7" spans="1:7" ht="17.399999999999999">
      <c r="C7" s="69" t="s">
        <v>106</v>
      </c>
      <c r="D7" s="70"/>
      <c r="E7" s="71">
        <v>28.63</v>
      </c>
      <c r="F7" s="69" t="s">
        <v>107</v>
      </c>
      <c r="G7" s="72">
        <v>7.3243769945637846E-2</v>
      </c>
    </row>
    <row r="8" spans="1:7" ht="17.399999999999999">
      <c r="C8" s="69" t="s">
        <v>108</v>
      </c>
      <c r="D8" s="70"/>
      <c r="E8" s="73" t="s">
        <v>109</v>
      </c>
      <c r="F8" s="74" t="s">
        <v>110</v>
      </c>
      <c r="G8" s="72">
        <v>2.098100681516013E-2</v>
      </c>
    </row>
    <row r="9" spans="1:7" ht="17.399999999999999">
      <c r="C9"/>
      <c r="D9"/>
      <c r="E9" s="75"/>
      <c r="F9"/>
      <c r="G9" s="76"/>
    </row>
    <row r="10" spans="1:7" ht="17.399999999999999">
      <c r="C10" s="100" t="s">
        <v>111</v>
      </c>
      <c r="D10" s="101"/>
      <c r="E10" s="101"/>
      <c r="F10" s="101"/>
      <c r="G10" s="102"/>
    </row>
    <row r="11" spans="1:7" ht="17.399999999999999">
      <c r="C11" s="65" t="s">
        <v>112</v>
      </c>
      <c r="D11" s="77"/>
      <c r="E11" s="78">
        <v>4.8631745223213452E-2</v>
      </c>
      <c r="F11" s="79" t="s">
        <v>113</v>
      </c>
      <c r="G11" s="78">
        <v>7.3599172249234401E-2</v>
      </c>
    </row>
    <row r="12" spans="1:7" ht="17.399999999999999">
      <c r="C12" s="69" t="s">
        <v>114</v>
      </c>
      <c r="D12" s="80"/>
      <c r="E12" s="81">
        <v>-1.075518913431428E-2</v>
      </c>
      <c r="F12" s="82" t="s">
        <v>115</v>
      </c>
      <c r="G12" s="81">
        <v>0.73070240384615381</v>
      </c>
    </row>
    <row r="13" spans="1:7" ht="17.399999999999999">
      <c r="C13"/>
      <c r="D13"/>
      <c r="E13"/>
      <c r="F13"/>
      <c r="G13"/>
    </row>
    <row r="14" spans="1:7" ht="17.399999999999999">
      <c r="C14" s="100"/>
      <c r="D14" s="101"/>
      <c r="E14" s="103" t="s">
        <v>116</v>
      </c>
      <c r="F14" s="104" t="s">
        <v>103</v>
      </c>
      <c r="G14" s="105" t="s">
        <v>117</v>
      </c>
    </row>
    <row r="15" spans="1:7" ht="17.399999999999999">
      <c r="C15" s="69" t="s">
        <v>118</v>
      </c>
      <c r="D15" s="70"/>
      <c r="E15" s="70"/>
      <c r="F15" s="83"/>
      <c r="G15" s="83"/>
    </row>
    <row r="16" spans="1:7" ht="17.399999999999999">
      <c r="C16" s="84" t="s">
        <v>119</v>
      </c>
      <c r="D16" s="85"/>
      <c r="E16" s="86">
        <v>5.9728995298350531</v>
      </c>
      <c r="F16" s="87">
        <v>5.9769122193843263</v>
      </c>
      <c r="G16" s="88" t="s">
        <v>120</v>
      </c>
    </row>
    <row r="17" spans="3:7" ht="17.399999999999999">
      <c r="C17" s="89" t="s">
        <v>121</v>
      </c>
      <c r="D17" s="90"/>
      <c r="E17" s="91">
        <v>6.024285487623148</v>
      </c>
      <c r="F17" s="92">
        <v>6.0796841349605169</v>
      </c>
      <c r="G17" s="93" t="s">
        <v>120</v>
      </c>
    </row>
    <row r="18" spans="3:7" ht="17.399999999999999">
      <c r="C18" s="69" t="s">
        <v>122</v>
      </c>
      <c r="D18" s="70"/>
      <c r="E18" s="70"/>
      <c r="F18" s="83"/>
      <c r="G18" s="94"/>
    </row>
    <row r="19" spans="3:7" ht="17.399999999999999">
      <c r="C19" s="95" t="s">
        <v>123</v>
      </c>
      <c r="D19"/>
      <c r="E19" s="96">
        <v>12.746604562364075</v>
      </c>
      <c r="F19" s="97">
        <v>13.559603427006319</v>
      </c>
      <c r="G19" s="98" t="s">
        <v>100</v>
      </c>
    </row>
    <row r="20" spans="3:7" ht="17.399999999999999">
      <c r="C20" s="89" t="s">
        <v>124</v>
      </c>
      <c r="D20" s="90"/>
      <c r="E20" s="91">
        <v>15.395394684236154</v>
      </c>
      <c r="F20" s="92">
        <v>13.792758335008376</v>
      </c>
      <c r="G20" s="99" t="s">
        <v>125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CCB7-216D-4866-89B5-15C03BBF07ED}">
  <sheetPr>
    <tabColor rgb="FF000000"/>
  </sheetPr>
  <dimension ref="A1:O191"/>
  <sheetViews>
    <sheetView showGridLines="0" topLeftCell="A164" zoomScaleNormal="100" workbookViewId="0">
      <selection activeCell="E191" sqref="E191"/>
    </sheetView>
  </sheetViews>
  <sheetFormatPr defaultColWidth="8.59765625" defaultRowHeight="13.2" outlineLevelRow="1"/>
  <cols>
    <col min="1" max="2" width="1.796875" style="11" customWidth="1"/>
    <col min="3" max="3" width="24.5" style="11" customWidth="1"/>
    <col min="4" max="14" width="7.59765625" style="11" customWidth="1"/>
    <col min="15" max="16384" width="8.59765625" style="11"/>
  </cols>
  <sheetData>
    <row r="1" spans="1:14" ht="8.1" customHeight="1"/>
    <row r="2" spans="1:14" s="13" customFormat="1" ht="21.6" thickBot="1">
      <c r="A2" s="61" t="s">
        <v>69</v>
      </c>
    </row>
    <row r="3" spans="1:14" s="15" customFormat="1">
      <c r="C3" s="20"/>
      <c r="D3" s="20">
        <v>2020</v>
      </c>
      <c r="E3" s="20">
        <v>2021</v>
      </c>
      <c r="F3" s="20">
        <v>2022</v>
      </c>
      <c r="G3" s="20">
        <v>2023</v>
      </c>
      <c r="H3" s="20">
        <v>2024</v>
      </c>
      <c r="I3" s="20">
        <v>2025</v>
      </c>
      <c r="J3" s="20">
        <v>2026</v>
      </c>
      <c r="K3" s="20">
        <v>2027</v>
      </c>
      <c r="L3" s="20">
        <v>2028</v>
      </c>
      <c r="M3" s="20">
        <v>2029</v>
      </c>
      <c r="N3" s="20">
        <v>2030</v>
      </c>
    </row>
    <row r="4" spans="1:14" s="15" customFormat="1"/>
    <row r="5" spans="1:14" s="15" customFormat="1">
      <c r="C5" s="11" t="s">
        <v>139</v>
      </c>
      <c r="D5" s="117">
        <f>+현황판!E7</f>
        <v>28.63</v>
      </c>
      <c r="E5" s="11"/>
      <c r="F5" s="11"/>
      <c r="G5" s="11" t="s">
        <v>140</v>
      </c>
      <c r="H5" s="11"/>
      <c r="I5" s="11"/>
      <c r="J5" s="24">
        <f>+D5*J6</f>
        <v>203990.04599421</v>
      </c>
      <c r="K5" s="11"/>
    </row>
    <row r="6" spans="1:14" s="15" customFormat="1">
      <c r="C6" s="11" t="s">
        <v>141</v>
      </c>
      <c r="D6" s="117">
        <f>+D5*현황판!G7</f>
        <v>2.0969691335436114</v>
      </c>
      <c r="E6" s="11"/>
      <c r="F6" s="11"/>
      <c r="G6" s="11" t="s">
        <v>142</v>
      </c>
      <c r="H6" s="11"/>
      <c r="I6" s="11"/>
      <c r="J6" s="24">
        <v>7125.0452670000004</v>
      </c>
      <c r="K6" s="11"/>
    </row>
    <row r="7" spans="1:14" s="15" customFormat="1">
      <c r="C7" s="11" t="s">
        <v>143</v>
      </c>
      <c r="D7" s="106">
        <f>+현황판!G8</f>
        <v>2.098100681516013E-2</v>
      </c>
      <c r="E7" s="11"/>
      <c r="F7" s="11"/>
      <c r="G7" s="11"/>
      <c r="H7" s="11"/>
      <c r="I7" s="11"/>
      <c r="J7" s="11"/>
      <c r="K7" s="11"/>
    </row>
    <row r="8" spans="1:14" s="15" customFormat="1"/>
    <row r="9" spans="1:14" s="15" customFormat="1"/>
    <row r="10" spans="1:14">
      <c r="B10" s="17" t="s">
        <v>144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 s="15" customFormat="1"/>
    <row r="12" spans="1:14" s="15" customFormat="1">
      <c r="B12" s="15" t="s">
        <v>60</v>
      </c>
      <c r="C12" s="169" t="s">
        <v>130</v>
      </c>
      <c r="D12" s="189">
        <v>29.01</v>
      </c>
      <c r="E12" s="129"/>
      <c r="F12" s="132"/>
    </row>
    <row r="13" spans="1:14" s="15" customFormat="1" ht="13.8">
      <c r="C13" s="15" t="s">
        <v>145</v>
      </c>
      <c r="D13" s="145">
        <v>0.1</v>
      </c>
      <c r="E13" s="132"/>
      <c r="F13" s="127"/>
    </row>
    <row r="14" spans="1:14" s="15" customFormat="1" ht="13.8">
      <c r="C14" s="15" t="s">
        <v>146</v>
      </c>
      <c r="D14" s="131">
        <v>5</v>
      </c>
      <c r="E14" s="132"/>
      <c r="F14" s="127"/>
    </row>
    <row r="15" spans="1:14" s="15" customFormat="1" ht="13.8">
      <c r="C15" s="15" t="s">
        <v>132</v>
      </c>
      <c r="D15" s="130">
        <f>+D6</f>
        <v>2.0969691335436114</v>
      </c>
      <c r="F15" s="127"/>
    </row>
    <row r="16" spans="1:14" s="15" customFormat="1" ht="13.8">
      <c r="C16" s="15" t="s">
        <v>147</v>
      </c>
      <c r="D16" s="130">
        <f>+D5</f>
        <v>28.63</v>
      </c>
    </row>
    <row r="17" spans="2:11" s="15" customFormat="1" ht="4.95" customHeight="1">
      <c r="D17" s="130"/>
    </row>
    <row r="18" spans="2:11" s="15" customFormat="1" ht="13.8">
      <c r="C18" s="15" t="s">
        <v>148</v>
      </c>
      <c r="D18" s="130"/>
    </row>
    <row r="19" spans="2:11" s="15" customFormat="1">
      <c r="C19" s="22"/>
      <c r="D19" s="22">
        <v>2020</v>
      </c>
      <c r="E19" s="22">
        <f>+D19+1</f>
        <v>2021</v>
      </c>
      <c r="F19" s="22">
        <f t="shared" ref="F19:I20" si="0">+E19+1</f>
        <v>2022</v>
      </c>
      <c r="G19" s="22">
        <f t="shared" si="0"/>
        <v>2023</v>
      </c>
      <c r="H19" s="22">
        <f t="shared" si="0"/>
        <v>2024</v>
      </c>
      <c r="I19" s="22">
        <f t="shared" si="0"/>
        <v>2025</v>
      </c>
      <c r="J19" s="22">
        <f>+I19</f>
        <v>2025</v>
      </c>
    </row>
    <row r="20" spans="2:11" s="15" customFormat="1" ht="13.8">
      <c r="C20" s="15" t="s">
        <v>146</v>
      </c>
      <c r="D20" s="15">
        <v>0</v>
      </c>
      <c r="E20" s="193">
        <f>+D20+1</f>
        <v>1</v>
      </c>
      <c r="F20" s="193">
        <f t="shared" si="0"/>
        <v>2</v>
      </c>
      <c r="G20" s="193">
        <f t="shared" si="0"/>
        <v>3</v>
      </c>
      <c r="H20" s="193">
        <f t="shared" si="0"/>
        <v>4</v>
      </c>
      <c r="I20" s="193">
        <f t="shared" si="0"/>
        <v>5</v>
      </c>
      <c r="J20" s="193">
        <f>+I20</f>
        <v>5</v>
      </c>
    </row>
    <row r="21" spans="2:11" s="15" customFormat="1" ht="13.8">
      <c r="C21" s="15" t="s">
        <v>149</v>
      </c>
      <c r="E21" s="129">
        <f>+$D$15</f>
        <v>2.0969691335436114</v>
      </c>
      <c r="F21" s="129">
        <f>+$D$15</f>
        <v>2.0969691335436114</v>
      </c>
      <c r="G21" s="129">
        <f>+$D$15</f>
        <v>2.0969691335436114</v>
      </c>
      <c r="H21" s="129">
        <f>+$D$15</f>
        <v>2.0969691335436114</v>
      </c>
      <c r="I21" s="129">
        <f>+$D$15</f>
        <v>2.0969691335436114</v>
      </c>
      <c r="J21" s="146"/>
    </row>
    <row r="22" spans="2:11" s="15" customFormat="1" ht="13.8">
      <c r="C22" s="15" t="s">
        <v>147</v>
      </c>
      <c r="E22" s="146"/>
      <c r="F22" s="146"/>
      <c r="G22" s="146"/>
      <c r="H22" s="146"/>
      <c r="I22" s="146"/>
      <c r="J22" s="129">
        <f>+D16</f>
        <v>28.63</v>
      </c>
    </row>
    <row r="23" spans="2:11" s="15" customFormat="1" ht="13.8">
      <c r="C23" s="15" t="s">
        <v>150</v>
      </c>
      <c r="E23" s="215">
        <v>1.07</v>
      </c>
      <c r="F23" s="215">
        <v>1.1399999999999999</v>
      </c>
      <c r="G23" s="215">
        <v>1.23</v>
      </c>
      <c r="H23" s="215">
        <v>1.31</v>
      </c>
      <c r="I23" s="215">
        <v>1.4</v>
      </c>
      <c r="J23" s="191">
        <v>1.4</v>
      </c>
    </row>
    <row r="24" spans="2:11" s="15" customFormat="1" ht="13.8">
      <c r="C24" s="15" t="s">
        <v>151</v>
      </c>
      <c r="E24" s="192">
        <f>+E21/E23</f>
        <v>1.9597842369566461</v>
      </c>
      <c r="F24" s="192">
        <f t="shared" ref="F24:I24" si="1">+F21/F23</f>
        <v>1.839446608371589</v>
      </c>
      <c r="G24" s="192">
        <f t="shared" si="1"/>
        <v>1.7048529541004971</v>
      </c>
      <c r="H24" s="192">
        <f t="shared" si="1"/>
        <v>1.6007397965981764</v>
      </c>
      <c r="I24" s="192">
        <f t="shared" si="1"/>
        <v>1.497835095388294</v>
      </c>
      <c r="J24" s="192">
        <f>+J22/J23</f>
        <v>20.45</v>
      </c>
    </row>
    <row r="25" spans="2:11" s="15" customFormat="1" ht="13.8">
      <c r="I25" s="46" t="s">
        <v>152</v>
      </c>
      <c r="J25" s="134">
        <f>SUM(E24:J24)</f>
        <v>29.052658691415203</v>
      </c>
      <c r="K25" s="135" t="b">
        <f>J25=D12</f>
        <v>0</v>
      </c>
    </row>
    <row r="26" spans="2:11" s="15" customFormat="1">
      <c r="I26" s="46"/>
      <c r="J26" s="134"/>
      <c r="K26" s="135"/>
    </row>
    <row r="27" spans="2:11" s="15" customFormat="1">
      <c r="B27" s="15" t="s">
        <v>60</v>
      </c>
      <c r="C27" s="169" t="s">
        <v>130</v>
      </c>
      <c r="D27" s="189"/>
      <c r="I27" s="46"/>
      <c r="J27" s="134"/>
      <c r="K27" s="135"/>
    </row>
    <row r="28" spans="2:11" s="15" customFormat="1" ht="13.8">
      <c r="C28" s="15" t="s">
        <v>145</v>
      </c>
      <c r="D28" s="145">
        <v>0.1</v>
      </c>
      <c r="I28" s="46"/>
      <c r="J28" s="134"/>
      <c r="K28" s="135"/>
    </row>
    <row r="29" spans="2:11" s="15" customFormat="1" ht="13.8">
      <c r="C29" s="15" t="s">
        <v>146</v>
      </c>
      <c r="D29" s="131">
        <v>5</v>
      </c>
      <c r="I29" s="46"/>
      <c r="J29" s="134"/>
      <c r="K29" s="135"/>
    </row>
    <row r="30" spans="2:11" s="15" customFormat="1" ht="13.8">
      <c r="C30" s="15" t="s">
        <v>132</v>
      </c>
      <c r="D30" s="130">
        <f>+D21</f>
        <v>0</v>
      </c>
      <c r="I30" s="46"/>
      <c r="J30" s="134"/>
      <c r="K30" s="135"/>
    </row>
    <row r="31" spans="2:11" s="15" customFormat="1" ht="13.8">
      <c r="C31" s="15" t="s">
        <v>147</v>
      </c>
      <c r="D31" s="130">
        <f>+D20</f>
        <v>0</v>
      </c>
      <c r="I31" s="46"/>
      <c r="J31" s="134"/>
      <c r="K31" s="135"/>
    </row>
    <row r="32" spans="2:11" s="15" customFormat="1"/>
    <row r="33" spans="2:14" s="15" customFormat="1" ht="15" hidden="1" outlineLevel="1">
      <c r="D33" s="15" t="s">
        <v>153</v>
      </c>
      <c r="L33" s="175"/>
    </row>
    <row r="34" spans="2:14" s="15" customFormat="1" hidden="1" outlineLevel="1"/>
    <row r="35" spans="2:14" s="15" customFormat="1" ht="15" hidden="1" outlineLevel="1">
      <c r="B35" s="15" t="s">
        <v>60</v>
      </c>
      <c r="C35" s="147" t="s">
        <v>133</v>
      </c>
      <c r="D35" s="148">
        <f>FV(D36,D37,-D38,-D39,0)</f>
        <v>58.911107557197127</v>
      </c>
      <c r="E35" s="138"/>
      <c r="F35" s="138"/>
      <c r="G35" s="176" t="s">
        <v>146</v>
      </c>
      <c r="H35" s="138">
        <v>1</v>
      </c>
      <c r="I35" s="138">
        <f t="shared" ref="I35:K35" si="2">+H35+1</f>
        <v>2</v>
      </c>
      <c r="J35" s="138">
        <f t="shared" si="2"/>
        <v>3</v>
      </c>
      <c r="K35" s="138">
        <f t="shared" si="2"/>
        <v>4</v>
      </c>
      <c r="L35" s="138">
        <v>5</v>
      </c>
      <c r="M35" s="138">
        <v>5</v>
      </c>
    </row>
    <row r="36" spans="2:14" s="15" customFormat="1" ht="15" hidden="1" outlineLevel="1">
      <c r="C36" s="138" t="s">
        <v>145</v>
      </c>
      <c r="D36" s="149">
        <v>0.1</v>
      </c>
      <c r="E36" s="151"/>
      <c r="F36" s="138"/>
      <c r="G36" s="176" t="s">
        <v>149</v>
      </c>
      <c r="H36" s="152">
        <f>E21</f>
        <v>2.0969691335436114</v>
      </c>
      <c r="I36" s="152">
        <f>F21</f>
        <v>2.0969691335436114</v>
      </c>
      <c r="J36" s="152">
        <f>G21</f>
        <v>2.0969691335436114</v>
      </c>
      <c r="K36" s="152">
        <f>H21</f>
        <v>2.0969691335436114</v>
      </c>
      <c r="L36" s="152">
        <f>I21</f>
        <v>2.0969691335436114</v>
      </c>
      <c r="M36" s="152"/>
    </row>
    <row r="37" spans="2:14" s="15" customFormat="1" ht="15" hidden="1" outlineLevel="1">
      <c r="C37" s="138" t="s">
        <v>146</v>
      </c>
      <c r="D37" s="150">
        <v>5</v>
      </c>
      <c r="E37" s="151"/>
      <c r="F37" s="138"/>
      <c r="G37" s="176" t="s">
        <v>154</v>
      </c>
      <c r="H37" s="138"/>
      <c r="I37" s="138"/>
      <c r="J37" s="138"/>
      <c r="K37" s="138"/>
      <c r="L37" s="152"/>
      <c r="M37" s="152">
        <f>+D5</f>
        <v>28.63</v>
      </c>
    </row>
    <row r="38" spans="2:14" s="15" customFormat="1" ht="15" hidden="1" outlineLevel="1">
      <c r="C38" s="138" t="s">
        <v>155</v>
      </c>
      <c r="D38" s="137">
        <f>D6</f>
        <v>2.0969691335436114</v>
      </c>
      <c r="E38" s="138"/>
      <c r="F38" s="138"/>
      <c r="G38" s="176" t="s">
        <v>156</v>
      </c>
      <c r="H38" s="138">
        <f>1.1^(COUNTA(I35:$L$35))</f>
        <v>1.4641000000000004</v>
      </c>
      <c r="I38" s="138">
        <f>1.1^(COUNTA(J35:$L$35))</f>
        <v>1.3310000000000004</v>
      </c>
      <c r="J38" s="138">
        <f>1.1^(COUNTA(K35:$L$35))</f>
        <v>1.2100000000000002</v>
      </c>
      <c r="K38" s="138">
        <f>1.1^(COUNTA(L35:$L$35))</f>
        <v>1.1000000000000001</v>
      </c>
      <c r="L38" s="138">
        <v>1</v>
      </c>
      <c r="M38" s="138">
        <v>1</v>
      </c>
    </row>
    <row r="39" spans="2:14" s="15" customFormat="1" ht="15" hidden="1" outlineLevel="1">
      <c r="C39" s="138" t="s">
        <v>157</v>
      </c>
      <c r="D39" s="137">
        <f>+D5</f>
        <v>28.63</v>
      </c>
      <c r="E39" s="138"/>
      <c r="F39" s="138"/>
      <c r="G39" s="176" t="s">
        <v>151</v>
      </c>
      <c r="H39" s="138">
        <f t="shared" ref="H39:L39" si="3">+H36*H38</f>
        <v>3.0701725084212024</v>
      </c>
      <c r="I39" s="138">
        <f t="shared" si="3"/>
        <v>2.7910659167465477</v>
      </c>
      <c r="J39" s="138">
        <f t="shared" si="3"/>
        <v>2.5373326515877701</v>
      </c>
      <c r="K39" s="138">
        <f t="shared" si="3"/>
        <v>2.3066660468979725</v>
      </c>
      <c r="L39" s="138">
        <f t="shared" si="3"/>
        <v>2.0969691335436114</v>
      </c>
      <c r="M39" s="138">
        <f>+M37*M38</f>
        <v>28.63</v>
      </c>
    </row>
    <row r="40" spans="2:14" s="15" customFormat="1" ht="15" hidden="1" outlineLevel="1">
      <c r="C40" s="138"/>
      <c r="D40" s="138"/>
      <c r="E40" s="138"/>
      <c r="F40" s="138"/>
      <c r="G40" s="138"/>
      <c r="H40" s="138"/>
      <c r="I40" s="138"/>
      <c r="J40" s="138"/>
      <c r="K40" s="138"/>
      <c r="L40" s="176" t="s">
        <v>152</v>
      </c>
      <c r="M40" s="148">
        <f>SUM(H39:M39)</f>
        <v>41.432206257197102</v>
      </c>
      <c r="N40" s="135" t="b">
        <f>M40=D35</f>
        <v>0</v>
      </c>
    </row>
    <row r="41" spans="2:14" s="15" customFormat="1" ht="15" hidden="1" outlineLevel="1">
      <c r="D41" s="15" t="s">
        <v>137</v>
      </c>
    </row>
    <row r="42" spans="2:14" s="15" customFormat="1" collapsed="1"/>
    <row r="43" spans="2:14" s="15" customFormat="1">
      <c r="B43" s="15" t="s">
        <v>60</v>
      </c>
      <c r="C43" s="169" t="s">
        <v>134</v>
      </c>
      <c r="D43" s="189">
        <v>0.38</v>
      </c>
      <c r="E43" s="133" t="b">
        <f>+D12=D43-D49</f>
        <v>1</v>
      </c>
    </row>
    <row r="44" spans="2:14" s="15" customFormat="1" ht="13.8">
      <c r="C44" s="15" t="s">
        <v>145</v>
      </c>
      <c r="D44" s="168">
        <v>0.1</v>
      </c>
    </row>
    <row r="45" spans="2:14" s="15" customFormat="1" ht="4.95" customHeight="1">
      <c r="D45" s="131"/>
    </row>
    <row r="46" spans="2:14" s="15" customFormat="1" ht="13.8">
      <c r="C46" s="177" t="s">
        <v>158</v>
      </c>
      <c r="D46" s="131"/>
    </row>
    <row r="47" spans="2:14" s="15" customFormat="1">
      <c r="C47" s="20"/>
      <c r="D47" s="22">
        <v>2020</v>
      </c>
      <c r="E47" s="22">
        <f>+D47+1</f>
        <v>2021</v>
      </c>
      <c r="F47" s="22">
        <f t="shared" ref="F47:I47" si="4">+E47+1</f>
        <v>2022</v>
      </c>
      <c r="G47" s="22">
        <f t="shared" si="4"/>
        <v>2023</v>
      </c>
      <c r="H47" s="22">
        <f t="shared" si="4"/>
        <v>2024</v>
      </c>
      <c r="I47" s="22">
        <f t="shared" si="4"/>
        <v>2025</v>
      </c>
      <c r="J47" s="22">
        <f>+I47</f>
        <v>2025</v>
      </c>
    </row>
    <row r="48" spans="2:14" s="15" customFormat="1" ht="13.8">
      <c r="C48" s="15" t="s">
        <v>146</v>
      </c>
      <c r="D48" s="15">
        <v>0</v>
      </c>
      <c r="E48" s="15">
        <v>1</v>
      </c>
      <c r="F48" s="15">
        <f>+E48+1</f>
        <v>2</v>
      </c>
      <c r="G48" s="15">
        <f>+F48+1</f>
        <v>3</v>
      </c>
      <c r="H48" s="15">
        <f>+G48+1</f>
        <v>4</v>
      </c>
      <c r="I48" s="15">
        <f>+H48+1</f>
        <v>5</v>
      </c>
    </row>
    <row r="49" spans="2:10" s="15" customFormat="1" ht="13.8">
      <c r="C49" s="15" t="s">
        <v>159</v>
      </c>
      <c r="D49" s="129">
        <f>-D5</f>
        <v>-28.63</v>
      </c>
      <c r="E49" s="146"/>
      <c r="F49" s="146"/>
      <c r="G49" s="146"/>
      <c r="H49" s="146"/>
      <c r="I49" s="146"/>
    </row>
    <row r="50" spans="2:10" s="15" customFormat="1" ht="13.8">
      <c r="C50" s="15" t="s">
        <v>149</v>
      </c>
      <c r="E50" s="129">
        <f>+E21</f>
        <v>2.0969691335436114</v>
      </c>
      <c r="F50" s="129">
        <f>+F21</f>
        <v>2.0969691335436114</v>
      </c>
      <c r="G50" s="129">
        <f>+G21</f>
        <v>2.0969691335436114</v>
      </c>
      <c r="H50" s="129">
        <f>+H21</f>
        <v>2.0969691335436114</v>
      </c>
      <c r="I50" s="129">
        <f>+I21+J22</f>
        <v>30.726969133543612</v>
      </c>
      <c r="J50" s="15" t="s">
        <v>160</v>
      </c>
    </row>
    <row r="51" spans="2:10" s="15" customFormat="1">
      <c r="E51" s="129"/>
      <c r="F51" s="129"/>
      <c r="G51" s="129"/>
      <c r="H51" s="129"/>
      <c r="I51" s="129"/>
    </row>
    <row r="52" spans="2:10" s="15" customFormat="1" ht="13.8">
      <c r="C52" s="177" t="s">
        <v>161</v>
      </c>
    </row>
    <row r="53" spans="2:10" s="15" customFormat="1" ht="13.8">
      <c r="C53" s="169" t="s">
        <v>138</v>
      </c>
      <c r="D53" s="189">
        <f>NPV(D54,E59:I59,-D55)</f>
        <v>26.195521269414108</v>
      </c>
    </row>
    <row r="54" spans="2:10" s="15" customFormat="1" ht="13.8">
      <c r="C54" s="15" t="s">
        <v>145</v>
      </c>
      <c r="D54" s="168">
        <v>0.1</v>
      </c>
    </row>
    <row r="55" spans="2:10" s="15" customFormat="1" ht="13.8">
      <c r="C55" s="15" t="s">
        <v>186</v>
      </c>
      <c r="D55" s="195">
        <f>+D7</f>
        <v>2.098100681516013E-2</v>
      </c>
    </row>
    <row r="56" spans="2:10" s="15" customFormat="1">
      <c r="C56" s="20"/>
      <c r="D56" s="22">
        <v>2020</v>
      </c>
      <c r="E56" s="22">
        <f>+D56+1</f>
        <v>2021</v>
      </c>
      <c r="F56" s="22">
        <f t="shared" ref="F56:I56" si="5">+E56+1</f>
        <v>2022</v>
      </c>
      <c r="G56" s="22">
        <f t="shared" si="5"/>
        <v>2023</v>
      </c>
      <c r="H56" s="22">
        <f t="shared" si="5"/>
        <v>2024</v>
      </c>
      <c r="I56" s="22">
        <f t="shared" si="5"/>
        <v>2025</v>
      </c>
      <c r="J56" s="22">
        <f>+I56</f>
        <v>2025</v>
      </c>
    </row>
    <row r="57" spans="2:10" s="15" customFormat="1" ht="13.8">
      <c r="C57" s="15" t="s">
        <v>146</v>
      </c>
      <c r="D57" s="15">
        <v>0</v>
      </c>
      <c r="E57" s="15">
        <v>1</v>
      </c>
      <c r="F57" s="15">
        <f>+E57+1</f>
        <v>2</v>
      </c>
      <c r="G57" s="15">
        <f>+F57+1</f>
        <v>3</v>
      </c>
      <c r="H57" s="15">
        <f>+G57+1</f>
        <v>4</v>
      </c>
      <c r="I57" s="15">
        <f>+H57+1</f>
        <v>5</v>
      </c>
    </row>
    <row r="58" spans="2:10" s="15" customFormat="1" ht="13.8">
      <c r="C58" s="15" t="s">
        <v>159</v>
      </c>
      <c r="D58" s="129">
        <f>-D5</f>
        <v>-28.63</v>
      </c>
      <c r="E58" s="146"/>
      <c r="F58" s="146"/>
      <c r="G58" s="146"/>
      <c r="H58" s="146"/>
      <c r="I58" s="146"/>
    </row>
    <row r="59" spans="2:10" s="15" customFormat="1" ht="13.8">
      <c r="C59" s="15" t="s">
        <v>149</v>
      </c>
      <c r="E59" s="129">
        <f>+E50*(1+$D$7)</f>
        <v>2.1409656572256703</v>
      </c>
      <c r="F59" s="129">
        <f>+E59*(1+$D$55)</f>
        <v>2.1858852722709461</v>
      </c>
      <c r="G59" s="129">
        <f t="shared" ref="G59:H59" si="6">+F59*(1+$D$55)</f>
        <v>2.231747346065621</v>
      </c>
      <c r="H59" s="129">
        <f t="shared" si="6"/>
        <v>2.2785716523431394</v>
      </c>
      <c r="I59" s="129">
        <f>+H59*(1+$D$55)+J22</f>
        <v>30.956378379709779</v>
      </c>
      <c r="J59" s="15" t="s">
        <v>160</v>
      </c>
    </row>
    <row r="60" spans="2:10" s="15" customFormat="1">
      <c r="D60" s="130"/>
    </row>
    <row r="61" spans="2:10" s="15" customFormat="1">
      <c r="D61" s="130"/>
    </row>
    <row r="62" spans="2:10" s="15" customFormat="1" ht="13.8" outlineLevel="1">
      <c r="C62" s="147" t="s">
        <v>162</v>
      </c>
      <c r="D62" s="137"/>
      <c r="E62" s="138"/>
      <c r="F62" s="138"/>
      <c r="G62" s="138"/>
      <c r="H62" s="138"/>
      <c r="I62" s="138"/>
      <c r="J62" s="138"/>
    </row>
    <row r="63" spans="2:10" s="15" customFormat="1"/>
    <row r="64" spans="2:10" s="15" customFormat="1">
      <c r="B64" s="15" t="s">
        <v>60</v>
      </c>
      <c r="C64" s="131" t="s">
        <v>131</v>
      </c>
      <c r="D64" s="196">
        <f>IRR(D68:I68)</f>
        <v>7.3243769945637638E-2</v>
      </c>
      <c r="E64" s="133"/>
    </row>
    <row r="65" spans="2:11" s="15" customFormat="1">
      <c r="D65" s="128"/>
    </row>
    <row r="66" spans="2:11" s="15" customFormat="1">
      <c r="C66" s="20"/>
      <c r="D66" s="22">
        <v>2020</v>
      </c>
      <c r="E66" s="22">
        <f>+D66+1</f>
        <v>2021</v>
      </c>
      <c r="F66" s="22">
        <f t="shared" ref="F66:I66" si="7">+E66+1</f>
        <v>2022</v>
      </c>
      <c r="G66" s="22">
        <f t="shared" si="7"/>
        <v>2023</v>
      </c>
      <c r="H66" s="22">
        <f t="shared" si="7"/>
        <v>2024</v>
      </c>
      <c r="I66" s="22">
        <f t="shared" si="7"/>
        <v>2025</v>
      </c>
      <c r="J66" s="22">
        <f>+I66</f>
        <v>2025</v>
      </c>
    </row>
    <row r="67" spans="2:11" s="15" customFormat="1" ht="13.8">
      <c r="C67" s="15" t="s">
        <v>146</v>
      </c>
      <c r="D67" s="15">
        <v>0</v>
      </c>
      <c r="E67" s="15">
        <v>1</v>
      </c>
      <c r="F67" s="15">
        <f>+E67+1</f>
        <v>2</v>
      </c>
      <c r="G67" s="15">
        <f>+F67+1</f>
        <v>3</v>
      </c>
      <c r="H67" s="15">
        <f>+G67+1</f>
        <v>4</v>
      </c>
      <c r="I67" s="15">
        <f>+H67+1</f>
        <v>5</v>
      </c>
    </row>
    <row r="68" spans="2:11" s="15" customFormat="1" ht="13.8">
      <c r="C68" s="15" t="s">
        <v>163</v>
      </c>
      <c r="D68" s="129">
        <f>+D49</f>
        <v>-28.63</v>
      </c>
      <c r="E68" s="129">
        <f>+E50</f>
        <v>2.0969691335436114</v>
      </c>
      <c r="F68" s="129">
        <f>+F50</f>
        <v>2.0969691335436114</v>
      </c>
      <c r="G68" s="129">
        <f>+G50</f>
        <v>2.0969691335436114</v>
      </c>
      <c r="H68" s="129">
        <f>+H50</f>
        <v>2.0969691335436114</v>
      </c>
      <c r="I68" s="129">
        <f>+I50</f>
        <v>30.726969133543612</v>
      </c>
    </row>
    <row r="69" spans="2:11" s="15" customFormat="1">
      <c r="D69" s="128"/>
    </row>
    <row r="70" spans="2:11" s="15" customFormat="1">
      <c r="D70" s="128"/>
    </row>
    <row r="71" spans="2:11" s="15" customFormat="1" ht="13.8">
      <c r="C71" s="147" t="s">
        <v>164</v>
      </c>
      <c r="D71" s="216">
        <f>D64-D44</f>
        <v>-2.6756230054362368E-2</v>
      </c>
    </row>
    <row r="72" spans="2:11" s="15" customFormat="1"/>
    <row r="73" spans="2:11" s="15" customFormat="1"/>
    <row r="74" spans="2:11" s="15" customFormat="1">
      <c r="B74" s="15" t="s">
        <v>60</v>
      </c>
      <c r="C74" s="131" t="s">
        <v>135</v>
      </c>
      <c r="D74" s="189">
        <f>XNPV(D75,D78:K78,D77:K77)</f>
        <v>-1.2708691778937009</v>
      </c>
    </row>
    <row r="75" spans="2:11" s="15" customFormat="1" ht="13.8">
      <c r="C75" s="15" t="s">
        <v>145</v>
      </c>
      <c r="D75" s="168">
        <v>0.1</v>
      </c>
    </row>
    <row r="76" spans="2:11" s="15" customFormat="1"/>
    <row r="77" spans="2:11" s="15" customFormat="1" ht="13.8">
      <c r="C77" s="170" t="s">
        <v>165</v>
      </c>
      <c r="D77" s="171">
        <v>43816</v>
      </c>
      <c r="E77" s="171">
        <v>43920</v>
      </c>
      <c r="F77" s="171">
        <f>+E77+365</f>
        <v>44285</v>
      </c>
      <c r="G77" s="171">
        <f t="shared" ref="G77:J77" si="8">+F77+365</f>
        <v>44650</v>
      </c>
      <c r="H77" s="171">
        <f t="shared" si="8"/>
        <v>45015</v>
      </c>
      <c r="I77" s="171">
        <f t="shared" si="8"/>
        <v>45380</v>
      </c>
      <c r="J77" s="171">
        <f t="shared" si="8"/>
        <v>45745</v>
      </c>
      <c r="K77" s="171">
        <f>+J77+90</f>
        <v>45835</v>
      </c>
    </row>
    <row r="78" spans="2:11" s="15" customFormat="1" ht="13.8">
      <c r="C78" s="15" t="s">
        <v>163</v>
      </c>
      <c r="D78" s="129">
        <f>-D5</f>
        <v>-28.63</v>
      </c>
      <c r="E78" s="129">
        <f>+$D$6*(1+$D$7)</f>
        <v>2.1409656572256703</v>
      </c>
      <c r="F78" s="129">
        <f>E78*(1+$D$7)</f>
        <v>2.1858852722709461</v>
      </c>
      <c r="G78" s="129">
        <f t="shared" ref="G78:J78" si="9">F78*(1+$D$7)</f>
        <v>2.231747346065621</v>
      </c>
      <c r="H78" s="129">
        <f t="shared" si="9"/>
        <v>2.2785716523431394</v>
      </c>
      <c r="I78" s="129">
        <f t="shared" si="9"/>
        <v>2.3263783797097815</v>
      </c>
      <c r="J78" s="129">
        <f t="shared" si="9"/>
        <v>2.3751881403491137</v>
      </c>
      <c r="K78" s="129">
        <f>+J22</f>
        <v>28.63</v>
      </c>
    </row>
    <row r="79" spans="2:11" s="15" customFormat="1"/>
    <row r="80" spans="2:11" s="15" customFormat="1"/>
    <row r="81" spans="2:14" s="15" customFormat="1"/>
    <row r="82" spans="2:14" s="15" customFormat="1"/>
    <row r="83" spans="2:14" s="15" customFormat="1"/>
    <row r="84" spans="2:14" s="15" customFormat="1"/>
    <row r="85" spans="2:14" s="15" customFormat="1"/>
    <row r="86" spans="2:14" s="15" customFormat="1">
      <c r="B86" s="15" t="s">
        <v>60</v>
      </c>
      <c r="C86" s="131" t="s">
        <v>136</v>
      </c>
      <c r="D86" s="196">
        <f>XIRR(D89:K89,D88:K88)</f>
        <v>8.8744756579399106E-2</v>
      </c>
    </row>
    <row r="87" spans="2:14" s="15" customFormat="1">
      <c r="D87" s="136"/>
    </row>
    <row r="88" spans="2:14" s="15" customFormat="1" ht="13.8">
      <c r="C88" s="170" t="s">
        <v>165</v>
      </c>
      <c r="D88" s="171">
        <f t="shared" ref="D88:K89" si="10">+D77</f>
        <v>43816</v>
      </c>
      <c r="E88" s="171">
        <f t="shared" si="10"/>
        <v>43920</v>
      </c>
      <c r="F88" s="171">
        <f t="shared" si="10"/>
        <v>44285</v>
      </c>
      <c r="G88" s="171">
        <f t="shared" si="10"/>
        <v>44650</v>
      </c>
      <c r="H88" s="171">
        <f t="shared" si="10"/>
        <v>45015</v>
      </c>
      <c r="I88" s="171">
        <f t="shared" si="10"/>
        <v>45380</v>
      </c>
      <c r="J88" s="171">
        <f t="shared" si="10"/>
        <v>45745</v>
      </c>
      <c r="K88" s="171">
        <f t="shared" si="10"/>
        <v>45835</v>
      </c>
    </row>
    <row r="89" spans="2:14" s="15" customFormat="1" ht="13.8">
      <c r="C89" s="15" t="s">
        <v>163</v>
      </c>
      <c r="D89" s="129">
        <f t="shared" si="10"/>
        <v>-28.63</v>
      </c>
      <c r="E89" s="129">
        <f t="shared" si="10"/>
        <v>2.1409656572256703</v>
      </c>
      <c r="F89" s="129">
        <f t="shared" si="10"/>
        <v>2.1858852722709461</v>
      </c>
      <c r="G89" s="129">
        <f t="shared" si="10"/>
        <v>2.231747346065621</v>
      </c>
      <c r="H89" s="129">
        <f t="shared" si="10"/>
        <v>2.2785716523431394</v>
      </c>
      <c r="I89" s="129">
        <f t="shared" si="10"/>
        <v>2.3263783797097815</v>
      </c>
      <c r="J89" s="129">
        <f t="shared" si="10"/>
        <v>2.3751881403491137</v>
      </c>
      <c r="K89" s="129">
        <f t="shared" si="10"/>
        <v>28.63</v>
      </c>
    </row>
    <row r="90" spans="2:14" s="15" customFormat="1"/>
    <row r="91" spans="2:14" s="15" customFormat="1"/>
    <row r="92" spans="2:14" s="15" customFormat="1" ht="13.8">
      <c r="C92" s="147" t="s">
        <v>166</v>
      </c>
      <c r="D92" s="147"/>
    </row>
    <row r="93" spans="2:14" s="15" customFormat="1"/>
    <row r="94" spans="2:14">
      <c r="B94" s="184" t="s">
        <v>167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2:14" ht="4.95" customHeight="1">
      <c r="B95" s="19"/>
    </row>
    <row r="96" spans="2:14">
      <c r="C96" s="20"/>
      <c r="D96" s="21">
        <f ca="1">YEAR(Cover!F6)-1</f>
        <v>2024</v>
      </c>
      <c r="E96" s="22">
        <f t="shared" ref="E96:N96" ca="1" si="11">+D96+1</f>
        <v>2025</v>
      </c>
      <c r="F96" s="22">
        <f t="shared" ca="1" si="11"/>
        <v>2026</v>
      </c>
      <c r="G96" s="21">
        <f t="shared" ca="1" si="11"/>
        <v>2027</v>
      </c>
      <c r="H96" s="22">
        <f t="shared" ca="1" si="11"/>
        <v>2028</v>
      </c>
      <c r="I96" s="22">
        <f t="shared" ca="1" si="11"/>
        <v>2029</v>
      </c>
      <c r="J96" s="22">
        <f t="shared" ca="1" si="11"/>
        <v>2030</v>
      </c>
      <c r="K96" s="22">
        <f t="shared" ca="1" si="11"/>
        <v>2031</v>
      </c>
      <c r="L96" s="22">
        <f t="shared" ca="1" si="11"/>
        <v>2032</v>
      </c>
      <c r="M96" s="22">
        <f t="shared" ca="1" si="11"/>
        <v>2033</v>
      </c>
      <c r="N96" s="22">
        <f t="shared" ca="1" si="11"/>
        <v>2034</v>
      </c>
    </row>
    <row r="97" spans="3:14">
      <c r="C97" s="11" t="s">
        <v>8</v>
      </c>
      <c r="D97" s="23" t="s">
        <v>9</v>
      </c>
      <c r="E97" s="24">
        <v>1</v>
      </c>
      <c r="F97" s="24">
        <f>E97+1</f>
        <v>2</v>
      </c>
      <c r="G97" s="25">
        <f t="shared" ref="G97:N97" si="12">F97+1</f>
        <v>3</v>
      </c>
      <c r="H97" s="24">
        <f t="shared" si="12"/>
        <v>4</v>
      </c>
      <c r="I97" s="24">
        <f t="shared" si="12"/>
        <v>5</v>
      </c>
      <c r="J97" s="24">
        <f t="shared" si="12"/>
        <v>6</v>
      </c>
      <c r="K97" s="24">
        <f t="shared" si="12"/>
        <v>7</v>
      </c>
      <c r="L97" s="24">
        <f t="shared" si="12"/>
        <v>8</v>
      </c>
      <c r="M97" s="24">
        <f t="shared" si="12"/>
        <v>9</v>
      </c>
      <c r="N97" s="24">
        <f t="shared" si="12"/>
        <v>10</v>
      </c>
    </row>
    <row r="98" spans="3:14">
      <c r="C98" s="178" t="s">
        <v>141</v>
      </c>
      <c r="D98" s="119">
        <f>+D6</f>
        <v>2.0969691335436114</v>
      </c>
      <c r="E98" s="62">
        <f>D98*(1+E99)</f>
        <v>2.1409656572256703</v>
      </c>
      <c r="F98" s="62">
        <f>E98*(1+F99)</f>
        <v>2.1858852722709461</v>
      </c>
      <c r="G98" s="63">
        <f>F98*(1+G99)</f>
        <v>2.231747346065621</v>
      </c>
      <c r="H98" s="62">
        <f>G98*(1+H99)</f>
        <v>2.2763822929869333</v>
      </c>
      <c r="I98" s="62">
        <f t="shared" ref="I98:N98" si="13">H98*(1+I99)</f>
        <v>2.3219099388466722</v>
      </c>
      <c r="J98" s="62">
        <f t="shared" si="13"/>
        <v>2.3683481376236055</v>
      </c>
      <c r="K98" s="62">
        <f t="shared" si="13"/>
        <v>2.4157151003760777</v>
      </c>
      <c r="L98" s="62">
        <f t="shared" si="13"/>
        <v>2.4640294023835994</v>
      </c>
      <c r="M98" s="62">
        <f t="shared" si="13"/>
        <v>2.5133099904312712</v>
      </c>
      <c r="N98" s="62">
        <f t="shared" si="13"/>
        <v>2.5635761902398966</v>
      </c>
    </row>
    <row r="99" spans="3:14">
      <c r="C99" s="11" t="s">
        <v>10</v>
      </c>
      <c r="D99" s="26"/>
      <c r="E99" s="156">
        <f>+$D$7</f>
        <v>2.098100681516013E-2</v>
      </c>
      <c r="F99" s="157">
        <f>+E99</f>
        <v>2.098100681516013E-2</v>
      </c>
      <c r="G99" s="158">
        <f>+F99</f>
        <v>2.098100681516013E-2</v>
      </c>
      <c r="H99" s="159">
        <f t="shared" ref="H99:N99" si="14">$N$103</f>
        <v>0.02</v>
      </c>
      <c r="I99" s="159">
        <f t="shared" si="14"/>
        <v>0.02</v>
      </c>
      <c r="J99" s="159">
        <f t="shared" si="14"/>
        <v>0.02</v>
      </c>
      <c r="K99" s="159">
        <f t="shared" si="14"/>
        <v>0.02</v>
      </c>
      <c r="L99" s="159">
        <f t="shared" si="14"/>
        <v>0.02</v>
      </c>
      <c r="M99" s="159">
        <f t="shared" si="14"/>
        <v>0.02</v>
      </c>
      <c r="N99" s="159">
        <f t="shared" si="14"/>
        <v>0.02</v>
      </c>
    </row>
    <row r="100" spans="3:14">
      <c r="C100" s="19" t="s">
        <v>168</v>
      </c>
      <c r="D100" s="115"/>
      <c r="E100" s="116">
        <f t="shared" ref="E100:N100" si="15">+E98/$D$5</f>
        <v>7.4780497982035288E-2</v>
      </c>
      <c r="F100" s="116">
        <f t="shared" si="15"/>
        <v>7.6349468119837449E-2</v>
      </c>
      <c r="G100" s="121">
        <f t="shared" si="15"/>
        <v>7.7951356830793614E-2</v>
      </c>
      <c r="H100" s="116">
        <f t="shared" si="15"/>
        <v>7.9510383967409476E-2</v>
      </c>
      <c r="I100" s="116">
        <f t="shared" si="15"/>
        <v>8.1100591646757675E-2</v>
      </c>
      <c r="J100" s="116">
        <f t="shared" si="15"/>
        <v>8.2722603479692819E-2</v>
      </c>
      <c r="K100" s="116">
        <f t="shared" si="15"/>
        <v>8.4377055549286692E-2</v>
      </c>
      <c r="L100" s="116">
        <f t="shared" si="15"/>
        <v>8.6064596660272427E-2</v>
      </c>
      <c r="M100" s="116">
        <f t="shared" si="15"/>
        <v>8.778588859347787E-2</v>
      </c>
      <c r="N100" s="116">
        <f t="shared" si="15"/>
        <v>8.9541606365347415E-2</v>
      </c>
    </row>
    <row r="101" spans="3:14">
      <c r="C101" s="11" t="s">
        <v>169</v>
      </c>
      <c r="D101" s="109"/>
      <c r="E101" s="109">
        <f t="shared" ref="E101:N101" si="16">+$J$6*E98</f>
        <v>15254.477222825308</v>
      </c>
      <c r="F101" s="109">
        <f t="shared" si="16"/>
        <v>15574.531513399112</v>
      </c>
      <c r="G101" s="109">
        <f t="shared" si="16"/>
        <v>15901.300865224664</v>
      </c>
      <c r="H101" s="109">
        <f t="shared" si="16"/>
        <v>16219.326882529158</v>
      </c>
      <c r="I101" s="109">
        <f t="shared" si="16"/>
        <v>16543.713420179742</v>
      </c>
      <c r="J101" s="109">
        <f t="shared" si="16"/>
        <v>16874.587688583335</v>
      </c>
      <c r="K101" s="109">
        <f t="shared" si="16"/>
        <v>17212.079442355003</v>
      </c>
      <c r="L101" s="109">
        <f t="shared" si="16"/>
        <v>17556.321031202104</v>
      </c>
      <c r="M101" s="109">
        <f t="shared" si="16"/>
        <v>17907.447451826145</v>
      </c>
      <c r="N101" s="109">
        <f t="shared" si="16"/>
        <v>18265.596400862669</v>
      </c>
    </row>
    <row r="102" spans="3:14" ht="7.95" customHeight="1"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</row>
    <row r="103" spans="3:14">
      <c r="E103" s="28"/>
      <c r="F103" s="28"/>
      <c r="G103" s="28"/>
      <c r="H103" s="24"/>
      <c r="I103" s="24"/>
      <c r="J103" s="24"/>
      <c r="M103" s="179" t="s">
        <v>170</v>
      </c>
      <c r="N103" s="35">
        <v>0.02</v>
      </c>
    </row>
    <row r="104" spans="3:14">
      <c r="E104" s="28"/>
      <c r="F104" s="28"/>
      <c r="G104" s="28"/>
      <c r="H104" s="24"/>
      <c r="I104" s="24"/>
      <c r="J104" s="24"/>
      <c r="M104" s="29" t="s">
        <v>128</v>
      </c>
      <c r="N104" s="27">
        <f>N98/D98-1</f>
        <v>0.22251498566780459</v>
      </c>
    </row>
    <row r="105" spans="3:14" ht="7.95" customHeight="1">
      <c r="E105" s="28"/>
      <c r="F105" s="28"/>
      <c r="G105" s="28"/>
      <c r="H105" s="24"/>
      <c r="I105" s="24"/>
      <c r="J105" s="24"/>
      <c r="M105" s="29"/>
      <c r="N105" s="27"/>
    </row>
    <row r="106" spans="3:14">
      <c r="C106" s="20"/>
      <c r="D106" s="21">
        <f ca="1">+D96</f>
        <v>2024</v>
      </c>
      <c r="E106" s="22">
        <f t="shared" ref="E106:N106" ca="1" si="17">+D106+1</f>
        <v>2025</v>
      </c>
      <c r="F106" s="22">
        <f t="shared" ca="1" si="17"/>
        <v>2026</v>
      </c>
      <c r="G106" s="22">
        <f t="shared" ca="1" si="17"/>
        <v>2027</v>
      </c>
      <c r="H106" s="22">
        <f t="shared" ca="1" si="17"/>
        <v>2028</v>
      </c>
      <c r="I106" s="22">
        <f t="shared" ca="1" si="17"/>
        <v>2029</v>
      </c>
      <c r="J106" s="22">
        <f t="shared" ca="1" si="17"/>
        <v>2030</v>
      </c>
      <c r="K106" s="22">
        <f t="shared" ca="1" si="17"/>
        <v>2031</v>
      </c>
      <c r="L106" s="22">
        <f t="shared" ca="1" si="17"/>
        <v>2032</v>
      </c>
      <c r="M106" s="22">
        <f t="shared" ca="1" si="17"/>
        <v>2033</v>
      </c>
      <c r="N106" s="22">
        <f t="shared" ca="1" si="17"/>
        <v>2034</v>
      </c>
    </row>
    <row r="107" spans="3:14">
      <c r="C107" s="11" t="s">
        <v>171</v>
      </c>
      <c r="D107" s="167">
        <f>+'Data_ AT&amp;T 데이터'!I33</f>
        <v>179447</v>
      </c>
      <c r="E107" s="109">
        <f>+D107+E108</f>
        <v>167416.33333333334</v>
      </c>
      <c r="F107" s="109">
        <f t="shared" ref="F107:N107" si="18">+E107+F108</f>
        <v>155385.66666666669</v>
      </c>
      <c r="G107" s="109">
        <f t="shared" si="18"/>
        <v>143355.00000000003</v>
      </c>
      <c r="H107" s="109">
        <f t="shared" si="18"/>
        <v>131324.33333333337</v>
      </c>
      <c r="I107" s="109">
        <f t="shared" si="18"/>
        <v>119293.6666666667</v>
      </c>
      <c r="J107" s="109">
        <f t="shared" si="18"/>
        <v>107263.00000000003</v>
      </c>
      <c r="K107" s="109">
        <f t="shared" si="18"/>
        <v>95232.333333333358</v>
      </c>
      <c r="L107" s="109">
        <f t="shared" si="18"/>
        <v>83201.666666666686</v>
      </c>
      <c r="M107" s="109">
        <f t="shared" si="18"/>
        <v>71171.000000000015</v>
      </c>
      <c r="N107" s="109">
        <f t="shared" si="18"/>
        <v>59140.33333333335</v>
      </c>
    </row>
    <row r="108" spans="3:14">
      <c r="C108" s="11" t="s">
        <v>172</v>
      </c>
      <c r="D108" s="163">
        <v>-12030.666666666666</v>
      </c>
      <c r="E108" s="155">
        <f>+D108</f>
        <v>-12030.666666666666</v>
      </c>
      <c r="F108" s="155">
        <f t="shared" ref="F108:N108" si="19">+E108</f>
        <v>-12030.666666666666</v>
      </c>
      <c r="G108" s="155">
        <f t="shared" si="19"/>
        <v>-12030.666666666666</v>
      </c>
      <c r="H108" s="155">
        <f t="shared" si="19"/>
        <v>-12030.666666666666</v>
      </c>
      <c r="I108" s="155">
        <f t="shared" si="19"/>
        <v>-12030.666666666666</v>
      </c>
      <c r="J108" s="155">
        <f t="shared" si="19"/>
        <v>-12030.666666666666</v>
      </c>
      <c r="K108" s="155">
        <f t="shared" si="19"/>
        <v>-12030.666666666666</v>
      </c>
      <c r="L108" s="155">
        <f t="shared" si="19"/>
        <v>-12030.666666666666</v>
      </c>
      <c r="M108" s="155">
        <f t="shared" si="19"/>
        <v>-12030.666666666666</v>
      </c>
      <c r="N108" s="155">
        <f t="shared" si="19"/>
        <v>-12030.666666666666</v>
      </c>
    </row>
    <row r="109" spans="3:14"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</row>
    <row r="110" spans="3:14">
      <c r="C110" s="111" t="str">
        <f>+현황판!C20</f>
        <v>EV/FCF:</v>
      </c>
      <c r="D110" s="108">
        <f>+D112/D111</f>
        <v>13.792758335008376</v>
      </c>
      <c r="E110" s="109"/>
      <c r="F110" s="109"/>
      <c r="G110" s="109"/>
      <c r="H110" s="109"/>
      <c r="I110" s="109"/>
      <c r="J110" s="109"/>
      <c r="K110" s="109"/>
      <c r="L110" s="109"/>
      <c r="M110" s="180" t="s">
        <v>173</v>
      </c>
      <c r="N110" s="113">
        <f>+현황판!E20</f>
        <v>15.395394684236154</v>
      </c>
    </row>
    <row r="111" spans="3:14">
      <c r="C111" s="178" t="s">
        <v>174</v>
      </c>
      <c r="D111" s="165">
        <v>29253</v>
      </c>
      <c r="E111" s="112">
        <f t="shared" ref="E111:N111" si="20">+D111*(1+E99)</f>
        <v>29866.757392363881</v>
      </c>
      <c r="F111" s="112">
        <f t="shared" si="20"/>
        <v>30493.392032759803</v>
      </c>
      <c r="G111" s="112">
        <f t="shared" si="20"/>
        <v>31133.174098816486</v>
      </c>
      <c r="H111" s="112">
        <f t="shared" si="20"/>
        <v>31755.837580792817</v>
      </c>
      <c r="I111" s="112">
        <f t="shared" si="20"/>
        <v>32390.954332408674</v>
      </c>
      <c r="J111" s="112">
        <f t="shared" si="20"/>
        <v>33038.773419056844</v>
      </c>
      <c r="K111" s="112">
        <f t="shared" si="20"/>
        <v>33699.548887437981</v>
      </c>
      <c r="L111" s="112">
        <f t="shared" si="20"/>
        <v>34373.539865186744</v>
      </c>
      <c r="M111" s="112">
        <f t="shared" si="20"/>
        <v>35061.01066249048</v>
      </c>
      <c r="N111" s="112">
        <f t="shared" si="20"/>
        <v>35762.230875740293</v>
      </c>
    </row>
    <row r="112" spans="3:14">
      <c r="C112" s="11" t="s">
        <v>175</v>
      </c>
      <c r="D112" s="160">
        <v>403479.55957400001</v>
      </c>
      <c r="E112" s="109"/>
      <c r="F112" s="109"/>
      <c r="G112" s="109"/>
      <c r="H112" s="109"/>
      <c r="I112" s="109"/>
      <c r="J112" s="109"/>
      <c r="K112" s="109"/>
      <c r="L112" s="109"/>
      <c r="M112" s="109"/>
      <c r="N112" s="109">
        <f>+N111*N110</f>
        <v>550573.65912079811</v>
      </c>
    </row>
    <row r="113" spans="2:14" ht="7.95" customHeight="1"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</row>
    <row r="114" spans="2:14">
      <c r="C114" s="11" t="s">
        <v>126</v>
      </c>
      <c r="D114" s="109">
        <f>+D115-J5</f>
        <v>20042.513579790015</v>
      </c>
      <c r="E114" s="109"/>
      <c r="F114" s="109"/>
      <c r="G114" s="109"/>
      <c r="H114" s="109"/>
      <c r="I114" s="109"/>
      <c r="J114" s="109"/>
      <c r="K114" s="109"/>
      <c r="L114" s="109"/>
      <c r="M114" s="109"/>
      <c r="N114" s="155">
        <f>+D114</f>
        <v>20042.513579790015</v>
      </c>
    </row>
    <row r="115" spans="2:14">
      <c r="C115" s="11" t="s">
        <v>176</v>
      </c>
      <c r="D115" s="109">
        <f>+D112-D107</f>
        <v>224032.55957400001</v>
      </c>
      <c r="E115" s="109"/>
      <c r="F115" s="109"/>
      <c r="G115" s="109"/>
      <c r="H115" s="109"/>
      <c r="I115" s="109"/>
      <c r="J115" s="109"/>
      <c r="K115" s="109"/>
      <c r="L115" s="109"/>
      <c r="M115" s="109"/>
      <c r="N115" s="109">
        <f>+N112-N107</f>
        <v>491433.32578746474</v>
      </c>
    </row>
    <row r="116" spans="2:14">
      <c r="C116" s="11" t="s">
        <v>177</v>
      </c>
      <c r="D116" s="118">
        <f>(D115-D114)/$J$6</f>
        <v>28.63</v>
      </c>
      <c r="E116" s="109"/>
      <c r="F116" s="109"/>
      <c r="G116" s="109"/>
      <c r="H116" s="109"/>
      <c r="I116" s="109"/>
      <c r="J116" s="109"/>
      <c r="K116" s="109"/>
      <c r="L116" s="109"/>
      <c r="M116" s="109"/>
      <c r="N116" s="118">
        <f>(N115-N114)/$J$6</f>
        <v>66.159693664115309</v>
      </c>
    </row>
    <row r="117" spans="2:14">
      <c r="D117" s="109"/>
      <c r="E117" s="181"/>
      <c r="F117" s="109"/>
      <c r="G117" s="109"/>
      <c r="H117" s="109"/>
      <c r="I117" s="109"/>
      <c r="J117" s="109"/>
      <c r="K117" s="109"/>
      <c r="L117" s="109"/>
      <c r="M117" s="109"/>
      <c r="N117" s="109"/>
    </row>
    <row r="118" spans="2:14">
      <c r="D118" s="109"/>
      <c r="E118" s="181"/>
      <c r="F118" s="109"/>
      <c r="G118" s="109"/>
      <c r="H118" s="109"/>
      <c r="I118" s="109"/>
      <c r="J118" s="109"/>
      <c r="K118" s="109"/>
      <c r="L118" s="109"/>
      <c r="M118" s="109"/>
      <c r="N118" s="109"/>
    </row>
    <row r="119" spans="2:14">
      <c r="C119" s="19" t="s">
        <v>127</v>
      </c>
      <c r="D119" s="107">
        <f>+N116/D116-1</f>
        <v>1.3108520315792984</v>
      </c>
      <c r="E119" s="114">
        <f>+(N116/D116)^(0.1)-1</f>
        <v>8.7369666755240161E-2</v>
      </c>
      <c r="F119" s="55" t="s">
        <v>178</v>
      </c>
      <c r="G119" s="109"/>
      <c r="H119" s="109"/>
      <c r="I119" s="109"/>
      <c r="J119" s="109"/>
      <c r="K119" s="109"/>
      <c r="L119" s="109"/>
      <c r="M119" s="109"/>
      <c r="N119" s="109"/>
    </row>
    <row r="120" spans="2:14">
      <c r="C120" s="122" t="s">
        <v>179</v>
      </c>
      <c r="D120" s="123">
        <f>+N98/D5</f>
        <v>8.9541606365347415E-2</v>
      </c>
      <c r="E120" s="124">
        <f>+SUM(E100:N100)</f>
        <v>0.82018404919491084</v>
      </c>
      <c r="F120" s="182" t="s">
        <v>180</v>
      </c>
      <c r="G120" s="112"/>
      <c r="H120" s="112"/>
      <c r="I120" s="109"/>
      <c r="J120" s="109"/>
      <c r="K120" s="109"/>
      <c r="L120" s="109"/>
      <c r="M120" s="109"/>
      <c r="N120" s="109"/>
    </row>
    <row r="121" spans="2:14">
      <c r="C121" s="19" t="s">
        <v>129</v>
      </c>
      <c r="D121" s="114">
        <f>+D119+E120</f>
        <v>2.1310360807742095</v>
      </c>
      <c r="E121" s="114">
        <f>+(1+D121)^(0.1)-1</f>
        <v>0.12090500208916644</v>
      </c>
      <c r="F121" s="55" t="s">
        <v>178</v>
      </c>
      <c r="G121" s="28"/>
      <c r="H121" s="24"/>
      <c r="I121" s="24"/>
      <c r="J121" s="24"/>
      <c r="K121" s="29"/>
      <c r="L121" s="27"/>
      <c r="M121" s="24"/>
      <c r="N121" s="24"/>
    </row>
    <row r="122" spans="2:14">
      <c r="E122" s="28"/>
      <c r="F122" s="28"/>
      <c r="G122" s="28"/>
      <c r="H122" s="24"/>
      <c r="I122" s="24"/>
      <c r="J122" s="24"/>
      <c r="K122" s="29"/>
      <c r="L122" s="27"/>
      <c r="M122" s="24"/>
      <c r="N122" s="24"/>
    </row>
    <row r="123" spans="2:14">
      <c r="E123" s="28"/>
      <c r="F123" s="28"/>
      <c r="G123" s="28"/>
      <c r="H123" s="24"/>
      <c r="I123" s="24"/>
      <c r="J123" s="24"/>
      <c r="K123" s="29"/>
      <c r="L123" s="27"/>
      <c r="M123" s="24"/>
      <c r="N123" s="24"/>
    </row>
    <row r="124" spans="2:14">
      <c r="B124" s="17" t="s">
        <v>181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</row>
    <row r="125" spans="2:14" ht="4.95" customHeight="1">
      <c r="B125" s="19"/>
    </row>
    <row r="126" spans="2:14">
      <c r="C126" s="20"/>
      <c r="D126" s="21">
        <f ca="1">+$D$96</f>
        <v>2024</v>
      </c>
      <c r="E126" s="22">
        <f t="shared" ref="E126:N126" ca="1" si="21">+D126+1</f>
        <v>2025</v>
      </c>
      <c r="F126" s="22">
        <f t="shared" ca="1" si="21"/>
        <v>2026</v>
      </c>
      <c r="G126" s="21">
        <f t="shared" ca="1" si="21"/>
        <v>2027</v>
      </c>
      <c r="H126" s="22">
        <f t="shared" ca="1" si="21"/>
        <v>2028</v>
      </c>
      <c r="I126" s="22">
        <f t="shared" ca="1" si="21"/>
        <v>2029</v>
      </c>
      <c r="J126" s="22">
        <f t="shared" ca="1" si="21"/>
        <v>2030</v>
      </c>
      <c r="K126" s="22">
        <f t="shared" ca="1" si="21"/>
        <v>2031</v>
      </c>
      <c r="L126" s="22">
        <f t="shared" ca="1" si="21"/>
        <v>2032</v>
      </c>
      <c r="M126" s="22">
        <f t="shared" ca="1" si="21"/>
        <v>2033</v>
      </c>
      <c r="N126" s="22">
        <f t="shared" ca="1" si="21"/>
        <v>2034</v>
      </c>
    </row>
    <row r="127" spans="2:14">
      <c r="C127" s="11" t="s">
        <v>8</v>
      </c>
      <c r="D127" s="23" t="s">
        <v>9</v>
      </c>
      <c r="E127" s="24">
        <v>1</v>
      </c>
      <c r="F127" s="24">
        <f>E127+1</f>
        <v>2</v>
      </c>
      <c r="G127" s="25">
        <f t="shared" ref="G127:N127" si="22">F127+1</f>
        <v>3</v>
      </c>
      <c r="H127" s="24">
        <f t="shared" si="22"/>
        <v>4</v>
      </c>
      <c r="I127" s="24">
        <f t="shared" si="22"/>
        <v>5</v>
      </c>
      <c r="J127" s="24">
        <f t="shared" si="22"/>
        <v>6</v>
      </c>
      <c r="K127" s="24">
        <f t="shared" si="22"/>
        <v>7</v>
      </c>
      <c r="L127" s="24">
        <f t="shared" si="22"/>
        <v>8</v>
      </c>
      <c r="M127" s="24">
        <f t="shared" si="22"/>
        <v>9</v>
      </c>
      <c r="N127" s="24">
        <f t="shared" si="22"/>
        <v>10</v>
      </c>
    </row>
    <row r="128" spans="2:14">
      <c r="C128" s="178" t="s">
        <v>141</v>
      </c>
      <c r="D128" s="119">
        <f>+$D$6</f>
        <v>2.0969691335436114</v>
      </c>
      <c r="E128" s="62">
        <f>D128*(1+E129)</f>
        <v>1.0484845667718057</v>
      </c>
      <c r="F128" s="62">
        <f>E128*(1+F129)</f>
        <v>1.0799391037749599</v>
      </c>
      <c r="G128" s="63">
        <f>F128*(1+G129)</f>
        <v>1.1123372768882087</v>
      </c>
      <c r="H128" s="62">
        <f>G128*(1+H129)</f>
        <v>1.2458177501147938</v>
      </c>
      <c r="I128" s="62">
        <f t="shared" ref="I128:N128" si="23">H128*(1+I129)</f>
        <v>1.3953158801285692</v>
      </c>
      <c r="J128" s="62">
        <f t="shared" si="23"/>
        <v>1.5627537857439977</v>
      </c>
      <c r="K128" s="62">
        <f t="shared" si="23"/>
        <v>1.7502842400332776</v>
      </c>
      <c r="L128" s="62">
        <f t="shared" si="23"/>
        <v>1.9603183488372711</v>
      </c>
      <c r="M128" s="62">
        <f t="shared" si="23"/>
        <v>2.1955565506977437</v>
      </c>
      <c r="N128" s="62">
        <f t="shared" si="23"/>
        <v>2.4590233367814731</v>
      </c>
    </row>
    <row r="129" spans="3:15">
      <c r="C129" s="11" t="s">
        <v>10</v>
      </c>
      <c r="D129" s="26"/>
      <c r="E129" s="35">
        <v>-0.5</v>
      </c>
      <c r="F129" s="35">
        <v>0.03</v>
      </c>
      <c r="G129" s="120">
        <v>0.03</v>
      </c>
      <c r="H129" s="159">
        <f>$N133</f>
        <v>0.12</v>
      </c>
      <c r="I129" s="159">
        <f t="shared" ref="I129:N129" si="24">$N133</f>
        <v>0.12</v>
      </c>
      <c r="J129" s="159">
        <f t="shared" si="24"/>
        <v>0.12</v>
      </c>
      <c r="K129" s="159">
        <f t="shared" si="24"/>
        <v>0.12</v>
      </c>
      <c r="L129" s="159">
        <f t="shared" si="24"/>
        <v>0.12</v>
      </c>
      <c r="M129" s="159">
        <f t="shared" si="24"/>
        <v>0.12</v>
      </c>
      <c r="N129" s="159">
        <f t="shared" si="24"/>
        <v>0.12</v>
      </c>
    </row>
    <row r="130" spans="3:15">
      <c r="C130" s="19" t="s">
        <v>168</v>
      </c>
      <c r="D130" s="115"/>
      <c r="E130" s="116">
        <f t="shared" ref="E130:N130" si="25">+E128/$D$5</f>
        <v>3.6621884972818923E-2</v>
      </c>
      <c r="F130" s="116">
        <f t="shared" si="25"/>
        <v>3.7720541522003492E-2</v>
      </c>
      <c r="G130" s="121">
        <f t="shared" si="25"/>
        <v>3.8852157767663598E-2</v>
      </c>
      <c r="H130" s="116">
        <f t="shared" si="25"/>
        <v>4.3514416699783232E-2</v>
      </c>
      <c r="I130" s="116">
        <f t="shared" si="25"/>
        <v>4.873614670375722E-2</v>
      </c>
      <c r="J130" s="116">
        <f t="shared" si="25"/>
        <v>5.4584484308208094E-2</v>
      </c>
      <c r="K130" s="116">
        <f t="shared" si="25"/>
        <v>6.1134622425193075E-2</v>
      </c>
      <c r="L130" s="116">
        <f t="shared" si="25"/>
        <v>6.8470777116216242E-2</v>
      </c>
      <c r="M130" s="116">
        <f t="shared" si="25"/>
        <v>7.6687270370162194E-2</v>
      </c>
      <c r="N130" s="116">
        <f t="shared" si="25"/>
        <v>8.5889742814581671E-2</v>
      </c>
    </row>
    <row r="131" spans="3:15">
      <c r="C131" s="11" t="s">
        <v>169</v>
      </c>
      <c r="D131" s="109"/>
      <c r="E131" s="109">
        <f t="shared" ref="E131:N131" si="26">+$J$6*E128</f>
        <v>7470.5</v>
      </c>
      <c r="F131" s="109">
        <f t="shared" si="26"/>
        <v>7694.6150000000007</v>
      </c>
      <c r="G131" s="109">
        <f t="shared" si="26"/>
        <v>7925.4534500000009</v>
      </c>
      <c r="H131" s="109">
        <f t="shared" si="26"/>
        <v>8876.5078640000011</v>
      </c>
      <c r="I131" s="109">
        <f t="shared" si="26"/>
        <v>9941.6888076800024</v>
      </c>
      <c r="J131" s="109">
        <f t="shared" si="26"/>
        <v>11134.691464601603</v>
      </c>
      <c r="K131" s="109">
        <f t="shared" si="26"/>
        <v>12470.854440353798</v>
      </c>
      <c r="L131" s="109">
        <f t="shared" si="26"/>
        <v>13967.356973196254</v>
      </c>
      <c r="M131" s="109">
        <f t="shared" si="26"/>
        <v>15643.439809979805</v>
      </c>
      <c r="N131" s="109">
        <f t="shared" si="26"/>
        <v>17520.652587177385</v>
      </c>
    </row>
    <row r="132" spans="3:15" ht="7.95" customHeight="1"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</row>
    <row r="133" spans="3:15">
      <c r="E133" s="28"/>
      <c r="F133" s="28"/>
      <c r="G133" s="28"/>
      <c r="H133" s="24"/>
      <c r="I133" s="24"/>
      <c r="J133" s="24"/>
      <c r="M133" s="179" t="s">
        <v>170</v>
      </c>
      <c r="N133" s="35">
        <v>0.12</v>
      </c>
    </row>
    <row r="134" spans="3:15">
      <c r="E134" s="28"/>
      <c r="F134" s="28"/>
      <c r="G134" s="28"/>
      <c r="H134" s="24"/>
      <c r="I134" s="24"/>
      <c r="J134" s="24"/>
      <c r="M134" s="29" t="s">
        <v>128</v>
      </c>
      <c r="N134" s="27">
        <f>N128/D128-1</f>
        <v>0.17265595255855581</v>
      </c>
    </row>
    <row r="135" spans="3:15" ht="7.95" customHeight="1">
      <c r="E135" s="28"/>
      <c r="F135" s="28"/>
      <c r="G135" s="28"/>
      <c r="H135" s="24"/>
      <c r="I135" s="24"/>
      <c r="J135" s="24"/>
      <c r="M135" s="29"/>
      <c r="N135" s="27"/>
    </row>
    <row r="136" spans="3:15">
      <c r="C136" s="20"/>
      <c r="D136" s="21">
        <f ca="1">+D126</f>
        <v>2024</v>
      </c>
      <c r="E136" s="22">
        <f t="shared" ref="E136:N136" ca="1" si="27">+D136+1</f>
        <v>2025</v>
      </c>
      <c r="F136" s="22">
        <f t="shared" ca="1" si="27"/>
        <v>2026</v>
      </c>
      <c r="G136" s="22">
        <f t="shared" ca="1" si="27"/>
        <v>2027</v>
      </c>
      <c r="H136" s="22">
        <f t="shared" ca="1" si="27"/>
        <v>2028</v>
      </c>
      <c r="I136" s="22">
        <f t="shared" ca="1" si="27"/>
        <v>2029</v>
      </c>
      <c r="J136" s="22">
        <f t="shared" ca="1" si="27"/>
        <v>2030</v>
      </c>
      <c r="K136" s="22">
        <f t="shared" ca="1" si="27"/>
        <v>2031</v>
      </c>
      <c r="L136" s="22">
        <f t="shared" ca="1" si="27"/>
        <v>2032</v>
      </c>
      <c r="M136" s="22">
        <f t="shared" ca="1" si="27"/>
        <v>2033</v>
      </c>
      <c r="N136" s="22">
        <f t="shared" ca="1" si="27"/>
        <v>2034</v>
      </c>
    </row>
    <row r="137" spans="3:15">
      <c r="C137" s="11" t="s">
        <v>171</v>
      </c>
      <c r="D137" s="110">
        <f>+D107</f>
        <v>179447</v>
      </c>
      <c r="E137" s="109">
        <f>+D137+E138</f>
        <v>159632.35611050803</v>
      </c>
      <c r="F137" s="109">
        <f t="shared" ref="F137:N137" si="28">+E137+F138</f>
        <v>139721.77293044224</v>
      </c>
      <c r="G137" s="109">
        <f t="shared" si="28"/>
        <v>119715.2588485509</v>
      </c>
      <c r="H137" s="109">
        <f t="shared" si="28"/>
        <v>107684.59218188423</v>
      </c>
      <c r="I137" s="109">
        <f t="shared" si="28"/>
        <v>87869.948292392262</v>
      </c>
      <c r="J137" s="109">
        <f t="shared" si="28"/>
        <v>67959.365112326486</v>
      </c>
      <c r="K137" s="109">
        <f t="shared" si="28"/>
        <v>47952.851030435158</v>
      </c>
      <c r="L137" s="109">
        <f t="shared" si="28"/>
        <v>35922.184363768494</v>
      </c>
      <c r="M137" s="109">
        <f t="shared" si="28"/>
        <v>16107.54047427652</v>
      </c>
      <c r="N137" s="109">
        <f t="shared" si="28"/>
        <v>16107.54047427652</v>
      </c>
    </row>
    <row r="138" spans="3:15">
      <c r="C138" s="11" t="s">
        <v>172</v>
      </c>
      <c r="D138" s="164">
        <f>+D108</f>
        <v>-12030.666666666666</v>
      </c>
      <c r="E138" s="109">
        <f>+$D$138-(E101-E131)</f>
        <v>-19814.643889491974</v>
      </c>
      <c r="F138" s="109">
        <f>+$D$138-(F101-F131)</f>
        <v>-19910.583180065776</v>
      </c>
      <c r="G138" s="109">
        <f>+$D$138-(G101-G131)</f>
        <v>-20006.514081891328</v>
      </c>
      <c r="H138" s="155">
        <f>+D138</f>
        <v>-12030.666666666666</v>
      </c>
      <c r="I138" s="155">
        <f t="shared" ref="I138:M138" si="29">+E138</f>
        <v>-19814.643889491974</v>
      </c>
      <c r="J138" s="155">
        <f t="shared" si="29"/>
        <v>-19910.583180065776</v>
      </c>
      <c r="K138" s="155">
        <f t="shared" si="29"/>
        <v>-20006.514081891328</v>
      </c>
      <c r="L138" s="155">
        <f t="shared" si="29"/>
        <v>-12030.666666666666</v>
      </c>
      <c r="M138" s="155">
        <f t="shared" si="29"/>
        <v>-19814.643889491974</v>
      </c>
      <c r="N138" s="160">
        <v>0</v>
      </c>
    </row>
    <row r="139" spans="3:15"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</row>
    <row r="140" spans="3:15">
      <c r="C140" s="111" t="str">
        <f>+$C$110</f>
        <v>EV/FCF:</v>
      </c>
      <c r="D140" s="108">
        <f>+D145/D144</f>
        <v>19.521598782682705</v>
      </c>
      <c r="E140" s="109"/>
      <c r="F140" s="109"/>
      <c r="G140" s="109"/>
      <c r="H140" s="109"/>
      <c r="I140" s="109"/>
      <c r="J140" s="109"/>
      <c r="K140" s="109"/>
      <c r="L140" s="109"/>
      <c r="M140" s="180" t="s">
        <v>173</v>
      </c>
      <c r="N140" s="113">
        <f>+$N$110</f>
        <v>15.395394684236154</v>
      </c>
    </row>
    <row r="141" spans="3:15">
      <c r="C141" s="111" t="s">
        <v>182</v>
      </c>
      <c r="D141" s="155">
        <f>+D111</f>
        <v>29253</v>
      </c>
      <c r="E141" s="155">
        <f>+E111</f>
        <v>29866.757392363881</v>
      </c>
      <c r="F141" s="155">
        <f t="shared" ref="F141:N141" si="30">+F111</f>
        <v>30493.392032759803</v>
      </c>
      <c r="G141" s="155">
        <f t="shared" si="30"/>
        <v>31133.174098816486</v>
      </c>
      <c r="H141" s="155">
        <f t="shared" si="30"/>
        <v>31755.837580792817</v>
      </c>
      <c r="I141" s="155">
        <f t="shared" si="30"/>
        <v>32390.954332408674</v>
      </c>
      <c r="J141" s="155">
        <f t="shared" si="30"/>
        <v>33038.773419056844</v>
      </c>
      <c r="K141" s="155">
        <f t="shared" si="30"/>
        <v>33699.548887437981</v>
      </c>
      <c r="L141" s="155">
        <f t="shared" si="30"/>
        <v>34373.539865186744</v>
      </c>
      <c r="M141" s="155">
        <f t="shared" si="30"/>
        <v>35061.01066249048</v>
      </c>
      <c r="N141" s="155">
        <f t="shared" si="30"/>
        <v>35762.230875740293</v>
      </c>
    </row>
    <row r="142" spans="3:15">
      <c r="C142" s="183" t="str">
        <f>"Discount ("&amp;O142&amp;" 이내)"</f>
        <v>Discount (0.3 이내)</v>
      </c>
      <c r="D142" s="140">
        <f ca="1">ABS(RAND())*$O$142</f>
        <v>0.27566158175001521</v>
      </c>
      <c r="E142" s="140">
        <f t="shared" ref="E142:N142" ca="1" si="31">ABS(RAND())*$O$142</f>
        <v>0.22221088995179605</v>
      </c>
      <c r="F142" s="140">
        <f t="shared" ca="1" si="31"/>
        <v>0.21203519998441897</v>
      </c>
      <c r="G142" s="140">
        <f t="shared" ca="1" si="31"/>
        <v>0.19556995283650888</v>
      </c>
      <c r="H142" s="140">
        <f t="shared" ca="1" si="31"/>
        <v>0.28601274771274771</v>
      </c>
      <c r="I142" s="140">
        <f t="shared" ca="1" si="31"/>
        <v>0.14433487643629347</v>
      </c>
      <c r="J142" s="140">
        <f t="shared" ca="1" si="31"/>
        <v>0.14810288538990865</v>
      </c>
      <c r="K142" s="140">
        <f t="shared" ca="1" si="31"/>
        <v>0.11265673164834603</v>
      </c>
      <c r="L142" s="140">
        <f t="shared" ca="1" si="31"/>
        <v>4.4246168834936823E-2</v>
      </c>
      <c r="M142" s="140">
        <f t="shared" ca="1" si="31"/>
        <v>0.18638680684490197</v>
      </c>
      <c r="N142" s="140">
        <f t="shared" ca="1" si="31"/>
        <v>0.28978501849207894</v>
      </c>
      <c r="O142" s="142">
        <v>0.3</v>
      </c>
    </row>
    <row r="143" spans="3:15">
      <c r="C143" s="111" t="str">
        <f>C142&amp;" 값 붙여넣기"</f>
        <v>Discount (0.3 이내) 값 붙여넣기</v>
      </c>
      <c r="D143" s="141">
        <v>0.29346164273985031</v>
      </c>
      <c r="E143" s="141">
        <v>0.28670018724678398</v>
      </c>
      <c r="F143" s="141">
        <v>7.9243707906950275E-2</v>
      </c>
      <c r="G143" s="141">
        <v>2.2314943140303387E-2</v>
      </c>
      <c r="H143" s="141">
        <v>6.2482168380689818E-2</v>
      </c>
      <c r="I143" s="141">
        <v>8.0364891077936471E-2</v>
      </c>
      <c r="J143" s="141">
        <v>0.11951367202864827</v>
      </c>
      <c r="K143" s="141">
        <v>0.27881105211412011</v>
      </c>
      <c r="L143" s="141">
        <v>0.10315382160895835</v>
      </c>
      <c r="M143" s="141">
        <v>0.2043348136425607</v>
      </c>
      <c r="N143" s="141">
        <v>0.15241477478210153</v>
      </c>
    </row>
    <row r="144" spans="3:15">
      <c r="C144" s="178" t="s">
        <v>189</v>
      </c>
      <c r="D144" s="112">
        <f t="shared" ref="D144:N144" si="32">+D141*(1-D143)</f>
        <v>20668.366564931159</v>
      </c>
      <c r="E144" s="112">
        <f t="shared" si="32"/>
        <v>21303.952455518884</v>
      </c>
      <c r="F144" s="112">
        <f t="shared" si="32"/>
        <v>28076.982581423661</v>
      </c>
      <c r="G144" s="112">
        <f t="shared" si="32"/>
        <v>30438.439089024232</v>
      </c>
      <c r="H144" s="112">
        <f t="shared" si="32"/>
        <v>29771.663989999885</v>
      </c>
      <c r="I144" s="112">
        <f t="shared" si="32"/>
        <v>29787.858815574236</v>
      </c>
      <c r="J144" s="112">
        <f t="shared" si="32"/>
        <v>29090.188288422862</v>
      </c>
      <c r="K144" s="112">
        <f t="shared" si="32"/>
        <v>24303.742206360173</v>
      </c>
      <c r="L144" s="112">
        <f t="shared" si="32"/>
        <v>30827.777865864853</v>
      </c>
      <c r="M144" s="112">
        <f t="shared" si="32"/>
        <v>27896.825582650654</v>
      </c>
      <c r="N144" s="112">
        <f t="shared" si="32"/>
        <v>30311.538511108818</v>
      </c>
    </row>
    <row r="145" spans="2:14">
      <c r="C145" s="11" t="s">
        <v>175</v>
      </c>
      <c r="D145" s="155">
        <f>+D112</f>
        <v>403479.55957400001</v>
      </c>
      <c r="E145" s="109"/>
      <c r="F145" s="109"/>
      <c r="G145" s="109"/>
      <c r="H145" s="109"/>
      <c r="I145" s="109"/>
      <c r="J145" s="109"/>
      <c r="K145" s="109"/>
      <c r="L145" s="109"/>
      <c r="M145" s="109"/>
      <c r="N145" s="109">
        <f>+N144*N140</f>
        <v>466658.09886494413</v>
      </c>
    </row>
    <row r="146" spans="2:14" ht="7.95" customHeight="1"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</row>
    <row r="147" spans="2:14">
      <c r="C147" s="11" t="s">
        <v>126</v>
      </c>
      <c r="D147" s="109">
        <f>+$D$114</f>
        <v>20042.513579790015</v>
      </c>
      <c r="E147" s="109"/>
      <c r="F147" s="109"/>
      <c r="G147" s="109"/>
      <c r="H147" s="109"/>
      <c r="I147" s="109"/>
      <c r="J147" s="109"/>
      <c r="K147" s="109"/>
      <c r="L147" s="109"/>
      <c r="M147" s="109"/>
      <c r="N147" s="155">
        <f>+D147</f>
        <v>20042.513579790015</v>
      </c>
    </row>
    <row r="148" spans="2:14">
      <c r="C148" s="11" t="s">
        <v>176</v>
      </c>
      <c r="D148" s="109">
        <f>+D145-D137</f>
        <v>224032.55957400001</v>
      </c>
      <c r="E148" s="109"/>
      <c r="F148" s="109"/>
      <c r="G148" s="109"/>
      <c r="H148" s="109"/>
      <c r="I148" s="109"/>
      <c r="J148" s="109"/>
      <c r="K148" s="109"/>
      <c r="L148" s="109"/>
      <c r="M148" s="109"/>
      <c r="N148" s="109">
        <f>+N145-N137</f>
        <v>450550.5583906676</v>
      </c>
    </row>
    <row r="149" spans="2:14">
      <c r="C149" s="11" t="s">
        <v>177</v>
      </c>
      <c r="D149" s="118">
        <f>+$D$116</f>
        <v>28.63</v>
      </c>
      <c r="E149" s="109"/>
      <c r="F149" s="109"/>
      <c r="G149" s="109"/>
      <c r="H149" s="109"/>
      <c r="I149" s="109"/>
      <c r="J149" s="109"/>
      <c r="K149" s="109"/>
      <c r="L149" s="109"/>
      <c r="M149" s="109"/>
      <c r="N149" s="118">
        <f>(N148-N147)/$J$6</f>
        <v>60.421797852260234</v>
      </c>
    </row>
    <row r="150" spans="2:14">
      <c r="D150" s="109"/>
      <c r="E150" s="181"/>
      <c r="F150" s="109"/>
      <c r="G150" s="109"/>
      <c r="H150" s="109"/>
      <c r="I150" s="109"/>
      <c r="J150" s="109"/>
      <c r="K150" s="109"/>
      <c r="L150" s="109"/>
      <c r="M150" s="109"/>
      <c r="N150" s="109"/>
    </row>
    <row r="151" spans="2:14">
      <c r="C151" s="19" t="s">
        <v>127</v>
      </c>
      <c r="D151" s="107">
        <f>+N149/D149-1</f>
        <v>1.1104365299427257</v>
      </c>
      <c r="E151" s="114">
        <f>+(N149/D149)^(0.1)-1</f>
        <v>7.7549499586360815E-2</v>
      </c>
      <c r="F151" s="55" t="s">
        <v>178</v>
      </c>
      <c r="G151" s="109"/>
      <c r="H151" s="109"/>
      <c r="I151" s="109"/>
      <c r="J151" s="109"/>
      <c r="K151" s="109"/>
      <c r="L151" s="109"/>
      <c r="M151" s="109"/>
      <c r="N151" s="109"/>
    </row>
    <row r="152" spans="2:14">
      <c r="C152" s="122" t="s">
        <v>179</v>
      </c>
      <c r="D152" s="123">
        <f>+N128/D149</f>
        <v>8.5889742814581671E-2</v>
      </c>
      <c r="E152" s="124">
        <f>+SUM(E130:N130)</f>
        <v>0.55221204470038776</v>
      </c>
      <c r="F152" s="182" t="s">
        <v>180</v>
      </c>
      <c r="G152" s="112"/>
      <c r="H152" s="112"/>
      <c r="I152" s="109"/>
      <c r="J152" s="109"/>
      <c r="K152" s="109"/>
      <c r="L152" s="109"/>
      <c r="M152" s="109"/>
      <c r="N152" s="109"/>
    </row>
    <row r="153" spans="2:14">
      <c r="C153" s="19" t="s">
        <v>129</v>
      </c>
      <c r="D153" s="114">
        <f>+D151+E152</f>
        <v>1.6626485746431134</v>
      </c>
      <c r="E153" s="114">
        <f>+(1+D153)^(0.1)-1</f>
        <v>0.10288793311158617</v>
      </c>
      <c r="F153" s="55" t="s">
        <v>178</v>
      </c>
      <c r="G153" s="28"/>
      <c r="H153" s="24"/>
      <c r="I153" s="24"/>
      <c r="J153" s="24"/>
      <c r="K153" s="29"/>
      <c r="L153" s="27"/>
      <c r="M153" s="24"/>
      <c r="N153" s="24"/>
    </row>
    <row r="154" spans="2:14">
      <c r="E154" s="28"/>
      <c r="F154" s="28"/>
      <c r="G154" s="28"/>
      <c r="H154" s="24"/>
      <c r="I154" s="24"/>
      <c r="J154" s="24"/>
      <c r="K154" s="29"/>
      <c r="L154" s="27"/>
      <c r="M154" s="24"/>
      <c r="N154" s="24"/>
    </row>
    <row r="155" spans="2:14">
      <c r="E155" s="28"/>
      <c r="F155" s="28"/>
      <c r="G155" s="28"/>
      <c r="H155" s="24"/>
      <c r="I155" s="24"/>
      <c r="J155" s="24"/>
      <c r="K155" s="29"/>
      <c r="L155" s="27"/>
      <c r="M155" s="24"/>
      <c r="N155" s="24"/>
    </row>
    <row r="157" spans="2:14">
      <c r="B157" s="184" t="s">
        <v>184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 spans="2:14" ht="4.95" customHeight="1">
      <c r="B158" s="19"/>
    </row>
    <row r="159" spans="2:14">
      <c r="C159" s="20"/>
      <c r="D159" s="21">
        <f ca="1">+$D$96</f>
        <v>2024</v>
      </c>
      <c r="E159" s="22">
        <f t="shared" ref="E159:N159" ca="1" si="33">+D159+1</f>
        <v>2025</v>
      </c>
      <c r="F159" s="22">
        <f t="shared" ca="1" si="33"/>
        <v>2026</v>
      </c>
      <c r="G159" s="21">
        <f t="shared" ca="1" si="33"/>
        <v>2027</v>
      </c>
      <c r="H159" s="22">
        <f t="shared" ca="1" si="33"/>
        <v>2028</v>
      </c>
      <c r="I159" s="22">
        <f t="shared" ca="1" si="33"/>
        <v>2029</v>
      </c>
      <c r="J159" s="22">
        <f t="shared" ca="1" si="33"/>
        <v>2030</v>
      </c>
      <c r="K159" s="22">
        <f t="shared" ca="1" si="33"/>
        <v>2031</v>
      </c>
      <c r="L159" s="22">
        <f t="shared" ca="1" si="33"/>
        <v>2032</v>
      </c>
      <c r="M159" s="22">
        <f t="shared" ca="1" si="33"/>
        <v>2033</v>
      </c>
      <c r="N159" s="22">
        <f t="shared" ca="1" si="33"/>
        <v>2034</v>
      </c>
    </row>
    <row r="160" spans="2:14">
      <c r="C160" s="11" t="s">
        <v>8</v>
      </c>
      <c r="D160" s="23" t="s">
        <v>9</v>
      </c>
      <c r="E160" s="161">
        <v>1</v>
      </c>
      <c r="F160" s="24">
        <f>E160+1</f>
        <v>2</v>
      </c>
      <c r="G160" s="173">
        <f t="shared" ref="G160:N160" si="34">F160+1</f>
        <v>3</v>
      </c>
      <c r="H160" s="24">
        <f t="shared" si="34"/>
        <v>4</v>
      </c>
      <c r="I160" s="24">
        <f t="shared" si="34"/>
        <v>5</v>
      </c>
      <c r="J160" s="24">
        <f t="shared" si="34"/>
        <v>6</v>
      </c>
      <c r="K160" s="24">
        <f t="shared" si="34"/>
        <v>7</v>
      </c>
      <c r="L160" s="24">
        <f t="shared" si="34"/>
        <v>8</v>
      </c>
      <c r="M160" s="24">
        <f t="shared" si="34"/>
        <v>9</v>
      </c>
      <c r="N160" s="24">
        <f t="shared" si="34"/>
        <v>10</v>
      </c>
    </row>
    <row r="161" spans="3:15">
      <c r="C161" s="178" t="s">
        <v>141</v>
      </c>
      <c r="D161" s="119">
        <f>+$D$6</f>
        <v>2.0969691335436114</v>
      </c>
      <c r="E161" s="62">
        <f>+E98*(1-$O$161)</f>
        <v>1.0704828286128352</v>
      </c>
      <c r="F161" s="62">
        <f t="shared" ref="F161:N161" si="35">+F98*(1-$O$161)</f>
        <v>1.092942636135473</v>
      </c>
      <c r="G161" s="63">
        <f t="shared" si="35"/>
        <v>1.1158736730328105</v>
      </c>
      <c r="H161" s="62">
        <f t="shared" si="35"/>
        <v>1.1381911464934666</v>
      </c>
      <c r="I161" s="62">
        <f t="shared" si="35"/>
        <v>1.1609549694233361</v>
      </c>
      <c r="J161" s="62">
        <f t="shared" si="35"/>
        <v>1.1841740688118028</v>
      </c>
      <c r="K161" s="62">
        <f t="shared" si="35"/>
        <v>1.2078575501880389</v>
      </c>
      <c r="L161" s="62">
        <f t="shared" si="35"/>
        <v>1.2320147011917997</v>
      </c>
      <c r="M161" s="62">
        <f t="shared" si="35"/>
        <v>1.2566549952156356</v>
      </c>
      <c r="N161" s="62">
        <f t="shared" si="35"/>
        <v>1.2817880951199483</v>
      </c>
      <c r="O161" s="142">
        <v>0.5</v>
      </c>
    </row>
    <row r="162" spans="3:15">
      <c r="C162" s="11" t="s">
        <v>10</v>
      </c>
      <c r="E162" s="159">
        <f t="shared" ref="E162:N162" si="36">+E99</f>
        <v>2.098100681516013E-2</v>
      </c>
      <c r="F162" s="159">
        <f t="shared" si="36"/>
        <v>2.098100681516013E-2</v>
      </c>
      <c r="G162" s="174">
        <f t="shared" si="36"/>
        <v>2.098100681516013E-2</v>
      </c>
      <c r="H162" s="159">
        <f t="shared" si="36"/>
        <v>0.02</v>
      </c>
      <c r="I162" s="159">
        <f t="shared" si="36"/>
        <v>0.02</v>
      </c>
      <c r="J162" s="159">
        <f t="shared" si="36"/>
        <v>0.02</v>
      </c>
      <c r="K162" s="159">
        <f t="shared" si="36"/>
        <v>0.02</v>
      </c>
      <c r="L162" s="159">
        <f t="shared" si="36"/>
        <v>0.02</v>
      </c>
      <c r="M162" s="159">
        <f t="shared" si="36"/>
        <v>0.02</v>
      </c>
      <c r="N162" s="159">
        <f t="shared" si="36"/>
        <v>0.02</v>
      </c>
    </row>
    <row r="163" spans="3:15">
      <c r="C163" s="19" t="s">
        <v>168</v>
      </c>
      <c r="D163" s="172"/>
      <c r="E163" s="116">
        <f t="shared" ref="E163:N163" si="37">+E161/$D$5</f>
        <v>3.7390248991017644E-2</v>
      </c>
      <c r="F163" s="116">
        <f t="shared" si="37"/>
        <v>3.8174734059918725E-2</v>
      </c>
      <c r="G163" s="121">
        <f t="shared" si="37"/>
        <v>3.8975678415396807E-2</v>
      </c>
      <c r="H163" s="116">
        <f t="shared" si="37"/>
        <v>3.9755191983704738E-2</v>
      </c>
      <c r="I163" s="116">
        <f t="shared" si="37"/>
        <v>4.0550295823378837E-2</v>
      </c>
      <c r="J163" s="116">
        <f t="shared" si="37"/>
        <v>4.1361301739846409E-2</v>
      </c>
      <c r="K163" s="116">
        <f t="shared" si="37"/>
        <v>4.2188527774643346E-2</v>
      </c>
      <c r="L163" s="116">
        <f t="shared" si="37"/>
        <v>4.3032298330136214E-2</v>
      </c>
      <c r="M163" s="116">
        <f t="shared" si="37"/>
        <v>4.3892944296738935E-2</v>
      </c>
      <c r="N163" s="116">
        <f t="shared" si="37"/>
        <v>4.4770803182673707E-2</v>
      </c>
    </row>
    <row r="164" spans="3:15">
      <c r="C164" s="11" t="s">
        <v>169</v>
      </c>
      <c r="D164" s="109"/>
      <c r="E164" s="109">
        <f t="shared" ref="E164:N164" si="38">+$J$6*E161</f>
        <v>7627.2386114126539</v>
      </c>
      <c r="F164" s="109">
        <f t="shared" si="38"/>
        <v>7787.2657566995558</v>
      </c>
      <c r="G164" s="109">
        <f t="shared" si="38"/>
        <v>7950.6504326123322</v>
      </c>
      <c r="H164" s="109">
        <f t="shared" si="38"/>
        <v>8109.663441264579</v>
      </c>
      <c r="I164" s="109">
        <f t="shared" si="38"/>
        <v>8271.8567100898708</v>
      </c>
      <c r="J164" s="109">
        <f t="shared" si="38"/>
        <v>8437.2938442916675</v>
      </c>
      <c r="K164" s="109">
        <f t="shared" si="38"/>
        <v>8606.0397211775016</v>
      </c>
      <c r="L164" s="109">
        <f t="shared" si="38"/>
        <v>8778.1605156010519</v>
      </c>
      <c r="M164" s="109">
        <f t="shared" si="38"/>
        <v>8953.7237259130725</v>
      </c>
      <c r="N164" s="109">
        <f t="shared" si="38"/>
        <v>9132.7982004313344</v>
      </c>
    </row>
    <row r="165" spans="3:15" ht="7.95" customHeight="1"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</row>
    <row r="166" spans="3:15">
      <c r="E166" s="28"/>
      <c r="F166" s="28"/>
      <c r="G166" s="28"/>
      <c r="H166" s="24"/>
      <c r="I166" s="24"/>
      <c r="J166" s="24"/>
      <c r="M166" s="179" t="s">
        <v>170</v>
      </c>
      <c r="N166" s="35">
        <f>+N103</f>
        <v>0.02</v>
      </c>
    </row>
    <row r="167" spans="3:15">
      <c r="E167" s="28"/>
      <c r="F167" s="28"/>
      <c r="G167" s="28"/>
      <c r="H167" s="24"/>
      <c r="I167" s="24"/>
      <c r="J167" s="24"/>
      <c r="M167" s="29" t="s">
        <v>128</v>
      </c>
      <c r="N167" s="27">
        <f>N161/D161-1</f>
        <v>-0.38874250716609771</v>
      </c>
    </row>
    <row r="168" spans="3:15" ht="7.95" customHeight="1">
      <c r="E168" s="28"/>
      <c r="F168" s="28"/>
      <c r="G168" s="28"/>
      <c r="H168" s="24"/>
      <c r="I168" s="24"/>
      <c r="J168" s="24"/>
      <c r="M168" s="29"/>
      <c r="N168" s="27"/>
    </row>
    <row r="169" spans="3:15">
      <c r="C169" s="20"/>
      <c r="D169" s="21">
        <f ca="1">+D159</f>
        <v>2024</v>
      </c>
      <c r="E169" s="144">
        <f t="shared" ref="E169:N169" ca="1" si="39">+D169+1</f>
        <v>2025</v>
      </c>
      <c r="F169" s="22">
        <f t="shared" ca="1" si="39"/>
        <v>2026</v>
      </c>
      <c r="G169" s="22">
        <f t="shared" ca="1" si="39"/>
        <v>2027</v>
      </c>
      <c r="H169" s="22">
        <f t="shared" ca="1" si="39"/>
        <v>2028</v>
      </c>
      <c r="I169" s="22">
        <f t="shared" ca="1" si="39"/>
        <v>2029</v>
      </c>
      <c r="J169" s="22">
        <f t="shared" ca="1" si="39"/>
        <v>2030</v>
      </c>
      <c r="K169" s="22">
        <f t="shared" ca="1" si="39"/>
        <v>2031</v>
      </c>
      <c r="L169" s="22">
        <f t="shared" ca="1" si="39"/>
        <v>2032</v>
      </c>
      <c r="M169" s="22">
        <f t="shared" ca="1" si="39"/>
        <v>2033</v>
      </c>
      <c r="N169" s="22">
        <f t="shared" ca="1" si="39"/>
        <v>2034</v>
      </c>
    </row>
    <row r="170" spans="3:15">
      <c r="C170" s="11" t="s">
        <v>171</v>
      </c>
      <c r="D170" s="162">
        <f t="shared" ref="D170:N171" si="40">+D107</f>
        <v>179447</v>
      </c>
      <c r="E170" s="155">
        <f t="shared" si="40"/>
        <v>167416.33333333334</v>
      </c>
      <c r="F170" s="155">
        <f t="shared" si="40"/>
        <v>155385.66666666669</v>
      </c>
      <c r="G170" s="155">
        <f t="shared" si="40"/>
        <v>143355.00000000003</v>
      </c>
      <c r="H170" s="155">
        <f t="shared" si="40"/>
        <v>131324.33333333337</v>
      </c>
      <c r="I170" s="155">
        <f t="shared" si="40"/>
        <v>119293.6666666667</v>
      </c>
      <c r="J170" s="155">
        <f t="shared" si="40"/>
        <v>107263.00000000003</v>
      </c>
      <c r="K170" s="155">
        <f t="shared" si="40"/>
        <v>95232.333333333358</v>
      </c>
      <c r="L170" s="155">
        <f t="shared" si="40"/>
        <v>83201.666666666686</v>
      </c>
      <c r="M170" s="155">
        <f t="shared" si="40"/>
        <v>71171.000000000015</v>
      </c>
      <c r="N170" s="155">
        <f t="shared" si="40"/>
        <v>59140.33333333335</v>
      </c>
    </row>
    <row r="171" spans="3:15">
      <c r="C171" s="11" t="s">
        <v>172</v>
      </c>
      <c r="D171" s="164">
        <f>+D108</f>
        <v>-12030.666666666666</v>
      </c>
      <c r="E171" s="155">
        <f>+E108</f>
        <v>-12030.666666666666</v>
      </c>
      <c r="F171" s="155">
        <f t="shared" si="40"/>
        <v>-12030.666666666666</v>
      </c>
      <c r="G171" s="155">
        <f t="shared" si="40"/>
        <v>-12030.666666666666</v>
      </c>
      <c r="H171" s="155">
        <f t="shared" si="40"/>
        <v>-12030.666666666666</v>
      </c>
      <c r="I171" s="155">
        <f t="shared" si="40"/>
        <v>-12030.666666666666</v>
      </c>
      <c r="J171" s="155">
        <f t="shared" si="40"/>
        <v>-12030.666666666666</v>
      </c>
      <c r="K171" s="155">
        <f t="shared" si="40"/>
        <v>-12030.666666666666</v>
      </c>
      <c r="L171" s="155">
        <f t="shared" si="40"/>
        <v>-12030.666666666666</v>
      </c>
      <c r="M171" s="155">
        <f t="shared" si="40"/>
        <v>-12030.666666666666</v>
      </c>
      <c r="N171" s="155">
        <f t="shared" si="40"/>
        <v>-12030.666666666666</v>
      </c>
    </row>
    <row r="172" spans="3:15"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</row>
    <row r="173" spans="3:15">
      <c r="C173" s="111" t="str">
        <f>+$C$110</f>
        <v>EV/FCF:</v>
      </c>
      <c r="D173" s="108">
        <f>+D176/D175</f>
        <v>13.792758335008376</v>
      </c>
      <c r="E173" s="109"/>
      <c r="F173" s="109"/>
      <c r="G173" s="109"/>
      <c r="H173" s="109"/>
      <c r="I173" s="109"/>
      <c r="J173" s="109"/>
      <c r="K173" s="109"/>
      <c r="L173" s="109"/>
      <c r="M173" s="181" t="s">
        <v>183</v>
      </c>
      <c r="N173" s="153">
        <f>+N140</f>
        <v>15.395394684236154</v>
      </c>
    </row>
    <row r="174" spans="3:15">
      <c r="C174" s="111" t="s">
        <v>182</v>
      </c>
      <c r="D174" s="155">
        <f>+D111</f>
        <v>29253</v>
      </c>
      <c r="E174" s="155">
        <f t="shared" ref="E174:N174" si="41">+E111</f>
        <v>29866.757392363881</v>
      </c>
      <c r="F174" s="155">
        <f t="shared" si="41"/>
        <v>30493.392032759803</v>
      </c>
      <c r="G174" s="155">
        <f t="shared" si="41"/>
        <v>31133.174098816486</v>
      </c>
      <c r="H174" s="155">
        <f t="shared" si="41"/>
        <v>31755.837580792817</v>
      </c>
      <c r="I174" s="155">
        <f t="shared" si="41"/>
        <v>32390.954332408674</v>
      </c>
      <c r="J174" s="155">
        <f t="shared" si="41"/>
        <v>33038.773419056844</v>
      </c>
      <c r="K174" s="155">
        <f t="shared" si="41"/>
        <v>33699.548887437981</v>
      </c>
      <c r="L174" s="155">
        <f t="shared" si="41"/>
        <v>34373.539865186744</v>
      </c>
      <c r="M174" s="155">
        <f t="shared" si="41"/>
        <v>35061.01066249048</v>
      </c>
      <c r="N174" s="155">
        <f t="shared" si="41"/>
        <v>35762.230875740293</v>
      </c>
    </row>
    <row r="175" spans="3:15">
      <c r="C175" s="178" t="s">
        <v>191</v>
      </c>
      <c r="D175" s="166">
        <f>+D111</f>
        <v>29253</v>
      </c>
      <c r="E175" s="112">
        <f>+E111*(1-$O$175)</f>
        <v>10823.187114422724</v>
      </c>
      <c r="F175" s="112">
        <f t="shared" ref="F175:N175" si="42">+F111*(1-$O$175)</f>
        <v>11050.268477032181</v>
      </c>
      <c r="G175" s="112">
        <f t="shared" si="42"/>
        <v>11282.114235258143</v>
      </c>
      <c r="H175" s="112">
        <f t="shared" si="42"/>
        <v>11507.756519963306</v>
      </c>
      <c r="I175" s="112">
        <f t="shared" si="42"/>
        <v>11737.911650362572</v>
      </c>
      <c r="J175" s="112">
        <f t="shared" si="42"/>
        <v>11972.669883369823</v>
      </c>
      <c r="K175" s="112">
        <f t="shared" si="42"/>
        <v>12212.123281037218</v>
      </c>
      <c r="L175" s="112">
        <f t="shared" si="42"/>
        <v>12456.365746657964</v>
      </c>
      <c r="M175" s="112">
        <f t="shared" si="42"/>
        <v>12705.493061591125</v>
      </c>
      <c r="N175" s="112">
        <f t="shared" si="42"/>
        <v>12959.602922822949</v>
      </c>
      <c r="O175" s="154">
        <v>0.63761760367096565</v>
      </c>
    </row>
    <row r="176" spans="3:15">
      <c r="C176" s="11" t="s">
        <v>175</v>
      </c>
      <c r="D176" s="155">
        <f>+D112</f>
        <v>403479.55957400001</v>
      </c>
      <c r="E176" s="109"/>
      <c r="F176" s="109"/>
      <c r="G176" s="109"/>
      <c r="H176" s="109"/>
      <c r="I176" s="109"/>
      <c r="J176" s="109"/>
      <c r="K176" s="109"/>
      <c r="L176" s="109"/>
      <c r="M176" s="109"/>
      <c r="N176" s="109">
        <f>+N175*N173</f>
        <v>199518.20194783976</v>
      </c>
    </row>
    <row r="177" spans="3:14" ht="7.95" customHeight="1"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</row>
    <row r="178" spans="3:14">
      <c r="C178" s="11" t="s">
        <v>126</v>
      </c>
      <c r="D178" s="109">
        <f>+$D$114</f>
        <v>20042.513579790015</v>
      </c>
      <c r="E178" s="109"/>
      <c r="F178" s="109"/>
      <c r="G178" s="109"/>
      <c r="H178" s="109"/>
      <c r="I178" s="109"/>
      <c r="J178" s="109"/>
      <c r="K178" s="109"/>
      <c r="L178" s="109"/>
      <c r="M178" s="109"/>
      <c r="N178" s="109">
        <f>+D178</f>
        <v>20042.513579790015</v>
      </c>
    </row>
    <row r="179" spans="3:14">
      <c r="C179" s="11" t="s">
        <v>176</v>
      </c>
      <c r="D179" s="109">
        <f>+D176-D170</f>
        <v>224032.55957400001</v>
      </c>
      <c r="E179" s="109"/>
      <c r="F179" s="109"/>
      <c r="G179" s="109"/>
      <c r="H179" s="109"/>
      <c r="I179" s="109"/>
      <c r="J179" s="109"/>
      <c r="K179" s="109"/>
      <c r="L179" s="109"/>
      <c r="M179" s="109"/>
      <c r="N179" s="109">
        <f>+N176-N170</f>
        <v>140377.86861450641</v>
      </c>
    </row>
    <row r="180" spans="3:14">
      <c r="C180" s="11" t="s">
        <v>177</v>
      </c>
      <c r="D180" s="118">
        <f>+$D$116</f>
        <v>28.63</v>
      </c>
      <c r="E180" s="109"/>
      <c r="F180" s="109"/>
      <c r="G180" s="109"/>
      <c r="H180" s="109"/>
      <c r="I180" s="109"/>
      <c r="J180" s="109"/>
      <c r="K180" s="109"/>
      <c r="L180" s="109"/>
      <c r="M180" s="109"/>
      <c r="N180" s="118">
        <f>(N179-N178)/$J$6</f>
        <v>16.889065335774855</v>
      </c>
    </row>
    <row r="181" spans="3:14">
      <c r="D181" s="109"/>
      <c r="E181" s="181"/>
      <c r="F181" s="109"/>
      <c r="G181" s="109"/>
      <c r="H181" s="109"/>
      <c r="I181" s="109"/>
      <c r="J181" s="109"/>
      <c r="K181" s="109"/>
      <c r="L181" s="109"/>
      <c r="M181" s="109"/>
      <c r="N181" s="109"/>
    </row>
    <row r="182" spans="3:14">
      <c r="C182" s="19" t="s">
        <v>127</v>
      </c>
      <c r="D182" s="107">
        <f>+N180/D180-1</f>
        <v>-0.41009202459745531</v>
      </c>
      <c r="E182" s="114">
        <f>+(N180/D180)^(0.1)-1</f>
        <v>-5.1410251726142553E-2</v>
      </c>
      <c r="F182" s="55" t="s">
        <v>178</v>
      </c>
      <c r="G182" s="109"/>
      <c r="H182" s="109"/>
      <c r="I182" s="109"/>
      <c r="J182" s="109"/>
      <c r="K182" s="109"/>
      <c r="L182" s="109"/>
      <c r="M182" s="109"/>
      <c r="N182" s="109"/>
    </row>
    <row r="183" spans="3:14">
      <c r="C183" s="122" t="s">
        <v>179</v>
      </c>
      <c r="D183" s="123">
        <f>+N161/D180</f>
        <v>4.4770803182673707E-2</v>
      </c>
      <c r="E183" s="124">
        <f>+SUM(E163:N163)</f>
        <v>0.41009202459745542</v>
      </c>
      <c r="F183" s="182" t="s">
        <v>180</v>
      </c>
      <c r="G183" s="112"/>
      <c r="H183" s="112"/>
      <c r="I183" s="109"/>
      <c r="J183" s="109"/>
      <c r="K183" s="109"/>
      <c r="L183" s="109"/>
      <c r="M183" s="109"/>
      <c r="N183" s="109"/>
    </row>
    <row r="184" spans="3:14">
      <c r="C184" s="19" t="s">
        <v>129</v>
      </c>
      <c r="D184" s="114">
        <f>+D182+E183</f>
        <v>0</v>
      </c>
      <c r="E184" s="114">
        <f>+(1+D184)^(0.1)-1</f>
        <v>0</v>
      </c>
      <c r="F184" s="55" t="s">
        <v>178</v>
      </c>
      <c r="G184" s="28"/>
      <c r="H184" s="24"/>
      <c r="I184" s="24"/>
      <c r="J184" s="185" t="s">
        <v>185</v>
      </c>
      <c r="K184" s="186"/>
      <c r="L184" s="187"/>
      <c r="M184" s="188"/>
      <c r="N184" s="24"/>
    </row>
    <row r="185" spans="3:14">
      <c r="C185" s="19"/>
      <c r="D185" s="114"/>
      <c r="E185" s="114"/>
      <c r="F185" s="55"/>
      <c r="G185" s="28"/>
      <c r="H185" s="24"/>
      <c r="I185" s="24"/>
      <c r="J185" s="24"/>
      <c r="K185" s="24"/>
      <c r="L185" s="24"/>
      <c r="M185" s="24"/>
      <c r="N185" s="24"/>
    </row>
    <row r="186" spans="3:14">
      <c r="C186" s="17" t="s">
        <v>198</v>
      </c>
      <c r="D186" s="18"/>
      <c r="E186" s="18"/>
      <c r="F186" s="18"/>
      <c r="G186" s="28"/>
      <c r="H186" s="24"/>
      <c r="I186" s="24"/>
      <c r="J186" s="24"/>
      <c r="K186" s="29"/>
      <c r="L186" s="27"/>
      <c r="M186" s="24"/>
      <c r="N186" s="24"/>
    </row>
    <row r="187" spans="3:14">
      <c r="C187" s="200" t="s">
        <v>195</v>
      </c>
      <c r="D187" s="199" t="s">
        <v>196</v>
      </c>
      <c r="E187" s="22" t="s">
        <v>131</v>
      </c>
      <c r="F187" s="199" t="s">
        <v>229</v>
      </c>
    </row>
    <row r="188" spans="3:14">
      <c r="C188" s="36" t="s">
        <v>192</v>
      </c>
      <c r="D188" s="204">
        <v>0.6</v>
      </c>
      <c r="E188" s="157">
        <f>+E121</f>
        <v>0.12090500208916644</v>
      </c>
      <c r="F188" s="27">
        <f>D188*E188</f>
        <v>7.2543001253499856E-2</v>
      </c>
    </row>
    <row r="189" spans="3:14">
      <c r="C189" s="36" t="s">
        <v>193</v>
      </c>
      <c r="D189" s="204">
        <v>0.35</v>
      </c>
      <c r="E189" s="157">
        <f>+E153</f>
        <v>0.10288793311158617</v>
      </c>
      <c r="F189" s="27">
        <f>D189*E189</f>
        <v>3.601077658905516E-2</v>
      </c>
    </row>
    <row r="190" spans="3:14">
      <c r="C190" s="202" t="s">
        <v>194</v>
      </c>
      <c r="D190" s="205">
        <v>0.05</v>
      </c>
      <c r="E190" s="206">
        <f>+E184</f>
        <v>0</v>
      </c>
      <c r="F190" s="27">
        <f>D190*E190</f>
        <v>0</v>
      </c>
    </row>
    <row r="191" spans="3:14">
      <c r="D191" s="203" t="s">
        <v>197</v>
      </c>
      <c r="E191" s="201">
        <f>SUMPRODUCT(D188:D190,E188:E190)</f>
        <v>0.10855377784255502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FBA72-A05B-4FD1-80C2-29F7CD48BA17}">
  <sheetPr>
    <tabColor rgb="FF000000"/>
  </sheetPr>
  <dimension ref="A1:R191"/>
  <sheetViews>
    <sheetView showGridLines="0" zoomScaleNormal="100" workbookViewId="0">
      <selection activeCell="E23" sqref="E23"/>
    </sheetView>
  </sheetViews>
  <sheetFormatPr defaultColWidth="8.59765625" defaultRowHeight="13.2" outlineLevelRow="1"/>
  <cols>
    <col min="1" max="2" width="1.796875" style="11" customWidth="1"/>
    <col min="3" max="3" width="24.5" style="11" customWidth="1"/>
    <col min="4" max="14" width="7.59765625" style="11" customWidth="1"/>
    <col min="15" max="17" width="8.59765625" style="11"/>
    <col min="18" max="18" width="12.3984375" style="11" bestFit="1" customWidth="1"/>
    <col min="19" max="16384" width="8.59765625" style="11"/>
  </cols>
  <sheetData>
    <row r="1" spans="1:14" ht="8.1" customHeight="1"/>
    <row r="2" spans="1:14" s="13" customFormat="1" ht="21.6" thickBot="1">
      <c r="A2" s="217" t="s">
        <v>230</v>
      </c>
    </row>
    <row r="3" spans="1:14" s="15" customFormat="1">
      <c r="C3" s="20"/>
      <c r="D3" s="143">
        <v>2020</v>
      </c>
      <c r="E3" s="143">
        <v>2021</v>
      </c>
      <c r="F3" s="143">
        <v>2022</v>
      </c>
      <c r="G3" s="143">
        <v>2023</v>
      </c>
      <c r="H3" s="143">
        <v>2024</v>
      </c>
      <c r="I3" s="143">
        <v>2025</v>
      </c>
      <c r="J3" s="143">
        <v>2026</v>
      </c>
      <c r="K3" s="143">
        <v>2027</v>
      </c>
      <c r="L3" s="143">
        <v>2028</v>
      </c>
      <c r="M3" s="143">
        <v>2029</v>
      </c>
      <c r="N3" s="143">
        <v>2030</v>
      </c>
    </row>
    <row r="4" spans="1:14" s="15" customFormat="1"/>
    <row r="5" spans="1:14" s="15" customFormat="1">
      <c r="C5" s="11" t="s">
        <v>139</v>
      </c>
      <c r="D5" s="117">
        <f>+현황판!E7</f>
        <v>28.63</v>
      </c>
      <c r="E5" s="11"/>
      <c r="F5" s="11"/>
      <c r="G5" s="11" t="s">
        <v>140</v>
      </c>
      <c r="H5" s="11"/>
      <c r="I5" s="11"/>
      <c r="J5" s="24">
        <f>+D5*J6</f>
        <v>203990.04599421</v>
      </c>
      <c r="K5" s="11"/>
    </row>
    <row r="6" spans="1:14" s="15" customFormat="1">
      <c r="C6" s="11" t="s">
        <v>141</v>
      </c>
      <c r="D6" s="117">
        <f>+D5*현황판!G7</f>
        <v>2.0969691335436114</v>
      </c>
      <c r="E6" s="11"/>
      <c r="F6" s="11"/>
      <c r="G6" s="11" t="s">
        <v>142</v>
      </c>
      <c r="H6" s="11"/>
      <c r="I6" s="11"/>
      <c r="J6" s="24">
        <v>7125.0452670000004</v>
      </c>
      <c r="K6" s="11"/>
    </row>
    <row r="7" spans="1:14" s="15" customFormat="1">
      <c r="C7" s="11" t="s">
        <v>143</v>
      </c>
      <c r="D7" s="106">
        <f>+현황판!G8</f>
        <v>2.098100681516013E-2</v>
      </c>
      <c r="E7" s="11"/>
      <c r="F7" s="11"/>
      <c r="G7" s="11"/>
      <c r="H7" s="11"/>
      <c r="I7" s="11"/>
      <c r="J7" s="11"/>
      <c r="K7" s="11"/>
    </row>
    <row r="8" spans="1:14" s="15" customFormat="1"/>
    <row r="9" spans="1:14" s="15" customFormat="1"/>
    <row r="10" spans="1:14">
      <c r="B10" s="17" t="s">
        <v>144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 s="15" customFormat="1"/>
    <row r="12" spans="1:14" s="15" customFormat="1">
      <c r="B12" s="15" t="s">
        <v>60</v>
      </c>
      <c r="C12" s="169" t="s">
        <v>130</v>
      </c>
      <c r="D12" s="129">
        <f>PV(D13,D14,-D15,-D16,0)</f>
        <v>25.726140326478628</v>
      </c>
      <c r="E12" s="129"/>
      <c r="F12" s="132"/>
    </row>
    <row r="13" spans="1:14" s="15" customFormat="1" ht="13.8">
      <c r="C13" s="15" t="s">
        <v>145</v>
      </c>
      <c r="D13" s="145">
        <v>0.1</v>
      </c>
      <c r="E13" s="132"/>
      <c r="F13" s="127"/>
    </row>
    <row r="14" spans="1:14" s="15" customFormat="1" ht="13.8">
      <c r="C14" s="15" t="s">
        <v>146</v>
      </c>
      <c r="D14" s="131">
        <v>5</v>
      </c>
      <c r="E14" s="132"/>
      <c r="F14" s="127"/>
    </row>
    <row r="15" spans="1:14" s="15" customFormat="1" ht="13.8">
      <c r="C15" s="15" t="s">
        <v>132</v>
      </c>
      <c r="D15" s="130">
        <f>+D6</f>
        <v>2.0969691335436114</v>
      </c>
      <c r="F15" s="127"/>
    </row>
    <row r="16" spans="1:14" s="15" customFormat="1" ht="13.8">
      <c r="C16" s="15" t="s">
        <v>147</v>
      </c>
      <c r="D16" s="130">
        <f>+D5</f>
        <v>28.63</v>
      </c>
    </row>
    <row r="17" spans="2:15" s="15" customFormat="1" ht="4.95" customHeight="1">
      <c r="D17" s="130"/>
    </row>
    <row r="18" spans="2:15" s="15" customFormat="1" ht="13.8">
      <c r="C18" s="15" t="s">
        <v>148</v>
      </c>
      <c r="D18" s="130"/>
    </row>
    <row r="19" spans="2:15" s="15" customFormat="1">
      <c r="C19" s="22"/>
      <c r="D19" s="22">
        <v>2020</v>
      </c>
      <c r="E19" s="22">
        <f>+D19+1</f>
        <v>2021</v>
      </c>
      <c r="F19" s="22">
        <f t="shared" ref="F19:I19" si="0">+E19+1</f>
        <v>2022</v>
      </c>
      <c r="G19" s="22">
        <f t="shared" si="0"/>
        <v>2023</v>
      </c>
      <c r="H19" s="22">
        <f t="shared" si="0"/>
        <v>2024</v>
      </c>
      <c r="I19" s="22">
        <f t="shared" si="0"/>
        <v>2025</v>
      </c>
      <c r="J19" s="22">
        <f>+I19</f>
        <v>2025</v>
      </c>
    </row>
    <row r="20" spans="2:15" s="15" customFormat="1" ht="13.8">
      <c r="C20" s="15" t="s">
        <v>146</v>
      </c>
      <c r="D20" s="15">
        <v>0</v>
      </c>
      <c r="E20" s="193">
        <f>+D20+1</f>
        <v>1</v>
      </c>
      <c r="F20" s="193">
        <f t="shared" ref="F20:I20" si="1">+E20+1</f>
        <v>2</v>
      </c>
      <c r="G20" s="193">
        <f t="shared" si="1"/>
        <v>3</v>
      </c>
      <c r="H20" s="193">
        <f t="shared" si="1"/>
        <v>4</v>
      </c>
      <c r="I20" s="193">
        <f t="shared" si="1"/>
        <v>5</v>
      </c>
      <c r="J20" s="193">
        <f>+I20</f>
        <v>5</v>
      </c>
    </row>
    <row r="21" spans="2:15" s="15" customFormat="1" ht="13.8">
      <c r="C21" s="15" t="s">
        <v>149</v>
      </c>
      <c r="E21" s="129">
        <f>+$D$15</f>
        <v>2.0969691335436114</v>
      </c>
      <c r="F21" s="129">
        <f>+$D$15</f>
        <v>2.0969691335436114</v>
      </c>
      <c r="G21" s="129">
        <f>+$D$15</f>
        <v>2.0969691335436114</v>
      </c>
      <c r="H21" s="129">
        <f>+$D$15</f>
        <v>2.0969691335436114</v>
      </c>
      <c r="I21" s="129">
        <f>+$D$15</f>
        <v>2.0969691335436114</v>
      </c>
      <c r="J21" s="146"/>
    </row>
    <row r="22" spans="2:15" s="15" customFormat="1" ht="13.8">
      <c r="C22" s="15" t="s">
        <v>147</v>
      </c>
      <c r="E22" s="146"/>
      <c r="F22" s="146"/>
      <c r="G22" s="146"/>
      <c r="H22" s="146"/>
      <c r="I22" s="146"/>
      <c r="J22" s="129">
        <f>+D16</f>
        <v>28.63</v>
      </c>
    </row>
    <row r="23" spans="2:15" s="15" customFormat="1" ht="13.8">
      <c r="C23" s="15" t="s">
        <v>150</v>
      </c>
      <c r="E23" s="191">
        <f>(1+$D$13)^(COUNTA($E$21:E21))</f>
        <v>1.1000000000000001</v>
      </c>
      <c r="F23" s="191">
        <f>(1+$D$13)^(COUNTA($E$21:F21))</f>
        <v>1.2100000000000002</v>
      </c>
      <c r="G23" s="191">
        <f>(1+$D$13)^(COUNTA($E$21:G21))</f>
        <v>1.3310000000000004</v>
      </c>
      <c r="H23" s="191">
        <f>(1+$D$13)^(COUNTA($E$21:H21))</f>
        <v>1.4641000000000004</v>
      </c>
      <c r="I23" s="191">
        <f>(1+$D$13)^(COUNTA($E$20:I20))</f>
        <v>1.6105100000000006</v>
      </c>
      <c r="J23" s="191">
        <f>+I23</f>
        <v>1.6105100000000006</v>
      </c>
    </row>
    <row r="24" spans="2:15" s="15" customFormat="1" ht="15">
      <c r="C24" s="190" t="s">
        <v>151</v>
      </c>
      <c r="D24" s="190"/>
      <c r="E24" s="192">
        <f>+E21/E23</f>
        <v>1.9063355759487375</v>
      </c>
      <c r="F24" s="192">
        <f t="shared" ref="F24:I24" si="2">+F21/F23</f>
        <v>1.7330323417715794</v>
      </c>
      <c r="G24" s="192">
        <f t="shared" si="2"/>
        <v>1.5754839470650719</v>
      </c>
      <c r="H24" s="192">
        <f t="shared" si="2"/>
        <v>1.43225813369552</v>
      </c>
      <c r="I24" s="192">
        <f t="shared" si="2"/>
        <v>1.302052848814109</v>
      </c>
      <c r="J24" s="192">
        <f>+J22/J23</f>
        <v>17.776977479183607</v>
      </c>
      <c r="O24" s="207"/>
    </row>
    <row r="25" spans="2:15" s="15" customFormat="1" ht="13.8">
      <c r="I25" s="46" t="s">
        <v>152</v>
      </c>
      <c r="J25" s="129">
        <f>SUM(E24:J24)</f>
        <v>25.726140326478625</v>
      </c>
      <c r="K25" s="135" t="b">
        <f>J25=D12</f>
        <v>1</v>
      </c>
    </row>
    <row r="26" spans="2:15" s="15" customFormat="1">
      <c r="D26" s="130"/>
      <c r="G26" s="46"/>
    </row>
    <row r="27" spans="2:15" s="15" customFormat="1">
      <c r="B27" s="15" t="s">
        <v>60</v>
      </c>
      <c r="C27" s="169" t="s">
        <v>130</v>
      </c>
      <c r="D27" s="129">
        <f>PV(D28,D29,-D30,-D31,0)</f>
        <v>25.726140326478628</v>
      </c>
      <c r="G27" s="46"/>
    </row>
    <row r="28" spans="2:15" s="15" customFormat="1" ht="13.8">
      <c r="C28" s="15" t="s">
        <v>145</v>
      </c>
      <c r="D28" s="145">
        <f>10%</f>
        <v>0.1</v>
      </c>
      <c r="G28" s="46"/>
    </row>
    <row r="29" spans="2:15" s="15" customFormat="1" ht="13.8">
      <c r="C29" s="15" t="s">
        <v>146</v>
      </c>
      <c r="D29" s="131">
        <f>5</f>
        <v>5</v>
      </c>
      <c r="G29" s="194">
        <f>SUM(H29:M29)</f>
        <v>-2.6398724304739787</v>
      </c>
      <c r="H29" s="15">
        <f>+D49/E23</f>
        <v>-26.027272727272724</v>
      </c>
      <c r="I29" s="15">
        <f>+E50/F23</f>
        <v>1.7330323417715794</v>
      </c>
      <c r="J29" s="15">
        <f t="shared" ref="J29:L29" si="3">+F50/G23</f>
        <v>1.5754839470650719</v>
      </c>
      <c r="K29" s="15">
        <f t="shared" si="3"/>
        <v>1.43225813369552</v>
      </c>
      <c r="L29" s="15">
        <f t="shared" si="3"/>
        <v>1.302052848814109</v>
      </c>
      <c r="M29" s="15">
        <f>+I50/(J23*1.1)</f>
        <v>17.344573025452465</v>
      </c>
    </row>
    <row r="30" spans="2:15" s="15" customFormat="1" ht="13.8">
      <c r="C30" s="15" t="s">
        <v>132</v>
      </c>
      <c r="D30" s="130">
        <f>+D6</f>
        <v>2.0969691335436114</v>
      </c>
      <c r="G30" s="46" t="b">
        <f>G29=D43</f>
        <v>0</v>
      </c>
    </row>
    <row r="31" spans="2:15" s="15" customFormat="1" ht="13.8">
      <c r="C31" s="15" t="s">
        <v>147</v>
      </c>
      <c r="D31" s="130">
        <f>+D5</f>
        <v>28.63</v>
      </c>
      <c r="F31" s="129"/>
      <c r="G31" s="46"/>
    </row>
    <row r="32" spans="2:15" s="15" customFormat="1"/>
    <row r="33" spans="2:14" s="15" customFormat="1" ht="15" hidden="1" outlineLevel="1">
      <c r="D33" s="15" t="s">
        <v>153</v>
      </c>
      <c r="L33" s="175"/>
    </row>
    <row r="34" spans="2:14" s="15" customFormat="1" hidden="1" outlineLevel="1"/>
    <row r="35" spans="2:14" s="15" customFormat="1" ht="15" hidden="1" outlineLevel="1">
      <c r="B35" s="15" t="s">
        <v>60</v>
      </c>
      <c r="C35" s="147" t="s">
        <v>133</v>
      </c>
      <c r="D35" s="148">
        <f>FV(D36,D37,-D38,-D39,0)</f>
        <v>58.911107557197127</v>
      </c>
      <c r="E35" s="138"/>
      <c r="F35" s="138"/>
      <c r="G35" s="176" t="s">
        <v>146</v>
      </c>
      <c r="H35" s="138">
        <v>1</v>
      </c>
      <c r="I35" s="138">
        <f t="shared" ref="I35:K35" si="4">+H35+1</f>
        <v>2</v>
      </c>
      <c r="J35" s="138">
        <f t="shared" si="4"/>
        <v>3</v>
      </c>
      <c r="K35" s="138">
        <f t="shared" si="4"/>
        <v>4</v>
      </c>
      <c r="L35" s="138">
        <v>5</v>
      </c>
      <c r="M35" s="138">
        <v>5</v>
      </c>
    </row>
    <row r="36" spans="2:14" s="15" customFormat="1" ht="15" hidden="1" outlineLevel="1">
      <c r="C36" s="138" t="s">
        <v>145</v>
      </c>
      <c r="D36" s="149">
        <v>0.1</v>
      </c>
      <c r="E36" s="151"/>
      <c r="F36" s="138"/>
      <c r="G36" s="176" t="s">
        <v>149</v>
      </c>
      <c r="H36" s="152">
        <f>E21</f>
        <v>2.0969691335436114</v>
      </c>
      <c r="I36" s="152">
        <f>F21</f>
        <v>2.0969691335436114</v>
      </c>
      <c r="J36" s="152">
        <f>G21</f>
        <v>2.0969691335436114</v>
      </c>
      <c r="K36" s="152">
        <f>H21</f>
        <v>2.0969691335436114</v>
      </c>
      <c r="L36" s="152">
        <f>I21</f>
        <v>2.0969691335436114</v>
      </c>
      <c r="M36" s="152"/>
    </row>
    <row r="37" spans="2:14" s="15" customFormat="1" ht="15" hidden="1" outlineLevel="1">
      <c r="C37" s="138" t="s">
        <v>146</v>
      </c>
      <c r="D37" s="150">
        <v>5</v>
      </c>
      <c r="E37" s="151"/>
      <c r="F37" s="138"/>
      <c r="G37" s="176" t="s">
        <v>154</v>
      </c>
      <c r="H37" s="138"/>
      <c r="I37" s="138"/>
      <c r="J37" s="138"/>
      <c r="K37" s="138"/>
      <c r="L37" s="152"/>
      <c r="M37" s="152">
        <f>+D5</f>
        <v>28.63</v>
      </c>
    </row>
    <row r="38" spans="2:14" s="15" customFormat="1" ht="15" hidden="1" outlineLevel="1">
      <c r="C38" s="138" t="s">
        <v>155</v>
      </c>
      <c r="D38" s="137">
        <f>D6</f>
        <v>2.0969691335436114</v>
      </c>
      <c r="E38" s="138"/>
      <c r="F38" s="138"/>
      <c r="G38" s="176" t="s">
        <v>156</v>
      </c>
      <c r="H38" s="138">
        <f>1.1^(COUNTA(I35:$L$35))</f>
        <v>1.4641000000000004</v>
      </c>
      <c r="I38" s="138">
        <f>1.1^(COUNTA(J35:$L$35))</f>
        <v>1.3310000000000004</v>
      </c>
      <c r="J38" s="138">
        <f>1.1^(COUNTA(K35:$L$35))</f>
        <v>1.2100000000000002</v>
      </c>
      <c r="K38" s="138">
        <f>1.1^(COUNTA(L35:$L$35))</f>
        <v>1.1000000000000001</v>
      </c>
      <c r="L38" s="138">
        <v>1</v>
      </c>
      <c r="M38" s="138">
        <v>1</v>
      </c>
    </row>
    <row r="39" spans="2:14" s="15" customFormat="1" ht="15" hidden="1" outlineLevel="1">
      <c r="C39" s="138" t="s">
        <v>157</v>
      </c>
      <c r="D39" s="137">
        <f>+D5</f>
        <v>28.63</v>
      </c>
      <c r="E39" s="138"/>
      <c r="F39" s="138"/>
      <c r="G39" s="176" t="s">
        <v>151</v>
      </c>
      <c r="H39" s="138">
        <f t="shared" ref="H39:L39" si="5">+H36*H38</f>
        <v>3.0701725084212024</v>
      </c>
      <c r="I39" s="138">
        <f t="shared" si="5"/>
        <v>2.7910659167465477</v>
      </c>
      <c r="J39" s="138">
        <f t="shared" si="5"/>
        <v>2.5373326515877701</v>
      </c>
      <c r="K39" s="138">
        <f t="shared" si="5"/>
        <v>2.3066660468979725</v>
      </c>
      <c r="L39" s="138">
        <f t="shared" si="5"/>
        <v>2.0969691335436114</v>
      </c>
      <c r="M39" s="138">
        <f>+M37*M38</f>
        <v>28.63</v>
      </c>
    </row>
    <row r="40" spans="2:14" s="15" customFormat="1" ht="15" hidden="1" outlineLevel="1">
      <c r="C40" s="138"/>
      <c r="D40" s="138"/>
      <c r="E40" s="138"/>
      <c r="F40" s="138"/>
      <c r="G40" s="138"/>
      <c r="H40" s="138"/>
      <c r="I40" s="138"/>
      <c r="J40" s="138"/>
      <c r="K40" s="138"/>
      <c r="L40" s="176" t="s">
        <v>152</v>
      </c>
      <c r="M40" s="148">
        <f>SUM(H39:M39)</f>
        <v>41.432206257197102</v>
      </c>
      <c r="N40" s="135" t="b">
        <f>M40=D35</f>
        <v>0</v>
      </c>
    </row>
    <row r="41" spans="2:14" s="15" customFormat="1" ht="15" hidden="1" outlineLevel="1">
      <c r="D41" s="15" t="s">
        <v>137</v>
      </c>
    </row>
    <row r="42" spans="2:14" s="15" customFormat="1" collapsed="1">
      <c r="E42" s="133">
        <f>+D27+D49</f>
        <v>-2.9038596735213709</v>
      </c>
    </row>
    <row r="43" spans="2:14" s="15" customFormat="1">
      <c r="B43" s="15" t="s">
        <v>60</v>
      </c>
      <c r="C43" s="169" t="s">
        <v>134</v>
      </c>
      <c r="D43" s="129">
        <f>NPV(D44,E50:I50)+D49</f>
        <v>-2.9038596735213744</v>
      </c>
      <c r="F43" s="133">
        <f>NPV(D44,D49:I50)</f>
        <v>-2.6398724304739765</v>
      </c>
    </row>
    <row r="44" spans="2:14" s="15" customFormat="1" ht="13.8">
      <c r="C44" s="15" t="s">
        <v>145</v>
      </c>
      <c r="D44" s="168">
        <v>0.1</v>
      </c>
    </row>
    <row r="45" spans="2:14" s="15" customFormat="1" ht="4.95" customHeight="1">
      <c r="D45" s="131"/>
    </row>
    <row r="46" spans="2:14" s="15" customFormat="1" ht="13.8">
      <c r="C46" s="177" t="s">
        <v>158</v>
      </c>
      <c r="D46" s="131"/>
    </row>
    <row r="47" spans="2:14" s="15" customFormat="1">
      <c r="C47" s="20"/>
      <c r="D47" s="22">
        <v>2020</v>
      </c>
      <c r="E47" s="22">
        <f>+D47+1</f>
        <v>2021</v>
      </c>
      <c r="F47" s="22">
        <f t="shared" ref="F47:I47" si="6">+E47+1</f>
        <v>2022</v>
      </c>
      <c r="G47" s="22">
        <f t="shared" si="6"/>
        <v>2023</v>
      </c>
      <c r="H47" s="22">
        <f t="shared" si="6"/>
        <v>2024</v>
      </c>
      <c r="I47" s="22">
        <f t="shared" si="6"/>
        <v>2025</v>
      </c>
    </row>
    <row r="48" spans="2:14" s="15" customFormat="1" ht="13.8">
      <c r="C48" s="15" t="s">
        <v>146</v>
      </c>
      <c r="D48" s="15">
        <v>0</v>
      </c>
      <c r="E48" s="15">
        <v>1</v>
      </c>
      <c r="F48" s="15">
        <f>+E48+1</f>
        <v>2</v>
      </c>
      <c r="G48" s="15">
        <f>+F48+1</f>
        <v>3</v>
      </c>
      <c r="H48" s="15">
        <f>+G48+1</f>
        <v>4</v>
      </c>
      <c r="I48" s="15">
        <f>+H48+1</f>
        <v>5</v>
      </c>
    </row>
    <row r="49" spans="2:11" s="15" customFormat="1" ht="13.8">
      <c r="C49" s="15" t="s">
        <v>159</v>
      </c>
      <c r="D49" s="129">
        <f>-D5</f>
        <v>-28.63</v>
      </c>
      <c r="E49" s="146"/>
      <c r="F49" s="146"/>
      <c r="G49" s="146"/>
      <c r="H49" s="146"/>
      <c r="I49" s="146"/>
    </row>
    <row r="50" spans="2:11" s="15" customFormat="1" ht="13.8">
      <c r="C50" s="15" t="s">
        <v>149</v>
      </c>
      <c r="E50" s="129">
        <f>E21</f>
        <v>2.0969691335436114</v>
      </c>
      <c r="F50" s="129">
        <f t="shared" ref="F50:H50" si="7">F21</f>
        <v>2.0969691335436114</v>
      </c>
      <c r="G50" s="129">
        <f t="shared" si="7"/>
        <v>2.0969691335436114</v>
      </c>
      <c r="H50" s="129">
        <f t="shared" si="7"/>
        <v>2.0969691335436114</v>
      </c>
      <c r="I50" s="129">
        <f>I21+J22</f>
        <v>30.726969133543612</v>
      </c>
      <c r="J50" s="15" t="s">
        <v>160</v>
      </c>
    </row>
    <row r="51" spans="2:11" s="15" customFormat="1"/>
    <row r="52" spans="2:11" s="15" customFormat="1" ht="13.8">
      <c r="C52" s="177" t="s">
        <v>161</v>
      </c>
    </row>
    <row r="53" spans="2:11" s="15" customFormat="1" ht="13.8">
      <c r="C53" s="169" t="s">
        <v>138</v>
      </c>
      <c r="D53" s="129">
        <f>NPV(D54,E59:I59)+D58</f>
        <v>-2.4226354992124506</v>
      </c>
    </row>
    <row r="54" spans="2:11" s="15" customFormat="1" ht="13.8">
      <c r="C54" s="15" t="s">
        <v>145</v>
      </c>
      <c r="D54" s="168">
        <v>0.1</v>
      </c>
    </row>
    <row r="55" spans="2:11" s="15" customFormat="1" ht="13.8">
      <c r="C55" s="15" t="s">
        <v>186</v>
      </c>
      <c r="D55" s="195">
        <f>+D7</f>
        <v>2.098100681516013E-2</v>
      </c>
    </row>
    <row r="56" spans="2:11" s="15" customFormat="1">
      <c r="C56" s="20"/>
      <c r="D56" s="22">
        <v>2020</v>
      </c>
      <c r="E56" s="22">
        <f>+D56+1</f>
        <v>2021</v>
      </c>
      <c r="F56" s="22">
        <f t="shared" ref="F56:I56" si="8">+E56+1</f>
        <v>2022</v>
      </c>
      <c r="G56" s="22">
        <f t="shared" si="8"/>
        <v>2023</v>
      </c>
      <c r="H56" s="22">
        <f t="shared" si="8"/>
        <v>2024</v>
      </c>
      <c r="I56" s="22">
        <f t="shared" si="8"/>
        <v>2025</v>
      </c>
      <c r="J56" s="22">
        <f>+I56</f>
        <v>2025</v>
      </c>
    </row>
    <row r="57" spans="2:11" s="15" customFormat="1" ht="13.8">
      <c r="C57" s="15" t="s">
        <v>146</v>
      </c>
      <c r="D57" s="15">
        <v>0</v>
      </c>
      <c r="E57" s="15">
        <v>1</v>
      </c>
      <c r="F57" s="15">
        <f>+E57+1</f>
        <v>2</v>
      </c>
      <c r="G57" s="15">
        <f>+F57+1</f>
        <v>3</v>
      </c>
      <c r="H57" s="15">
        <f>+G57+1</f>
        <v>4</v>
      </c>
      <c r="I57" s="15">
        <f>+H57+1</f>
        <v>5</v>
      </c>
    </row>
    <row r="58" spans="2:11" s="15" customFormat="1" ht="13.8">
      <c r="C58" s="15" t="s">
        <v>159</v>
      </c>
      <c r="D58" s="129">
        <f>-D5</f>
        <v>-28.63</v>
      </c>
      <c r="E58" s="146"/>
      <c r="F58" s="146"/>
      <c r="G58" s="146"/>
      <c r="H58" s="146"/>
      <c r="I58" s="146"/>
    </row>
    <row r="59" spans="2:11" s="15" customFormat="1" ht="13.8">
      <c r="C59" s="15" t="s">
        <v>149</v>
      </c>
      <c r="E59" s="129">
        <f>+E50*(1+$D$55)</f>
        <v>2.1409656572256703</v>
      </c>
      <c r="F59" s="129">
        <f>+E59*(1+$D$55)</f>
        <v>2.1858852722709461</v>
      </c>
      <c r="G59" s="129">
        <f>+F59*(1+$D$55)</f>
        <v>2.231747346065621</v>
      </c>
      <c r="H59" s="129">
        <f>+G59*(1+$D$55)</f>
        <v>2.2785716523431394</v>
      </c>
      <c r="I59" s="129">
        <f>+H59*(1+$D$55)+J22</f>
        <v>30.956378379709779</v>
      </c>
      <c r="J59" s="15" t="s">
        <v>160</v>
      </c>
    </row>
    <row r="60" spans="2:11" s="15" customFormat="1">
      <c r="D60" s="130"/>
    </row>
    <row r="61" spans="2:11" s="15" customFormat="1">
      <c r="D61" s="130"/>
    </row>
    <row r="62" spans="2:11" s="15" customFormat="1" ht="13.8">
      <c r="C62" s="147" t="s">
        <v>162</v>
      </c>
      <c r="D62" s="137"/>
      <c r="E62" s="138"/>
      <c r="F62" s="138"/>
      <c r="G62" s="138"/>
      <c r="H62" s="138"/>
      <c r="I62" s="138"/>
      <c r="J62" s="138"/>
    </row>
    <row r="63" spans="2:11" s="15" customFormat="1"/>
    <row r="64" spans="2:11" s="15" customFormat="1">
      <c r="B64" s="15" t="s">
        <v>60</v>
      </c>
      <c r="C64" s="169" t="s">
        <v>131</v>
      </c>
      <c r="D64" s="196">
        <f>IRR(D68:I68)</f>
        <v>7.3243769945637638E-2</v>
      </c>
      <c r="E64" s="133"/>
      <c r="K64" s="136"/>
    </row>
    <row r="65" spans="2:11" s="15" customFormat="1">
      <c r="D65" s="128"/>
    </row>
    <row r="66" spans="2:11" s="15" customFormat="1">
      <c r="C66" s="20"/>
      <c r="D66" s="22">
        <v>2020</v>
      </c>
      <c r="E66" s="22">
        <f>+D66+1</f>
        <v>2021</v>
      </c>
      <c r="F66" s="22">
        <f t="shared" ref="F66:I66" si="9">+E66+1</f>
        <v>2022</v>
      </c>
      <c r="G66" s="22">
        <f t="shared" si="9"/>
        <v>2023</v>
      </c>
      <c r="H66" s="22">
        <f t="shared" si="9"/>
        <v>2024</v>
      </c>
      <c r="I66" s="22">
        <f t="shared" si="9"/>
        <v>2025</v>
      </c>
      <c r="J66" s="22">
        <f>+I66</f>
        <v>2025</v>
      </c>
    </row>
    <row r="67" spans="2:11" s="15" customFormat="1" ht="13.8">
      <c r="C67" s="15" t="s">
        <v>146</v>
      </c>
      <c r="D67" s="15">
        <v>0</v>
      </c>
      <c r="E67" s="15">
        <v>1</v>
      </c>
      <c r="F67" s="15">
        <f>+E67+1</f>
        <v>2</v>
      </c>
      <c r="G67" s="15">
        <f>+F67+1</f>
        <v>3</v>
      </c>
      <c r="H67" s="15">
        <f>+G67+1</f>
        <v>4</v>
      </c>
      <c r="I67" s="15">
        <f>+H67+1</f>
        <v>5</v>
      </c>
    </row>
    <row r="68" spans="2:11" s="15" customFormat="1" ht="13.8">
      <c r="C68" s="15" t="s">
        <v>163</v>
      </c>
      <c r="D68" s="129">
        <f>+D49</f>
        <v>-28.63</v>
      </c>
      <c r="E68" s="129">
        <f>+E50</f>
        <v>2.0969691335436114</v>
      </c>
      <c r="F68" s="129">
        <f>+F50</f>
        <v>2.0969691335436114</v>
      </c>
      <c r="G68" s="129">
        <f>+G50</f>
        <v>2.0969691335436114</v>
      </c>
      <c r="H68" s="129">
        <f>+H50</f>
        <v>2.0969691335436114</v>
      </c>
      <c r="I68" s="129">
        <f>+I50</f>
        <v>30.726969133543612</v>
      </c>
    </row>
    <row r="69" spans="2:11" s="15" customFormat="1">
      <c r="D69" s="128"/>
    </row>
    <row r="70" spans="2:11" s="15" customFormat="1">
      <c r="D70" s="128"/>
    </row>
    <row r="71" spans="2:11" s="15" customFormat="1" ht="13.8">
      <c r="C71" s="147" t="s">
        <v>164</v>
      </c>
      <c r="D71" s="139">
        <f>K64-D44</f>
        <v>-0.1</v>
      </c>
    </row>
    <row r="72" spans="2:11" s="15" customFormat="1">
      <c r="J72" s="15">
        <f>XNPV(D75,D78:K78,D77:K77)</f>
        <v>-1.2708691778937009</v>
      </c>
    </row>
    <row r="73" spans="2:11" s="15" customFormat="1"/>
    <row r="74" spans="2:11" s="15" customFormat="1">
      <c r="B74" s="15" t="s">
        <v>60</v>
      </c>
      <c r="C74" s="169" t="s">
        <v>135</v>
      </c>
      <c r="D74" s="189">
        <f>XNPV(D75,D78:K78,D77:K77)</f>
        <v>-1.2708691778937009</v>
      </c>
    </row>
    <row r="75" spans="2:11" s="15" customFormat="1" ht="13.8">
      <c r="C75" s="15" t="s">
        <v>145</v>
      </c>
      <c r="D75" s="168">
        <v>0.1</v>
      </c>
    </row>
    <row r="76" spans="2:11" s="15" customFormat="1"/>
    <row r="77" spans="2:11" s="15" customFormat="1" ht="13.8">
      <c r="C77" s="170" t="s">
        <v>165</v>
      </c>
      <c r="D77" s="171">
        <v>43816</v>
      </c>
      <c r="E77" s="171">
        <v>43920</v>
      </c>
      <c r="F77" s="171">
        <f>+E77+365</f>
        <v>44285</v>
      </c>
      <c r="G77" s="171">
        <f t="shared" ref="G77:J77" si="10">+F77+365</f>
        <v>44650</v>
      </c>
      <c r="H77" s="171">
        <f t="shared" si="10"/>
        <v>45015</v>
      </c>
      <c r="I77" s="171">
        <f t="shared" si="10"/>
        <v>45380</v>
      </c>
      <c r="J77" s="171">
        <f t="shared" si="10"/>
        <v>45745</v>
      </c>
      <c r="K77" s="171">
        <f>+J77+90</f>
        <v>45835</v>
      </c>
    </row>
    <row r="78" spans="2:11" s="15" customFormat="1" ht="13.8">
      <c r="C78" s="15" t="s">
        <v>163</v>
      </c>
      <c r="D78" s="129">
        <f>-D5</f>
        <v>-28.63</v>
      </c>
      <c r="E78" s="129">
        <f>+$D$6*(1+$D$7)</f>
        <v>2.1409656572256703</v>
      </c>
      <c r="F78" s="129">
        <f>E78*(1+$D$7)</f>
        <v>2.1858852722709461</v>
      </c>
      <c r="G78" s="129">
        <f t="shared" ref="G78:J78" si="11">F78*(1+$D$7)</f>
        <v>2.231747346065621</v>
      </c>
      <c r="H78" s="129">
        <f t="shared" si="11"/>
        <v>2.2785716523431394</v>
      </c>
      <c r="I78" s="129">
        <f t="shared" si="11"/>
        <v>2.3263783797097815</v>
      </c>
      <c r="J78" s="129">
        <f t="shared" si="11"/>
        <v>2.3751881403491137</v>
      </c>
      <c r="K78" s="129">
        <f>+J22</f>
        <v>28.63</v>
      </c>
    </row>
    <row r="79" spans="2:11" s="15" customFormat="1"/>
    <row r="80" spans="2:11" s="15" customFormat="1" ht="13.8">
      <c r="B80" s="15" t="s">
        <v>60</v>
      </c>
      <c r="C80" s="169" t="s">
        <v>187</v>
      </c>
      <c r="D80" s="189">
        <f>XNPV(D81,D84:I84,D83:I83)</f>
        <v>-2.4212175179800468</v>
      </c>
      <c r="F80" s="127" t="s">
        <v>188</v>
      </c>
      <c r="H80" s="189">
        <f>+D53</f>
        <v>-2.4226354992124506</v>
      </c>
    </row>
    <row r="81" spans="2:14" s="15" customFormat="1" ht="13.8">
      <c r="C81" s="15" t="s">
        <v>145</v>
      </c>
      <c r="D81" s="168">
        <v>0.1</v>
      </c>
    </row>
    <row r="82" spans="2:14" s="15" customFormat="1"/>
    <row r="83" spans="2:14" s="15" customFormat="1" ht="13.8">
      <c r="C83" s="170" t="s">
        <v>165</v>
      </c>
      <c r="D83" s="171">
        <v>44197</v>
      </c>
      <c r="E83" s="171">
        <v>44561</v>
      </c>
      <c r="F83" s="171">
        <f>+E83+365</f>
        <v>44926</v>
      </c>
      <c r="G83" s="171">
        <f t="shared" ref="G83" si="12">+F83+365</f>
        <v>45291</v>
      </c>
      <c r="H83" s="171">
        <v>45657</v>
      </c>
      <c r="I83" s="171">
        <f t="shared" ref="I83" si="13">+H83+365</f>
        <v>46022</v>
      </c>
    </row>
    <row r="84" spans="2:14" s="15" customFormat="1" ht="13.8">
      <c r="C84" s="15" t="s">
        <v>163</v>
      </c>
      <c r="D84" s="129">
        <f>+D78</f>
        <v>-28.63</v>
      </c>
      <c r="E84" s="129">
        <f>+E59</f>
        <v>2.1409656572256703</v>
      </c>
      <c r="F84" s="129">
        <f t="shared" ref="F84:I84" si="14">+F59</f>
        <v>2.1858852722709461</v>
      </c>
      <c r="G84" s="129">
        <f t="shared" si="14"/>
        <v>2.231747346065621</v>
      </c>
      <c r="H84" s="129">
        <f t="shared" si="14"/>
        <v>2.2785716523431394</v>
      </c>
      <c r="I84" s="129">
        <f t="shared" si="14"/>
        <v>30.956378379709779</v>
      </c>
      <c r="K84" s="129"/>
    </row>
    <row r="85" spans="2:14" s="15" customFormat="1"/>
    <row r="86" spans="2:14" s="15" customFormat="1">
      <c r="B86" s="15" t="s">
        <v>60</v>
      </c>
      <c r="C86" s="169" t="s">
        <v>136</v>
      </c>
      <c r="D86" s="196">
        <f>XIRR(D89:K89,D88:K88)</f>
        <v>8.8744756579399106E-2</v>
      </c>
    </row>
    <row r="87" spans="2:14" s="15" customFormat="1">
      <c r="D87" s="136"/>
    </row>
    <row r="88" spans="2:14" s="15" customFormat="1" ht="13.8">
      <c r="C88" s="170" t="s">
        <v>165</v>
      </c>
      <c r="D88" s="171">
        <f t="shared" ref="D88:K89" si="15">+D77</f>
        <v>43816</v>
      </c>
      <c r="E88" s="171">
        <f t="shared" si="15"/>
        <v>43920</v>
      </c>
      <c r="F88" s="171">
        <f t="shared" si="15"/>
        <v>44285</v>
      </c>
      <c r="G88" s="171">
        <f t="shared" si="15"/>
        <v>44650</v>
      </c>
      <c r="H88" s="171">
        <f t="shared" si="15"/>
        <v>45015</v>
      </c>
      <c r="I88" s="171">
        <f t="shared" si="15"/>
        <v>45380</v>
      </c>
      <c r="J88" s="171">
        <f t="shared" si="15"/>
        <v>45745</v>
      </c>
      <c r="K88" s="171">
        <f t="shared" si="15"/>
        <v>45835</v>
      </c>
    </row>
    <row r="89" spans="2:14" s="15" customFormat="1" ht="13.8">
      <c r="C89" s="15" t="s">
        <v>163</v>
      </c>
      <c r="D89" s="129">
        <f t="shared" si="15"/>
        <v>-28.63</v>
      </c>
      <c r="E89" s="129">
        <f t="shared" si="15"/>
        <v>2.1409656572256703</v>
      </c>
      <c r="F89" s="129">
        <f t="shared" si="15"/>
        <v>2.1858852722709461</v>
      </c>
      <c r="G89" s="129">
        <f t="shared" si="15"/>
        <v>2.231747346065621</v>
      </c>
      <c r="H89" s="129">
        <f t="shared" si="15"/>
        <v>2.2785716523431394</v>
      </c>
      <c r="I89" s="129">
        <f t="shared" si="15"/>
        <v>2.3263783797097815</v>
      </c>
      <c r="J89" s="129">
        <f t="shared" si="15"/>
        <v>2.3751881403491137</v>
      </c>
      <c r="K89" s="129">
        <f t="shared" si="15"/>
        <v>28.63</v>
      </c>
    </row>
    <row r="90" spans="2:14" s="15" customFormat="1"/>
    <row r="91" spans="2:14" s="15" customFormat="1"/>
    <row r="92" spans="2:14" s="15" customFormat="1" ht="13.8">
      <c r="C92" s="147" t="s">
        <v>166</v>
      </c>
      <c r="D92" s="147"/>
    </row>
    <row r="93" spans="2:14" s="15" customFormat="1"/>
    <row r="94" spans="2:14">
      <c r="B94" s="17" t="s">
        <v>167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2:14" ht="4.95" customHeight="1">
      <c r="B95" s="19"/>
    </row>
    <row r="96" spans="2:14">
      <c r="C96" s="20"/>
      <c r="D96" s="21">
        <f ca="1">YEAR(Cover!F6)-1</f>
        <v>2024</v>
      </c>
      <c r="E96" s="22">
        <f t="shared" ref="E96:N96" ca="1" si="16">+D96+1</f>
        <v>2025</v>
      </c>
      <c r="F96" s="22">
        <f t="shared" ca="1" si="16"/>
        <v>2026</v>
      </c>
      <c r="G96" s="21">
        <f t="shared" ca="1" si="16"/>
        <v>2027</v>
      </c>
      <c r="H96" s="22">
        <f t="shared" ca="1" si="16"/>
        <v>2028</v>
      </c>
      <c r="I96" s="22">
        <f t="shared" ca="1" si="16"/>
        <v>2029</v>
      </c>
      <c r="J96" s="22">
        <f t="shared" ca="1" si="16"/>
        <v>2030</v>
      </c>
      <c r="K96" s="22">
        <f t="shared" ca="1" si="16"/>
        <v>2031</v>
      </c>
      <c r="L96" s="22">
        <f t="shared" ca="1" si="16"/>
        <v>2032</v>
      </c>
      <c r="M96" s="22">
        <f t="shared" ca="1" si="16"/>
        <v>2033</v>
      </c>
      <c r="N96" s="22">
        <f t="shared" ca="1" si="16"/>
        <v>2034</v>
      </c>
    </row>
    <row r="97" spans="3:14">
      <c r="C97" s="11" t="s">
        <v>8</v>
      </c>
      <c r="D97" s="23" t="s">
        <v>9</v>
      </c>
      <c r="E97" s="24">
        <v>1</v>
      </c>
      <c r="F97" s="24">
        <f>E97+1</f>
        <v>2</v>
      </c>
      <c r="G97" s="25">
        <f t="shared" ref="G97:N97" si="17">F97+1</f>
        <v>3</v>
      </c>
      <c r="H97" s="24">
        <f t="shared" si="17"/>
        <v>4</v>
      </c>
      <c r="I97" s="24">
        <f t="shared" si="17"/>
        <v>5</v>
      </c>
      <c r="J97" s="24">
        <f t="shared" si="17"/>
        <v>6</v>
      </c>
      <c r="K97" s="24">
        <f t="shared" si="17"/>
        <v>7</v>
      </c>
      <c r="L97" s="24">
        <f t="shared" si="17"/>
        <v>8</v>
      </c>
      <c r="M97" s="24">
        <f t="shared" si="17"/>
        <v>9</v>
      </c>
      <c r="N97" s="24">
        <f t="shared" si="17"/>
        <v>10</v>
      </c>
    </row>
    <row r="98" spans="3:14">
      <c r="C98" s="178" t="s">
        <v>141</v>
      </c>
      <c r="D98" s="197">
        <f>+D6</f>
        <v>2.0969691335436114</v>
      </c>
      <c r="E98" s="62">
        <f>D98*(1+E99)</f>
        <v>2.1409656572256703</v>
      </c>
      <c r="F98" s="62">
        <f>E98*(1+F99)</f>
        <v>2.1858852722709461</v>
      </c>
      <c r="G98" s="63">
        <f>F98*(1+G99)</f>
        <v>2.231747346065621</v>
      </c>
      <c r="H98" s="62">
        <f>G98*(1+H99)</f>
        <v>2.2763822929869333</v>
      </c>
      <c r="I98" s="62">
        <f t="shared" ref="I98:N98" si="18">H98*(1+I99)</f>
        <v>2.3219099388466722</v>
      </c>
      <c r="J98" s="62">
        <f t="shared" si="18"/>
        <v>2.3683481376236055</v>
      </c>
      <c r="K98" s="62">
        <f t="shared" si="18"/>
        <v>2.4157151003760777</v>
      </c>
      <c r="L98" s="62">
        <f t="shared" si="18"/>
        <v>2.4640294023835994</v>
      </c>
      <c r="M98" s="62">
        <f t="shared" si="18"/>
        <v>2.5133099904312712</v>
      </c>
      <c r="N98" s="62">
        <f t="shared" si="18"/>
        <v>2.5635761902398966</v>
      </c>
    </row>
    <row r="99" spans="3:14">
      <c r="C99" s="11" t="s">
        <v>10</v>
      </c>
      <c r="D99" s="26"/>
      <c r="E99" s="156">
        <f>+$D$7</f>
        <v>2.098100681516013E-2</v>
      </c>
      <c r="F99" s="157">
        <f>+E99</f>
        <v>2.098100681516013E-2</v>
      </c>
      <c r="G99" s="158">
        <f>+F99</f>
        <v>2.098100681516013E-2</v>
      </c>
      <c r="H99" s="159">
        <f t="shared" ref="H99:N99" si="19">$N$103</f>
        <v>0.02</v>
      </c>
      <c r="I99" s="159">
        <f t="shared" si="19"/>
        <v>0.02</v>
      </c>
      <c r="J99" s="159">
        <f t="shared" si="19"/>
        <v>0.02</v>
      </c>
      <c r="K99" s="159">
        <f t="shared" si="19"/>
        <v>0.02</v>
      </c>
      <c r="L99" s="159">
        <f t="shared" si="19"/>
        <v>0.02</v>
      </c>
      <c r="M99" s="159">
        <f t="shared" si="19"/>
        <v>0.02</v>
      </c>
      <c r="N99" s="159">
        <f t="shared" si="19"/>
        <v>0.02</v>
      </c>
    </row>
    <row r="100" spans="3:14">
      <c r="C100" s="19" t="s">
        <v>168</v>
      </c>
      <c r="D100" s="115"/>
      <c r="E100" s="116">
        <f t="shared" ref="E100:N100" si="20">+E98/$D$5</f>
        <v>7.4780497982035288E-2</v>
      </c>
      <c r="F100" s="116">
        <f t="shared" si="20"/>
        <v>7.6349468119837449E-2</v>
      </c>
      <c r="G100" s="121">
        <f t="shared" si="20"/>
        <v>7.7951356830793614E-2</v>
      </c>
      <c r="H100" s="116">
        <f t="shared" si="20"/>
        <v>7.9510383967409476E-2</v>
      </c>
      <c r="I100" s="116">
        <f t="shared" si="20"/>
        <v>8.1100591646757675E-2</v>
      </c>
      <c r="J100" s="116">
        <f t="shared" si="20"/>
        <v>8.2722603479692819E-2</v>
      </c>
      <c r="K100" s="116">
        <f t="shared" si="20"/>
        <v>8.4377055549286692E-2</v>
      </c>
      <c r="L100" s="116">
        <f t="shared" si="20"/>
        <v>8.6064596660272427E-2</v>
      </c>
      <c r="M100" s="116">
        <f t="shared" si="20"/>
        <v>8.778588859347787E-2</v>
      </c>
      <c r="N100" s="116">
        <f t="shared" si="20"/>
        <v>8.9541606365347415E-2</v>
      </c>
    </row>
    <row r="101" spans="3:14">
      <c r="C101" s="11" t="s">
        <v>169</v>
      </c>
      <c r="D101" s="109"/>
      <c r="E101" s="109">
        <f t="shared" ref="E101:N101" si="21">+$J$6*E98</f>
        <v>15254.477222825308</v>
      </c>
      <c r="F101" s="109">
        <f t="shared" si="21"/>
        <v>15574.531513399112</v>
      </c>
      <c r="G101" s="109">
        <f t="shared" si="21"/>
        <v>15901.300865224664</v>
      </c>
      <c r="H101" s="109">
        <f t="shared" si="21"/>
        <v>16219.326882529158</v>
      </c>
      <c r="I101" s="109">
        <f t="shared" si="21"/>
        <v>16543.713420179742</v>
      </c>
      <c r="J101" s="109">
        <f t="shared" si="21"/>
        <v>16874.587688583335</v>
      </c>
      <c r="K101" s="109">
        <f t="shared" si="21"/>
        <v>17212.079442355003</v>
      </c>
      <c r="L101" s="109">
        <f t="shared" si="21"/>
        <v>17556.321031202104</v>
      </c>
      <c r="M101" s="109">
        <f t="shared" si="21"/>
        <v>17907.447451826145</v>
      </c>
      <c r="N101" s="109">
        <f t="shared" si="21"/>
        <v>18265.596400862669</v>
      </c>
    </row>
    <row r="102" spans="3:14" ht="7.95" customHeight="1"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</row>
    <row r="103" spans="3:14">
      <c r="E103" s="28"/>
      <c r="F103" s="28"/>
      <c r="G103" s="28"/>
      <c r="H103" s="24"/>
      <c r="I103" s="24"/>
      <c r="J103" s="24"/>
      <c r="M103" s="179" t="s">
        <v>170</v>
      </c>
      <c r="N103" s="35">
        <v>0.02</v>
      </c>
    </row>
    <row r="104" spans="3:14">
      <c r="E104" s="28"/>
      <c r="F104" s="28"/>
      <c r="G104" s="28"/>
      <c r="H104" s="24"/>
      <c r="I104" s="24"/>
      <c r="J104" s="24"/>
      <c r="M104" s="29" t="s">
        <v>128</v>
      </c>
      <c r="N104" s="27">
        <f>N98/D98-1</f>
        <v>0.22251498566780459</v>
      </c>
    </row>
    <row r="105" spans="3:14" ht="7.95" customHeight="1">
      <c r="E105" s="28"/>
      <c r="F105" s="28"/>
      <c r="G105" s="28"/>
      <c r="H105" s="24"/>
      <c r="I105" s="24"/>
      <c r="J105" s="24"/>
      <c r="M105" s="29"/>
      <c r="N105" s="27"/>
    </row>
    <row r="106" spans="3:14">
      <c r="C106" s="20"/>
      <c r="D106" s="21">
        <f ca="1">+D96</f>
        <v>2024</v>
      </c>
      <c r="E106" s="22">
        <f t="shared" ref="E106:N106" ca="1" si="22">+D106+1</f>
        <v>2025</v>
      </c>
      <c r="F106" s="22">
        <f t="shared" ca="1" si="22"/>
        <v>2026</v>
      </c>
      <c r="G106" s="22">
        <f t="shared" ca="1" si="22"/>
        <v>2027</v>
      </c>
      <c r="H106" s="22">
        <f t="shared" ca="1" si="22"/>
        <v>2028</v>
      </c>
      <c r="I106" s="22">
        <f t="shared" ca="1" si="22"/>
        <v>2029</v>
      </c>
      <c r="J106" s="22">
        <f t="shared" ca="1" si="22"/>
        <v>2030</v>
      </c>
      <c r="K106" s="22">
        <f t="shared" ca="1" si="22"/>
        <v>2031</v>
      </c>
      <c r="L106" s="22">
        <f t="shared" ca="1" si="22"/>
        <v>2032</v>
      </c>
      <c r="M106" s="22">
        <f t="shared" ca="1" si="22"/>
        <v>2033</v>
      </c>
      <c r="N106" s="22">
        <f t="shared" ca="1" si="22"/>
        <v>2034</v>
      </c>
    </row>
    <row r="107" spans="3:14">
      <c r="C107" s="11" t="s">
        <v>171</v>
      </c>
      <c r="D107" s="167">
        <f>+'Data_ AT&amp;T 데이터'!I33</f>
        <v>179447</v>
      </c>
      <c r="E107" s="109">
        <f>+D107+E108</f>
        <v>167416.33333333334</v>
      </c>
      <c r="F107" s="109">
        <f t="shared" ref="F107:N107" si="23">+E107+F108</f>
        <v>155385.66666666669</v>
      </c>
      <c r="G107" s="109">
        <f t="shared" si="23"/>
        <v>143355.00000000003</v>
      </c>
      <c r="H107" s="109">
        <f t="shared" si="23"/>
        <v>131324.33333333337</v>
      </c>
      <c r="I107" s="109">
        <f t="shared" si="23"/>
        <v>119293.6666666667</v>
      </c>
      <c r="J107" s="109">
        <f t="shared" si="23"/>
        <v>107263.00000000003</v>
      </c>
      <c r="K107" s="109">
        <f t="shared" si="23"/>
        <v>95232.333333333358</v>
      </c>
      <c r="L107" s="109">
        <f t="shared" si="23"/>
        <v>83201.666666666686</v>
      </c>
      <c r="M107" s="109">
        <f t="shared" si="23"/>
        <v>71171.000000000015</v>
      </c>
      <c r="N107" s="109">
        <f t="shared" si="23"/>
        <v>59140.33333333335</v>
      </c>
    </row>
    <row r="108" spans="3:14">
      <c r="C108" s="11" t="s">
        <v>172</v>
      </c>
      <c r="D108" s="163">
        <v>-12030.666666666666</v>
      </c>
      <c r="E108" s="155">
        <f>+D108</f>
        <v>-12030.666666666666</v>
      </c>
      <c r="F108" s="155">
        <f t="shared" ref="F108:N108" si="24">+E108</f>
        <v>-12030.666666666666</v>
      </c>
      <c r="G108" s="155">
        <f t="shared" si="24"/>
        <v>-12030.666666666666</v>
      </c>
      <c r="H108" s="155">
        <f t="shared" si="24"/>
        <v>-12030.666666666666</v>
      </c>
      <c r="I108" s="155">
        <f t="shared" si="24"/>
        <v>-12030.666666666666</v>
      </c>
      <c r="J108" s="155">
        <f t="shared" si="24"/>
        <v>-12030.666666666666</v>
      </c>
      <c r="K108" s="155">
        <f t="shared" si="24"/>
        <v>-12030.666666666666</v>
      </c>
      <c r="L108" s="155">
        <f t="shared" si="24"/>
        <v>-12030.666666666666</v>
      </c>
      <c r="M108" s="155">
        <f t="shared" si="24"/>
        <v>-12030.666666666666</v>
      </c>
      <c r="N108" s="155">
        <f t="shared" si="24"/>
        <v>-12030.666666666666</v>
      </c>
    </row>
    <row r="109" spans="3:14"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</row>
    <row r="110" spans="3:14">
      <c r="C110" s="111" t="str">
        <f>+현황판!C20</f>
        <v>EV/FCF:</v>
      </c>
      <c r="D110" s="108">
        <f>+D112/D111</f>
        <v>13.792758335008376</v>
      </c>
      <c r="E110" s="109"/>
      <c r="F110" s="109"/>
      <c r="G110" s="109"/>
      <c r="H110" s="109"/>
      <c r="I110" s="109"/>
      <c r="J110" s="109"/>
      <c r="K110" s="109"/>
      <c r="L110" s="109"/>
      <c r="M110" s="180" t="s">
        <v>173</v>
      </c>
      <c r="N110" s="153">
        <f>+현황판!E20</f>
        <v>15.395394684236154</v>
      </c>
    </row>
    <row r="111" spans="3:14">
      <c r="C111" s="178" t="s">
        <v>174</v>
      </c>
      <c r="D111" s="165">
        <v>29253</v>
      </c>
      <c r="E111" s="112">
        <f t="shared" ref="E111:N111" si="25">+D111*(1+E99)</f>
        <v>29866.757392363881</v>
      </c>
      <c r="F111" s="112">
        <f t="shared" si="25"/>
        <v>30493.392032759803</v>
      </c>
      <c r="G111" s="112">
        <f t="shared" si="25"/>
        <v>31133.174098816486</v>
      </c>
      <c r="H111" s="112">
        <f t="shared" si="25"/>
        <v>31755.837580792817</v>
      </c>
      <c r="I111" s="112">
        <f t="shared" si="25"/>
        <v>32390.954332408674</v>
      </c>
      <c r="J111" s="112">
        <f t="shared" si="25"/>
        <v>33038.773419056844</v>
      </c>
      <c r="K111" s="112">
        <f t="shared" si="25"/>
        <v>33699.548887437981</v>
      </c>
      <c r="L111" s="112">
        <f t="shared" si="25"/>
        <v>34373.539865186744</v>
      </c>
      <c r="M111" s="112">
        <f t="shared" si="25"/>
        <v>35061.01066249048</v>
      </c>
      <c r="N111" s="112">
        <f t="shared" si="25"/>
        <v>35762.230875740293</v>
      </c>
    </row>
    <row r="112" spans="3:14">
      <c r="C112" s="11" t="s">
        <v>175</v>
      </c>
      <c r="D112" s="160">
        <v>403479.55957400001</v>
      </c>
      <c r="E112" s="109"/>
      <c r="F112" s="109"/>
      <c r="G112" s="109"/>
      <c r="H112" s="109"/>
      <c r="I112" s="109"/>
      <c r="J112" s="109"/>
      <c r="K112" s="109"/>
      <c r="L112" s="109"/>
      <c r="M112" s="109"/>
      <c r="N112" s="109">
        <f>+N111*N110</f>
        <v>550573.65912079811</v>
      </c>
    </row>
    <row r="113" spans="2:14" ht="7.95" customHeight="1"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</row>
    <row r="114" spans="2:14">
      <c r="C114" s="11" t="s">
        <v>126</v>
      </c>
      <c r="D114" s="109">
        <f>+D115-J5</f>
        <v>20042.513579790015</v>
      </c>
      <c r="E114" s="109"/>
      <c r="F114" s="109"/>
      <c r="G114" s="109"/>
      <c r="H114" s="109"/>
      <c r="I114" s="109"/>
      <c r="J114" s="109"/>
      <c r="K114" s="109"/>
      <c r="L114" s="109"/>
      <c r="M114" s="109"/>
      <c r="N114" s="155">
        <f>+D114</f>
        <v>20042.513579790015</v>
      </c>
    </row>
    <row r="115" spans="2:14">
      <c r="C115" s="11" t="s">
        <v>176</v>
      </c>
      <c r="D115" s="109">
        <f>+D112-D107</f>
        <v>224032.55957400001</v>
      </c>
      <c r="E115" s="109"/>
      <c r="F115" s="109"/>
      <c r="G115" s="109"/>
      <c r="H115" s="109"/>
      <c r="I115" s="109"/>
      <c r="J115" s="109"/>
      <c r="K115" s="109"/>
      <c r="L115" s="109"/>
      <c r="M115" s="109"/>
      <c r="N115" s="109">
        <f>+N112-N107</f>
        <v>491433.32578746474</v>
      </c>
    </row>
    <row r="116" spans="2:14">
      <c r="C116" s="11" t="s">
        <v>177</v>
      </c>
      <c r="D116" s="118">
        <f>(D115-D114)/$J$6</f>
        <v>28.63</v>
      </c>
      <c r="E116" s="109"/>
      <c r="F116" s="109"/>
      <c r="G116" s="109"/>
      <c r="H116" s="109"/>
      <c r="I116" s="109"/>
      <c r="J116" s="109"/>
      <c r="K116" s="109"/>
      <c r="L116" s="109"/>
      <c r="M116" s="109"/>
      <c r="N116" s="118">
        <f>(N115-N114)/$J$6</f>
        <v>66.159693664115309</v>
      </c>
    </row>
    <row r="117" spans="2:14">
      <c r="D117" s="109"/>
      <c r="E117" s="181"/>
      <c r="F117" s="109"/>
      <c r="G117" s="109"/>
      <c r="H117" s="109"/>
      <c r="I117" s="109"/>
      <c r="J117" s="109"/>
      <c r="K117" s="109"/>
      <c r="L117" s="109"/>
      <c r="M117" s="109"/>
      <c r="N117" s="109"/>
    </row>
    <row r="118" spans="2:14">
      <c r="D118" s="109"/>
      <c r="E118" s="181"/>
      <c r="F118" s="109"/>
      <c r="G118" s="109"/>
      <c r="H118" s="109"/>
      <c r="I118" s="109"/>
      <c r="J118" s="109"/>
      <c r="K118" s="109"/>
      <c r="L118" s="109"/>
      <c r="M118" s="109"/>
      <c r="N118" s="109"/>
    </row>
    <row r="119" spans="2:14">
      <c r="C119" s="19" t="s">
        <v>127</v>
      </c>
      <c r="D119" s="107">
        <f>+N116/D116-1</f>
        <v>1.3108520315792984</v>
      </c>
      <c r="E119" s="114">
        <f>+(N116/D116)^(0.1)-1</f>
        <v>8.7369666755240161E-2</v>
      </c>
      <c r="F119" s="55" t="s">
        <v>178</v>
      </c>
      <c r="G119" s="109"/>
      <c r="H119" s="109"/>
      <c r="I119" s="109"/>
      <c r="J119" s="109"/>
      <c r="K119" s="140">
        <f>+D119/D121</f>
        <v>0.61512427846977769</v>
      </c>
      <c r="L119" s="109"/>
      <c r="M119" s="109"/>
      <c r="N119" s="109"/>
    </row>
    <row r="120" spans="2:14">
      <c r="C120" s="122" t="s">
        <v>179</v>
      </c>
      <c r="D120" s="123">
        <f>+N98/D5</f>
        <v>8.9541606365347415E-2</v>
      </c>
      <c r="E120" s="124">
        <f>+SUM(E100:N100)</f>
        <v>0.82018404919491084</v>
      </c>
      <c r="F120" s="182" t="s">
        <v>180</v>
      </c>
      <c r="G120" s="112"/>
      <c r="H120" s="112"/>
      <c r="I120" s="109"/>
      <c r="J120" s="109"/>
      <c r="K120" s="140">
        <f>+E120/D121</f>
        <v>0.38487572153022226</v>
      </c>
      <c r="L120" s="109"/>
      <c r="M120" s="109"/>
      <c r="N120" s="109"/>
    </row>
    <row r="121" spans="2:14">
      <c r="C121" s="19" t="s">
        <v>129</v>
      </c>
      <c r="D121" s="114">
        <f>+D119+E120</f>
        <v>2.1310360807742095</v>
      </c>
      <c r="E121" s="114">
        <f>+(1+D121)^(0.1)-1</f>
        <v>0.12090500208916644</v>
      </c>
      <c r="F121" s="55" t="s">
        <v>178</v>
      </c>
      <c r="G121" s="28"/>
      <c r="H121" s="24"/>
      <c r="I121" s="24"/>
      <c r="J121" s="24"/>
      <c r="K121" s="29"/>
      <c r="L121" s="27"/>
      <c r="M121" s="24"/>
      <c r="N121" s="24"/>
    </row>
    <row r="122" spans="2:14">
      <c r="E122" s="28"/>
      <c r="F122" s="28"/>
      <c r="G122" s="28"/>
      <c r="H122" s="24"/>
      <c r="I122" s="24"/>
      <c r="J122" s="24"/>
      <c r="K122" s="29"/>
      <c r="L122" s="27"/>
      <c r="M122" s="24"/>
      <c r="N122" s="24"/>
    </row>
    <row r="123" spans="2:14">
      <c r="E123" s="28"/>
      <c r="F123" s="28"/>
      <c r="G123" s="28"/>
      <c r="H123" s="24"/>
      <c r="I123" s="24"/>
      <c r="J123" s="24"/>
      <c r="K123" s="29"/>
      <c r="L123" s="27"/>
      <c r="M123" s="24"/>
      <c r="N123" s="24"/>
    </row>
    <row r="124" spans="2:14">
      <c r="B124" s="184" t="s">
        <v>181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</row>
    <row r="125" spans="2:14" ht="4.95" customHeight="1">
      <c r="B125" s="19"/>
    </row>
    <row r="126" spans="2:14">
      <c r="C126" s="20"/>
      <c r="D126" s="21">
        <f ca="1">+$D$96</f>
        <v>2024</v>
      </c>
      <c r="E126" s="22">
        <f t="shared" ref="E126:N126" ca="1" si="26">+D126+1</f>
        <v>2025</v>
      </c>
      <c r="F126" s="22">
        <f t="shared" ca="1" si="26"/>
        <v>2026</v>
      </c>
      <c r="G126" s="21">
        <f t="shared" ca="1" si="26"/>
        <v>2027</v>
      </c>
      <c r="H126" s="22">
        <f t="shared" ca="1" si="26"/>
        <v>2028</v>
      </c>
      <c r="I126" s="22">
        <f t="shared" ca="1" si="26"/>
        <v>2029</v>
      </c>
      <c r="J126" s="22">
        <f t="shared" ca="1" si="26"/>
        <v>2030</v>
      </c>
      <c r="K126" s="22">
        <f t="shared" ca="1" si="26"/>
        <v>2031</v>
      </c>
      <c r="L126" s="22">
        <f t="shared" ca="1" si="26"/>
        <v>2032</v>
      </c>
      <c r="M126" s="22">
        <f t="shared" ca="1" si="26"/>
        <v>2033</v>
      </c>
      <c r="N126" s="22">
        <f t="shared" ca="1" si="26"/>
        <v>2034</v>
      </c>
    </row>
    <row r="127" spans="2:14">
      <c r="C127" s="11" t="s">
        <v>8</v>
      </c>
      <c r="D127" s="23" t="s">
        <v>9</v>
      </c>
      <c r="E127" s="24">
        <v>1</v>
      </c>
      <c r="F127" s="24">
        <f>E127+1</f>
        <v>2</v>
      </c>
      <c r="G127" s="25">
        <f t="shared" ref="G127:N127" si="27">F127+1</f>
        <v>3</v>
      </c>
      <c r="H127" s="24">
        <f t="shared" si="27"/>
        <v>4</v>
      </c>
      <c r="I127" s="24">
        <f t="shared" si="27"/>
        <v>5</v>
      </c>
      <c r="J127" s="24">
        <f t="shared" si="27"/>
        <v>6</v>
      </c>
      <c r="K127" s="24">
        <f t="shared" si="27"/>
        <v>7</v>
      </c>
      <c r="L127" s="24">
        <f t="shared" si="27"/>
        <v>8</v>
      </c>
      <c r="M127" s="24">
        <f t="shared" si="27"/>
        <v>9</v>
      </c>
      <c r="N127" s="24">
        <f t="shared" si="27"/>
        <v>10</v>
      </c>
    </row>
    <row r="128" spans="2:14">
      <c r="C128" s="178" t="s">
        <v>141</v>
      </c>
      <c r="D128" s="119">
        <f>+$D$6</f>
        <v>2.0969691335436114</v>
      </c>
      <c r="E128" s="62">
        <f>D128*(1+E129)</f>
        <v>1.0484845667718057</v>
      </c>
      <c r="F128" s="62">
        <f>E128*(1+F129)</f>
        <v>1.0799391037749599</v>
      </c>
      <c r="G128" s="63">
        <f>F128*(1+G129)</f>
        <v>1.1123372768882087</v>
      </c>
      <c r="H128" s="62">
        <f>G128*(1+H129)</f>
        <v>1.2458177501147938</v>
      </c>
      <c r="I128" s="62">
        <f t="shared" ref="I128:N128" si="28">H128*(1+I129)</f>
        <v>1.3953158801285692</v>
      </c>
      <c r="J128" s="62">
        <f t="shared" si="28"/>
        <v>1.5627537857439977</v>
      </c>
      <c r="K128" s="62">
        <f t="shared" si="28"/>
        <v>1.7502842400332776</v>
      </c>
      <c r="L128" s="62">
        <f t="shared" si="28"/>
        <v>1.9603183488372711</v>
      </c>
      <c r="M128" s="62">
        <f t="shared" si="28"/>
        <v>2.1955565506977437</v>
      </c>
      <c r="N128" s="62">
        <f t="shared" si="28"/>
        <v>2.4590233367814731</v>
      </c>
    </row>
    <row r="129" spans="3:15">
      <c r="C129" s="11" t="s">
        <v>10</v>
      </c>
      <c r="D129" s="26"/>
      <c r="E129" s="35">
        <v>-0.5</v>
      </c>
      <c r="F129" s="35">
        <v>0.03</v>
      </c>
      <c r="G129" s="120">
        <v>0.03</v>
      </c>
      <c r="H129" s="159">
        <f>$N133</f>
        <v>0.12</v>
      </c>
      <c r="I129" s="159">
        <f t="shared" ref="I129:N129" si="29">$N133</f>
        <v>0.12</v>
      </c>
      <c r="J129" s="159">
        <f t="shared" si="29"/>
        <v>0.12</v>
      </c>
      <c r="K129" s="159">
        <f t="shared" si="29"/>
        <v>0.12</v>
      </c>
      <c r="L129" s="159">
        <f t="shared" si="29"/>
        <v>0.12</v>
      </c>
      <c r="M129" s="159">
        <f t="shared" si="29"/>
        <v>0.12</v>
      </c>
      <c r="N129" s="159">
        <f t="shared" si="29"/>
        <v>0.12</v>
      </c>
    </row>
    <row r="130" spans="3:15">
      <c r="C130" s="19" t="s">
        <v>168</v>
      </c>
      <c r="D130" s="115"/>
      <c r="E130" s="116">
        <f t="shared" ref="E130:N130" si="30">+E128/$D$5</f>
        <v>3.6621884972818923E-2</v>
      </c>
      <c r="F130" s="116">
        <f t="shared" si="30"/>
        <v>3.7720541522003492E-2</v>
      </c>
      <c r="G130" s="121">
        <f t="shared" si="30"/>
        <v>3.8852157767663598E-2</v>
      </c>
      <c r="H130" s="116">
        <f t="shared" si="30"/>
        <v>4.3514416699783232E-2</v>
      </c>
      <c r="I130" s="116">
        <f t="shared" si="30"/>
        <v>4.873614670375722E-2</v>
      </c>
      <c r="J130" s="116">
        <f t="shared" si="30"/>
        <v>5.4584484308208094E-2</v>
      </c>
      <c r="K130" s="116">
        <f t="shared" si="30"/>
        <v>6.1134622425193075E-2</v>
      </c>
      <c r="L130" s="116">
        <f t="shared" si="30"/>
        <v>6.8470777116216242E-2</v>
      </c>
      <c r="M130" s="116">
        <f t="shared" si="30"/>
        <v>7.6687270370162194E-2</v>
      </c>
      <c r="N130" s="116">
        <f t="shared" si="30"/>
        <v>8.5889742814581671E-2</v>
      </c>
    </row>
    <row r="131" spans="3:15">
      <c r="C131" s="11" t="s">
        <v>169</v>
      </c>
      <c r="D131" s="109"/>
      <c r="E131" s="109">
        <f t="shared" ref="E131:N131" si="31">+$J$6*E128</f>
        <v>7470.5</v>
      </c>
      <c r="F131" s="109">
        <f t="shared" si="31"/>
        <v>7694.6150000000007</v>
      </c>
      <c r="G131" s="109">
        <f t="shared" si="31"/>
        <v>7925.4534500000009</v>
      </c>
      <c r="H131" s="109">
        <f t="shared" si="31"/>
        <v>8876.5078640000011</v>
      </c>
      <c r="I131" s="109">
        <f t="shared" si="31"/>
        <v>9941.6888076800024</v>
      </c>
      <c r="J131" s="109">
        <f t="shared" si="31"/>
        <v>11134.691464601603</v>
      </c>
      <c r="K131" s="109">
        <f t="shared" si="31"/>
        <v>12470.854440353798</v>
      </c>
      <c r="L131" s="109">
        <f t="shared" si="31"/>
        <v>13967.356973196254</v>
      </c>
      <c r="M131" s="109">
        <f t="shared" si="31"/>
        <v>15643.439809979805</v>
      </c>
      <c r="N131" s="109">
        <f t="shared" si="31"/>
        <v>17520.652587177385</v>
      </c>
    </row>
    <row r="132" spans="3:15" ht="7.95" customHeight="1"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</row>
    <row r="133" spans="3:15">
      <c r="E133" s="28"/>
      <c r="F133" s="28"/>
      <c r="G133" s="28"/>
      <c r="H133" s="24"/>
      <c r="I133" s="24"/>
      <c r="J133" s="24"/>
      <c r="M133" s="179" t="s">
        <v>170</v>
      </c>
      <c r="N133" s="35">
        <v>0.12</v>
      </c>
    </row>
    <row r="134" spans="3:15">
      <c r="E134" s="28"/>
      <c r="F134" s="28"/>
      <c r="G134" s="28"/>
      <c r="H134" s="24"/>
      <c r="I134" s="24"/>
      <c r="J134" s="24"/>
      <c r="M134" s="29" t="s">
        <v>128</v>
      </c>
      <c r="N134" s="27">
        <f>N128/D128-1</f>
        <v>0.17265595255855581</v>
      </c>
    </row>
    <row r="135" spans="3:15" ht="7.95" customHeight="1">
      <c r="E135" s="28"/>
      <c r="F135" s="28"/>
      <c r="G135" s="28"/>
      <c r="H135" s="24"/>
      <c r="I135" s="24"/>
      <c r="J135" s="24"/>
      <c r="M135" s="29"/>
      <c r="N135" s="27"/>
    </row>
    <row r="136" spans="3:15">
      <c r="C136" s="20"/>
      <c r="D136" s="21">
        <f ca="1">+D126</f>
        <v>2024</v>
      </c>
      <c r="E136" s="22">
        <f t="shared" ref="E136:N136" ca="1" si="32">+D136+1</f>
        <v>2025</v>
      </c>
      <c r="F136" s="22">
        <f t="shared" ca="1" si="32"/>
        <v>2026</v>
      </c>
      <c r="G136" s="22">
        <f t="shared" ca="1" si="32"/>
        <v>2027</v>
      </c>
      <c r="H136" s="22">
        <f t="shared" ca="1" si="32"/>
        <v>2028</v>
      </c>
      <c r="I136" s="22">
        <f t="shared" ca="1" si="32"/>
        <v>2029</v>
      </c>
      <c r="J136" s="22">
        <f t="shared" ca="1" si="32"/>
        <v>2030</v>
      </c>
      <c r="K136" s="22">
        <f t="shared" ca="1" si="32"/>
        <v>2031</v>
      </c>
      <c r="L136" s="22">
        <f t="shared" ca="1" si="32"/>
        <v>2032</v>
      </c>
      <c r="M136" s="22">
        <f t="shared" ca="1" si="32"/>
        <v>2033</v>
      </c>
      <c r="N136" s="22">
        <f t="shared" ca="1" si="32"/>
        <v>2034</v>
      </c>
    </row>
    <row r="137" spans="3:15">
      <c r="C137" s="11" t="s">
        <v>171</v>
      </c>
      <c r="D137" s="110">
        <f>+D107</f>
        <v>179447</v>
      </c>
      <c r="E137" s="109">
        <f>+D137+E138</f>
        <v>159632.35611050803</v>
      </c>
      <c r="F137" s="109">
        <f t="shared" ref="F137:N137" si="33">+E137+F138</f>
        <v>139721.77293044224</v>
      </c>
      <c r="G137" s="109">
        <f t="shared" si="33"/>
        <v>119715.2588485509</v>
      </c>
      <c r="H137" s="109">
        <f t="shared" si="33"/>
        <v>107684.59218188423</v>
      </c>
      <c r="I137" s="109">
        <f t="shared" si="33"/>
        <v>87869.948292392262</v>
      </c>
      <c r="J137" s="109">
        <f t="shared" si="33"/>
        <v>67959.365112326486</v>
      </c>
      <c r="K137" s="109">
        <f t="shared" si="33"/>
        <v>47952.851030435158</v>
      </c>
      <c r="L137" s="109">
        <f t="shared" si="33"/>
        <v>35922.184363768494</v>
      </c>
      <c r="M137" s="109">
        <f t="shared" si="33"/>
        <v>16107.54047427652</v>
      </c>
      <c r="N137" s="109">
        <f t="shared" si="33"/>
        <v>16107.54047427652</v>
      </c>
    </row>
    <row r="138" spans="3:15">
      <c r="C138" s="11" t="s">
        <v>172</v>
      </c>
      <c r="D138" s="164">
        <f>+D108</f>
        <v>-12030.666666666666</v>
      </c>
      <c r="E138" s="109">
        <f>+$D$138-(E101-E131)</f>
        <v>-19814.643889491974</v>
      </c>
      <c r="F138" s="109">
        <f>+$D$138-(F101-F131)</f>
        <v>-19910.583180065776</v>
      </c>
      <c r="G138" s="109">
        <f>+$D$138-(G101-G131)</f>
        <v>-20006.514081891328</v>
      </c>
      <c r="H138" s="155">
        <f>+D138</f>
        <v>-12030.666666666666</v>
      </c>
      <c r="I138" s="155">
        <f t="shared" ref="I138:M138" si="34">+E138</f>
        <v>-19814.643889491974</v>
      </c>
      <c r="J138" s="155">
        <f t="shared" si="34"/>
        <v>-19910.583180065776</v>
      </c>
      <c r="K138" s="155">
        <f t="shared" si="34"/>
        <v>-20006.514081891328</v>
      </c>
      <c r="L138" s="155">
        <f t="shared" si="34"/>
        <v>-12030.666666666666</v>
      </c>
      <c r="M138" s="155">
        <f t="shared" si="34"/>
        <v>-19814.643889491974</v>
      </c>
      <c r="N138" s="160">
        <v>0</v>
      </c>
    </row>
    <row r="139" spans="3:15"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</row>
    <row r="140" spans="3:15">
      <c r="C140" s="111" t="str">
        <f>+$C$110</f>
        <v>EV/FCF:</v>
      </c>
      <c r="D140" s="108">
        <f>+D145/D144</f>
        <v>19.521598782682705</v>
      </c>
      <c r="E140" s="109"/>
      <c r="F140" s="109"/>
      <c r="G140" s="109"/>
      <c r="H140" s="109"/>
      <c r="I140" s="109"/>
      <c r="J140" s="109"/>
      <c r="K140" s="109"/>
      <c r="L140" s="109"/>
      <c r="M140" s="180" t="s">
        <v>173</v>
      </c>
      <c r="N140" s="113">
        <f>+$N$110</f>
        <v>15.395394684236154</v>
      </c>
    </row>
    <row r="141" spans="3:15">
      <c r="C141" s="111" t="s">
        <v>182</v>
      </c>
      <c r="D141" s="155">
        <f>+D111</f>
        <v>29253</v>
      </c>
      <c r="E141" s="155">
        <f>+E111</f>
        <v>29866.757392363881</v>
      </c>
      <c r="F141" s="155">
        <f t="shared" ref="F141:N141" si="35">+F111</f>
        <v>30493.392032759803</v>
      </c>
      <c r="G141" s="155">
        <f t="shared" si="35"/>
        <v>31133.174098816486</v>
      </c>
      <c r="H141" s="155">
        <f t="shared" si="35"/>
        <v>31755.837580792817</v>
      </c>
      <c r="I141" s="155">
        <f t="shared" si="35"/>
        <v>32390.954332408674</v>
      </c>
      <c r="J141" s="155">
        <f t="shared" si="35"/>
        <v>33038.773419056844</v>
      </c>
      <c r="K141" s="155">
        <f t="shared" si="35"/>
        <v>33699.548887437981</v>
      </c>
      <c r="L141" s="155">
        <f t="shared" si="35"/>
        <v>34373.539865186744</v>
      </c>
      <c r="M141" s="155">
        <f t="shared" si="35"/>
        <v>35061.01066249048</v>
      </c>
      <c r="N141" s="155">
        <f t="shared" si="35"/>
        <v>35762.230875740293</v>
      </c>
    </row>
    <row r="142" spans="3:15">
      <c r="C142" s="183" t="str">
        <f>"Discount ("&amp;O142&amp;" 이내)"</f>
        <v>Discount (0.3 이내)</v>
      </c>
      <c r="D142" s="140">
        <f ca="1">RAND()*$O$142</f>
        <v>0.10336928348745221</v>
      </c>
      <c r="E142" s="140">
        <f ca="1">RAND()*$O$142</f>
        <v>9.5321386444875197E-3</v>
      </c>
      <c r="F142" s="140">
        <f t="shared" ref="F142:N142" ca="1" si="36">RAND()*$O$142</f>
        <v>1.4919689136301539E-2</v>
      </c>
      <c r="G142" s="140">
        <f t="shared" ca="1" si="36"/>
        <v>0.29857293638737958</v>
      </c>
      <c r="H142" s="140">
        <f t="shared" ca="1" si="36"/>
        <v>0.29262376796309408</v>
      </c>
      <c r="I142" s="140">
        <f t="shared" ca="1" si="36"/>
        <v>0.19731964877160554</v>
      </c>
      <c r="J142" s="140">
        <f t="shared" ca="1" si="36"/>
        <v>0.12943216382531744</v>
      </c>
      <c r="K142" s="140">
        <f t="shared" ca="1" si="36"/>
        <v>7.5741953468175166E-2</v>
      </c>
      <c r="L142" s="140">
        <f t="shared" ca="1" si="36"/>
        <v>1.0319022611330863E-2</v>
      </c>
      <c r="M142" s="140">
        <f t="shared" ca="1" si="36"/>
        <v>0.27184973286167524</v>
      </c>
      <c r="N142" s="140">
        <f t="shared" ca="1" si="36"/>
        <v>0.15701783095920582</v>
      </c>
      <c r="O142" s="142">
        <v>0.3</v>
      </c>
    </row>
    <row r="143" spans="3:15">
      <c r="C143" s="111" t="str">
        <f>C142&amp;" 값 붙여넣기"</f>
        <v>Discount (0.3 이내) 값 붙여넣기</v>
      </c>
      <c r="D143" s="141">
        <v>0.29346164273985031</v>
      </c>
      <c r="E143" s="141">
        <v>0.28670018724678398</v>
      </c>
      <c r="F143" s="141">
        <v>7.9243707906950275E-2</v>
      </c>
      <c r="G143" s="141">
        <v>2.2314943140303387E-2</v>
      </c>
      <c r="H143" s="141">
        <v>6.2482168380689818E-2</v>
      </c>
      <c r="I143" s="141">
        <v>8.0364891077936471E-2</v>
      </c>
      <c r="J143" s="141">
        <v>0.11951367202864827</v>
      </c>
      <c r="K143" s="141">
        <v>0.27881105211412011</v>
      </c>
      <c r="L143" s="141">
        <v>0.10315382160895835</v>
      </c>
      <c r="M143" s="141">
        <v>0.2043348136425607</v>
      </c>
      <c r="N143" s="141">
        <v>0.15241477478210153</v>
      </c>
    </row>
    <row r="144" spans="3:15">
      <c r="C144" s="178" t="s">
        <v>189</v>
      </c>
      <c r="D144" s="112">
        <f t="shared" ref="D144" si="37">+D141*(1-D143)</f>
        <v>20668.366564931159</v>
      </c>
      <c r="E144" s="112">
        <f t="shared" ref="E144" si="38">+E141*(1-E143)</f>
        <v>21303.952455518884</v>
      </c>
      <c r="F144" s="112">
        <f t="shared" ref="F144" si="39">+F141*(1-F143)</f>
        <v>28076.982581423661</v>
      </c>
      <c r="G144" s="112">
        <f t="shared" ref="G144" si="40">+G141*(1-G143)</f>
        <v>30438.439089024232</v>
      </c>
      <c r="H144" s="112">
        <f t="shared" ref="H144:N144" si="41">+H141*(1-H143)</f>
        <v>29771.663989999885</v>
      </c>
      <c r="I144" s="112">
        <f t="shared" si="41"/>
        <v>29787.858815574236</v>
      </c>
      <c r="J144" s="112">
        <f t="shared" si="41"/>
        <v>29090.188288422862</v>
      </c>
      <c r="K144" s="112">
        <f t="shared" si="41"/>
        <v>24303.742206360173</v>
      </c>
      <c r="L144" s="112">
        <f t="shared" si="41"/>
        <v>30827.777865864853</v>
      </c>
      <c r="M144" s="112">
        <f t="shared" si="41"/>
        <v>27896.825582650654</v>
      </c>
      <c r="N144" s="112">
        <f t="shared" si="41"/>
        <v>30311.538511108818</v>
      </c>
    </row>
    <row r="145" spans="2:17">
      <c r="C145" s="11" t="s">
        <v>175</v>
      </c>
      <c r="D145" s="155">
        <f>+D112</f>
        <v>403479.55957400001</v>
      </c>
      <c r="E145" s="109"/>
      <c r="F145" s="109"/>
      <c r="G145" s="109"/>
      <c r="H145" s="109"/>
      <c r="I145" s="109"/>
      <c r="J145" s="109"/>
      <c r="K145" s="109"/>
      <c r="L145" s="109"/>
      <c r="M145" s="109"/>
      <c r="N145" s="109">
        <f>+N144*N140</f>
        <v>466658.09886494413</v>
      </c>
    </row>
    <row r="146" spans="2:17" ht="7.95" customHeight="1"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</row>
    <row r="147" spans="2:17">
      <c r="C147" s="11" t="s">
        <v>126</v>
      </c>
      <c r="D147" s="109">
        <f>+$D$114</f>
        <v>20042.513579790015</v>
      </c>
      <c r="E147" s="109"/>
      <c r="F147" s="109"/>
      <c r="G147" s="109"/>
      <c r="H147" s="109"/>
      <c r="I147" s="109"/>
      <c r="J147" s="109"/>
      <c r="K147" s="109"/>
      <c r="L147" s="109"/>
      <c r="M147" s="109"/>
      <c r="N147" s="155">
        <f>+D147</f>
        <v>20042.513579790015</v>
      </c>
    </row>
    <row r="148" spans="2:17">
      <c r="C148" s="11" t="s">
        <v>176</v>
      </c>
      <c r="D148" s="109">
        <f>+D145-D137</f>
        <v>224032.55957400001</v>
      </c>
      <c r="E148" s="109"/>
      <c r="F148" s="109"/>
      <c r="G148" s="109"/>
      <c r="H148" s="109"/>
      <c r="I148" s="109"/>
      <c r="J148" s="109"/>
      <c r="K148" s="109"/>
      <c r="L148" s="109"/>
      <c r="M148" s="109"/>
      <c r="N148" s="109">
        <f>+N145-N137</f>
        <v>450550.5583906676</v>
      </c>
    </row>
    <row r="149" spans="2:17">
      <c r="C149" s="11" t="s">
        <v>177</v>
      </c>
      <c r="D149" s="118">
        <f>+$D$116</f>
        <v>28.63</v>
      </c>
      <c r="E149" s="109"/>
      <c r="F149" s="109"/>
      <c r="G149" s="109"/>
      <c r="H149" s="109"/>
      <c r="I149" s="109"/>
      <c r="J149" s="109"/>
      <c r="K149" s="109"/>
      <c r="L149" s="109"/>
      <c r="M149" s="109"/>
      <c r="N149" s="118">
        <f>(N148-N147)/$J$6</f>
        <v>60.421797852260234</v>
      </c>
    </row>
    <row r="150" spans="2:17">
      <c r="D150" s="109"/>
      <c r="E150" s="181"/>
      <c r="F150" s="109"/>
      <c r="G150" s="109"/>
      <c r="H150" s="109"/>
      <c r="I150" s="109"/>
      <c r="J150" s="109"/>
      <c r="K150" s="109"/>
      <c r="L150" s="109"/>
      <c r="M150" s="109"/>
      <c r="N150" s="109"/>
    </row>
    <row r="151" spans="2:17">
      <c r="C151" s="19" t="s">
        <v>127</v>
      </c>
      <c r="D151" s="107">
        <f>+N149/D149-1</f>
        <v>1.1104365299427257</v>
      </c>
      <c r="E151" s="114">
        <f>+(N149/D149)^(0.1)-1</f>
        <v>7.7549499586360815E-2</v>
      </c>
      <c r="F151" s="55" t="s">
        <v>178</v>
      </c>
      <c r="G151" s="109"/>
      <c r="H151" s="109"/>
      <c r="I151" s="109"/>
      <c r="J151" s="109"/>
      <c r="K151" s="109"/>
      <c r="L151" s="109"/>
      <c r="M151" s="109"/>
      <c r="N151" s="109"/>
      <c r="Q151" s="201"/>
    </row>
    <row r="152" spans="2:17">
      <c r="C152" s="122" t="s">
        <v>179</v>
      </c>
      <c r="D152" s="123">
        <f>+N128/D149</f>
        <v>8.5889742814581671E-2</v>
      </c>
      <c r="E152" s="124">
        <f>+SUM(E130:N130)</f>
        <v>0.55221204470038776</v>
      </c>
      <c r="F152" s="182" t="s">
        <v>180</v>
      </c>
      <c r="G152" s="112"/>
      <c r="H152" s="112"/>
      <c r="I152" s="109"/>
      <c r="J152" s="109"/>
      <c r="K152" s="109"/>
      <c r="L152" s="109"/>
      <c r="M152" s="109"/>
      <c r="N152" s="109"/>
      <c r="Q152" s="201"/>
    </row>
    <row r="153" spans="2:17">
      <c r="C153" s="19" t="s">
        <v>129</v>
      </c>
      <c r="D153" s="114">
        <f>+D151+E152</f>
        <v>1.6626485746431134</v>
      </c>
      <c r="E153" s="114">
        <f>+(1+D153)^(0.1)-1</f>
        <v>0.10288793311158617</v>
      </c>
      <c r="F153" s="55" t="s">
        <v>178</v>
      </c>
      <c r="G153" s="28"/>
      <c r="H153" s="24"/>
      <c r="I153" s="24"/>
      <c r="J153" s="24"/>
      <c r="K153" s="29"/>
      <c r="L153" s="27"/>
      <c r="M153" s="24"/>
      <c r="N153" s="24"/>
    </row>
    <row r="154" spans="2:17">
      <c r="E154" s="28"/>
      <c r="F154" s="28"/>
      <c r="G154" s="28"/>
      <c r="H154" s="24"/>
      <c r="I154" s="24"/>
      <c r="J154" s="24"/>
      <c r="K154" s="29"/>
      <c r="L154" s="27"/>
      <c r="M154" s="24"/>
      <c r="N154" s="24"/>
    </row>
    <row r="155" spans="2:17">
      <c r="E155" s="28"/>
      <c r="F155" s="28"/>
      <c r="G155" s="28"/>
      <c r="H155" s="24"/>
      <c r="I155" s="24"/>
      <c r="J155" s="24"/>
      <c r="K155" s="29"/>
      <c r="L155" s="27"/>
      <c r="M155" s="24"/>
      <c r="N155" s="24"/>
    </row>
    <row r="157" spans="2:17">
      <c r="B157" s="17" t="s">
        <v>190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 spans="2:17" ht="4.95" customHeight="1">
      <c r="B158" s="19"/>
    </row>
    <row r="159" spans="2:17">
      <c r="C159" s="20"/>
      <c r="D159" s="21">
        <f ca="1">+$D$96</f>
        <v>2024</v>
      </c>
      <c r="E159" s="22">
        <f t="shared" ref="E159:N159" ca="1" si="42">+D159+1</f>
        <v>2025</v>
      </c>
      <c r="F159" s="22">
        <f t="shared" ca="1" si="42"/>
        <v>2026</v>
      </c>
      <c r="G159" s="21">
        <f t="shared" ca="1" si="42"/>
        <v>2027</v>
      </c>
      <c r="H159" s="22">
        <f t="shared" ca="1" si="42"/>
        <v>2028</v>
      </c>
      <c r="I159" s="22">
        <f t="shared" ca="1" si="42"/>
        <v>2029</v>
      </c>
      <c r="J159" s="22">
        <f t="shared" ca="1" si="42"/>
        <v>2030</v>
      </c>
      <c r="K159" s="22">
        <f t="shared" ca="1" si="42"/>
        <v>2031</v>
      </c>
      <c r="L159" s="22">
        <f t="shared" ca="1" si="42"/>
        <v>2032</v>
      </c>
      <c r="M159" s="22">
        <f t="shared" ca="1" si="42"/>
        <v>2033</v>
      </c>
      <c r="N159" s="22">
        <f t="shared" ca="1" si="42"/>
        <v>2034</v>
      </c>
    </row>
    <row r="160" spans="2:17">
      <c r="C160" s="11" t="s">
        <v>8</v>
      </c>
      <c r="D160" s="23" t="s">
        <v>9</v>
      </c>
      <c r="E160" s="161">
        <v>1</v>
      </c>
      <c r="F160" s="24">
        <f>E160+1</f>
        <v>2</v>
      </c>
      <c r="G160" s="173">
        <f t="shared" ref="G160:N160" si="43">F160+1</f>
        <v>3</v>
      </c>
      <c r="H160" s="24">
        <f t="shared" si="43"/>
        <v>4</v>
      </c>
      <c r="I160" s="24">
        <f t="shared" si="43"/>
        <v>5</v>
      </c>
      <c r="J160" s="24">
        <f t="shared" si="43"/>
        <v>6</v>
      </c>
      <c r="K160" s="24">
        <f t="shared" si="43"/>
        <v>7</v>
      </c>
      <c r="L160" s="24">
        <f t="shared" si="43"/>
        <v>8</v>
      </c>
      <c r="M160" s="24">
        <f t="shared" si="43"/>
        <v>9</v>
      </c>
      <c r="N160" s="24">
        <f t="shared" si="43"/>
        <v>10</v>
      </c>
    </row>
    <row r="161" spans="3:18">
      <c r="C161" s="178" t="s">
        <v>141</v>
      </c>
      <c r="D161" s="119">
        <f>+$D$6</f>
        <v>2.0969691335436114</v>
      </c>
      <c r="E161" s="62">
        <f>+E98*(1-$O$161)</f>
        <v>1.0704828286128352</v>
      </c>
      <c r="F161" s="62">
        <f t="shared" ref="F161:N161" si="44">+F98*(1-$O$161)</f>
        <v>1.092942636135473</v>
      </c>
      <c r="G161" s="63">
        <f t="shared" si="44"/>
        <v>1.1158736730328105</v>
      </c>
      <c r="H161" s="62">
        <f t="shared" si="44"/>
        <v>1.1381911464934666</v>
      </c>
      <c r="I161" s="62">
        <f t="shared" si="44"/>
        <v>1.1609549694233361</v>
      </c>
      <c r="J161" s="62">
        <f t="shared" si="44"/>
        <v>1.1841740688118028</v>
      </c>
      <c r="K161" s="62">
        <f t="shared" si="44"/>
        <v>1.2078575501880389</v>
      </c>
      <c r="L161" s="62">
        <f t="shared" si="44"/>
        <v>1.2320147011917997</v>
      </c>
      <c r="M161" s="62">
        <f t="shared" si="44"/>
        <v>1.2566549952156356</v>
      </c>
      <c r="N161" s="62">
        <f t="shared" si="44"/>
        <v>1.2817880951199483</v>
      </c>
      <c r="O161" s="142">
        <v>0.5</v>
      </c>
    </row>
    <row r="162" spans="3:18">
      <c r="C162" s="11" t="s">
        <v>10</v>
      </c>
      <c r="E162" s="159">
        <f t="shared" ref="E162:N162" si="45">+E99</f>
        <v>2.098100681516013E-2</v>
      </c>
      <c r="F162" s="159">
        <f t="shared" si="45"/>
        <v>2.098100681516013E-2</v>
      </c>
      <c r="G162" s="174">
        <f t="shared" si="45"/>
        <v>2.098100681516013E-2</v>
      </c>
      <c r="H162" s="159">
        <f t="shared" si="45"/>
        <v>0.02</v>
      </c>
      <c r="I162" s="159">
        <f t="shared" si="45"/>
        <v>0.02</v>
      </c>
      <c r="J162" s="159">
        <f t="shared" si="45"/>
        <v>0.02</v>
      </c>
      <c r="K162" s="159">
        <f t="shared" si="45"/>
        <v>0.02</v>
      </c>
      <c r="L162" s="159">
        <f t="shared" si="45"/>
        <v>0.02</v>
      </c>
      <c r="M162" s="159">
        <f t="shared" si="45"/>
        <v>0.02</v>
      </c>
      <c r="N162" s="159">
        <f t="shared" si="45"/>
        <v>0.02</v>
      </c>
    </row>
    <row r="163" spans="3:18">
      <c r="C163" s="19" t="s">
        <v>168</v>
      </c>
      <c r="D163" s="172"/>
      <c r="E163" s="116">
        <f t="shared" ref="E163:N163" si="46">+E161/$D$5</f>
        <v>3.7390248991017644E-2</v>
      </c>
      <c r="F163" s="116">
        <f t="shared" si="46"/>
        <v>3.8174734059918725E-2</v>
      </c>
      <c r="G163" s="121">
        <f t="shared" si="46"/>
        <v>3.8975678415396807E-2</v>
      </c>
      <c r="H163" s="116">
        <f t="shared" si="46"/>
        <v>3.9755191983704738E-2</v>
      </c>
      <c r="I163" s="116">
        <f t="shared" si="46"/>
        <v>4.0550295823378837E-2</v>
      </c>
      <c r="J163" s="116">
        <f t="shared" si="46"/>
        <v>4.1361301739846409E-2</v>
      </c>
      <c r="K163" s="116">
        <f t="shared" si="46"/>
        <v>4.2188527774643346E-2</v>
      </c>
      <c r="L163" s="116">
        <f t="shared" si="46"/>
        <v>4.3032298330136214E-2</v>
      </c>
      <c r="M163" s="116">
        <f t="shared" si="46"/>
        <v>4.3892944296738935E-2</v>
      </c>
      <c r="N163" s="116">
        <f t="shared" si="46"/>
        <v>4.4770803182673707E-2</v>
      </c>
    </row>
    <row r="164" spans="3:18">
      <c r="C164" s="11" t="s">
        <v>169</v>
      </c>
      <c r="D164" s="109"/>
      <c r="E164" s="109">
        <f t="shared" ref="E164:N164" si="47">+$J$6*E161</f>
        <v>7627.2386114126539</v>
      </c>
      <c r="F164" s="109">
        <f t="shared" si="47"/>
        <v>7787.2657566995558</v>
      </c>
      <c r="G164" s="109">
        <f t="shared" si="47"/>
        <v>7950.6504326123322</v>
      </c>
      <c r="H164" s="109">
        <f t="shared" si="47"/>
        <v>8109.663441264579</v>
      </c>
      <c r="I164" s="109">
        <f t="shared" si="47"/>
        <v>8271.8567100898708</v>
      </c>
      <c r="J164" s="109">
        <f t="shared" si="47"/>
        <v>8437.2938442916675</v>
      </c>
      <c r="K164" s="109">
        <f t="shared" si="47"/>
        <v>8606.0397211775016</v>
      </c>
      <c r="L164" s="109">
        <f t="shared" si="47"/>
        <v>8778.1605156010519</v>
      </c>
      <c r="M164" s="109">
        <f t="shared" si="47"/>
        <v>8953.7237259130725</v>
      </c>
      <c r="N164" s="109">
        <f t="shared" si="47"/>
        <v>9132.7982004313344</v>
      </c>
    </row>
    <row r="165" spans="3:18" ht="7.95" customHeight="1"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</row>
    <row r="166" spans="3:18">
      <c r="E166" s="28"/>
      <c r="F166" s="28"/>
      <c r="G166" s="28"/>
      <c r="H166" s="24"/>
      <c r="I166" s="24"/>
      <c r="J166" s="24"/>
      <c r="M166" s="179" t="s">
        <v>170</v>
      </c>
      <c r="N166" s="35">
        <f>+N103</f>
        <v>0.02</v>
      </c>
    </row>
    <row r="167" spans="3:18">
      <c r="E167" s="28"/>
      <c r="F167" s="28"/>
      <c r="G167" s="28"/>
      <c r="H167" s="24"/>
      <c r="I167" s="24"/>
      <c r="J167" s="24"/>
      <c r="M167" s="29" t="s">
        <v>128</v>
      </c>
      <c r="N167" s="27">
        <f>N161/D161-1</f>
        <v>-0.38874250716609771</v>
      </c>
    </row>
    <row r="168" spans="3:18" ht="7.95" customHeight="1">
      <c r="E168" s="28"/>
      <c r="F168" s="28"/>
      <c r="G168" s="28"/>
      <c r="H168" s="24"/>
      <c r="I168" s="24"/>
      <c r="J168" s="24"/>
      <c r="M168" s="29"/>
      <c r="N168" s="27"/>
    </row>
    <row r="169" spans="3:18">
      <c r="C169" s="20"/>
      <c r="D169" s="21">
        <f ca="1">+D159</f>
        <v>2024</v>
      </c>
      <c r="E169" s="144">
        <f t="shared" ref="E169:N169" ca="1" si="48">+D169+1</f>
        <v>2025</v>
      </c>
      <c r="F169" s="22">
        <f t="shared" ca="1" si="48"/>
        <v>2026</v>
      </c>
      <c r="G169" s="22">
        <f t="shared" ca="1" si="48"/>
        <v>2027</v>
      </c>
      <c r="H169" s="22">
        <f t="shared" ca="1" si="48"/>
        <v>2028</v>
      </c>
      <c r="I169" s="22">
        <f t="shared" ca="1" si="48"/>
        <v>2029</v>
      </c>
      <c r="J169" s="22">
        <f t="shared" ca="1" si="48"/>
        <v>2030</v>
      </c>
      <c r="K169" s="22">
        <f t="shared" ca="1" si="48"/>
        <v>2031</v>
      </c>
      <c r="L169" s="22">
        <f t="shared" ca="1" si="48"/>
        <v>2032</v>
      </c>
      <c r="M169" s="22">
        <f t="shared" ca="1" si="48"/>
        <v>2033</v>
      </c>
      <c r="N169" s="22">
        <f t="shared" ca="1" si="48"/>
        <v>2034</v>
      </c>
      <c r="R169" s="208">
        <f>+(1+(10/4)%)^4-1</f>
        <v>0.10381289062499977</v>
      </c>
    </row>
    <row r="170" spans="3:18">
      <c r="C170" s="11" t="s">
        <v>171</v>
      </c>
      <c r="D170" s="162">
        <f t="shared" ref="D170:N171" si="49">+D107</f>
        <v>179447</v>
      </c>
      <c r="E170" s="155">
        <f t="shared" si="49"/>
        <v>167416.33333333334</v>
      </c>
      <c r="F170" s="155">
        <f t="shared" si="49"/>
        <v>155385.66666666669</v>
      </c>
      <c r="G170" s="155">
        <f t="shared" si="49"/>
        <v>143355.00000000003</v>
      </c>
      <c r="H170" s="155">
        <f t="shared" si="49"/>
        <v>131324.33333333337</v>
      </c>
      <c r="I170" s="155">
        <f t="shared" si="49"/>
        <v>119293.6666666667</v>
      </c>
      <c r="J170" s="155">
        <f t="shared" si="49"/>
        <v>107263.00000000003</v>
      </c>
      <c r="K170" s="155">
        <f t="shared" si="49"/>
        <v>95232.333333333358</v>
      </c>
      <c r="L170" s="155">
        <f t="shared" si="49"/>
        <v>83201.666666666686</v>
      </c>
      <c r="M170" s="155">
        <f t="shared" si="49"/>
        <v>71171.000000000015</v>
      </c>
      <c r="N170" s="155">
        <f t="shared" si="49"/>
        <v>59140.33333333335</v>
      </c>
    </row>
    <row r="171" spans="3:18">
      <c r="C171" s="11" t="s">
        <v>172</v>
      </c>
      <c r="D171" s="164">
        <f>+D108</f>
        <v>-12030.666666666666</v>
      </c>
      <c r="E171" s="155">
        <f>+E108</f>
        <v>-12030.666666666666</v>
      </c>
      <c r="F171" s="155">
        <f t="shared" si="49"/>
        <v>-12030.666666666666</v>
      </c>
      <c r="G171" s="155">
        <f t="shared" si="49"/>
        <v>-12030.666666666666</v>
      </c>
      <c r="H171" s="155">
        <f t="shared" si="49"/>
        <v>-12030.666666666666</v>
      </c>
      <c r="I171" s="155">
        <f t="shared" si="49"/>
        <v>-12030.666666666666</v>
      </c>
      <c r="J171" s="155">
        <f t="shared" si="49"/>
        <v>-12030.666666666666</v>
      </c>
      <c r="K171" s="155">
        <f t="shared" si="49"/>
        <v>-12030.666666666666</v>
      </c>
      <c r="L171" s="155">
        <f t="shared" si="49"/>
        <v>-12030.666666666666</v>
      </c>
      <c r="M171" s="155">
        <f t="shared" si="49"/>
        <v>-12030.666666666666</v>
      </c>
      <c r="N171" s="155">
        <f t="shared" si="49"/>
        <v>-12030.666666666666</v>
      </c>
    </row>
    <row r="172" spans="3:18"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</row>
    <row r="173" spans="3:18">
      <c r="C173" s="111" t="str">
        <f>+$C$110</f>
        <v>EV/FCF:</v>
      </c>
      <c r="D173" s="108">
        <f>+D176/D175</f>
        <v>13.792758335008376</v>
      </c>
      <c r="E173" s="109"/>
      <c r="F173" s="109"/>
      <c r="G173" s="109"/>
      <c r="H173" s="109"/>
      <c r="I173" s="109"/>
      <c r="J173" s="109"/>
      <c r="K173" s="109"/>
      <c r="L173" s="109"/>
      <c r="M173" s="181" t="s">
        <v>183</v>
      </c>
      <c r="N173" s="153">
        <f>+N140</f>
        <v>15.395394684236154</v>
      </c>
    </row>
    <row r="174" spans="3:18">
      <c r="C174" s="111" t="s">
        <v>182</v>
      </c>
      <c r="D174" s="155">
        <f>+D111</f>
        <v>29253</v>
      </c>
      <c r="E174" s="155">
        <f t="shared" ref="E174:N174" si="50">+E111</f>
        <v>29866.757392363881</v>
      </c>
      <c r="F174" s="155">
        <f t="shared" si="50"/>
        <v>30493.392032759803</v>
      </c>
      <c r="G174" s="155">
        <f t="shared" si="50"/>
        <v>31133.174098816486</v>
      </c>
      <c r="H174" s="155">
        <f t="shared" si="50"/>
        <v>31755.837580792817</v>
      </c>
      <c r="I174" s="155">
        <f t="shared" si="50"/>
        <v>32390.954332408674</v>
      </c>
      <c r="J174" s="155">
        <f t="shared" si="50"/>
        <v>33038.773419056844</v>
      </c>
      <c r="K174" s="155">
        <f t="shared" si="50"/>
        <v>33699.548887437981</v>
      </c>
      <c r="L174" s="155">
        <f t="shared" si="50"/>
        <v>34373.539865186744</v>
      </c>
      <c r="M174" s="155">
        <f t="shared" si="50"/>
        <v>35061.01066249048</v>
      </c>
      <c r="N174" s="155">
        <f t="shared" si="50"/>
        <v>35762.230875740293</v>
      </c>
    </row>
    <row r="175" spans="3:18">
      <c r="C175" s="178" t="s">
        <v>191</v>
      </c>
      <c r="D175" s="166">
        <f>+D111</f>
        <v>29253</v>
      </c>
      <c r="E175" s="112">
        <f t="shared" ref="E175:L175" si="51">+E174*(1-$O$175)</f>
        <v>10823.187114422715</v>
      </c>
      <c r="F175" s="112">
        <f t="shared" si="51"/>
        <v>11050.26847703217</v>
      </c>
      <c r="G175" s="112">
        <f t="shared" si="51"/>
        <v>11282.114235258132</v>
      </c>
      <c r="H175" s="112">
        <f t="shared" si="51"/>
        <v>11507.756519963295</v>
      </c>
      <c r="I175" s="112">
        <f t="shared" si="51"/>
        <v>11737.911650362561</v>
      </c>
      <c r="J175" s="112">
        <f t="shared" si="51"/>
        <v>11972.669883369812</v>
      </c>
      <c r="K175" s="112">
        <f t="shared" si="51"/>
        <v>12212.123281037208</v>
      </c>
      <c r="L175" s="112">
        <f t="shared" si="51"/>
        <v>12456.365746657953</v>
      </c>
      <c r="M175" s="112">
        <f>+M174*(1-$O$175)</f>
        <v>12705.493061591113</v>
      </c>
      <c r="N175" s="112">
        <f>+N174*(1-$O$175)</f>
        <v>12959.602922822936</v>
      </c>
      <c r="O175" s="154">
        <v>0.63761760367096598</v>
      </c>
    </row>
    <row r="176" spans="3:18">
      <c r="C176" s="11" t="s">
        <v>175</v>
      </c>
      <c r="D176" s="155">
        <f>+D112</f>
        <v>403479.55957400001</v>
      </c>
      <c r="E176" s="109"/>
      <c r="F176" s="109"/>
      <c r="G176" s="109"/>
      <c r="H176" s="109"/>
      <c r="I176" s="109"/>
      <c r="J176" s="109"/>
      <c r="K176" s="109"/>
      <c r="L176" s="109"/>
      <c r="M176" s="109"/>
      <c r="N176" s="109">
        <f>+N175*N173</f>
        <v>199518.20194783955</v>
      </c>
    </row>
    <row r="177" spans="3:14" ht="7.95" customHeight="1"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</row>
    <row r="178" spans="3:14">
      <c r="C178" s="11" t="s">
        <v>126</v>
      </c>
      <c r="D178" s="109">
        <f>+$D$114</f>
        <v>20042.513579790015</v>
      </c>
      <c r="E178" s="109"/>
      <c r="F178" s="109"/>
      <c r="G178" s="109"/>
      <c r="H178" s="109"/>
      <c r="I178" s="109"/>
      <c r="J178" s="109"/>
      <c r="K178" s="109"/>
      <c r="L178" s="109"/>
      <c r="M178" s="109"/>
      <c r="N178" s="109">
        <f>+D178</f>
        <v>20042.513579790015</v>
      </c>
    </row>
    <row r="179" spans="3:14">
      <c r="C179" s="11" t="s">
        <v>176</v>
      </c>
      <c r="D179" s="109">
        <f>+D176-D170</f>
        <v>224032.55957400001</v>
      </c>
      <c r="E179" s="109"/>
      <c r="F179" s="109"/>
      <c r="G179" s="109"/>
      <c r="H179" s="109"/>
      <c r="I179" s="109"/>
      <c r="J179" s="109"/>
      <c r="K179" s="109"/>
      <c r="L179" s="109"/>
      <c r="M179" s="109"/>
      <c r="N179" s="109">
        <f>+N176-N170</f>
        <v>140377.86861450621</v>
      </c>
    </row>
    <row r="180" spans="3:14">
      <c r="C180" s="11" t="s">
        <v>177</v>
      </c>
      <c r="D180" s="118">
        <f>+$D$116</f>
        <v>28.63</v>
      </c>
      <c r="E180" s="109"/>
      <c r="F180" s="109"/>
      <c r="G180" s="109"/>
      <c r="H180" s="109"/>
      <c r="I180" s="109"/>
      <c r="J180" s="109"/>
      <c r="K180" s="109"/>
      <c r="L180" s="109"/>
      <c r="M180" s="109"/>
      <c r="N180" s="118">
        <f>(N179-N178)/$J$6</f>
        <v>16.889065335774827</v>
      </c>
    </row>
    <row r="181" spans="3:14">
      <c r="D181" s="109"/>
      <c r="E181" s="181"/>
      <c r="F181" s="109"/>
      <c r="G181" s="109"/>
      <c r="H181" s="109"/>
      <c r="I181" s="109"/>
      <c r="J181" s="109"/>
      <c r="K181" s="109"/>
      <c r="L181" s="109"/>
      <c r="M181" s="109"/>
      <c r="N181" s="109"/>
    </row>
    <row r="182" spans="3:14">
      <c r="C182" s="19" t="s">
        <v>127</v>
      </c>
      <c r="D182" s="107">
        <f>+N180/D180-1</f>
        <v>-0.4100920245974562</v>
      </c>
      <c r="E182" s="114">
        <f>+(N180/D180)^(0.1)-1</f>
        <v>-5.1410251726142664E-2</v>
      </c>
      <c r="F182" s="55" t="s">
        <v>178</v>
      </c>
      <c r="G182" s="109"/>
      <c r="H182" s="109"/>
      <c r="I182" s="109"/>
      <c r="J182" s="109"/>
      <c r="K182" s="109"/>
      <c r="L182" s="109"/>
      <c r="M182" s="109"/>
      <c r="N182" s="109"/>
    </row>
    <row r="183" spans="3:14">
      <c r="C183" s="122" t="s">
        <v>179</v>
      </c>
      <c r="D183" s="123">
        <f>+N161/D180</f>
        <v>4.4770803182673707E-2</v>
      </c>
      <c r="E183" s="124">
        <f>+SUM(E163:N163)</f>
        <v>0.41009202459745542</v>
      </c>
      <c r="F183" s="182" t="s">
        <v>180</v>
      </c>
      <c r="G183" s="112"/>
      <c r="H183" s="112"/>
      <c r="I183" s="109"/>
      <c r="J183" s="109"/>
      <c r="K183" s="109"/>
      <c r="L183" s="109"/>
      <c r="M183" s="109"/>
      <c r="N183" s="109"/>
    </row>
    <row r="184" spans="3:14">
      <c r="C184" s="19" t="s">
        <v>129</v>
      </c>
      <c r="D184" s="198">
        <f>+D182+E183</f>
        <v>-7.7715611723760958E-16</v>
      </c>
      <c r="E184" s="198">
        <f>+(1+D184)^(0.1)-1</f>
        <v>0</v>
      </c>
      <c r="F184" s="55" t="s">
        <v>178</v>
      </c>
      <c r="G184" s="28"/>
      <c r="H184" s="24"/>
      <c r="I184" s="24"/>
      <c r="J184" s="109"/>
      <c r="K184" s="109"/>
      <c r="L184" s="109"/>
      <c r="M184" s="109"/>
      <c r="N184" s="24"/>
    </row>
    <row r="185" spans="3:14">
      <c r="E185" s="28"/>
      <c r="F185" s="28"/>
      <c r="G185" s="28"/>
      <c r="H185" s="24"/>
      <c r="I185" s="24"/>
      <c r="J185" s="24"/>
      <c r="K185" s="29"/>
      <c r="L185" s="27"/>
      <c r="M185" s="24"/>
      <c r="N185" s="24"/>
    </row>
    <row r="186" spans="3:14" ht="15" customHeight="1">
      <c r="C186" s="17" t="s">
        <v>198</v>
      </c>
      <c r="D186" s="18"/>
      <c r="E186" s="18"/>
      <c r="F186" s="28"/>
    </row>
    <row r="187" spans="3:14">
      <c r="C187" s="200" t="s">
        <v>195</v>
      </c>
      <c r="D187" s="199" t="s">
        <v>196</v>
      </c>
      <c r="E187" s="22" t="s">
        <v>131</v>
      </c>
      <c r="F187" s="28"/>
    </row>
    <row r="188" spans="3:14">
      <c r="C188" s="36" t="s">
        <v>192</v>
      </c>
      <c r="D188" s="204">
        <v>0.6</v>
      </c>
      <c r="E188" s="157">
        <f>+E121</f>
        <v>0.12090500208916644</v>
      </c>
      <c r="F188" s="28"/>
    </row>
    <row r="189" spans="3:14">
      <c r="C189" s="36" t="s">
        <v>193</v>
      </c>
      <c r="D189" s="204">
        <v>0.35</v>
      </c>
      <c r="E189" s="157">
        <f>+E153</f>
        <v>0.10288793311158617</v>
      </c>
      <c r="F189" s="28"/>
    </row>
    <row r="190" spans="3:14">
      <c r="C190" s="202" t="s">
        <v>194</v>
      </c>
      <c r="D190" s="205">
        <v>0.05</v>
      </c>
      <c r="E190" s="206">
        <f>+E184</f>
        <v>0</v>
      </c>
      <c r="F190" s="28"/>
    </row>
    <row r="191" spans="3:14">
      <c r="D191" s="203" t="s">
        <v>197</v>
      </c>
      <c r="E191" s="201">
        <f>SUMPRODUCT(D188:D190,E188:E190)</f>
        <v>0.10855377784255502</v>
      </c>
      <c r="F191" s="28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M123"/>
  <sheetViews>
    <sheetView showGridLines="0" zoomScaleNormal="100" workbookViewId="0">
      <pane ySplit="5" topLeftCell="A15" activePane="bottomLeft" state="frozen"/>
      <selection activeCell="A6" sqref="A6"/>
      <selection pane="bottomLeft" activeCell="L34" sqref="L34"/>
    </sheetView>
  </sheetViews>
  <sheetFormatPr defaultColWidth="8.59765625" defaultRowHeight="13.2"/>
  <cols>
    <col min="1" max="2" width="1.796875" style="11" customWidth="1"/>
    <col min="3" max="3" width="26.296875" style="11" customWidth="1"/>
    <col min="4" max="9" width="11.3984375" style="11" customWidth="1"/>
    <col min="10" max="10" width="3.59765625" style="11" customWidth="1"/>
    <col min="11" max="11" width="13.8984375" style="11" customWidth="1"/>
    <col min="12" max="12" width="11.3984375" style="11" customWidth="1"/>
    <col min="13" max="16384" width="8.59765625" style="11"/>
  </cols>
  <sheetData>
    <row r="1" spans="1:13" ht="8.1" customHeight="1"/>
    <row r="2" spans="1:13" s="13" customFormat="1" ht="18.600000000000001" thickBot="1">
      <c r="A2" s="12" t="str">
        <f>"Data from S&amp;P Capital IQ - "&amp;'Data_ AT&amp;T 데이터'!D4</f>
        <v>Data from S&amp;P Capital IQ - AT&amp;T Inc. (NYSE:T)</v>
      </c>
      <c r="G2" s="37"/>
    </row>
    <row r="3" spans="1:13" s="15" customFormat="1">
      <c r="A3" s="14"/>
      <c r="C3" s="15" t="s">
        <v>11</v>
      </c>
      <c r="D3" s="43" t="s">
        <v>98</v>
      </c>
      <c r="E3" s="39"/>
      <c r="F3" s="15" t="s">
        <v>18</v>
      </c>
      <c r="G3" s="45">
        <v>0.21</v>
      </c>
    </row>
    <row r="4" spans="1:13" s="15" customFormat="1">
      <c r="A4" s="14"/>
      <c r="D4" s="46" t="s">
        <v>99</v>
      </c>
      <c r="E4" s="39"/>
      <c r="F4" s="15" t="s">
        <v>29</v>
      </c>
      <c r="G4" s="43" t="s">
        <v>70</v>
      </c>
      <c r="J4" s="40"/>
      <c r="M4" s="41"/>
    </row>
    <row r="5" spans="1:13" s="15" customFormat="1">
      <c r="F5" s="15" t="s">
        <v>28</v>
      </c>
      <c r="G5" s="44">
        <v>44228</v>
      </c>
    </row>
    <row r="6" spans="1:13">
      <c r="A6" s="16"/>
      <c r="F6" s="47"/>
      <c r="G6" s="48"/>
      <c r="H6" s="49"/>
      <c r="I6" s="47"/>
    </row>
    <row r="7" spans="1:13">
      <c r="A7" s="11" t="s">
        <v>60</v>
      </c>
      <c r="B7" s="17" t="s">
        <v>56</v>
      </c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3">
      <c r="C8" s="38"/>
    </row>
    <row r="9" spans="1:13">
      <c r="C9" s="50"/>
      <c r="D9" s="51">
        <v>2016</v>
      </c>
      <c r="E9" s="51">
        <v>2017</v>
      </c>
      <c r="F9" s="51">
        <v>2018</v>
      </c>
      <c r="G9" s="51">
        <v>2019</v>
      </c>
      <c r="H9" s="51">
        <v>2020</v>
      </c>
      <c r="I9" s="52" t="s">
        <v>62</v>
      </c>
      <c r="K9" s="53" t="s">
        <v>30</v>
      </c>
      <c r="L9" s="52" t="s">
        <v>68</v>
      </c>
    </row>
    <row r="10" spans="1:13">
      <c r="C10" s="11" t="s">
        <v>72</v>
      </c>
      <c r="D10" s="56">
        <v>163786</v>
      </c>
      <c r="E10" s="56">
        <v>160546</v>
      </c>
      <c r="F10" s="56">
        <v>170756</v>
      </c>
      <c r="G10" s="56">
        <v>181193</v>
      </c>
      <c r="H10" s="56">
        <v>171760</v>
      </c>
      <c r="I10" s="56">
        <v>171760</v>
      </c>
      <c r="K10" s="42" t="s">
        <v>38</v>
      </c>
    </row>
    <row r="11" spans="1:13">
      <c r="C11" s="11" t="s">
        <v>73</v>
      </c>
      <c r="D11" s="56">
        <v>24905</v>
      </c>
      <c r="E11" s="56">
        <v>23995</v>
      </c>
      <c r="F11" s="56">
        <v>31618</v>
      </c>
      <c r="G11" s="56">
        <v>27741</v>
      </c>
      <c r="H11" s="56">
        <v>25285</v>
      </c>
      <c r="I11" s="56">
        <v>25285</v>
      </c>
      <c r="K11" s="42" t="s">
        <v>39</v>
      </c>
    </row>
    <row r="12" spans="1:13">
      <c r="C12" s="11" t="s">
        <v>74</v>
      </c>
      <c r="D12" s="56">
        <v>48390</v>
      </c>
      <c r="E12" s="56">
        <v>45572</v>
      </c>
      <c r="F12" s="56">
        <v>56956</v>
      </c>
      <c r="G12" s="56">
        <v>52645</v>
      </c>
      <c r="H12" s="56">
        <v>53801</v>
      </c>
      <c r="I12" s="56">
        <v>53801</v>
      </c>
      <c r="K12" s="42" t="s">
        <v>40</v>
      </c>
      <c r="L12" s="59">
        <f>+AVERAGE(D12:I12)</f>
        <v>51860.833333333336</v>
      </c>
    </row>
    <row r="13" spans="1:13">
      <c r="C13" s="58" t="s">
        <v>75</v>
      </c>
      <c r="D13" s="56">
        <v>23485</v>
      </c>
      <c r="E13" s="56">
        <v>21577</v>
      </c>
      <c r="F13" s="56">
        <v>25338</v>
      </c>
      <c r="G13" s="56">
        <v>24904</v>
      </c>
      <c r="H13" s="56">
        <v>28516</v>
      </c>
      <c r="I13" s="56">
        <v>28516</v>
      </c>
      <c r="K13" s="42"/>
    </row>
    <row r="14" spans="1:13">
      <c r="C14" s="11" t="s">
        <v>76</v>
      </c>
      <c r="D14" s="56">
        <v>13333</v>
      </c>
      <c r="E14" s="56">
        <v>29847</v>
      </c>
      <c r="F14" s="56">
        <v>19953</v>
      </c>
      <c r="G14" s="56">
        <v>14975</v>
      </c>
      <c r="H14" s="56">
        <v>-3821</v>
      </c>
      <c r="I14" s="56">
        <v>-3821</v>
      </c>
      <c r="K14" s="42" t="s">
        <v>41</v>
      </c>
    </row>
    <row r="15" spans="1:13">
      <c r="C15" s="11" t="s">
        <v>77</v>
      </c>
      <c r="D15" s="56">
        <v>12976</v>
      </c>
      <c r="E15" s="56">
        <v>29450</v>
      </c>
      <c r="F15" s="56">
        <v>19370</v>
      </c>
      <c r="G15" s="56">
        <v>13903</v>
      </c>
      <c r="H15" s="56">
        <v>-5176</v>
      </c>
      <c r="I15" s="56">
        <v>-5176</v>
      </c>
      <c r="K15" s="42" t="s">
        <v>42</v>
      </c>
      <c r="L15" s="59">
        <f>+AVERAGE(D15:I15)</f>
        <v>10891.166666666666</v>
      </c>
    </row>
    <row r="16" spans="1:13">
      <c r="D16" s="209"/>
      <c r="E16" s="209"/>
      <c r="F16" s="209"/>
      <c r="G16" s="209"/>
      <c r="H16" s="209"/>
      <c r="I16" s="209"/>
      <c r="K16" s="42"/>
    </row>
    <row r="17" spans="3:12">
      <c r="C17" s="55" t="s">
        <v>78</v>
      </c>
      <c r="D17" s="54">
        <v>0.15205817347025996</v>
      </c>
      <c r="E17" s="54">
        <v>0.14945872211079692</v>
      </c>
      <c r="F17" s="54">
        <v>0.18516479655180493</v>
      </c>
      <c r="G17" s="54">
        <v>0.15310194102421176</v>
      </c>
      <c r="H17" s="54">
        <v>0.14721122496506753</v>
      </c>
      <c r="I17" s="54">
        <v>0.14721122496506753</v>
      </c>
      <c r="K17" s="42"/>
    </row>
    <row r="18" spans="3:12">
      <c r="C18" s="55" t="s">
        <v>79</v>
      </c>
      <c r="D18" s="54">
        <v>0.29544649725861793</v>
      </c>
      <c r="E18" s="54">
        <v>0.28385634023893463</v>
      </c>
      <c r="F18" s="54">
        <v>0.33355196889128347</v>
      </c>
      <c r="G18" s="54">
        <v>0.29054654429254995</v>
      </c>
      <c r="H18" s="54">
        <v>0.31323358174196553</v>
      </c>
      <c r="I18" s="54">
        <v>0.31323358174196553</v>
      </c>
      <c r="K18" s="42"/>
    </row>
    <row r="19" spans="3:12">
      <c r="C19" s="55" t="s">
        <v>80</v>
      </c>
      <c r="D19" s="54">
        <v>8.1405004090703725E-2</v>
      </c>
      <c r="E19" s="54">
        <v>0.18590933439637239</v>
      </c>
      <c r="F19" s="54">
        <v>0.1168509452083675</v>
      </c>
      <c r="G19" s="54">
        <v>8.2646680611281886E-2</v>
      </c>
      <c r="H19" s="54">
        <v>-2.2246157428970657E-2</v>
      </c>
      <c r="I19" s="54">
        <v>-2.2246157428970657E-2</v>
      </c>
      <c r="K19" s="42"/>
    </row>
    <row r="20" spans="3:12">
      <c r="D20" s="209"/>
      <c r="E20" s="209"/>
      <c r="F20" s="209"/>
      <c r="G20" s="209"/>
      <c r="H20" s="209"/>
      <c r="I20" s="209"/>
      <c r="K20" s="42"/>
    </row>
    <row r="21" spans="3:12">
      <c r="C21" s="11" t="s">
        <v>81</v>
      </c>
      <c r="D21" s="56">
        <v>-22408</v>
      </c>
      <c r="E21" s="56">
        <v>-21550</v>
      </c>
      <c r="F21" s="56">
        <v>-21251</v>
      </c>
      <c r="G21" s="56">
        <v>-19635</v>
      </c>
      <c r="H21" s="56">
        <v>-15675</v>
      </c>
      <c r="I21" s="56">
        <v>-15675</v>
      </c>
      <c r="K21" s="42" t="s">
        <v>43</v>
      </c>
    </row>
    <row r="22" spans="3:12">
      <c r="C22" s="11" t="s">
        <v>82</v>
      </c>
      <c r="D22" s="56">
        <v>0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K22" s="42" t="s">
        <v>44</v>
      </c>
    </row>
    <row r="23" spans="3:12">
      <c r="C23" s="11" t="s">
        <v>83</v>
      </c>
      <c r="D23" s="56">
        <v>646</v>
      </c>
      <c r="E23" s="56">
        <v>59</v>
      </c>
      <c r="F23" s="56">
        <v>2148</v>
      </c>
      <c r="G23" s="56">
        <v>4684</v>
      </c>
      <c r="H23" s="56">
        <v>3641</v>
      </c>
      <c r="I23" s="56">
        <v>3641</v>
      </c>
      <c r="K23" s="42" t="s">
        <v>45</v>
      </c>
    </row>
    <row r="24" spans="3:12">
      <c r="D24" s="56"/>
      <c r="E24" s="56"/>
      <c r="F24" s="56"/>
      <c r="G24" s="56"/>
      <c r="H24" s="56"/>
      <c r="I24" s="56"/>
      <c r="K24" s="42"/>
    </row>
    <row r="25" spans="3:12">
      <c r="C25" s="11" t="s">
        <v>84</v>
      </c>
      <c r="D25" s="56">
        <v>21397.949999999997</v>
      </c>
      <c r="E25" s="56">
        <v>19042.050000000003</v>
      </c>
      <c r="F25" s="56">
        <v>31213.22</v>
      </c>
      <c r="G25" s="56">
        <v>31868.39</v>
      </c>
      <c r="H25" s="56">
        <v>36457.15</v>
      </c>
      <c r="I25" s="56">
        <v>36457.15</v>
      </c>
      <c r="L25" s="59">
        <f>+AVERAGE(D25:I25)</f>
        <v>29405.985000000001</v>
      </c>
    </row>
    <row r="26" spans="3:12">
      <c r="C26" s="11" t="s">
        <v>85</v>
      </c>
      <c r="D26" s="56">
        <v>1959.6000000000004</v>
      </c>
      <c r="E26" s="56">
        <v>12969.3</v>
      </c>
      <c r="F26" s="56">
        <v>7694.2999999999993</v>
      </c>
      <c r="G26" s="56">
        <v>4687.5999999999985</v>
      </c>
      <c r="H26" s="56">
        <v>-6638.7000000000007</v>
      </c>
      <c r="I26" s="56">
        <v>-6638.7000000000007</v>
      </c>
      <c r="L26" s="59">
        <f>+AVERAGE(D26:I26)</f>
        <v>2338.8999999999992</v>
      </c>
    </row>
    <row r="27" spans="3:12">
      <c r="D27" s="56"/>
      <c r="E27" s="56"/>
      <c r="F27" s="56"/>
      <c r="G27" s="56"/>
      <c r="H27" s="56"/>
      <c r="I27" s="56"/>
      <c r="K27" s="42"/>
    </row>
    <row r="28" spans="3:12">
      <c r="C28" s="11" t="s">
        <v>86</v>
      </c>
      <c r="D28" s="56">
        <v>38442</v>
      </c>
      <c r="E28" s="56">
        <v>38010</v>
      </c>
      <c r="F28" s="56">
        <v>43602</v>
      </c>
      <c r="G28" s="56">
        <v>48668</v>
      </c>
      <c r="H28" s="56">
        <v>43130</v>
      </c>
      <c r="I28" s="56">
        <v>43130</v>
      </c>
      <c r="K28" s="42" t="s">
        <v>46</v>
      </c>
    </row>
    <row r="29" spans="3:12">
      <c r="C29" s="11" t="s">
        <v>87</v>
      </c>
      <c r="D29" s="56">
        <v>-23318</v>
      </c>
      <c r="E29" s="56">
        <v>-18943</v>
      </c>
      <c r="F29" s="56">
        <v>-63145</v>
      </c>
      <c r="G29" s="56">
        <v>-16690</v>
      </c>
      <c r="H29" s="56">
        <v>-13548</v>
      </c>
      <c r="I29" s="56">
        <v>-13548</v>
      </c>
      <c r="K29" s="42" t="s">
        <v>47</v>
      </c>
    </row>
    <row r="30" spans="3:12">
      <c r="C30" s="11" t="s">
        <v>88</v>
      </c>
      <c r="D30" s="56">
        <v>-14462</v>
      </c>
      <c r="E30" s="56">
        <v>25930</v>
      </c>
      <c r="F30" s="56">
        <v>-25989</v>
      </c>
      <c r="G30" s="56">
        <v>-25083</v>
      </c>
      <c r="H30" s="56">
        <v>-32007</v>
      </c>
      <c r="I30" s="56">
        <v>-32007</v>
      </c>
      <c r="K30" s="42" t="s">
        <v>48</v>
      </c>
    </row>
    <row r="31" spans="3:12">
      <c r="D31" s="56"/>
      <c r="E31" s="56"/>
      <c r="F31" s="56"/>
      <c r="G31" s="56"/>
      <c r="H31" s="56"/>
      <c r="I31" s="56"/>
      <c r="K31" s="42"/>
    </row>
    <row r="32" spans="3:12">
      <c r="C32" s="11" t="s">
        <v>89</v>
      </c>
      <c r="D32" s="56">
        <v>5788</v>
      </c>
      <c r="E32" s="56">
        <v>50498</v>
      </c>
      <c r="F32" s="56">
        <v>5204</v>
      </c>
      <c r="G32" s="56">
        <v>12186</v>
      </c>
      <c r="H32" s="56">
        <v>9740</v>
      </c>
      <c r="I32" s="56">
        <v>9740</v>
      </c>
      <c r="K32" s="42" t="s">
        <v>49</v>
      </c>
    </row>
    <row r="33" spans="1:12">
      <c r="C33" s="11" t="s">
        <v>90</v>
      </c>
      <c r="D33" s="56">
        <v>127394</v>
      </c>
      <c r="E33" s="56">
        <v>165667</v>
      </c>
      <c r="F33" s="56">
        <v>179107</v>
      </c>
      <c r="G33" s="56">
        <v>191684</v>
      </c>
      <c r="H33" s="56">
        <v>179447</v>
      </c>
      <c r="I33" s="56">
        <v>179447</v>
      </c>
      <c r="K33" s="42" t="s">
        <v>50</v>
      </c>
    </row>
    <row r="34" spans="1:12">
      <c r="C34" s="58" t="s">
        <v>91</v>
      </c>
      <c r="D34" s="56">
        <f t="shared" ref="D34:H34" si="0">+D33/$K$34</f>
        <v>8492.9333333333325</v>
      </c>
      <c r="E34" s="56">
        <f t="shared" si="0"/>
        <v>11044.466666666667</v>
      </c>
      <c r="F34" s="56">
        <f t="shared" si="0"/>
        <v>11940.466666666667</v>
      </c>
      <c r="G34" s="56">
        <f t="shared" si="0"/>
        <v>12778.933333333332</v>
      </c>
      <c r="H34" s="56">
        <f t="shared" si="0"/>
        <v>11963.133333333333</v>
      </c>
      <c r="I34" s="56">
        <f>+I33/$K$34</f>
        <v>11963.133333333333</v>
      </c>
      <c r="K34" s="57">
        <v>15</v>
      </c>
    </row>
    <row r="35" spans="1:12">
      <c r="C35" s="11" t="s">
        <v>92</v>
      </c>
      <c r="D35" s="56">
        <v>16812</v>
      </c>
      <c r="E35" s="56">
        <v>18427</v>
      </c>
      <c r="F35" s="56">
        <v>22999</v>
      </c>
      <c r="G35" s="56">
        <v>24368</v>
      </c>
      <c r="H35" s="56">
        <v>38369</v>
      </c>
      <c r="I35" s="56">
        <v>38369</v>
      </c>
      <c r="K35" s="42" t="s">
        <v>51</v>
      </c>
    </row>
    <row r="36" spans="1:12">
      <c r="C36" s="11" t="s">
        <v>93</v>
      </c>
      <c r="D36" s="56">
        <v>1674</v>
      </c>
      <c r="E36" s="56">
        <v>1577</v>
      </c>
      <c r="F36" s="56">
        <v>6245</v>
      </c>
      <c r="G36" s="56">
        <v>5085</v>
      </c>
      <c r="H36" s="56">
        <v>1780</v>
      </c>
      <c r="I36" s="56">
        <v>1780</v>
      </c>
      <c r="K36" s="42" t="s">
        <v>52</v>
      </c>
    </row>
    <row r="37" spans="1:12">
      <c r="C37" s="11" t="s">
        <v>94</v>
      </c>
      <c r="D37" s="56">
        <v>123135</v>
      </c>
      <c r="E37" s="56">
        <v>140861</v>
      </c>
      <c r="F37" s="56">
        <v>184089</v>
      </c>
      <c r="G37" s="56">
        <v>184221</v>
      </c>
      <c r="H37" s="56">
        <v>161673</v>
      </c>
      <c r="I37" s="56">
        <v>161673</v>
      </c>
      <c r="J37" s="55"/>
      <c r="K37" s="42" t="s">
        <v>53</v>
      </c>
    </row>
    <row r="38" spans="1:12">
      <c r="C38" s="11" t="s">
        <v>95</v>
      </c>
      <c r="D38" s="56">
        <v>124110</v>
      </c>
      <c r="E38" s="56">
        <v>142007</v>
      </c>
      <c r="F38" s="56">
        <v>193884</v>
      </c>
      <c r="G38" s="56">
        <v>201934</v>
      </c>
      <c r="H38" s="56">
        <v>179240</v>
      </c>
      <c r="I38" s="56">
        <v>179240</v>
      </c>
      <c r="K38" s="42" t="s">
        <v>54</v>
      </c>
    </row>
    <row r="39" spans="1:12">
      <c r="D39" s="210"/>
      <c r="E39" s="210"/>
      <c r="F39" s="210"/>
      <c r="G39" s="210"/>
      <c r="H39" s="210"/>
      <c r="I39" s="210"/>
    </row>
    <row r="40" spans="1:12">
      <c r="C40" s="55" t="s">
        <v>96</v>
      </c>
      <c r="D40" s="211">
        <f t="shared" ref="D40:I40" si="1">+D15/D37</f>
        <v>0.10538027368335566</v>
      </c>
      <c r="E40" s="211">
        <f t="shared" si="1"/>
        <v>0.20907135402985921</v>
      </c>
      <c r="F40" s="211">
        <f t="shared" si="1"/>
        <v>0.10522084426554547</v>
      </c>
      <c r="G40" s="211">
        <f t="shared" si="1"/>
        <v>7.5469137611890072E-2</v>
      </c>
      <c r="H40" s="211">
        <f t="shared" si="1"/>
        <v>-3.2015240640057403E-2</v>
      </c>
      <c r="I40" s="211">
        <f t="shared" si="1"/>
        <v>-3.2015240640057403E-2</v>
      </c>
      <c r="L40" s="60">
        <f>+AVERAGE(D40:I40)</f>
        <v>7.1851854718422606E-2</v>
      </c>
    </row>
    <row r="41" spans="1:12">
      <c r="C41" s="55" t="s">
        <v>97</v>
      </c>
      <c r="D41" s="211">
        <f t="shared" ref="D41:I41" si="2">+D15/(D37-D32)</f>
        <v>0.11057802926363691</v>
      </c>
      <c r="E41" s="211">
        <f t="shared" si="2"/>
        <v>0.32590772772041654</v>
      </c>
      <c r="F41" s="211">
        <f t="shared" si="2"/>
        <v>0.10828185705900439</v>
      </c>
      <c r="G41" s="211">
        <f t="shared" si="2"/>
        <v>8.0814950446130143E-2</v>
      </c>
      <c r="H41" s="211">
        <f t="shared" si="2"/>
        <v>-3.4067648239684598E-2</v>
      </c>
      <c r="I41" s="211">
        <f t="shared" si="2"/>
        <v>-3.4067648239684598E-2</v>
      </c>
      <c r="L41" s="60">
        <f>+AVERAGE(D41:I41)</f>
        <v>9.2907878001636482E-2</v>
      </c>
    </row>
    <row r="44" spans="1:12">
      <c r="A44" s="11" t="s">
        <v>60</v>
      </c>
      <c r="B44" s="17" t="s">
        <v>55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6" spans="1:12">
      <c r="C46" s="11" t="s">
        <v>57</v>
      </c>
    </row>
    <row r="65" spans="3:3">
      <c r="C65" s="36" t="s">
        <v>58</v>
      </c>
    </row>
    <row r="84" spans="3:3">
      <c r="C84" s="11" t="s">
        <v>59</v>
      </c>
    </row>
    <row r="103" spans="1:3">
      <c r="A103" s="36"/>
      <c r="B103" s="36"/>
      <c r="C103" s="11" t="s">
        <v>67</v>
      </c>
    </row>
    <row r="123" spans="1:3">
      <c r="A123" s="11" t="s">
        <v>60</v>
      </c>
      <c r="B123" s="11" t="s">
        <v>60</v>
      </c>
      <c r="C123" s="11" t="s">
        <v>60</v>
      </c>
    </row>
  </sheetData>
  <phoneticPr fontId="1" type="noConversion"/>
  <pageMargins left="0.7" right="0.7" top="0.75" bottom="0.75" header="0.3" footer="0.3"/>
  <pageSetup paperSize="9" orientation="portrait" horizontalDpi="4294967292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</sheetPr>
  <dimension ref="A1:M123"/>
  <sheetViews>
    <sheetView showGridLines="0" tabSelected="1" zoomScaleNormal="100" workbookViewId="0">
      <pane ySplit="5" topLeftCell="A18" activePane="bottomLeft" state="frozen"/>
      <selection activeCell="G8" sqref="G8"/>
      <selection pane="bottomLeft" activeCell="A6" sqref="A6"/>
    </sheetView>
  </sheetViews>
  <sheetFormatPr defaultColWidth="8.59765625" defaultRowHeight="13.2"/>
  <cols>
    <col min="1" max="2" width="1.796875" style="11" customWidth="1"/>
    <col min="3" max="3" width="26.296875" style="11" customWidth="1"/>
    <col min="4" max="9" width="11.3984375" style="11" customWidth="1"/>
    <col min="10" max="10" width="3.59765625" style="11" customWidth="1"/>
    <col min="11" max="11" width="13.8984375" style="11" customWidth="1"/>
    <col min="12" max="12" width="11.3984375" style="11" customWidth="1"/>
    <col min="13" max="16384" width="8.59765625" style="11"/>
  </cols>
  <sheetData>
    <row r="1" spans="1:13" ht="8.1" customHeight="1"/>
    <row r="2" spans="1:13" s="13" customFormat="1" ht="18.600000000000001" thickBot="1">
      <c r="A2" s="12" t="s">
        <v>61</v>
      </c>
      <c r="G2" s="37"/>
    </row>
    <row r="3" spans="1:13" s="15" customFormat="1">
      <c r="A3" s="14"/>
      <c r="C3" s="15" t="s">
        <v>11</v>
      </c>
      <c r="D3" s="43" t="s">
        <v>71</v>
      </c>
      <c r="E3" s="39"/>
      <c r="F3" s="15" t="s">
        <v>18</v>
      </c>
      <c r="G3" s="45">
        <v>0.21</v>
      </c>
    </row>
    <row r="4" spans="1:13" s="15" customFormat="1">
      <c r="A4" s="14"/>
      <c r="D4" s="46" t="s">
        <v>99</v>
      </c>
      <c r="E4" s="39"/>
      <c r="F4" s="15" t="s">
        <v>29</v>
      </c>
      <c r="G4" s="43" t="s">
        <v>70</v>
      </c>
      <c r="J4" s="40"/>
      <c r="M4" s="41"/>
    </row>
    <row r="5" spans="1:13" s="15" customFormat="1">
      <c r="F5" s="15" t="s">
        <v>28</v>
      </c>
      <c r="G5" s="44">
        <v>44323</v>
      </c>
    </row>
    <row r="6" spans="1:13">
      <c r="A6" s="16"/>
      <c r="F6" s="47"/>
      <c r="G6" s="48"/>
      <c r="H6" s="49"/>
      <c r="I6" s="47"/>
    </row>
    <row r="7" spans="1:13">
      <c r="A7" s="11" t="s">
        <v>60</v>
      </c>
      <c r="B7" s="17" t="s">
        <v>56</v>
      </c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3">
      <c r="C8" s="38"/>
    </row>
    <row r="9" spans="1:13">
      <c r="C9" s="50"/>
      <c r="D9" s="51">
        <v>2016</v>
      </c>
      <c r="E9" s="51">
        <v>2017</v>
      </c>
      <c r="F9" s="51">
        <v>2018</v>
      </c>
      <c r="G9" s="51">
        <v>2019</v>
      </c>
      <c r="H9" s="51">
        <v>2020</v>
      </c>
      <c r="I9" s="52" t="s">
        <v>199</v>
      </c>
      <c r="K9" s="53" t="s">
        <v>30</v>
      </c>
      <c r="L9" s="52" t="s">
        <v>68</v>
      </c>
    </row>
    <row r="10" spans="1:13">
      <c r="C10" s="11" t="s">
        <v>14</v>
      </c>
      <c r="D10" s="56">
        <v>163786</v>
      </c>
      <c r="E10" s="56">
        <v>160546</v>
      </c>
      <c r="F10" s="56">
        <v>170756</v>
      </c>
      <c r="G10" s="56">
        <v>181193</v>
      </c>
      <c r="H10" s="56">
        <v>171760</v>
      </c>
      <c r="I10" s="56">
        <v>172920</v>
      </c>
      <c r="K10" s="42" t="s">
        <v>38</v>
      </c>
    </row>
    <row r="11" spans="1:13">
      <c r="C11" s="11" t="s">
        <v>12</v>
      </c>
      <c r="D11" s="56">
        <v>24905</v>
      </c>
      <c r="E11" s="56">
        <v>23995</v>
      </c>
      <c r="F11" s="56">
        <v>31618</v>
      </c>
      <c r="G11" s="56">
        <v>27741</v>
      </c>
      <c r="H11" s="56">
        <v>25656</v>
      </c>
      <c r="I11" s="56">
        <v>25708</v>
      </c>
      <c r="K11" s="42" t="s">
        <v>39</v>
      </c>
    </row>
    <row r="12" spans="1:13">
      <c r="C12" s="11" t="s">
        <v>13</v>
      </c>
      <c r="D12" s="56">
        <v>48390</v>
      </c>
      <c r="E12" s="56">
        <v>45572</v>
      </c>
      <c r="F12" s="56">
        <v>56956</v>
      </c>
      <c r="G12" s="56">
        <v>52645</v>
      </c>
      <c r="H12" s="56">
        <v>50689</v>
      </c>
      <c r="I12" s="56">
        <v>49328</v>
      </c>
      <c r="K12" s="42" t="s">
        <v>40</v>
      </c>
      <c r="L12" s="59">
        <v>50596.666666666664</v>
      </c>
    </row>
    <row r="13" spans="1:13">
      <c r="C13" s="58" t="s">
        <v>64</v>
      </c>
      <c r="D13" s="56">
        <v>23485</v>
      </c>
      <c r="E13" s="56">
        <v>21577</v>
      </c>
      <c r="F13" s="56">
        <v>25338</v>
      </c>
      <c r="G13" s="56">
        <v>24904</v>
      </c>
      <c r="H13" s="56">
        <v>25033</v>
      </c>
      <c r="I13" s="56">
        <v>23620</v>
      </c>
      <c r="K13" s="42"/>
    </row>
    <row r="14" spans="1:13">
      <c r="C14" s="11" t="s">
        <v>35</v>
      </c>
      <c r="D14" s="56">
        <v>13333</v>
      </c>
      <c r="E14" s="56">
        <v>29847</v>
      </c>
      <c r="F14" s="56">
        <v>19953</v>
      </c>
      <c r="G14" s="56">
        <v>14975</v>
      </c>
      <c r="H14" s="56">
        <v>-3821</v>
      </c>
      <c r="I14" s="56">
        <v>-842</v>
      </c>
      <c r="K14" s="42" t="s">
        <v>41</v>
      </c>
    </row>
    <row r="15" spans="1:13">
      <c r="C15" s="11" t="s">
        <v>27</v>
      </c>
      <c r="D15" s="56">
        <v>12976</v>
      </c>
      <c r="E15" s="56">
        <v>29450</v>
      </c>
      <c r="F15" s="56">
        <v>19370</v>
      </c>
      <c r="G15" s="56">
        <v>13903</v>
      </c>
      <c r="H15" s="56">
        <v>-5176</v>
      </c>
      <c r="I15" s="56">
        <v>-2236</v>
      </c>
      <c r="K15" s="42" t="s">
        <v>42</v>
      </c>
      <c r="L15" s="59">
        <v>11381.166666666666</v>
      </c>
    </row>
    <row r="16" spans="1:13">
      <c r="D16" s="209"/>
      <c r="E16" s="209"/>
      <c r="F16" s="209"/>
      <c r="G16" s="209"/>
      <c r="H16" s="209"/>
      <c r="I16" s="209"/>
      <c r="K16" s="42"/>
    </row>
    <row r="17" spans="3:12">
      <c r="C17" s="55" t="s">
        <v>31</v>
      </c>
      <c r="D17" s="54">
        <v>0.15205817347025996</v>
      </c>
      <c r="E17" s="54">
        <v>0.14945872211079692</v>
      </c>
      <c r="F17" s="54">
        <v>0.18516479655180493</v>
      </c>
      <c r="G17" s="54">
        <v>0.15310194102421176</v>
      </c>
      <c r="H17" s="54">
        <v>0.14937121564974382</v>
      </c>
      <c r="I17" s="54">
        <v>0.14866990515845477</v>
      </c>
      <c r="K17" s="42"/>
    </row>
    <row r="18" spans="3:12">
      <c r="C18" s="55" t="s">
        <v>32</v>
      </c>
      <c r="D18" s="54">
        <v>0.29544649725861793</v>
      </c>
      <c r="E18" s="54">
        <v>0.28385634023893463</v>
      </c>
      <c r="F18" s="54">
        <v>0.33355196889128347</v>
      </c>
      <c r="G18" s="54">
        <v>0.29054654429254995</v>
      </c>
      <c r="H18" s="54">
        <v>0.29511527713088032</v>
      </c>
      <c r="I18" s="54">
        <v>0.28526486236409898</v>
      </c>
      <c r="K18" s="42"/>
    </row>
    <row r="19" spans="3:12">
      <c r="C19" s="55" t="s">
        <v>33</v>
      </c>
      <c r="D19" s="54">
        <v>8.1405004090703725E-2</v>
      </c>
      <c r="E19" s="54">
        <v>0.18590933439637239</v>
      </c>
      <c r="F19" s="54">
        <v>0.1168509452083675</v>
      </c>
      <c r="G19" s="54">
        <v>8.2646680611281886E-2</v>
      </c>
      <c r="H19" s="54">
        <v>-2.2246157428970657E-2</v>
      </c>
      <c r="I19" s="54">
        <v>-4.8693037242655566E-3</v>
      </c>
      <c r="K19" s="42"/>
    </row>
    <row r="20" spans="3:12">
      <c r="D20" s="209"/>
      <c r="E20" s="209"/>
      <c r="F20" s="209"/>
      <c r="G20" s="209"/>
      <c r="H20" s="209"/>
      <c r="I20" s="209"/>
      <c r="K20" s="42"/>
    </row>
    <row r="21" spans="3:12">
      <c r="C21" s="11" t="s">
        <v>15</v>
      </c>
      <c r="D21" s="56">
        <v>-22408</v>
      </c>
      <c r="E21" s="56">
        <v>-21550</v>
      </c>
      <c r="F21" s="56">
        <v>-21251</v>
      </c>
      <c r="G21" s="56">
        <v>-19635</v>
      </c>
      <c r="H21" s="56">
        <v>-15675</v>
      </c>
      <c r="I21" s="56">
        <v>-14742</v>
      </c>
      <c r="K21" s="42" t="s">
        <v>43</v>
      </c>
    </row>
    <row r="22" spans="3:12">
      <c r="C22" s="11" t="s">
        <v>16</v>
      </c>
      <c r="D22" s="56">
        <v>0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K22" s="42" t="s">
        <v>44</v>
      </c>
    </row>
    <row r="23" spans="3:12">
      <c r="C23" s="11" t="s">
        <v>17</v>
      </c>
      <c r="D23" s="56">
        <v>646</v>
      </c>
      <c r="E23" s="56">
        <v>59</v>
      </c>
      <c r="F23" s="56">
        <v>2148</v>
      </c>
      <c r="G23" s="56">
        <v>4684</v>
      </c>
      <c r="H23" s="56">
        <v>3641</v>
      </c>
      <c r="I23" s="56">
        <v>3574</v>
      </c>
      <c r="K23" s="42" t="s">
        <v>45</v>
      </c>
    </row>
    <row r="24" spans="3:12">
      <c r="D24" s="56"/>
      <c r="E24" s="56"/>
      <c r="F24" s="56"/>
      <c r="G24" s="56"/>
      <c r="H24" s="56"/>
      <c r="I24" s="56"/>
      <c r="K24" s="42"/>
    </row>
    <row r="25" spans="3:12">
      <c r="C25" s="11" t="s">
        <v>63</v>
      </c>
      <c r="D25" s="56">
        <v>21397.949999999997</v>
      </c>
      <c r="E25" s="56">
        <v>19042.050000000003</v>
      </c>
      <c r="F25" s="56">
        <v>31213.22</v>
      </c>
      <c r="G25" s="56">
        <v>31868.39</v>
      </c>
      <c r="H25" s="56">
        <v>33267.240000000005</v>
      </c>
      <c r="I25" s="56">
        <v>32761.32</v>
      </c>
      <c r="K25" s="59"/>
      <c r="L25" s="59">
        <v>28258.361666666668</v>
      </c>
    </row>
    <row r="26" spans="3:12">
      <c r="C26" s="11" t="s">
        <v>65</v>
      </c>
      <c r="D26" s="56">
        <v>1959.6000000000004</v>
      </c>
      <c r="E26" s="56">
        <v>12969.3</v>
      </c>
      <c r="F26" s="56">
        <v>7694.2999999999993</v>
      </c>
      <c r="G26" s="56">
        <v>5015.7999999999993</v>
      </c>
      <c r="H26" s="56">
        <v>-10475.400000000001</v>
      </c>
      <c r="I26" s="56">
        <v>-9980.5</v>
      </c>
      <c r="K26" s="59"/>
      <c r="L26" s="59">
        <v>1197.1833333333325</v>
      </c>
    </row>
    <row r="27" spans="3:12">
      <c r="D27" s="56"/>
      <c r="E27" s="56"/>
      <c r="F27" s="56"/>
      <c r="G27" s="56"/>
      <c r="H27" s="56"/>
      <c r="I27" s="56"/>
      <c r="K27" s="42"/>
    </row>
    <row r="28" spans="3:12">
      <c r="C28" s="11" t="s">
        <v>19</v>
      </c>
      <c r="D28" s="56">
        <v>38442</v>
      </c>
      <c r="E28" s="56">
        <v>38010</v>
      </c>
      <c r="F28" s="56">
        <v>43602</v>
      </c>
      <c r="G28" s="56">
        <v>48668</v>
      </c>
      <c r="H28" s="56">
        <v>43130</v>
      </c>
      <c r="I28" s="56">
        <v>44191</v>
      </c>
      <c r="K28" s="42" t="s">
        <v>46</v>
      </c>
    </row>
    <row r="29" spans="3:12">
      <c r="C29" s="11" t="s">
        <v>20</v>
      </c>
      <c r="D29" s="56">
        <v>-23318</v>
      </c>
      <c r="E29" s="56">
        <v>-18943</v>
      </c>
      <c r="F29" s="56">
        <v>-63145</v>
      </c>
      <c r="G29" s="56">
        <v>-16690</v>
      </c>
      <c r="H29" s="56">
        <v>-13548</v>
      </c>
      <c r="I29" s="56">
        <v>-35378</v>
      </c>
      <c r="K29" s="42" t="s">
        <v>47</v>
      </c>
    </row>
    <row r="30" spans="3:12">
      <c r="C30" s="11" t="s">
        <v>21</v>
      </c>
      <c r="D30" s="56">
        <v>-14462</v>
      </c>
      <c r="E30" s="56">
        <v>25930</v>
      </c>
      <c r="F30" s="56">
        <v>-25989</v>
      </c>
      <c r="G30" s="56">
        <v>-25083</v>
      </c>
      <c r="H30" s="56">
        <v>-32007</v>
      </c>
      <c r="I30" s="56">
        <v>-7425</v>
      </c>
      <c r="K30" s="42" t="s">
        <v>48</v>
      </c>
    </row>
    <row r="31" spans="3:12">
      <c r="D31" s="56"/>
      <c r="E31" s="56"/>
      <c r="F31" s="56"/>
      <c r="G31" s="56"/>
      <c r="H31" s="56"/>
      <c r="I31" s="56"/>
      <c r="K31" s="42"/>
    </row>
    <row r="32" spans="3:12">
      <c r="C32" s="11" t="s">
        <v>22</v>
      </c>
      <c r="D32" s="56">
        <v>5788</v>
      </c>
      <c r="E32" s="56">
        <v>50498</v>
      </c>
      <c r="F32" s="56">
        <v>5204</v>
      </c>
      <c r="G32" s="56">
        <v>12130</v>
      </c>
      <c r="H32" s="56">
        <v>9769</v>
      </c>
      <c r="I32" s="56">
        <v>11342</v>
      </c>
      <c r="K32" s="42" t="s">
        <v>49</v>
      </c>
    </row>
    <row r="33" spans="1:12">
      <c r="C33" s="11" t="s">
        <v>23</v>
      </c>
      <c r="D33" s="56">
        <v>127394</v>
      </c>
      <c r="E33" s="56">
        <v>165667</v>
      </c>
      <c r="F33" s="56">
        <v>179107</v>
      </c>
      <c r="G33" s="56">
        <v>188402</v>
      </c>
      <c r="H33" s="56">
        <v>182984</v>
      </c>
      <c r="I33" s="56">
        <v>201965</v>
      </c>
      <c r="K33" s="42" t="s">
        <v>50</v>
      </c>
    </row>
    <row r="34" spans="1:12">
      <c r="C34" s="58" t="s">
        <v>66</v>
      </c>
      <c r="D34" s="56">
        <v>12739.4</v>
      </c>
      <c r="E34" s="56">
        <v>16566.7</v>
      </c>
      <c r="F34" s="56">
        <v>17910.7</v>
      </c>
      <c r="G34" s="56">
        <v>18840.2</v>
      </c>
      <c r="H34" s="56">
        <v>18298.400000000001</v>
      </c>
      <c r="I34" s="56">
        <v>20196.5</v>
      </c>
      <c r="K34" s="57">
        <v>10</v>
      </c>
    </row>
    <row r="35" spans="1:12">
      <c r="C35" s="11" t="s">
        <v>24</v>
      </c>
      <c r="D35" s="56">
        <v>16812</v>
      </c>
      <c r="E35" s="56">
        <v>18427</v>
      </c>
      <c r="F35" s="56">
        <v>22999</v>
      </c>
      <c r="G35" s="56">
        <v>25747</v>
      </c>
      <c r="H35" s="56">
        <v>28087</v>
      </c>
      <c r="I35" s="56">
        <v>60528</v>
      </c>
      <c r="K35" s="42" t="s">
        <v>51</v>
      </c>
    </row>
    <row r="36" spans="1:12">
      <c r="C36" s="11" t="s">
        <v>25</v>
      </c>
      <c r="D36" s="56">
        <v>1674</v>
      </c>
      <c r="E36" s="56">
        <v>1577</v>
      </c>
      <c r="F36" s="56">
        <v>6245</v>
      </c>
      <c r="G36" s="56">
        <v>3706</v>
      </c>
      <c r="H36" s="56">
        <v>3230</v>
      </c>
      <c r="I36" s="56">
        <v>1805</v>
      </c>
      <c r="K36" s="42" t="s">
        <v>52</v>
      </c>
    </row>
    <row r="37" spans="1:12">
      <c r="C37" s="11" t="s">
        <v>34</v>
      </c>
      <c r="D37" s="56">
        <v>123135</v>
      </c>
      <c r="E37" s="56">
        <v>140861</v>
      </c>
      <c r="F37" s="56">
        <v>184089</v>
      </c>
      <c r="G37" s="56">
        <v>184221</v>
      </c>
      <c r="H37" s="56">
        <v>161673</v>
      </c>
      <c r="I37" s="56">
        <v>165488</v>
      </c>
      <c r="K37" s="42" t="s">
        <v>53</v>
      </c>
    </row>
    <row r="38" spans="1:12">
      <c r="C38" s="11" t="s">
        <v>26</v>
      </c>
      <c r="D38" s="56">
        <v>124110</v>
      </c>
      <c r="E38" s="56">
        <v>142007</v>
      </c>
      <c r="F38" s="56">
        <v>193884</v>
      </c>
      <c r="G38" s="56">
        <v>201934</v>
      </c>
      <c r="H38" s="56">
        <v>179240</v>
      </c>
      <c r="I38" s="56">
        <v>183079</v>
      </c>
      <c r="K38" s="42" t="s">
        <v>54</v>
      </c>
    </row>
    <row r="39" spans="1:12">
      <c r="D39" s="210"/>
      <c r="E39" s="210"/>
      <c r="F39" s="210"/>
      <c r="G39" s="210"/>
      <c r="H39" s="210"/>
      <c r="I39" s="210"/>
    </row>
    <row r="40" spans="1:12">
      <c r="C40" s="55" t="s">
        <v>36</v>
      </c>
      <c r="D40" s="211">
        <v>0.10538027368335566</v>
      </c>
      <c r="E40" s="211">
        <v>0.20907135402985921</v>
      </c>
      <c r="F40" s="211">
        <v>0.10522084426554547</v>
      </c>
      <c r="G40" s="211">
        <v>7.5469137611890072E-2</v>
      </c>
      <c r="H40" s="211">
        <v>-3.2015240640057403E-2</v>
      </c>
      <c r="I40" s="211">
        <v>-1.3511553707821715E-2</v>
      </c>
      <c r="L40" s="60">
        <v>7.4935802540461879E-2</v>
      </c>
    </row>
    <row r="41" spans="1:12">
      <c r="C41" s="55" t="s">
        <v>37</v>
      </c>
      <c r="D41" s="211">
        <v>0.11057802926363691</v>
      </c>
      <c r="E41" s="211">
        <v>0.32590772772041654</v>
      </c>
      <c r="F41" s="211">
        <v>0.10828185705900439</v>
      </c>
      <c r="G41" s="211">
        <v>8.0788652515239034E-2</v>
      </c>
      <c r="H41" s="211">
        <v>-3.407415209606067E-2</v>
      </c>
      <c r="I41" s="211">
        <v>-1.4505728335474161E-2</v>
      </c>
      <c r="L41" s="60">
        <v>9.6162731021127004E-2</v>
      </c>
    </row>
    <row r="42" spans="1:12">
      <c r="D42" s="210"/>
      <c r="E42" s="210"/>
      <c r="F42" s="210"/>
      <c r="G42" s="210"/>
      <c r="H42" s="210"/>
      <c r="I42" s="210"/>
    </row>
    <row r="43" spans="1:12">
      <c r="D43" s="210"/>
      <c r="E43" s="210"/>
      <c r="F43" s="210"/>
      <c r="G43" s="210"/>
      <c r="H43" s="210"/>
      <c r="I43" s="210"/>
    </row>
    <row r="44" spans="1:12">
      <c r="A44" s="11" t="s">
        <v>60</v>
      </c>
      <c r="B44" s="17" t="s">
        <v>55</v>
      </c>
      <c r="C44" s="18"/>
      <c r="D44" s="212"/>
      <c r="E44" s="212"/>
      <c r="F44" s="212"/>
      <c r="G44" s="212"/>
      <c r="H44" s="212"/>
      <c r="I44" s="212"/>
      <c r="J44" s="18"/>
      <c r="K44" s="18"/>
      <c r="L44" s="18"/>
    </row>
    <row r="45" spans="1:12">
      <c r="D45" s="210"/>
      <c r="E45" s="210"/>
      <c r="F45" s="210"/>
      <c r="G45" s="210"/>
      <c r="H45" s="210"/>
      <c r="I45" s="210"/>
    </row>
    <row r="46" spans="1:12">
      <c r="C46" s="11" t="s">
        <v>57</v>
      </c>
      <c r="D46" s="210"/>
      <c r="E46" s="210"/>
      <c r="F46" s="210"/>
      <c r="G46" s="210"/>
      <c r="H46" s="210"/>
      <c r="I46" s="210"/>
    </row>
    <row r="47" spans="1:12">
      <c r="D47" s="210"/>
      <c r="E47" s="210"/>
      <c r="F47" s="210"/>
      <c r="G47" s="210"/>
      <c r="H47" s="210"/>
      <c r="I47" s="210"/>
    </row>
    <row r="48" spans="1:12">
      <c r="D48" s="210"/>
      <c r="E48" s="210"/>
      <c r="F48" s="210"/>
      <c r="G48" s="210"/>
      <c r="H48" s="210"/>
      <c r="I48" s="210"/>
    </row>
    <row r="49" spans="4:9">
      <c r="D49" s="210"/>
      <c r="E49" s="210"/>
      <c r="F49" s="210"/>
      <c r="G49" s="210"/>
      <c r="H49" s="210"/>
      <c r="I49" s="210"/>
    </row>
    <row r="50" spans="4:9">
      <c r="D50" s="210"/>
      <c r="E50" s="210"/>
      <c r="F50" s="210"/>
      <c r="G50" s="210"/>
      <c r="H50" s="210"/>
      <c r="I50" s="210"/>
    </row>
    <row r="51" spans="4:9">
      <c r="D51" s="210"/>
      <c r="E51" s="210"/>
      <c r="F51" s="210"/>
      <c r="G51" s="210"/>
      <c r="H51" s="210"/>
      <c r="I51" s="210"/>
    </row>
    <row r="52" spans="4:9">
      <c r="D52" s="210"/>
      <c r="E52" s="210"/>
      <c r="F52" s="210"/>
      <c r="G52" s="210"/>
      <c r="H52" s="210"/>
      <c r="I52" s="210"/>
    </row>
    <row r="53" spans="4:9">
      <c r="D53" s="210"/>
      <c r="E53" s="210"/>
      <c r="F53" s="210"/>
      <c r="G53" s="210"/>
      <c r="H53" s="210"/>
      <c r="I53" s="210"/>
    </row>
    <row r="54" spans="4:9">
      <c r="D54" s="210"/>
      <c r="E54" s="210"/>
      <c r="F54" s="210"/>
      <c r="G54" s="210"/>
      <c r="H54" s="210"/>
      <c r="I54" s="210"/>
    </row>
    <row r="55" spans="4:9">
      <c r="D55" s="210"/>
      <c r="E55" s="210"/>
      <c r="F55" s="210"/>
      <c r="G55" s="210"/>
      <c r="H55" s="210"/>
      <c r="I55" s="210"/>
    </row>
    <row r="56" spans="4:9">
      <c r="D56" s="210"/>
      <c r="E56" s="210"/>
      <c r="F56" s="210"/>
      <c r="G56" s="210"/>
      <c r="H56" s="210"/>
      <c r="I56" s="210"/>
    </row>
    <row r="57" spans="4:9">
      <c r="D57" s="210"/>
      <c r="E57" s="210"/>
      <c r="F57" s="210"/>
      <c r="G57" s="210"/>
      <c r="H57" s="210"/>
      <c r="I57" s="210"/>
    </row>
    <row r="58" spans="4:9">
      <c r="D58" s="210"/>
      <c r="E58" s="210"/>
      <c r="F58" s="210"/>
      <c r="G58" s="210"/>
      <c r="H58" s="210"/>
      <c r="I58" s="210"/>
    </row>
    <row r="59" spans="4:9">
      <c r="D59" s="210"/>
      <c r="E59" s="210"/>
      <c r="F59" s="210"/>
      <c r="G59" s="210"/>
      <c r="H59" s="210"/>
      <c r="I59" s="210"/>
    </row>
    <row r="60" spans="4:9">
      <c r="D60" s="210"/>
      <c r="E60" s="210"/>
      <c r="F60" s="210"/>
      <c r="G60" s="210"/>
      <c r="H60" s="210"/>
      <c r="I60" s="210"/>
    </row>
    <row r="61" spans="4:9">
      <c r="D61" s="210"/>
      <c r="E61" s="210"/>
      <c r="F61" s="210"/>
      <c r="G61" s="210"/>
      <c r="H61" s="210"/>
      <c r="I61" s="210"/>
    </row>
    <row r="62" spans="4:9">
      <c r="D62" s="210"/>
      <c r="E62" s="210"/>
      <c r="F62" s="210"/>
      <c r="G62" s="210"/>
      <c r="H62" s="210"/>
      <c r="I62" s="210"/>
    </row>
    <row r="63" spans="4:9">
      <c r="D63" s="210"/>
      <c r="E63" s="210"/>
      <c r="F63" s="210"/>
      <c r="G63" s="210"/>
      <c r="H63" s="210"/>
      <c r="I63" s="210"/>
    </row>
    <row r="64" spans="4:9">
      <c r="D64" s="210"/>
      <c r="E64" s="210"/>
      <c r="F64" s="210"/>
      <c r="G64" s="210"/>
      <c r="H64" s="210"/>
      <c r="I64" s="210"/>
    </row>
    <row r="65" spans="3:9">
      <c r="C65" s="36" t="s">
        <v>58</v>
      </c>
      <c r="D65" s="210"/>
      <c r="E65" s="210"/>
      <c r="F65" s="210"/>
      <c r="G65" s="210"/>
      <c r="H65" s="210"/>
      <c r="I65" s="210"/>
    </row>
    <row r="66" spans="3:9">
      <c r="D66" s="210"/>
      <c r="E66" s="210"/>
      <c r="F66" s="210"/>
      <c r="G66" s="210"/>
      <c r="H66" s="210"/>
      <c r="I66" s="210"/>
    </row>
    <row r="67" spans="3:9">
      <c r="D67" s="210"/>
      <c r="E67" s="210"/>
      <c r="F67" s="210"/>
      <c r="G67" s="210"/>
      <c r="H67" s="210"/>
      <c r="I67" s="210"/>
    </row>
    <row r="68" spans="3:9">
      <c r="D68" s="210"/>
      <c r="E68" s="210"/>
      <c r="F68" s="210"/>
      <c r="G68" s="210"/>
      <c r="H68" s="210"/>
      <c r="I68" s="210"/>
    </row>
    <row r="69" spans="3:9">
      <c r="D69" s="210"/>
      <c r="E69" s="210"/>
      <c r="F69" s="210"/>
      <c r="G69" s="210"/>
      <c r="H69" s="210"/>
      <c r="I69" s="210"/>
    </row>
    <row r="70" spans="3:9">
      <c r="D70" s="210"/>
      <c r="E70" s="210"/>
      <c r="F70" s="210"/>
      <c r="G70" s="210"/>
      <c r="H70" s="210"/>
      <c r="I70" s="210"/>
    </row>
    <row r="71" spans="3:9">
      <c r="D71" s="210"/>
      <c r="E71" s="210"/>
      <c r="F71" s="210"/>
      <c r="G71" s="210"/>
      <c r="H71" s="210"/>
      <c r="I71" s="210"/>
    </row>
    <row r="72" spans="3:9">
      <c r="D72" s="210"/>
      <c r="E72" s="210"/>
      <c r="F72" s="210"/>
      <c r="G72" s="210"/>
      <c r="H72" s="210"/>
      <c r="I72" s="210"/>
    </row>
    <row r="73" spans="3:9">
      <c r="D73" s="210"/>
      <c r="E73" s="210"/>
      <c r="F73" s="210"/>
      <c r="G73" s="210"/>
      <c r="H73" s="210"/>
      <c r="I73" s="210"/>
    </row>
    <row r="74" spans="3:9">
      <c r="D74" s="210"/>
      <c r="E74" s="210"/>
      <c r="F74" s="210"/>
      <c r="G74" s="210"/>
      <c r="H74" s="210"/>
      <c r="I74" s="210"/>
    </row>
    <row r="75" spans="3:9">
      <c r="D75" s="210"/>
      <c r="E75" s="210"/>
      <c r="F75" s="210"/>
      <c r="G75" s="210"/>
      <c r="H75" s="210"/>
      <c r="I75" s="210"/>
    </row>
    <row r="76" spans="3:9">
      <c r="D76" s="210"/>
      <c r="E76" s="210"/>
      <c r="F76" s="210"/>
      <c r="G76" s="210"/>
      <c r="H76" s="210"/>
      <c r="I76" s="210"/>
    </row>
    <row r="77" spans="3:9">
      <c r="D77" s="210"/>
      <c r="E77" s="210"/>
      <c r="F77" s="210"/>
      <c r="G77" s="210"/>
      <c r="H77" s="210"/>
      <c r="I77" s="210"/>
    </row>
    <row r="78" spans="3:9">
      <c r="D78" s="210"/>
      <c r="E78" s="210"/>
      <c r="F78" s="210"/>
      <c r="G78" s="210"/>
      <c r="H78" s="210"/>
      <c r="I78" s="210"/>
    </row>
    <row r="79" spans="3:9">
      <c r="D79" s="210"/>
      <c r="E79" s="210"/>
      <c r="F79" s="210"/>
      <c r="G79" s="210"/>
      <c r="H79" s="210"/>
      <c r="I79" s="210"/>
    </row>
    <row r="80" spans="3:9">
      <c r="D80" s="210"/>
      <c r="E80" s="210"/>
      <c r="F80" s="210"/>
      <c r="G80" s="210"/>
      <c r="H80" s="210"/>
      <c r="I80" s="210"/>
    </row>
    <row r="81" spans="3:9">
      <c r="D81" s="210"/>
      <c r="E81" s="210"/>
      <c r="F81" s="210"/>
      <c r="G81" s="210"/>
      <c r="H81" s="210"/>
      <c r="I81" s="210"/>
    </row>
    <row r="82" spans="3:9">
      <c r="D82" s="210"/>
      <c r="E82" s="210"/>
      <c r="F82" s="210"/>
      <c r="G82" s="210"/>
      <c r="H82" s="210"/>
      <c r="I82" s="210"/>
    </row>
    <row r="83" spans="3:9">
      <c r="D83" s="210"/>
      <c r="E83" s="210"/>
      <c r="F83" s="210"/>
      <c r="G83" s="210"/>
      <c r="H83" s="210"/>
      <c r="I83" s="210"/>
    </row>
    <row r="84" spans="3:9">
      <c r="C84" s="11" t="s">
        <v>59</v>
      </c>
      <c r="D84" s="210"/>
      <c r="E84" s="210"/>
      <c r="F84" s="210"/>
      <c r="G84" s="210"/>
      <c r="H84" s="210"/>
      <c r="I84" s="210"/>
    </row>
    <row r="103" spans="1:3">
      <c r="A103" s="36"/>
      <c r="B103" s="36"/>
      <c r="C103" s="11" t="s">
        <v>67</v>
      </c>
    </row>
    <row r="123" spans="1:3">
      <c r="A123" s="11" t="s">
        <v>60</v>
      </c>
      <c r="B123" s="11" t="s">
        <v>60</v>
      </c>
      <c r="C123" s="11" t="s">
        <v>60</v>
      </c>
    </row>
  </sheetData>
  <phoneticPr fontId="1" type="noConversion"/>
  <pageMargins left="0.7" right="0.7" top="0.75" bottom="0.75" header="0.3" footer="0.3"/>
  <pageSetup paperSize="9" orientation="portrait" horizontalDpi="4294967292" r:id="rId1"/>
  <customProperties>
    <customPr name="Guid" r:id="rId2"/>
  </customPropertie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00"/>
  </sheetPr>
  <dimension ref="B2:M8"/>
  <sheetViews>
    <sheetView showGridLines="0" workbookViewId="0"/>
  </sheetViews>
  <sheetFormatPr defaultColWidth="9" defaultRowHeight="17.399999999999999"/>
  <cols>
    <col min="1" max="1" width="3.69921875" style="1" customWidth="1"/>
    <col min="2" max="16384" width="9" style="1"/>
  </cols>
  <sheetData>
    <row r="2" spans="2:13">
      <c r="B2" s="2" t="s">
        <v>5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2:13"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spans="2:13"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7"/>
    </row>
    <row r="5" spans="2:13">
      <c r="B5" s="5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7"/>
    </row>
    <row r="6" spans="2:13">
      <c r="B6" s="5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7"/>
    </row>
    <row r="7" spans="2:13">
      <c r="B7" s="5" t="s">
        <v>6</v>
      </c>
      <c r="C7" s="6"/>
      <c r="D7" s="6"/>
      <c r="E7" s="6"/>
      <c r="F7" s="6"/>
      <c r="G7" s="6"/>
      <c r="H7" s="6"/>
      <c r="I7" s="6"/>
      <c r="J7" s="6"/>
      <c r="K7" s="6"/>
      <c r="L7" s="6"/>
      <c r="M7" s="7"/>
    </row>
    <row r="8" spans="2:13">
      <c r="B8" s="8" t="s">
        <v>7</v>
      </c>
      <c r="C8" s="9"/>
      <c r="D8" s="9"/>
      <c r="E8" s="9"/>
      <c r="F8" s="9"/>
      <c r="G8" s="9"/>
      <c r="H8" s="9"/>
      <c r="I8" s="9"/>
      <c r="J8" s="9"/>
      <c r="K8" s="9"/>
      <c r="L8" s="9"/>
      <c r="M8" s="10"/>
    </row>
  </sheetData>
  <sheetProtection password="DA72" sheet="1" objects="1" scenarios="1" selectLockedCells="1" selectUnlockedCells="1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2</vt:i4>
      </vt:variant>
    </vt:vector>
  </HeadingPairs>
  <TitlesOfParts>
    <vt:vector size="9" baseType="lpstr">
      <vt:lpstr>Cover</vt:lpstr>
      <vt:lpstr>현황판</vt:lpstr>
      <vt:lpstr>IBPE_배당 수익률 계산기 (교재)</vt:lpstr>
      <vt:lpstr>IBPE_배당 수익률 계산기 (정답)</vt:lpstr>
      <vt:lpstr>Data_ AT&amp;T 데이터</vt:lpstr>
      <vt:lpstr>Data_CIQ 다운로드</vt:lpstr>
      <vt:lpstr>CR</vt:lpstr>
      <vt:lpstr>Circ</vt:lpstr>
      <vt:lpstr>Cover!Print_Area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Shake Shack DCF</dc:title>
  <dc:creator>Wall Street Training Inc.</dc:creator>
  <cp:keywords>WST Finanial Modeling</cp:keywords>
  <cp:lastModifiedBy>채현기</cp:lastModifiedBy>
  <dcterms:created xsi:type="dcterms:W3CDTF">2018-07-04T06:49:52Z</dcterms:created>
  <dcterms:modified xsi:type="dcterms:W3CDTF">2025-06-24T00:36:12Z</dcterms:modified>
</cp:coreProperties>
</file>