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which\Desktop\RFS\25-2\테크윙\"/>
    </mc:Choice>
  </mc:AlternateContent>
  <xr:revisionPtr revIDLastSave="0" documentId="13_ncr:1_{C04433A5-E994-4001-9B0F-2EC50CC6C784}" xr6:coauthVersionLast="47" xr6:coauthVersionMax="47" xr10:uidLastSave="{00000000-0000-0000-0000-000000000000}"/>
  <bookViews>
    <workbookView xWindow="12670" yWindow="0" windowWidth="13020" windowHeight="15370" firstSheet="2" activeTab="2" xr2:uid="{F6EF4A61-196F-43C3-B402-72F052F51C2E}"/>
  </bookViews>
  <sheets>
    <sheet name="Valuation" sheetId="8" r:id="rId1"/>
    <sheet name="Expected IS" sheetId="11" r:id="rId2"/>
    <sheet name="매출 추정" sheetId="29" r:id="rId3"/>
    <sheet name="PER" sheetId="16" r:id="rId4"/>
    <sheet name="DCF&gt;&gt;&gt;" sheetId="19" r:id="rId5"/>
    <sheet name="WACC" sheetId="20" r:id="rId6"/>
    <sheet name="Change in NWC" sheetId="21" r:id="rId7"/>
    <sheet name="FA Schedule" sheetId="22" r:id="rId8"/>
    <sheet name="비용 추정" sheetId="23" r:id="rId9"/>
    <sheet name="RAW DATA&gt;&gt;&gt;" sheetId="10" r:id="rId10"/>
    <sheet name="IS(Quaterly)" sheetId="13" r:id="rId11"/>
    <sheet name="IS(Yearly)" sheetId="5" r:id="rId12"/>
    <sheet name="BS(Quaterly)" sheetId="14" r:id="rId13"/>
    <sheet name="BS(Yearly)" sheetId="7" r:id="rId14"/>
    <sheet name="CF(Quaterly)" sheetId="15" r:id="rId15"/>
    <sheet name="CF(Yearly)" sheetId="6" r:id="rId16"/>
  </sheets>
  <definedNames>
    <definedName name="_MOD1">#REF!</definedName>
    <definedName name="\a">#N/A</definedName>
    <definedName name="\b">#N/A</definedName>
    <definedName name="\I">#REF!</definedName>
    <definedName name="\P">#REF!</definedName>
    <definedName name="A_K___s__Global__I_T">#REF!</definedName>
    <definedName name="Acc_payable_growth_fore">#REF!</definedName>
    <definedName name="Acc_Rec_growth_fore">#REF!</definedName>
    <definedName name="Accrued_compensation_growth_fore">#REF!</definedName>
    <definedName name="Accrued_expenses_growth_fore">#REF!</definedName>
    <definedName name="Accum_Cap_Expenses_growth_fore">#REF!</definedName>
    <definedName name="Accum_Goodwill_Amort_growth_fore">#REF!</definedName>
    <definedName name="Adj_net_oper_fore">#REF!</definedName>
    <definedName name="AveSize">#REF!</definedName>
    <definedName name="BS_C">#REF!</definedName>
    <definedName name="Cash_fore">#REF!</definedName>
    <definedName name="Cash_growth_fore">#REF!</definedName>
    <definedName name="Cash_operating_taxes_fore">#REF!</definedName>
    <definedName name="CDS">#REF!</definedName>
    <definedName name="CE_C">#REF!</definedName>
    <definedName name="CF_C">#REF!</definedName>
    <definedName name="CFormats">#REF!</definedName>
    <definedName name="codeDestination">#REF!</definedName>
    <definedName name="CODELK_Path">#REF!</definedName>
    <definedName name="ColumnHeading">#REF!</definedName>
    <definedName name="Comdty">#REF!</definedName>
    <definedName name="Corp">#REF!</definedName>
    <definedName name="CR3RT">#REF!</definedName>
    <definedName name="CR3RTDK">#REF!</definedName>
    <definedName name="CR5RTDK">#REF!</definedName>
    <definedName name="CTopics">#REF!</definedName>
    <definedName name="Cur">#REF!</definedName>
    <definedName name="Customer_deposits_growth_fore">#REF!</definedName>
    <definedName name="d" hidden="1">{"t13&amp;t14Aug",#N/A,FALSE,"Aug00";"t9Aug",#N/A,FALSE,"Aug00";"t8Aug",#N/A,FALSE,"Aug00";"t7Aug",#N/A,FALSE,"Aug00";"t6Aug",#N/A,FALSE,"Aug00"}</definedName>
    <definedName name="_xlnm.Database">#REF!</definedName>
    <definedName name="Debt_Market_Cap_Ratio">#REF!</definedName>
    <definedName name="Deferred_tax_asset_growth_fore">#REF!</definedName>
    <definedName name="Deferred_tax_liability_growth_fore">#REF!</definedName>
    <definedName name="Dep_margin_fore">#REF!</definedName>
    <definedName name="Depreciation_fore">#REF!</definedName>
    <definedName name="DetailColumns">#REF!</definedName>
    <definedName name="DnA_fore">#REF!</definedName>
    <definedName name="DnA_growth_fore">#REF!</definedName>
    <definedName name="DR">#REF!</definedName>
    <definedName name="DSDDE_Path">#REF!</definedName>
    <definedName name="EBIT_fore">#REF!</definedName>
    <definedName name="EBIT_margin_fore">#REF!</definedName>
    <definedName name="EBITA_fore">#REF!</definedName>
    <definedName name="EBITDA_fore">#REF!</definedName>
    <definedName name="EBITDA_margin_fore">#REF!</definedName>
    <definedName name="Excel_Version">#REF!</definedName>
    <definedName name="Expl_forecast_1st_yr">#REF!</definedName>
    <definedName name="Expl_forecast_2nd_yr">#REF!</definedName>
    <definedName name="Expl_forecast_3rd_yr">#REF!</definedName>
    <definedName name="ExtFiles">#REF!</definedName>
    <definedName name="FDP_0_1_aSrv" hidden="1">#REF!</definedName>
    <definedName name="FDP_100_1_aSrv" hidden="1">#REF!</definedName>
    <definedName name="FDP_101_1_aSrv" hidden="1">#REF!</definedName>
    <definedName name="FDP_102_1_aSrv" hidden="1">#REF!</definedName>
    <definedName name="FDP_103_1_aSrv" hidden="1">#REF!</definedName>
    <definedName name="FDP_104_1_aSrv" hidden="1">#REF!</definedName>
    <definedName name="FDP_12_1_aDrv" hidden="1">#REF!</definedName>
    <definedName name="FDP_13_1_aDrv" hidden="1">#REF!</definedName>
    <definedName name="FDP_14_1_aDrv" hidden="1">#REF!</definedName>
    <definedName name="FDP_15_1_aUrv" hidden="1">#REF!</definedName>
    <definedName name="FDP_17_1_aSrv" hidden="1">#REF!</definedName>
    <definedName name="FDP_19_1_aDrv" hidden="1">#REF!</definedName>
    <definedName name="FDP_2_1_aSrv" hidden="1">#REF!</definedName>
    <definedName name="FDP_20_1_aDrv" hidden="1">#REF!</definedName>
    <definedName name="FDP_21_1_aDrv" hidden="1">#REF!</definedName>
    <definedName name="FDP_22_1_aDrv" hidden="1">#REF!</definedName>
    <definedName name="FDP_23_1_aDrv" hidden="1">#REF!</definedName>
    <definedName name="FDP_24_1_aDrv" hidden="1">#REF!</definedName>
    <definedName name="FDP_25_1_aUrv" hidden="1">#REF!</definedName>
    <definedName name="FDP_26_1_aSrv" hidden="1">#REF!</definedName>
    <definedName name="FDP_27_1_aUrv" hidden="1">#REF!</definedName>
    <definedName name="FDP_28_1_aUrv" hidden="1">#REF!</definedName>
    <definedName name="FDP_29_1_aUrv" hidden="1">#REF!</definedName>
    <definedName name="FDP_30_1_aUrv" hidden="1">#REF!</definedName>
    <definedName name="FDP_31_1_aUrv" hidden="1">#REF!</definedName>
    <definedName name="FDP_32_1_aUrv" hidden="1">#REF!</definedName>
    <definedName name="FDP_33_1_aUrv" hidden="1">#REF!</definedName>
    <definedName name="FDP_34_1_aUrv" hidden="1">#REF!</definedName>
    <definedName name="FDP_35_1_aUrv" hidden="1">#REF!</definedName>
    <definedName name="FDP_36_1_aUrv" hidden="1">#REF!</definedName>
    <definedName name="FDP_37_1_aUrv" hidden="1">#REF!</definedName>
    <definedName name="FDP_38_1_aUrv" hidden="1">#REF!</definedName>
    <definedName name="FDP_39_1_aUrv" hidden="1">#REF!</definedName>
    <definedName name="FDP_4_1_aSrv" hidden="1">#REF!</definedName>
    <definedName name="FDP_40_1_aUrv" hidden="1">#REF!</definedName>
    <definedName name="FDP_50_1_aDrv" hidden="1">#REF!</definedName>
    <definedName name="FDP_51_1_aDrv" hidden="1">#REF!</definedName>
    <definedName name="FDP_52_1_aDrv" hidden="1">#REF!</definedName>
    <definedName name="FDP_53_1_aUrv" hidden="1">#REF!</definedName>
    <definedName name="FDP_54_1_aUrv" hidden="1">#REF!</definedName>
    <definedName name="FDP_57_1_aSrv" hidden="1">#REF!</definedName>
    <definedName name="FDP_59_1_aUrv" hidden="1">#REF!</definedName>
    <definedName name="FDP_60_1_aUrv" hidden="1">#REF!</definedName>
    <definedName name="FDP_61_1_aSrv" hidden="1">#REF!</definedName>
    <definedName name="FDP_62_1_aDrv" hidden="1">#REF!</definedName>
    <definedName name="FDP_63_1_aUrv" hidden="1">#REF!</definedName>
    <definedName name="FDP_64_1_aUrv" hidden="1">#REF!</definedName>
    <definedName name="FDP_65_1_aUrv" hidden="1">#REF!</definedName>
    <definedName name="FDP_66_1_aUrv" hidden="1">#REF!</definedName>
    <definedName name="FDP_67_1_aDrv" hidden="1">#REF!</definedName>
    <definedName name="FDP_68_1_aUrv" hidden="1">#REF!</definedName>
    <definedName name="FDP_69_1_aUrv" hidden="1">#REF!</definedName>
    <definedName name="FDP_70_1_aUrv" hidden="1">#REF!</definedName>
    <definedName name="FDP_71_1_aDrv" hidden="1">#REF!</definedName>
    <definedName name="FDP_72_1_aDrv" hidden="1">#REF!</definedName>
    <definedName name="FDP_73_1_aDrv" hidden="1">#REF!</definedName>
    <definedName name="FDP_74_1_aDrv" hidden="1">#REF!</definedName>
    <definedName name="FDP_75_1_aUrv" hidden="1">#REF!</definedName>
    <definedName name="FDP_76_1_aUrv" hidden="1">#REF!</definedName>
    <definedName name="FDP_77_1_aDrv" hidden="1">#REF!</definedName>
    <definedName name="FDP_78_1_aUrv" hidden="1">#REF!</definedName>
    <definedName name="FDP_79_1_aUrv" hidden="1">#REF!</definedName>
    <definedName name="FDP_80_1_aDrv" hidden="1">#REF!</definedName>
    <definedName name="FDP_81_1_aSrv" hidden="1">#REF!</definedName>
    <definedName name="FDP_82_1_aUrv" hidden="1">#REF!</definedName>
    <definedName name="FDP_83_1_aDrv" hidden="1">#REF!</definedName>
    <definedName name="FDP_84_1_aDrv" hidden="1">#REF!</definedName>
    <definedName name="FDP_85_1_aDrv" hidden="1">#REF!</definedName>
    <definedName name="FDP_86_1_aDrv" hidden="1">#REF!</definedName>
    <definedName name="FDP_87_1_aDrv" hidden="1">#REF!</definedName>
    <definedName name="FDP_88_1_aDrv" hidden="1">#REF!</definedName>
    <definedName name="FDP_89_1_aDrv" hidden="1">#REF!</definedName>
    <definedName name="FDP_90_1_aDrv" hidden="1">#REF!</definedName>
    <definedName name="FDP_91_1_aDrv" hidden="1">#REF!</definedName>
    <definedName name="FDP_92_1_aDrv" hidden="1">#REF!</definedName>
    <definedName name="FDP_93_1_aSrv" hidden="1">#REF!</definedName>
    <definedName name="FDP_94_1_aSrv" hidden="1">#REF!</definedName>
    <definedName name="FDP_95_1_aSrv" hidden="1">#REF!</definedName>
    <definedName name="FDP_96_1_aSrv" hidden="1">#REF!</definedName>
    <definedName name="FDP_97_1_aUrv" hidden="1">#REF!</definedName>
    <definedName name="FDP_98_1_aSrv" hidden="1">#REF!</definedName>
    <definedName name="FDP_99_1_aSrv" hidden="1">#REF!</definedName>
    <definedName name="Fixed_asset_turns_fore">#REF!</definedName>
    <definedName name="Formats">#REF!</definedName>
    <definedName name="FR_COM_ABBR">" "</definedName>
    <definedName name="FR_COM_ABBR_LINK">" "</definedName>
    <definedName name="FR_COM_AGG">0</definedName>
    <definedName name="FR_COM_NAME_LINK">" "</definedName>
    <definedName name="FR_COU_ABBR">" "</definedName>
    <definedName name="FR_COU_ABBR_LINK">" "</definedName>
    <definedName name="FR_COU_NAME_LINK">" "</definedName>
    <definedName name="FR_DATABOX_DOWNLOAD">"N"</definedName>
    <definedName name="FR_END_DATE">"'"</definedName>
    <definedName name="FR_LINKS_OVERRUN">TRUE</definedName>
    <definedName name="FR_RPT_AREA_LINK">" "</definedName>
    <definedName name="FR_RPT_FOOTER_LINK">" "</definedName>
    <definedName name="FR_RPT_HEADER_LINK">" "</definedName>
    <definedName name="FR_SHOW_LINK_MARKER">TRUE</definedName>
    <definedName name="FR_START_DATE">"'"</definedName>
    <definedName name="FR_USE_DIMFAC">TRUE</definedName>
    <definedName name="FR_USE_LOCAL_CCY">TRUE</definedName>
    <definedName name="FR_USE_SCALE_FLAG">TRUE</definedName>
    <definedName name="FR_WORKBOOK">"G:\RESEARCH\COMP_FIN\FRANK\6452.XLS"</definedName>
    <definedName name="FREQS">#REF!</definedName>
    <definedName name="Goodwill_growth_fore">#REF!</definedName>
    <definedName name="Gross_income_fore">#REF!</definedName>
    <definedName name="Gross_income_growth_avg">#REF!</definedName>
    <definedName name="Gross_margin_fore">#REF!</definedName>
    <definedName name="Inc_cap_RnD_fore">#REF!</definedName>
    <definedName name="Income_equivalents_fore">#REF!</definedName>
    <definedName name="Income_form_uncons_subs_fore">#REF!</definedName>
    <definedName name="Income_tax_fore">#REF!</definedName>
    <definedName name="Income_tax_growth_fore">#REF!</definedName>
    <definedName name="Income_taxes_payable_growth_fore">#REF!</definedName>
    <definedName name="Increase_cap_RnD_fore">#REF!</definedName>
    <definedName name="INIT">#REF!</definedName>
    <definedName name="Interest_exp_growth_fore">#REF!</definedName>
    <definedName name="Interest_exp_inc_fore">#REF!</definedName>
    <definedName name="Inventory_growth_fore">#REF!</definedName>
    <definedName name="Invested_capital_growth_fore">#REF!</definedName>
    <definedName name="Invested_capital_turns_fore">#REF!</definedName>
    <definedName name="IS_C">#REF!</definedName>
    <definedName name="ISq" hidden="1">{"t13&amp;t14Aug",#N/A,FALSE,"Aug00";"t9Aug",#N/A,FALSE,"Aug00";"t8Aug",#N/A,FALSE,"Aug00";"t7Aug",#N/A,FALSE,"Aug00";"t6Aug",#N/A,FALSE,"Aug00"}</definedName>
    <definedName name="ISs" hidden="1">{#N/A,#N/A,FALSE,"Cover Page";#N/A,#N/A,FALSE,"Indices- Gen.I+US$ Imp.Weights";#N/A,#N/A,FALSE,"Indices and Price Comparisons";#N/A,#N/A,FALSE,"M. Exch.Rates- N.Curr.per US$ ";#N/A,#N/A,FALSE,"Exch. Rate Index,  March83=100";#N/A,#N/A,FALSE,"Interest Rates";#N/A,#N/A,FALSE,"Graph2 -  Comparison of Indices";#N/A,#N/A,FALSE,"Gold,Silver Prices and Indices"}</definedName>
    <definedName name="Last_Update">#REF!</definedName>
    <definedName name="LEAP">#REF!</definedName>
    <definedName name="Links">#REF!</definedName>
    <definedName name="LiveReqs">#REF!</definedName>
    <definedName name="LT_debt_growth_fore">#REF!</definedName>
    <definedName name="MemFree">#REF!</definedName>
    <definedName name="MemTotal">#REF!</definedName>
    <definedName name="MOD">#REF!</definedName>
    <definedName name="Net_adj_for_capitalized_expenses">#REF!</definedName>
    <definedName name="Net_income_fore">#REF!</definedName>
    <definedName name="Net_margin_fore">#REF!</definedName>
    <definedName name="Net_PPE_growth_fore">#REF!</definedName>
    <definedName name="Net_sales_fore">#REF!</definedName>
    <definedName name="Net_sales_growth_fore">#REF!</definedName>
    <definedName name="NetWC_turns_fore">#REF!</definedName>
    <definedName name="NONLEAP">#REF!</definedName>
    <definedName name="NOPAT_fore">#REF!</definedName>
    <definedName name="NOPAT_margin_fore">#REF!</definedName>
    <definedName name="NOPBT_fore">#REF!</definedName>
    <definedName name="Norm_forecast_11_15">#REF!</definedName>
    <definedName name="Norm_forecast_16_25">#REF!</definedName>
    <definedName name="Norm_forecast_4_5">#REF!</definedName>
    <definedName name="Norm_forecast_6_10">#REF!</definedName>
    <definedName name="Number_of_Shares">#REF!</definedName>
    <definedName name="Off_B_S_Income_fore">#REF!</definedName>
    <definedName name="Off_B_S_Income_growth_fore">#REF!</definedName>
    <definedName name="Operating_income_fore">#REF!</definedName>
    <definedName name="Operating_Lease_Expense_fore">#REF!</definedName>
    <definedName name="Operating_Sys">#REF!</definedName>
    <definedName name="Other_asset_turns_fore">#REF!</definedName>
    <definedName name="Other_current_assets_growth_fore">#REF!</definedName>
    <definedName name="Other_current_liabilities_growth_fore">#REF!</definedName>
    <definedName name="Other_Expenses_fore">#REF!</definedName>
    <definedName name="Other_expenses_gains_fore">#REF!</definedName>
    <definedName name="Other_expenses_growth_fore">#REF!</definedName>
    <definedName name="Other_fixed_asset_turns_fore">#REF!</definedName>
    <definedName name="Other_fixed_assets_growth_fore">#REF!</definedName>
    <definedName name="Other_growth_fore">#REF!</definedName>
    <definedName name="Other_inc_exp_fore">#REF!</definedName>
    <definedName name="Other_income_growth_fore">#REF!</definedName>
    <definedName name="Other_liabilities_growth_fore">#REF!</definedName>
    <definedName name="PPnE_turns_fore">#REF!</definedName>
    <definedName name="Preferred_stock_growth_fore">#REF!</definedName>
    <definedName name="Pretax_income_fore">#REF!</definedName>
    <definedName name="_xlnm.Print_Area">#REF!</definedName>
    <definedName name="Print1">#REF!</definedName>
    <definedName name="Q_Aspect">#REF!</definedName>
    <definedName name="Q_Aspect_R">#REF!</definedName>
    <definedName name="Q_B_R">#REF!</definedName>
    <definedName name="Q_Crude_Day">#REF!</definedName>
    <definedName name="Q_Dem_Non_OECD">#REF!</definedName>
    <definedName name="Q_Dem_OECD_Month">#REF!</definedName>
    <definedName name="Q_P">#REF!</definedName>
    <definedName name="Q_P_R">#REF!</definedName>
    <definedName name="Q_R">#REF!</definedName>
    <definedName name="Q_R_B">#REF!</definedName>
    <definedName name="Q_Reso">#REF!</definedName>
    <definedName name="Q_Reso_R">#REF!</definedName>
    <definedName name="Q_S_B_R">#REF!</definedName>
    <definedName name="Q_S_R">#REF!</definedName>
    <definedName name="Q_Split1_Yearly">#REF!</definedName>
    <definedName name="Q_Split1_YrtoDate">#REF!</definedName>
    <definedName name="Q_Split2_yearly">#REF!</definedName>
    <definedName name="Q_Split2_YrtoDate">#REF!</definedName>
    <definedName name="_xlnm.Recorder">#REF!</definedName>
    <definedName name="reqdetails">#REF!</definedName>
    <definedName name="Restructuring_charges_growth_fore">#REF!</definedName>
    <definedName name="RnD_expense_fore">#REF!</definedName>
    <definedName name="RnD_expense_growth_fore">#REF!</definedName>
    <definedName name="RnD_expenses_fore">#REF!</definedName>
    <definedName name="Sales_growth_avg">#REF!</definedName>
    <definedName name="Schedule">#REF!</definedName>
    <definedName name="sdfd" hidden="1">{"T6-Jun",#N/A,FALSE,"Jun00";"T7-Jun",#N/A,FALSE,"Jun00";"T8-Jun",#N/A,FALSE,"Jun00";"T9-Jun",#N/A,FALSE,"Jun00";"T13&amp;14-Jun",#N/A,FALSE,"Jun00"}</definedName>
    <definedName name="sdfsdgsd" hidden="1">{"t13&amp;t14Aug",#N/A,FALSE,"Aug00";"t9Aug",#N/A,FALSE,"Aug00";"t8Aug",#N/A,FALSE,"Aug00";"t7Aug",#N/A,FALSE,"Aug00";"t6Aug",#N/A,FALSE,"Aug00"}</definedName>
    <definedName name="Segment1_income_fore">#REF!</definedName>
    <definedName name="Segment1_income_growth_fore">#REF!</definedName>
    <definedName name="Segment2_income_fore">#REF!</definedName>
    <definedName name="Segment2_income_growth_fore">#REF!</definedName>
    <definedName name="Setup">#REF!</definedName>
    <definedName name="sFormat">#REF!</definedName>
    <definedName name="sFreq">#REF!</definedName>
    <definedName name="SGA_fore">#REF!</definedName>
    <definedName name="SGA_growth_avg">#REF!</definedName>
    <definedName name="SGA_growth_fore">#REF!</definedName>
    <definedName name="SGA_margin_fore">#REF!</definedName>
    <definedName name="Share_Price">#REF!</definedName>
    <definedName name="Shares_fore">#REF!</definedName>
    <definedName name="Shares_growth_fore">#REF!</definedName>
    <definedName name="ShowDetails">#REF!</definedName>
    <definedName name="ST_debt_growth_fore">#REF!</definedName>
    <definedName name="sTopic">#REF!</definedName>
    <definedName name="sYesNo">#REF!</definedName>
    <definedName name="Table">#N/A</definedName>
    <definedName name="Table_1">#REF!</definedName>
    <definedName name="Table_2">#REF!</definedName>
    <definedName name="Table_3">#REF!</definedName>
    <definedName name="Table_4">#REF!</definedName>
    <definedName name="Table_5">#REF!</definedName>
    <definedName name="TableName">#REF!</definedName>
    <definedName name="Target_debt_to_capital">#REF!</definedName>
    <definedName name="Title">#REF!</definedName>
    <definedName name="Total_amort_fore">#REF!</definedName>
    <definedName name="Total_Amortization_fore">#REF!</definedName>
    <definedName name="Total_COS_fore">#REF!</definedName>
    <definedName name="Total_COS_growth_fore">#REF!</definedName>
    <definedName name="Total_COS_net_DnA_fore">#REF!</definedName>
    <definedName name="Total_debt_fore">#REF!</definedName>
    <definedName name="Total_debt_growth_fore">#REF!</definedName>
    <definedName name="Total_Increase_in_EEs_fore">#REF!</definedName>
    <definedName name="TotalReqs">#REF!</definedName>
    <definedName name="TotalTime">#REF!</definedName>
    <definedName name="UC">#REF!</definedName>
    <definedName name="Value_of_Equity">#REF!</definedName>
    <definedName name="wee">#REF!</definedName>
    <definedName name="wrn.Augrep." hidden="1">{"t13&amp;t14Aug",#N/A,FALSE,"Aug00";"t9Aug",#N/A,FALSE,"Aug00";"t8Aug",#N/A,FALSE,"Aug00";"t7Aug",#N/A,FALSE,"Aug00";"t6Aug",#N/A,FALSE,"Aug00"}</definedName>
    <definedName name="wrn.fmiprint." hidden="1">{#N/A,#N/A,FALSE,"Cover Page";#N/A,#N/A,FALSE,"Indices- Gen.I+US$ Imp.Weights";#N/A,#N/A,FALSE,"Indices and Price Comparisons";#N/A,#N/A,FALSE,"M. Exch.Rates- N.Curr.per US$ ";#N/A,#N/A,FALSE,"Exch. Rate Index,  March83=100";#N/A,#N/A,FALSE,"Interest Rates";#N/A,#N/A,FALSE,"Graph2 -  Comparison of Indices";#N/A,#N/A,FALSE,"Gold,Silver Prices and Indices"}</definedName>
    <definedName name="wrn.julreport." hidden="1">{"t13&amp;14-jul",#N/A,FALSE,"Jul00";"t9-jul",#N/A,FALSE,"Jul00";"t8-jul",#N/A,FALSE,"Jul00";"t7-jul",#N/A,FALSE,"Jul00";"t6-jul",#N/A,FALSE,"Jul00"}</definedName>
    <definedName name="wrn.OPEC._.Reference._.Basket._.Price." hidden="1">{#N/A,#N/A,FALSE,"DAILY R.Basket Price";#N/A,#N/A,FALSE,"WEEKLY R.Basket Price";#N/A,#N/A,FALSE,"Chart 2a";#N/A,#N/A,FALSE,"Chart 2b";#N/A,#N/A,FALSE,"MONTHLY R.Basket Price";#N/A,#N/A,FALSE,"QUARTERLY R.Basket Price";#N/A,#N/A,FALSE,"YEARLY R.Basket Price";#N/A,#N/A,FALSE,"Chart Data 1";#N/A,#N/A,FALSE,"Chart Data 22a";#N/A,#N/A,FALSE,"Chart Data 2b"}</definedName>
    <definedName name="wrn.suppJun." hidden="1">{"T6-Jun",#N/A,FALSE,"Jun00";"T7-Jun",#N/A,FALSE,"Jun00";"T8-Jun",#N/A,FALSE,"Jun00";"T9-Jun",#N/A,FALSE,"Jun00";"T13&amp;14-Jun",#N/A,FALSE,"Jun00"}</definedName>
    <definedName name="wrn.SuppMay." hidden="1">{"T6",#N/A,FALSE,"May00";"T7",#N/A,FALSE,"May00";"T8",#N/A,FALSE,"May00";"T9",#N/A,FALSE,"May00";"T13&amp;14",#N/A,FALSE,"May00"}</definedName>
    <definedName name="wrn.TablesJun" hidden="1">{"T6",#N/A,FALSE,"Feb00";"T7",#N/A,FALSE,"Feb00";"T8",#N/A,FALSE,"Feb00";"T9",#N/A,FALSE,"Feb00";"T13&amp;14",#N/A,FALSE,"Feb00"}</definedName>
    <definedName name="wrn.Weekly._.and._.Monthly._.Price._.Updates." hidden="1">{#N/A,#N/A,FALSE,"T1 Weekly Spot Prices";#N/A,#N/A,FALSE,"T2 Weekly Spot Prices of R.B.";#N/A,#N/A,FALSE,"T3 Average Yearly Spot Prices";#N/A,#N/A,FALSE,"T4 Average Monthly Spot Prices";#N/A,#N/A,FALSE,"T5 Weekly Spot Prices";#N/A,#N/A,FALSE,"Chart1"}</definedName>
    <definedName name="www" hidden="1">{"T6-Jun",#N/A,FALSE,"Jun00";"T7-Jun",#N/A,FALSE,"Jun00";"T8-Jun",#N/A,FALSE,"Jun00";"T9-Jun",#N/A,FALSE,"Jun00";"T13&amp;14-Jun",#N/A,FALSE,"Jun00"}</definedName>
    <definedName name="XLS">#REF!</definedName>
    <definedName name="xx" hidden="1">{"t13&amp;t14Aug",#N/A,FALSE,"Aug00";"t9Aug",#N/A,FALSE,"Aug00";"t8Aug",#N/A,FALSE,"Aug00";"t7Aug",#N/A,FALSE,"Aug00";"t6Aug",#N/A,FALSE,"Aug00"}</definedName>
    <definedName name="xxx" hidden="1">{"t13&amp;14-jul",#N/A,FALSE,"Jul00";"t9-jul",#N/A,FALSE,"Jul00";"t8-jul",#N/A,FALSE,"Jul00";"t7-jul",#N/A,FALSE,"Jul00";"t6-jul",#N/A,FALSE,"Jul00"}</definedName>
    <definedName name="Y_R">#REF!</definedName>
    <definedName name="Y_S">#REF!</definedName>
    <definedName name="Year">#REF!</definedName>
    <definedName name="YesNo">#REF!</definedName>
    <definedName name="Yield">#REF!</definedName>
    <definedName name="YieldCB">#REF!</definedName>
    <definedName name="글로벌증시">#REF!</definedName>
    <definedName name="단위_백만원">#REF!</definedName>
    <definedName name="ㅁ1">#REF!</definedName>
    <definedName name="미국증시">#REF!</definedName>
    <definedName name="태국매출" hidden="1">{"t13&amp;t14Aug",#N/A,FALSE,"Aug00";"t9Aug",#N/A,FALSE,"Aug00";"t8Aug",#N/A,FALSE,"Aug00";"t7Aug",#N/A,FALSE,"Aug00";"t6Aug",#N/A,FALSE,"Aug00"}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3" i="11" l="1"/>
  <c r="M6" i="11"/>
  <c r="C37" i="29"/>
  <c r="AH75" i="23"/>
  <c r="S82" i="23"/>
  <c r="M82" i="23"/>
  <c r="M83" i="23"/>
  <c r="L82" i="23"/>
  <c r="K82" i="23"/>
  <c r="F37" i="21"/>
  <c r="E37" i="21"/>
  <c r="L19" i="22"/>
  <c r="K19" i="22"/>
  <c r="J19" i="22"/>
  <c r="I19" i="22"/>
  <c r="H19" i="22"/>
  <c r="G19" i="22"/>
  <c r="G14" i="22" s="1"/>
  <c r="F19" i="22"/>
  <c r="G15" i="22"/>
  <c r="I20" i="22"/>
  <c r="H20" i="22"/>
  <c r="G20" i="22"/>
  <c r="K42" i="21"/>
  <c r="L42" i="21"/>
  <c r="J42" i="21"/>
  <c r="I42" i="21"/>
  <c r="K6" i="19"/>
  <c r="J6" i="19"/>
  <c r="I6" i="19"/>
  <c r="T14" i="19"/>
  <c r="I26" i="22"/>
  <c r="J37" i="23"/>
  <c r="L21" i="22"/>
  <c r="K21" i="22"/>
  <c r="J21" i="22"/>
  <c r="I21" i="22"/>
  <c r="H21" i="22"/>
  <c r="F21" i="22"/>
  <c r="G21" i="22"/>
  <c r="F17" i="22"/>
  <c r="H14" i="22"/>
  <c r="F20" i="22"/>
  <c r="G13" i="22"/>
  <c r="G24" i="22"/>
  <c r="L6" i="11"/>
  <c r="N10" i="20"/>
  <c r="F42" i="19"/>
  <c r="C67" i="29"/>
  <c r="E26" i="20"/>
  <c r="C7" i="16"/>
  <c r="L10" i="20" l="1"/>
  <c r="M10" i="20"/>
  <c r="P10" i="20"/>
  <c r="E8" i="20" s="1"/>
  <c r="F23" i="23"/>
  <c r="D25" i="23"/>
  <c r="Q25" i="23" s="1"/>
  <c r="E25" i="23"/>
  <c r="F25" i="23"/>
  <c r="C25" i="23"/>
  <c r="D23" i="23"/>
  <c r="E23" i="23"/>
  <c r="C23" i="23"/>
  <c r="D21" i="23"/>
  <c r="E21" i="23"/>
  <c r="F21" i="23"/>
  <c r="C21" i="23"/>
  <c r="Q11" i="23"/>
  <c r="L13" i="21"/>
  <c r="F46" i="29"/>
  <c r="G21" i="19"/>
  <c r="H21" i="19"/>
  <c r="F21" i="19"/>
  <c r="F22" i="19"/>
  <c r="G22" i="19"/>
  <c r="E22" i="19"/>
  <c r="H8" i="21"/>
  <c r="I8" i="21" s="1"/>
  <c r="G8" i="21"/>
  <c r="E7" i="23"/>
  <c r="E14" i="23" s="1"/>
  <c r="H13" i="23"/>
  <c r="H23" i="23" s="1"/>
  <c r="I13" i="23"/>
  <c r="I14" i="23" s="1"/>
  <c r="G13" i="23"/>
  <c r="G23" i="23" s="1"/>
  <c r="Q15" i="23"/>
  <c r="Q13" i="23"/>
  <c r="Q9" i="23"/>
  <c r="H9" i="23"/>
  <c r="H19" i="23" s="1"/>
  <c r="I9" i="23"/>
  <c r="I10" i="23" s="1"/>
  <c r="G9" i="23"/>
  <c r="G19" i="23" s="1"/>
  <c r="C10" i="29"/>
  <c r="G11" i="23" s="1"/>
  <c r="G21" i="23" s="1"/>
  <c r="J20" i="22" l="1"/>
  <c r="K20" i="22" s="1"/>
  <c r="I19" i="23"/>
  <c r="I23" i="23"/>
  <c r="D10" i="29"/>
  <c r="J8" i="21"/>
  <c r="L8" i="21"/>
  <c r="K8" i="21"/>
  <c r="E10" i="23"/>
  <c r="E12" i="23"/>
  <c r="E16" i="23"/>
  <c r="H11" i="23" l="1"/>
  <c r="H21" i="23" s="1"/>
  <c r="E10" i="29"/>
  <c r="Q23" i="23"/>
  <c r="C17" i="23"/>
  <c r="H82" i="23"/>
  <c r="D20" i="11" s="1"/>
  <c r="G82" i="23"/>
  <c r="F82" i="23"/>
  <c r="E82" i="23"/>
  <c r="D82" i="23"/>
  <c r="C82" i="23"/>
  <c r="H80" i="23"/>
  <c r="G80" i="23"/>
  <c r="F80" i="23"/>
  <c r="E80" i="23"/>
  <c r="D80" i="23"/>
  <c r="C80" i="23"/>
  <c r="H79" i="23"/>
  <c r="G79" i="23"/>
  <c r="F79" i="23"/>
  <c r="E79" i="23"/>
  <c r="D79" i="23"/>
  <c r="C79" i="23"/>
  <c r="H78" i="23"/>
  <c r="G78" i="23"/>
  <c r="F78" i="23"/>
  <c r="E78" i="23"/>
  <c r="D78" i="23"/>
  <c r="C78" i="23"/>
  <c r="H77" i="23"/>
  <c r="G77" i="23"/>
  <c r="F77" i="23"/>
  <c r="E77" i="23"/>
  <c r="D77" i="23"/>
  <c r="C77" i="23"/>
  <c r="H76" i="23"/>
  <c r="G76" i="23"/>
  <c r="F76" i="23"/>
  <c r="E76" i="23"/>
  <c r="D76" i="23"/>
  <c r="C76" i="23"/>
  <c r="I75" i="23"/>
  <c r="E18" i="11" s="1"/>
  <c r="H74" i="23"/>
  <c r="G74" i="23"/>
  <c r="F74" i="23"/>
  <c r="E74" i="23"/>
  <c r="D74" i="23"/>
  <c r="C74" i="23"/>
  <c r="AH74" i="23"/>
  <c r="H73" i="23"/>
  <c r="G73" i="23"/>
  <c r="F73" i="23"/>
  <c r="E73" i="23"/>
  <c r="D73" i="23"/>
  <c r="C73" i="23"/>
  <c r="AH73" i="23"/>
  <c r="H72" i="23"/>
  <c r="G72" i="23"/>
  <c r="F72" i="23"/>
  <c r="J72" i="23" s="1"/>
  <c r="E72" i="23"/>
  <c r="D72" i="23"/>
  <c r="C72" i="23"/>
  <c r="AH72" i="23"/>
  <c r="H71" i="23"/>
  <c r="G71" i="23"/>
  <c r="F71" i="23"/>
  <c r="E71" i="23"/>
  <c r="D71" i="23"/>
  <c r="C71" i="23"/>
  <c r="AH71" i="23"/>
  <c r="H70" i="23"/>
  <c r="G70" i="23"/>
  <c r="F70" i="23"/>
  <c r="E70" i="23"/>
  <c r="D70" i="23"/>
  <c r="C70" i="23"/>
  <c r="AH70" i="23"/>
  <c r="I69" i="23"/>
  <c r="E17" i="11" s="1"/>
  <c r="AH69" i="23"/>
  <c r="H68" i="23"/>
  <c r="G68" i="23"/>
  <c r="F68" i="23"/>
  <c r="E68" i="23"/>
  <c r="D68" i="23"/>
  <c r="C68" i="23"/>
  <c r="AH68" i="23"/>
  <c r="H67" i="23"/>
  <c r="G67" i="23"/>
  <c r="F67" i="23"/>
  <c r="E67" i="23"/>
  <c r="D67" i="23"/>
  <c r="C67" i="23"/>
  <c r="AH67" i="23"/>
  <c r="H66" i="23"/>
  <c r="G66" i="23"/>
  <c r="F66" i="23"/>
  <c r="E66" i="23"/>
  <c r="D66" i="23"/>
  <c r="C66" i="23"/>
  <c r="AH66" i="23"/>
  <c r="I65" i="23"/>
  <c r="E16" i="11" s="1"/>
  <c r="AH65" i="23"/>
  <c r="H64" i="23"/>
  <c r="G64" i="23"/>
  <c r="F64" i="23"/>
  <c r="E64" i="23"/>
  <c r="D64" i="23"/>
  <c r="C64" i="23"/>
  <c r="AH64" i="23"/>
  <c r="H63" i="23"/>
  <c r="G63" i="23"/>
  <c r="F63" i="23"/>
  <c r="E63" i="23"/>
  <c r="D63" i="23"/>
  <c r="C63" i="23"/>
  <c r="AH63" i="23"/>
  <c r="H62" i="23"/>
  <c r="G62" i="23"/>
  <c r="F62" i="23"/>
  <c r="E62" i="23"/>
  <c r="D62" i="23"/>
  <c r="C62" i="23"/>
  <c r="AH62" i="23"/>
  <c r="I61" i="23"/>
  <c r="E15" i="11" s="1"/>
  <c r="AJ58" i="23"/>
  <c r="AI58" i="23"/>
  <c r="AH58" i="23"/>
  <c r="I58" i="23"/>
  <c r="Q57" i="23"/>
  <c r="J57" i="23"/>
  <c r="R57" i="23" s="1"/>
  <c r="AJ56" i="23"/>
  <c r="AI56" i="23"/>
  <c r="AH56" i="23"/>
  <c r="I56" i="23"/>
  <c r="Q55" i="23"/>
  <c r="AJ54" i="23"/>
  <c r="AI54" i="23"/>
  <c r="AH54" i="23"/>
  <c r="I54" i="23"/>
  <c r="Q53" i="23"/>
  <c r="AJ52" i="23"/>
  <c r="AI52" i="23"/>
  <c r="AH52" i="23"/>
  <c r="I52" i="23"/>
  <c r="Q51" i="23"/>
  <c r="H51" i="23"/>
  <c r="G51" i="23"/>
  <c r="AJ50" i="23"/>
  <c r="AI50" i="23"/>
  <c r="AH50" i="23"/>
  <c r="I50" i="23"/>
  <c r="H49" i="23"/>
  <c r="G49" i="23"/>
  <c r="E49" i="23"/>
  <c r="D49" i="23"/>
  <c r="D29" i="23" s="1"/>
  <c r="AJ48" i="23"/>
  <c r="AI48" i="23"/>
  <c r="AH48" i="23"/>
  <c r="I48" i="23"/>
  <c r="Q47" i="23"/>
  <c r="J47" i="23"/>
  <c r="R47" i="23" s="1"/>
  <c r="AJ46" i="23"/>
  <c r="AI46" i="23"/>
  <c r="AH46" i="23"/>
  <c r="I46" i="23"/>
  <c r="Q45" i="23"/>
  <c r="J45" i="23"/>
  <c r="AJ44" i="23"/>
  <c r="AI44" i="23"/>
  <c r="AH44" i="23"/>
  <c r="I44" i="23"/>
  <c r="Q43" i="23"/>
  <c r="AJ42" i="23"/>
  <c r="AI42" i="23"/>
  <c r="AH42" i="23"/>
  <c r="I42" i="23"/>
  <c r="Q41" i="23"/>
  <c r="J41" i="23"/>
  <c r="R41" i="23" s="1"/>
  <c r="AJ40" i="23"/>
  <c r="AI40" i="23"/>
  <c r="AH40" i="23"/>
  <c r="I40" i="23"/>
  <c r="Q39" i="23"/>
  <c r="J39" i="23"/>
  <c r="AJ38" i="23"/>
  <c r="AI38" i="23"/>
  <c r="AH38" i="23"/>
  <c r="I38" i="23"/>
  <c r="Q37" i="23"/>
  <c r="R37" i="23"/>
  <c r="AJ36" i="23"/>
  <c r="AI36" i="23"/>
  <c r="AH36" i="23"/>
  <c r="I36" i="23"/>
  <c r="Q35" i="23"/>
  <c r="J35" i="23"/>
  <c r="K35" i="23" s="1"/>
  <c r="AJ34" i="23"/>
  <c r="AI34" i="23"/>
  <c r="AH34" i="23"/>
  <c r="AD33" i="23" s="1"/>
  <c r="I34" i="23"/>
  <c r="Q33" i="23"/>
  <c r="AJ32" i="23"/>
  <c r="AI32" i="23"/>
  <c r="AH32" i="23"/>
  <c r="AD31" i="23" s="1"/>
  <c r="I32" i="23"/>
  <c r="H31" i="23"/>
  <c r="G31" i="23"/>
  <c r="F31" i="23"/>
  <c r="E31" i="23"/>
  <c r="AJ29" i="23"/>
  <c r="AI29" i="23"/>
  <c r="AH29" i="23"/>
  <c r="V29" i="23"/>
  <c r="U29" i="23"/>
  <c r="I29" i="23"/>
  <c r="I30" i="23" s="1"/>
  <c r="C29" i="23"/>
  <c r="Q19" i="23"/>
  <c r="I17" i="23"/>
  <c r="I27" i="23" s="1"/>
  <c r="H17" i="23"/>
  <c r="D7" i="11" s="1"/>
  <c r="G17" i="23"/>
  <c r="F17" i="23"/>
  <c r="F26" i="23" s="1"/>
  <c r="E17" i="23"/>
  <c r="E26" i="23" s="1"/>
  <c r="D17" i="23"/>
  <c r="D26" i="23" s="1"/>
  <c r="H7" i="23"/>
  <c r="G7" i="23"/>
  <c r="F7" i="23"/>
  <c r="D7" i="23"/>
  <c r="C7" i="23"/>
  <c r="Q7" i="23" s="1"/>
  <c r="Q12" i="23" s="1"/>
  <c r="F37" i="22"/>
  <c r="F38" i="22" s="1"/>
  <c r="E37" i="22"/>
  <c r="E38" i="22" s="1"/>
  <c r="D37" i="22"/>
  <c r="D38" i="22" s="1"/>
  <c r="F35" i="22"/>
  <c r="E35" i="22"/>
  <c r="D31" i="22"/>
  <c r="D30" i="22"/>
  <c r="F28" i="22"/>
  <c r="E28" i="22"/>
  <c r="F24" i="22" s="1"/>
  <c r="D28" i="22"/>
  <c r="D27" i="22" s="1"/>
  <c r="D32" i="22" s="1"/>
  <c r="G25" i="22"/>
  <c r="D25" i="22"/>
  <c r="D35" i="22" s="1"/>
  <c r="E25" i="19" s="1"/>
  <c r="D21" i="22"/>
  <c r="D20" i="22"/>
  <c r="D19" i="22"/>
  <c r="E17" i="22"/>
  <c r="F13" i="22" s="1"/>
  <c r="D17" i="22"/>
  <c r="E13" i="22" s="1"/>
  <c r="D16" i="22"/>
  <c r="F9" i="22"/>
  <c r="E9" i="22"/>
  <c r="D9" i="22"/>
  <c r="G9" i="22" s="1"/>
  <c r="E43" i="21"/>
  <c r="E41" i="21" s="1"/>
  <c r="D37" i="21"/>
  <c r="F36" i="21"/>
  <c r="E36" i="21"/>
  <c r="D36" i="21"/>
  <c r="E25" i="21"/>
  <c r="D25" i="21"/>
  <c r="F20" i="21"/>
  <c r="F30" i="21" s="1"/>
  <c r="E20" i="21"/>
  <c r="E30" i="21" s="1"/>
  <c r="D20" i="21"/>
  <c r="D30" i="21" s="1"/>
  <c r="F19" i="21"/>
  <c r="F33" i="21" s="1"/>
  <c r="E19" i="21"/>
  <c r="E33" i="21" s="1"/>
  <c r="D19" i="21"/>
  <c r="D43" i="21" s="1"/>
  <c r="D41" i="21" s="1"/>
  <c r="F17" i="21"/>
  <c r="E17" i="21"/>
  <c r="F15" i="21"/>
  <c r="E15" i="21"/>
  <c r="D15" i="21"/>
  <c r="F14" i="21"/>
  <c r="E14" i="21"/>
  <c r="D14" i="21"/>
  <c r="K13" i="21"/>
  <c r="J13" i="21"/>
  <c r="I13" i="21"/>
  <c r="H13" i="21"/>
  <c r="G13" i="21"/>
  <c r="F10" i="21"/>
  <c r="E10" i="21"/>
  <c r="D10" i="21"/>
  <c r="L9" i="21"/>
  <c r="K9" i="21"/>
  <c r="J9" i="21"/>
  <c r="I9" i="21"/>
  <c r="H9" i="21"/>
  <c r="G9" i="21"/>
  <c r="E27" i="20"/>
  <c r="E30" i="20" s="1"/>
  <c r="E6" i="20" s="1"/>
  <c r="E7" i="20" s="1"/>
  <c r="E13" i="20"/>
  <c r="E14" i="20" s="1"/>
  <c r="G25" i="19"/>
  <c r="G26" i="19" s="1"/>
  <c r="F25" i="19"/>
  <c r="F26" i="19" s="1"/>
  <c r="G20" i="19"/>
  <c r="G23" i="19" s="1"/>
  <c r="F20" i="19"/>
  <c r="T12" i="19"/>
  <c r="T11" i="19"/>
  <c r="G17" i="19"/>
  <c r="G18" i="19" s="1"/>
  <c r="F17" i="19"/>
  <c r="F18" i="19" s="1"/>
  <c r="E17" i="19"/>
  <c r="E18" i="19" s="1"/>
  <c r="T7" i="19"/>
  <c r="G9" i="19"/>
  <c r="G10" i="19" s="1"/>
  <c r="F9" i="19"/>
  <c r="F10" i="19" s="1"/>
  <c r="E9" i="19"/>
  <c r="E12" i="19" s="1"/>
  <c r="E13" i="19" s="1"/>
  <c r="G7" i="19"/>
  <c r="F7" i="19"/>
  <c r="C8" i="16"/>
  <c r="N61" i="29"/>
  <c r="M61" i="29"/>
  <c r="L61" i="29"/>
  <c r="K61" i="29"/>
  <c r="K62" i="29" s="1"/>
  <c r="J61" i="29"/>
  <c r="I61" i="29"/>
  <c r="H61" i="29"/>
  <c r="G61" i="29"/>
  <c r="F61" i="29"/>
  <c r="E61" i="29"/>
  <c r="D61" i="29"/>
  <c r="D62" i="29" s="1"/>
  <c r="C61" i="29"/>
  <c r="C54" i="29"/>
  <c r="F12" i="29" s="1"/>
  <c r="H49" i="29"/>
  <c r="H48" i="29" s="1"/>
  <c r="G48" i="29"/>
  <c r="F48" i="29"/>
  <c r="F44" i="29" s="1"/>
  <c r="E48" i="29"/>
  <c r="D48" i="29"/>
  <c r="C48" i="29"/>
  <c r="H47" i="29"/>
  <c r="H46" i="29" s="1"/>
  <c r="G46" i="29"/>
  <c r="E46" i="29"/>
  <c r="D46" i="29"/>
  <c r="C46" i="29"/>
  <c r="H38" i="29"/>
  <c r="G37" i="29"/>
  <c r="F37" i="29"/>
  <c r="E37" i="29"/>
  <c r="D37" i="29"/>
  <c r="C34" i="29"/>
  <c r="C32" i="29"/>
  <c r="D29" i="29"/>
  <c r="E29" i="29" s="1"/>
  <c r="F29" i="29" s="1"/>
  <c r="G29" i="29" s="1"/>
  <c r="G28" i="29"/>
  <c r="F28" i="29"/>
  <c r="E28" i="29"/>
  <c r="D28" i="29"/>
  <c r="D26" i="29"/>
  <c r="G25" i="29"/>
  <c r="F25" i="29"/>
  <c r="E25" i="29"/>
  <c r="D25" i="29"/>
  <c r="F8" i="29"/>
  <c r="E6" i="29"/>
  <c r="E13" i="29" s="1"/>
  <c r="D6" i="29"/>
  <c r="D6" i="11" s="1"/>
  <c r="C6" i="29"/>
  <c r="C13" i="29" s="1"/>
  <c r="E20" i="11"/>
  <c r="F43" i="21" l="1"/>
  <c r="F41" i="21" s="1"/>
  <c r="E10" i="19"/>
  <c r="G30" i="21"/>
  <c r="D35" i="21"/>
  <c r="E16" i="19"/>
  <c r="E35" i="21"/>
  <c r="N62" i="29"/>
  <c r="D44" i="29"/>
  <c r="G10" i="29" s="1"/>
  <c r="H62" i="29"/>
  <c r="G44" i="29"/>
  <c r="J10" i="29" s="1"/>
  <c r="N11" i="23" s="1"/>
  <c r="N21" i="23" s="1"/>
  <c r="H22" i="23"/>
  <c r="D9" i="29"/>
  <c r="E11" i="29"/>
  <c r="E6" i="11"/>
  <c r="C22" i="23"/>
  <c r="Q17" i="23"/>
  <c r="Q18" i="23" s="1"/>
  <c r="E75" i="23"/>
  <c r="E15" i="20"/>
  <c r="H30" i="21"/>
  <c r="I30" i="21" s="1"/>
  <c r="F34" i="21"/>
  <c r="D34" i="21"/>
  <c r="E34" i="21"/>
  <c r="F25" i="21"/>
  <c r="G25" i="21" s="1"/>
  <c r="H25" i="21" s="1"/>
  <c r="D33" i="21"/>
  <c r="F35" i="21"/>
  <c r="E10" i="20"/>
  <c r="I9" i="22"/>
  <c r="G30" i="22"/>
  <c r="J9" i="22"/>
  <c r="H9" i="22"/>
  <c r="E20" i="22"/>
  <c r="E19" i="22"/>
  <c r="E16" i="22"/>
  <c r="E21" i="22" s="1"/>
  <c r="F16" i="22"/>
  <c r="F27" i="22"/>
  <c r="F32" i="22" s="1"/>
  <c r="F31" i="22"/>
  <c r="F30" i="22"/>
  <c r="E24" i="22"/>
  <c r="C7" i="11"/>
  <c r="C20" i="11"/>
  <c r="G45" i="29"/>
  <c r="C44" i="29"/>
  <c r="F10" i="29" s="1"/>
  <c r="J11" i="23" s="1"/>
  <c r="J21" i="23" s="1"/>
  <c r="F62" i="29"/>
  <c r="L62" i="29"/>
  <c r="E9" i="29"/>
  <c r="G62" i="29"/>
  <c r="M62" i="29"/>
  <c r="F24" i="29"/>
  <c r="F31" i="29" s="1"/>
  <c r="F33" i="29" s="1"/>
  <c r="F34" i="29" s="1"/>
  <c r="F20" i="29" s="1"/>
  <c r="H37" i="29"/>
  <c r="D13" i="29"/>
  <c r="H44" i="29"/>
  <c r="G24" i="29"/>
  <c r="G31" i="29" s="1"/>
  <c r="G33" i="29" s="1"/>
  <c r="G34" i="29" s="1"/>
  <c r="G20" i="29" s="1"/>
  <c r="D11" i="29"/>
  <c r="H15" i="23"/>
  <c r="E44" i="29"/>
  <c r="H10" i="29" s="1"/>
  <c r="L11" i="23" s="1"/>
  <c r="L21" i="23" s="1"/>
  <c r="I62" i="29"/>
  <c r="H25" i="29"/>
  <c r="H28" i="29"/>
  <c r="J62" i="29"/>
  <c r="E62" i="29"/>
  <c r="I10" i="29"/>
  <c r="M11" i="23" s="1"/>
  <c r="I15" i="23"/>
  <c r="G15" i="23"/>
  <c r="G25" i="23" s="1"/>
  <c r="D7" i="29"/>
  <c r="E26" i="29"/>
  <c r="F26" i="29" s="1"/>
  <c r="G26" i="29" s="1"/>
  <c r="F12" i="19"/>
  <c r="E7" i="29"/>
  <c r="C9" i="29"/>
  <c r="D24" i="29"/>
  <c r="H29" i="29"/>
  <c r="G12" i="19"/>
  <c r="J9" i="23"/>
  <c r="K8" i="29"/>
  <c r="J13" i="23"/>
  <c r="K12" i="29"/>
  <c r="E24" i="29"/>
  <c r="E31" i="29" s="1"/>
  <c r="E33" i="29" s="1"/>
  <c r="C6" i="11"/>
  <c r="I11" i="23"/>
  <c r="D9" i="11"/>
  <c r="D10" i="11" s="1"/>
  <c r="C11" i="29"/>
  <c r="F23" i="19"/>
  <c r="H10" i="23"/>
  <c r="H12" i="23"/>
  <c r="H14" i="23"/>
  <c r="C14" i="23"/>
  <c r="C10" i="23"/>
  <c r="C16" i="23"/>
  <c r="C12" i="23"/>
  <c r="F38" i="23"/>
  <c r="F12" i="23"/>
  <c r="F14" i="23"/>
  <c r="F16" i="23"/>
  <c r="F10" i="23"/>
  <c r="D14" i="23"/>
  <c r="D16" i="23"/>
  <c r="D12" i="23"/>
  <c r="D10" i="23"/>
  <c r="G14" i="23"/>
  <c r="G10" i="23"/>
  <c r="G12" i="23"/>
  <c r="C18" i="23"/>
  <c r="E36" i="23"/>
  <c r="I8" i="23"/>
  <c r="G36" i="23"/>
  <c r="G8" i="23"/>
  <c r="H42" i="23"/>
  <c r="H8" i="23"/>
  <c r="I20" i="23"/>
  <c r="F61" i="23"/>
  <c r="E7" i="11"/>
  <c r="F14" i="29"/>
  <c r="E15" i="29"/>
  <c r="D15" i="29"/>
  <c r="C15" i="29"/>
  <c r="Q21" i="23"/>
  <c r="D8" i="11"/>
  <c r="J77" i="23"/>
  <c r="R77" i="23" s="1"/>
  <c r="D27" i="23"/>
  <c r="D59" i="23" s="1"/>
  <c r="J67" i="23"/>
  <c r="R67" i="23" s="1"/>
  <c r="AD51" i="23"/>
  <c r="Q63" i="23"/>
  <c r="Q67" i="23"/>
  <c r="D69" i="23"/>
  <c r="E61" i="23"/>
  <c r="Q68" i="23"/>
  <c r="Q73" i="23"/>
  <c r="AD41" i="23"/>
  <c r="AD57" i="23"/>
  <c r="F29" i="23"/>
  <c r="F30" i="23" s="1"/>
  <c r="AD37" i="23"/>
  <c r="H65" i="23"/>
  <c r="D16" i="11" s="1"/>
  <c r="I24" i="23"/>
  <c r="E11" i="11"/>
  <c r="D24" i="23"/>
  <c r="D30" i="23"/>
  <c r="F65" i="23"/>
  <c r="H61" i="23"/>
  <c r="D15" i="11" s="1"/>
  <c r="E65" i="23"/>
  <c r="H24" i="23"/>
  <c r="D22" i="23"/>
  <c r="D18" i="23"/>
  <c r="D20" i="23"/>
  <c r="AD55" i="23"/>
  <c r="K72" i="23"/>
  <c r="L72" i="23" s="1"/>
  <c r="I18" i="23"/>
  <c r="H27" i="23"/>
  <c r="H28" i="23" s="1"/>
  <c r="AD53" i="23"/>
  <c r="D65" i="23"/>
  <c r="J71" i="23"/>
  <c r="R71" i="23" s="1"/>
  <c r="C75" i="23"/>
  <c r="H34" i="23"/>
  <c r="AD35" i="23"/>
  <c r="AD43" i="23"/>
  <c r="AD45" i="23"/>
  <c r="J66" i="23"/>
  <c r="K66" i="23" s="1"/>
  <c r="L66" i="23" s="1"/>
  <c r="Q71" i="23"/>
  <c r="Q74" i="23"/>
  <c r="Q80" i="23"/>
  <c r="J80" i="23"/>
  <c r="R80" i="23" s="1"/>
  <c r="Q78" i="23"/>
  <c r="H29" i="23"/>
  <c r="G40" i="23"/>
  <c r="C61" i="23"/>
  <c r="AD47" i="23"/>
  <c r="K57" i="23"/>
  <c r="L57" i="23" s="1"/>
  <c r="J62" i="23"/>
  <c r="R62" i="23" s="1"/>
  <c r="C65" i="23"/>
  <c r="I59" i="23"/>
  <c r="I81" i="23" s="1"/>
  <c r="E22" i="23"/>
  <c r="E24" i="23"/>
  <c r="K39" i="23"/>
  <c r="K47" i="23"/>
  <c r="L47" i="23" s="1"/>
  <c r="AD49" i="23"/>
  <c r="J74" i="23"/>
  <c r="R74" i="23" s="1"/>
  <c r="Q76" i="23"/>
  <c r="J79" i="23"/>
  <c r="R79" i="23" s="1"/>
  <c r="E20" i="23"/>
  <c r="AD39" i="23"/>
  <c r="Q49" i="23"/>
  <c r="J68" i="23"/>
  <c r="K68" i="23" s="1"/>
  <c r="Q72" i="23"/>
  <c r="D75" i="23"/>
  <c r="H56" i="23"/>
  <c r="H54" i="23"/>
  <c r="H48" i="23"/>
  <c r="H58" i="23"/>
  <c r="C24" i="23"/>
  <c r="G29" i="23"/>
  <c r="H32" i="23"/>
  <c r="F34" i="23"/>
  <c r="E40" i="23"/>
  <c r="F42" i="23"/>
  <c r="F46" i="23"/>
  <c r="C58" i="23"/>
  <c r="C54" i="23"/>
  <c r="C46" i="23"/>
  <c r="C27" i="23"/>
  <c r="C52" i="23"/>
  <c r="C50" i="23"/>
  <c r="C56" i="23"/>
  <c r="C42" i="23"/>
  <c r="C38" i="23"/>
  <c r="C34" i="23"/>
  <c r="C36" i="23"/>
  <c r="K45" i="23"/>
  <c r="R45" i="23"/>
  <c r="H46" i="23"/>
  <c r="D58" i="23"/>
  <c r="D54" i="23"/>
  <c r="D48" i="23"/>
  <c r="D44" i="23"/>
  <c r="D40" i="23"/>
  <c r="D36" i="23"/>
  <c r="D32" i="23"/>
  <c r="D52" i="23"/>
  <c r="D56" i="23"/>
  <c r="H20" i="23"/>
  <c r="H18" i="23"/>
  <c r="E18" i="23"/>
  <c r="C20" i="23"/>
  <c r="C26" i="23"/>
  <c r="F27" i="23"/>
  <c r="I28" i="23"/>
  <c r="L35" i="23"/>
  <c r="K37" i="23"/>
  <c r="D38" i="23"/>
  <c r="H40" i="23"/>
  <c r="C44" i="23"/>
  <c r="F50" i="23"/>
  <c r="E46" i="23"/>
  <c r="E58" i="23"/>
  <c r="E52" i="23"/>
  <c r="E56" i="23"/>
  <c r="E42" i="23"/>
  <c r="E54" i="23"/>
  <c r="E27" i="23"/>
  <c r="G18" i="23"/>
  <c r="G27" i="23"/>
  <c r="C32" i="23"/>
  <c r="E38" i="23"/>
  <c r="E44" i="23"/>
  <c r="G50" i="23"/>
  <c r="H50" i="23"/>
  <c r="E32" i="23"/>
  <c r="D34" i="23"/>
  <c r="H36" i="23"/>
  <c r="H44" i="23"/>
  <c r="C48" i="23"/>
  <c r="F56" i="23"/>
  <c r="F52" i="23"/>
  <c r="F48" i="23"/>
  <c r="F44" i="23"/>
  <c r="F58" i="23"/>
  <c r="F18" i="23"/>
  <c r="F54" i="23"/>
  <c r="F40" i="23"/>
  <c r="F36" i="23"/>
  <c r="G56" i="23"/>
  <c r="G42" i="23"/>
  <c r="G38" i="23"/>
  <c r="G34" i="23"/>
  <c r="G54" i="23"/>
  <c r="G48" i="23"/>
  <c r="G46" i="23"/>
  <c r="G44" i="23"/>
  <c r="G58" i="23"/>
  <c r="Q31" i="23"/>
  <c r="E29" i="23"/>
  <c r="E30" i="23" s="1"/>
  <c r="G32" i="23"/>
  <c r="E34" i="23"/>
  <c r="H38" i="23"/>
  <c r="C40" i="23"/>
  <c r="K41" i="23"/>
  <c r="D42" i="23"/>
  <c r="D46" i="23"/>
  <c r="E48" i="23"/>
  <c r="J49" i="23"/>
  <c r="H52" i="23"/>
  <c r="Q64" i="23"/>
  <c r="C69" i="23"/>
  <c r="H69" i="23"/>
  <c r="D17" i="11" s="1"/>
  <c r="C30" i="23"/>
  <c r="F32" i="23"/>
  <c r="R35" i="23"/>
  <c r="R39" i="23"/>
  <c r="D61" i="23"/>
  <c r="G65" i="23"/>
  <c r="Q79" i="23"/>
  <c r="Q82" i="23"/>
  <c r="J64" i="23"/>
  <c r="K64" i="23" s="1"/>
  <c r="E50" i="23"/>
  <c r="D50" i="23"/>
  <c r="G61" i="23"/>
  <c r="Q62" i="23"/>
  <c r="J63" i="23"/>
  <c r="R63" i="23" s="1"/>
  <c r="Q66" i="23"/>
  <c r="Q70" i="23"/>
  <c r="E69" i="23"/>
  <c r="Q77" i="23"/>
  <c r="J70" i="23"/>
  <c r="R70" i="23" s="1"/>
  <c r="F69" i="23"/>
  <c r="F20" i="23"/>
  <c r="F22" i="23"/>
  <c r="F24" i="23"/>
  <c r="J51" i="23"/>
  <c r="K51" i="23" s="1"/>
  <c r="G52" i="23"/>
  <c r="J73" i="23"/>
  <c r="R73" i="23" s="1"/>
  <c r="J76" i="23"/>
  <c r="R76" i="23" s="1"/>
  <c r="F75" i="23"/>
  <c r="H75" i="23"/>
  <c r="D18" i="11" s="1"/>
  <c r="J78" i="23"/>
  <c r="K78" i="23" s="1"/>
  <c r="G69" i="23"/>
  <c r="G75" i="23"/>
  <c r="K10" i="29" l="1"/>
  <c r="D45" i="29"/>
  <c r="O62" i="29"/>
  <c r="O61" i="29" s="1"/>
  <c r="F56" i="29" s="1"/>
  <c r="F54" i="29" s="1"/>
  <c r="E45" i="29"/>
  <c r="L10" i="29"/>
  <c r="K11" i="23"/>
  <c r="K21" i="23" s="1"/>
  <c r="F6" i="29"/>
  <c r="K6" i="29" s="1"/>
  <c r="H6" i="19" s="1"/>
  <c r="D67" i="29"/>
  <c r="E12" i="11"/>
  <c r="E16" i="20"/>
  <c r="F32" i="19" s="1"/>
  <c r="T6" i="19" s="1"/>
  <c r="I25" i="21"/>
  <c r="J30" i="21"/>
  <c r="G16" i="23"/>
  <c r="I16" i="23"/>
  <c r="I25" i="23"/>
  <c r="I26" i="23" s="1"/>
  <c r="M21" i="23"/>
  <c r="R13" i="23"/>
  <c r="J23" i="23"/>
  <c r="R9" i="23"/>
  <c r="J19" i="23"/>
  <c r="G32" i="29"/>
  <c r="F32" i="29"/>
  <c r="H16" i="23"/>
  <c r="H25" i="23"/>
  <c r="I12" i="23"/>
  <c r="I21" i="23"/>
  <c r="I22" i="23" s="1"/>
  <c r="G35" i="22"/>
  <c r="H25" i="19" s="1"/>
  <c r="E31" i="22"/>
  <c r="E30" i="22"/>
  <c r="E27" i="22"/>
  <c r="E32" i="22" s="1"/>
  <c r="K9" i="22"/>
  <c r="L9" i="22" s="1"/>
  <c r="G26" i="23"/>
  <c r="C9" i="11"/>
  <c r="C10" i="11" s="1"/>
  <c r="R11" i="23"/>
  <c r="K14" i="29"/>
  <c r="K15" i="29" s="1"/>
  <c r="F45" i="29"/>
  <c r="F13" i="19"/>
  <c r="F16" i="19"/>
  <c r="F28" i="19" s="1"/>
  <c r="F14" i="19"/>
  <c r="G14" i="19"/>
  <c r="G13" i="19"/>
  <c r="G14" i="29"/>
  <c r="J15" i="23"/>
  <c r="D31" i="29"/>
  <c r="H24" i="29"/>
  <c r="H31" i="29" s="1"/>
  <c r="C8" i="11"/>
  <c r="G21" i="29"/>
  <c r="J8" i="29"/>
  <c r="N9" i="23" s="1"/>
  <c r="N19" i="23" s="1"/>
  <c r="G16" i="19"/>
  <c r="G28" i="19" s="1"/>
  <c r="O60" i="29"/>
  <c r="G56" i="29"/>
  <c r="D56" i="29"/>
  <c r="I8" i="29"/>
  <c r="M9" i="23" s="1"/>
  <c r="E32" i="29"/>
  <c r="E34" i="29"/>
  <c r="E20" i="29" s="1"/>
  <c r="F21" i="29" s="1"/>
  <c r="H26" i="29"/>
  <c r="Q48" i="23"/>
  <c r="Q10" i="23"/>
  <c r="Q16" i="23"/>
  <c r="Q14" i="23"/>
  <c r="R72" i="23"/>
  <c r="Q54" i="23"/>
  <c r="K67" i="23"/>
  <c r="K65" i="23" s="1"/>
  <c r="Q46" i="23"/>
  <c r="K71" i="23"/>
  <c r="L71" i="23" s="1"/>
  <c r="M71" i="23" s="1"/>
  <c r="Q38" i="23"/>
  <c r="Q52" i="23"/>
  <c r="G24" i="23"/>
  <c r="E9" i="11"/>
  <c r="E10" i="11" s="1"/>
  <c r="E8" i="11"/>
  <c r="F13" i="29"/>
  <c r="F7" i="29"/>
  <c r="Q22" i="23"/>
  <c r="Q40" i="23"/>
  <c r="Q58" i="23"/>
  <c r="Q44" i="23"/>
  <c r="Q32" i="23"/>
  <c r="Q36" i="23"/>
  <c r="K79" i="23"/>
  <c r="L79" i="23" s="1"/>
  <c r="H59" i="23"/>
  <c r="H81" i="23" s="1"/>
  <c r="K77" i="23"/>
  <c r="L77" i="23" s="1"/>
  <c r="M77" i="23" s="1"/>
  <c r="N77" i="23" s="1"/>
  <c r="D28" i="23"/>
  <c r="L68" i="23"/>
  <c r="M68" i="23" s="1"/>
  <c r="N68" i="23" s="1"/>
  <c r="S68" i="23" s="1"/>
  <c r="R68" i="23"/>
  <c r="Q42" i="23"/>
  <c r="Q34" i="23"/>
  <c r="Q56" i="23"/>
  <c r="J65" i="23"/>
  <c r="F16" i="11" s="1"/>
  <c r="Q50" i="23"/>
  <c r="R66" i="23"/>
  <c r="K74" i="23"/>
  <c r="L74" i="23" s="1"/>
  <c r="M74" i="23" s="1"/>
  <c r="R78" i="23"/>
  <c r="Q75" i="23"/>
  <c r="Q27" i="23"/>
  <c r="Q28" i="23" s="1"/>
  <c r="K62" i="23"/>
  <c r="L62" i="23" s="1"/>
  <c r="M62" i="23" s="1"/>
  <c r="R51" i="23"/>
  <c r="Q61" i="23"/>
  <c r="Q65" i="23"/>
  <c r="M72" i="23"/>
  <c r="N72" i="23" s="1"/>
  <c r="S72" i="23" s="1"/>
  <c r="M47" i="23"/>
  <c r="Q24" i="23"/>
  <c r="Q20" i="23"/>
  <c r="Q26" i="23"/>
  <c r="K80" i="23"/>
  <c r="Q69" i="23"/>
  <c r="I60" i="23"/>
  <c r="L39" i="23"/>
  <c r="M39" i="23" s="1"/>
  <c r="H30" i="23"/>
  <c r="D11" i="11"/>
  <c r="J69" i="23"/>
  <c r="F17" i="11" s="1"/>
  <c r="G59" i="23"/>
  <c r="G28" i="23"/>
  <c r="C17" i="11"/>
  <c r="K73" i="23"/>
  <c r="K63" i="23"/>
  <c r="L41" i="23"/>
  <c r="M35" i="23"/>
  <c r="C59" i="23"/>
  <c r="C28" i="23"/>
  <c r="D81" i="23"/>
  <c r="D60" i="23"/>
  <c r="E59" i="23"/>
  <c r="E28" i="23"/>
  <c r="G30" i="23"/>
  <c r="C11" i="11"/>
  <c r="M66" i="23"/>
  <c r="N66" i="23" s="1"/>
  <c r="C15" i="11"/>
  <c r="L64" i="23"/>
  <c r="M64" i="23" s="1"/>
  <c r="C16" i="11"/>
  <c r="L51" i="23"/>
  <c r="J75" i="23"/>
  <c r="F18" i="11" s="1"/>
  <c r="K76" i="23"/>
  <c r="K49" i="23"/>
  <c r="I83" i="23"/>
  <c r="I84" i="23"/>
  <c r="F28" i="23"/>
  <c r="F59" i="23"/>
  <c r="M57" i="23"/>
  <c r="N57" i="23" s="1"/>
  <c r="R64" i="23"/>
  <c r="C18" i="11"/>
  <c r="L78" i="23"/>
  <c r="K70" i="23"/>
  <c r="J61" i="23"/>
  <c r="F15" i="11" s="1"/>
  <c r="R49" i="23"/>
  <c r="Q29" i="23"/>
  <c r="Q30" i="23" s="1"/>
  <c r="L45" i="23"/>
  <c r="L37" i="23"/>
  <c r="J7" i="23" l="1"/>
  <c r="J31" i="23" s="1"/>
  <c r="R31" i="23" s="1"/>
  <c r="E56" i="29"/>
  <c r="E54" i="29" s="1"/>
  <c r="K6" i="11"/>
  <c r="F15" i="29"/>
  <c r="K9" i="29"/>
  <c r="K11" i="29"/>
  <c r="E67" i="29"/>
  <c r="F6" i="11"/>
  <c r="F11" i="29"/>
  <c r="F9" i="29"/>
  <c r="K13" i="29"/>
  <c r="S11" i="23"/>
  <c r="I33" i="19"/>
  <c r="K33" i="19"/>
  <c r="L33" i="19"/>
  <c r="M33" i="19"/>
  <c r="J33" i="19"/>
  <c r="K30" i="21"/>
  <c r="L30" i="21" s="1"/>
  <c r="J25" i="21"/>
  <c r="H26" i="23"/>
  <c r="R19" i="23"/>
  <c r="R15" i="23"/>
  <c r="J25" i="23"/>
  <c r="R25" i="23" s="1"/>
  <c r="G31" i="22"/>
  <c r="G16" i="22"/>
  <c r="G17" i="22" s="1"/>
  <c r="G7" i="22" s="1"/>
  <c r="G32" i="22"/>
  <c r="M19" i="23"/>
  <c r="F55" i="29"/>
  <c r="I12" i="29"/>
  <c r="M13" i="23" s="1"/>
  <c r="M23" i="23" s="1"/>
  <c r="H33" i="29"/>
  <c r="H34" i="29" s="1"/>
  <c r="H32" i="29"/>
  <c r="G54" i="29"/>
  <c r="D32" i="29"/>
  <c r="D33" i="29"/>
  <c r="D34" i="29" s="1"/>
  <c r="D20" i="29" s="1"/>
  <c r="E21" i="29" s="1"/>
  <c r="H14" i="29"/>
  <c r="K15" i="23"/>
  <c r="H56" i="29"/>
  <c r="D54" i="29"/>
  <c r="E55" i="29" s="1"/>
  <c r="H8" i="29"/>
  <c r="L9" i="23" s="1"/>
  <c r="L19" i="23" s="1"/>
  <c r="H12" i="29"/>
  <c r="L67" i="23"/>
  <c r="M67" i="23" s="1"/>
  <c r="H60" i="23"/>
  <c r="E13" i="11"/>
  <c r="G22" i="23"/>
  <c r="J55" i="23"/>
  <c r="J56" i="23" s="1"/>
  <c r="H26" i="19"/>
  <c r="G19" i="21"/>
  <c r="H7" i="19"/>
  <c r="J43" i="23"/>
  <c r="R65" i="23"/>
  <c r="K16" i="11" s="1"/>
  <c r="K61" i="23"/>
  <c r="G15" i="11" s="1"/>
  <c r="S77" i="23"/>
  <c r="N62" i="23"/>
  <c r="S62" i="23" s="1"/>
  <c r="N71" i="23"/>
  <c r="S71" i="23" s="1"/>
  <c r="N47" i="23"/>
  <c r="L80" i="23"/>
  <c r="M80" i="23" s="1"/>
  <c r="M51" i="23"/>
  <c r="D13" i="11"/>
  <c r="D12" i="11"/>
  <c r="N39" i="23"/>
  <c r="N74" i="23"/>
  <c r="S74" i="23" s="1"/>
  <c r="S66" i="23"/>
  <c r="L49" i="23"/>
  <c r="C13" i="11"/>
  <c r="C12" i="11"/>
  <c r="N35" i="23"/>
  <c r="M78" i="23"/>
  <c r="N78" i="23" s="1"/>
  <c r="G16" i="11"/>
  <c r="L76" i="23"/>
  <c r="R61" i="23"/>
  <c r="K15" i="11" s="1"/>
  <c r="D84" i="23"/>
  <c r="D83" i="23"/>
  <c r="L73" i="23"/>
  <c r="M73" i="23" s="1"/>
  <c r="M79" i="23"/>
  <c r="N79" i="23" s="1"/>
  <c r="M37" i="23"/>
  <c r="Q59" i="23"/>
  <c r="Q60" i="23" s="1"/>
  <c r="R75" i="23"/>
  <c r="K18" i="11" s="1"/>
  <c r="C81" i="23"/>
  <c r="C60" i="23"/>
  <c r="M41" i="23"/>
  <c r="N41" i="23" s="1"/>
  <c r="L63" i="23"/>
  <c r="M63" i="23" s="1"/>
  <c r="M61" i="23" s="1"/>
  <c r="I15" i="11" s="1"/>
  <c r="R69" i="23"/>
  <c r="K17" i="11" s="1"/>
  <c r="G60" i="23"/>
  <c r="G81" i="23"/>
  <c r="N64" i="23"/>
  <c r="S64" i="23" s="1"/>
  <c r="M45" i="23"/>
  <c r="E81" i="23"/>
  <c r="E60" i="23"/>
  <c r="F60" i="23"/>
  <c r="F81" i="23"/>
  <c r="M65" i="23"/>
  <c r="I16" i="11" s="1"/>
  <c r="K69" i="23"/>
  <c r="S57" i="23"/>
  <c r="K75" i="23"/>
  <c r="H84" i="23"/>
  <c r="H83" i="23"/>
  <c r="L70" i="23"/>
  <c r="J48" i="23" l="1"/>
  <c r="J14" i="23"/>
  <c r="J42" i="23"/>
  <c r="J32" i="23"/>
  <c r="J16" i="23"/>
  <c r="J40" i="23"/>
  <c r="J58" i="23"/>
  <c r="J12" i="23"/>
  <c r="R7" i="23"/>
  <c r="R16" i="23" s="1"/>
  <c r="J46" i="23"/>
  <c r="J52" i="23"/>
  <c r="J10" i="23"/>
  <c r="J33" i="23"/>
  <c r="R33" i="23" s="1"/>
  <c r="R34" i="23" s="1"/>
  <c r="J50" i="23"/>
  <c r="J38" i="23"/>
  <c r="J8" i="23"/>
  <c r="J36" i="23"/>
  <c r="J53" i="23"/>
  <c r="R53" i="23" s="1"/>
  <c r="F67" i="29"/>
  <c r="G67" i="29"/>
  <c r="L65" i="23"/>
  <c r="H16" i="11" s="1"/>
  <c r="N67" i="23"/>
  <c r="S67" i="23" s="1"/>
  <c r="K25" i="21"/>
  <c r="L25" i="21" s="1"/>
  <c r="J17" i="23"/>
  <c r="J26" i="23" s="1"/>
  <c r="K25" i="23"/>
  <c r="L20" i="22"/>
  <c r="G27" i="22"/>
  <c r="H32" i="22"/>
  <c r="G26" i="22"/>
  <c r="H31" i="22"/>
  <c r="L15" i="23"/>
  <c r="L25" i="23" s="1"/>
  <c r="I14" i="29"/>
  <c r="J14" i="29" s="1"/>
  <c r="N15" i="23" s="1"/>
  <c r="N25" i="23" s="1"/>
  <c r="H20" i="29"/>
  <c r="D21" i="29"/>
  <c r="G8" i="29"/>
  <c r="L8" i="29" s="1"/>
  <c r="L13" i="23"/>
  <c r="L23" i="23" s="1"/>
  <c r="G12" i="29"/>
  <c r="D55" i="29"/>
  <c r="H54" i="29"/>
  <c r="H6" i="29"/>
  <c r="G55" i="29"/>
  <c r="J12" i="29"/>
  <c r="R14" i="23"/>
  <c r="R12" i="23"/>
  <c r="J54" i="23"/>
  <c r="R55" i="23"/>
  <c r="E14" i="11"/>
  <c r="E19" i="11"/>
  <c r="E21" i="11" s="1"/>
  <c r="G20" i="23"/>
  <c r="J44" i="23"/>
  <c r="R43" i="23"/>
  <c r="R58" i="23"/>
  <c r="R32" i="23"/>
  <c r="J34" i="23"/>
  <c r="J29" i="23"/>
  <c r="G7" i="21"/>
  <c r="G43" i="21"/>
  <c r="G41" i="21" s="1"/>
  <c r="R50" i="23"/>
  <c r="S47" i="23"/>
  <c r="S78" i="23"/>
  <c r="D14" i="11"/>
  <c r="D19" i="11"/>
  <c r="D21" i="11" s="1"/>
  <c r="N80" i="23"/>
  <c r="S80" i="23" s="1"/>
  <c r="N51" i="23"/>
  <c r="S39" i="23"/>
  <c r="N63" i="23"/>
  <c r="N61" i="23" s="1"/>
  <c r="J15" i="11" s="1"/>
  <c r="L61" i="23"/>
  <c r="L69" i="23"/>
  <c r="H17" i="11" s="1"/>
  <c r="G18" i="11"/>
  <c r="E84" i="23"/>
  <c r="E83" i="23"/>
  <c r="S41" i="23"/>
  <c r="M76" i="23"/>
  <c r="M75" i="23" s="1"/>
  <c r="I18" i="11" s="1"/>
  <c r="F83" i="23"/>
  <c r="F84" i="23"/>
  <c r="S35" i="23"/>
  <c r="G84" i="23"/>
  <c r="G83" i="23"/>
  <c r="C19" i="11"/>
  <c r="C21" i="11" s="1"/>
  <c r="C14" i="11"/>
  <c r="N65" i="23"/>
  <c r="J16" i="11" s="1"/>
  <c r="L75" i="23"/>
  <c r="H18" i="11" s="1"/>
  <c r="M49" i="23"/>
  <c r="S79" i="23"/>
  <c r="N73" i="23"/>
  <c r="S73" i="23" s="1"/>
  <c r="N37" i="23"/>
  <c r="N45" i="23"/>
  <c r="Q81" i="23"/>
  <c r="C84" i="23"/>
  <c r="C83" i="23"/>
  <c r="G17" i="11"/>
  <c r="M70" i="23"/>
  <c r="M69" i="23" s="1"/>
  <c r="I17" i="11" s="1"/>
  <c r="R36" i="23" l="1"/>
  <c r="R10" i="23"/>
  <c r="R40" i="23"/>
  <c r="R8" i="23"/>
  <c r="R42" i="23"/>
  <c r="R56" i="23"/>
  <c r="R46" i="23"/>
  <c r="R52" i="23"/>
  <c r="R38" i="23"/>
  <c r="R54" i="23"/>
  <c r="R48" i="23"/>
  <c r="R44" i="23"/>
  <c r="H67" i="29"/>
  <c r="J20" i="23"/>
  <c r="L12" i="29"/>
  <c r="I6" i="29"/>
  <c r="I7" i="29" s="1"/>
  <c r="L14" i="29"/>
  <c r="R17" i="23"/>
  <c r="K7" i="11" s="1"/>
  <c r="F7" i="11"/>
  <c r="J18" i="23"/>
  <c r="J27" i="23"/>
  <c r="J28" i="23" s="1"/>
  <c r="L17" i="23"/>
  <c r="I32" i="22"/>
  <c r="I31" i="22"/>
  <c r="H25" i="22"/>
  <c r="G28" i="22"/>
  <c r="H24" i="22" s="1"/>
  <c r="K9" i="23"/>
  <c r="I13" i="29"/>
  <c r="K13" i="23"/>
  <c r="G6" i="29"/>
  <c r="H15" i="29"/>
  <c r="L7" i="23"/>
  <c r="H9" i="29"/>
  <c r="H11" i="29"/>
  <c r="H6" i="11"/>
  <c r="H13" i="29"/>
  <c r="M15" i="23"/>
  <c r="M25" i="23" s="1"/>
  <c r="M17" i="23" s="1"/>
  <c r="N13" i="23"/>
  <c r="N23" i="23" s="1"/>
  <c r="N17" i="23" s="1"/>
  <c r="J6" i="29"/>
  <c r="N7" i="23" s="1"/>
  <c r="N31" i="23" s="1"/>
  <c r="J22" i="23"/>
  <c r="R21" i="23"/>
  <c r="S63" i="23"/>
  <c r="J24" i="23"/>
  <c r="R23" i="23"/>
  <c r="S21" i="23"/>
  <c r="R29" i="23"/>
  <c r="K11" i="11" s="1"/>
  <c r="K12" i="11" s="1"/>
  <c r="J30" i="23"/>
  <c r="F11" i="11"/>
  <c r="G33" i="21"/>
  <c r="G10" i="21"/>
  <c r="S65" i="23"/>
  <c r="L16" i="11" s="1"/>
  <c r="N76" i="23"/>
  <c r="N75" i="23" s="1"/>
  <c r="J18" i="11" s="1"/>
  <c r="S51" i="23"/>
  <c r="S45" i="23"/>
  <c r="H15" i="11"/>
  <c r="S61" i="23"/>
  <c r="L15" i="11" s="1"/>
  <c r="N49" i="23"/>
  <c r="N70" i="23"/>
  <c r="N69" i="23" s="1"/>
  <c r="J17" i="11" s="1"/>
  <c r="S37" i="23"/>
  <c r="Q84" i="23"/>
  <c r="Q83" i="23"/>
  <c r="R24" i="23" l="1"/>
  <c r="I6" i="11"/>
  <c r="I11" i="29"/>
  <c r="M7" i="23"/>
  <c r="M53" i="23" s="1"/>
  <c r="M54" i="23" s="1"/>
  <c r="I15" i="29"/>
  <c r="I9" i="29"/>
  <c r="L6" i="29"/>
  <c r="K8" i="11"/>
  <c r="K9" i="11"/>
  <c r="M26" i="23"/>
  <c r="H7" i="11"/>
  <c r="H9" i="11" s="1"/>
  <c r="H10" i="11" s="1"/>
  <c r="L20" i="23"/>
  <c r="I7" i="11"/>
  <c r="M24" i="23"/>
  <c r="M20" i="23"/>
  <c r="F8" i="11"/>
  <c r="F9" i="11"/>
  <c r="F10" i="11" s="1"/>
  <c r="K23" i="23"/>
  <c r="S23" i="23" s="1"/>
  <c r="S13" i="23"/>
  <c r="N24" i="23"/>
  <c r="H8" i="19"/>
  <c r="R26" i="23"/>
  <c r="R27" i="23"/>
  <c r="R28" i="23" s="1"/>
  <c r="R18" i="23"/>
  <c r="R22" i="23"/>
  <c r="L24" i="23"/>
  <c r="J7" i="11"/>
  <c r="N20" i="23"/>
  <c r="N26" i="23"/>
  <c r="J59" i="23"/>
  <c r="J81" i="23" s="1"/>
  <c r="R81" i="23" s="1"/>
  <c r="R82" i="23" s="1"/>
  <c r="J82" i="23" s="1"/>
  <c r="L22" i="23"/>
  <c r="K19" i="23"/>
  <c r="S19" i="23" s="1"/>
  <c r="S9" i="23"/>
  <c r="S15" i="23"/>
  <c r="N22" i="23"/>
  <c r="M22" i="23"/>
  <c r="R20" i="23"/>
  <c r="L26" i="23"/>
  <c r="J31" i="22"/>
  <c r="L31" i="22" s="1"/>
  <c r="H26" i="22"/>
  <c r="I25" i="22" s="1"/>
  <c r="H27" i="22"/>
  <c r="H28" i="22" s="1"/>
  <c r="I24" i="22" s="1"/>
  <c r="H30" i="22"/>
  <c r="J32" i="22"/>
  <c r="K31" i="22"/>
  <c r="M10" i="23"/>
  <c r="L10" i="23"/>
  <c r="L31" i="23"/>
  <c r="L32" i="23" s="1"/>
  <c r="L16" i="23"/>
  <c r="J6" i="11"/>
  <c r="M40" i="23"/>
  <c r="M43" i="23"/>
  <c r="M44" i="23" s="1"/>
  <c r="M8" i="23"/>
  <c r="J13" i="29"/>
  <c r="L14" i="23"/>
  <c r="K7" i="23"/>
  <c r="G6" i="11"/>
  <c r="G11" i="29"/>
  <c r="G7" i="29"/>
  <c r="G15" i="29"/>
  <c r="H7" i="29"/>
  <c r="G9" i="29"/>
  <c r="S25" i="23"/>
  <c r="G13" i="29"/>
  <c r="N50" i="23"/>
  <c r="J11" i="29"/>
  <c r="J9" i="29"/>
  <c r="J7" i="29"/>
  <c r="J15" i="29"/>
  <c r="L12" i="23"/>
  <c r="L33" i="23"/>
  <c r="L58" i="23"/>
  <c r="L46" i="23"/>
  <c r="L52" i="23"/>
  <c r="L55" i="23"/>
  <c r="L56" i="23" s="1"/>
  <c r="L43" i="23"/>
  <c r="L44" i="23" s="1"/>
  <c r="L48" i="23"/>
  <c r="L50" i="23"/>
  <c r="L53" i="23"/>
  <c r="L54" i="23" s="1"/>
  <c r="L40" i="23"/>
  <c r="L42" i="23"/>
  <c r="L18" i="23"/>
  <c r="L38" i="23"/>
  <c r="L8" i="23"/>
  <c r="L27" i="23"/>
  <c r="L28" i="23" s="1"/>
  <c r="L36" i="23"/>
  <c r="S76" i="23"/>
  <c r="F12" i="11"/>
  <c r="H11" i="19"/>
  <c r="R30" i="23"/>
  <c r="S75" i="23"/>
  <c r="L18" i="11" s="1"/>
  <c r="S69" i="23"/>
  <c r="L17" i="11" s="1"/>
  <c r="S70" i="23"/>
  <c r="S49" i="23"/>
  <c r="M12" i="23" l="1"/>
  <c r="M38" i="23"/>
  <c r="H8" i="11"/>
  <c r="L9" i="29"/>
  <c r="M36" i="23"/>
  <c r="M27" i="23"/>
  <c r="M28" i="23" s="1"/>
  <c r="M50" i="23"/>
  <c r="M16" i="23"/>
  <c r="M52" i="23"/>
  <c r="M42" i="23"/>
  <c r="M14" i="23"/>
  <c r="M46" i="23"/>
  <c r="M31" i="23"/>
  <c r="M32" i="23" s="1"/>
  <c r="M33" i="23"/>
  <c r="M34" i="23" s="1"/>
  <c r="M55" i="23"/>
  <c r="M56" i="23" s="1"/>
  <c r="M48" i="23"/>
  <c r="M18" i="23"/>
  <c r="I9" i="11"/>
  <c r="I10" i="11" s="1"/>
  <c r="M58" i="23"/>
  <c r="R59" i="23"/>
  <c r="R60" i="23" s="1"/>
  <c r="J83" i="23"/>
  <c r="K20" i="11"/>
  <c r="K10" i="11"/>
  <c r="K13" i="11"/>
  <c r="I8" i="11"/>
  <c r="L11" i="29"/>
  <c r="J60" i="23"/>
  <c r="G20" i="21"/>
  <c r="H9" i="19"/>
  <c r="H10" i="19" s="1"/>
  <c r="L13" i="29"/>
  <c r="L7" i="29"/>
  <c r="K17" i="23"/>
  <c r="S17" i="23" s="1"/>
  <c r="S26" i="23" s="1"/>
  <c r="F13" i="11"/>
  <c r="F19" i="11" s="1"/>
  <c r="L15" i="29"/>
  <c r="I27" i="22"/>
  <c r="J25" i="22"/>
  <c r="I28" i="22"/>
  <c r="K32" i="22"/>
  <c r="L32" i="22" s="1"/>
  <c r="I30" i="22"/>
  <c r="K14" i="23"/>
  <c r="K31" i="23"/>
  <c r="K33" i="23"/>
  <c r="K10" i="23"/>
  <c r="L34" i="23"/>
  <c r="L29" i="23"/>
  <c r="J8" i="11"/>
  <c r="J9" i="11"/>
  <c r="J10" i="11" s="1"/>
  <c r="K12" i="23"/>
  <c r="K38" i="23"/>
  <c r="K55" i="23"/>
  <c r="K53" i="23"/>
  <c r="K48" i="23"/>
  <c r="K36" i="23"/>
  <c r="K8" i="23"/>
  <c r="K42" i="23"/>
  <c r="K43" i="23"/>
  <c r="K46" i="23"/>
  <c r="K16" i="23"/>
  <c r="K52" i="23"/>
  <c r="K50" i="23"/>
  <c r="K58" i="23"/>
  <c r="K40" i="23"/>
  <c r="S7" i="23"/>
  <c r="S50" i="23" s="1"/>
  <c r="N18" i="23"/>
  <c r="N27" i="23"/>
  <c r="N53" i="23"/>
  <c r="N54" i="23" s="1"/>
  <c r="N43" i="23"/>
  <c r="N44" i="23" s="1"/>
  <c r="N33" i="23"/>
  <c r="N55" i="23"/>
  <c r="N56" i="23" s="1"/>
  <c r="N32" i="23"/>
  <c r="N58" i="23"/>
  <c r="N8" i="23"/>
  <c r="N12" i="23"/>
  <c r="N36" i="23"/>
  <c r="N48" i="23"/>
  <c r="N10" i="23"/>
  <c r="N42" i="23"/>
  <c r="N40" i="23"/>
  <c r="N16" i="23"/>
  <c r="N38" i="23"/>
  <c r="N46" i="23"/>
  <c r="N52" i="23"/>
  <c r="N14" i="23"/>
  <c r="J84" i="23"/>
  <c r="M29" i="23" l="1"/>
  <c r="I11" i="11" s="1"/>
  <c r="I12" i="11" s="1"/>
  <c r="L6" i="19"/>
  <c r="M6" i="19" s="1"/>
  <c r="S31" i="23"/>
  <c r="H12" i="19"/>
  <c r="H13" i="19" s="1"/>
  <c r="H19" i="21"/>
  <c r="H43" i="21" s="1"/>
  <c r="H41" i="21" s="1"/>
  <c r="I7" i="19"/>
  <c r="K19" i="11"/>
  <c r="K21" i="11" s="1"/>
  <c r="K14" i="11"/>
  <c r="K32" i="23"/>
  <c r="K18" i="23"/>
  <c r="K22" i="23"/>
  <c r="G7" i="11"/>
  <c r="G8" i="11" s="1"/>
  <c r="K20" i="23"/>
  <c r="F14" i="11"/>
  <c r="S20" i="23"/>
  <c r="K26" i="23"/>
  <c r="K27" i="23"/>
  <c r="K28" i="23" s="1"/>
  <c r="K24" i="23"/>
  <c r="G12" i="21"/>
  <c r="G14" i="21" s="1"/>
  <c r="G34" i="21"/>
  <c r="I8" i="22"/>
  <c r="J24" i="22"/>
  <c r="J30" i="22"/>
  <c r="S18" i="23"/>
  <c r="L7" i="11"/>
  <c r="I8" i="19"/>
  <c r="J8" i="19" s="1"/>
  <c r="S24" i="23"/>
  <c r="S22" i="23"/>
  <c r="M30" i="23"/>
  <c r="N28" i="23"/>
  <c r="K44" i="23"/>
  <c r="S43" i="23"/>
  <c r="S44" i="23" s="1"/>
  <c r="S48" i="23"/>
  <c r="S36" i="23"/>
  <c r="S40" i="23"/>
  <c r="S27" i="23"/>
  <c r="S28" i="23" s="1"/>
  <c r="S32" i="23"/>
  <c r="S8" i="23"/>
  <c r="S52" i="23"/>
  <c r="S14" i="23"/>
  <c r="S16" i="23"/>
  <c r="S38" i="23"/>
  <c r="S10" i="23"/>
  <c r="S46" i="23"/>
  <c r="S12" i="23"/>
  <c r="S58" i="23"/>
  <c r="S42" i="23"/>
  <c r="K29" i="23"/>
  <c r="K34" i="23"/>
  <c r="S33" i="23"/>
  <c r="S34" i="23" s="1"/>
  <c r="K54" i="23"/>
  <c r="S53" i="23"/>
  <c r="S54" i="23" s="1"/>
  <c r="K56" i="23"/>
  <c r="S55" i="23"/>
  <c r="S56" i="23" s="1"/>
  <c r="N34" i="23"/>
  <c r="N29" i="23"/>
  <c r="N59" i="23" s="1"/>
  <c r="L59" i="23"/>
  <c r="H11" i="11"/>
  <c r="L30" i="23"/>
  <c r="R83" i="23"/>
  <c r="H15" i="19" s="1"/>
  <c r="F20" i="11"/>
  <c r="F21" i="11" s="1"/>
  <c r="J19" i="21"/>
  <c r="I13" i="11" l="1"/>
  <c r="I19" i="11" s="1"/>
  <c r="I19" i="21"/>
  <c r="I7" i="21" s="1"/>
  <c r="J7" i="19"/>
  <c r="M59" i="23"/>
  <c r="M81" i="23" s="1"/>
  <c r="K7" i="19"/>
  <c r="H7" i="21"/>
  <c r="H14" i="19"/>
  <c r="H16" i="19"/>
  <c r="I43" i="21"/>
  <c r="I41" i="21" s="1"/>
  <c r="G9" i="11"/>
  <c r="G10" i="11" s="1"/>
  <c r="G36" i="21"/>
  <c r="G15" i="21"/>
  <c r="G37" i="21" s="1"/>
  <c r="K59" i="23"/>
  <c r="K81" i="23" s="1"/>
  <c r="J27" i="22"/>
  <c r="J26" i="22"/>
  <c r="K25" i="22" s="1"/>
  <c r="H20" i="21"/>
  <c r="I9" i="19"/>
  <c r="I10" i="19" s="1"/>
  <c r="L9" i="11"/>
  <c r="L10" i="11" s="1"/>
  <c r="L8" i="11"/>
  <c r="M60" i="23"/>
  <c r="I20" i="11"/>
  <c r="N81" i="23"/>
  <c r="N60" i="23"/>
  <c r="H12" i="11"/>
  <c r="H13" i="11"/>
  <c r="L81" i="23"/>
  <c r="L60" i="23"/>
  <c r="N30" i="23"/>
  <c r="J11" i="11"/>
  <c r="K30" i="23"/>
  <c r="G11" i="11"/>
  <c r="S29" i="23"/>
  <c r="R84" i="23"/>
  <c r="J43" i="21"/>
  <c r="J41" i="21" s="1"/>
  <c r="J7" i="21"/>
  <c r="K19" i="21"/>
  <c r="L7" i="19"/>
  <c r="I33" i="21"/>
  <c r="I10" i="21"/>
  <c r="I21" i="11" l="1"/>
  <c r="I14" i="11"/>
  <c r="H33" i="21"/>
  <c r="H10" i="21"/>
  <c r="K60" i="23"/>
  <c r="H22" i="19"/>
  <c r="H20" i="19" s="1"/>
  <c r="I21" i="19"/>
  <c r="G35" i="21"/>
  <c r="G17" i="21"/>
  <c r="J28" i="22"/>
  <c r="I11" i="19"/>
  <c r="L11" i="11"/>
  <c r="H12" i="21"/>
  <c r="H14" i="21" s="1"/>
  <c r="H34" i="21"/>
  <c r="J9" i="19"/>
  <c r="K8" i="19"/>
  <c r="I20" i="21"/>
  <c r="M84" i="23"/>
  <c r="J13" i="11"/>
  <c r="J12" i="11"/>
  <c r="S30" i="23"/>
  <c r="S59" i="23"/>
  <c r="S60" i="23" s="1"/>
  <c r="L84" i="23"/>
  <c r="K84" i="23"/>
  <c r="S81" i="23"/>
  <c r="S83" i="23" s="1"/>
  <c r="G12" i="11"/>
  <c r="G13" i="11"/>
  <c r="H19" i="11"/>
  <c r="H14" i="11"/>
  <c r="K7" i="21"/>
  <c r="K43" i="21"/>
  <c r="K41" i="21" s="1"/>
  <c r="M7" i="19"/>
  <c r="L19" i="21"/>
  <c r="J33" i="21"/>
  <c r="J10" i="21"/>
  <c r="J11" i="19" l="1"/>
  <c r="K11" i="19" s="1"/>
  <c r="L11" i="19" s="1"/>
  <c r="M11" i="19" s="1"/>
  <c r="L15" i="19"/>
  <c r="M15" i="19"/>
  <c r="I15" i="19"/>
  <c r="J15" i="19"/>
  <c r="K15" i="19"/>
  <c r="H23" i="19"/>
  <c r="K24" i="22"/>
  <c r="J8" i="22"/>
  <c r="J20" i="21"/>
  <c r="L8" i="19"/>
  <c r="K9" i="19"/>
  <c r="K10" i="19" s="1"/>
  <c r="J10" i="19"/>
  <c r="H15" i="21"/>
  <c r="H36" i="21"/>
  <c r="I12" i="21"/>
  <c r="I14" i="21" s="1"/>
  <c r="I34" i="21"/>
  <c r="N82" i="23"/>
  <c r="N83" i="23" s="1"/>
  <c r="L13" i="11"/>
  <c r="L12" i="11"/>
  <c r="I12" i="19"/>
  <c r="K83" i="23"/>
  <c r="G20" i="11"/>
  <c r="G14" i="11"/>
  <c r="G19" i="11"/>
  <c r="L83" i="23"/>
  <c r="H20" i="11"/>
  <c r="H21" i="11" s="1"/>
  <c r="J14" i="11"/>
  <c r="J19" i="11"/>
  <c r="K33" i="21"/>
  <c r="K10" i="21"/>
  <c r="L7" i="21"/>
  <c r="L43" i="21"/>
  <c r="L41" i="21" s="1"/>
  <c r="J12" i="19" l="1"/>
  <c r="K27" i="22"/>
  <c r="K26" i="22"/>
  <c r="L25" i="22" s="1"/>
  <c r="K30" i="22"/>
  <c r="I36" i="21"/>
  <c r="I15" i="21"/>
  <c r="M8" i="19"/>
  <c r="K20" i="21"/>
  <c r="L9" i="19"/>
  <c r="L10" i="19" s="1"/>
  <c r="J12" i="21"/>
  <c r="J14" i="21" s="1"/>
  <c r="J34" i="21"/>
  <c r="H17" i="21"/>
  <c r="I22" i="19"/>
  <c r="I20" i="19" s="1"/>
  <c r="I23" i="19" s="1"/>
  <c r="J21" i="19"/>
  <c r="H37" i="21"/>
  <c r="H35" i="21"/>
  <c r="S84" i="23"/>
  <c r="I13" i="19"/>
  <c r="I16" i="19"/>
  <c r="I14" i="19"/>
  <c r="L14" i="11"/>
  <c r="L19" i="11"/>
  <c r="G21" i="11"/>
  <c r="L20" i="11"/>
  <c r="L33" i="21"/>
  <c r="L10" i="21"/>
  <c r="K28" i="22" l="1"/>
  <c r="K12" i="21"/>
  <c r="K14" i="21" s="1"/>
  <c r="K34" i="21"/>
  <c r="J36" i="21"/>
  <c r="J15" i="21"/>
  <c r="L20" i="21"/>
  <c r="M9" i="19"/>
  <c r="M10" i="19" s="1"/>
  <c r="J22" i="19"/>
  <c r="J20" i="19" s="1"/>
  <c r="I37" i="21"/>
  <c r="I35" i="21"/>
  <c r="I17" i="21"/>
  <c r="K21" i="19"/>
  <c r="L21" i="11"/>
  <c r="C6" i="16" s="1"/>
  <c r="C9" i="16" s="1"/>
  <c r="J20" i="11"/>
  <c r="J21" i="11" s="1"/>
  <c r="N84" i="23"/>
  <c r="J13" i="19"/>
  <c r="J14" i="19"/>
  <c r="J16" i="19"/>
  <c r="K12" i="19"/>
  <c r="K8" i="22" l="1"/>
  <c r="L24" i="22"/>
  <c r="J17" i="21"/>
  <c r="J35" i="21"/>
  <c r="L21" i="19"/>
  <c r="J37" i="21"/>
  <c r="K22" i="19"/>
  <c r="K20" i="19" s="1"/>
  <c r="L12" i="21"/>
  <c r="L14" i="21" s="1"/>
  <c r="L34" i="21"/>
  <c r="K15" i="21"/>
  <c r="K36" i="21"/>
  <c r="C10" i="16"/>
  <c r="M12" i="19"/>
  <c r="L12" i="19"/>
  <c r="K16" i="19"/>
  <c r="K14" i="19"/>
  <c r="K13" i="19"/>
  <c r="C11" i="16" l="1"/>
  <c r="C13" i="16" s="1"/>
  <c r="L27" i="22"/>
  <c r="L26" i="22"/>
  <c r="L28" i="22" s="1"/>
  <c r="L8" i="22" s="1"/>
  <c r="L30" i="22"/>
  <c r="L36" i="21"/>
  <c r="L15" i="21"/>
  <c r="M21" i="19"/>
  <c r="K17" i="21"/>
  <c r="L22" i="19"/>
  <c r="L20" i="19" s="1"/>
  <c r="K37" i="21"/>
  <c r="K35" i="21"/>
  <c r="L14" i="19"/>
  <c r="L16" i="19"/>
  <c r="L13" i="19"/>
  <c r="M16" i="19"/>
  <c r="M13" i="19"/>
  <c r="M14" i="19"/>
  <c r="M22" i="19" l="1"/>
  <c r="M20" i="19" s="1"/>
  <c r="L17" i="21"/>
  <c r="L37" i="21"/>
  <c r="L35" i="21"/>
  <c r="G37" i="22" l="1"/>
  <c r="H17" i="19" s="1"/>
  <c r="G38" i="22"/>
  <c r="H13" i="22"/>
  <c r="H15" i="22" s="1"/>
  <c r="H37" i="22" s="1"/>
  <c r="I14" i="22" l="1"/>
  <c r="H28" i="19"/>
  <c r="H18" i="19"/>
  <c r="H16" i="22"/>
  <c r="H35" i="22" l="1"/>
  <c r="I25" i="19" s="1"/>
  <c r="I26" i="19" s="1"/>
  <c r="H17" i="22"/>
  <c r="H7" i="22" s="1"/>
  <c r="H38" i="22"/>
  <c r="I17" i="19"/>
  <c r="I28" i="19" l="1"/>
  <c r="I35" i="19" s="1"/>
  <c r="I18" i="19"/>
  <c r="I13" i="22"/>
  <c r="I16" i="22" l="1"/>
  <c r="I35" i="22"/>
  <c r="J25" i="19" s="1"/>
  <c r="J26" i="19" s="1"/>
  <c r="I15" i="22"/>
  <c r="I37" i="22" s="1"/>
  <c r="J17" i="19" l="1"/>
  <c r="J14" i="22"/>
  <c r="I17" i="22"/>
  <c r="I7" i="22" s="1"/>
  <c r="I10" i="22" s="1"/>
  <c r="I38" i="22" l="1"/>
  <c r="J13" i="22"/>
  <c r="J15" i="22" s="1"/>
  <c r="J37" i="22" s="1"/>
  <c r="J28" i="19"/>
  <c r="J35" i="19" s="1"/>
  <c r="J18" i="19"/>
  <c r="J35" i="22" l="1"/>
  <c r="K25" i="19" s="1"/>
  <c r="K26" i="19" s="1"/>
  <c r="J16" i="22"/>
  <c r="K17" i="19" l="1"/>
  <c r="K28" i="19" s="1"/>
  <c r="K35" i="19" s="1"/>
  <c r="K14" i="22"/>
  <c r="J17" i="22"/>
  <c r="K18" i="19" l="1"/>
  <c r="J38" i="22"/>
  <c r="J7" i="22"/>
  <c r="J10" i="22" s="1"/>
  <c r="K13" i="22"/>
  <c r="K15" i="22" l="1"/>
  <c r="K37" i="22" s="1"/>
  <c r="K16" i="22"/>
  <c r="L17" i="19" l="1"/>
  <c r="L14" i="22"/>
  <c r="K35" i="22"/>
  <c r="L25" i="19" s="1"/>
  <c r="L26" i="19" s="1"/>
  <c r="K17" i="22"/>
  <c r="K38" i="22" l="1"/>
  <c r="L28" i="19"/>
  <c r="L35" i="19" s="1"/>
  <c r="L18" i="19"/>
  <c r="K7" i="22"/>
  <c r="K10" i="22" s="1"/>
  <c r="L13" i="22"/>
  <c r="L35" i="22" l="1"/>
  <c r="M25" i="19" s="1"/>
  <c r="M26" i="19" s="1"/>
  <c r="L15" i="22"/>
  <c r="L37" i="22" s="1"/>
  <c r="L16" i="22"/>
  <c r="M17" i="19" l="1"/>
  <c r="L38" i="22"/>
  <c r="L17" i="22"/>
  <c r="L7" i="22" s="1"/>
  <c r="L10" i="22" s="1"/>
  <c r="M28" i="19" l="1"/>
  <c r="M18" i="19"/>
  <c r="M35" i="19" l="1"/>
  <c r="F36" i="19" s="1"/>
  <c r="N31" i="19"/>
  <c r="F30" i="19" s="1"/>
  <c r="F37" i="19" s="1"/>
  <c r="T9" i="19" s="1"/>
  <c r="F38" i="19" l="1"/>
  <c r="F41" i="19" s="1"/>
  <c r="T8" i="19"/>
  <c r="T10" i="19" s="1"/>
  <c r="T13" i="19" s="1"/>
  <c r="F45" i="19" l="1"/>
  <c r="F44" i="19"/>
  <c r="T15" i="19" s="1"/>
  <c r="T17" i="1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채현기</author>
  </authors>
  <commentList>
    <comment ref="B4" authorId="0" shapeId="0" xr:uid="{FD10A16C-D38A-4CF3-8708-1EFD1F5A43B7}">
      <text>
        <r>
          <rPr>
            <sz val="8"/>
            <color indexed="54"/>
            <rFont val="Tahoma"/>
            <family val="2"/>
          </rPr>
          <t>별도
연결</t>
        </r>
      </text>
    </comment>
    <comment ref="B5" authorId="0" shapeId="0" xr:uid="{92C220EE-9E32-4877-B0B2-3F15372FF08C}">
      <text>
        <r>
          <rPr>
            <sz val="8"/>
            <color indexed="54"/>
            <rFont val="Tahoma"/>
            <family val="2"/>
          </rPr>
          <t>전체
재무상태표
손익계산서
현금흐름표
자본금변동표</t>
        </r>
      </text>
    </comment>
    <comment ref="B6" authorId="0" shapeId="0" xr:uid="{F20D3AF8-8FF3-4468-80F6-1B14BE7EE581}">
      <text>
        <r>
          <rPr>
            <sz val="8"/>
            <color indexed="54"/>
            <rFont val="Tahoma"/>
            <family val="2"/>
          </rPr>
          <t>상세(총액)
상세(순액)
요약
약식</t>
        </r>
      </text>
    </comment>
    <comment ref="B7" authorId="0" shapeId="0" xr:uid="{05344E85-7366-480A-BFF4-5C6B8A4AF2C3}">
      <text>
        <r>
          <rPr>
            <sz val="8"/>
            <color indexed="54"/>
            <rFont val="Tahoma"/>
            <family val="2"/>
          </rPr>
          <t>결산
누적분기
당분기</t>
        </r>
      </text>
    </comment>
    <comment ref="C7" authorId="0" shapeId="0" xr:uid="{53C5E9E5-79C0-4A2D-A6E3-8AFED9B3554F}">
      <text>
        <r>
          <rPr>
            <sz val="8"/>
            <color indexed="54"/>
            <rFont val="Tahoma"/>
            <family val="2"/>
          </rPr>
          <t>천원
백만원
억원
십억원</t>
        </r>
      </text>
    </comment>
    <comment ref="B8" authorId="0" shapeId="0" xr:uid="{880D7BA6-3705-4E7D-96B4-E157F33175B3}">
      <text>
        <r>
          <rPr>
            <sz val="8"/>
            <color indexed="54"/>
            <rFont val="Tahoma"/>
            <family val="2"/>
          </rPr>
          <t>1983
1984
1985
1986
1987
1988
1989
1990
1991
1992
1993
1994
1995
1996
1997
1998
1999
2000
2001
2002
2003
2004
2005
2006
2007
2008
2009
2010
2011
2012
2013
2014
2015
2016
2017
2018
2019
2020
2021
2022
2023
2024
2025</t>
        </r>
      </text>
    </comment>
    <comment ref="C8" authorId="0" shapeId="0" xr:uid="{155BCC99-713C-47D3-AF6C-1B582EF2E4B4}">
      <text>
        <r>
          <rPr>
            <sz val="8"/>
            <color indexed="54"/>
            <rFont val="Tahoma"/>
            <family val="2"/>
          </rPr>
          <t>1983
1984
1985
1986
1987
1988
1989
1990
1991
1992
1993
1994
1995
1996
1997
1998
1999
2000
2001
2002
2003
2004
2005
2006
2007
2008
2009
2010
2011
2012
2013
2014
2015
2016
2017
2018
2019
2020
2021
2022
2023
2024
2025
Current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채현기</author>
  </authors>
  <commentList>
    <comment ref="B4" authorId="0" shapeId="0" xr:uid="{F1A94054-39D8-4547-9141-C715C71E9CBC}">
      <text>
        <r>
          <rPr>
            <sz val="8"/>
            <color indexed="54"/>
            <rFont val="Tahoma"/>
            <family val="2"/>
          </rPr>
          <t>별도
연결</t>
        </r>
      </text>
    </comment>
    <comment ref="B5" authorId="0" shapeId="0" xr:uid="{BA7EC7AF-03BE-4D51-A21D-9F1B5288A8F0}">
      <text>
        <r>
          <rPr>
            <sz val="8"/>
            <color indexed="54"/>
            <rFont val="Tahoma"/>
            <family val="2"/>
          </rPr>
          <t>전체
재무상태표
손익계산서
현금흐름표
자본금변동표</t>
        </r>
      </text>
    </comment>
    <comment ref="B6" authorId="0" shapeId="0" xr:uid="{0FB35B0E-87B1-4AE1-819E-089E2066A867}">
      <text>
        <r>
          <rPr>
            <sz val="8"/>
            <color indexed="54"/>
            <rFont val="Tahoma"/>
            <family val="2"/>
          </rPr>
          <t>상세(총액)
상세(순액)
요약
약식</t>
        </r>
      </text>
    </comment>
    <comment ref="B7" authorId="0" shapeId="0" xr:uid="{81CB9A7F-72BC-45B7-AE60-EB6BF8005254}">
      <text>
        <r>
          <rPr>
            <sz val="8"/>
            <color indexed="54"/>
            <rFont val="Tahoma"/>
            <family val="2"/>
          </rPr>
          <t>결산
누적분기
당분기</t>
        </r>
      </text>
    </comment>
    <comment ref="C7" authorId="0" shapeId="0" xr:uid="{A6373C83-9F3F-4D7E-BB67-EA6ABDE2C8A3}">
      <text>
        <r>
          <rPr>
            <sz val="8"/>
            <color indexed="54"/>
            <rFont val="Tahoma"/>
            <family val="2"/>
          </rPr>
          <t>천원
백만원
억원
십억원</t>
        </r>
      </text>
    </comment>
    <comment ref="B8" authorId="0" shapeId="0" xr:uid="{5E004982-3D04-49D7-B136-DE9B75139FB5}">
      <text>
        <r>
          <rPr>
            <sz val="8"/>
            <color indexed="54"/>
            <rFont val="Tahoma"/>
            <family val="2"/>
          </rPr>
          <t>1983
1984
1985
1986
1987
1988
1989
1990
1991
1992
1993
1994
1995
1996
1997
1998
1999
2000
2001
2002
2003
2004
2005
2006
2007
2008
2009
2010
2011
2012
2013
2014
2015
2016
2017
2018
2019
2020
2021
2022
2023
2024
2025</t>
        </r>
      </text>
    </comment>
    <comment ref="C8" authorId="0" shapeId="0" xr:uid="{B57A2E22-BADD-43C7-992D-80793F0C7651}">
      <text>
        <r>
          <rPr>
            <sz val="8"/>
            <color indexed="54"/>
            <rFont val="Tahoma"/>
            <family val="2"/>
          </rPr>
          <t>1983
1984
1985
1986
1987
1988
1989
1990
1991
1992
1993
1994
1995
1996
1997
1998
1999
2000
2001
2002
2003
2004
2005
2006
2007
2008
2009
2010
2011
2012
2013
2014
2015
2016
2017
2018
2019
2020
2021
2022
2023
2024
2025
Current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채현기</author>
  </authors>
  <commentList>
    <comment ref="B4" authorId="0" shapeId="0" xr:uid="{2C8DFA9F-6D31-473D-BBF0-35DDAFFF0092}">
      <text>
        <r>
          <rPr>
            <sz val="8"/>
            <color indexed="54"/>
            <rFont val="Tahoma"/>
            <family val="2"/>
          </rPr>
          <t>별도
연결</t>
        </r>
      </text>
    </comment>
    <comment ref="B5" authorId="0" shapeId="0" xr:uid="{D7445709-4ECE-467C-904D-785AA12BC936}">
      <text>
        <r>
          <rPr>
            <sz val="8"/>
            <color indexed="54"/>
            <rFont val="Tahoma"/>
            <family val="2"/>
          </rPr>
          <t>전체
재무상태표
손익계산서
현금흐름표
자본금변동표</t>
        </r>
      </text>
    </comment>
    <comment ref="B6" authorId="0" shapeId="0" xr:uid="{F415E90E-3462-414C-8B73-00B7DF9B395E}">
      <text>
        <r>
          <rPr>
            <sz val="8"/>
            <color indexed="54"/>
            <rFont val="Tahoma"/>
            <family val="2"/>
          </rPr>
          <t>상세(총액)
상세(순액)
요약
약식</t>
        </r>
      </text>
    </comment>
    <comment ref="B7" authorId="0" shapeId="0" xr:uid="{C587C8CE-EAAC-49C9-AB7F-D92185C648A3}">
      <text>
        <r>
          <rPr>
            <sz val="8"/>
            <color indexed="54"/>
            <rFont val="Tahoma"/>
            <family val="2"/>
          </rPr>
          <t>결산
누적분기
당분기</t>
        </r>
      </text>
    </comment>
    <comment ref="C7" authorId="0" shapeId="0" xr:uid="{3D912E65-3E00-4C17-A91A-7820DE2B89FF}">
      <text>
        <r>
          <rPr>
            <sz val="8"/>
            <color indexed="54"/>
            <rFont val="Tahoma"/>
            <family val="2"/>
          </rPr>
          <t>천원
백만원
억원
십억원</t>
        </r>
      </text>
    </comment>
    <comment ref="B8" authorId="0" shapeId="0" xr:uid="{2E3426D7-CB07-476D-892E-D5AEFD46B8D7}">
      <text>
        <r>
          <rPr>
            <sz val="8"/>
            <color indexed="54"/>
            <rFont val="Tahoma"/>
            <family val="2"/>
          </rPr>
          <t>1983
1984
1985
1986
1987
1988
1989
1990
1991
1992
1993
1994
1995
1996
1997
1998
1999
2000
2001
2002
2003
2004
2005
2006
2007
2008
2009
2010
2011
2012
2013
2014
2015
2016
2017
2018
2019
2020
2021
2022
2023
2024
2025</t>
        </r>
      </text>
    </comment>
    <comment ref="C8" authorId="0" shapeId="0" xr:uid="{B406F8BB-0F52-4881-9165-BE455C9709F6}">
      <text>
        <r>
          <rPr>
            <sz val="8"/>
            <color indexed="54"/>
            <rFont val="Tahoma"/>
            <family val="2"/>
          </rPr>
          <t>1983
1984
1985
1986
1987
1988
1989
1990
1991
1992
1993
1994
1995
1996
1997
1998
1999
2000
2001
2002
2003
2004
2005
2006
2007
2008
2009
2010
2011
2012
2013
2014
2015
2016
2017
2018
2019
2020
2021
2022
2023
2024
2025
Current</t>
        </r>
      </text>
    </comment>
  </commentList>
</comments>
</file>

<file path=xl/sharedStrings.xml><?xml version="1.0" encoding="utf-8"?>
<sst xmlns="http://schemas.openxmlformats.org/spreadsheetml/2006/main" count="1700" uniqueCount="584">
  <si>
    <t>Financial Statements</t>
  </si>
  <si>
    <t>Accounting Std.</t>
  </si>
  <si>
    <t>New</t>
  </si>
  <si>
    <t>Company</t>
  </si>
  <si>
    <t>Type</t>
  </si>
  <si>
    <t>Report</t>
  </si>
  <si>
    <t>Form</t>
  </si>
  <si>
    <t>Output</t>
  </si>
  <si>
    <t>Fiscal Year</t>
  </si>
  <si>
    <t>계정코드</t>
  </si>
  <si>
    <t>계정명</t>
  </si>
  <si>
    <t>단위</t>
  </si>
  <si>
    <t>IFRS(연결)</t>
  </si>
  <si>
    <t>자산(*)</t>
  </si>
  <si>
    <t>백만원</t>
  </si>
  <si>
    <t xml:space="preserve">    유동자산(*)</t>
  </si>
  <si>
    <t xml:space="preserve">        재고자산(*)</t>
  </si>
  <si>
    <t xml:space="preserve">        유동생물자산(*)</t>
  </si>
  <si>
    <t xml:space="preserve">        유동금융자산(*)</t>
  </si>
  <si>
    <t xml:space="preserve">        매출채권및기타유동채권(*)</t>
  </si>
  <si>
    <t xml:space="preserve">        당기법인세자산(선급법인세)</t>
  </si>
  <si>
    <t xml:space="preserve">        계약자산(**)</t>
  </si>
  <si>
    <t xml:space="preserve">        반품(환불)자산</t>
  </si>
  <si>
    <t xml:space="preserve">        배출권</t>
  </si>
  <si>
    <t xml:space="preserve">        기타유동자산(*)</t>
  </si>
  <si>
    <t xml:space="preserve">        현금및현금성자산(*)</t>
  </si>
  <si>
    <t xml:space="preserve">        매각예정비유동자산및처분자산집단(*)</t>
  </si>
  <si>
    <t xml:space="preserve">    비유동자산(*)</t>
  </si>
  <si>
    <t xml:space="preserve">        유형자산(*)</t>
  </si>
  <si>
    <t xml:space="preserve">        무형자산(*)</t>
  </si>
  <si>
    <t xml:space="preserve">        비유동생물자산(*)</t>
  </si>
  <si>
    <t xml:space="preserve">        투자부동산(*)</t>
  </si>
  <si>
    <t xml:space="preserve">        장기금융자산(*)</t>
  </si>
  <si>
    <t xml:space="preserve">        관계기업등지분관련투자자산(*)</t>
  </si>
  <si>
    <t xml:space="preserve">        장기매출채권및기타비유동채권(*)</t>
  </si>
  <si>
    <t xml:space="preserve">        이연법인세자산</t>
  </si>
  <si>
    <t xml:space="preserve">        장기당기법인세자산</t>
  </si>
  <si>
    <t xml:space="preserve">        기타비유동자산(*)</t>
  </si>
  <si>
    <t xml:space="preserve">    기타금융업자산</t>
  </si>
  <si>
    <t>부채(*)</t>
  </si>
  <si>
    <t xml:space="preserve">    유동부채(*)</t>
  </si>
  <si>
    <t xml:space="preserve">        단기사채(**)</t>
  </si>
  <si>
    <t xml:space="preserve">        단기차입금(*)</t>
  </si>
  <si>
    <t xml:space="preserve">        유동성장기부채(*)</t>
  </si>
  <si>
    <t xml:space="preserve">        유동금융부채(*)</t>
  </si>
  <si>
    <t xml:space="preserve">        매입채무및기타유동채무(*)</t>
  </si>
  <si>
    <t xml:space="preserve">        유동종업원급여충당부채(*)</t>
  </si>
  <si>
    <t xml:space="preserve">        기타단기충당부채(*)</t>
  </si>
  <si>
    <t xml:space="preserve">        당기법인세부채(미지급법인세)</t>
  </si>
  <si>
    <t xml:space="preserve">        계약부채</t>
  </si>
  <si>
    <t xml:space="preserve">        반품(환불)부채</t>
  </si>
  <si>
    <t xml:space="preserve">        배출부채</t>
  </si>
  <si>
    <t xml:space="preserve">        기타유동부채(*)</t>
  </si>
  <si>
    <t xml:space="preserve">        매각예정으로분류된처분자산집단에포함된부채(*)</t>
  </si>
  <si>
    <t xml:space="preserve">    비유동부채(*)</t>
  </si>
  <si>
    <t xml:space="preserve">        사채(*)</t>
  </si>
  <si>
    <t xml:space="preserve">        장기차입금(*)</t>
  </si>
  <si>
    <t xml:space="preserve">        비유동금융부채(*)</t>
  </si>
  <si>
    <t xml:space="preserve">        장기매입채무및기타비유동채무(*)</t>
  </si>
  <si>
    <t xml:space="preserve">        비유동종업원급여충당부채(*)</t>
  </si>
  <si>
    <t xml:space="preserve">        기타장기충당부채(*)</t>
  </si>
  <si>
    <t xml:space="preserve">        이연법인세부채</t>
  </si>
  <si>
    <t xml:space="preserve">        장기당기법인세부채(미지급법인세)(**)</t>
  </si>
  <si>
    <t xml:space="preserve">        기타비유동부채(*)</t>
  </si>
  <si>
    <t xml:space="preserve">    기타금융업부채</t>
  </si>
  <si>
    <t>자본(*)</t>
  </si>
  <si>
    <t>*수권주식수</t>
  </si>
  <si>
    <t>주</t>
  </si>
  <si>
    <t>*주당액면가액</t>
  </si>
  <si>
    <t>원</t>
  </si>
  <si>
    <t>*발행한주식총수(*)</t>
  </si>
  <si>
    <t xml:space="preserve">    *보통주</t>
  </si>
  <si>
    <t xml:space="preserve">    *우선주</t>
  </si>
  <si>
    <t xml:space="preserve">    지배기업주주지분(*)</t>
  </si>
  <si>
    <t xml:space="preserve">        자본금(*)</t>
  </si>
  <si>
    <t xml:space="preserve">        신종자본증권</t>
  </si>
  <si>
    <t xml:space="preserve">        자본잉여금(*)</t>
  </si>
  <si>
    <t xml:space="preserve">        기타자본(*)</t>
  </si>
  <si>
    <t xml:space="preserve">        기타포괄손익누계액(*)</t>
  </si>
  <si>
    <t xml:space="preserve">        이익잉여금(결손금)(*)</t>
  </si>
  <si>
    <t xml:space="preserve">    비지배주주지분</t>
  </si>
  <si>
    <t>Fiscal Year</t>
    <phoneticPr fontId="3" type="noConversion"/>
  </si>
  <si>
    <r>
      <t>A089030(</t>
    </r>
    <r>
      <rPr>
        <sz val="9"/>
        <color rgb="FF325886"/>
        <rFont val="맑은 고딕"/>
        <family val="2"/>
        <charset val="129"/>
        <scheme val="minor"/>
      </rPr>
      <t>테크윙</t>
    </r>
    <r>
      <rPr>
        <sz val="9"/>
        <color rgb="FF325886"/>
        <rFont val="Arial"/>
        <family val="2"/>
      </rPr>
      <t>)  -  Fiscal Month:12,  201106</t>
    </r>
    <r>
      <rPr>
        <sz val="9"/>
        <color rgb="FF325886"/>
        <rFont val="맑은 고딕"/>
        <family val="2"/>
        <charset val="129"/>
        <scheme val="minor"/>
      </rPr>
      <t>부터</t>
    </r>
    <r>
      <rPr>
        <sz val="9"/>
        <color rgb="FF325886"/>
        <rFont val="Arial"/>
        <family val="2"/>
      </rPr>
      <t xml:space="preserve"> IFRS </t>
    </r>
    <r>
      <rPr>
        <sz val="9"/>
        <color rgb="FF325886"/>
        <rFont val="맑은 고딕"/>
        <family val="2"/>
        <charset val="129"/>
        <scheme val="minor"/>
      </rPr>
      <t>적용</t>
    </r>
  </si>
  <si>
    <t>재무상태표</t>
  </si>
  <si>
    <t>결산</t>
  </si>
  <si>
    <t>IFRS</t>
  </si>
  <si>
    <t>연결</t>
  </si>
  <si>
    <t>Current</t>
  </si>
  <si>
    <t>약식(COMPARE)</t>
  </si>
  <si>
    <t>약식(COMPARE)</t>
    <phoneticPr fontId="3" type="noConversion"/>
  </si>
  <si>
    <t>매출액(수익)(*)</t>
  </si>
  <si>
    <t>*수출(*)</t>
  </si>
  <si>
    <t>*내수</t>
  </si>
  <si>
    <t>매출원가(*)</t>
  </si>
  <si>
    <t>매출총이익(손실)</t>
  </si>
  <si>
    <t>판매비와관리비(*)</t>
  </si>
  <si>
    <t xml:space="preserve">    인건비(*)</t>
  </si>
  <si>
    <t xml:space="preserve">    유무형자산상각비(*)</t>
  </si>
  <si>
    <t xml:space="preserve">    연구개발비</t>
  </si>
  <si>
    <t xml:space="preserve">    광고선전비</t>
  </si>
  <si>
    <t xml:space="preserve">    판매비(*)</t>
  </si>
  <si>
    <t xml:space="preserve">    관리비(*)</t>
  </si>
  <si>
    <t xml:space="preserve">    기타원가성비용(*)</t>
  </si>
  <si>
    <t xml:space="preserve">    기타</t>
  </si>
  <si>
    <t>영업이익(손실)</t>
  </si>
  <si>
    <t>금융수익(*)</t>
  </si>
  <si>
    <t xml:space="preserve">    이자수익</t>
  </si>
  <si>
    <t xml:space="preserve">    배당금수익</t>
  </si>
  <si>
    <t xml:space="preserve">    외환이익(*)</t>
  </si>
  <si>
    <t xml:space="preserve">    대손충당금환입액</t>
  </si>
  <si>
    <t xml:space="preserve">    매출채권처분이익</t>
  </si>
  <si>
    <t xml:space="preserve">    당기손익-공정가치측정 금융자산관련이익</t>
  </si>
  <si>
    <t xml:space="preserve">    금융자산처분이익(*)</t>
  </si>
  <si>
    <t xml:space="preserve">    금융자산평가이익(*)</t>
  </si>
  <si>
    <t xml:space="preserve">    금융자산손상차손환입(*)</t>
  </si>
  <si>
    <t xml:space="preserve">    파생상품이익(*)</t>
  </si>
  <si>
    <t xml:space="preserve">    기타금융수익(*)</t>
  </si>
  <si>
    <t>금융원가(*)</t>
  </si>
  <si>
    <t xml:space="preserve">    이자비용</t>
  </si>
  <si>
    <t xml:space="preserve">    외환손실(*)</t>
  </si>
  <si>
    <t xml:space="preserve">    대손상각비</t>
  </si>
  <si>
    <t xml:space="preserve">    당기손익-공정가치측정 금융자산관련손실</t>
  </si>
  <si>
    <t xml:space="preserve">    매출채권처분손실</t>
  </si>
  <si>
    <t xml:space="preserve">    금융자산처분손실(*)</t>
  </si>
  <si>
    <t xml:space="preserve">    금융자산평가손실(*)</t>
  </si>
  <si>
    <t xml:space="preserve">    금융자산손상차손(*)</t>
  </si>
  <si>
    <t xml:space="preserve">    파생상품손실(*)</t>
  </si>
  <si>
    <t xml:space="preserve">    기타금융원가(*)</t>
  </si>
  <si>
    <t>기타수익(*)</t>
  </si>
  <si>
    <t xml:space="preserve">    재고자산감모손실환입</t>
  </si>
  <si>
    <t xml:space="preserve">    재고자산폐기(처분)이익</t>
  </si>
  <si>
    <t xml:space="preserve">    당기손익-공정가치측정 금융자산평가이익</t>
  </si>
  <si>
    <t xml:space="preserve">    자산처분(폐기)이익(*)</t>
  </si>
  <si>
    <t xml:space="preserve">    자산평가이익</t>
  </si>
  <si>
    <t xml:space="preserve">    자산손상차손환입(*)</t>
  </si>
  <si>
    <t xml:space="preserve">    임대료수익</t>
  </si>
  <si>
    <t xml:space="preserve">    로열티수익</t>
  </si>
  <si>
    <t xml:space="preserve">    수수료수익</t>
  </si>
  <si>
    <t xml:space="preserve">    대손충당금환입</t>
  </si>
  <si>
    <t xml:space="preserve">    충당부채환입액</t>
  </si>
  <si>
    <t xml:space="preserve">    기타(*)</t>
  </si>
  <si>
    <t>기타비용(*)</t>
  </si>
  <si>
    <t xml:space="preserve">    재고자산감모손실</t>
  </si>
  <si>
    <t xml:space="preserve">    재고자산폐기(처분)손실</t>
  </si>
  <si>
    <t xml:space="preserve">    당기손익-공정가치측정 금융자산평가손실</t>
  </si>
  <si>
    <t xml:space="preserve">    자산처분(폐기)손실(*)</t>
  </si>
  <si>
    <t xml:space="preserve">    자산평가손실</t>
  </si>
  <si>
    <t xml:space="preserve">    자산손상차손(*)</t>
  </si>
  <si>
    <t xml:space="preserve">    기타대손상각비</t>
  </si>
  <si>
    <t xml:space="preserve">    충당부채전입액</t>
  </si>
  <si>
    <t>종속기업,공동지배기업및관계기업관련손익(*)</t>
  </si>
  <si>
    <t xml:space="preserve">    지분법손익(*)</t>
  </si>
  <si>
    <t xml:space="preserve">    종속기업,공동지배기업및관계기업투자주식처분손익(*)</t>
  </si>
  <si>
    <t xml:space="preserve">    종속기업,공동지배기업및관계기업투자주식손상관련손익(*)</t>
  </si>
  <si>
    <t>법인세비용차감전계속사업이익</t>
  </si>
  <si>
    <t>법인세비용</t>
  </si>
  <si>
    <t>종속회사매수일전순손익</t>
  </si>
  <si>
    <t>처분된종속회사순손익</t>
  </si>
  <si>
    <t>계속영업이익(손실)</t>
  </si>
  <si>
    <t>중단영업이익(손실)</t>
  </si>
  <si>
    <t>당기순이익(손실)</t>
  </si>
  <si>
    <t>기타포괄손익(*)</t>
  </si>
  <si>
    <t>총포괄손익</t>
  </si>
  <si>
    <t>(당기순손익귀속)지배기업주주지분</t>
  </si>
  <si>
    <t>(당기순손익귀속)비지배주주지분</t>
  </si>
  <si>
    <t>(총포괄손익귀속)지배기업주주지분</t>
  </si>
  <si>
    <t>(총포괄손익귀속)비지배주주지분</t>
  </si>
  <si>
    <t>주당계속영업이익</t>
  </si>
  <si>
    <t>주당순손익</t>
  </si>
  <si>
    <t>희석주당계속영업이익</t>
  </si>
  <si>
    <t>희석주당순손익</t>
  </si>
  <si>
    <t>(지배기업주주지분)주당계속영업이익</t>
  </si>
  <si>
    <t>(지배기업주주지분)주당순손익</t>
  </si>
  <si>
    <t>(지배기업주주지분)희석주당계속영업이익</t>
  </si>
  <si>
    <t>(지배기업주주지분)희석주당순손익</t>
  </si>
  <si>
    <t>손익계산서</t>
  </si>
  <si>
    <t>영업활동으로인한현금흐름(간접법)(*)</t>
  </si>
  <si>
    <t xml:space="preserve">    *(직접법)총현금유입(*)</t>
  </si>
  <si>
    <t xml:space="preserve">    *(직접법)총현금유출(*)</t>
  </si>
  <si>
    <t xml:space="preserve">    당기순손익</t>
  </si>
  <si>
    <t xml:space="preserve">    법인세비용차감전계속사업이익</t>
  </si>
  <si>
    <t xml:space="preserve">    현금유출이없는비용등가산(*)</t>
  </si>
  <si>
    <t xml:space="preserve">    (현금유입이없는수익등차감)(*)</t>
  </si>
  <si>
    <t xml:space="preserve">    영업활동으로인한자산부채변동(운전자본변동)(*)</t>
  </si>
  <si>
    <t xml:space="preserve">        자산의감소(증가)(*)</t>
  </si>
  <si>
    <t xml:space="preserve">        부채의증가(감소)(*)</t>
  </si>
  <si>
    <t xml:space="preserve">        정부보조금등의변동</t>
  </si>
  <si>
    <t xml:space="preserve">        기타운전자본의변동</t>
  </si>
  <si>
    <t xml:space="preserve">    *영업에서창출된현금흐름</t>
  </si>
  <si>
    <t xml:space="preserve">    이자수입</t>
  </si>
  <si>
    <t xml:space="preserve">    이자지급(-)</t>
  </si>
  <si>
    <t xml:space="preserve">    배당금수입</t>
  </si>
  <si>
    <t xml:space="preserve">    배당금지급(-)</t>
  </si>
  <si>
    <t xml:space="preserve">    법인세환입</t>
  </si>
  <si>
    <t xml:space="preserve">    법인세납부(-)</t>
  </si>
  <si>
    <t xml:space="preserve">    중단영업관련현금흐름</t>
  </si>
  <si>
    <t>투자활동으로인한현금흐름(*)</t>
  </si>
  <si>
    <t xml:space="preserve">    투자활동으로인한현금유입액(*)</t>
  </si>
  <si>
    <t xml:space="preserve">    (투자활동으로인한현금유출액)(*)</t>
  </si>
  <si>
    <t>재무활동으로인한현금흐름(*)</t>
  </si>
  <si>
    <t xml:space="preserve">    재무활동으로인한현금유입액(*)</t>
  </si>
  <si>
    <t xml:space="preserve">    (재무활동으로인한현금유출액)(*)</t>
  </si>
  <si>
    <t>영업투자재무활동기타현금흐름</t>
  </si>
  <si>
    <t>연결범위변동으로인한현금의증가</t>
  </si>
  <si>
    <t>환율변동효과</t>
  </si>
  <si>
    <t>현금및현금성자산의증가</t>
  </si>
  <si>
    <t>기초현금및현금성자산</t>
  </si>
  <si>
    <t>기말현금및현금성자산</t>
  </si>
  <si>
    <t>현금흐름표</t>
  </si>
  <si>
    <t>RFS Research Team 2</t>
  </si>
  <si>
    <t>Expected IS Sheet</t>
  </si>
  <si>
    <t>(units in Millions KRW )</t>
  </si>
  <si>
    <t>단위: 백만 원</t>
  </si>
  <si>
    <t>1Q25</t>
  </si>
  <si>
    <t>2Q25</t>
  </si>
  <si>
    <t>4Q25E</t>
  </si>
  <si>
    <t>1Q26E</t>
  </si>
  <si>
    <t>2Q26E</t>
  </si>
  <si>
    <t>3Q26E</t>
  </si>
  <si>
    <t>4Q26E</t>
  </si>
  <si>
    <t>매출액</t>
  </si>
  <si>
    <t>매출원가</t>
  </si>
  <si>
    <t>(%)</t>
  </si>
  <si>
    <t>매출총이익</t>
  </si>
  <si>
    <t>GPM(%)</t>
  </si>
  <si>
    <t>판매비와 관리비</t>
  </si>
  <si>
    <t>영업이익</t>
  </si>
  <si>
    <t>OPM(%)</t>
  </si>
  <si>
    <t>금융수익</t>
  </si>
  <si>
    <t>금융원가</t>
  </si>
  <si>
    <t>기타수익</t>
  </si>
  <si>
    <t>기타비용</t>
  </si>
  <si>
    <t>법인세차감전순이익</t>
  </si>
  <si>
    <t>당기순이익</t>
  </si>
  <si>
    <t>당분기</t>
  </si>
  <si>
    <t>202303(1Q)</t>
  </si>
  <si>
    <t>202306(2Q)</t>
  </si>
  <si>
    <t>202309(3Q)</t>
  </si>
  <si>
    <t>202312(4Q)</t>
  </si>
  <si>
    <t>202403(1Q)</t>
  </si>
  <si>
    <t>202406(2Q)</t>
  </si>
  <si>
    <t>202409(3Q)</t>
  </si>
  <si>
    <t>202412(4Q)</t>
  </si>
  <si>
    <t>202503(1Q)</t>
  </si>
  <si>
    <t>202506(2Q)</t>
  </si>
  <si>
    <t>테크윙(089030.KQ) RAW DATA</t>
    <phoneticPr fontId="3" type="noConversion"/>
  </si>
  <si>
    <t>테크윙(089030.KQ) Valuation&amp;Estimation Logic</t>
    <phoneticPr fontId="3" type="noConversion"/>
  </si>
  <si>
    <t>테크윙(089030.KQ)</t>
    <phoneticPr fontId="3" type="noConversion"/>
  </si>
  <si>
    <t>Revenue Estimation Sheet</t>
    <phoneticPr fontId="3" type="noConversion"/>
  </si>
  <si>
    <t>4Q25E</t>
    <phoneticPr fontId="3" type="noConversion"/>
  </si>
  <si>
    <t>1Q26E</t>
    <phoneticPr fontId="3" type="noConversion"/>
  </si>
  <si>
    <t>2Q26E</t>
    <phoneticPr fontId="3" type="noConversion"/>
  </si>
  <si>
    <t>3Q26E</t>
    <phoneticPr fontId="3" type="noConversion"/>
  </si>
  <si>
    <t>4Q26E</t>
    <phoneticPr fontId="3" type="noConversion"/>
  </si>
  <si>
    <t>2026E</t>
    <phoneticPr fontId="3" type="noConversion"/>
  </si>
  <si>
    <t>매출</t>
    <phoneticPr fontId="3" type="noConversion"/>
  </si>
  <si>
    <t>YoY(%) or QoQ(%)</t>
    <phoneticPr fontId="3" type="noConversion"/>
  </si>
  <si>
    <t>of Revenue(%)</t>
    <phoneticPr fontId="3" type="noConversion"/>
  </si>
  <si>
    <t>단위: 백만 원</t>
    <phoneticPr fontId="3" type="noConversion"/>
  </si>
  <si>
    <t>'26E 당기순이익</t>
    <phoneticPr fontId="24" type="noConversion"/>
  </si>
  <si>
    <t>백만 원</t>
    <phoneticPr fontId="24" type="noConversion"/>
  </si>
  <si>
    <t>(A)</t>
    <phoneticPr fontId="24" type="noConversion"/>
  </si>
  <si>
    <t>Target P/E</t>
    <phoneticPr fontId="24" type="noConversion"/>
  </si>
  <si>
    <t>배</t>
    <phoneticPr fontId="3" type="noConversion"/>
  </si>
  <si>
    <t xml:space="preserve">(B) </t>
    <phoneticPr fontId="24" type="noConversion"/>
  </si>
  <si>
    <t>발행 주식 수</t>
    <phoneticPr fontId="24" type="noConversion"/>
  </si>
  <si>
    <t>주</t>
    <phoneticPr fontId="3" type="noConversion"/>
  </si>
  <si>
    <t xml:space="preserve">(C) </t>
    <phoneticPr fontId="24" type="noConversion"/>
  </si>
  <si>
    <t>적정주가</t>
  </si>
  <si>
    <t>원</t>
    <phoneticPr fontId="24" type="noConversion"/>
  </si>
  <si>
    <t>Target Price</t>
  </si>
  <si>
    <t>Current Price</t>
  </si>
  <si>
    <t>Upside</t>
  </si>
  <si>
    <t>%</t>
  </si>
  <si>
    <t>PEER PER Valuation</t>
    <phoneticPr fontId="3" type="noConversion"/>
  </si>
  <si>
    <t>(units in Millions KRW )</t>
    <phoneticPr fontId="3" type="noConversion"/>
  </si>
  <si>
    <t>큐브 프로버</t>
    <phoneticPr fontId="3" type="noConversion"/>
  </si>
  <si>
    <t>C.O.K</t>
    <phoneticPr fontId="3" type="noConversion"/>
  </si>
  <si>
    <t>기타</t>
    <phoneticPr fontId="3" type="noConversion"/>
  </si>
  <si>
    <t xml:space="preserve"> </t>
    <phoneticPr fontId="3" type="noConversion"/>
  </si>
  <si>
    <t>단위: K</t>
    <phoneticPr fontId="3" type="noConversion"/>
  </si>
  <si>
    <t>판매대수(침투율 100%)</t>
    <phoneticPr fontId="3" type="noConversion"/>
  </si>
  <si>
    <t>판매대수(침투율 70%)</t>
    <phoneticPr fontId="3" type="noConversion"/>
  </si>
  <si>
    <t>Bull 큐브 프로버 매출</t>
    <phoneticPr fontId="3" type="noConversion"/>
  </si>
  <si>
    <t>Base 큐브 프로버 매출</t>
    <phoneticPr fontId="3" type="noConversion"/>
  </si>
  <si>
    <t>SK하이닉스(분기 총 출하량)</t>
    <phoneticPr fontId="3" type="noConversion"/>
  </si>
  <si>
    <t>삼성전자(분기 총 출하량)</t>
    <phoneticPr fontId="3" type="noConversion"/>
  </si>
  <si>
    <t>Terminal Value</t>
  </si>
  <si>
    <t>매출액</t>
    <phoneticPr fontId="3" type="noConversion"/>
  </si>
  <si>
    <t>%YoY Growth</t>
    <phoneticPr fontId="3" type="noConversion"/>
  </si>
  <si>
    <t>매출원가</t>
    <phoneticPr fontId="45" type="noConversion"/>
  </si>
  <si>
    <t>DCF Valuation</t>
    <phoneticPr fontId="45" type="noConversion"/>
  </si>
  <si>
    <t>매출총이익</t>
    <phoneticPr fontId="3" type="noConversion"/>
  </si>
  <si>
    <t>%GP Margin</t>
    <phoneticPr fontId="3" type="noConversion"/>
  </si>
  <si>
    <t>WACC</t>
    <phoneticPr fontId="45" type="noConversion"/>
  </si>
  <si>
    <t>판매비와관리비</t>
    <phoneticPr fontId="45" type="noConversion"/>
  </si>
  <si>
    <t>영업이익</t>
    <phoneticPr fontId="45" type="noConversion"/>
  </si>
  <si>
    <t>Terminal growth rate(g)</t>
    <phoneticPr fontId="45" type="noConversion"/>
  </si>
  <si>
    <t>%OP Margin</t>
    <phoneticPr fontId="3" type="noConversion"/>
  </si>
  <si>
    <t>∑ PV of FCF</t>
    <phoneticPr fontId="45" type="noConversion"/>
  </si>
  <si>
    <t>세후영업이익(NOPLAT)</t>
  </si>
  <si>
    <t>PV of TV</t>
    <phoneticPr fontId="45" type="noConversion"/>
  </si>
  <si>
    <t xml:space="preserve">     (+) 상각비</t>
  </si>
  <si>
    <t>영업가치</t>
    <phoneticPr fontId="50" type="noConversion"/>
  </si>
  <si>
    <t xml:space="preserve">              매출 대비 비중</t>
  </si>
  <si>
    <t>(+) 비영업자산가치</t>
    <phoneticPr fontId="3" type="noConversion"/>
  </si>
  <si>
    <t>(-) 타인자본가치 (순차입금)</t>
    <phoneticPr fontId="3" type="noConversion"/>
  </si>
  <si>
    <t xml:space="preserve">     (-) 순운전자본(NWC) 변동 (기말-기초)</t>
  </si>
  <si>
    <t>주주가치(Equity Value)</t>
    <phoneticPr fontId="3" type="noConversion"/>
  </si>
  <si>
    <t xml:space="preserve">             기초 순운전자본</t>
  </si>
  <si>
    <t>발행주식수</t>
    <phoneticPr fontId="3" type="noConversion"/>
  </si>
  <si>
    <t xml:space="preserve">             기말 순운전자본</t>
  </si>
  <si>
    <t>적정주가:</t>
    <phoneticPr fontId="45" type="noConversion"/>
  </si>
  <si>
    <t xml:space="preserve">             순운전자본 증감 매출 대비 비중</t>
  </si>
  <si>
    <t>현재주가:</t>
    <phoneticPr fontId="45" type="noConversion"/>
  </si>
  <si>
    <t>상승(하락)여력:</t>
    <phoneticPr fontId="45" type="noConversion"/>
  </si>
  <si>
    <t xml:space="preserve">     (-) Capex</t>
  </si>
  <si>
    <t>투자의견</t>
    <phoneticPr fontId="50" type="noConversion"/>
  </si>
  <si>
    <t>BUY</t>
    <phoneticPr fontId="3" type="noConversion"/>
  </si>
  <si>
    <t>잉여현금흐름(FCF)</t>
  </si>
  <si>
    <t>잔존가치(Terminal Value)</t>
  </si>
  <si>
    <t xml:space="preserve">     영구성장률(g)</t>
  </si>
  <si>
    <t xml:space="preserve">      WACC(Wacc sheet 참고)</t>
  </si>
  <si>
    <t>현재가치 계수</t>
  </si>
  <si>
    <t xml:space="preserve">         연도</t>
  </si>
  <si>
    <t>추정연도(2026~2030) FCF의 현재가치</t>
    <phoneticPr fontId="3" type="noConversion"/>
  </si>
  <si>
    <t>추정연도 FCF의 현재가치의 합</t>
  </si>
  <si>
    <t>잔존가치(Terminal Value)의 현재가치</t>
  </si>
  <si>
    <t>기업가치(EV)</t>
  </si>
  <si>
    <t>(+) 비영업용 자산 가치</t>
  </si>
  <si>
    <t>(-) 타인자본가치 (순차입금)</t>
  </si>
  <si>
    <t>보통주 자기자본의 가치(주주가치)</t>
  </si>
  <si>
    <t xml:space="preserve"> (÷) 발행주식수</t>
  </si>
  <si>
    <t>WACC Calculation Table</t>
    <phoneticPr fontId="3" type="noConversion"/>
  </si>
  <si>
    <t>Description</t>
    <phoneticPr fontId="3" type="noConversion"/>
  </si>
  <si>
    <t>Wd(Debt/Capital)</t>
    <phoneticPr fontId="3" type="noConversion"/>
  </si>
  <si>
    <t>시가 총액 대비 차입금 비율</t>
    <phoneticPr fontId="3" type="noConversion"/>
  </si>
  <si>
    <t>We(Equity/Capital)</t>
    <phoneticPr fontId="3" type="noConversion"/>
  </si>
  <si>
    <t>Rd(타인자본비용)</t>
    <phoneticPr fontId="3" type="noConversion"/>
  </si>
  <si>
    <t>(1-t)</t>
    <phoneticPr fontId="3" type="noConversion"/>
  </si>
  <si>
    <t>IS sheet 참고</t>
    <phoneticPr fontId="3" type="noConversion"/>
  </si>
  <si>
    <t>Rd*(1-t)*Wd</t>
    <phoneticPr fontId="3" type="noConversion"/>
  </si>
  <si>
    <t>무위험수익률(Rf)</t>
    <phoneticPr fontId="3" type="noConversion"/>
  </si>
  <si>
    <t>국고채 5년 수익률(2025.11.19)</t>
    <phoneticPr fontId="3" type="noConversion"/>
  </si>
  <si>
    <t>이자율</t>
    <phoneticPr fontId="3" type="noConversion"/>
  </si>
  <si>
    <t>시장위험프리미엄(MRP, Rm-Rf)</t>
    <phoneticPr fontId="3" type="noConversion"/>
  </si>
  <si>
    <t>한공회 리스크프리미엄(25.06.10)</t>
    <phoneticPr fontId="3" type="noConversion"/>
  </si>
  <si>
    <r>
      <rPr>
        <sz val="11"/>
        <color theme="1"/>
        <rFont val="Calibri"/>
        <family val="3"/>
        <charset val="161"/>
      </rPr>
      <t>β</t>
    </r>
    <r>
      <rPr>
        <sz val="11"/>
        <color theme="1"/>
        <rFont val="KoPubWorld돋움체 Medium"/>
        <family val="3"/>
        <charset val="129"/>
      </rPr>
      <t>(조정베타)</t>
    </r>
    <phoneticPr fontId="3" type="noConversion"/>
  </si>
  <si>
    <t>5년베타 1.201</t>
    <phoneticPr fontId="3" type="noConversion"/>
  </si>
  <si>
    <t>Re(자기자본비용)</t>
    <phoneticPr fontId="3" type="noConversion"/>
  </si>
  <si>
    <t>Re*We</t>
    <phoneticPr fontId="3" type="noConversion"/>
  </si>
  <si>
    <t>WACC</t>
    <phoneticPr fontId="3" type="noConversion"/>
  </si>
  <si>
    <t>FY25 차입금 시가/자본 시가</t>
    <phoneticPr fontId="3" type="noConversion"/>
  </si>
  <si>
    <t>차입금</t>
    <phoneticPr fontId="3" type="noConversion"/>
  </si>
  <si>
    <t>금액(백만원)</t>
    <phoneticPr fontId="3" type="noConversion"/>
  </si>
  <si>
    <t>단기차입금</t>
    <phoneticPr fontId="3" type="noConversion"/>
  </si>
  <si>
    <t>장기차입금</t>
    <phoneticPr fontId="3" type="noConversion"/>
  </si>
  <si>
    <t>기타부채</t>
    <phoneticPr fontId="3" type="noConversion"/>
  </si>
  <si>
    <t>합계</t>
    <phoneticPr fontId="3" type="noConversion"/>
  </si>
  <si>
    <t>시가총액(백만원)</t>
    <phoneticPr fontId="3" type="noConversion"/>
  </si>
  <si>
    <t>주가(원)</t>
    <phoneticPr fontId="3" type="noConversion"/>
  </si>
  <si>
    <t>Wd</t>
    <phoneticPr fontId="3" type="noConversion"/>
  </si>
  <si>
    <t>Historical</t>
    <phoneticPr fontId="3" type="noConversion"/>
  </si>
  <si>
    <t>Pro Forma</t>
    <phoneticPr fontId="3" type="noConversion"/>
  </si>
  <si>
    <t>Description</t>
    <phoneticPr fontId="64" type="noConversion"/>
  </si>
  <si>
    <t>2022A</t>
    <phoneticPr fontId="3" type="noConversion"/>
  </si>
  <si>
    <t>2023A</t>
    <phoneticPr fontId="64" type="noConversion"/>
  </si>
  <si>
    <t>2024A</t>
    <phoneticPr fontId="64" type="noConversion"/>
  </si>
  <si>
    <t>2025E</t>
    <phoneticPr fontId="64" type="noConversion"/>
  </si>
  <si>
    <t>2027E</t>
    <phoneticPr fontId="3" type="noConversion"/>
  </si>
  <si>
    <t>2028E</t>
    <phoneticPr fontId="3" type="noConversion"/>
  </si>
  <si>
    <t>2029E</t>
    <phoneticPr fontId="3" type="noConversion"/>
  </si>
  <si>
    <t>2030E</t>
    <phoneticPr fontId="3" type="noConversion"/>
  </si>
  <si>
    <t>매출채권</t>
    <phoneticPr fontId="3" type="noConversion"/>
  </si>
  <si>
    <t>재고자산</t>
    <phoneticPr fontId="3" type="noConversion"/>
  </si>
  <si>
    <t>직전 3개년 이동평균 적용.</t>
    <phoneticPr fontId="3" type="noConversion"/>
  </si>
  <si>
    <t>영업용 유동자산</t>
    <phoneticPr fontId="64" type="noConversion"/>
  </si>
  <si>
    <t>매입채무</t>
    <phoneticPr fontId="64" type="noConversion"/>
  </si>
  <si>
    <t>기타 유동부채</t>
    <phoneticPr fontId="3" type="noConversion"/>
  </si>
  <si>
    <t>영업용 유동부채</t>
    <phoneticPr fontId="64" type="noConversion"/>
  </si>
  <si>
    <t>순운전자본</t>
    <phoneticPr fontId="64" type="noConversion"/>
  </si>
  <si>
    <t>순운전자본의 증감</t>
    <phoneticPr fontId="64" type="noConversion"/>
  </si>
  <si>
    <t>IS Data</t>
    <phoneticPr fontId="64" type="noConversion"/>
  </si>
  <si>
    <t>매출액</t>
    <phoneticPr fontId="64" type="noConversion"/>
  </si>
  <si>
    <t>매출원가</t>
    <phoneticPr fontId="64" type="noConversion"/>
  </si>
  <si>
    <t>Assumptions</t>
    <phoneticPr fontId="64" type="noConversion"/>
  </si>
  <si>
    <t>순운전자본(Net Working Capital) 항목</t>
    <phoneticPr fontId="64" type="noConversion"/>
  </si>
  <si>
    <t>영업일:</t>
    <phoneticPr fontId="64" type="noConversion"/>
  </si>
  <si>
    <t>매출채권회전일수(DSO)</t>
    <phoneticPr fontId="64" type="noConversion"/>
  </si>
  <si>
    <t>직전 3개년 이동평균</t>
    <phoneticPr fontId="3" type="noConversion"/>
  </si>
  <si>
    <t>매입채무회전일수(DPO)</t>
    <phoneticPr fontId="64" type="noConversion"/>
  </si>
  <si>
    <t xml:space="preserve">Ratio </t>
    <phoneticPr fontId="64" type="noConversion"/>
  </si>
  <si>
    <t>매출채권/매출</t>
    <phoneticPr fontId="64" type="noConversion"/>
  </si>
  <si>
    <t>매출채권/매출원가</t>
    <phoneticPr fontId="64" type="noConversion"/>
  </si>
  <si>
    <t>순운전자본/매출</t>
    <phoneticPr fontId="64" type="noConversion"/>
  </si>
  <si>
    <t>영업용유동자산/영업용유동부채</t>
    <phoneticPr fontId="64" type="noConversion"/>
  </si>
  <si>
    <t>순운전자본/총자산</t>
    <phoneticPr fontId="3" type="noConversion"/>
  </si>
  <si>
    <t>총자산 추정</t>
    <phoneticPr fontId="3" type="noConversion"/>
  </si>
  <si>
    <t>총자산 회전율</t>
    <phoneticPr fontId="3" type="noConversion"/>
  </si>
  <si>
    <t>총자산</t>
    <phoneticPr fontId="3" type="noConversion"/>
  </si>
  <si>
    <t>유형자산</t>
    <phoneticPr fontId="64" type="noConversion"/>
  </si>
  <si>
    <t>무형자산</t>
    <phoneticPr fontId="3" type="noConversion"/>
  </si>
  <si>
    <t>비유동자산</t>
    <phoneticPr fontId="3" type="noConversion"/>
  </si>
  <si>
    <t>유형자산 Schedule</t>
    <phoneticPr fontId="45" type="noConversion"/>
  </si>
  <si>
    <t>기초 유형자산</t>
    <phoneticPr fontId="64" type="noConversion"/>
  </si>
  <si>
    <t>Capex</t>
    <phoneticPr fontId="3" type="noConversion"/>
  </si>
  <si>
    <t>감가상각비</t>
    <phoneticPr fontId="3" type="noConversion"/>
  </si>
  <si>
    <t>기타증감</t>
    <phoneticPr fontId="3" type="noConversion"/>
  </si>
  <si>
    <t>기말 유형자산</t>
    <phoneticPr fontId="64" type="noConversion"/>
  </si>
  <si>
    <t>기초 유형자산 대비 Capex</t>
    <phoneticPr fontId="45" type="noConversion"/>
  </si>
  <si>
    <t>직전 3개년 이동 평균 적용.</t>
    <phoneticPr fontId="3" type="noConversion"/>
  </si>
  <si>
    <t>기초 유형자산 대비 감가상각비</t>
    <phoneticPr fontId="45" type="noConversion"/>
  </si>
  <si>
    <t>기초 유형자산 대비 기타증감</t>
    <phoneticPr fontId="3" type="noConversion"/>
  </si>
  <si>
    <t>무형자산 Schedule</t>
    <phoneticPr fontId="45" type="noConversion"/>
  </si>
  <si>
    <t>기초 무형자산</t>
    <phoneticPr fontId="45" type="noConversion"/>
  </si>
  <si>
    <t>Capex</t>
    <phoneticPr fontId="45" type="noConversion"/>
  </si>
  <si>
    <t>상각비</t>
    <phoneticPr fontId="3" type="noConversion"/>
  </si>
  <si>
    <t>기말 무형자산</t>
    <phoneticPr fontId="45" type="noConversion"/>
  </si>
  <si>
    <t>기초 무형자산 대비 Capex</t>
    <phoneticPr fontId="45" type="noConversion"/>
  </si>
  <si>
    <t>기초 무형자산 대비 상각비</t>
    <phoneticPr fontId="45" type="noConversion"/>
  </si>
  <si>
    <t>기초 무형자산 대비 기타증감</t>
    <phoneticPr fontId="3" type="noConversion"/>
  </si>
  <si>
    <t>Capex / D&amp;A</t>
    <phoneticPr fontId="45" type="noConversion"/>
  </si>
  <si>
    <t>Total Capex</t>
    <phoneticPr fontId="45" type="noConversion"/>
  </si>
  <si>
    <t>of revenue (%)</t>
    <phoneticPr fontId="45" type="noConversion"/>
  </si>
  <si>
    <t>Total D&amp;A</t>
    <phoneticPr fontId="45" type="noConversion"/>
  </si>
  <si>
    <t>유동성장기차입금</t>
    <phoneticPr fontId="3" type="noConversion"/>
  </si>
  <si>
    <t>이자부 부채</t>
  </si>
  <si>
    <t>합계</t>
  </si>
  <si>
    <t>24년말</t>
    <phoneticPr fontId="3" type="noConversion"/>
  </si>
  <si>
    <t>3Q25</t>
    <phoneticPr fontId="3" type="noConversion"/>
  </si>
  <si>
    <t>평균이자부부채</t>
    <phoneticPr fontId="3" type="noConversion"/>
  </si>
  <si>
    <t>(단위: 백만원, %)</t>
    <phoneticPr fontId="45" type="noConversion"/>
  </si>
  <si>
    <t>2026E</t>
    <phoneticPr fontId="91" type="noConversion"/>
  </si>
  <si>
    <t>2025E</t>
    <phoneticPr fontId="91" type="noConversion"/>
  </si>
  <si>
    <t>2024A</t>
    <phoneticPr fontId="91" type="noConversion"/>
  </si>
  <si>
    <t>(단위: 원)</t>
    <phoneticPr fontId="91" type="noConversion"/>
  </si>
  <si>
    <t>4Q26</t>
    <phoneticPr fontId="91" type="noConversion"/>
  </si>
  <si>
    <t>3Q26</t>
    <phoneticPr fontId="91" type="noConversion"/>
  </si>
  <si>
    <t>2Q26</t>
    <phoneticPr fontId="91" type="noConversion"/>
  </si>
  <si>
    <t>1Q26</t>
    <phoneticPr fontId="91" type="noConversion"/>
  </si>
  <si>
    <t>4Q25</t>
    <phoneticPr fontId="91" type="noConversion"/>
  </si>
  <si>
    <t>3Q25</t>
    <phoneticPr fontId="91" type="noConversion"/>
  </si>
  <si>
    <t>2Q25</t>
    <phoneticPr fontId="91" type="noConversion"/>
  </si>
  <si>
    <t>1Q25</t>
    <phoneticPr fontId="91" type="noConversion"/>
  </si>
  <si>
    <t>4Q24</t>
    <phoneticPr fontId="91" type="noConversion"/>
  </si>
  <si>
    <t>3Q24</t>
    <phoneticPr fontId="91" type="noConversion"/>
  </si>
  <si>
    <t>2Q24</t>
    <phoneticPr fontId="91" type="noConversion"/>
  </si>
  <si>
    <t>1Q24</t>
    <phoneticPr fontId="91" type="noConversion"/>
  </si>
  <si>
    <t>매출액</t>
    <phoneticPr fontId="91" type="noConversion"/>
  </si>
  <si>
    <t>당기순이익</t>
    <phoneticPr fontId="3" type="noConversion"/>
  </si>
  <si>
    <t>법인세비용</t>
    <phoneticPr fontId="3" type="noConversion"/>
  </si>
  <si>
    <t>법인세차감 전 순이익</t>
    <phoneticPr fontId="3" type="noConversion"/>
  </si>
  <si>
    <t xml:space="preserve">    기타</t>
    <phoneticPr fontId="3" type="noConversion"/>
  </si>
  <si>
    <t>기타비용</t>
    <phoneticPr fontId="3" type="noConversion"/>
  </si>
  <si>
    <t>기타수익</t>
    <phoneticPr fontId="3" type="noConversion"/>
  </si>
  <si>
    <t xml:space="preserve">    외환손실</t>
    <phoneticPr fontId="3" type="noConversion"/>
  </si>
  <si>
    <t>금융원가</t>
    <phoneticPr fontId="3" type="noConversion"/>
  </si>
  <si>
    <t xml:space="preserve">    당기손익-공정가치측정금융자산평가이익</t>
    <phoneticPr fontId="3" type="noConversion"/>
  </si>
  <si>
    <t xml:space="preserve">    외환이익</t>
    <phoneticPr fontId="3" type="noConversion"/>
  </si>
  <si>
    <t>금융수익</t>
    <phoneticPr fontId="3" type="noConversion"/>
  </si>
  <si>
    <t xml:space="preserve">     OPM(%)</t>
    <phoneticPr fontId="91" type="noConversion"/>
  </si>
  <si>
    <t>영업이익</t>
    <phoneticPr fontId="91" type="noConversion"/>
  </si>
  <si>
    <t>감가상각비</t>
    <phoneticPr fontId="91" type="noConversion"/>
  </si>
  <si>
    <t>인건비</t>
    <phoneticPr fontId="91" type="noConversion"/>
  </si>
  <si>
    <t>판매비와 관리비</t>
    <phoneticPr fontId="91" type="noConversion"/>
  </si>
  <si>
    <t xml:space="preserve">     GPM(%)</t>
    <phoneticPr fontId="91" type="noConversion"/>
  </si>
  <si>
    <t>매출총이익</t>
    <phoneticPr fontId="91" type="noConversion"/>
  </si>
  <si>
    <t xml:space="preserve">    % of sales</t>
    <phoneticPr fontId="91" type="noConversion"/>
  </si>
  <si>
    <t>매출원가</t>
    <phoneticPr fontId="91" type="noConversion"/>
  </si>
  <si>
    <t>비용추정</t>
    <phoneticPr fontId="91" type="noConversion"/>
  </si>
  <si>
    <t>Assumption Sheet</t>
    <phoneticPr fontId="3" type="noConversion"/>
  </si>
  <si>
    <t>매입채무회전일로 추정</t>
    <phoneticPr fontId="3" type="noConversion"/>
  </si>
  <si>
    <t>매출채권회전일로 추정</t>
    <phoneticPr fontId="3" type="noConversion"/>
  </si>
  <si>
    <t xml:space="preserve">    대손충당금환입액</t>
    <phoneticPr fontId="3" type="noConversion"/>
  </si>
  <si>
    <t xml:space="preserve">    대손상각비</t>
    <phoneticPr fontId="3" type="noConversion"/>
  </si>
  <si>
    <t xml:space="preserve">    파생상품이익</t>
    <phoneticPr fontId="3" type="noConversion"/>
  </si>
  <si>
    <t xml:space="preserve">    자산처분이익</t>
    <phoneticPr fontId="3" type="noConversion"/>
  </si>
  <si>
    <t xml:space="preserve">    임대료수익</t>
    <phoneticPr fontId="3" type="noConversion"/>
  </si>
  <si>
    <t xml:space="preserve">   기타</t>
    <phoneticPr fontId="3" type="noConversion"/>
  </si>
  <si>
    <t xml:space="preserve">   외화손실</t>
    <phoneticPr fontId="3" type="noConversion"/>
  </si>
  <si>
    <t xml:space="preserve">   자산처분손실</t>
    <phoneticPr fontId="3" type="noConversion"/>
  </si>
  <si>
    <t xml:space="preserve">   자산손상차손</t>
    <phoneticPr fontId="3" type="noConversion"/>
  </si>
  <si>
    <t xml:space="preserve">   파생상품손실</t>
    <phoneticPr fontId="3" type="noConversion"/>
  </si>
  <si>
    <t>경상연구개발비</t>
    <phoneticPr fontId="3" type="noConversion"/>
  </si>
  <si>
    <r>
      <t xml:space="preserve">    </t>
    </r>
    <r>
      <rPr>
        <sz val="9"/>
        <color rgb="FF000000"/>
        <rFont val="KoPubWorld돋움체 Light"/>
        <family val="3"/>
        <charset val="129"/>
      </rPr>
      <t>파생상품이익</t>
    </r>
    <phoneticPr fontId="3" type="noConversion"/>
  </si>
  <si>
    <t xml:space="preserve">    자산처분손실</t>
    <phoneticPr fontId="3" type="noConversion"/>
  </si>
  <si>
    <t xml:space="preserve">    자산손상차손</t>
    <phoneticPr fontId="3" type="noConversion"/>
  </si>
  <si>
    <t xml:space="preserve">    파생상품손실</t>
    <phoneticPr fontId="3" type="noConversion"/>
  </si>
  <si>
    <t>무형자산상각비</t>
    <phoneticPr fontId="3" type="noConversion"/>
  </si>
  <si>
    <t>여비교통비</t>
    <phoneticPr fontId="3" type="noConversion"/>
  </si>
  <si>
    <t>대손상각비</t>
    <phoneticPr fontId="3" type="noConversion"/>
  </si>
  <si>
    <t>임차료</t>
    <phoneticPr fontId="3" type="noConversion"/>
  </si>
  <si>
    <t>접대비</t>
    <phoneticPr fontId="3" type="noConversion"/>
  </si>
  <si>
    <t>지급수수료</t>
    <phoneticPr fontId="3" type="noConversion"/>
  </si>
  <si>
    <t>차량유지비</t>
    <phoneticPr fontId="3" type="noConversion"/>
  </si>
  <si>
    <t>판매보증비</t>
    <phoneticPr fontId="91" type="noConversion"/>
  </si>
  <si>
    <t>포장비</t>
    <phoneticPr fontId="91" type="noConversion"/>
  </si>
  <si>
    <t>운반비</t>
    <phoneticPr fontId="3" type="noConversion"/>
  </si>
  <si>
    <t>직전 3개년 Average flat 적용.</t>
  </si>
  <si>
    <t>직전 3개년 Average flat 적용.</t>
    <phoneticPr fontId="3" type="noConversion"/>
  </si>
  <si>
    <t>상관계수 측정</t>
    <phoneticPr fontId="3" type="noConversion"/>
  </si>
  <si>
    <t>판관비 세부항목</t>
    <phoneticPr fontId="3" type="noConversion"/>
  </si>
  <si>
    <t>인건비</t>
    <phoneticPr fontId="3" type="noConversion"/>
  </si>
  <si>
    <t>포장비</t>
    <phoneticPr fontId="3" type="noConversion"/>
  </si>
  <si>
    <t>판매보증비</t>
    <phoneticPr fontId="3" type="noConversion"/>
  </si>
  <si>
    <t>판매관리비</t>
    <phoneticPr fontId="3" type="noConversion"/>
  </si>
  <si>
    <t>매출액과 상관계수가 높기에 직전 3개년 매출액 대비 비율 average 하여 적용.</t>
    <phoneticPr fontId="3" type="noConversion"/>
  </si>
  <si>
    <t xml:space="preserve">    % 유효법인세율</t>
    <phoneticPr fontId="3" type="noConversion"/>
  </si>
  <si>
    <t>목표 가격(Target Price,원)</t>
    <phoneticPr fontId="3" type="noConversion"/>
  </si>
  <si>
    <t>25년</t>
    <phoneticPr fontId="3" type="noConversion"/>
  </si>
  <si>
    <t>26년</t>
    <phoneticPr fontId="3" type="noConversion"/>
  </si>
  <si>
    <t>직전 4Q Average Flat 적용함.</t>
  </si>
  <si>
    <t>직전 4Q Average Flat 적용함.</t>
    <phoneticPr fontId="3" type="noConversion"/>
  </si>
  <si>
    <t xml:space="preserve">    % YoY</t>
    <phoneticPr fontId="91" type="noConversion"/>
  </si>
  <si>
    <t>24년의 경우 일부 유형자산이 투자부동산으로 계정 대체 되었음. 이를 이상치로 판단하여 81,879로 제외한 금액 비율 산정 후 이동평균</t>
    <phoneticPr fontId="3" type="noConversion"/>
  </si>
  <si>
    <t>3Q25 누적 이자비용</t>
    <phoneticPr fontId="3" type="noConversion"/>
  </si>
  <si>
    <t>전기 상각비만큼 CAPEX 지출한다 가정</t>
    <phoneticPr fontId="3" type="noConversion"/>
  </si>
  <si>
    <t>YoY Q 증가분</t>
    <phoneticPr fontId="3" type="noConversion"/>
  </si>
  <si>
    <t>Q</t>
    <phoneticPr fontId="3" type="noConversion"/>
  </si>
  <si>
    <t>C.O.K ASP</t>
    <phoneticPr fontId="3" type="noConversion"/>
  </si>
  <si>
    <t>C.O.K Q</t>
    <phoneticPr fontId="3" type="noConversion"/>
  </si>
  <si>
    <t xml:space="preserve">C.O.K </t>
    <phoneticPr fontId="3" type="noConversion"/>
  </si>
  <si>
    <t>ASP</t>
    <phoneticPr fontId="3" type="noConversion"/>
  </si>
  <si>
    <t>월간 메모리 핸들러를 20대 가량 생산하기에 분기당 충분히 소화 가능</t>
    <phoneticPr fontId="3" type="noConversion"/>
  </si>
  <si>
    <t>비메모리 핸들러 Q</t>
    <phoneticPr fontId="3" type="noConversion"/>
  </si>
  <si>
    <t>비메모리 핸들러</t>
    <phoneticPr fontId="3" type="noConversion"/>
  </si>
  <si>
    <t>비메모리핸들러 ASP</t>
    <phoneticPr fontId="3" type="noConversion"/>
  </si>
  <si>
    <t>메모리 핸들러 Q</t>
    <phoneticPr fontId="3" type="noConversion"/>
  </si>
  <si>
    <t>메모리핸들러 ASP</t>
    <phoneticPr fontId="3" type="noConversion"/>
  </si>
  <si>
    <t>메모리 핸들러</t>
    <phoneticPr fontId="3" type="noConversion"/>
  </si>
  <si>
    <t>핸들러</t>
    <phoneticPr fontId="3" type="noConversion"/>
  </si>
  <si>
    <t>가동률</t>
    <phoneticPr fontId="3" type="noConversion"/>
  </si>
  <si>
    <t>월간 큐브프로버 최대 생산 CAPA</t>
    <phoneticPr fontId="3" type="noConversion"/>
  </si>
  <si>
    <t>분기당 큐브 프로버 생산 대수</t>
    <phoneticPr fontId="3" type="noConversion"/>
  </si>
  <si>
    <t>P4L 웨이퍼 출하량 증가분</t>
    <phoneticPr fontId="3" type="noConversion"/>
  </si>
  <si>
    <t>P4L 분기별 월평균 웨이퍼 출하량</t>
    <phoneticPr fontId="3" type="noConversion"/>
  </si>
  <si>
    <t>-</t>
    <phoneticPr fontId="3" type="noConversion"/>
  </si>
  <si>
    <t>M15X 웨이퍼 출하량 증가분</t>
    <phoneticPr fontId="3" type="noConversion"/>
  </si>
  <si>
    <t>M15X 분기별 월평균 웨이퍼 출하량</t>
    <phoneticPr fontId="3" type="noConversion"/>
  </si>
  <si>
    <t>큐브 프로버 ASP</t>
    <phoneticPr fontId="3" type="noConversion"/>
  </si>
  <si>
    <t>웨이퍼 출하량 1K당 필요한 큐브 프로버수</t>
    <phoneticPr fontId="3" type="noConversion"/>
  </si>
  <si>
    <t>(단위: 백만원)</t>
    <phoneticPr fontId="91" type="noConversion"/>
  </si>
  <si>
    <t>기타 유동자산</t>
    <phoneticPr fontId="3" type="noConversion"/>
  </si>
  <si>
    <t>202509(3Q)</t>
  </si>
  <si>
    <t>큐브 프로버 추정</t>
    <phoneticPr fontId="3" type="noConversion"/>
  </si>
  <si>
    <t>단위: 대/백만 원</t>
    <phoneticPr fontId="3" type="noConversion"/>
  </si>
  <si>
    <t>2026년 신규 라인 웨이퍼 증가량</t>
    <phoneticPr fontId="3" type="noConversion"/>
  </si>
  <si>
    <t>핸들러 추정</t>
    <phoneticPr fontId="3" type="noConversion"/>
  </si>
  <si>
    <t>C.O.K 추정</t>
    <phoneticPr fontId="3" type="noConversion"/>
  </si>
  <si>
    <t xml:space="preserve">    % of cogs</t>
    <phoneticPr fontId="91" type="noConversion"/>
  </si>
  <si>
    <t>큐브 프로버</t>
    <phoneticPr fontId="91" type="noConversion"/>
  </si>
  <si>
    <t>매출액과 상관게수 높음 직전 3개년 매출액 대비 비율 average</t>
    <phoneticPr fontId="3" type="noConversion"/>
  </si>
  <si>
    <t>IR 자료를 토대로 매출원가를 역산하였음.</t>
    <phoneticPr fontId="3" type="noConversion"/>
  </si>
  <si>
    <t>2025E</t>
    <phoneticPr fontId="3" type="noConversion"/>
  </si>
  <si>
    <t>법인세율에 따라 계산함.</t>
    <phoneticPr fontId="3" type="noConversion"/>
  </si>
  <si>
    <t>세율</t>
    <phoneticPr fontId="45" type="noConversion"/>
  </si>
  <si>
    <t>원</t>
    <phoneticPr fontId="3" type="noConversion"/>
  </si>
  <si>
    <t>(D)</t>
    <phoneticPr fontId="3" type="noConversion"/>
  </si>
  <si>
    <t>(E)=(B)*(D)</t>
    <phoneticPr fontId="24" type="noConversion"/>
  </si>
  <si>
    <t>'25.11.28 기준</t>
    <phoneticPr fontId="24" type="noConversion"/>
  </si>
  <si>
    <t>침투율 70%가 Base 케이스로 적합하다고 판단함.</t>
    <phoneticPr fontId="3" type="noConversion"/>
  </si>
  <si>
    <t>현재 동사의 CAPA 계획대로라면, 연간 큐브 프로버 약 290~300대 생산 가능함.</t>
    <phoneticPr fontId="3" type="noConversion"/>
  </si>
  <si>
    <t>침투율 100%를 Bull 케이스로 선정함.</t>
    <phoneticPr fontId="3" type="noConversion"/>
  </si>
  <si>
    <t>CAPA 증설이 앞당겨질 경우, 300대 이상의 판매량 기록도 가능할 것으로 전망함.</t>
    <phoneticPr fontId="3" type="noConversion"/>
  </si>
  <si>
    <t>삼성전자의 경우, HBM용 증설 라인인 P4L의 웨이퍼 출하량 증가분을 기준으로 동사의 납품 대수를 추정함.</t>
    <phoneticPr fontId="3" type="noConversion"/>
  </si>
  <si>
    <t>SK하이닉스의 경우, HBM용 증설 라인인 M15X의 웨이퍼 출하량 증가분을 기준으로 동사의 납품 대수를 추정함.</t>
    <phoneticPr fontId="3" type="noConversion"/>
  </si>
  <si>
    <t>동사가 퀄리피케이션을 통과한 2개사의 '26년 HBM 신규 증설 라인에 투입될 큐브 프로버의 매출만을 추정함.</t>
    <phoneticPr fontId="3" type="noConversion"/>
  </si>
  <si>
    <t>Historical PER Valuation</t>
    <phoneticPr fontId="3" type="noConversion"/>
  </si>
  <si>
    <t>테크윙 Historical P/E Valuation</t>
    <phoneticPr fontId="24" type="noConversion"/>
  </si>
  <si>
    <t>'26E EPS</t>
    <phoneticPr fontId="3" type="noConversion"/>
  </si>
  <si>
    <t>단위: 대/%</t>
    <phoneticPr fontId="3" type="noConversion"/>
  </si>
  <si>
    <t>단위: 백만 원/수</t>
    <phoneticPr fontId="3" type="noConversion"/>
  </si>
  <si>
    <t>매출액 대비 비중이 작고 변동성이 존재하지 않으므로 직전 3개분기 이동평균을 적용함.</t>
    <phoneticPr fontId="3" type="noConversion"/>
  </si>
  <si>
    <r>
      <t>Re=Rf+</t>
    </r>
    <r>
      <rPr>
        <sz val="11"/>
        <color theme="1"/>
        <rFont val="KoPubWorld돋움체 Medium"/>
        <family val="3"/>
      </rPr>
      <t>β</t>
    </r>
    <r>
      <rPr>
        <sz val="11"/>
        <color theme="1"/>
        <rFont val="KoPubWorld돋움체 Medium"/>
        <family val="3"/>
        <charset val="129"/>
      </rPr>
      <t>(Rm-Rf)</t>
    </r>
    <phoneticPr fontId="3" type="noConversion"/>
  </si>
  <si>
    <t xml:space="preserve">비메모리핸들러의 경우, 데이터센터향 SSD 핸들러 발주 확대 증가분을 기준으로 동사의 납품 대수를 추정함. </t>
    <phoneticPr fontId="3" type="noConversion"/>
  </si>
  <si>
    <t xml:space="preserve">C.O.K의 경우, 반도체 전환 사이클 증가분에 따라 증가하는 성장률을 가산하여 동사의 납품 대수를 추정함. </t>
    <phoneticPr fontId="3" type="noConversion"/>
  </si>
  <si>
    <t>메모리 핸들러의 경우, 더 이상 성장여력이 제한될 것으로 판단. 25년 3분기 Avg Flat을 적용하여 동사의 납품대수를 추정함.</t>
    <phoneticPr fontId="3" type="noConversion"/>
  </si>
  <si>
    <t>Weighted Average Cost of Capital</t>
    <phoneticPr fontId="3" type="noConversion"/>
  </si>
  <si>
    <t>Change in NWC</t>
    <phoneticPr fontId="3" type="noConversion"/>
  </si>
  <si>
    <t>FA Schedule</t>
    <phoneticPr fontId="3" type="noConversion"/>
  </si>
  <si>
    <t>4Q25의 경우 앞선 3개분기의 감가상각비 지출액이 큰 변화가 없기에 이를 고려하여 반영함.</t>
    <phoneticPr fontId="3" type="noConversion"/>
  </si>
  <si>
    <t>23,'24,'25년 CAPA증설에 따라 CAPEX지출 높음. 이후 CAPA증설 일정 없기에 전기 감가상각비 만큼 지출된다 가정</t>
    <phoneticPr fontId="3" type="noConversion"/>
  </si>
  <si>
    <t>동사는 주문제작 방식을 이용하기에 재고자산 잔액 변동이 크게 없을것이라 판단. 직전 3개년 average flat</t>
    <phoneticPr fontId="3" type="noConversion"/>
  </si>
  <si>
    <t>4Q25 큐브 프로버 매출의 경우, 전방사 장비 반입을 감안하여 1Q26부터 매출로 인식될 것으로 가정함.</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</si>
</sst>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2" formatCode="_-&quot;₩&quot;* #,##0_-;\-&quot;₩&quot;* #,##0_-;_-&quot;₩&quot;* &quot;-&quot;_-;_-@_-"/>
    <numFmt numFmtId="41" formatCode="_-* #,##0_-;\-* #,##0_-;_-* &quot;-&quot;_-;_-@_-"/>
    <numFmt numFmtId="44" formatCode="_-&quot;₩&quot;* #,##0.00_-;\-&quot;₩&quot;* #,##0.00_-;_-&quot;₩&quot;* &quot;-&quot;??_-;_-@_-"/>
    <numFmt numFmtId="176" formatCode="#,##0_ ;[Red]\-#,##0\ "/>
    <numFmt numFmtId="177" formatCode="0.0%"/>
    <numFmt numFmtId="178" formatCode="_-* #,##0.0_-;\-* #,##0.0_-;_-* &quot;-&quot;_-;_-@_-"/>
    <numFmt numFmtId="179" formatCode="#,##0_);[Red]\(#,##0\)"/>
    <numFmt numFmtId="180" formatCode="#,##0_);\(#,##0\)"/>
    <numFmt numFmtId="181" formatCode="#,##0_ "/>
    <numFmt numFmtId="182" formatCode="0.00_ "/>
    <numFmt numFmtId="183" formatCode="0_);[Red]\(0\)"/>
    <numFmt numFmtId="184" formatCode="0.000_);[Red]\(0.000\)"/>
    <numFmt numFmtId="185" formatCode="_-* #,##0_-;\-* #,##0_-;_-* &quot;-&quot;??_-;_-@_-"/>
    <numFmt numFmtId="186" formatCode="0.000%"/>
    <numFmt numFmtId="187" formatCode="#,##0.0;\-#,##0.0"/>
  </numFmts>
  <fonts count="113">
    <font>
      <sz val="11"/>
      <color theme="1"/>
      <name val="맑은 고딕"/>
      <family val="2"/>
      <charset val="129"/>
      <scheme val="minor"/>
    </font>
    <font>
      <sz val="11"/>
      <color theme="1"/>
      <name val="맑은 고딕"/>
      <family val="2"/>
      <charset val="129"/>
      <scheme val="minor"/>
    </font>
    <font>
      <sz val="9"/>
      <color theme="1"/>
      <name val="Arial"/>
      <family val="2"/>
    </font>
    <font>
      <sz val="8"/>
      <name val="맑은 고딕"/>
      <family val="2"/>
      <charset val="129"/>
      <scheme val="minor"/>
    </font>
    <font>
      <b/>
      <sz val="9"/>
      <color rgb="FFFFFFFF"/>
      <name val="Arial"/>
      <family val="2"/>
    </font>
    <font>
      <sz val="9"/>
      <color rgb="FF325886"/>
      <name val="Arial"/>
      <family val="2"/>
    </font>
    <font>
      <sz val="9"/>
      <color rgb="FF325886"/>
      <name val="맑은 고딕"/>
      <family val="2"/>
      <charset val="129"/>
      <scheme val="minor"/>
    </font>
    <font>
      <sz val="9"/>
      <color rgb="FF000000"/>
      <name val="Arial"/>
      <family val="2"/>
    </font>
    <font>
      <sz val="9"/>
      <color rgb="FF0070C0"/>
      <name val="Arial"/>
      <family val="2"/>
    </font>
    <font>
      <sz val="8"/>
      <color indexed="54"/>
      <name val="Tahoma"/>
      <family val="2"/>
    </font>
    <font>
      <sz val="11"/>
      <color theme="1"/>
      <name val="KoPubWorld돋움체 Bold"/>
      <family val="3"/>
      <charset val="129"/>
    </font>
    <font>
      <sz val="11"/>
      <color theme="0"/>
      <name val="KoPubWorld돋움체 Bold"/>
      <family val="3"/>
      <charset val="129"/>
    </font>
    <font>
      <b/>
      <sz val="10"/>
      <color theme="0"/>
      <name val="Arial"/>
      <family val="2"/>
      <charset val="129"/>
    </font>
    <font>
      <sz val="10"/>
      <color theme="0"/>
      <name val="Arial"/>
      <family val="2"/>
    </font>
    <font>
      <b/>
      <sz val="14"/>
      <color theme="0"/>
      <name val="Arial"/>
      <family val="2"/>
    </font>
    <font>
      <i/>
      <sz val="10"/>
      <color theme="0"/>
      <name val="Arial"/>
      <family val="2"/>
    </font>
    <font>
      <i/>
      <sz val="9"/>
      <color theme="2" tint="-0.499984740745262"/>
      <name val="KoPubWorld돋움체 Medium"/>
      <family val="3"/>
      <charset val="129"/>
    </font>
    <font>
      <sz val="10"/>
      <color theme="0"/>
      <name val="KoPubWorld돋움체 Bold"/>
      <family val="3"/>
      <charset val="129"/>
    </font>
    <font>
      <b/>
      <sz val="14"/>
      <color theme="0"/>
      <name val="KoPubWorld돋움체 Bold"/>
      <family val="3"/>
      <charset val="129"/>
    </font>
    <font>
      <i/>
      <sz val="10"/>
      <color theme="0"/>
      <name val="KoPubWorld돋움체 Bold"/>
      <family val="3"/>
      <charset val="129"/>
    </font>
    <font>
      <sz val="10"/>
      <color theme="1"/>
      <name val="KoPubWorld돋움체 Medium"/>
      <family val="3"/>
      <charset val="129"/>
    </font>
    <font>
      <sz val="10"/>
      <color theme="1"/>
      <name val="맑은 고딕"/>
      <family val="2"/>
      <charset val="129"/>
      <scheme val="minor"/>
    </font>
    <font>
      <sz val="10"/>
      <name val="KoPubWorld돋움체 Medium"/>
      <family val="3"/>
      <charset val="129"/>
    </font>
    <font>
      <sz val="11"/>
      <color theme="1"/>
      <name val="맑은 고딕"/>
      <family val="2"/>
      <scheme val="minor"/>
    </font>
    <font>
      <sz val="8"/>
      <name val="맑은 고딕"/>
      <family val="3"/>
      <charset val="129"/>
      <scheme val="minor"/>
    </font>
    <font>
      <sz val="10"/>
      <color rgb="FFFFFFFF"/>
      <name val="KoPubWorld돋움체 Medium"/>
      <family val="3"/>
      <charset val="129"/>
    </font>
    <font>
      <sz val="11"/>
      <color theme="1"/>
      <name val="KoPubWorld돋움체 Medium"/>
      <family val="3"/>
      <charset val="129"/>
    </font>
    <font>
      <sz val="10"/>
      <color rgb="FF000000"/>
      <name val="KoPubWorld돋움체 Medium"/>
      <family val="3"/>
      <charset val="129"/>
    </font>
    <font>
      <sz val="10"/>
      <color theme="1"/>
      <name val="KoPubWorld돋움체 Bold"/>
      <family val="3"/>
      <charset val="129"/>
    </font>
    <font>
      <sz val="10"/>
      <color rgb="FFC00000"/>
      <name val="KoPubWorld돋움체 Bold"/>
      <family val="3"/>
      <charset val="129"/>
    </font>
    <font>
      <sz val="11"/>
      <color rgb="FFC00000"/>
      <name val="맑은 고딕"/>
      <family val="2"/>
      <charset val="129"/>
      <scheme val="minor"/>
    </font>
    <font>
      <sz val="10"/>
      <color theme="1"/>
      <name val="KoPubWorld돋움체 Light"/>
      <family val="3"/>
      <charset val="129"/>
    </font>
    <font>
      <sz val="11"/>
      <color theme="1"/>
      <name val="KoPubWorld돋움체 Light"/>
      <family val="3"/>
      <charset val="129"/>
    </font>
    <font>
      <sz val="10"/>
      <name val="Arial"/>
      <family val="2"/>
    </font>
    <font>
      <sz val="9"/>
      <name val="Arial"/>
      <family val="2"/>
    </font>
    <font>
      <sz val="12"/>
      <color theme="1"/>
      <name val="맑은 고딕"/>
      <family val="2"/>
      <charset val="136"/>
      <scheme val="minor"/>
    </font>
    <font>
      <u/>
      <sz val="11"/>
      <color theme="10"/>
      <name val="맑은 고딕"/>
      <family val="2"/>
      <charset val="129"/>
      <scheme val="minor"/>
    </font>
    <font>
      <sz val="14"/>
      <color theme="0"/>
      <name val="KoPubWorld돋움체 Bold"/>
      <family val="3"/>
      <charset val="129"/>
    </font>
    <font>
      <b/>
      <sz val="10"/>
      <color theme="0"/>
      <name val="맑은 고딕"/>
      <family val="3"/>
      <charset val="129"/>
      <scheme val="minor"/>
    </font>
    <font>
      <b/>
      <sz val="10"/>
      <color theme="0"/>
      <name val="KoPubWorld돋움체 Bold"/>
      <family val="3"/>
      <charset val="129"/>
    </font>
    <font>
      <sz val="8"/>
      <name val="Arial"/>
      <family val="2"/>
    </font>
    <font>
      <b/>
      <sz val="10"/>
      <color theme="1"/>
      <name val="맑은 고딕"/>
      <family val="3"/>
      <charset val="129"/>
      <scheme val="minor"/>
    </font>
    <font>
      <sz val="9"/>
      <color theme="1"/>
      <name val="KoPubWorld돋움체 Light"/>
      <family val="3"/>
      <charset val="129"/>
    </font>
    <font>
      <sz val="9"/>
      <color theme="1"/>
      <name val="KoPubWorld돋움체 Bold"/>
      <family val="3"/>
      <charset val="129"/>
    </font>
    <font>
      <b/>
      <sz val="9"/>
      <color theme="1"/>
      <name val="맑은 고딕"/>
      <family val="3"/>
      <charset val="129"/>
      <scheme val="minor"/>
    </font>
    <font>
      <sz val="8"/>
      <name val="맑은 고딕"/>
      <family val="2"/>
      <charset val="129"/>
    </font>
    <font>
      <sz val="9"/>
      <color indexed="63"/>
      <name val="KoPubWorld돋움체 Light"/>
      <family val="3"/>
      <charset val="129"/>
    </font>
    <font>
      <sz val="10"/>
      <color indexed="63"/>
      <name val="Arial"/>
      <family val="2"/>
    </font>
    <font>
      <sz val="10"/>
      <color indexed="63"/>
      <name val="KoPubWorld돋움체 Medium"/>
      <family val="3"/>
      <charset val="129"/>
    </font>
    <font>
      <i/>
      <sz val="10"/>
      <color indexed="63"/>
      <name val="KoPubWorld돋움체 Medium"/>
      <family val="3"/>
      <charset val="129"/>
    </font>
    <font>
      <sz val="8"/>
      <name val="MalgunGothic"/>
      <family val="2"/>
      <charset val="129"/>
    </font>
    <font>
      <b/>
      <sz val="10"/>
      <color theme="1"/>
      <name val="KoPubWorld돋움체 Medium"/>
      <family val="3"/>
      <charset val="129"/>
    </font>
    <font>
      <i/>
      <sz val="10"/>
      <color theme="1"/>
      <name val="KoPubWorld돋움체 Medium"/>
      <family val="3"/>
      <charset val="129"/>
    </font>
    <font>
      <sz val="9"/>
      <color theme="1"/>
      <name val="KoPubWorld돋움체 Medium"/>
      <family val="3"/>
      <charset val="129"/>
    </font>
    <font>
      <b/>
      <sz val="10"/>
      <color theme="1"/>
      <name val="KoPubWorld돋움체 Bold"/>
      <family val="3"/>
      <charset val="129"/>
    </font>
    <font>
      <sz val="10"/>
      <color theme="0"/>
      <name val="KoPubWorld돋움체 Medium"/>
      <family val="3"/>
      <charset val="129"/>
    </font>
    <font>
      <sz val="10"/>
      <color theme="1"/>
      <name val="맑은 고딕"/>
      <family val="3"/>
      <charset val="129"/>
      <scheme val="minor"/>
    </font>
    <font>
      <sz val="10"/>
      <color rgb="FF000000"/>
      <name val="KoPubWorld돋움체 Bold"/>
      <family val="3"/>
      <charset val="129"/>
    </font>
    <font>
      <b/>
      <sz val="10"/>
      <color rgb="FF000000"/>
      <name val="KoPubWorld돋움체 Medium"/>
      <family val="3"/>
      <charset val="129"/>
    </font>
    <font>
      <sz val="9"/>
      <color rgb="FF000000"/>
      <name val="KoPubWorld돋움체 Medium"/>
      <family val="3"/>
      <charset val="129"/>
    </font>
    <font>
      <b/>
      <sz val="10"/>
      <color rgb="FFFFFFFF"/>
      <name val="KoPubWorld돋움체 Medium"/>
      <family val="3"/>
      <charset val="129"/>
    </font>
    <font>
      <b/>
      <sz val="11"/>
      <color theme="1"/>
      <name val="KoPubWorld돋움체 Bold"/>
      <family val="3"/>
      <charset val="129"/>
    </font>
    <font>
      <b/>
      <sz val="9"/>
      <color theme="1"/>
      <name val="KoPubWorld돋움체 Bold"/>
      <family val="3"/>
      <charset val="129"/>
    </font>
    <font>
      <sz val="11"/>
      <color theme="1"/>
      <name val="맑은 고딕"/>
      <family val="3"/>
      <charset val="129"/>
      <scheme val="minor"/>
    </font>
    <font>
      <sz val="8"/>
      <name val="맑은 고딕"/>
      <family val="3"/>
      <charset val="129"/>
    </font>
    <font>
      <b/>
      <sz val="11"/>
      <color theme="0"/>
      <name val="Arial"/>
      <family val="2"/>
    </font>
    <font>
      <sz val="11"/>
      <color theme="0"/>
      <name val="KoPubWorld돋움체 Medium"/>
      <family val="3"/>
      <charset val="129"/>
    </font>
    <font>
      <sz val="11"/>
      <color rgb="FF000000"/>
      <name val="KoPubWorld돋움체 Medium"/>
      <family val="3"/>
      <charset val="129"/>
    </font>
    <font>
      <sz val="11"/>
      <color theme="1"/>
      <name val="KoPubWorld돋움체 Medium"/>
      <family val="3"/>
      <charset val="161"/>
    </font>
    <font>
      <sz val="11"/>
      <color theme="1"/>
      <name val="Calibri"/>
      <family val="3"/>
      <charset val="161"/>
    </font>
    <font>
      <sz val="11"/>
      <name val="KoPubWorld돋움체 Medium"/>
      <family val="3"/>
      <charset val="129"/>
    </font>
    <font>
      <b/>
      <sz val="10"/>
      <color theme="4"/>
      <name val="KoPubWorld돋움체 Medium"/>
      <family val="3"/>
      <charset val="129"/>
    </font>
    <font>
      <b/>
      <sz val="10"/>
      <color theme="1"/>
      <name val="Arial"/>
      <family val="2"/>
    </font>
    <font>
      <b/>
      <sz val="10"/>
      <color theme="1" tint="0.249977111117893"/>
      <name val="Arial"/>
      <family val="2"/>
    </font>
    <font>
      <sz val="11"/>
      <color rgb="FF000000"/>
      <name val="굴림"/>
      <family val="3"/>
      <charset val="129"/>
    </font>
    <font>
      <sz val="10"/>
      <color theme="1"/>
      <name val="Arial"/>
      <family val="2"/>
    </font>
    <font>
      <i/>
      <sz val="10"/>
      <color theme="1"/>
      <name val="Arial"/>
      <family val="2"/>
    </font>
    <font>
      <b/>
      <sz val="11"/>
      <color theme="0"/>
      <name val="KoPubWorld돋움체 Bold"/>
      <family val="3"/>
      <charset val="129"/>
    </font>
    <font>
      <i/>
      <sz val="11"/>
      <color theme="1"/>
      <name val="KoPubWorld돋움체 Light"/>
      <family val="3"/>
      <charset val="129"/>
    </font>
    <font>
      <i/>
      <sz val="10"/>
      <color theme="1"/>
      <name val="KoPubWorld돋움체 Light"/>
      <family val="3"/>
      <charset val="129"/>
    </font>
    <font>
      <i/>
      <sz val="10"/>
      <color theme="1"/>
      <name val="맑은 고딕"/>
      <family val="3"/>
      <charset val="129"/>
      <scheme val="minor"/>
    </font>
    <font>
      <b/>
      <sz val="10"/>
      <color theme="1"/>
      <name val="Arial Unicode MS"/>
      <family val="2"/>
      <charset val="129"/>
    </font>
    <font>
      <sz val="10"/>
      <color rgb="FF000000"/>
      <name val="맑은 고딕"/>
      <family val="3"/>
      <charset val="129"/>
      <scheme val="minor"/>
    </font>
    <font>
      <b/>
      <sz val="10"/>
      <color theme="1"/>
      <name val="맑은 고딕"/>
      <family val="2"/>
      <charset val="129"/>
    </font>
    <font>
      <b/>
      <sz val="10"/>
      <color theme="0"/>
      <name val="KoPubWorld돋움체 Medium"/>
      <family val="3"/>
      <charset val="129"/>
    </font>
    <font>
      <b/>
      <sz val="10"/>
      <color theme="1"/>
      <name val="맑은 고딕"/>
      <family val="2"/>
      <charset val="129"/>
      <scheme val="minor"/>
    </font>
    <font>
      <i/>
      <sz val="10"/>
      <color rgb="FF203864"/>
      <name val="KoPubWorld돋움체 Bold"/>
      <family val="3"/>
      <charset val="129"/>
    </font>
    <font>
      <sz val="10"/>
      <color theme="1"/>
      <name val="MalgunGothic"/>
      <family val="2"/>
      <charset val="129"/>
    </font>
    <font>
      <sz val="12"/>
      <color theme="1"/>
      <name val="맑은 고딕"/>
      <family val="2"/>
      <charset val="129"/>
      <scheme val="minor"/>
    </font>
    <font>
      <sz val="11"/>
      <color theme="1"/>
      <name val="KoPubWorld돋움체 Light"/>
      <family val="2"/>
      <charset val="129"/>
    </font>
    <font>
      <sz val="9"/>
      <color theme="1"/>
      <name val="KoPubWorld돋움체 Light"/>
      <family val="2"/>
      <charset val="129"/>
    </font>
    <font>
      <sz val="8"/>
      <name val="KoPubWorld돋움체 Light"/>
      <family val="2"/>
      <charset val="129"/>
    </font>
    <font>
      <sz val="9"/>
      <color rgb="FF000000"/>
      <name val="KoPubWorld돋움체 Light"/>
      <family val="3"/>
      <charset val="129"/>
    </font>
    <font>
      <sz val="9"/>
      <color theme="0"/>
      <name val="KoPubWorld돋움체 Bold"/>
      <family val="3"/>
      <charset val="129"/>
    </font>
    <font>
      <sz val="9"/>
      <name val="KoPubWorld돋움체 Medium"/>
      <family val="3"/>
      <charset val="129"/>
    </font>
    <font>
      <sz val="9"/>
      <color rgb="FF000000"/>
      <name val="KoPubWorld돋움체 Bold"/>
      <family val="3"/>
      <charset val="129"/>
    </font>
    <font>
      <i/>
      <sz val="9"/>
      <color theme="1"/>
      <name val="KoPubWorld돋움체 Light"/>
      <family val="3"/>
      <charset val="129"/>
    </font>
    <font>
      <u/>
      <sz val="11"/>
      <color theme="10"/>
      <name val="KoPubWorld돋움체 Light"/>
      <family val="2"/>
      <charset val="129"/>
    </font>
    <font>
      <u/>
      <sz val="11"/>
      <color theme="10"/>
      <name val="맑은 고딕"/>
      <family val="2"/>
      <scheme val="minor"/>
    </font>
    <font>
      <sz val="11"/>
      <color theme="0"/>
      <name val="KoPubWorld돋움체 Light"/>
      <family val="2"/>
      <charset val="129"/>
    </font>
    <font>
      <i/>
      <sz val="10"/>
      <color theme="0"/>
      <name val="KoPubWorld돋움체 Medium"/>
      <family val="3"/>
      <charset val="129"/>
    </font>
    <font>
      <b/>
      <sz val="14"/>
      <color theme="0"/>
      <name val="KoPubWorld돋움체 Medium"/>
      <family val="3"/>
      <charset val="129"/>
    </font>
    <font>
      <b/>
      <sz val="10"/>
      <color indexed="9"/>
      <name val="Arial"/>
      <family val="2"/>
    </font>
    <font>
      <sz val="8"/>
      <color theme="1"/>
      <name val="KoPubWorld돋움체 Light"/>
      <family val="2"/>
      <charset val="129"/>
    </font>
    <font>
      <i/>
      <sz val="8"/>
      <color theme="1"/>
      <name val="KoPubWorld돋움체 Light"/>
      <family val="3"/>
      <charset val="129"/>
    </font>
    <font>
      <sz val="8"/>
      <color theme="1"/>
      <name val="KoPubWorld돋움체 Light"/>
      <family val="3"/>
      <charset val="129"/>
    </font>
    <font>
      <sz val="11"/>
      <color rgb="FF000000"/>
      <name val="맑은 고딕"/>
      <family val="2"/>
      <charset val="129"/>
    </font>
    <font>
      <sz val="9"/>
      <color rgb="FF000000"/>
      <name val="나눔고딕"/>
      <family val="2"/>
      <charset val="129"/>
    </font>
    <font>
      <i/>
      <sz val="10"/>
      <color theme="0" tint="-0.499984740745262"/>
      <name val="KoPubWorld돋움체 Medium"/>
      <family val="3"/>
      <charset val="129"/>
    </font>
    <font>
      <u/>
      <sz val="10"/>
      <color theme="10"/>
      <name val="KoPubWorld돋움체 Medium"/>
      <family val="3"/>
      <charset val="129"/>
    </font>
    <font>
      <sz val="10"/>
      <color theme="0"/>
      <name val="맑은 고딕"/>
      <family val="2"/>
      <charset val="129"/>
      <scheme val="minor"/>
    </font>
    <font>
      <sz val="11"/>
      <color theme="1"/>
      <name val="KoPubWorld돋움체 Medium"/>
      <family val="3"/>
    </font>
    <font>
      <sz val="10"/>
      <color rgb="FFFF0000"/>
      <name val="맑은 고딕"/>
      <family val="2"/>
      <charset val="129"/>
      <scheme val="minor"/>
    </font>
  </fonts>
  <fills count="20">
    <fill>
      <patternFill patternType="none"/>
    </fill>
    <fill>
      <patternFill patternType="gray125"/>
    </fill>
    <fill>
      <patternFill patternType="solid">
        <fgColor rgb="FF01185F"/>
        <bgColor indexed="64"/>
      </patternFill>
    </fill>
    <fill>
      <patternFill patternType="solid">
        <fgColor rgb="FFE7EEFD"/>
        <bgColor indexed="64"/>
      </patternFill>
    </fill>
    <fill>
      <patternFill patternType="solid">
        <fgColor rgb="FFABC3D6"/>
        <bgColor indexed="64"/>
      </patternFill>
    </fill>
    <fill>
      <patternFill patternType="solid">
        <fgColor rgb="FFD7D7D7"/>
        <bgColor indexed="64"/>
      </patternFill>
    </fill>
    <fill>
      <patternFill patternType="solid">
        <fgColor rgb="FFF7F9FF"/>
        <bgColor indexed="64"/>
      </patternFill>
    </fill>
    <fill>
      <patternFill patternType="solid">
        <fgColor rgb="FFEBEBEB"/>
        <bgColor indexed="64"/>
      </patternFill>
    </fill>
    <fill>
      <patternFill patternType="solid">
        <fgColor theme="0"/>
        <bgColor indexed="64"/>
      </patternFill>
    </fill>
    <fill>
      <patternFill patternType="solid">
        <fgColor rgb="FFFFFFFF"/>
        <bgColor indexed="64"/>
      </patternFill>
    </fill>
    <fill>
      <patternFill patternType="solid">
        <fgColor rgb="FF0059FF"/>
        <bgColor indexed="64"/>
      </patternFill>
    </fill>
    <fill>
      <patternFill patternType="solid">
        <fgColor rgb="FFD0CECE"/>
        <bgColor indexed="64"/>
      </patternFill>
    </fill>
    <fill>
      <patternFill patternType="solid">
        <fgColor theme="8" tint="0.79998168889431442"/>
        <bgColor indexed="64"/>
      </patternFill>
    </fill>
    <fill>
      <patternFill patternType="solid">
        <fgColor theme="1" tint="0.34998626667073579"/>
        <bgColor indexed="64"/>
      </patternFill>
    </fill>
    <fill>
      <patternFill patternType="solid">
        <fgColor rgb="FFFFFF00"/>
        <bgColor indexed="64"/>
      </patternFill>
    </fill>
    <fill>
      <patternFill patternType="solid">
        <fgColor rgb="FF0070C0"/>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theme="1"/>
        <bgColor indexed="64"/>
      </patternFill>
    </fill>
    <fill>
      <patternFill patternType="solid">
        <fgColor rgb="FF4F81BD"/>
        <bgColor indexed="64"/>
      </patternFill>
    </fill>
  </fills>
  <borders count="54">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rgb="FF538DD5"/>
      </left>
      <right style="thin">
        <color rgb="FF538DD5"/>
      </right>
      <top style="thin">
        <color rgb="FF538DD5"/>
      </top>
      <bottom style="thin">
        <color rgb="FF538DD5"/>
      </bottom>
      <diagonal/>
    </border>
    <border>
      <left style="thin">
        <color rgb="FF538DD5"/>
      </left>
      <right style="thin">
        <color rgb="FF538DD5"/>
      </right>
      <top style="thin">
        <color rgb="FF538DD5"/>
      </top>
      <bottom/>
      <diagonal/>
    </border>
    <border>
      <left style="thin">
        <color rgb="FF538DD5"/>
      </left>
      <right/>
      <top style="thin">
        <color rgb="FF538DD5"/>
      </top>
      <bottom style="thin">
        <color rgb="FF538DD5"/>
      </bottom>
      <diagonal/>
    </border>
    <border>
      <left style="thin">
        <color rgb="FF538DD5"/>
      </left>
      <right/>
      <top style="thin">
        <color rgb="FF538DD5"/>
      </top>
      <bottom/>
      <diagonal/>
    </border>
    <border>
      <left style="thin">
        <color rgb="FF538DD5"/>
      </left>
      <right style="thin">
        <color rgb="FF538DD5"/>
      </right>
      <top/>
      <bottom/>
      <diagonal/>
    </border>
    <border>
      <left/>
      <right/>
      <top/>
      <bottom style="thin">
        <color theme="0"/>
      </bottom>
      <diagonal/>
    </border>
    <border>
      <left/>
      <right style="thin">
        <color indexed="64"/>
      </right>
      <top/>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thin">
        <color theme="0"/>
      </left>
      <right/>
      <top style="thin">
        <color theme="0"/>
      </top>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bottom style="thin">
        <color theme="0"/>
      </bottom>
      <diagonal/>
    </border>
    <border>
      <left style="thin">
        <color theme="0"/>
      </left>
      <right style="thin">
        <color theme="0"/>
      </right>
      <top/>
      <bottom/>
      <diagonal/>
    </border>
    <border>
      <left/>
      <right style="thin">
        <color theme="0"/>
      </right>
      <top/>
      <bottom/>
      <diagonal/>
    </border>
    <border>
      <left/>
      <right style="thin">
        <color theme="0"/>
      </right>
      <top style="thin">
        <color theme="0"/>
      </top>
      <bottom style="thin">
        <color theme="0"/>
      </bottom>
      <diagonal/>
    </border>
    <border>
      <left style="thin">
        <color theme="0"/>
      </left>
      <right/>
      <top/>
      <bottom style="thin">
        <color theme="0"/>
      </bottom>
      <diagonal/>
    </border>
    <border>
      <left style="medium">
        <color rgb="FF203864"/>
      </left>
      <right/>
      <top style="medium">
        <color rgb="FF203864"/>
      </top>
      <bottom style="medium">
        <color rgb="FF203864"/>
      </bottom>
      <diagonal/>
    </border>
    <border>
      <left/>
      <right/>
      <top style="medium">
        <color rgb="FF203864"/>
      </top>
      <bottom style="medium">
        <color rgb="FF203864"/>
      </bottom>
      <diagonal/>
    </border>
    <border>
      <left style="thin">
        <color theme="0"/>
      </left>
      <right style="thin">
        <color theme="0"/>
      </right>
      <top style="thin">
        <color theme="0"/>
      </top>
      <bottom style="thin">
        <color theme="0"/>
      </bottom>
      <diagonal/>
    </border>
    <border>
      <left/>
      <right style="thin">
        <color theme="0"/>
      </right>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style="thin">
        <color auto="1"/>
      </bottom>
      <diagonal/>
    </border>
    <border>
      <left/>
      <right/>
      <top style="thin">
        <color theme="0"/>
      </top>
      <bottom style="thin">
        <color auto="1"/>
      </bottom>
      <diagonal/>
    </border>
    <border>
      <left style="thin">
        <color theme="0"/>
      </left>
      <right style="thin">
        <color theme="0"/>
      </right>
      <top style="thin">
        <color theme="0"/>
      </top>
      <bottom style="thin">
        <color auto="1"/>
      </bottom>
      <diagonal/>
    </border>
    <border>
      <left style="thin">
        <color theme="0"/>
      </left>
      <right/>
      <top/>
      <bottom/>
      <diagonal/>
    </border>
    <border>
      <left style="medium">
        <color theme="0"/>
      </left>
      <right style="medium">
        <color indexed="64"/>
      </right>
      <top style="medium">
        <color indexed="64"/>
      </top>
      <bottom style="medium">
        <color indexed="64"/>
      </bottom>
      <diagonal/>
    </border>
    <border>
      <left/>
      <right/>
      <top style="thin">
        <color theme="1"/>
      </top>
      <bottom/>
      <diagonal/>
    </border>
    <border>
      <left style="thin">
        <color indexed="64"/>
      </left>
      <right/>
      <top/>
      <bottom style="thin">
        <color indexed="64"/>
      </bottom>
      <diagonal/>
    </border>
    <border>
      <left style="medium">
        <color theme="4"/>
      </left>
      <right style="medium">
        <color theme="4"/>
      </right>
      <top style="medium">
        <color theme="4"/>
      </top>
      <bottom style="medium">
        <color theme="4"/>
      </bottom>
      <diagonal/>
    </border>
    <border>
      <left/>
      <right/>
      <top/>
      <bottom style="thin">
        <color theme="1" tint="0.499984740745262"/>
      </bottom>
      <diagonal/>
    </border>
    <border>
      <left/>
      <right/>
      <top/>
      <bottom style="thin">
        <color theme="1"/>
      </bottom>
      <diagonal/>
    </border>
    <border>
      <left/>
      <right/>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top style="double">
        <color indexed="64"/>
      </top>
      <bottom/>
      <diagonal/>
    </border>
    <border>
      <left/>
      <right style="thin">
        <color indexed="64"/>
      </right>
      <top style="double">
        <color indexed="64"/>
      </top>
      <bottom/>
      <diagonal/>
    </border>
    <border>
      <left/>
      <right style="thin">
        <color indexed="64"/>
      </right>
      <top style="thin">
        <color indexed="64"/>
      </top>
      <bottom style="double">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top/>
      <bottom style="thin">
        <color auto="1"/>
      </bottom>
      <diagonal/>
    </border>
  </borders>
  <cellStyleXfs count="47">
    <xf numFmtId="0" fontId="0" fillId="0" borderId="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1" fontId="23" fillId="0" borderId="0" applyFont="0" applyFill="0" applyBorder="0" applyAlignment="0" applyProtection="0">
      <alignment vertical="center"/>
    </xf>
    <xf numFmtId="41" fontId="1" fillId="0" borderId="0" applyFont="0" applyFill="0" applyBorder="0" applyAlignment="0" applyProtection="0">
      <alignment vertical="center"/>
    </xf>
    <xf numFmtId="0" fontId="33" fillId="0" borderId="0" applyNumberFormat="0" applyFill="0" applyBorder="0" applyAlignment="0" applyProtection="0"/>
    <xf numFmtId="3" fontId="34" fillId="0" borderId="0"/>
    <xf numFmtId="0" fontId="35" fillId="0" borderId="0">
      <alignment vertical="center"/>
    </xf>
    <xf numFmtId="0" fontId="36" fillId="0" borderId="0" applyNumberFormat="0" applyFill="0" applyBorder="0" applyAlignment="0" applyProtection="0">
      <alignment vertical="center"/>
    </xf>
    <xf numFmtId="0" fontId="40" fillId="0" borderId="0">
      <alignment vertical="center"/>
    </xf>
    <xf numFmtId="0" fontId="1" fillId="0" borderId="0">
      <alignment vertical="center"/>
    </xf>
    <xf numFmtId="0" fontId="47" fillId="9" borderId="17"/>
    <xf numFmtId="9" fontId="1" fillId="0" borderId="0" applyFont="0" applyFill="0" applyBorder="0" applyAlignment="0" applyProtection="0">
      <alignment vertical="center"/>
    </xf>
    <xf numFmtId="0" fontId="63" fillId="0" borderId="0">
      <alignment vertical="center"/>
    </xf>
    <xf numFmtId="41" fontId="63" fillId="0" borderId="0" applyFont="0" applyFill="0" applyBorder="0" applyAlignment="0" applyProtection="0">
      <alignment vertical="center"/>
    </xf>
    <xf numFmtId="41" fontId="63" fillId="0" borderId="0" applyFont="0" applyFill="0" applyBorder="0" applyAlignment="0" applyProtection="0">
      <alignment vertical="center"/>
    </xf>
    <xf numFmtId="9" fontId="63"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63" fillId="0" borderId="0" applyFont="0" applyFill="0" applyBorder="0" applyAlignment="0" applyProtection="0">
      <alignment vertical="center"/>
    </xf>
    <xf numFmtId="0" fontId="87" fillId="0" borderId="0">
      <alignment vertical="center"/>
    </xf>
    <xf numFmtId="0" fontId="23" fillId="0" borderId="0"/>
    <xf numFmtId="9" fontId="87" fillId="0" borderId="0" applyFont="0" applyFill="0" applyBorder="0" applyAlignment="0" applyProtection="0">
      <alignment vertical="center"/>
    </xf>
    <xf numFmtId="41" fontId="87" fillId="0" borderId="0" applyFont="0" applyFill="0" applyBorder="0" applyAlignment="0" applyProtection="0">
      <alignment vertical="center"/>
    </xf>
    <xf numFmtId="0" fontId="88" fillId="0" borderId="0">
      <alignment vertical="center"/>
    </xf>
    <xf numFmtId="41" fontId="88" fillId="0" borderId="0" applyFont="0" applyFill="0" applyBorder="0" applyAlignment="0" applyProtection="0">
      <alignment vertical="center"/>
    </xf>
    <xf numFmtId="9" fontId="88" fillId="0" borderId="0" applyFont="0" applyFill="0" applyBorder="0" applyAlignment="0" applyProtection="0">
      <alignment vertical="center"/>
    </xf>
    <xf numFmtId="0" fontId="1" fillId="0" borderId="0">
      <alignment vertical="center"/>
    </xf>
    <xf numFmtId="0" fontId="87" fillId="0" borderId="0">
      <alignment vertical="center"/>
    </xf>
    <xf numFmtId="0" fontId="1" fillId="0" borderId="0"/>
    <xf numFmtId="0" fontId="23" fillId="0" borderId="0"/>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41" fontId="88" fillId="0" borderId="0" applyFont="0" applyFill="0" applyBorder="0" applyAlignment="0" applyProtection="0">
      <alignment vertical="center"/>
    </xf>
    <xf numFmtId="0" fontId="89" fillId="0" borderId="0">
      <alignment vertical="center"/>
    </xf>
    <xf numFmtId="41" fontId="89" fillId="0" borderId="0" applyFont="0" applyFill="0" applyBorder="0" applyAlignment="0" applyProtection="0">
      <alignment vertical="center"/>
    </xf>
    <xf numFmtId="9" fontId="89" fillId="0" borderId="0" applyFont="0" applyFill="0" applyBorder="0" applyAlignment="0" applyProtection="0">
      <alignment vertical="center"/>
    </xf>
    <xf numFmtId="0" fontId="97" fillId="0" borderId="0" applyNumberFormat="0" applyFill="0" applyBorder="0" applyAlignment="0" applyProtection="0">
      <alignment vertical="center"/>
    </xf>
    <xf numFmtId="0" fontId="98" fillId="0" borderId="0" applyNumberFormat="0" applyFill="0" applyBorder="0" applyAlignment="0" applyProtection="0"/>
    <xf numFmtId="0" fontId="88" fillId="0" borderId="0">
      <alignment vertical="center"/>
    </xf>
    <xf numFmtId="0" fontId="102" fillId="19" borderId="45">
      <alignment horizontal="right"/>
    </xf>
    <xf numFmtId="0" fontId="106" fillId="0" borderId="0">
      <alignment vertical="center"/>
    </xf>
    <xf numFmtId="0" fontId="107" fillId="0" borderId="0">
      <alignment vertical="center"/>
    </xf>
  </cellStyleXfs>
  <cellXfs count="609">
    <xf numFmtId="0" fontId="0" fillId="0" borderId="0" xfId="0">
      <alignment vertical="center"/>
    </xf>
    <xf numFmtId="0" fontId="2" fillId="0" borderId="0" xfId="0" applyFont="1">
      <alignment vertical="center"/>
    </xf>
    <xf numFmtId="0" fontId="4" fillId="2" borderId="0" xfId="0" applyFont="1" applyFill="1">
      <alignment vertical="center"/>
    </xf>
    <xf numFmtId="0" fontId="5" fillId="3" borderId="0" xfId="0" applyFont="1" applyFill="1">
      <alignment vertical="center"/>
    </xf>
    <xf numFmtId="0" fontId="5" fillId="3" borderId="1" xfId="0" applyFont="1" applyFill="1" applyBorder="1">
      <alignment vertical="center"/>
    </xf>
    <xf numFmtId="0" fontId="7" fillId="4" borderId="2" xfId="0" applyFont="1" applyFill="1" applyBorder="1" applyAlignment="1">
      <alignment horizontal="center" vertical="center"/>
    </xf>
    <xf numFmtId="0" fontId="7" fillId="5" borderId="2" xfId="0" applyFont="1" applyFill="1" applyBorder="1" applyAlignment="1">
      <alignment horizontal="center" vertical="center"/>
    </xf>
    <xf numFmtId="0" fontId="8" fillId="6" borderId="4" xfId="0" applyFont="1" applyFill="1" applyBorder="1">
      <alignment vertical="center"/>
    </xf>
    <xf numFmtId="0" fontId="8" fillId="6" borderId="5" xfId="0" applyFont="1" applyFill="1" applyBorder="1">
      <alignment vertical="center"/>
    </xf>
    <xf numFmtId="0" fontId="8" fillId="6" borderId="6" xfId="0" applyFont="1" applyFill="1" applyBorder="1">
      <alignment vertical="center"/>
    </xf>
    <xf numFmtId="0" fontId="8" fillId="6" borderId="8" xfId="0" applyFont="1" applyFill="1" applyBorder="1">
      <alignment vertical="center"/>
    </xf>
    <xf numFmtId="0" fontId="8" fillId="6" borderId="7" xfId="0" applyFont="1" applyFill="1" applyBorder="1">
      <alignment vertical="center"/>
    </xf>
    <xf numFmtId="0" fontId="7" fillId="4" borderId="1" xfId="0" applyFont="1" applyFill="1" applyBorder="1" applyAlignment="1">
      <alignment horizontal="center" vertical="center"/>
    </xf>
    <xf numFmtId="0" fontId="7" fillId="7" borderId="0" xfId="0" applyFont="1" applyFill="1">
      <alignment vertical="center"/>
    </xf>
    <xf numFmtId="176" fontId="2" fillId="0" borderId="0" xfId="0" applyNumberFormat="1" applyFont="1">
      <alignment vertical="center"/>
    </xf>
    <xf numFmtId="176" fontId="0" fillId="0" borderId="0" xfId="0" applyNumberFormat="1">
      <alignment vertical="center"/>
    </xf>
    <xf numFmtId="0" fontId="0" fillId="10" borderId="0" xfId="0" applyFill="1">
      <alignment vertical="center"/>
    </xf>
    <xf numFmtId="0" fontId="11" fillId="10" borderId="0" xfId="0" applyFont="1" applyFill="1">
      <alignment vertical="center"/>
    </xf>
    <xf numFmtId="0" fontId="0" fillId="8" borderId="0" xfId="0" applyFill="1">
      <alignment vertical="center"/>
    </xf>
    <xf numFmtId="0" fontId="10" fillId="8" borderId="0" xfId="0" applyFont="1" applyFill="1">
      <alignment vertical="center"/>
    </xf>
    <xf numFmtId="178" fontId="16" fillId="8" borderId="1" xfId="5" applyNumberFormat="1" applyFont="1" applyFill="1" applyBorder="1" applyAlignment="1">
      <alignment horizontal="center" vertical="center"/>
    </xf>
    <xf numFmtId="177" fontId="16" fillId="8" borderId="1" xfId="1" applyNumberFormat="1" applyFont="1" applyFill="1" applyBorder="1" applyAlignment="1">
      <alignment horizontal="center" vertical="center"/>
    </xf>
    <xf numFmtId="0" fontId="21" fillId="8" borderId="0" xfId="0" applyFont="1" applyFill="1">
      <alignment vertical="center"/>
    </xf>
    <xf numFmtId="178" fontId="20" fillId="8" borderId="2" xfId="5" applyNumberFormat="1" applyFont="1" applyFill="1" applyBorder="1" applyAlignment="1">
      <alignment horizontal="center" vertical="center"/>
    </xf>
    <xf numFmtId="37" fontId="20" fillId="8" borderId="2" xfId="0" applyNumberFormat="1" applyFont="1" applyFill="1" applyBorder="1" applyAlignment="1">
      <alignment horizontal="center" vertical="center"/>
    </xf>
    <xf numFmtId="178" fontId="22" fillId="8" borderId="3" xfId="5" applyNumberFormat="1" applyFont="1" applyFill="1" applyBorder="1" applyAlignment="1">
      <alignment horizontal="center" vertical="center"/>
    </xf>
    <xf numFmtId="37" fontId="20" fillId="8" borderId="3" xfId="0" applyNumberFormat="1" applyFont="1" applyFill="1" applyBorder="1" applyAlignment="1">
      <alignment horizontal="center" vertical="center"/>
    </xf>
    <xf numFmtId="0" fontId="20" fillId="8" borderId="3" xfId="0" applyFont="1" applyFill="1" applyBorder="1" applyAlignment="1">
      <alignment horizontal="center" vertical="center"/>
    </xf>
    <xf numFmtId="9" fontId="22" fillId="8" borderId="3" xfId="1" applyFont="1" applyFill="1" applyBorder="1" applyAlignment="1">
      <alignment horizontal="center" vertical="center"/>
    </xf>
    <xf numFmtId="37" fontId="20" fillId="8" borderId="0" xfId="0" applyNumberFormat="1" applyFont="1" applyFill="1" applyAlignment="1">
      <alignment horizontal="center" vertical="center"/>
    </xf>
    <xf numFmtId="178" fontId="20" fillId="8" borderId="3" xfId="5" applyNumberFormat="1" applyFont="1" applyFill="1" applyBorder="1" applyAlignment="1">
      <alignment horizontal="center" vertical="center"/>
    </xf>
    <xf numFmtId="40" fontId="22" fillId="8" borderId="0" xfId="0" applyNumberFormat="1" applyFont="1" applyFill="1" applyAlignment="1">
      <alignment horizontal="center" vertical="center"/>
    </xf>
    <xf numFmtId="0" fontId="22" fillId="8" borderId="3" xfId="0" applyFont="1" applyFill="1" applyBorder="1" applyAlignment="1">
      <alignment horizontal="center" vertical="center"/>
    </xf>
    <xf numFmtId="40" fontId="22" fillId="8" borderId="1" xfId="0" applyNumberFormat="1" applyFont="1" applyFill="1" applyBorder="1" applyAlignment="1">
      <alignment horizontal="center" vertical="center"/>
    </xf>
    <xf numFmtId="37" fontId="20" fillId="8" borderId="1" xfId="0" applyNumberFormat="1" applyFont="1" applyFill="1" applyBorder="1" applyAlignment="1">
      <alignment horizontal="center" vertical="center"/>
    </xf>
    <xf numFmtId="40" fontId="20" fillId="8" borderId="1" xfId="0" applyNumberFormat="1" applyFont="1" applyFill="1" applyBorder="1" applyAlignment="1">
      <alignment horizontal="center" vertical="center"/>
    </xf>
    <xf numFmtId="176" fontId="2" fillId="8" borderId="0" xfId="0" applyNumberFormat="1" applyFont="1" applyFill="1">
      <alignment vertical="center"/>
    </xf>
    <xf numFmtId="176" fontId="0" fillId="8" borderId="0" xfId="0" applyNumberFormat="1" applyFill="1">
      <alignment vertical="center"/>
    </xf>
    <xf numFmtId="0" fontId="2" fillId="8" borderId="0" xfId="0" applyFont="1" applyFill="1">
      <alignment vertical="center"/>
    </xf>
    <xf numFmtId="0" fontId="17" fillId="10" borderId="0" xfId="0" applyFont="1" applyFill="1">
      <alignment vertical="center"/>
    </xf>
    <xf numFmtId="0" fontId="12" fillId="10" borderId="0" xfId="0" applyFont="1" applyFill="1">
      <alignment vertical="center"/>
    </xf>
    <xf numFmtId="0" fontId="13" fillId="10" borderId="0" xfId="0" applyFont="1" applyFill="1" applyAlignment="1">
      <alignment horizontal="right" vertical="center"/>
    </xf>
    <xf numFmtId="0" fontId="18" fillId="10" borderId="9" xfId="0" applyFont="1" applyFill="1" applyBorder="1" applyAlignment="1"/>
    <xf numFmtId="0" fontId="14" fillId="10" borderId="9" xfId="0" applyFont="1" applyFill="1" applyBorder="1" applyAlignment="1"/>
    <xf numFmtId="0" fontId="13" fillId="10" borderId="9" xfId="0" applyFont="1" applyFill="1" applyBorder="1" applyAlignment="1">
      <alignment horizontal="right"/>
    </xf>
    <xf numFmtId="0" fontId="19" fillId="10" borderId="0" xfId="0" applyFont="1" applyFill="1" applyAlignment="1">
      <alignment horizontal="left"/>
    </xf>
    <xf numFmtId="0" fontId="15" fillId="10" borderId="0" xfId="0" applyFont="1" applyFill="1" applyAlignment="1">
      <alignment horizontal="left"/>
    </xf>
    <xf numFmtId="0" fontId="13" fillId="10" borderId="0" xfId="0" applyFont="1" applyFill="1" applyAlignment="1">
      <alignment horizontal="right"/>
    </xf>
    <xf numFmtId="0" fontId="17" fillId="10" borderId="2" xfId="0" applyFont="1" applyFill="1" applyBorder="1" applyAlignment="1">
      <alignment horizontal="center" vertical="center"/>
    </xf>
    <xf numFmtId="49" fontId="17" fillId="10" borderId="2" xfId="0" applyNumberFormat="1" applyFont="1" applyFill="1" applyBorder="1" applyAlignment="1">
      <alignment horizontal="center" vertical="center"/>
    </xf>
    <xf numFmtId="49" fontId="17" fillId="8" borderId="0" xfId="0" applyNumberFormat="1" applyFont="1" applyFill="1" applyAlignment="1">
      <alignment horizontal="center" vertical="center"/>
    </xf>
    <xf numFmtId="0" fontId="20" fillId="8" borderId="0" xfId="0" applyFont="1" applyFill="1">
      <alignment vertical="center"/>
    </xf>
    <xf numFmtId="0" fontId="0" fillId="10" borderId="0" xfId="0" applyFill="1" applyAlignment="1"/>
    <xf numFmtId="0" fontId="17" fillId="10" borderId="0" xfId="0" applyFont="1" applyFill="1" applyAlignment="1">
      <alignment horizontal="center" vertical="center"/>
    </xf>
    <xf numFmtId="0" fontId="26" fillId="8" borderId="0" xfId="0" applyFont="1" applyFill="1">
      <alignment vertical="center"/>
    </xf>
    <xf numFmtId="0" fontId="20" fillId="8" borderId="0" xfId="0" quotePrefix="1" applyFont="1" applyFill="1" applyAlignment="1">
      <alignment horizontal="center" vertical="center"/>
    </xf>
    <xf numFmtId="179" fontId="20" fillId="8" borderId="0" xfId="7" applyNumberFormat="1" applyFont="1" applyFill="1" applyAlignment="1">
      <alignment horizontal="right" vertical="center"/>
    </xf>
    <xf numFmtId="0" fontId="20" fillId="8" borderId="0" xfId="0" applyFont="1" applyFill="1" applyAlignment="1">
      <alignment horizontal="left" vertical="center"/>
    </xf>
    <xf numFmtId="0" fontId="28" fillId="8" borderId="0" xfId="0" applyFont="1" applyFill="1" applyAlignment="1">
      <alignment horizontal="center" vertical="center"/>
    </xf>
    <xf numFmtId="0" fontId="28" fillId="8" borderId="0" xfId="0" applyFont="1" applyFill="1" applyAlignment="1">
      <alignment horizontal="left" vertical="center"/>
    </xf>
    <xf numFmtId="0" fontId="20" fillId="8" borderId="0" xfId="0" applyFont="1" applyFill="1" applyAlignment="1">
      <alignment horizontal="center" vertical="center"/>
    </xf>
    <xf numFmtId="179" fontId="27" fillId="8" borderId="0" xfId="7" applyNumberFormat="1" applyFont="1" applyFill="1" applyAlignment="1">
      <alignment horizontal="right" vertical="center"/>
    </xf>
    <xf numFmtId="0" fontId="28" fillId="11" borderId="0" xfId="0" applyFont="1" applyFill="1" applyAlignment="1">
      <alignment horizontal="center" vertical="center"/>
    </xf>
    <xf numFmtId="179" fontId="28" fillId="11" borderId="0" xfId="7" applyNumberFormat="1" applyFont="1" applyFill="1" applyAlignment="1">
      <alignment horizontal="right" vertical="center"/>
    </xf>
    <xf numFmtId="0" fontId="28" fillId="11" borderId="0" xfId="0" applyFont="1" applyFill="1" applyAlignment="1">
      <alignment horizontal="left" vertical="center"/>
    </xf>
    <xf numFmtId="179" fontId="20" fillId="8" borderId="0" xfId="7" applyNumberFormat="1" applyFont="1" applyFill="1" applyBorder="1" applyAlignment="1">
      <alignment horizontal="right" vertical="center"/>
    </xf>
    <xf numFmtId="0" fontId="20" fillId="8" borderId="0" xfId="0" quotePrefix="1" applyFont="1" applyFill="1" applyAlignment="1">
      <alignment horizontal="left" vertical="center"/>
    </xf>
    <xf numFmtId="0" fontId="29" fillId="8" borderId="2" xfId="0" applyFont="1" applyFill="1" applyBorder="1" applyAlignment="1">
      <alignment horizontal="center" vertical="center"/>
    </xf>
    <xf numFmtId="179" fontId="29" fillId="8" borderId="2" xfId="7" applyNumberFormat="1" applyFont="1" applyFill="1" applyBorder="1" applyAlignment="1">
      <alignment horizontal="center" vertical="center"/>
    </xf>
    <xf numFmtId="0" fontId="29" fillId="8" borderId="2" xfId="0" applyFont="1" applyFill="1" applyBorder="1" applyAlignment="1">
      <alignment horizontal="left" vertical="center"/>
    </xf>
    <xf numFmtId="0" fontId="30" fillId="8" borderId="0" xfId="0" applyFont="1" applyFill="1">
      <alignment vertical="center"/>
    </xf>
    <xf numFmtId="0" fontId="17" fillId="10" borderId="2" xfId="0" applyFont="1" applyFill="1" applyBorder="1">
      <alignment vertical="center"/>
    </xf>
    <xf numFmtId="0" fontId="31" fillId="8" borderId="0" xfId="0" applyFont="1" applyFill="1">
      <alignment vertical="center"/>
    </xf>
    <xf numFmtId="0" fontId="32" fillId="8" borderId="0" xfId="0" applyFont="1" applyFill="1">
      <alignment vertical="center"/>
    </xf>
    <xf numFmtId="40" fontId="22" fillId="8" borderId="1" xfId="0" quotePrefix="1" applyNumberFormat="1" applyFont="1" applyFill="1" applyBorder="1" applyAlignment="1">
      <alignment horizontal="center" vertical="center"/>
    </xf>
    <xf numFmtId="0" fontId="20" fillId="8" borderId="1" xfId="0" applyFont="1" applyFill="1" applyBorder="1" applyAlignment="1">
      <alignment horizontal="center" vertical="center"/>
    </xf>
    <xf numFmtId="0" fontId="28" fillId="11" borderId="0" xfId="12" applyFont="1" applyFill="1" applyAlignment="1">
      <alignment horizontal="center" vertical="center"/>
    </xf>
    <xf numFmtId="0" fontId="28" fillId="8" borderId="0" xfId="0" applyFont="1" applyFill="1">
      <alignment vertical="center"/>
    </xf>
    <xf numFmtId="41" fontId="28" fillId="8" borderId="0" xfId="7" applyFont="1" applyFill="1" applyAlignment="1">
      <alignment horizontal="right" vertical="center"/>
    </xf>
    <xf numFmtId="3" fontId="41" fillId="8" borderId="0" xfId="0" applyNumberFormat="1" applyFont="1" applyFill="1">
      <alignment vertical="center"/>
    </xf>
    <xf numFmtId="41" fontId="43" fillId="8" borderId="0" xfId="7" applyFont="1" applyFill="1" applyAlignment="1">
      <alignment horizontal="right" vertical="center"/>
    </xf>
    <xf numFmtId="9" fontId="42" fillId="8" borderId="0" xfId="7" applyNumberFormat="1" applyFont="1" applyFill="1" applyAlignment="1">
      <alignment horizontal="right" vertical="center"/>
    </xf>
    <xf numFmtId="3" fontId="44" fillId="8" borderId="0" xfId="0" applyNumberFormat="1" applyFont="1" applyFill="1">
      <alignment vertical="center"/>
    </xf>
    <xf numFmtId="0" fontId="20" fillId="8" borderId="0" xfId="0" applyFont="1" applyFill="1" applyAlignment="1">
      <alignment horizontal="left" vertical="center" indent="1"/>
    </xf>
    <xf numFmtId="41" fontId="20" fillId="8" borderId="0" xfId="7" applyFont="1" applyFill="1" applyAlignment="1">
      <alignment horizontal="right" vertical="center"/>
    </xf>
    <xf numFmtId="3" fontId="21" fillId="8" borderId="0" xfId="0" applyNumberFormat="1" applyFont="1" applyFill="1">
      <alignment vertical="center"/>
    </xf>
    <xf numFmtId="9" fontId="46" fillId="8" borderId="0" xfId="7" applyNumberFormat="1" applyFont="1" applyFill="1" applyBorder="1" applyAlignment="1">
      <alignment horizontal="right" vertical="center"/>
    </xf>
    <xf numFmtId="0" fontId="20" fillId="8" borderId="3" xfId="13" applyFont="1" applyFill="1" applyBorder="1">
      <alignment vertical="center"/>
    </xf>
    <xf numFmtId="10" fontId="20" fillId="8" borderId="3" xfId="13" applyNumberFormat="1" applyFont="1" applyFill="1" applyBorder="1">
      <alignment vertical="center"/>
    </xf>
    <xf numFmtId="0" fontId="48" fillId="8" borderId="17" xfId="14" applyFont="1" applyFill="1" applyAlignment="1">
      <alignment horizontal="left" indent="2"/>
    </xf>
    <xf numFmtId="0" fontId="49" fillId="8" borderId="17" xfId="14" applyFont="1" applyFill="1" applyAlignment="1">
      <alignment horizontal="left" indent="1"/>
    </xf>
    <xf numFmtId="0" fontId="49" fillId="8" borderId="0" xfId="14" applyFont="1" applyFill="1" applyBorder="1" applyAlignment="1">
      <alignment horizontal="left" indent="1"/>
    </xf>
    <xf numFmtId="41" fontId="48" fillId="8" borderId="0" xfId="7" applyFont="1" applyFill="1" applyBorder="1" applyAlignment="1">
      <alignment horizontal="right" vertical="center"/>
    </xf>
    <xf numFmtId="0" fontId="20" fillId="8" borderId="0" xfId="13" applyFont="1" applyFill="1">
      <alignment vertical="center"/>
    </xf>
    <xf numFmtId="0" fontId="28" fillId="8" borderId="20" xfId="0" applyFont="1" applyFill="1" applyBorder="1">
      <alignment vertical="center"/>
    </xf>
    <xf numFmtId="41" fontId="28" fillId="8" borderId="0" xfId="7" applyFont="1" applyFill="1" applyBorder="1" applyAlignment="1">
      <alignment horizontal="right" vertical="center"/>
    </xf>
    <xf numFmtId="0" fontId="20" fillId="8" borderId="1" xfId="13" applyFont="1" applyFill="1" applyBorder="1">
      <alignment vertical="center"/>
    </xf>
    <xf numFmtId="10" fontId="20" fillId="8" borderId="1" xfId="13" applyNumberFormat="1" applyFont="1" applyFill="1" applyBorder="1">
      <alignment vertical="center"/>
    </xf>
    <xf numFmtId="9" fontId="42" fillId="8" borderId="0" xfId="7" applyNumberFormat="1" applyFont="1" applyFill="1" applyBorder="1" applyAlignment="1">
      <alignment horizontal="right" vertical="center"/>
    </xf>
    <xf numFmtId="0" fontId="20" fillId="8" borderId="0" xfId="0" applyFont="1" applyFill="1" applyAlignment="1">
      <alignment horizontal="left" vertical="center" indent="2"/>
    </xf>
    <xf numFmtId="9" fontId="20" fillId="8" borderId="0" xfId="7" applyNumberFormat="1" applyFont="1" applyFill="1" applyBorder="1" applyAlignment="1">
      <alignment horizontal="right" vertical="center"/>
    </xf>
    <xf numFmtId="179" fontId="20" fillId="8" borderId="3" xfId="2" applyNumberFormat="1" applyFont="1" applyFill="1" applyBorder="1">
      <alignment vertical="center"/>
    </xf>
    <xf numFmtId="0" fontId="28" fillId="8" borderId="3" xfId="0" applyFont="1" applyFill="1" applyBorder="1" applyAlignment="1">
      <alignment horizontal="left" vertical="center" indent="1"/>
    </xf>
    <xf numFmtId="0" fontId="28" fillId="8" borderId="3" xfId="0" applyFont="1" applyFill="1" applyBorder="1">
      <alignment vertical="center"/>
    </xf>
    <xf numFmtId="41" fontId="28" fillId="8" borderId="3" xfId="7" applyFont="1" applyFill="1" applyBorder="1" applyAlignment="1">
      <alignment horizontal="right" vertical="center"/>
    </xf>
    <xf numFmtId="179" fontId="20" fillId="8" borderId="0" xfId="2" applyNumberFormat="1" applyFont="1" applyFill="1" applyBorder="1">
      <alignment vertical="center"/>
    </xf>
    <xf numFmtId="41" fontId="20" fillId="8" borderId="0" xfId="7" applyFont="1" applyFill="1" applyBorder="1" applyAlignment="1">
      <alignment horizontal="right" vertical="center"/>
    </xf>
    <xf numFmtId="3" fontId="21" fillId="8" borderId="21" xfId="0" applyNumberFormat="1" applyFont="1" applyFill="1" applyBorder="1">
      <alignment vertical="center"/>
    </xf>
    <xf numFmtId="0" fontId="28" fillId="8" borderId="1" xfId="13" applyFont="1" applyFill="1" applyBorder="1">
      <alignment vertical="center"/>
    </xf>
    <xf numFmtId="0" fontId="51" fillId="8" borderId="1" xfId="13" applyFont="1" applyFill="1" applyBorder="1">
      <alignment vertical="center"/>
    </xf>
    <xf numFmtId="179" fontId="28" fillId="8" borderId="1" xfId="2" applyNumberFormat="1" applyFont="1" applyFill="1" applyBorder="1">
      <alignment vertical="center"/>
    </xf>
    <xf numFmtId="0" fontId="52" fillId="8" borderId="0" xfId="0" applyFont="1" applyFill="1">
      <alignment vertical="center"/>
    </xf>
    <xf numFmtId="177" fontId="52" fillId="8" borderId="0" xfId="1" applyNumberFormat="1" applyFont="1" applyFill="1" applyBorder="1">
      <alignment vertical="center"/>
    </xf>
    <xf numFmtId="0" fontId="21" fillId="8" borderId="21" xfId="0" applyFont="1" applyFill="1" applyBorder="1">
      <alignment vertical="center"/>
    </xf>
    <xf numFmtId="0" fontId="51" fillId="8" borderId="0" xfId="0" applyFont="1" applyFill="1">
      <alignment vertical="center"/>
    </xf>
    <xf numFmtId="3" fontId="21" fillId="8" borderId="9" xfId="0" applyNumberFormat="1" applyFont="1" applyFill="1" applyBorder="1">
      <alignment vertical="center"/>
    </xf>
    <xf numFmtId="0" fontId="53" fillId="8" borderId="1" xfId="13" applyFont="1" applyFill="1" applyBorder="1">
      <alignment vertical="center"/>
    </xf>
    <xf numFmtId="180" fontId="54" fillId="8" borderId="0" xfId="7" applyNumberFormat="1" applyFont="1" applyFill="1" applyBorder="1" applyAlignment="1">
      <alignment vertical="center"/>
    </xf>
    <xf numFmtId="0" fontId="21" fillId="8" borderId="22" xfId="0" applyFont="1" applyFill="1" applyBorder="1">
      <alignment vertical="center"/>
    </xf>
    <xf numFmtId="0" fontId="28" fillId="8" borderId="3" xfId="13" applyFont="1" applyFill="1" applyBorder="1">
      <alignment vertical="center"/>
    </xf>
    <xf numFmtId="0" fontId="51" fillId="8" borderId="0" xfId="13" applyFont="1" applyFill="1">
      <alignment vertical="center"/>
    </xf>
    <xf numFmtId="181" fontId="20" fillId="8" borderId="0" xfId="7" applyNumberFormat="1" applyFont="1" applyFill="1" applyBorder="1">
      <alignment vertical="center"/>
    </xf>
    <xf numFmtId="10" fontId="21" fillId="8" borderId="22" xfId="1" applyNumberFormat="1" applyFont="1" applyFill="1" applyBorder="1">
      <alignment vertical="center"/>
    </xf>
    <xf numFmtId="10" fontId="21" fillId="8" borderId="0" xfId="1" applyNumberFormat="1" applyFont="1" applyFill="1" applyBorder="1">
      <alignment vertical="center"/>
    </xf>
    <xf numFmtId="41" fontId="20" fillId="8" borderId="0" xfId="2" applyFont="1" applyFill="1" applyBorder="1">
      <alignment vertical="center"/>
    </xf>
    <xf numFmtId="0" fontId="28" fillId="12" borderId="3" xfId="13" applyFont="1" applyFill="1" applyBorder="1">
      <alignment vertical="center"/>
    </xf>
    <xf numFmtId="0" fontId="20" fillId="12" borderId="0" xfId="13" applyFont="1" applyFill="1">
      <alignment vertical="center"/>
    </xf>
    <xf numFmtId="0" fontId="55" fillId="12" borderId="0" xfId="13" applyFont="1" applyFill="1">
      <alignment vertical="center"/>
    </xf>
    <xf numFmtId="0" fontId="28" fillId="12" borderId="1" xfId="13" applyFont="1" applyFill="1" applyBorder="1">
      <alignment vertical="center"/>
    </xf>
    <xf numFmtId="0" fontId="51" fillId="12" borderId="1" xfId="13" applyFont="1" applyFill="1" applyBorder="1">
      <alignment vertical="center"/>
    </xf>
    <xf numFmtId="177" fontId="29" fillId="12" borderId="1" xfId="15" applyNumberFormat="1" applyFont="1" applyFill="1" applyBorder="1">
      <alignment vertical="center"/>
    </xf>
    <xf numFmtId="41" fontId="28" fillId="8" borderId="0" xfId="0" applyNumberFormat="1" applyFont="1" applyFill="1">
      <alignment vertical="center"/>
    </xf>
    <xf numFmtId="0" fontId="17" fillId="13" borderId="2" xfId="13" applyFont="1" applyFill="1" applyBorder="1">
      <alignment vertical="center"/>
    </xf>
    <xf numFmtId="0" fontId="39" fillId="13" borderId="2" xfId="13" applyFont="1" applyFill="1" applyBorder="1">
      <alignment vertical="center"/>
    </xf>
    <xf numFmtId="0" fontId="39" fillId="13" borderId="2" xfId="13" applyFont="1" applyFill="1" applyBorder="1" applyAlignment="1">
      <alignment horizontal="right" vertical="center"/>
    </xf>
    <xf numFmtId="0" fontId="52" fillId="8" borderId="1" xfId="0" applyFont="1" applyFill="1" applyBorder="1">
      <alignment vertical="center"/>
    </xf>
    <xf numFmtId="177" fontId="52" fillId="8" borderId="1" xfId="1" applyNumberFormat="1" applyFont="1" applyFill="1" applyBorder="1">
      <alignment vertical="center"/>
    </xf>
    <xf numFmtId="0" fontId="20" fillId="8" borderId="23" xfId="0" applyFont="1" applyFill="1" applyBorder="1">
      <alignment vertical="center"/>
    </xf>
    <xf numFmtId="0" fontId="20" fillId="8" borderId="24" xfId="0" applyFont="1" applyFill="1" applyBorder="1">
      <alignment vertical="center"/>
    </xf>
    <xf numFmtId="0" fontId="21" fillId="8" borderId="24" xfId="0" applyFont="1" applyFill="1" applyBorder="1">
      <alignment vertical="center"/>
    </xf>
    <xf numFmtId="0" fontId="21" fillId="8" borderId="25" xfId="0" applyFont="1" applyFill="1" applyBorder="1">
      <alignment vertical="center"/>
    </xf>
    <xf numFmtId="0" fontId="21" fillId="8" borderId="26" xfId="0" applyFont="1" applyFill="1" applyBorder="1">
      <alignment vertical="center"/>
    </xf>
    <xf numFmtId="0" fontId="21" fillId="8" borderId="23" xfId="0" applyFont="1" applyFill="1" applyBorder="1">
      <alignment vertical="center"/>
    </xf>
    <xf numFmtId="0" fontId="21" fillId="8" borderId="27" xfId="0" applyFont="1" applyFill="1" applyBorder="1">
      <alignment vertical="center"/>
    </xf>
    <xf numFmtId="0" fontId="20" fillId="8" borderId="21" xfId="0" applyFont="1" applyFill="1" applyBorder="1" applyAlignment="1">
      <alignment horizontal="left" vertical="center" indent="1"/>
    </xf>
    <xf numFmtId="180" fontId="20" fillId="8" borderId="28" xfId="7" applyNumberFormat="1" applyFont="1" applyFill="1" applyBorder="1">
      <alignment vertical="center"/>
    </xf>
    <xf numFmtId="180" fontId="20" fillId="8" borderId="29" xfId="7" applyNumberFormat="1" applyFont="1" applyFill="1" applyBorder="1">
      <alignment vertical="center"/>
    </xf>
    <xf numFmtId="0" fontId="21" fillId="8" borderId="30" xfId="0" applyFont="1" applyFill="1" applyBorder="1">
      <alignment vertical="center"/>
    </xf>
    <xf numFmtId="0" fontId="25" fillId="8" borderId="0" xfId="0" applyFont="1" applyFill="1" applyAlignment="1">
      <alignment horizontal="left" vertical="center"/>
    </xf>
    <xf numFmtId="0" fontId="25" fillId="8" borderId="0" xfId="0" applyFont="1" applyFill="1" applyAlignment="1">
      <alignment horizontal="right" vertical="center"/>
    </xf>
    <xf numFmtId="0" fontId="20" fillId="8" borderId="30" xfId="0" applyFont="1" applyFill="1" applyBorder="1">
      <alignment vertical="center"/>
    </xf>
    <xf numFmtId="41" fontId="21" fillId="8" borderId="24" xfId="7" applyFont="1" applyFill="1" applyBorder="1">
      <alignment vertical="center"/>
    </xf>
    <xf numFmtId="41" fontId="21" fillId="8" borderId="23" xfId="7" applyFont="1" applyFill="1" applyBorder="1">
      <alignment vertical="center"/>
    </xf>
    <xf numFmtId="41" fontId="21" fillId="8" borderId="31" xfId="7" applyFont="1" applyFill="1" applyBorder="1">
      <alignment vertical="center"/>
    </xf>
    <xf numFmtId="10" fontId="21" fillId="8" borderId="32" xfId="1" applyNumberFormat="1" applyFont="1" applyFill="1" applyBorder="1">
      <alignment vertical="center"/>
    </xf>
    <xf numFmtId="10" fontId="21" fillId="8" borderId="33" xfId="1" applyNumberFormat="1" applyFont="1" applyFill="1" applyBorder="1">
      <alignment vertical="center"/>
    </xf>
    <xf numFmtId="0" fontId="27" fillId="8" borderId="0" xfId="0" applyFont="1" applyFill="1" applyAlignment="1">
      <alignment horizontal="left" vertical="center"/>
    </xf>
    <xf numFmtId="10" fontId="27" fillId="8" borderId="0" xfId="0" applyNumberFormat="1" applyFont="1" applyFill="1" applyAlignment="1">
      <alignment horizontal="right" vertical="center"/>
    </xf>
    <xf numFmtId="41" fontId="20" fillId="8" borderId="19" xfId="7" applyFont="1" applyFill="1" applyBorder="1">
      <alignment vertical="center"/>
    </xf>
    <xf numFmtId="41" fontId="20" fillId="8" borderId="26" xfId="7" applyFont="1" applyFill="1" applyBorder="1">
      <alignment vertical="center"/>
    </xf>
    <xf numFmtId="41" fontId="20" fillId="8" borderId="30" xfId="7" applyFont="1" applyFill="1" applyBorder="1">
      <alignment vertical="center"/>
    </xf>
    <xf numFmtId="0" fontId="20" fillId="8" borderId="30" xfId="0" applyFont="1" applyFill="1" applyBorder="1" applyAlignment="1">
      <alignment horizontal="left" vertical="center" indent="1"/>
    </xf>
    <xf numFmtId="0" fontId="20" fillId="8" borderId="33" xfId="0" applyFont="1" applyFill="1" applyBorder="1">
      <alignment vertical="center"/>
    </xf>
    <xf numFmtId="10" fontId="20" fillId="8" borderId="33" xfId="7" applyNumberFormat="1" applyFont="1" applyFill="1" applyBorder="1">
      <alignment vertical="center"/>
    </xf>
    <xf numFmtId="3" fontId="27" fillId="8" borderId="0" xfId="0" applyNumberFormat="1" applyFont="1" applyFill="1" applyAlignment="1">
      <alignment horizontal="right" vertical="center"/>
    </xf>
    <xf numFmtId="0" fontId="20" fillId="8" borderId="34" xfId="0" applyFont="1" applyFill="1" applyBorder="1" applyAlignment="1">
      <alignment horizontal="left" vertical="center"/>
    </xf>
    <xf numFmtId="0" fontId="20" fillId="8" borderId="1" xfId="0" applyFont="1" applyFill="1" applyBorder="1">
      <alignment vertical="center"/>
    </xf>
    <xf numFmtId="41" fontId="26" fillId="8" borderId="35" xfId="7" applyFont="1" applyFill="1" applyBorder="1">
      <alignment vertical="center"/>
    </xf>
    <xf numFmtId="41" fontId="20" fillId="8" borderId="36" xfId="7" applyFont="1" applyFill="1" applyBorder="1">
      <alignment vertical="center"/>
    </xf>
    <xf numFmtId="41" fontId="21" fillId="8" borderId="0" xfId="7" applyFont="1" applyFill="1" applyBorder="1">
      <alignment vertical="center"/>
    </xf>
    <xf numFmtId="0" fontId="56" fillId="8" borderId="0" xfId="0" applyFont="1" applyFill="1">
      <alignment vertical="center"/>
    </xf>
    <xf numFmtId="0" fontId="20" fillId="8" borderId="23" xfId="0" applyFont="1" applyFill="1" applyBorder="1" applyAlignment="1">
      <alignment horizontal="left" vertical="center" indent="1"/>
    </xf>
    <xf numFmtId="9" fontId="20" fillId="8" borderId="23" xfId="0" applyNumberFormat="1" applyFont="1" applyFill="1" applyBorder="1">
      <alignment vertical="center"/>
    </xf>
    <xf numFmtId="10" fontId="20" fillId="8" borderId="0" xfId="0" applyNumberFormat="1" applyFont="1" applyFill="1">
      <alignment vertical="center"/>
    </xf>
    <xf numFmtId="0" fontId="57" fillId="8" borderId="0" xfId="0" applyFont="1" applyFill="1" applyAlignment="1">
      <alignment horizontal="left" vertical="center"/>
    </xf>
    <xf numFmtId="0" fontId="58" fillId="8" borderId="0" xfId="0" applyFont="1" applyFill="1" applyAlignment="1">
      <alignment horizontal="left" vertical="center"/>
    </xf>
    <xf numFmtId="3" fontId="57" fillId="8" borderId="0" xfId="0" applyNumberFormat="1" applyFont="1" applyFill="1" applyAlignment="1">
      <alignment horizontal="right" vertical="center"/>
    </xf>
    <xf numFmtId="0" fontId="20" fillId="8" borderId="21" xfId="0" applyFont="1" applyFill="1" applyBorder="1">
      <alignment vertical="center"/>
    </xf>
    <xf numFmtId="41" fontId="21" fillId="8" borderId="33" xfId="7" applyFont="1" applyFill="1" applyBorder="1">
      <alignment vertical="center"/>
    </xf>
    <xf numFmtId="41" fontId="20" fillId="8" borderId="30" xfId="0" applyNumberFormat="1" applyFont="1" applyFill="1" applyBorder="1">
      <alignment vertical="center"/>
    </xf>
    <xf numFmtId="180" fontId="20" fillId="8" borderId="0" xfId="7" applyNumberFormat="1" applyFont="1" applyFill="1">
      <alignment vertical="center"/>
    </xf>
    <xf numFmtId="0" fontId="59" fillId="8" borderId="0" xfId="0" applyFont="1" applyFill="1" applyAlignment="1">
      <alignment horizontal="left" vertical="center"/>
    </xf>
    <xf numFmtId="180" fontId="20" fillId="8" borderId="30" xfId="7" applyNumberFormat="1" applyFont="1" applyFill="1" applyBorder="1">
      <alignment vertical="center"/>
    </xf>
    <xf numFmtId="41" fontId="20" fillId="8" borderId="0" xfId="0" applyNumberFormat="1" applyFont="1" applyFill="1">
      <alignment vertical="center"/>
    </xf>
    <xf numFmtId="41" fontId="20" fillId="8" borderId="21" xfId="0" applyNumberFormat="1" applyFont="1" applyFill="1" applyBorder="1">
      <alignment vertical="center"/>
    </xf>
    <xf numFmtId="3" fontId="57" fillId="8" borderId="0" xfId="0" applyNumberFormat="1" applyFont="1" applyFill="1" applyAlignment="1">
      <alignment horizontal="left" vertical="center"/>
    </xf>
    <xf numFmtId="0" fontId="20" fillId="8" borderId="36" xfId="0" applyFont="1" applyFill="1" applyBorder="1" applyAlignment="1">
      <alignment horizontal="left" vertical="center" indent="1"/>
    </xf>
    <xf numFmtId="0" fontId="20" fillId="8" borderId="36" xfId="0" applyFont="1" applyFill="1" applyBorder="1">
      <alignment vertical="center"/>
    </xf>
    <xf numFmtId="180" fontId="20" fillId="8" borderId="36" xfId="7" applyNumberFormat="1" applyFont="1" applyFill="1" applyBorder="1">
      <alignment vertical="center"/>
    </xf>
    <xf numFmtId="41" fontId="20" fillId="8" borderId="36" xfId="0" applyNumberFormat="1" applyFont="1" applyFill="1" applyBorder="1">
      <alignment vertical="center"/>
    </xf>
    <xf numFmtId="41" fontId="20" fillId="8" borderId="34" xfId="0" applyNumberFormat="1" applyFont="1" applyFill="1" applyBorder="1">
      <alignment vertical="center"/>
    </xf>
    <xf numFmtId="3" fontId="27" fillId="8" borderId="0" xfId="0" applyNumberFormat="1" applyFont="1" applyFill="1" applyAlignment="1">
      <alignment horizontal="left" vertical="center"/>
    </xf>
    <xf numFmtId="180" fontId="20" fillId="8" borderId="23" xfId="7" applyNumberFormat="1" applyFont="1" applyFill="1" applyBorder="1">
      <alignment vertical="center"/>
    </xf>
    <xf numFmtId="0" fontId="20" fillId="8" borderId="27" xfId="0" applyFont="1" applyFill="1" applyBorder="1">
      <alignment vertical="center"/>
    </xf>
    <xf numFmtId="0" fontId="57" fillId="8" borderId="0" xfId="0" applyFont="1" applyFill="1" applyAlignment="1">
      <alignment horizontal="right" vertical="center"/>
    </xf>
    <xf numFmtId="0" fontId="20" fillId="8" borderId="24" xfId="0" applyFont="1" applyFill="1" applyBorder="1" applyAlignment="1">
      <alignment horizontal="left" vertical="center" indent="3"/>
    </xf>
    <xf numFmtId="0" fontId="20" fillId="8" borderId="24" xfId="0" applyFont="1" applyFill="1" applyBorder="1" applyAlignment="1">
      <alignment horizontal="left" vertical="center" indent="1"/>
    </xf>
    <xf numFmtId="180" fontId="20" fillId="8" borderId="24" xfId="7" applyNumberFormat="1" applyFont="1" applyFill="1" applyBorder="1">
      <alignment vertical="center"/>
    </xf>
    <xf numFmtId="0" fontId="20" fillId="8" borderId="37" xfId="0" applyFont="1" applyFill="1" applyBorder="1">
      <alignment vertical="center"/>
    </xf>
    <xf numFmtId="0" fontId="27" fillId="8" borderId="0" xfId="0" applyFont="1" applyFill="1" applyAlignment="1">
      <alignment horizontal="right" vertical="center"/>
    </xf>
    <xf numFmtId="0" fontId="20" fillId="8" borderId="36" xfId="0" applyFont="1" applyFill="1" applyBorder="1" applyAlignment="1">
      <alignment horizontal="left" vertical="center" indent="3"/>
    </xf>
    <xf numFmtId="0" fontId="26" fillId="8" borderId="35" xfId="0" applyFont="1" applyFill="1" applyBorder="1">
      <alignment vertical="center"/>
    </xf>
    <xf numFmtId="0" fontId="51" fillId="8" borderId="36" xfId="0" applyFont="1" applyFill="1" applyBorder="1">
      <alignment vertical="center"/>
    </xf>
    <xf numFmtId="0" fontId="20" fillId="8" borderId="34" xfId="0" applyFont="1" applyFill="1" applyBorder="1">
      <alignment vertical="center"/>
    </xf>
    <xf numFmtId="10" fontId="29" fillId="8" borderId="0" xfId="0" applyNumberFormat="1" applyFont="1" applyFill="1" applyAlignment="1">
      <alignment horizontal="right" vertical="center"/>
    </xf>
    <xf numFmtId="179" fontId="20" fillId="8" borderId="23" xfId="7" applyNumberFormat="1" applyFont="1" applyFill="1" applyBorder="1">
      <alignment vertical="center"/>
    </xf>
    <xf numFmtId="0" fontId="51" fillId="8" borderId="23" xfId="0" applyFont="1" applyFill="1" applyBorder="1">
      <alignment vertical="center"/>
    </xf>
    <xf numFmtId="0" fontId="60" fillId="8" borderId="0" xfId="0" applyFont="1" applyFill="1" applyAlignment="1">
      <alignment horizontal="left" vertical="center"/>
    </xf>
    <xf numFmtId="0" fontId="60" fillId="8" borderId="0" xfId="0" applyFont="1" applyFill="1" applyAlignment="1">
      <alignment horizontal="right" vertical="center"/>
    </xf>
    <xf numFmtId="0" fontId="20" fillId="8" borderId="30" xfId="0" applyFont="1" applyFill="1" applyBorder="1" applyAlignment="1">
      <alignment horizontal="left" vertical="center" indent="2"/>
    </xf>
    <xf numFmtId="179" fontId="20" fillId="8" borderId="0" xfId="0" applyNumberFormat="1" applyFont="1" applyFill="1">
      <alignment vertical="center"/>
    </xf>
    <xf numFmtId="0" fontId="41" fillId="8" borderId="33" xfId="0" applyFont="1" applyFill="1" applyBorder="1" applyAlignment="1">
      <alignment horizontal="left" vertical="center" indent="1"/>
    </xf>
    <xf numFmtId="0" fontId="41" fillId="8" borderId="33" xfId="0" applyFont="1" applyFill="1" applyBorder="1">
      <alignment vertical="center"/>
    </xf>
    <xf numFmtId="0" fontId="51" fillId="8" borderId="30" xfId="0" applyFont="1" applyFill="1" applyBorder="1">
      <alignment vertical="center"/>
    </xf>
    <xf numFmtId="0" fontId="61" fillId="8" borderId="12" xfId="0" applyFont="1" applyFill="1" applyBorder="1">
      <alignment vertical="center"/>
    </xf>
    <xf numFmtId="0" fontId="61" fillId="8" borderId="14" xfId="0" applyFont="1" applyFill="1" applyBorder="1">
      <alignment vertical="center"/>
    </xf>
    <xf numFmtId="1" fontId="51" fillId="8" borderId="0" xfId="0" applyNumberFormat="1" applyFont="1" applyFill="1">
      <alignment vertical="center"/>
    </xf>
    <xf numFmtId="180" fontId="62" fillId="8" borderId="13" xfId="7" applyNumberFormat="1" applyFont="1" applyFill="1" applyBorder="1">
      <alignment vertical="center"/>
    </xf>
    <xf numFmtId="0" fontId="54" fillId="8" borderId="0" xfId="0" applyFont="1" applyFill="1">
      <alignment vertical="center"/>
    </xf>
    <xf numFmtId="0" fontId="54" fillId="8" borderId="26" xfId="0" applyFont="1" applyFill="1" applyBorder="1">
      <alignment vertical="center"/>
    </xf>
    <xf numFmtId="0" fontId="28" fillId="8" borderId="30" xfId="0" applyFont="1" applyFill="1" applyBorder="1">
      <alignment vertical="center"/>
    </xf>
    <xf numFmtId="0" fontId="54" fillId="8" borderId="30" xfId="0" applyFont="1" applyFill="1" applyBorder="1">
      <alignment vertical="center"/>
    </xf>
    <xf numFmtId="0" fontId="26" fillId="8" borderId="3" xfId="0" applyFont="1" applyFill="1" applyBorder="1">
      <alignment vertical="center"/>
    </xf>
    <xf numFmtId="10" fontId="26" fillId="8" borderId="3" xfId="0" applyNumberFormat="1" applyFont="1" applyFill="1" applyBorder="1">
      <alignment vertical="center"/>
    </xf>
    <xf numFmtId="10" fontId="26" fillId="8" borderId="0" xfId="0" applyNumberFormat="1" applyFont="1" applyFill="1">
      <alignment vertical="center"/>
    </xf>
    <xf numFmtId="10" fontId="67" fillId="8" borderId="0" xfId="0" applyNumberFormat="1" applyFont="1" applyFill="1">
      <alignment vertical="center"/>
    </xf>
    <xf numFmtId="0" fontId="26" fillId="8" borderId="1" xfId="0" applyFont="1" applyFill="1" applyBorder="1">
      <alignment vertical="center"/>
    </xf>
    <xf numFmtId="10" fontId="26" fillId="8" borderId="1" xfId="0" applyNumberFormat="1" applyFont="1" applyFill="1" applyBorder="1">
      <alignment vertical="center"/>
    </xf>
    <xf numFmtId="0" fontId="68" fillId="8" borderId="0" xfId="0" applyFont="1" applyFill="1">
      <alignment vertical="center"/>
    </xf>
    <xf numFmtId="182" fontId="26" fillId="0" borderId="0" xfId="0" applyNumberFormat="1" applyFont="1">
      <alignment vertical="center"/>
    </xf>
    <xf numFmtId="0" fontId="26" fillId="8" borderId="2" xfId="0" applyFont="1" applyFill="1" applyBorder="1">
      <alignment vertical="center"/>
    </xf>
    <xf numFmtId="10" fontId="26" fillId="8" borderId="2" xfId="0" applyNumberFormat="1" applyFont="1" applyFill="1" applyBorder="1">
      <alignment vertical="center"/>
    </xf>
    <xf numFmtId="0" fontId="26" fillId="11" borderId="16" xfId="0" applyFont="1" applyFill="1" applyBorder="1">
      <alignment vertical="center"/>
    </xf>
    <xf numFmtId="0" fontId="26" fillId="11" borderId="3" xfId="0" applyFont="1" applyFill="1" applyBorder="1">
      <alignment vertical="center"/>
    </xf>
    <xf numFmtId="0" fontId="26" fillId="11" borderId="15" xfId="0" applyFont="1" applyFill="1" applyBorder="1">
      <alignment vertical="center"/>
    </xf>
    <xf numFmtId="0" fontId="26" fillId="8" borderId="17" xfId="0" applyFont="1" applyFill="1" applyBorder="1">
      <alignment vertical="center"/>
    </xf>
    <xf numFmtId="0" fontId="26" fillId="8" borderId="10" xfId="0" applyFont="1" applyFill="1" applyBorder="1">
      <alignment vertical="center"/>
    </xf>
    <xf numFmtId="0" fontId="26" fillId="8" borderId="40" xfId="0" applyFont="1" applyFill="1" applyBorder="1">
      <alignment vertical="center"/>
    </xf>
    <xf numFmtId="0" fontId="26" fillId="8" borderId="11" xfId="0" applyFont="1" applyFill="1" applyBorder="1" applyAlignment="1">
      <alignment horizontal="center" vertical="center"/>
    </xf>
    <xf numFmtId="0" fontId="70" fillId="8" borderId="16" xfId="0" applyFont="1" applyFill="1" applyBorder="1">
      <alignment vertical="center"/>
    </xf>
    <xf numFmtId="0" fontId="70" fillId="8" borderId="3" xfId="0" applyFont="1" applyFill="1" applyBorder="1">
      <alignment vertical="center"/>
    </xf>
    <xf numFmtId="179" fontId="26" fillId="8" borderId="15" xfId="0" applyNumberFormat="1" applyFont="1" applyFill="1" applyBorder="1">
      <alignment vertical="center"/>
    </xf>
    <xf numFmtId="0" fontId="70" fillId="8" borderId="17" xfId="0" applyFont="1" applyFill="1" applyBorder="1">
      <alignment vertical="center"/>
    </xf>
    <xf numFmtId="0" fontId="70" fillId="8" borderId="0" xfId="0" applyFont="1" applyFill="1">
      <alignment vertical="center"/>
    </xf>
    <xf numFmtId="179" fontId="26" fillId="8" borderId="10" xfId="0" applyNumberFormat="1" applyFont="1" applyFill="1" applyBorder="1">
      <alignment vertical="center"/>
    </xf>
    <xf numFmtId="0" fontId="26" fillId="8" borderId="40" xfId="0" quotePrefix="1" applyFont="1" applyFill="1" applyBorder="1">
      <alignment vertical="center"/>
    </xf>
    <xf numFmtId="0" fontId="26" fillId="8" borderId="1" xfId="0" quotePrefix="1" applyFont="1" applyFill="1" applyBorder="1">
      <alignment vertical="center"/>
    </xf>
    <xf numFmtId="179" fontId="26" fillId="8" borderId="11" xfId="0" applyNumberFormat="1" applyFont="1" applyFill="1" applyBorder="1">
      <alignment vertical="center"/>
    </xf>
    <xf numFmtId="0" fontId="26" fillId="8" borderId="17" xfId="0" applyFont="1" applyFill="1" applyBorder="1" applyAlignment="1">
      <alignment horizontal="left" vertical="center" indent="1"/>
    </xf>
    <xf numFmtId="0" fontId="26" fillId="8" borderId="0" xfId="0" applyFont="1" applyFill="1" applyAlignment="1">
      <alignment horizontal="left" vertical="center" indent="1"/>
    </xf>
    <xf numFmtId="0" fontId="56" fillId="8" borderId="40" xfId="0" applyFont="1" applyFill="1" applyBorder="1">
      <alignment vertical="center"/>
    </xf>
    <xf numFmtId="0" fontId="56" fillId="8" borderId="1" xfId="0" applyFont="1" applyFill="1" applyBorder="1">
      <alignment vertical="center"/>
    </xf>
    <xf numFmtId="177" fontId="26" fillId="8" borderId="11" xfId="0" applyNumberFormat="1" applyFont="1" applyFill="1" applyBorder="1">
      <alignment vertical="center"/>
    </xf>
    <xf numFmtId="41" fontId="20" fillId="8" borderId="0" xfId="18" applyFont="1" applyFill="1">
      <alignment vertical="center"/>
    </xf>
    <xf numFmtId="0" fontId="71" fillId="8" borderId="41" xfId="16" applyFont="1" applyFill="1" applyBorder="1" applyAlignment="1">
      <alignment horizontal="center" vertical="center"/>
    </xf>
    <xf numFmtId="0" fontId="71" fillId="8" borderId="0" xfId="16" applyFont="1" applyFill="1" applyAlignment="1">
      <alignment horizontal="center" vertical="center"/>
    </xf>
    <xf numFmtId="0" fontId="20" fillId="8" borderId="42" xfId="17" applyNumberFormat="1" applyFont="1" applyFill="1" applyBorder="1">
      <alignment vertical="center"/>
    </xf>
    <xf numFmtId="41" fontId="20" fillId="8" borderId="42" xfId="17" applyFont="1" applyFill="1" applyBorder="1">
      <alignment vertical="center"/>
    </xf>
    <xf numFmtId="41" fontId="20" fillId="8" borderId="42" xfId="17" applyFont="1" applyFill="1" applyBorder="1" applyAlignment="1">
      <alignment horizontal="center" vertical="center"/>
    </xf>
    <xf numFmtId="0" fontId="26" fillId="8" borderId="42" xfId="16" applyFont="1" applyFill="1" applyBorder="1" applyAlignment="1">
      <alignment horizontal="center" vertical="center"/>
    </xf>
    <xf numFmtId="0" fontId="26" fillId="8" borderId="1" xfId="0" applyFont="1" applyFill="1" applyBorder="1" applyAlignment="1">
      <alignment horizontal="center" vertical="center"/>
    </xf>
    <xf numFmtId="0" fontId="20" fillId="8" borderId="0" xfId="18" applyNumberFormat="1" applyFont="1" applyFill="1" applyBorder="1">
      <alignment vertical="center"/>
    </xf>
    <xf numFmtId="41" fontId="20" fillId="8" borderId="0" xfId="18" applyFont="1" applyFill="1" applyBorder="1">
      <alignment vertical="center"/>
    </xf>
    <xf numFmtId="41" fontId="20" fillId="8" borderId="0" xfId="7" applyFont="1" applyFill="1" applyBorder="1">
      <alignment vertical="center"/>
    </xf>
    <xf numFmtId="41" fontId="51" fillId="8" borderId="0" xfId="18" applyFont="1" applyFill="1">
      <alignment vertical="center"/>
    </xf>
    <xf numFmtId="3" fontId="67" fillId="8" borderId="0" xfId="0" applyNumberFormat="1" applyFont="1" applyFill="1" applyAlignment="1">
      <alignment horizontal="right" vertical="top" wrapText="1"/>
    </xf>
    <xf numFmtId="0" fontId="54" fillId="8" borderId="1" xfId="18" applyNumberFormat="1" applyFont="1" applyFill="1" applyBorder="1">
      <alignment vertical="center"/>
    </xf>
    <xf numFmtId="41" fontId="54" fillId="8" borderId="1" xfId="18" applyFont="1" applyFill="1" applyBorder="1">
      <alignment vertical="center"/>
    </xf>
    <xf numFmtId="0" fontId="10" fillId="8" borderId="1" xfId="0" applyFont="1" applyFill="1" applyBorder="1">
      <alignment vertical="center"/>
    </xf>
    <xf numFmtId="41" fontId="54" fillId="8" borderId="1" xfId="7" applyFont="1" applyFill="1" applyBorder="1">
      <alignment vertical="center"/>
    </xf>
    <xf numFmtId="0" fontId="20" fillId="8" borderId="0" xfId="18" applyNumberFormat="1" applyFont="1" applyFill="1">
      <alignment vertical="center"/>
    </xf>
    <xf numFmtId="41" fontId="41" fillId="8" borderId="0" xfId="18" applyFont="1" applyFill="1" applyBorder="1">
      <alignment vertical="center"/>
    </xf>
    <xf numFmtId="41" fontId="41" fillId="8" borderId="0" xfId="7" applyFont="1" applyFill="1" applyBorder="1">
      <alignment vertical="center"/>
    </xf>
    <xf numFmtId="41" fontId="41" fillId="8" borderId="0" xfId="7" applyFont="1" applyFill="1" applyBorder="1" applyAlignment="1">
      <alignment horizontal="right" vertical="center"/>
    </xf>
    <xf numFmtId="41" fontId="72" fillId="8" borderId="0" xfId="7" applyFont="1" applyFill="1" applyBorder="1" applyAlignment="1">
      <alignment horizontal="right" vertical="center"/>
    </xf>
    <xf numFmtId="41" fontId="73" fillId="8" borderId="0" xfId="7" applyFont="1" applyFill="1" applyBorder="1" applyAlignment="1">
      <alignment horizontal="right" vertical="center"/>
    </xf>
    <xf numFmtId="41" fontId="54" fillId="8" borderId="0" xfId="18" applyFont="1" applyFill="1">
      <alignment vertical="center"/>
    </xf>
    <xf numFmtId="0" fontId="20" fillId="8" borderId="0" xfId="16" applyFont="1" applyFill="1">
      <alignment vertical="center"/>
    </xf>
    <xf numFmtId="41" fontId="20" fillId="8" borderId="0" xfId="7" applyFont="1" applyFill="1">
      <alignment vertical="center"/>
    </xf>
    <xf numFmtId="41" fontId="72" fillId="8" borderId="0" xfId="18" applyFont="1" applyFill="1">
      <alignment vertical="center"/>
    </xf>
    <xf numFmtId="3" fontId="74" fillId="8" borderId="0" xfId="0" applyNumberFormat="1" applyFont="1" applyFill="1" applyAlignment="1">
      <alignment horizontal="right" vertical="top" wrapText="1"/>
    </xf>
    <xf numFmtId="0" fontId="54" fillId="8" borderId="0" xfId="18" applyNumberFormat="1" applyFont="1" applyFill="1" applyBorder="1">
      <alignment vertical="center"/>
    </xf>
    <xf numFmtId="41" fontId="54" fillId="8" borderId="0" xfId="18" applyFont="1" applyFill="1" applyBorder="1">
      <alignment vertical="center"/>
    </xf>
    <xf numFmtId="41" fontId="54" fillId="8" borderId="0" xfId="7" applyFont="1" applyFill="1" applyBorder="1">
      <alignment vertical="center"/>
    </xf>
    <xf numFmtId="0" fontId="54" fillId="8" borderId="0" xfId="16" applyFont="1" applyFill="1">
      <alignment vertical="center"/>
    </xf>
    <xf numFmtId="41" fontId="54" fillId="8" borderId="0" xfId="7" applyFont="1" applyFill="1">
      <alignment vertical="center"/>
    </xf>
    <xf numFmtId="41" fontId="54" fillId="8" borderId="0" xfId="7" applyFont="1" applyFill="1" applyAlignment="1">
      <alignment horizontal="right" vertical="center"/>
    </xf>
    <xf numFmtId="0" fontId="28" fillId="8" borderId="3" xfId="18" applyNumberFormat="1" applyFont="1" applyFill="1" applyBorder="1">
      <alignment vertical="center"/>
    </xf>
    <xf numFmtId="41" fontId="20" fillId="8" borderId="3" xfId="18" applyFont="1" applyFill="1" applyBorder="1">
      <alignment vertical="center"/>
    </xf>
    <xf numFmtId="37" fontId="20" fillId="8" borderId="3" xfId="18" applyNumberFormat="1" applyFont="1" applyFill="1" applyBorder="1">
      <alignment vertical="center"/>
    </xf>
    <xf numFmtId="41" fontId="56" fillId="8" borderId="0" xfId="18" applyFont="1" applyFill="1" applyBorder="1">
      <alignment vertical="center"/>
    </xf>
    <xf numFmtId="177" fontId="75" fillId="8" borderId="0" xfId="1" applyNumberFormat="1" applyFont="1" applyFill="1" applyBorder="1">
      <alignment vertical="center"/>
    </xf>
    <xf numFmtId="37" fontId="72" fillId="8" borderId="0" xfId="18" applyNumberFormat="1" applyFont="1" applyFill="1" applyBorder="1">
      <alignment vertical="center"/>
    </xf>
    <xf numFmtId="37" fontId="20" fillId="8" borderId="0" xfId="18" applyNumberFormat="1" applyFont="1" applyFill="1" applyBorder="1">
      <alignment vertical="center"/>
    </xf>
    <xf numFmtId="41" fontId="75" fillId="8" borderId="0" xfId="18" applyFont="1" applyFill="1">
      <alignment vertical="center"/>
    </xf>
    <xf numFmtId="183" fontId="20" fillId="8" borderId="0" xfId="18" applyNumberFormat="1" applyFont="1" applyFill="1" applyBorder="1">
      <alignment vertical="center"/>
    </xf>
    <xf numFmtId="41" fontId="32" fillId="8" borderId="0" xfId="18" applyFont="1" applyFill="1">
      <alignment vertical="center"/>
    </xf>
    <xf numFmtId="0" fontId="28" fillId="8" borderId="3" xfId="16" applyFont="1" applyFill="1" applyBorder="1">
      <alignment vertical="center"/>
    </xf>
    <xf numFmtId="0" fontId="20" fillId="8" borderId="3" xfId="16" applyFont="1" applyFill="1" applyBorder="1">
      <alignment vertical="center"/>
    </xf>
    <xf numFmtId="183" fontId="20" fillId="8" borderId="0" xfId="16" applyNumberFormat="1" applyFont="1" applyFill="1">
      <alignment vertical="center"/>
    </xf>
    <xf numFmtId="41" fontId="76" fillId="8" borderId="0" xfId="18" applyFont="1" applyFill="1">
      <alignment vertical="center"/>
    </xf>
    <xf numFmtId="0" fontId="77" fillId="8" borderId="43" xfId="16" applyFont="1" applyFill="1" applyBorder="1">
      <alignment vertical="center"/>
    </xf>
    <xf numFmtId="0" fontId="65" fillId="8" borderId="43" xfId="16" applyFont="1" applyFill="1" applyBorder="1">
      <alignment vertical="center"/>
    </xf>
    <xf numFmtId="0" fontId="75" fillId="8" borderId="43" xfId="16" applyFont="1" applyFill="1" applyBorder="1">
      <alignment vertical="center"/>
    </xf>
    <xf numFmtId="0" fontId="78" fillId="8" borderId="0" xfId="16" applyFont="1" applyFill="1">
      <alignment vertical="center"/>
    </xf>
    <xf numFmtId="0" fontId="79" fillId="8" borderId="0" xfId="16" applyFont="1" applyFill="1">
      <alignment vertical="center"/>
    </xf>
    <xf numFmtId="9" fontId="79" fillId="8" borderId="0" xfId="1" applyFont="1" applyFill="1">
      <alignment vertical="center"/>
    </xf>
    <xf numFmtId="177" fontId="79" fillId="8" borderId="0" xfId="19" applyNumberFormat="1" applyFont="1" applyFill="1" applyBorder="1">
      <alignment vertical="center"/>
    </xf>
    <xf numFmtId="41" fontId="56" fillId="8" borderId="0" xfId="18" applyFont="1" applyFill="1">
      <alignment vertical="center"/>
    </xf>
    <xf numFmtId="9" fontId="79" fillId="8" borderId="0" xfId="19" applyFont="1" applyFill="1" applyBorder="1">
      <alignment vertical="center"/>
    </xf>
    <xf numFmtId="0" fontId="78" fillId="8" borderId="0" xfId="18" applyNumberFormat="1" applyFont="1" applyFill="1">
      <alignment vertical="center"/>
    </xf>
    <xf numFmtId="41" fontId="78" fillId="8" borderId="0" xfId="18" applyFont="1" applyFill="1">
      <alignment vertical="center"/>
    </xf>
    <xf numFmtId="41" fontId="79" fillId="8" borderId="0" xfId="18" applyFont="1" applyFill="1" applyBorder="1">
      <alignment vertical="center"/>
    </xf>
    <xf numFmtId="41" fontId="80" fillId="8" borderId="0" xfId="18" applyFont="1" applyFill="1">
      <alignment vertical="center"/>
    </xf>
    <xf numFmtId="0" fontId="81" fillId="8" borderId="0" xfId="18" applyNumberFormat="1" applyFont="1" applyFill="1">
      <alignment vertical="center"/>
    </xf>
    <xf numFmtId="0" fontId="57" fillId="8" borderId="3" xfId="0" applyFont="1" applyFill="1" applyBorder="1">
      <alignment vertical="center"/>
    </xf>
    <xf numFmtId="0" fontId="82" fillId="8" borderId="3" xfId="0" applyFont="1" applyFill="1" applyBorder="1">
      <alignment vertical="center"/>
    </xf>
    <xf numFmtId="41" fontId="75" fillId="8" borderId="3" xfId="18" applyFont="1" applyFill="1" applyBorder="1">
      <alignment vertical="center"/>
    </xf>
    <xf numFmtId="184" fontId="75" fillId="8" borderId="3" xfId="1" applyNumberFormat="1" applyFont="1" applyFill="1" applyBorder="1">
      <alignment vertical="center"/>
    </xf>
    <xf numFmtId="0" fontId="75" fillId="8" borderId="0" xfId="16" applyFont="1" applyFill="1">
      <alignment vertical="center"/>
    </xf>
    <xf numFmtId="10" fontId="20" fillId="8" borderId="0" xfId="18" applyNumberFormat="1" applyFont="1" applyFill="1">
      <alignment vertical="center"/>
    </xf>
    <xf numFmtId="0" fontId="72" fillId="8" borderId="0" xfId="16" applyFont="1" applyFill="1">
      <alignment vertical="center"/>
    </xf>
    <xf numFmtId="0" fontId="76" fillId="8" borderId="0" xfId="16" applyFont="1" applyFill="1">
      <alignment vertical="center"/>
    </xf>
    <xf numFmtId="0" fontId="83" fillId="8" borderId="0" xfId="18" applyNumberFormat="1" applyFont="1" applyFill="1">
      <alignment vertical="center"/>
    </xf>
    <xf numFmtId="41" fontId="20" fillId="8" borderId="0" xfId="17" applyFont="1" applyFill="1">
      <alignment vertical="center"/>
    </xf>
    <xf numFmtId="41" fontId="20" fillId="8" borderId="0" xfId="2" applyFont="1" applyFill="1">
      <alignment vertical="center"/>
    </xf>
    <xf numFmtId="0" fontId="20" fillId="8" borderId="0" xfId="17" applyNumberFormat="1" applyFont="1" applyFill="1" applyBorder="1">
      <alignment vertical="center"/>
    </xf>
    <xf numFmtId="41" fontId="20" fillId="8" borderId="0" xfId="17" applyFont="1" applyFill="1" applyBorder="1">
      <alignment vertical="center"/>
    </xf>
    <xf numFmtId="41" fontId="51" fillId="8" borderId="0" xfId="17" applyFont="1" applyFill="1">
      <alignment vertical="center"/>
    </xf>
    <xf numFmtId="0" fontId="26" fillId="8" borderId="0" xfId="13" applyFont="1" applyFill="1">
      <alignment vertical="center"/>
    </xf>
    <xf numFmtId="179" fontId="20" fillId="8" borderId="0" xfId="17" applyNumberFormat="1" applyFont="1" applyFill="1" applyBorder="1" applyAlignment="1">
      <alignment horizontal="right" vertical="center"/>
    </xf>
    <xf numFmtId="0" fontId="20" fillId="8" borderId="1" xfId="17" applyNumberFormat="1" applyFont="1" applyFill="1" applyBorder="1">
      <alignment vertical="center"/>
    </xf>
    <xf numFmtId="41" fontId="20" fillId="8" borderId="1" xfId="17" applyFont="1" applyFill="1" applyBorder="1">
      <alignment vertical="center"/>
    </xf>
    <xf numFmtId="179" fontId="20" fillId="8" borderId="1" xfId="17" applyNumberFormat="1" applyFont="1" applyFill="1" applyBorder="1" applyAlignment="1">
      <alignment horizontal="right" vertical="center"/>
    </xf>
    <xf numFmtId="0" fontId="31" fillId="8" borderId="0" xfId="13" applyFont="1" applyFill="1">
      <alignment vertical="center"/>
    </xf>
    <xf numFmtId="0" fontId="10" fillId="8" borderId="0" xfId="13" applyFont="1" applyFill="1">
      <alignment vertical="center"/>
    </xf>
    <xf numFmtId="0" fontId="28" fillId="8" borderId="44" xfId="2" applyNumberFormat="1" applyFont="1" applyFill="1" applyBorder="1">
      <alignment vertical="center"/>
    </xf>
    <xf numFmtId="41" fontId="20" fillId="8" borderId="44" xfId="2" applyFont="1" applyFill="1" applyBorder="1">
      <alignment vertical="center"/>
    </xf>
    <xf numFmtId="37" fontId="20" fillId="8" borderId="44" xfId="2" applyNumberFormat="1" applyFont="1" applyFill="1" applyBorder="1">
      <alignment vertical="center"/>
    </xf>
    <xf numFmtId="0" fontId="20" fillId="8" borderId="0" xfId="16" applyFont="1" applyFill="1" applyAlignment="1">
      <alignment horizontal="left" vertical="center" indent="1"/>
    </xf>
    <xf numFmtId="41" fontId="20" fillId="8" borderId="0" xfId="16" applyNumberFormat="1" applyFont="1" applyFill="1">
      <alignment vertical="center"/>
    </xf>
    <xf numFmtId="3" fontId="26" fillId="8" borderId="0" xfId="0" applyNumberFormat="1" applyFont="1" applyFill="1" applyAlignment="1">
      <alignment horizontal="right" vertical="top" wrapText="1"/>
    </xf>
    <xf numFmtId="3" fontId="26" fillId="8" borderId="0" xfId="0" applyNumberFormat="1" applyFont="1" applyFill="1" applyAlignment="1">
      <alignment horizontal="right" vertical="center" wrapText="1"/>
    </xf>
    <xf numFmtId="0" fontId="20" fillId="8" borderId="0" xfId="16" applyFont="1" applyFill="1" applyAlignment="1">
      <alignment horizontal="left" vertical="center" indent="2"/>
    </xf>
    <xf numFmtId="3" fontId="20" fillId="8" borderId="0" xfId="16" applyNumberFormat="1" applyFont="1" applyFill="1">
      <alignment vertical="center"/>
    </xf>
    <xf numFmtId="185" fontId="20" fillId="8" borderId="0" xfId="16" applyNumberFormat="1" applyFont="1" applyFill="1">
      <alignment vertical="center"/>
    </xf>
    <xf numFmtId="0" fontId="32" fillId="8" borderId="0" xfId="13" quotePrefix="1" applyFont="1" applyFill="1">
      <alignment vertical="center"/>
    </xf>
    <xf numFmtId="0" fontId="54" fillId="8" borderId="3" xfId="17" applyNumberFormat="1" applyFont="1" applyFill="1" applyBorder="1">
      <alignment vertical="center"/>
    </xf>
    <xf numFmtId="41" fontId="54" fillId="8" borderId="3" xfId="17" applyFont="1" applyFill="1" applyBorder="1">
      <alignment vertical="center"/>
    </xf>
    <xf numFmtId="0" fontId="54" fillId="8" borderId="0" xfId="17" applyNumberFormat="1" applyFont="1" applyFill="1" applyBorder="1">
      <alignment vertical="center"/>
    </xf>
    <xf numFmtId="41" fontId="54" fillId="8" borderId="0" xfId="17" applyFont="1" applyFill="1" applyBorder="1">
      <alignment vertical="center"/>
    </xf>
    <xf numFmtId="0" fontId="52" fillId="8" borderId="0" xfId="2" applyNumberFormat="1" applyFont="1" applyFill="1" applyAlignment="1">
      <alignment horizontal="left" vertical="center" indent="1"/>
    </xf>
    <xf numFmtId="177" fontId="52" fillId="8" borderId="0" xfId="1" applyNumberFormat="1" applyFont="1" applyFill="1">
      <alignment vertical="center"/>
    </xf>
    <xf numFmtId="41" fontId="54" fillId="8" borderId="0" xfId="17" applyFont="1" applyFill="1">
      <alignment vertical="center"/>
    </xf>
    <xf numFmtId="0" fontId="1" fillId="8" borderId="0" xfId="13" applyFill="1">
      <alignment vertical="center"/>
    </xf>
    <xf numFmtId="0" fontId="52" fillId="8" borderId="0" xfId="2" applyNumberFormat="1" applyFont="1" applyFill="1" applyBorder="1" applyAlignment="1">
      <alignment horizontal="left" vertical="center" indent="1"/>
    </xf>
    <xf numFmtId="41" fontId="52" fillId="8" borderId="0" xfId="2" applyFont="1" applyFill="1">
      <alignment vertical="center"/>
    </xf>
    <xf numFmtId="0" fontId="20" fillId="8" borderId="0" xfId="2" applyNumberFormat="1" applyFont="1" applyFill="1" applyAlignment="1">
      <alignment horizontal="left" vertical="center" indent="1"/>
    </xf>
    <xf numFmtId="41" fontId="75" fillId="8" borderId="0" xfId="2" applyFont="1" applyFill="1">
      <alignment vertical="center"/>
    </xf>
    <xf numFmtId="0" fontId="20" fillId="8" borderId="0" xfId="2" applyNumberFormat="1" applyFont="1" applyFill="1" applyAlignment="1">
      <alignment horizontal="left" vertical="center" indent="2"/>
    </xf>
    <xf numFmtId="0" fontId="20" fillId="8" borderId="1" xfId="2" applyNumberFormat="1" applyFont="1" applyFill="1" applyBorder="1" applyAlignment="1">
      <alignment horizontal="left" vertical="center" indent="2"/>
    </xf>
    <xf numFmtId="41" fontId="20" fillId="8" borderId="1" xfId="2" applyFont="1" applyFill="1" applyBorder="1">
      <alignment vertical="center"/>
    </xf>
    <xf numFmtId="0" fontId="32" fillId="8" borderId="0" xfId="13" applyFont="1" applyFill="1">
      <alignment vertical="center"/>
    </xf>
    <xf numFmtId="0" fontId="54" fillId="8" borderId="0" xfId="2" applyNumberFormat="1" applyFont="1" applyFill="1">
      <alignment vertical="center"/>
    </xf>
    <xf numFmtId="41" fontId="54" fillId="8" borderId="0" xfId="2" applyFont="1" applyFill="1">
      <alignment vertical="center"/>
    </xf>
    <xf numFmtId="0" fontId="85" fillId="8" borderId="0" xfId="2" applyNumberFormat="1" applyFont="1" applyFill="1">
      <alignment vertical="center"/>
    </xf>
    <xf numFmtId="41" fontId="85" fillId="8" borderId="0" xfId="2" applyFont="1" applyFill="1">
      <alignment vertical="center"/>
    </xf>
    <xf numFmtId="180" fontId="20" fillId="8" borderId="0" xfId="0" applyNumberFormat="1" applyFont="1" applyFill="1">
      <alignment vertical="center"/>
    </xf>
    <xf numFmtId="41" fontId="72" fillId="8" borderId="0" xfId="2" applyFont="1" applyFill="1">
      <alignment vertical="center"/>
    </xf>
    <xf numFmtId="41" fontId="21" fillId="8" borderId="0" xfId="2" applyFont="1" applyFill="1">
      <alignment vertical="center"/>
    </xf>
    <xf numFmtId="177" fontId="86" fillId="8" borderId="0" xfId="15" applyNumberFormat="1" applyFont="1" applyFill="1" applyBorder="1">
      <alignment vertical="center"/>
    </xf>
    <xf numFmtId="41" fontId="76" fillId="8" borderId="0" xfId="2" applyFont="1" applyFill="1">
      <alignment vertical="center"/>
    </xf>
    <xf numFmtId="0" fontId="54" fillId="8" borderId="3" xfId="2" applyNumberFormat="1" applyFont="1" applyFill="1" applyBorder="1">
      <alignment vertical="center"/>
    </xf>
    <xf numFmtId="41" fontId="54" fillId="8" borderId="3" xfId="2" applyFont="1" applyFill="1" applyBorder="1">
      <alignment vertical="center"/>
    </xf>
    <xf numFmtId="180" fontId="54" fillId="8" borderId="0" xfId="2" applyNumberFormat="1" applyFont="1" applyFill="1">
      <alignment vertical="center"/>
    </xf>
    <xf numFmtId="177" fontId="52" fillId="8" borderId="0" xfId="15" applyNumberFormat="1" applyFont="1" applyFill="1">
      <alignment vertical="center"/>
    </xf>
    <xf numFmtId="177" fontId="52" fillId="8" borderId="0" xfId="15" applyNumberFormat="1" applyFont="1" applyFill="1" applyAlignment="1">
      <alignment vertical="center"/>
    </xf>
    <xf numFmtId="0" fontId="0" fillId="8" borderId="0" xfId="0" applyFill="1" applyAlignment="1">
      <alignment horizontal="center" vertical="center"/>
    </xf>
    <xf numFmtId="0" fontId="37" fillId="10" borderId="0" xfId="0" applyFont="1" applyFill="1">
      <alignment vertical="center"/>
    </xf>
    <xf numFmtId="0" fontId="38" fillId="10" borderId="0" xfId="0" applyFont="1" applyFill="1">
      <alignment vertical="center"/>
    </xf>
    <xf numFmtId="0" fontId="39" fillId="10" borderId="0" xfId="0" applyFont="1" applyFill="1" applyAlignment="1">
      <alignment horizontal="center" vertical="center"/>
    </xf>
    <xf numFmtId="0" fontId="17" fillId="10" borderId="0" xfId="12" applyFont="1" applyFill="1" applyAlignment="1">
      <alignment horizontal="center" vertical="center"/>
    </xf>
    <xf numFmtId="0" fontId="19" fillId="8" borderId="0" xfId="0" applyFont="1" applyFill="1" applyAlignment="1">
      <alignment horizontal="left"/>
    </xf>
    <xf numFmtId="0" fontId="15" fillId="8" borderId="0" xfId="0" applyFont="1" applyFill="1" applyAlignment="1">
      <alignment horizontal="left"/>
    </xf>
    <xf numFmtId="0" fontId="13" fillId="8" borderId="0" xfId="0" applyFont="1" applyFill="1" applyAlignment="1">
      <alignment horizontal="right"/>
    </xf>
    <xf numFmtId="0" fontId="0" fillId="8" borderId="0" xfId="0" applyFill="1" applyAlignment="1"/>
    <xf numFmtId="0" fontId="17" fillId="10" borderId="0" xfId="0" applyFont="1" applyFill="1" applyAlignment="1">
      <alignment horizontal="right" vertical="center"/>
    </xf>
    <xf numFmtId="0" fontId="21" fillId="10" borderId="0" xfId="0" applyFont="1" applyFill="1">
      <alignment vertical="center"/>
    </xf>
    <xf numFmtId="183" fontId="20" fillId="8" borderId="30" xfId="7" applyNumberFormat="1" applyFont="1" applyFill="1" applyBorder="1">
      <alignment vertical="center"/>
    </xf>
    <xf numFmtId="0" fontId="89" fillId="0" borderId="0" xfId="38">
      <alignment vertical="center"/>
    </xf>
    <xf numFmtId="0" fontId="42" fillId="0" borderId="0" xfId="38" applyFont="1">
      <alignment vertical="center"/>
    </xf>
    <xf numFmtId="0" fontId="89" fillId="8" borderId="0" xfId="38" applyFill="1">
      <alignment vertical="center"/>
    </xf>
    <xf numFmtId="0" fontId="42" fillId="8" borderId="0" xfId="38" applyFont="1" applyFill="1">
      <alignment vertical="center"/>
    </xf>
    <xf numFmtId="0" fontId="90" fillId="0" borderId="0" xfId="38" applyFont="1">
      <alignment vertical="center"/>
    </xf>
    <xf numFmtId="179" fontId="42" fillId="0" borderId="0" xfId="38" applyNumberFormat="1" applyFont="1" applyAlignment="1">
      <alignment horizontal="center" vertical="center"/>
    </xf>
    <xf numFmtId="179" fontId="42" fillId="0" borderId="0" xfId="38" applyNumberFormat="1" applyFont="1">
      <alignment vertical="center"/>
    </xf>
    <xf numFmtId="179" fontId="90" fillId="0" borderId="0" xfId="38" applyNumberFormat="1" applyFont="1">
      <alignment vertical="center"/>
    </xf>
    <xf numFmtId="181" fontId="94" fillId="0" borderId="0" xfId="39" applyNumberFormat="1" applyFont="1" applyFill="1" applyBorder="1" applyAlignment="1">
      <alignment horizontal="center" vertical="center"/>
    </xf>
    <xf numFmtId="0" fontId="93" fillId="0" borderId="0" xfId="39" applyNumberFormat="1" applyFont="1" applyFill="1" applyBorder="1" applyAlignment="1">
      <alignment horizontal="center" vertical="center" wrapText="1"/>
    </xf>
    <xf numFmtId="181" fontId="89" fillId="0" borderId="0" xfId="38" applyNumberFormat="1">
      <alignment vertical="center"/>
    </xf>
    <xf numFmtId="0" fontId="43" fillId="0" borderId="49" xfId="38" applyFont="1" applyBorder="1">
      <alignment vertical="center"/>
    </xf>
    <xf numFmtId="0" fontId="90" fillId="0" borderId="0" xfId="38" applyFont="1" applyAlignment="1">
      <alignment vertical="center" shrinkToFit="1"/>
    </xf>
    <xf numFmtId="0" fontId="43" fillId="0" borderId="0" xfId="38" applyFont="1">
      <alignment vertical="center"/>
    </xf>
    <xf numFmtId="0" fontId="90" fillId="0" borderId="10" xfId="38" applyFont="1" applyBorder="1">
      <alignment vertical="center"/>
    </xf>
    <xf numFmtId="0" fontId="43" fillId="0" borderId="11" xfId="38" applyFont="1" applyBorder="1">
      <alignment vertical="center"/>
    </xf>
    <xf numFmtId="0" fontId="43" fillId="0" borderId="1" xfId="38" applyFont="1" applyBorder="1">
      <alignment vertical="center"/>
    </xf>
    <xf numFmtId="3" fontId="42" fillId="0" borderId="0" xfId="38" applyNumberFormat="1" applyFont="1">
      <alignment vertical="center"/>
    </xf>
    <xf numFmtId="0" fontId="42" fillId="0" borderId="10" xfId="38" applyFont="1" applyBorder="1" applyAlignment="1">
      <alignment horizontal="left" vertical="center" indent="1"/>
    </xf>
    <xf numFmtId="0" fontId="90" fillId="0" borderId="0" xfId="38" applyFont="1" applyAlignment="1">
      <alignment horizontal="center" vertical="center"/>
    </xf>
    <xf numFmtId="0" fontId="42" fillId="0" borderId="0" xfId="38" applyFont="1" applyAlignment="1">
      <alignment horizontal="left" vertical="center" indent="1"/>
    </xf>
    <xf numFmtId="0" fontId="43" fillId="0" borderId="10" xfId="38" applyFont="1" applyBorder="1">
      <alignment vertical="center"/>
    </xf>
    <xf numFmtId="0" fontId="92" fillId="0" borderId="10" xfId="38" applyFont="1" applyBorder="1">
      <alignment vertical="center"/>
    </xf>
    <xf numFmtId="179" fontId="90" fillId="0" borderId="0" xfId="38" applyNumberFormat="1" applyFont="1" applyAlignment="1">
      <alignment horizontal="center" vertical="center"/>
    </xf>
    <xf numFmtId="179" fontId="42" fillId="0" borderId="0" xfId="0" applyNumberFormat="1" applyFont="1" applyAlignment="1">
      <alignment horizontal="center" vertical="center"/>
    </xf>
    <xf numFmtId="0" fontId="92" fillId="0" borderId="0" xfId="38" applyFont="1">
      <alignment vertical="center"/>
    </xf>
    <xf numFmtId="0" fontId="42" fillId="0" borderId="0" xfId="0" applyFont="1">
      <alignment vertical="center"/>
    </xf>
    <xf numFmtId="0" fontId="95" fillId="0" borderId="10" xfId="38" applyFont="1" applyBorder="1">
      <alignment vertical="center"/>
    </xf>
    <xf numFmtId="0" fontId="43" fillId="0" borderId="0" xfId="0" applyFont="1">
      <alignment vertical="center"/>
    </xf>
    <xf numFmtId="176" fontId="42" fillId="8" borderId="0" xfId="38" applyNumberFormat="1" applyFont="1" applyFill="1" applyAlignment="1">
      <alignment horizontal="center" vertical="center"/>
    </xf>
    <xf numFmtId="0" fontId="95" fillId="0" borderId="0" xfId="38" applyFont="1">
      <alignment vertical="center"/>
    </xf>
    <xf numFmtId="179" fontId="92" fillId="0" borderId="0" xfId="0" applyNumberFormat="1" applyFont="1" applyAlignment="1">
      <alignment horizontal="center" vertical="top" wrapText="1"/>
    </xf>
    <xf numFmtId="0" fontId="96" fillId="0" borderId="11" xfId="38" applyFont="1" applyBorder="1">
      <alignment vertical="center"/>
    </xf>
    <xf numFmtId="9" fontId="90" fillId="0" borderId="1" xfId="40" applyFont="1" applyBorder="1" applyAlignment="1">
      <alignment horizontal="center" vertical="center"/>
    </xf>
    <xf numFmtId="179" fontId="42" fillId="0" borderId="3" xfId="38" applyNumberFormat="1" applyFont="1" applyBorder="1">
      <alignment vertical="center"/>
    </xf>
    <xf numFmtId="0" fontId="43" fillId="0" borderId="15" xfId="38" applyFont="1" applyBorder="1">
      <alignment vertical="center"/>
    </xf>
    <xf numFmtId="3" fontId="90" fillId="0" borderId="0" xfId="38" applyNumberFormat="1" applyFont="1" applyAlignment="1">
      <alignment horizontal="center" vertical="center"/>
    </xf>
    <xf numFmtId="0" fontId="32" fillId="0" borderId="0" xfId="38" applyFont="1">
      <alignment vertical="center"/>
    </xf>
    <xf numFmtId="3" fontId="42" fillId="0" borderId="0" xfId="38" applyNumberFormat="1" applyFont="1" applyAlignment="1">
      <alignment horizontal="center" vertical="center"/>
    </xf>
    <xf numFmtId="0" fontId="90" fillId="0" borderId="10" xfId="38" applyFont="1" applyBorder="1" applyAlignment="1">
      <alignment horizontal="left" vertical="center" indent="1"/>
    </xf>
    <xf numFmtId="181" fontId="90" fillId="0" borderId="0" xfId="38" applyNumberFormat="1" applyFont="1" applyAlignment="1">
      <alignment horizontal="center" vertical="center"/>
    </xf>
    <xf numFmtId="3" fontId="42" fillId="0" borderId="3" xfId="38" applyNumberFormat="1" applyFont="1" applyBorder="1">
      <alignment vertical="center"/>
    </xf>
    <xf numFmtId="0" fontId="98" fillId="0" borderId="0" xfId="42" applyAlignment="1">
      <alignment vertical="center"/>
    </xf>
    <xf numFmtId="9" fontId="42" fillId="0" borderId="0" xfId="1" applyFont="1">
      <alignment vertical="center"/>
    </xf>
    <xf numFmtId="9" fontId="89" fillId="0" borderId="0" xfId="1" applyFont="1">
      <alignment vertical="center"/>
    </xf>
    <xf numFmtId="9" fontId="89" fillId="0" borderId="0" xfId="38" applyNumberFormat="1">
      <alignment vertical="center"/>
    </xf>
    <xf numFmtId="177" fontId="99" fillId="0" borderId="0" xfId="1" applyNumberFormat="1" applyFont="1">
      <alignment vertical="center"/>
    </xf>
    <xf numFmtId="9" fontId="99" fillId="0" borderId="0" xfId="1" applyFont="1">
      <alignment vertical="center"/>
    </xf>
    <xf numFmtId="0" fontId="84" fillId="10" borderId="0" xfId="0" applyFont="1" applyFill="1">
      <alignment vertical="center"/>
    </xf>
    <xf numFmtId="0" fontId="55" fillId="10" borderId="0" xfId="0" applyFont="1" applyFill="1" applyAlignment="1">
      <alignment horizontal="right" vertical="center"/>
    </xf>
    <xf numFmtId="0" fontId="26" fillId="10" borderId="0" xfId="0" applyFont="1" applyFill="1" applyAlignment="1"/>
    <xf numFmtId="0" fontId="101" fillId="10" borderId="9" xfId="0" applyFont="1" applyFill="1" applyBorder="1" applyAlignment="1"/>
    <xf numFmtId="0" fontId="55" fillId="10" borderId="9" xfId="0" applyFont="1" applyFill="1" applyBorder="1" applyAlignment="1">
      <alignment horizontal="right"/>
    </xf>
    <xf numFmtId="0" fontId="100" fillId="10" borderId="0" xfId="0" applyFont="1" applyFill="1" applyAlignment="1">
      <alignment horizontal="left"/>
    </xf>
    <xf numFmtId="9" fontId="55" fillId="10" borderId="0" xfId="1" applyFont="1" applyFill="1" applyAlignment="1">
      <alignment horizontal="right"/>
    </xf>
    <xf numFmtId="0" fontId="55" fillId="10" borderId="0" xfId="0" applyFont="1" applyFill="1" applyAlignment="1">
      <alignment horizontal="right"/>
    </xf>
    <xf numFmtId="0" fontId="10" fillId="0" borderId="0" xfId="38" applyFont="1">
      <alignment vertical="center"/>
    </xf>
    <xf numFmtId="183" fontId="90" fillId="0" borderId="0" xfId="38" applyNumberFormat="1" applyFont="1" applyAlignment="1">
      <alignment horizontal="center" vertical="center"/>
    </xf>
    <xf numFmtId="0" fontId="32" fillId="8" borderId="0" xfId="0" quotePrefix="1" applyFont="1" applyFill="1">
      <alignment vertical="center"/>
    </xf>
    <xf numFmtId="0" fontId="26" fillId="0" borderId="15" xfId="0" applyFont="1" applyBorder="1">
      <alignment vertical="center"/>
    </xf>
    <xf numFmtId="2" fontId="70" fillId="0" borderId="3" xfId="0" applyNumberFormat="1" applyFont="1" applyBorder="1">
      <alignment vertical="center"/>
    </xf>
    <xf numFmtId="0" fontId="26" fillId="0" borderId="10" xfId="0" applyFont="1" applyBorder="1">
      <alignment vertical="center"/>
    </xf>
    <xf numFmtId="0" fontId="66" fillId="10" borderId="0" xfId="0" applyFont="1" applyFill="1" applyAlignment="1">
      <alignment horizontal="left" vertical="center"/>
    </xf>
    <xf numFmtId="0" fontId="26" fillId="0" borderId="0" xfId="0" applyFont="1">
      <alignment vertical="center"/>
    </xf>
    <xf numFmtId="0" fontId="26" fillId="0" borderId="10" xfId="0" applyFont="1" applyBorder="1" applyAlignment="1"/>
    <xf numFmtId="0" fontId="89" fillId="0" borderId="10" xfId="38" applyBorder="1">
      <alignment vertical="center"/>
    </xf>
    <xf numFmtId="0" fontId="89" fillId="0" borderId="11" xfId="38" applyBorder="1">
      <alignment vertical="center"/>
    </xf>
    <xf numFmtId="9" fontId="90" fillId="0" borderId="0" xfId="38" applyNumberFormat="1" applyFont="1">
      <alignment vertical="center"/>
    </xf>
    <xf numFmtId="3" fontId="90" fillId="0" borderId="0" xfId="38" quotePrefix="1" applyNumberFormat="1" applyFont="1" applyAlignment="1">
      <alignment horizontal="center" vertical="center"/>
    </xf>
    <xf numFmtId="0" fontId="96" fillId="0" borderId="0" xfId="38" applyFont="1" applyAlignment="1">
      <alignment horizontal="left" vertical="center" indent="1"/>
    </xf>
    <xf numFmtId="9" fontId="90" fillId="0" borderId="0" xfId="38" applyNumberFormat="1" applyFont="1" applyAlignment="1">
      <alignment horizontal="center" vertical="center"/>
    </xf>
    <xf numFmtId="186" fontId="42" fillId="0" borderId="0" xfId="1" applyNumberFormat="1" applyFont="1">
      <alignment vertical="center"/>
    </xf>
    <xf numFmtId="186" fontId="90" fillId="0" borderId="0" xfId="1" applyNumberFormat="1" applyFont="1">
      <alignment vertical="center"/>
    </xf>
    <xf numFmtId="3" fontId="42" fillId="0" borderId="40" xfId="38" applyNumberFormat="1" applyFont="1" applyBorder="1">
      <alignment vertical="center"/>
    </xf>
    <xf numFmtId="3" fontId="42" fillId="0" borderId="1" xfId="38" applyNumberFormat="1" applyFont="1" applyBorder="1">
      <alignment vertical="center"/>
    </xf>
    <xf numFmtId="9" fontId="42" fillId="0" borderId="17" xfId="1" applyFont="1" applyBorder="1">
      <alignment vertical="center"/>
    </xf>
    <xf numFmtId="1" fontId="90" fillId="0" borderId="0" xfId="38" applyNumberFormat="1" applyFont="1" applyAlignment="1">
      <alignment horizontal="center" vertical="center"/>
    </xf>
    <xf numFmtId="9" fontId="42" fillId="0" borderId="0" xfId="1" applyFont="1" applyBorder="1">
      <alignment vertical="center"/>
    </xf>
    <xf numFmtId="179" fontId="53" fillId="0" borderId="48" xfId="38" applyNumberFormat="1" applyFont="1" applyBorder="1" applyAlignment="1">
      <alignment horizontal="center" vertical="center"/>
    </xf>
    <xf numFmtId="3" fontId="59" fillId="0" borderId="48" xfId="38" applyNumberFormat="1" applyFont="1" applyBorder="1" applyAlignment="1">
      <alignment horizontal="center" vertical="center" wrapText="1"/>
    </xf>
    <xf numFmtId="3" fontId="53" fillId="0" borderId="0" xfId="38" applyNumberFormat="1" applyFont="1" applyAlignment="1">
      <alignment horizontal="center" vertical="center"/>
    </xf>
    <xf numFmtId="179" fontId="53" fillId="0" borderId="0" xfId="38" applyNumberFormat="1" applyFont="1" applyAlignment="1">
      <alignment horizontal="center" vertical="center"/>
    </xf>
    <xf numFmtId="3" fontId="53" fillId="0" borderId="3" xfId="38" applyNumberFormat="1" applyFont="1" applyBorder="1" applyAlignment="1">
      <alignment horizontal="center" vertical="center"/>
    </xf>
    <xf numFmtId="179" fontId="53" fillId="0" borderId="0" xfId="0" applyNumberFormat="1" applyFont="1" applyAlignment="1">
      <alignment horizontal="center" vertical="center"/>
    </xf>
    <xf numFmtId="179" fontId="53" fillId="0" borderId="1" xfId="38" applyNumberFormat="1" applyFont="1" applyBorder="1" applyAlignment="1">
      <alignment horizontal="center" vertical="center"/>
    </xf>
    <xf numFmtId="177" fontId="103" fillId="0" borderId="0" xfId="40" applyNumberFormat="1" applyFont="1" applyAlignment="1">
      <alignment horizontal="center" vertical="center"/>
    </xf>
    <xf numFmtId="177" fontId="103" fillId="0" borderId="1" xfId="40" applyNumberFormat="1" applyFont="1" applyBorder="1" applyAlignment="1">
      <alignment horizontal="center" vertical="center"/>
    </xf>
    <xf numFmtId="0" fontId="104" fillId="0" borderId="11" xfId="38" applyFont="1" applyBorder="1">
      <alignment vertical="center"/>
    </xf>
    <xf numFmtId="0" fontId="104" fillId="0" borderId="10" xfId="38" applyFont="1" applyBorder="1" applyAlignment="1">
      <alignment horizontal="right" vertical="center"/>
    </xf>
    <xf numFmtId="9" fontId="103" fillId="0" borderId="0" xfId="1" applyFont="1" applyAlignment="1">
      <alignment horizontal="center" vertical="center"/>
    </xf>
    <xf numFmtId="9" fontId="105" fillId="0" borderId="0" xfId="1" applyFont="1">
      <alignment vertical="center"/>
    </xf>
    <xf numFmtId="177" fontId="105" fillId="0" borderId="1" xfId="40" applyNumberFormat="1" applyFont="1" applyBorder="1">
      <alignment vertical="center"/>
    </xf>
    <xf numFmtId="38" fontId="22" fillId="8" borderId="0" xfId="0" applyNumberFormat="1" applyFont="1" applyFill="1" applyAlignment="1">
      <alignment horizontal="center" vertical="center"/>
    </xf>
    <xf numFmtId="38" fontId="20" fillId="8" borderId="0" xfId="0" applyNumberFormat="1" applyFont="1" applyFill="1" applyAlignment="1">
      <alignment horizontal="center" vertical="center"/>
    </xf>
    <xf numFmtId="9" fontId="20" fillId="8" borderId="1" xfId="1" applyFont="1" applyFill="1" applyBorder="1" applyAlignment="1">
      <alignment horizontal="center" vertical="center"/>
    </xf>
    <xf numFmtId="9" fontId="22" fillId="8" borderId="1" xfId="1" quotePrefix="1" applyFont="1" applyFill="1" applyBorder="1" applyAlignment="1">
      <alignment horizontal="center" vertical="center"/>
    </xf>
    <xf numFmtId="38" fontId="22" fillId="8" borderId="3" xfId="0" quotePrefix="1" applyNumberFormat="1" applyFont="1" applyFill="1" applyBorder="1" applyAlignment="1">
      <alignment horizontal="center" vertical="center"/>
    </xf>
    <xf numFmtId="40" fontId="22" fillId="8" borderId="3" xfId="0" quotePrefix="1" applyNumberFormat="1" applyFont="1" applyFill="1" applyBorder="1" applyAlignment="1">
      <alignment horizontal="center" vertical="center"/>
    </xf>
    <xf numFmtId="38" fontId="22" fillId="8" borderId="0" xfId="0" quotePrefix="1" applyNumberFormat="1" applyFont="1" applyFill="1" applyAlignment="1">
      <alignment horizontal="center" vertical="center"/>
    </xf>
    <xf numFmtId="40" fontId="22" fillId="8" borderId="0" xfId="0" quotePrefix="1" applyNumberFormat="1" applyFont="1" applyFill="1" applyAlignment="1">
      <alignment horizontal="center" vertical="center"/>
    </xf>
    <xf numFmtId="3" fontId="20" fillId="8" borderId="0" xfId="0" applyNumberFormat="1" applyFont="1" applyFill="1" applyAlignment="1">
      <alignment horizontal="center" vertical="center"/>
    </xf>
    <xf numFmtId="0" fontId="21" fillId="10" borderId="0" xfId="0" applyFont="1" applyFill="1" applyAlignment="1"/>
    <xf numFmtId="0" fontId="21" fillId="8" borderId="0" xfId="0" applyFont="1" applyFill="1" applyAlignment="1">
      <alignment horizontal="center" vertical="center"/>
    </xf>
    <xf numFmtId="37" fontId="21" fillId="8" borderId="0" xfId="0" applyNumberFormat="1" applyFont="1" applyFill="1" applyAlignment="1">
      <alignment horizontal="center" vertical="center"/>
    </xf>
    <xf numFmtId="40" fontId="108" fillId="8" borderId="1" xfId="0" applyNumberFormat="1" applyFont="1" applyFill="1" applyBorder="1" applyAlignment="1">
      <alignment horizontal="center" vertical="center"/>
    </xf>
    <xf numFmtId="10" fontId="108" fillId="8" borderId="1" xfId="1" applyNumberFormat="1" applyFont="1" applyFill="1" applyBorder="1" applyAlignment="1">
      <alignment horizontal="center" vertical="center"/>
    </xf>
    <xf numFmtId="10" fontId="108" fillId="8" borderId="0" xfId="1" applyNumberFormat="1" applyFont="1" applyFill="1" applyBorder="1" applyAlignment="1">
      <alignment horizontal="center" vertical="center"/>
    </xf>
    <xf numFmtId="10" fontId="28" fillId="11" borderId="0" xfId="1" applyNumberFormat="1" applyFont="1" applyFill="1" applyBorder="1" applyAlignment="1">
      <alignment horizontal="center" vertical="center"/>
    </xf>
    <xf numFmtId="10" fontId="108" fillId="11" borderId="0" xfId="1" applyNumberFormat="1" applyFont="1" applyFill="1" applyBorder="1" applyAlignment="1">
      <alignment horizontal="center" vertical="center"/>
    </xf>
    <xf numFmtId="0" fontId="21" fillId="11" borderId="0" xfId="0" applyFont="1" applyFill="1" applyAlignment="1">
      <alignment horizontal="center" vertical="center"/>
    </xf>
    <xf numFmtId="0" fontId="31" fillId="8" borderId="0" xfId="0" applyFont="1" applyFill="1" applyAlignment="1">
      <alignment horizontal="center" vertical="center"/>
    </xf>
    <xf numFmtId="40" fontId="108" fillId="8" borderId="0" xfId="0" applyNumberFormat="1" applyFont="1" applyFill="1" applyAlignment="1">
      <alignment horizontal="center" vertical="center"/>
    </xf>
    <xf numFmtId="40" fontId="20" fillId="8" borderId="0" xfId="0" applyNumberFormat="1" applyFont="1" applyFill="1" applyAlignment="1">
      <alignment horizontal="center" vertical="center"/>
    </xf>
    <xf numFmtId="3" fontId="20" fillId="8" borderId="1" xfId="0" applyNumberFormat="1" applyFont="1" applyFill="1" applyBorder="1" applyAlignment="1">
      <alignment horizontal="center" vertical="center"/>
    </xf>
    <xf numFmtId="0" fontId="31" fillId="8" borderId="0" xfId="0" applyFont="1" applyFill="1" applyAlignment="1">
      <alignment horizontal="left" vertical="center"/>
    </xf>
    <xf numFmtId="38" fontId="22" fillId="8" borderId="1" xfId="0" applyNumberFormat="1" applyFont="1" applyFill="1" applyBorder="1" applyAlignment="1">
      <alignment horizontal="center" vertical="center"/>
    </xf>
    <xf numFmtId="38" fontId="20" fillId="8" borderId="1" xfId="0" applyNumberFormat="1" applyFont="1" applyFill="1" applyBorder="1" applyAlignment="1">
      <alignment horizontal="center" vertical="center"/>
    </xf>
    <xf numFmtId="1" fontId="21" fillId="8" borderId="0" xfId="0" applyNumberFormat="1" applyFont="1" applyFill="1" applyAlignment="1">
      <alignment horizontal="center" vertical="center"/>
    </xf>
    <xf numFmtId="0" fontId="21" fillId="17" borderId="0" xfId="0" applyFont="1" applyFill="1" applyAlignment="1">
      <alignment horizontal="center" vertical="center"/>
    </xf>
    <xf numFmtId="0" fontId="31" fillId="17" borderId="0" xfId="0" applyFont="1" applyFill="1" applyAlignment="1">
      <alignment horizontal="center" vertical="center"/>
    </xf>
    <xf numFmtId="0" fontId="20" fillId="0" borderId="1" xfId="0" applyFont="1" applyBorder="1" applyAlignment="1">
      <alignment horizontal="center" vertical="center" wrapText="1"/>
    </xf>
    <xf numFmtId="40" fontId="22" fillId="8" borderId="2" xfId="0" applyNumberFormat="1" applyFont="1" applyFill="1" applyBorder="1" applyAlignment="1">
      <alignment horizontal="center" vertical="center"/>
    </xf>
    <xf numFmtId="38" fontId="20" fillId="8" borderId="2" xfId="0" applyNumberFormat="1" applyFont="1" applyFill="1" applyBorder="1" applyAlignment="1">
      <alignment horizontal="center" vertical="center"/>
    </xf>
    <xf numFmtId="9" fontId="42" fillId="0" borderId="0" xfId="1" applyFont="1" applyAlignment="1">
      <alignment horizontal="center" vertical="center"/>
    </xf>
    <xf numFmtId="3" fontId="42" fillId="0" borderId="0" xfId="1" applyNumberFormat="1" applyFont="1" applyAlignment="1">
      <alignment horizontal="center" vertical="center"/>
    </xf>
    <xf numFmtId="9" fontId="42" fillId="0" borderId="0" xfId="38" applyNumberFormat="1" applyFont="1" applyAlignment="1">
      <alignment horizontal="center" vertical="center"/>
    </xf>
    <xf numFmtId="3" fontId="20" fillId="12" borderId="0" xfId="13" applyNumberFormat="1" applyFont="1" applyFill="1">
      <alignment vertical="center"/>
    </xf>
    <xf numFmtId="0" fontId="89" fillId="0" borderId="3" xfId="38" applyBorder="1">
      <alignment vertical="center"/>
    </xf>
    <xf numFmtId="0" fontId="104" fillId="0" borderId="0" xfId="38" applyFont="1" applyAlignment="1">
      <alignment horizontal="right" vertical="center"/>
    </xf>
    <xf numFmtId="177" fontId="90" fillId="0" borderId="0" xfId="40" applyNumberFormat="1" applyFont="1" applyBorder="1" applyAlignment="1">
      <alignment horizontal="center" vertical="center"/>
    </xf>
    <xf numFmtId="179" fontId="53" fillId="0" borderId="3" xfId="38" applyNumberFormat="1" applyFont="1" applyBorder="1" applyAlignment="1">
      <alignment horizontal="center" vertical="center"/>
    </xf>
    <xf numFmtId="179" fontId="89" fillId="0" borderId="3" xfId="38" applyNumberFormat="1" applyBorder="1">
      <alignment vertical="center"/>
    </xf>
    <xf numFmtId="9" fontId="42" fillId="0" borderId="3" xfId="1" applyFont="1" applyBorder="1">
      <alignment vertical="center"/>
    </xf>
    <xf numFmtId="3" fontId="89" fillId="0" borderId="3" xfId="38" applyNumberFormat="1" applyBorder="1">
      <alignment vertical="center"/>
    </xf>
    <xf numFmtId="9" fontId="105" fillId="0" borderId="0" xfId="1" applyFont="1" applyBorder="1" applyAlignment="1">
      <alignment horizontal="center" vertical="center"/>
    </xf>
    <xf numFmtId="37" fontId="20" fillId="8" borderId="17" xfId="0" applyNumberFormat="1" applyFont="1" applyFill="1" applyBorder="1" applyAlignment="1">
      <alignment horizontal="center" vertical="center"/>
    </xf>
    <xf numFmtId="10" fontId="108" fillId="8" borderId="40" xfId="1" applyNumberFormat="1" applyFont="1" applyFill="1" applyBorder="1" applyAlignment="1">
      <alignment horizontal="center" vertical="center"/>
    </xf>
    <xf numFmtId="10" fontId="108" fillId="8" borderId="17" xfId="1" applyNumberFormat="1" applyFont="1" applyFill="1" applyBorder="1" applyAlignment="1">
      <alignment horizontal="center" vertical="center"/>
    </xf>
    <xf numFmtId="37" fontId="20" fillId="8" borderId="40" xfId="0" applyNumberFormat="1" applyFont="1" applyFill="1" applyBorder="1" applyAlignment="1">
      <alignment horizontal="center" vertical="center"/>
    </xf>
    <xf numFmtId="38" fontId="20" fillId="8" borderId="17" xfId="0" applyNumberFormat="1" applyFont="1" applyFill="1" applyBorder="1" applyAlignment="1">
      <alignment horizontal="center" vertical="center"/>
    </xf>
    <xf numFmtId="38" fontId="20" fillId="8" borderId="40" xfId="0" applyNumberFormat="1" applyFont="1" applyFill="1" applyBorder="1" applyAlignment="1">
      <alignment horizontal="center" vertical="center"/>
    </xf>
    <xf numFmtId="38" fontId="20" fillId="8" borderId="51" xfId="0" applyNumberFormat="1" applyFont="1" applyFill="1" applyBorder="1" applyAlignment="1">
      <alignment horizontal="center" vertical="center"/>
    </xf>
    <xf numFmtId="37" fontId="20" fillId="8" borderId="16" xfId="0" applyNumberFormat="1" applyFont="1" applyFill="1" applyBorder="1" applyAlignment="1">
      <alignment horizontal="center" vertical="center"/>
    </xf>
    <xf numFmtId="3" fontId="105" fillId="0" borderId="0" xfId="38" applyNumberFormat="1" applyFont="1">
      <alignment vertical="center"/>
    </xf>
    <xf numFmtId="9" fontId="105" fillId="0" borderId="0" xfId="40" applyFont="1">
      <alignment vertical="center"/>
    </xf>
    <xf numFmtId="9" fontId="105" fillId="0" borderId="1" xfId="40" applyFont="1" applyBorder="1">
      <alignment vertical="center"/>
    </xf>
    <xf numFmtId="9" fontId="26" fillId="8" borderId="1" xfId="0" applyNumberFormat="1" applyFont="1" applyFill="1" applyBorder="1">
      <alignment vertical="center"/>
    </xf>
    <xf numFmtId="0" fontId="95" fillId="0" borderId="50" xfId="38" applyFont="1" applyBorder="1">
      <alignment vertical="center"/>
    </xf>
    <xf numFmtId="0" fontId="95" fillId="0" borderId="50" xfId="38" applyFont="1" applyBorder="1" applyAlignment="1">
      <alignment horizontal="center" vertical="center"/>
    </xf>
    <xf numFmtId="0" fontId="95" fillId="0" borderId="46" xfId="38" applyFont="1" applyBorder="1" applyAlignment="1">
      <alignment horizontal="center" vertical="center"/>
    </xf>
    <xf numFmtId="0" fontId="95" fillId="11" borderId="46" xfId="38" applyFont="1" applyFill="1" applyBorder="1" applyAlignment="1">
      <alignment horizontal="center" vertical="center"/>
    </xf>
    <xf numFmtId="0" fontId="95" fillId="11" borderId="47" xfId="38" applyFont="1" applyFill="1" applyBorder="1" applyAlignment="1">
      <alignment horizontal="center" vertical="center"/>
    </xf>
    <xf numFmtId="0" fontId="95" fillId="0" borderId="50" xfId="38" applyFont="1" applyBorder="1" applyAlignment="1">
      <alignment horizontal="left" vertical="center"/>
    </xf>
    <xf numFmtId="0" fontId="26" fillId="16" borderId="0" xfId="0" applyFont="1" applyFill="1" applyAlignment="1">
      <alignment horizontal="center" vertical="center"/>
    </xf>
    <xf numFmtId="0" fontId="0" fillId="16" borderId="0" xfId="0" applyFill="1" applyAlignment="1">
      <alignment horizontal="center" vertical="center"/>
    </xf>
    <xf numFmtId="41" fontId="20" fillId="8" borderId="0" xfId="7" applyFont="1" applyFill="1" applyBorder="1" applyAlignment="1">
      <alignment horizontal="center" vertical="center"/>
    </xf>
    <xf numFmtId="177" fontId="20" fillId="8" borderId="0" xfId="0" applyNumberFormat="1" applyFont="1" applyFill="1" applyAlignment="1">
      <alignment horizontal="center" vertical="center"/>
    </xf>
    <xf numFmtId="0" fontId="0" fillId="0" borderId="0" xfId="0" applyAlignment="1">
      <alignment horizontal="left" vertical="center"/>
    </xf>
    <xf numFmtId="0" fontId="66" fillId="15" borderId="0" xfId="0" applyFont="1" applyFill="1" applyAlignment="1">
      <alignment horizontal="left" vertical="center"/>
    </xf>
    <xf numFmtId="0" fontId="0" fillId="15" borderId="0" xfId="0" applyFill="1" applyAlignment="1">
      <alignment horizontal="left" vertical="center"/>
    </xf>
    <xf numFmtId="0" fontId="0" fillId="8" borderId="0" xfId="0" applyFill="1" applyAlignment="1">
      <alignment horizontal="left" vertical="center"/>
    </xf>
    <xf numFmtId="0" fontId="26" fillId="16" borderId="0" xfId="0" applyFont="1" applyFill="1" applyAlignment="1">
      <alignment horizontal="left" vertical="center"/>
    </xf>
    <xf numFmtId="0" fontId="0" fillId="16" borderId="0" xfId="0" applyFill="1" applyAlignment="1">
      <alignment horizontal="left" vertical="center"/>
    </xf>
    <xf numFmtId="0" fontId="26" fillId="16" borderId="0" xfId="0" quotePrefix="1" applyFont="1" applyFill="1" applyAlignment="1">
      <alignment horizontal="left" vertical="center"/>
    </xf>
    <xf numFmtId="41" fontId="20" fillId="8" borderId="1" xfId="7" applyFont="1" applyFill="1" applyBorder="1" applyAlignment="1">
      <alignment horizontal="center" vertical="center"/>
    </xf>
    <xf numFmtId="177" fontId="20" fillId="8" borderId="1" xfId="0" applyNumberFormat="1" applyFont="1" applyFill="1" applyBorder="1" applyAlignment="1">
      <alignment horizontal="center" vertical="center"/>
    </xf>
    <xf numFmtId="41" fontId="20" fillId="8" borderId="21" xfId="7" applyFont="1" applyFill="1" applyBorder="1">
      <alignment vertical="center"/>
    </xf>
    <xf numFmtId="41" fontId="20" fillId="8" borderId="33" xfId="7" applyFont="1" applyFill="1" applyBorder="1">
      <alignment vertical="center"/>
    </xf>
    <xf numFmtId="41" fontId="20" fillId="8" borderId="53" xfId="7" applyFont="1" applyFill="1" applyBorder="1">
      <alignment vertical="center"/>
    </xf>
    <xf numFmtId="0" fontId="26" fillId="8" borderId="0" xfId="18" applyNumberFormat="1" applyFont="1" applyFill="1">
      <alignment vertical="center"/>
    </xf>
    <xf numFmtId="0" fontId="109" fillId="8" borderId="0" xfId="11" applyNumberFormat="1" applyFont="1" applyFill="1">
      <alignment vertical="center"/>
    </xf>
    <xf numFmtId="41" fontId="26" fillId="8" borderId="0" xfId="18" applyFont="1" applyFill="1">
      <alignment vertical="center"/>
    </xf>
    <xf numFmtId="179" fontId="28" fillId="8" borderId="0" xfId="7" applyNumberFormat="1" applyFont="1" applyFill="1" applyAlignment="1">
      <alignment horizontal="right" vertical="center"/>
    </xf>
    <xf numFmtId="37" fontId="20" fillId="8" borderId="52" xfId="0" applyNumberFormat="1" applyFont="1" applyFill="1" applyBorder="1" applyAlignment="1">
      <alignment horizontal="center" vertical="center"/>
    </xf>
    <xf numFmtId="37" fontId="20" fillId="8" borderId="15" xfId="0" applyNumberFormat="1" applyFont="1" applyFill="1" applyBorder="1" applyAlignment="1">
      <alignment horizontal="center" vertical="center"/>
    </xf>
    <xf numFmtId="177" fontId="16" fillId="8" borderId="11" xfId="1" applyNumberFormat="1" applyFont="1" applyFill="1" applyBorder="1" applyAlignment="1">
      <alignment horizontal="center" vertical="center"/>
    </xf>
    <xf numFmtId="37" fontId="20" fillId="8" borderId="10" xfId="0" applyNumberFormat="1" applyFont="1" applyFill="1" applyBorder="1" applyAlignment="1">
      <alignment horizontal="center" vertical="center"/>
    </xf>
    <xf numFmtId="37" fontId="20" fillId="8" borderId="11" xfId="0" applyNumberFormat="1" applyFont="1" applyFill="1" applyBorder="1" applyAlignment="1">
      <alignment horizontal="center" vertical="center"/>
    </xf>
    <xf numFmtId="40" fontId="22" fillId="8" borderId="15" xfId="0" applyNumberFormat="1" applyFont="1" applyFill="1" applyBorder="1" applyAlignment="1">
      <alignment horizontal="center" vertical="center"/>
    </xf>
    <xf numFmtId="38" fontId="22" fillId="8" borderId="10" xfId="0" applyNumberFormat="1" applyFont="1" applyFill="1" applyBorder="1" applyAlignment="1">
      <alignment horizontal="center" vertical="center"/>
    </xf>
    <xf numFmtId="40" fontId="22" fillId="8" borderId="10" xfId="0" applyNumberFormat="1" applyFont="1" applyFill="1" applyBorder="1" applyAlignment="1">
      <alignment horizontal="center" vertical="center"/>
    </xf>
    <xf numFmtId="0" fontId="17" fillId="10" borderId="3" xfId="0" applyFont="1" applyFill="1" applyBorder="1" applyAlignment="1">
      <alignment horizontal="center" vertical="center"/>
    </xf>
    <xf numFmtId="40" fontId="22" fillId="8" borderId="3" xfId="0" applyNumberFormat="1" applyFont="1" applyFill="1" applyBorder="1" applyAlignment="1">
      <alignment horizontal="center" vertical="center"/>
    </xf>
    <xf numFmtId="38" fontId="22" fillId="8" borderId="11" xfId="0" applyNumberFormat="1" applyFont="1" applyFill="1" applyBorder="1" applyAlignment="1">
      <alignment horizontal="center" vertical="center"/>
    </xf>
    <xf numFmtId="187" fontId="20" fillId="8" borderId="0" xfId="0" applyNumberFormat="1" applyFont="1" applyFill="1" applyAlignment="1">
      <alignment horizontal="center" vertical="center"/>
    </xf>
    <xf numFmtId="0" fontId="110" fillId="8" borderId="0" xfId="0" applyFont="1" applyFill="1" applyAlignment="1">
      <alignment horizontal="center" vertical="center"/>
    </xf>
    <xf numFmtId="177" fontId="21" fillId="8" borderId="0" xfId="1" applyNumberFormat="1" applyFont="1" applyFill="1" applyAlignment="1">
      <alignment horizontal="center" vertical="center"/>
    </xf>
    <xf numFmtId="10" fontId="28" fillId="14" borderId="19" xfId="7" applyNumberFormat="1" applyFont="1" applyFill="1" applyBorder="1">
      <alignment vertical="center"/>
    </xf>
    <xf numFmtId="41" fontId="10" fillId="14" borderId="38" xfId="7" applyFont="1" applyFill="1" applyBorder="1">
      <alignment vertical="center"/>
    </xf>
    <xf numFmtId="0" fontId="112" fillId="8" borderId="0" xfId="0" applyFont="1" applyFill="1" applyAlignment="1">
      <alignment horizontal="center" vertical="center"/>
    </xf>
    <xf numFmtId="183" fontId="112" fillId="8" borderId="0" xfId="1" applyNumberFormat="1" applyFont="1" applyFill="1" applyAlignment="1">
      <alignment horizontal="center" vertical="center"/>
    </xf>
    <xf numFmtId="42" fontId="0" fillId="8" borderId="0" xfId="0" applyNumberFormat="1" applyFill="1">
      <alignment vertical="center"/>
    </xf>
    <xf numFmtId="44" fontId="0" fillId="8" borderId="0" xfId="0" applyNumberFormat="1" applyFill="1">
      <alignment vertical="center"/>
    </xf>
    <xf numFmtId="41" fontId="20" fillId="8" borderId="0" xfId="7" applyFont="1" applyFill="1" applyAlignment="1">
      <alignment vertical="center"/>
    </xf>
    <xf numFmtId="41" fontId="20" fillId="8" borderId="1" xfId="7" applyFont="1" applyFill="1" applyBorder="1" applyAlignment="1">
      <alignment vertical="center"/>
    </xf>
    <xf numFmtId="41" fontId="28" fillId="8" borderId="0" xfId="7" applyFont="1" applyFill="1" applyBorder="1" applyAlignment="1">
      <alignment vertical="center"/>
    </xf>
    <xf numFmtId="41" fontId="20" fillId="8" borderId="0" xfId="7" applyFont="1" applyFill="1" applyBorder="1" applyAlignment="1">
      <alignment vertical="center"/>
    </xf>
    <xf numFmtId="41" fontId="20" fillId="12" borderId="3" xfId="7" applyFont="1" applyFill="1" applyBorder="1" applyAlignment="1">
      <alignment vertical="center"/>
    </xf>
    <xf numFmtId="49" fontId="17" fillId="10" borderId="2" xfId="0" applyNumberFormat="1" applyFont="1" applyFill="1" applyBorder="1" applyAlignment="1">
      <alignment horizontal="center" vertical="center"/>
    </xf>
    <xf numFmtId="38" fontId="20" fillId="8" borderId="2" xfId="0" applyNumberFormat="1" applyFont="1" applyFill="1" applyBorder="1" applyAlignment="1">
      <alignment horizontal="center" vertical="center"/>
    </xf>
    <xf numFmtId="38" fontId="20" fillId="8" borderId="1" xfId="0" applyNumberFormat="1" applyFont="1" applyFill="1" applyBorder="1" applyAlignment="1">
      <alignment horizontal="center" vertical="center"/>
    </xf>
    <xf numFmtId="0" fontId="20" fillId="8" borderId="0" xfId="0" applyFont="1" applyFill="1" applyAlignment="1">
      <alignment horizontal="center" vertical="center"/>
    </xf>
    <xf numFmtId="0" fontId="20" fillId="8" borderId="1" xfId="0" applyFont="1" applyFill="1" applyBorder="1" applyAlignment="1">
      <alignment horizontal="center" vertical="center"/>
    </xf>
    <xf numFmtId="38" fontId="20" fillId="8" borderId="0" xfId="0" applyNumberFormat="1" applyFont="1" applyFill="1" applyAlignment="1">
      <alignment horizontal="center" vertical="center"/>
    </xf>
    <xf numFmtId="0" fontId="27" fillId="8" borderId="0" xfId="0" applyFont="1" applyFill="1" applyAlignment="1">
      <alignment horizontal="left" vertical="center"/>
    </xf>
    <xf numFmtId="0" fontId="57" fillId="8" borderId="0" xfId="0" applyFont="1" applyFill="1" applyAlignment="1">
      <alignment horizontal="left" vertical="center"/>
    </xf>
    <xf numFmtId="0" fontId="28" fillId="11" borderId="0" xfId="12" applyFont="1" applyFill="1" applyAlignment="1">
      <alignment horizontal="center" vertical="center"/>
    </xf>
    <xf numFmtId="0" fontId="42" fillId="8" borderId="0" xfId="0" applyFont="1" applyFill="1" applyAlignment="1">
      <alignment horizontal="left" vertical="center" indent="12"/>
    </xf>
    <xf numFmtId="41" fontId="28" fillId="8" borderId="12" xfId="7" applyFont="1" applyFill="1" applyBorder="1" applyAlignment="1">
      <alignment horizontal="center" vertical="center"/>
    </xf>
    <xf numFmtId="41" fontId="28" fillId="8" borderId="13" xfId="7" applyFont="1" applyFill="1" applyBorder="1" applyAlignment="1">
      <alignment horizontal="center" vertical="center"/>
    </xf>
    <xf numFmtId="41" fontId="28" fillId="8" borderId="18" xfId="7" applyFont="1" applyFill="1" applyBorder="1" applyAlignment="1">
      <alignment horizontal="center" vertical="center"/>
    </xf>
    <xf numFmtId="41" fontId="28" fillId="8" borderId="25" xfId="7" applyFont="1" applyFill="1" applyBorder="1" applyAlignment="1">
      <alignment horizontal="center" vertical="center"/>
    </xf>
    <xf numFmtId="0" fontId="66" fillId="10" borderId="2" xfId="0" applyFont="1" applyFill="1" applyBorder="1" applyAlignment="1">
      <alignment horizontal="left" vertical="center"/>
    </xf>
    <xf numFmtId="0" fontId="26" fillId="10" borderId="2" xfId="0" applyFont="1" applyFill="1" applyBorder="1" applyAlignment="1">
      <alignment horizontal="left" vertical="center"/>
    </xf>
    <xf numFmtId="41" fontId="28" fillId="17" borderId="0" xfId="17" applyFont="1" applyFill="1" applyBorder="1" applyAlignment="1">
      <alignment horizontal="center" vertical="center"/>
    </xf>
    <xf numFmtId="41" fontId="17" fillId="18" borderId="39" xfId="17" applyFont="1" applyFill="1" applyBorder="1" applyAlignment="1">
      <alignment horizontal="center" vertical="center"/>
    </xf>
    <xf numFmtId="0" fontId="93" fillId="10" borderId="2" xfId="38" applyFont="1" applyFill="1" applyBorder="1" applyAlignment="1">
      <alignment horizontal="left" vertical="center"/>
    </xf>
    <xf numFmtId="0" fontId="93" fillId="10" borderId="1" xfId="38" applyFont="1" applyFill="1" applyBorder="1" applyAlignment="1">
      <alignment horizontal="left" vertical="center"/>
    </xf>
    <xf numFmtId="177" fontId="0" fillId="8" borderId="0" xfId="1" applyNumberFormat="1" applyFont="1" applyFill="1">
      <alignment vertical="center"/>
    </xf>
    <xf numFmtId="177" fontId="21" fillId="8" borderId="0" xfId="1" applyNumberFormat="1" applyFont="1" applyFill="1">
      <alignment vertical="center"/>
    </xf>
  </cellXfs>
  <cellStyles count="47">
    <cellStyle name="fa_column_header_bottom" xfId="44" xr:uid="{C9AF770E-B490-462B-A923-EB20294BA875}"/>
    <cellStyle name="fa_row_header_standard" xfId="14" xr:uid="{F6E6A383-0CF8-48A0-811A-A8C5BCA0CC94}"/>
    <cellStyle name="백분율" xfId="1" builtinId="5"/>
    <cellStyle name="백분율 2" xfId="4" xr:uid="{F2B913AF-9A6E-4C55-81AC-7C6F6F0B8CC6}"/>
    <cellStyle name="백분율 2 2" xfId="19" xr:uid="{E0B54ACF-988D-432D-966E-A1321FDFE927}"/>
    <cellStyle name="백분율 2 2 2" xfId="34" xr:uid="{A9C95B23-17D9-415D-A43E-98D5F3B3494A}"/>
    <cellStyle name="백분율 3" xfId="15" xr:uid="{551A1CF1-33A2-4AB2-9798-6A444ECC5142}"/>
    <cellStyle name="백분율 4" xfId="25" xr:uid="{DDB27169-31C8-4ABF-8D96-05D2AC782D05}"/>
    <cellStyle name="백분율 4 2" xfId="40" xr:uid="{3EC1EC69-6B80-4BCD-A120-FE9C2E24E9B5}"/>
    <cellStyle name="백분율 5" xfId="29" xr:uid="{3C3EBFA0-9B91-4CD9-B622-D5B14B8D0268}"/>
    <cellStyle name="쉼표 [0]" xfId="7" builtinId="6"/>
    <cellStyle name="쉼표 [0] 2" xfId="5" xr:uid="{52D8EFA3-A1B1-45F0-B0FD-F82E85E211EC}"/>
    <cellStyle name="쉼표 [0] 2 2" xfId="18" xr:uid="{47552C0C-097E-4A85-A1D3-29A0D954747D}"/>
    <cellStyle name="쉼표 [0] 2 2 2" xfId="35" xr:uid="{8F9DCB31-251E-4718-B700-08F1BB355197}"/>
    <cellStyle name="쉼표 [0] 2 3" xfId="17" xr:uid="{01BCFEFB-3706-456C-AF0E-925F51F25C99}"/>
    <cellStyle name="쉼표 [0] 2 4" xfId="22" xr:uid="{A255F1E0-2331-45CF-8E8A-60183443D9DC}"/>
    <cellStyle name="쉼표 [0] 3" xfId="2" xr:uid="{50C82D8B-94C2-44B3-9B9F-CF5469119852}"/>
    <cellStyle name="쉼표 [0] 3 2" xfId="37" xr:uid="{4641AF44-7BCF-4054-ACCC-F4D1652CA174}"/>
    <cellStyle name="쉼표 [0] 3 3" xfId="21" xr:uid="{7F07973A-3175-4ED8-88C7-9B473D745A0D}"/>
    <cellStyle name="쉼표 [0] 4" xfId="26" xr:uid="{0CC2ED7E-7A2A-4D48-A5BE-F987851DC2A4}"/>
    <cellStyle name="쉼표 [0] 4 2" xfId="39" xr:uid="{0DC73F28-A19E-43DB-99A1-EC2DA678D546}"/>
    <cellStyle name="쉼표 [0] 5" xfId="6" xr:uid="{62A12F73-5AAE-495E-AE8E-499E641745CE}"/>
    <cellStyle name="쉼표 [0] 5 2" xfId="28" xr:uid="{F4F046FB-EA03-47BD-952A-D759027EBBA2}"/>
    <cellStyle name="쉼표 [0] 6" xfId="20" xr:uid="{7CDD9566-3592-44DF-ACD7-ED34E80C4D4B}"/>
    <cellStyle name="樣式 1" xfId="9" xr:uid="{405449DE-81DE-4477-887D-C8528AB37386}"/>
    <cellStyle name="一般 8" xfId="10" xr:uid="{10D07A5F-2777-4012-88A4-0412AEE60E9D}"/>
    <cellStyle name="一般_DRAM" xfId="8" xr:uid="{2F74B4D9-805B-4F35-A528-9131283BD13D}"/>
    <cellStyle name="표준" xfId="0" builtinId="0"/>
    <cellStyle name="표준 14 2" xfId="45" xr:uid="{0CFECF4A-4358-4C56-B1A0-B9E2503A485F}"/>
    <cellStyle name="표준 2" xfId="3" xr:uid="{05B0C56E-5621-44A8-8C1B-53754C0E1946}"/>
    <cellStyle name="표준 2 119 2 2 3" xfId="46" xr:uid="{FEB0D38A-A5CF-4F2D-8D2B-102EA46B36C0}"/>
    <cellStyle name="표준 2 2" xfId="16" xr:uid="{26326FEA-B9B2-43CF-80A5-E08501E083D8}"/>
    <cellStyle name="표준 2 2 2" xfId="30" xr:uid="{A7740F74-3B23-4CB2-83C8-840A242F69FC}"/>
    <cellStyle name="표준 2 2 3" xfId="24" xr:uid="{D2BE9F88-5D8C-4746-B566-E4C0C131F4D5}"/>
    <cellStyle name="표준 2 3" xfId="31" xr:uid="{3BC1BDC8-1CE8-40DF-BB46-DE3CC079AEAD}"/>
    <cellStyle name="표준 2 4" xfId="43" xr:uid="{80D8B913-B084-4A28-BAB0-17AAAAA46154}"/>
    <cellStyle name="표준 3" xfId="13" xr:uid="{06A0C4FC-6F8E-4CB9-9E6E-79F631704457}"/>
    <cellStyle name="표준 3 2" xfId="36" xr:uid="{F3281CED-39AF-4A94-A82D-A89252C4CFCF}"/>
    <cellStyle name="표준 3 3" xfId="32" xr:uid="{E405B7A1-6113-466D-942C-3EB060FA19E9}"/>
    <cellStyle name="표준 4" xfId="12" xr:uid="{64ABA828-B568-4FCD-B20B-509A2DF1108B}"/>
    <cellStyle name="표준 5" xfId="23" xr:uid="{E2208CF0-5DA9-4581-A377-8F272C09F6F5}"/>
    <cellStyle name="표준 5 2" xfId="33" xr:uid="{A5269F85-BDAD-4AC7-A5CD-AEB2415559C7}"/>
    <cellStyle name="표준 6" xfId="27" xr:uid="{65E09E85-3140-4ACB-B880-879CF4D20492}"/>
    <cellStyle name="표준 6 2" xfId="38" xr:uid="{C988D0DE-66CC-4902-B65E-2A2E18800113}"/>
    <cellStyle name="하이퍼링크" xfId="11" builtinId="8"/>
    <cellStyle name="하이퍼링크 2" xfId="41" xr:uid="{4B3FFC6E-FE3B-4FC9-A6F2-7D604E99B6E2}"/>
    <cellStyle name="하이퍼링크 3" xfId="42" xr:uid="{2C43FC01-7121-4178-9577-8268585E27D2}"/>
  </cellStyles>
  <dxfs count="0"/>
  <tableStyles count="0" defaultTableStyle="TableStyleMedium2" defaultPivotStyle="PivotStyleLight16"/>
  <colors>
    <mruColors>
      <color rgb="FFD0CECE"/>
      <color rgb="FF203864"/>
      <color rgb="FF005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9</xdr:col>
      <xdr:colOff>571500</xdr:colOff>
      <xdr:row>8</xdr:row>
      <xdr:rowOff>190500</xdr:rowOff>
    </xdr:to>
    <xdr:pic>
      <xdr:nvPicPr>
        <xdr:cNvPr id="5" name="그림 4">
          <a:extLst>
            <a:ext uri="{FF2B5EF4-FFF2-40B4-BE49-F238E27FC236}">
              <a16:creationId xmlns:a16="http://schemas.microsoft.com/office/drawing/2014/main" id="{D6FC972E-D739-4937-8C57-ADC25349CDC3}"/>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1312" t="24428" r="20865" b="62736"/>
        <a:stretch>
          <a:fillRect/>
        </a:stretch>
      </xdr:blipFill>
      <xdr:spPr bwMode="auto">
        <a:xfrm>
          <a:off x="0" y="444500"/>
          <a:ext cx="6515100" cy="1485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9</xdr:col>
      <xdr:colOff>571500</xdr:colOff>
      <xdr:row>8</xdr:row>
      <xdr:rowOff>190500</xdr:rowOff>
    </xdr:to>
    <xdr:pic>
      <xdr:nvPicPr>
        <xdr:cNvPr id="2" name="그림 1">
          <a:extLst>
            <a:ext uri="{FF2B5EF4-FFF2-40B4-BE49-F238E27FC236}">
              <a16:creationId xmlns:a16="http://schemas.microsoft.com/office/drawing/2014/main" id="{2E35C35C-A593-47F0-A5A2-73E327172237}"/>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1312" t="24428" r="20865" b="62736"/>
        <a:stretch>
          <a:fillRect/>
        </a:stretch>
      </xdr:blipFill>
      <xdr:spPr bwMode="auto">
        <a:xfrm>
          <a:off x="0" y="444500"/>
          <a:ext cx="6515100" cy="1485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F353E-E66D-46E2-ACC6-04FE970BDA0B}">
  <sheetPr>
    <tabColor rgb="FF0059FF"/>
  </sheetPr>
  <dimension ref="B1:H35"/>
  <sheetViews>
    <sheetView workbookViewId="0"/>
  </sheetViews>
  <sheetFormatPr defaultColWidth="8.6640625" defaultRowHeight="17"/>
  <cols>
    <col min="1" max="16384" width="8.6640625" style="18"/>
  </cols>
  <sheetData>
    <row r="1" spans="2:2" s="16" customFormat="1"/>
    <row r="2" spans="2:2" s="16" customFormat="1" ht="18">
      <c r="B2" s="17" t="s">
        <v>246</v>
      </c>
    </row>
    <row r="10" spans="2:2" s="16" customFormat="1" ht="18">
      <c r="B10" s="17" t="s">
        <v>209</v>
      </c>
    </row>
    <row r="11" spans="2:2" s="16" customFormat="1"/>
    <row r="35" spans="8:8" ht="18">
      <c r="H35" s="19"/>
    </row>
  </sheetData>
  <phoneticPr fontId="3"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7BC6-2748-413F-AD05-60FB3D11404F}">
  <dimension ref="A1:AQ22"/>
  <sheetViews>
    <sheetView topLeftCell="I3" zoomScale="95" workbookViewId="0">
      <selection activeCell="M13" sqref="M13"/>
    </sheetView>
  </sheetViews>
  <sheetFormatPr defaultColWidth="8.6640625" defaultRowHeight="17"/>
  <cols>
    <col min="1" max="1" width="8.6640625" style="18"/>
    <col min="2" max="2" width="14.58203125" style="18" bestFit="1" customWidth="1"/>
    <col min="3" max="14" width="8.6640625" style="18"/>
    <col min="15" max="15" width="11.83203125" style="18" bestFit="1" customWidth="1"/>
    <col min="16" max="16" width="10.1640625" style="18" bestFit="1" customWidth="1"/>
    <col min="17" max="17" width="8.6640625" style="18"/>
    <col min="18" max="18" width="10.1640625" style="18" bestFit="1" customWidth="1"/>
    <col min="19" max="16384" width="8.6640625" style="18"/>
  </cols>
  <sheetData>
    <row r="1" spans="1:43" s="16" customFormat="1">
      <c r="A1" s="39" t="s">
        <v>247</v>
      </c>
      <c r="B1" s="40"/>
      <c r="C1" s="41"/>
      <c r="D1" s="41"/>
      <c r="E1" s="41"/>
      <c r="F1" s="41"/>
      <c r="G1" s="41"/>
      <c r="H1" s="41"/>
      <c r="I1" s="41"/>
      <c r="J1" s="41"/>
      <c r="K1" s="41"/>
      <c r="L1" s="41"/>
      <c r="M1" s="41"/>
      <c r="N1" s="41"/>
      <c r="O1" s="41"/>
      <c r="P1" s="41"/>
      <c r="Q1" s="41"/>
      <c r="R1" s="41"/>
      <c r="S1" s="41"/>
      <c r="T1" s="41"/>
      <c r="U1" s="41"/>
      <c r="V1" s="41"/>
      <c r="W1" s="41"/>
      <c r="X1" s="41"/>
      <c r="Y1" s="41"/>
      <c r="Z1" s="41"/>
      <c r="AA1" s="41"/>
      <c r="AB1" s="41"/>
      <c r="AC1" s="41"/>
      <c r="AD1" s="41"/>
      <c r="AE1" s="41"/>
      <c r="AF1" s="41"/>
      <c r="AG1" s="41"/>
      <c r="AH1" s="41"/>
      <c r="AI1" s="41"/>
      <c r="AJ1" s="41"/>
      <c r="AK1" s="41"/>
      <c r="AL1" s="41"/>
      <c r="AM1" s="41"/>
      <c r="AN1" s="41"/>
      <c r="AO1" s="41"/>
      <c r="AP1" s="41"/>
      <c r="AQ1" s="41"/>
    </row>
    <row r="2" spans="1:43" s="16" customFormat="1" ht="22.5">
      <c r="A2" s="42" t="s">
        <v>210</v>
      </c>
      <c r="B2" s="43"/>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row>
    <row r="3" spans="1:43" s="16" customFormat="1">
      <c r="A3" s="45" t="s">
        <v>211</v>
      </c>
      <c r="B3" s="46"/>
      <c r="C3" s="47"/>
      <c r="D3" s="47"/>
      <c r="E3" s="47"/>
      <c r="F3" s="47"/>
      <c r="G3" s="47"/>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row>
    <row r="4" spans="1:43">
      <c r="A4" s="22"/>
      <c r="B4" s="22"/>
      <c r="C4" s="22"/>
      <c r="D4" s="22"/>
      <c r="E4" s="22"/>
      <c r="F4" s="22"/>
      <c r="G4" s="22"/>
      <c r="H4" s="22"/>
      <c r="I4" s="22"/>
      <c r="J4" s="22"/>
      <c r="K4" s="22"/>
      <c r="L4" s="22"/>
    </row>
    <row r="5" spans="1:43">
      <c r="A5" s="22"/>
      <c r="B5" s="48" t="s">
        <v>212</v>
      </c>
      <c r="C5" s="49" t="s">
        <v>213</v>
      </c>
      <c r="D5" s="49" t="s">
        <v>214</v>
      </c>
      <c r="E5" s="49" t="s">
        <v>429</v>
      </c>
      <c r="F5" s="49" t="s">
        <v>215</v>
      </c>
      <c r="G5" s="49" t="s">
        <v>216</v>
      </c>
      <c r="H5" s="49" t="s">
        <v>217</v>
      </c>
      <c r="I5" s="49" t="s">
        <v>218</v>
      </c>
      <c r="J5" s="49" t="s">
        <v>219</v>
      </c>
      <c r="K5" s="49" t="s">
        <v>553</v>
      </c>
      <c r="L5" s="49" t="s">
        <v>254</v>
      </c>
      <c r="M5" s="607"/>
    </row>
    <row r="6" spans="1:43">
      <c r="A6" s="22"/>
      <c r="B6" s="23" t="s">
        <v>220</v>
      </c>
      <c r="C6" s="24">
        <f>'매출 추정'!C6</f>
        <v>34587.214899999999</v>
      </c>
      <c r="D6" s="24">
        <f>'매출 추정'!D6</f>
        <v>48893.652609999997</v>
      </c>
      <c r="E6" s="24">
        <f>'매출 추정'!E6</f>
        <v>41765.843679999998</v>
      </c>
      <c r="F6" s="24">
        <f>'매출 추정'!F6</f>
        <v>50314.986346666665</v>
      </c>
      <c r="G6" s="24">
        <f>'매출 추정'!G6</f>
        <v>143990.83316488011</v>
      </c>
      <c r="H6" s="24">
        <f>'매출 추정'!H6</f>
        <v>219447.31258784307</v>
      </c>
      <c r="I6" s="24">
        <f>'매출 추정'!I6</f>
        <v>212606.60546179369</v>
      </c>
      <c r="J6" s="562">
        <f>'매출 추정'!J6</f>
        <v>215989.91707150562</v>
      </c>
      <c r="K6" s="24">
        <f>'매출 추정'!K6</f>
        <v>175561.69753666667</v>
      </c>
      <c r="L6" s="24">
        <f>'매출 추정'!L6</f>
        <v>792034.6682860225</v>
      </c>
      <c r="M6" s="607">
        <f>(L6-K6)/K6</f>
        <v>3.5114320458231121</v>
      </c>
    </row>
    <row r="7" spans="1:43">
      <c r="A7" s="22"/>
      <c r="B7" s="25" t="s">
        <v>221</v>
      </c>
      <c r="C7" s="26">
        <f>'비용 추정'!G17</f>
        <v>19942.0255</v>
      </c>
      <c r="D7" s="26">
        <f>'비용 추정'!H17</f>
        <v>30065.137640000001</v>
      </c>
      <c r="E7" s="26">
        <f>'비용 추정'!I17</f>
        <v>22406.702270000002</v>
      </c>
      <c r="F7" s="26">
        <f>'비용 추정'!J17</f>
        <v>28341.068408533331</v>
      </c>
      <c r="G7" s="26">
        <f>'비용 추정'!K17</f>
        <v>75986.500223899959</v>
      </c>
      <c r="H7" s="26">
        <f>'비용 추정'!L17</f>
        <v>115125.18942644811</v>
      </c>
      <c r="I7" s="26">
        <f>'비용 추정'!M17</f>
        <v>110887.50568157897</v>
      </c>
      <c r="J7" s="563">
        <f>'비용 추정'!N17</f>
        <v>112989.89844397568</v>
      </c>
      <c r="K7" s="26">
        <f>'비용 추정'!R17</f>
        <v>100754.93381853333</v>
      </c>
      <c r="L7" s="26">
        <f>'비용 추정'!S17</f>
        <v>414989.0937759027</v>
      </c>
      <c r="M7" s="607"/>
    </row>
    <row r="8" spans="1:43">
      <c r="A8" s="22"/>
      <c r="B8" s="20" t="s">
        <v>222</v>
      </c>
      <c r="C8" s="21">
        <f>C7/C6</f>
        <v>0.57657216857897398</v>
      </c>
      <c r="D8" s="21">
        <f t="shared" ref="D8:J8" si="0">D7/D6</f>
        <v>0.61490880789403146</v>
      </c>
      <c r="E8" s="21">
        <f t="shared" si="0"/>
        <v>0.53648388960306526</v>
      </c>
      <c r="F8" s="21">
        <f t="shared" si="0"/>
        <v>0.56327290269474373</v>
      </c>
      <c r="G8" s="21">
        <f t="shared" si="0"/>
        <v>0.52771762308569892</v>
      </c>
      <c r="H8" s="21">
        <f t="shared" si="0"/>
        <v>0.52461425965453268</v>
      </c>
      <c r="I8" s="21">
        <f t="shared" si="0"/>
        <v>0.52156190274862335</v>
      </c>
      <c r="J8" s="564">
        <f t="shared" si="0"/>
        <v>0.52312580131492548</v>
      </c>
      <c r="K8" s="21">
        <f>K7/K6</f>
        <v>0.57390043063060669</v>
      </c>
      <c r="L8" s="21">
        <f>L7/L6</f>
        <v>0.52395319345546665</v>
      </c>
      <c r="M8" s="607"/>
    </row>
    <row r="9" spans="1:43">
      <c r="A9" s="22"/>
      <c r="B9" s="27" t="s">
        <v>223</v>
      </c>
      <c r="C9" s="26">
        <f>C6-C7</f>
        <v>14645.189399999999</v>
      </c>
      <c r="D9" s="26">
        <f t="shared" ref="D9:J9" si="1">D6-D7</f>
        <v>18828.514969999997</v>
      </c>
      <c r="E9" s="26">
        <f t="shared" si="1"/>
        <v>19359.141409999997</v>
      </c>
      <c r="F9" s="26">
        <f t="shared" si="1"/>
        <v>21973.917938133334</v>
      </c>
      <c r="G9" s="26">
        <f t="shared" si="1"/>
        <v>68004.332940980152</v>
      </c>
      <c r="H9" s="26">
        <f t="shared" si="1"/>
        <v>104322.12316139496</v>
      </c>
      <c r="I9" s="26">
        <f t="shared" si="1"/>
        <v>101719.09978021472</v>
      </c>
      <c r="J9" s="563">
        <f t="shared" si="1"/>
        <v>103000.01862752995</v>
      </c>
      <c r="K9" s="26">
        <f>K6-K7</f>
        <v>74806.763718133341</v>
      </c>
      <c r="L9" s="26">
        <f>L6-L7</f>
        <v>377045.5745101198</v>
      </c>
      <c r="M9" s="607"/>
    </row>
    <row r="10" spans="1:43">
      <c r="A10" s="22"/>
      <c r="B10" s="21" t="s">
        <v>224</v>
      </c>
      <c r="C10" s="21">
        <f>C9/C6</f>
        <v>0.42342783142102602</v>
      </c>
      <c r="D10" s="21">
        <f t="shared" ref="D10:J10" si="2">D9/D6</f>
        <v>0.38509119210596848</v>
      </c>
      <c r="E10" s="21">
        <f t="shared" si="2"/>
        <v>0.46351611039693469</v>
      </c>
      <c r="F10" s="21">
        <f t="shared" si="2"/>
        <v>0.43672709730525627</v>
      </c>
      <c r="G10" s="21">
        <f t="shared" si="2"/>
        <v>0.47228237691430108</v>
      </c>
      <c r="H10" s="21">
        <f t="shared" si="2"/>
        <v>0.47538574034546732</v>
      </c>
      <c r="I10" s="21">
        <f t="shared" si="2"/>
        <v>0.47843809725137665</v>
      </c>
      <c r="J10" s="564">
        <f t="shared" si="2"/>
        <v>0.47687419868507458</v>
      </c>
      <c r="K10" s="21">
        <f>K9/K6</f>
        <v>0.42609956936939325</v>
      </c>
      <c r="L10" s="21">
        <f>L9/L6</f>
        <v>0.47604680654453335</v>
      </c>
      <c r="M10" s="607"/>
    </row>
    <row r="11" spans="1:43">
      <c r="A11" s="22"/>
      <c r="B11" s="28" t="s">
        <v>225</v>
      </c>
      <c r="C11" s="26">
        <f>'비용 추정'!G29</f>
        <v>13347.369000000001</v>
      </c>
      <c r="D11" s="26">
        <f>'비용 추정'!H29</f>
        <v>12624.411999999998</v>
      </c>
      <c r="E11" s="26">
        <f>'비용 추정'!I29</f>
        <v>12248</v>
      </c>
      <c r="F11" s="26">
        <f>'비용 추정'!J29</f>
        <v>13792.022121922382</v>
      </c>
      <c r="G11" s="26">
        <f>'비용 추정'!K29</f>
        <v>24877.946662556969</v>
      </c>
      <c r="H11" s="26">
        <f>'비용 추정'!L29</f>
        <v>33524.441925228042</v>
      </c>
      <c r="I11" s="26">
        <f>'비용 추정'!M29</f>
        <v>32755.163699193807</v>
      </c>
      <c r="J11" s="563">
        <f>'비용 추정'!N29</f>
        <v>33160.865882930484</v>
      </c>
      <c r="K11" s="26">
        <f>'비용 추정'!R29</f>
        <v>52011.803121922385</v>
      </c>
      <c r="L11" s="26">
        <f>'비용 추정'!S29</f>
        <v>124318.4181699093</v>
      </c>
      <c r="M11" s="607"/>
    </row>
    <row r="12" spans="1:43">
      <c r="A12" s="22"/>
      <c r="B12" s="20" t="s">
        <v>222</v>
      </c>
      <c r="C12" s="21">
        <f>C11/C6</f>
        <v>0.3859047060768111</v>
      </c>
      <c r="D12" s="21">
        <f t="shared" ref="D12:J12" si="3">D11/D6</f>
        <v>0.25820145000617084</v>
      </c>
      <c r="E12" s="21">
        <f t="shared" si="3"/>
        <v>0.2932539827003442</v>
      </c>
      <c r="F12" s="21">
        <f t="shared" si="3"/>
        <v>0.27411360159965731</v>
      </c>
      <c r="G12" s="21">
        <f t="shared" si="3"/>
        <v>0.17277451706991576</v>
      </c>
      <c r="H12" s="21">
        <f t="shared" si="3"/>
        <v>0.15276761209736148</v>
      </c>
      <c r="I12" s="21">
        <f t="shared" si="3"/>
        <v>0.1540646567779384</v>
      </c>
      <c r="J12" s="564">
        <f t="shared" si="3"/>
        <v>0.15352969403637601</v>
      </c>
      <c r="K12" s="21">
        <f>K11/K6</f>
        <v>0.29625939969656273</v>
      </c>
      <c r="L12" s="21">
        <f>L11/L6</f>
        <v>0.15696082904923422</v>
      </c>
      <c r="M12" s="607"/>
    </row>
    <row r="13" spans="1:43">
      <c r="A13" s="22"/>
      <c r="B13" s="30" t="s">
        <v>226</v>
      </c>
      <c r="C13" s="26">
        <f>C9-C11</f>
        <v>1297.8203999999987</v>
      </c>
      <c r="D13" s="26">
        <f t="shared" ref="D13:J13" si="4">D9-D11</f>
        <v>6204.1029699999981</v>
      </c>
      <c r="E13" s="26">
        <f t="shared" si="4"/>
        <v>7111.1414099999965</v>
      </c>
      <c r="F13" s="26">
        <f t="shared" si="4"/>
        <v>8181.895816210952</v>
      </c>
      <c r="G13" s="26">
        <f t="shared" si="4"/>
        <v>43126.386278423182</v>
      </c>
      <c r="H13" s="26">
        <f t="shared" si="4"/>
        <v>70797.681236166914</v>
      </c>
      <c r="I13" s="26">
        <f t="shared" si="4"/>
        <v>68963.936081020918</v>
      </c>
      <c r="J13" s="563">
        <f t="shared" si="4"/>
        <v>69839.152744599472</v>
      </c>
      <c r="K13" s="26">
        <f>K9-K11</f>
        <v>22794.960596210956</v>
      </c>
      <c r="L13" s="26">
        <f>L9-L11</f>
        <v>252727.15634021049</v>
      </c>
      <c r="M13" s="607">
        <f>(L13-K13)/K13</f>
        <v>10.086974915947849</v>
      </c>
    </row>
    <row r="14" spans="1:43">
      <c r="A14" s="22"/>
      <c r="B14" s="21" t="s">
        <v>227</v>
      </c>
      <c r="C14" s="21">
        <f>C13/C6</f>
        <v>3.7523125344214946E-2</v>
      </c>
      <c r="D14" s="21">
        <f t="shared" ref="D14:J14" si="5">D13/D6</f>
        <v>0.12688974209979764</v>
      </c>
      <c r="E14" s="21">
        <f t="shared" si="5"/>
        <v>0.17026212769659049</v>
      </c>
      <c r="F14" s="21">
        <f t="shared" si="5"/>
        <v>0.16261349570559899</v>
      </c>
      <c r="G14" s="21">
        <f t="shared" si="5"/>
        <v>0.29950785984438533</v>
      </c>
      <c r="H14" s="21">
        <f t="shared" si="5"/>
        <v>0.32261812824810576</v>
      </c>
      <c r="I14" s="21">
        <f t="shared" si="5"/>
        <v>0.3243734404734383</v>
      </c>
      <c r="J14" s="564">
        <f t="shared" si="5"/>
        <v>0.32334450464869857</v>
      </c>
      <c r="K14" s="21">
        <f>K13/K6</f>
        <v>0.12984016967283055</v>
      </c>
      <c r="L14" s="21">
        <f>L13/L6</f>
        <v>0.31908597749529916</v>
      </c>
      <c r="M14" s="608"/>
      <c r="N14" s="22"/>
    </row>
    <row r="15" spans="1:43">
      <c r="A15" s="22"/>
      <c r="B15" s="31" t="s">
        <v>228</v>
      </c>
      <c r="C15" s="29">
        <f>'비용 추정'!G61</f>
        <v>857.44100000000003</v>
      </c>
      <c r="D15" s="29">
        <f>'비용 추정'!H61</f>
        <v>4146.5550000000003</v>
      </c>
      <c r="E15" s="29">
        <f>'비용 추정'!I61</f>
        <v>-4293</v>
      </c>
      <c r="F15" s="29">
        <f>'비용 추정'!J61</f>
        <v>434.00350000000009</v>
      </c>
      <c r="G15" s="29">
        <f>'비용 추정'!K61</f>
        <v>286.24987499999997</v>
      </c>
      <c r="H15" s="29">
        <f>'비용 추정'!L61</f>
        <v>143.45209375000007</v>
      </c>
      <c r="I15" s="29">
        <f>'비용 추정'!M61</f>
        <v>-857.32363281249991</v>
      </c>
      <c r="J15" s="565">
        <f>'비용 추정'!N61</f>
        <v>1.5954589843750284</v>
      </c>
      <c r="K15" s="29">
        <f>'비용 추정'!R61</f>
        <v>1144.9995000000001</v>
      </c>
      <c r="L15" s="29">
        <f>'비용 추정'!S61</f>
        <v>-426.0262050781248</v>
      </c>
      <c r="M15" s="608"/>
      <c r="N15" s="22"/>
    </row>
    <row r="16" spans="1:43">
      <c r="A16" s="22"/>
      <c r="B16" s="31" t="s">
        <v>229</v>
      </c>
      <c r="C16" s="29">
        <f>'비용 추정'!G65</f>
        <v>2220.0259999999998</v>
      </c>
      <c r="D16" s="29">
        <f>'비용 추정'!H65</f>
        <v>4778.1480000000001</v>
      </c>
      <c r="E16" s="29">
        <f>'비용 추정'!I65</f>
        <v>3088</v>
      </c>
      <c r="F16" s="29">
        <f>'비용 추정'!J65</f>
        <v>4537.9902499999998</v>
      </c>
      <c r="G16" s="29">
        <f>'비용 추정'!K65</f>
        <v>3656.0410625</v>
      </c>
      <c r="H16" s="29">
        <f>'비용 추정'!L65</f>
        <v>4015.0448281250001</v>
      </c>
      <c r="I16" s="29">
        <f>'비용 추정'!M65</f>
        <v>3824.2690351562496</v>
      </c>
      <c r="J16" s="565">
        <f>'비용 추정'!N65</f>
        <v>4008.3362939453127</v>
      </c>
      <c r="K16" s="29">
        <f>'비용 추정'!R65</f>
        <v>14624.164249999998</v>
      </c>
      <c r="L16" s="29">
        <f>'비용 추정'!S65</f>
        <v>15503.691219726561</v>
      </c>
      <c r="M16" s="608"/>
      <c r="N16" s="22"/>
    </row>
    <row r="17" spans="1:14">
      <c r="A17" s="22"/>
      <c r="B17" s="31" t="s">
        <v>230</v>
      </c>
      <c r="C17" s="29">
        <f>'비용 추정'!G69</f>
        <v>2295.6000000000004</v>
      </c>
      <c r="D17" s="29">
        <f>'비용 추정'!H69</f>
        <v>22828.642000000003</v>
      </c>
      <c r="E17" s="29">
        <f>'비용 추정'!I69</f>
        <v>-6173</v>
      </c>
      <c r="F17" s="29">
        <f>'비용 추정'!J69</f>
        <v>5559.9407499999998</v>
      </c>
      <c r="G17" s="29">
        <f>'비용 추정'!K69</f>
        <v>6127.7956875</v>
      </c>
      <c r="H17" s="29">
        <f>'비용 추정'!L69</f>
        <v>7085.8446093750008</v>
      </c>
      <c r="I17" s="29">
        <f>'비용 추정'!M69</f>
        <v>3150.1452617187497</v>
      </c>
      <c r="J17" s="565">
        <f>'비용 추정'!N69</f>
        <v>5480.9315771484371</v>
      </c>
      <c r="K17" s="29">
        <f>'비용 추정'!R69</f>
        <v>24511.182750000007</v>
      </c>
      <c r="L17" s="29">
        <f>'비용 추정'!S69</f>
        <v>21844.717135742187</v>
      </c>
      <c r="M17" s="22"/>
      <c r="N17" s="22"/>
    </row>
    <row r="18" spans="1:14">
      <c r="A18" s="22"/>
      <c r="B18" s="33" t="s">
        <v>231</v>
      </c>
      <c r="C18" s="34">
        <f>'비용 추정'!G75</f>
        <v>4444.6380000000008</v>
      </c>
      <c r="D18" s="34">
        <f>'비용 추정'!H75</f>
        <v>574.80399999999975</v>
      </c>
      <c r="E18" s="34">
        <f>'비용 추정'!I75</f>
        <v>1711</v>
      </c>
      <c r="F18" s="34">
        <f>'비용 추정'!J75</f>
        <v>11819.79775</v>
      </c>
      <c r="G18" s="34">
        <f>'비용 추정'!K75</f>
        <v>4637.5599375000002</v>
      </c>
      <c r="H18" s="34">
        <f>'비용 추정'!L75</f>
        <v>4685.7904218750009</v>
      </c>
      <c r="I18" s="34">
        <f>'비용 추정'!M75</f>
        <v>5713.5370273437502</v>
      </c>
      <c r="J18" s="566">
        <f>'비용 추정'!N75</f>
        <v>6714.171284179688</v>
      </c>
      <c r="K18" s="34">
        <f>'비용 추정'!R75</f>
        <v>18550.239750000001</v>
      </c>
      <c r="L18" s="34">
        <f>'비용 추정'!S75</f>
        <v>21751.058670898437</v>
      </c>
      <c r="M18" s="22"/>
      <c r="N18" s="22"/>
    </row>
    <row r="19" spans="1:14">
      <c r="A19" s="22"/>
      <c r="B19" s="32" t="s">
        <v>232</v>
      </c>
      <c r="C19" s="26">
        <f>C13+C15-C16+C17-C18</f>
        <v>-2213.8026000000018</v>
      </c>
      <c r="D19" s="26">
        <f t="shared" ref="D19:J19" si="6">D13+D15-D16+D17-D18</f>
        <v>27826.347970000003</v>
      </c>
      <c r="E19" s="26">
        <f t="shared" si="6"/>
        <v>-8153.8585900000035</v>
      </c>
      <c r="F19" s="26">
        <f t="shared" si="6"/>
        <v>-2181.9479337890461</v>
      </c>
      <c r="G19" s="26">
        <f t="shared" si="6"/>
        <v>41246.830840923183</v>
      </c>
      <c r="H19" s="26">
        <f t="shared" si="6"/>
        <v>69326.142689291912</v>
      </c>
      <c r="I19" s="26">
        <f t="shared" si="6"/>
        <v>61718.951647427159</v>
      </c>
      <c r="J19" s="563">
        <f t="shared" si="6"/>
        <v>64599.172202607289</v>
      </c>
      <c r="K19" s="26">
        <f>K13+K15-K16+K17-K18</f>
        <v>15276.738846210967</v>
      </c>
      <c r="L19" s="26">
        <f>L13+L15-L16+L17-L18</f>
        <v>236891.09738024959</v>
      </c>
      <c r="M19" s="22"/>
      <c r="N19" s="22"/>
    </row>
    <row r="20" spans="1:14">
      <c r="A20" s="22"/>
      <c r="B20" s="35" t="s">
        <v>155</v>
      </c>
      <c r="C20" s="34">
        <f>'비용 추정'!G82</f>
        <v>-140.89089999999999</v>
      </c>
      <c r="D20" s="34">
        <f>'비용 추정'!H82</f>
        <v>6260.4964300000001</v>
      </c>
      <c r="E20" s="34">
        <f>'비용 추정'!I82</f>
        <v>-1468</v>
      </c>
      <c r="F20" s="34">
        <f>'비용 추정'!J82</f>
        <v>-1768.9954484199188</v>
      </c>
      <c r="G20" s="34">
        <f>'비용 추정'!K82</f>
        <v>8244.366168184637</v>
      </c>
      <c r="H20" s="34">
        <f>'비용 추정'!L82</f>
        <v>13860.228537858384</v>
      </c>
      <c r="I20" s="34">
        <f>'비용 추정'!M82</f>
        <v>12338.790329485433</v>
      </c>
      <c r="J20" s="566">
        <f>'비용 추정'!N82</f>
        <v>12914.834440521459</v>
      </c>
      <c r="K20" s="34">
        <f>'비용 추정'!R82</f>
        <v>2882.610081580081</v>
      </c>
      <c r="L20" s="34">
        <f>'비용 추정'!S82</f>
        <v>47358.219476049911</v>
      </c>
      <c r="M20" s="22"/>
      <c r="N20" s="22"/>
    </row>
    <row r="21" spans="1:14">
      <c r="A21" s="22"/>
      <c r="B21" s="27" t="s">
        <v>233</v>
      </c>
      <c r="C21" s="26">
        <f>C19-C20</f>
        <v>-2072.9117000000019</v>
      </c>
      <c r="D21" s="26">
        <f t="shared" ref="D21:J21" si="7">D19-D20</f>
        <v>21565.851540000003</v>
      </c>
      <c r="E21" s="26">
        <f t="shared" si="7"/>
        <v>-6685.8585900000035</v>
      </c>
      <c r="F21" s="26">
        <f t="shared" si="7"/>
        <v>-412.95248536912732</v>
      </c>
      <c r="G21" s="26">
        <f t="shared" si="7"/>
        <v>33002.464672738548</v>
      </c>
      <c r="H21" s="26">
        <f t="shared" si="7"/>
        <v>55465.914151433528</v>
      </c>
      <c r="I21" s="26">
        <f t="shared" si="7"/>
        <v>49380.161317941725</v>
      </c>
      <c r="J21" s="563">
        <f t="shared" si="7"/>
        <v>51684.33776208583</v>
      </c>
      <c r="K21" s="26">
        <f>K19-K20</f>
        <v>12394.128764630885</v>
      </c>
      <c r="L21" s="26">
        <f>L19-L20</f>
        <v>189532.87790419967</v>
      </c>
      <c r="M21" s="22"/>
      <c r="N21" s="22"/>
    </row>
    <row r="22" spans="1:14">
      <c r="A22" s="22"/>
      <c r="B22" s="21" t="s">
        <v>222</v>
      </c>
      <c r="C22" s="21">
        <v>0.13039223498181557</v>
      </c>
      <c r="D22" s="21">
        <v>0.11330897941208742</v>
      </c>
      <c r="E22" s="21">
        <v>0.12402987524031911</v>
      </c>
      <c r="F22" s="21">
        <v>0.13575302782734278</v>
      </c>
      <c r="G22" s="21">
        <v>0.12971336827559107</v>
      </c>
      <c r="H22" s="21">
        <v>0.12698699619011092</v>
      </c>
      <c r="I22" s="21">
        <v>0.13464847382059181</v>
      </c>
      <c r="J22" s="564">
        <v>0.13476415160317515</v>
      </c>
      <c r="K22" s="21">
        <v>0.13476415160317515</v>
      </c>
      <c r="L22" s="21">
        <v>0.13476415160317515</v>
      </c>
      <c r="M22" s="22"/>
      <c r="N22" s="22"/>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B94EE-CFC2-41D3-BF76-23C457ED279B}">
  <dimension ref="A1:AQ68"/>
  <sheetViews>
    <sheetView tabSelected="1" topLeftCell="F1" zoomScale="75" zoomScaleNormal="94" workbookViewId="0">
      <selection activeCell="P10" sqref="P10"/>
    </sheetView>
  </sheetViews>
  <sheetFormatPr defaultColWidth="8.83203125" defaultRowHeight="16"/>
  <cols>
    <col min="1" max="1" width="8.83203125" style="491"/>
    <col min="2" max="2" width="45.75" style="491" bestFit="1" customWidth="1"/>
    <col min="3" max="3" width="11.6640625" style="491" bestFit="1" customWidth="1"/>
    <col min="4" max="4" width="9.5" style="491" bestFit="1" customWidth="1"/>
    <col min="5" max="5" width="8.83203125" style="491" bestFit="1" customWidth="1"/>
    <col min="6" max="6" width="9.1640625" style="491" bestFit="1" customWidth="1"/>
    <col min="7" max="7" width="8.4140625" style="491" bestFit="1" customWidth="1"/>
    <col min="8" max="8" width="9.4140625" style="491" bestFit="1" customWidth="1"/>
    <col min="9" max="9" width="8.58203125" style="491" customWidth="1"/>
    <col min="10" max="10" width="10.83203125" style="491" customWidth="1"/>
    <col min="11" max="11" width="9.08203125" style="491" bestFit="1" customWidth="1"/>
    <col min="12" max="13" width="8.4140625" style="491" bestFit="1" customWidth="1"/>
    <col min="14" max="14" width="8.9140625" style="491" bestFit="1" customWidth="1"/>
    <col min="15" max="15" width="9.9140625" style="491" bestFit="1" customWidth="1"/>
    <col min="16" max="16384" width="8.83203125" style="491"/>
  </cols>
  <sheetData>
    <row r="1" spans="1:43" s="490" customFormat="1" ht="16.5">
      <c r="A1" s="39" t="s">
        <v>247</v>
      </c>
      <c r="B1" s="40"/>
      <c r="C1" s="41"/>
      <c r="D1" s="41"/>
      <c r="E1" s="41"/>
      <c r="F1" s="41"/>
      <c r="G1" s="41"/>
      <c r="H1" s="41"/>
      <c r="I1" s="41"/>
      <c r="J1" s="41"/>
      <c r="K1" s="41"/>
      <c r="L1" s="41"/>
      <c r="M1" s="41"/>
      <c r="N1" s="41"/>
      <c r="O1" s="41"/>
      <c r="P1" s="41"/>
      <c r="Q1" s="41"/>
      <c r="R1" s="41"/>
      <c r="S1" s="41"/>
      <c r="T1" s="41"/>
      <c r="U1" s="41"/>
      <c r="V1" s="41"/>
      <c r="W1" s="41"/>
      <c r="X1" s="41"/>
      <c r="Y1" s="41"/>
      <c r="Z1" s="41"/>
      <c r="AA1" s="41"/>
      <c r="AB1" s="41"/>
      <c r="AC1" s="41"/>
      <c r="AD1" s="41"/>
      <c r="AE1" s="41"/>
      <c r="AF1" s="41"/>
      <c r="AG1" s="41"/>
      <c r="AH1" s="41"/>
      <c r="AI1" s="41"/>
      <c r="AJ1" s="41"/>
      <c r="AK1" s="41"/>
      <c r="AL1" s="41"/>
      <c r="AM1" s="41"/>
      <c r="AN1" s="41"/>
      <c r="AO1" s="41"/>
      <c r="AP1" s="41"/>
      <c r="AQ1" s="41"/>
    </row>
    <row r="2" spans="1:43" s="44" customFormat="1" ht="22.5">
      <c r="A2" s="42" t="s">
        <v>248</v>
      </c>
      <c r="B2" s="43"/>
    </row>
    <row r="3" spans="1:43" s="490" customFormat="1" ht="17.5">
      <c r="A3" s="45" t="s">
        <v>275</v>
      </c>
      <c r="B3" s="46"/>
      <c r="C3" s="47"/>
      <c r="D3" s="47"/>
      <c r="E3" s="47"/>
      <c r="F3" s="47"/>
      <c r="G3" s="47"/>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row>
    <row r="4" spans="1:43">
      <c r="C4" s="492"/>
      <c r="D4" s="492"/>
      <c r="F4" s="492"/>
      <c r="G4" s="575"/>
    </row>
    <row r="5" spans="1:43" ht="16.5">
      <c r="B5" s="48" t="s">
        <v>258</v>
      </c>
      <c r="C5" s="49" t="s">
        <v>213</v>
      </c>
      <c r="D5" s="49" t="s">
        <v>214</v>
      </c>
      <c r="E5" s="49" t="s">
        <v>429</v>
      </c>
      <c r="F5" s="49" t="s">
        <v>249</v>
      </c>
      <c r="G5" s="49" t="s">
        <v>250</v>
      </c>
      <c r="H5" s="49" t="s">
        <v>251</v>
      </c>
      <c r="I5" s="49" t="s">
        <v>252</v>
      </c>
      <c r="J5" s="49" t="s">
        <v>253</v>
      </c>
      <c r="K5" s="49" t="s">
        <v>553</v>
      </c>
      <c r="L5" s="49" t="s">
        <v>254</v>
      </c>
      <c r="M5" s="578"/>
    </row>
    <row r="6" spans="1:43" ht="16.5">
      <c r="B6" s="31" t="s">
        <v>255</v>
      </c>
      <c r="C6" s="29">
        <f>'IS(Quaterly)'!L10</f>
        <v>34587.214899999999</v>
      </c>
      <c r="D6" s="29">
        <f>'IS(Quaterly)'!M10</f>
        <v>48893.652609999997</v>
      </c>
      <c r="E6" s="29">
        <f>'IS(Quaterly)'!N10</f>
        <v>41765.843679999998</v>
      </c>
      <c r="F6" s="29">
        <f>F8+F10+F12+F14</f>
        <v>50314.986346666665</v>
      </c>
      <c r="G6" s="29">
        <f>G8+G10+G12+G14</f>
        <v>143990.83316488011</v>
      </c>
      <c r="H6" s="29">
        <f>H8+H10+H12+H14</f>
        <v>219447.31258784307</v>
      </c>
      <c r="I6" s="29">
        <f>I8+I10+I12+I14</f>
        <v>212606.60546179369</v>
      </c>
      <c r="J6" s="29">
        <f>J8+J10+J12+J14</f>
        <v>215989.91707150562</v>
      </c>
      <c r="K6" s="524">
        <f>SUM(C6:F6)</f>
        <v>175561.69753666667</v>
      </c>
      <c r="L6" s="29">
        <f>SUM(G6:J6)</f>
        <v>792034.6682860225</v>
      </c>
      <c r="M6" s="578"/>
      <c r="N6" s="574"/>
      <c r="O6" s="578"/>
      <c r="P6" s="574"/>
    </row>
    <row r="7" spans="1:43" ht="16.5">
      <c r="B7" s="493" t="s">
        <v>256</v>
      </c>
      <c r="C7" s="493" t="s">
        <v>536</v>
      </c>
      <c r="D7" s="494">
        <f t="shared" ref="D7:J7" si="0">(D6-C6)/C6</f>
        <v>0.413633701104971</v>
      </c>
      <c r="E7" s="494">
        <f t="shared" si="0"/>
        <v>-0.14578188679939574</v>
      </c>
      <c r="F7" s="494">
        <f t="shared" si="0"/>
        <v>0.20469220572121499</v>
      </c>
      <c r="G7" s="494">
        <f t="shared" si="0"/>
        <v>1.8617881792274282</v>
      </c>
      <c r="H7" s="494">
        <f t="shared" si="0"/>
        <v>0.52403668875614973</v>
      </c>
      <c r="I7" s="494">
        <f t="shared" si="0"/>
        <v>-3.1172435175350351E-2</v>
      </c>
      <c r="J7" s="494">
        <f t="shared" si="0"/>
        <v>1.5913483037665686E-2</v>
      </c>
      <c r="K7" s="525" t="s">
        <v>536</v>
      </c>
      <c r="L7" s="494">
        <f>(L6-K6)/K6</f>
        <v>3.5114320458231121</v>
      </c>
      <c r="M7" s="578"/>
      <c r="N7" s="574"/>
      <c r="O7" s="578"/>
      <c r="P7" s="574"/>
    </row>
    <row r="8" spans="1:43" ht="17">
      <c r="B8" s="31" t="s">
        <v>276</v>
      </c>
      <c r="C8" s="29">
        <v>3000</v>
      </c>
      <c r="D8" s="29">
        <v>10000</v>
      </c>
      <c r="E8" s="29">
        <v>5000</v>
      </c>
      <c r="F8" s="29">
        <f>C20</f>
        <v>8000</v>
      </c>
      <c r="G8" s="29">
        <f>D20</f>
        <v>103950</v>
      </c>
      <c r="H8" s="29">
        <f>E20</f>
        <v>173250</v>
      </c>
      <c r="I8" s="29">
        <f>F20</f>
        <v>173250</v>
      </c>
      <c r="J8" s="29">
        <f>G20</f>
        <v>173250</v>
      </c>
      <c r="K8" s="524">
        <f>SUM(C8:F8)</f>
        <v>26000</v>
      </c>
      <c r="L8" s="29">
        <f>SUM(G8:J8)</f>
        <v>623700</v>
      </c>
      <c r="M8" s="607"/>
      <c r="N8" s="578"/>
      <c r="O8" s="579"/>
      <c r="P8" s="574"/>
    </row>
    <row r="9" spans="1:43" ht="16.5">
      <c r="B9" s="495" t="s">
        <v>257</v>
      </c>
      <c r="C9" s="495">
        <f t="shared" ref="C9:J9" si="1">C8/C$6</f>
        <v>8.673725272976518E-2</v>
      </c>
      <c r="D9" s="495">
        <f t="shared" si="1"/>
        <v>0.2045255256293686</v>
      </c>
      <c r="E9" s="495">
        <f t="shared" si="1"/>
        <v>0.11971504845703143</v>
      </c>
      <c r="F9" s="495">
        <f t="shared" si="1"/>
        <v>0.15899835378828428</v>
      </c>
      <c r="G9" s="495">
        <f t="shared" si="1"/>
        <v>0.72192095646095467</v>
      </c>
      <c r="H9" s="495">
        <f t="shared" si="1"/>
        <v>0.7894833523224366</v>
      </c>
      <c r="I9" s="495">
        <f t="shared" si="1"/>
        <v>0.81488531188243707</v>
      </c>
      <c r="J9" s="495">
        <f t="shared" si="1"/>
        <v>0.80212077651126579</v>
      </c>
      <c r="K9" s="526">
        <f>K8/K$6</f>
        <v>0.14809608453785775</v>
      </c>
      <c r="L9" s="495">
        <f>L8/L$6</f>
        <v>0.78746553020172494</v>
      </c>
      <c r="M9" s="578"/>
      <c r="N9" s="578"/>
      <c r="O9" s="579"/>
      <c r="P9" s="574"/>
    </row>
    <row r="10" spans="1:43" ht="17">
      <c r="B10" s="31" t="s">
        <v>530</v>
      </c>
      <c r="C10" s="29">
        <f>12922-3000</f>
        <v>9922</v>
      </c>
      <c r="D10" s="29">
        <f>35790-D8-C10-C8</f>
        <v>12868</v>
      </c>
      <c r="E10" s="29">
        <f>49828-D10-C10-E8-D8-C8</f>
        <v>9038</v>
      </c>
      <c r="F10" s="29">
        <f>C44</f>
        <v>14276.142666666667</v>
      </c>
      <c r="G10" s="29">
        <f>D44</f>
        <v>11210.702222222224</v>
      </c>
      <c r="H10" s="29">
        <f>E44</f>
        <v>18433.583629629633</v>
      </c>
      <c r="I10" s="29">
        <f>F44</f>
        <v>11415.142839506174</v>
      </c>
      <c r="J10" s="29">
        <f>G44</f>
        <v>14561.476230452678</v>
      </c>
      <c r="K10" s="524">
        <f>SUM(C10:F10)</f>
        <v>46104.142666666667</v>
      </c>
      <c r="L10" s="29">
        <f>SUM(G10:J10)</f>
        <v>55620.90492181071</v>
      </c>
      <c r="M10" s="607"/>
      <c r="N10" s="578"/>
      <c r="O10" s="579"/>
      <c r="P10" s="574"/>
    </row>
    <row r="11" spans="1:43" ht="16.5">
      <c r="B11" s="495" t="s">
        <v>257</v>
      </c>
      <c r="C11" s="495">
        <f t="shared" ref="C11:J13" si="2">C10/C$6</f>
        <v>0.28686900719491004</v>
      </c>
      <c r="D11" s="495">
        <f t="shared" si="2"/>
        <v>0.26318344637987151</v>
      </c>
      <c r="E11" s="495">
        <f t="shared" si="2"/>
        <v>0.21639692159093002</v>
      </c>
      <c r="F11" s="495">
        <f t="shared" si="2"/>
        <v>0.2837353978058359</v>
      </c>
      <c r="G11" s="495">
        <f t="shared" si="2"/>
        <v>7.7857055034782283E-2</v>
      </c>
      <c r="H11" s="495">
        <f t="shared" si="2"/>
        <v>8.4000042708432851E-2</v>
      </c>
      <c r="I11" s="495">
        <f t="shared" si="2"/>
        <v>5.3691383739991667E-2</v>
      </c>
      <c r="J11" s="495">
        <f t="shared" si="2"/>
        <v>6.741738886649952E-2</v>
      </c>
      <c r="K11" s="526">
        <f>K10/K$6</f>
        <v>0.26260934653492773</v>
      </c>
      <c r="L11" s="495">
        <f>L10/L$6</f>
        <v>7.0225341325241941E-2</v>
      </c>
      <c r="M11" s="578"/>
      <c r="N11" s="578"/>
      <c r="O11" s="579"/>
      <c r="P11" s="574"/>
    </row>
    <row r="12" spans="1:43" ht="17">
      <c r="B12" s="31" t="s">
        <v>277</v>
      </c>
      <c r="C12" s="29">
        <v>12512</v>
      </c>
      <c r="D12" s="29">
        <v>12688</v>
      </c>
      <c r="E12" s="29">
        <v>19189</v>
      </c>
      <c r="F12" s="29">
        <f>C54</f>
        <v>19500</v>
      </c>
      <c r="G12" s="29">
        <f>D54</f>
        <v>18691.684285991207</v>
      </c>
      <c r="H12" s="29">
        <f>E54</f>
        <v>18691.684285991207</v>
      </c>
      <c r="I12" s="29">
        <f>F54</f>
        <v>18691.684285991207</v>
      </c>
      <c r="J12" s="29">
        <f>G54</f>
        <v>18691.684285991207</v>
      </c>
      <c r="K12" s="524">
        <f>SUM(C12:F12)</f>
        <v>63889</v>
      </c>
      <c r="L12" s="29">
        <f>SUM(G12:J12)</f>
        <v>74766.737143964827</v>
      </c>
      <c r="M12" s="607"/>
      <c r="N12" s="574"/>
      <c r="O12" s="578"/>
      <c r="P12" s="574"/>
    </row>
    <row r="13" spans="1:43" ht="16.5">
      <c r="B13" s="495" t="s">
        <v>257</v>
      </c>
      <c r="C13" s="495">
        <f>C12/C$6</f>
        <v>0.36175216871827398</v>
      </c>
      <c r="D13" s="495">
        <f>D12/D$6</f>
        <v>0.25950198691854287</v>
      </c>
      <c r="E13" s="495">
        <f>E12/E$6</f>
        <v>0.45944241296839528</v>
      </c>
      <c r="F13" s="495">
        <f t="shared" si="2"/>
        <v>0.38755848735894294</v>
      </c>
      <c r="G13" s="495">
        <f t="shared" si="2"/>
        <v>0.12981162672062499</v>
      </c>
      <c r="H13" s="495">
        <f t="shared" si="2"/>
        <v>8.5176182226014127E-2</v>
      </c>
      <c r="I13" s="495">
        <f t="shared" si="2"/>
        <v>8.7916761783538203E-2</v>
      </c>
      <c r="J13" s="495">
        <f t="shared" si="2"/>
        <v>8.6539615086768787E-2</v>
      </c>
      <c r="K13" s="526">
        <f>K12/K$6</f>
        <v>0.3639119517322767</v>
      </c>
      <c r="L13" s="495">
        <f>L12/L$6</f>
        <v>9.4398313783109283E-2</v>
      </c>
      <c r="M13" s="578"/>
      <c r="N13" s="574"/>
      <c r="O13" s="578"/>
      <c r="P13" s="574"/>
    </row>
    <row r="14" spans="1:43" ht="16.5">
      <c r="B14" s="31" t="s">
        <v>278</v>
      </c>
      <c r="C14" s="29">
        <v>9153.214899999999</v>
      </c>
      <c r="D14" s="29">
        <v>13337.652609999997</v>
      </c>
      <c r="E14" s="29">
        <v>8538.8436799999981</v>
      </c>
      <c r="F14" s="29">
        <f>E14</f>
        <v>8538.8436799999981</v>
      </c>
      <c r="G14" s="29">
        <f>AVERAGE(D14:F14)</f>
        <v>10138.446656666665</v>
      </c>
      <c r="H14" s="29">
        <f>AVERAGE(E14:G14)</f>
        <v>9072.0446722222205</v>
      </c>
      <c r="I14" s="29">
        <f>AVERAGE(F14:H14)</f>
        <v>9249.7783362962946</v>
      </c>
      <c r="J14" s="29">
        <f>AVERAGE(G14:I14)</f>
        <v>9486.7565550617273</v>
      </c>
      <c r="K14" s="524">
        <f>SUM(C14:F14)</f>
        <v>39568.554869999993</v>
      </c>
      <c r="L14" s="29">
        <f>SUM(G14:J14)</f>
        <v>37947.026220246909</v>
      </c>
      <c r="M14" s="578"/>
      <c r="N14" s="574"/>
      <c r="O14" s="574"/>
      <c r="P14" s="574"/>
    </row>
    <row r="15" spans="1:43" ht="16.5">
      <c r="B15" s="494" t="s">
        <v>257</v>
      </c>
      <c r="C15" s="494">
        <f t="shared" ref="C15:J15" si="3">C14/C$6</f>
        <v>0.26464157135705074</v>
      </c>
      <c r="D15" s="494">
        <f t="shared" si="3"/>
        <v>0.27278904107221696</v>
      </c>
      <c r="E15" s="494">
        <f t="shared" si="3"/>
        <v>0.20444561698364327</v>
      </c>
      <c r="F15" s="494">
        <f t="shared" si="3"/>
        <v>0.16970776104693688</v>
      </c>
      <c r="G15" s="494">
        <f t="shared" si="3"/>
        <v>7.0410361783637965E-2</v>
      </c>
      <c r="H15" s="494">
        <f t="shared" si="3"/>
        <v>4.1340422743116306E-2</v>
      </c>
      <c r="I15" s="494">
        <f t="shared" si="3"/>
        <v>4.3506542594032992E-2</v>
      </c>
      <c r="J15" s="494">
        <f t="shared" si="3"/>
        <v>4.3922219535465823E-2</v>
      </c>
      <c r="K15" s="525">
        <f>K14/K$6</f>
        <v>0.22538261719493777</v>
      </c>
      <c r="L15" s="494">
        <f>L14/L$6</f>
        <v>4.7910814689923822E-2</v>
      </c>
      <c r="M15" s="578"/>
    </row>
    <row r="16" spans="1:43" ht="16.5">
      <c r="B16" s="495"/>
      <c r="C16" s="495"/>
      <c r="D16" s="495"/>
      <c r="E16" s="495"/>
      <c r="F16" s="495"/>
      <c r="G16" s="495"/>
      <c r="H16" s="495"/>
      <c r="I16" s="495"/>
      <c r="J16" s="495"/>
      <c r="K16" s="495"/>
      <c r="L16" s="495"/>
      <c r="M16" s="495"/>
    </row>
    <row r="17" spans="2:23" s="498" customFormat="1" ht="16.5">
      <c r="B17" s="496" t="s">
        <v>544</v>
      </c>
      <c r="C17" s="497"/>
      <c r="D17" s="497"/>
      <c r="E17" s="497"/>
      <c r="F17" s="497"/>
      <c r="G17" s="497"/>
      <c r="H17" s="497"/>
      <c r="I17" s="497"/>
      <c r="J17" s="497"/>
      <c r="K17" s="497"/>
      <c r="L17" s="497"/>
      <c r="M17" s="497"/>
    </row>
    <row r="19" spans="2:23" ht="16.5">
      <c r="B19" s="48" t="s">
        <v>258</v>
      </c>
      <c r="C19" s="49" t="s">
        <v>249</v>
      </c>
      <c r="D19" s="49" t="s">
        <v>250</v>
      </c>
      <c r="E19" s="49" t="s">
        <v>251</v>
      </c>
      <c r="F19" s="49" t="s">
        <v>252</v>
      </c>
      <c r="G19" s="49" t="s">
        <v>253</v>
      </c>
      <c r="H19" s="49" t="s">
        <v>254</v>
      </c>
      <c r="I19" s="50"/>
      <c r="J19" s="587" t="s">
        <v>545</v>
      </c>
      <c r="K19" s="587"/>
      <c r="L19" s="587"/>
      <c r="M19" s="49"/>
      <c r="N19" s="50"/>
    </row>
    <row r="20" spans="2:23" ht="16.5">
      <c r="B20" s="31" t="s">
        <v>276</v>
      </c>
      <c r="C20" s="29">
        <v>8000</v>
      </c>
      <c r="D20" s="29">
        <f>D34</f>
        <v>103950</v>
      </c>
      <c r="E20" s="29">
        <f>E34</f>
        <v>173250</v>
      </c>
      <c r="F20" s="29">
        <f>F34</f>
        <v>173250</v>
      </c>
      <c r="G20" s="29">
        <f>G34</f>
        <v>173250</v>
      </c>
      <c r="H20" s="524">
        <f>SUM(D20:G20)</f>
        <v>623700</v>
      </c>
      <c r="J20" s="590" t="s">
        <v>540</v>
      </c>
      <c r="K20" s="590"/>
      <c r="L20" s="590"/>
      <c r="M20" s="573">
        <v>1.5</v>
      </c>
      <c r="N20" s="499"/>
    </row>
    <row r="21" spans="2:23" ht="16.5">
      <c r="B21" s="493" t="s">
        <v>256</v>
      </c>
      <c r="C21" s="494" t="s">
        <v>536</v>
      </c>
      <c r="D21" s="494">
        <f>(D20-C20)/C20</f>
        <v>11.99375</v>
      </c>
      <c r="E21" s="494">
        <f>(E20-D20)/D20</f>
        <v>0.66666666666666663</v>
      </c>
      <c r="F21" s="494">
        <f>(F20-E20)/E20</f>
        <v>0</v>
      </c>
      <c r="G21" s="494">
        <f>(G20-F20)/F20</f>
        <v>0</v>
      </c>
      <c r="H21" s="525" t="s">
        <v>536</v>
      </c>
      <c r="J21" s="591" t="s">
        <v>539</v>
      </c>
      <c r="K21" s="591"/>
      <c r="L21" s="591"/>
      <c r="M21" s="502">
        <v>2200</v>
      </c>
    </row>
    <row r="22" spans="2:23" ht="16.5">
      <c r="B22" s="500"/>
      <c r="C22" s="500"/>
      <c r="D22" s="495"/>
      <c r="E22" s="495"/>
      <c r="F22" s="495"/>
      <c r="G22" s="495"/>
      <c r="H22" s="495"/>
      <c r="I22" s="495"/>
      <c r="J22" s="495"/>
      <c r="K22" s="495"/>
      <c r="L22" s="495"/>
      <c r="M22" s="495"/>
      <c r="P22" s="501"/>
    </row>
    <row r="23" spans="2:23" ht="16.5">
      <c r="B23" s="48" t="s">
        <v>280</v>
      </c>
      <c r="C23" s="49" t="s">
        <v>249</v>
      </c>
      <c r="D23" s="49" t="s">
        <v>250</v>
      </c>
      <c r="E23" s="49" t="s">
        <v>251</v>
      </c>
      <c r="F23" s="49" t="s">
        <v>252</v>
      </c>
      <c r="G23" s="49" t="s">
        <v>253</v>
      </c>
      <c r="H23" s="49" t="s">
        <v>254</v>
      </c>
      <c r="I23" s="50"/>
      <c r="P23" s="60"/>
    </row>
    <row r="24" spans="2:23" ht="16.5">
      <c r="B24" s="74" t="s">
        <v>546</v>
      </c>
      <c r="C24" s="74" t="s">
        <v>536</v>
      </c>
      <c r="D24" s="34">
        <f>D25+D28</f>
        <v>45</v>
      </c>
      <c r="E24" s="34">
        <f>E25+E28</f>
        <v>75</v>
      </c>
      <c r="F24" s="34">
        <f>F25+F28</f>
        <v>75</v>
      </c>
      <c r="G24" s="34">
        <f>G25+G28</f>
        <v>75</v>
      </c>
      <c r="H24" s="527">
        <f>SUM(D24:G24)</f>
        <v>270</v>
      </c>
      <c r="I24" s="29"/>
      <c r="J24" s="57" t="s">
        <v>566</v>
      </c>
      <c r="P24" s="60"/>
    </row>
    <row r="25" spans="2:23" ht="16.5">
      <c r="B25" s="31" t="s">
        <v>285</v>
      </c>
      <c r="C25" s="31" t="s">
        <v>536</v>
      </c>
      <c r="D25" s="29">
        <f>D27*3</f>
        <v>15</v>
      </c>
      <c r="E25" s="29">
        <f>E27*3</f>
        <v>45</v>
      </c>
      <c r="F25" s="29">
        <f>F27*3</f>
        <v>30</v>
      </c>
      <c r="G25" s="29">
        <f>G27*3</f>
        <v>30</v>
      </c>
      <c r="H25" s="524">
        <f>SUM(D25:G25)</f>
        <v>120</v>
      </c>
      <c r="I25" s="29"/>
      <c r="J25" s="57"/>
      <c r="O25" s="499"/>
      <c r="P25" s="60"/>
    </row>
    <row r="26" spans="2:23" ht="16.5">
      <c r="B26" s="31" t="s">
        <v>538</v>
      </c>
      <c r="C26" s="31" t="s">
        <v>536</v>
      </c>
      <c r="D26" s="29">
        <f>D27</f>
        <v>5</v>
      </c>
      <c r="E26" s="29">
        <f>D26+E27</f>
        <v>20</v>
      </c>
      <c r="F26" s="29">
        <f>E26+F27</f>
        <v>30</v>
      </c>
      <c r="G26" s="29">
        <f>F26+G27</f>
        <v>40</v>
      </c>
      <c r="H26" s="524">
        <f>SUM(D26:G26)</f>
        <v>95</v>
      </c>
      <c r="I26" s="29"/>
      <c r="J26" s="57" t="s">
        <v>565</v>
      </c>
      <c r="L26" s="495"/>
      <c r="M26" s="495"/>
      <c r="O26" s="499"/>
      <c r="P26" s="60"/>
    </row>
    <row r="27" spans="2:23" ht="16.5">
      <c r="B27" s="75" t="s">
        <v>537</v>
      </c>
      <c r="C27" s="75" t="s">
        <v>536</v>
      </c>
      <c r="D27" s="34">
        <v>5</v>
      </c>
      <c r="E27" s="34">
        <v>15</v>
      </c>
      <c r="F27" s="34">
        <v>10</v>
      </c>
      <c r="G27" s="34">
        <v>10</v>
      </c>
      <c r="H27" s="527" t="s">
        <v>536</v>
      </c>
      <c r="I27" s="29"/>
      <c r="J27" s="57"/>
    </row>
    <row r="28" spans="2:23" ht="16.5">
      <c r="B28" s="31" t="s">
        <v>286</v>
      </c>
      <c r="C28" s="31" t="s">
        <v>536</v>
      </c>
      <c r="D28" s="29">
        <f>D30*3</f>
        <v>30</v>
      </c>
      <c r="E28" s="29">
        <f>E30*3</f>
        <v>30</v>
      </c>
      <c r="F28" s="29">
        <f>F30*3</f>
        <v>45</v>
      </c>
      <c r="G28" s="29">
        <f>G30*3</f>
        <v>45</v>
      </c>
      <c r="H28" s="524">
        <f>SUM(D28:G28)</f>
        <v>150</v>
      </c>
      <c r="I28" s="29"/>
      <c r="J28" s="57"/>
      <c r="K28" s="57"/>
      <c r="L28" s="29"/>
      <c r="M28" s="29"/>
      <c r="N28" s="29"/>
      <c r="O28" s="29"/>
      <c r="P28" s="29"/>
      <c r="S28" s="495"/>
    </row>
    <row r="29" spans="2:23" ht="16.5">
      <c r="B29" s="31" t="s">
        <v>535</v>
      </c>
      <c r="C29" s="31" t="s">
        <v>536</v>
      </c>
      <c r="D29" s="29">
        <f>D30</f>
        <v>10</v>
      </c>
      <c r="E29" s="29">
        <f>D29+E30</f>
        <v>20</v>
      </c>
      <c r="F29" s="29">
        <f>E29+F30</f>
        <v>35</v>
      </c>
      <c r="G29" s="29">
        <f>F29+G30</f>
        <v>50</v>
      </c>
      <c r="H29" s="524">
        <f>SUM(D29:G29)</f>
        <v>115</v>
      </c>
      <c r="I29" s="29"/>
      <c r="J29" s="57" t="s">
        <v>564</v>
      </c>
      <c r="K29" s="57"/>
      <c r="L29" s="29"/>
      <c r="M29" s="29"/>
      <c r="N29" s="29"/>
      <c r="O29" s="29"/>
      <c r="P29" s="29"/>
      <c r="S29" s="495"/>
    </row>
    <row r="30" spans="2:23" ht="16.5">
      <c r="B30" s="75" t="s">
        <v>534</v>
      </c>
      <c r="C30" s="75" t="s">
        <v>536</v>
      </c>
      <c r="D30" s="34">
        <v>10</v>
      </c>
      <c r="E30" s="34">
        <v>10</v>
      </c>
      <c r="F30" s="34">
        <v>15</v>
      </c>
      <c r="G30" s="34">
        <v>15</v>
      </c>
      <c r="H30" s="527" t="s">
        <v>536</v>
      </c>
      <c r="I30" s="29"/>
      <c r="J30" s="57"/>
      <c r="K30" s="57"/>
      <c r="L30" s="29"/>
      <c r="M30" s="29"/>
      <c r="N30" s="29"/>
      <c r="O30" s="29"/>
      <c r="P30" s="29"/>
      <c r="Q30" s="29"/>
      <c r="R30" s="29"/>
      <c r="S30" s="495"/>
    </row>
    <row r="31" spans="2:23" ht="16.5">
      <c r="B31" s="31" t="s">
        <v>281</v>
      </c>
      <c r="C31" s="29">
        <v>4</v>
      </c>
      <c r="D31" s="29">
        <f>D24*$M$20</f>
        <v>67.5</v>
      </c>
      <c r="E31" s="29">
        <f>E24*$M$20</f>
        <v>112.5</v>
      </c>
      <c r="F31" s="29">
        <f>F24*$M$20</f>
        <v>112.5</v>
      </c>
      <c r="G31" s="29">
        <f>G24*$M$20</f>
        <v>112.5</v>
      </c>
      <c r="H31" s="524">
        <f>H24*$M$20</f>
        <v>405</v>
      </c>
      <c r="I31" s="29"/>
      <c r="J31" s="57" t="s">
        <v>563</v>
      </c>
      <c r="K31" s="57"/>
      <c r="L31" s="495"/>
      <c r="M31" s="495"/>
      <c r="N31" s="495"/>
      <c r="O31" s="495"/>
      <c r="P31" s="495"/>
      <c r="Q31" s="495"/>
      <c r="R31" s="495"/>
      <c r="S31" s="495"/>
      <c r="T31" s="29"/>
      <c r="U31" s="29"/>
      <c r="V31" s="29"/>
      <c r="W31" s="29"/>
    </row>
    <row r="32" spans="2:23" ht="16.5">
      <c r="B32" s="33" t="s">
        <v>283</v>
      </c>
      <c r="C32" s="34">
        <f t="shared" ref="C32:H32" si="4">C31*$M$21</f>
        <v>8800</v>
      </c>
      <c r="D32" s="34">
        <f t="shared" si="4"/>
        <v>148500</v>
      </c>
      <c r="E32" s="34">
        <f t="shared" si="4"/>
        <v>247500</v>
      </c>
      <c r="F32" s="34">
        <f t="shared" si="4"/>
        <v>247500</v>
      </c>
      <c r="G32" s="34">
        <f t="shared" si="4"/>
        <v>247500</v>
      </c>
      <c r="H32" s="527">
        <f t="shared" si="4"/>
        <v>891000</v>
      </c>
      <c r="I32" s="29"/>
      <c r="J32" s="57" t="s">
        <v>562</v>
      </c>
      <c r="K32" s="57"/>
    </row>
    <row r="33" spans="2:13" ht="16.5">
      <c r="B33" s="31" t="s">
        <v>282</v>
      </c>
      <c r="C33" s="29">
        <v>4</v>
      </c>
      <c r="D33" s="29">
        <f>D31*0.7</f>
        <v>47.25</v>
      </c>
      <c r="E33" s="29">
        <f>E31*0.7</f>
        <v>78.75</v>
      </c>
      <c r="F33" s="29">
        <f>F31*0.7</f>
        <v>78.75</v>
      </c>
      <c r="G33" s="29">
        <f>G31*0.7</f>
        <v>78.75</v>
      </c>
      <c r="H33" s="524">
        <f>H31*0.7</f>
        <v>283.5</v>
      </c>
      <c r="I33" s="29"/>
      <c r="J33" s="57" t="s">
        <v>561</v>
      </c>
      <c r="K33" s="57"/>
    </row>
    <row r="34" spans="2:13" ht="16.5">
      <c r="B34" s="33" t="s">
        <v>284</v>
      </c>
      <c r="C34" s="34">
        <f t="shared" ref="C34:H34" si="5">C33*$M$21</f>
        <v>8800</v>
      </c>
      <c r="D34" s="34">
        <f t="shared" si="5"/>
        <v>103950</v>
      </c>
      <c r="E34" s="34">
        <f t="shared" si="5"/>
        <v>173250</v>
      </c>
      <c r="F34" s="34">
        <f t="shared" si="5"/>
        <v>173250</v>
      </c>
      <c r="G34" s="34">
        <f t="shared" si="5"/>
        <v>173250</v>
      </c>
      <c r="H34" s="527">
        <f t="shared" si="5"/>
        <v>623700</v>
      </c>
      <c r="I34" s="29"/>
      <c r="J34" s="57" t="s">
        <v>560</v>
      </c>
      <c r="K34" s="57"/>
    </row>
    <row r="35" spans="2:13" ht="16.5">
      <c r="J35" s="57"/>
      <c r="K35" s="57"/>
    </row>
    <row r="36" spans="2:13" ht="16.5">
      <c r="B36" s="48" t="s">
        <v>570</v>
      </c>
      <c r="C36" s="49" t="s">
        <v>249</v>
      </c>
      <c r="D36" s="49" t="s">
        <v>250</v>
      </c>
      <c r="E36" s="49" t="s">
        <v>251</v>
      </c>
      <c r="F36" s="49" t="s">
        <v>252</v>
      </c>
      <c r="G36" s="49" t="s">
        <v>253</v>
      </c>
      <c r="H36" s="49" t="s">
        <v>254</v>
      </c>
      <c r="J36" s="57"/>
      <c r="K36" s="57"/>
    </row>
    <row r="37" spans="2:13" ht="16.5">
      <c r="B37" s="488" t="s">
        <v>533</v>
      </c>
      <c r="C37" s="487">
        <f>C38*C39*3</f>
        <v>54</v>
      </c>
      <c r="D37" s="487">
        <f>D38*D39*3</f>
        <v>54</v>
      </c>
      <c r="E37" s="487">
        <f>E38*E39*3</f>
        <v>68.25</v>
      </c>
      <c r="F37" s="487">
        <f>F38*F39*3</f>
        <v>84</v>
      </c>
      <c r="G37" s="487">
        <f>G38*G39*3</f>
        <v>84</v>
      </c>
      <c r="H37" s="524">
        <f>SUM(D37:G37)</f>
        <v>290.25</v>
      </c>
      <c r="J37" s="57" t="s">
        <v>583</v>
      </c>
      <c r="K37" s="57"/>
    </row>
    <row r="38" spans="2:13" ht="16.5">
      <c r="B38" s="486" t="s">
        <v>532</v>
      </c>
      <c r="C38" s="485">
        <v>30</v>
      </c>
      <c r="D38" s="26">
        <v>30</v>
      </c>
      <c r="E38" s="26">
        <v>35</v>
      </c>
      <c r="F38" s="26">
        <v>40</v>
      </c>
      <c r="G38" s="26">
        <v>40</v>
      </c>
      <c r="H38" s="531">
        <f>SUM(D38:G38)</f>
        <v>145</v>
      </c>
      <c r="J38" s="503"/>
    </row>
    <row r="39" spans="2:13" ht="16.5">
      <c r="B39" s="74" t="s">
        <v>531</v>
      </c>
      <c r="C39" s="484">
        <v>0.6</v>
      </c>
      <c r="D39" s="483">
        <v>0.6</v>
      </c>
      <c r="E39" s="483">
        <v>0.65</v>
      </c>
      <c r="F39" s="483">
        <v>0.7</v>
      </c>
      <c r="G39" s="483">
        <v>0.7</v>
      </c>
      <c r="H39" s="527" t="s">
        <v>536</v>
      </c>
      <c r="J39" s="499"/>
    </row>
    <row r="40" spans="2:13" ht="16.5">
      <c r="B40" s="60"/>
      <c r="C40" s="60"/>
      <c r="D40" s="60"/>
      <c r="E40" s="60"/>
      <c r="F40" s="60"/>
      <c r="G40" s="60"/>
      <c r="H40" s="60"/>
      <c r="I40" s="60"/>
      <c r="J40" s="499"/>
    </row>
    <row r="41" spans="2:13" s="498" customFormat="1" ht="16.5">
      <c r="B41" s="496" t="s">
        <v>547</v>
      </c>
      <c r="C41" s="497"/>
      <c r="D41" s="497"/>
      <c r="E41" s="497"/>
      <c r="F41" s="497"/>
      <c r="G41" s="497"/>
      <c r="H41" s="497"/>
      <c r="I41" s="497"/>
      <c r="J41" s="497"/>
      <c r="K41" s="497"/>
      <c r="L41" s="497"/>
      <c r="M41" s="497"/>
    </row>
    <row r="42" spans="2:13" ht="16.5">
      <c r="C42" s="60"/>
      <c r="D42" s="60"/>
      <c r="E42" s="60"/>
      <c r="F42" s="60"/>
      <c r="G42" s="60"/>
      <c r="H42" s="60"/>
      <c r="I42" s="60"/>
      <c r="J42" s="499"/>
    </row>
    <row r="43" spans="2:13" ht="16.5">
      <c r="B43" s="48" t="s">
        <v>258</v>
      </c>
      <c r="C43" s="49" t="s">
        <v>249</v>
      </c>
      <c r="D43" s="49" t="s">
        <v>250</v>
      </c>
      <c r="E43" s="49" t="s">
        <v>251</v>
      </c>
      <c r="F43" s="49" t="s">
        <v>252</v>
      </c>
      <c r="G43" s="49" t="s">
        <v>253</v>
      </c>
      <c r="H43" s="49" t="s">
        <v>254</v>
      </c>
      <c r="I43" s="60"/>
      <c r="J43" s="587" t="s">
        <v>258</v>
      </c>
      <c r="K43" s="587"/>
      <c r="L43" s="587"/>
      <c r="M43" s="49" t="s">
        <v>522</v>
      </c>
    </row>
    <row r="44" spans="2:13" ht="16.5">
      <c r="B44" s="31" t="s">
        <v>530</v>
      </c>
      <c r="C44" s="29">
        <f t="shared" ref="C44:H44" si="6">C46+C48</f>
        <v>14276.142666666667</v>
      </c>
      <c r="D44" s="29">
        <f t="shared" si="6"/>
        <v>11210.702222222224</v>
      </c>
      <c r="E44" s="29">
        <f t="shared" si="6"/>
        <v>18433.583629629633</v>
      </c>
      <c r="F44" s="29">
        <f t="shared" si="6"/>
        <v>11415.142839506174</v>
      </c>
      <c r="G44" s="29">
        <f t="shared" si="6"/>
        <v>14561.476230452678</v>
      </c>
      <c r="H44" s="524">
        <f t="shared" si="6"/>
        <v>69897.047588477377</v>
      </c>
      <c r="I44" s="60"/>
      <c r="J44" s="592" t="s">
        <v>528</v>
      </c>
      <c r="K44" s="592"/>
      <c r="L44" s="592"/>
      <c r="M44" s="482">
        <v>500</v>
      </c>
    </row>
    <row r="45" spans="2:13" ht="16.5">
      <c r="B45" s="493" t="s">
        <v>256</v>
      </c>
      <c r="C45" s="494" t="s">
        <v>536</v>
      </c>
      <c r="D45" s="494">
        <f>(D44-C44)/C44</f>
        <v>-0.21472469952278725</v>
      </c>
      <c r="E45" s="494">
        <f>(E44-D44)/D44</f>
        <v>0.64428447605092698</v>
      </c>
      <c r="F45" s="494">
        <f>(F44-E44)/E44</f>
        <v>-0.3807420700792119</v>
      </c>
      <c r="G45" s="494">
        <f>(G44-F44)/F44</f>
        <v>0.27562803507438333</v>
      </c>
      <c r="H45" s="525" t="s">
        <v>536</v>
      </c>
      <c r="J45" s="589" t="s">
        <v>526</v>
      </c>
      <c r="K45" s="589"/>
      <c r="L45" s="589"/>
      <c r="M45" s="505">
        <v>300</v>
      </c>
    </row>
    <row r="46" spans="2:13" ht="16.5">
      <c r="B46" s="481" t="s">
        <v>529</v>
      </c>
      <c r="C46" s="482">
        <f t="shared" ref="C46:H46" si="7">C47*$M$44</f>
        <v>8276.1426666666666</v>
      </c>
      <c r="D46" s="482">
        <f t="shared" si="7"/>
        <v>8060.702222222224</v>
      </c>
      <c r="E46" s="482">
        <f t="shared" si="7"/>
        <v>8458.5836296296311</v>
      </c>
      <c r="F46" s="482">
        <f t="shared" si="7"/>
        <v>8265.1428395061739</v>
      </c>
      <c r="G46" s="482">
        <f t="shared" si="7"/>
        <v>8261.4762304526776</v>
      </c>
      <c r="H46" s="528">
        <f t="shared" si="7"/>
        <v>41322.047588477377</v>
      </c>
      <c r="I46" s="482"/>
      <c r="J46" s="57" t="s">
        <v>576</v>
      </c>
    </row>
    <row r="47" spans="2:13" ht="16.5">
      <c r="B47" s="504" t="s">
        <v>527</v>
      </c>
      <c r="C47" s="505">
        <v>16.552285333333334</v>
      </c>
      <c r="D47" s="505">
        <v>16.121404444444448</v>
      </c>
      <c r="E47" s="505">
        <v>16.917167259259262</v>
      </c>
      <c r="F47" s="505">
        <v>16.530285679012348</v>
      </c>
      <c r="G47" s="505">
        <v>16.522952460905355</v>
      </c>
      <c r="H47" s="529">
        <f>SUM(C47:G47)</f>
        <v>82.64409517695475</v>
      </c>
      <c r="I47" s="482"/>
    </row>
    <row r="48" spans="2:13" ht="16.5">
      <c r="B48" s="31" t="s">
        <v>525</v>
      </c>
      <c r="C48" s="482">
        <f t="shared" ref="C48:H48" si="8">C49*$M$45</f>
        <v>6000</v>
      </c>
      <c r="D48" s="482">
        <f t="shared" si="8"/>
        <v>3149.9999999999995</v>
      </c>
      <c r="E48" s="482">
        <f t="shared" si="8"/>
        <v>9975</v>
      </c>
      <c r="F48" s="482">
        <f t="shared" si="8"/>
        <v>3150</v>
      </c>
      <c r="G48" s="482">
        <f t="shared" si="8"/>
        <v>6300</v>
      </c>
      <c r="H48" s="528">
        <f t="shared" si="8"/>
        <v>28575</v>
      </c>
      <c r="J48" s="57" t="s">
        <v>574</v>
      </c>
    </row>
    <row r="49" spans="2:15" ht="16.5">
      <c r="B49" s="33" t="s">
        <v>524</v>
      </c>
      <c r="C49" s="505">
        <v>20</v>
      </c>
      <c r="D49" s="505">
        <v>10.499999999999998</v>
      </c>
      <c r="E49" s="505">
        <v>33.25</v>
      </c>
      <c r="F49" s="505">
        <v>10.5</v>
      </c>
      <c r="G49" s="505">
        <v>21</v>
      </c>
      <c r="H49" s="529">
        <f>SUM(C49:G49)</f>
        <v>95.25</v>
      </c>
      <c r="J49" s="57" t="s">
        <v>523</v>
      </c>
    </row>
    <row r="50" spans="2:15" ht="16.5">
      <c r="B50" s="31"/>
      <c r="C50" s="506"/>
      <c r="D50" s="506"/>
      <c r="E50" s="506"/>
      <c r="F50" s="506"/>
      <c r="G50" s="506"/>
      <c r="H50" s="506"/>
      <c r="J50" s="60"/>
    </row>
    <row r="51" spans="2:15" s="507" customFormat="1" ht="16.5">
      <c r="B51" s="496" t="s">
        <v>548</v>
      </c>
      <c r="J51" s="508"/>
    </row>
    <row r="52" spans="2:15" ht="16.5">
      <c r="J52" s="499"/>
    </row>
    <row r="53" spans="2:15" ht="16.5">
      <c r="B53" s="48" t="s">
        <v>571</v>
      </c>
      <c r="C53" s="49" t="s">
        <v>249</v>
      </c>
      <c r="D53" s="49" t="s">
        <v>250</v>
      </c>
      <c r="E53" s="49" t="s">
        <v>251</v>
      </c>
      <c r="F53" s="49" t="s">
        <v>252</v>
      </c>
      <c r="G53" s="49" t="s">
        <v>253</v>
      </c>
      <c r="H53" s="49" t="s">
        <v>254</v>
      </c>
      <c r="J53" s="587" t="s">
        <v>258</v>
      </c>
      <c r="K53" s="587"/>
      <c r="L53" s="587"/>
      <c r="M53" s="49" t="s">
        <v>522</v>
      </c>
    </row>
    <row r="54" spans="2:15" ht="16.5">
      <c r="B54" s="31" t="s">
        <v>521</v>
      </c>
      <c r="C54" s="482">
        <f>C56*$M$54</f>
        <v>19500</v>
      </c>
      <c r="D54" s="482">
        <f>D56*$M$54</f>
        <v>18691.684285991207</v>
      </c>
      <c r="E54" s="482">
        <f>E56*$M$54</f>
        <v>18691.684285991207</v>
      </c>
      <c r="F54" s="482">
        <f>F56*$M$54</f>
        <v>18691.684285991207</v>
      </c>
      <c r="G54" s="482">
        <f>G56*$M$54</f>
        <v>18691.684285991207</v>
      </c>
      <c r="H54" s="528">
        <f>SUM(D54:G54)</f>
        <v>74766.737143964827</v>
      </c>
      <c r="J54" s="588" t="s">
        <v>277</v>
      </c>
      <c r="K54" s="588"/>
      <c r="L54" s="588"/>
      <c r="M54" s="509">
        <v>30</v>
      </c>
    </row>
    <row r="55" spans="2:15" ht="16.5">
      <c r="B55" s="493" t="s">
        <v>256</v>
      </c>
      <c r="C55" s="494" t="s">
        <v>536</v>
      </c>
      <c r="D55" s="494">
        <f>(D54-C54)/C54</f>
        <v>-4.1452087897886833E-2</v>
      </c>
      <c r="E55" s="494">
        <f>(E54-D54)/D54</f>
        <v>0</v>
      </c>
      <c r="F55" s="494">
        <f>(F54-E54)/E54</f>
        <v>0</v>
      </c>
      <c r="G55" s="494">
        <f>(G54-F54)/F54</f>
        <v>0</v>
      </c>
      <c r="H55" s="525" t="s">
        <v>536</v>
      </c>
      <c r="J55" s="57" t="s">
        <v>575</v>
      </c>
      <c r="K55" s="489"/>
    </row>
    <row r="56" spans="2:15" ht="16.5">
      <c r="B56" s="510" t="s">
        <v>520</v>
      </c>
      <c r="C56" s="511">
        <v>650</v>
      </c>
      <c r="D56" s="511">
        <f>$O$61/4</f>
        <v>623.05614286637353</v>
      </c>
      <c r="E56" s="511">
        <f>$O$61/4</f>
        <v>623.05614286637353</v>
      </c>
      <c r="F56" s="511">
        <f>$O$61/4</f>
        <v>623.05614286637353</v>
      </c>
      <c r="G56" s="511">
        <f>$O$61/4</f>
        <v>623.05614286637353</v>
      </c>
      <c r="H56" s="530">
        <f>SUM(D56:G56)</f>
        <v>2492.2245714654941</v>
      </c>
    </row>
    <row r="58" spans="2:15" ht="16.5">
      <c r="B58" s="48" t="s">
        <v>258</v>
      </c>
      <c r="C58" s="48">
        <v>2014</v>
      </c>
      <c r="D58" s="48">
        <v>2015</v>
      </c>
      <c r="E58" s="48">
        <v>2016</v>
      </c>
      <c r="F58" s="48">
        <v>2017</v>
      </c>
      <c r="G58" s="48">
        <v>2018</v>
      </c>
      <c r="H58" s="48">
        <v>2019</v>
      </c>
      <c r="I58" s="48">
        <v>2020</v>
      </c>
      <c r="J58" s="48">
        <v>2021</v>
      </c>
      <c r="K58" s="48">
        <v>2022</v>
      </c>
      <c r="L58" s="48">
        <v>2023</v>
      </c>
      <c r="M58" s="48">
        <v>2024</v>
      </c>
      <c r="N58" s="570" t="s">
        <v>553</v>
      </c>
      <c r="O58" s="48" t="s">
        <v>254</v>
      </c>
    </row>
    <row r="59" spans="2:15" ht="16.5">
      <c r="B59" s="31" t="s">
        <v>519</v>
      </c>
      <c r="C59" s="31">
        <v>20</v>
      </c>
      <c r="D59" s="31">
        <v>20.833000000000002</v>
      </c>
      <c r="E59" s="31">
        <v>21.666999999999998</v>
      </c>
      <c r="F59" s="31">
        <v>22.5</v>
      </c>
      <c r="G59" s="31">
        <v>23.333000000000002</v>
      </c>
      <c r="H59" s="31">
        <v>24.167000000000002</v>
      </c>
      <c r="I59" s="31">
        <v>25</v>
      </c>
      <c r="J59" s="31">
        <v>25.833000000000002</v>
      </c>
      <c r="K59" s="31">
        <v>26.666999999999998</v>
      </c>
      <c r="L59" s="31">
        <v>27.5</v>
      </c>
      <c r="M59" s="567">
        <v>28.333000000000002</v>
      </c>
      <c r="N59" s="571">
        <v>29.166999999999998</v>
      </c>
      <c r="O59" s="31">
        <v>30</v>
      </c>
    </row>
    <row r="60" spans="2:15" ht="16.5">
      <c r="B60" s="481" t="s">
        <v>255</v>
      </c>
      <c r="C60" s="481">
        <v>22500</v>
      </c>
      <c r="D60" s="481">
        <v>31900</v>
      </c>
      <c r="E60" s="481">
        <v>28400</v>
      </c>
      <c r="F60" s="481">
        <v>42700</v>
      </c>
      <c r="G60" s="481">
        <v>41400</v>
      </c>
      <c r="H60" s="481">
        <v>39800</v>
      </c>
      <c r="I60" s="481">
        <v>42800</v>
      </c>
      <c r="J60" s="481">
        <v>45700</v>
      </c>
      <c r="K60" s="481">
        <v>55500</v>
      </c>
      <c r="L60" s="481">
        <v>38300</v>
      </c>
      <c r="M60" s="568">
        <v>48200</v>
      </c>
      <c r="N60" s="481">
        <v>61000</v>
      </c>
      <c r="O60" s="481">
        <f>O61*O59</f>
        <v>74766.737143964827</v>
      </c>
    </row>
    <row r="61" spans="2:15" ht="16.5">
      <c r="B61" s="31" t="s">
        <v>518</v>
      </c>
      <c r="C61" s="31">
        <f>C60/C59</f>
        <v>1125</v>
      </c>
      <c r="D61" s="31">
        <f t="shared" ref="D61:N61" si="9">D60/D59</f>
        <v>1531.2244995919934</v>
      </c>
      <c r="E61" s="31">
        <f t="shared" si="9"/>
        <v>1310.7490653989939</v>
      </c>
      <c r="F61" s="31">
        <f t="shared" si="9"/>
        <v>1897.7777777777778</v>
      </c>
      <c r="G61" s="31">
        <f t="shared" si="9"/>
        <v>1774.311061586594</v>
      </c>
      <c r="H61" s="31">
        <f t="shared" si="9"/>
        <v>1646.8738362229485</v>
      </c>
      <c r="I61" s="31">
        <f t="shared" si="9"/>
        <v>1712</v>
      </c>
      <c r="J61" s="31">
        <f t="shared" si="9"/>
        <v>1769.0550845817363</v>
      </c>
      <c r="K61" s="31">
        <f t="shared" si="9"/>
        <v>2081.2239847001915</v>
      </c>
      <c r="L61" s="31">
        <f t="shared" si="9"/>
        <v>1392.7272727272727</v>
      </c>
      <c r="M61" s="569">
        <f t="shared" si="9"/>
        <v>1701.1964846645253</v>
      </c>
      <c r="N61" s="31">
        <f t="shared" si="9"/>
        <v>2091.4046696609184</v>
      </c>
      <c r="O61" s="31">
        <f>N61+O62</f>
        <v>2492.2245714654941</v>
      </c>
    </row>
    <row r="62" spans="2:15" ht="16.5">
      <c r="B62" s="33" t="s">
        <v>517</v>
      </c>
      <c r="C62" s="33"/>
      <c r="D62" s="504">
        <f>D61-C61</f>
        <v>406.22449959199344</v>
      </c>
      <c r="E62" s="504">
        <f t="shared" ref="E62:N62" si="10">E61-D61</f>
        <v>-220.4754341929995</v>
      </c>
      <c r="F62" s="504">
        <f t="shared" si="10"/>
        <v>587.02871237878389</v>
      </c>
      <c r="G62" s="504">
        <f t="shared" si="10"/>
        <v>-123.46671619118388</v>
      </c>
      <c r="H62" s="504">
        <f t="shared" si="10"/>
        <v>-127.43722536364544</v>
      </c>
      <c r="I62" s="504">
        <f>I61-H61</f>
        <v>65.126163777051488</v>
      </c>
      <c r="J62" s="504">
        <f t="shared" si="10"/>
        <v>57.05508458173631</v>
      </c>
      <c r="K62" s="504">
        <f t="shared" si="10"/>
        <v>312.16890011845521</v>
      </c>
      <c r="L62" s="504">
        <f t="shared" si="10"/>
        <v>-688.49671197291877</v>
      </c>
      <c r="M62" s="572">
        <f t="shared" si="10"/>
        <v>308.46921193725257</v>
      </c>
      <c r="N62" s="504">
        <f t="shared" si="10"/>
        <v>390.20818499639313</v>
      </c>
      <c r="O62" s="504">
        <f>AVERAGE(D62,F62,M62,K62,N62)</f>
        <v>400.81990180457564</v>
      </c>
    </row>
    <row r="64" spans="2:15" s="507" customFormat="1" ht="16.5">
      <c r="B64" s="496" t="s">
        <v>278</v>
      </c>
      <c r="J64" s="508"/>
    </row>
    <row r="66" spans="2:10" ht="16.5">
      <c r="B66" s="48" t="s">
        <v>571</v>
      </c>
      <c r="C66" s="49" t="s">
        <v>249</v>
      </c>
      <c r="D66" s="49" t="s">
        <v>250</v>
      </c>
      <c r="E66" s="49" t="s">
        <v>251</v>
      </c>
      <c r="F66" s="49" t="s">
        <v>252</v>
      </c>
      <c r="G66" s="49" t="s">
        <v>253</v>
      </c>
      <c r="H66" s="49" t="s">
        <v>254</v>
      </c>
    </row>
    <row r="67" spans="2:10" ht="16.5">
      <c r="B67" s="31" t="s">
        <v>278</v>
      </c>
      <c r="C67" s="29">
        <f>E14</f>
        <v>8538.8436799999981</v>
      </c>
      <c r="D67" s="29">
        <f>AVERAGE(D14:F14)</f>
        <v>10138.446656666665</v>
      </c>
      <c r="E67" s="29">
        <f t="shared" ref="E67" si="11">AVERAGE(E14:G14)</f>
        <v>9072.0446722222205</v>
      </c>
      <c r="F67" s="29">
        <f>AVERAGE(C67:E67)</f>
        <v>9249.7783362962946</v>
      </c>
      <c r="G67" s="29">
        <f>AVERAGE(D67:F67)</f>
        <v>9486.7565550617273</v>
      </c>
      <c r="H67" s="524">
        <f>SUM(D67:G67)</f>
        <v>37947.026220246909</v>
      </c>
      <c r="J67" s="57" t="s">
        <v>572</v>
      </c>
    </row>
    <row r="68" spans="2:10" ht="16.5">
      <c r="B68" s="493" t="s">
        <v>256</v>
      </c>
      <c r="C68" s="494">
        <v>0.16970776104693688</v>
      </c>
      <c r="D68" s="494">
        <v>7.0410361783637965E-2</v>
      </c>
      <c r="E68" s="494">
        <v>4.1340422743116306E-2</v>
      </c>
      <c r="F68" s="494">
        <v>4.3506542594032992E-2</v>
      </c>
      <c r="G68" s="494">
        <v>3.0080988921417028E-3</v>
      </c>
      <c r="H68" s="525" t="s">
        <v>536</v>
      </c>
    </row>
  </sheetData>
  <mergeCells count="8">
    <mergeCell ref="J53:L53"/>
    <mergeCell ref="J54:L54"/>
    <mergeCell ref="J45:L45"/>
    <mergeCell ref="J19:L19"/>
    <mergeCell ref="J20:L20"/>
    <mergeCell ref="J21:L21"/>
    <mergeCell ref="J44:L44"/>
    <mergeCell ref="J43:L43"/>
  </mergeCells>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C637A-DC7C-4720-B6B1-250EED317222}">
  <sheetPr>
    <tabColor theme="3" tint="0.749992370372631"/>
  </sheetPr>
  <dimension ref="A1:AQ36"/>
  <sheetViews>
    <sheetView zoomScale="89" workbookViewId="0">
      <selection activeCell="H12" sqref="H12"/>
    </sheetView>
  </sheetViews>
  <sheetFormatPr defaultColWidth="8.83203125" defaultRowHeight="18"/>
  <cols>
    <col min="1" max="1" width="8.83203125" style="18"/>
    <col min="2" max="2" width="15.33203125" style="18" bestFit="1" customWidth="1"/>
    <col min="3" max="3" width="10.6640625" style="18" customWidth="1"/>
    <col min="4" max="4" width="8.33203125" style="18" bestFit="1" customWidth="1"/>
    <col min="5" max="5" width="12.08203125" style="18" bestFit="1" customWidth="1"/>
    <col min="6" max="6" width="8.33203125" style="18" bestFit="1" customWidth="1"/>
    <col min="7" max="7" width="8.33203125" style="54" bestFit="1" customWidth="1"/>
    <col min="8" max="8" width="9.5" style="54" bestFit="1" customWidth="1"/>
    <col min="9" max="9" width="8.83203125" style="54"/>
    <col min="10" max="10" width="7.9140625" style="54" bestFit="1" customWidth="1"/>
    <col min="11" max="16384" width="8.83203125" style="54"/>
  </cols>
  <sheetData>
    <row r="1" spans="1:43" s="52" customFormat="1" ht="17">
      <c r="A1" s="39" t="s">
        <v>247</v>
      </c>
      <c r="B1" s="40"/>
      <c r="C1" s="41"/>
      <c r="D1" s="41"/>
      <c r="E1" s="41"/>
      <c r="F1" s="41"/>
      <c r="G1" s="41"/>
      <c r="H1" s="41"/>
      <c r="I1" s="41"/>
      <c r="J1" s="41"/>
      <c r="K1" s="41"/>
      <c r="L1" s="41"/>
      <c r="M1" s="41"/>
      <c r="N1" s="41"/>
      <c r="O1" s="41"/>
      <c r="P1" s="41"/>
      <c r="Q1" s="41"/>
      <c r="R1" s="41"/>
      <c r="S1" s="41"/>
      <c r="T1" s="41"/>
      <c r="U1" s="41"/>
      <c r="V1" s="41"/>
      <c r="W1" s="41"/>
      <c r="X1" s="41"/>
      <c r="Y1" s="41"/>
      <c r="Z1" s="41"/>
      <c r="AA1" s="41"/>
      <c r="AB1" s="41"/>
      <c r="AC1" s="41"/>
      <c r="AD1" s="41"/>
      <c r="AE1" s="41"/>
      <c r="AF1" s="41"/>
      <c r="AG1" s="41"/>
      <c r="AH1" s="41"/>
      <c r="AI1" s="41"/>
      <c r="AJ1" s="41"/>
      <c r="AK1" s="41"/>
      <c r="AL1" s="41"/>
      <c r="AM1" s="41"/>
    </row>
    <row r="2" spans="1:43" s="44" customFormat="1" ht="22.5">
      <c r="A2" s="42" t="s">
        <v>567</v>
      </c>
      <c r="B2" s="43"/>
    </row>
    <row r="3" spans="1:43" s="16" customFormat="1" ht="17">
      <c r="A3" s="45" t="s">
        <v>211</v>
      </c>
      <c r="B3" s="46"/>
      <c r="C3" s="47"/>
      <c r="D3" s="47"/>
      <c r="E3" s="47"/>
      <c r="F3" s="47"/>
      <c r="G3" s="47"/>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row>
    <row r="4" spans="1:43" s="18" customFormat="1" ht="17">
      <c r="A4" s="22"/>
      <c r="B4" s="22"/>
      <c r="C4" s="22"/>
      <c r="D4" s="22"/>
      <c r="E4" s="22"/>
      <c r="F4" s="22"/>
      <c r="R4" s="22"/>
      <c r="S4" s="22"/>
      <c r="T4" s="22"/>
      <c r="U4" s="22"/>
    </row>
    <row r="5" spans="1:43">
      <c r="A5" s="22"/>
      <c r="B5" s="71" t="s">
        <v>568</v>
      </c>
      <c r="C5" s="71"/>
      <c r="D5" s="71"/>
      <c r="E5" s="71"/>
      <c r="F5" s="22"/>
    </row>
    <row r="6" spans="1:43">
      <c r="A6" s="22"/>
      <c r="B6" s="55" t="s">
        <v>259</v>
      </c>
      <c r="C6" s="56">
        <f>'Expected IS'!L21</f>
        <v>189532.87790419967</v>
      </c>
      <c r="D6" s="57" t="s">
        <v>260</v>
      </c>
      <c r="E6" s="57" t="s">
        <v>261</v>
      </c>
      <c r="F6" s="22"/>
    </row>
    <row r="7" spans="1:43">
      <c r="A7" s="22"/>
      <c r="B7" s="58" t="s">
        <v>262</v>
      </c>
      <c r="C7" s="561">
        <f>18</f>
        <v>18</v>
      </c>
      <c r="D7" s="59" t="s">
        <v>263</v>
      </c>
      <c r="E7" s="59" t="s">
        <v>264</v>
      </c>
      <c r="F7" s="22"/>
    </row>
    <row r="8" spans="1:43">
      <c r="A8" s="22"/>
      <c r="B8" s="60" t="s">
        <v>265</v>
      </c>
      <c r="C8" s="61">
        <f>WACC!E29</f>
        <v>38366816</v>
      </c>
      <c r="D8" s="57" t="s">
        <v>266</v>
      </c>
      <c r="E8" s="57" t="s">
        <v>267</v>
      </c>
      <c r="F8" s="22"/>
    </row>
    <row r="9" spans="1:43">
      <c r="A9" s="22"/>
      <c r="B9" s="55" t="s">
        <v>569</v>
      </c>
      <c r="C9" s="61">
        <f>C6/C8*10^6</f>
        <v>4940.0210302621845</v>
      </c>
      <c r="D9" s="57" t="s">
        <v>556</v>
      </c>
      <c r="E9" s="57" t="s">
        <v>557</v>
      </c>
      <c r="F9" s="22"/>
    </row>
    <row r="10" spans="1:43">
      <c r="A10" s="22"/>
      <c r="B10" s="60" t="s">
        <v>268</v>
      </c>
      <c r="C10" s="61">
        <f>C6*C7/C8*10^6</f>
        <v>88920.378544719337</v>
      </c>
      <c r="D10" s="57" t="s">
        <v>269</v>
      </c>
      <c r="E10" s="57" t="s">
        <v>558</v>
      </c>
      <c r="F10" s="22"/>
    </row>
    <row r="11" spans="1:43">
      <c r="A11" s="22"/>
      <c r="B11" s="62" t="s">
        <v>270</v>
      </c>
      <c r="C11" s="63">
        <f>ROUND(C10,-3)</f>
        <v>89000</v>
      </c>
      <c r="D11" s="64" t="s">
        <v>269</v>
      </c>
      <c r="E11" s="64"/>
    </row>
    <row r="12" spans="1:43">
      <c r="A12" s="22"/>
      <c r="B12" s="60" t="s">
        <v>271</v>
      </c>
      <c r="C12" s="65">
        <v>47500</v>
      </c>
      <c r="D12" s="57" t="s">
        <v>269</v>
      </c>
      <c r="E12" s="66" t="s">
        <v>559</v>
      </c>
    </row>
    <row r="13" spans="1:43">
      <c r="A13" s="22"/>
      <c r="B13" s="67" t="s">
        <v>272</v>
      </c>
      <c r="C13" s="68">
        <f>(C11-C12)/C12*100</f>
        <v>87.368421052631589</v>
      </c>
      <c r="D13" s="69" t="s">
        <v>273</v>
      </c>
      <c r="E13" s="69"/>
      <c r="F13" s="70"/>
    </row>
    <row r="14" spans="1:43">
      <c r="A14" s="22"/>
      <c r="B14" s="22"/>
      <c r="C14" s="22"/>
      <c r="D14" s="22"/>
      <c r="E14" s="22"/>
    </row>
    <row r="15" spans="1:43">
      <c r="A15" s="22"/>
      <c r="B15" s="22"/>
      <c r="C15" s="22"/>
      <c r="D15" s="22"/>
      <c r="E15" s="22"/>
    </row>
    <row r="16" spans="1:43">
      <c r="A16" s="22"/>
      <c r="F16" s="22"/>
    </row>
    <row r="17" spans="1:12">
      <c r="A17" s="22"/>
      <c r="F17" s="22"/>
    </row>
    <row r="18" spans="1:12">
      <c r="A18" s="22"/>
      <c r="F18" s="22"/>
    </row>
    <row r="19" spans="1:12">
      <c r="A19" s="22"/>
    </row>
    <row r="20" spans="1:12">
      <c r="A20" s="22"/>
      <c r="F20" s="22"/>
      <c r="G20" s="51"/>
      <c r="H20" s="51"/>
      <c r="I20" s="51"/>
      <c r="J20" s="51"/>
      <c r="K20" s="51"/>
      <c r="L20" s="51"/>
    </row>
    <row r="21" spans="1:12">
      <c r="A21" s="22"/>
      <c r="F21" s="22"/>
      <c r="G21" s="51"/>
      <c r="H21" s="51"/>
      <c r="I21" s="51"/>
      <c r="J21" s="51"/>
      <c r="K21" s="51"/>
      <c r="L21" s="51"/>
    </row>
    <row r="22" spans="1:12">
      <c r="F22" s="22"/>
      <c r="G22" s="51"/>
      <c r="H22" s="51"/>
      <c r="I22" s="51"/>
      <c r="J22" s="51"/>
      <c r="K22" s="51"/>
      <c r="L22" s="51"/>
    </row>
    <row r="23" spans="1:12">
      <c r="F23" s="22"/>
      <c r="G23" s="51"/>
      <c r="H23" s="51"/>
      <c r="I23" s="51"/>
      <c r="J23" s="51"/>
      <c r="K23" s="51"/>
      <c r="L23" s="51"/>
    </row>
    <row r="24" spans="1:12">
      <c r="F24" s="22"/>
      <c r="G24" s="51"/>
      <c r="H24" s="51"/>
      <c r="I24" s="51"/>
      <c r="J24" s="51"/>
      <c r="K24" s="51"/>
      <c r="L24" s="51"/>
    </row>
    <row r="25" spans="1:12">
      <c r="F25" s="22"/>
      <c r="G25" s="51"/>
      <c r="H25" s="51"/>
      <c r="I25" s="51"/>
      <c r="J25" s="51"/>
      <c r="K25" s="51"/>
      <c r="L25" s="51"/>
    </row>
    <row r="26" spans="1:12">
      <c r="F26" s="22"/>
      <c r="G26" s="51"/>
      <c r="H26" s="51"/>
      <c r="I26" s="51"/>
      <c r="J26" s="51"/>
      <c r="K26" s="51"/>
      <c r="L26" s="51"/>
    </row>
    <row r="27" spans="1:12">
      <c r="F27" s="22"/>
      <c r="G27" s="51"/>
      <c r="H27" s="51"/>
      <c r="I27" s="51"/>
      <c r="J27" s="51"/>
      <c r="K27" s="51"/>
      <c r="L27" s="51"/>
    </row>
    <row r="28" spans="1:12">
      <c r="F28" s="22"/>
      <c r="G28" s="51"/>
      <c r="H28" s="51"/>
      <c r="I28" s="51"/>
      <c r="J28" s="51"/>
      <c r="K28" s="51"/>
      <c r="L28" s="51"/>
    </row>
    <row r="29" spans="1:12">
      <c r="F29" s="22"/>
      <c r="G29" s="51"/>
      <c r="H29" s="51"/>
      <c r="I29" s="51"/>
      <c r="J29" s="51"/>
      <c r="K29" s="51"/>
      <c r="L29" s="51"/>
    </row>
    <row r="30" spans="1:12">
      <c r="F30" s="22"/>
      <c r="G30" s="51"/>
      <c r="H30" s="51"/>
      <c r="I30" s="51"/>
      <c r="J30" s="51"/>
      <c r="K30" s="51"/>
      <c r="L30" s="51"/>
    </row>
    <row r="31" spans="1:12">
      <c r="F31" s="22"/>
      <c r="G31" s="51"/>
      <c r="H31" s="51"/>
      <c r="I31" s="51"/>
      <c r="J31" s="51"/>
      <c r="K31" s="51"/>
      <c r="L31" s="51"/>
    </row>
    <row r="32" spans="1:12">
      <c r="F32" s="22"/>
      <c r="G32" s="51"/>
      <c r="H32" s="51"/>
      <c r="I32" s="51"/>
      <c r="J32" s="51"/>
      <c r="K32" s="51"/>
      <c r="L32" s="51"/>
    </row>
    <row r="33" spans="6:12">
      <c r="F33" s="22"/>
      <c r="G33" s="51"/>
      <c r="H33" s="51"/>
      <c r="I33" s="51"/>
      <c r="J33" s="51"/>
      <c r="K33" s="51"/>
      <c r="L33" s="51"/>
    </row>
    <row r="34" spans="6:12">
      <c r="F34" s="22"/>
      <c r="G34" s="51"/>
      <c r="H34" s="51"/>
      <c r="I34" s="51"/>
      <c r="J34" s="51"/>
      <c r="K34" s="51"/>
      <c r="L34" s="51"/>
    </row>
    <row r="35" spans="6:12">
      <c r="F35" s="22"/>
      <c r="G35" s="51"/>
      <c r="H35" s="51"/>
      <c r="I35" s="51"/>
      <c r="J35" s="51"/>
      <c r="K35" s="51"/>
      <c r="L35" s="51"/>
    </row>
    <row r="36" spans="6:12">
      <c r="F36" s="22"/>
      <c r="G36" s="51"/>
      <c r="H36" s="51"/>
      <c r="I36" s="51"/>
      <c r="J36" s="51"/>
      <c r="K36" s="51"/>
      <c r="L36" s="51"/>
    </row>
  </sheetData>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BC149-332B-4165-9E67-6BF4FDE840EE}">
  <sheetPr>
    <tabColor theme="3" tint="0.749992370372631"/>
  </sheetPr>
  <dimension ref="A1:AQ48"/>
  <sheetViews>
    <sheetView topLeftCell="M2" zoomScale="113" workbookViewId="0">
      <selection activeCell="V10" sqref="V10"/>
    </sheetView>
  </sheetViews>
  <sheetFormatPr defaultColWidth="8.6640625" defaultRowHeight="17"/>
  <cols>
    <col min="1" max="4" width="8.6640625" style="18"/>
    <col min="5" max="9" width="17.9140625" style="18" bestFit="1" customWidth="1"/>
    <col min="10" max="10" width="12.1640625" style="18" customWidth="1"/>
    <col min="11" max="11" width="15.08203125" style="18" customWidth="1"/>
    <col min="12" max="12" width="15.25" style="18" customWidth="1"/>
    <col min="13" max="13" width="17.9140625" style="18" bestFit="1" customWidth="1"/>
    <col min="14" max="15" width="9.9140625" style="18" bestFit="1" customWidth="1"/>
    <col min="16" max="19" width="8.6640625" style="18"/>
    <col min="20" max="20" width="11.9140625" style="18" bestFit="1" customWidth="1"/>
    <col min="21" max="21" width="8.6640625" style="18"/>
    <col min="22" max="22" width="15.1640625" style="18" bestFit="1" customWidth="1"/>
    <col min="23" max="16384" width="8.6640625" style="18"/>
  </cols>
  <sheetData>
    <row r="1" spans="1:43" s="16" customFormat="1" ht="22.5">
      <c r="A1" s="39" t="s">
        <v>247</v>
      </c>
      <c r="B1" s="378"/>
      <c r="C1" s="378"/>
      <c r="D1" s="378"/>
      <c r="E1" s="378"/>
    </row>
    <row r="2" spans="1:43" s="44" customFormat="1" ht="22.5">
      <c r="A2" s="42" t="s">
        <v>274</v>
      </c>
      <c r="B2" s="43"/>
    </row>
    <row r="3" spans="1:43" s="52" customFormat="1" ht="18.5">
      <c r="A3" s="45" t="s">
        <v>275</v>
      </c>
      <c r="B3" s="46"/>
      <c r="C3" s="47"/>
      <c r="D3" s="47"/>
      <c r="E3" s="47"/>
      <c r="F3" s="47"/>
      <c r="G3" s="47"/>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row>
    <row r="5" spans="1:43">
      <c r="A5" s="379"/>
      <c r="B5" s="379"/>
      <c r="C5" s="379"/>
      <c r="D5" s="379"/>
      <c r="E5" s="380">
        <v>2022</v>
      </c>
      <c r="F5" s="381">
        <v>2023</v>
      </c>
      <c r="G5" s="381">
        <v>2024</v>
      </c>
      <c r="H5" s="76" t="s">
        <v>553</v>
      </c>
      <c r="I5" s="76" t="s">
        <v>254</v>
      </c>
      <c r="J5" s="76" t="s">
        <v>369</v>
      </c>
      <c r="K5" s="76" t="s">
        <v>370</v>
      </c>
      <c r="L5" s="76" t="s">
        <v>371</v>
      </c>
      <c r="M5" s="76" t="s">
        <v>372</v>
      </c>
      <c r="N5" s="595" t="s">
        <v>287</v>
      </c>
      <c r="O5" s="595"/>
      <c r="P5" s="22"/>
      <c r="Q5" s="39" t="s">
        <v>291</v>
      </c>
      <c r="R5" s="387"/>
      <c r="S5" s="387"/>
      <c r="T5" s="386" t="s">
        <v>431</v>
      </c>
    </row>
    <row r="6" spans="1:43">
      <c r="A6" s="77" t="s">
        <v>288</v>
      </c>
      <c r="B6" s="51"/>
      <c r="C6" s="51"/>
      <c r="D6" s="51"/>
      <c r="E6" s="78">
        <v>267491</v>
      </c>
      <c r="F6" s="78">
        <v>133604</v>
      </c>
      <c r="G6" s="78">
        <v>185507</v>
      </c>
      <c r="H6" s="78">
        <f>'매출 추정'!K6</f>
        <v>175561.69753666667</v>
      </c>
      <c r="I6" s="78">
        <f>'매출 추정'!L6</f>
        <v>792034.6682860225</v>
      </c>
      <c r="J6" s="78">
        <f>I6*1.1</f>
        <v>871238.13511462486</v>
      </c>
      <c r="K6" s="78">
        <f>J6*1.05</f>
        <v>914800.04187035619</v>
      </c>
      <c r="L6" s="78">
        <f>K6*1.05</f>
        <v>960540.04396387399</v>
      </c>
      <c r="M6" s="78">
        <f>L6*1.05</f>
        <v>1008567.0461620677</v>
      </c>
      <c r="N6" s="79"/>
      <c r="O6" s="79"/>
      <c r="P6" s="22"/>
      <c r="Q6" s="87" t="s">
        <v>294</v>
      </c>
      <c r="R6" s="87"/>
      <c r="S6" s="87"/>
      <c r="T6" s="88">
        <f>F32</f>
        <v>9.843402711182471E-2</v>
      </c>
    </row>
    <row r="7" spans="1:43">
      <c r="A7" s="596" t="s">
        <v>289</v>
      </c>
      <c r="B7" s="596"/>
      <c r="C7" s="596"/>
      <c r="D7" s="596"/>
      <c r="E7" s="80"/>
      <c r="F7" s="81">
        <f>F6/E6-1</f>
        <v>-0.50052898976040316</v>
      </c>
      <c r="G7" s="81">
        <f t="shared" ref="G7:M7" si="0">G6/F6-1</f>
        <v>0.3884838777282118</v>
      </c>
      <c r="H7" s="81">
        <f t="shared" si="0"/>
        <v>-5.3611467294136239E-2</v>
      </c>
      <c r="I7" s="81">
        <f t="shared" si="0"/>
        <v>3.5114320458231116</v>
      </c>
      <c r="J7" s="81">
        <f t="shared" si="0"/>
        <v>0.10000000000000009</v>
      </c>
      <c r="K7" s="81">
        <f t="shared" si="0"/>
        <v>5.0000000000000044E-2</v>
      </c>
      <c r="L7" s="81">
        <f t="shared" si="0"/>
        <v>5.0000000000000044E-2</v>
      </c>
      <c r="M7" s="81">
        <f t="shared" si="0"/>
        <v>5.0000000000000044E-2</v>
      </c>
      <c r="N7" s="82"/>
      <c r="O7" s="79"/>
      <c r="P7" s="22"/>
      <c r="Q7" s="96" t="s">
        <v>297</v>
      </c>
      <c r="R7" s="96"/>
      <c r="S7" s="96"/>
      <c r="T7" s="97">
        <f>F31</f>
        <v>0.03</v>
      </c>
    </row>
    <row r="8" spans="1:43">
      <c r="A8" s="83" t="s">
        <v>290</v>
      </c>
      <c r="B8" s="83"/>
      <c r="C8" s="83"/>
      <c r="D8" s="83"/>
      <c r="E8" s="84">
        <v>158044</v>
      </c>
      <c r="F8" s="84">
        <v>84056</v>
      </c>
      <c r="G8" s="84">
        <v>114022</v>
      </c>
      <c r="H8" s="84">
        <f>'비용 추정'!R17</f>
        <v>100754.93381853333</v>
      </c>
      <c r="I8" s="84">
        <f>'비용 추정'!S17</f>
        <v>414989.0937759027</v>
      </c>
      <c r="J8" s="84">
        <f>I8*1.05</f>
        <v>435738.54846469784</v>
      </c>
      <c r="K8" s="84">
        <f>J8*1.05</f>
        <v>457525.47588793276</v>
      </c>
      <c r="L8" s="84">
        <f>K8*1.05</f>
        <v>480401.74968232942</v>
      </c>
      <c r="M8" s="84">
        <f>L8*1.05</f>
        <v>504421.83716644591</v>
      </c>
      <c r="N8" s="85"/>
      <c r="O8" s="85"/>
      <c r="P8" s="22"/>
      <c r="Q8" s="87" t="s">
        <v>299</v>
      </c>
      <c r="R8" s="87"/>
      <c r="S8" s="87"/>
      <c r="T8" s="101">
        <f>F36</f>
        <v>776428.27938524634</v>
      </c>
    </row>
    <row r="9" spans="1:43">
      <c r="A9" s="59" t="s">
        <v>292</v>
      </c>
      <c r="B9" s="83"/>
      <c r="C9" s="83"/>
      <c r="D9" s="83"/>
      <c r="E9" s="78">
        <f>E6-E8</f>
        <v>109447</v>
      </c>
      <c r="F9" s="78">
        <f t="shared" ref="F9:M9" si="1">F6-F8</f>
        <v>49548</v>
      </c>
      <c r="G9" s="78">
        <f t="shared" si="1"/>
        <v>71485</v>
      </c>
      <c r="H9" s="78">
        <f t="shared" si="1"/>
        <v>74806.763718133341</v>
      </c>
      <c r="I9" s="78">
        <f t="shared" si="1"/>
        <v>377045.5745101198</v>
      </c>
      <c r="J9" s="78">
        <f>J6-J8</f>
        <v>435499.58664992702</v>
      </c>
      <c r="K9" s="78">
        <f t="shared" si="1"/>
        <v>457274.56598242343</v>
      </c>
      <c r="L9" s="78">
        <f t="shared" si="1"/>
        <v>480138.29428154457</v>
      </c>
      <c r="M9" s="78">
        <f t="shared" si="1"/>
        <v>504145.20899562177</v>
      </c>
      <c r="N9" s="85"/>
      <c r="O9" s="85"/>
      <c r="P9" s="22"/>
      <c r="Q9" s="93" t="s">
        <v>301</v>
      </c>
      <c r="R9" s="93"/>
      <c r="S9" s="93"/>
      <c r="T9" s="105">
        <f>F37</f>
        <v>2556667.5383259892</v>
      </c>
    </row>
    <row r="10" spans="1:43">
      <c r="A10" s="596" t="s">
        <v>293</v>
      </c>
      <c r="B10" s="596"/>
      <c r="C10" s="596"/>
      <c r="D10" s="596"/>
      <c r="E10" s="86">
        <f>E9/E6</f>
        <v>0.40916142973034608</v>
      </c>
      <c r="F10" s="86">
        <f t="shared" ref="F10:M10" si="2">F9/F6</f>
        <v>0.37085715996527052</v>
      </c>
      <c r="G10" s="86">
        <f t="shared" si="2"/>
        <v>0.38534933991709208</v>
      </c>
      <c r="H10" s="86">
        <f>H9/H6</f>
        <v>0.42609956936939325</v>
      </c>
      <c r="I10" s="86">
        <f>I9/I6</f>
        <v>0.47604680654453335</v>
      </c>
      <c r="J10" s="86">
        <f t="shared" si="2"/>
        <v>0.49986286079250919</v>
      </c>
      <c r="K10" s="86">
        <f t="shared" si="2"/>
        <v>0.49986286079250919</v>
      </c>
      <c r="L10" s="86">
        <f t="shared" si="2"/>
        <v>0.49986286079250913</v>
      </c>
      <c r="M10" s="86">
        <f t="shared" si="2"/>
        <v>0.49986286079250913</v>
      </c>
      <c r="N10" s="85"/>
      <c r="O10" s="85"/>
      <c r="P10" s="85"/>
      <c r="Q10" s="108" t="s">
        <v>303</v>
      </c>
      <c r="R10" s="109"/>
      <c r="S10" s="109"/>
      <c r="T10" s="110">
        <f>T8+T9</f>
        <v>3333095.8177112355</v>
      </c>
    </row>
    <row r="11" spans="1:43">
      <c r="A11" s="89" t="s">
        <v>295</v>
      </c>
      <c r="B11" s="90"/>
      <c r="C11" s="91"/>
      <c r="D11" s="91"/>
      <c r="E11" s="92">
        <v>51774</v>
      </c>
      <c r="F11" s="92">
        <v>46388</v>
      </c>
      <c r="G11" s="92">
        <v>48075</v>
      </c>
      <c r="H11" s="92">
        <f>'비용 추정'!R29</f>
        <v>52011.803121922385</v>
      </c>
      <c r="I11" s="92">
        <f>'비용 추정'!S29</f>
        <v>124318.4181699093</v>
      </c>
      <c r="J11" s="92">
        <f>I11*1.05</f>
        <v>130534.33907840477</v>
      </c>
      <c r="K11" s="92">
        <f t="shared" ref="K11:M11" si="3">J11*1.05</f>
        <v>137061.056032325</v>
      </c>
      <c r="L11" s="92">
        <f t="shared" si="3"/>
        <v>143914.10883394125</v>
      </c>
      <c r="M11" s="92">
        <f t="shared" si="3"/>
        <v>151109.81427563832</v>
      </c>
      <c r="N11" s="85"/>
      <c r="O11" s="85"/>
      <c r="P11" s="85"/>
      <c r="Q11" s="93" t="s">
        <v>305</v>
      </c>
      <c r="R11" s="93"/>
      <c r="S11" s="93"/>
      <c r="T11" s="582">
        <f>F39</f>
        <v>103519</v>
      </c>
    </row>
    <row r="12" spans="1:43">
      <c r="A12" s="94" t="s">
        <v>296</v>
      </c>
      <c r="B12" s="51"/>
      <c r="C12" s="51"/>
      <c r="D12" s="51"/>
      <c r="E12" s="95">
        <f>E9-E11</f>
        <v>57673</v>
      </c>
      <c r="F12" s="95">
        <f>F9-F11</f>
        <v>3160</v>
      </c>
      <c r="G12" s="95">
        <f t="shared" ref="G12:M12" si="4">G9-G11</f>
        <v>23410</v>
      </c>
      <c r="H12" s="95">
        <f>H9-H11</f>
        <v>22794.960596210956</v>
      </c>
      <c r="I12" s="95">
        <f t="shared" si="4"/>
        <v>252727.15634021049</v>
      </c>
      <c r="J12" s="95">
        <f>J9-J11</f>
        <v>304965.24757152225</v>
      </c>
      <c r="K12" s="95">
        <f>K9-K11</f>
        <v>320213.50995009847</v>
      </c>
      <c r="L12" s="95">
        <f t="shared" si="4"/>
        <v>336224.18544760335</v>
      </c>
      <c r="M12" s="95">
        <f t="shared" si="4"/>
        <v>353035.39471998345</v>
      </c>
      <c r="N12" s="85"/>
      <c r="O12" s="85"/>
      <c r="P12" s="85"/>
      <c r="Q12" s="96" t="s">
        <v>306</v>
      </c>
      <c r="R12" s="116"/>
      <c r="S12" s="116"/>
      <c r="T12" s="583">
        <f>F40</f>
        <v>287909</v>
      </c>
    </row>
    <row r="13" spans="1:43">
      <c r="A13" s="596" t="s">
        <v>298</v>
      </c>
      <c r="B13" s="596"/>
      <c r="C13" s="596"/>
      <c r="D13" s="596"/>
      <c r="E13" s="98">
        <f t="shared" ref="E13:M13" si="5">E12/E6</f>
        <v>0.21560725407583806</v>
      </c>
      <c r="F13" s="98">
        <f t="shared" si="5"/>
        <v>2.3651986467471034E-2</v>
      </c>
      <c r="G13" s="98">
        <f t="shared" si="5"/>
        <v>0.12619469885233442</v>
      </c>
      <c r="H13" s="98">
        <f>H12/H6</f>
        <v>0.12984016967283055</v>
      </c>
      <c r="I13" s="98">
        <f>I12/I6</f>
        <v>0.31908597749529916</v>
      </c>
      <c r="J13" s="98">
        <f>J12/J6</f>
        <v>0.35003661488187654</v>
      </c>
      <c r="K13" s="98">
        <f t="shared" si="5"/>
        <v>0.3500366148818766</v>
      </c>
      <c r="L13" s="98">
        <f t="shared" si="5"/>
        <v>0.3500366148818766</v>
      </c>
      <c r="M13" s="98">
        <f t="shared" si="5"/>
        <v>0.35003661488187648</v>
      </c>
      <c r="N13" s="85"/>
      <c r="O13" s="85"/>
      <c r="P13" s="85"/>
      <c r="Q13" s="119" t="s">
        <v>308</v>
      </c>
      <c r="R13" s="119"/>
      <c r="S13" s="120"/>
      <c r="T13" s="584">
        <f>T11+T10-T12</f>
        <v>3148705.8177112355</v>
      </c>
    </row>
    <row r="14" spans="1:43">
      <c r="A14" s="596" t="s">
        <v>289</v>
      </c>
      <c r="B14" s="596"/>
      <c r="C14" s="596"/>
      <c r="D14" s="596"/>
      <c r="E14" s="98"/>
      <c r="F14" s="98">
        <f>F12/E12-1</f>
        <v>-0.94520832972101332</v>
      </c>
      <c r="G14" s="98">
        <f t="shared" ref="G14:M14" si="6">G12/F12-1</f>
        <v>6.4082278481012658</v>
      </c>
      <c r="H14" s="98">
        <f t="shared" si="6"/>
        <v>-2.6272507637293607E-2</v>
      </c>
      <c r="I14" s="98">
        <f>I12/H12-1</f>
        <v>10.086974915947849</v>
      </c>
      <c r="J14" s="98">
        <f>J12/I12-1</f>
        <v>0.20669757847863046</v>
      </c>
      <c r="K14" s="98">
        <f>K12/J12-1</f>
        <v>5.0000000000000266E-2</v>
      </c>
      <c r="L14" s="98">
        <f>L12/K12-1</f>
        <v>4.9999999999999822E-2</v>
      </c>
      <c r="M14" s="98">
        <f t="shared" si="6"/>
        <v>4.9999999999999822E-2</v>
      </c>
      <c r="N14" s="85"/>
      <c r="O14" s="85"/>
      <c r="P14" s="85"/>
      <c r="Q14" s="93" t="s">
        <v>310</v>
      </c>
      <c r="R14" s="93"/>
      <c r="S14" s="93"/>
      <c r="T14" s="585">
        <f>F42</f>
        <v>38366816</v>
      </c>
    </row>
    <row r="15" spans="1:43">
      <c r="A15" s="99" t="s">
        <v>555</v>
      </c>
      <c r="B15" s="51"/>
      <c r="C15" s="51"/>
      <c r="D15" s="51"/>
      <c r="E15" s="100">
        <v>0.19</v>
      </c>
      <c r="F15" s="100">
        <v>0.19</v>
      </c>
      <c r="G15" s="100">
        <v>0.19</v>
      </c>
      <c r="H15" s="100">
        <f>'비용 추정'!R83</f>
        <v>0.18869083345912882</v>
      </c>
      <c r="I15" s="100">
        <f>'비용 추정'!$S$83</f>
        <v>0.19991557301974969</v>
      </c>
      <c r="J15" s="100">
        <f>'비용 추정'!$S$83</f>
        <v>0.19991557301974969</v>
      </c>
      <c r="K15" s="100">
        <f>'비용 추정'!$S$83</f>
        <v>0.19991557301974969</v>
      </c>
      <c r="L15" s="100">
        <f>'비용 추정'!$S$83</f>
        <v>0.19991557301974969</v>
      </c>
      <c r="M15" s="100">
        <f>'비용 추정'!$S$83</f>
        <v>0.19991557301974969</v>
      </c>
      <c r="N15" s="85"/>
      <c r="O15" s="85"/>
      <c r="P15" s="85"/>
      <c r="Q15" s="125" t="s">
        <v>312</v>
      </c>
      <c r="R15" s="125"/>
      <c r="S15" s="125"/>
      <c r="T15" s="586">
        <f>F44</f>
        <v>82068.468170807697</v>
      </c>
    </row>
    <row r="16" spans="1:43">
      <c r="A16" s="102" t="s">
        <v>300</v>
      </c>
      <c r="B16" s="103"/>
      <c r="C16" s="103"/>
      <c r="D16" s="103"/>
      <c r="E16" s="104">
        <f>E12*(1-E15)</f>
        <v>46715.130000000005</v>
      </c>
      <c r="F16" s="104">
        <f>F12*(1-F15)</f>
        <v>2559.6000000000004</v>
      </c>
      <c r="G16" s="104">
        <f>G12*(1-G15)</f>
        <v>18962.100000000002</v>
      </c>
      <c r="H16" s="104">
        <f t="shared" ref="H16:M16" si="7">H12*(1-H15)</f>
        <v>18493.760482643909</v>
      </c>
      <c r="I16" s="104">
        <f t="shared" si="7"/>
        <v>202203.06206280543</v>
      </c>
      <c r="J16" s="104">
        <f t="shared" si="7"/>
        <v>243997.94535215155</v>
      </c>
      <c r="K16" s="104">
        <f t="shared" si="7"/>
        <v>256197.84261975921</v>
      </c>
      <c r="L16" s="104">
        <f t="shared" si="7"/>
        <v>269007.73475074716</v>
      </c>
      <c r="M16" s="104">
        <f t="shared" si="7"/>
        <v>282458.12148828444</v>
      </c>
      <c r="N16" s="85"/>
      <c r="O16" s="85"/>
      <c r="P16" s="85"/>
      <c r="Q16" s="126" t="s">
        <v>314</v>
      </c>
      <c r="R16" s="127"/>
      <c r="S16" s="126"/>
      <c r="T16" s="515">
        <v>47500</v>
      </c>
    </row>
    <row r="17" spans="1:20">
      <c r="A17" s="99" t="s">
        <v>302</v>
      </c>
      <c r="B17" s="51"/>
      <c r="C17" s="51"/>
      <c r="D17" s="51"/>
      <c r="E17" s="106">
        <f>'FA Schedule'!D37</f>
        <v>11152</v>
      </c>
      <c r="F17" s="106">
        <f>'FA Schedule'!E37</f>
        <v>10136</v>
      </c>
      <c r="G17" s="106">
        <f>'FA Schedule'!F37</f>
        <v>11856</v>
      </c>
      <c r="H17" s="106">
        <f>'FA Schedule'!G37</f>
        <v>15390.28572660288</v>
      </c>
      <c r="I17" s="106">
        <f>'FA Schedule'!H37</f>
        <v>10927.577918192725</v>
      </c>
      <c r="J17" s="106">
        <f>'FA Schedule'!I37</f>
        <v>10758.453391725398</v>
      </c>
      <c r="K17" s="106">
        <f>'FA Schedule'!J37</f>
        <v>10534.245975914022</v>
      </c>
      <c r="L17" s="106">
        <f>'FA Schedule'!K37</f>
        <v>8925.9793612960912</v>
      </c>
      <c r="M17" s="106">
        <f>'FA Schedule'!L37</f>
        <v>8419.7897868208402</v>
      </c>
      <c r="N17" s="107"/>
      <c r="O17" s="85"/>
      <c r="P17" s="85"/>
      <c r="Q17" s="128" t="s">
        <v>315</v>
      </c>
      <c r="R17" s="129"/>
      <c r="S17" s="129"/>
      <c r="T17" s="130">
        <f>T15/T16-1</f>
        <v>0.72775722464858306</v>
      </c>
    </row>
    <row r="18" spans="1:20">
      <c r="A18" s="111" t="s">
        <v>304</v>
      </c>
      <c r="B18" s="111"/>
      <c r="C18" s="111"/>
      <c r="D18" s="111"/>
      <c r="E18" s="112">
        <f t="shared" ref="E18:M18" si="8">E17/E6</f>
        <v>4.1691122318134065E-2</v>
      </c>
      <c r="F18" s="112">
        <f t="shared" si="8"/>
        <v>7.5865992036166577E-2</v>
      </c>
      <c r="G18" s="112">
        <f t="shared" si="8"/>
        <v>6.3911334882241641E-2</v>
      </c>
      <c r="H18" s="112">
        <f>H17/H6</f>
        <v>8.7663117539567903E-2</v>
      </c>
      <c r="I18" s="112">
        <f>I17/I6</f>
        <v>1.3796842935979308E-2</v>
      </c>
      <c r="J18" s="112">
        <f t="shared" si="8"/>
        <v>1.2348464740136698E-2</v>
      </c>
      <c r="K18" s="112">
        <f t="shared" si="8"/>
        <v>1.1515353622389663E-2</v>
      </c>
      <c r="L18" s="112">
        <f t="shared" si="8"/>
        <v>9.2926676169180072E-3</v>
      </c>
      <c r="M18" s="112">
        <f t="shared" si="8"/>
        <v>8.3482697742910932E-3</v>
      </c>
      <c r="N18" s="113"/>
      <c r="O18" s="22"/>
      <c r="P18" s="22"/>
      <c r="Q18" s="132" t="s">
        <v>317</v>
      </c>
      <c r="R18" s="133"/>
      <c r="S18" s="133"/>
      <c r="T18" s="134" t="s">
        <v>318</v>
      </c>
    </row>
    <row r="19" spans="1:20">
      <c r="A19" s="114"/>
      <c r="B19" s="114"/>
      <c r="C19" s="114"/>
      <c r="D19" s="114"/>
      <c r="E19" s="114"/>
      <c r="F19" s="22"/>
      <c r="G19" s="22"/>
      <c r="H19" s="22"/>
      <c r="I19" s="22"/>
      <c r="J19" s="22"/>
      <c r="K19" s="22"/>
      <c r="L19" s="22"/>
      <c r="M19" s="22"/>
      <c r="N19" s="115"/>
      <c r="O19" s="85"/>
      <c r="P19" s="22"/>
    </row>
    <row r="20" spans="1:20">
      <c r="A20" s="99" t="s">
        <v>307</v>
      </c>
      <c r="B20" s="51"/>
      <c r="C20" s="51"/>
      <c r="D20" s="51"/>
      <c r="E20" s="117"/>
      <c r="F20" s="117">
        <f>F22-F21</f>
        <v>-19842</v>
      </c>
      <c r="G20" s="117">
        <f>G22-G21</f>
        <v>1184</v>
      </c>
      <c r="H20" s="117">
        <f t="shared" ref="H20:M20" si="9">H22-H21</f>
        <v>18691.054491840376</v>
      </c>
      <c r="I20" s="117">
        <f t="shared" si="9"/>
        <v>133976.00983784278</v>
      </c>
      <c r="J20" s="117">
        <f t="shared" si="9"/>
        <v>9768.0304996641062</v>
      </c>
      <c r="K20" s="117">
        <f t="shared" si="9"/>
        <v>27441.319860415359</v>
      </c>
      <c r="L20" s="117">
        <f t="shared" si="9"/>
        <v>2323.2419909867458</v>
      </c>
      <c r="M20" s="117">
        <f t="shared" si="9"/>
        <v>10321.127469091211</v>
      </c>
      <c r="N20" s="118"/>
      <c r="O20" s="22"/>
      <c r="P20" s="22"/>
    </row>
    <row r="21" spans="1:20">
      <c r="A21" s="83" t="s">
        <v>309</v>
      </c>
      <c r="B21" s="51"/>
      <c r="C21" s="51"/>
      <c r="D21" s="51"/>
      <c r="E21" s="121"/>
      <c r="F21" s="121">
        <f>'Change in NWC'!D15</f>
        <v>125560</v>
      </c>
      <c r="G21" s="121">
        <f>'Change in NWC'!E15</f>
        <v>105718</v>
      </c>
      <c r="H21" s="121">
        <f>'Change in NWC'!F15</f>
        <v>106902</v>
      </c>
      <c r="I21" s="121">
        <f>'Change in NWC'!G15</f>
        <v>125593.05449184038</v>
      </c>
      <c r="J21" s="121">
        <f>'Change in NWC'!H15</f>
        <v>259569.06432968317</v>
      </c>
      <c r="K21" s="121">
        <f>'Change in NWC'!I15</f>
        <v>269337.09482934728</v>
      </c>
      <c r="L21" s="121">
        <f>'Change in NWC'!J15</f>
        <v>296778.41468976263</v>
      </c>
      <c r="M21" s="121">
        <f>'Change in NWC'!K15</f>
        <v>299101.65668074938</v>
      </c>
      <c r="N21" s="122"/>
      <c r="O21" s="123"/>
      <c r="P21" s="22"/>
    </row>
    <row r="22" spans="1:20">
      <c r="A22" s="83" t="s">
        <v>311</v>
      </c>
      <c r="B22" s="51"/>
      <c r="C22" s="51"/>
      <c r="D22" s="51"/>
      <c r="E22" s="121">
        <f>'Change in NWC'!D15</f>
        <v>125560</v>
      </c>
      <c r="F22" s="121">
        <f>'Change in NWC'!E15</f>
        <v>105718</v>
      </c>
      <c r="G22" s="121">
        <f>'Change in NWC'!F15</f>
        <v>106902</v>
      </c>
      <c r="H22" s="121">
        <f>'Change in NWC'!G15</f>
        <v>125593.05449184038</v>
      </c>
      <c r="I22" s="121">
        <f>'Change in NWC'!H15</f>
        <v>259569.06432968317</v>
      </c>
      <c r="J22" s="121">
        <f>'Change in NWC'!I15</f>
        <v>269337.09482934728</v>
      </c>
      <c r="K22" s="121">
        <f>'Change in NWC'!J15</f>
        <v>296778.41468976263</v>
      </c>
      <c r="L22" s="121">
        <f>'Change in NWC'!K15</f>
        <v>299101.65668074938</v>
      </c>
      <c r="M22" s="121">
        <f>'Change in NWC'!L15</f>
        <v>309422.78414984059</v>
      </c>
      <c r="N22" s="118"/>
      <c r="O22" s="22"/>
      <c r="P22" s="22"/>
      <c r="Q22" s="22"/>
      <c r="R22" s="22"/>
    </row>
    <row r="23" spans="1:20">
      <c r="A23" s="111" t="s">
        <v>313</v>
      </c>
      <c r="B23" s="111"/>
      <c r="C23" s="111"/>
      <c r="D23" s="111"/>
      <c r="E23" s="112"/>
      <c r="F23" s="112">
        <f>F20/F6</f>
        <v>-0.14851351755935452</v>
      </c>
      <c r="G23" s="112">
        <f>G20/G6</f>
        <v>6.3825084767690707E-3</v>
      </c>
      <c r="H23" s="112">
        <f>H20/H6</f>
        <v>0.10646430715866531</v>
      </c>
      <c r="I23" s="112">
        <f>I20/I6</f>
        <v>0.16915422418032447</v>
      </c>
      <c r="J23" s="112"/>
      <c r="K23" s="112"/>
      <c r="L23" s="112"/>
      <c r="M23" s="112"/>
      <c r="N23" s="118"/>
      <c r="O23" s="22"/>
      <c r="P23" s="22"/>
      <c r="Q23" s="22"/>
      <c r="R23" s="22"/>
    </row>
    <row r="24" spans="1:20">
      <c r="A24" s="51"/>
      <c r="B24" s="51"/>
      <c r="C24" s="51"/>
      <c r="D24" s="51"/>
      <c r="E24" s="51"/>
      <c r="F24" s="22"/>
      <c r="G24" s="22"/>
      <c r="H24" s="22"/>
      <c r="I24" s="22"/>
      <c r="J24" s="22"/>
      <c r="K24" s="22"/>
      <c r="L24" s="22"/>
      <c r="M24" s="22"/>
      <c r="N24" s="118"/>
      <c r="O24" s="22"/>
      <c r="P24" s="22"/>
      <c r="Q24" s="148"/>
      <c r="R24" s="148"/>
      <c r="S24" s="148"/>
      <c r="T24" s="149"/>
    </row>
    <row r="25" spans="1:20">
      <c r="A25" s="99" t="s">
        <v>316</v>
      </c>
      <c r="B25" s="51"/>
      <c r="C25" s="51"/>
      <c r="D25" s="51"/>
      <c r="E25" s="131">
        <f>'FA Schedule'!D35</f>
        <v>14158</v>
      </c>
      <c r="F25" s="131">
        <f>'FA Schedule'!E35</f>
        <v>53157</v>
      </c>
      <c r="G25" s="131">
        <f>'FA Schedule'!F35</f>
        <v>54010</v>
      </c>
      <c r="H25" s="131">
        <f>'FA Schedule'!G35</f>
        <v>35029.055828973782</v>
      </c>
      <c r="I25" s="131">
        <f>'FA Schedule'!H35</f>
        <v>15390.28572660288</v>
      </c>
      <c r="J25" s="131">
        <f>'FA Schedule'!I35</f>
        <v>10927.577918192725</v>
      </c>
      <c r="K25" s="131">
        <f>'FA Schedule'!J35</f>
        <v>10758.453391725398</v>
      </c>
      <c r="L25" s="131">
        <f>'FA Schedule'!K35</f>
        <v>10534.245975914022</v>
      </c>
      <c r="M25" s="131">
        <f>'FA Schedule'!L35</f>
        <v>8925.9793612960912</v>
      </c>
      <c r="N25" s="118"/>
      <c r="O25" s="22"/>
      <c r="P25" s="22"/>
      <c r="Q25" s="156"/>
      <c r="R25" s="156"/>
      <c r="S25" s="156"/>
      <c r="T25" s="157"/>
    </row>
    <row r="26" spans="1:20">
      <c r="A26" s="135" t="s">
        <v>304</v>
      </c>
      <c r="B26" s="135"/>
      <c r="C26" s="135"/>
      <c r="D26" s="135"/>
      <c r="E26" s="135"/>
      <c r="F26" s="136">
        <f t="shared" ref="F26:M26" si="10">F25/F6</f>
        <v>0.39786982425675876</v>
      </c>
      <c r="G26" s="136">
        <f t="shared" si="10"/>
        <v>0.2911480429309945</v>
      </c>
      <c r="H26" s="136">
        <f t="shared" si="10"/>
        <v>0.19952561589727077</v>
      </c>
      <c r="I26" s="136">
        <f t="shared" si="10"/>
        <v>1.9431328378475832E-2</v>
      </c>
      <c r="J26" s="136">
        <f t="shared" si="10"/>
        <v>1.2542584487253915E-2</v>
      </c>
      <c r="K26" s="136">
        <f t="shared" si="10"/>
        <v>1.1760442609653997E-2</v>
      </c>
      <c r="L26" s="136">
        <f t="shared" si="10"/>
        <v>1.0967003449894918E-2</v>
      </c>
      <c r="M26" s="136">
        <f t="shared" si="10"/>
        <v>8.8501596351600077E-3</v>
      </c>
      <c r="N26" s="122"/>
      <c r="O26" s="123"/>
      <c r="P26" s="22"/>
      <c r="Q26" s="593"/>
      <c r="R26" s="593"/>
      <c r="S26" s="156"/>
      <c r="T26" s="157"/>
    </row>
    <row r="27" spans="1:20" ht="17.5" thickBot="1">
      <c r="A27" s="137"/>
      <c r="B27" s="138"/>
      <c r="C27" s="138"/>
      <c r="D27" s="138"/>
      <c r="E27" s="138"/>
      <c r="F27" s="139"/>
      <c r="G27" s="139"/>
      <c r="H27" s="139"/>
      <c r="I27" s="139"/>
      <c r="J27" s="139"/>
      <c r="K27" s="140"/>
      <c r="L27" s="139"/>
      <c r="M27" s="139"/>
      <c r="N27" s="141"/>
      <c r="O27" s="142"/>
      <c r="P27" s="143"/>
      <c r="Q27" s="156"/>
      <c r="R27" s="156"/>
      <c r="S27" s="156"/>
      <c r="T27" s="164"/>
    </row>
    <row r="28" spans="1:20" ht="17.5" thickBot="1">
      <c r="A28" s="144" t="s">
        <v>319</v>
      </c>
      <c r="B28" s="51"/>
      <c r="C28" s="51"/>
      <c r="D28" s="51"/>
      <c r="E28" s="51"/>
      <c r="F28" s="145">
        <f t="shared" ref="F28:M28" si="11">F16+F17-F20-F25</f>
        <v>-20619.400000000001</v>
      </c>
      <c r="G28" s="146">
        <f t="shared" si="11"/>
        <v>-24375.899999999998</v>
      </c>
      <c r="H28" s="146">
        <f t="shared" si="11"/>
        <v>-19836.064111567364</v>
      </c>
      <c r="I28" s="146">
        <f t="shared" si="11"/>
        <v>63764.344416552492</v>
      </c>
      <c r="J28" s="146">
        <f t="shared" si="11"/>
        <v>234060.79032602013</v>
      </c>
      <c r="K28" s="146">
        <f t="shared" si="11"/>
        <v>228532.31534353245</v>
      </c>
      <c r="L28" s="146">
        <f t="shared" si="11"/>
        <v>265076.22614514251</v>
      </c>
      <c r="M28" s="146">
        <f t="shared" si="11"/>
        <v>271630.80444471794</v>
      </c>
      <c r="N28" s="599"/>
      <c r="O28" s="600"/>
      <c r="P28" s="113"/>
      <c r="Q28" s="156"/>
      <c r="R28" s="170"/>
      <c r="S28" s="170"/>
      <c r="T28" s="164"/>
    </row>
    <row r="29" spans="1:20" ht="17.5" thickBot="1">
      <c r="A29" s="150"/>
      <c r="B29" s="138"/>
      <c r="C29" s="138"/>
      <c r="D29" s="138"/>
      <c r="E29" s="138"/>
      <c r="F29" s="151"/>
      <c r="G29" s="152"/>
      <c r="H29" s="152"/>
      <c r="I29" s="152"/>
      <c r="J29" s="152"/>
      <c r="K29" s="152"/>
      <c r="L29" s="152"/>
      <c r="M29" s="153"/>
      <c r="N29" s="154"/>
      <c r="O29" s="155"/>
      <c r="P29" s="113"/>
      <c r="Q29" s="174"/>
      <c r="R29" s="175"/>
      <c r="S29" s="175"/>
      <c r="T29" s="176"/>
    </row>
    <row r="30" spans="1:20" ht="17.5" thickBot="1">
      <c r="A30" s="144" t="s">
        <v>320</v>
      </c>
      <c r="B30" s="51"/>
      <c r="C30" s="51"/>
      <c r="D30" s="51"/>
      <c r="E30" s="51"/>
      <c r="F30" s="158">
        <f>N31</f>
        <v>4088313.0861330875</v>
      </c>
      <c r="G30" s="159"/>
      <c r="H30" s="160"/>
      <c r="I30" s="160"/>
      <c r="J30" s="160"/>
      <c r="K30" s="160"/>
      <c r="L30" s="160"/>
      <c r="M30" s="556"/>
      <c r="N30" s="139"/>
      <c r="O30" s="139"/>
      <c r="P30" s="113"/>
      <c r="Q30" s="156"/>
      <c r="R30" s="170"/>
      <c r="S30" s="170"/>
      <c r="T30" s="164"/>
    </row>
    <row r="31" spans="1:20" ht="17.5" thickBot="1">
      <c r="A31" s="161" t="s">
        <v>321</v>
      </c>
      <c r="B31" s="162"/>
      <c r="C31" s="162"/>
      <c r="D31" s="162"/>
      <c r="E31" s="162"/>
      <c r="F31" s="163">
        <v>0.03</v>
      </c>
      <c r="G31" s="160"/>
      <c r="H31" s="160"/>
      <c r="I31" s="160"/>
      <c r="J31" s="160"/>
      <c r="K31" s="160"/>
      <c r="L31" s="555"/>
      <c r="M31" s="263"/>
      <c r="N31" s="597">
        <f>(M28*(1+F31))/(F32-F31)</f>
        <v>4088313.0861330875</v>
      </c>
      <c r="O31" s="598"/>
      <c r="P31" s="118"/>
      <c r="Q31" s="593"/>
      <c r="R31" s="593"/>
      <c r="S31" s="181"/>
      <c r="T31" s="164"/>
    </row>
    <row r="32" spans="1:20" ht="18.5" thickBot="1">
      <c r="A32" s="165" t="s">
        <v>322</v>
      </c>
      <c r="B32" s="166"/>
      <c r="C32" s="166"/>
      <c r="D32" s="166"/>
      <c r="E32" s="166"/>
      <c r="F32" s="576">
        <f>WACC!E16</f>
        <v>9.843402711182471E-2</v>
      </c>
      <c r="G32" s="167"/>
      <c r="H32" s="168"/>
      <c r="I32" s="168"/>
      <c r="J32" s="168"/>
      <c r="K32" s="168"/>
      <c r="L32" s="168"/>
      <c r="M32" s="557"/>
      <c r="N32" s="169"/>
      <c r="P32" s="113"/>
      <c r="Q32" s="594"/>
      <c r="R32" s="594"/>
      <c r="S32" s="170"/>
      <c r="T32" s="185"/>
    </row>
    <row r="33" spans="1:20">
      <c r="A33" s="171" t="s">
        <v>323</v>
      </c>
      <c r="B33" s="137"/>
      <c r="C33" s="137"/>
      <c r="D33" s="137"/>
      <c r="E33" s="137"/>
      <c r="F33" s="137"/>
      <c r="G33" s="137"/>
      <c r="H33" s="172"/>
      <c r="I33" s="173">
        <f>1/(1+$F$32)^I34</f>
        <v>0.91038694661467934</v>
      </c>
      <c r="J33" s="173">
        <f>1/(1+$F$32)^J34</f>
        <v>0.82880439256639893</v>
      </c>
      <c r="K33" s="173">
        <f>1/(1+$F$32)^K34</f>
        <v>0.75453270028935804</v>
      </c>
      <c r="L33" s="173">
        <f>1/(1+$F$32)^L34</f>
        <v>0.68691672113735758</v>
      </c>
      <c r="M33" s="173">
        <f>1/(1+$F$32)^M34</f>
        <v>0.62536001633480609</v>
      </c>
      <c r="N33" s="152"/>
      <c r="O33" s="141"/>
      <c r="P33" s="113"/>
      <c r="Q33" s="156"/>
      <c r="R33" s="170"/>
      <c r="S33" s="170"/>
      <c r="T33" s="191"/>
    </row>
    <row r="34" spans="1:20">
      <c r="A34" s="161" t="s">
        <v>324</v>
      </c>
      <c r="B34" s="150"/>
      <c r="C34" s="150"/>
      <c r="D34" s="150"/>
      <c r="E34" s="150"/>
      <c r="F34" s="150"/>
      <c r="G34" s="150"/>
      <c r="H34" s="150"/>
      <c r="I34" s="51">
        <v>1</v>
      </c>
      <c r="J34" s="150">
        <v>2</v>
      </c>
      <c r="K34" s="150">
        <v>3</v>
      </c>
      <c r="L34" s="150">
        <v>4</v>
      </c>
      <c r="M34" s="177">
        <v>5</v>
      </c>
      <c r="N34" s="178"/>
      <c r="P34" s="113"/>
      <c r="Q34" s="174"/>
      <c r="R34" s="174"/>
      <c r="S34" s="174"/>
      <c r="T34" s="194"/>
    </row>
    <row r="35" spans="1:20">
      <c r="A35" s="161" t="s">
        <v>325</v>
      </c>
      <c r="B35" s="150"/>
      <c r="C35" s="150"/>
      <c r="D35" s="150"/>
      <c r="E35" s="150"/>
      <c r="F35" s="179"/>
      <c r="G35" s="179"/>
      <c r="H35" s="388"/>
      <c r="I35" s="180">
        <f>I28*I33</f>
        <v>58050.226816271999</v>
      </c>
      <c r="J35" s="180">
        <f>J28*J33</f>
        <v>193990.61114976837</v>
      </c>
      <c r="K35" s="180">
        <f>K28*K33</f>
        <v>172435.10499953464</v>
      </c>
      <c r="L35" s="180">
        <f>L28*L33</f>
        <v>182085.29211508599</v>
      </c>
      <c r="M35" s="180">
        <f>M28*M33</f>
        <v>169867.04430458532</v>
      </c>
      <c r="N35" s="169"/>
      <c r="O35" s="22"/>
      <c r="P35" s="118"/>
      <c r="Q35" s="156"/>
      <c r="R35" s="156"/>
      <c r="S35" s="156"/>
      <c r="T35" s="199"/>
    </row>
    <row r="36" spans="1:20">
      <c r="A36" s="161" t="s">
        <v>326</v>
      </c>
      <c r="B36" s="150"/>
      <c r="C36" s="150"/>
      <c r="D36" s="150"/>
      <c r="E36" s="150"/>
      <c r="F36" s="182">
        <f>SUM(H35:M35)</f>
        <v>776428.27938524634</v>
      </c>
      <c r="G36" s="179"/>
      <c r="H36" s="179"/>
      <c r="I36" s="179"/>
      <c r="J36" s="179"/>
      <c r="K36" s="183"/>
      <c r="L36" s="179"/>
      <c r="M36" s="184"/>
      <c r="P36" s="118"/>
      <c r="Q36" s="174"/>
      <c r="R36" s="175"/>
      <c r="S36" s="175"/>
      <c r="T36" s="204"/>
    </row>
    <row r="37" spans="1:20">
      <c r="A37" s="186" t="s">
        <v>327</v>
      </c>
      <c r="B37" s="187"/>
      <c r="C37" s="187"/>
      <c r="D37" s="187"/>
      <c r="E37" s="187"/>
      <c r="F37" s="188">
        <f>F30*M33</f>
        <v>2556667.5383259892</v>
      </c>
      <c r="G37" s="189"/>
      <c r="H37" s="189"/>
      <c r="I37" s="189"/>
      <c r="J37" s="189"/>
      <c r="K37" s="189"/>
      <c r="L37" s="189"/>
      <c r="M37" s="190"/>
      <c r="P37" s="118"/>
      <c r="Q37" s="148"/>
      <c r="R37" s="207"/>
      <c r="S37" s="207"/>
      <c r="T37" s="208"/>
    </row>
    <row r="38" spans="1:20">
      <c r="A38" s="171" t="s">
        <v>328</v>
      </c>
      <c r="B38" s="137"/>
      <c r="C38" s="137"/>
      <c r="D38" s="137"/>
      <c r="E38" s="137"/>
      <c r="F38" s="192">
        <f>F36+F37</f>
        <v>3333095.8177112355</v>
      </c>
      <c r="G38" s="137"/>
      <c r="H38" s="137"/>
      <c r="I38" s="137"/>
      <c r="J38" s="137"/>
      <c r="K38" s="137"/>
      <c r="L38" s="137"/>
      <c r="M38" s="193"/>
      <c r="N38" s="22"/>
      <c r="O38" s="22"/>
      <c r="P38" s="118"/>
    </row>
    <row r="39" spans="1:20">
      <c r="A39" s="195" t="s">
        <v>329</v>
      </c>
      <c r="B39" s="196"/>
      <c r="C39" s="196"/>
      <c r="D39" s="196"/>
      <c r="E39" s="196"/>
      <c r="F39" s="197">
        <v>103519</v>
      </c>
      <c r="G39" s="51"/>
      <c r="H39" s="138"/>
      <c r="I39" s="138"/>
      <c r="J39" s="138"/>
      <c r="K39" s="138"/>
      <c r="L39" s="138"/>
      <c r="M39" s="198"/>
      <c r="N39" s="22"/>
      <c r="O39" s="22"/>
      <c r="P39" s="118"/>
    </row>
    <row r="40" spans="1:20" ht="18">
      <c r="A40" s="200" t="s">
        <v>330</v>
      </c>
      <c r="B40" s="186"/>
      <c r="C40" s="186"/>
      <c r="D40" s="186"/>
      <c r="E40" s="186"/>
      <c r="F40" s="188">
        <v>287909</v>
      </c>
      <c r="G40" s="201"/>
      <c r="H40" s="202"/>
      <c r="I40" s="187"/>
      <c r="J40" s="202"/>
      <c r="K40" s="187"/>
      <c r="L40" s="187"/>
      <c r="M40" s="203"/>
      <c r="N40" s="22"/>
      <c r="O40" s="22"/>
      <c r="P40" s="118"/>
      <c r="Q40" s="19"/>
      <c r="R40" s="19"/>
      <c r="S40" s="19"/>
      <c r="T40" s="19"/>
    </row>
    <row r="41" spans="1:20" ht="18">
      <c r="A41" s="171" t="s">
        <v>331</v>
      </c>
      <c r="B41" s="137"/>
      <c r="C41" s="137"/>
      <c r="D41" s="137"/>
      <c r="E41" s="137"/>
      <c r="F41" s="205">
        <f>F38+F39-F40</f>
        <v>3148705.8177112355</v>
      </c>
      <c r="G41" s="206"/>
      <c r="H41" s="137"/>
      <c r="I41" s="137"/>
      <c r="J41" s="137"/>
      <c r="K41" s="137"/>
      <c r="L41" s="137"/>
      <c r="M41" s="137"/>
      <c r="N41" s="22"/>
      <c r="O41" s="22"/>
      <c r="P41" s="118"/>
      <c r="Q41" s="19"/>
      <c r="R41" s="19"/>
      <c r="S41" s="19"/>
      <c r="T41" s="19"/>
    </row>
    <row r="42" spans="1:20">
      <c r="A42" s="209" t="s">
        <v>332</v>
      </c>
      <c r="B42" s="51"/>
      <c r="C42" s="51"/>
      <c r="D42" s="51"/>
      <c r="E42" s="51"/>
      <c r="F42" s="210">
        <f>WACC!E29</f>
        <v>38366816</v>
      </c>
      <c r="G42" s="160"/>
      <c r="H42" s="150"/>
      <c r="I42" s="150"/>
      <c r="J42" s="150"/>
      <c r="K42" s="150"/>
      <c r="L42" s="150"/>
      <c r="M42" s="150"/>
      <c r="N42" s="22"/>
      <c r="O42" s="22"/>
      <c r="P42" s="141"/>
    </row>
    <row r="43" spans="1:20" ht="17.5" thickBot="1">
      <c r="A43" s="211"/>
      <c r="B43" s="212"/>
      <c r="C43" s="212"/>
      <c r="D43" s="212"/>
      <c r="E43" s="212"/>
      <c r="F43" s="162"/>
      <c r="G43" s="162"/>
      <c r="H43" s="150"/>
      <c r="I43" s="150"/>
      <c r="J43" s="150"/>
      <c r="K43" s="150"/>
      <c r="L43" s="150"/>
      <c r="M43" s="213"/>
      <c r="N43" s="22"/>
      <c r="O43" s="22"/>
      <c r="P43" s="141"/>
    </row>
    <row r="44" spans="1:20" ht="18.5" thickBot="1">
      <c r="A44" s="214" t="s">
        <v>508</v>
      </c>
      <c r="B44" s="215"/>
      <c r="C44" s="215"/>
      <c r="D44" s="215"/>
      <c r="E44" s="215"/>
      <c r="F44" s="577">
        <f>F41*1000000/F42</f>
        <v>82068.468170807697</v>
      </c>
      <c r="G44" s="216"/>
      <c r="H44" s="179"/>
      <c r="I44" s="54"/>
      <c r="J44" s="54"/>
      <c r="K44" s="54"/>
      <c r="L44" s="54"/>
      <c r="M44" s="54"/>
      <c r="N44" s="142"/>
      <c r="O44" s="142"/>
      <c r="P44" s="147"/>
      <c r="Q44" s="221"/>
      <c r="R44" s="220"/>
    </row>
    <row r="45" spans="1:20" ht="18.5" thickBot="1">
      <c r="A45" s="214" t="s">
        <v>359</v>
      </c>
      <c r="B45" s="215"/>
      <c r="C45" s="215"/>
      <c r="D45" s="215"/>
      <c r="E45" s="215"/>
      <c r="F45" s="217">
        <f>F41</f>
        <v>3148705.8177112355</v>
      </c>
      <c r="G45" s="218"/>
      <c r="H45" s="219"/>
      <c r="I45" s="19"/>
      <c r="J45" s="19"/>
      <c r="K45" s="19"/>
      <c r="L45" s="19"/>
      <c r="M45" s="19"/>
      <c r="N45" s="147"/>
      <c r="O45" s="147"/>
      <c r="P45" s="147"/>
    </row>
    <row r="46" spans="1:20">
      <c r="N46" s="147"/>
      <c r="O46" s="147"/>
      <c r="P46" s="147"/>
    </row>
    <row r="47" spans="1:20">
      <c r="N47" s="220"/>
      <c r="O47" s="220"/>
      <c r="P47" s="220"/>
    </row>
    <row r="48" spans="1:20">
      <c r="P48" s="221"/>
    </row>
  </sheetData>
  <mergeCells count="10">
    <mergeCell ref="Q31:R31"/>
    <mergeCell ref="Q32:R32"/>
    <mergeCell ref="N5:O5"/>
    <mergeCell ref="A7:D7"/>
    <mergeCell ref="A10:D10"/>
    <mergeCell ref="A13:D13"/>
    <mergeCell ref="Q26:R26"/>
    <mergeCell ref="N31:O31"/>
    <mergeCell ref="N28:O28"/>
    <mergeCell ref="A14:D14"/>
  </mergeCells>
  <phoneticPr fontId="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A4374-B21B-4AD2-83D6-AE510A4256A2}">
  <dimension ref="A1:AS30"/>
  <sheetViews>
    <sheetView zoomScale="70" zoomScaleNormal="70" workbookViewId="0">
      <selection activeCell="E15" sqref="E15"/>
    </sheetView>
  </sheetViews>
  <sheetFormatPr defaultColWidth="8.6640625" defaultRowHeight="17"/>
  <cols>
    <col min="1" max="4" width="8.6640625" style="18"/>
    <col min="5" max="5" width="18.1640625" style="18" bestFit="1" customWidth="1"/>
    <col min="6" max="6" width="12.6640625" style="18" bestFit="1" customWidth="1"/>
    <col min="7" max="7" width="8.6640625" style="18"/>
    <col min="8" max="8" width="22.9140625" style="18" customWidth="1"/>
    <col min="9" max="10" width="8.6640625" style="18"/>
    <col min="11" max="11" width="20.6640625" style="18" customWidth="1"/>
    <col min="12" max="12" width="13.6640625" style="18" customWidth="1"/>
    <col min="13" max="13" width="12" style="18" customWidth="1"/>
    <col min="14" max="14" width="14.25" style="18" customWidth="1"/>
    <col min="15" max="15" width="14.75" style="18" customWidth="1"/>
    <col min="16" max="16" width="6.08203125" style="18" customWidth="1"/>
    <col min="17" max="16384" width="8.6640625" style="18"/>
  </cols>
  <sheetData>
    <row r="1" spans="1:45" s="16" customFormat="1" ht="22.5">
      <c r="A1" s="39" t="s">
        <v>247</v>
      </c>
      <c r="B1" s="378"/>
      <c r="C1" s="378"/>
      <c r="D1" s="378"/>
      <c r="E1" s="378"/>
    </row>
    <row r="2" spans="1:45" s="44" customFormat="1" ht="22.5">
      <c r="A2" s="42" t="s">
        <v>577</v>
      </c>
      <c r="B2" s="43"/>
    </row>
    <row r="3" spans="1:45" s="52" customFormat="1" ht="18.5">
      <c r="A3" s="45" t="s">
        <v>275</v>
      </c>
      <c r="B3" s="46"/>
      <c r="C3" s="47"/>
      <c r="D3" s="47"/>
      <c r="E3" s="47"/>
      <c r="F3" s="47"/>
      <c r="G3" s="47"/>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row>
    <row r="4" spans="1:45" s="385" customFormat="1" ht="18.5">
      <c r="A4" s="382"/>
      <c r="B4" s="383"/>
      <c r="C4" s="384"/>
      <c r="D4" s="384"/>
      <c r="E4" s="384"/>
      <c r="F4" s="384"/>
      <c r="G4" s="384"/>
      <c r="H4" s="384"/>
      <c r="I4" s="384"/>
      <c r="J4" s="384"/>
      <c r="K4" s="384"/>
      <c r="L4" s="384"/>
      <c r="M4" s="384"/>
      <c r="N4" s="384"/>
      <c r="O4" s="384"/>
      <c r="P4" s="384"/>
      <c r="Q4" s="384"/>
      <c r="R4" s="384"/>
      <c r="S4" s="384"/>
      <c r="T4" s="384"/>
      <c r="U4" s="384"/>
      <c r="V4" s="384"/>
      <c r="W4" s="384"/>
      <c r="X4" s="384"/>
      <c r="Y4" s="384"/>
      <c r="Z4" s="384"/>
      <c r="AA4" s="384"/>
      <c r="AB4" s="384"/>
      <c r="AC4" s="384"/>
      <c r="AD4" s="384"/>
      <c r="AE4" s="384"/>
      <c r="AF4" s="384"/>
      <c r="AG4" s="384"/>
      <c r="AH4" s="384"/>
      <c r="AI4" s="384"/>
      <c r="AJ4" s="384"/>
      <c r="AK4" s="384"/>
      <c r="AL4" s="384"/>
      <c r="AM4" s="384"/>
      <c r="AN4" s="384"/>
      <c r="AO4" s="384"/>
      <c r="AP4" s="384"/>
      <c r="AQ4" s="384"/>
      <c r="AR4" s="384"/>
      <c r="AS4" s="384"/>
    </row>
    <row r="5" spans="1:45" ht="18">
      <c r="B5" s="601" t="s">
        <v>333</v>
      </c>
      <c r="C5" s="602"/>
      <c r="D5" s="602"/>
      <c r="E5" s="602"/>
      <c r="F5" s="546"/>
      <c r="G5" s="547" t="s">
        <v>334</v>
      </c>
      <c r="H5" s="548"/>
      <c r="I5" s="548"/>
      <c r="J5" s="549" t="s">
        <v>279</v>
      </c>
      <c r="K5" s="53" t="s">
        <v>426</v>
      </c>
      <c r="L5" s="53" t="s">
        <v>428</v>
      </c>
      <c r="M5" s="53" t="s">
        <v>429</v>
      </c>
      <c r="N5" s="53" t="s">
        <v>430</v>
      </c>
      <c r="O5" s="53" t="s">
        <v>515</v>
      </c>
      <c r="P5" s="53" t="s">
        <v>344</v>
      </c>
      <c r="Q5" s="377"/>
      <c r="R5" s="377"/>
      <c r="S5" s="377"/>
    </row>
    <row r="6" spans="1:45" ht="18">
      <c r="B6" s="222" t="s">
        <v>335</v>
      </c>
      <c r="C6" s="222"/>
      <c r="D6" s="222"/>
      <c r="E6" s="223">
        <f>E30</f>
        <v>0.1433989067084829</v>
      </c>
      <c r="F6" s="549"/>
      <c r="G6" s="550" t="s">
        <v>336</v>
      </c>
      <c r="H6" s="551"/>
      <c r="I6" s="551"/>
      <c r="J6" s="549"/>
      <c r="K6" s="60" t="s">
        <v>355</v>
      </c>
      <c r="L6" s="544">
        <v>69135</v>
      </c>
      <c r="M6" s="489">
        <v>85500</v>
      </c>
      <c r="N6" s="60"/>
      <c r="O6" s="60"/>
      <c r="P6" s="545"/>
      <c r="Q6" s="377"/>
      <c r="R6" s="377"/>
      <c r="S6" s="377"/>
    </row>
    <row r="7" spans="1:45" ht="18">
      <c r="B7" s="54" t="s">
        <v>337</v>
      </c>
      <c r="C7" s="54"/>
      <c r="D7" s="54"/>
      <c r="E7" s="224">
        <f>1-E6</f>
        <v>0.85660109329151712</v>
      </c>
      <c r="F7" s="549"/>
      <c r="G7" s="550"/>
      <c r="H7" s="551"/>
      <c r="I7" s="551"/>
      <c r="J7" s="549"/>
      <c r="K7" s="60" t="s">
        <v>425</v>
      </c>
      <c r="L7" s="544">
        <v>95718</v>
      </c>
      <c r="M7" s="489">
        <v>42181</v>
      </c>
      <c r="N7" s="60"/>
      <c r="O7" s="60"/>
      <c r="P7" s="545"/>
      <c r="Q7" s="377"/>
      <c r="R7" s="377"/>
      <c r="S7" s="377"/>
    </row>
    <row r="8" spans="1:45" ht="18">
      <c r="B8" s="54" t="s">
        <v>338</v>
      </c>
      <c r="C8" s="54"/>
      <c r="D8" s="54"/>
      <c r="E8" s="225">
        <f>P10</f>
        <v>3.4899784415795485E-2</v>
      </c>
      <c r="F8" s="549"/>
      <c r="G8" s="550"/>
      <c r="H8" s="551"/>
      <c r="I8" s="551"/>
      <c r="J8" s="549"/>
      <c r="K8" s="60" t="s">
        <v>356</v>
      </c>
      <c r="L8" s="544">
        <v>87726</v>
      </c>
      <c r="M8" s="489">
        <v>177236</v>
      </c>
      <c r="N8" s="60"/>
      <c r="O8" s="60"/>
      <c r="P8" s="545"/>
      <c r="Q8" s="377"/>
      <c r="R8" s="377"/>
      <c r="S8" s="377"/>
    </row>
    <row r="9" spans="1:45" ht="18">
      <c r="B9" s="226" t="s">
        <v>339</v>
      </c>
      <c r="C9" s="226"/>
      <c r="D9" s="226"/>
      <c r="E9" s="535">
        <v>0.81</v>
      </c>
      <c r="F9" s="549"/>
      <c r="G9" s="552" t="s">
        <v>340</v>
      </c>
      <c r="H9" s="551"/>
      <c r="I9" s="551"/>
      <c r="J9" s="549"/>
      <c r="K9" s="75" t="s">
        <v>357</v>
      </c>
      <c r="L9" s="553">
        <v>203</v>
      </c>
      <c r="M9" s="502">
        <v>165</v>
      </c>
      <c r="N9" s="75"/>
      <c r="O9" s="75"/>
      <c r="P9" s="554"/>
      <c r="Q9" s="377"/>
      <c r="R9" s="377"/>
      <c r="S9" s="377"/>
    </row>
    <row r="10" spans="1:45" ht="18">
      <c r="B10" s="54" t="s">
        <v>341</v>
      </c>
      <c r="C10" s="54"/>
      <c r="D10" s="54"/>
      <c r="E10" s="224">
        <f>E8*E9*E6</f>
        <v>4.0537186529653263E-3</v>
      </c>
      <c r="F10" s="549"/>
      <c r="G10" s="550"/>
      <c r="H10" s="551"/>
      <c r="I10" s="551"/>
      <c r="J10" s="549"/>
      <c r="K10" s="60" t="s">
        <v>427</v>
      </c>
      <c r="L10" s="544">
        <f>SUM(L6:L9)</f>
        <v>252782</v>
      </c>
      <c r="M10" s="489">
        <f>SUM(M6:M9)</f>
        <v>305082</v>
      </c>
      <c r="N10" s="544">
        <f>AVERAGE(L10:M10)</f>
        <v>278932</v>
      </c>
      <c r="O10" s="60">
        <v>7301</v>
      </c>
      <c r="P10" s="545">
        <f>O10/N10*12/9</f>
        <v>3.4899784415795485E-2</v>
      </c>
      <c r="Q10" s="377"/>
      <c r="R10" s="377"/>
      <c r="S10" s="377"/>
    </row>
    <row r="11" spans="1:45" ht="18">
      <c r="B11" s="222" t="s">
        <v>342</v>
      </c>
      <c r="C11" s="222"/>
      <c r="D11" s="222"/>
      <c r="E11" s="223">
        <v>3.0800000000000001E-2</v>
      </c>
      <c r="F11" s="549"/>
      <c r="G11" s="550" t="s">
        <v>343</v>
      </c>
      <c r="H11" s="551"/>
      <c r="I11" s="551"/>
      <c r="J11" s="549"/>
      <c r="K11" s="377"/>
      <c r="L11" s="377"/>
      <c r="M11" s="377"/>
      <c r="N11" s="377"/>
      <c r="O11" s="377"/>
      <c r="P11" s="377"/>
      <c r="Q11" s="377"/>
      <c r="R11" s="377"/>
      <c r="S11" s="377"/>
    </row>
    <row r="12" spans="1:45" ht="18">
      <c r="B12" s="54" t="s">
        <v>345</v>
      </c>
      <c r="C12" s="54"/>
      <c r="D12" s="54"/>
      <c r="E12" s="225">
        <v>7.0000000000000007E-2</v>
      </c>
      <c r="F12" s="549"/>
      <c r="G12" s="550" t="s">
        <v>346</v>
      </c>
      <c r="H12" s="551"/>
      <c r="I12" s="551"/>
      <c r="J12" s="549"/>
      <c r="K12" s="377"/>
      <c r="L12" s="377"/>
      <c r="M12" s="377"/>
      <c r="N12" s="377"/>
      <c r="O12" s="377"/>
      <c r="P12" s="377"/>
      <c r="Q12" s="377"/>
      <c r="R12" s="377"/>
      <c r="S12" s="377"/>
    </row>
    <row r="13" spans="1:45" ht="18">
      <c r="B13" s="228" t="s">
        <v>347</v>
      </c>
      <c r="C13" s="54"/>
      <c r="D13" s="54"/>
      <c r="E13" s="229">
        <f xml:space="preserve"> 1.201*2/3+1*1/3</f>
        <v>1.1340000000000001</v>
      </c>
      <c r="F13" s="549"/>
      <c r="G13" s="550" t="s">
        <v>348</v>
      </c>
      <c r="H13" s="551"/>
      <c r="I13" s="551"/>
      <c r="J13" s="549"/>
      <c r="K13" s="377"/>
      <c r="L13" s="377"/>
      <c r="M13" s="377"/>
      <c r="N13" s="377"/>
      <c r="O13" s="377"/>
      <c r="P13" s="377"/>
      <c r="Q13" s="377"/>
      <c r="R13" s="377"/>
      <c r="S13" s="377"/>
    </row>
    <row r="14" spans="1:45" ht="18">
      <c r="B14" s="226" t="s">
        <v>349</v>
      </c>
      <c r="C14" s="226"/>
      <c r="D14" s="226"/>
      <c r="E14" s="227">
        <f>E11+E13*(E12)</f>
        <v>0.11018000000000003</v>
      </c>
      <c r="F14" s="549"/>
      <c r="G14" s="550" t="s">
        <v>573</v>
      </c>
      <c r="H14" s="551"/>
      <c r="I14" s="551"/>
      <c r="J14" s="549"/>
      <c r="K14" s="377"/>
      <c r="L14" s="377"/>
      <c r="M14" s="377"/>
      <c r="N14" s="377"/>
      <c r="O14" s="377"/>
      <c r="P14" s="377"/>
      <c r="Q14" s="377"/>
      <c r="R14" s="377"/>
      <c r="S14" s="377"/>
    </row>
    <row r="15" spans="1:45" ht="18">
      <c r="B15" s="54" t="s">
        <v>350</v>
      </c>
      <c r="C15" s="54"/>
      <c r="D15" s="54"/>
      <c r="E15" s="224">
        <f>E14*E7</f>
        <v>9.4380308458859377E-2</v>
      </c>
      <c r="F15" s="549"/>
      <c r="G15" s="550"/>
      <c r="H15" s="551"/>
      <c r="I15" s="551"/>
      <c r="J15" s="549"/>
      <c r="K15" s="377"/>
      <c r="L15" s="377"/>
      <c r="M15" s="377"/>
      <c r="N15" s="377"/>
      <c r="O15" s="377"/>
      <c r="P15" s="377"/>
      <c r="Q15" s="377"/>
      <c r="R15" s="377"/>
      <c r="S15" s="377"/>
    </row>
    <row r="16" spans="1:45" ht="18">
      <c r="B16" s="230" t="s">
        <v>351</v>
      </c>
      <c r="C16" s="230"/>
      <c r="D16" s="230"/>
      <c r="E16" s="231">
        <f>E15+E10</f>
        <v>9.843402711182471E-2</v>
      </c>
      <c r="F16" s="377"/>
      <c r="G16" s="542"/>
      <c r="H16" s="543"/>
      <c r="I16" s="543"/>
      <c r="J16" s="377"/>
      <c r="K16" s="377"/>
      <c r="L16" s="377"/>
      <c r="M16" s="377"/>
      <c r="N16" s="377"/>
      <c r="O16" s="377"/>
      <c r="P16" s="377"/>
      <c r="Q16" s="377"/>
      <c r="R16" s="377"/>
      <c r="S16" s="377"/>
    </row>
    <row r="17" spans="2:19">
      <c r="F17" s="377"/>
      <c r="G17" s="377"/>
      <c r="H17" s="377"/>
      <c r="I17" s="377"/>
      <c r="J17" s="377"/>
      <c r="K17" s="377"/>
      <c r="L17" s="377"/>
      <c r="M17" s="377"/>
      <c r="N17" s="377"/>
      <c r="O17" s="377"/>
      <c r="P17" s="377"/>
      <c r="Q17" s="377"/>
      <c r="R17" s="377"/>
      <c r="S17" s="377"/>
    </row>
    <row r="19" spans="2:19" ht="18">
      <c r="B19" s="232" t="s">
        <v>335</v>
      </c>
      <c r="C19" s="233"/>
      <c r="D19" s="233"/>
      <c r="E19" s="234"/>
    </row>
    <row r="20" spans="2:19" ht="18">
      <c r="B20" s="235" t="s">
        <v>352</v>
      </c>
      <c r="C20" s="54"/>
      <c r="D20" s="54"/>
      <c r="E20" s="236"/>
    </row>
    <row r="21" spans="2:19" ht="18">
      <c r="B21" s="237" t="s">
        <v>353</v>
      </c>
      <c r="C21" s="226"/>
      <c r="D21" s="226"/>
      <c r="E21" s="238" t="s">
        <v>354</v>
      </c>
    </row>
    <row r="22" spans="2:19" ht="18">
      <c r="B22" s="239" t="s">
        <v>355</v>
      </c>
      <c r="C22" s="240"/>
      <c r="D22" s="240"/>
      <c r="E22" s="241">
        <v>85500</v>
      </c>
    </row>
    <row r="23" spans="2:19" ht="18">
      <c r="B23" s="242" t="s">
        <v>425</v>
      </c>
      <c r="C23" s="243"/>
      <c r="D23" s="243"/>
      <c r="E23" s="244">
        <v>42181</v>
      </c>
    </row>
    <row r="24" spans="2:19" ht="18">
      <c r="B24" s="242" t="s">
        <v>356</v>
      </c>
      <c r="C24" s="243"/>
      <c r="D24" s="243"/>
      <c r="E24" s="244">
        <v>177236</v>
      </c>
    </row>
    <row r="25" spans="2:19" ht="18">
      <c r="B25" s="245" t="s">
        <v>357</v>
      </c>
      <c r="C25" s="246"/>
      <c r="D25" s="246"/>
      <c r="E25" s="247">
        <v>165</v>
      </c>
    </row>
    <row r="26" spans="2:19" ht="18">
      <c r="B26" s="235" t="s">
        <v>358</v>
      </c>
      <c r="C26" s="54"/>
      <c r="D26" s="54"/>
      <c r="E26" s="244">
        <f>SUM(E22:E25)</f>
        <v>305082</v>
      </c>
      <c r="H26" s="580"/>
    </row>
    <row r="27" spans="2:19" ht="18">
      <c r="B27" s="235" t="s">
        <v>359</v>
      </c>
      <c r="C27" s="54"/>
      <c r="D27" s="54"/>
      <c r="E27" s="244">
        <f>E28*E29*0.000001</f>
        <v>1822423.76</v>
      </c>
      <c r="H27" s="581"/>
    </row>
    <row r="28" spans="2:19" ht="18">
      <c r="B28" s="248" t="s">
        <v>360</v>
      </c>
      <c r="C28" s="249"/>
      <c r="D28" s="249"/>
      <c r="E28" s="244">
        <v>47500</v>
      </c>
    </row>
    <row r="29" spans="2:19" ht="18">
      <c r="B29" s="248" t="s">
        <v>310</v>
      </c>
      <c r="C29" s="249"/>
      <c r="D29" s="249"/>
      <c r="E29" s="244">
        <v>38366816</v>
      </c>
    </row>
    <row r="30" spans="2:19" ht="18">
      <c r="B30" s="250" t="s">
        <v>361</v>
      </c>
      <c r="C30" s="251"/>
      <c r="D30" s="251"/>
      <c r="E30" s="252">
        <f>E26/(E26+E27)</f>
        <v>0.1433989067084829</v>
      </c>
    </row>
  </sheetData>
  <mergeCells count="1">
    <mergeCell ref="B5:E5"/>
  </mergeCells>
  <phoneticPr fontId="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4BBDA-C84A-4104-9132-7DAFFC6559C5}">
  <dimension ref="A1:AQ52"/>
  <sheetViews>
    <sheetView topLeftCell="J1" zoomScale="70" workbookViewId="0">
      <selection activeCell="O12" sqref="O12"/>
    </sheetView>
  </sheetViews>
  <sheetFormatPr defaultColWidth="8.6640625" defaultRowHeight="17"/>
  <cols>
    <col min="1" max="1" width="8.6640625" style="18"/>
    <col min="2" max="2" width="8.9140625" style="18" bestFit="1" customWidth="1"/>
    <col min="3" max="3" width="8.6640625" style="18"/>
    <col min="4" max="6" width="9.33203125" style="18" bestFit="1" customWidth="1"/>
    <col min="7" max="7" width="11.83203125" style="18" customWidth="1"/>
    <col min="8" max="8" width="11.08203125" style="18" customWidth="1"/>
    <col min="9" max="9" width="12.5" style="18" customWidth="1"/>
    <col min="10" max="10" width="12" style="18" customWidth="1"/>
    <col min="11" max="11" width="11.33203125" style="18" customWidth="1"/>
    <col min="12" max="12" width="12.5" style="18" customWidth="1"/>
    <col min="13" max="13" width="10.1640625" style="18" bestFit="1" customWidth="1"/>
    <col min="14" max="14" width="9.9140625" style="18" bestFit="1" customWidth="1"/>
    <col min="15" max="15" width="8.6640625" style="18"/>
    <col min="16" max="16" width="8.6640625" style="170"/>
    <col min="17" max="16384" width="8.6640625" style="18"/>
  </cols>
  <sheetData>
    <row r="1" spans="1:43" s="16" customFormat="1" ht="22.5">
      <c r="A1" s="39" t="s">
        <v>247</v>
      </c>
      <c r="B1" s="378"/>
      <c r="C1" s="378"/>
      <c r="D1" s="378"/>
      <c r="E1" s="378"/>
    </row>
    <row r="2" spans="1:43" s="44" customFormat="1" ht="22.5">
      <c r="A2" s="42" t="s">
        <v>578</v>
      </c>
      <c r="B2" s="43"/>
    </row>
    <row r="3" spans="1:43" s="52" customFormat="1" ht="18.5">
      <c r="A3" s="45" t="s">
        <v>275</v>
      </c>
      <c r="B3" s="46"/>
      <c r="C3" s="47"/>
      <c r="D3" s="47"/>
      <c r="E3" s="47"/>
      <c r="F3" s="47"/>
      <c r="G3" s="47"/>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row>
    <row r="4" spans="1:43" ht="17.5" thickBot="1">
      <c r="P4" s="18"/>
    </row>
    <row r="5" spans="1:43" s="54" customFormat="1" ht="18.5" thickBot="1">
      <c r="A5" s="603" t="s">
        <v>362</v>
      </c>
      <c r="B5" s="603"/>
      <c r="C5" s="603"/>
      <c r="D5" s="603"/>
      <c r="E5" s="603"/>
      <c r="F5" s="603"/>
      <c r="G5" s="604" t="s">
        <v>363</v>
      </c>
      <c r="H5" s="604"/>
      <c r="I5" s="604"/>
      <c r="J5" s="604"/>
      <c r="K5" s="604"/>
      <c r="L5" s="604"/>
      <c r="M5" s="253"/>
      <c r="N5" s="254" t="s">
        <v>364</v>
      </c>
      <c r="O5" s="253"/>
      <c r="P5" s="255"/>
      <c r="Q5" s="253"/>
      <c r="R5" s="253"/>
      <c r="S5" s="253"/>
      <c r="T5" s="253"/>
      <c r="U5" s="253"/>
    </row>
    <row r="6" spans="1:43" s="54" customFormat="1" ht="18">
      <c r="A6" s="256"/>
      <c r="B6" s="257"/>
      <c r="C6" s="257"/>
      <c r="D6" s="258" t="s">
        <v>365</v>
      </c>
      <c r="E6" s="259" t="s">
        <v>366</v>
      </c>
      <c r="F6" s="259" t="s">
        <v>367</v>
      </c>
      <c r="G6" s="259" t="s">
        <v>368</v>
      </c>
      <c r="H6" s="260" t="s">
        <v>254</v>
      </c>
      <c r="I6" s="259" t="s">
        <v>369</v>
      </c>
      <c r="J6" s="259" t="s">
        <v>370</v>
      </c>
      <c r="K6" s="259" t="s">
        <v>371</v>
      </c>
      <c r="L6" s="259" t="s">
        <v>372</v>
      </c>
      <c r="M6" s="253"/>
      <c r="N6" s="253"/>
      <c r="O6" s="253"/>
      <c r="P6" s="253"/>
      <c r="Q6" s="253"/>
      <c r="R6" s="253"/>
      <c r="S6" s="253"/>
    </row>
    <row r="7" spans="1:43" s="54" customFormat="1" ht="18">
      <c r="A7" s="261" t="s">
        <v>373</v>
      </c>
      <c r="B7" s="261"/>
      <c r="C7" s="262"/>
      <c r="D7" s="263">
        <v>53299</v>
      </c>
      <c r="E7" s="263">
        <v>39462</v>
      </c>
      <c r="F7" s="263">
        <v>43796</v>
      </c>
      <c r="G7" s="263">
        <f t="shared" ref="G7:L7" si="0">G25/$B$24*G19</f>
        <v>56793.526235994781</v>
      </c>
      <c r="H7" s="263">
        <f t="shared" si="0"/>
        <v>236304.01156594988</v>
      </c>
      <c r="I7" s="263">
        <f t="shared" si="0"/>
        <v>245762.72363064898</v>
      </c>
      <c r="J7" s="263">
        <f t="shared" si="0"/>
        <v>275638.74941231741</v>
      </c>
      <c r="K7" s="263">
        <f t="shared" si="0"/>
        <v>282317.25990410981</v>
      </c>
      <c r="L7" s="263">
        <f t="shared" si="0"/>
        <v>294941.97235644172</v>
      </c>
      <c r="M7" s="264"/>
      <c r="N7" s="54" t="s">
        <v>472</v>
      </c>
      <c r="O7" s="265"/>
      <c r="P7" s="265"/>
      <c r="Q7" s="264"/>
      <c r="R7" s="264"/>
      <c r="S7" s="264"/>
    </row>
    <row r="8" spans="1:43" s="54" customFormat="1" ht="18">
      <c r="A8" s="261" t="s">
        <v>374</v>
      </c>
      <c r="B8" s="261"/>
      <c r="C8" s="262"/>
      <c r="D8" s="263">
        <v>86833</v>
      </c>
      <c r="E8" s="263">
        <v>81331</v>
      </c>
      <c r="F8" s="263">
        <v>79266</v>
      </c>
      <c r="G8" s="263">
        <f>AVERAGE(D8:F8)</f>
        <v>82476.666666666672</v>
      </c>
      <c r="H8" s="263">
        <f t="shared" ref="H8:L8" si="1">AVERAGE(E8:G8)</f>
        <v>81024.555555555562</v>
      </c>
      <c r="I8" s="263">
        <f t="shared" si="1"/>
        <v>80922.407407407416</v>
      </c>
      <c r="J8" s="263">
        <f t="shared" si="1"/>
        <v>81474.54320987656</v>
      </c>
      <c r="K8" s="263">
        <f t="shared" si="1"/>
        <v>81140.502057613179</v>
      </c>
      <c r="L8" s="263">
        <f t="shared" si="1"/>
        <v>81179.15089163238</v>
      </c>
      <c r="M8" s="264"/>
      <c r="N8" s="558" t="s">
        <v>582</v>
      </c>
      <c r="O8" s="265"/>
      <c r="P8" s="265"/>
      <c r="Q8" s="264"/>
      <c r="R8" s="264"/>
      <c r="S8" s="264"/>
    </row>
    <row r="9" spans="1:43" s="54" customFormat="1" ht="18">
      <c r="A9" s="261" t="s">
        <v>542</v>
      </c>
      <c r="B9" s="261"/>
      <c r="C9" s="262"/>
      <c r="D9" s="263">
        <v>2185</v>
      </c>
      <c r="E9" s="263">
        <v>1940</v>
      </c>
      <c r="F9" s="263">
        <v>1536</v>
      </c>
      <c r="G9" s="263">
        <f t="shared" ref="G9:L9" si="2">AVERAGE(D9:F9)</f>
        <v>1887</v>
      </c>
      <c r="H9" s="263">
        <f t="shared" si="2"/>
        <v>1787.6666666666667</v>
      </c>
      <c r="I9" s="263">
        <f t="shared" si="2"/>
        <v>1736.8888888888889</v>
      </c>
      <c r="J9" s="263">
        <f t="shared" si="2"/>
        <v>1803.851851851852</v>
      </c>
      <c r="K9" s="263">
        <f t="shared" si="2"/>
        <v>1776.135802469136</v>
      </c>
      <c r="L9" s="263">
        <f t="shared" si="2"/>
        <v>1772.292181069959</v>
      </c>
      <c r="M9" s="264"/>
      <c r="N9" s="54" t="s">
        <v>375</v>
      </c>
      <c r="O9" s="265"/>
      <c r="P9" s="265"/>
      <c r="Q9" s="264"/>
      <c r="R9" s="264"/>
      <c r="S9" s="264"/>
    </row>
    <row r="10" spans="1:43" s="54" customFormat="1" ht="18">
      <c r="A10" s="266" t="s">
        <v>376</v>
      </c>
      <c r="B10" s="267"/>
      <c r="C10" s="268"/>
      <c r="D10" s="269">
        <f t="shared" ref="D10:L10" si="3">SUM(D7:D9)</f>
        <v>142317</v>
      </c>
      <c r="E10" s="269">
        <f t="shared" si="3"/>
        <v>122733</v>
      </c>
      <c r="F10" s="269">
        <f t="shared" si="3"/>
        <v>124598</v>
      </c>
      <c r="G10" s="269">
        <f t="shared" si="3"/>
        <v>141157.19290266145</v>
      </c>
      <c r="H10" s="269">
        <f t="shared" si="3"/>
        <v>319116.23378817213</v>
      </c>
      <c r="I10" s="269">
        <f t="shared" si="3"/>
        <v>328422.01992694527</v>
      </c>
      <c r="J10" s="269">
        <f t="shared" si="3"/>
        <v>358917.14447404584</v>
      </c>
      <c r="K10" s="269">
        <f t="shared" si="3"/>
        <v>365233.89776419214</v>
      </c>
      <c r="L10" s="269">
        <f t="shared" si="3"/>
        <v>377893.41542914405</v>
      </c>
      <c r="M10" s="264"/>
      <c r="N10" s="270"/>
      <c r="O10" s="265"/>
      <c r="P10" s="265"/>
      <c r="Q10" s="264"/>
      <c r="R10" s="264"/>
      <c r="S10" s="264"/>
    </row>
    <row r="11" spans="1:43" s="19" customFormat="1" ht="18">
      <c r="A11" s="271"/>
      <c r="B11" s="271"/>
      <c r="C11" s="271"/>
      <c r="D11" s="272"/>
      <c r="E11" s="273"/>
      <c r="F11" s="274"/>
      <c r="G11" s="274"/>
      <c r="H11" s="274"/>
      <c r="I11" s="274"/>
      <c r="J11" s="274"/>
      <c r="K11" s="274"/>
      <c r="L11" s="275"/>
      <c r="M11" s="276"/>
      <c r="N11" s="270"/>
      <c r="O11" s="276"/>
      <c r="P11" s="276"/>
      <c r="Q11" s="276"/>
      <c r="R11" s="276"/>
      <c r="S11" s="276"/>
    </row>
    <row r="12" spans="1:43" ht="18">
      <c r="A12" s="277" t="s">
        <v>377</v>
      </c>
      <c r="B12" s="277"/>
      <c r="C12" s="277"/>
      <c r="D12" s="278">
        <v>12617</v>
      </c>
      <c r="E12" s="278">
        <v>14156</v>
      </c>
      <c r="F12" s="278">
        <v>14953</v>
      </c>
      <c r="G12" s="278">
        <f t="shared" ref="G12:K12" si="4">G30/$B$29*G20</f>
        <v>12316.805077487748</v>
      </c>
      <c r="H12" s="278">
        <f t="shared" si="4"/>
        <v>56597.391680711189</v>
      </c>
      <c r="I12" s="278">
        <f t="shared" si="4"/>
        <v>56104.888060560959</v>
      </c>
      <c r="J12" s="278">
        <f t="shared" si="4"/>
        <v>59079.680401567144</v>
      </c>
      <c r="K12" s="278">
        <f t="shared" si="4"/>
        <v>63135.953017599102</v>
      </c>
      <c r="L12" s="278">
        <f>L30/$B$29*L20</f>
        <v>65458.839784104581</v>
      </c>
      <c r="M12" s="279"/>
      <c r="N12" s="54" t="s">
        <v>471</v>
      </c>
      <c r="O12" s="280"/>
      <c r="P12" s="280"/>
      <c r="Q12" s="279"/>
      <c r="R12" s="279"/>
      <c r="S12" s="279"/>
    </row>
    <row r="13" spans="1:43" s="54" customFormat="1" ht="18">
      <c r="A13" s="277" t="s">
        <v>378</v>
      </c>
      <c r="B13" s="277"/>
      <c r="C13" s="277"/>
      <c r="D13" s="278">
        <v>4140</v>
      </c>
      <c r="E13" s="278">
        <v>2859</v>
      </c>
      <c r="F13" s="278">
        <v>2743</v>
      </c>
      <c r="G13" s="278">
        <f t="shared" ref="G13:K13" si="5">AVERAGE(D13:F13)</f>
        <v>3247.3333333333335</v>
      </c>
      <c r="H13" s="278">
        <f t="shared" si="5"/>
        <v>2949.7777777777778</v>
      </c>
      <c r="I13" s="278">
        <f t="shared" si="5"/>
        <v>2980.037037037037</v>
      </c>
      <c r="J13" s="278">
        <f t="shared" si="5"/>
        <v>3059.0493827160494</v>
      </c>
      <c r="K13" s="278">
        <f t="shared" si="5"/>
        <v>2996.2880658436211</v>
      </c>
      <c r="L13" s="278">
        <f>AVERAGE(I13:K13)</f>
        <v>3011.7914951989023</v>
      </c>
      <c r="M13" s="264"/>
      <c r="N13" s="54" t="s">
        <v>375</v>
      </c>
      <c r="O13" s="264"/>
      <c r="P13" s="264"/>
      <c r="Q13" s="264"/>
      <c r="R13" s="264"/>
      <c r="S13" s="264"/>
    </row>
    <row r="14" spans="1:43" s="54" customFormat="1" ht="18">
      <c r="A14" s="266" t="s">
        <v>379</v>
      </c>
      <c r="B14" s="267"/>
      <c r="C14" s="268"/>
      <c r="D14" s="269">
        <f t="shared" ref="D14:L14" si="6">SUM(D12:D13)</f>
        <v>16757</v>
      </c>
      <c r="E14" s="269">
        <f t="shared" si="6"/>
        <v>17015</v>
      </c>
      <c r="F14" s="269">
        <f t="shared" si="6"/>
        <v>17696</v>
      </c>
      <c r="G14" s="269">
        <f t="shared" si="6"/>
        <v>15564.138410821082</v>
      </c>
      <c r="H14" s="269">
        <f t="shared" si="6"/>
        <v>59547.16945848897</v>
      </c>
      <c r="I14" s="269">
        <f t="shared" si="6"/>
        <v>59084.925097597996</v>
      </c>
      <c r="J14" s="269">
        <f t="shared" si="6"/>
        <v>62138.72978428319</v>
      </c>
      <c r="K14" s="269">
        <f t="shared" si="6"/>
        <v>66132.241083442728</v>
      </c>
      <c r="L14" s="269">
        <f t="shared" si="6"/>
        <v>68470.631279303489</v>
      </c>
      <c r="M14" s="264"/>
      <c r="N14" s="270"/>
      <c r="O14" s="264"/>
      <c r="P14" s="264"/>
      <c r="Q14" s="264"/>
      <c r="R14" s="264"/>
      <c r="S14" s="264"/>
    </row>
    <row r="15" spans="1:43" s="54" customFormat="1" ht="18">
      <c r="A15" s="281" t="s">
        <v>380</v>
      </c>
      <c r="B15" s="282"/>
      <c r="C15" s="282"/>
      <c r="D15" s="283">
        <f t="shared" ref="D15:L15" si="7">D10-D14</f>
        <v>125560</v>
      </c>
      <c r="E15" s="283">
        <f t="shared" si="7"/>
        <v>105718</v>
      </c>
      <c r="F15" s="283">
        <f t="shared" si="7"/>
        <v>106902</v>
      </c>
      <c r="G15" s="283">
        <f>G10-G14</f>
        <v>125593.05449184038</v>
      </c>
      <c r="H15" s="283">
        <f t="shared" si="7"/>
        <v>259569.06432968317</v>
      </c>
      <c r="I15" s="283">
        <f t="shared" si="7"/>
        <v>269337.09482934728</v>
      </c>
      <c r="J15" s="283">
        <f t="shared" si="7"/>
        <v>296778.41468976263</v>
      </c>
      <c r="K15" s="283">
        <f t="shared" si="7"/>
        <v>299101.65668074938</v>
      </c>
      <c r="L15" s="283">
        <f t="shared" si="7"/>
        <v>309422.78414984059</v>
      </c>
      <c r="M15" s="264"/>
      <c r="N15" s="270"/>
      <c r="O15" s="264"/>
      <c r="P15" s="264"/>
      <c r="Q15" s="264"/>
      <c r="R15" s="264"/>
      <c r="S15" s="264"/>
    </row>
    <row r="16" spans="1:43" s="19" customFormat="1" ht="18">
      <c r="A16" s="271"/>
      <c r="B16" s="271"/>
      <c r="C16" s="271"/>
      <c r="D16" s="272"/>
      <c r="E16" s="273"/>
      <c r="F16" s="274"/>
      <c r="G16" s="274"/>
      <c r="H16" s="274"/>
      <c r="I16" s="274"/>
      <c r="J16" s="274"/>
      <c r="K16" s="274"/>
      <c r="L16" s="275"/>
      <c r="M16" s="276"/>
      <c r="N16" s="559"/>
      <c r="O16" s="276"/>
      <c r="P16" s="276"/>
      <c r="Q16" s="276"/>
      <c r="R16" s="276"/>
      <c r="S16" s="276"/>
    </row>
    <row r="17" spans="1:19" s="19" customFormat="1" ht="18">
      <c r="A17" s="284" t="s">
        <v>381</v>
      </c>
      <c r="B17" s="284"/>
      <c r="C17" s="284"/>
      <c r="D17" s="285"/>
      <c r="E17" s="286">
        <f t="shared" ref="E17:L17" si="8">E15-D15</f>
        <v>-19842</v>
      </c>
      <c r="F17" s="286">
        <f t="shared" si="8"/>
        <v>1184</v>
      </c>
      <c r="G17" s="286">
        <f t="shared" si="8"/>
        <v>18691.054491840376</v>
      </c>
      <c r="H17" s="286">
        <f t="shared" si="8"/>
        <v>133976.00983784278</v>
      </c>
      <c r="I17" s="286">
        <f t="shared" si="8"/>
        <v>9768.0304996641062</v>
      </c>
      <c r="J17" s="286">
        <f t="shared" si="8"/>
        <v>27441.319860415359</v>
      </c>
      <c r="K17" s="286">
        <f t="shared" si="8"/>
        <v>2323.2419909867458</v>
      </c>
      <c r="L17" s="286">
        <f t="shared" si="8"/>
        <v>10321.127469091211</v>
      </c>
      <c r="M17" s="276"/>
      <c r="N17" s="264"/>
      <c r="O17" s="276"/>
      <c r="P17" s="276"/>
      <c r="Q17" s="276"/>
      <c r="R17" s="276"/>
      <c r="S17" s="276"/>
    </row>
    <row r="18" spans="1:19">
      <c r="A18" s="287" t="s">
        <v>382</v>
      </c>
      <c r="B18" s="288"/>
      <c r="C18" s="288"/>
      <c r="D18" s="288"/>
      <c r="E18" s="288"/>
      <c r="F18" s="289"/>
      <c r="G18" s="289"/>
      <c r="H18" s="289"/>
      <c r="I18" s="289"/>
      <c r="J18" s="289"/>
      <c r="K18" s="289"/>
      <c r="L18" s="289"/>
      <c r="M18" s="279"/>
      <c r="N18" s="264"/>
      <c r="O18" s="279"/>
      <c r="P18" s="279"/>
      <c r="Q18" s="279"/>
      <c r="R18" s="279"/>
      <c r="S18" s="279"/>
    </row>
    <row r="19" spans="1:19" s="19" customFormat="1" ht="18">
      <c r="A19" s="261" t="s">
        <v>383</v>
      </c>
      <c r="B19" s="262"/>
      <c r="C19" s="262"/>
      <c r="D19" s="262">
        <f>'DCF&gt;&gt;&gt;'!E6</f>
        <v>267491</v>
      </c>
      <c r="E19" s="262">
        <f>'DCF&gt;&gt;&gt;'!F6</f>
        <v>133604</v>
      </c>
      <c r="F19" s="262">
        <f>'DCF&gt;&gt;&gt;'!G6</f>
        <v>185507</v>
      </c>
      <c r="G19" s="262">
        <f>'DCF&gt;&gt;&gt;'!H6</f>
        <v>175561.69753666667</v>
      </c>
      <c r="H19" s="262">
        <f>'DCF&gt;&gt;&gt;'!I6</f>
        <v>792034.6682860225</v>
      </c>
      <c r="I19" s="262">
        <f>'DCF&gt;&gt;&gt;'!J6</f>
        <v>871238.13511462486</v>
      </c>
      <c r="J19" s="262">
        <f>'DCF&gt;&gt;&gt;'!K6</f>
        <v>914800.04187035619</v>
      </c>
      <c r="K19" s="262">
        <f>'DCF&gt;&gt;&gt;'!L6</f>
        <v>960540.04396387399</v>
      </c>
      <c r="L19" s="262">
        <f>'DCF&gt;&gt;&gt;'!M6</f>
        <v>1008567.0461620677</v>
      </c>
      <c r="M19" s="284"/>
      <c r="N19" s="264"/>
      <c r="O19" s="276"/>
      <c r="P19" s="276"/>
      <c r="Q19" s="276"/>
      <c r="R19" s="276"/>
      <c r="S19" s="276"/>
    </row>
    <row r="20" spans="1:19" s="54" customFormat="1" ht="18">
      <c r="A20" s="261" t="s">
        <v>384</v>
      </c>
      <c r="B20" s="262"/>
      <c r="C20" s="262"/>
      <c r="D20" s="262">
        <f>'DCF&gt;&gt;&gt;'!E8</f>
        <v>158044</v>
      </c>
      <c r="E20" s="262">
        <f>'DCF&gt;&gt;&gt;'!F8</f>
        <v>84056</v>
      </c>
      <c r="F20" s="262">
        <f>'DCF&gt;&gt;&gt;'!G8</f>
        <v>114022</v>
      </c>
      <c r="G20" s="262">
        <f>'DCF&gt;&gt;&gt;'!H8</f>
        <v>100754.93381853333</v>
      </c>
      <c r="H20" s="262">
        <f>'DCF&gt;&gt;&gt;'!I8</f>
        <v>414989.0937759027</v>
      </c>
      <c r="I20" s="262">
        <f>'DCF&gt;&gt;&gt;'!J8</f>
        <v>435738.54846469784</v>
      </c>
      <c r="J20" s="262">
        <f>'DCF&gt;&gt;&gt;'!K8</f>
        <v>457525.47588793276</v>
      </c>
      <c r="K20" s="262">
        <f>'DCF&gt;&gt;&gt;'!L8</f>
        <v>480401.74968232942</v>
      </c>
      <c r="L20" s="262">
        <f>'DCF&gt;&gt;&gt;'!M8</f>
        <v>504421.83716644591</v>
      </c>
      <c r="M20" s="264"/>
      <c r="N20" s="264"/>
      <c r="O20" s="264"/>
      <c r="P20" s="264"/>
      <c r="Q20" s="264"/>
      <c r="R20" s="264"/>
      <c r="S20" s="264"/>
    </row>
    <row r="21" spans="1:19" s="54" customFormat="1" ht="18">
      <c r="A21" s="290"/>
      <c r="B21" s="290"/>
      <c r="C21" s="290"/>
      <c r="D21" s="290"/>
      <c r="E21" s="290"/>
      <c r="F21" s="291"/>
      <c r="G21" s="291"/>
      <c r="H21" s="291"/>
      <c r="I21" s="291"/>
      <c r="J21" s="291"/>
      <c r="K21" s="291"/>
      <c r="L21" s="291"/>
      <c r="M21" s="264"/>
      <c r="N21" s="264"/>
      <c r="O21" s="264"/>
      <c r="P21" s="264"/>
      <c r="Q21" s="264"/>
      <c r="R21" s="264"/>
      <c r="S21" s="264"/>
    </row>
    <row r="22" spans="1:19" s="54" customFormat="1" ht="18">
      <c r="A22" s="271" t="s">
        <v>385</v>
      </c>
      <c r="B22" s="271"/>
      <c r="C22" s="290"/>
      <c r="D22" s="290"/>
      <c r="E22" s="271"/>
      <c r="F22" s="292"/>
      <c r="G22" s="292"/>
      <c r="H22" s="292"/>
      <c r="I22" s="292"/>
      <c r="J22" s="292"/>
      <c r="K22" s="292"/>
      <c r="L22" s="279"/>
      <c r="M22" s="264"/>
      <c r="N22" s="264"/>
      <c r="O22" s="264"/>
      <c r="P22" s="264"/>
      <c r="Q22" s="264"/>
      <c r="R22" s="264"/>
      <c r="S22" s="264"/>
    </row>
    <row r="23" spans="1:19">
      <c r="A23" s="287" t="s">
        <v>386</v>
      </c>
      <c r="B23" s="288"/>
      <c r="C23" s="288"/>
      <c r="D23" s="288"/>
      <c r="E23" s="288"/>
      <c r="F23" s="289"/>
      <c r="G23" s="289"/>
      <c r="H23" s="289"/>
      <c r="I23" s="289"/>
      <c r="J23" s="289"/>
      <c r="K23" s="289"/>
      <c r="L23" s="289"/>
      <c r="M23" s="279"/>
      <c r="N23" s="264"/>
      <c r="O23" s="279"/>
      <c r="P23" s="279"/>
      <c r="Q23" s="279"/>
      <c r="R23" s="279"/>
      <c r="S23" s="279"/>
    </row>
    <row r="24" spans="1:19" ht="18">
      <c r="A24" s="270" t="s">
        <v>387</v>
      </c>
      <c r="B24" s="253">
        <v>365</v>
      </c>
      <c r="C24" s="253"/>
      <c r="D24" s="54"/>
      <c r="E24" s="262"/>
      <c r="F24" s="293"/>
      <c r="G24" s="293"/>
      <c r="H24" s="293"/>
      <c r="I24" s="293"/>
      <c r="J24" s="293"/>
      <c r="K24" s="293"/>
      <c r="L24" s="253"/>
      <c r="M24" s="294"/>
      <c r="N24" s="264"/>
      <c r="O24" s="279"/>
      <c r="P24" s="279"/>
      <c r="Q24" s="279"/>
      <c r="R24" s="279"/>
      <c r="S24" s="279"/>
    </row>
    <row r="25" spans="1:19" s="54" customFormat="1" ht="18">
      <c r="A25" s="261" t="s">
        <v>388</v>
      </c>
      <c r="B25" s="262"/>
      <c r="C25" s="262"/>
      <c r="D25" s="295">
        <f>(AVERAGE(D7)/E19*$B$24)</f>
        <v>145.61042334061855</v>
      </c>
      <c r="E25" s="295">
        <f>(AVERAGE(D7:E7)/E19*$B$24)</f>
        <v>126.70939867069849</v>
      </c>
      <c r="F25" s="295">
        <f>(AVERAGE(E7:F7)/F19*$B$24)</f>
        <v>81.908418550243397</v>
      </c>
      <c r="G25" s="295">
        <f t="shared" ref="G25:L25" si="9">AVERAGE(D25:F25)</f>
        <v>118.07608018718683</v>
      </c>
      <c r="H25" s="295">
        <f t="shared" si="9"/>
        <v>108.89796580270958</v>
      </c>
      <c r="I25" s="295">
        <f t="shared" si="9"/>
        <v>102.96082151337993</v>
      </c>
      <c r="J25" s="295">
        <f t="shared" si="9"/>
        <v>109.97828916775877</v>
      </c>
      <c r="K25" s="295">
        <f t="shared" si="9"/>
        <v>107.27902549461608</v>
      </c>
      <c r="L25" s="295">
        <f t="shared" si="9"/>
        <v>106.73937872525158</v>
      </c>
      <c r="M25" s="295"/>
      <c r="N25" s="560" t="s">
        <v>389</v>
      </c>
      <c r="O25" s="264"/>
      <c r="P25" s="264"/>
      <c r="Q25" s="264"/>
      <c r="R25" s="264"/>
      <c r="S25" s="264"/>
    </row>
    <row r="26" spans="1:19" s="54" customFormat="1" ht="18">
      <c r="A26" s="261"/>
      <c r="B26" s="262"/>
      <c r="C26" s="262"/>
      <c r="D26" s="295"/>
      <c r="E26" s="295"/>
      <c r="F26" s="295"/>
      <c r="G26" s="295"/>
      <c r="H26" s="295"/>
      <c r="I26" s="295"/>
      <c r="J26" s="295"/>
      <c r="K26" s="295"/>
      <c r="L26" s="295"/>
      <c r="M26" s="295"/>
      <c r="N26" s="264"/>
      <c r="O26" s="264"/>
      <c r="P26" s="264"/>
      <c r="Q26" s="264"/>
      <c r="R26" s="264"/>
      <c r="S26" s="264"/>
    </row>
    <row r="27" spans="1:19" s="54" customFormat="1" ht="18">
      <c r="A27" s="261"/>
      <c r="B27" s="262"/>
      <c r="C27" s="262"/>
      <c r="D27" s="295"/>
      <c r="E27" s="295"/>
      <c r="F27" s="295"/>
      <c r="G27" s="295"/>
      <c r="H27" s="295"/>
      <c r="I27" s="295"/>
      <c r="J27" s="295"/>
      <c r="K27" s="295"/>
      <c r="L27" s="295"/>
      <c r="M27" s="295"/>
      <c r="N27" s="264"/>
      <c r="O27" s="264"/>
      <c r="P27" s="264"/>
      <c r="Q27" s="264"/>
      <c r="R27" s="264"/>
      <c r="S27" s="264"/>
    </row>
    <row r="28" spans="1:19" s="54" customFormat="1" ht="18">
      <c r="A28" s="297" t="s">
        <v>386</v>
      </c>
      <c r="B28" s="298"/>
      <c r="C28" s="298"/>
      <c r="D28" s="298"/>
      <c r="E28" s="298"/>
      <c r="F28" s="289"/>
      <c r="G28" s="289"/>
      <c r="H28" s="289"/>
      <c r="I28" s="289"/>
      <c r="J28" s="289"/>
      <c r="K28" s="289"/>
      <c r="L28" s="289"/>
      <c r="M28" s="295"/>
      <c r="N28" s="264"/>
      <c r="O28" s="264"/>
      <c r="P28" s="264"/>
      <c r="Q28" s="264"/>
      <c r="R28" s="264"/>
      <c r="S28" s="264"/>
    </row>
    <row r="29" spans="1:19" s="54" customFormat="1" ht="18">
      <c r="A29" s="277" t="s">
        <v>387</v>
      </c>
      <c r="B29" s="277">
        <v>365</v>
      </c>
      <c r="C29" s="277"/>
      <c r="E29" s="277"/>
      <c r="F29" s="293"/>
      <c r="G29" s="293"/>
      <c r="H29" s="293"/>
      <c r="I29" s="293"/>
      <c r="J29" s="293"/>
      <c r="K29" s="293"/>
      <c r="L29" s="293"/>
      <c r="M29" s="295"/>
      <c r="N29" s="264"/>
      <c r="O29" s="264"/>
      <c r="P29" s="264"/>
      <c r="Q29" s="264"/>
      <c r="R29" s="264"/>
      <c r="S29" s="264"/>
    </row>
    <row r="30" spans="1:19" s="54" customFormat="1" ht="18">
      <c r="A30" s="277" t="s">
        <v>390</v>
      </c>
      <c r="B30" s="277"/>
      <c r="C30" s="277"/>
      <c r="D30" s="299">
        <f>AVERAGE(D12)/D20*$B$29</f>
        <v>29.13875249930399</v>
      </c>
      <c r="E30" s="299">
        <f>AVERAGE(D12:E12)/E20*$B$29</f>
        <v>58.128777243742263</v>
      </c>
      <c r="F30" s="299">
        <f>AVERAGE(E12:F12)/F20*$B$29</f>
        <v>46.590942975916931</v>
      </c>
      <c r="G30" s="299">
        <f t="shared" ref="G30:L30" si="10">AVERAGE(D30:F30)</f>
        <v>44.619490906321062</v>
      </c>
      <c r="H30" s="299">
        <f t="shared" si="10"/>
        <v>49.779737041993421</v>
      </c>
      <c r="I30" s="299">
        <f t="shared" si="10"/>
        <v>46.996723641410476</v>
      </c>
      <c r="J30" s="299">
        <f t="shared" si="10"/>
        <v>47.131983863241658</v>
      </c>
      <c r="K30" s="299">
        <f t="shared" si="10"/>
        <v>47.969481515548523</v>
      </c>
      <c r="L30" s="299">
        <f t="shared" si="10"/>
        <v>47.366063006733555</v>
      </c>
      <c r="M30" s="295"/>
      <c r="N30" s="560" t="s">
        <v>389</v>
      </c>
      <c r="O30" s="264"/>
      <c r="P30" s="264"/>
      <c r="Q30" s="264"/>
      <c r="R30" s="264"/>
      <c r="S30" s="264"/>
    </row>
    <row r="31" spans="1:19" s="54" customFormat="1" ht="18">
      <c r="A31" s="300"/>
      <c r="B31" s="300"/>
      <c r="C31" s="300"/>
      <c r="D31" s="300"/>
      <c r="E31" s="300"/>
      <c r="F31" s="300"/>
      <c r="G31" s="300"/>
      <c r="H31" s="300"/>
      <c r="I31" s="300"/>
      <c r="J31" s="300"/>
      <c r="K31" s="300"/>
      <c r="L31" s="300"/>
      <c r="M31" s="295"/>
      <c r="N31" s="264"/>
      <c r="O31" s="264"/>
      <c r="P31" s="264"/>
      <c r="Q31" s="264"/>
      <c r="R31" s="264"/>
      <c r="S31" s="264"/>
    </row>
    <row r="32" spans="1:19" s="54" customFormat="1" ht="18">
      <c r="A32" s="301" t="s">
        <v>391</v>
      </c>
      <c r="B32" s="302"/>
      <c r="C32" s="303"/>
      <c r="D32" s="303"/>
      <c r="E32" s="303"/>
      <c r="F32" s="303"/>
      <c r="G32" s="303"/>
      <c r="H32" s="303"/>
      <c r="I32" s="303"/>
      <c r="J32" s="303"/>
      <c r="K32" s="303"/>
      <c r="L32" s="303"/>
      <c r="M32" s="253"/>
      <c r="N32" s="253"/>
      <c r="O32" s="253"/>
      <c r="P32" s="253"/>
      <c r="Q32" s="253"/>
      <c r="R32" s="253"/>
      <c r="S32" s="253"/>
    </row>
    <row r="33" spans="1:19" s="54" customFormat="1" ht="18">
      <c r="A33" s="304" t="s">
        <v>392</v>
      </c>
      <c r="B33" s="304"/>
      <c r="C33" s="305"/>
      <c r="D33" s="306">
        <f>D7/D19</f>
        <v>0.19925530204754552</v>
      </c>
      <c r="E33" s="306">
        <f t="shared" ref="E33:L33" si="11">E7/E19</f>
        <v>0.29536540822131074</v>
      </c>
      <c r="F33" s="306">
        <f t="shared" si="11"/>
        <v>0.23608812605454241</v>
      </c>
      <c r="G33" s="306">
        <f t="shared" si="11"/>
        <v>0.32349611010188173</v>
      </c>
      <c r="H33" s="306">
        <f t="shared" si="11"/>
        <v>0.29835059124030022</v>
      </c>
      <c r="I33" s="306">
        <f t="shared" si="11"/>
        <v>0.28208444250241077</v>
      </c>
      <c r="J33" s="306">
        <f t="shared" si="11"/>
        <v>0.30131038128153087</v>
      </c>
      <c r="K33" s="306">
        <f t="shared" si="11"/>
        <v>0.29391513834141392</v>
      </c>
      <c r="L33" s="306">
        <f t="shared" si="11"/>
        <v>0.29243665404178515</v>
      </c>
      <c r="M33" s="253"/>
      <c r="N33" s="253"/>
      <c r="O33" s="253"/>
      <c r="P33" s="253"/>
      <c r="Q33" s="253"/>
      <c r="R33" s="253"/>
      <c r="S33" s="253"/>
    </row>
    <row r="34" spans="1:19" ht="18">
      <c r="A34" s="304" t="s">
        <v>393</v>
      </c>
      <c r="B34" s="304"/>
      <c r="C34" s="305"/>
      <c r="D34" s="307">
        <f t="shared" ref="D34:L34" si="12">D7/D20</f>
        <v>0.33724152767583709</v>
      </c>
      <c r="E34" s="307">
        <f t="shared" si="12"/>
        <v>0.46947273246407156</v>
      </c>
      <c r="F34" s="307">
        <f t="shared" si="12"/>
        <v>0.38410131378155093</v>
      </c>
      <c r="G34" s="307">
        <f t="shared" si="12"/>
        <v>0.56367985252497799</v>
      </c>
      <c r="H34" s="307">
        <f t="shared" si="12"/>
        <v>0.5694222212344594</v>
      </c>
      <c r="I34" s="307">
        <f t="shared" si="12"/>
        <v>0.56401418808728576</v>
      </c>
      <c r="J34" s="307">
        <f t="shared" si="12"/>
        <v>0.60245552201738584</v>
      </c>
      <c r="K34" s="307">
        <f t="shared" si="12"/>
        <v>0.58766909173581283</v>
      </c>
      <c r="L34" s="307">
        <f t="shared" si="12"/>
        <v>0.584712933946828</v>
      </c>
      <c r="M34" s="294"/>
      <c r="N34" s="308"/>
      <c r="O34" s="294"/>
      <c r="P34" s="294"/>
      <c r="Q34" s="294"/>
      <c r="R34" s="294"/>
      <c r="S34" s="294"/>
    </row>
    <row r="35" spans="1:19" s="54" customFormat="1" ht="18">
      <c r="A35" s="304" t="s">
        <v>394</v>
      </c>
      <c r="B35" s="304"/>
      <c r="C35" s="305"/>
      <c r="D35" s="306">
        <f>D15/D19</f>
        <v>0.46939897043265005</v>
      </c>
      <c r="E35" s="306">
        <f t="shared" ref="E35:L35" si="13">E15/E19</f>
        <v>0.79127870423041224</v>
      </c>
      <c r="F35" s="306">
        <f t="shared" si="13"/>
        <v>0.57626935910774257</v>
      </c>
      <c r="G35" s="306">
        <f t="shared" si="13"/>
        <v>0.71537844674582185</v>
      </c>
      <c r="H35" s="306">
        <f t="shared" si="13"/>
        <v>0.32772437208006988</v>
      </c>
      <c r="I35" s="307">
        <f t="shared" si="13"/>
        <v>0.3091429127972134</v>
      </c>
      <c r="J35" s="307">
        <f t="shared" si="13"/>
        <v>0.32441889058398354</v>
      </c>
      <c r="K35" s="307">
        <f t="shared" si="13"/>
        <v>0.31138905510533677</v>
      </c>
      <c r="L35" s="307">
        <f t="shared" si="13"/>
        <v>0.30679446183305015</v>
      </c>
      <c r="M35" s="253"/>
      <c r="N35" s="296"/>
      <c r="O35" s="253"/>
      <c r="P35" s="253"/>
      <c r="Q35" s="253"/>
      <c r="R35" s="253"/>
      <c r="S35" s="253"/>
    </row>
    <row r="36" spans="1:19" s="54" customFormat="1" ht="18">
      <c r="A36" s="304" t="s">
        <v>395</v>
      </c>
      <c r="B36" s="304"/>
      <c r="C36" s="305"/>
      <c r="D36" s="306">
        <f>D10/D14</f>
        <v>8.4929880050128297</v>
      </c>
      <c r="E36" s="306">
        <f t="shared" ref="E36:L36" si="14">E10/E14</f>
        <v>7.2132236262121658</v>
      </c>
      <c r="F36" s="306">
        <f t="shared" si="14"/>
        <v>7.0410262206148282</v>
      </c>
      <c r="G36" s="306">
        <f>G10/G14</f>
        <v>9.0693868929179455</v>
      </c>
      <c r="H36" s="306">
        <f t="shared" si="14"/>
        <v>5.3590495852306095</v>
      </c>
      <c r="I36" s="309">
        <f t="shared" si="14"/>
        <v>5.5584739996614934</v>
      </c>
      <c r="J36" s="309">
        <f t="shared" si="14"/>
        <v>5.7760618171636189</v>
      </c>
      <c r="K36" s="309">
        <f t="shared" si="14"/>
        <v>5.5227811999196614</v>
      </c>
      <c r="L36" s="309">
        <f t="shared" si="14"/>
        <v>5.5190584396345317</v>
      </c>
      <c r="M36" s="253"/>
      <c r="N36" s="253"/>
      <c r="O36" s="253"/>
      <c r="P36" s="253"/>
      <c r="Q36" s="253"/>
      <c r="R36" s="253"/>
      <c r="S36" s="253"/>
    </row>
    <row r="37" spans="1:19" s="54" customFormat="1" ht="18">
      <c r="A37" s="310" t="s">
        <v>396</v>
      </c>
      <c r="B37" s="311"/>
      <c r="C37" s="312"/>
      <c r="D37" s="307">
        <f t="shared" ref="D37:L37" si="15">D15/D42</f>
        <v>0.2571622850495236</v>
      </c>
      <c r="E37" s="307">
        <f>E15/E42</f>
        <v>0.2175773379407146</v>
      </c>
      <c r="F37" s="307">
        <f>F15/F42</f>
        <v>0.21117654147101761</v>
      </c>
      <c r="G37" s="307">
        <f>G15/G42</f>
        <v>0.22467451608558206</v>
      </c>
      <c r="H37" s="307">
        <f t="shared" si="15"/>
        <v>0.30182449340660833</v>
      </c>
      <c r="I37" s="307">
        <f t="shared" si="15"/>
        <v>0.28471151673292522</v>
      </c>
      <c r="J37" s="307">
        <f t="shared" si="15"/>
        <v>0.29878024231326145</v>
      </c>
      <c r="K37" s="307">
        <f t="shared" si="15"/>
        <v>0.28678014763750398</v>
      </c>
      <c r="L37" s="307">
        <f t="shared" si="15"/>
        <v>0.28254866256968447</v>
      </c>
    </row>
    <row r="38" spans="1:19">
      <c r="A38" s="300"/>
      <c r="B38" s="300"/>
      <c r="C38" s="300"/>
      <c r="D38" s="300"/>
      <c r="E38" s="300"/>
      <c r="F38" s="300"/>
      <c r="G38" s="300"/>
      <c r="H38" s="300"/>
      <c r="I38" s="300"/>
      <c r="J38" s="300"/>
      <c r="K38" s="300"/>
      <c r="L38" s="300"/>
      <c r="M38" s="300"/>
      <c r="N38" s="313"/>
      <c r="O38" s="300"/>
      <c r="P38" s="300"/>
      <c r="Q38" s="300"/>
      <c r="R38" s="300"/>
      <c r="S38" s="300"/>
    </row>
    <row r="39" spans="1:19">
      <c r="A39" s="314"/>
      <c r="B39" s="314"/>
      <c r="C39" s="300"/>
      <c r="D39" s="300"/>
      <c r="E39" s="300"/>
      <c r="F39" s="300"/>
      <c r="G39" s="300"/>
      <c r="H39" s="300"/>
      <c r="I39" s="300"/>
      <c r="J39" s="300"/>
      <c r="K39" s="300"/>
      <c r="L39" s="300"/>
      <c r="M39" s="300"/>
      <c r="N39" s="313"/>
      <c r="O39" s="300"/>
      <c r="P39" s="300"/>
      <c r="Q39" s="300"/>
      <c r="R39" s="300"/>
      <c r="S39" s="300"/>
    </row>
    <row r="40" spans="1:19">
      <c r="A40" s="315" t="s">
        <v>397</v>
      </c>
      <c r="B40" s="316"/>
      <c r="C40" s="317"/>
      <c r="D40" s="317"/>
      <c r="E40" s="317"/>
      <c r="F40" s="317"/>
      <c r="G40" s="317"/>
      <c r="H40" s="317"/>
      <c r="I40" s="318"/>
      <c r="J40" s="317"/>
      <c r="K40" s="317"/>
      <c r="L40" s="317"/>
      <c r="M40" s="319"/>
      <c r="N40" s="313"/>
      <c r="O40" s="300"/>
      <c r="P40" s="300"/>
      <c r="Q40" s="300"/>
      <c r="R40" s="300"/>
      <c r="S40" s="300"/>
    </row>
    <row r="41" spans="1:19">
      <c r="A41" s="270" t="s">
        <v>398</v>
      </c>
      <c r="B41" s="270"/>
      <c r="C41" s="253"/>
      <c r="D41" s="320">
        <f t="shared" ref="D41:L41" si="16">D43/D42</f>
        <v>0.54785438666917907</v>
      </c>
      <c r="E41" s="320">
        <f t="shared" si="16"/>
        <v>0.27496928298143397</v>
      </c>
      <c r="F41" s="320">
        <f t="shared" si="16"/>
        <v>0.36645457221253169</v>
      </c>
      <c r="G41" s="320">
        <f t="shared" si="16"/>
        <v>0.31406385963625522</v>
      </c>
      <c r="H41" s="320">
        <f t="shared" si="16"/>
        <v>0.92097054451863081</v>
      </c>
      <c r="I41" s="320">
        <f t="shared" si="16"/>
        <v>0.92097054451863081</v>
      </c>
      <c r="J41" s="320">
        <f t="shared" si="16"/>
        <v>0.92097054451863092</v>
      </c>
      <c r="K41" s="320">
        <f t="shared" si="16"/>
        <v>0.92097054451863092</v>
      </c>
      <c r="L41" s="320">
        <f t="shared" si="16"/>
        <v>0.92097054451863081</v>
      </c>
      <c r="M41" s="319"/>
      <c r="N41" s="313"/>
      <c r="O41" s="300"/>
      <c r="P41" s="300"/>
      <c r="Q41" s="300"/>
      <c r="R41" s="300"/>
      <c r="S41" s="300"/>
    </row>
    <row r="42" spans="1:19">
      <c r="A42" s="270" t="s">
        <v>399</v>
      </c>
      <c r="B42" s="270"/>
      <c r="C42" s="253"/>
      <c r="D42" s="253">
        <v>488252</v>
      </c>
      <c r="E42" s="253">
        <v>485887</v>
      </c>
      <c r="F42" s="253">
        <v>506221</v>
      </c>
      <c r="G42" s="253">
        <v>559000</v>
      </c>
      <c r="H42" s="253">
        <v>860000</v>
      </c>
      <c r="I42" s="253">
        <f>H42*1.1</f>
        <v>946000.00000000012</v>
      </c>
      <c r="J42" s="253">
        <f>I42*1.05</f>
        <v>993300.00000000012</v>
      </c>
      <c r="K42" s="253">
        <f t="shared" ref="K42:L42" si="17">J42*1.05</f>
        <v>1042965.0000000001</v>
      </c>
      <c r="L42" s="253">
        <f t="shared" si="17"/>
        <v>1095113.2500000002</v>
      </c>
      <c r="M42" s="321"/>
      <c r="N42" s="313"/>
      <c r="O42" s="300"/>
      <c r="P42" s="300"/>
      <c r="Q42" s="300"/>
      <c r="R42" s="300"/>
      <c r="S42" s="300"/>
    </row>
    <row r="43" spans="1:19">
      <c r="A43" s="270" t="s">
        <v>288</v>
      </c>
      <c r="B43" s="270"/>
      <c r="C43" s="253"/>
      <c r="D43" s="253">
        <f>D19</f>
        <v>267491</v>
      </c>
      <c r="E43" s="253">
        <f t="shared" ref="E43:L43" si="18">E19</f>
        <v>133604</v>
      </c>
      <c r="F43" s="253">
        <f t="shared" si="18"/>
        <v>185507</v>
      </c>
      <c r="G43" s="253">
        <f t="shared" si="18"/>
        <v>175561.69753666667</v>
      </c>
      <c r="H43" s="253">
        <f>H19</f>
        <v>792034.6682860225</v>
      </c>
      <c r="I43" s="253">
        <f>I19</f>
        <v>871238.13511462486</v>
      </c>
      <c r="J43" s="253">
        <f t="shared" si="18"/>
        <v>914800.04187035619</v>
      </c>
      <c r="K43" s="253">
        <f t="shared" si="18"/>
        <v>960540.04396387399</v>
      </c>
      <c r="L43" s="253">
        <f t="shared" si="18"/>
        <v>1008567.0461620677</v>
      </c>
      <c r="M43" s="322"/>
      <c r="N43" s="313"/>
      <c r="O43" s="300"/>
      <c r="P43" s="300"/>
      <c r="Q43" s="300"/>
      <c r="R43" s="300"/>
      <c r="S43" s="300"/>
    </row>
    <row r="44" spans="1:19">
      <c r="A44" s="323"/>
      <c r="B44" s="323"/>
      <c r="C44" s="294"/>
      <c r="D44" s="294"/>
      <c r="E44" s="294"/>
      <c r="F44" s="294"/>
      <c r="G44" s="294"/>
      <c r="H44" s="294"/>
      <c r="I44" s="294"/>
      <c r="J44" s="294"/>
      <c r="K44" s="294"/>
      <c r="L44" s="294"/>
      <c r="M44" s="300"/>
      <c r="N44" s="313"/>
      <c r="O44" s="300"/>
      <c r="P44" s="300"/>
      <c r="Q44" s="300"/>
      <c r="R44" s="300"/>
      <c r="S44" s="300"/>
    </row>
    <row r="45" spans="1:19">
      <c r="M45" s="300"/>
      <c r="N45" s="313"/>
      <c r="O45" s="300"/>
      <c r="P45" s="300"/>
      <c r="Q45" s="300"/>
      <c r="R45" s="300"/>
      <c r="S45" s="300"/>
    </row>
    <row r="46" spans="1:19">
      <c r="M46" s="253"/>
      <c r="N46" s="313"/>
      <c r="O46" s="300"/>
      <c r="P46" s="300"/>
      <c r="Q46" s="300"/>
      <c r="R46" s="300"/>
      <c r="S46" s="300"/>
    </row>
    <row r="47" spans="1:19">
      <c r="M47" s="300"/>
      <c r="N47" s="313"/>
      <c r="O47" s="300"/>
      <c r="P47" s="300"/>
      <c r="Q47" s="300"/>
      <c r="R47" s="300"/>
      <c r="S47" s="300"/>
    </row>
    <row r="48" spans="1:19">
      <c r="M48" s="294"/>
      <c r="N48" s="308"/>
      <c r="O48" s="294"/>
      <c r="P48" s="294"/>
      <c r="Q48" s="294"/>
      <c r="R48" s="294"/>
      <c r="S48" s="294"/>
    </row>
    <row r="49" spans="13:21">
      <c r="M49" s="294"/>
      <c r="N49" s="294"/>
      <c r="O49" s="294"/>
      <c r="P49" s="308"/>
      <c r="Q49" s="294"/>
      <c r="R49" s="294"/>
      <c r="S49" s="294"/>
      <c r="T49" s="294"/>
      <c r="U49" s="294"/>
    </row>
    <row r="50" spans="13:21">
      <c r="O50" s="294"/>
      <c r="P50" s="308"/>
      <c r="Q50" s="294"/>
      <c r="R50" s="294"/>
      <c r="S50" s="294"/>
      <c r="T50" s="294"/>
      <c r="U50" s="294"/>
    </row>
    <row r="51" spans="13:21">
      <c r="O51" s="294"/>
      <c r="P51" s="308"/>
      <c r="Q51" s="294"/>
      <c r="R51" s="294"/>
      <c r="S51" s="294"/>
      <c r="T51" s="294"/>
      <c r="U51" s="294"/>
    </row>
    <row r="52" spans="13:21">
      <c r="O52" s="294"/>
      <c r="P52" s="308"/>
      <c r="Q52" s="294"/>
      <c r="R52" s="294"/>
      <c r="S52" s="294"/>
      <c r="T52" s="294"/>
      <c r="U52" s="294"/>
    </row>
  </sheetData>
  <mergeCells count="2">
    <mergeCell ref="A5:F5"/>
    <mergeCell ref="G5:L5"/>
  </mergeCells>
  <phoneticPr fontId="3"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EB1A0-34F8-4EFD-8BF1-D9E5F9F3BDB8}">
  <dimension ref="A1:AQ45"/>
  <sheetViews>
    <sheetView topLeftCell="L1" zoomScale="63" zoomScaleNormal="145" workbookViewId="0">
      <selection activeCell="N23" sqref="N23"/>
    </sheetView>
  </sheetViews>
  <sheetFormatPr defaultColWidth="8.6640625" defaultRowHeight="17"/>
  <cols>
    <col min="1" max="3" width="8.6640625" style="18"/>
    <col min="4" max="5" width="9.25" style="18" bestFit="1" customWidth="1"/>
    <col min="6" max="6" width="12.1640625" style="18" bestFit="1" customWidth="1"/>
    <col min="7" max="7" width="10.6640625" style="18" bestFit="1" customWidth="1"/>
    <col min="8" max="9" width="9" style="18" bestFit="1" customWidth="1"/>
    <col min="10" max="10" width="10.1640625" style="18" customWidth="1"/>
    <col min="11" max="11" width="10.4140625" style="18" customWidth="1"/>
    <col min="12" max="12" width="10.5" style="18" customWidth="1"/>
    <col min="13" max="13" width="8.6640625" style="18"/>
    <col min="14" max="14" width="8.6640625" style="377"/>
    <col min="15" max="15" width="8.6640625" style="18"/>
    <col min="16" max="16" width="8.6640625" style="51"/>
    <col min="17" max="16384" width="8.6640625" style="18"/>
  </cols>
  <sheetData>
    <row r="1" spans="1:43" s="16" customFormat="1" ht="22.5">
      <c r="A1" s="39" t="s">
        <v>247</v>
      </c>
      <c r="B1" s="378"/>
      <c r="C1" s="378"/>
      <c r="D1" s="378"/>
      <c r="E1" s="378"/>
    </row>
    <row r="2" spans="1:43" s="44" customFormat="1" ht="22.5">
      <c r="A2" s="42" t="s">
        <v>579</v>
      </c>
      <c r="B2" s="43"/>
    </row>
    <row r="3" spans="1:43" s="52" customFormat="1" ht="18.5">
      <c r="A3" s="45" t="s">
        <v>275</v>
      </c>
      <c r="B3" s="46"/>
      <c r="C3" s="47"/>
      <c r="D3" s="47"/>
      <c r="E3" s="47"/>
      <c r="F3" s="47"/>
      <c r="G3" s="47"/>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row>
    <row r="4" spans="1:43" ht="17.5" thickBot="1">
      <c r="N4" s="18"/>
      <c r="P4" s="18"/>
    </row>
    <row r="5" spans="1:43" s="54" customFormat="1" ht="18.5" thickBot="1">
      <c r="A5" s="603" t="s">
        <v>362</v>
      </c>
      <c r="B5" s="603"/>
      <c r="C5" s="603"/>
      <c r="D5" s="603"/>
      <c r="E5" s="603"/>
      <c r="F5" s="603"/>
      <c r="G5" s="604" t="s">
        <v>363</v>
      </c>
      <c r="H5" s="604"/>
      <c r="I5" s="604"/>
      <c r="J5" s="604"/>
      <c r="K5" s="604"/>
      <c r="L5" s="604"/>
      <c r="M5" s="324"/>
      <c r="N5" s="254" t="s">
        <v>364</v>
      </c>
      <c r="O5" s="124"/>
      <c r="P5" s="124"/>
      <c r="Q5" s="124"/>
      <c r="R5" s="124"/>
      <c r="S5" s="124"/>
      <c r="T5" s="124"/>
      <c r="U5" s="124"/>
      <c r="V5" s="124"/>
      <c r="W5" s="325"/>
      <c r="X5" s="325"/>
    </row>
    <row r="6" spans="1:43" s="54" customFormat="1" ht="18">
      <c r="A6" s="256"/>
      <c r="B6" s="257"/>
      <c r="C6" s="257"/>
      <c r="D6" s="258" t="s">
        <v>365</v>
      </c>
      <c r="E6" s="259" t="s">
        <v>366</v>
      </c>
      <c r="F6" s="259" t="s">
        <v>367</v>
      </c>
      <c r="G6" s="259" t="s">
        <v>368</v>
      </c>
      <c r="H6" s="260" t="s">
        <v>254</v>
      </c>
      <c r="I6" s="259" t="s">
        <v>369</v>
      </c>
      <c r="J6" s="259" t="s">
        <v>370</v>
      </c>
      <c r="K6" s="259" t="s">
        <v>371</v>
      </c>
      <c r="L6" s="259" t="s">
        <v>372</v>
      </c>
      <c r="M6" s="324"/>
      <c r="N6" s="324"/>
      <c r="O6" s="124"/>
      <c r="P6" s="124"/>
      <c r="Q6" s="124"/>
      <c r="R6" s="124"/>
      <c r="S6" s="124"/>
      <c r="T6" s="124"/>
      <c r="U6" s="124"/>
      <c r="V6" s="124"/>
      <c r="W6" s="325"/>
      <c r="X6" s="325"/>
    </row>
    <row r="7" spans="1:43" s="54" customFormat="1" ht="18">
      <c r="A7" s="326" t="s">
        <v>400</v>
      </c>
      <c r="B7" s="326"/>
      <c r="C7" s="326"/>
      <c r="D7" s="327">
        <v>242657</v>
      </c>
      <c r="E7" s="327">
        <v>270619</v>
      </c>
      <c r="F7" s="327">
        <v>232023</v>
      </c>
      <c r="G7" s="327">
        <f>G17</f>
        <v>233189.31567460528</v>
      </c>
      <c r="H7" s="327">
        <f>H17</f>
        <v>219219.96069215648</v>
      </c>
      <c r="I7" s="327">
        <f t="shared" ref="I7:L7" si="0">I17</f>
        <v>203297.02230924825</v>
      </c>
      <c r="J7" s="327">
        <f t="shared" si="0"/>
        <v>188060.41388684453</v>
      </c>
      <c r="K7" s="327">
        <f t="shared" si="0"/>
        <v>175417.99824010264</v>
      </c>
      <c r="L7" s="327">
        <f t="shared" si="0"/>
        <v>162836.49281515833</v>
      </c>
      <c r="M7" s="328"/>
      <c r="N7" s="93"/>
      <c r="O7" s="329"/>
      <c r="P7" s="329"/>
      <c r="Q7" s="329"/>
      <c r="R7" s="329"/>
      <c r="S7" s="329"/>
      <c r="T7" s="329"/>
      <c r="U7" s="329"/>
      <c r="V7" s="329"/>
      <c r="W7" s="329"/>
      <c r="X7" s="329"/>
    </row>
    <row r="8" spans="1:43" s="54" customFormat="1" ht="18">
      <c r="A8" s="326" t="s">
        <v>401</v>
      </c>
      <c r="B8" s="326"/>
      <c r="C8" s="326"/>
      <c r="D8" s="325">
        <v>18200</v>
      </c>
      <c r="E8" s="325">
        <v>20950</v>
      </c>
      <c r="F8" s="325">
        <v>11736</v>
      </c>
      <c r="G8" s="325">
        <v>44101</v>
      </c>
      <c r="H8" s="325">
        <v>45830</v>
      </c>
      <c r="I8" s="330">
        <f>I28</f>
        <v>5834.2272703833441</v>
      </c>
      <c r="J8" s="330">
        <f>J28</f>
        <v>4555.3380553200286</v>
      </c>
      <c r="K8" s="330">
        <f>K28</f>
        <v>3509.4400964332326</v>
      </c>
      <c r="L8" s="330">
        <f>L28</f>
        <v>2696.7893255560625</v>
      </c>
      <c r="M8" s="328"/>
      <c r="N8" s="93"/>
      <c r="O8" s="329"/>
      <c r="P8" s="329"/>
      <c r="Q8" s="329"/>
      <c r="R8" s="329"/>
      <c r="S8" s="329"/>
      <c r="T8" s="329"/>
      <c r="U8" s="329"/>
      <c r="V8" s="329"/>
      <c r="W8" s="329"/>
      <c r="X8" s="329"/>
    </row>
    <row r="9" spans="1:43" s="54" customFormat="1" ht="18">
      <c r="A9" s="326" t="s">
        <v>278</v>
      </c>
      <c r="B9" s="326"/>
      <c r="C9" s="326"/>
      <c r="D9" s="327">
        <f>D10-SUM(D7:D8)</f>
        <v>46117</v>
      </c>
      <c r="E9" s="327">
        <f>E10-SUM(E7:E8)</f>
        <v>50524</v>
      </c>
      <c r="F9" s="327">
        <f>F10-SUM(F7:F8)</f>
        <v>106386</v>
      </c>
      <c r="G9" s="327">
        <f t="shared" ref="G9:L9" si="1">AVERAGE(D9:F9)</f>
        <v>67675.666666666672</v>
      </c>
      <c r="H9" s="327">
        <f t="shared" si="1"/>
        <v>74861.888888888891</v>
      </c>
      <c r="I9" s="327">
        <f t="shared" si="1"/>
        <v>82974.518518518526</v>
      </c>
      <c r="J9" s="327">
        <f t="shared" si="1"/>
        <v>75170.691358024706</v>
      </c>
      <c r="K9" s="327">
        <f t="shared" si="1"/>
        <v>77669.032921810707</v>
      </c>
      <c r="L9" s="327">
        <f t="shared" si="1"/>
        <v>78604.747599451322</v>
      </c>
      <c r="M9" s="328"/>
      <c r="N9" s="73" t="s">
        <v>410</v>
      </c>
      <c r="O9" s="329"/>
      <c r="P9" s="329"/>
      <c r="Q9" s="329"/>
      <c r="R9" s="329"/>
      <c r="S9" s="329"/>
      <c r="T9" s="329"/>
      <c r="U9" s="329"/>
      <c r="V9" s="329"/>
      <c r="W9" s="329"/>
      <c r="X9" s="329"/>
    </row>
    <row r="10" spans="1:43" s="19" customFormat="1" ht="18">
      <c r="A10" s="331" t="s">
        <v>402</v>
      </c>
      <c r="B10" s="268"/>
      <c r="C10" s="331"/>
      <c r="D10" s="332">
        <v>306974</v>
      </c>
      <c r="E10" s="332">
        <v>342093</v>
      </c>
      <c r="F10" s="332">
        <v>350145</v>
      </c>
      <c r="G10" s="332">
        <v>53132</v>
      </c>
      <c r="H10" s="332">
        <v>61629</v>
      </c>
      <c r="I10" s="333">
        <f>SUM(I7:I9)</f>
        <v>292105.76809815015</v>
      </c>
      <c r="J10" s="333">
        <f>SUM(J7:J9)</f>
        <v>267786.44330018928</v>
      </c>
      <c r="K10" s="333">
        <f>SUM(K7:K9)</f>
        <v>256596.47125834657</v>
      </c>
      <c r="L10" s="333">
        <f>SUM(L7:L9)</f>
        <v>244138.02974016569</v>
      </c>
      <c r="M10" s="328"/>
      <c r="N10" s="334"/>
      <c r="O10" s="335"/>
      <c r="P10" s="335"/>
      <c r="Q10" s="335"/>
      <c r="R10" s="335"/>
      <c r="S10" s="335"/>
      <c r="T10" s="335"/>
      <c r="U10" s="335"/>
      <c r="V10" s="335"/>
      <c r="W10" s="335"/>
      <c r="X10" s="335"/>
    </row>
    <row r="11" spans="1:43" s="19" customFormat="1" ht="18">
      <c r="B11" s="326"/>
      <c r="D11" s="327"/>
      <c r="E11" s="327"/>
      <c r="F11" s="327"/>
      <c r="G11" s="327"/>
      <c r="H11" s="327"/>
      <c r="I11" s="327"/>
      <c r="J11" s="330"/>
      <c r="K11" s="330"/>
      <c r="L11" s="330"/>
      <c r="M11" s="328"/>
      <c r="N11" s="334"/>
      <c r="O11" s="335"/>
      <c r="P11" s="335"/>
      <c r="Q11" s="335"/>
      <c r="R11" s="335"/>
      <c r="S11" s="335"/>
      <c r="T11" s="335"/>
      <c r="U11" s="335"/>
      <c r="V11" s="335"/>
      <c r="W11" s="335"/>
      <c r="X11" s="335"/>
    </row>
    <row r="12" spans="1:43" s="54" customFormat="1" ht="18.5" thickBot="1">
      <c r="A12" s="336" t="s">
        <v>403</v>
      </c>
      <c r="B12" s="337"/>
      <c r="C12" s="337"/>
      <c r="D12" s="337"/>
      <c r="E12" s="338"/>
      <c r="F12" s="338"/>
      <c r="G12" s="338"/>
      <c r="H12" s="338"/>
      <c r="I12" s="338"/>
      <c r="J12" s="338"/>
      <c r="K12" s="338"/>
      <c r="L12" s="338"/>
      <c r="M12" s="325"/>
      <c r="N12" s="334"/>
      <c r="O12" s="329"/>
      <c r="P12" s="329"/>
      <c r="Q12" s="329"/>
      <c r="R12" s="329"/>
      <c r="S12" s="329"/>
      <c r="T12" s="329"/>
      <c r="U12" s="329"/>
      <c r="V12" s="329"/>
      <c r="W12" s="329"/>
      <c r="X12" s="329"/>
    </row>
    <row r="13" spans="1:43" s="54" customFormat="1" ht="18.5" thickTop="1">
      <c r="A13" s="339" t="s">
        <v>404</v>
      </c>
      <c r="B13" s="277"/>
      <c r="C13" s="277"/>
      <c r="D13" s="340">
        <v>241596</v>
      </c>
      <c r="E13" s="340">
        <f t="shared" ref="E13:L13" si="2">D17</f>
        <v>242657</v>
      </c>
      <c r="F13" s="340">
        <f t="shared" si="2"/>
        <v>270619</v>
      </c>
      <c r="G13" s="340">
        <f>F17</f>
        <v>232023</v>
      </c>
      <c r="H13" s="340">
        <f t="shared" si="2"/>
        <v>233189.31567460528</v>
      </c>
      <c r="I13" s="330">
        <f t="shared" si="2"/>
        <v>219219.96069215648</v>
      </c>
      <c r="J13" s="330">
        <f t="shared" si="2"/>
        <v>203297.02230924825</v>
      </c>
      <c r="K13" s="330">
        <f t="shared" si="2"/>
        <v>188060.41388684453</v>
      </c>
      <c r="L13" s="330">
        <f t="shared" si="2"/>
        <v>175417.99824010264</v>
      </c>
      <c r="M13" s="328"/>
      <c r="N13" s="334"/>
      <c r="O13" s="341"/>
      <c r="P13" s="341"/>
      <c r="Q13" s="342"/>
      <c r="R13" s="329"/>
      <c r="S13" s="329"/>
      <c r="T13" s="329"/>
      <c r="U13" s="329"/>
      <c r="V13" s="329"/>
      <c r="W13" s="329"/>
      <c r="X13" s="329"/>
    </row>
    <row r="14" spans="1:43" s="54" customFormat="1" ht="18">
      <c r="A14" s="339" t="s">
        <v>405</v>
      </c>
      <c r="B14" s="277"/>
      <c r="C14" s="277"/>
      <c r="D14" s="324">
        <v>9594</v>
      </c>
      <c r="E14" s="324">
        <v>44070</v>
      </c>
      <c r="F14" s="324">
        <v>52218</v>
      </c>
      <c r="G14" s="324">
        <f>G13*G19</f>
        <v>32041.055828973782</v>
      </c>
      <c r="H14" s="324">
        <f>G15</f>
        <v>13488</v>
      </c>
      <c r="I14" s="324">
        <f t="shared" ref="I14:L14" si="3">H15</f>
        <v>9349.3683074661003</v>
      </c>
      <c r="J14" s="324">
        <f t="shared" si="3"/>
        <v>9572.2361806109948</v>
      </c>
      <c r="K14" s="324">
        <f t="shared" si="3"/>
        <v>9615.3135238833274</v>
      </c>
      <c r="L14" s="324">
        <f t="shared" si="3"/>
        <v>8215.4395922114436</v>
      </c>
      <c r="M14" s="329"/>
      <c r="N14" s="329"/>
      <c r="O14" s="329"/>
    </row>
    <row r="15" spans="1:43" s="54" customFormat="1" ht="18">
      <c r="A15" s="343" t="s">
        <v>406</v>
      </c>
      <c r="B15" s="277"/>
      <c r="D15" s="344">
        <v>7601</v>
      </c>
      <c r="E15" s="344">
        <v>7129</v>
      </c>
      <c r="F15" s="344">
        <v>8868</v>
      </c>
      <c r="G15" s="345">
        <f>10116*4/3</f>
        <v>13488</v>
      </c>
      <c r="H15" s="345">
        <f>H13*H20</f>
        <v>9349.3683074661003</v>
      </c>
      <c r="I15" s="345">
        <f t="shared" ref="I15:L15" si="4">I13*I20</f>
        <v>9572.2361806109948</v>
      </c>
      <c r="J15" s="345">
        <f>J13*J20</f>
        <v>9615.3135238833274</v>
      </c>
      <c r="K15" s="345">
        <f t="shared" si="4"/>
        <v>8215.4395922114436</v>
      </c>
      <c r="L15" s="345">
        <f t="shared" si="4"/>
        <v>7873.1671049885881</v>
      </c>
      <c r="M15" s="341"/>
      <c r="N15" s="362" t="s">
        <v>580</v>
      </c>
      <c r="O15" s="329"/>
      <c r="P15" s="329"/>
      <c r="Q15" s="329"/>
      <c r="R15" s="329"/>
      <c r="S15" s="329"/>
      <c r="T15" s="329"/>
    </row>
    <row r="16" spans="1:43" s="54" customFormat="1" ht="18">
      <c r="A16" s="343" t="s">
        <v>407</v>
      </c>
      <c r="B16" s="277"/>
      <c r="D16" s="340">
        <f>D17-SUM(D13:D15)</f>
        <v>-16134</v>
      </c>
      <c r="E16" s="340">
        <f>E17-SUM(E13:E15)</f>
        <v>-23237</v>
      </c>
      <c r="F16" s="340">
        <f>F17-SUM(F13:F15)</f>
        <v>-99682</v>
      </c>
      <c r="G16" s="345">
        <f t="shared" ref="G16:L16" si="5">G13*G21</f>
        <v>-17386.740154368483</v>
      </c>
      <c r="H16" s="345">
        <f t="shared" si="5"/>
        <v>-18107.986674982709</v>
      </c>
      <c r="I16" s="345">
        <f t="shared" si="5"/>
        <v>-15700.07050976336</v>
      </c>
      <c r="J16" s="345">
        <f t="shared" si="5"/>
        <v>-15193.531079131397</v>
      </c>
      <c r="K16" s="345">
        <f t="shared" si="5"/>
        <v>-14042.289578413764</v>
      </c>
      <c r="L16" s="345">
        <f t="shared" si="5"/>
        <v>-12923.777912167167</v>
      </c>
      <c r="M16" s="328"/>
      <c r="N16" s="346" t="s">
        <v>514</v>
      </c>
      <c r="O16" s="341"/>
      <c r="P16" s="341"/>
      <c r="Q16" s="341"/>
      <c r="R16" s="329"/>
      <c r="S16" s="329"/>
      <c r="T16" s="329"/>
      <c r="U16" s="329"/>
      <c r="V16" s="329"/>
      <c r="W16" s="329"/>
      <c r="X16" s="329"/>
    </row>
    <row r="17" spans="1:24" s="54" customFormat="1" ht="18">
      <c r="A17" s="347" t="s">
        <v>408</v>
      </c>
      <c r="B17" s="348"/>
      <c r="C17" s="348"/>
      <c r="D17" s="348">
        <f>D7</f>
        <v>242657</v>
      </c>
      <c r="E17" s="348">
        <f>E7</f>
        <v>270619</v>
      </c>
      <c r="F17" s="348">
        <f>F7</f>
        <v>232023</v>
      </c>
      <c r="G17" s="348">
        <f>G13+G14-G15+G16</f>
        <v>233189.31567460528</v>
      </c>
      <c r="H17" s="348">
        <f t="shared" ref="H17:L17" si="6">H13+H14-H15+H16</f>
        <v>219219.96069215648</v>
      </c>
      <c r="I17" s="348">
        <f t="shared" si="6"/>
        <v>203297.02230924825</v>
      </c>
      <c r="J17" s="348">
        <f t="shared" si="6"/>
        <v>188060.41388684453</v>
      </c>
      <c r="K17" s="348">
        <f t="shared" si="6"/>
        <v>175417.99824010264</v>
      </c>
      <c r="L17" s="348">
        <f t="shared" si="6"/>
        <v>162836.49281515833</v>
      </c>
      <c r="M17" s="328"/>
      <c r="N17" s="334"/>
      <c r="O17" s="341"/>
      <c r="P17" s="341"/>
      <c r="Q17" s="341"/>
      <c r="R17" s="329"/>
      <c r="S17" s="329"/>
      <c r="T17" s="329"/>
      <c r="U17" s="329"/>
      <c r="V17" s="329"/>
      <c r="W17" s="329"/>
      <c r="X17" s="329"/>
    </row>
    <row r="18" spans="1:24" s="54" customFormat="1" ht="18">
      <c r="A18" s="349"/>
      <c r="B18" s="350"/>
      <c r="C18" s="350"/>
      <c r="D18" s="350"/>
      <c r="E18" s="350"/>
      <c r="F18" s="350"/>
      <c r="G18" s="350"/>
      <c r="H18" s="350"/>
      <c r="I18" s="277"/>
      <c r="J18" s="330"/>
      <c r="K18" s="330"/>
      <c r="L18" s="330"/>
      <c r="M18" s="328"/>
      <c r="N18" s="334"/>
      <c r="O18" s="341"/>
      <c r="P18" s="341"/>
      <c r="Q18" s="341"/>
      <c r="R18" s="329"/>
      <c r="S18" s="329"/>
      <c r="T18" s="329"/>
      <c r="U18" s="329"/>
      <c r="V18" s="329"/>
      <c r="W18" s="329"/>
      <c r="X18" s="329"/>
    </row>
    <row r="19" spans="1:24" s="19" customFormat="1" ht="18">
      <c r="A19" s="351" t="s">
        <v>409</v>
      </c>
      <c r="B19" s="54"/>
      <c r="C19" s="54"/>
      <c r="D19" s="352">
        <f>D14/D13</f>
        <v>3.9710922366264341E-2</v>
      </c>
      <c r="E19" s="352">
        <f>E14/E13</f>
        <v>0.18161437749580683</v>
      </c>
      <c r="F19" s="352">
        <f>F14/F13</f>
        <v>0.19295762677417327</v>
      </c>
      <c r="G19" s="352">
        <f>AVERAGE(D19:F19)</f>
        <v>0.13809430887874816</v>
      </c>
      <c r="H19" s="352">
        <f>H14/H13</f>
        <v>5.7841415079331042E-2</v>
      </c>
      <c r="I19" s="352">
        <f>I14/I13</f>
        <v>4.2648344055654298E-2</v>
      </c>
      <c r="J19" s="352">
        <f>J14/J13</f>
        <v>4.708497975956602E-2</v>
      </c>
      <c r="K19" s="352">
        <f>K14/K13</f>
        <v>5.1128854420520613E-2</v>
      </c>
      <c r="L19" s="352">
        <f>L14/L13</f>
        <v>4.6833504398827969E-2</v>
      </c>
      <c r="M19" s="353"/>
      <c r="N19" s="447" t="s">
        <v>581</v>
      </c>
      <c r="O19" s="335"/>
      <c r="P19" s="335"/>
      <c r="Q19" s="73"/>
      <c r="R19" s="335"/>
      <c r="S19" s="335"/>
      <c r="T19" s="335"/>
      <c r="U19" s="335"/>
      <c r="V19" s="335"/>
      <c r="W19" s="335"/>
      <c r="X19" s="335"/>
    </row>
    <row r="20" spans="1:24" ht="18">
      <c r="A20" s="351" t="s">
        <v>411</v>
      </c>
      <c r="B20" s="54"/>
      <c r="C20" s="54"/>
      <c r="D20" s="352">
        <f>D15/D13</f>
        <v>3.1461613602874222E-2</v>
      </c>
      <c r="E20" s="352">
        <f>E15/E13</f>
        <v>2.9378917566771204E-2</v>
      </c>
      <c r="F20" s="352">
        <f>F15/F13</f>
        <v>3.2769317749308066E-2</v>
      </c>
      <c r="G20" s="352">
        <f>G15/G13</f>
        <v>5.8132167931627468E-2</v>
      </c>
      <c r="H20" s="352">
        <f t="shared" ref="H20:K21" si="7">AVERAGE(E20:G20)</f>
        <v>4.0093467749235577E-2</v>
      </c>
      <c r="I20" s="352">
        <f t="shared" si="7"/>
        <v>4.3664984476723706E-2</v>
      </c>
      <c r="J20" s="352">
        <f t="shared" si="7"/>
        <v>4.7296873385862248E-2</v>
      </c>
      <c r="K20" s="352">
        <f t="shared" si="7"/>
        <v>4.3685108537273844E-2</v>
      </c>
      <c r="L20" s="352">
        <f t="shared" ref="L20" si="8">AVERAGE(I20:K20)</f>
        <v>4.4882322133286599E-2</v>
      </c>
      <c r="M20" s="353"/>
      <c r="N20" s="73" t="s">
        <v>499</v>
      </c>
      <c r="O20" s="354"/>
      <c r="P20" s="354"/>
      <c r="Q20" s="354"/>
      <c r="R20" s="354"/>
      <c r="S20" s="354"/>
      <c r="T20" s="354"/>
      <c r="U20" s="354"/>
      <c r="V20" s="354"/>
      <c r="W20" s="354"/>
      <c r="X20" s="354"/>
    </row>
    <row r="21" spans="1:24" ht="18">
      <c r="A21" s="351" t="s">
        <v>412</v>
      </c>
      <c r="B21" s="54"/>
      <c r="C21" s="54"/>
      <c r="D21" s="352">
        <f>D16/D13</f>
        <v>-6.6780906968658418E-2</v>
      </c>
      <c r="E21" s="352">
        <f>E16/E13</f>
        <v>-9.5760682774451183E-2</v>
      </c>
      <c r="F21" s="352">
        <f>-(98729-81879)/F13</f>
        <v>-6.2264659909319009E-2</v>
      </c>
      <c r="G21" s="352">
        <f>AVERAGE(D21:F21)</f>
        <v>-7.4935416550809542E-2</v>
      </c>
      <c r="H21" s="352">
        <f t="shared" si="7"/>
        <v>-7.7653586411526573E-2</v>
      </c>
      <c r="I21" s="352">
        <f t="shared" si="7"/>
        <v>-7.1617887623885046E-2</v>
      </c>
      <c r="J21" s="352">
        <f t="shared" si="7"/>
        <v>-7.4735630195407063E-2</v>
      </c>
      <c r="K21" s="352">
        <f t="shared" si="7"/>
        <v>-7.4669034743606241E-2</v>
      </c>
      <c r="L21" s="352">
        <f>AVERAGE(I21:K21)</f>
        <v>-7.3674184187632788E-2</v>
      </c>
      <c r="M21" s="353"/>
      <c r="N21" s="73" t="s">
        <v>499</v>
      </c>
      <c r="O21" s="354"/>
      <c r="P21" s="354"/>
      <c r="Q21" s="354"/>
      <c r="R21" s="354"/>
      <c r="S21" s="354"/>
      <c r="T21" s="354"/>
      <c r="U21" s="354"/>
      <c r="V21" s="354"/>
      <c r="W21" s="354"/>
      <c r="X21" s="354"/>
    </row>
    <row r="22" spans="1:24" ht="18">
      <c r="A22" s="355"/>
      <c r="B22" s="54"/>
      <c r="C22" s="54"/>
      <c r="D22" s="112"/>
      <c r="E22" s="112"/>
      <c r="F22" s="112"/>
      <c r="G22" s="112"/>
      <c r="H22" s="112"/>
      <c r="I22" s="350"/>
      <c r="J22" s="350"/>
      <c r="K22" s="350"/>
      <c r="L22" s="350"/>
      <c r="M22" s="350"/>
      <c r="N22" s="334"/>
      <c r="O22" s="354"/>
      <c r="P22" s="354"/>
      <c r="Q22" s="354"/>
      <c r="R22" s="354"/>
      <c r="S22" s="354"/>
      <c r="T22" s="354"/>
      <c r="U22" s="354"/>
      <c r="V22" s="354"/>
      <c r="W22" s="354"/>
      <c r="X22" s="354"/>
    </row>
    <row r="23" spans="1:24" ht="18.5" thickBot="1">
      <c r="A23" s="336" t="s">
        <v>413</v>
      </c>
      <c r="B23" s="337"/>
      <c r="C23" s="337"/>
      <c r="D23" s="337"/>
      <c r="E23" s="337"/>
      <c r="F23" s="337"/>
      <c r="G23" s="337"/>
      <c r="H23" s="337"/>
      <c r="I23" s="338"/>
      <c r="J23" s="338"/>
      <c r="K23" s="338"/>
      <c r="L23" s="338"/>
      <c r="M23" s="356"/>
      <c r="N23" s="334"/>
      <c r="O23" s="329"/>
      <c r="P23" s="329"/>
      <c r="Q23" s="354"/>
      <c r="R23" s="354"/>
      <c r="S23" s="354"/>
      <c r="T23" s="354"/>
      <c r="U23" s="354"/>
      <c r="V23" s="354"/>
      <c r="W23" s="354"/>
      <c r="X23" s="354"/>
    </row>
    <row r="24" spans="1:24" s="54" customFormat="1" ht="18.5" thickTop="1">
      <c r="A24" s="357" t="s">
        <v>414</v>
      </c>
      <c r="B24" s="325"/>
      <c r="C24" s="325"/>
      <c r="D24" s="124">
        <v>19902</v>
      </c>
      <c r="E24" s="325">
        <f t="shared" ref="E24:L24" si="9">D28</f>
        <v>18200</v>
      </c>
      <c r="F24" s="325">
        <f t="shared" si="9"/>
        <v>20950</v>
      </c>
      <c r="G24" s="325">
        <f>F28</f>
        <v>11736</v>
      </c>
      <c r="H24" s="325">
        <f>G28</f>
        <v>10075.07463475296</v>
      </c>
      <c r="I24" s="330">
        <f>H28</f>
        <v>7713.3937333072126</v>
      </c>
      <c r="J24" s="330">
        <f t="shared" si="9"/>
        <v>5834.2272703833441</v>
      </c>
      <c r="K24" s="330">
        <f t="shared" si="9"/>
        <v>4555.3380553200286</v>
      </c>
      <c r="L24" s="330">
        <f t="shared" si="9"/>
        <v>3509.4400964332326</v>
      </c>
      <c r="M24" s="358"/>
      <c r="N24" s="334"/>
      <c r="O24" s="354"/>
      <c r="P24" s="354"/>
      <c r="Q24" s="329"/>
      <c r="R24" s="329"/>
      <c r="S24" s="329"/>
      <c r="T24" s="329"/>
      <c r="U24" s="329"/>
      <c r="V24" s="329"/>
      <c r="W24" s="329"/>
      <c r="X24" s="329"/>
    </row>
    <row r="25" spans="1:24" ht="18">
      <c r="A25" s="357" t="s">
        <v>415</v>
      </c>
      <c r="B25" s="325"/>
      <c r="C25" s="325"/>
      <c r="D25" s="340">
        <f>4564</f>
        <v>4564</v>
      </c>
      <c r="E25" s="340">
        <v>9087</v>
      </c>
      <c r="F25" s="340">
        <v>1792</v>
      </c>
      <c r="G25" s="340">
        <f t="shared" ref="G25:L25" si="10">F26</f>
        <v>2988</v>
      </c>
      <c r="H25" s="340">
        <f t="shared" si="10"/>
        <v>1902.2857266028811</v>
      </c>
      <c r="I25" s="340">
        <f t="shared" si="10"/>
        <v>1578.2096107266234</v>
      </c>
      <c r="J25" s="340">
        <f t="shared" si="10"/>
        <v>1186.2172111144023</v>
      </c>
      <c r="K25" s="340">
        <f t="shared" si="10"/>
        <v>918.932452030695</v>
      </c>
      <c r="L25" s="340">
        <f t="shared" si="10"/>
        <v>710.53976908464688</v>
      </c>
      <c r="M25" s="325"/>
      <c r="N25" s="334"/>
      <c r="O25" s="329"/>
      <c r="P25" s="329"/>
      <c r="Q25" s="354"/>
      <c r="R25" s="354"/>
      <c r="S25" s="354"/>
      <c r="T25" s="354"/>
      <c r="U25" s="354"/>
      <c r="V25" s="354"/>
      <c r="W25" s="354"/>
      <c r="X25" s="354"/>
    </row>
    <row r="26" spans="1:24" s="54" customFormat="1" ht="18">
      <c r="A26" s="359" t="s">
        <v>416</v>
      </c>
      <c r="B26" s="325"/>
      <c r="C26" s="325"/>
      <c r="D26" s="340">
        <v>3551</v>
      </c>
      <c r="E26" s="340">
        <v>3007</v>
      </c>
      <c r="F26" s="340">
        <v>2988</v>
      </c>
      <c r="G26" s="340">
        <f t="shared" ref="G26:L26" si="11">G24*G31</f>
        <v>1902.2857266028811</v>
      </c>
      <c r="H26" s="340">
        <f t="shared" si="11"/>
        <v>1578.2096107266234</v>
      </c>
      <c r="I26" s="340">
        <f>I24*I31</f>
        <v>1186.2172111144023</v>
      </c>
      <c r="J26" s="340">
        <f t="shared" si="11"/>
        <v>918.932452030695</v>
      </c>
      <c r="K26" s="340">
        <f t="shared" si="11"/>
        <v>710.53976908464688</v>
      </c>
      <c r="L26" s="340">
        <f t="shared" si="11"/>
        <v>546.62268183225171</v>
      </c>
      <c r="M26" s="325"/>
      <c r="N26" s="334"/>
      <c r="O26" s="329"/>
      <c r="P26" s="329"/>
      <c r="Q26" s="329"/>
      <c r="R26" s="329"/>
      <c r="S26" s="329"/>
      <c r="T26" s="329"/>
      <c r="U26" s="329"/>
      <c r="V26" s="329"/>
      <c r="W26" s="329"/>
      <c r="X26" s="329"/>
    </row>
    <row r="27" spans="1:24" s="54" customFormat="1" ht="18">
      <c r="A27" s="360" t="s">
        <v>407</v>
      </c>
      <c r="B27" s="361"/>
      <c r="C27" s="361"/>
      <c r="D27" s="361">
        <f>D28-SUM(D24:D26)</f>
        <v>-9817</v>
      </c>
      <c r="E27" s="361">
        <f>E28-SUM(E24:E26)</f>
        <v>-9344</v>
      </c>
      <c r="F27" s="361">
        <f>F28-SUM(F24:F26)</f>
        <v>-13994</v>
      </c>
      <c r="G27" s="361">
        <f t="shared" ref="G27:L27" si="12">G24*G32</f>
        <v>-6551.2110918499211</v>
      </c>
      <c r="H27" s="361">
        <f t="shared" si="12"/>
        <v>-5842.1762387752506</v>
      </c>
      <c r="I27" s="361">
        <f t="shared" si="12"/>
        <v>-4643.5932847648946</v>
      </c>
      <c r="J27" s="361">
        <f t="shared" si="12"/>
        <v>-3384.0388782084128</v>
      </c>
      <c r="K27" s="361">
        <f t="shared" si="12"/>
        <v>-2675.3701800021381</v>
      </c>
      <c r="L27" s="361">
        <f t="shared" si="12"/>
        <v>-2069.8132217940688</v>
      </c>
      <c r="M27" s="325"/>
      <c r="N27" s="362"/>
      <c r="O27" s="329"/>
      <c r="P27" s="329"/>
      <c r="Q27" s="329"/>
      <c r="R27" s="329"/>
      <c r="S27" s="329"/>
      <c r="T27" s="329"/>
      <c r="U27" s="329"/>
      <c r="V27" s="329"/>
      <c r="W27" s="329"/>
      <c r="X27" s="329"/>
    </row>
    <row r="28" spans="1:24" s="54" customFormat="1" ht="18">
      <c r="A28" s="363" t="s">
        <v>417</v>
      </c>
      <c r="B28" s="364"/>
      <c r="C28" s="364"/>
      <c r="D28" s="325">
        <f>D8</f>
        <v>18200</v>
      </c>
      <c r="E28" s="325">
        <f>E8</f>
        <v>20950</v>
      </c>
      <c r="F28" s="325">
        <f>F8</f>
        <v>11736</v>
      </c>
      <c r="G28" s="325">
        <f t="shared" ref="G28:L28" si="13">SUM(G24:G27)</f>
        <v>10075.07463475296</v>
      </c>
      <c r="H28" s="325">
        <f t="shared" si="13"/>
        <v>7713.3937333072126</v>
      </c>
      <c r="I28" s="325">
        <f t="shared" si="13"/>
        <v>5834.2272703833441</v>
      </c>
      <c r="J28" s="325">
        <f t="shared" si="13"/>
        <v>4555.3380553200286</v>
      </c>
      <c r="K28" s="325">
        <f t="shared" si="13"/>
        <v>3509.4400964332326</v>
      </c>
      <c r="L28" s="325">
        <f t="shared" si="13"/>
        <v>2696.7893255560625</v>
      </c>
      <c r="M28" s="325"/>
      <c r="N28" s="334"/>
      <c r="O28" s="329"/>
      <c r="P28" s="329"/>
      <c r="Q28" s="329"/>
      <c r="R28" s="329"/>
      <c r="S28" s="329"/>
      <c r="T28" s="329"/>
      <c r="U28" s="329"/>
      <c r="V28" s="329"/>
      <c r="W28" s="329"/>
      <c r="X28" s="329"/>
    </row>
    <row r="29" spans="1:24" s="54" customFormat="1" ht="18">
      <c r="A29" s="365"/>
      <c r="B29" s="366"/>
      <c r="C29" s="366"/>
      <c r="D29" s="366"/>
      <c r="E29" s="350"/>
      <c r="F29" s="350"/>
      <c r="G29" s="350"/>
      <c r="H29" s="350"/>
      <c r="I29" s="367"/>
      <c r="J29" s="367"/>
      <c r="K29" s="367"/>
      <c r="L29" s="367"/>
      <c r="M29" s="325"/>
      <c r="N29" s="334"/>
      <c r="O29" s="329"/>
      <c r="P29" s="329"/>
      <c r="Q29" s="329"/>
      <c r="R29" s="329"/>
      <c r="S29" s="329"/>
      <c r="T29" s="329"/>
      <c r="U29" s="329"/>
      <c r="V29" s="329"/>
      <c r="W29" s="329"/>
      <c r="X29" s="329"/>
    </row>
    <row r="30" spans="1:24" s="54" customFormat="1" ht="18">
      <c r="A30" s="351" t="s">
        <v>418</v>
      </c>
      <c r="B30" s="18"/>
      <c r="C30" s="18"/>
      <c r="D30" s="352">
        <f t="shared" ref="D30:L30" si="14">D25/D24</f>
        <v>0.22932368606170234</v>
      </c>
      <c r="E30" s="352">
        <f t="shared" si="14"/>
        <v>0.49928571428571428</v>
      </c>
      <c r="F30" s="352">
        <f t="shared" si="14"/>
        <v>8.5536992840095472E-2</v>
      </c>
      <c r="G30" s="352">
        <f t="shared" si="14"/>
        <v>0.254601226993865</v>
      </c>
      <c r="H30" s="352">
        <f t="shared" si="14"/>
        <v>0.18881108037067409</v>
      </c>
      <c r="I30" s="352">
        <f t="shared" si="14"/>
        <v>0.20460638537246648</v>
      </c>
      <c r="J30" s="352">
        <f t="shared" si="14"/>
        <v>0.20332036380140203</v>
      </c>
      <c r="K30" s="352">
        <f t="shared" si="14"/>
        <v>0.20172651093534194</v>
      </c>
      <c r="L30" s="352">
        <f t="shared" si="14"/>
        <v>0.20246527923550922</v>
      </c>
      <c r="M30" s="364"/>
      <c r="N30" s="72" t="s">
        <v>516</v>
      </c>
      <c r="O30" s="335"/>
      <c r="P30" s="335"/>
      <c r="Q30" s="329"/>
      <c r="R30" s="329"/>
      <c r="S30" s="329"/>
      <c r="T30" s="329"/>
      <c r="U30" s="329"/>
      <c r="V30" s="329"/>
      <c r="W30" s="329"/>
      <c r="X30" s="329"/>
    </row>
    <row r="31" spans="1:24" s="19" customFormat="1" ht="18">
      <c r="A31" s="351" t="s">
        <v>419</v>
      </c>
      <c r="B31" s="18"/>
      <c r="C31" s="18"/>
      <c r="D31" s="352">
        <f>D26/D24</f>
        <v>0.17842427896693799</v>
      </c>
      <c r="E31" s="352">
        <f>E26/E24</f>
        <v>0.16521978021978023</v>
      </c>
      <c r="F31" s="352">
        <f>F26/F24</f>
        <v>0.14262529832935561</v>
      </c>
      <c r="G31" s="352">
        <f t="shared" ref="G31:L32" si="15">AVERAGE(D31:F31)</f>
        <v>0.1620897858386913</v>
      </c>
      <c r="H31" s="352">
        <f t="shared" si="15"/>
        <v>0.1566449547959424</v>
      </c>
      <c r="I31" s="352">
        <f t="shared" si="15"/>
        <v>0.15378667965466311</v>
      </c>
      <c r="J31" s="352">
        <f t="shared" si="15"/>
        <v>0.15750714009643227</v>
      </c>
      <c r="K31" s="352">
        <f t="shared" si="15"/>
        <v>0.15597959151567928</v>
      </c>
      <c r="L31" s="352">
        <f t="shared" si="15"/>
        <v>0.15575780375559156</v>
      </c>
      <c r="M31" s="368"/>
      <c r="N31" s="73" t="s">
        <v>498</v>
      </c>
      <c r="O31" s="354"/>
      <c r="P31" s="354"/>
      <c r="Q31" s="335"/>
      <c r="R31" s="335"/>
      <c r="S31" s="335"/>
      <c r="T31" s="335"/>
      <c r="U31" s="335"/>
      <c r="V31" s="335"/>
      <c r="W31" s="335"/>
      <c r="X31" s="335"/>
    </row>
    <row r="32" spans="1:24" s="19" customFormat="1" ht="18">
      <c r="A32" s="351" t="s">
        <v>420</v>
      </c>
      <c r="B32" s="18"/>
      <c r="C32" s="18"/>
      <c r="D32" s="352">
        <f>D27/D24</f>
        <v>-0.49326700834087028</v>
      </c>
      <c r="E32" s="352">
        <f>E27/E24</f>
        <v>-0.51340659340659345</v>
      </c>
      <c r="F32" s="352">
        <f>F27/F24</f>
        <v>-0.66797136038186156</v>
      </c>
      <c r="G32" s="352">
        <f t="shared" si="15"/>
        <v>-0.55821498737644182</v>
      </c>
      <c r="H32" s="352">
        <f t="shared" si="15"/>
        <v>-0.57986431372163227</v>
      </c>
      <c r="I32" s="352">
        <f t="shared" si="15"/>
        <v>-0.60201688715997859</v>
      </c>
      <c r="J32" s="352">
        <f t="shared" si="15"/>
        <v>-0.58003206275268415</v>
      </c>
      <c r="K32" s="352">
        <f t="shared" si="15"/>
        <v>-0.58730442121143167</v>
      </c>
      <c r="L32" s="352">
        <f t="shared" si="15"/>
        <v>-0.58978445704136473</v>
      </c>
      <c r="M32" s="368"/>
      <c r="N32" s="73" t="s">
        <v>499</v>
      </c>
      <c r="O32" s="354"/>
      <c r="P32" s="354"/>
      <c r="Q32" s="335"/>
      <c r="R32" s="335"/>
      <c r="S32" s="335"/>
      <c r="T32" s="335"/>
      <c r="U32" s="335"/>
      <c r="V32" s="335"/>
      <c r="W32" s="335"/>
      <c r="X32" s="335"/>
    </row>
    <row r="33" spans="1:24">
      <c r="A33" s="351"/>
      <c r="B33" s="369"/>
      <c r="C33" s="369"/>
      <c r="D33" s="369"/>
      <c r="E33" s="369"/>
      <c r="F33" s="369"/>
      <c r="G33" s="369"/>
      <c r="H33" s="369"/>
      <c r="I33" s="370"/>
      <c r="J33" s="370"/>
      <c r="K33" s="370"/>
      <c r="L33" s="370"/>
      <c r="M33" s="368"/>
      <c r="N33" s="93"/>
      <c r="O33" s="354"/>
      <c r="P33" s="354"/>
      <c r="Q33" s="354"/>
      <c r="R33" s="354"/>
      <c r="S33" s="354"/>
      <c r="T33" s="354"/>
      <c r="U33" s="354"/>
      <c r="V33" s="354"/>
      <c r="W33" s="354"/>
      <c r="X33" s="354"/>
    </row>
    <row r="34" spans="1:24" ht="17.5" thickBot="1">
      <c r="A34" s="336" t="s">
        <v>421</v>
      </c>
      <c r="B34" s="337"/>
      <c r="C34" s="337"/>
      <c r="D34" s="337"/>
      <c r="E34" s="337"/>
      <c r="F34" s="337"/>
      <c r="G34" s="337"/>
      <c r="H34" s="337"/>
      <c r="I34" s="338"/>
      <c r="J34" s="338"/>
      <c r="K34" s="338"/>
      <c r="L34" s="338"/>
      <c r="M34" s="358"/>
      <c r="N34" s="93"/>
      <c r="O34" s="354"/>
      <c r="P34" s="354"/>
      <c r="Q34" s="354"/>
      <c r="R34" s="354"/>
      <c r="S34" s="354"/>
      <c r="T34" s="354"/>
      <c r="U34" s="354"/>
      <c r="V34" s="354"/>
      <c r="W34" s="354"/>
      <c r="X34" s="354"/>
    </row>
    <row r="35" spans="1:24" ht="17.5" thickTop="1">
      <c r="A35" s="363" t="s">
        <v>422</v>
      </c>
      <c r="B35" s="364"/>
      <c r="C35" s="364"/>
      <c r="D35" s="364">
        <f t="shared" ref="D35:L35" si="16">D14+D25</f>
        <v>14158</v>
      </c>
      <c r="E35" s="364">
        <f t="shared" si="16"/>
        <v>53157</v>
      </c>
      <c r="F35" s="364">
        <f t="shared" si="16"/>
        <v>54010</v>
      </c>
      <c r="G35" s="364">
        <f>G14+G25</f>
        <v>35029.055828973782</v>
      </c>
      <c r="H35" s="364">
        <f>H14+H25</f>
        <v>15390.28572660288</v>
      </c>
      <c r="I35" s="364">
        <f>I14+I25</f>
        <v>10927.577918192725</v>
      </c>
      <c r="J35" s="364">
        <f t="shared" si="16"/>
        <v>10758.453391725398</v>
      </c>
      <c r="K35" s="364">
        <f t="shared" si="16"/>
        <v>10534.245975914022</v>
      </c>
      <c r="L35" s="364">
        <f t="shared" si="16"/>
        <v>8925.9793612960912</v>
      </c>
      <c r="M35" s="371"/>
      <c r="N35" s="93"/>
      <c r="O35" s="354"/>
      <c r="P35" s="354"/>
      <c r="Q35" s="354"/>
      <c r="R35" s="354"/>
      <c r="S35" s="354"/>
      <c r="T35" s="354"/>
      <c r="U35" s="354"/>
      <c r="V35" s="354"/>
      <c r="W35" s="354"/>
      <c r="X35" s="354"/>
    </row>
    <row r="36" spans="1:24" ht="18">
      <c r="A36" s="351" t="s">
        <v>423</v>
      </c>
      <c r="B36" s="54"/>
      <c r="C36" s="54"/>
      <c r="D36" s="352">
        <v>5.2928883588606722E-2</v>
      </c>
      <c r="E36" s="352">
        <v>0.39786982425675876</v>
      </c>
      <c r="F36" s="352">
        <v>0.2911480429309945</v>
      </c>
      <c r="G36" s="352">
        <v>0.2036184769891522</v>
      </c>
      <c r="H36" s="352">
        <v>5.7304650602382483E-2</v>
      </c>
      <c r="I36" s="352">
        <v>5.5696285326624399E-2</v>
      </c>
      <c r="J36" s="352">
        <v>5.4755468138429894E-2</v>
      </c>
      <c r="K36" s="352">
        <v>5.8216414078814956E-2</v>
      </c>
      <c r="L36" s="352">
        <v>5.9972834006962267E-2</v>
      </c>
      <c r="M36" s="329"/>
      <c r="N36" s="93"/>
      <c r="O36" s="329"/>
      <c r="P36" s="329"/>
      <c r="Q36" s="354"/>
      <c r="R36" s="354"/>
      <c r="S36" s="354"/>
      <c r="T36" s="354"/>
      <c r="U36" s="354"/>
      <c r="V36" s="354"/>
      <c r="W36" s="354"/>
      <c r="X36" s="354"/>
    </row>
    <row r="37" spans="1:24" ht="18">
      <c r="A37" s="372" t="s">
        <v>424</v>
      </c>
      <c r="B37" s="373"/>
      <c r="C37" s="373"/>
      <c r="D37" s="373">
        <f t="shared" ref="D37:G37" si="17">D15+D26</f>
        <v>11152</v>
      </c>
      <c r="E37" s="373">
        <f t="shared" si="17"/>
        <v>10136</v>
      </c>
      <c r="F37" s="373">
        <f t="shared" si="17"/>
        <v>11856</v>
      </c>
      <c r="G37" s="373">
        <f t="shared" si="17"/>
        <v>15390.28572660288</v>
      </c>
      <c r="H37" s="373">
        <f>H15+H26</f>
        <v>10927.577918192725</v>
      </c>
      <c r="I37" s="373">
        <f>I15+I26</f>
        <v>10758.453391725398</v>
      </c>
      <c r="J37" s="373">
        <f>J15+J26</f>
        <v>10534.245975914022</v>
      </c>
      <c r="K37" s="373">
        <f>K15+K26</f>
        <v>8925.9793612960912</v>
      </c>
      <c r="L37" s="373">
        <f>L15+L26</f>
        <v>8419.7897868208402</v>
      </c>
      <c r="M37" s="329"/>
      <c r="N37" s="93"/>
      <c r="O37" s="329"/>
      <c r="P37" s="329"/>
      <c r="Q37" s="354"/>
      <c r="R37" s="354"/>
      <c r="S37" s="354"/>
      <c r="T37" s="354"/>
      <c r="U37" s="354"/>
      <c r="V37" s="354"/>
      <c r="W37" s="354"/>
      <c r="X37" s="354"/>
    </row>
    <row r="38" spans="1:24" s="54" customFormat="1" ht="18">
      <c r="A38" s="351" t="s">
        <v>423</v>
      </c>
      <c r="D38" s="352">
        <f>'FA Schedule'!D37/'DCF&gt;&gt;&gt;'!E6</f>
        <v>4.1691122318134065E-2</v>
      </c>
      <c r="E38" s="352">
        <f>'FA Schedule'!E37/'DCF&gt;&gt;&gt;'!F6</f>
        <v>7.5865992036166577E-2</v>
      </c>
      <c r="F38" s="352">
        <f>'FA Schedule'!F37/'DCF&gt;&gt;&gt;'!G6</f>
        <v>6.3911334882241641E-2</v>
      </c>
      <c r="G38" s="352">
        <f>'FA Schedule'!G37/'DCF&gt;&gt;&gt;'!H6</f>
        <v>8.7663117539567903E-2</v>
      </c>
      <c r="H38" s="352">
        <f>'FA Schedule'!H37/'DCF&gt;&gt;&gt;'!I6</f>
        <v>1.3796842935979308E-2</v>
      </c>
      <c r="I38" s="352">
        <f>'FA Schedule'!I37/'DCF&gt;&gt;&gt;'!J6</f>
        <v>1.2348464740136698E-2</v>
      </c>
      <c r="J38" s="352">
        <f>'FA Schedule'!J37/'DCF&gt;&gt;&gt;'!K6</f>
        <v>1.1515353622389663E-2</v>
      </c>
      <c r="K38" s="352">
        <f>'FA Schedule'!K37/'DCF&gt;&gt;&gt;'!L6</f>
        <v>9.2926676169180072E-3</v>
      </c>
      <c r="L38" s="352">
        <f>'FA Schedule'!L37/'DCF&gt;&gt;&gt;'!M6</f>
        <v>8.3482697742910932E-3</v>
      </c>
      <c r="M38" s="354"/>
      <c r="N38" s="93"/>
      <c r="O38" s="354"/>
      <c r="P38" s="354"/>
      <c r="Q38" s="329"/>
      <c r="R38" s="329"/>
      <c r="S38" s="329"/>
      <c r="T38" s="329"/>
      <c r="U38" s="329"/>
      <c r="V38" s="329"/>
      <c r="W38" s="329"/>
      <c r="X38" s="329"/>
    </row>
    <row r="39" spans="1:24" s="54" customFormat="1" ht="18">
      <c r="A39" s="354"/>
      <c r="B39" s="354"/>
      <c r="C39" s="354"/>
      <c r="D39" s="354"/>
      <c r="E39" s="354"/>
      <c r="F39" s="354"/>
      <c r="G39" s="354"/>
      <c r="H39" s="354"/>
      <c r="I39" s="374"/>
      <c r="J39" s="374"/>
      <c r="K39" s="374"/>
      <c r="L39" s="374"/>
      <c r="M39" s="335"/>
      <c r="N39" s="93"/>
      <c r="O39" s="335"/>
      <c r="P39" s="335"/>
      <c r="Q39" s="329"/>
      <c r="R39" s="329"/>
      <c r="S39" s="329"/>
      <c r="T39" s="329"/>
      <c r="U39" s="329"/>
      <c r="V39" s="329"/>
      <c r="W39" s="329"/>
      <c r="X39" s="329"/>
    </row>
    <row r="40" spans="1:24" ht="18">
      <c r="A40" s="354"/>
      <c r="B40" s="354"/>
      <c r="C40" s="354"/>
      <c r="D40" s="354"/>
      <c r="E40" s="354"/>
      <c r="F40" s="354"/>
      <c r="G40" s="354"/>
      <c r="H40" s="354"/>
      <c r="I40" s="375"/>
      <c r="J40" s="375"/>
      <c r="K40" s="375"/>
      <c r="L40" s="375"/>
      <c r="M40" s="375"/>
      <c r="N40" s="376"/>
      <c r="O40" s="329"/>
      <c r="P40" s="93"/>
      <c r="Q40" s="354"/>
      <c r="R40" s="354"/>
      <c r="S40" s="354"/>
      <c r="T40" s="354"/>
      <c r="U40" s="354"/>
      <c r="V40" s="354"/>
      <c r="W40" s="354"/>
      <c r="X40" s="354"/>
    </row>
    <row r="41" spans="1:24">
      <c r="S41" s="354"/>
    </row>
    <row r="42" spans="1:24">
      <c r="S42" s="354"/>
    </row>
    <row r="43" spans="1:24">
      <c r="S43" s="354"/>
    </row>
    <row r="44" spans="1:24">
      <c r="S44" s="354"/>
    </row>
    <row r="45" spans="1:24">
      <c r="S45" s="354"/>
    </row>
  </sheetData>
  <mergeCells count="2">
    <mergeCell ref="A5:F5"/>
    <mergeCell ref="G5:L5"/>
  </mergeCells>
  <phoneticPr fontId="3"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96B16-A808-428A-A429-12B0279C78B6}">
  <dimension ref="A1:AT130"/>
  <sheetViews>
    <sheetView showGridLines="0" zoomScale="53" zoomScaleNormal="70" workbookViewId="0">
      <pane xSplit="2" ySplit="6" topLeftCell="R43" activePane="bottomRight" state="frozen"/>
      <selection activeCell="K2" sqref="K2"/>
      <selection pane="topRight" activeCell="K2" sqref="K2"/>
      <selection pane="bottomLeft" activeCell="K2" sqref="K2"/>
      <selection pane="bottomRight" activeCell="AH75" sqref="AH75"/>
    </sheetView>
  </sheetViews>
  <sheetFormatPr defaultColWidth="9" defaultRowHeight="18"/>
  <cols>
    <col min="1" max="1" width="3.6640625" style="389" customWidth="1"/>
    <col min="2" max="2" width="27.1640625" style="389" customWidth="1"/>
    <col min="3" max="3" width="14.6640625" style="389" customWidth="1"/>
    <col min="4" max="4" width="15.6640625" style="389" customWidth="1"/>
    <col min="5" max="5" width="17.1640625" style="389" customWidth="1"/>
    <col min="6" max="6" width="14.6640625" style="389" customWidth="1"/>
    <col min="7" max="7" width="16.83203125" style="389" customWidth="1"/>
    <col min="8" max="8" width="17.33203125" style="389" customWidth="1"/>
    <col min="9" max="9" width="16.83203125" style="389" customWidth="1"/>
    <col min="10" max="14" width="15.6640625" style="389" customWidth="1"/>
    <col min="15" max="15" width="2.33203125" style="389" customWidth="1"/>
    <col min="16" max="16" width="31.08203125" style="389" customWidth="1"/>
    <col min="17" max="19" width="14.6640625" style="389" customWidth="1"/>
    <col min="20" max="20" width="5.5" style="389" customWidth="1"/>
    <col min="21" max="21" width="9" style="390" customWidth="1"/>
    <col min="22" max="22" width="15.5" style="389" bestFit="1" customWidth="1"/>
    <col min="23" max="23" width="9" style="389"/>
    <col min="24" max="24" width="8.33203125" style="389" customWidth="1"/>
    <col min="25" max="25" width="9.4140625" style="389" customWidth="1"/>
    <col min="26" max="16384" width="9" style="389"/>
  </cols>
  <sheetData>
    <row r="1" spans="1:46" s="439" customFormat="1" ht="22.5">
      <c r="A1" s="39" t="s">
        <v>247</v>
      </c>
      <c r="B1" s="437"/>
      <c r="C1" s="378"/>
      <c r="D1" s="438"/>
      <c r="E1" s="438"/>
      <c r="F1" s="438"/>
      <c r="G1" s="438"/>
      <c r="H1" s="438"/>
      <c r="I1" s="438"/>
      <c r="J1" s="438"/>
      <c r="K1" s="438"/>
      <c r="L1" s="438"/>
      <c r="M1" s="438"/>
      <c r="N1" s="438"/>
      <c r="O1" s="438"/>
      <c r="P1" s="438"/>
      <c r="Q1" s="438"/>
      <c r="R1" s="438"/>
      <c r="S1" s="438"/>
      <c r="T1" s="438"/>
      <c r="U1" s="438"/>
      <c r="V1" s="438"/>
      <c r="W1" s="438"/>
      <c r="X1" s="438"/>
      <c r="Y1" s="438"/>
      <c r="Z1" s="438"/>
      <c r="AA1" s="438"/>
      <c r="AB1" s="438"/>
      <c r="AC1" s="438"/>
      <c r="AD1" s="438"/>
      <c r="AE1" s="438"/>
      <c r="AF1" s="438"/>
      <c r="AG1" s="438"/>
      <c r="AH1" s="438"/>
      <c r="AI1" s="438"/>
      <c r="AJ1" s="438"/>
      <c r="AK1" s="438"/>
      <c r="AL1" s="438"/>
      <c r="AM1" s="438"/>
      <c r="AN1" s="438"/>
      <c r="AO1" s="438"/>
      <c r="AP1" s="438"/>
      <c r="AQ1" s="438"/>
      <c r="AR1" s="438"/>
      <c r="AS1" s="438"/>
      <c r="AT1" s="438"/>
    </row>
    <row r="2" spans="1:46" s="439" customFormat="1" ht="22.5">
      <c r="A2" s="42" t="s">
        <v>470</v>
      </c>
      <c r="B2" s="440"/>
      <c r="C2" s="441"/>
      <c r="D2" s="441"/>
      <c r="E2" s="441"/>
      <c r="F2" s="441"/>
      <c r="G2" s="441"/>
      <c r="H2" s="441"/>
      <c r="I2" s="441"/>
      <c r="J2" s="441"/>
      <c r="K2" s="441"/>
      <c r="L2" s="441"/>
      <c r="M2" s="441"/>
      <c r="N2" s="441"/>
      <c r="O2" s="441"/>
      <c r="P2" s="441"/>
      <c r="Q2" s="441"/>
      <c r="R2" s="441"/>
      <c r="S2" s="441"/>
      <c r="T2" s="441"/>
      <c r="U2" s="441"/>
      <c r="V2" s="441"/>
      <c r="W2" s="441"/>
      <c r="X2" s="441"/>
      <c r="Y2" s="441"/>
      <c r="Z2" s="441"/>
      <c r="AA2" s="441"/>
      <c r="AB2" s="441"/>
      <c r="AC2" s="441"/>
      <c r="AD2" s="441"/>
      <c r="AE2" s="441"/>
      <c r="AF2" s="441"/>
      <c r="AG2" s="441"/>
      <c r="AH2" s="441"/>
      <c r="AI2" s="441"/>
      <c r="AJ2" s="441"/>
      <c r="AK2" s="441"/>
      <c r="AL2" s="441"/>
      <c r="AM2" s="441"/>
      <c r="AN2" s="441"/>
      <c r="AO2" s="441"/>
      <c r="AP2" s="441"/>
      <c r="AQ2" s="441"/>
      <c r="AR2" s="441"/>
      <c r="AS2" s="441"/>
      <c r="AT2" s="441"/>
    </row>
    <row r="3" spans="1:46" s="439" customFormat="1">
      <c r="A3" s="442" t="s">
        <v>275</v>
      </c>
      <c r="B3" s="442"/>
      <c r="C3" s="443"/>
      <c r="D3" s="444"/>
      <c r="E3" s="444"/>
      <c r="F3" s="444"/>
      <c r="G3" s="444"/>
      <c r="H3" s="444"/>
      <c r="I3" s="444"/>
      <c r="J3" s="444"/>
      <c r="K3" s="444"/>
      <c r="L3" s="444"/>
      <c r="M3" s="444"/>
      <c r="N3" s="444"/>
      <c r="O3" s="444"/>
      <c r="P3" s="444"/>
      <c r="Q3" s="444"/>
      <c r="R3" s="444"/>
      <c r="S3" s="444"/>
      <c r="T3" s="444"/>
      <c r="U3" s="444"/>
      <c r="V3" s="444"/>
      <c r="W3" s="444"/>
      <c r="X3" s="444"/>
      <c r="Y3" s="444"/>
      <c r="Z3" s="444"/>
      <c r="AA3" s="444"/>
      <c r="AB3" s="444"/>
      <c r="AC3" s="444"/>
      <c r="AD3" s="444"/>
      <c r="AE3" s="444"/>
      <c r="AF3" s="444"/>
      <c r="AG3" s="444"/>
      <c r="AH3" s="444"/>
      <c r="AI3" s="444"/>
      <c r="AJ3" s="444"/>
      <c r="AK3" s="444"/>
      <c r="AL3" s="444"/>
      <c r="AM3" s="444"/>
      <c r="AN3" s="444"/>
      <c r="AO3" s="444"/>
      <c r="AP3" s="444"/>
      <c r="AQ3" s="444"/>
      <c r="AR3" s="444"/>
      <c r="AS3" s="444"/>
      <c r="AT3" s="444"/>
    </row>
    <row r="4" spans="1:46">
      <c r="C4" s="433"/>
      <c r="D4" s="436"/>
      <c r="E4" s="436"/>
      <c r="F4" s="436"/>
      <c r="G4" s="435"/>
      <c r="H4" s="433"/>
      <c r="I4" s="433"/>
      <c r="J4" s="434"/>
      <c r="K4" s="433"/>
    </row>
    <row r="5" spans="1:46" ht="15" customHeight="1">
      <c r="B5" s="605" t="s">
        <v>469</v>
      </c>
      <c r="C5" s="605"/>
      <c r="D5" s="605"/>
      <c r="E5" s="605"/>
      <c r="F5" s="605"/>
      <c r="G5" s="605"/>
      <c r="H5" s="605"/>
      <c r="I5" s="605"/>
      <c r="J5" s="605"/>
      <c r="K5" s="605"/>
      <c r="L5" s="605"/>
      <c r="M5" s="605"/>
      <c r="N5" s="605"/>
      <c r="P5" s="606" t="s">
        <v>469</v>
      </c>
      <c r="Q5" s="606"/>
      <c r="R5" s="606"/>
      <c r="S5" s="606"/>
    </row>
    <row r="6" spans="1:46" s="445" customFormat="1" ht="15" customHeight="1" thickBot="1">
      <c r="B6" s="536" t="s">
        <v>541</v>
      </c>
      <c r="C6" s="537" t="s">
        <v>447</v>
      </c>
      <c r="D6" s="538" t="s">
        <v>446</v>
      </c>
      <c r="E6" s="538" t="s">
        <v>445</v>
      </c>
      <c r="F6" s="538" t="s">
        <v>444</v>
      </c>
      <c r="G6" s="538" t="s">
        <v>443</v>
      </c>
      <c r="H6" s="538" t="s">
        <v>442</v>
      </c>
      <c r="I6" s="538" t="s">
        <v>441</v>
      </c>
      <c r="J6" s="539" t="s">
        <v>440</v>
      </c>
      <c r="K6" s="539" t="s">
        <v>439</v>
      </c>
      <c r="L6" s="539" t="s">
        <v>438</v>
      </c>
      <c r="M6" s="539" t="s">
        <v>437</v>
      </c>
      <c r="N6" s="540" t="s">
        <v>436</v>
      </c>
      <c r="P6" s="541" t="s">
        <v>435</v>
      </c>
      <c r="Q6" s="538" t="s">
        <v>434</v>
      </c>
      <c r="R6" s="539" t="s">
        <v>433</v>
      </c>
      <c r="S6" s="540" t="s">
        <v>432</v>
      </c>
      <c r="U6" s="402"/>
    </row>
    <row r="7" spans="1:46" s="426" customFormat="1" ht="15" customHeight="1" thickTop="1">
      <c r="B7" s="400" t="s">
        <v>448</v>
      </c>
      <c r="C7" s="467">
        <f>'IS(Quaterly)'!H10</f>
        <v>40339.43851</v>
      </c>
      <c r="D7" s="467">
        <f>'IS(Quaterly)'!I10</f>
        <v>50769.762439999999</v>
      </c>
      <c r="E7" s="467">
        <f>'IS(Quaterly)'!J10</f>
        <v>46721.566919999997</v>
      </c>
      <c r="F7" s="467">
        <f>'IS(Quaterly)'!K10</f>
        <v>47676.403160000002</v>
      </c>
      <c r="G7" s="467">
        <f>'IS(Quaterly)'!L10</f>
        <v>34587.214899999999</v>
      </c>
      <c r="H7" s="467">
        <f>'IS(Quaterly)'!M10</f>
        <v>48893.652609999997</v>
      </c>
      <c r="I7" s="467">
        <v>41766</v>
      </c>
      <c r="J7" s="468">
        <f>'매출 추정'!F6</f>
        <v>50314.986346666665</v>
      </c>
      <c r="K7" s="468">
        <f>'매출 추정'!G6</f>
        <v>143990.83316488011</v>
      </c>
      <c r="L7" s="468">
        <f>'매출 추정'!H6</f>
        <v>219447.31258784307</v>
      </c>
      <c r="M7" s="468">
        <f>'매출 추정'!I6</f>
        <v>212606.60546179369</v>
      </c>
      <c r="N7" s="468">
        <f>'매출 추정'!J6</f>
        <v>215989.91707150562</v>
      </c>
      <c r="P7" s="400" t="s">
        <v>448</v>
      </c>
      <c r="Q7" s="395">
        <f>SUM(C7:F7)</f>
        <v>185507.17102999997</v>
      </c>
      <c r="R7" s="395">
        <f>SUM(G7:J7)</f>
        <v>175561.85385666665</v>
      </c>
      <c r="S7" s="395">
        <f>SUM(K7:N7)</f>
        <v>792034.6682860225</v>
      </c>
      <c r="U7" s="390"/>
    </row>
    <row r="8" spans="1:46" s="426" customFormat="1" ht="15" customHeight="1">
      <c r="B8" s="517" t="s">
        <v>513</v>
      </c>
      <c r="C8" s="408"/>
      <c r="D8" s="518"/>
      <c r="E8" s="518"/>
      <c r="F8" s="518"/>
      <c r="G8" s="518">
        <f>G7/C7-1</f>
        <v>-0.14259552989499458</v>
      </c>
      <c r="H8" s="518">
        <f t="shared" ref="H8:M8" si="0">H7/D7-1</f>
        <v>-3.6953291483630579E-2</v>
      </c>
      <c r="I8" s="518">
        <f t="shared" si="0"/>
        <v>-0.10606594013606763</v>
      </c>
      <c r="J8" s="518">
        <f t="shared" si="0"/>
        <v>5.5343587430698005E-2</v>
      </c>
      <c r="K8" s="518">
        <f t="shared" si="0"/>
        <v>3.1631230956638872</v>
      </c>
      <c r="L8" s="518">
        <f t="shared" si="0"/>
        <v>3.4882576954980964</v>
      </c>
      <c r="M8" s="518">
        <f t="shared" si="0"/>
        <v>4.0904229627398765</v>
      </c>
      <c r="N8" s="518">
        <f>N7/J7-1</f>
        <v>3.2927551561546791</v>
      </c>
      <c r="P8" s="477" t="s">
        <v>513</v>
      </c>
      <c r="Q8" s="395"/>
      <c r="R8" s="479">
        <f>R7/Q7-1</f>
        <v>-5.3611497162689092E-2</v>
      </c>
      <c r="S8" s="479">
        <f t="shared" ref="S8" si="1">S7/R7-1</f>
        <v>3.5114280288510766</v>
      </c>
      <c r="T8" s="432"/>
      <c r="U8" s="390"/>
    </row>
    <row r="9" spans="1:46" s="426" customFormat="1" ht="15" customHeight="1">
      <c r="B9" s="407" t="s">
        <v>550</v>
      </c>
      <c r="C9" s="470">
        <v>0</v>
      </c>
      <c r="D9" s="470">
        <v>0</v>
      </c>
      <c r="E9" s="470">
        <v>0</v>
      </c>
      <c r="F9" s="470">
        <v>0</v>
      </c>
      <c r="G9" s="470">
        <f>'매출 추정'!C8</f>
        <v>3000</v>
      </c>
      <c r="H9" s="470">
        <f>'매출 추정'!D8</f>
        <v>10000</v>
      </c>
      <c r="I9" s="470">
        <f>'매출 추정'!E8</f>
        <v>5000</v>
      </c>
      <c r="J9" s="470">
        <f>'매출 추정'!F8</f>
        <v>8000</v>
      </c>
      <c r="K9" s="470">
        <f>'매출 추정'!G8</f>
        <v>103950</v>
      </c>
      <c r="L9" s="470">
        <f>'매출 추정'!H8</f>
        <v>173250</v>
      </c>
      <c r="M9" s="470">
        <f>'매출 추정'!I8</f>
        <v>173250</v>
      </c>
      <c r="N9" s="470">
        <f>'매출 추정'!J8</f>
        <v>173250</v>
      </c>
      <c r="P9" s="407" t="s">
        <v>550</v>
      </c>
      <c r="Q9" s="395">
        <f>SUM(C9:F9)</f>
        <v>0</v>
      </c>
      <c r="R9" s="395">
        <f>SUM(G9:J9)</f>
        <v>26000</v>
      </c>
      <c r="S9" s="395">
        <f>SUM(K9:N9)</f>
        <v>623700</v>
      </c>
      <c r="U9" s="390"/>
    </row>
    <row r="10" spans="1:46" s="426" customFormat="1" ht="15" customHeight="1">
      <c r="B10" s="477" t="s">
        <v>467</v>
      </c>
      <c r="C10" s="523">
        <f>C9/C7</f>
        <v>0</v>
      </c>
      <c r="D10" s="523">
        <f t="shared" ref="D10:N10" si="2">D9/D7</f>
        <v>0</v>
      </c>
      <c r="E10" s="523">
        <f t="shared" si="2"/>
        <v>0</v>
      </c>
      <c r="F10" s="523">
        <f t="shared" si="2"/>
        <v>0</v>
      </c>
      <c r="G10" s="523">
        <f t="shared" si="2"/>
        <v>8.673725272976518E-2</v>
      </c>
      <c r="H10" s="523">
        <f t="shared" si="2"/>
        <v>0.2045255256293686</v>
      </c>
      <c r="I10" s="523">
        <f t="shared" si="2"/>
        <v>0.11971460039266389</v>
      </c>
      <c r="J10" s="523">
        <f t="shared" si="2"/>
        <v>0.15899835378828428</v>
      </c>
      <c r="K10" s="523">
        <f t="shared" si="2"/>
        <v>0.72192095646095467</v>
      </c>
      <c r="L10" s="523">
        <f t="shared" si="2"/>
        <v>0.7894833523224366</v>
      </c>
      <c r="M10" s="523">
        <f t="shared" si="2"/>
        <v>0.81488531188243707</v>
      </c>
      <c r="N10" s="523">
        <f t="shared" si="2"/>
        <v>0.80212077651126579</v>
      </c>
      <c r="P10" s="477" t="s">
        <v>467</v>
      </c>
      <c r="Q10" s="479">
        <f>Q9/Q7</f>
        <v>0</v>
      </c>
      <c r="R10" s="479">
        <f t="shared" ref="R10:S10" si="3">R9/R7</f>
        <v>0.14809595267333581</v>
      </c>
      <c r="S10" s="479">
        <f t="shared" si="3"/>
        <v>0.78746553020172494</v>
      </c>
      <c r="U10" s="390"/>
    </row>
    <row r="11" spans="1:46" s="426" customFormat="1" ht="15" customHeight="1">
      <c r="B11" s="407" t="s">
        <v>530</v>
      </c>
      <c r="C11" s="470">
        <v>18327</v>
      </c>
      <c r="D11" s="470">
        <v>22323</v>
      </c>
      <c r="E11" s="470">
        <v>21025</v>
      </c>
      <c r="F11" s="470">
        <v>20491</v>
      </c>
      <c r="G11" s="470">
        <f>'매출 추정'!C10</f>
        <v>9922</v>
      </c>
      <c r="H11" s="470">
        <f>'매출 추정'!D10</f>
        <v>12868</v>
      </c>
      <c r="I11" s="470">
        <f>'매출 추정'!E10</f>
        <v>9038</v>
      </c>
      <c r="J11" s="470">
        <f>'매출 추정'!F10</f>
        <v>14276.142666666667</v>
      </c>
      <c r="K11" s="470">
        <f>'매출 추정'!G10</f>
        <v>11210.702222222224</v>
      </c>
      <c r="L11" s="470">
        <f>'매출 추정'!H10</f>
        <v>18433.583629629633</v>
      </c>
      <c r="M11" s="470">
        <f>'매출 추정'!I10</f>
        <v>11415.142839506174</v>
      </c>
      <c r="N11" s="470">
        <f>'매출 추정'!J10</f>
        <v>14561.476230452678</v>
      </c>
      <c r="P11" s="407" t="s">
        <v>530</v>
      </c>
      <c r="Q11" s="395">
        <f>SUM(C11:F11)</f>
        <v>82166</v>
      </c>
      <c r="R11" s="395">
        <f>SUM(G11:J11)</f>
        <v>46104.142666666667</v>
      </c>
      <c r="S11" s="395">
        <f>SUM(K11:N11)</f>
        <v>55620.90492181071</v>
      </c>
      <c r="U11" s="390"/>
    </row>
    <row r="12" spans="1:46" s="426" customFormat="1" ht="15" customHeight="1">
      <c r="B12" s="477" t="s">
        <v>467</v>
      </c>
      <c r="C12" s="523">
        <f>C11/C7</f>
        <v>0.45431966028621851</v>
      </c>
      <c r="D12" s="523">
        <f t="shared" ref="D12:N12" si="4">D11/D7</f>
        <v>0.43969084996963403</v>
      </c>
      <c r="E12" s="523">
        <f t="shared" si="4"/>
        <v>0.45000631156057985</v>
      </c>
      <c r="F12" s="523">
        <f t="shared" si="4"/>
        <v>0.42979332839419676</v>
      </c>
      <c r="G12" s="523">
        <f t="shared" si="4"/>
        <v>0.28686900719491004</v>
      </c>
      <c r="H12" s="523">
        <f t="shared" si="4"/>
        <v>0.26318344637987151</v>
      </c>
      <c r="I12" s="523">
        <f t="shared" si="4"/>
        <v>0.21639611166977923</v>
      </c>
      <c r="J12" s="523">
        <f t="shared" si="4"/>
        <v>0.2837353978058359</v>
      </c>
      <c r="K12" s="523">
        <f t="shared" si="4"/>
        <v>7.7857055034782283E-2</v>
      </c>
      <c r="L12" s="523">
        <f t="shared" si="4"/>
        <v>8.4000042708432851E-2</v>
      </c>
      <c r="M12" s="523">
        <f t="shared" si="4"/>
        <v>5.3691383739991667E-2</v>
      </c>
      <c r="N12" s="523">
        <f t="shared" si="4"/>
        <v>6.741738886649952E-2</v>
      </c>
      <c r="P12" s="477" t="s">
        <v>467</v>
      </c>
      <c r="Q12" s="479">
        <f>Q11/Q7</f>
        <v>0.44292627365177289</v>
      </c>
      <c r="R12" s="479">
        <f t="shared" ref="R12:S12" si="5">R11/R7</f>
        <v>0.26260911270797649</v>
      </c>
      <c r="S12" s="479">
        <f t="shared" si="5"/>
        <v>7.0225341325241941E-2</v>
      </c>
      <c r="U12" s="390"/>
    </row>
    <row r="13" spans="1:46" s="426" customFormat="1" ht="15" customHeight="1">
      <c r="B13" s="407" t="s">
        <v>277</v>
      </c>
      <c r="C13" s="470">
        <v>11390</v>
      </c>
      <c r="D13" s="470">
        <v>13212</v>
      </c>
      <c r="E13" s="470">
        <v>12148</v>
      </c>
      <c r="F13" s="470">
        <v>11435</v>
      </c>
      <c r="G13" s="470">
        <f>'매출 추정'!C12</f>
        <v>12512</v>
      </c>
      <c r="H13" s="470">
        <f>'매출 추정'!D12</f>
        <v>12688</v>
      </c>
      <c r="I13" s="470">
        <f>'매출 추정'!E12</f>
        <v>19189</v>
      </c>
      <c r="J13" s="470">
        <f>'매출 추정'!F12</f>
        <v>19500</v>
      </c>
      <c r="K13" s="470">
        <f>'매출 추정'!G12</f>
        <v>18691.684285991207</v>
      </c>
      <c r="L13" s="470">
        <f>'매출 추정'!H12</f>
        <v>18691.684285991207</v>
      </c>
      <c r="M13" s="470">
        <f>'매출 추정'!I12</f>
        <v>18691.684285991207</v>
      </c>
      <c r="N13" s="470">
        <f>'매출 추정'!J12</f>
        <v>18691.684285991207</v>
      </c>
      <c r="P13" s="407" t="s">
        <v>277</v>
      </c>
      <c r="Q13" s="395">
        <f>SUM(C13:F13)</f>
        <v>48185</v>
      </c>
      <c r="R13" s="395">
        <f>SUM(G13:J13)</f>
        <v>63889</v>
      </c>
      <c r="S13" s="395">
        <f>SUM(K13:N13)</f>
        <v>74766.737143964827</v>
      </c>
      <c r="U13" s="390"/>
    </row>
    <row r="14" spans="1:46" s="426" customFormat="1" ht="15" customHeight="1">
      <c r="B14" s="477" t="s">
        <v>467</v>
      </c>
      <c r="C14" s="523">
        <f>C13/C7</f>
        <v>0.28235395485677028</v>
      </c>
      <c r="D14" s="523">
        <f t="shared" ref="D14:N14" si="6">D13/D7</f>
        <v>0.26023363839084374</v>
      </c>
      <c r="E14" s="523">
        <f t="shared" si="6"/>
        <v>0.26000840298872407</v>
      </c>
      <c r="F14" s="523">
        <f t="shared" si="6"/>
        <v>0.23984611342480308</v>
      </c>
      <c r="G14" s="523">
        <f t="shared" si="6"/>
        <v>0.36175216871827398</v>
      </c>
      <c r="H14" s="523">
        <f t="shared" si="6"/>
        <v>0.25950198691854287</v>
      </c>
      <c r="I14" s="523">
        <f t="shared" si="6"/>
        <v>0.45944069338696547</v>
      </c>
      <c r="J14" s="523">
        <f t="shared" si="6"/>
        <v>0.38755848735894294</v>
      </c>
      <c r="K14" s="523">
        <f t="shared" si="6"/>
        <v>0.12981162672062499</v>
      </c>
      <c r="L14" s="523">
        <f t="shared" si="6"/>
        <v>8.5176182226014127E-2</v>
      </c>
      <c r="M14" s="523">
        <f t="shared" si="6"/>
        <v>8.7916761783538203E-2</v>
      </c>
      <c r="N14" s="523">
        <f t="shared" si="6"/>
        <v>8.6539615086768787E-2</v>
      </c>
      <c r="P14" s="477" t="s">
        <v>467</v>
      </c>
      <c r="Q14" s="479">
        <f>Q13/Q7</f>
        <v>0.25974737112565632</v>
      </c>
      <c r="R14" s="479">
        <f t="shared" ref="R14:S14" si="7">R13/R7</f>
        <v>0.36391162770564428</v>
      </c>
      <c r="S14" s="479">
        <f t="shared" si="7"/>
        <v>9.4398313783109283E-2</v>
      </c>
      <c r="U14" s="390"/>
    </row>
    <row r="15" spans="1:46" s="426" customFormat="1" ht="15" customHeight="1">
      <c r="B15" s="407" t="s">
        <v>278</v>
      </c>
      <c r="C15" s="470">
        <v>10622</v>
      </c>
      <c r="D15" s="470">
        <v>15235</v>
      </c>
      <c r="E15" s="470">
        <v>13549</v>
      </c>
      <c r="F15" s="470">
        <v>15751</v>
      </c>
      <c r="G15" s="470">
        <f>'매출 추정'!C14</f>
        <v>9153.214899999999</v>
      </c>
      <c r="H15" s="470">
        <f>'매출 추정'!D14</f>
        <v>13337.652609999997</v>
      </c>
      <c r="I15" s="470">
        <f>'매출 추정'!E14</f>
        <v>8538.8436799999981</v>
      </c>
      <c r="J15" s="470">
        <f>'매출 추정'!F14</f>
        <v>8538.8436799999981</v>
      </c>
      <c r="K15" s="470">
        <f>'매출 추정'!G14</f>
        <v>10138.446656666665</v>
      </c>
      <c r="L15" s="470">
        <f>'매출 추정'!H14</f>
        <v>9072.0446722222205</v>
      </c>
      <c r="M15" s="470">
        <f>'매출 추정'!I14</f>
        <v>9249.7783362962946</v>
      </c>
      <c r="N15" s="470">
        <f>'매출 추정'!J14</f>
        <v>9486.7565550617273</v>
      </c>
      <c r="P15" s="407" t="s">
        <v>278</v>
      </c>
      <c r="Q15" s="395">
        <f>SUM(C15:F15)</f>
        <v>55157</v>
      </c>
      <c r="R15" s="395">
        <f>SUM(G15:J15)</f>
        <v>39568.554869999993</v>
      </c>
      <c r="S15" s="395">
        <f>SUM(K15:N15)</f>
        <v>37947.026220246909</v>
      </c>
      <c r="U15" s="390"/>
    </row>
    <row r="16" spans="1:46" s="426" customFormat="1" ht="15" customHeight="1">
      <c r="B16" s="477" t="s">
        <v>467</v>
      </c>
      <c r="C16" s="523">
        <f>C15/C7</f>
        <v>0.26331551435369743</v>
      </c>
      <c r="D16" s="523">
        <f t="shared" ref="D16:N16" si="8">D15/D7</f>
        <v>0.30008019080264187</v>
      </c>
      <c r="E16" s="523">
        <f t="shared" si="8"/>
        <v>0.28999455483159553</v>
      </c>
      <c r="F16" s="523">
        <f t="shared" si="8"/>
        <v>0.33037307674281358</v>
      </c>
      <c r="G16" s="523">
        <f t="shared" si="8"/>
        <v>0.26464157135705074</v>
      </c>
      <c r="H16" s="523">
        <f t="shared" si="8"/>
        <v>0.27278904107221696</v>
      </c>
      <c r="I16" s="523">
        <f t="shared" si="8"/>
        <v>0.20444485179332467</v>
      </c>
      <c r="J16" s="523">
        <f t="shared" si="8"/>
        <v>0.16970776104693688</v>
      </c>
      <c r="K16" s="523">
        <f t="shared" si="8"/>
        <v>7.0410361783637965E-2</v>
      </c>
      <c r="L16" s="523">
        <f t="shared" si="8"/>
        <v>4.1340422743116306E-2</v>
      </c>
      <c r="M16" s="523">
        <f t="shared" si="8"/>
        <v>4.3506542594032992E-2</v>
      </c>
      <c r="N16" s="523">
        <f t="shared" si="8"/>
        <v>4.3922219535465823E-2</v>
      </c>
      <c r="P16" s="477" t="s">
        <v>467</v>
      </c>
      <c r="Q16" s="479">
        <f>Q15/Q7</f>
        <v>0.29733082389079224</v>
      </c>
      <c r="R16" s="479">
        <f t="shared" ref="R16:S16" si="9">R15/R7</f>
        <v>0.22538241651460805</v>
      </c>
      <c r="S16" s="479">
        <f t="shared" si="9"/>
        <v>4.7910814689923822E-2</v>
      </c>
      <c r="U16" s="390"/>
    </row>
    <row r="17" spans="2:39" s="516" customFormat="1" ht="15" customHeight="1">
      <c r="B17" s="424" t="s">
        <v>468</v>
      </c>
      <c r="C17" s="471">
        <f>'IS(Quaterly)'!H13</f>
        <v>24298.608700000001</v>
      </c>
      <c r="D17" s="471">
        <f>'IS(Quaterly)'!I13</f>
        <v>30584.084279999999</v>
      </c>
      <c r="E17" s="471">
        <f>'IS(Quaterly)'!J13</f>
        <v>27986.515530000001</v>
      </c>
      <c r="F17" s="471">
        <f>'IS(Quaterly)'!K13</f>
        <v>31152.325860000001</v>
      </c>
      <c r="G17" s="471">
        <f>'IS(Quaterly)'!L13</f>
        <v>19942.0255</v>
      </c>
      <c r="H17" s="471">
        <f>'IS(Quaterly)'!M13</f>
        <v>30065.137640000001</v>
      </c>
      <c r="I17" s="471">
        <f>'IS(Quaterly)'!N13</f>
        <v>22406.702270000002</v>
      </c>
      <c r="J17" s="519">
        <f>SUM(J19,J21,J23,J25)</f>
        <v>28341.068408533331</v>
      </c>
      <c r="K17" s="519">
        <f t="shared" ref="K17:M17" si="10">SUM(K19,K21,K23,K25)</f>
        <v>75986.500223899959</v>
      </c>
      <c r="L17" s="519">
        <f t="shared" si="10"/>
        <v>115125.18942644811</v>
      </c>
      <c r="M17" s="519">
        <f t="shared" si="10"/>
        <v>110887.50568157897</v>
      </c>
      <c r="N17" s="519">
        <f>SUM(N19,N21,N23,N25)</f>
        <v>112989.89844397568</v>
      </c>
      <c r="O17" s="520"/>
      <c r="P17" s="424" t="s">
        <v>468</v>
      </c>
      <c r="Q17" s="430">
        <f>SUM(C17:F17)</f>
        <v>114021.53436999999</v>
      </c>
      <c r="R17" s="430">
        <f>SUM(G17:J17)</f>
        <v>100754.93381853333</v>
      </c>
      <c r="S17" s="430">
        <f>SUM(K17:N17)</f>
        <v>414989.0937759027</v>
      </c>
      <c r="U17" s="521"/>
      <c r="V17" s="522"/>
    </row>
    <row r="18" spans="2:39" ht="16.25" customHeight="1">
      <c r="B18" s="477" t="s">
        <v>467</v>
      </c>
      <c r="C18" s="474">
        <f t="shared" ref="C18:N18" si="11">C17/C7</f>
        <v>0.60235366672187229</v>
      </c>
      <c r="D18" s="474">
        <f t="shared" si="11"/>
        <v>0.60240747267912564</v>
      </c>
      <c r="E18" s="474">
        <f t="shared" si="11"/>
        <v>0.59900635562845117</v>
      </c>
      <c r="F18" s="474">
        <f t="shared" si="11"/>
        <v>0.65341183049094764</v>
      </c>
      <c r="G18" s="474">
        <f t="shared" si="11"/>
        <v>0.57657216857897398</v>
      </c>
      <c r="H18" s="474">
        <f t="shared" si="11"/>
        <v>0.61490880789403146</v>
      </c>
      <c r="I18" s="474">
        <f t="shared" si="11"/>
        <v>0.53648188167408906</v>
      </c>
      <c r="J18" s="474">
        <f t="shared" si="11"/>
        <v>0.56327290269474373</v>
      </c>
      <c r="K18" s="474">
        <f t="shared" si="11"/>
        <v>0.52771762308569892</v>
      </c>
      <c r="L18" s="474">
        <f t="shared" si="11"/>
        <v>0.52461425965453268</v>
      </c>
      <c r="M18" s="474">
        <f t="shared" si="11"/>
        <v>0.52156190274862335</v>
      </c>
      <c r="N18" s="474">
        <f t="shared" si="11"/>
        <v>0.52312580131492548</v>
      </c>
      <c r="P18" s="477" t="s">
        <v>467</v>
      </c>
      <c r="Q18" s="533">
        <f>Q17/Q7</f>
        <v>0.61464758336248138</v>
      </c>
      <c r="R18" s="533">
        <f>R17/R7</f>
        <v>0.57389991963056131</v>
      </c>
      <c r="S18" s="533">
        <f>S17/S7</f>
        <v>0.52395319345546665</v>
      </c>
    </row>
    <row r="19" spans="2:39" s="426" customFormat="1" ht="15" customHeight="1">
      <c r="B19" s="407" t="s">
        <v>550</v>
      </c>
      <c r="C19" s="427">
        <v>0</v>
      </c>
      <c r="D19" s="427">
        <v>0</v>
      </c>
      <c r="E19" s="427">
        <v>0</v>
      </c>
      <c r="F19" s="427">
        <v>0</v>
      </c>
      <c r="G19" s="427">
        <f t="shared" ref="G19:N19" si="12">G9*0.51</f>
        <v>1530</v>
      </c>
      <c r="H19" s="427">
        <f t="shared" si="12"/>
        <v>5100</v>
      </c>
      <c r="I19" s="427">
        <f t="shared" si="12"/>
        <v>2550</v>
      </c>
      <c r="J19" s="427">
        <f t="shared" si="12"/>
        <v>4080</v>
      </c>
      <c r="K19" s="427">
        <f t="shared" si="12"/>
        <v>53014.5</v>
      </c>
      <c r="L19" s="427">
        <f t="shared" si="12"/>
        <v>88357.5</v>
      </c>
      <c r="M19" s="427">
        <f t="shared" si="12"/>
        <v>88357.5</v>
      </c>
      <c r="N19" s="427">
        <f t="shared" si="12"/>
        <v>88357.5</v>
      </c>
      <c r="P19" s="407" t="s">
        <v>550</v>
      </c>
      <c r="Q19" s="406">
        <f>SUM(C19:F19)</f>
        <v>0</v>
      </c>
      <c r="R19" s="406">
        <f>SUM(G19:J19)</f>
        <v>13260</v>
      </c>
      <c r="S19" s="406">
        <f>SUM(K19:N19)</f>
        <v>318087</v>
      </c>
      <c r="U19" s="431"/>
      <c r="V19" s="390" t="s">
        <v>552</v>
      </c>
    </row>
    <row r="20" spans="2:39" s="426" customFormat="1" ht="15" customHeight="1">
      <c r="B20" s="477" t="s">
        <v>549</v>
      </c>
      <c r="C20" s="512">
        <f>C19/C17</f>
        <v>0</v>
      </c>
      <c r="D20" s="512">
        <f t="shared" ref="D20:H20" si="13">D19/D17</f>
        <v>0</v>
      </c>
      <c r="E20" s="512">
        <f t="shared" si="13"/>
        <v>0</v>
      </c>
      <c r="F20" s="512">
        <f t="shared" si="13"/>
        <v>0</v>
      </c>
      <c r="G20" s="512">
        <f t="shared" si="13"/>
        <v>7.6722397130622469E-2</v>
      </c>
      <c r="H20" s="512">
        <f t="shared" si="13"/>
        <v>0.16963168640926934</v>
      </c>
      <c r="I20" s="512">
        <f>I19/I17</f>
        <v>0.11380523422289396</v>
      </c>
      <c r="J20" s="512">
        <f>J19/J17</f>
        <v>0.14396069834726258</v>
      </c>
      <c r="K20" s="512">
        <f>K19/K17</f>
        <v>0.69768313902849555</v>
      </c>
      <c r="L20" s="512">
        <f t="shared" ref="L20:N20" si="14">L19/L17</f>
        <v>0.76749059385001395</v>
      </c>
      <c r="M20" s="512">
        <f t="shared" si="14"/>
        <v>0.79682106164173794</v>
      </c>
      <c r="N20" s="512">
        <f t="shared" si="14"/>
        <v>0.78199468462935851</v>
      </c>
      <c r="P20" s="477" t="s">
        <v>549</v>
      </c>
      <c r="Q20" s="432">
        <f>Q19/Q17</f>
        <v>0</v>
      </c>
      <c r="R20" s="479">
        <f>R19/R17</f>
        <v>0.13160645833862772</v>
      </c>
      <c r="S20" s="479">
        <f>S19/S17</f>
        <v>0.76649484232414411</v>
      </c>
      <c r="U20" s="431"/>
    </row>
    <row r="21" spans="2:39" s="426" customFormat="1" ht="15" customHeight="1">
      <c r="B21" s="407" t="s">
        <v>530</v>
      </c>
      <c r="C21" s="427">
        <f>C11*0.62</f>
        <v>11362.74</v>
      </c>
      <c r="D21" s="427">
        <f t="shared" ref="D21:F21" si="15">D11*0.62</f>
        <v>13840.26</v>
      </c>
      <c r="E21" s="427">
        <f t="shared" si="15"/>
        <v>13035.5</v>
      </c>
      <c r="F21" s="427">
        <f t="shared" si="15"/>
        <v>12704.42</v>
      </c>
      <c r="G21" s="427">
        <f>G11*0.62</f>
        <v>6151.64</v>
      </c>
      <c r="H21" s="427">
        <f t="shared" ref="H21:N21" si="16">H11*0.62</f>
        <v>7978.16</v>
      </c>
      <c r="I21" s="427">
        <f t="shared" si="16"/>
        <v>5603.56</v>
      </c>
      <c r="J21" s="427">
        <f t="shared" si="16"/>
        <v>8851.2084533333327</v>
      </c>
      <c r="K21" s="427">
        <f>K11*0.62</f>
        <v>6950.6353777777786</v>
      </c>
      <c r="L21" s="427">
        <f t="shared" si="16"/>
        <v>11428.821850370372</v>
      </c>
      <c r="M21" s="427">
        <f t="shared" si="16"/>
        <v>7077.3885604938278</v>
      </c>
      <c r="N21" s="427">
        <f t="shared" si="16"/>
        <v>9028.1152628806594</v>
      </c>
      <c r="P21" s="407" t="s">
        <v>530</v>
      </c>
      <c r="Q21" s="406">
        <f>SUM(C21:F21)</f>
        <v>50942.92</v>
      </c>
      <c r="R21" s="406">
        <f>SUM(G21:J21)</f>
        <v>28584.568453333333</v>
      </c>
      <c r="S21" s="406">
        <f>SUM(K21:N21)</f>
        <v>34484.961051522638</v>
      </c>
      <c r="U21" s="431"/>
      <c r="V21" s="390" t="s">
        <v>552</v>
      </c>
    </row>
    <row r="22" spans="2:39" s="426" customFormat="1" ht="15" customHeight="1">
      <c r="B22" s="477" t="s">
        <v>549</v>
      </c>
      <c r="C22" s="512">
        <f>C21/C17</f>
        <v>0.4676292433154825</v>
      </c>
      <c r="D22" s="512">
        <f t="shared" ref="D22:I22" si="17">D21/D17</f>
        <v>0.4525314497988952</v>
      </c>
      <c r="E22" s="512">
        <f t="shared" si="17"/>
        <v>0.46577788456825442</v>
      </c>
      <c r="F22" s="512">
        <f t="shared" si="17"/>
        <v>0.40781609877523284</v>
      </c>
      <c r="G22" s="512">
        <f t="shared" si="17"/>
        <v>0.30847618763700813</v>
      </c>
      <c r="H22" s="512">
        <f>H21/H17</f>
        <v>0.26536249710646592</v>
      </c>
      <c r="I22" s="512">
        <f t="shared" si="17"/>
        <v>0.25008410128707442</v>
      </c>
      <c r="J22" s="512">
        <f>J21/J17</f>
        <v>0.31231033092133836</v>
      </c>
      <c r="K22" s="512">
        <f t="shared" ref="K22:N22" si="18">K21/K17</f>
        <v>9.1471976697139717E-2</v>
      </c>
      <c r="L22" s="512">
        <f t="shared" si="18"/>
        <v>9.9272990622717619E-2</v>
      </c>
      <c r="M22" s="512">
        <f t="shared" si="18"/>
        <v>6.3824941475525934E-2</v>
      </c>
      <c r="N22" s="512">
        <f t="shared" si="18"/>
        <v>7.9901968115823327E-2</v>
      </c>
      <c r="P22" s="477" t="s">
        <v>549</v>
      </c>
      <c r="Q22" s="432">
        <f>Q21/Q17</f>
        <v>0.44678332282996797</v>
      </c>
      <c r="R22" s="479">
        <f>R21/R17</f>
        <v>0.28370390778893406</v>
      </c>
      <c r="S22" s="479">
        <f>S21/S17</f>
        <v>8.3098475523177923E-2</v>
      </c>
      <c r="U22" s="431"/>
    </row>
    <row r="23" spans="2:39" s="426" customFormat="1" ht="15" customHeight="1">
      <c r="B23" s="407" t="s">
        <v>277</v>
      </c>
      <c r="C23" s="427">
        <f>C13*0.51</f>
        <v>5808.9000000000005</v>
      </c>
      <c r="D23" s="427">
        <f t="shared" ref="D23:E23" si="19">D13*0.51</f>
        <v>6738.12</v>
      </c>
      <c r="E23" s="427">
        <f t="shared" si="19"/>
        <v>6195.4800000000005</v>
      </c>
      <c r="F23" s="427">
        <f>F13*0.51</f>
        <v>5831.85</v>
      </c>
      <c r="G23" s="427">
        <f t="shared" ref="G23:N23" si="20">G13*0.51</f>
        <v>6381.12</v>
      </c>
      <c r="H23" s="427">
        <f t="shared" si="20"/>
        <v>6470.88</v>
      </c>
      <c r="I23" s="427">
        <f t="shared" si="20"/>
        <v>9786.39</v>
      </c>
      <c r="J23" s="427">
        <f t="shared" si="20"/>
        <v>9945</v>
      </c>
      <c r="K23" s="427">
        <f>K13*0.51</f>
        <v>9532.7589858555148</v>
      </c>
      <c r="L23" s="427">
        <f t="shared" si="20"/>
        <v>9532.7589858555148</v>
      </c>
      <c r="M23" s="427">
        <f t="shared" si="20"/>
        <v>9532.7589858555148</v>
      </c>
      <c r="N23" s="427">
        <f t="shared" si="20"/>
        <v>9532.7589858555148</v>
      </c>
      <c r="P23" s="407" t="s">
        <v>277</v>
      </c>
      <c r="Q23" s="532">
        <f>SUM(C23:F23)</f>
        <v>24574.35</v>
      </c>
      <c r="R23" s="406">
        <f>SUM(G23:J23)</f>
        <v>32583.39</v>
      </c>
      <c r="S23" s="406">
        <f>SUM(K23:N23)</f>
        <v>38131.035943422059</v>
      </c>
      <c r="U23" s="431"/>
      <c r="V23" s="390" t="s">
        <v>552</v>
      </c>
    </row>
    <row r="24" spans="2:39" s="426" customFormat="1" ht="15" customHeight="1">
      <c r="B24" s="477" t="s">
        <v>549</v>
      </c>
      <c r="C24" s="512">
        <f t="shared" ref="C24:I24" si="21">C23/C17</f>
        <v>0.23906307030657276</v>
      </c>
      <c r="D24" s="512">
        <f t="shared" si="21"/>
        <v>0.22031459037033493</v>
      </c>
      <c r="E24" s="512">
        <f t="shared" si="21"/>
        <v>0.22137375384794822</v>
      </c>
      <c r="F24" s="512">
        <f t="shared" si="21"/>
        <v>0.1872043206728321</v>
      </c>
      <c r="G24" s="512">
        <f t="shared" si="21"/>
        <v>0.31998354429944942</v>
      </c>
      <c r="H24" s="512">
        <f t="shared" si="21"/>
        <v>0.21522868371608092</v>
      </c>
      <c r="I24" s="512">
        <f t="shared" si="21"/>
        <v>0.4367617279006224</v>
      </c>
      <c r="J24" s="512">
        <f>J23/J17</f>
        <v>0.35090420222145252</v>
      </c>
      <c r="K24" s="512">
        <f t="shared" ref="K24:N24" si="22">K23/K17</f>
        <v>0.12545332338989848</v>
      </c>
      <c r="L24" s="512">
        <f t="shared" si="22"/>
        <v>8.2803416292712054E-2</v>
      </c>
      <c r="M24" s="512">
        <f t="shared" si="22"/>
        <v>8.5967836748258017E-2</v>
      </c>
      <c r="N24" s="512">
        <f t="shared" si="22"/>
        <v>8.4368241029813731E-2</v>
      </c>
      <c r="P24" s="477" t="s">
        <v>549</v>
      </c>
      <c r="Q24" s="479">
        <f>Q23/Q17</f>
        <v>0.21552376168045773</v>
      </c>
      <c r="R24" s="479">
        <f>R23/R17</f>
        <v>0.32339250064602254</v>
      </c>
      <c r="S24" s="479">
        <f>S23/S17</f>
        <v>9.1884429049629707E-2</v>
      </c>
      <c r="U24" s="431"/>
    </row>
    <row r="25" spans="2:39" s="426" customFormat="1" ht="15" customHeight="1">
      <c r="B25" s="407" t="s">
        <v>278</v>
      </c>
      <c r="C25" s="513">
        <f>C15*0.64</f>
        <v>6798.08</v>
      </c>
      <c r="D25" s="513">
        <f t="shared" ref="D25:N25" si="23">D15*0.64</f>
        <v>9750.4</v>
      </c>
      <c r="E25" s="513">
        <f t="shared" si="23"/>
        <v>8671.36</v>
      </c>
      <c r="F25" s="513">
        <f t="shared" si="23"/>
        <v>10080.64</v>
      </c>
      <c r="G25" s="513">
        <f t="shared" si="23"/>
        <v>5858.0575359999993</v>
      </c>
      <c r="H25" s="513">
        <f t="shared" si="23"/>
        <v>8536.0976703999986</v>
      </c>
      <c r="I25" s="513">
        <f t="shared" si="23"/>
        <v>5464.8599551999987</v>
      </c>
      <c r="J25" s="513">
        <f t="shared" si="23"/>
        <v>5464.8599551999987</v>
      </c>
      <c r="K25" s="513">
        <f>K15*0.64</f>
        <v>6488.6058602666662</v>
      </c>
      <c r="L25" s="513">
        <f t="shared" si="23"/>
        <v>5806.1085902222212</v>
      </c>
      <c r="M25" s="513">
        <f t="shared" si="23"/>
        <v>5919.8581352296287</v>
      </c>
      <c r="N25" s="513">
        <f t="shared" si="23"/>
        <v>6071.5241952395054</v>
      </c>
      <c r="P25" s="407" t="s">
        <v>278</v>
      </c>
      <c r="Q25" s="406">
        <f>SUM(C25:F25)</f>
        <v>35300.479999999996</v>
      </c>
      <c r="R25" s="406">
        <f>SUM(G25:J25)</f>
        <v>25323.875116799994</v>
      </c>
      <c r="S25" s="406">
        <f>SUM(K25:N25)</f>
        <v>24286.096780958022</v>
      </c>
      <c r="U25" s="431"/>
      <c r="V25" s="390" t="s">
        <v>552</v>
      </c>
    </row>
    <row r="26" spans="2:39" s="426" customFormat="1" ht="15" customHeight="1">
      <c r="B26" s="477" t="s">
        <v>549</v>
      </c>
      <c r="C26" s="512">
        <f>C25/C17</f>
        <v>0.27977239700971024</v>
      </c>
      <c r="D26" s="512">
        <f t="shared" ref="D26:I26" si="24">D25/D17</f>
        <v>0.31880634092994986</v>
      </c>
      <c r="E26" s="512">
        <f t="shared" si="24"/>
        <v>0.30984064417396945</v>
      </c>
      <c r="F26" s="512">
        <f t="shared" si="24"/>
        <v>0.32359188990584087</v>
      </c>
      <c r="G26" s="512">
        <f t="shared" si="24"/>
        <v>0.29375438999413572</v>
      </c>
      <c r="H26" s="512">
        <f t="shared" si="24"/>
        <v>0.28392012611454648</v>
      </c>
      <c r="I26" s="512">
        <f t="shared" si="24"/>
        <v>0.24389398713601948</v>
      </c>
      <c r="J26" s="514">
        <f>J25/J17</f>
        <v>0.19282476850994654</v>
      </c>
      <c r="K26" s="514">
        <f t="shared" ref="K26:N26" si="25">K25/K17</f>
        <v>8.5391560884466311E-2</v>
      </c>
      <c r="L26" s="514">
        <f t="shared" si="25"/>
        <v>5.0432999234556429E-2</v>
      </c>
      <c r="M26" s="514">
        <f t="shared" si="25"/>
        <v>5.3386160134478132E-2</v>
      </c>
      <c r="N26" s="514">
        <f t="shared" si="25"/>
        <v>5.3735106225004513E-2</v>
      </c>
      <c r="P26" s="477" t="s">
        <v>549</v>
      </c>
      <c r="Q26" s="479">
        <f>Q25/Q17</f>
        <v>0.30959485149050797</v>
      </c>
      <c r="R26" s="479">
        <f>R25/R17</f>
        <v>0.25134129076408368</v>
      </c>
      <c r="S26" s="479">
        <f>S25/S17</f>
        <v>5.8522253103048295E-2</v>
      </c>
    </row>
    <row r="27" spans="2:39" ht="15" customHeight="1">
      <c r="B27" s="424" t="s">
        <v>466</v>
      </c>
      <c r="C27" s="471">
        <f t="shared" ref="C27:N27" si="26">C7-C17</f>
        <v>16040.829809999999</v>
      </c>
      <c r="D27" s="471">
        <f t="shared" si="26"/>
        <v>20185.678159999999</v>
      </c>
      <c r="E27" s="471">
        <f t="shared" si="26"/>
        <v>18735.051389999997</v>
      </c>
      <c r="F27" s="471">
        <f t="shared" si="26"/>
        <v>16524.077300000001</v>
      </c>
      <c r="G27" s="471">
        <f t="shared" si="26"/>
        <v>14645.189399999999</v>
      </c>
      <c r="H27" s="471">
        <f t="shared" si="26"/>
        <v>18828.514969999997</v>
      </c>
      <c r="I27" s="471">
        <f t="shared" si="26"/>
        <v>19359.297729999998</v>
      </c>
      <c r="J27" s="471">
        <f t="shared" si="26"/>
        <v>21973.917938133334</v>
      </c>
      <c r="K27" s="471">
        <f t="shared" si="26"/>
        <v>68004.332940980152</v>
      </c>
      <c r="L27" s="471">
        <f t="shared" si="26"/>
        <v>104322.12316139496</v>
      </c>
      <c r="M27" s="471">
        <f t="shared" si="26"/>
        <v>101719.09978021472</v>
      </c>
      <c r="N27" s="471">
        <f t="shared" si="26"/>
        <v>103000.01862752995</v>
      </c>
      <c r="P27" s="424" t="s">
        <v>466</v>
      </c>
      <c r="Q27" s="423">
        <f>Q7-Q17</f>
        <v>71485.636659999975</v>
      </c>
      <c r="R27" s="430">
        <f>R7-R17</f>
        <v>74806.920038133321</v>
      </c>
      <c r="S27" s="430">
        <f>S7-S17</f>
        <v>377045.5745101198</v>
      </c>
      <c r="T27" s="406"/>
      <c r="AH27" s="389">
        <v>2022</v>
      </c>
      <c r="AI27" s="389">
        <v>2023</v>
      </c>
      <c r="AJ27" s="389">
        <v>2024</v>
      </c>
    </row>
    <row r="28" spans="2:39" ht="15" customHeight="1">
      <c r="B28" s="476" t="s">
        <v>465</v>
      </c>
      <c r="C28" s="475">
        <f t="shared" ref="C28:N28" si="27">C27/C7</f>
        <v>0.39764633327812771</v>
      </c>
      <c r="D28" s="475">
        <f t="shared" si="27"/>
        <v>0.39759252732087436</v>
      </c>
      <c r="E28" s="475">
        <f t="shared" si="27"/>
        <v>0.40099364437154877</v>
      </c>
      <c r="F28" s="475">
        <f t="shared" si="27"/>
        <v>0.34658816950905236</v>
      </c>
      <c r="G28" s="475">
        <f t="shared" si="27"/>
        <v>0.42342783142102602</v>
      </c>
      <c r="H28" s="475">
        <f t="shared" si="27"/>
        <v>0.38509119210596848</v>
      </c>
      <c r="I28" s="475">
        <f t="shared" si="27"/>
        <v>0.463518118325911</v>
      </c>
      <c r="J28" s="475">
        <f t="shared" si="27"/>
        <v>0.43672709730525627</v>
      </c>
      <c r="K28" s="475">
        <f t="shared" si="27"/>
        <v>0.47228237691430108</v>
      </c>
      <c r="L28" s="475">
        <f t="shared" si="27"/>
        <v>0.47538574034546732</v>
      </c>
      <c r="M28" s="475">
        <f t="shared" si="27"/>
        <v>0.47843809725137665</v>
      </c>
      <c r="N28" s="475">
        <f t="shared" si="27"/>
        <v>0.47687419868507458</v>
      </c>
      <c r="P28" s="476" t="s">
        <v>465</v>
      </c>
      <c r="Q28" s="480">
        <f>Q27/Q7</f>
        <v>0.38535241663751862</v>
      </c>
      <c r="R28" s="480">
        <f>R27/R7</f>
        <v>0.42610008036943875</v>
      </c>
      <c r="S28" s="480">
        <f>S27/S7</f>
        <v>0.47604680654453335</v>
      </c>
      <c r="U28" s="390" t="s">
        <v>509</v>
      </c>
      <c r="V28" s="393" t="s">
        <v>510</v>
      </c>
      <c r="AG28" s="389" t="s">
        <v>288</v>
      </c>
      <c r="AH28" s="389">
        <v>267491</v>
      </c>
      <c r="AI28" s="389">
        <v>133604</v>
      </c>
      <c r="AJ28" s="389">
        <v>185507</v>
      </c>
    </row>
    <row r="29" spans="2:39" ht="15" customHeight="1">
      <c r="B29" s="424" t="s">
        <v>464</v>
      </c>
      <c r="C29" s="469">
        <f>SUM(C31,C33,C35,C37,C39,C41,C43,C45,C47,C49,C51,C53,C55,C57)</f>
        <v>10467</v>
      </c>
      <c r="D29" s="469">
        <f t="shared" ref="D29:M29" si="28">SUM(D31,D33,D35,D37,D39,D41,D43,D45,D47,D49,D51,D53,D55,D57)</f>
        <v>13010.248</v>
      </c>
      <c r="E29" s="469">
        <f t="shared" si="28"/>
        <v>12557.111000000001</v>
      </c>
      <c r="F29" s="469">
        <f t="shared" si="28"/>
        <v>12037.136</v>
      </c>
      <c r="G29" s="469">
        <f t="shared" si="28"/>
        <v>13347.369000000001</v>
      </c>
      <c r="H29" s="469">
        <f t="shared" si="28"/>
        <v>12624.411999999998</v>
      </c>
      <c r="I29" s="469">
        <f>SUM(I31,I33,I35,I37,I39,I41,I43,I45,I47,I49,I51,I53,I55,I57)</f>
        <v>12248</v>
      </c>
      <c r="J29" s="469">
        <f t="shared" si="28"/>
        <v>13792.022121922382</v>
      </c>
      <c r="K29" s="469">
        <f t="shared" si="28"/>
        <v>24877.946662556969</v>
      </c>
      <c r="L29" s="469">
        <f t="shared" si="28"/>
        <v>33524.441925228042</v>
      </c>
      <c r="M29" s="469">
        <f t="shared" si="28"/>
        <v>32755.163699193807</v>
      </c>
      <c r="N29" s="469">
        <f>SUM(N31,N33,N35,N37,N39,N41,N43,N45,N47,N49,N51,N53,N55,N57)</f>
        <v>33160.865882930484</v>
      </c>
      <c r="P29" s="410" t="s">
        <v>464</v>
      </c>
      <c r="Q29" s="406">
        <f>SUM(C29:F29)</f>
        <v>48071.494999999995</v>
      </c>
      <c r="R29" s="406">
        <f>SUM(G29:J29)</f>
        <v>52011.803121922385</v>
      </c>
      <c r="S29" s="406">
        <f>SUM(K29:N29)</f>
        <v>124318.4181699093</v>
      </c>
      <c r="U29" s="460">
        <f>(1+3.6%)^0.25/100</f>
        <v>1.0088809900082159E-2</v>
      </c>
      <c r="V29" s="461">
        <f>(1+3.9%)^0.25/100</f>
        <v>1.0096105657459021E-2</v>
      </c>
      <c r="AG29" s="389" t="s">
        <v>505</v>
      </c>
      <c r="AH29" s="389">
        <f>SUM(AH31,AH33,AH35,AH37,AH39,AH41,AH43,AH45,AH47,AH49,AH51,AH53,AH55,AH57,)</f>
        <v>51773</v>
      </c>
      <c r="AI29" s="389">
        <f>SUM(AI31,AI33,AI35,AI37,AI39,AI41,AI43,AI45,AI47,AI49,AI51,AI53,AI55,AI57,)</f>
        <v>46388</v>
      </c>
      <c r="AJ29" s="389">
        <f>SUM(AJ31,AJ33,AJ35,AJ37,AJ39,AJ41,AJ43,AJ45,AJ47,AJ49,AJ51,AJ53,AJ55,AJ57,)</f>
        <v>48071</v>
      </c>
    </row>
    <row r="30" spans="2:39" ht="15" customHeight="1">
      <c r="B30" s="477" t="s">
        <v>467</v>
      </c>
      <c r="C30" s="478">
        <f t="shared" ref="C30:N30" si="29">C29/C7</f>
        <v>0.2594731207625825</v>
      </c>
      <c r="D30" s="478">
        <f t="shared" si="29"/>
        <v>0.25625977697602165</v>
      </c>
      <c r="E30" s="478">
        <f t="shared" si="29"/>
        <v>0.26876476599128585</v>
      </c>
      <c r="F30" s="478">
        <f t="shared" si="29"/>
        <v>0.25247575744344386</v>
      </c>
      <c r="G30" s="478">
        <f t="shared" si="29"/>
        <v>0.3859047060768111</v>
      </c>
      <c r="H30" s="478">
        <f t="shared" si="29"/>
        <v>0.25820145000617084</v>
      </c>
      <c r="I30" s="478">
        <f t="shared" si="29"/>
        <v>0.29325288512186948</v>
      </c>
      <c r="J30" s="478">
        <f t="shared" si="29"/>
        <v>0.27411360159965731</v>
      </c>
      <c r="K30" s="478">
        <f t="shared" si="29"/>
        <v>0.17277451706991576</v>
      </c>
      <c r="L30" s="478">
        <f t="shared" si="29"/>
        <v>0.15276761209736148</v>
      </c>
      <c r="M30" s="478">
        <f t="shared" si="29"/>
        <v>0.1540646567779384</v>
      </c>
      <c r="N30" s="478">
        <f t="shared" si="29"/>
        <v>0.15352969403637601</v>
      </c>
      <c r="P30" s="477" t="s">
        <v>467</v>
      </c>
      <c r="Q30" s="479">
        <f>Q29/Q7</f>
        <v>0.25913550798651303</v>
      </c>
      <c r="R30" s="479">
        <f>R29/R7</f>
        <v>0.29625913590765679</v>
      </c>
      <c r="S30" s="479">
        <f>S29/S7</f>
        <v>0.15696082904923422</v>
      </c>
      <c r="U30" s="460"/>
      <c r="V30" s="461"/>
    </row>
    <row r="31" spans="2:39" ht="15" customHeight="1">
      <c r="B31" s="407" t="s">
        <v>463</v>
      </c>
      <c r="C31" s="425">
        <v>4266</v>
      </c>
      <c r="D31" s="425">
        <v>5320</v>
      </c>
      <c r="E31" s="425">
        <f>'IS(Quaterly)'!J16</f>
        <v>4101.076</v>
      </c>
      <c r="F31" s="425">
        <f>'IS(Quaterly)'!K16</f>
        <v>4100.1360000000004</v>
      </c>
      <c r="G31" s="425">
        <f>'IS(Quaterly)'!L16</f>
        <v>4167.6499999999996</v>
      </c>
      <c r="H31" s="425">
        <f>'IS(Quaterly)'!M16</f>
        <v>4289.259</v>
      </c>
      <c r="I31" s="425">
        <v>3755</v>
      </c>
      <c r="J31" s="429">
        <f>$AD$31*J7</f>
        <v>4958.7355346673612</v>
      </c>
      <c r="K31" s="429">
        <f t="shared" ref="K31:N31" si="30">$AD$31*K7</f>
        <v>14190.850737026056</v>
      </c>
      <c r="L31" s="429">
        <f t="shared" si="30"/>
        <v>21627.377167889957</v>
      </c>
      <c r="M31" s="429">
        <f t="shared" si="30"/>
        <v>20953.199155111055</v>
      </c>
      <c r="N31" s="429">
        <f t="shared" si="30"/>
        <v>21286.637534450747</v>
      </c>
      <c r="P31" s="407" t="s">
        <v>463</v>
      </c>
      <c r="Q31" s="406">
        <f t="shared" ref="Q31:Q55" si="31">SUM(C31:F31)</f>
        <v>17787.212</v>
      </c>
      <c r="R31" s="406">
        <f>SUM(G31:J31)</f>
        <v>17170.644534667361</v>
      </c>
      <c r="S31" s="406">
        <f>SUM(K31:N31)</f>
        <v>78058.064594477823</v>
      </c>
      <c r="T31" s="456"/>
      <c r="V31" s="390" t="s">
        <v>506</v>
      </c>
      <c r="AD31" s="434">
        <f>AVERAGE(AH32:AJ32)</f>
        <v>9.8553848360447269E-2</v>
      </c>
      <c r="AG31" s="389" t="s">
        <v>502</v>
      </c>
      <c r="AH31" s="389">
        <v>19491</v>
      </c>
      <c r="AI31" s="389">
        <v>16956</v>
      </c>
      <c r="AJ31" s="389">
        <v>17787</v>
      </c>
      <c r="AK31" s="433"/>
      <c r="AL31" s="433"/>
      <c r="AM31" s="433"/>
    </row>
    <row r="32" spans="2:39" ht="15" customHeight="1">
      <c r="B32" s="477" t="s">
        <v>467</v>
      </c>
      <c r="C32" s="478">
        <f t="shared" ref="C32:N32" si="32">C31/C7</f>
        <v>0.10575258748191238</v>
      </c>
      <c r="D32" s="478">
        <f t="shared" si="32"/>
        <v>0.10478678142895009</v>
      </c>
      <c r="E32" s="478">
        <f t="shared" si="32"/>
        <v>8.7776936227805788E-2</v>
      </c>
      <c r="F32" s="478">
        <f t="shared" si="32"/>
        <v>8.5999272768965324E-2</v>
      </c>
      <c r="G32" s="478">
        <f t="shared" si="32"/>
        <v>0.12049683711306862</v>
      </c>
      <c r="H32" s="478">
        <f t="shared" si="32"/>
        <v>8.7726295153550002E-2</v>
      </c>
      <c r="I32" s="478">
        <f t="shared" si="32"/>
        <v>8.9905664894890575E-2</v>
      </c>
      <c r="J32" s="478">
        <f t="shared" si="32"/>
        <v>9.8553848360447269E-2</v>
      </c>
      <c r="K32" s="478">
        <f t="shared" si="32"/>
        <v>9.8553848360447269E-2</v>
      </c>
      <c r="L32" s="478">
        <f t="shared" si="32"/>
        <v>9.8553848360447269E-2</v>
      </c>
      <c r="M32" s="478">
        <f t="shared" si="32"/>
        <v>9.8553848360447269E-2</v>
      </c>
      <c r="N32" s="478">
        <f t="shared" si="32"/>
        <v>9.8553848360447269E-2</v>
      </c>
      <c r="P32" s="477" t="s">
        <v>467</v>
      </c>
      <c r="Q32" s="479">
        <f>Q31/Q7</f>
        <v>9.5884228632452578E-2</v>
      </c>
      <c r="R32" s="479">
        <f>R31/R7</f>
        <v>9.7803960014491126E-2</v>
      </c>
      <c r="S32" s="479">
        <f>S31/S7</f>
        <v>9.8553848360447283E-2</v>
      </c>
      <c r="T32" s="456"/>
      <c r="V32" s="390"/>
      <c r="AH32" s="433">
        <f>AH31/$AH$28</f>
        <v>7.286600296832417E-2</v>
      </c>
      <c r="AI32" s="433">
        <f>AI31/$AI$28</f>
        <v>0.12691236789317686</v>
      </c>
      <c r="AJ32" s="433">
        <f>AJ31/$AJ$28</f>
        <v>9.5883174219840758E-2</v>
      </c>
    </row>
    <row r="33" spans="2:39" ht="15" customHeight="1">
      <c r="B33" s="407" t="s">
        <v>489</v>
      </c>
      <c r="C33" s="425">
        <v>309</v>
      </c>
      <c r="D33" s="425">
        <v>428</v>
      </c>
      <c r="E33" s="425">
        <v>394</v>
      </c>
      <c r="F33" s="425">
        <v>412</v>
      </c>
      <c r="G33" s="425">
        <v>301</v>
      </c>
      <c r="H33" s="425">
        <v>278</v>
      </c>
      <c r="I33" s="425">
        <v>329</v>
      </c>
      <c r="J33" s="429">
        <f>J7*$AD$33</f>
        <v>553.33879424646307</v>
      </c>
      <c r="K33" s="429">
        <f>K7*$AD$33</f>
        <v>1583.5384204824863</v>
      </c>
      <c r="L33" s="429">
        <f>L7*$AD$33</f>
        <v>2413.3706508702721</v>
      </c>
      <c r="M33" s="429">
        <f>M7*$AD$33</f>
        <v>2338.1400107019253</v>
      </c>
      <c r="N33" s="429">
        <f>N7*$AD$33</f>
        <v>2375.3479621019178</v>
      </c>
      <c r="P33" s="407" t="s">
        <v>489</v>
      </c>
      <c r="Q33" s="406">
        <f t="shared" si="31"/>
        <v>1543</v>
      </c>
      <c r="R33" s="406">
        <f t="shared" ref="R33:R55" si="33">SUM(G33:J33)</f>
        <v>1461.3387942464631</v>
      </c>
      <c r="S33" s="406">
        <f>SUM(K33:N33)</f>
        <v>8710.3970441566016</v>
      </c>
      <c r="V33" s="390" t="s">
        <v>506</v>
      </c>
      <c r="AD33" s="434">
        <f>AVERAGE(AH34:AJ34)</f>
        <v>1.0997494671547724E-2</v>
      </c>
      <c r="AG33" s="389" t="s">
        <v>489</v>
      </c>
      <c r="AH33" s="389">
        <v>3509</v>
      </c>
      <c r="AI33" s="389">
        <v>1544</v>
      </c>
      <c r="AJ33" s="389">
        <v>1543</v>
      </c>
      <c r="AK33" s="433"/>
      <c r="AL33" s="433"/>
      <c r="AM33" s="433"/>
    </row>
    <row r="34" spans="2:39" ht="15" customHeight="1">
      <c r="B34" s="477" t="s">
        <v>467</v>
      </c>
      <c r="C34" s="478">
        <f t="shared" ref="C34:N34" si="34">C33/C7</f>
        <v>7.6599975461582098E-3</v>
      </c>
      <c r="D34" s="478">
        <f t="shared" si="34"/>
        <v>8.4302147465395941E-3</v>
      </c>
      <c r="E34" s="478">
        <f t="shared" si="34"/>
        <v>8.4329363498153852E-3</v>
      </c>
      <c r="F34" s="478">
        <f t="shared" si="34"/>
        <v>8.6415914937489173E-3</v>
      </c>
      <c r="G34" s="478">
        <f t="shared" si="34"/>
        <v>8.7026376905531069E-3</v>
      </c>
      <c r="H34" s="478">
        <f t="shared" si="34"/>
        <v>5.6858096124964477E-3</v>
      </c>
      <c r="I34" s="478">
        <f t="shared" si="34"/>
        <v>7.8772207058372835E-3</v>
      </c>
      <c r="J34" s="478">
        <f t="shared" si="34"/>
        <v>1.0997494671547722E-2</v>
      </c>
      <c r="K34" s="478">
        <f t="shared" si="34"/>
        <v>1.0997494671547724E-2</v>
      </c>
      <c r="L34" s="478">
        <f t="shared" si="34"/>
        <v>1.0997494671547725E-2</v>
      </c>
      <c r="M34" s="478">
        <f t="shared" si="34"/>
        <v>1.0997494671547724E-2</v>
      </c>
      <c r="N34" s="478">
        <f t="shared" si="34"/>
        <v>1.0997494671547724E-2</v>
      </c>
      <c r="P34" s="477" t="s">
        <v>467</v>
      </c>
      <c r="Q34" s="479">
        <f>Q33/Q7</f>
        <v>8.3177377533856529E-3</v>
      </c>
      <c r="R34" s="479">
        <f>R33/R7</f>
        <v>8.3237831120166837E-3</v>
      </c>
      <c r="S34" s="479">
        <f>S33/S7</f>
        <v>1.0997494671547724E-2</v>
      </c>
      <c r="V34" s="390"/>
      <c r="AD34" s="434"/>
      <c r="AH34" s="433">
        <f>AH33/$AH$28</f>
        <v>1.3118198369290929E-2</v>
      </c>
      <c r="AI34" s="433">
        <f>AI33/$AI$28</f>
        <v>1.1556540223346606E-2</v>
      </c>
      <c r="AJ34" s="433">
        <f>AJ33/$AJ$28</f>
        <v>8.3177454220056384E-3</v>
      </c>
    </row>
    <row r="35" spans="2:39" ht="15" customHeight="1">
      <c r="B35" s="407" t="s">
        <v>490</v>
      </c>
      <c r="C35" s="425">
        <v>-585</v>
      </c>
      <c r="D35" s="425">
        <v>-398</v>
      </c>
      <c r="E35" s="425">
        <v>160</v>
      </c>
      <c r="F35" s="425">
        <v>-1047</v>
      </c>
      <c r="G35" s="425">
        <v>367</v>
      </c>
      <c r="H35" s="425">
        <v>-47</v>
      </c>
      <c r="I35" s="425">
        <v>1039</v>
      </c>
      <c r="J35" s="429">
        <f>AVERAGE(F35:I35)</f>
        <v>78</v>
      </c>
      <c r="K35" s="429">
        <f>AVERAGE(G35:J35)</f>
        <v>359.25</v>
      </c>
      <c r="L35" s="429">
        <f>AVERAGE(H35:K35)</f>
        <v>357.3125</v>
      </c>
      <c r="M35" s="429">
        <f>AVERAGE(I35:L35)</f>
        <v>458.390625</v>
      </c>
      <c r="N35" s="429">
        <f>AVERAGE(J35:M35)</f>
        <v>313.23828125</v>
      </c>
      <c r="P35" s="407" t="s">
        <v>490</v>
      </c>
      <c r="Q35" s="406">
        <f t="shared" si="31"/>
        <v>-1870</v>
      </c>
      <c r="R35" s="406">
        <f t="shared" si="33"/>
        <v>1437</v>
      </c>
      <c r="S35" s="406">
        <f>SUM(K35:N35)</f>
        <v>1488.19140625</v>
      </c>
      <c r="V35" s="390" t="s">
        <v>511</v>
      </c>
      <c r="AD35" s="434">
        <f>AVERAGE(AH36:AJ36)</f>
        <v>1.3930740000869084E-3</v>
      </c>
      <c r="AG35" s="389" t="s">
        <v>490</v>
      </c>
      <c r="AH35" s="389">
        <v>655</v>
      </c>
      <c r="AI35" s="389">
        <v>1578</v>
      </c>
      <c r="AJ35" s="389">
        <v>-1870</v>
      </c>
      <c r="AK35" s="433"/>
      <c r="AL35" s="433"/>
      <c r="AM35" s="433"/>
    </row>
    <row r="36" spans="2:39" ht="15" customHeight="1">
      <c r="B36" s="477" t="s">
        <v>467</v>
      </c>
      <c r="C36" s="478">
        <f t="shared" ref="C36:N36" si="35">C35/C7</f>
        <v>-1.4501937101950009E-2</v>
      </c>
      <c r="D36" s="478">
        <f t="shared" si="35"/>
        <v>-7.8393118437447631E-3</v>
      </c>
      <c r="E36" s="478">
        <f t="shared" si="35"/>
        <v>3.424542680128075E-3</v>
      </c>
      <c r="F36" s="478">
        <f t="shared" si="35"/>
        <v>-2.1960549257172612E-2</v>
      </c>
      <c r="G36" s="478">
        <f t="shared" si="35"/>
        <v>1.061085725060794E-2</v>
      </c>
      <c r="H36" s="478">
        <f t="shared" si="35"/>
        <v>-9.6126997045803246E-4</v>
      </c>
      <c r="I36" s="478">
        <f t="shared" si="35"/>
        <v>2.4876693961595555E-2</v>
      </c>
      <c r="J36" s="478">
        <f t="shared" si="35"/>
        <v>1.5502339494357718E-3</v>
      </c>
      <c r="K36" s="478">
        <f t="shared" si="35"/>
        <v>2.4949504916652039E-3</v>
      </c>
      <c r="L36" s="478">
        <f t="shared" si="35"/>
        <v>1.6282382125639863E-3</v>
      </c>
      <c r="M36" s="478">
        <f t="shared" si="35"/>
        <v>2.1560507210222814E-3</v>
      </c>
      <c r="N36" s="478">
        <f t="shared" si="35"/>
        <v>1.4502449257679901E-3</v>
      </c>
      <c r="P36" s="477" t="s">
        <v>467</v>
      </c>
      <c r="Q36" s="479">
        <f>Q35/Q7</f>
        <v>-1.0080472844349431E-2</v>
      </c>
      <c r="R36" s="479">
        <f>R35/R7</f>
        <v>8.1851493842916741E-3</v>
      </c>
      <c r="S36" s="479">
        <f>S35/S7</f>
        <v>1.8789473060194112E-3</v>
      </c>
      <c r="V36" s="390"/>
      <c r="AD36" s="434"/>
      <c r="AH36" s="433">
        <f>AH35/$AH$28</f>
        <v>2.4486805163538212E-3</v>
      </c>
      <c r="AI36" s="433">
        <f>AI35/$AI$28</f>
        <v>1.1811023622047244E-2</v>
      </c>
      <c r="AJ36" s="433">
        <f>AJ35/$AJ$28</f>
        <v>-1.0080482138140339E-2</v>
      </c>
    </row>
    <row r="37" spans="2:39" ht="15" customHeight="1">
      <c r="B37" s="407" t="s">
        <v>462</v>
      </c>
      <c r="C37" s="425">
        <v>738</v>
      </c>
      <c r="D37" s="425">
        <v>843</v>
      </c>
      <c r="E37" s="425">
        <v>1226</v>
      </c>
      <c r="F37" s="425">
        <v>1275</v>
      </c>
      <c r="G37" s="425">
        <v>1639</v>
      </c>
      <c r="H37" s="425">
        <v>1664</v>
      </c>
      <c r="I37" s="425">
        <v>1746</v>
      </c>
      <c r="J37" s="429">
        <f>AVERAGE(F37:I37)</f>
        <v>1581</v>
      </c>
      <c r="K37" s="429">
        <f>AVERAGE(G37:J37)</f>
        <v>1657.5</v>
      </c>
      <c r="L37" s="429">
        <f>AVERAGE(H37:K37)</f>
        <v>1662.125</v>
      </c>
      <c r="M37" s="429">
        <f>AVERAGE(I37:L37)</f>
        <v>1661.65625</v>
      </c>
      <c r="N37" s="429">
        <f>AVERAGE(J37:M37)</f>
        <v>1640.5703125</v>
      </c>
      <c r="P37" s="407" t="s">
        <v>462</v>
      </c>
      <c r="Q37" s="406">
        <f t="shared" si="31"/>
        <v>4082</v>
      </c>
      <c r="R37" s="406">
        <f t="shared" si="33"/>
        <v>6630</v>
      </c>
      <c r="S37" s="406">
        <f>SUM(K37:N37)</f>
        <v>6621.8515625</v>
      </c>
      <c r="V37" s="390" t="s">
        <v>512</v>
      </c>
      <c r="AD37" s="434">
        <f>AVERAGE(AH38:AJ38)</f>
        <v>1.839759792159151E-2</v>
      </c>
      <c r="AG37" s="389" t="s">
        <v>406</v>
      </c>
      <c r="AH37" s="389">
        <v>2683</v>
      </c>
      <c r="AI37" s="389">
        <v>3094</v>
      </c>
      <c r="AJ37" s="389">
        <v>4082</v>
      </c>
      <c r="AK37" s="433"/>
      <c r="AL37" s="433"/>
      <c r="AM37" s="433"/>
    </row>
    <row r="38" spans="2:39" ht="15" customHeight="1">
      <c r="B38" s="477" t="s">
        <v>467</v>
      </c>
      <c r="C38" s="478">
        <f t="shared" ref="C38:N38" si="36">C37/C7</f>
        <v>1.8294751420921549E-2</v>
      </c>
      <c r="D38" s="478">
        <f t="shared" si="36"/>
        <v>1.6604371568534761E-2</v>
      </c>
      <c r="E38" s="478">
        <f t="shared" si="36"/>
        <v>2.6240558286481374E-2</v>
      </c>
      <c r="F38" s="478">
        <f t="shared" si="36"/>
        <v>2.6742789210023953E-2</v>
      </c>
      <c r="G38" s="478">
        <f t="shared" si="36"/>
        <v>4.7387452408028378E-2</v>
      </c>
      <c r="H38" s="478">
        <f t="shared" si="36"/>
        <v>3.4033047464726934E-2</v>
      </c>
      <c r="I38" s="478">
        <f t="shared" si="36"/>
        <v>4.1804338457118229E-2</v>
      </c>
      <c r="J38" s="478">
        <f t="shared" si="36"/>
        <v>3.1422049667409684E-2</v>
      </c>
      <c r="K38" s="478">
        <f t="shared" si="36"/>
        <v>1.1511149450062841E-2</v>
      </c>
      <c r="L38" s="478">
        <f t="shared" si="36"/>
        <v>7.5741415121438962E-3</v>
      </c>
      <c r="M38" s="478">
        <f t="shared" si="36"/>
        <v>7.8156379308666722E-3</v>
      </c>
      <c r="N38" s="478">
        <f t="shared" si="36"/>
        <v>7.5955874919701591E-3</v>
      </c>
      <c r="P38" s="477" t="s">
        <v>467</v>
      </c>
      <c r="Q38" s="479">
        <f>Q37/Q7</f>
        <v>2.2004540187505015E-2</v>
      </c>
      <c r="R38" s="479">
        <f>R37/R7</f>
        <v>3.7764467931700629E-2</v>
      </c>
      <c r="S38" s="479">
        <f>S37/S7</f>
        <v>8.3605577225928859E-3</v>
      </c>
      <c r="V38" s="390"/>
      <c r="AD38" s="434"/>
      <c r="AH38" s="433">
        <f>AH37/$AH$28</f>
        <v>1.0030244008209621E-2</v>
      </c>
      <c r="AI38" s="433">
        <f>AI37/$AI$28</f>
        <v>2.315798928175803E-2</v>
      </c>
      <c r="AJ38" s="433">
        <f>AJ37/$AJ$28</f>
        <v>2.2004560474806881E-2</v>
      </c>
    </row>
    <row r="39" spans="2:39" ht="15" customHeight="1">
      <c r="B39" s="407" t="s">
        <v>488</v>
      </c>
      <c r="C39" s="425">
        <v>199</v>
      </c>
      <c r="D39" s="425">
        <v>205</v>
      </c>
      <c r="E39" s="425">
        <v>203</v>
      </c>
      <c r="F39" s="425">
        <v>193</v>
      </c>
      <c r="G39" s="425">
        <v>191</v>
      </c>
      <c r="H39" s="425">
        <v>140</v>
      </c>
      <c r="I39" s="425">
        <v>135</v>
      </c>
      <c r="J39" s="429">
        <f>AVERAGE(F39:I39)</f>
        <v>164.75</v>
      </c>
      <c r="K39" s="429">
        <f>AVERAGE(G39:J39)</f>
        <v>157.6875</v>
      </c>
      <c r="L39" s="429">
        <f>AVERAGE(H39:K39)</f>
        <v>149.359375</v>
      </c>
      <c r="M39" s="429">
        <f>AVERAGE(I39:L39)</f>
        <v>151.69921875</v>
      </c>
      <c r="N39" s="429">
        <f>AVERAGE(J39:M39)</f>
        <v>155.8740234375</v>
      </c>
      <c r="P39" s="407" t="s">
        <v>488</v>
      </c>
      <c r="Q39" s="406">
        <f t="shared" si="31"/>
        <v>800</v>
      </c>
      <c r="R39" s="406">
        <f>SUM(G39:J39)</f>
        <v>630.75</v>
      </c>
      <c r="S39" s="406">
        <f>SUM(K39:N39)</f>
        <v>614.6201171875</v>
      </c>
      <c r="V39" s="390" t="s">
        <v>511</v>
      </c>
      <c r="AD39" s="434">
        <f>AVERAGE(AH40:AJ40)</f>
        <v>4.2819844313869903E-3</v>
      </c>
      <c r="AG39" s="389" t="s">
        <v>488</v>
      </c>
      <c r="AH39" s="389">
        <v>751</v>
      </c>
      <c r="AI39" s="389">
        <v>765</v>
      </c>
      <c r="AJ39" s="389">
        <v>800</v>
      </c>
      <c r="AK39" s="433"/>
      <c r="AL39" s="433"/>
      <c r="AM39" s="433"/>
    </row>
    <row r="40" spans="2:39" ht="15" customHeight="1">
      <c r="B40" s="477" t="s">
        <v>467</v>
      </c>
      <c r="C40" s="478">
        <f t="shared" ref="C40:N40" si="37">C39/C7</f>
        <v>4.9331375782701737E-3</v>
      </c>
      <c r="D40" s="478">
        <f t="shared" si="37"/>
        <v>4.0378365024313478E-3</v>
      </c>
      <c r="E40" s="478">
        <f t="shared" si="37"/>
        <v>4.3448885254124955E-3</v>
      </c>
      <c r="F40" s="478">
        <f t="shared" si="37"/>
        <v>4.0481241706153909E-3</v>
      </c>
      <c r="G40" s="478">
        <f t="shared" si="37"/>
        <v>5.522271757128383E-3</v>
      </c>
      <c r="H40" s="478">
        <f t="shared" si="37"/>
        <v>2.8633573588111604E-3</v>
      </c>
      <c r="I40" s="478">
        <f t="shared" si="37"/>
        <v>3.2322942106019249E-3</v>
      </c>
      <c r="J40" s="478">
        <f t="shared" si="37"/>
        <v>3.2743723483274795E-3</v>
      </c>
      <c r="K40" s="478">
        <f t="shared" si="37"/>
        <v>1.0951217972288291E-3</v>
      </c>
      <c r="L40" s="478">
        <f t="shared" si="37"/>
        <v>6.8061610433352922E-4</v>
      </c>
      <c r="M40" s="478">
        <f t="shared" si="37"/>
        <v>7.1352072255939853E-4</v>
      </c>
      <c r="N40" s="478">
        <f t="shared" si="37"/>
        <v>7.2167268523880377E-4</v>
      </c>
      <c r="P40" s="477" t="s">
        <v>467</v>
      </c>
      <c r="Q40" s="479">
        <f>Q39/Q7</f>
        <v>4.3125017515933395E-3</v>
      </c>
      <c r="R40" s="479">
        <f>R39/R7</f>
        <v>3.5927508518733288E-3</v>
      </c>
      <c r="S40" s="479">
        <f>S39/S7</f>
        <v>7.7600153351563403E-4</v>
      </c>
      <c r="V40" s="390"/>
      <c r="AD40" s="434"/>
      <c r="AH40" s="433">
        <f>AH39/$AH$28</f>
        <v>2.8075710958499539E-3</v>
      </c>
      <c r="AI40" s="433">
        <f>AI39/$AI$28</f>
        <v>5.725876470764348E-3</v>
      </c>
      <c r="AJ40" s="433">
        <f>AJ39/$AJ$28</f>
        <v>4.3125057275466691E-3</v>
      </c>
    </row>
    <row r="41" spans="2:39" ht="15" customHeight="1">
      <c r="B41" s="407" t="s">
        <v>491</v>
      </c>
      <c r="C41" s="425">
        <v>98</v>
      </c>
      <c r="D41" s="425">
        <v>92</v>
      </c>
      <c r="E41" s="425">
        <v>114</v>
      </c>
      <c r="F41" s="425">
        <v>56</v>
      </c>
      <c r="G41" s="425">
        <v>33</v>
      </c>
      <c r="H41" s="425">
        <v>135</v>
      </c>
      <c r="I41" s="425">
        <v>72</v>
      </c>
      <c r="J41" s="425">
        <f>AVERAGE(F41:I41)</f>
        <v>74</v>
      </c>
      <c r="K41" s="425">
        <f>AVERAGE(G41:J41)</f>
        <v>78.5</v>
      </c>
      <c r="L41" s="425">
        <f>AVERAGE(H41:K41)</f>
        <v>89.875</v>
      </c>
      <c r="M41" s="425">
        <f>AVERAGE(I41:L41)</f>
        <v>78.59375</v>
      </c>
      <c r="N41" s="425">
        <f>AVERAGE(J41:M41)</f>
        <v>80.2421875</v>
      </c>
      <c r="P41" s="407" t="s">
        <v>491</v>
      </c>
      <c r="Q41" s="406">
        <f t="shared" si="31"/>
        <v>360</v>
      </c>
      <c r="R41" s="406">
        <f t="shared" si="33"/>
        <v>314</v>
      </c>
      <c r="S41" s="406">
        <f>SUM(K41:N41)</f>
        <v>327.2109375</v>
      </c>
      <c r="V41" s="390" t="s">
        <v>511</v>
      </c>
      <c r="AD41" s="434">
        <f>AVERAGE(AH42:AJ42)</f>
        <v>2.147126741122015E-3</v>
      </c>
      <c r="AG41" s="389" t="s">
        <v>491</v>
      </c>
      <c r="AH41" s="389">
        <v>343</v>
      </c>
      <c r="AI41" s="389">
        <v>430</v>
      </c>
      <c r="AJ41" s="389">
        <v>360</v>
      </c>
      <c r="AK41" s="433"/>
      <c r="AL41" s="433"/>
      <c r="AM41" s="433"/>
    </row>
    <row r="42" spans="2:39" ht="15" customHeight="1">
      <c r="B42" s="477" t="s">
        <v>467</v>
      </c>
      <c r="C42" s="478">
        <f t="shared" ref="C42:N42" si="38">C41/C7</f>
        <v>2.4293843350275228E-3</v>
      </c>
      <c r="D42" s="478">
        <f t="shared" si="38"/>
        <v>1.8121022352374828E-3</v>
      </c>
      <c r="E42" s="478">
        <f t="shared" si="38"/>
        <v>2.4399866595912535E-3</v>
      </c>
      <c r="F42" s="478">
        <f t="shared" si="38"/>
        <v>1.1745852515775226E-3</v>
      </c>
      <c r="G42" s="478">
        <f t="shared" si="38"/>
        <v>9.5410978002741708E-4</v>
      </c>
      <c r="H42" s="478">
        <f t="shared" si="38"/>
        <v>2.7610945959964761E-3</v>
      </c>
      <c r="I42" s="478">
        <f t="shared" si="38"/>
        <v>1.72389024565436E-3</v>
      </c>
      <c r="J42" s="478">
        <f t="shared" si="38"/>
        <v>1.4707347725416296E-3</v>
      </c>
      <c r="K42" s="478">
        <f t="shared" si="38"/>
        <v>5.4517359386421294E-4</v>
      </c>
      <c r="L42" s="478">
        <f t="shared" si="38"/>
        <v>4.0955160917736792E-4</v>
      </c>
      <c r="M42" s="478">
        <f t="shared" si="38"/>
        <v>3.6966748906643748E-4</v>
      </c>
      <c r="N42" s="478">
        <f t="shared" si="38"/>
        <v>3.7150895091753297E-4</v>
      </c>
      <c r="P42" s="477" t="s">
        <v>467</v>
      </c>
      <c r="Q42" s="479">
        <f>Q41/Q7</f>
        <v>1.9406257882170026E-3</v>
      </c>
      <c r="R42" s="479">
        <f>R41/R7</f>
        <v>1.7885434284395168E-3</v>
      </c>
      <c r="S42" s="479">
        <f>S41/S7</f>
        <v>4.1312703925964561E-4</v>
      </c>
      <c r="V42" s="390"/>
      <c r="AD42" s="434"/>
      <c r="AH42" s="433">
        <f>AH41/$AH$28</f>
        <v>1.2822861329913904E-3</v>
      </c>
      <c r="AI42" s="433">
        <f>AI41/$AI$28</f>
        <v>3.2184665129786532E-3</v>
      </c>
      <c r="AJ42" s="433">
        <f>AJ41/$AJ$28</f>
        <v>1.9406275773960011E-3</v>
      </c>
    </row>
    <row r="43" spans="2:39" ht="15" customHeight="1">
      <c r="B43" s="407" t="s">
        <v>492</v>
      </c>
      <c r="C43" s="425">
        <v>67</v>
      </c>
      <c r="D43" s="425">
        <v>79</v>
      </c>
      <c r="E43" s="425">
        <v>88</v>
      </c>
      <c r="F43" s="425">
        <v>84</v>
      </c>
      <c r="G43" s="425">
        <v>68</v>
      </c>
      <c r="H43" s="425">
        <v>62</v>
      </c>
      <c r="I43" s="425">
        <v>43</v>
      </c>
      <c r="J43" s="429">
        <f>$AD$43*J7</f>
        <v>90.988491674414561</v>
      </c>
      <c r="K43" s="429">
        <f>$AD$43*K7</f>
        <v>260.38978991957288</v>
      </c>
      <c r="L43" s="429">
        <f>$AD$43*L7</f>
        <v>396.84359321493525</v>
      </c>
      <c r="M43" s="429">
        <f>$AD$43*M7</f>
        <v>384.47301203068957</v>
      </c>
      <c r="N43" s="429">
        <f>$AD$43*N7</f>
        <v>390.5913167860802</v>
      </c>
      <c r="P43" s="407" t="s">
        <v>492</v>
      </c>
      <c r="Q43" s="406">
        <f t="shared" si="31"/>
        <v>318</v>
      </c>
      <c r="R43" s="406">
        <f t="shared" si="33"/>
        <v>263.98849167441455</v>
      </c>
      <c r="S43" s="406">
        <f>SUM(K43:N43)</f>
        <v>1432.2977119512777</v>
      </c>
      <c r="V43" s="390" t="s">
        <v>551</v>
      </c>
      <c r="AD43" s="434">
        <f>AVERAGE(AH44:AJ44)</f>
        <v>1.8083775487388657E-3</v>
      </c>
      <c r="AG43" s="389" t="s">
        <v>492</v>
      </c>
      <c r="AH43" s="389">
        <v>392</v>
      </c>
      <c r="AI43" s="389">
        <v>300</v>
      </c>
      <c r="AJ43" s="389">
        <v>318</v>
      </c>
      <c r="AK43" s="433"/>
      <c r="AL43" s="433"/>
      <c r="AM43" s="433"/>
    </row>
    <row r="44" spans="2:39" ht="15" customHeight="1">
      <c r="B44" s="477" t="s">
        <v>467</v>
      </c>
      <c r="C44" s="478">
        <f t="shared" ref="C44:N44" si="39">C43/C7</f>
        <v>1.6609056168045309E-3</v>
      </c>
      <c r="D44" s="478">
        <f t="shared" si="39"/>
        <v>1.5560443106930561E-3</v>
      </c>
      <c r="E44" s="478">
        <f t="shared" si="39"/>
        <v>1.8834984740704413E-3</v>
      </c>
      <c r="F44" s="478">
        <f t="shared" si="39"/>
        <v>1.761877877366284E-3</v>
      </c>
      <c r="G44" s="478">
        <f t="shared" si="39"/>
        <v>1.966044395208011E-3</v>
      </c>
      <c r="H44" s="478">
        <f t="shared" si="39"/>
        <v>1.2680582589020854E-3</v>
      </c>
      <c r="I44" s="478">
        <f t="shared" si="39"/>
        <v>1.0295455633769093E-3</v>
      </c>
      <c r="J44" s="478">
        <f t="shared" si="39"/>
        <v>1.8083775487388657E-3</v>
      </c>
      <c r="K44" s="478">
        <f t="shared" si="39"/>
        <v>1.8083775487388659E-3</v>
      </c>
      <c r="L44" s="478">
        <f t="shared" si="39"/>
        <v>1.8083775487388657E-3</v>
      </c>
      <c r="M44" s="478">
        <f t="shared" si="39"/>
        <v>1.8083775487388654E-3</v>
      </c>
      <c r="N44" s="478">
        <f t="shared" si="39"/>
        <v>1.8083775487388657E-3</v>
      </c>
      <c r="P44" s="477" t="s">
        <v>467</v>
      </c>
      <c r="Q44" s="479">
        <f>Q43/Q7</f>
        <v>1.7142194462583522E-3</v>
      </c>
      <c r="R44" s="479">
        <f>R43/R7</f>
        <v>1.503677968050746E-3</v>
      </c>
      <c r="S44" s="479">
        <f>S43/S7</f>
        <v>1.8083775487388654E-3</v>
      </c>
      <c r="V44" s="390"/>
      <c r="AD44" s="434"/>
      <c r="AH44" s="433">
        <f>AH43/$AH$28</f>
        <v>1.4654698662758747E-3</v>
      </c>
      <c r="AI44" s="433">
        <f>AI43/$AI$28</f>
        <v>2.245441753240921E-3</v>
      </c>
      <c r="AJ44" s="433">
        <f>AJ43/$AJ$28</f>
        <v>1.7142210266998012E-3</v>
      </c>
    </row>
    <row r="45" spans="2:39" ht="15" customHeight="1">
      <c r="B45" s="407" t="s">
        <v>493</v>
      </c>
      <c r="C45" s="425">
        <v>1000</v>
      </c>
      <c r="D45" s="425">
        <v>1084</v>
      </c>
      <c r="E45" s="425">
        <v>772</v>
      </c>
      <c r="F45" s="425">
        <v>876</v>
      </c>
      <c r="G45" s="425">
        <v>1748</v>
      </c>
      <c r="H45" s="425">
        <v>724</v>
      </c>
      <c r="I45" s="425">
        <v>849</v>
      </c>
      <c r="J45" s="429">
        <f>AVERAGE(F45:I45)</f>
        <v>1049.25</v>
      </c>
      <c r="K45" s="429">
        <f>AVERAGE(G45:J45)</f>
        <v>1092.5625</v>
      </c>
      <c r="L45" s="429">
        <f>AVERAGE(H45:K45)</f>
        <v>928.703125</v>
      </c>
      <c r="M45" s="429">
        <f>AVERAGE(I45:L45)</f>
        <v>979.87890625</v>
      </c>
      <c r="N45" s="429">
        <f>AVERAGE(J45:M45)</f>
        <v>1012.5986328125</v>
      </c>
      <c r="P45" s="407" t="s">
        <v>493</v>
      </c>
      <c r="Q45" s="406">
        <f t="shared" si="31"/>
        <v>3732</v>
      </c>
      <c r="R45" s="406">
        <f t="shared" si="33"/>
        <v>4370.25</v>
      </c>
      <c r="S45" s="406">
        <f>SUM(K45:N45)</f>
        <v>4013.7431640625</v>
      </c>
      <c r="V45" s="390" t="s">
        <v>511</v>
      </c>
      <c r="AD45" s="434">
        <f>AVERAGE(AH46:AJ46)</f>
        <v>2.1280200584593314E-2</v>
      </c>
      <c r="AG45" s="389" t="s">
        <v>493</v>
      </c>
      <c r="AH45" s="389">
        <v>4658</v>
      </c>
      <c r="AI45" s="389">
        <v>3515</v>
      </c>
      <c r="AJ45" s="389">
        <v>3732</v>
      </c>
      <c r="AK45" s="433"/>
      <c r="AL45" s="433"/>
      <c r="AM45" s="433"/>
    </row>
    <row r="46" spans="2:39" ht="15" customHeight="1">
      <c r="B46" s="477" t="s">
        <v>467</v>
      </c>
      <c r="C46" s="478">
        <f t="shared" ref="C46:N46" si="40">C45/C7</f>
        <v>2.4789636071709416E-2</v>
      </c>
      <c r="D46" s="478">
        <f t="shared" si="40"/>
        <v>2.1351291554319907E-2</v>
      </c>
      <c r="E46" s="478">
        <f t="shared" si="40"/>
        <v>1.6523418431617962E-2</v>
      </c>
      <c r="F46" s="478">
        <f t="shared" si="40"/>
        <v>1.8373869292534106E-2</v>
      </c>
      <c r="G46" s="478">
        <f t="shared" si="40"/>
        <v>5.0538905923876512E-2</v>
      </c>
      <c r="H46" s="478">
        <f t="shared" si="40"/>
        <v>1.4807648055566287E-2</v>
      </c>
      <c r="I46" s="478">
        <f t="shared" si="40"/>
        <v>2.0327539146674328E-2</v>
      </c>
      <c r="J46" s="478">
        <f t="shared" si="40"/>
        <v>2.085362783904466E-2</v>
      </c>
      <c r="K46" s="478">
        <f t="shared" si="40"/>
        <v>7.5877226069588433E-3</v>
      </c>
      <c r="L46" s="478">
        <f t="shared" si="40"/>
        <v>4.2320095609657887E-3</v>
      </c>
      <c r="M46" s="478">
        <f t="shared" si="40"/>
        <v>4.6088827020291639E-3</v>
      </c>
      <c r="N46" s="478">
        <f t="shared" si="40"/>
        <v>4.6881754784750861E-3</v>
      </c>
      <c r="P46" s="477" t="s">
        <v>467</v>
      </c>
      <c r="Q46" s="479">
        <f>Q45/Q7</f>
        <v>2.0117820671182927E-2</v>
      </c>
      <c r="R46" s="479">
        <f>R45/R7</f>
        <v>2.4892936045024835E-2</v>
      </c>
      <c r="S46" s="479">
        <f>S45/S7</f>
        <v>5.0676357043162182E-3</v>
      </c>
      <c r="V46" s="390"/>
      <c r="AD46" s="434"/>
      <c r="AH46" s="433">
        <f>AH45/$AH$28</f>
        <v>1.7413669992635265E-2</v>
      </c>
      <c r="AI46" s="433">
        <f>AI45/$AI$28</f>
        <v>2.6309092542139458E-2</v>
      </c>
      <c r="AJ46" s="433">
        <f>AJ45/$AJ$28</f>
        <v>2.0117839219005212E-2</v>
      </c>
    </row>
    <row r="47" spans="2:39" ht="15" customHeight="1">
      <c r="B47" s="407" t="s">
        <v>494</v>
      </c>
      <c r="C47" s="425">
        <v>50</v>
      </c>
      <c r="D47" s="425">
        <v>38</v>
      </c>
      <c r="E47" s="425">
        <v>36</v>
      </c>
      <c r="F47" s="425">
        <v>39</v>
      </c>
      <c r="G47" s="425">
        <v>39</v>
      </c>
      <c r="H47" s="425">
        <v>82</v>
      </c>
      <c r="I47" s="425">
        <v>45</v>
      </c>
      <c r="J47" s="429">
        <f>AVERAGE(F47:I47)</f>
        <v>51.25</v>
      </c>
      <c r="K47" s="429">
        <f>AVERAGE(G47:J47)</f>
        <v>54.3125</v>
      </c>
      <c r="L47" s="429">
        <f>AVERAGE(H47:K47)</f>
        <v>58.140625</v>
      </c>
      <c r="M47" s="429">
        <f>AVERAGE(I47:L47)</f>
        <v>52.17578125</v>
      </c>
      <c r="N47" s="429">
        <f>AVERAGE(J47:M47)</f>
        <v>53.9697265625</v>
      </c>
      <c r="P47" s="407" t="s">
        <v>494</v>
      </c>
      <c r="Q47" s="406">
        <f t="shared" si="31"/>
        <v>163</v>
      </c>
      <c r="R47" s="406">
        <f t="shared" si="33"/>
        <v>217.25</v>
      </c>
      <c r="S47" s="406">
        <f>SUM(K47:N47)</f>
        <v>218.5986328125</v>
      </c>
      <c r="V47" s="390" t="s">
        <v>511</v>
      </c>
      <c r="AD47" s="434">
        <f>AVERAGE(AH48:AJ48)</f>
        <v>1.1969447494015295E-3</v>
      </c>
      <c r="AG47" s="389" t="s">
        <v>494</v>
      </c>
      <c r="AH47" s="389">
        <v>273</v>
      </c>
      <c r="AI47" s="389">
        <v>226</v>
      </c>
      <c r="AJ47" s="389">
        <v>163</v>
      </c>
      <c r="AK47" s="433"/>
      <c r="AL47" s="433"/>
      <c r="AM47" s="433"/>
    </row>
    <row r="48" spans="2:39" ht="15" customHeight="1">
      <c r="B48" s="477" t="s">
        <v>467</v>
      </c>
      <c r="C48" s="478">
        <f t="shared" ref="C48:N48" si="41">C47/C7</f>
        <v>1.2394818035854709E-3</v>
      </c>
      <c r="D48" s="478">
        <f t="shared" si="41"/>
        <v>7.4847701020678637E-4</v>
      </c>
      <c r="E48" s="478">
        <f t="shared" si="41"/>
        <v>7.7052210302881686E-4</v>
      </c>
      <c r="F48" s="478">
        <f t="shared" si="41"/>
        <v>8.1801472877720334E-4</v>
      </c>
      <c r="G48" s="478">
        <f t="shared" si="41"/>
        <v>1.1275842854869475E-3</v>
      </c>
      <c r="H48" s="478">
        <f t="shared" si="41"/>
        <v>1.6771093101608226E-3</v>
      </c>
      <c r="I48" s="478">
        <f t="shared" si="41"/>
        <v>1.0774314035339749E-3</v>
      </c>
      <c r="J48" s="478">
        <f t="shared" si="41"/>
        <v>1.0185832039561963E-3</v>
      </c>
      <c r="K48" s="478">
        <f t="shared" si="41"/>
        <v>3.7719415053184802E-4</v>
      </c>
      <c r="L48" s="478">
        <f t="shared" si="41"/>
        <v>2.6494115746679176E-4</v>
      </c>
      <c r="M48" s="478">
        <f t="shared" si="41"/>
        <v>2.4540997273660067E-4</v>
      </c>
      <c r="N48" s="478">
        <f t="shared" si="41"/>
        <v>2.4987150925491019E-4</v>
      </c>
      <c r="P48" s="477" t="s">
        <v>467</v>
      </c>
      <c r="Q48" s="479">
        <f>Q47/Q7</f>
        <v>8.7867223188714289E-4</v>
      </c>
      <c r="R48" s="479">
        <f>R47/R7</f>
        <v>1.2374556045493155E-3</v>
      </c>
      <c r="S48" s="479">
        <f>S47/S7</f>
        <v>2.7599629355309842E-4</v>
      </c>
      <c r="V48" s="390"/>
      <c r="AD48" s="434"/>
      <c r="AH48" s="433">
        <f>AH47/$AH$28</f>
        <v>1.0205950854421271E-3</v>
      </c>
      <c r="AI48" s="433">
        <f>AI47/$AI$28</f>
        <v>1.691566120774827E-3</v>
      </c>
      <c r="AJ48" s="433">
        <f>AJ47/$AJ$28</f>
        <v>8.7867304198763392E-4</v>
      </c>
    </row>
    <row r="49" spans="1:39" ht="15" customHeight="1">
      <c r="B49" s="407" t="s">
        <v>483</v>
      </c>
      <c r="C49" s="425">
        <v>3970</v>
      </c>
      <c r="D49" s="425">
        <f>'IS(Quaterly)'!I18</f>
        <v>4518.2479999999996</v>
      </c>
      <c r="E49" s="425">
        <f>'IS(Quaterly)'!J18</f>
        <v>4553.0349999999999</v>
      </c>
      <c r="F49" s="425">
        <v>5626</v>
      </c>
      <c r="G49" s="425">
        <f>'IS(Quaterly)'!L18</f>
        <v>3893.9839999999999</v>
      </c>
      <c r="H49" s="425">
        <f>'IS(Quaterly)'!M18</f>
        <v>4376.2730000000001</v>
      </c>
      <c r="I49" s="412">
        <v>3618</v>
      </c>
      <c r="J49" s="425">
        <f>AVERAGE(F49:I49)</f>
        <v>4378.5642500000004</v>
      </c>
      <c r="K49" s="425">
        <f>AVERAGE(G49:J49)</f>
        <v>4066.7053125000002</v>
      </c>
      <c r="L49" s="425">
        <f>AVERAGE(H49:K49)</f>
        <v>4109.8856406249997</v>
      </c>
      <c r="M49" s="425">
        <f>AVERAGE(I49:L49)</f>
        <v>4043.2888007812503</v>
      </c>
      <c r="N49" s="425">
        <f>AVERAGE(J49:M49)</f>
        <v>4149.6110009765625</v>
      </c>
      <c r="P49" s="407" t="s">
        <v>483</v>
      </c>
      <c r="Q49" s="406">
        <f t="shared" si="31"/>
        <v>18667.282999999999</v>
      </c>
      <c r="R49" s="406">
        <f t="shared" si="33"/>
        <v>16266.821250000001</v>
      </c>
      <c r="S49" s="406">
        <f>SUM(K49:N49)</f>
        <v>16369.490754882812</v>
      </c>
      <c r="V49" s="390" t="s">
        <v>511</v>
      </c>
      <c r="AD49" s="434">
        <f>AVERAGE(AH50:AJ50)</f>
        <v>9.0856580020769337E-2</v>
      </c>
      <c r="AG49" s="389" t="s">
        <v>483</v>
      </c>
      <c r="AH49" s="389">
        <v>14656</v>
      </c>
      <c r="AI49" s="389">
        <v>15652</v>
      </c>
      <c r="AJ49" s="389">
        <v>18667</v>
      </c>
      <c r="AK49" s="433"/>
      <c r="AL49" s="433"/>
      <c r="AM49" s="433"/>
    </row>
    <row r="50" spans="1:39" ht="15" customHeight="1">
      <c r="B50" s="477" t="s">
        <v>467</v>
      </c>
      <c r="C50" s="478">
        <f t="shared" ref="C50:N50" si="42">C49/C7</f>
        <v>9.8414855204686388E-2</v>
      </c>
      <c r="D50" s="478">
        <f t="shared" si="42"/>
        <v>8.8994861958231364E-2</v>
      </c>
      <c r="E50" s="478">
        <f t="shared" si="42"/>
        <v>9.7450391760105809E-2</v>
      </c>
      <c r="F50" s="478">
        <f t="shared" si="42"/>
        <v>0.1180038683102704</v>
      </c>
      <c r="G50" s="478">
        <f t="shared" si="42"/>
        <v>0.11258449144455399</v>
      </c>
      <c r="H50" s="478">
        <f t="shared" si="42"/>
        <v>8.9505953562261389E-2</v>
      </c>
      <c r="I50" s="478">
        <f t="shared" si="42"/>
        <v>8.6625484844131587E-2</v>
      </c>
      <c r="J50" s="478">
        <f t="shared" si="42"/>
        <v>8.7023063463279218E-2</v>
      </c>
      <c r="K50" s="478">
        <f t="shared" si="42"/>
        <v>2.8242807011494425E-2</v>
      </c>
      <c r="L50" s="478">
        <f t="shared" si="42"/>
        <v>1.8728348012828109E-2</v>
      </c>
      <c r="M50" s="478">
        <f t="shared" si="42"/>
        <v>1.9017700752989287E-2</v>
      </c>
      <c r="N50" s="478">
        <f t="shared" si="42"/>
        <v>1.9212058864779287E-2</v>
      </c>
      <c r="P50" s="477" t="s">
        <v>467</v>
      </c>
      <c r="Q50" s="479">
        <f>Q49/Q7</f>
        <v>0.1006283632937357</v>
      </c>
      <c r="R50" s="479">
        <f>R49/R7</f>
        <v>9.2655784230215893E-2</v>
      </c>
      <c r="S50" s="479">
        <f>S49/S7</f>
        <v>2.0667644246313979E-2</v>
      </c>
      <c r="V50" s="390"/>
      <c r="AD50" s="434"/>
      <c r="AH50" s="433">
        <f>AH49/$AH$28</f>
        <v>5.4790628469742905E-2</v>
      </c>
      <c r="AI50" s="433">
        <f>AI49/$AI$28</f>
        <v>0.11715218107242298</v>
      </c>
      <c r="AJ50" s="433">
        <f>AJ49/$AJ$28</f>
        <v>0.1006269305201421</v>
      </c>
    </row>
    <row r="51" spans="1:39" ht="15" customHeight="1">
      <c r="B51" s="428" t="s">
        <v>495</v>
      </c>
      <c r="C51" s="425">
        <v>83</v>
      </c>
      <c r="D51" s="425">
        <v>75</v>
      </c>
      <c r="E51" s="425">
        <v>119</v>
      </c>
      <c r="F51" s="425">
        <v>-97</v>
      </c>
      <c r="G51" s="425">
        <f>'IS(Quaterly)'!L20</f>
        <v>550.73500000000001</v>
      </c>
      <c r="H51" s="425">
        <f>'IS(Quaterly)'!M20</f>
        <v>170.88</v>
      </c>
      <c r="I51" s="425">
        <v>117</v>
      </c>
      <c r="J51" s="457">
        <f>AVERAGE(F51:I51)</f>
        <v>185.40375</v>
      </c>
      <c r="K51" s="457">
        <f>AVERAGE(G51:J51)</f>
        <v>256.00468749999999</v>
      </c>
      <c r="L51" s="457">
        <f>AVERAGE(H51:K51)</f>
        <v>182.322109375</v>
      </c>
      <c r="M51" s="457">
        <f>AVERAGE(I51:L51)</f>
        <v>185.18263671874999</v>
      </c>
      <c r="N51" s="457">
        <f>AVERAGE(J51:M51)</f>
        <v>202.22829589843749</v>
      </c>
      <c r="P51" s="428" t="s">
        <v>495</v>
      </c>
      <c r="Q51" s="406">
        <f t="shared" si="31"/>
        <v>180</v>
      </c>
      <c r="R51" s="406">
        <f t="shared" si="33"/>
        <v>1024.01875</v>
      </c>
      <c r="S51" s="406">
        <f>SUM(K51:N51)</f>
        <v>825.73772949218755</v>
      </c>
      <c r="V51" s="390" t="s">
        <v>511</v>
      </c>
      <c r="AD51" s="434">
        <f>AVERAGE(AH52:AJ52)</f>
        <v>2.8668359793765884E-3</v>
      </c>
      <c r="AG51" s="389" t="s">
        <v>504</v>
      </c>
      <c r="AH51" s="389">
        <v>1088</v>
      </c>
      <c r="AI51" s="389">
        <v>476</v>
      </c>
      <c r="AJ51" s="389">
        <v>180</v>
      </c>
      <c r="AK51" s="433"/>
      <c r="AL51" s="433"/>
      <c r="AM51" s="433"/>
    </row>
    <row r="52" spans="1:39" ht="15" customHeight="1">
      <c r="B52" s="477" t="s">
        <v>467</v>
      </c>
      <c r="C52" s="478">
        <f t="shared" ref="C52:N52" si="43">C51/C7</f>
        <v>2.0575397939518818E-3</v>
      </c>
      <c r="D52" s="478">
        <f t="shared" si="43"/>
        <v>1.4772572569870784E-3</v>
      </c>
      <c r="E52" s="478">
        <f t="shared" si="43"/>
        <v>2.5470036183452556E-3</v>
      </c>
      <c r="F52" s="478">
        <f t="shared" si="43"/>
        <v>-2.0345494536253518E-3</v>
      </c>
      <c r="G52" s="478">
        <f t="shared" si="43"/>
        <v>1.5923080294042411E-2</v>
      </c>
      <c r="H52" s="478">
        <f t="shared" si="43"/>
        <v>3.4949321819546506E-3</v>
      </c>
      <c r="I52" s="478">
        <f t="shared" si="43"/>
        <v>2.8013216491883349E-3</v>
      </c>
      <c r="J52" s="478">
        <f t="shared" si="43"/>
        <v>3.6848613795218265E-3</v>
      </c>
      <c r="K52" s="478">
        <f t="shared" si="43"/>
        <v>1.7779235099421625E-3</v>
      </c>
      <c r="L52" s="478">
        <f t="shared" si="43"/>
        <v>8.3082406990980058E-4</v>
      </c>
      <c r="M52" s="478">
        <f t="shared" si="43"/>
        <v>8.7101073984283193E-4</v>
      </c>
      <c r="N52" s="478">
        <f t="shared" si="43"/>
        <v>9.3628581667304313E-4</v>
      </c>
      <c r="P52" s="477" t="s">
        <v>467</v>
      </c>
      <c r="Q52" s="479">
        <f>Q51/Q7</f>
        <v>9.703128941085013E-4</v>
      </c>
      <c r="R52" s="479">
        <f>R51/R7</f>
        <v>5.832808936023403E-3</v>
      </c>
      <c r="S52" s="479">
        <f>S51/S7</f>
        <v>1.042552507555129E-3</v>
      </c>
      <c r="V52" s="390"/>
      <c r="AD52" s="434"/>
      <c r="AH52" s="433">
        <f>AH51/$AH$28</f>
        <v>4.0674265676228357E-3</v>
      </c>
      <c r="AI52" s="433">
        <f>AI51/$AI$28</f>
        <v>3.562767581808928E-3</v>
      </c>
      <c r="AJ52" s="433">
        <f>AJ51/$AJ$28</f>
        <v>9.7031378869800056E-4</v>
      </c>
    </row>
    <row r="53" spans="1:39" ht="15" customHeight="1">
      <c r="B53" s="428" t="s">
        <v>497</v>
      </c>
      <c r="C53" s="425">
        <v>61</v>
      </c>
      <c r="D53" s="425">
        <v>132</v>
      </c>
      <c r="E53" s="425">
        <v>65</v>
      </c>
      <c r="F53" s="425">
        <v>89</v>
      </c>
      <c r="G53" s="425">
        <v>51</v>
      </c>
      <c r="H53" s="425">
        <v>69</v>
      </c>
      <c r="I53" s="425">
        <v>94</v>
      </c>
      <c r="J53" s="425">
        <f>$AD$53*J7</f>
        <v>172.12368273428325</v>
      </c>
      <c r="K53" s="425">
        <f>$AD$53*K7</f>
        <v>492.581520614064</v>
      </c>
      <c r="L53" s="425">
        <f>$AD$53*L7</f>
        <v>750.71230961912727</v>
      </c>
      <c r="M53" s="425">
        <f>$AD$53*M7</f>
        <v>727.31077881218744</v>
      </c>
      <c r="N53" s="425">
        <f>$AD$53*N7</f>
        <v>738.88482655392659</v>
      </c>
      <c r="P53" s="428" t="s">
        <v>497</v>
      </c>
      <c r="Q53" s="406">
        <f t="shared" si="31"/>
        <v>347</v>
      </c>
      <c r="R53" s="406">
        <f t="shared" si="33"/>
        <v>386.12368273428325</v>
      </c>
      <c r="S53" s="406">
        <f>SUM(K53:N53)</f>
        <v>2709.4894355993056</v>
      </c>
      <c r="V53" s="390" t="s">
        <v>506</v>
      </c>
      <c r="AD53" s="434">
        <f>AVERAGE(AH54:AJ54)</f>
        <v>3.4209227753409961E-3</v>
      </c>
      <c r="AG53" s="389" t="s">
        <v>497</v>
      </c>
      <c r="AH53" s="389">
        <v>1448</v>
      </c>
      <c r="AI53" s="389">
        <v>398</v>
      </c>
      <c r="AJ53" s="389">
        <v>347</v>
      </c>
      <c r="AK53" s="433"/>
      <c r="AL53" s="433"/>
      <c r="AM53" s="433"/>
    </row>
    <row r="54" spans="1:39" ht="15" customHeight="1">
      <c r="B54" s="477" t="s">
        <v>467</v>
      </c>
      <c r="C54" s="478">
        <f t="shared" ref="C54:N54" si="44">C53/C7</f>
        <v>1.5121678003742745E-3</v>
      </c>
      <c r="D54" s="478">
        <f t="shared" si="44"/>
        <v>2.5999727722972581E-3</v>
      </c>
      <c r="E54" s="478">
        <f t="shared" si="44"/>
        <v>1.3912204638020305E-3</v>
      </c>
      <c r="F54" s="478">
        <f t="shared" si="44"/>
        <v>1.8667515605428485E-3</v>
      </c>
      <c r="G54" s="478">
        <f t="shared" si="44"/>
        <v>1.4745332964060081E-3</v>
      </c>
      <c r="H54" s="478">
        <f t="shared" si="44"/>
        <v>1.4112261268426434E-3</v>
      </c>
      <c r="I54" s="478">
        <f t="shared" si="44"/>
        <v>2.2506344873820809E-3</v>
      </c>
      <c r="J54" s="478">
        <f t="shared" si="44"/>
        <v>3.4209227753409961E-3</v>
      </c>
      <c r="K54" s="478">
        <f t="shared" si="44"/>
        <v>3.4209227753409961E-3</v>
      </c>
      <c r="L54" s="478">
        <f t="shared" si="44"/>
        <v>3.4209227753409961E-3</v>
      </c>
      <c r="M54" s="478">
        <f t="shared" si="44"/>
        <v>3.4209227753409961E-3</v>
      </c>
      <c r="N54" s="478">
        <f t="shared" si="44"/>
        <v>3.4209227753409961E-3</v>
      </c>
      <c r="P54" s="477" t="s">
        <v>467</v>
      </c>
      <c r="Q54" s="479">
        <f>Q53/Q7</f>
        <v>1.8705476347536107E-3</v>
      </c>
      <c r="R54" s="479">
        <f>R53/R7</f>
        <v>2.1993597940104053E-3</v>
      </c>
      <c r="S54" s="479">
        <f>S53/S7</f>
        <v>3.4209227753409966E-3</v>
      </c>
      <c r="V54" s="390"/>
      <c r="AD54" s="434"/>
      <c r="AH54" s="433">
        <f>AH53/$AH$28</f>
        <v>5.4132662407333334E-3</v>
      </c>
      <c r="AI54" s="433">
        <f>AI53/$AI$28</f>
        <v>2.9789527259662884E-3</v>
      </c>
      <c r="AJ54" s="433">
        <f>AJ53/$AJ$28</f>
        <v>1.8705493593233679E-3</v>
      </c>
    </row>
    <row r="55" spans="1:39" ht="15" customHeight="1">
      <c r="B55" s="428" t="s">
        <v>496</v>
      </c>
      <c r="C55" s="425">
        <v>71</v>
      </c>
      <c r="D55" s="425">
        <v>81</v>
      </c>
      <c r="E55" s="425">
        <v>84</v>
      </c>
      <c r="F55" s="425">
        <v>94</v>
      </c>
      <c r="G55" s="425">
        <v>71</v>
      </c>
      <c r="H55" s="425">
        <v>92</v>
      </c>
      <c r="I55" s="425">
        <v>98</v>
      </c>
      <c r="J55" s="425">
        <f>$AD$55*J7</f>
        <v>89.367618599860421</v>
      </c>
      <c r="K55" s="425">
        <f>$AD$55*K7</f>
        <v>255.75119451478582</v>
      </c>
      <c r="L55" s="425">
        <f>$AD$55*L7</f>
        <v>389.77420363374415</v>
      </c>
      <c r="M55" s="425">
        <f>$AD$55*M7</f>
        <v>377.62399253794746</v>
      </c>
      <c r="N55" s="425">
        <f>$AD$55*N7</f>
        <v>383.63330553781566</v>
      </c>
      <c r="P55" s="428" t="s">
        <v>496</v>
      </c>
      <c r="Q55" s="406">
        <f t="shared" si="31"/>
        <v>330</v>
      </c>
      <c r="R55" s="406">
        <f t="shared" si="33"/>
        <v>350.36761859986041</v>
      </c>
      <c r="S55" s="406">
        <f>SUM(K55:N55)</f>
        <v>1406.7826962242932</v>
      </c>
      <c r="V55" s="390" t="s">
        <v>506</v>
      </c>
      <c r="AD55" s="434">
        <f>AVERAGE(AH56:AJ56)</f>
        <v>1.7761630299196328E-3</v>
      </c>
      <c r="AG55" s="389" t="s">
        <v>503</v>
      </c>
      <c r="AH55" s="389">
        <v>495</v>
      </c>
      <c r="AI55" s="389">
        <v>227</v>
      </c>
      <c r="AJ55" s="389">
        <v>330</v>
      </c>
      <c r="AK55" s="433"/>
      <c r="AL55" s="433"/>
      <c r="AM55" s="433"/>
    </row>
    <row r="56" spans="1:39" ht="15" customHeight="1">
      <c r="B56" s="477" t="s">
        <v>467</v>
      </c>
      <c r="C56" s="478">
        <f t="shared" ref="C56:N56" si="45">C55/C7</f>
        <v>1.7600641610913687E-3</v>
      </c>
      <c r="D56" s="478">
        <f t="shared" si="45"/>
        <v>1.5954378375460448E-3</v>
      </c>
      <c r="E56" s="478">
        <f t="shared" si="45"/>
        <v>1.7978849070672393E-3</v>
      </c>
      <c r="F56" s="478">
        <f t="shared" si="45"/>
        <v>1.971625243719413E-3</v>
      </c>
      <c r="G56" s="478">
        <f t="shared" si="45"/>
        <v>2.052781647937776E-3</v>
      </c>
      <c r="H56" s="478">
        <f t="shared" si="45"/>
        <v>1.8816348357901913E-3</v>
      </c>
      <c r="I56" s="478">
        <f t="shared" si="45"/>
        <v>2.3464061676962121E-3</v>
      </c>
      <c r="J56" s="478">
        <f t="shared" si="45"/>
        <v>1.7761630299196328E-3</v>
      </c>
      <c r="K56" s="478">
        <f t="shared" si="45"/>
        <v>1.7761630299196328E-3</v>
      </c>
      <c r="L56" s="478">
        <f t="shared" si="45"/>
        <v>1.7761630299196328E-3</v>
      </c>
      <c r="M56" s="478">
        <f t="shared" si="45"/>
        <v>1.7761630299196328E-3</v>
      </c>
      <c r="N56" s="478">
        <f t="shared" si="45"/>
        <v>1.7761630299196328E-3</v>
      </c>
      <c r="P56" s="477" t="s">
        <v>467</v>
      </c>
      <c r="Q56" s="479">
        <f>Q55/Q7</f>
        <v>1.7789069725322524E-3</v>
      </c>
      <c r="R56" s="479">
        <f>R55/R7</f>
        <v>1.9956933177859345E-3</v>
      </c>
      <c r="S56" s="479">
        <f>S55/S7</f>
        <v>1.7761630299196331E-3</v>
      </c>
      <c r="V56" s="390"/>
      <c r="AD56" s="434"/>
      <c r="AH56" s="433">
        <f>AH55/$AH$28</f>
        <v>1.8505295505269336E-3</v>
      </c>
      <c r="AI56" s="433">
        <f>AI55/$AI$28</f>
        <v>1.6990509266189635E-3</v>
      </c>
      <c r="AJ56" s="433">
        <f>AJ55/$AJ$28</f>
        <v>1.7789086126130012E-3</v>
      </c>
    </row>
    <row r="57" spans="1:39" ht="15" customHeight="1">
      <c r="B57" s="428" t="s">
        <v>453</v>
      </c>
      <c r="C57" s="425">
        <v>140</v>
      </c>
      <c r="D57" s="425">
        <v>513</v>
      </c>
      <c r="E57" s="425">
        <v>642</v>
      </c>
      <c r="F57" s="425">
        <v>337</v>
      </c>
      <c r="G57" s="425">
        <v>227</v>
      </c>
      <c r="H57" s="425">
        <v>589</v>
      </c>
      <c r="I57" s="425">
        <v>308</v>
      </c>
      <c r="J57" s="425">
        <f>AVERAGE(F57:I57)</f>
        <v>365.25</v>
      </c>
      <c r="K57" s="425">
        <f>AVERAGE(G57:J57)</f>
        <v>372.3125</v>
      </c>
      <c r="L57" s="425">
        <f>AVERAGE(H57:K57)</f>
        <v>408.640625</v>
      </c>
      <c r="M57" s="425">
        <f>AVERAGE(I57:L57)</f>
        <v>363.55078125</v>
      </c>
      <c r="N57" s="425">
        <f>AVERAGE(J57:M57)</f>
        <v>377.4384765625</v>
      </c>
      <c r="P57" s="428" t="s">
        <v>453</v>
      </c>
      <c r="Q57" s="406">
        <f>SUM(C57:F57)</f>
        <v>1632</v>
      </c>
      <c r="R57" s="406">
        <f>SUM(G57:J57)</f>
        <v>1489.25</v>
      </c>
      <c r="S57" s="406">
        <f>SUM(K57:N57)</f>
        <v>1521.9423828125</v>
      </c>
      <c r="V57" s="390" t="s">
        <v>512</v>
      </c>
      <c r="AD57" s="434">
        <f>AVERAGE(AH58:AJ58)</f>
        <v>7.6524122673076638E-3</v>
      </c>
      <c r="AG57" s="389" t="s">
        <v>453</v>
      </c>
      <c r="AH57" s="389">
        <v>1331</v>
      </c>
      <c r="AI57" s="389">
        <v>1227</v>
      </c>
      <c r="AJ57" s="389">
        <v>1632</v>
      </c>
    </row>
    <row r="58" spans="1:39" ht="15" customHeight="1">
      <c r="B58" s="477" t="s">
        <v>467</v>
      </c>
      <c r="C58" s="478">
        <f t="shared" ref="C58:N58" si="46">C57/C7</f>
        <v>3.4705490500393185E-3</v>
      </c>
      <c r="D58" s="478">
        <f t="shared" si="46"/>
        <v>1.0104439637791616E-2</v>
      </c>
      <c r="E58" s="478">
        <f t="shared" si="46"/>
        <v>1.3740977504013902E-2</v>
      </c>
      <c r="F58" s="478">
        <f t="shared" si="46"/>
        <v>7.0684862461004487E-3</v>
      </c>
      <c r="G58" s="478">
        <f t="shared" si="46"/>
        <v>6.5631187898855655E-3</v>
      </c>
      <c r="H58" s="478">
        <f t="shared" si="46"/>
        <v>1.2046553459569811E-2</v>
      </c>
      <c r="I58" s="478">
        <f t="shared" si="46"/>
        <v>7.3744193841880955E-3</v>
      </c>
      <c r="J58" s="478">
        <f t="shared" si="46"/>
        <v>7.2592685901463547E-3</v>
      </c>
      <c r="K58" s="478">
        <f t="shared" si="46"/>
        <v>2.5856680721728638E-3</v>
      </c>
      <c r="L58" s="478">
        <f t="shared" si="46"/>
        <v>1.8621354719776952E-3</v>
      </c>
      <c r="M58" s="478">
        <f t="shared" si="46"/>
        <v>1.709969360831226E-3</v>
      </c>
      <c r="N58" s="478">
        <f t="shared" si="46"/>
        <v>1.7474819273047141E-3</v>
      </c>
      <c r="P58" s="477" t="s">
        <v>467</v>
      </c>
      <c r="Q58" s="479">
        <f>Q57/Q7</f>
        <v>8.7975035732504123E-3</v>
      </c>
      <c r="R58" s="479">
        <f>R57/R7</f>
        <v>8.4827652891832812E-3</v>
      </c>
      <c r="S58" s="479">
        <f>S57/S7</f>
        <v>1.9215603101137115E-3</v>
      </c>
      <c r="V58" s="390"/>
      <c r="AH58" s="433">
        <f>AH57/$AH$28</f>
        <v>4.9758683469724218E-3</v>
      </c>
      <c r="AI58" s="433">
        <f>AI57/$AI$28</f>
        <v>9.1838567707553664E-3</v>
      </c>
      <c r="AJ58" s="433">
        <f>AJ57/$AJ$28</f>
        <v>8.7975116841952049E-3</v>
      </c>
    </row>
    <row r="59" spans="1:39" ht="15" customHeight="1">
      <c r="B59" s="424" t="s">
        <v>461</v>
      </c>
      <c r="C59" s="471">
        <f t="shared" ref="C59:M59" si="47">C27-C29</f>
        <v>5573.8298099999993</v>
      </c>
      <c r="D59" s="471">
        <f t="shared" si="47"/>
        <v>7175.4301599999999</v>
      </c>
      <c r="E59" s="471">
        <f t="shared" si="47"/>
        <v>6177.9403899999961</v>
      </c>
      <c r="F59" s="471">
        <f t="shared" si="47"/>
        <v>4486.9413000000004</v>
      </c>
      <c r="G59" s="471">
        <f t="shared" si="47"/>
        <v>1297.8203999999987</v>
      </c>
      <c r="H59" s="471">
        <f t="shared" si="47"/>
        <v>6204.1029699999981</v>
      </c>
      <c r="I59" s="471">
        <f t="shared" si="47"/>
        <v>7111.2977299999984</v>
      </c>
      <c r="J59" s="471">
        <f t="shared" si="47"/>
        <v>8181.895816210952</v>
      </c>
      <c r="K59" s="471">
        <f t="shared" si="47"/>
        <v>43126.386278423182</v>
      </c>
      <c r="L59" s="471">
        <f t="shared" si="47"/>
        <v>70797.681236166914</v>
      </c>
      <c r="M59" s="471">
        <f t="shared" si="47"/>
        <v>68963.936081020918</v>
      </c>
      <c r="N59" s="471">
        <f>N27-N29</f>
        <v>69839.152744599472</v>
      </c>
      <c r="P59" s="424" t="s">
        <v>461</v>
      </c>
      <c r="Q59" s="423">
        <f>Q27-Q29</f>
        <v>23414.141659999979</v>
      </c>
      <c r="R59" s="423">
        <f>R27-R29</f>
        <v>22795.116916210936</v>
      </c>
      <c r="S59" s="423">
        <f>S27-S29</f>
        <v>252727.15634021049</v>
      </c>
    </row>
    <row r="60" spans="1:39" ht="15" customHeight="1">
      <c r="B60" s="421" t="s">
        <v>460</v>
      </c>
      <c r="C60" s="422">
        <f t="shared" ref="C60:N60" si="48">C59/C7</f>
        <v>0.13817321251554524</v>
      </c>
      <c r="D60" s="422">
        <f t="shared" si="48"/>
        <v>0.14133275034485271</v>
      </c>
      <c r="E60" s="422">
        <f t="shared" si="48"/>
        <v>0.13222887838026295</v>
      </c>
      <c r="F60" s="422">
        <f t="shared" si="48"/>
        <v>9.4112412065608525E-2</v>
      </c>
      <c r="G60" s="422">
        <f t="shared" si="48"/>
        <v>3.7523125344214946E-2</v>
      </c>
      <c r="H60" s="422">
        <f t="shared" si="48"/>
        <v>0.12688974209979764</v>
      </c>
      <c r="I60" s="422">
        <f t="shared" si="48"/>
        <v>0.17026523320404152</v>
      </c>
      <c r="J60" s="422">
        <f t="shared" si="48"/>
        <v>0.16261349570559899</v>
      </c>
      <c r="K60" s="422">
        <f t="shared" si="48"/>
        <v>0.29950785984438533</v>
      </c>
      <c r="L60" s="422">
        <f t="shared" si="48"/>
        <v>0.32261812824810576</v>
      </c>
      <c r="M60" s="422">
        <f t="shared" si="48"/>
        <v>0.3243734404734383</v>
      </c>
      <c r="N60" s="422">
        <f t="shared" si="48"/>
        <v>0.32334450464869857</v>
      </c>
      <c r="P60" s="476" t="s">
        <v>460</v>
      </c>
      <c r="Q60" s="534">
        <f>Q59/Q7</f>
        <v>0.1262169086510056</v>
      </c>
      <c r="R60" s="534">
        <f>R59/R7</f>
        <v>0.12984094446178196</v>
      </c>
      <c r="S60" s="534">
        <f>S59/S7</f>
        <v>0.31908597749529916</v>
      </c>
      <c r="AG60" s="451" t="s">
        <v>500</v>
      </c>
      <c r="AH60" s="451"/>
    </row>
    <row r="61" spans="1:39" ht="15" customHeight="1">
      <c r="A61" s="417"/>
      <c r="B61" s="419" t="s">
        <v>459</v>
      </c>
      <c r="C61" s="472">
        <f>SUM(C62:C64)</f>
        <v>549.529</v>
      </c>
      <c r="D61" s="472">
        <f t="shared" ref="D61:N61" si="49">SUM(D62:D64)</f>
        <v>756.94399999999996</v>
      </c>
      <c r="E61" s="472">
        <f t="shared" si="49"/>
        <v>362.56899999999996</v>
      </c>
      <c r="F61" s="472">
        <f t="shared" si="49"/>
        <v>1031.9549999999999</v>
      </c>
      <c r="G61" s="472">
        <f t="shared" si="49"/>
        <v>857.44100000000003</v>
      </c>
      <c r="H61" s="472">
        <f t="shared" si="49"/>
        <v>4146.5550000000003</v>
      </c>
      <c r="I61" s="472">
        <f>SUM(I62:I64)</f>
        <v>-4293</v>
      </c>
      <c r="J61" s="472">
        <f>SUM(J62:J64)</f>
        <v>434.00350000000009</v>
      </c>
      <c r="K61" s="472">
        <f t="shared" si="49"/>
        <v>286.24987499999997</v>
      </c>
      <c r="L61" s="472">
        <f t="shared" si="49"/>
        <v>143.45209375000007</v>
      </c>
      <c r="M61" s="472">
        <f t="shared" si="49"/>
        <v>-857.32363281249991</v>
      </c>
      <c r="N61" s="472">
        <f t="shared" si="49"/>
        <v>1.5954589843750284</v>
      </c>
      <c r="P61" s="416" t="s">
        <v>459</v>
      </c>
      <c r="Q61" s="406">
        <f>SUM(C61:F61)</f>
        <v>2700.9969999999998</v>
      </c>
      <c r="R61" s="406">
        <f>SUM(G61:J61)</f>
        <v>1144.9995000000001</v>
      </c>
      <c r="S61" s="406">
        <f>SUM(K61:N61)</f>
        <v>-426.0262050781248</v>
      </c>
      <c r="AG61" s="453" t="s">
        <v>501</v>
      </c>
      <c r="AH61" s="452"/>
    </row>
    <row r="62" spans="1:39" ht="15" customHeight="1">
      <c r="A62" s="415"/>
      <c r="B62" s="414" t="s">
        <v>106</v>
      </c>
      <c r="C62" s="420">
        <f>'IS(Quaterly)'!H26</f>
        <v>273.22300000000001</v>
      </c>
      <c r="D62" s="420">
        <f>'IS(Quaterly)'!I26</f>
        <v>248.92</v>
      </c>
      <c r="E62" s="420">
        <f>'IS(Quaterly)'!J26</f>
        <v>204.423</v>
      </c>
      <c r="F62" s="420">
        <f>'IS(Quaterly)'!K26</f>
        <v>124.029</v>
      </c>
      <c r="G62" s="420">
        <f>'IS(Quaterly)'!L26</f>
        <v>112.246</v>
      </c>
      <c r="H62" s="420">
        <f>'IS(Quaterly)'!M26</f>
        <v>90.620999999999995</v>
      </c>
      <c r="I62" s="413">
        <v>107</v>
      </c>
      <c r="J62" s="412">
        <f t="shared" ref="J62:N63" si="50">AVERAGE(F62:I62)</f>
        <v>108.47399999999999</v>
      </c>
      <c r="K62" s="412">
        <f t="shared" si="50"/>
        <v>104.58524999999999</v>
      </c>
      <c r="L62" s="412">
        <f t="shared" si="50"/>
        <v>102.67006249999999</v>
      </c>
      <c r="M62" s="412">
        <f t="shared" si="50"/>
        <v>105.68232812499998</v>
      </c>
      <c r="N62" s="412">
        <f t="shared" si="50"/>
        <v>105.35291015624998</v>
      </c>
      <c r="P62" s="411" t="s">
        <v>106</v>
      </c>
      <c r="Q62" s="406">
        <f>SUM(C62:F62)</f>
        <v>850.59500000000003</v>
      </c>
      <c r="R62" s="406">
        <f>SUM(G62:J62)</f>
        <v>418.34099999999995</v>
      </c>
      <c r="S62" s="406">
        <f>SUM(K62:N62)</f>
        <v>418.29055078124998</v>
      </c>
      <c r="V62" s="390" t="s">
        <v>511</v>
      </c>
      <c r="AG62" s="448" t="s">
        <v>502</v>
      </c>
      <c r="AH62" s="449">
        <f>CORREL($AH$28:$AJ$28,AH31:AJ31)</f>
        <v>0.99773809697417259</v>
      </c>
    </row>
    <row r="63" spans="1:39" ht="15" customHeight="1">
      <c r="A63" s="415"/>
      <c r="B63" s="414" t="s">
        <v>458</v>
      </c>
      <c r="C63" s="413">
        <f>'IS(Quaterly)'!H28</f>
        <v>276.30599999999998</v>
      </c>
      <c r="D63" s="413">
        <f>'IS(Quaterly)'!I28</f>
        <v>116.236</v>
      </c>
      <c r="E63" s="413">
        <f>'IS(Quaterly)'!J28</f>
        <v>158.14599999999999</v>
      </c>
      <c r="F63" s="413">
        <f>'IS(Quaterly)'!K28</f>
        <v>900.98900000000003</v>
      </c>
      <c r="G63" s="413">
        <f>'IS(Quaterly)'!L28</f>
        <v>745.19500000000005</v>
      </c>
      <c r="H63" s="413">
        <f>'IS(Quaterly)'!M28</f>
        <v>4055.9340000000002</v>
      </c>
      <c r="I63" s="413">
        <v>-4400</v>
      </c>
      <c r="J63" s="412">
        <f t="shared" si="50"/>
        <v>325.5295000000001</v>
      </c>
      <c r="K63" s="412">
        <f t="shared" si="50"/>
        <v>181.664625</v>
      </c>
      <c r="L63" s="412">
        <f t="shared" si="50"/>
        <v>40.782031250000074</v>
      </c>
      <c r="M63" s="412">
        <f t="shared" si="50"/>
        <v>-963.00596093749994</v>
      </c>
      <c r="N63" s="412">
        <f t="shared" si="50"/>
        <v>-103.75745117187495</v>
      </c>
      <c r="P63" s="411" t="s">
        <v>458</v>
      </c>
      <c r="Q63" s="406">
        <f>SUM(C63:F63)</f>
        <v>1451.6770000000001</v>
      </c>
      <c r="R63" s="406">
        <f>SUM(G63:J63)</f>
        <v>726.6585</v>
      </c>
      <c r="S63" s="406">
        <f>SUM(K63:N63)</f>
        <v>-844.31675585937478</v>
      </c>
      <c r="V63" s="390" t="s">
        <v>511</v>
      </c>
      <c r="AG63" s="450" t="s">
        <v>489</v>
      </c>
      <c r="AH63" s="449">
        <f>CORREL($AH$28:$AJ$28,AH33:AJ33)</f>
        <v>0.92297972120216298</v>
      </c>
    </row>
    <row r="64" spans="1:39" ht="15" customHeight="1">
      <c r="A64" s="415"/>
      <c r="B64" s="414" t="s">
        <v>473</v>
      </c>
      <c r="C64" s="413">
        <f>'IS(Quaterly)'!H29</f>
        <v>0</v>
      </c>
      <c r="D64" s="413">
        <f>'IS(Quaterly)'!I29</f>
        <v>391.78800000000001</v>
      </c>
      <c r="E64" s="413">
        <f>'IS(Quaterly)'!J29</f>
        <v>0</v>
      </c>
      <c r="F64" s="413">
        <f>'IS(Quaterly)'!K29</f>
        <v>6.9370000000000003</v>
      </c>
      <c r="G64" s="413">
        <f>'IS(Quaterly)'!L29</f>
        <v>0</v>
      </c>
      <c r="H64" s="413">
        <f>'IS(Quaterly)'!M29</f>
        <v>0</v>
      </c>
      <c r="I64" s="413">
        <v>0</v>
      </c>
      <c r="J64" s="412">
        <f>AVERAGE(G64:I64)</f>
        <v>0</v>
      </c>
      <c r="K64" s="412">
        <f>AVERAGE(H64:J64)</f>
        <v>0</v>
      </c>
      <c r="L64" s="412">
        <f>AVERAGE(I64:K64)</f>
        <v>0</v>
      </c>
      <c r="M64" s="412">
        <f>AVERAGE(J64:L64)</f>
        <v>0</v>
      </c>
      <c r="N64" s="412">
        <f>AVERAGE(K64:M64)</f>
        <v>0</v>
      </c>
      <c r="P64" s="411" t="s">
        <v>457</v>
      </c>
      <c r="Q64" s="406">
        <f>SUM(C64:F64)</f>
        <v>398.72500000000002</v>
      </c>
      <c r="R64" s="406">
        <f>SUM(G64:J64)</f>
        <v>0</v>
      </c>
      <c r="S64" s="406">
        <f>SUM(K64:N64)</f>
        <v>0</v>
      </c>
      <c r="V64" s="390" t="s">
        <v>511</v>
      </c>
      <c r="AG64" s="450" t="s">
        <v>490</v>
      </c>
      <c r="AH64" s="449">
        <f>CORREL($AH$28:$AJ$28,AH35:AJ35)</f>
        <v>-0.13213848244943621</v>
      </c>
    </row>
    <row r="65" spans="1:34" ht="15" customHeight="1">
      <c r="A65" s="417"/>
      <c r="B65" s="419" t="s">
        <v>456</v>
      </c>
      <c r="C65" s="472">
        <f t="shared" ref="C65:N65" si="51">SUM(C66:C68)</f>
        <v>4431.1890000000003</v>
      </c>
      <c r="D65" s="472">
        <f t="shared" si="51"/>
        <v>3954.9070000000002</v>
      </c>
      <c r="E65" s="472">
        <f t="shared" si="51"/>
        <v>-458.3100000000004</v>
      </c>
      <c r="F65" s="472">
        <f t="shared" si="51"/>
        <v>8065.7870000000003</v>
      </c>
      <c r="G65" s="472">
        <f t="shared" si="51"/>
        <v>2220.0259999999998</v>
      </c>
      <c r="H65" s="472">
        <f t="shared" si="51"/>
        <v>4778.1480000000001</v>
      </c>
      <c r="I65" s="472">
        <f t="shared" si="51"/>
        <v>3088</v>
      </c>
      <c r="J65" s="472">
        <f t="shared" si="51"/>
        <v>4537.9902499999998</v>
      </c>
      <c r="K65" s="472">
        <f t="shared" si="51"/>
        <v>3656.0410625</v>
      </c>
      <c r="L65" s="472">
        <f t="shared" si="51"/>
        <v>4015.0448281250001</v>
      </c>
      <c r="M65" s="472">
        <f t="shared" si="51"/>
        <v>3824.2690351562496</v>
      </c>
      <c r="N65" s="472">
        <f t="shared" si="51"/>
        <v>4008.3362939453127</v>
      </c>
      <c r="P65" s="416" t="s">
        <v>456</v>
      </c>
      <c r="Q65" s="406">
        <f>SUM(C65:F65)</f>
        <v>15993.573</v>
      </c>
      <c r="R65" s="406">
        <f t="shared" ref="R65:R80" si="52">SUM(G65:J65)</f>
        <v>14624.164249999998</v>
      </c>
      <c r="S65" s="406">
        <f>SUM(K65:N65)</f>
        <v>15503.691219726561</v>
      </c>
      <c r="AG65" s="450" t="s">
        <v>406</v>
      </c>
      <c r="AH65" s="449">
        <f>CORREL($AH$28:$AJ$28,AH37:AJ37)</f>
        <v>-0.40668907687817518</v>
      </c>
    </row>
    <row r="66" spans="1:34" ht="15" customHeight="1">
      <c r="A66" s="415"/>
      <c r="B66" s="414" t="s">
        <v>118</v>
      </c>
      <c r="C66" s="420">
        <f>'IS(Quaterly)'!H38</f>
        <v>1897.9449999999999</v>
      </c>
      <c r="D66" s="420">
        <f>'IS(Quaterly)'!I38</f>
        <v>2036.6849999999999</v>
      </c>
      <c r="E66" s="420">
        <f>'IS(Quaterly)'!J38</f>
        <v>2317.6529999999998</v>
      </c>
      <c r="F66" s="420">
        <f>'IS(Quaterly)'!K38</f>
        <v>2120.3200000000002</v>
      </c>
      <c r="G66" s="420">
        <f>'IS(Quaterly)'!L38</f>
        <v>2070.21</v>
      </c>
      <c r="H66" s="420">
        <f>'IS(Quaterly)'!M38</f>
        <v>2473.5590000000002</v>
      </c>
      <c r="I66" s="413">
        <v>2757</v>
      </c>
      <c r="J66" s="412">
        <f t="shared" ref="J66:N68" si="53">AVERAGE(F66:I66)</f>
        <v>2355.27225</v>
      </c>
      <c r="K66" s="412">
        <f t="shared" si="53"/>
        <v>2414.0103125000001</v>
      </c>
      <c r="L66" s="412">
        <f t="shared" si="53"/>
        <v>2499.9603906249999</v>
      </c>
      <c r="M66" s="412">
        <f t="shared" si="53"/>
        <v>2506.56073828125</v>
      </c>
      <c r="N66" s="412">
        <f t="shared" si="53"/>
        <v>2443.9509228515626</v>
      </c>
      <c r="P66" s="411" t="s">
        <v>118</v>
      </c>
      <c r="Q66" s="406">
        <f t="shared" ref="Q66:Q82" si="54">SUM(C66:F66)</f>
        <v>8372.6029999999992</v>
      </c>
      <c r="R66" s="406">
        <f t="shared" si="52"/>
        <v>9656.0412500000002</v>
      </c>
      <c r="S66" s="406">
        <f t="shared" ref="S66:S80" si="55">SUM(K66:N66)</f>
        <v>9864.4823642578122</v>
      </c>
      <c r="V66" s="390" t="s">
        <v>511</v>
      </c>
      <c r="AG66" s="450" t="s">
        <v>488</v>
      </c>
      <c r="AH66" s="449">
        <f>CORREL($AH$28:$AJ$28,AH39:AJ39)</f>
        <v>-0.39863732050363504</v>
      </c>
    </row>
    <row r="67" spans="1:34" ht="15" customHeight="1">
      <c r="A67" s="415"/>
      <c r="B67" s="414" t="s">
        <v>455</v>
      </c>
      <c r="C67" s="420">
        <f>'IS(Quaterly)'!H39</f>
        <v>2533.2440000000001</v>
      </c>
      <c r="D67" s="420">
        <f>'IS(Quaterly)'!I39</f>
        <v>1918.222</v>
      </c>
      <c r="E67" s="420">
        <f>'IS(Quaterly)'!J39</f>
        <v>-2775.9630000000002</v>
      </c>
      <c r="F67" s="420">
        <f>'IS(Quaterly)'!K39</f>
        <v>5945.4669999999996</v>
      </c>
      <c r="G67" s="420">
        <f>'IS(Quaterly)'!L39</f>
        <v>149.816</v>
      </c>
      <c r="H67" s="420">
        <f>'IS(Quaterly)'!M39</f>
        <v>454.589</v>
      </c>
      <c r="I67" s="413">
        <v>331</v>
      </c>
      <c r="J67" s="412">
        <f t="shared" si="53"/>
        <v>1720.2179999999998</v>
      </c>
      <c r="K67" s="412">
        <f t="shared" si="53"/>
        <v>663.9057499999999</v>
      </c>
      <c r="L67" s="412">
        <f t="shared" si="53"/>
        <v>792.42818749999992</v>
      </c>
      <c r="M67" s="412">
        <f t="shared" si="53"/>
        <v>876.88798437499986</v>
      </c>
      <c r="N67" s="412">
        <f t="shared" si="53"/>
        <v>1013.3599804687499</v>
      </c>
      <c r="P67" s="411" t="s">
        <v>455</v>
      </c>
      <c r="Q67" s="406">
        <f t="shared" si="54"/>
        <v>7620.9699999999993</v>
      </c>
      <c r="R67" s="406">
        <f t="shared" si="52"/>
        <v>2655.6229999999996</v>
      </c>
      <c r="S67" s="406">
        <f t="shared" si="55"/>
        <v>3346.5819023437498</v>
      </c>
      <c r="V67" s="390" t="s">
        <v>511</v>
      </c>
      <c r="AG67" s="450" t="s">
        <v>491</v>
      </c>
      <c r="AH67" s="449">
        <f>CORREL($AH$28:$AJ$28,AH41:AJ41)</f>
        <v>-0.89283236107698938</v>
      </c>
    </row>
    <row r="68" spans="1:34" ht="15" customHeight="1">
      <c r="A68" s="415"/>
      <c r="B68" s="414" t="s">
        <v>474</v>
      </c>
      <c r="C68" s="420">
        <f>'IS(Quaterly)'!H40</f>
        <v>0</v>
      </c>
      <c r="D68" s="420">
        <f>'IS(Quaterly)'!I40</f>
        <v>0</v>
      </c>
      <c r="E68" s="420">
        <f>'IS(Quaterly)'!J40</f>
        <v>0</v>
      </c>
      <c r="F68" s="420">
        <f>'IS(Quaterly)'!K40</f>
        <v>0</v>
      </c>
      <c r="G68" s="420">
        <f>'IS(Quaterly)'!L40</f>
        <v>0</v>
      </c>
      <c r="H68" s="420">
        <f>'IS(Quaterly)'!M40</f>
        <v>1850</v>
      </c>
      <c r="I68" s="413">
        <v>0</v>
      </c>
      <c r="J68" s="412">
        <f t="shared" si="53"/>
        <v>462.5</v>
      </c>
      <c r="K68" s="412">
        <f t="shared" si="53"/>
        <v>578.125</v>
      </c>
      <c r="L68" s="412">
        <f t="shared" si="53"/>
        <v>722.65625</v>
      </c>
      <c r="M68" s="412">
        <f t="shared" si="53"/>
        <v>440.8203125</v>
      </c>
      <c r="N68" s="412">
        <f t="shared" si="53"/>
        <v>551.025390625</v>
      </c>
      <c r="P68" s="411" t="s">
        <v>474</v>
      </c>
      <c r="Q68" s="406">
        <f t="shared" si="54"/>
        <v>0</v>
      </c>
      <c r="R68" s="406">
        <f t="shared" si="52"/>
        <v>2312.5</v>
      </c>
      <c r="S68" s="406">
        <f t="shared" si="55"/>
        <v>2292.626953125</v>
      </c>
      <c r="V68" s="390" t="s">
        <v>512</v>
      </c>
      <c r="AG68" s="454" t="s">
        <v>492</v>
      </c>
      <c r="AH68" s="449">
        <f>CORREL($AH$28:$AJ$28,AH43:AJ43)</f>
        <v>0.97824861435976151</v>
      </c>
    </row>
    <row r="69" spans="1:34" ht="15" customHeight="1">
      <c r="A69" s="417"/>
      <c r="B69" s="419" t="s">
        <v>454</v>
      </c>
      <c r="C69" s="472">
        <f t="shared" ref="C69:N69" si="56">SUM(C70:C74)</f>
        <v>3039.7809999999999</v>
      </c>
      <c r="D69" s="472">
        <f t="shared" si="56"/>
        <v>4595.3769999999995</v>
      </c>
      <c r="E69" s="472">
        <f t="shared" si="56"/>
        <v>2970.0720000000001</v>
      </c>
      <c r="F69" s="472">
        <f t="shared" si="56"/>
        <v>3288.5210000000002</v>
      </c>
      <c r="G69" s="472">
        <f t="shared" si="56"/>
        <v>2295.6000000000004</v>
      </c>
      <c r="H69" s="472">
        <f t="shared" si="56"/>
        <v>22828.642000000003</v>
      </c>
      <c r="I69" s="472">
        <f t="shared" si="56"/>
        <v>-6173</v>
      </c>
      <c r="J69" s="472">
        <f t="shared" si="56"/>
        <v>5559.9407499999998</v>
      </c>
      <c r="K69" s="472">
        <f t="shared" si="56"/>
        <v>6127.7956875</v>
      </c>
      <c r="L69" s="472">
        <f t="shared" si="56"/>
        <v>7085.8446093750008</v>
      </c>
      <c r="M69" s="472">
        <f t="shared" si="56"/>
        <v>3150.1452617187497</v>
      </c>
      <c r="N69" s="472">
        <f t="shared" si="56"/>
        <v>5480.9315771484371</v>
      </c>
      <c r="P69" s="416" t="s">
        <v>454</v>
      </c>
      <c r="Q69" s="406">
        <f t="shared" si="54"/>
        <v>13893.751</v>
      </c>
      <c r="R69" s="406">
        <f t="shared" si="52"/>
        <v>24511.182750000007</v>
      </c>
      <c r="S69" s="406">
        <f t="shared" si="55"/>
        <v>21844.717135742187</v>
      </c>
      <c r="AG69" s="454" t="s">
        <v>493</v>
      </c>
      <c r="AH69" s="449">
        <f>CORREL($AH$28:$AJ$28,AH45:AJ45)</f>
        <v>0.97699717981444845</v>
      </c>
    </row>
    <row r="70" spans="1:34" ht="15" customHeight="1">
      <c r="A70" s="417"/>
      <c r="B70" s="414" t="s">
        <v>458</v>
      </c>
      <c r="C70" s="413">
        <f>'IS(Quaterly)'!H51</f>
        <v>2037.124</v>
      </c>
      <c r="D70" s="413">
        <f>'IS(Quaterly)'!I51</f>
        <v>2051.8429999999998</v>
      </c>
      <c r="E70" s="413">
        <f>'IS(Quaterly)'!J51</f>
        <v>-595.23900000000003</v>
      </c>
      <c r="F70" s="413">
        <f>'IS(Quaterly)'!K51</f>
        <v>4037.7719999999999</v>
      </c>
      <c r="G70" s="413">
        <f>'IS(Quaterly)'!L51</f>
        <v>334.78</v>
      </c>
      <c r="H70" s="413">
        <f>'IS(Quaterly)'!M51</f>
        <v>-143.31700000000001</v>
      </c>
      <c r="I70" s="413">
        <v>3482</v>
      </c>
      <c r="J70" s="413">
        <f t="shared" ref="J70:N74" si="57">AVERAGE(F70:I70)</f>
        <v>1927.8087499999999</v>
      </c>
      <c r="K70" s="413">
        <f t="shared" si="57"/>
        <v>1400.3179375</v>
      </c>
      <c r="L70" s="413">
        <f t="shared" si="57"/>
        <v>1666.702421875</v>
      </c>
      <c r="M70" s="413">
        <f t="shared" si="57"/>
        <v>2119.2072773437499</v>
      </c>
      <c r="N70" s="413">
        <f t="shared" si="57"/>
        <v>1778.5090966796874</v>
      </c>
      <c r="P70" s="411" t="s">
        <v>458</v>
      </c>
      <c r="Q70" s="406">
        <f t="shared" si="54"/>
        <v>7531.5</v>
      </c>
      <c r="R70" s="406">
        <f t="shared" si="52"/>
        <v>5601.2717499999999</v>
      </c>
      <c r="S70" s="406">
        <f t="shared" si="55"/>
        <v>6964.7367333984366</v>
      </c>
      <c r="V70" s="390" t="s">
        <v>511</v>
      </c>
      <c r="AG70" s="454" t="s">
        <v>494</v>
      </c>
      <c r="AH70" s="449">
        <f>CORREL($AH$28:$AJ$28,AH47:AJ47)</f>
        <v>0.53863212905075186</v>
      </c>
    </row>
    <row r="71" spans="1:34" ht="15" customHeight="1">
      <c r="A71" s="417"/>
      <c r="B71" s="414" t="s">
        <v>476</v>
      </c>
      <c r="C71" s="413">
        <f>'IS(Quaterly)'!H55</f>
        <v>861.85599999999999</v>
      </c>
      <c r="D71" s="413">
        <f>'IS(Quaterly)'!I55</f>
        <v>2108.1970000000001</v>
      </c>
      <c r="E71" s="413">
        <f>'IS(Quaterly)'!J55</f>
        <v>0</v>
      </c>
      <c r="F71" s="413">
        <f>'IS(Quaterly)'!K55</f>
        <v>3.0870000000000002</v>
      </c>
      <c r="G71" s="413">
        <f>'IS(Quaterly)'!L55</f>
        <v>30.221</v>
      </c>
      <c r="H71" s="413">
        <f>'IS(Quaterly)'!M55</f>
        <v>3.879</v>
      </c>
      <c r="I71" s="413">
        <v>6</v>
      </c>
      <c r="J71" s="413">
        <f t="shared" si="57"/>
        <v>10.796749999999999</v>
      </c>
      <c r="K71" s="413">
        <f t="shared" si="57"/>
        <v>12.724187499999999</v>
      </c>
      <c r="L71" s="413">
        <f t="shared" si="57"/>
        <v>8.349984375</v>
      </c>
      <c r="M71" s="413">
        <f t="shared" si="57"/>
        <v>9.4677304687500001</v>
      </c>
      <c r="N71" s="413">
        <f t="shared" si="57"/>
        <v>10.3346630859375</v>
      </c>
      <c r="P71" s="411" t="s">
        <v>476</v>
      </c>
      <c r="Q71" s="406">
        <f t="shared" si="54"/>
        <v>2973.14</v>
      </c>
      <c r="R71" s="406">
        <f t="shared" si="52"/>
        <v>50.896749999999997</v>
      </c>
      <c r="S71" s="406">
        <f t="shared" si="55"/>
        <v>40.876565429687496</v>
      </c>
      <c r="V71" s="390" t="s">
        <v>511</v>
      </c>
      <c r="AG71" s="454" t="s">
        <v>483</v>
      </c>
      <c r="AH71" s="449">
        <f>CORREL($AH$28:$AJ$28,AH49:AJ49)</f>
        <v>-0.36139790068389582</v>
      </c>
    </row>
    <row r="72" spans="1:34" ht="15" customHeight="1">
      <c r="A72" s="417"/>
      <c r="B72" s="414" t="s">
        <v>475</v>
      </c>
      <c r="C72" s="413">
        <f>'IS(Quaterly)'!H58</f>
        <v>69</v>
      </c>
      <c r="D72" s="413">
        <f>'IS(Quaterly)'!I58</f>
        <v>368.37</v>
      </c>
      <c r="E72" s="413">
        <f>'IS(Quaterly)'!J58</f>
        <v>3508.364</v>
      </c>
      <c r="F72" s="413">
        <f>'IS(Quaterly)'!K58</f>
        <v>-805.35400000000004</v>
      </c>
      <c r="G72" s="413">
        <f>'IS(Quaterly)'!L58</f>
        <v>1897.5619999999999</v>
      </c>
      <c r="H72" s="413">
        <f>'IS(Quaterly)'!M58</f>
        <v>22877.879000000001</v>
      </c>
      <c r="I72" s="413">
        <v>-9740</v>
      </c>
      <c r="J72" s="413">
        <f>AVERAGE(F72:I72)</f>
        <v>3557.5217499999999</v>
      </c>
      <c r="K72" s="413">
        <f t="shared" si="57"/>
        <v>4648.2406874999997</v>
      </c>
      <c r="L72" s="413">
        <f t="shared" si="57"/>
        <v>5335.9103593750006</v>
      </c>
      <c r="M72" s="413">
        <f t="shared" si="57"/>
        <v>950.41819921875003</v>
      </c>
      <c r="N72" s="413">
        <f t="shared" si="57"/>
        <v>3623.0227490234374</v>
      </c>
      <c r="P72" s="416" t="s">
        <v>484</v>
      </c>
      <c r="Q72" s="406">
        <f t="shared" si="54"/>
        <v>3140.38</v>
      </c>
      <c r="R72" s="406">
        <f t="shared" si="52"/>
        <v>18592.962749999999</v>
      </c>
      <c r="S72" s="406">
        <f t="shared" si="55"/>
        <v>14557.591995117187</v>
      </c>
      <c r="V72" s="390" t="s">
        <v>511</v>
      </c>
      <c r="AG72" s="454" t="s">
        <v>504</v>
      </c>
      <c r="AH72" s="449">
        <f>CORREL($AH$28:$AJ$28,AH51:AJ51)</f>
        <v>0.75186232953843923</v>
      </c>
    </row>
    <row r="73" spans="1:34" ht="15" customHeight="1">
      <c r="A73" s="417"/>
      <c r="B73" s="414" t="s">
        <v>477</v>
      </c>
      <c r="C73" s="413">
        <f>'IS(Quaterly)'!H59</f>
        <v>45.9</v>
      </c>
      <c r="D73" s="413">
        <f>'IS(Quaterly)'!I59</f>
        <v>20.53</v>
      </c>
      <c r="E73" s="413">
        <f>'IS(Quaterly)'!J59</f>
        <v>10.5</v>
      </c>
      <c r="F73" s="413">
        <f>'IS(Quaterly)'!K59</f>
        <v>10.5</v>
      </c>
      <c r="G73" s="413">
        <f>'IS(Quaterly)'!L59</f>
        <v>24.26</v>
      </c>
      <c r="H73" s="413">
        <f>'IS(Quaterly)'!M59</f>
        <v>36.9</v>
      </c>
      <c r="I73" s="413">
        <v>38</v>
      </c>
      <c r="J73" s="413">
        <f t="shared" si="57"/>
        <v>27.414999999999999</v>
      </c>
      <c r="K73" s="413">
        <f t="shared" si="57"/>
        <v>31.643749999999997</v>
      </c>
      <c r="L73" s="413">
        <f t="shared" si="57"/>
        <v>33.489687500000002</v>
      </c>
      <c r="M73" s="413">
        <f t="shared" si="57"/>
        <v>32.637109374999994</v>
      </c>
      <c r="N73" s="413">
        <f t="shared" si="57"/>
        <v>31.29638671875</v>
      </c>
      <c r="P73" s="411" t="s">
        <v>477</v>
      </c>
      <c r="Q73" s="406">
        <f t="shared" si="54"/>
        <v>87.43</v>
      </c>
      <c r="R73" s="406">
        <f t="shared" si="52"/>
        <v>126.57499999999999</v>
      </c>
      <c r="S73" s="406">
        <f t="shared" si="55"/>
        <v>129.06693359374998</v>
      </c>
      <c r="V73" s="390" t="s">
        <v>511</v>
      </c>
      <c r="AG73" s="454" t="s">
        <v>497</v>
      </c>
      <c r="AH73" s="449">
        <f>CORREL($AH$28:$AJ$28,AH53:AJ53)</f>
        <v>0.90659726431315757</v>
      </c>
    </row>
    <row r="74" spans="1:34" ht="15" customHeight="1">
      <c r="A74" s="417"/>
      <c r="B74" s="414" t="s">
        <v>452</v>
      </c>
      <c r="C74" s="413">
        <f>'IS(Quaterly)'!H64</f>
        <v>25.901</v>
      </c>
      <c r="D74" s="413">
        <f>'IS(Quaterly)'!I64</f>
        <v>46.436999999999998</v>
      </c>
      <c r="E74" s="413">
        <f>'IS(Quaterly)'!J64</f>
        <v>46.447000000000003</v>
      </c>
      <c r="F74" s="413">
        <f>'IS(Quaterly)'!K64</f>
        <v>42.515999999999998</v>
      </c>
      <c r="G74" s="413">
        <f>'IS(Quaterly)'!L64</f>
        <v>8.7769999999999992</v>
      </c>
      <c r="H74" s="413">
        <f>'IS(Quaterly)'!M64</f>
        <v>53.301000000000002</v>
      </c>
      <c r="I74" s="413">
        <v>41</v>
      </c>
      <c r="J74" s="413">
        <f t="shared" si="57"/>
        <v>36.398499999999999</v>
      </c>
      <c r="K74" s="413">
        <f t="shared" si="57"/>
        <v>34.869124999999997</v>
      </c>
      <c r="L74" s="413">
        <f t="shared" si="57"/>
        <v>41.392156249999999</v>
      </c>
      <c r="M74" s="413">
        <f t="shared" si="57"/>
        <v>38.414945312499995</v>
      </c>
      <c r="N74" s="413">
        <f t="shared" si="57"/>
        <v>37.768681640624997</v>
      </c>
      <c r="P74" s="411" t="s">
        <v>452</v>
      </c>
      <c r="Q74" s="406">
        <f t="shared" si="54"/>
        <v>161.30099999999999</v>
      </c>
      <c r="R74" s="406">
        <f t="shared" si="52"/>
        <v>139.47649999999999</v>
      </c>
      <c r="S74" s="406">
        <f t="shared" si="55"/>
        <v>152.44490820312498</v>
      </c>
      <c r="V74" s="390" t="s">
        <v>511</v>
      </c>
      <c r="AG74" s="454" t="s">
        <v>503</v>
      </c>
      <c r="AH74" s="449">
        <f>CORREL($AH$28:$AJ$28,AH55:AJ55)</f>
        <v>0.99999283836361152</v>
      </c>
    </row>
    <row r="75" spans="1:34" ht="15" customHeight="1">
      <c r="A75" s="417"/>
      <c r="B75" s="419" t="s">
        <v>453</v>
      </c>
      <c r="C75" s="472">
        <f t="shared" ref="C75:I75" si="58">SUM(C76:C80)</f>
        <v>15357.19</v>
      </c>
      <c r="D75" s="472">
        <f t="shared" si="58"/>
        <v>11398.288999999999</v>
      </c>
      <c r="E75" s="472">
        <f t="shared" si="58"/>
        <v>-7874.1349999999993</v>
      </c>
      <c r="F75" s="472">
        <f t="shared" si="58"/>
        <v>40548.748999999996</v>
      </c>
      <c r="G75" s="472">
        <f t="shared" si="58"/>
        <v>4444.6380000000008</v>
      </c>
      <c r="H75" s="472">
        <f t="shared" si="58"/>
        <v>574.80399999999975</v>
      </c>
      <c r="I75" s="472">
        <f t="shared" si="58"/>
        <v>1711</v>
      </c>
      <c r="J75" s="472">
        <f>SUM(J76:J80)</f>
        <v>11819.79775</v>
      </c>
      <c r="K75" s="472">
        <f>SUM(K76:K80)</f>
        <v>4637.5599375000002</v>
      </c>
      <c r="L75" s="472">
        <f>SUM(L76:L80)</f>
        <v>4685.7904218750009</v>
      </c>
      <c r="M75" s="472">
        <f>SUM(M76:M80)</f>
        <v>5713.5370273437502</v>
      </c>
      <c r="N75" s="472">
        <f>SUM(N76:N80)</f>
        <v>6714.171284179688</v>
      </c>
      <c r="P75" s="416" t="s">
        <v>453</v>
      </c>
      <c r="Q75" s="406">
        <f t="shared" si="54"/>
        <v>59430.092999999993</v>
      </c>
      <c r="R75" s="406">
        <f t="shared" si="52"/>
        <v>18550.239750000001</v>
      </c>
      <c r="S75" s="406">
        <f t="shared" si="55"/>
        <v>21751.058670898437</v>
      </c>
      <c r="AG75" s="455" t="s">
        <v>453</v>
      </c>
      <c r="AH75" s="449">
        <f>CORREL($AH$28:$AJ$28,AH57:AJ57)</f>
        <v>0.12052698274940409</v>
      </c>
    </row>
    <row r="76" spans="1:34" ht="15" customHeight="1">
      <c r="A76" s="415"/>
      <c r="B76" s="414" t="s">
        <v>479</v>
      </c>
      <c r="C76" s="413">
        <f>'IS(Quaterly)'!H67</f>
        <v>60.173000000000002</v>
      </c>
      <c r="D76" s="413">
        <f>'IS(Quaterly)'!I67</f>
        <v>114.596</v>
      </c>
      <c r="E76" s="413">
        <f>'IS(Quaterly)'!J67</f>
        <v>1583.3019999999999</v>
      </c>
      <c r="F76" s="413">
        <f>'IS(Quaterly)'!K67</f>
        <v>-800.82100000000003</v>
      </c>
      <c r="G76" s="413">
        <f>'IS(Quaterly)'!L67</f>
        <v>451.23099999999999</v>
      </c>
      <c r="H76" s="413">
        <f>'IS(Quaterly)'!M67</f>
        <v>2544.4409999999998</v>
      </c>
      <c r="I76" s="418">
        <v>-624</v>
      </c>
      <c r="J76" s="418">
        <f t="shared" ref="J76:N80" si="59">AVERAGE(F76:I76)</f>
        <v>392.71274999999991</v>
      </c>
      <c r="K76" s="418">
        <f t="shared" si="59"/>
        <v>691.09618749999981</v>
      </c>
      <c r="L76" s="418">
        <f t="shared" si="59"/>
        <v>751.06248437499983</v>
      </c>
      <c r="M76" s="418">
        <f t="shared" si="59"/>
        <v>302.71785546874992</v>
      </c>
      <c r="N76" s="418">
        <f t="shared" si="59"/>
        <v>534.39731933593737</v>
      </c>
      <c r="P76" s="411" t="s">
        <v>455</v>
      </c>
      <c r="Q76" s="406">
        <f t="shared" si="54"/>
        <v>957.24999999999989</v>
      </c>
      <c r="R76" s="406">
        <f t="shared" si="52"/>
        <v>2764.3847499999993</v>
      </c>
      <c r="S76" s="406">
        <f>SUM(K76:N76)</f>
        <v>2279.2738466796868</v>
      </c>
      <c r="V76" s="390" t="s">
        <v>511</v>
      </c>
    </row>
    <row r="77" spans="1:34" ht="15" customHeight="1">
      <c r="A77" s="415"/>
      <c r="B77" s="414" t="s">
        <v>480</v>
      </c>
      <c r="C77" s="413">
        <f>'IS(Quaterly)'!H71</f>
        <v>256.899</v>
      </c>
      <c r="D77" s="413">
        <f>'IS(Quaterly)'!I71</f>
        <v>-228.32300000000001</v>
      </c>
      <c r="E77" s="413">
        <f>'IS(Quaterly)'!J71</f>
        <v>0</v>
      </c>
      <c r="F77" s="413">
        <f>'IS(Quaterly)'!K71</f>
        <v>1E-3</v>
      </c>
      <c r="G77" s="413">
        <f>'IS(Quaterly)'!L71</f>
        <v>0.19900000000000001</v>
      </c>
      <c r="H77" s="413">
        <f>'IS(Quaterly)'!M71</f>
        <v>0</v>
      </c>
      <c r="I77" s="418">
        <v>0</v>
      </c>
      <c r="J77" s="418">
        <f t="shared" si="59"/>
        <v>0.05</v>
      </c>
      <c r="K77" s="418">
        <f t="shared" si="59"/>
        <v>6.225E-2</v>
      </c>
      <c r="L77" s="418">
        <f t="shared" si="59"/>
        <v>2.8062500000000001E-2</v>
      </c>
      <c r="M77" s="418">
        <f t="shared" si="59"/>
        <v>3.5078125000000002E-2</v>
      </c>
      <c r="N77" s="418">
        <f t="shared" si="59"/>
        <v>4.3847656250000006E-2</v>
      </c>
      <c r="P77" s="411" t="s">
        <v>485</v>
      </c>
      <c r="Q77" s="406">
        <f t="shared" si="54"/>
        <v>28.576999999999995</v>
      </c>
      <c r="R77" s="406">
        <f t="shared" si="52"/>
        <v>0.249</v>
      </c>
      <c r="S77" s="406">
        <f>SUM(K77:N77)</f>
        <v>0.16923828125000001</v>
      </c>
      <c r="V77" s="390" t="s">
        <v>511</v>
      </c>
    </row>
    <row r="78" spans="1:34" ht="15" customHeight="1">
      <c r="A78" s="415"/>
      <c r="B78" s="414" t="s">
        <v>481</v>
      </c>
      <c r="C78" s="413">
        <f>'IS(Quaterly)'!H73</f>
        <v>0</v>
      </c>
      <c r="D78" s="413">
        <f>'IS(Quaterly)'!I73</f>
        <v>0</v>
      </c>
      <c r="E78" s="413">
        <f>'IS(Quaterly)'!J73</f>
        <v>0</v>
      </c>
      <c r="F78" s="413">
        <f>'IS(Quaterly)'!K73</f>
        <v>8008.6719999999996</v>
      </c>
      <c r="G78" s="413">
        <f>'IS(Quaterly)'!L73</f>
        <v>1.67</v>
      </c>
      <c r="H78" s="413">
        <f>'IS(Quaterly)'!M73</f>
        <v>-1.67</v>
      </c>
      <c r="I78" s="418">
        <v>0</v>
      </c>
      <c r="J78" s="418">
        <f t="shared" si="59"/>
        <v>2002.1679999999999</v>
      </c>
      <c r="K78" s="418">
        <f t="shared" si="59"/>
        <v>500.54199999999997</v>
      </c>
      <c r="L78" s="418">
        <f t="shared" si="59"/>
        <v>625.26</v>
      </c>
      <c r="M78" s="418">
        <f t="shared" si="59"/>
        <v>781.99250000000006</v>
      </c>
      <c r="N78" s="418">
        <f t="shared" si="59"/>
        <v>977.49062500000014</v>
      </c>
      <c r="P78" s="411" t="s">
        <v>486</v>
      </c>
      <c r="Q78" s="406">
        <f t="shared" si="54"/>
        <v>8008.6719999999996</v>
      </c>
      <c r="R78" s="406">
        <f t="shared" si="52"/>
        <v>2002.1679999999999</v>
      </c>
      <c r="S78" s="406">
        <f>SUM(K78:N78)</f>
        <v>2885.2851250000003</v>
      </c>
      <c r="V78" s="390" t="s">
        <v>511</v>
      </c>
      <c r="Z78" s="393"/>
      <c r="AA78" s="393"/>
      <c r="AB78" s="393"/>
    </row>
    <row r="79" spans="1:34" ht="15" customHeight="1">
      <c r="A79" s="415"/>
      <c r="B79" s="414" t="s">
        <v>482</v>
      </c>
      <c r="C79" s="413">
        <f>'IS(Quaterly)'!H74</f>
        <v>14992.432000000001</v>
      </c>
      <c r="D79" s="413">
        <f>'IS(Quaterly)'!I74</f>
        <v>11189.196</v>
      </c>
      <c r="E79" s="413">
        <f>'IS(Quaterly)'!J74</f>
        <v>-9465.8169999999991</v>
      </c>
      <c r="F79" s="413">
        <f>'IS(Quaterly)'!K74</f>
        <v>33337.794999999998</v>
      </c>
      <c r="G79" s="413">
        <f>'IS(Quaterly)'!L74</f>
        <v>3969.3760000000002</v>
      </c>
      <c r="H79" s="413">
        <f>'IS(Quaterly)'!M74</f>
        <v>-1971.068</v>
      </c>
      <c r="I79" s="418">
        <v>2333</v>
      </c>
      <c r="J79" s="418">
        <f t="shared" si="59"/>
        <v>9417.2757500000007</v>
      </c>
      <c r="K79" s="418">
        <f t="shared" si="59"/>
        <v>3437.1459375000004</v>
      </c>
      <c r="L79" s="418">
        <f t="shared" si="59"/>
        <v>3304.0884218750007</v>
      </c>
      <c r="M79" s="418">
        <f t="shared" si="59"/>
        <v>4622.8775273437504</v>
      </c>
      <c r="N79" s="418">
        <f t="shared" si="59"/>
        <v>5195.3469091796878</v>
      </c>
      <c r="P79" s="411" t="s">
        <v>487</v>
      </c>
      <c r="Q79" s="406">
        <f t="shared" si="54"/>
        <v>50053.606</v>
      </c>
      <c r="R79" s="406">
        <f t="shared" si="52"/>
        <v>13748.583750000002</v>
      </c>
      <c r="S79" s="406">
        <f>SUM(K79:N79)</f>
        <v>16559.458795898438</v>
      </c>
      <c r="V79" s="390" t="s">
        <v>511</v>
      </c>
      <c r="Z79" s="393"/>
      <c r="AA79" s="393"/>
      <c r="AB79" s="393"/>
    </row>
    <row r="80" spans="1:34" ht="15" customHeight="1">
      <c r="A80" s="415"/>
      <c r="B80" s="414" t="s">
        <v>478</v>
      </c>
      <c r="C80" s="413">
        <f>'IS(Quaterly)'!H77</f>
        <v>47.686</v>
      </c>
      <c r="D80" s="413">
        <f>'IS(Quaterly)'!I77</f>
        <v>322.82</v>
      </c>
      <c r="E80" s="413">
        <f>'IS(Quaterly)'!J77</f>
        <v>8.3800000000000008</v>
      </c>
      <c r="F80" s="413">
        <f>'IS(Quaterly)'!K77</f>
        <v>3.1019999999999999</v>
      </c>
      <c r="G80" s="413">
        <f>'IS(Quaterly)'!L77</f>
        <v>22.161999999999999</v>
      </c>
      <c r="H80" s="413">
        <f>'IS(Quaterly)'!M77</f>
        <v>3.101</v>
      </c>
      <c r="I80" s="413">
        <v>2</v>
      </c>
      <c r="J80" s="412">
        <f t="shared" si="59"/>
        <v>7.5912499999999996</v>
      </c>
      <c r="K80" s="412">
        <f t="shared" si="59"/>
        <v>8.7135625000000001</v>
      </c>
      <c r="L80" s="412">
        <f t="shared" si="59"/>
        <v>5.3514531249999999</v>
      </c>
      <c r="M80" s="412">
        <f t="shared" si="59"/>
        <v>5.914066406249999</v>
      </c>
      <c r="N80" s="412">
        <f t="shared" si="59"/>
        <v>6.8925830078124992</v>
      </c>
      <c r="P80" s="411" t="s">
        <v>452</v>
      </c>
      <c r="Q80" s="406">
        <f t="shared" si="54"/>
        <v>381.98799999999994</v>
      </c>
      <c r="R80" s="406">
        <f t="shared" si="52"/>
        <v>34.85425</v>
      </c>
      <c r="S80" s="406">
        <f t="shared" si="55"/>
        <v>26.871665039062499</v>
      </c>
      <c r="V80" s="390" t="s">
        <v>511</v>
      </c>
      <c r="Z80" s="393"/>
      <c r="AA80" s="393"/>
      <c r="AB80" s="393"/>
    </row>
    <row r="81" spans="2:39" ht="15" customHeight="1">
      <c r="B81" s="402" t="s">
        <v>451</v>
      </c>
      <c r="C81" s="470">
        <f t="shared" ref="C81:H81" si="60">C59+C61-C65+C69-C75</f>
        <v>-10625.23919</v>
      </c>
      <c r="D81" s="470">
        <f t="shared" si="60"/>
        <v>-2825.4448400000001</v>
      </c>
      <c r="E81" s="470">
        <f t="shared" si="60"/>
        <v>17843.026389999995</v>
      </c>
      <c r="F81" s="470">
        <f t="shared" si="60"/>
        <v>-39807.118699999999</v>
      </c>
      <c r="G81" s="470">
        <f t="shared" si="60"/>
        <v>-2213.8026000000018</v>
      </c>
      <c r="H81" s="470">
        <f t="shared" si="60"/>
        <v>27826.347970000003</v>
      </c>
      <c r="I81" s="470">
        <f t="shared" ref="I81:N81" si="61">I59+I61-I65+I69-I75</f>
        <v>-8153.7022700000016</v>
      </c>
      <c r="J81" s="470">
        <f t="shared" si="61"/>
        <v>-2181.9479337890461</v>
      </c>
      <c r="K81" s="470">
        <f t="shared" si="61"/>
        <v>41246.830840923183</v>
      </c>
      <c r="L81" s="470">
        <f t="shared" si="61"/>
        <v>69326.142689291912</v>
      </c>
      <c r="M81" s="470">
        <f t="shared" si="61"/>
        <v>61718.951647427159</v>
      </c>
      <c r="N81" s="470">
        <f t="shared" si="61"/>
        <v>64599.172202607289</v>
      </c>
      <c r="P81" s="410" t="s">
        <v>451</v>
      </c>
      <c r="Q81" s="406">
        <f t="shared" si="54"/>
        <v>-35414.776340000004</v>
      </c>
      <c r="R81" s="406">
        <f>SUM(G81:J81)</f>
        <v>15276.895166210952</v>
      </c>
      <c r="S81" s="406">
        <f>SUM(K81:N81)</f>
        <v>236891.09738024956</v>
      </c>
      <c r="V81" s="390"/>
      <c r="Z81" s="393"/>
      <c r="AA81" s="393"/>
      <c r="AB81" s="393"/>
      <c r="AC81" s="390"/>
      <c r="AD81" s="393"/>
      <c r="AE81" s="393"/>
    </row>
    <row r="82" spans="2:39" ht="15" customHeight="1">
      <c r="B82" s="409" t="s">
        <v>450</v>
      </c>
      <c r="C82" s="446">
        <f>'IS(Quaterly)'!H84</f>
        <v>-2410.7002000000002</v>
      </c>
      <c r="D82" s="446">
        <f>'IS(Quaterly)'!I84</f>
        <v>-1401.3292799999999</v>
      </c>
      <c r="E82" s="446">
        <f>'IS(Quaterly)'!J84</f>
        <v>3736.75668</v>
      </c>
      <c r="F82" s="446">
        <f>'IS(Quaterly)'!K84</f>
        <v>-13372.116120000001</v>
      </c>
      <c r="G82" s="446">
        <f>'IS(Quaterly)'!L84</f>
        <v>-140.89089999999999</v>
      </c>
      <c r="H82" s="446">
        <f>'IS(Quaterly)'!M84</f>
        <v>6260.4964300000001</v>
      </c>
      <c r="I82" s="408">
        <v>-1468</v>
      </c>
      <c r="J82" s="465">
        <f>R82-SUM(G82:I82)</f>
        <v>-1768.9954484199188</v>
      </c>
      <c r="K82" s="465">
        <f>(200*0.1+(K81*4-200)*0.2)/4</f>
        <v>8244.366168184637</v>
      </c>
      <c r="L82" s="465">
        <f>(200*0.1+(L81*4-200)*0.2)/4</f>
        <v>13860.228537858384</v>
      </c>
      <c r="M82" s="465">
        <f>(200*0.1+(M81*4-200)*0.2)/4</f>
        <v>12338.790329485433</v>
      </c>
      <c r="N82" s="465">
        <f>S82-SUM(K82:M82)</f>
        <v>12914.834440521459</v>
      </c>
      <c r="P82" s="407" t="s">
        <v>450</v>
      </c>
      <c r="Q82" s="406">
        <f t="shared" si="54"/>
        <v>-13447.388920000001</v>
      </c>
      <c r="R82" s="406">
        <f>200*0.09+(R81-200)*0.19</f>
        <v>2882.610081580081</v>
      </c>
      <c r="S82" s="406">
        <f>200*0.1+(S81-200)*0.2</f>
        <v>47358.219476049911</v>
      </c>
      <c r="Z82" s="393"/>
      <c r="AA82" s="393"/>
      <c r="AB82" s="393"/>
      <c r="AC82" s="393"/>
      <c r="AD82" s="393"/>
      <c r="AE82" s="393"/>
    </row>
    <row r="83" spans="2:39" ht="15" customHeight="1">
      <c r="B83" s="458" t="s">
        <v>507</v>
      </c>
      <c r="C83" s="459">
        <f t="shared" ref="C83:I83" si="62">C82/C81</f>
        <v>0.22688432296835664</v>
      </c>
      <c r="D83" s="459">
        <f t="shared" si="62"/>
        <v>0.49596766504208234</v>
      </c>
      <c r="E83" s="459">
        <f t="shared" si="62"/>
        <v>0.20942392833618406</v>
      </c>
      <c r="F83" s="459">
        <f t="shared" si="62"/>
        <v>0.335922733337643</v>
      </c>
      <c r="G83" s="459">
        <f t="shared" si="62"/>
        <v>6.3642033847100848E-2</v>
      </c>
      <c r="H83" s="459">
        <f t="shared" si="62"/>
        <v>0.22498448006003283</v>
      </c>
      <c r="I83" s="459">
        <f t="shared" si="62"/>
        <v>0.18004091287478416</v>
      </c>
      <c r="J83" s="459">
        <f>J82/J81</f>
        <v>0.81074136601783264</v>
      </c>
      <c r="K83" s="459">
        <f>K82/K81</f>
        <v>0.19987877856557554</v>
      </c>
      <c r="L83" s="459">
        <f t="shared" ref="L83" si="63">L82/L81</f>
        <v>0.19992787713543492</v>
      </c>
      <c r="M83" s="459">
        <f>M82/M81</f>
        <v>0.19991898760645577</v>
      </c>
      <c r="N83" s="459">
        <f>N82/N81</f>
        <v>0.19992259962737113</v>
      </c>
      <c r="P83" s="458" t="s">
        <v>507</v>
      </c>
      <c r="Q83" s="464">
        <f>Q82/Q81</f>
        <v>0.37971124795193328</v>
      </c>
      <c r="R83" s="466">
        <f>R82/R81</f>
        <v>0.18869083345912882</v>
      </c>
      <c r="S83" s="466">
        <f>S82/S81</f>
        <v>0.19991557301974969</v>
      </c>
      <c r="V83" s="390" t="s">
        <v>554</v>
      </c>
      <c r="Z83" s="393"/>
      <c r="AA83" s="393"/>
      <c r="AB83" s="393"/>
      <c r="AC83" s="393"/>
      <c r="AD83" s="393"/>
      <c r="AE83" s="393"/>
    </row>
    <row r="84" spans="2:39" ht="15" customHeight="1">
      <c r="B84" s="405" t="s">
        <v>449</v>
      </c>
      <c r="C84" s="473">
        <f t="shared" ref="C84:N84" si="64">C81-C82</f>
        <v>-8214.5389900000009</v>
      </c>
      <c r="D84" s="473">
        <f t="shared" si="64"/>
        <v>-1424.1155600000002</v>
      </c>
      <c r="E84" s="473">
        <f t="shared" si="64"/>
        <v>14106.269709999995</v>
      </c>
      <c r="F84" s="473">
        <f t="shared" si="64"/>
        <v>-26435.00258</v>
      </c>
      <c r="G84" s="473">
        <f t="shared" si="64"/>
        <v>-2072.9117000000019</v>
      </c>
      <c r="H84" s="473">
        <f t="shared" si="64"/>
        <v>21565.851540000003</v>
      </c>
      <c r="I84" s="473">
        <f t="shared" si="64"/>
        <v>-6685.7022700000016</v>
      </c>
      <c r="J84" s="473">
        <f>J81-J82</f>
        <v>-412.95248536912732</v>
      </c>
      <c r="K84" s="473">
        <f>K81-K82</f>
        <v>33002.464672738548</v>
      </c>
      <c r="L84" s="473">
        <f>L81-L82</f>
        <v>55465.914151433528</v>
      </c>
      <c r="M84" s="473">
        <f t="shared" si="64"/>
        <v>49380.161317941725</v>
      </c>
      <c r="N84" s="473">
        <f t="shared" si="64"/>
        <v>51684.33776208583</v>
      </c>
      <c r="P84" s="404" t="s">
        <v>449</v>
      </c>
      <c r="Q84" s="462">
        <f>Q81-Q82</f>
        <v>-21967.387420000003</v>
      </c>
      <c r="R84" s="463">
        <f>R81-R82</f>
        <v>12394.285084630872</v>
      </c>
      <c r="S84" s="463">
        <f>S81-S82</f>
        <v>189532.87790419965</v>
      </c>
      <c r="W84" s="393"/>
      <c r="X84" s="393"/>
      <c r="Y84" s="393"/>
      <c r="Z84" s="393"/>
      <c r="AA84" s="393"/>
      <c r="AB84" s="393"/>
      <c r="AC84" s="393"/>
      <c r="AD84" s="393"/>
      <c r="AE84" s="393"/>
    </row>
    <row r="85" spans="2:39" ht="15" customHeight="1">
      <c r="B85" s="403"/>
      <c r="C85" s="393"/>
      <c r="D85" s="393"/>
      <c r="E85" s="393"/>
      <c r="F85" s="393"/>
      <c r="G85" s="393"/>
      <c r="H85" s="393"/>
      <c r="I85" s="393"/>
      <c r="J85" s="393"/>
      <c r="K85" s="393"/>
      <c r="L85" s="393"/>
      <c r="M85" s="393"/>
      <c r="N85" s="393"/>
      <c r="Q85" s="390"/>
      <c r="R85" s="390"/>
      <c r="S85" s="390"/>
      <c r="W85" s="393"/>
      <c r="X85" s="393"/>
      <c r="Y85" s="393"/>
      <c r="Z85" s="393"/>
      <c r="AA85" s="393"/>
      <c r="AB85" s="393"/>
      <c r="AC85" s="393"/>
      <c r="AD85" s="393"/>
      <c r="AE85" s="393"/>
    </row>
    <row r="86" spans="2:39" ht="15" customHeight="1">
      <c r="C86" s="393"/>
      <c r="D86" s="393"/>
      <c r="E86" s="393"/>
      <c r="F86" s="396"/>
      <c r="G86" s="396"/>
      <c r="H86" s="396"/>
      <c r="I86" s="396"/>
      <c r="J86" s="396"/>
      <c r="K86" s="396"/>
      <c r="L86" s="390"/>
      <c r="M86" s="393"/>
      <c r="N86" s="393"/>
      <c r="O86" s="397"/>
      <c r="S86" s="391"/>
      <c r="AC86" s="393"/>
      <c r="AD86" s="393"/>
      <c r="AE86" s="393"/>
      <c r="AK86" s="401"/>
      <c r="AL86" s="401"/>
      <c r="AM86" s="401"/>
    </row>
    <row r="87" spans="2:39" s="401" customFormat="1" ht="15" customHeight="1">
      <c r="B87" s="389"/>
      <c r="C87" s="393"/>
      <c r="D87" s="393"/>
      <c r="E87" s="393"/>
      <c r="F87" s="396"/>
      <c r="G87" s="396"/>
      <c r="H87" s="396"/>
      <c r="I87" s="396"/>
      <c r="J87" s="396"/>
      <c r="K87" s="395"/>
      <c r="L87" s="390"/>
      <c r="M87" s="390"/>
      <c r="N87" s="393"/>
      <c r="P87" s="389"/>
      <c r="Q87" s="389"/>
      <c r="R87" s="389"/>
      <c r="S87" s="391"/>
      <c r="W87" s="389"/>
      <c r="X87" s="389"/>
      <c r="Y87" s="389"/>
      <c r="Z87" s="389"/>
      <c r="AA87" s="389"/>
      <c r="AB87" s="389"/>
      <c r="AC87" s="389"/>
      <c r="AD87" s="389"/>
      <c r="AE87" s="389"/>
      <c r="AK87" s="393"/>
      <c r="AL87" s="393"/>
      <c r="AM87" s="393"/>
    </row>
    <row r="88" spans="2:39" s="393" customFormat="1" ht="15" customHeight="1">
      <c r="B88" s="389"/>
      <c r="C88" s="389"/>
      <c r="D88" s="389"/>
      <c r="E88" s="389"/>
      <c r="F88" s="389"/>
      <c r="G88" s="394"/>
      <c r="H88" s="394"/>
      <c r="I88" s="394"/>
      <c r="J88" s="394"/>
      <c r="K88" s="394"/>
      <c r="L88" s="394"/>
      <c r="M88" s="390"/>
      <c r="P88" s="389"/>
      <c r="Q88" s="389"/>
      <c r="R88" s="389"/>
      <c r="S88" s="391"/>
      <c r="U88" s="390"/>
      <c r="W88" s="389"/>
      <c r="X88" s="389"/>
      <c r="Y88" s="389"/>
      <c r="Z88" s="389"/>
      <c r="AA88" s="389"/>
      <c r="AB88" s="389"/>
      <c r="AC88" s="389"/>
      <c r="AD88" s="389"/>
      <c r="AE88" s="389"/>
    </row>
    <row r="89" spans="2:39" s="393" customFormat="1" ht="15" customHeight="1">
      <c r="B89" s="389"/>
      <c r="C89" s="389"/>
      <c r="D89" s="389"/>
      <c r="E89" s="389"/>
      <c r="F89" s="389"/>
      <c r="G89" s="394"/>
      <c r="H89" s="394"/>
      <c r="I89" s="394"/>
      <c r="J89" s="394"/>
      <c r="K89" s="394"/>
      <c r="L89" s="394"/>
      <c r="M89" s="390"/>
      <c r="P89" s="389"/>
      <c r="Q89" s="389"/>
      <c r="R89" s="389"/>
      <c r="S89" s="391"/>
      <c r="U89" s="390"/>
      <c r="W89" s="389"/>
      <c r="X89" s="389"/>
      <c r="Y89" s="389"/>
      <c r="Z89" s="389"/>
      <c r="AA89" s="389"/>
      <c r="AB89" s="389"/>
      <c r="AC89" s="389"/>
      <c r="AD89" s="389"/>
      <c r="AE89" s="389"/>
    </row>
    <row r="90" spans="2:39" s="393" customFormat="1" ht="15" customHeight="1">
      <c r="C90" s="389"/>
      <c r="D90" s="389"/>
      <c r="E90" s="389"/>
      <c r="F90" s="391"/>
      <c r="H90" s="390"/>
      <c r="W90" s="389"/>
      <c r="X90" s="389"/>
      <c r="Y90" s="389"/>
      <c r="Z90" s="389"/>
      <c r="AA90" s="389"/>
      <c r="AB90" s="389"/>
      <c r="AC90" s="389"/>
      <c r="AD90" s="389"/>
      <c r="AE90" s="389"/>
    </row>
    <row r="91" spans="2:39" s="393" customFormat="1" ht="15" customHeight="1">
      <c r="C91" s="389"/>
      <c r="D91" s="389"/>
      <c r="E91" s="389"/>
      <c r="F91" s="391"/>
      <c r="H91" s="390"/>
      <c r="W91" s="389"/>
      <c r="X91" s="389"/>
      <c r="Y91" s="389"/>
      <c r="Z91" s="389"/>
      <c r="AA91" s="389"/>
      <c r="AB91" s="389"/>
      <c r="AC91" s="389"/>
      <c r="AD91" s="389"/>
      <c r="AE91" s="389"/>
    </row>
    <row r="92" spans="2:39" s="393" customFormat="1" ht="15" customHeight="1">
      <c r="C92" s="389"/>
      <c r="D92" s="389"/>
      <c r="E92" s="389"/>
      <c r="F92" s="391"/>
      <c r="H92" s="390"/>
      <c r="W92" s="389"/>
      <c r="X92" s="389"/>
      <c r="Y92" s="389"/>
      <c r="Z92" s="389"/>
      <c r="AA92" s="389"/>
      <c r="AB92" s="389"/>
      <c r="AC92" s="389"/>
      <c r="AD92" s="389"/>
      <c r="AE92" s="389"/>
    </row>
    <row r="93" spans="2:39" ht="15" customHeight="1">
      <c r="B93" s="399"/>
      <c r="F93" s="391"/>
      <c r="H93" s="390"/>
      <c r="U93" s="389"/>
    </row>
    <row r="94" spans="2:39" ht="15" customHeight="1">
      <c r="B94" s="399"/>
      <c r="F94" s="391"/>
      <c r="H94" s="390"/>
      <c r="U94" s="389"/>
    </row>
    <row r="95" spans="2:39" ht="15" customHeight="1">
      <c r="H95" s="390"/>
      <c r="U95" s="389"/>
    </row>
    <row r="96" spans="2:39" ht="15" customHeight="1">
      <c r="B96" s="398"/>
      <c r="H96" s="390"/>
      <c r="U96" s="389"/>
      <c r="Z96" s="391"/>
      <c r="AA96" s="391"/>
      <c r="AB96" s="391"/>
    </row>
    <row r="97" spans="2:29" ht="15" customHeight="1">
      <c r="B97" s="397"/>
      <c r="H97" s="390"/>
      <c r="U97" s="389"/>
      <c r="Z97" s="391"/>
      <c r="AA97" s="391"/>
      <c r="AB97" s="391"/>
    </row>
    <row r="98" spans="2:29" ht="15" customHeight="1">
      <c r="B98" s="398"/>
      <c r="H98" s="390"/>
      <c r="U98" s="389"/>
      <c r="Z98" s="391"/>
      <c r="AA98" s="391"/>
      <c r="AB98" s="391"/>
    </row>
    <row r="99" spans="2:29" ht="15" customHeight="1">
      <c r="O99" s="398"/>
      <c r="Z99" s="391"/>
      <c r="AA99" s="391"/>
      <c r="AB99" s="391"/>
    </row>
    <row r="100" spans="2:29" ht="15" customHeight="1">
      <c r="O100" s="398"/>
      <c r="Z100" s="391"/>
      <c r="AA100" s="391"/>
      <c r="AB100" s="391"/>
    </row>
    <row r="101" spans="2:29" ht="15" customHeight="1">
      <c r="O101" s="398"/>
      <c r="Z101" s="391"/>
      <c r="AA101" s="391"/>
      <c r="AB101" s="391"/>
    </row>
    <row r="102" spans="2:29" ht="15" customHeight="1">
      <c r="O102" s="398"/>
      <c r="W102" s="391"/>
      <c r="X102" s="391"/>
      <c r="Y102" s="391"/>
      <c r="Z102" s="391"/>
      <c r="AA102" s="391"/>
      <c r="AB102" s="391"/>
    </row>
    <row r="103" spans="2:29" ht="15" customHeight="1">
      <c r="O103" s="398"/>
      <c r="W103" s="391"/>
      <c r="X103" s="391"/>
      <c r="Y103" s="391"/>
      <c r="Z103" s="391"/>
      <c r="AA103" s="391"/>
      <c r="AB103" s="391"/>
    </row>
    <row r="104" spans="2:29" ht="15" customHeight="1">
      <c r="O104" s="398"/>
      <c r="W104" s="391"/>
      <c r="X104" s="391"/>
      <c r="Y104" s="391"/>
      <c r="Z104" s="391"/>
      <c r="AA104" s="391"/>
      <c r="AB104" s="391"/>
    </row>
    <row r="105" spans="2:29" ht="15" customHeight="1">
      <c r="O105" s="397"/>
      <c r="W105" s="391"/>
      <c r="X105" s="391"/>
      <c r="Y105" s="391"/>
    </row>
    <row r="106" spans="2:29" ht="15" customHeight="1">
      <c r="W106" s="391"/>
      <c r="X106" s="391"/>
      <c r="Y106" s="391"/>
      <c r="AC106" s="391"/>
    </row>
    <row r="107" spans="2:29" ht="15" customHeight="1">
      <c r="W107" s="391"/>
      <c r="X107" s="391"/>
      <c r="Y107" s="391"/>
      <c r="AC107" s="391"/>
    </row>
    <row r="108" spans="2:29" ht="15" customHeight="1">
      <c r="W108" s="391"/>
      <c r="X108" s="391"/>
      <c r="Y108" s="391"/>
      <c r="AC108" s="391"/>
    </row>
    <row r="109" spans="2:29" ht="15" customHeight="1">
      <c r="T109" s="391"/>
      <c r="U109" s="392"/>
      <c r="V109" s="391"/>
      <c r="W109" s="391"/>
      <c r="X109" s="391"/>
      <c r="Y109" s="391"/>
      <c r="AC109" s="391"/>
    </row>
    <row r="110" spans="2:29" ht="15" customHeight="1">
      <c r="T110" s="391"/>
      <c r="U110" s="392"/>
      <c r="V110" s="391"/>
      <c r="W110" s="391"/>
      <c r="X110" s="391"/>
      <c r="Y110" s="391"/>
      <c r="AC110" s="391"/>
    </row>
    <row r="111" spans="2:29" ht="15" customHeight="1">
      <c r="T111" s="391"/>
      <c r="U111" s="392"/>
      <c r="V111" s="391"/>
      <c r="AC111" s="391"/>
    </row>
    <row r="112" spans="2:29" ht="15" customHeight="1">
      <c r="T112" s="391"/>
      <c r="U112" s="392"/>
      <c r="V112" s="391"/>
      <c r="AC112" s="391"/>
    </row>
    <row r="113" spans="20:29" ht="15" customHeight="1">
      <c r="T113" s="391"/>
      <c r="U113" s="392"/>
      <c r="V113" s="391"/>
      <c r="AC113" s="391"/>
    </row>
    <row r="114" spans="20:29" ht="15" customHeight="1">
      <c r="T114" s="391"/>
      <c r="U114" s="392"/>
      <c r="V114" s="391"/>
      <c r="AC114" s="391"/>
    </row>
    <row r="115" spans="20:29" ht="15" customHeight="1">
      <c r="T115" s="391"/>
      <c r="U115" s="392"/>
      <c r="V115" s="391"/>
    </row>
    <row r="116" spans="20:29" ht="15" customHeight="1">
      <c r="T116" s="391"/>
      <c r="U116" s="392"/>
      <c r="V116" s="391"/>
    </row>
    <row r="117" spans="20:29" ht="15" customHeight="1">
      <c r="T117" s="391"/>
      <c r="U117" s="392"/>
      <c r="V117" s="391"/>
    </row>
    <row r="118" spans="20:29" ht="15" customHeight="1"/>
    <row r="119" spans="20:29" ht="15" customHeight="1"/>
    <row r="120" spans="20:29" ht="15" customHeight="1"/>
    <row r="121" spans="20:29" ht="15" customHeight="1"/>
    <row r="122" spans="20:29" ht="15" customHeight="1"/>
    <row r="123" spans="20:29" ht="15" customHeight="1"/>
    <row r="124" spans="20:29" ht="15" customHeight="1"/>
    <row r="125" spans="20:29" ht="15" customHeight="1"/>
    <row r="126" spans="20:29" ht="15" customHeight="1"/>
    <row r="127" spans="20:29" ht="15" customHeight="1"/>
    <row r="128" spans="20:29" ht="15" customHeight="1"/>
    <row r="129" ht="15" customHeight="1"/>
    <row r="130" ht="15" customHeight="1"/>
  </sheetData>
  <mergeCells count="2">
    <mergeCell ref="B5:N5"/>
    <mergeCell ref="P5:S5"/>
  </mergeCells>
  <phoneticPr fontId="3"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C6AF2-316E-41BB-81F5-C4C7C515C778}">
  <dimension ref="B1:H35"/>
  <sheetViews>
    <sheetView zoomScale="74" workbookViewId="0"/>
  </sheetViews>
  <sheetFormatPr defaultColWidth="8.6640625" defaultRowHeight="17"/>
  <cols>
    <col min="1" max="16384" width="8.6640625" style="18"/>
  </cols>
  <sheetData>
    <row r="1" spans="2:2" s="16" customFormat="1"/>
    <row r="2" spans="2:2" s="16" customFormat="1" ht="18">
      <c r="B2" s="17" t="s">
        <v>245</v>
      </c>
    </row>
    <row r="10" spans="2:2" s="16" customFormat="1" ht="18">
      <c r="B10" s="17" t="s">
        <v>209</v>
      </c>
    </row>
    <row r="11" spans="2:2" s="16" customFormat="1"/>
    <row r="35" spans="8:8" ht="18">
      <c r="H35" s="19"/>
    </row>
  </sheetData>
  <phoneticPr fontId="3" type="noConversion"/>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00AA7-A391-4B1E-AD10-955DF50B350B}">
  <dimension ref="A1:N107"/>
  <sheetViews>
    <sheetView zoomScale="68" zoomScaleNormal="100" workbookViewId="0"/>
  </sheetViews>
  <sheetFormatPr defaultColWidth="8.6640625" defaultRowHeight="17"/>
  <cols>
    <col min="1" max="1" width="16.9140625" style="18" bestFit="1" customWidth="1"/>
    <col min="2" max="2" width="44.75" style="18" bestFit="1" customWidth="1"/>
    <col min="3" max="3" width="11.75" style="18" bestFit="1" customWidth="1"/>
    <col min="4" max="7" width="0" style="18" hidden="1" customWidth="1"/>
    <col min="8" max="16384" width="8.6640625" style="18"/>
  </cols>
  <sheetData>
    <row r="1" spans="1:14">
      <c r="A1" s="2" t="s">
        <v>0</v>
      </c>
      <c r="B1" s="2"/>
      <c r="C1" s="2"/>
      <c r="D1" s="2"/>
      <c r="E1" s="2"/>
      <c r="F1" s="2"/>
      <c r="G1" s="2"/>
      <c r="H1" s="2"/>
      <c r="I1" s="2"/>
      <c r="J1" s="2"/>
      <c r="K1" s="2"/>
      <c r="L1" s="2"/>
      <c r="M1" s="2"/>
      <c r="N1" s="2"/>
    </row>
    <row r="2" spans="1:14">
      <c r="A2" s="3" t="s">
        <v>3</v>
      </c>
      <c r="B2" s="3" t="s">
        <v>82</v>
      </c>
      <c r="C2" s="3"/>
      <c r="D2" s="3"/>
      <c r="E2" s="3"/>
      <c r="F2" s="3"/>
      <c r="G2" s="3"/>
      <c r="H2" s="3"/>
      <c r="I2" s="3"/>
      <c r="J2" s="3"/>
      <c r="K2" s="3"/>
      <c r="L2" s="3"/>
      <c r="M2" s="3"/>
      <c r="N2" s="3"/>
    </row>
    <row r="3" spans="1:14">
      <c r="A3" s="3" t="s">
        <v>4</v>
      </c>
      <c r="B3" s="7" t="s">
        <v>86</v>
      </c>
      <c r="C3" s="3" t="s">
        <v>1</v>
      </c>
      <c r="D3" s="3" t="s">
        <v>85</v>
      </c>
      <c r="E3" s="3"/>
      <c r="F3" s="3"/>
      <c r="G3" s="3"/>
      <c r="H3" s="3"/>
      <c r="I3" s="3"/>
      <c r="J3" s="3"/>
      <c r="K3" s="3"/>
      <c r="L3" s="3"/>
      <c r="M3" s="3"/>
      <c r="N3" s="3"/>
    </row>
    <row r="4" spans="1:14">
      <c r="A4" s="3" t="s">
        <v>5</v>
      </c>
      <c r="B4" s="10" t="s">
        <v>175</v>
      </c>
      <c r="C4" s="3" t="s">
        <v>2</v>
      </c>
      <c r="D4" s="3"/>
      <c r="E4" s="3"/>
      <c r="F4" s="3"/>
      <c r="G4" s="3"/>
      <c r="H4" s="3"/>
      <c r="I4" s="3"/>
      <c r="J4" s="3"/>
      <c r="K4" s="3"/>
      <c r="L4" s="3"/>
      <c r="M4" s="3"/>
      <c r="N4" s="3"/>
    </row>
    <row r="5" spans="1:14">
      <c r="A5" s="3" t="s">
        <v>6</v>
      </c>
      <c r="B5" s="8" t="s">
        <v>88</v>
      </c>
      <c r="C5" s="3"/>
      <c r="D5" s="3"/>
      <c r="E5" s="3"/>
      <c r="F5" s="3"/>
      <c r="G5" s="3"/>
      <c r="H5" s="3"/>
      <c r="I5" s="3"/>
      <c r="J5" s="3"/>
      <c r="K5" s="3"/>
      <c r="L5" s="3"/>
      <c r="M5" s="3"/>
      <c r="N5" s="3"/>
    </row>
    <row r="6" spans="1:14">
      <c r="A6" s="3" t="s">
        <v>7</v>
      </c>
      <c r="B6" s="11" t="s">
        <v>234</v>
      </c>
      <c r="C6" s="8" t="s">
        <v>14</v>
      </c>
      <c r="D6" s="3"/>
      <c r="E6" s="3"/>
      <c r="F6" s="3"/>
      <c r="G6" s="3"/>
      <c r="H6" s="3"/>
      <c r="I6" s="3"/>
      <c r="J6" s="3"/>
      <c r="K6" s="3"/>
      <c r="L6" s="3"/>
      <c r="M6" s="3"/>
      <c r="N6" s="3"/>
    </row>
    <row r="7" spans="1:14">
      <c r="A7" s="4" t="s">
        <v>8</v>
      </c>
      <c r="B7" s="9">
        <v>2023</v>
      </c>
      <c r="C7" s="7" t="s">
        <v>87</v>
      </c>
      <c r="D7" s="4"/>
      <c r="E7" s="4"/>
      <c r="F7" s="4"/>
      <c r="G7" s="4"/>
      <c r="H7" s="4"/>
      <c r="I7" s="4"/>
      <c r="J7" s="4"/>
      <c r="K7" s="4"/>
      <c r="L7" s="4"/>
      <c r="M7" s="4"/>
      <c r="N7" s="3"/>
    </row>
    <row r="8" spans="1:14">
      <c r="A8" s="5" t="s">
        <v>9</v>
      </c>
      <c r="B8" s="12" t="s">
        <v>10</v>
      </c>
      <c r="C8" s="12" t="s">
        <v>11</v>
      </c>
      <c r="D8" s="5" t="s">
        <v>235</v>
      </c>
      <c r="E8" s="5" t="s">
        <v>236</v>
      </c>
      <c r="F8" s="5" t="s">
        <v>237</v>
      </c>
      <c r="G8" s="5" t="s">
        <v>238</v>
      </c>
      <c r="H8" s="5" t="s">
        <v>239</v>
      </c>
      <c r="I8" s="5" t="s">
        <v>240</v>
      </c>
      <c r="J8" s="5" t="s">
        <v>241</v>
      </c>
      <c r="K8" s="5" t="s">
        <v>242</v>
      </c>
      <c r="L8" s="5" t="s">
        <v>243</v>
      </c>
      <c r="M8" s="5" t="s">
        <v>244</v>
      </c>
      <c r="N8" s="5" t="s">
        <v>543</v>
      </c>
    </row>
    <row r="9" spans="1:14">
      <c r="A9" s="6"/>
      <c r="B9" s="6"/>
      <c r="C9" s="6"/>
      <c r="D9" s="6" t="s">
        <v>12</v>
      </c>
      <c r="E9" s="6" t="s">
        <v>12</v>
      </c>
      <c r="F9" s="6" t="s">
        <v>12</v>
      </c>
      <c r="G9" s="6" t="s">
        <v>12</v>
      </c>
      <c r="H9" s="6" t="s">
        <v>12</v>
      </c>
      <c r="I9" s="6" t="s">
        <v>12</v>
      </c>
      <c r="J9" s="6" t="s">
        <v>12</v>
      </c>
      <c r="K9" s="6" t="s">
        <v>12</v>
      </c>
      <c r="L9" s="6" t="s">
        <v>12</v>
      </c>
      <c r="M9" s="6" t="s">
        <v>12</v>
      </c>
      <c r="N9" s="6" t="s">
        <v>12</v>
      </c>
    </row>
    <row r="10" spans="1:14">
      <c r="A10" s="13">
        <v>4001210000</v>
      </c>
      <c r="B10" s="13" t="s">
        <v>90</v>
      </c>
      <c r="C10" s="13" t="s">
        <v>14</v>
      </c>
      <c r="D10" s="36">
        <v>28622.48286</v>
      </c>
      <c r="E10" s="36">
        <v>39490.614110000002</v>
      </c>
      <c r="F10" s="36">
        <v>24330.700280000001</v>
      </c>
      <c r="G10" s="36">
        <v>41160.463009999999</v>
      </c>
      <c r="H10" s="36">
        <v>40339.43851</v>
      </c>
      <c r="I10" s="36">
        <v>50769.762439999999</v>
      </c>
      <c r="J10" s="36">
        <v>46721.566919999997</v>
      </c>
      <c r="K10" s="36">
        <v>47676.403160000002</v>
      </c>
      <c r="L10" s="36">
        <v>34587.214899999999</v>
      </c>
      <c r="M10" s="36">
        <v>48893.652609999997</v>
      </c>
      <c r="N10" s="36">
        <v>41765.843679999998</v>
      </c>
    </row>
    <row r="11" spans="1:14">
      <c r="A11" s="13">
        <v>4001210010</v>
      </c>
      <c r="B11" s="13" t="s">
        <v>91</v>
      </c>
      <c r="C11" s="13" t="s">
        <v>14</v>
      </c>
      <c r="D11" s="36"/>
      <c r="E11" s="36"/>
      <c r="F11" s="36"/>
      <c r="G11" s="36"/>
      <c r="H11" s="36">
        <v>29844.903999999999</v>
      </c>
      <c r="I11" s="36"/>
      <c r="J11" s="36">
        <v>36809.142</v>
      </c>
      <c r="K11" s="36">
        <v>71635.804000000004</v>
      </c>
      <c r="L11" s="36">
        <v>25066.01</v>
      </c>
      <c r="M11" s="36">
        <v>48893.652999999998</v>
      </c>
      <c r="N11" s="36"/>
    </row>
    <row r="12" spans="1:14">
      <c r="A12" s="13">
        <v>4001210020</v>
      </c>
      <c r="B12" s="13" t="s">
        <v>92</v>
      </c>
      <c r="C12" s="13" t="s">
        <v>14</v>
      </c>
      <c r="D12" s="36"/>
      <c r="E12" s="36"/>
      <c r="F12" s="36"/>
      <c r="G12" s="36"/>
      <c r="H12" s="36">
        <v>10494.535</v>
      </c>
      <c r="I12" s="36"/>
      <c r="J12" s="36">
        <v>9912.4249999999993</v>
      </c>
      <c r="K12" s="36">
        <v>26810.361000000001</v>
      </c>
      <c r="L12" s="36">
        <v>9521.2049999999999</v>
      </c>
      <c r="M12" s="36"/>
      <c r="N12" s="36"/>
    </row>
    <row r="13" spans="1:14">
      <c r="A13" s="13">
        <v>4001210320</v>
      </c>
      <c r="B13" s="13" t="s">
        <v>93</v>
      </c>
      <c r="C13" s="13" t="s">
        <v>14</v>
      </c>
      <c r="D13" s="36">
        <v>16557.603480000002</v>
      </c>
      <c r="E13" s="36">
        <v>24010.857680000001</v>
      </c>
      <c r="F13" s="36">
        <v>15297.826499999999</v>
      </c>
      <c r="G13" s="36">
        <v>28189.92987</v>
      </c>
      <c r="H13" s="36">
        <v>24298.608700000001</v>
      </c>
      <c r="I13" s="36">
        <v>30584.084279999999</v>
      </c>
      <c r="J13" s="36">
        <v>27986.515530000001</v>
      </c>
      <c r="K13" s="36">
        <v>31152.325860000001</v>
      </c>
      <c r="L13" s="36">
        <v>19942.0255</v>
      </c>
      <c r="M13" s="36">
        <v>30065.137640000001</v>
      </c>
      <c r="N13" s="36">
        <v>22406.702270000002</v>
      </c>
    </row>
    <row r="14" spans="1:14">
      <c r="A14" s="13">
        <v>4001210780</v>
      </c>
      <c r="B14" s="13" t="s">
        <v>94</v>
      </c>
      <c r="C14" s="13" t="s">
        <v>14</v>
      </c>
      <c r="D14" s="36">
        <v>12064.879370000001</v>
      </c>
      <c r="E14" s="36">
        <v>15479.756429999999</v>
      </c>
      <c r="F14" s="36">
        <v>9032.8737799999999</v>
      </c>
      <c r="G14" s="36">
        <v>12970.533149999999</v>
      </c>
      <c r="H14" s="36">
        <v>16040.829809999999</v>
      </c>
      <c r="I14" s="36">
        <v>20185.678159999999</v>
      </c>
      <c r="J14" s="36">
        <v>18735.051390000001</v>
      </c>
      <c r="K14" s="36">
        <v>16524.077290000001</v>
      </c>
      <c r="L14" s="36">
        <v>14645.189410000001</v>
      </c>
      <c r="M14" s="36">
        <v>18828.51497</v>
      </c>
      <c r="N14" s="36">
        <v>19359.14142</v>
      </c>
    </row>
    <row r="15" spans="1:14">
      <c r="A15" s="13">
        <v>4001290000</v>
      </c>
      <c r="B15" s="13" t="s">
        <v>95</v>
      </c>
      <c r="C15" s="13" t="s">
        <v>14</v>
      </c>
      <c r="D15" s="36">
        <v>11673.425440000001</v>
      </c>
      <c r="E15" s="36">
        <v>13048.80536</v>
      </c>
      <c r="F15" s="36">
        <v>11722.84641</v>
      </c>
      <c r="G15" s="36">
        <v>9942.4784600000003</v>
      </c>
      <c r="H15" s="36">
        <v>10467.713030000001</v>
      </c>
      <c r="I15" s="36">
        <v>13010.374400000001</v>
      </c>
      <c r="J15" s="36">
        <v>12558.272419999999</v>
      </c>
      <c r="K15" s="36">
        <v>12038.19954</v>
      </c>
      <c r="L15" s="36">
        <v>12861.812470000001</v>
      </c>
      <c r="M15" s="36">
        <v>12467.433300000001</v>
      </c>
      <c r="N15" s="36">
        <v>12248.046490000001</v>
      </c>
    </row>
    <row r="16" spans="1:14">
      <c r="A16" s="13">
        <v>4001290010</v>
      </c>
      <c r="B16" s="13" t="s">
        <v>96</v>
      </c>
      <c r="C16" s="13" t="s">
        <v>14</v>
      </c>
      <c r="D16" s="36">
        <v>4417.6139999999996</v>
      </c>
      <c r="E16" s="36">
        <v>4361.6189999999997</v>
      </c>
      <c r="F16" s="36">
        <v>4091.5369999999998</v>
      </c>
      <c r="G16" s="36">
        <v>4084.4380000000001</v>
      </c>
      <c r="H16" s="36">
        <v>4266.4089999999997</v>
      </c>
      <c r="I16" s="36">
        <v>5320.1790000000001</v>
      </c>
      <c r="J16" s="36">
        <v>4101.076</v>
      </c>
      <c r="K16" s="36">
        <v>4100.1360000000004</v>
      </c>
      <c r="L16" s="36">
        <v>4167.6499999999996</v>
      </c>
      <c r="M16" s="36">
        <v>4289.259</v>
      </c>
      <c r="N16" s="36">
        <v>3754.9450000000002</v>
      </c>
    </row>
    <row r="17" spans="1:14">
      <c r="A17" s="13">
        <v>4001290020</v>
      </c>
      <c r="B17" s="13" t="s">
        <v>97</v>
      </c>
      <c r="C17" s="13" t="s">
        <v>14</v>
      </c>
      <c r="D17" s="36">
        <v>985.16099999999994</v>
      </c>
      <c r="E17" s="36">
        <v>984.23400000000004</v>
      </c>
      <c r="F17" s="36">
        <v>954.46199999999999</v>
      </c>
      <c r="G17" s="36">
        <v>935.89300000000003</v>
      </c>
      <c r="H17" s="36">
        <v>937.21900000000005</v>
      </c>
      <c r="I17" s="36">
        <v>1047.8620000000001</v>
      </c>
      <c r="J17" s="36">
        <v>1428.8920000000001</v>
      </c>
      <c r="K17" s="36">
        <v>1468.03</v>
      </c>
      <c r="L17" s="36">
        <v>1829.404</v>
      </c>
      <c r="M17" s="36">
        <v>1803.7719999999999</v>
      </c>
      <c r="N17" s="36">
        <v>1880.6010000000001</v>
      </c>
    </row>
    <row r="18" spans="1:14">
      <c r="A18" s="13">
        <v>4001211300</v>
      </c>
      <c r="B18" s="13" t="s">
        <v>98</v>
      </c>
      <c r="C18" s="13" t="s">
        <v>14</v>
      </c>
      <c r="D18" s="36">
        <v>4189.6419999999998</v>
      </c>
      <c r="E18" s="36">
        <v>4113.692</v>
      </c>
      <c r="F18" s="36">
        <v>3915.8609999999999</v>
      </c>
      <c r="G18" s="36">
        <v>3433.152</v>
      </c>
      <c r="H18" s="36">
        <v>3969.884</v>
      </c>
      <c r="I18" s="36">
        <v>4518.2479999999996</v>
      </c>
      <c r="J18" s="36">
        <v>4553.0349999999999</v>
      </c>
      <c r="K18" s="36">
        <v>5626.0129999999999</v>
      </c>
      <c r="L18" s="36">
        <v>3893.9839999999999</v>
      </c>
      <c r="M18" s="36">
        <v>4376.2730000000001</v>
      </c>
      <c r="N18" s="36">
        <v>3618.2530000000002</v>
      </c>
    </row>
    <row r="19" spans="1:14">
      <c r="A19" s="13">
        <v>4001211060</v>
      </c>
      <c r="B19" s="13" t="s">
        <v>99</v>
      </c>
      <c r="C19" s="13" t="s">
        <v>14</v>
      </c>
      <c r="D19" s="36"/>
      <c r="E19" s="36"/>
      <c r="F19" s="36"/>
      <c r="G19" s="36"/>
      <c r="H19" s="36"/>
      <c r="I19" s="36"/>
      <c r="J19" s="36"/>
      <c r="K19" s="36"/>
      <c r="L19" s="36"/>
      <c r="M19" s="36"/>
      <c r="N19" s="36"/>
    </row>
    <row r="20" spans="1:14">
      <c r="A20" s="13">
        <v>4001290040</v>
      </c>
      <c r="B20" s="13" t="s">
        <v>100</v>
      </c>
      <c r="C20" s="13" t="s">
        <v>14</v>
      </c>
      <c r="D20" s="36">
        <v>305.42500000000001</v>
      </c>
      <c r="E20" s="36">
        <v>1358.0889999999999</v>
      </c>
      <c r="F20" s="36">
        <v>1136.518</v>
      </c>
      <c r="G20" s="36">
        <v>-121.172</v>
      </c>
      <c r="H20" s="36">
        <v>-369.25200000000001</v>
      </c>
      <c r="I20" s="36">
        <v>-109.80200000000001</v>
      </c>
      <c r="J20" s="36">
        <v>429.18900000000002</v>
      </c>
      <c r="K20" s="36">
        <v>-960.53</v>
      </c>
      <c r="L20" s="36">
        <v>550.73500000000001</v>
      </c>
      <c r="M20" s="36">
        <v>170.88</v>
      </c>
      <c r="N20" s="36">
        <v>1348.7170000000001</v>
      </c>
    </row>
    <row r="21" spans="1:14">
      <c r="A21" s="13">
        <v>4001290090</v>
      </c>
      <c r="B21" s="13" t="s">
        <v>101</v>
      </c>
      <c r="C21" s="13" t="s">
        <v>14</v>
      </c>
      <c r="D21" s="36">
        <v>1426.6179999999999</v>
      </c>
      <c r="E21" s="36">
        <v>1761.52</v>
      </c>
      <c r="F21" s="36">
        <v>1419.4390000000001</v>
      </c>
      <c r="G21" s="36">
        <v>1406.761</v>
      </c>
      <c r="H21" s="36">
        <v>1523.623</v>
      </c>
      <c r="I21" s="36">
        <v>1720.9770000000001</v>
      </c>
      <c r="J21" s="36">
        <v>1404.204</v>
      </c>
      <c r="K21" s="36">
        <v>1466.8430000000001</v>
      </c>
      <c r="L21" s="36">
        <v>2193.3470000000002</v>
      </c>
      <c r="M21" s="36">
        <v>1237.7750000000001</v>
      </c>
      <c r="N21" s="36">
        <v>1337.31</v>
      </c>
    </row>
    <row r="22" spans="1:14">
      <c r="A22" s="13">
        <v>4001290110</v>
      </c>
      <c r="B22" s="13" t="s">
        <v>102</v>
      </c>
      <c r="C22" s="13" t="s">
        <v>14</v>
      </c>
      <c r="D22" s="36"/>
      <c r="E22" s="36"/>
      <c r="F22" s="36"/>
      <c r="G22" s="36"/>
      <c r="H22" s="36"/>
      <c r="I22" s="36"/>
      <c r="J22" s="36"/>
      <c r="K22" s="36"/>
      <c r="L22" s="36"/>
      <c r="M22" s="36"/>
      <c r="N22" s="36"/>
    </row>
    <row r="23" spans="1:14">
      <c r="A23" s="13">
        <v>4001211420</v>
      </c>
      <c r="B23" s="13" t="s">
        <v>103</v>
      </c>
      <c r="C23" s="13" t="s">
        <v>14</v>
      </c>
      <c r="D23" s="36">
        <v>348.96499999999997</v>
      </c>
      <c r="E23" s="36">
        <v>469.65100000000001</v>
      </c>
      <c r="F23" s="36">
        <v>205.029</v>
      </c>
      <c r="G23" s="36">
        <v>203.40799999999999</v>
      </c>
      <c r="H23" s="36">
        <v>139.83000000000001</v>
      </c>
      <c r="I23" s="36">
        <v>512.91</v>
      </c>
      <c r="J23" s="36">
        <v>641.87599999999998</v>
      </c>
      <c r="K23" s="36">
        <v>337.70800000000003</v>
      </c>
      <c r="L23" s="36">
        <v>226.69200000000001</v>
      </c>
      <c r="M23" s="36">
        <v>589.47400000000005</v>
      </c>
      <c r="N23" s="36">
        <v>308.22000000000003</v>
      </c>
    </row>
    <row r="24" spans="1:14">
      <c r="A24" s="13">
        <v>4001211430</v>
      </c>
      <c r="B24" s="13" t="s">
        <v>104</v>
      </c>
      <c r="C24" s="13" t="s">
        <v>14</v>
      </c>
      <c r="D24" s="36">
        <v>391.45393999999999</v>
      </c>
      <c r="E24" s="36">
        <v>2430.9510700000001</v>
      </c>
      <c r="F24" s="36">
        <v>-2689.97264</v>
      </c>
      <c r="G24" s="36">
        <v>3028.0546899999999</v>
      </c>
      <c r="H24" s="36">
        <v>5573.11679</v>
      </c>
      <c r="I24" s="36">
        <v>7175.3037700000004</v>
      </c>
      <c r="J24" s="36">
        <v>6176.7789700000003</v>
      </c>
      <c r="K24" s="36">
        <v>4485.8777300000002</v>
      </c>
      <c r="L24" s="36">
        <v>1783.3769400000001</v>
      </c>
      <c r="M24" s="36">
        <v>6361.0816699999996</v>
      </c>
      <c r="N24" s="36">
        <v>7111.0949300000002</v>
      </c>
    </row>
    <row r="25" spans="1:14">
      <c r="A25" s="13">
        <v>4001290120</v>
      </c>
      <c r="B25" s="13" t="s">
        <v>105</v>
      </c>
      <c r="C25" s="13" t="s">
        <v>14</v>
      </c>
      <c r="D25" s="36">
        <v>567.53099999999995</v>
      </c>
      <c r="E25" s="36">
        <v>656.84299999999996</v>
      </c>
      <c r="F25" s="36">
        <v>510.28300000000002</v>
      </c>
      <c r="G25" s="36">
        <v>2147.4279999999999</v>
      </c>
      <c r="H25" s="36">
        <v>549.529</v>
      </c>
      <c r="I25" s="36">
        <v>756.94399999999996</v>
      </c>
      <c r="J25" s="36">
        <v>362.56900000000002</v>
      </c>
      <c r="K25" s="36">
        <v>1031.9549999999999</v>
      </c>
      <c r="L25" s="36">
        <v>857.44100000000003</v>
      </c>
      <c r="M25" s="36">
        <v>4146.5550000000003</v>
      </c>
      <c r="N25" s="36">
        <v>-4293.1750000000002</v>
      </c>
    </row>
    <row r="26" spans="1:14">
      <c r="A26" s="13">
        <v>4001290750</v>
      </c>
      <c r="B26" s="13" t="s">
        <v>106</v>
      </c>
      <c r="C26" s="13" t="s">
        <v>14</v>
      </c>
      <c r="D26" s="36">
        <v>288.95800000000003</v>
      </c>
      <c r="E26" s="36">
        <v>279.39600000000002</v>
      </c>
      <c r="F26" s="36">
        <v>332.86099999999999</v>
      </c>
      <c r="G26" s="36">
        <v>266.95</v>
      </c>
      <c r="H26" s="36">
        <v>273.22300000000001</v>
      </c>
      <c r="I26" s="36">
        <v>248.92</v>
      </c>
      <c r="J26" s="36">
        <v>204.423</v>
      </c>
      <c r="K26" s="36">
        <v>124.029</v>
      </c>
      <c r="L26" s="36">
        <v>112.246</v>
      </c>
      <c r="M26" s="36">
        <v>90.620999999999995</v>
      </c>
      <c r="N26" s="36">
        <v>106.93</v>
      </c>
    </row>
    <row r="27" spans="1:14">
      <c r="A27" s="13">
        <v>4001290760</v>
      </c>
      <c r="B27" s="13" t="s">
        <v>107</v>
      </c>
      <c r="C27" s="13" t="s">
        <v>14</v>
      </c>
      <c r="D27" s="36"/>
      <c r="E27" s="36"/>
      <c r="F27" s="36"/>
      <c r="G27" s="36"/>
      <c r="H27" s="36"/>
      <c r="I27" s="36"/>
      <c r="J27" s="36"/>
      <c r="K27" s="36"/>
      <c r="L27" s="36"/>
      <c r="M27" s="36"/>
      <c r="N27" s="36"/>
    </row>
    <row r="28" spans="1:14">
      <c r="A28" s="13">
        <v>4001211480</v>
      </c>
      <c r="B28" s="13" t="s">
        <v>108</v>
      </c>
      <c r="C28" s="13" t="s">
        <v>14</v>
      </c>
      <c r="D28" s="36">
        <v>278.57299999999998</v>
      </c>
      <c r="E28" s="36">
        <v>377.447</v>
      </c>
      <c r="F28" s="36">
        <v>177.422</v>
      </c>
      <c r="G28" s="36">
        <v>1775.97</v>
      </c>
      <c r="H28" s="36">
        <v>276.30599999999998</v>
      </c>
      <c r="I28" s="36">
        <v>116.236</v>
      </c>
      <c r="J28" s="36">
        <v>158.14599999999999</v>
      </c>
      <c r="K28" s="36">
        <v>900.98900000000003</v>
      </c>
      <c r="L28" s="36">
        <v>745.19500000000005</v>
      </c>
      <c r="M28" s="36">
        <v>4055.9340000000002</v>
      </c>
      <c r="N28" s="36">
        <v>-4400.1049999999996</v>
      </c>
    </row>
    <row r="29" spans="1:14">
      <c r="A29" s="13">
        <v>4001211520</v>
      </c>
      <c r="B29" s="13" t="s">
        <v>109</v>
      </c>
      <c r="C29" s="13" t="s">
        <v>14</v>
      </c>
      <c r="D29" s="36"/>
      <c r="E29" s="36"/>
      <c r="F29" s="36"/>
      <c r="G29" s="36">
        <v>104.508</v>
      </c>
      <c r="H29" s="36"/>
      <c r="I29" s="36">
        <v>391.78800000000001</v>
      </c>
      <c r="J29" s="36"/>
      <c r="K29" s="36">
        <v>6.9370000000000003</v>
      </c>
      <c r="L29" s="36"/>
      <c r="M29" s="36"/>
      <c r="N29" s="36"/>
    </row>
    <row r="30" spans="1:14">
      <c r="A30" s="13">
        <v>4001211600</v>
      </c>
      <c r="B30" s="13" t="s">
        <v>110</v>
      </c>
      <c r="C30" s="13" t="s">
        <v>14</v>
      </c>
      <c r="D30" s="36"/>
      <c r="E30" s="36"/>
      <c r="F30" s="36"/>
      <c r="G30" s="36"/>
      <c r="H30" s="36"/>
      <c r="I30" s="36"/>
      <c r="J30" s="36"/>
      <c r="K30" s="36"/>
      <c r="L30" s="36"/>
      <c r="M30" s="36"/>
      <c r="N30" s="36"/>
    </row>
    <row r="31" spans="1:14">
      <c r="A31" s="13">
        <v>4001211605</v>
      </c>
      <c r="B31" s="13" t="s">
        <v>111</v>
      </c>
      <c r="C31" s="13" t="s">
        <v>14</v>
      </c>
      <c r="D31" s="36"/>
      <c r="E31" s="36"/>
      <c r="F31" s="36"/>
      <c r="G31" s="36"/>
      <c r="H31" s="36"/>
      <c r="I31" s="36"/>
      <c r="J31" s="36"/>
      <c r="K31" s="36"/>
      <c r="L31" s="36"/>
      <c r="M31" s="36"/>
      <c r="N31" s="36"/>
    </row>
    <row r="32" spans="1:14">
      <c r="A32" s="13">
        <v>4001290130</v>
      </c>
      <c r="B32" s="13" t="s">
        <v>112</v>
      </c>
      <c r="C32" s="13" t="s">
        <v>14</v>
      </c>
      <c r="D32" s="36"/>
      <c r="E32" s="36"/>
      <c r="F32" s="36"/>
      <c r="G32" s="36"/>
      <c r="H32" s="36"/>
      <c r="I32" s="36"/>
      <c r="J32" s="36"/>
      <c r="K32" s="36"/>
      <c r="L32" s="36"/>
      <c r="M32" s="36"/>
      <c r="N32" s="36"/>
    </row>
    <row r="33" spans="1:14">
      <c r="A33" s="13">
        <v>4001290150</v>
      </c>
      <c r="B33" s="13" t="s">
        <v>113</v>
      </c>
      <c r="C33" s="13" t="s">
        <v>14</v>
      </c>
      <c r="D33" s="36"/>
      <c r="E33" s="36"/>
      <c r="F33" s="36"/>
      <c r="G33" s="36"/>
      <c r="H33" s="36"/>
      <c r="I33" s="36"/>
      <c r="J33" s="36"/>
      <c r="K33" s="36"/>
      <c r="L33" s="36"/>
      <c r="M33" s="36"/>
      <c r="N33" s="36"/>
    </row>
    <row r="34" spans="1:14">
      <c r="A34" s="13">
        <v>4001211720</v>
      </c>
      <c r="B34" s="13" t="s">
        <v>114</v>
      </c>
      <c r="C34" s="13" t="s">
        <v>14</v>
      </c>
      <c r="D34" s="36"/>
      <c r="E34" s="36"/>
      <c r="F34" s="36"/>
      <c r="G34" s="36"/>
      <c r="H34" s="36"/>
      <c r="I34" s="36"/>
      <c r="J34" s="36"/>
      <c r="K34" s="36"/>
      <c r="L34" s="36"/>
      <c r="M34" s="36"/>
      <c r="N34" s="36"/>
    </row>
    <row r="35" spans="1:14">
      <c r="A35" s="13">
        <v>4001211680</v>
      </c>
      <c r="B35" s="13" t="s">
        <v>115</v>
      </c>
      <c r="C35" s="13" t="s">
        <v>14</v>
      </c>
      <c r="D35" s="36"/>
      <c r="E35" s="36"/>
      <c r="F35" s="36"/>
      <c r="G35" s="36"/>
      <c r="H35" s="36"/>
      <c r="I35" s="36"/>
      <c r="J35" s="36"/>
      <c r="K35" s="36"/>
      <c r="L35" s="36"/>
      <c r="M35" s="36"/>
      <c r="N35" s="36"/>
    </row>
    <row r="36" spans="1:14">
      <c r="A36" s="13">
        <v>4001290170</v>
      </c>
      <c r="B36" s="13" t="s">
        <v>116</v>
      </c>
      <c r="C36" s="13" t="s">
        <v>14</v>
      </c>
      <c r="D36" s="36"/>
      <c r="E36" s="36"/>
      <c r="F36" s="36"/>
      <c r="G36" s="36"/>
      <c r="H36" s="36"/>
      <c r="I36" s="36"/>
      <c r="J36" s="36"/>
      <c r="K36" s="36"/>
      <c r="L36" s="36"/>
      <c r="M36" s="36"/>
      <c r="N36" s="36"/>
    </row>
    <row r="37" spans="1:14">
      <c r="A37" s="13">
        <v>4001290180</v>
      </c>
      <c r="B37" s="13" t="s">
        <v>117</v>
      </c>
      <c r="C37" s="13" t="s">
        <v>14</v>
      </c>
      <c r="D37" s="36">
        <v>2623.4780000000001</v>
      </c>
      <c r="E37" s="36">
        <v>1992.308</v>
      </c>
      <c r="F37" s="36">
        <v>241.71</v>
      </c>
      <c r="G37" s="36">
        <v>1655.046</v>
      </c>
      <c r="H37" s="36">
        <v>4431.1890000000003</v>
      </c>
      <c r="I37" s="36">
        <v>3954.9070000000002</v>
      </c>
      <c r="J37" s="36">
        <v>-458.31</v>
      </c>
      <c r="K37" s="36">
        <v>8065.7870000000003</v>
      </c>
      <c r="L37" s="36">
        <v>2220.0259999999998</v>
      </c>
      <c r="M37" s="36">
        <v>4778.1480000000001</v>
      </c>
      <c r="N37" s="36">
        <v>3088.027</v>
      </c>
    </row>
    <row r="38" spans="1:14">
      <c r="A38" s="13">
        <v>4001290770</v>
      </c>
      <c r="B38" s="13" t="s">
        <v>118</v>
      </c>
      <c r="C38" s="13" t="s">
        <v>14</v>
      </c>
      <c r="D38" s="36">
        <v>1022.592</v>
      </c>
      <c r="E38" s="36">
        <v>1201.502</v>
      </c>
      <c r="F38" s="36">
        <v>1408.6320000000001</v>
      </c>
      <c r="G38" s="36">
        <v>2041.6220000000001</v>
      </c>
      <c r="H38" s="36">
        <v>1897.9449999999999</v>
      </c>
      <c r="I38" s="36">
        <v>2036.6849999999999</v>
      </c>
      <c r="J38" s="36">
        <v>2317.6529999999998</v>
      </c>
      <c r="K38" s="36">
        <v>2120.3200000000002</v>
      </c>
      <c r="L38" s="36">
        <v>2070.21</v>
      </c>
      <c r="M38" s="36">
        <v>2473.5590000000002</v>
      </c>
      <c r="N38" s="36">
        <v>2757.0120000000002</v>
      </c>
    </row>
    <row r="39" spans="1:14">
      <c r="A39" s="13">
        <v>4001211820</v>
      </c>
      <c r="B39" s="13" t="s">
        <v>119</v>
      </c>
      <c r="C39" s="13" t="s">
        <v>14</v>
      </c>
      <c r="D39" s="36">
        <v>1600.886</v>
      </c>
      <c r="E39" s="36">
        <v>790.80600000000004</v>
      </c>
      <c r="F39" s="36">
        <v>-1166.922</v>
      </c>
      <c r="G39" s="36">
        <v>-386.57600000000002</v>
      </c>
      <c r="H39" s="36">
        <v>2533.2440000000001</v>
      </c>
      <c r="I39" s="36">
        <v>1918.222</v>
      </c>
      <c r="J39" s="36">
        <v>-2775.9630000000002</v>
      </c>
      <c r="K39" s="36">
        <v>5945.4669999999996</v>
      </c>
      <c r="L39" s="36">
        <v>149.816</v>
      </c>
      <c r="M39" s="36">
        <v>454.589</v>
      </c>
      <c r="N39" s="36">
        <v>331.01499999999999</v>
      </c>
    </row>
    <row r="40" spans="1:14">
      <c r="A40" s="13">
        <v>4001211860</v>
      </c>
      <c r="B40" s="13" t="s">
        <v>120</v>
      </c>
      <c r="C40" s="13" t="s">
        <v>14</v>
      </c>
      <c r="D40" s="36"/>
      <c r="E40" s="36"/>
      <c r="F40" s="36"/>
      <c r="G40" s="36"/>
      <c r="H40" s="36"/>
      <c r="I40" s="36"/>
      <c r="J40" s="36"/>
      <c r="K40" s="36"/>
      <c r="L40" s="36"/>
      <c r="M40" s="36">
        <v>1850</v>
      </c>
      <c r="N40" s="36"/>
    </row>
    <row r="41" spans="1:14">
      <c r="A41" s="13">
        <v>4001211865</v>
      </c>
      <c r="B41" s="13" t="s">
        <v>121</v>
      </c>
      <c r="C41" s="13" t="s">
        <v>14</v>
      </c>
      <c r="D41" s="36"/>
      <c r="E41" s="36"/>
      <c r="F41" s="36"/>
      <c r="G41" s="36"/>
      <c r="H41" s="36"/>
      <c r="I41" s="36"/>
      <c r="J41" s="36"/>
      <c r="K41" s="36"/>
      <c r="L41" s="36"/>
      <c r="M41" s="36"/>
      <c r="N41" s="36"/>
    </row>
    <row r="42" spans="1:14">
      <c r="A42" s="13">
        <v>4001211940</v>
      </c>
      <c r="B42" s="13" t="s">
        <v>122</v>
      </c>
      <c r="C42" s="13" t="s">
        <v>14</v>
      </c>
      <c r="D42" s="36"/>
      <c r="E42" s="36"/>
      <c r="F42" s="36"/>
      <c r="G42" s="36"/>
      <c r="H42" s="36"/>
      <c r="I42" s="36"/>
      <c r="J42" s="36"/>
      <c r="K42" s="36"/>
      <c r="L42" s="36"/>
      <c r="M42" s="36"/>
      <c r="N42" s="36"/>
    </row>
    <row r="43" spans="1:14">
      <c r="A43" s="13">
        <v>4001290190</v>
      </c>
      <c r="B43" s="13" t="s">
        <v>123</v>
      </c>
      <c r="C43" s="13" t="s">
        <v>14</v>
      </c>
      <c r="D43" s="36"/>
      <c r="E43" s="36"/>
      <c r="F43" s="36"/>
      <c r="G43" s="36"/>
      <c r="H43" s="36"/>
      <c r="I43" s="36"/>
      <c r="J43" s="36"/>
      <c r="K43" s="36"/>
      <c r="L43" s="36"/>
      <c r="M43" s="36"/>
      <c r="N43" s="36"/>
    </row>
    <row r="44" spans="1:14">
      <c r="A44" s="13">
        <v>4001290210</v>
      </c>
      <c r="B44" s="13" t="s">
        <v>124</v>
      </c>
      <c r="C44" s="13" t="s">
        <v>14</v>
      </c>
      <c r="D44" s="36"/>
      <c r="E44" s="36"/>
      <c r="F44" s="36"/>
      <c r="G44" s="36"/>
      <c r="H44" s="36"/>
      <c r="I44" s="36"/>
      <c r="J44" s="36"/>
      <c r="K44" s="36"/>
      <c r="L44" s="36"/>
      <c r="M44" s="36"/>
      <c r="N44" s="36"/>
    </row>
    <row r="45" spans="1:14">
      <c r="A45" s="13">
        <v>4001212060</v>
      </c>
      <c r="B45" s="13" t="s">
        <v>125</v>
      </c>
      <c r="C45" s="13" t="s">
        <v>14</v>
      </c>
      <c r="D45" s="36"/>
      <c r="E45" s="36"/>
      <c r="F45" s="36"/>
      <c r="G45" s="36"/>
      <c r="H45" s="36"/>
      <c r="I45" s="36"/>
      <c r="J45" s="36"/>
      <c r="K45" s="36"/>
      <c r="L45" s="36"/>
      <c r="M45" s="36"/>
      <c r="N45" s="36"/>
    </row>
    <row r="46" spans="1:14">
      <c r="A46" s="13">
        <v>4001212020</v>
      </c>
      <c r="B46" s="13" t="s">
        <v>126</v>
      </c>
      <c r="C46" s="13" t="s">
        <v>14</v>
      </c>
      <c r="D46" s="36"/>
      <c r="E46" s="36"/>
      <c r="F46" s="36"/>
      <c r="G46" s="36"/>
      <c r="H46" s="36"/>
      <c r="I46" s="36"/>
      <c r="J46" s="36"/>
      <c r="K46" s="36"/>
      <c r="L46" s="36"/>
      <c r="M46" s="36"/>
      <c r="N46" s="36"/>
    </row>
    <row r="47" spans="1:14">
      <c r="A47" s="13">
        <v>4001290230</v>
      </c>
      <c r="B47" s="13" t="s">
        <v>127</v>
      </c>
      <c r="C47" s="13" t="s">
        <v>14</v>
      </c>
      <c r="D47" s="36"/>
      <c r="E47" s="36"/>
      <c r="F47" s="36"/>
      <c r="G47" s="36"/>
      <c r="H47" s="36"/>
      <c r="I47" s="36"/>
      <c r="J47" s="36"/>
      <c r="K47" s="36"/>
      <c r="L47" s="36"/>
      <c r="M47" s="36"/>
      <c r="N47" s="36"/>
    </row>
    <row r="48" spans="1:14">
      <c r="A48" s="13">
        <v>4001290240</v>
      </c>
      <c r="B48" s="13" t="s">
        <v>128</v>
      </c>
      <c r="C48" s="13" t="s">
        <v>14</v>
      </c>
      <c r="D48" s="36">
        <v>3884.05</v>
      </c>
      <c r="E48" s="36">
        <v>1370.4970000000001</v>
      </c>
      <c r="F48" s="36">
        <v>2311.9679999999998</v>
      </c>
      <c r="G48" s="36">
        <v>2779.0990000000002</v>
      </c>
      <c r="H48" s="36">
        <v>3039.7809999999999</v>
      </c>
      <c r="I48" s="36">
        <v>4595.3770000000004</v>
      </c>
      <c r="J48" s="36">
        <v>2970.0720000000001</v>
      </c>
      <c r="K48" s="36">
        <v>3288.5210000000002</v>
      </c>
      <c r="L48" s="36">
        <v>2295.6</v>
      </c>
      <c r="M48" s="36">
        <v>22828.642</v>
      </c>
      <c r="N48" s="36">
        <v>-6174.0450000000001</v>
      </c>
    </row>
    <row r="49" spans="1:14">
      <c r="A49" s="13">
        <v>4001280000</v>
      </c>
      <c r="B49" s="13" t="s">
        <v>106</v>
      </c>
      <c r="C49" s="13" t="s">
        <v>14</v>
      </c>
      <c r="D49" s="36"/>
      <c r="E49" s="36"/>
      <c r="F49" s="36"/>
      <c r="G49" s="36"/>
      <c r="H49" s="36"/>
      <c r="I49" s="36"/>
      <c r="J49" s="36"/>
      <c r="K49" s="36"/>
      <c r="L49" s="36"/>
      <c r="M49" s="36"/>
      <c r="N49" s="36"/>
    </row>
    <row r="50" spans="1:14">
      <c r="A50" s="13">
        <v>4001280010</v>
      </c>
      <c r="B50" s="13" t="s">
        <v>107</v>
      </c>
      <c r="C50" s="13" t="s">
        <v>14</v>
      </c>
      <c r="D50" s="36"/>
      <c r="E50" s="36"/>
      <c r="F50" s="36"/>
      <c r="G50" s="36"/>
      <c r="H50" s="36"/>
      <c r="I50" s="36"/>
      <c r="J50" s="36"/>
      <c r="K50" s="36"/>
      <c r="L50" s="36"/>
      <c r="M50" s="36"/>
      <c r="N50" s="36"/>
    </row>
    <row r="51" spans="1:14">
      <c r="A51" s="13">
        <v>4001290250</v>
      </c>
      <c r="B51" s="13" t="s">
        <v>108</v>
      </c>
      <c r="C51" s="13" t="s">
        <v>14</v>
      </c>
      <c r="D51" s="36">
        <v>1544.8420000000001</v>
      </c>
      <c r="E51" s="36">
        <v>167.56800000000001</v>
      </c>
      <c r="F51" s="36">
        <v>906.21</v>
      </c>
      <c r="G51" s="36">
        <v>-509.24400000000003</v>
      </c>
      <c r="H51" s="36">
        <v>2037.124</v>
      </c>
      <c r="I51" s="36">
        <v>2051.8429999999998</v>
      </c>
      <c r="J51" s="36">
        <v>-595.23900000000003</v>
      </c>
      <c r="K51" s="36">
        <v>4037.7719999999999</v>
      </c>
      <c r="L51" s="36">
        <v>334.78</v>
      </c>
      <c r="M51" s="36">
        <v>-143.31700000000001</v>
      </c>
      <c r="N51" s="36">
        <v>3481.174</v>
      </c>
    </row>
    <row r="52" spans="1:14">
      <c r="A52" s="13">
        <v>4001280050</v>
      </c>
      <c r="B52" s="13" t="s">
        <v>129</v>
      </c>
      <c r="C52" s="13" t="s">
        <v>14</v>
      </c>
      <c r="D52" s="36"/>
      <c r="E52" s="36"/>
      <c r="F52" s="36"/>
      <c r="G52" s="36"/>
      <c r="H52" s="36"/>
      <c r="I52" s="36"/>
      <c r="J52" s="36"/>
      <c r="K52" s="36"/>
      <c r="L52" s="36"/>
      <c r="M52" s="36"/>
      <c r="N52" s="36"/>
    </row>
    <row r="53" spans="1:14">
      <c r="A53" s="13">
        <v>4001280060</v>
      </c>
      <c r="B53" s="13" t="s">
        <v>130</v>
      </c>
      <c r="C53" s="13" t="s">
        <v>14</v>
      </c>
      <c r="D53" s="36"/>
      <c r="E53" s="36"/>
      <c r="F53" s="36"/>
      <c r="G53" s="36"/>
      <c r="H53" s="36"/>
      <c r="I53" s="36"/>
      <c r="J53" s="36"/>
      <c r="K53" s="36"/>
      <c r="L53" s="36"/>
      <c r="M53" s="36"/>
      <c r="N53" s="36"/>
    </row>
    <row r="54" spans="1:14">
      <c r="A54" s="13">
        <v>4001280065</v>
      </c>
      <c r="B54" s="13" t="s">
        <v>131</v>
      </c>
      <c r="C54" s="13" t="s">
        <v>14</v>
      </c>
      <c r="D54" s="36"/>
      <c r="E54" s="36"/>
      <c r="F54" s="36"/>
      <c r="G54" s="36"/>
      <c r="H54" s="36"/>
      <c r="I54" s="36"/>
      <c r="J54" s="36"/>
      <c r="K54" s="36"/>
      <c r="L54" s="36"/>
      <c r="M54" s="36"/>
      <c r="N54" s="36"/>
    </row>
    <row r="55" spans="1:14">
      <c r="A55" s="13">
        <v>4001290260</v>
      </c>
      <c r="B55" s="13" t="s">
        <v>132</v>
      </c>
      <c r="C55" s="13" t="s">
        <v>14</v>
      </c>
      <c r="D55" s="36">
        <v>5.4379999999999997</v>
      </c>
      <c r="E55" s="36">
        <v>32.314999999999998</v>
      </c>
      <c r="F55" s="36">
        <v>48.11</v>
      </c>
      <c r="G55" s="36">
        <v>0.307</v>
      </c>
      <c r="H55" s="36">
        <v>861.85599999999999</v>
      </c>
      <c r="I55" s="36">
        <v>2108.1970000000001</v>
      </c>
      <c r="J55" s="36"/>
      <c r="K55" s="36">
        <v>3.0870000000000002</v>
      </c>
      <c r="L55" s="36">
        <v>30.221</v>
      </c>
      <c r="M55" s="36">
        <v>3.879</v>
      </c>
      <c r="N55" s="36">
        <v>5.9080000000000004</v>
      </c>
    </row>
    <row r="56" spans="1:14">
      <c r="A56" s="13">
        <v>4001280140</v>
      </c>
      <c r="B56" s="13" t="s">
        <v>133</v>
      </c>
      <c r="C56" s="13" t="s">
        <v>14</v>
      </c>
      <c r="D56" s="36"/>
      <c r="E56" s="36"/>
      <c r="F56" s="36"/>
      <c r="G56" s="36"/>
      <c r="H56" s="36"/>
      <c r="I56" s="36"/>
      <c r="J56" s="36"/>
      <c r="K56" s="36"/>
      <c r="L56" s="36"/>
      <c r="M56" s="36"/>
      <c r="N56" s="36"/>
    </row>
    <row r="57" spans="1:14">
      <c r="A57" s="13">
        <v>4001290280</v>
      </c>
      <c r="B57" s="13" t="s">
        <v>134</v>
      </c>
      <c r="C57" s="13" t="s">
        <v>14</v>
      </c>
      <c r="D57" s="36"/>
      <c r="E57" s="36"/>
      <c r="F57" s="36"/>
      <c r="G57" s="36"/>
      <c r="H57" s="36"/>
      <c r="I57" s="36"/>
      <c r="J57" s="36"/>
      <c r="K57" s="36"/>
      <c r="L57" s="36"/>
      <c r="M57" s="36"/>
      <c r="N57" s="36"/>
    </row>
    <row r="58" spans="1:14">
      <c r="A58" s="13">
        <v>4001290300</v>
      </c>
      <c r="B58" s="13" t="s">
        <v>115</v>
      </c>
      <c r="C58" s="13" t="s">
        <v>14</v>
      </c>
      <c r="D58" s="36">
        <v>2321.98</v>
      </c>
      <c r="E58" s="36">
        <v>1095.7639999999999</v>
      </c>
      <c r="F58" s="36">
        <v>1284.3030000000001</v>
      </c>
      <c r="G58" s="36">
        <v>3172.16</v>
      </c>
      <c r="H58" s="36">
        <v>69</v>
      </c>
      <c r="I58" s="36">
        <v>368.37</v>
      </c>
      <c r="J58" s="36">
        <v>3508.364</v>
      </c>
      <c r="K58" s="36">
        <v>-805.35400000000004</v>
      </c>
      <c r="L58" s="36">
        <v>1897.5619999999999</v>
      </c>
      <c r="M58" s="36">
        <v>22877.879000000001</v>
      </c>
      <c r="N58" s="36">
        <v>-9740.0650000000005</v>
      </c>
    </row>
    <row r="59" spans="1:14">
      <c r="A59" s="13">
        <v>4001280240</v>
      </c>
      <c r="B59" s="13" t="s">
        <v>135</v>
      </c>
      <c r="C59" s="13" t="s">
        <v>14</v>
      </c>
      <c r="D59" s="36">
        <v>3</v>
      </c>
      <c r="E59" s="36">
        <v>40.427</v>
      </c>
      <c r="F59" s="36">
        <v>44.7</v>
      </c>
      <c r="G59" s="36">
        <v>45.9</v>
      </c>
      <c r="H59" s="36">
        <v>45.9</v>
      </c>
      <c r="I59" s="36">
        <v>20.53</v>
      </c>
      <c r="J59" s="36">
        <v>10.5</v>
      </c>
      <c r="K59" s="36">
        <v>10.5</v>
      </c>
      <c r="L59" s="36">
        <v>24.26</v>
      </c>
      <c r="M59" s="36">
        <v>36.9</v>
      </c>
      <c r="N59" s="36">
        <v>37.5</v>
      </c>
    </row>
    <row r="60" spans="1:14">
      <c r="A60" s="13">
        <v>4001280250</v>
      </c>
      <c r="B60" s="13" t="s">
        <v>136</v>
      </c>
      <c r="C60" s="13" t="s">
        <v>14</v>
      </c>
      <c r="D60" s="36"/>
      <c r="E60" s="36"/>
      <c r="F60" s="36"/>
      <c r="G60" s="36"/>
      <c r="H60" s="36"/>
      <c r="I60" s="36"/>
      <c r="J60" s="36"/>
      <c r="K60" s="36"/>
      <c r="L60" s="36"/>
      <c r="M60" s="36"/>
      <c r="N60" s="36"/>
    </row>
    <row r="61" spans="1:14">
      <c r="A61" s="13">
        <v>4001280260</v>
      </c>
      <c r="B61" s="13" t="s">
        <v>137</v>
      </c>
      <c r="C61" s="13" t="s">
        <v>14</v>
      </c>
      <c r="D61" s="36"/>
      <c r="E61" s="36"/>
      <c r="F61" s="36"/>
      <c r="G61" s="36"/>
      <c r="H61" s="36"/>
      <c r="I61" s="36"/>
      <c r="J61" s="36"/>
      <c r="K61" s="36"/>
      <c r="L61" s="36"/>
      <c r="M61" s="36"/>
      <c r="N61" s="36"/>
    </row>
    <row r="62" spans="1:14">
      <c r="A62" s="13">
        <v>4001280270</v>
      </c>
      <c r="B62" s="13" t="s">
        <v>138</v>
      </c>
      <c r="C62" s="13" t="s">
        <v>14</v>
      </c>
      <c r="D62" s="36"/>
      <c r="E62" s="36"/>
      <c r="F62" s="36"/>
      <c r="G62" s="36"/>
      <c r="H62" s="36"/>
      <c r="I62" s="36"/>
      <c r="J62" s="36"/>
      <c r="K62" s="36"/>
      <c r="L62" s="36"/>
      <c r="M62" s="36"/>
      <c r="N62" s="36"/>
    </row>
    <row r="63" spans="1:14">
      <c r="A63" s="13">
        <v>4001280280</v>
      </c>
      <c r="B63" s="13" t="s">
        <v>139</v>
      </c>
      <c r="C63" s="13" t="s">
        <v>14</v>
      </c>
      <c r="D63" s="36"/>
      <c r="E63" s="36"/>
      <c r="F63" s="36"/>
      <c r="G63" s="36"/>
      <c r="H63" s="36"/>
      <c r="I63" s="36"/>
      <c r="J63" s="36"/>
      <c r="K63" s="36"/>
      <c r="L63" s="36"/>
      <c r="M63" s="36"/>
      <c r="N63" s="36"/>
    </row>
    <row r="64" spans="1:14">
      <c r="A64" s="13">
        <v>4001290310</v>
      </c>
      <c r="B64" s="13" t="s">
        <v>140</v>
      </c>
      <c r="C64" s="13" t="s">
        <v>14</v>
      </c>
      <c r="D64" s="36">
        <v>8.7899999999999991</v>
      </c>
      <c r="E64" s="36">
        <v>34.423000000000002</v>
      </c>
      <c r="F64" s="36">
        <v>28.645</v>
      </c>
      <c r="G64" s="36">
        <v>69.975999999999999</v>
      </c>
      <c r="H64" s="36">
        <v>25.901</v>
      </c>
      <c r="I64" s="36">
        <v>46.436999999999998</v>
      </c>
      <c r="J64" s="36">
        <v>46.447000000000003</v>
      </c>
      <c r="K64" s="36">
        <v>42.515999999999998</v>
      </c>
      <c r="L64" s="36">
        <v>8.7769999999999992</v>
      </c>
      <c r="M64" s="36">
        <v>53.301000000000002</v>
      </c>
      <c r="N64" s="36">
        <v>41.438000000000002</v>
      </c>
    </row>
    <row r="65" spans="1:14">
      <c r="A65" s="13">
        <v>4001290320</v>
      </c>
      <c r="B65" s="13" t="s">
        <v>141</v>
      </c>
      <c r="C65" s="13" t="s">
        <v>14</v>
      </c>
      <c r="D65" s="36">
        <v>10224.084999999999</v>
      </c>
      <c r="E65" s="36">
        <v>3350.3240000000001</v>
      </c>
      <c r="F65" s="36">
        <v>13001.045</v>
      </c>
      <c r="G65" s="36">
        <v>-2813.6570000000002</v>
      </c>
      <c r="H65" s="36">
        <v>15357.19</v>
      </c>
      <c r="I65" s="36">
        <v>11398.289000000001</v>
      </c>
      <c r="J65" s="36">
        <v>-7874.1350000000002</v>
      </c>
      <c r="K65" s="36">
        <v>40548.749000000003</v>
      </c>
      <c r="L65" s="36">
        <v>4444.6379999999999</v>
      </c>
      <c r="M65" s="36">
        <v>574.80399999999997</v>
      </c>
      <c r="N65" s="36">
        <v>1711.079</v>
      </c>
    </row>
    <row r="66" spans="1:14">
      <c r="A66" s="13">
        <v>4001280400</v>
      </c>
      <c r="B66" s="13" t="s">
        <v>118</v>
      </c>
      <c r="C66" s="13" t="s">
        <v>14</v>
      </c>
      <c r="D66" s="36"/>
      <c r="E66" s="36"/>
      <c r="F66" s="36"/>
      <c r="G66" s="36"/>
      <c r="H66" s="36"/>
      <c r="I66" s="36"/>
      <c r="J66" s="36"/>
      <c r="K66" s="36"/>
      <c r="L66" s="36"/>
      <c r="M66" s="36"/>
      <c r="N66" s="36"/>
    </row>
    <row r="67" spans="1:14">
      <c r="A67" s="13">
        <v>4001290330</v>
      </c>
      <c r="B67" s="13" t="s">
        <v>119</v>
      </c>
      <c r="C67" s="13" t="s">
        <v>14</v>
      </c>
      <c r="D67" s="36">
        <v>227.607</v>
      </c>
      <c r="E67" s="36">
        <v>379.01499999999999</v>
      </c>
      <c r="F67" s="36">
        <v>2802.4569999999999</v>
      </c>
      <c r="G67" s="36">
        <v>808.59</v>
      </c>
      <c r="H67" s="36">
        <v>60.173000000000002</v>
      </c>
      <c r="I67" s="36">
        <v>114.596</v>
      </c>
      <c r="J67" s="36">
        <v>1583.3019999999999</v>
      </c>
      <c r="K67" s="36">
        <v>-800.82100000000003</v>
      </c>
      <c r="L67" s="36">
        <v>451.23099999999999</v>
      </c>
      <c r="M67" s="36">
        <v>2544.4409999999998</v>
      </c>
      <c r="N67" s="36">
        <v>-624.072</v>
      </c>
    </row>
    <row r="68" spans="1:14">
      <c r="A68" s="13">
        <v>4001280440</v>
      </c>
      <c r="B68" s="13" t="s">
        <v>142</v>
      </c>
      <c r="C68" s="13" t="s">
        <v>14</v>
      </c>
      <c r="D68" s="36"/>
      <c r="E68" s="36"/>
      <c r="F68" s="36"/>
      <c r="G68" s="36"/>
      <c r="H68" s="36"/>
      <c r="I68" s="36"/>
      <c r="J68" s="36"/>
      <c r="K68" s="36"/>
      <c r="L68" s="36"/>
      <c r="M68" s="36"/>
      <c r="N68" s="36"/>
    </row>
    <row r="69" spans="1:14">
      <c r="A69" s="13">
        <v>4001280450</v>
      </c>
      <c r="B69" s="13" t="s">
        <v>143</v>
      </c>
      <c r="C69" s="13" t="s">
        <v>14</v>
      </c>
      <c r="D69" s="36"/>
      <c r="E69" s="36"/>
      <c r="F69" s="36"/>
      <c r="G69" s="36"/>
      <c r="H69" s="36"/>
      <c r="I69" s="36"/>
      <c r="J69" s="36"/>
      <c r="K69" s="36"/>
      <c r="L69" s="36"/>
      <c r="M69" s="36"/>
      <c r="N69" s="36"/>
    </row>
    <row r="70" spans="1:14">
      <c r="A70" s="13">
        <v>4001280455</v>
      </c>
      <c r="B70" s="13" t="s">
        <v>144</v>
      </c>
      <c r="C70" s="13" t="s">
        <v>14</v>
      </c>
      <c r="D70" s="36"/>
      <c r="E70" s="36"/>
      <c r="F70" s="36"/>
      <c r="G70" s="36"/>
      <c r="H70" s="36"/>
      <c r="I70" s="36"/>
      <c r="J70" s="36"/>
      <c r="K70" s="36"/>
      <c r="L70" s="36"/>
      <c r="M70" s="36"/>
      <c r="N70" s="36"/>
    </row>
    <row r="71" spans="1:14">
      <c r="A71" s="13">
        <v>4001290340</v>
      </c>
      <c r="B71" s="13" t="s">
        <v>145</v>
      </c>
      <c r="C71" s="13" t="s">
        <v>14</v>
      </c>
      <c r="D71" s="36"/>
      <c r="E71" s="36"/>
      <c r="F71" s="36"/>
      <c r="G71" s="36"/>
      <c r="H71" s="36">
        <v>256.899</v>
      </c>
      <c r="I71" s="36">
        <v>-228.32300000000001</v>
      </c>
      <c r="J71" s="36"/>
      <c r="K71" s="36">
        <v>1E-3</v>
      </c>
      <c r="L71" s="36">
        <v>0.19900000000000001</v>
      </c>
      <c r="M71" s="36"/>
      <c r="N71" s="36"/>
    </row>
    <row r="72" spans="1:14">
      <c r="A72" s="13">
        <v>4001280540</v>
      </c>
      <c r="B72" s="13" t="s">
        <v>146</v>
      </c>
      <c r="C72" s="13" t="s">
        <v>14</v>
      </c>
      <c r="D72" s="36"/>
      <c r="E72" s="36"/>
      <c r="F72" s="36"/>
      <c r="G72" s="36"/>
      <c r="H72" s="36"/>
      <c r="I72" s="36"/>
      <c r="J72" s="36"/>
      <c r="K72" s="36"/>
      <c r="L72" s="36"/>
      <c r="M72" s="36"/>
      <c r="N72" s="36"/>
    </row>
    <row r="73" spans="1:14">
      <c r="A73" s="13">
        <v>4001290360</v>
      </c>
      <c r="B73" s="13" t="s">
        <v>147</v>
      </c>
      <c r="C73" s="13" t="s">
        <v>14</v>
      </c>
      <c r="D73" s="36"/>
      <c r="E73" s="36"/>
      <c r="F73" s="36"/>
      <c r="G73" s="36">
        <v>3196.248</v>
      </c>
      <c r="H73" s="36"/>
      <c r="I73" s="36"/>
      <c r="J73" s="36"/>
      <c r="K73" s="36">
        <v>8008.6719999999996</v>
      </c>
      <c r="L73" s="36">
        <v>1.67</v>
      </c>
      <c r="M73" s="36">
        <v>-1.67</v>
      </c>
      <c r="N73" s="36"/>
    </row>
    <row r="74" spans="1:14">
      <c r="A74" s="13">
        <v>4001290380</v>
      </c>
      <c r="B74" s="13" t="s">
        <v>126</v>
      </c>
      <c r="C74" s="13" t="s">
        <v>14</v>
      </c>
      <c r="D74" s="36">
        <v>9880.0429999999997</v>
      </c>
      <c r="E74" s="36">
        <v>2872.55</v>
      </c>
      <c r="F74" s="36">
        <v>10162.204</v>
      </c>
      <c r="G74" s="36">
        <v>-6857.9139999999998</v>
      </c>
      <c r="H74" s="36">
        <v>14992.432000000001</v>
      </c>
      <c r="I74" s="36">
        <v>11189.196</v>
      </c>
      <c r="J74" s="36">
        <v>-9465.8169999999991</v>
      </c>
      <c r="K74" s="36">
        <v>33337.794999999998</v>
      </c>
      <c r="L74" s="36">
        <v>3969.3760000000002</v>
      </c>
      <c r="M74" s="36">
        <v>-1971.068</v>
      </c>
      <c r="N74" s="36">
        <v>2332.346</v>
      </c>
    </row>
    <row r="75" spans="1:14">
      <c r="A75" s="13">
        <v>4001280650</v>
      </c>
      <c r="B75" s="13" t="s">
        <v>148</v>
      </c>
      <c r="C75" s="13" t="s">
        <v>14</v>
      </c>
      <c r="D75" s="36"/>
      <c r="E75" s="36"/>
      <c r="F75" s="36"/>
      <c r="G75" s="36"/>
      <c r="H75" s="36"/>
      <c r="I75" s="36"/>
      <c r="J75" s="36"/>
      <c r="K75" s="36"/>
      <c r="L75" s="36"/>
      <c r="M75" s="36"/>
      <c r="N75" s="36"/>
    </row>
    <row r="76" spans="1:14">
      <c r="A76" s="13">
        <v>4001280660</v>
      </c>
      <c r="B76" s="13" t="s">
        <v>149</v>
      </c>
      <c r="C76" s="13" t="s">
        <v>14</v>
      </c>
      <c r="D76" s="36"/>
      <c r="E76" s="36"/>
      <c r="F76" s="36"/>
      <c r="G76" s="36"/>
      <c r="H76" s="36"/>
      <c r="I76" s="36"/>
      <c r="J76" s="36"/>
      <c r="K76" s="36"/>
      <c r="L76" s="36"/>
      <c r="M76" s="36"/>
      <c r="N76" s="36"/>
    </row>
    <row r="77" spans="1:14">
      <c r="A77" s="13">
        <v>4001290390</v>
      </c>
      <c r="B77" s="13" t="s">
        <v>140</v>
      </c>
      <c r="C77" s="13" t="s">
        <v>14</v>
      </c>
      <c r="D77" s="36">
        <v>116.435</v>
      </c>
      <c r="E77" s="36">
        <v>98.759</v>
      </c>
      <c r="F77" s="36">
        <v>36.384</v>
      </c>
      <c r="G77" s="36">
        <v>39.418999999999997</v>
      </c>
      <c r="H77" s="36">
        <v>47.686</v>
      </c>
      <c r="I77" s="36">
        <v>322.82</v>
      </c>
      <c r="J77" s="36">
        <v>8.3800000000000008</v>
      </c>
      <c r="K77" s="36">
        <v>3.1019999999999999</v>
      </c>
      <c r="L77" s="36">
        <v>22.161999999999999</v>
      </c>
      <c r="M77" s="36">
        <v>3.101</v>
      </c>
      <c r="N77" s="36">
        <v>2.8050000000000002</v>
      </c>
    </row>
    <row r="78" spans="1:14">
      <c r="A78" s="13">
        <v>4001290640</v>
      </c>
      <c r="B78" s="13" t="s">
        <v>150</v>
      </c>
      <c r="C78" s="13" t="s">
        <v>14</v>
      </c>
      <c r="D78" s="36"/>
      <c r="E78" s="36"/>
      <c r="F78" s="36"/>
      <c r="G78" s="36"/>
      <c r="H78" s="36"/>
      <c r="I78" s="36"/>
      <c r="J78" s="36"/>
      <c r="K78" s="36"/>
      <c r="L78" s="36"/>
      <c r="M78" s="36"/>
      <c r="N78" s="36"/>
    </row>
    <row r="79" spans="1:14">
      <c r="A79" s="13">
        <v>4001290650</v>
      </c>
      <c r="B79" s="13" t="s">
        <v>151</v>
      </c>
      <c r="C79" s="13" t="s">
        <v>14</v>
      </c>
      <c r="D79" s="36"/>
      <c r="E79" s="36"/>
      <c r="F79" s="36"/>
      <c r="G79" s="36"/>
      <c r="H79" s="36"/>
      <c r="I79" s="36"/>
      <c r="J79" s="36"/>
      <c r="K79" s="36"/>
      <c r="L79" s="36"/>
      <c r="M79" s="36"/>
      <c r="N79" s="36"/>
    </row>
    <row r="80" spans="1:14">
      <c r="A80" s="13">
        <v>4001290680</v>
      </c>
      <c r="B80" s="13" t="s">
        <v>152</v>
      </c>
      <c r="C80" s="13" t="s">
        <v>14</v>
      </c>
      <c r="D80" s="36"/>
      <c r="E80" s="36"/>
      <c r="F80" s="36"/>
      <c r="G80" s="36"/>
      <c r="H80" s="36"/>
      <c r="I80" s="36"/>
      <c r="J80" s="36"/>
      <c r="K80" s="36"/>
      <c r="L80" s="36"/>
      <c r="M80" s="36"/>
      <c r="N80" s="36"/>
    </row>
    <row r="81" spans="1:14">
      <c r="A81" s="13">
        <v>4001290710</v>
      </c>
      <c r="B81" s="13" t="s">
        <v>153</v>
      </c>
      <c r="C81" s="13" t="s">
        <v>14</v>
      </c>
      <c r="D81" s="36"/>
      <c r="E81" s="36"/>
      <c r="F81" s="36"/>
      <c r="G81" s="36"/>
      <c r="H81" s="36"/>
      <c r="I81" s="36"/>
      <c r="J81" s="36"/>
      <c r="K81" s="36"/>
      <c r="L81" s="36"/>
      <c r="M81" s="36"/>
      <c r="N81" s="36"/>
    </row>
    <row r="82" spans="1:14">
      <c r="A82" s="13">
        <v>4001290740</v>
      </c>
      <c r="B82" s="13" t="s">
        <v>140</v>
      </c>
      <c r="C82" s="13" t="s">
        <v>14</v>
      </c>
      <c r="D82" s="36"/>
      <c r="E82" s="36"/>
      <c r="F82" s="36"/>
      <c r="G82" s="36"/>
      <c r="H82" s="36"/>
      <c r="I82" s="36"/>
      <c r="J82" s="36"/>
      <c r="K82" s="36"/>
      <c r="L82" s="36"/>
      <c r="M82" s="36"/>
      <c r="N82" s="36"/>
    </row>
    <row r="83" spans="1:14">
      <c r="A83" s="13">
        <v>4001212380</v>
      </c>
      <c r="B83" s="13" t="s">
        <v>154</v>
      </c>
      <c r="C83" s="13" t="s">
        <v>14</v>
      </c>
      <c r="D83" s="36">
        <v>-8004.5285400000002</v>
      </c>
      <c r="E83" s="36">
        <v>-884.3424</v>
      </c>
      <c r="F83" s="36">
        <v>-13110.476930000001</v>
      </c>
      <c r="G83" s="36">
        <v>9113.1950199999992</v>
      </c>
      <c r="H83" s="36">
        <v>-10625.95139</v>
      </c>
      <c r="I83" s="36">
        <v>-2825.5715</v>
      </c>
      <c r="J83" s="36">
        <v>17841.865330000001</v>
      </c>
      <c r="K83" s="36">
        <v>-39808.184580000001</v>
      </c>
      <c r="L83" s="36">
        <v>-1728.2468100000001</v>
      </c>
      <c r="M83" s="36">
        <v>27983.326809999999</v>
      </c>
      <c r="N83" s="36">
        <v>-8155.23225</v>
      </c>
    </row>
    <row r="84" spans="1:14">
      <c r="A84" s="13">
        <v>4001212390</v>
      </c>
      <c r="B84" s="13" t="s">
        <v>155</v>
      </c>
      <c r="C84" s="13" t="s">
        <v>14</v>
      </c>
      <c r="D84" s="36">
        <v>-776.35284999999999</v>
      </c>
      <c r="E84" s="36">
        <v>78.072280000000006</v>
      </c>
      <c r="F84" s="36">
        <v>-1537.1441</v>
      </c>
      <c r="G84" s="36">
        <v>446.60327000000001</v>
      </c>
      <c r="H84" s="36">
        <v>-2410.7002000000002</v>
      </c>
      <c r="I84" s="36">
        <v>-1401.3292799999999</v>
      </c>
      <c r="J84" s="36">
        <v>3736.75668</v>
      </c>
      <c r="K84" s="36">
        <v>-13372.116120000001</v>
      </c>
      <c r="L84" s="36">
        <v>-140.89089999999999</v>
      </c>
      <c r="M84" s="36">
        <v>6260.4964300000001</v>
      </c>
      <c r="N84" s="36">
        <v>-1468.3379399999999</v>
      </c>
    </row>
    <row r="85" spans="1:14">
      <c r="A85" s="13">
        <v>4001212400</v>
      </c>
      <c r="B85" s="13" t="s">
        <v>156</v>
      </c>
      <c r="C85" s="13" t="s">
        <v>14</v>
      </c>
      <c r="D85" s="36"/>
      <c r="E85" s="36"/>
      <c r="F85" s="36"/>
      <c r="G85" s="36"/>
      <c r="H85" s="36"/>
      <c r="I85" s="36"/>
      <c r="J85" s="36"/>
      <c r="K85" s="36"/>
      <c r="L85" s="36"/>
      <c r="M85" s="36"/>
      <c r="N85" s="36"/>
    </row>
    <row r="86" spans="1:14">
      <c r="A86" s="13">
        <v>4001212410</v>
      </c>
      <c r="B86" s="13" t="s">
        <v>157</v>
      </c>
      <c r="C86" s="13" t="s">
        <v>14</v>
      </c>
      <c r="D86" s="36"/>
      <c r="E86" s="36"/>
      <c r="F86" s="36"/>
      <c r="G86" s="36"/>
      <c r="H86" s="36"/>
      <c r="I86" s="36"/>
      <c r="J86" s="36"/>
      <c r="K86" s="36"/>
      <c r="L86" s="36"/>
      <c r="M86" s="36"/>
      <c r="N86" s="36"/>
    </row>
    <row r="87" spans="1:14">
      <c r="A87" s="13">
        <v>4001212420</v>
      </c>
      <c r="B87" s="13" t="s">
        <v>158</v>
      </c>
      <c r="C87" s="13" t="s">
        <v>14</v>
      </c>
      <c r="D87" s="36">
        <v>-7228.17569</v>
      </c>
      <c r="E87" s="36">
        <v>-962.41467999999998</v>
      </c>
      <c r="F87" s="36">
        <v>-11573.332839999999</v>
      </c>
      <c r="G87" s="36">
        <v>8666.5917700000009</v>
      </c>
      <c r="H87" s="36">
        <v>-8215.2511900000009</v>
      </c>
      <c r="I87" s="36">
        <v>-1424.2422099999999</v>
      </c>
      <c r="J87" s="36">
        <v>14105.10866</v>
      </c>
      <c r="K87" s="36">
        <v>-26436.068480000002</v>
      </c>
      <c r="L87" s="36">
        <v>-1587.35592</v>
      </c>
      <c r="M87" s="36">
        <v>21722.830379999999</v>
      </c>
      <c r="N87" s="36">
        <v>-6686.8943099999997</v>
      </c>
    </row>
    <row r="88" spans="1:14">
      <c r="A88" s="13">
        <v>4001212430</v>
      </c>
      <c r="B88" s="13" t="s">
        <v>159</v>
      </c>
      <c r="C88" s="13" t="s">
        <v>14</v>
      </c>
      <c r="D88" s="36"/>
      <c r="E88" s="36"/>
      <c r="F88" s="36"/>
      <c r="G88" s="36"/>
      <c r="H88" s="36"/>
      <c r="I88" s="36"/>
      <c r="J88" s="36"/>
      <c r="K88" s="36"/>
      <c r="L88" s="36"/>
      <c r="M88" s="36"/>
      <c r="N88" s="36"/>
    </row>
    <row r="89" spans="1:14">
      <c r="A89" s="13">
        <v>4001212450</v>
      </c>
      <c r="B89" s="13" t="s">
        <v>160</v>
      </c>
      <c r="C89" s="13" t="s">
        <v>14</v>
      </c>
      <c r="D89" s="36">
        <v>-7228.17569</v>
      </c>
      <c r="E89" s="36">
        <v>-962.41467999999998</v>
      </c>
      <c r="F89" s="36">
        <v>-11573.332839999999</v>
      </c>
      <c r="G89" s="36">
        <v>8666.5917700000009</v>
      </c>
      <c r="H89" s="36">
        <v>-8215.2511900000009</v>
      </c>
      <c r="I89" s="36">
        <v>-1424.2422099999999</v>
      </c>
      <c r="J89" s="36">
        <v>14105.10866</v>
      </c>
      <c r="K89" s="36">
        <v>-26436.068480000002</v>
      </c>
      <c r="L89" s="36">
        <v>-1587.35592</v>
      </c>
      <c r="M89" s="36">
        <v>21722.830379999999</v>
      </c>
      <c r="N89" s="36">
        <v>-6686.8943099999997</v>
      </c>
    </row>
    <row r="90" spans="1:14">
      <c r="A90" s="13">
        <v>4001220000</v>
      </c>
      <c r="B90" s="13" t="s">
        <v>161</v>
      </c>
      <c r="C90" s="13" t="s">
        <v>14</v>
      </c>
      <c r="D90" s="36">
        <v>-1207.75171</v>
      </c>
      <c r="E90" s="36">
        <v>644.60171000000003</v>
      </c>
      <c r="F90" s="36">
        <v>576.04548999999997</v>
      </c>
      <c r="G90" s="36">
        <v>-853.01478999999995</v>
      </c>
      <c r="H90" s="36">
        <v>-440.86964999999998</v>
      </c>
      <c r="I90" s="36">
        <v>-155.65448000000001</v>
      </c>
      <c r="J90" s="36">
        <v>75.424639999999997</v>
      </c>
      <c r="K90" s="36">
        <v>-145.68639999999999</v>
      </c>
      <c r="L90" s="36">
        <v>-1416.10501</v>
      </c>
      <c r="M90" s="36">
        <v>685.78781000000004</v>
      </c>
      <c r="N90" s="36">
        <v>597.65611999999999</v>
      </c>
    </row>
    <row r="91" spans="1:14">
      <c r="A91" s="13">
        <v>4001220120</v>
      </c>
      <c r="B91" s="13" t="s">
        <v>162</v>
      </c>
      <c r="C91" s="13" t="s">
        <v>14</v>
      </c>
      <c r="D91" s="36">
        <v>-8435.9274000000005</v>
      </c>
      <c r="E91" s="36">
        <v>-317.81297000000001</v>
      </c>
      <c r="F91" s="36">
        <v>-10997.287350000001</v>
      </c>
      <c r="G91" s="36">
        <v>7813.5769799999998</v>
      </c>
      <c r="H91" s="36">
        <v>-8656.1208399999996</v>
      </c>
      <c r="I91" s="36">
        <v>-1579.89669</v>
      </c>
      <c r="J91" s="36">
        <v>14180.533299999999</v>
      </c>
      <c r="K91" s="36">
        <v>-26581.75488</v>
      </c>
      <c r="L91" s="36">
        <v>-3003.4609300000002</v>
      </c>
      <c r="M91" s="36">
        <v>22408.618190000001</v>
      </c>
      <c r="N91" s="36">
        <v>-6089.23819</v>
      </c>
    </row>
    <row r="92" spans="1:14">
      <c r="A92" s="13">
        <v>4001230000</v>
      </c>
      <c r="B92" s="13" t="s">
        <v>163</v>
      </c>
      <c r="C92" s="13" t="s">
        <v>14</v>
      </c>
      <c r="D92" s="36">
        <v>-6226.9135900000001</v>
      </c>
      <c r="E92" s="36">
        <v>-440.56123000000002</v>
      </c>
      <c r="F92" s="36">
        <v>-11253.54394</v>
      </c>
      <c r="G92" s="36">
        <v>8611.3801100000001</v>
      </c>
      <c r="H92" s="36">
        <v>-8251.3096000000005</v>
      </c>
      <c r="I92" s="36">
        <v>-1138.4768200000001</v>
      </c>
      <c r="J92" s="36">
        <v>14599.37004</v>
      </c>
      <c r="K92" s="36">
        <v>-26090.96027</v>
      </c>
      <c r="L92" s="36">
        <v>-1326.1643999999999</v>
      </c>
      <c r="M92" s="36">
        <v>21499.899789999999</v>
      </c>
      <c r="N92" s="36">
        <v>-6180.4200300000002</v>
      </c>
    </row>
    <row r="93" spans="1:14">
      <c r="A93" s="13">
        <v>4001230030</v>
      </c>
      <c r="B93" s="13" t="s">
        <v>164</v>
      </c>
      <c r="C93" s="13" t="s">
        <v>14</v>
      </c>
      <c r="D93" s="36">
        <v>-1001.26211</v>
      </c>
      <c r="E93" s="36">
        <v>-521.85346000000004</v>
      </c>
      <c r="F93" s="36">
        <v>-319.78890000000001</v>
      </c>
      <c r="G93" s="36">
        <v>55.211680000000001</v>
      </c>
      <c r="H93" s="36">
        <v>36.058410000000002</v>
      </c>
      <c r="I93" s="36">
        <v>-285.76539000000002</v>
      </c>
      <c r="J93" s="36">
        <v>-494.26137999999997</v>
      </c>
      <c r="K93" s="36">
        <v>-345.10820000000001</v>
      </c>
      <c r="L93" s="36">
        <v>-261.19152000000003</v>
      </c>
      <c r="M93" s="36">
        <v>222.93059</v>
      </c>
      <c r="N93" s="36">
        <v>-506.47428000000002</v>
      </c>
    </row>
    <row r="94" spans="1:14">
      <c r="A94" s="13">
        <v>4001230060</v>
      </c>
      <c r="B94" s="13" t="s">
        <v>165</v>
      </c>
      <c r="C94" s="13" t="s">
        <v>14</v>
      </c>
      <c r="D94" s="36">
        <v>-7378.6535899999999</v>
      </c>
      <c r="E94" s="36">
        <v>196.25246000000001</v>
      </c>
      <c r="F94" s="36">
        <v>-10691.489530000001</v>
      </c>
      <c r="G94" s="36">
        <v>7812.0161699999999</v>
      </c>
      <c r="H94" s="36">
        <v>-8685.9180300000007</v>
      </c>
      <c r="I94" s="36">
        <v>-1271.42309</v>
      </c>
      <c r="J94" s="36">
        <v>14691.39795</v>
      </c>
      <c r="K94" s="36">
        <v>-26237.78414</v>
      </c>
      <c r="L94" s="36">
        <v>-2670.5680200000002</v>
      </c>
      <c r="M94" s="36">
        <v>22178.274119999998</v>
      </c>
      <c r="N94" s="36">
        <v>-5595.1509699999997</v>
      </c>
    </row>
    <row r="95" spans="1:14">
      <c r="A95" s="13">
        <v>4001230070</v>
      </c>
      <c r="B95" s="13" t="s">
        <v>166</v>
      </c>
      <c r="C95" s="13" t="s">
        <v>14</v>
      </c>
      <c r="D95" s="36">
        <v>-1057.2737999999999</v>
      </c>
      <c r="E95" s="36">
        <v>-514.06542999999999</v>
      </c>
      <c r="F95" s="36">
        <v>-305.79782</v>
      </c>
      <c r="G95" s="36">
        <v>1.5608</v>
      </c>
      <c r="H95" s="36">
        <v>29.797190000000001</v>
      </c>
      <c r="I95" s="36">
        <v>-308.47361000000001</v>
      </c>
      <c r="J95" s="36">
        <v>-510.86464999999998</v>
      </c>
      <c r="K95" s="36">
        <v>-343.97071999999997</v>
      </c>
      <c r="L95" s="36">
        <v>-332.89290999999997</v>
      </c>
      <c r="M95" s="36">
        <v>230.34407999999999</v>
      </c>
      <c r="N95" s="36">
        <v>-494.08722</v>
      </c>
    </row>
    <row r="96" spans="1:14">
      <c r="A96" s="13">
        <v>4001230080</v>
      </c>
      <c r="B96" s="13" t="s">
        <v>167</v>
      </c>
      <c r="C96" s="13" t="s">
        <v>69</v>
      </c>
      <c r="D96" s="36"/>
      <c r="E96" s="36"/>
      <c r="F96" s="36"/>
      <c r="G96" s="36"/>
      <c r="H96" s="36"/>
      <c r="I96" s="36"/>
      <c r="J96" s="36"/>
      <c r="K96" s="36"/>
      <c r="L96" s="36"/>
      <c r="M96" s="36"/>
      <c r="N96" s="36"/>
    </row>
    <row r="97" spans="1:14">
      <c r="A97" s="13">
        <v>4001230090</v>
      </c>
      <c r="B97" s="13" t="s">
        <v>168</v>
      </c>
      <c r="C97" s="13" t="s">
        <v>69</v>
      </c>
      <c r="D97" s="36"/>
      <c r="E97" s="36"/>
      <c r="F97" s="36"/>
      <c r="G97" s="36"/>
      <c r="H97" s="36"/>
      <c r="I97" s="36"/>
      <c r="J97" s="36"/>
      <c r="K97" s="36"/>
      <c r="L97" s="36"/>
      <c r="M97" s="36"/>
      <c r="N97" s="36"/>
    </row>
    <row r="98" spans="1:14">
      <c r="A98" s="13">
        <v>4001230100</v>
      </c>
      <c r="B98" s="13" t="s">
        <v>169</v>
      </c>
      <c r="C98" s="13" t="s">
        <v>69</v>
      </c>
      <c r="D98" s="36"/>
      <c r="E98" s="36"/>
      <c r="F98" s="36"/>
      <c r="G98" s="36"/>
      <c r="H98" s="36"/>
      <c r="I98" s="36"/>
      <c r="J98" s="36"/>
      <c r="K98" s="36"/>
      <c r="L98" s="36"/>
      <c r="M98" s="36"/>
      <c r="N98" s="36"/>
    </row>
    <row r="99" spans="1:14">
      <c r="A99" s="13">
        <v>4001230110</v>
      </c>
      <c r="B99" s="13" t="s">
        <v>170</v>
      </c>
      <c r="C99" s="13" t="s">
        <v>69</v>
      </c>
      <c r="D99" s="36"/>
      <c r="E99" s="36"/>
      <c r="F99" s="36"/>
      <c r="G99" s="36"/>
      <c r="H99" s="36"/>
      <c r="I99" s="36"/>
      <c r="J99" s="36"/>
      <c r="K99" s="36"/>
      <c r="L99" s="36"/>
      <c r="M99" s="36"/>
      <c r="N99" s="36"/>
    </row>
    <row r="100" spans="1:14">
      <c r="A100" s="13">
        <v>4001230120</v>
      </c>
      <c r="B100" s="13" t="s">
        <v>171</v>
      </c>
      <c r="C100" s="13" t="s">
        <v>69</v>
      </c>
      <c r="D100" s="36">
        <v>-174</v>
      </c>
      <c r="E100" s="36">
        <v>-12</v>
      </c>
      <c r="F100" s="36">
        <v>-315</v>
      </c>
      <c r="G100" s="36">
        <v>241</v>
      </c>
      <c r="H100" s="36">
        <v>-231</v>
      </c>
      <c r="I100" s="36">
        <v>-32</v>
      </c>
      <c r="J100" s="36">
        <v>408</v>
      </c>
      <c r="K100" s="36">
        <v>-729</v>
      </c>
      <c r="L100" s="36">
        <v>-37</v>
      </c>
      <c r="M100" s="36">
        <v>602</v>
      </c>
      <c r="N100" s="36">
        <v>-173</v>
      </c>
    </row>
    <row r="101" spans="1:14">
      <c r="A101" s="13">
        <v>4001230130</v>
      </c>
      <c r="B101" s="13" t="s">
        <v>172</v>
      </c>
      <c r="C101" s="13" t="s">
        <v>69</v>
      </c>
      <c r="D101" s="36">
        <v>-174</v>
      </c>
      <c r="E101" s="36">
        <v>-12</v>
      </c>
      <c r="F101" s="36">
        <v>-315</v>
      </c>
      <c r="G101" s="36">
        <v>241</v>
      </c>
      <c r="H101" s="36">
        <v>-231</v>
      </c>
      <c r="I101" s="36">
        <v>-32</v>
      </c>
      <c r="J101" s="36">
        <v>408</v>
      </c>
      <c r="K101" s="36">
        <v>-729</v>
      </c>
      <c r="L101" s="36">
        <v>-37</v>
      </c>
      <c r="M101" s="36">
        <v>602</v>
      </c>
      <c r="N101" s="36">
        <v>-173</v>
      </c>
    </row>
    <row r="102" spans="1:14">
      <c r="A102" s="13">
        <v>4001230140</v>
      </c>
      <c r="B102" s="13" t="s">
        <v>173</v>
      </c>
      <c r="C102" s="13" t="s">
        <v>69</v>
      </c>
      <c r="D102" s="36"/>
      <c r="E102" s="36"/>
      <c r="F102" s="36"/>
      <c r="G102" s="36"/>
      <c r="H102" s="36"/>
      <c r="I102" s="36"/>
      <c r="J102" s="36"/>
      <c r="K102" s="36"/>
      <c r="L102" s="36"/>
      <c r="M102" s="36"/>
    </row>
    <row r="103" spans="1:14">
      <c r="A103" s="13">
        <v>4001230150</v>
      </c>
      <c r="B103" s="13" t="s">
        <v>174</v>
      </c>
      <c r="C103" s="13" t="s">
        <v>69</v>
      </c>
      <c r="D103" s="36"/>
      <c r="E103" s="36"/>
      <c r="F103" s="36"/>
      <c r="G103" s="36"/>
      <c r="H103" s="36"/>
      <c r="I103" s="36"/>
      <c r="J103" s="36"/>
      <c r="K103" s="36"/>
      <c r="L103" s="36"/>
      <c r="M103" s="36"/>
    </row>
    <row r="104" spans="1:14">
      <c r="A104" s="38"/>
      <c r="B104" s="38"/>
      <c r="C104" s="38"/>
      <c r="D104" s="36"/>
      <c r="E104" s="36"/>
      <c r="F104" s="36"/>
      <c r="G104" s="36"/>
      <c r="H104" s="36"/>
      <c r="I104" s="36"/>
      <c r="J104" s="36"/>
      <c r="K104" s="36"/>
      <c r="L104" s="36"/>
      <c r="M104" s="36"/>
    </row>
    <row r="105" spans="1:14">
      <c r="D105" s="37"/>
      <c r="E105" s="37"/>
      <c r="F105" s="37"/>
      <c r="G105" s="37"/>
      <c r="H105" s="37"/>
      <c r="I105" s="37"/>
      <c r="J105" s="37"/>
      <c r="K105" s="37"/>
      <c r="L105" s="37"/>
      <c r="M105" s="37"/>
    </row>
    <row r="106" spans="1:14">
      <c r="D106" s="37"/>
      <c r="E106" s="37"/>
      <c r="F106" s="37"/>
      <c r="G106" s="37"/>
      <c r="H106" s="37"/>
      <c r="I106" s="37"/>
      <c r="J106" s="37"/>
      <c r="K106" s="37"/>
      <c r="L106" s="37"/>
      <c r="M106" s="37"/>
    </row>
    <row r="107" spans="1:14">
      <c r="D107" s="37"/>
      <c r="E107" s="37"/>
      <c r="F107" s="37"/>
      <c r="G107" s="37"/>
      <c r="H107" s="37"/>
      <c r="I107" s="37"/>
      <c r="J107" s="37"/>
      <c r="K107" s="37"/>
      <c r="L107" s="37"/>
      <c r="M107" s="37"/>
    </row>
  </sheetData>
  <phoneticPr fontId="3"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8D1DC-1734-448E-B40F-BEFC73407550}">
  <dimension ref="A2:E108"/>
  <sheetViews>
    <sheetView showGridLines="0" topLeftCell="B7" workbookViewId="0"/>
  </sheetViews>
  <sheetFormatPr defaultRowHeight="17"/>
  <cols>
    <col min="1" max="1" width="9.5" bestFit="1" customWidth="1"/>
    <col min="2" max="2" width="44.75" bestFit="1" customWidth="1"/>
    <col min="3" max="3" width="11.75" bestFit="1" customWidth="1"/>
    <col min="4" max="5" width="8.5" bestFit="1" customWidth="1"/>
  </cols>
  <sheetData>
    <row r="2" spans="1:5">
      <c r="A2" s="2" t="s">
        <v>0</v>
      </c>
      <c r="B2" s="2"/>
      <c r="C2" s="2"/>
      <c r="D2" s="2"/>
      <c r="E2" s="2"/>
    </row>
    <row r="3" spans="1:5">
      <c r="A3" s="3" t="s">
        <v>3</v>
      </c>
      <c r="B3" s="3" t="s">
        <v>82</v>
      </c>
      <c r="C3" s="3"/>
      <c r="D3" s="3"/>
      <c r="E3" s="3"/>
    </row>
    <row r="4" spans="1:5">
      <c r="A4" s="3" t="s">
        <v>4</v>
      </c>
      <c r="B4" s="7" t="s">
        <v>86</v>
      </c>
      <c r="C4" s="3" t="s">
        <v>1</v>
      </c>
      <c r="D4" s="3" t="s">
        <v>85</v>
      </c>
      <c r="E4" s="3"/>
    </row>
    <row r="5" spans="1:5">
      <c r="A5" s="3" t="s">
        <v>5</v>
      </c>
      <c r="B5" s="10" t="s">
        <v>175</v>
      </c>
      <c r="C5" s="3" t="s">
        <v>2</v>
      </c>
      <c r="D5" s="3"/>
      <c r="E5" s="3"/>
    </row>
    <row r="6" spans="1:5">
      <c r="A6" s="3" t="s">
        <v>6</v>
      </c>
      <c r="B6" s="8" t="s">
        <v>89</v>
      </c>
      <c r="C6" s="3"/>
      <c r="D6" s="3"/>
      <c r="E6" s="3"/>
    </row>
    <row r="7" spans="1:5">
      <c r="A7" s="3" t="s">
        <v>7</v>
      </c>
      <c r="B7" s="11" t="s">
        <v>84</v>
      </c>
      <c r="C7" s="8" t="s">
        <v>14</v>
      </c>
      <c r="D7" s="3"/>
      <c r="E7" s="3"/>
    </row>
    <row r="8" spans="1:5">
      <c r="A8" s="4" t="s">
        <v>81</v>
      </c>
      <c r="B8" s="9">
        <v>2023</v>
      </c>
      <c r="C8" s="7" t="s">
        <v>87</v>
      </c>
      <c r="D8" s="4"/>
      <c r="E8" s="4"/>
    </row>
    <row r="9" spans="1:5">
      <c r="A9" s="5" t="s">
        <v>9</v>
      </c>
      <c r="B9" s="12" t="s">
        <v>10</v>
      </c>
      <c r="C9" s="12" t="s">
        <v>11</v>
      </c>
      <c r="D9" s="5">
        <v>202312</v>
      </c>
      <c r="E9" s="5">
        <v>202412</v>
      </c>
    </row>
    <row r="10" spans="1:5">
      <c r="A10" s="6"/>
      <c r="B10" s="6"/>
      <c r="C10" s="6"/>
      <c r="D10" s="6" t="s">
        <v>12</v>
      </c>
      <c r="E10" s="6" t="s">
        <v>12</v>
      </c>
    </row>
    <row r="11" spans="1:5">
      <c r="A11" s="13">
        <v>4001210000</v>
      </c>
      <c r="B11" s="13" t="s">
        <v>90</v>
      </c>
      <c r="C11" s="13" t="s">
        <v>14</v>
      </c>
      <c r="D11" s="14">
        <v>133604.26026000001</v>
      </c>
      <c r="E11" s="14">
        <v>185507.17103</v>
      </c>
    </row>
    <row r="12" spans="1:5">
      <c r="A12" s="13">
        <v>4001210010</v>
      </c>
      <c r="B12" s="13" t="s">
        <v>91</v>
      </c>
      <c r="C12" s="13" t="s">
        <v>14</v>
      </c>
      <c r="D12" s="14"/>
      <c r="E12" s="14">
        <v>138289.85</v>
      </c>
    </row>
    <row r="13" spans="1:5">
      <c r="A13" s="13">
        <v>4001210020</v>
      </c>
      <c r="B13" s="13" t="s">
        <v>92</v>
      </c>
      <c r="C13" s="13" t="s">
        <v>14</v>
      </c>
      <c r="D13" s="14"/>
      <c r="E13" s="14">
        <v>47217.321000000004</v>
      </c>
    </row>
    <row r="14" spans="1:5">
      <c r="A14" s="13">
        <v>4001210320</v>
      </c>
      <c r="B14" s="13" t="s">
        <v>93</v>
      </c>
      <c r="C14" s="13" t="s">
        <v>14</v>
      </c>
      <c r="D14" s="14">
        <v>84056.217529999994</v>
      </c>
      <c r="E14" s="14">
        <v>114021.53436999999</v>
      </c>
    </row>
    <row r="15" spans="1:5">
      <c r="A15" s="13">
        <v>4001210780</v>
      </c>
      <c r="B15" s="13" t="s">
        <v>94</v>
      </c>
      <c r="C15" s="13" t="s">
        <v>14</v>
      </c>
      <c r="D15" s="14">
        <v>49548.042730000001</v>
      </c>
      <c r="E15" s="14">
        <v>71485.63665</v>
      </c>
    </row>
    <row r="16" spans="1:5">
      <c r="A16" s="13">
        <v>4001290000</v>
      </c>
      <c r="B16" s="13" t="s">
        <v>95</v>
      </c>
      <c r="C16" s="13" t="s">
        <v>14</v>
      </c>
      <c r="D16" s="14">
        <v>46387.555670000002</v>
      </c>
      <c r="E16" s="14">
        <v>48074.559390000002</v>
      </c>
    </row>
    <row r="17" spans="1:5">
      <c r="A17" s="13">
        <v>4001290010</v>
      </c>
      <c r="B17" s="13" t="s">
        <v>96</v>
      </c>
      <c r="C17" s="13" t="s">
        <v>14</v>
      </c>
      <c r="D17" s="14">
        <v>16955.207999999999</v>
      </c>
      <c r="E17" s="14">
        <v>17787.8</v>
      </c>
    </row>
    <row r="18" spans="1:5">
      <c r="A18" s="13">
        <v>4001290020</v>
      </c>
      <c r="B18" s="13" t="s">
        <v>97</v>
      </c>
      <c r="C18" s="13" t="s">
        <v>14</v>
      </c>
      <c r="D18" s="14">
        <v>3859.75</v>
      </c>
      <c r="E18" s="14">
        <v>4882.0029999999997</v>
      </c>
    </row>
    <row r="19" spans="1:5">
      <c r="A19" s="13">
        <v>4001211300</v>
      </c>
      <c r="B19" s="13" t="s">
        <v>98</v>
      </c>
      <c r="C19" s="13" t="s">
        <v>14</v>
      </c>
      <c r="D19" s="14">
        <v>15652.347</v>
      </c>
      <c r="E19" s="14">
        <v>18667.18</v>
      </c>
    </row>
    <row r="20" spans="1:5">
      <c r="A20" s="13">
        <v>4001211060</v>
      </c>
      <c r="B20" s="13" t="s">
        <v>99</v>
      </c>
      <c r="C20" s="13" t="s">
        <v>14</v>
      </c>
      <c r="D20" s="14"/>
      <c r="E20" s="14"/>
    </row>
    <row r="21" spans="1:5">
      <c r="A21" s="13">
        <v>4001290040</v>
      </c>
      <c r="B21" s="13" t="s">
        <v>100</v>
      </c>
      <c r="C21" s="13" t="s">
        <v>14</v>
      </c>
      <c r="D21" s="14">
        <v>2678.86</v>
      </c>
      <c r="E21" s="14">
        <v>-1010.395</v>
      </c>
    </row>
    <row r="22" spans="1:5">
      <c r="A22" s="13">
        <v>4001290090</v>
      </c>
      <c r="B22" s="13" t="s">
        <v>101</v>
      </c>
      <c r="C22" s="13" t="s">
        <v>14</v>
      </c>
      <c r="D22" s="14">
        <v>6014.3379999999997</v>
      </c>
      <c r="E22" s="14">
        <v>6115.6469999999999</v>
      </c>
    </row>
    <row r="23" spans="1:5">
      <c r="A23" s="13">
        <v>4001290110</v>
      </c>
      <c r="B23" s="13" t="s">
        <v>102</v>
      </c>
      <c r="C23" s="13" t="s">
        <v>14</v>
      </c>
      <c r="D23" s="14"/>
      <c r="E23" s="14"/>
    </row>
    <row r="24" spans="1:5">
      <c r="A24" s="13">
        <v>4001211420</v>
      </c>
      <c r="B24" s="13" t="s">
        <v>103</v>
      </c>
      <c r="C24" s="13" t="s">
        <v>14</v>
      </c>
      <c r="D24" s="14">
        <v>1227.0530000000001</v>
      </c>
      <c r="E24" s="14">
        <v>1632.3240000000001</v>
      </c>
    </row>
    <row r="25" spans="1:5">
      <c r="A25" s="13">
        <v>4001211430</v>
      </c>
      <c r="B25" s="13" t="s">
        <v>104</v>
      </c>
      <c r="C25" s="13" t="s">
        <v>14</v>
      </c>
      <c r="D25" s="14">
        <v>3160.4870599999999</v>
      </c>
      <c r="E25" s="14">
        <v>23411.077259999998</v>
      </c>
    </row>
    <row r="26" spans="1:5">
      <c r="A26" s="13">
        <v>4001290120</v>
      </c>
      <c r="B26" s="13" t="s">
        <v>105</v>
      </c>
      <c r="C26" s="13" t="s">
        <v>14</v>
      </c>
      <c r="D26" s="14">
        <v>3882.085</v>
      </c>
      <c r="E26" s="14">
        <v>2700.9969999999998</v>
      </c>
    </row>
    <row r="27" spans="1:5">
      <c r="A27" s="13">
        <v>4001290750</v>
      </c>
      <c r="B27" s="13" t="s">
        <v>106</v>
      </c>
      <c r="C27" s="13" t="s">
        <v>14</v>
      </c>
      <c r="D27" s="14">
        <v>1168.165</v>
      </c>
      <c r="E27" s="14">
        <v>850.59500000000003</v>
      </c>
    </row>
    <row r="28" spans="1:5">
      <c r="A28" s="13">
        <v>4001290760</v>
      </c>
      <c r="B28" s="13" t="s">
        <v>107</v>
      </c>
      <c r="C28" s="13" t="s">
        <v>14</v>
      </c>
      <c r="D28" s="14"/>
      <c r="E28" s="14"/>
    </row>
    <row r="29" spans="1:5">
      <c r="A29" s="13">
        <v>4001211480</v>
      </c>
      <c r="B29" s="13" t="s">
        <v>108</v>
      </c>
      <c r="C29" s="13" t="s">
        <v>14</v>
      </c>
      <c r="D29" s="14">
        <v>2609.4119999999998</v>
      </c>
      <c r="E29" s="14">
        <v>1451.6769999999999</v>
      </c>
    </row>
    <row r="30" spans="1:5">
      <c r="A30" s="13">
        <v>4001211520</v>
      </c>
      <c r="B30" s="13" t="s">
        <v>109</v>
      </c>
      <c r="C30" s="13" t="s">
        <v>14</v>
      </c>
      <c r="D30" s="14">
        <v>104.508</v>
      </c>
      <c r="E30" s="14">
        <v>398.72500000000002</v>
      </c>
    </row>
    <row r="31" spans="1:5">
      <c r="A31" s="13">
        <v>4001211600</v>
      </c>
      <c r="B31" s="13" t="s">
        <v>110</v>
      </c>
      <c r="C31" s="13" t="s">
        <v>14</v>
      </c>
      <c r="D31" s="14"/>
      <c r="E31" s="14"/>
    </row>
    <row r="32" spans="1:5">
      <c r="A32" s="13">
        <v>4001211605</v>
      </c>
      <c r="B32" s="13" t="s">
        <v>111</v>
      </c>
      <c r="C32" s="13" t="s">
        <v>14</v>
      </c>
      <c r="D32" s="14"/>
      <c r="E32" s="14"/>
    </row>
    <row r="33" spans="1:5">
      <c r="A33" s="13">
        <v>4001290130</v>
      </c>
      <c r="B33" s="13" t="s">
        <v>112</v>
      </c>
      <c r="C33" s="13" t="s">
        <v>14</v>
      </c>
      <c r="D33" s="14"/>
      <c r="E33" s="14"/>
    </row>
    <row r="34" spans="1:5">
      <c r="A34" s="13">
        <v>4001290150</v>
      </c>
      <c r="B34" s="13" t="s">
        <v>113</v>
      </c>
      <c r="C34" s="13" t="s">
        <v>14</v>
      </c>
      <c r="D34" s="14"/>
      <c r="E34" s="14"/>
    </row>
    <row r="35" spans="1:5">
      <c r="A35" s="13">
        <v>4001211720</v>
      </c>
      <c r="B35" s="13" t="s">
        <v>114</v>
      </c>
      <c r="C35" s="13" t="s">
        <v>14</v>
      </c>
      <c r="D35" s="14"/>
      <c r="E35" s="14"/>
    </row>
    <row r="36" spans="1:5">
      <c r="A36" s="13">
        <v>4001211680</v>
      </c>
      <c r="B36" s="13" t="s">
        <v>115</v>
      </c>
      <c r="C36" s="13" t="s">
        <v>14</v>
      </c>
      <c r="D36" s="14"/>
      <c r="E36" s="14"/>
    </row>
    <row r="37" spans="1:5">
      <c r="A37" s="13">
        <v>4001290170</v>
      </c>
      <c r="B37" s="13" t="s">
        <v>116</v>
      </c>
      <c r="C37" s="13" t="s">
        <v>14</v>
      </c>
      <c r="D37" s="14"/>
      <c r="E37" s="14"/>
    </row>
    <row r="38" spans="1:5">
      <c r="A38" s="13">
        <v>4001290180</v>
      </c>
      <c r="B38" s="13" t="s">
        <v>117</v>
      </c>
      <c r="C38" s="13" t="s">
        <v>14</v>
      </c>
      <c r="D38" s="14">
        <v>6512.5420000000004</v>
      </c>
      <c r="E38" s="14">
        <v>15993.573</v>
      </c>
    </row>
    <row r="39" spans="1:5">
      <c r="A39" s="13">
        <v>4001290770</v>
      </c>
      <c r="B39" s="13" t="s">
        <v>118</v>
      </c>
      <c r="C39" s="13" t="s">
        <v>14</v>
      </c>
      <c r="D39" s="14">
        <v>5674.348</v>
      </c>
      <c r="E39" s="14">
        <v>8372.6029999999992</v>
      </c>
    </row>
    <row r="40" spans="1:5">
      <c r="A40" s="13">
        <v>4001211820</v>
      </c>
      <c r="B40" s="13" t="s">
        <v>119</v>
      </c>
      <c r="C40" s="13" t="s">
        <v>14</v>
      </c>
      <c r="D40" s="14">
        <v>838.19399999999996</v>
      </c>
      <c r="E40" s="14">
        <v>7620.97</v>
      </c>
    </row>
    <row r="41" spans="1:5">
      <c r="A41" s="13">
        <v>4001211860</v>
      </c>
      <c r="B41" s="13" t="s">
        <v>120</v>
      </c>
      <c r="C41" s="13" t="s">
        <v>14</v>
      </c>
      <c r="D41" s="14"/>
      <c r="E41" s="14"/>
    </row>
    <row r="42" spans="1:5">
      <c r="A42" s="13">
        <v>4001211865</v>
      </c>
      <c r="B42" s="13" t="s">
        <v>121</v>
      </c>
      <c r="C42" s="13" t="s">
        <v>14</v>
      </c>
      <c r="D42" s="14"/>
      <c r="E42" s="14"/>
    </row>
    <row r="43" spans="1:5">
      <c r="A43" s="13">
        <v>4001211940</v>
      </c>
      <c r="B43" s="13" t="s">
        <v>122</v>
      </c>
      <c r="C43" s="13" t="s">
        <v>14</v>
      </c>
      <c r="D43" s="14"/>
      <c r="E43" s="14"/>
    </row>
    <row r="44" spans="1:5">
      <c r="A44" s="13">
        <v>4001290190</v>
      </c>
      <c r="B44" s="13" t="s">
        <v>123</v>
      </c>
      <c r="C44" s="13" t="s">
        <v>14</v>
      </c>
      <c r="D44" s="14"/>
      <c r="E44" s="14"/>
    </row>
    <row r="45" spans="1:5">
      <c r="A45" s="13">
        <v>4001290210</v>
      </c>
      <c r="B45" s="13" t="s">
        <v>124</v>
      </c>
      <c r="C45" s="13" t="s">
        <v>14</v>
      </c>
      <c r="D45" s="14"/>
      <c r="E45" s="14"/>
    </row>
    <row r="46" spans="1:5">
      <c r="A46" s="13">
        <v>4001212060</v>
      </c>
      <c r="B46" s="13" t="s">
        <v>125</v>
      </c>
      <c r="C46" s="13" t="s">
        <v>14</v>
      </c>
      <c r="D46" s="14"/>
      <c r="E46" s="14"/>
    </row>
    <row r="47" spans="1:5">
      <c r="A47" s="13">
        <v>4001212020</v>
      </c>
      <c r="B47" s="13" t="s">
        <v>126</v>
      </c>
      <c r="C47" s="13" t="s">
        <v>14</v>
      </c>
      <c r="D47" s="14"/>
      <c r="E47" s="14"/>
    </row>
    <row r="48" spans="1:5">
      <c r="A48" s="13">
        <v>4001290230</v>
      </c>
      <c r="B48" s="13" t="s">
        <v>127</v>
      </c>
      <c r="C48" s="13" t="s">
        <v>14</v>
      </c>
      <c r="D48" s="14"/>
      <c r="E48" s="14"/>
    </row>
    <row r="49" spans="1:5">
      <c r="A49" s="13">
        <v>4001290240</v>
      </c>
      <c r="B49" s="13" t="s">
        <v>128</v>
      </c>
      <c r="C49" s="13" t="s">
        <v>14</v>
      </c>
      <c r="D49" s="14">
        <v>10345.614</v>
      </c>
      <c r="E49" s="14">
        <v>13893.751</v>
      </c>
    </row>
    <row r="50" spans="1:5">
      <c r="A50" s="13">
        <v>4001280000</v>
      </c>
      <c r="B50" s="13" t="s">
        <v>106</v>
      </c>
      <c r="C50" s="13" t="s">
        <v>14</v>
      </c>
      <c r="D50" s="14"/>
      <c r="E50" s="14"/>
    </row>
    <row r="51" spans="1:5">
      <c r="A51" s="13">
        <v>4001280010</v>
      </c>
      <c r="B51" s="13" t="s">
        <v>107</v>
      </c>
      <c r="C51" s="13" t="s">
        <v>14</v>
      </c>
      <c r="D51" s="14"/>
      <c r="E51" s="14"/>
    </row>
    <row r="52" spans="1:5">
      <c r="A52" s="13">
        <v>4001290250</v>
      </c>
      <c r="B52" s="13" t="s">
        <v>108</v>
      </c>
      <c r="C52" s="13" t="s">
        <v>14</v>
      </c>
      <c r="D52" s="14">
        <v>2109.3760000000002</v>
      </c>
      <c r="E52" s="14">
        <v>7531.5</v>
      </c>
    </row>
    <row r="53" spans="1:5">
      <c r="A53" s="13">
        <v>4001280050</v>
      </c>
      <c r="B53" s="13" t="s">
        <v>129</v>
      </c>
      <c r="C53" s="13" t="s">
        <v>14</v>
      </c>
      <c r="D53" s="14"/>
      <c r="E53" s="14"/>
    </row>
    <row r="54" spans="1:5">
      <c r="A54" s="13">
        <v>4001280060</v>
      </c>
      <c r="B54" s="13" t="s">
        <v>130</v>
      </c>
      <c r="C54" s="13" t="s">
        <v>14</v>
      </c>
      <c r="D54" s="14"/>
      <c r="E54" s="14"/>
    </row>
    <row r="55" spans="1:5">
      <c r="A55" s="13">
        <v>4001280065</v>
      </c>
      <c r="B55" s="13" t="s">
        <v>131</v>
      </c>
      <c r="C55" s="13" t="s">
        <v>14</v>
      </c>
      <c r="D55" s="14"/>
      <c r="E55" s="14"/>
    </row>
    <row r="56" spans="1:5">
      <c r="A56" s="13">
        <v>4001290260</v>
      </c>
      <c r="B56" s="13" t="s">
        <v>132</v>
      </c>
      <c r="C56" s="13" t="s">
        <v>14</v>
      </c>
      <c r="D56" s="14">
        <v>86.17</v>
      </c>
      <c r="E56" s="14">
        <v>2973.14</v>
      </c>
    </row>
    <row r="57" spans="1:5">
      <c r="A57" s="13">
        <v>4001280140</v>
      </c>
      <c r="B57" s="13" t="s">
        <v>133</v>
      </c>
      <c r="C57" s="13" t="s">
        <v>14</v>
      </c>
      <c r="D57" s="14"/>
      <c r="E57" s="14"/>
    </row>
    <row r="58" spans="1:5">
      <c r="A58" s="13">
        <v>4001290280</v>
      </c>
      <c r="B58" s="13" t="s">
        <v>134</v>
      </c>
      <c r="C58" s="13" t="s">
        <v>14</v>
      </c>
      <c r="D58" s="14"/>
      <c r="E58" s="14"/>
    </row>
    <row r="59" spans="1:5">
      <c r="A59" s="13">
        <v>4001290300</v>
      </c>
      <c r="B59" s="13" t="s">
        <v>115</v>
      </c>
      <c r="C59" s="13" t="s">
        <v>14</v>
      </c>
      <c r="D59" s="14">
        <v>7874.2070000000003</v>
      </c>
      <c r="E59" s="14">
        <v>3140.38</v>
      </c>
    </row>
    <row r="60" spans="1:5">
      <c r="A60" s="13">
        <v>4001280240</v>
      </c>
      <c r="B60" s="13" t="s">
        <v>135</v>
      </c>
      <c r="C60" s="13" t="s">
        <v>14</v>
      </c>
      <c r="D60" s="14">
        <v>134.02699999999999</v>
      </c>
      <c r="E60" s="14">
        <v>87.43</v>
      </c>
    </row>
    <row r="61" spans="1:5">
      <c r="A61" s="13">
        <v>4001280250</v>
      </c>
      <c r="B61" s="13" t="s">
        <v>136</v>
      </c>
      <c r="C61" s="13" t="s">
        <v>14</v>
      </c>
      <c r="D61" s="14"/>
      <c r="E61" s="14"/>
    </row>
    <row r="62" spans="1:5">
      <c r="A62" s="13">
        <v>4001280260</v>
      </c>
      <c r="B62" s="13" t="s">
        <v>137</v>
      </c>
      <c r="C62" s="13" t="s">
        <v>14</v>
      </c>
      <c r="D62" s="14"/>
      <c r="E62" s="14"/>
    </row>
    <row r="63" spans="1:5">
      <c r="A63" s="13">
        <v>4001280270</v>
      </c>
      <c r="B63" s="13" t="s">
        <v>138</v>
      </c>
      <c r="C63" s="13" t="s">
        <v>14</v>
      </c>
      <c r="D63" s="14"/>
      <c r="E63" s="14"/>
    </row>
    <row r="64" spans="1:5">
      <c r="A64" s="13">
        <v>4001280280</v>
      </c>
      <c r="B64" s="13" t="s">
        <v>139</v>
      </c>
      <c r="C64" s="13" t="s">
        <v>14</v>
      </c>
      <c r="D64" s="14"/>
      <c r="E64" s="14"/>
    </row>
    <row r="65" spans="1:5">
      <c r="A65" s="13">
        <v>4001290310</v>
      </c>
      <c r="B65" s="13" t="s">
        <v>140</v>
      </c>
      <c r="C65" s="13" t="s">
        <v>14</v>
      </c>
      <c r="D65" s="14">
        <v>141.834</v>
      </c>
      <c r="E65" s="14">
        <v>161.30099999999999</v>
      </c>
    </row>
    <row r="66" spans="1:5">
      <c r="A66" s="13">
        <v>4001290320</v>
      </c>
      <c r="B66" s="13" t="s">
        <v>141</v>
      </c>
      <c r="C66" s="13" t="s">
        <v>14</v>
      </c>
      <c r="D66" s="14">
        <v>23761.796999999999</v>
      </c>
      <c r="E66" s="14">
        <v>59430.093000000001</v>
      </c>
    </row>
    <row r="67" spans="1:5">
      <c r="A67" s="13">
        <v>4001280400</v>
      </c>
      <c r="B67" s="13" t="s">
        <v>118</v>
      </c>
      <c r="C67" s="13" t="s">
        <v>14</v>
      </c>
      <c r="D67" s="14"/>
      <c r="E67" s="14"/>
    </row>
    <row r="68" spans="1:5">
      <c r="A68" s="13">
        <v>4001290330</v>
      </c>
      <c r="B68" s="13" t="s">
        <v>119</v>
      </c>
      <c r="C68" s="13" t="s">
        <v>14</v>
      </c>
      <c r="D68" s="14">
        <v>4217.6689999999999</v>
      </c>
      <c r="E68" s="14">
        <v>957.25</v>
      </c>
    </row>
    <row r="69" spans="1:5">
      <c r="A69" s="13">
        <v>4001280440</v>
      </c>
      <c r="B69" s="13" t="s">
        <v>142</v>
      </c>
      <c r="C69" s="13" t="s">
        <v>14</v>
      </c>
      <c r="D69" s="14"/>
      <c r="E69" s="14"/>
    </row>
    <row r="70" spans="1:5">
      <c r="A70" s="13">
        <v>4001280450</v>
      </c>
      <c r="B70" s="13" t="s">
        <v>143</v>
      </c>
      <c r="C70" s="13" t="s">
        <v>14</v>
      </c>
      <c r="D70" s="14"/>
      <c r="E70" s="14"/>
    </row>
    <row r="71" spans="1:5">
      <c r="A71" s="13">
        <v>4001280455</v>
      </c>
      <c r="B71" s="13" t="s">
        <v>144</v>
      </c>
      <c r="C71" s="13" t="s">
        <v>14</v>
      </c>
      <c r="D71" s="14"/>
      <c r="E71" s="14"/>
    </row>
    <row r="72" spans="1:5">
      <c r="A72" s="13">
        <v>4001290340</v>
      </c>
      <c r="B72" s="13" t="s">
        <v>145</v>
      </c>
      <c r="C72" s="13" t="s">
        <v>14</v>
      </c>
      <c r="D72" s="14"/>
      <c r="E72" s="14">
        <v>28.577000000000002</v>
      </c>
    </row>
    <row r="73" spans="1:5">
      <c r="A73" s="13">
        <v>4001280540</v>
      </c>
      <c r="B73" s="13" t="s">
        <v>146</v>
      </c>
      <c r="C73" s="13" t="s">
        <v>14</v>
      </c>
      <c r="D73" s="14"/>
      <c r="E73" s="14"/>
    </row>
    <row r="74" spans="1:5">
      <c r="A74" s="13">
        <v>4001290360</v>
      </c>
      <c r="B74" s="13" t="s">
        <v>147</v>
      </c>
      <c r="C74" s="13" t="s">
        <v>14</v>
      </c>
      <c r="D74" s="14">
        <v>3196.248</v>
      </c>
      <c r="E74" s="14">
        <v>8008.6719999999996</v>
      </c>
    </row>
    <row r="75" spans="1:5">
      <c r="A75" s="13">
        <v>4001290380</v>
      </c>
      <c r="B75" s="13" t="s">
        <v>126</v>
      </c>
      <c r="C75" s="13" t="s">
        <v>14</v>
      </c>
      <c r="D75" s="14">
        <v>16056.883</v>
      </c>
      <c r="E75" s="14">
        <v>50053.606</v>
      </c>
    </row>
    <row r="76" spans="1:5">
      <c r="A76" s="13">
        <v>4001280650</v>
      </c>
      <c r="B76" s="13" t="s">
        <v>148</v>
      </c>
      <c r="C76" s="13" t="s">
        <v>14</v>
      </c>
      <c r="D76" s="14"/>
      <c r="E76" s="14"/>
    </row>
    <row r="77" spans="1:5">
      <c r="A77" s="13">
        <v>4001280660</v>
      </c>
      <c r="B77" s="13" t="s">
        <v>149</v>
      </c>
      <c r="C77" s="13" t="s">
        <v>14</v>
      </c>
      <c r="D77" s="14"/>
      <c r="E77" s="14"/>
    </row>
    <row r="78" spans="1:5">
      <c r="A78" s="13">
        <v>4001290390</v>
      </c>
      <c r="B78" s="13" t="s">
        <v>140</v>
      </c>
      <c r="C78" s="13" t="s">
        <v>14</v>
      </c>
      <c r="D78" s="14">
        <v>290.99700000000001</v>
      </c>
      <c r="E78" s="14">
        <v>381.988</v>
      </c>
    </row>
    <row r="79" spans="1:5">
      <c r="A79" s="13">
        <v>4001290640</v>
      </c>
      <c r="B79" s="13" t="s">
        <v>150</v>
      </c>
      <c r="C79" s="13" t="s">
        <v>14</v>
      </c>
      <c r="D79" s="14"/>
      <c r="E79" s="14"/>
    </row>
    <row r="80" spans="1:5">
      <c r="A80" s="13">
        <v>4001290650</v>
      </c>
      <c r="B80" s="13" t="s">
        <v>151</v>
      </c>
      <c r="C80" s="13" t="s">
        <v>14</v>
      </c>
      <c r="D80" s="14"/>
      <c r="E80" s="14"/>
    </row>
    <row r="81" spans="1:5">
      <c r="A81" s="13">
        <v>4001290680</v>
      </c>
      <c r="B81" s="13" t="s">
        <v>152</v>
      </c>
      <c r="C81" s="13" t="s">
        <v>14</v>
      </c>
      <c r="D81" s="14"/>
      <c r="E81" s="14"/>
    </row>
    <row r="82" spans="1:5">
      <c r="A82" s="13">
        <v>4001290710</v>
      </c>
      <c r="B82" s="13" t="s">
        <v>153</v>
      </c>
      <c r="C82" s="13" t="s">
        <v>14</v>
      </c>
      <c r="D82" s="14"/>
      <c r="E82" s="14"/>
    </row>
    <row r="83" spans="1:5">
      <c r="A83" s="13">
        <v>4001290740</v>
      </c>
      <c r="B83" s="13" t="s">
        <v>140</v>
      </c>
      <c r="C83" s="13" t="s">
        <v>14</v>
      </c>
      <c r="D83" s="14"/>
      <c r="E83" s="14"/>
    </row>
    <row r="84" spans="1:5">
      <c r="A84" s="13">
        <v>4001212380</v>
      </c>
      <c r="B84" s="13" t="s">
        <v>154</v>
      </c>
      <c r="C84" s="13" t="s">
        <v>14</v>
      </c>
      <c r="D84" s="14">
        <v>-12886.15285</v>
      </c>
      <c r="E84" s="14">
        <v>-35417.842140000001</v>
      </c>
    </row>
    <row r="85" spans="1:5">
      <c r="A85" s="13">
        <v>4001212390</v>
      </c>
      <c r="B85" s="13" t="s">
        <v>155</v>
      </c>
      <c r="C85" s="13" t="s">
        <v>14</v>
      </c>
      <c r="D85" s="14">
        <v>-1788.8214</v>
      </c>
      <c r="E85" s="14">
        <v>-13447.388919999999</v>
      </c>
    </row>
    <row r="86" spans="1:5">
      <c r="A86" s="13">
        <v>4001212400</v>
      </c>
      <c r="B86" s="13" t="s">
        <v>156</v>
      </c>
      <c r="C86" s="13" t="s">
        <v>14</v>
      </c>
      <c r="D86" s="14"/>
      <c r="E86" s="14"/>
    </row>
    <row r="87" spans="1:5">
      <c r="A87" s="13">
        <v>4001212410</v>
      </c>
      <c r="B87" s="13" t="s">
        <v>157</v>
      </c>
      <c r="C87" s="13" t="s">
        <v>14</v>
      </c>
      <c r="D87" s="14"/>
      <c r="E87" s="14"/>
    </row>
    <row r="88" spans="1:5">
      <c r="A88" s="13">
        <v>4001212420</v>
      </c>
      <c r="B88" s="13" t="s">
        <v>158</v>
      </c>
      <c r="C88" s="13" t="s">
        <v>14</v>
      </c>
      <c r="D88" s="14">
        <v>-11097.33144</v>
      </c>
      <c r="E88" s="14">
        <v>-21970.453219999999</v>
      </c>
    </row>
    <row r="89" spans="1:5">
      <c r="A89" s="13">
        <v>4001212430</v>
      </c>
      <c r="B89" s="13" t="s">
        <v>159</v>
      </c>
      <c r="C89" s="13" t="s">
        <v>14</v>
      </c>
      <c r="D89" s="14"/>
      <c r="E89" s="14"/>
    </row>
    <row r="90" spans="1:5">
      <c r="A90" s="13">
        <v>4001212450</v>
      </c>
      <c r="B90" s="13" t="s">
        <v>160</v>
      </c>
      <c r="C90" s="13" t="s">
        <v>14</v>
      </c>
      <c r="D90" s="14">
        <v>-11097.33144</v>
      </c>
      <c r="E90" s="14">
        <v>-21970.453219999999</v>
      </c>
    </row>
    <row r="91" spans="1:5">
      <c r="A91" s="13">
        <v>4001220000</v>
      </c>
      <c r="B91" s="13" t="s">
        <v>161</v>
      </c>
      <c r="C91" s="13" t="s">
        <v>14</v>
      </c>
      <c r="D91" s="14">
        <v>-840.11929999999995</v>
      </c>
      <c r="E91" s="14">
        <v>-666.78588999999999</v>
      </c>
    </row>
    <row r="92" spans="1:5">
      <c r="A92" s="13">
        <v>4001220120</v>
      </c>
      <c r="B92" s="13" t="s">
        <v>162</v>
      </c>
      <c r="C92" s="13" t="s">
        <v>14</v>
      </c>
      <c r="D92" s="14">
        <v>-11937.45074</v>
      </c>
      <c r="E92" s="14">
        <v>-22637.239109999999</v>
      </c>
    </row>
    <row r="93" spans="1:5">
      <c r="A93" s="13">
        <v>4001230000</v>
      </c>
      <c r="B93" s="13" t="s">
        <v>163</v>
      </c>
      <c r="C93" s="13" t="s">
        <v>14</v>
      </c>
      <c r="D93" s="14">
        <v>-9309.6386500000008</v>
      </c>
      <c r="E93" s="14">
        <v>-20881.376649999998</v>
      </c>
    </row>
    <row r="94" spans="1:5">
      <c r="A94" s="13">
        <v>4001230030</v>
      </c>
      <c r="B94" s="13" t="s">
        <v>164</v>
      </c>
      <c r="C94" s="13" t="s">
        <v>14</v>
      </c>
      <c r="D94" s="14">
        <v>-1787.6927900000001</v>
      </c>
      <c r="E94" s="14">
        <v>-1089.07656</v>
      </c>
    </row>
    <row r="95" spans="1:5">
      <c r="A95" s="13">
        <v>4001230060</v>
      </c>
      <c r="B95" s="13" t="s">
        <v>165</v>
      </c>
      <c r="C95" s="13" t="s">
        <v>14</v>
      </c>
      <c r="D95" s="14">
        <v>-10061.87449</v>
      </c>
      <c r="E95" s="14">
        <v>-21503.727309999998</v>
      </c>
    </row>
    <row r="96" spans="1:5">
      <c r="A96" s="13">
        <v>4001230070</v>
      </c>
      <c r="B96" s="13" t="s">
        <v>166</v>
      </c>
      <c r="C96" s="13" t="s">
        <v>14</v>
      </c>
      <c r="D96" s="14">
        <v>-1875.5762500000001</v>
      </c>
      <c r="E96" s="14">
        <v>-1133.51179</v>
      </c>
    </row>
    <row r="97" spans="1:5">
      <c r="A97" s="13">
        <v>4001230080</v>
      </c>
      <c r="B97" s="13" t="s">
        <v>167</v>
      </c>
      <c r="C97" s="13" t="s">
        <v>69</v>
      </c>
      <c r="D97" s="14"/>
      <c r="E97" s="14"/>
    </row>
    <row r="98" spans="1:5">
      <c r="A98" s="13">
        <v>4001230090</v>
      </c>
      <c r="B98" s="13" t="s">
        <v>168</v>
      </c>
      <c r="C98" s="13" t="s">
        <v>69</v>
      </c>
      <c r="D98" s="14"/>
      <c r="E98" s="14"/>
    </row>
    <row r="99" spans="1:5">
      <c r="A99" s="13">
        <v>4001230100</v>
      </c>
      <c r="B99" s="13" t="s">
        <v>169</v>
      </c>
      <c r="C99" s="13" t="s">
        <v>69</v>
      </c>
      <c r="D99" s="14"/>
      <c r="E99" s="14"/>
    </row>
    <row r="100" spans="1:5">
      <c r="A100" s="13">
        <v>4001230110</v>
      </c>
      <c r="B100" s="13" t="s">
        <v>170</v>
      </c>
      <c r="C100" s="13" t="s">
        <v>69</v>
      </c>
      <c r="D100" s="14"/>
      <c r="E100" s="14"/>
    </row>
    <row r="101" spans="1:5">
      <c r="A101" s="13">
        <v>4001230120</v>
      </c>
      <c r="B101" s="13" t="s">
        <v>171</v>
      </c>
      <c r="C101" s="13" t="s">
        <v>69</v>
      </c>
      <c r="D101" s="14">
        <v>-260</v>
      </c>
      <c r="E101" s="14">
        <v>-584</v>
      </c>
    </row>
    <row r="102" spans="1:5">
      <c r="A102" s="13">
        <v>4001230130</v>
      </c>
      <c r="B102" s="13" t="s">
        <v>172</v>
      </c>
      <c r="C102" s="13" t="s">
        <v>69</v>
      </c>
      <c r="D102" s="14">
        <v>-260</v>
      </c>
      <c r="E102" s="14">
        <v>-584</v>
      </c>
    </row>
    <row r="103" spans="1:5">
      <c r="A103" s="13">
        <v>4001230140</v>
      </c>
      <c r="B103" s="13" t="s">
        <v>173</v>
      </c>
      <c r="C103" s="13" t="s">
        <v>69</v>
      </c>
      <c r="D103" s="14"/>
      <c r="E103" s="14"/>
    </row>
    <row r="104" spans="1:5">
      <c r="A104" s="13">
        <v>4001230150</v>
      </c>
      <c r="B104" s="13" t="s">
        <v>174</v>
      </c>
      <c r="C104" s="13" t="s">
        <v>69</v>
      </c>
      <c r="D104" s="14"/>
      <c r="E104" s="14"/>
    </row>
    <row r="105" spans="1:5">
      <c r="A105" s="1"/>
      <c r="B105" s="1"/>
      <c r="C105" s="1"/>
      <c r="D105" s="14"/>
      <c r="E105" s="14"/>
    </row>
    <row r="106" spans="1:5">
      <c r="D106" s="15"/>
      <c r="E106" s="15"/>
    </row>
    <row r="107" spans="1:5">
      <c r="D107" s="15"/>
      <c r="E107" s="15"/>
    </row>
    <row r="108" spans="1:5">
      <c r="D108" s="15"/>
      <c r="E108" s="15"/>
    </row>
  </sheetData>
  <phoneticPr fontId="3" type="noConversion"/>
  <dataValidations count="7">
    <dataValidation type="list" allowBlank="1" showInputMessage="1" sqref="B5" xr:uid="{092C0F7E-4470-4414-9584-16115DAC06BA}">
      <formula1>"전체,재무상태표,손익계산서,현금흐름표,자본금변동표"</formula1>
    </dataValidation>
    <dataValidation type="list" allowBlank="1" showInputMessage="1" sqref="B6" xr:uid="{0A595558-8CEA-4BC6-BF67-237AE84758C5}">
      <formula1>"상세(총액),상세(순액),요약,약식"</formula1>
    </dataValidation>
    <dataValidation type="list" allowBlank="1" showInputMessage="1" sqref="B7" xr:uid="{90A0275E-18AE-4CED-9BE1-9F63456434C1}">
      <formula1>"결산,누적분기,당분기"</formula1>
    </dataValidation>
    <dataValidation type="list" allowBlank="1" showInputMessage="1" sqref="C7" xr:uid="{302F1309-44F5-43C5-9A71-050D9FCFD9B4}">
      <formula1>"천원,백만원,억원,십억원"</formula1>
    </dataValidation>
    <dataValidation type="list" allowBlank="1" showInputMessage="1" sqref="B4" xr:uid="{4C5A7116-BBC5-4299-9CBD-FF22FFF8A89A}">
      <formula1>"별도,연결"</formula1>
    </dataValidation>
    <dataValidation type="list" allowBlank="1" showInputMessage="1" sqref="B8" xr:uid="{A74BC702-3E6A-47E7-AB36-FF332B31E3F4}">
      <formula1>"1983,1984,1985,1986,1987,1988,1989,1990,1991,1992,1993,1994,1995,1996,1997,1998,1999,2000,2001,2002,2003,2004,2005,2006,2007,2008,2009,2010,2011,2012,2013,2014,2015,2016,2017,2018,2019,2020,2021,2022,2023,2024,2025"</formula1>
    </dataValidation>
    <dataValidation type="list" allowBlank="1" showInputMessage="1" sqref="C8" xr:uid="{ADCC4B38-5BC7-40F5-AF09-1AE24F2234DD}">
      <formula1>"1983,1984,1985,1986,1987,1988,1989,1990,1991,1992,1993,1994,1995,1996,1997,1998,1999,2000,2001,2002,2003,2004,2005,2006,2007,2008,2009,2010,2011,2012,2013,2014,2015,2016,2017,2018,2019,2020,2021,2022,2023,2024,2025,Current"</formula1>
    </dataValidation>
  </dataValidation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2DF66-BA82-42CE-95E2-FE9A561BA0BB}">
  <dimension ref="A1:N84"/>
  <sheetViews>
    <sheetView zoomScale="99" workbookViewId="0"/>
  </sheetViews>
  <sheetFormatPr defaultColWidth="8.6640625" defaultRowHeight="17"/>
  <cols>
    <col min="1" max="1" width="16.9140625" style="18" bestFit="1" customWidth="1"/>
    <col min="2" max="2" width="44.08203125" style="18" bestFit="1" customWidth="1"/>
    <col min="3" max="3" width="11.75" style="18" bestFit="1" customWidth="1"/>
    <col min="4" max="4" width="8.6640625" style="18"/>
    <col min="5" max="5" width="9.9140625" style="18" bestFit="1" customWidth="1"/>
    <col min="6" max="6" width="8.58203125" style="18" customWidth="1"/>
    <col min="7" max="16384" width="8.6640625" style="18"/>
  </cols>
  <sheetData>
    <row r="1" spans="1:14">
      <c r="A1" s="2" t="s">
        <v>0</v>
      </c>
      <c r="B1" s="2"/>
      <c r="C1" s="2"/>
      <c r="D1" s="2"/>
      <c r="E1" s="2"/>
      <c r="F1" s="2"/>
      <c r="G1" s="2"/>
      <c r="H1" s="2"/>
      <c r="I1" s="2"/>
      <c r="J1" s="2"/>
      <c r="K1" s="2"/>
      <c r="L1" s="2"/>
      <c r="M1" s="2"/>
      <c r="N1" s="2"/>
    </row>
    <row r="2" spans="1:14">
      <c r="A2" s="3" t="s">
        <v>3</v>
      </c>
      <c r="B2" s="3" t="s">
        <v>82</v>
      </c>
      <c r="C2" s="3"/>
      <c r="D2" s="3"/>
      <c r="E2" s="3"/>
      <c r="F2" s="3"/>
      <c r="G2" s="3"/>
      <c r="H2" s="3"/>
      <c r="I2" s="3"/>
      <c r="J2" s="3"/>
      <c r="K2" s="3"/>
      <c r="L2" s="3"/>
      <c r="M2" s="3"/>
      <c r="N2" s="3"/>
    </row>
    <row r="3" spans="1:14">
      <c r="A3" s="3" t="s">
        <v>4</v>
      </c>
      <c r="B3" s="7" t="s">
        <v>86</v>
      </c>
      <c r="C3" s="3" t="s">
        <v>1</v>
      </c>
      <c r="D3" s="3" t="s">
        <v>85</v>
      </c>
      <c r="E3" s="3"/>
      <c r="F3" s="3"/>
      <c r="G3" s="3"/>
      <c r="H3" s="3"/>
      <c r="I3" s="3"/>
      <c r="J3" s="3"/>
      <c r="K3" s="3"/>
      <c r="L3" s="3"/>
      <c r="M3" s="3"/>
      <c r="N3" s="3"/>
    </row>
    <row r="4" spans="1:14">
      <c r="A4" s="3" t="s">
        <v>5</v>
      </c>
      <c r="B4" s="10" t="s">
        <v>83</v>
      </c>
      <c r="C4" s="3" t="s">
        <v>2</v>
      </c>
      <c r="D4" s="3"/>
      <c r="E4" s="3"/>
      <c r="F4" s="3"/>
      <c r="G4" s="3"/>
      <c r="H4" s="3"/>
      <c r="I4" s="3"/>
      <c r="J4" s="3"/>
      <c r="K4" s="3"/>
      <c r="L4" s="3"/>
      <c r="M4" s="3"/>
      <c r="N4" s="3"/>
    </row>
    <row r="5" spans="1:14">
      <c r="A5" s="3" t="s">
        <v>6</v>
      </c>
      <c r="B5" s="8" t="s">
        <v>88</v>
      </c>
      <c r="C5" s="3"/>
      <c r="D5" s="3"/>
      <c r="E5" s="3"/>
      <c r="F5" s="3"/>
      <c r="G5" s="3"/>
      <c r="H5" s="3"/>
      <c r="I5" s="3"/>
      <c r="J5" s="3"/>
      <c r="K5" s="3"/>
      <c r="L5" s="3"/>
      <c r="M5" s="3"/>
      <c r="N5" s="3"/>
    </row>
    <row r="6" spans="1:14">
      <c r="A6" s="3" t="s">
        <v>7</v>
      </c>
      <c r="B6" s="11" t="s">
        <v>234</v>
      </c>
      <c r="C6" s="8" t="s">
        <v>14</v>
      </c>
      <c r="D6" s="3"/>
      <c r="E6" s="3"/>
      <c r="F6" s="3"/>
      <c r="G6" s="3"/>
      <c r="H6" s="3"/>
      <c r="I6" s="3"/>
      <c r="J6" s="3"/>
      <c r="K6" s="3"/>
      <c r="L6" s="3"/>
      <c r="M6" s="3"/>
      <c r="N6" s="3"/>
    </row>
    <row r="7" spans="1:14">
      <c r="A7" s="4" t="s">
        <v>8</v>
      </c>
      <c r="B7" s="9">
        <v>2023</v>
      </c>
      <c r="C7" s="7" t="s">
        <v>87</v>
      </c>
      <c r="D7" s="4"/>
      <c r="E7" s="4"/>
      <c r="F7" s="4"/>
      <c r="G7" s="4"/>
      <c r="H7" s="4"/>
      <c r="I7" s="4"/>
      <c r="J7" s="4"/>
      <c r="K7" s="4"/>
      <c r="L7" s="4"/>
      <c r="M7" s="4"/>
      <c r="N7" s="4"/>
    </row>
    <row r="8" spans="1:14">
      <c r="A8" s="5" t="s">
        <v>9</v>
      </c>
      <c r="B8" s="12" t="s">
        <v>10</v>
      </c>
      <c r="C8" s="12" t="s">
        <v>11</v>
      </c>
      <c r="D8" s="5" t="s">
        <v>235</v>
      </c>
      <c r="E8" s="5" t="s">
        <v>236</v>
      </c>
      <c r="F8" s="5" t="s">
        <v>237</v>
      </c>
      <c r="G8" s="5" t="s">
        <v>238</v>
      </c>
      <c r="H8" s="5" t="s">
        <v>239</v>
      </c>
      <c r="I8" s="5" t="s">
        <v>240</v>
      </c>
      <c r="J8" s="5" t="s">
        <v>241</v>
      </c>
      <c r="K8" s="5" t="s">
        <v>242</v>
      </c>
      <c r="L8" s="5" t="s">
        <v>243</v>
      </c>
      <c r="M8" s="5" t="s">
        <v>244</v>
      </c>
      <c r="N8" s="5" t="s">
        <v>543</v>
      </c>
    </row>
    <row r="9" spans="1:14">
      <c r="A9" s="6"/>
      <c r="B9" s="6"/>
      <c r="C9" s="6"/>
      <c r="D9" s="6" t="s">
        <v>12</v>
      </c>
      <c r="E9" s="6" t="s">
        <v>12</v>
      </c>
      <c r="F9" s="6" t="s">
        <v>12</v>
      </c>
      <c r="G9" s="6" t="s">
        <v>12</v>
      </c>
      <c r="H9" s="6" t="s">
        <v>12</v>
      </c>
      <c r="I9" s="6" t="s">
        <v>12</v>
      </c>
      <c r="J9" s="6" t="s">
        <v>12</v>
      </c>
      <c r="K9" s="6" t="s">
        <v>12</v>
      </c>
      <c r="L9" s="6" t="s">
        <v>12</v>
      </c>
      <c r="M9" s="6" t="s">
        <v>12</v>
      </c>
      <c r="N9" s="6" t="s">
        <v>12</v>
      </c>
    </row>
    <row r="10" spans="1:14">
      <c r="A10" s="13">
        <v>4001190010</v>
      </c>
      <c r="B10" s="13" t="s">
        <v>13</v>
      </c>
      <c r="C10" s="13" t="s">
        <v>14</v>
      </c>
      <c r="D10" s="36">
        <v>479198.05476999999</v>
      </c>
      <c r="E10" s="36">
        <v>478999.31861000002</v>
      </c>
      <c r="F10" s="36">
        <v>484835.74998000002</v>
      </c>
      <c r="G10" s="36">
        <v>485887.42067000002</v>
      </c>
      <c r="H10" s="36">
        <v>499714.22269999998</v>
      </c>
      <c r="I10" s="36">
        <v>498871.65831000003</v>
      </c>
      <c r="J10" s="36">
        <v>502168.99358000001</v>
      </c>
      <c r="K10" s="36">
        <v>506220.62565</v>
      </c>
      <c r="L10" s="36">
        <v>520661.09068000002</v>
      </c>
      <c r="M10" s="36">
        <v>541601.16012999997</v>
      </c>
      <c r="N10" s="36">
        <v>551448.91220999998</v>
      </c>
    </row>
    <row r="11" spans="1:14">
      <c r="A11" s="13">
        <v>4001190240</v>
      </c>
      <c r="B11" s="13" t="s">
        <v>15</v>
      </c>
      <c r="C11" s="13" t="s">
        <v>14</v>
      </c>
      <c r="D11" s="36">
        <v>180751.06912</v>
      </c>
      <c r="E11" s="36">
        <v>166659.80493000001</v>
      </c>
      <c r="F11" s="36">
        <v>153434.48488</v>
      </c>
      <c r="G11" s="36">
        <v>143794.83525999999</v>
      </c>
      <c r="H11" s="36">
        <v>155733.62422999999</v>
      </c>
      <c r="I11" s="36">
        <v>168836.45005000001</v>
      </c>
      <c r="J11" s="36">
        <v>163099.45493000001</v>
      </c>
      <c r="K11" s="36">
        <v>156076.11033</v>
      </c>
      <c r="L11" s="36">
        <v>153663.67556</v>
      </c>
      <c r="M11" s="36">
        <v>173129.15766</v>
      </c>
      <c r="N11" s="36">
        <v>187259.65784</v>
      </c>
    </row>
    <row r="12" spans="1:14">
      <c r="A12" s="13">
        <v>4001190250</v>
      </c>
      <c r="B12" s="13" t="s">
        <v>16</v>
      </c>
      <c r="C12" s="13" t="s">
        <v>14</v>
      </c>
      <c r="D12" s="36">
        <v>86195.409599999999</v>
      </c>
      <c r="E12" s="36">
        <v>83209.054010000007</v>
      </c>
      <c r="F12" s="36">
        <v>88246.808699999994</v>
      </c>
      <c r="G12" s="36">
        <v>81331.310559999998</v>
      </c>
      <c r="H12" s="36">
        <v>83827.092560000005</v>
      </c>
      <c r="I12" s="36">
        <v>83475.528709999999</v>
      </c>
      <c r="J12" s="36">
        <v>84475.992299999998</v>
      </c>
      <c r="K12" s="36">
        <v>79265.623359999998</v>
      </c>
      <c r="L12" s="36">
        <v>91638.836460000006</v>
      </c>
      <c r="M12" s="36">
        <v>108747.88582</v>
      </c>
      <c r="N12" s="36">
        <v>115521.82816999999</v>
      </c>
    </row>
    <row r="13" spans="1:14">
      <c r="A13" s="13">
        <v>4001190260</v>
      </c>
      <c r="B13" s="13" t="s">
        <v>17</v>
      </c>
      <c r="C13" s="13" t="s">
        <v>14</v>
      </c>
      <c r="D13" s="36"/>
      <c r="E13" s="36"/>
      <c r="F13" s="36"/>
      <c r="G13" s="36"/>
      <c r="H13" s="36"/>
      <c r="I13" s="36"/>
      <c r="J13" s="36"/>
      <c r="K13" s="36"/>
      <c r="L13" s="36"/>
      <c r="M13" s="36"/>
      <c r="N13" s="36"/>
    </row>
    <row r="14" spans="1:14">
      <c r="A14" s="13">
        <v>4001190270</v>
      </c>
      <c r="B14" s="13" t="s">
        <v>18</v>
      </c>
      <c r="C14" s="13" t="s">
        <v>14</v>
      </c>
      <c r="D14" s="36">
        <v>7775.4742999999999</v>
      </c>
      <c r="E14" s="36">
        <v>6444.06945</v>
      </c>
      <c r="F14" s="36">
        <v>5162.4137700000001</v>
      </c>
      <c r="G14" s="36">
        <v>6452.2612099999997</v>
      </c>
      <c r="H14" s="36">
        <v>3707.29927</v>
      </c>
      <c r="I14" s="36">
        <v>3921.3589999999999</v>
      </c>
      <c r="J14" s="36">
        <v>5048.5443400000004</v>
      </c>
      <c r="K14" s="36">
        <v>4200.2110000000002</v>
      </c>
      <c r="L14" s="36">
        <v>6103.4489999999996</v>
      </c>
      <c r="M14" s="36">
        <v>4479.6769999999997</v>
      </c>
      <c r="N14" s="36">
        <v>4101.5680000000002</v>
      </c>
    </row>
    <row r="15" spans="1:14">
      <c r="A15" s="13">
        <v>4001190300</v>
      </c>
      <c r="B15" s="13" t="s">
        <v>19</v>
      </c>
      <c r="C15" s="13" t="s">
        <v>14</v>
      </c>
      <c r="D15" s="36">
        <v>49670.192000000003</v>
      </c>
      <c r="E15" s="36">
        <v>42062.830999999998</v>
      </c>
      <c r="F15" s="36">
        <v>36836.222999999998</v>
      </c>
      <c r="G15" s="36">
        <v>40094.052000000003</v>
      </c>
      <c r="H15" s="36">
        <v>38274.419000000002</v>
      </c>
      <c r="I15" s="36">
        <v>57599.209000000003</v>
      </c>
      <c r="J15" s="36">
        <v>46240.677000000003</v>
      </c>
      <c r="K15" s="36">
        <v>43944.254000000001</v>
      </c>
      <c r="L15" s="36">
        <v>33980.857000000004</v>
      </c>
      <c r="M15" s="36">
        <v>40084.767999999996</v>
      </c>
      <c r="N15" s="36">
        <v>42068.506999999998</v>
      </c>
    </row>
    <row r="16" spans="1:14">
      <c r="A16" s="13">
        <v>4001113900</v>
      </c>
      <c r="B16" s="13" t="s">
        <v>20</v>
      </c>
      <c r="C16" s="13" t="s">
        <v>14</v>
      </c>
      <c r="D16" s="36">
        <v>48.994750000000003</v>
      </c>
      <c r="E16" s="36">
        <v>0.62402000000000002</v>
      </c>
      <c r="F16" s="36">
        <v>93.417659999999998</v>
      </c>
      <c r="G16" s="36">
        <v>363.58251000000001</v>
      </c>
      <c r="H16" s="36">
        <v>438.66721999999999</v>
      </c>
      <c r="I16" s="36"/>
      <c r="J16" s="36">
        <v>41.045389999999998</v>
      </c>
      <c r="K16" s="36">
        <v>1646.7074700000001</v>
      </c>
      <c r="L16" s="36">
        <v>78.234369999999998</v>
      </c>
      <c r="M16" s="36">
        <v>114.31735</v>
      </c>
      <c r="N16" s="36">
        <v>282.45699000000002</v>
      </c>
    </row>
    <row r="17" spans="1:14">
      <c r="A17" s="13">
        <v>4001180995</v>
      </c>
      <c r="B17" s="13" t="s">
        <v>21</v>
      </c>
      <c r="C17" s="13" t="s">
        <v>14</v>
      </c>
      <c r="D17" s="36"/>
      <c r="E17" s="36"/>
      <c r="F17" s="36"/>
      <c r="G17" s="36"/>
      <c r="H17" s="36"/>
      <c r="I17" s="36"/>
      <c r="J17" s="36"/>
      <c r="K17" s="36"/>
      <c r="L17" s="36"/>
      <c r="M17" s="36"/>
      <c r="N17" s="36">
        <v>5478.6281399999998</v>
      </c>
    </row>
    <row r="18" spans="1:14">
      <c r="A18" s="13">
        <v>4001113903</v>
      </c>
      <c r="B18" s="13" t="s">
        <v>22</v>
      </c>
      <c r="C18" s="13" t="s">
        <v>14</v>
      </c>
      <c r="D18" s="36"/>
      <c r="E18" s="36"/>
      <c r="F18" s="36"/>
      <c r="G18" s="36"/>
      <c r="H18" s="36"/>
      <c r="I18" s="36"/>
      <c r="J18" s="36"/>
      <c r="K18" s="36"/>
      <c r="L18" s="36"/>
      <c r="M18" s="36"/>
      <c r="N18" s="36"/>
    </row>
    <row r="19" spans="1:14">
      <c r="A19" s="13">
        <v>4001113904</v>
      </c>
      <c r="B19" s="13" t="s">
        <v>23</v>
      </c>
      <c r="C19" s="13" t="s">
        <v>14</v>
      </c>
      <c r="D19" s="36"/>
      <c r="E19" s="36"/>
      <c r="F19" s="36"/>
      <c r="G19" s="36"/>
      <c r="H19" s="36"/>
      <c r="I19" s="36"/>
      <c r="J19" s="36"/>
      <c r="K19" s="36"/>
      <c r="L19" s="36"/>
      <c r="M19" s="36"/>
      <c r="N19" s="36"/>
    </row>
    <row r="20" spans="1:14">
      <c r="A20" s="13">
        <v>4001190340</v>
      </c>
      <c r="B20" s="13" t="s">
        <v>24</v>
      </c>
      <c r="C20" s="13" t="s">
        <v>14</v>
      </c>
      <c r="D20" s="36">
        <v>5229.7052299999996</v>
      </c>
      <c r="E20" s="36">
        <v>2803.3041800000001</v>
      </c>
      <c r="F20" s="36">
        <v>1935.5382999999999</v>
      </c>
      <c r="G20" s="36">
        <v>1939.5250100000001</v>
      </c>
      <c r="H20" s="36">
        <v>8431.5576500000006</v>
      </c>
      <c r="I20" s="36">
        <v>3757.5102999999999</v>
      </c>
      <c r="J20" s="36">
        <v>4679.2625200000002</v>
      </c>
      <c r="K20" s="36">
        <v>1536.4634900000001</v>
      </c>
      <c r="L20" s="36">
        <v>3367.7742600000001</v>
      </c>
      <c r="M20" s="36">
        <v>2388.2689399999999</v>
      </c>
      <c r="N20" s="36">
        <v>2798.76989</v>
      </c>
    </row>
    <row r="21" spans="1:14">
      <c r="A21" s="13">
        <v>4001190370</v>
      </c>
      <c r="B21" s="13" t="s">
        <v>25</v>
      </c>
      <c r="C21" s="13" t="s">
        <v>14</v>
      </c>
      <c r="D21" s="36">
        <v>31831.293000000001</v>
      </c>
      <c r="E21" s="36">
        <v>32139.922999999999</v>
      </c>
      <c r="F21" s="36">
        <v>21160.083999999999</v>
      </c>
      <c r="G21" s="36">
        <v>13614.103999999999</v>
      </c>
      <c r="H21" s="36">
        <v>21054.588</v>
      </c>
      <c r="I21" s="36">
        <v>20082.843000000001</v>
      </c>
      <c r="J21" s="36">
        <v>22613.934000000001</v>
      </c>
      <c r="K21" s="36">
        <v>25482.850999999999</v>
      </c>
      <c r="L21" s="36">
        <v>18494.525000000001</v>
      </c>
      <c r="M21" s="36">
        <v>17314.240000000002</v>
      </c>
      <c r="N21" s="36">
        <v>17007.900000000001</v>
      </c>
    </row>
    <row r="22" spans="1:14">
      <c r="A22" s="13">
        <v>4001114130</v>
      </c>
      <c r="B22" s="13" t="s">
        <v>26</v>
      </c>
      <c r="C22" s="13" t="s">
        <v>14</v>
      </c>
      <c r="D22" s="36"/>
      <c r="E22" s="36"/>
      <c r="F22" s="36"/>
      <c r="G22" s="36"/>
      <c r="H22" s="36"/>
      <c r="I22" s="36"/>
      <c r="J22" s="36"/>
      <c r="K22" s="36"/>
      <c r="L22" s="36"/>
      <c r="M22" s="36"/>
      <c r="N22" s="36"/>
    </row>
    <row r="23" spans="1:14">
      <c r="A23" s="13">
        <v>4001190020</v>
      </c>
      <c r="B23" s="13" t="s">
        <v>27</v>
      </c>
      <c r="C23" s="13" t="s">
        <v>14</v>
      </c>
      <c r="D23" s="36">
        <v>298446.98564999999</v>
      </c>
      <c r="E23" s="36">
        <v>312339.51367999997</v>
      </c>
      <c r="F23" s="36">
        <v>331401.26510000002</v>
      </c>
      <c r="G23" s="36">
        <v>342092.58539999998</v>
      </c>
      <c r="H23" s="36">
        <v>343980.59847000003</v>
      </c>
      <c r="I23" s="36">
        <v>330035.20827</v>
      </c>
      <c r="J23" s="36">
        <v>339069.53865</v>
      </c>
      <c r="K23" s="36">
        <v>350144.51532000001</v>
      </c>
      <c r="L23" s="36">
        <v>366997.41512000002</v>
      </c>
      <c r="M23" s="36">
        <v>368472.00247000001</v>
      </c>
      <c r="N23" s="36">
        <v>364189.25436000002</v>
      </c>
    </row>
    <row r="24" spans="1:14">
      <c r="A24" s="13">
        <v>4001190030</v>
      </c>
      <c r="B24" s="13" t="s">
        <v>28</v>
      </c>
      <c r="C24" s="13" t="s">
        <v>14</v>
      </c>
      <c r="D24" s="36">
        <v>235582.97481000001</v>
      </c>
      <c r="E24" s="36">
        <v>246417.26381</v>
      </c>
      <c r="F24" s="36">
        <v>258925.46952000001</v>
      </c>
      <c r="G24" s="36">
        <v>270618.68338</v>
      </c>
      <c r="H24" s="36">
        <v>281658.52033999999</v>
      </c>
      <c r="I24" s="36">
        <v>204878.9118</v>
      </c>
      <c r="J24" s="36">
        <v>218568.64027999999</v>
      </c>
      <c r="K24" s="36">
        <v>232023.07495000001</v>
      </c>
      <c r="L24" s="36">
        <v>248029.36361999999</v>
      </c>
      <c r="M24" s="36">
        <v>251545.63790999999</v>
      </c>
      <c r="N24" s="36">
        <v>250021.09319000001</v>
      </c>
    </row>
    <row r="25" spans="1:14">
      <c r="A25" s="13">
        <v>4001190070</v>
      </c>
      <c r="B25" s="13" t="s">
        <v>29</v>
      </c>
      <c r="C25" s="13" t="s">
        <v>14</v>
      </c>
      <c r="D25" s="36">
        <v>17826.275000000001</v>
      </c>
      <c r="E25" s="36">
        <v>18686.467000000001</v>
      </c>
      <c r="F25" s="36">
        <v>22028.51</v>
      </c>
      <c r="G25" s="36">
        <v>20950.303</v>
      </c>
      <c r="H25" s="36">
        <v>21122.681</v>
      </c>
      <c r="I25" s="36">
        <v>21292.491000000002</v>
      </c>
      <c r="J25" s="36">
        <v>21533.562999999998</v>
      </c>
      <c r="K25" s="36">
        <v>11735.798000000001</v>
      </c>
      <c r="L25" s="36">
        <v>13030.108</v>
      </c>
      <c r="M25" s="36">
        <v>13466.56</v>
      </c>
      <c r="N25" s="36">
        <v>13715.81</v>
      </c>
    </row>
    <row r="26" spans="1:14">
      <c r="A26" s="13">
        <v>4001190110</v>
      </c>
      <c r="B26" s="13" t="s">
        <v>30</v>
      </c>
      <c r="C26" s="13" t="s">
        <v>14</v>
      </c>
      <c r="D26" s="36"/>
      <c r="E26" s="36"/>
      <c r="F26" s="36"/>
      <c r="G26" s="36"/>
      <c r="H26" s="36"/>
      <c r="I26" s="36"/>
      <c r="J26" s="36"/>
      <c r="K26" s="36"/>
      <c r="L26" s="36"/>
      <c r="M26" s="36"/>
      <c r="N26" s="36"/>
    </row>
    <row r="27" spans="1:14">
      <c r="A27" s="13">
        <v>4001190120</v>
      </c>
      <c r="B27" s="13" t="s">
        <v>31</v>
      </c>
      <c r="C27" s="13" t="s">
        <v>14</v>
      </c>
      <c r="D27" s="36">
        <v>15928.243270000001</v>
      </c>
      <c r="E27" s="36">
        <v>15894.26052</v>
      </c>
      <c r="F27" s="36">
        <v>15860.27778</v>
      </c>
      <c r="G27" s="36">
        <v>15826.295029999999</v>
      </c>
      <c r="H27" s="36">
        <v>15792.31229</v>
      </c>
      <c r="I27" s="36">
        <v>81561.498009999996</v>
      </c>
      <c r="J27" s="36">
        <v>81405.461070000005</v>
      </c>
      <c r="K27" s="36">
        <v>80608.318859999999</v>
      </c>
      <c r="L27" s="36">
        <v>80131.729259999993</v>
      </c>
      <c r="M27" s="36">
        <v>79655.139649999997</v>
      </c>
      <c r="N27" s="36">
        <v>79178.550050000005</v>
      </c>
    </row>
    <row r="28" spans="1:14">
      <c r="A28" s="13">
        <v>4001190130</v>
      </c>
      <c r="B28" s="13" t="s">
        <v>32</v>
      </c>
      <c r="C28" s="13" t="s">
        <v>14</v>
      </c>
      <c r="D28" s="36">
        <v>23331.734</v>
      </c>
      <c r="E28" s="36">
        <v>24344.070820000001</v>
      </c>
      <c r="F28" s="36">
        <v>26579.95462</v>
      </c>
      <c r="G28" s="36">
        <v>26967.576690000002</v>
      </c>
      <c r="H28" s="36">
        <v>18088.181359999999</v>
      </c>
      <c r="I28" s="36">
        <v>11819.75115</v>
      </c>
      <c r="J28" s="36">
        <v>7251.77322</v>
      </c>
      <c r="K28" s="36">
        <v>7239.4133499999998</v>
      </c>
      <c r="L28" s="36">
        <v>7268.8781200000003</v>
      </c>
      <c r="M28" s="36">
        <v>11347.001689999999</v>
      </c>
      <c r="N28" s="36">
        <v>8640.4733099999994</v>
      </c>
    </row>
    <row r="29" spans="1:14">
      <c r="A29" s="13">
        <v>4001111660</v>
      </c>
      <c r="B29" s="13" t="s">
        <v>33</v>
      </c>
      <c r="C29" s="13" t="s">
        <v>14</v>
      </c>
      <c r="D29" s="36"/>
      <c r="E29" s="36"/>
      <c r="F29" s="36"/>
      <c r="G29" s="36"/>
      <c r="H29" s="36"/>
      <c r="I29" s="36"/>
      <c r="J29" s="36"/>
      <c r="K29" s="36"/>
      <c r="L29" s="36"/>
      <c r="M29" s="36"/>
      <c r="N29" s="36"/>
    </row>
    <row r="30" spans="1:14">
      <c r="A30" s="13">
        <v>4001190160</v>
      </c>
      <c r="B30" s="13" t="s">
        <v>34</v>
      </c>
      <c r="C30" s="13" t="s">
        <v>14</v>
      </c>
      <c r="D30" s="36">
        <v>1278.16488</v>
      </c>
      <c r="E30" s="36">
        <v>1103.7444399999999</v>
      </c>
      <c r="F30" s="36">
        <v>964.10658000000001</v>
      </c>
      <c r="G30" s="36">
        <v>1286.26118</v>
      </c>
      <c r="H30" s="36">
        <v>875.43852000000004</v>
      </c>
      <c r="I30" s="36">
        <v>708.34249</v>
      </c>
      <c r="J30" s="36">
        <v>535.88769000000002</v>
      </c>
      <c r="K30" s="36">
        <v>318.40496000000002</v>
      </c>
      <c r="L30" s="36">
        <v>317.83148</v>
      </c>
      <c r="M30" s="36">
        <v>288.96310999999997</v>
      </c>
      <c r="N30" s="36">
        <v>464.62828999999999</v>
      </c>
    </row>
    <row r="31" spans="1:14">
      <c r="A31" s="13">
        <v>4001112490</v>
      </c>
      <c r="B31" s="13" t="s">
        <v>35</v>
      </c>
      <c r="C31" s="13" t="s">
        <v>14</v>
      </c>
      <c r="D31" s="36">
        <v>4499.5929999999998</v>
      </c>
      <c r="E31" s="36">
        <v>5893.7064700000001</v>
      </c>
      <c r="F31" s="36">
        <v>7042.9468299999999</v>
      </c>
      <c r="G31" s="36">
        <v>6443.4650600000004</v>
      </c>
      <c r="H31" s="36">
        <v>6443.4650600000004</v>
      </c>
      <c r="I31" s="36">
        <v>9774.2134399999995</v>
      </c>
      <c r="J31" s="36">
        <v>9774.2134399999995</v>
      </c>
      <c r="K31" s="36">
        <v>18219.50532</v>
      </c>
      <c r="L31" s="36">
        <v>18219.50533</v>
      </c>
      <c r="M31" s="36">
        <v>12168.69944</v>
      </c>
      <c r="N31" s="36">
        <v>12168.69944</v>
      </c>
    </row>
    <row r="32" spans="1:14">
      <c r="A32" s="13">
        <v>4001112500</v>
      </c>
      <c r="B32" s="13" t="s">
        <v>36</v>
      </c>
      <c r="C32" s="13" t="s">
        <v>14</v>
      </c>
      <c r="D32" s="36"/>
      <c r="E32" s="36"/>
      <c r="F32" s="36"/>
      <c r="G32" s="36"/>
      <c r="H32" s="36"/>
      <c r="I32" s="36"/>
      <c r="J32" s="36"/>
      <c r="K32" s="36"/>
      <c r="L32" s="36"/>
      <c r="M32" s="36"/>
      <c r="N32" s="36"/>
    </row>
    <row r="33" spans="1:14">
      <c r="A33" s="13">
        <v>4001180575</v>
      </c>
      <c r="B33" s="13" t="s">
        <v>21</v>
      </c>
      <c r="C33" s="13" t="s">
        <v>14</v>
      </c>
      <c r="D33" s="36"/>
      <c r="E33" s="36"/>
      <c r="F33" s="36"/>
      <c r="G33" s="36"/>
      <c r="H33" s="36"/>
      <c r="I33" s="36"/>
      <c r="J33" s="36"/>
      <c r="K33" s="36"/>
      <c r="L33" s="36"/>
      <c r="M33" s="36"/>
      <c r="N33" s="36"/>
    </row>
    <row r="34" spans="1:14">
      <c r="A34" s="13">
        <v>4001112503</v>
      </c>
      <c r="B34" s="13" t="s">
        <v>22</v>
      </c>
      <c r="C34" s="13" t="s">
        <v>14</v>
      </c>
      <c r="D34" s="36"/>
      <c r="E34" s="36"/>
      <c r="F34" s="36"/>
      <c r="G34" s="36"/>
      <c r="H34" s="36"/>
      <c r="I34" s="36"/>
      <c r="J34" s="36"/>
      <c r="K34" s="36"/>
      <c r="L34" s="36"/>
      <c r="M34" s="36"/>
      <c r="N34" s="36"/>
    </row>
    <row r="35" spans="1:14">
      <c r="A35" s="13">
        <v>4001112504</v>
      </c>
      <c r="B35" s="13" t="s">
        <v>23</v>
      </c>
      <c r="C35" s="13" t="s">
        <v>14</v>
      </c>
      <c r="D35" s="36"/>
      <c r="E35" s="36"/>
      <c r="F35" s="36"/>
      <c r="G35" s="36"/>
      <c r="H35" s="36"/>
      <c r="I35" s="36"/>
      <c r="J35" s="36"/>
      <c r="K35" s="36"/>
      <c r="L35" s="36"/>
      <c r="M35" s="36"/>
      <c r="N35" s="36"/>
    </row>
    <row r="36" spans="1:14">
      <c r="A36" s="13">
        <v>4001190200</v>
      </c>
      <c r="B36" s="13" t="s">
        <v>37</v>
      </c>
      <c r="C36" s="13" t="s">
        <v>14</v>
      </c>
      <c r="D36" s="36"/>
      <c r="E36" s="36"/>
      <c r="F36" s="36"/>
      <c r="G36" s="36"/>
      <c r="H36" s="36"/>
      <c r="I36" s="36"/>
      <c r="J36" s="36"/>
      <c r="K36" s="36"/>
      <c r="L36" s="36"/>
      <c r="M36" s="36"/>
      <c r="N36" s="36"/>
    </row>
    <row r="37" spans="1:14">
      <c r="A37" s="13">
        <v>4001112880</v>
      </c>
      <c r="B37" s="13" t="s">
        <v>38</v>
      </c>
      <c r="C37" s="13" t="s">
        <v>14</v>
      </c>
      <c r="D37" s="36"/>
      <c r="E37" s="36"/>
      <c r="F37" s="36"/>
      <c r="G37" s="36"/>
      <c r="H37" s="36"/>
      <c r="I37" s="36"/>
      <c r="J37" s="36"/>
      <c r="K37" s="36"/>
      <c r="L37" s="36"/>
      <c r="M37" s="36"/>
      <c r="N37" s="36"/>
    </row>
    <row r="38" spans="1:14">
      <c r="A38" s="13">
        <v>4001190440</v>
      </c>
      <c r="B38" s="13" t="s">
        <v>39</v>
      </c>
      <c r="C38" s="13" t="s">
        <v>14</v>
      </c>
      <c r="D38" s="36">
        <v>260109.59599</v>
      </c>
      <c r="E38" s="36">
        <v>260228.6728</v>
      </c>
      <c r="F38" s="36">
        <v>277062.39152</v>
      </c>
      <c r="G38" s="36">
        <v>270300.48524000001</v>
      </c>
      <c r="H38" s="36">
        <v>297429.66973000002</v>
      </c>
      <c r="I38" s="36">
        <v>298167.00203999999</v>
      </c>
      <c r="J38" s="36">
        <v>287283.804</v>
      </c>
      <c r="K38" s="36">
        <v>317917.19095999998</v>
      </c>
      <c r="L38" s="36">
        <v>340007.37852999999</v>
      </c>
      <c r="M38" s="36">
        <v>338538.82978999999</v>
      </c>
      <c r="N38" s="36">
        <v>354475.82006</v>
      </c>
    </row>
    <row r="39" spans="1:14">
      <c r="A39" s="13">
        <v>4001190610</v>
      </c>
      <c r="B39" s="13" t="s">
        <v>40</v>
      </c>
      <c r="C39" s="13" t="s">
        <v>14</v>
      </c>
      <c r="D39" s="36">
        <v>180727.37645000001</v>
      </c>
      <c r="E39" s="36">
        <v>173823.31216999999</v>
      </c>
      <c r="F39" s="36">
        <v>140261.16303</v>
      </c>
      <c r="G39" s="36">
        <v>139213.88514</v>
      </c>
      <c r="H39" s="36">
        <v>167038.76689</v>
      </c>
      <c r="I39" s="36">
        <v>151387.53541000001</v>
      </c>
      <c r="J39" s="36">
        <v>200795.60821999999</v>
      </c>
      <c r="K39" s="36">
        <v>218505.56372999999</v>
      </c>
      <c r="L39" s="36">
        <v>242180.26078000001</v>
      </c>
      <c r="M39" s="36">
        <v>241212.13484000001</v>
      </c>
      <c r="N39" s="36">
        <v>162019.79248999999</v>
      </c>
    </row>
    <row r="40" spans="1:14">
      <c r="A40" s="13">
        <v>4001181470</v>
      </c>
      <c r="B40" s="13" t="s">
        <v>41</v>
      </c>
      <c r="C40" s="13" t="s">
        <v>14</v>
      </c>
      <c r="D40" s="36"/>
      <c r="E40" s="36"/>
      <c r="F40" s="36"/>
      <c r="G40" s="36"/>
      <c r="H40" s="36"/>
      <c r="I40" s="36"/>
      <c r="J40" s="36"/>
      <c r="K40" s="36"/>
      <c r="L40" s="36"/>
      <c r="M40" s="36"/>
      <c r="N40" s="36"/>
    </row>
    <row r="41" spans="1:14">
      <c r="A41" s="13">
        <v>4001121700</v>
      </c>
      <c r="B41" s="13" t="s">
        <v>42</v>
      </c>
      <c r="C41" s="13" t="s">
        <v>14</v>
      </c>
      <c r="D41" s="36">
        <v>62250</v>
      </c>
      <c r="E41" s="36">
        <v>72500</v>
      </c>
      <c r="F41" s="36">
        <v>73500</v>
      </c>
      <c r="G41" s="36">
        <v>73873.214940000005</v>
      </c>
      <c r="H41" s="36">
        <v>88543.331399999995</v>
      </c>
      <c r="I41" s="36">
        <v>70240.038</v>
      </c>
      <c r="J41" s="36">
        <v>69235.836670000004</v>
      </c>
      <c r="K41" s="36">
        <v>69134.844559999998</v>
      </c>
      <c r="L41" s="36">
        <v>82630.895539999998</v>
      </c>
      <c r="M41" s="36">
        <v>105500</v>
      </c>
      <c r="N41" s="36">
        <v>85500</v>
      </c>
    </row>
    <row r="42" spans="1:14">
      <c r="A42" s="13">
        <v>4001190620</v>
      </c>
      <c r="B42" s="13" t="s">
        <v>43</v>
      </c>
      <c r="C42" s="13" t="s">
        <v>14</v>
      </c>
      <c r="D42" s="36">
        <v>84876.146999999997</v>
      </c>
      <c r="E42" s="36">
        <v>75450.447</v>
      </c>
      <c r="F42" s="36">
        <v>36256.882189999997</v>
      </c>
      <c r="G42" s="36">
        <v>38052.193429999999</v>
      </c>
      <c r="H42" s="36">
        <v>39730.667000000001</v>
      </c>
      <c r="I42" s="36">
        <v>34293.167000000001</v>
      </c>
      <c r="J42" s="36">
        <v>88894.263999999996</v>
      </c>
      <c r="K42" s="36">
        <v>95848.851250000007</v>
      </c>
      <c r="L42" s="36">
        <v>96590.959000000003</v>
      </c>
      <c r="M42" s="36">
        <v>91680.464000000007</v>
      </c>
      <c r="N42" s="36">
        <v>42180.807000000001</v>
      </c>
    </row>
    <row r="43" spans="1:14">
      <c r="A43" s="13">
        <v>4001190630</v>
      </c>
      <c r="B43" s="13" t="s">
        <v>44</v>
      </c>
      <c r="C43" s="13" t="s">
        <v>14</v>
      </c>
      <c r="D43" s="36">
        <v>11141.37932</v>
      </c>
      <c r="E43" s="36">
        <v>9072.9089499999991</v>
      </c>
      <c r="F43" s="36">
        <v>12102.61902</v>
      </c>
      <c r="G43" s="36">
        <v>3134.8322899999998</v>
      </c>
      <c r="H43" s="36">
        <v>12621.66639</v>
      </c>
      <c r="I43" s="36">
        <v>19690.600999999999</v>
      </c>
      <c r="J43" s="36">
        <v>7920.8261300000004</v>
      </c>
      <c r="K43" s="36">
        <v>31870.605820000001</v>
      </c>
      <c r="L43" s="36">
        <v>29145.236669999998</v>
      </c>
      <c r="M43" s="36">
        <v>6820.1553100000001</v>
      </c>
      <c r="N43" s="36">
        <v>10132.59533</v>
      </c>
    </row>
    <row r="44" spans="1:14">
      <c r="A44" s="13">
        <v>4001190660</v>
      </c>
      <c r="B44" s="13" t="s">
        <v>45</v>
      </c>
      <c r="C44" s="13" t="s">
        <v>14</v>
      </c>
      <c r="D44" s="36">
        <v>13688.387000000001</v>
      </c>
      <c r="E44" s="36">
        <v>12386.245000000001</v>
      </c>
      <c r="F44" s="36">
        <v>13879.052</v>
      </c>
      <c r="G44" s="36">
        <v>20668.424999999999</v>
      </c>
      <c r="H44" s="36">
        <v>22677.214</v>
      </c>
      <c r="I44" s="36">
        <v>23500.403999999999</v>
      </c>
      <c r="J44" s="36">
        <v>27081.967000000001</v>
      </c>
      <c r="K44" s="36">
        <v>17984.827000000001</v>
      </c>
      <c r="L44" s="36">
        <v>30812.918000000001</v>
      </c>
      <c r="M44" s="36">
        <v>34326.572999999997</v>
      </c>
      <c r="N44" s="36">
        <v>21688.370999999999</v>
      </c>
    </row>
    <row r="45" spans="1:14">
      <c r="A45" s="13">
        <v>4001190680</v>
      </c>
      <c r="B45" s="13" t="s">
        <v>46</v>
      </c>
      <c r="C45" s="13" t="s">
        <v>14</v>
      </c>
      <c r="D45" s="36">
        <v>1677.5940000000001</v>
      </c>
      <c r="E45" s="36"/>
      <c r="F45" s="36"/>
      <c r="G45" s="36"/>
      <c r="H45" s="36"/>
      <c r="I45" s="36"/>
      <c r="J45" s="36">
        <v>1640.095</v>
      </c>
      <c r="K45" s="36"/>
      <c r="L45" s="36"/>
      <c r="M45" s="36"/>
      <c r="N45" s="36"/>
    </row>
    <row r="46" spans="1:14">
      <c r="A46" s="13">
        <v>4001122460</v>
      </c>
      <c r="B46" s="13" t="s">
        <v>47</v>
      </c>
      <c r="C46" s="13" t="s">
        <v>14</v>
      </c>
      <c r="D46" s="36">
        <v>600.28826000000004</v>
      </c>
      <c r="E46" s="36">
        <v>547.36081000000001</v>
      </c>
      <c r="F46" s="36">
        <v>556.29789000000005</v>
      </c>
      <c r="G46" s="36">
        <v>628.42696999999998</v>
      </c>
      <c r="H46" s="36">
        <v>572.16836000000001</v>
      </c>
      <c r="I46" s="36">
        <v>548.08900000000006</v>
      </c>
      <c r="J46" s="36">
        <v>518.88851</v>
      </c>
      <c r="K46" s="36">
        <v>354.81218000000001</v>
      </c>
      <c r="L46" s="36">
        <v>273.81819999999999</v>
      </c>
      <c r="M46" s="36">
        <v>287.92084999999997</v>
      </c>
      <c r="N46" s="36">
        <v>313.12882000000002</v>
      </c>
    </row>
    <row r="47" spans="1:14">
      <c r="A47" s="13">
        <v>4001122560</v>
      </c>
      <c r="B47" s="13" t="s">
        <v>48</v>
      </c>
      <c r="C47" s="13" t="s">
        <v>14</v>
      </c>
      <c r="D47" s="36">
        <v>1937.1422500000001</v>
      </c>
      <c r="E47" s="36">
        <v>601.01008000000002</v>
      </c>
      <c r="F47" s="36"/>
      <c r="G47" s="36"/>
      <c r="H47" s="36"/>
      <c r="I47" s="36">
        <v>202.17400000000001</v>
      </c>
      <c r="J47" s="36">
        <v>3942.9890700000001</v>
      </c>
      <c r="K47" s="36">
        <v>570.08420000000001</v>
      </c>
      <c r="L47" s="36">
        <v>407.77242000000001</v>
      </c>
      <c r="M47" s="36">
        <v>138.33965000000001</v>
      </c>
      <c r="N47" s="36">
        <v>118.93312</v>
      </c>
    </row>
    <row r="48" spans="1:14">
      <c r="A48" s="13">
        <v>4001122561</v>
      </c>
      <c r="B48" s="13" t="s">
        <v>49</v>
      </c>
      <c r="C48" s="13" t="s">
        <v>14</v>
      </c>
      <c r="D48" s="36"/>
      <c r="E48" s="36"/>
      <c r="F48" s="36"/>
      <c r="G48" s="36"/>
      <c r="H48" s="36"/>
      <c r="I48" s="36"/>
      <c r="J48" s="36"/>
      <c r="K48" s="36"/>
      <c r="L48" s="36"/>
      <c r="M48" s="36"/>
      <c r="N48" s="36"/>
    </row>
    <row r="49" spans="1:14">
      <c r="A49" s="13">
        <v>4001122562</v>
      </c>
      <c r="B49" s="13" t="s">
        <v>50</v>
      </c>
      <c r="C49" s="13" t="s">
        <v>14</v>
      </c>
      <c r="D49" s="36"/>
      <c r="E49" s="36"/>
      <c r="F49" s="36"/>
      <c r="G49" s="36"/>
      <c r="H49" s="36"/>
      <c r="I49" s="36"/>
      <c r="J49" s="36"/>
      <c r="K49" s="36"/>
      <c r="L49" s="36"/>
      <c r="M49" s="36"/>
      <c r="N49" s="36"/>
    </row>
    <row r="50" spans="1:14">
      <c r="A50" s="13">
        <v>4001122563</v>
      </c>
      <c r="B50" s="13" t="s">
        <v>51</v>
      </c>
      <c r="C50" s="13" t="s">
        <v>14</v>
      </c>
      <c r="D50" s="36"/>
      <c r="E50" s="36"/>
      <c r="F50" s="36"/>
      <c r="G50" s="36"/>
      <c r="H50" s="36"/>
      <c r="I50" s="36"/>
      <c r="J50" s="36"/>
      <c r="K50" s="36"/>
      <c r="L50" s="36"/>
      <c r="M50" s="36"/>
      <c r="N50" s="36"/>
    </row>
    <row r="51" spans="1:14">
      <c r="A51" s="13">
        <v>4001190690</v>
      </c>
      <c r="B51" s="13" t="s">
        <v>52</v>
      </c>
      <c r="C51" s="13" t="s">
        <v>14</v>
      </c>
      <c r="D51" s="36">
        <v>4556.4390000000003</v>
      </c>
      <c r="E51" s="36">
        <v>3265.34</v>
      </c>
      <c r="F51" s="36">
        <v>3966.3110000000001</v>
      </c>
      <c r="G51" s="36">
        <v>2856.7919999999999</v>
      </c>
      <c r="H51" s="36">
        <v>2893.72</v>
      </c>
      <c r="I51" s="36">
        <v>2913.0639999999999</v>
      </c>
      <c r="J51" s="36">
        <v>1560.741</v>
      </c>
      <c r="K51" s="36">
        <v>2741.5390000000002</v>
      </c>
      <c r="L51" s="36">
        <v>2318.6610000000001</v>
      </c>
      <c r="M51" s="36">
        <v>2458.681</v>
      </c>
      <c r="N51" s="36">
        <v>2085.9569999999999</v>
      </c>
    </row>
    <row r="52" spans="1:14">
      <c r="A52" s="13">
        <v>4001122680</v>
      </c>
      <c r="B52" s="13" t="s">
        <v>53</v>
      </c>
      <c r="C52" s="13" t="s">
        <v>14</v>
      </c>
      <c r="D52" s="36"/>
      <c r="E52" s="36"/>
      <c r="F52" s="36"/>
      <c r="G52" s="36"/>
      <c r="H52" s="36"/>
      <c r="I52" s="36"/>
      <c r="J52" s="36"/>
      <c r="K52" s="36"/>
      <c r="L52" s="36"/>
      <c r="M52" s="36"/>
      <c r="N52" s="36"/>
    </row>
    <row r="53" spans="1:14">
      <c r="A53" s="13">
        <v>4001190450</v>
      </c>
      <c r="B53" s="13" t="s">
        <v>54</v>
      </c>
      <c r="C53" s="13" t="s">
        <v>14</v>
      </c>
      <c r="D53" s="36">
        <v>79382.219540000006</v>
      </c>
      <c r="E53" s="36">
        <v>86405.360629999996</v>
      </c>
      <c r="F53" s="36">
        <v>136801.22847999999</v>
      </c>
      <c r="G53" s="36">
        <v>131086.60010000001</v>
      </c>
      <c r="H53" s="36">
        <v>130390.90284</v>
      </c>
      <c r="I53" s="36">
        <v>146779.467</v>
      </c>
      <c r="J53" s="36">
        <v>86488.195789999998</v>
      </c>
      <c r="K53" s="36">
        <v>99411.627229999998</v>
      </c>
      <c r="L53" s="36">
        <v>97827.117759999994</v>
      </c>
      <c r="M53" s="36">
        <v>97326.694950000005</v>
      </c>
      <c r="N53" s="36">
        <v>192456.02757000001</v>
      </c>
    </row>
    <row r="54" spans="1:14">
      <c r="A54" s="13">
        <v>4001190460</v>
      </c>
      <c r="B54" s="13" t="s">
        <v>55</v>
      </c>
      <c r="C54" s="13" t="s">
        <v>14</v>
      </c>
      <c r="D54" s="36"/>
      <c r="E54" s="36"/>
      <c r="F54" s="36"/>
      <c r="G54" s="36"/>
      <c r="H54" s="36"/>
      <c r="I54" s="36"/>
      <c r="J54" s="36"/>
      <c r="K54" s="36"/>
      <c r="L54" s="36"/>
      <c r="M54" s="36"/>
      <c r="N54" s="36"/>
    </row>
    <row r="55" spans="1:14">
      <c r="A55" s="13">
        <v>4001190470</v>
      </c>
      <c r="B55" s="13" t="s">
        <v>56</v>
      </c>
      <c r="C55" s="13" t="s">
        <v>14</v>
      </c>
      <c r="D55" s="36">
        <v>67892.78</v>
      </c>
      <c r="E55" s="36">
        <v>75773.69</v>
      </c>
      <c r="F55" s="36">
        <v>126671.03999999999</v>
      </c>
      <c r="G55" s="36">
        <v>120237.75</v>
      </c>
      <c r="H55" s="36">
        <v>118316.46</v>
      </c>
      <c r="I55" s="36">
        <v>135045.17000000001</v>
      </c>
      <c r="J55" s="36">
        <v>74655.72</v>
      </c>
      <c r="K55" s="36">
        <v>87725.52</v>
      </c>
      <c r="L55" s="36">
        <v>84435.32</v>
      </c>
      <c r="M55" s="36">
        <v>82511.759999999995</v>
      </c>
      <c r="N55" s="36">
        <v>177236.22</v>
      </c>
    </row>
    <row r="56" spans="1:14">
      <c r="A56" s="13">
        <v>4001190480</v>
      </c>
      <c r="B56" s="13" t="s">
        <v>57</v>
      </c>
      <c r="C56" s="13" t="s">
        <v>14</v>
      </c>
      <c r="D56" s="36">
        <v>122.76087</v>
      </c>
      <c r="E56" s="36">
        <v>166.71915000000001</v>
      </c>
      <c r="F56" s="36">
        <v>124.89317</v>
      </c>
      <c r="G56" s="36">
        <v>97.304150000000007</v>
      </c>
      <c r="H56" s="36">
        <v>80.466459999999998</v>
      </c>
      <c r="I56" s="36">
        <v>61.848559999999999</v>
      </c>
      <c r="J56" s="36">
        <v>59.585380000000001</v>
      </c>
      <c r="K56" s="36">
        <v>71.835260000000005</v>
      </c>
      <c r="L56" s="36">
        <v>45.162559999999999</v>
      </c>
      <c r="M56" s="36">
        <v>2336.7163</v>
      </c>
      <c r="N56" s="36">
        <v>3151.2781500000001</v>
      </c>
    </row>
    <row r="57" spans="1:14">
      <c r="A57" s="13">
        <v>4001190500</v>
      </c>
      <c r="B57" s="13" t="s">
        <v>58</v>
      </c>
      <c r="C57" s="13" t="s">
        <v>14</v>
      </c>
      <c r="D57" s="36">
        <v>169.5</v>
      </c>
      <c r="E57" s="36">
        <v>168.9</v>
      </c>
      <c r="F57" s="36">
        <v>27.4</v>
      </c>
      <c r="G57" s="36">
        <v>25.9</v>
      </c>
      <c r="H57" s="36">
        <v>25</v>
      </c>
      <c r="I57" s="36">
        <v>24.1</v>
      </c>
      <c r="J57" s="36">
        <v>26.9</v>
      </c>
      <c r="K57" s="36">
        <v>28.7</v>
      </c>
      <c r="L57" s="36">
        <v>29.3</v>
      </c>
      <c r="M57" s="36">
        <v>30.2</v>
      </c>
      <c r="N57" s="36">
        <v>29.4</v>
      </c>
    </row>
    <row r="58" spans="1:14">
      <c r="A58" s="13">
        <v>4001190570</v>
      </c>
      <c r="B58" s="13" t="s">
        <v>59</v>
      </c>
      <c r="C58" s="13" t="s">
        <v>14</v>
      </c>
      <c r="D58" s="36">
        <v>10963.454</v>
      </c>
      <c r="E58" s="36">
        <v>10116.522000000001</v>
      </c>
      <c r="F58" s="36">
        <v>9824.1190000000006</v>
      </c>
      <c r="G58" s="36">
        <v>10583.786</v>
      </c>
      <c r="H58" s="36">
        <v>11458.866169999999</v>
      </c>
      <c r="I58" s="36">
        <v>11503.679</v>
      </c>
      <c r="J58" s="36">
        <v>11568.733</v>
      </c>
      <c r="K58" s="36">
        <v>11426.621999999999</v>
      </c>
      <c r="L58" s="36">
        <v>12530.634470000001</v>
      </c>
      <c r="M58" s="36">
        <v>12317.31</v>
      </c>
      <c r="N58" s="36">
        <v>11903.174999999999</v>
      </c>
    </row>
    <row r="59" spans="1:14">
      <c r="A59" s="13">
        <v>4001121280</v>
      </c>
      <c r="B59" s="13" t="s">
        <v>60</v>
      </c>
      <c r="C59" s="13" t="s">
        <v>14</v>
      </c>
      <c r="D59" s="36">
        <v>233.72413</v>
      </c>
      <c r="E59" s="36">
        <v>179.52970999999999</v>
      </c>
      <c r="F59" s="36">
        <v>153.77717999999999</v>
      </c>
      <c r="G59" s="36">
        <v>141.85971000000001</v>
      </c>
      <c r="H59" s="36">
        <v>135.53477000000001</v>
      </c>
      <c r="I59" s="36">
        <v>144.66906</v>
      </c>
      <c r="J59" s="36">
        <v>177.25709000000001</v>
      </c>
      <c r="K59" s="36">
        <v>158.94971000000001</v>
      </c>
      <c r="L59" s="36">
        <v>125.39975</v>
      </c>
      <c r="M59" s="36">
        <v>130.70853</v>
      </c>
      <c r="N59" s="36">
        <v>135.95410999999999</v>
      </c>
    </row>
    <row r="60" spans="1:14">
      <c r="A60" s="13">
        <v>4001121380</v>
      </c>
      <c r="B60" s="13" t="s">
        <v>61</v>
      </c>
      <c r="C60" s="13" t="s">
        <v>14</v>
      </c>
      <c r="D60" s="36"/>
      <c r="E60" s="36"/>
      <c r="F60" s="36"/>
      <c r="G60" s="36"/>
      <c r="H60" s="36"/>
      <c r="I60" s="36"/>
      <c r="J60" s="36"/>
      <c r="K60" s="36"/>
      <c r="L60" s="36"/>
      <c r="M60" s="36"/>
      <c r="N60" s="36"/>
    </row>
    <row r="61" spans="1:14">
      <c r="A61" s="13">
        <v>4001181370</v>
      </c>
      <c r="B61" s="13" t="s">
        <v>62</v>
      </c>
      <c r="C61" s="13" t="s">
        <v>14</v>
      </c>
      <c r="D61" s="36"/>
      <c r="E61" s="36"/>
      <c r="F61" s="36"/>
      <c r="G61" s="36"/>
      <c r="H61" s="36"/>
      <c r="I61" s="36"/>
      <c r="J61" s="36"/>
      <c r="K61" s="36"/>
      <c r="L61" s="36"/>
      <c r="M61" s="36"/>
      <c r="N61" s="36"/>
    </row>
    <row r="62" spans="1:14">
      <c r="A62" s="13">
        <v>4001121401</v>
      </c>
      <c r="B62" s="13" t="s">
        <v>49</v>
      </c>
      <c r="C62" s="13" t="s">
        <v>14</v>
      </c>
      <c r="D62" s="36"/>
      <c r="E62" s="36"/>
      <c r="F62" s="36"/>
      <c r="G62" s="36"/>
      <c r="H62" s="36"/>
      <c r="I62" s="36"/>
      <c r="J62" s="36"/>
      <c r="K62" s="36"/>
      <c r="L62" s="36"/>
      <c r="M62" s="36"/>
      <c r="N62" s="36"/>
    </row>
    <row r="63" spans="1:14">
      <c r="A63" s="13">
        <v>4001121402</v>
      </c>
      <c r="B63" s="13" t="s">
        <v>50</v>
      </c>
      <c r="C63" s="13" t="s">
        <v>14</v>
      </c>
      <c r="D63" s="36"/>
      <c r="E63" s="36"/>
      <c r="F63" s="36"/>
      <c r="G63" s="36"/>
      <c r="H63" s="36"/>
      <c r="I63" s="36"/>
      <c r="J63" s="36"/>
      <c r="K63" s="36"/>
      <c r="L63" s="36"/>
      <c r="M63" s="36"/>
      <c r="N63" s="36"/>
    </row>
    <row r="64" spans="1:14">
      <c r="A64" s="13">
        <v>4001121403</v>
      </c>
      <c r="B64" s="13" t="s">
        <v>51</v>
      </c>
      <c r="C64" s="13" t="s">
        <v>14</v>
      </c>
      <c r="D64" s="36"/>
      <c r="E64" s="36"/>
      <c r="F64" s="36"/>
      <c r="G64" s="36"/>
      <c r="H64" s="36"/>
      <c r="I64" s="36"/>
      <c r="J64" s="36"/>
      <c r="K64" s="36"/>
      <c r="L64" s="36"/>
      <c r="M64" s="36"/>
      <c r="N64" s="36"/>
    </row>
    <row r="65" spans="1:14">
      <c r="A65" s="13">
        <v>4001190580</v>
      </c>
      <c r="B65" s="13" t="s">
        <v>63</v>
      </c>
      <c r="C65" s="13" t="s">
        <v>14</v>
      </c>
      <c r="D65" s="36"/>
      <c r="E65" s="36"/>
      <c r="F65" s="36"/>
      <c r="G65" s="36"/>
      <c r="H65" s="36">
        <v>374.57544999999999</v>
      </c>
      <c r="I65" s="36"/>
      <c r="J65" s="36"/>
      <c r="K65" s="36"/>
      <c r="L65" s="36">
        <v>661.30097000000001</v>
      </c>
      <c r="M65" s="36"/>
      <c r="N65" s="36"/>
    </row>
    <row r="66" spans="1:14">
      <c r="A66" s="13">
        <v>4001121620</v>
      </c>
      <c r="B66" s="13" t="s">
        <v>64</v>
      </c>
      <c r="C66" s="13" t="s">
        <v>14</v>
      </c>
      <c r="D66" s="36"/>
      <c r="E66" s="36"/>
      <c r="F66" s="36"/>
      <c r="G66" s="36"/>
      <c r="H66" s="36"/>
      <c r="I66" s="36"/>
      <c r="J66" s="36"/>
      <c r="K66" s="36"/>
      <c r="L66" s="36"/>
      <c r="M66" s="36"/>
      <c r="N66" s="36"/>
    </row>
    <row r="67" spans="1:14">
      <c r="A67" s="13">
        <v>4001190380</v>
      </c>
      <c r="B67" s="13" t="s">
        <v>65</v>
      </c>
      <c r="C67" s="13" t="s">
        <v>14</v>
      </c>
      <c r="D67" s="36">
        <v>219088.45877999999</v>
      </c>
      <c r="E67" s="36">
        <v>218770.64580999999</v>
      </c>
      <c r="F67" s="36">
        <v>207773.35845999999</v>
      </c>
      <c r="G67" s="36">
        <v>215586.93541999999</v>
      </c>
      <c r="H67" s="36">
        <v>202284.55296999999</v>
      </c>
      <c r="I67" s="36">
        <v>200704.65628</v>
      </c>
      <c r="J67" s="36">
        <v>214885.18958000001</v>
      </c>
      <c r="K67" s="36">
        <v>188303.43468999999</v>
      </c>
      <c r="L67" s="36">
        <v>180653.71215000001</v>
      </c>
      <c r="M67" s="36">
        <v>203062.33033999999</v>
      </c>
      <c r="N67" s="36">
        <v>196973.09215000001</v>
      </c>
    </row>
    <row r="68" spans="1:14">
      <c r="A68" s="13">
        <v>4001130010</v>
      </c>
      <c r="B68" s="13" t="s">
        <v>66</v>
      </c>
      <c r="C68" s="13" t="s">
        <v>67</v>
      </c>
      <c r="D68" s="36">
        <v>200000000</v>
      </c>
      <c r="E68" s="36">
        <v>200000000</v>
      </c>
      <c r="F68" s="36">
        <v>200000000</v>
      </c>
      <c r="G68" s="36">
        <v>200000000</v>
      </c>
      <c r="H68" s="36">
        <v>200000000</v>
      </c>
      <c r="I68" s="36">
        <v>200000000</v>
      </c>
      <c r="J68" s="36">
        <v>200000000</v>
      </c>
      <c r="K68" s="36">
        <v>200000000</v>
      </c>
      <c r="L68" s="36">
        <v>200000000</v>
      </c>
      <c r="M68" s="36">
        <v>200000000</v>
      </c>
      <c r="N68" s="36">
        <v>200000000</v>
      </c>
    </row>
    <row r="69" spans="1:14">
      <c r="A69" s="13">
        <v>4001130020</v>
      </c>
      <c r="B69" s="13" t="s">
        <v>68</v>
      </c>
      <c r="C69" s="13" t="s">
        <v>69</v>
      </c>
      <c r="D69" s="36">
        <v>500</v>
      </c>
      <c r="E69" s="36">
        <v>500</v>
      </c>
      <c r="F69" s="36">
        <v>500</v>
      </c>
      <c r="G69" s="36">
        <v>500</v>
      </c>
      <c r="H69" s="36">
        <v>500</v>
      </c>
      <c r="I69" s="36">
        <v>500</v>
      </c>
      <c r="J69" s="36">
        <v>500</v>
      </c>
      <c r="K69" s="36">
        <v>500</v>
      </c>
      <c r="L69" s="36">
        <v>500</v>
      </c>
      <c r="M69" s="36">
        <v>500</v>
      </c>
      <c r="N69" s="36">
        <v>500</v>
      </c>
    </row>
    <row r="70" spans="1:14">
      <c r="A70" s="13">
        <v>4001130030</v>
      </c>
      <c r="B70" s="13" t="s">
        <v>70</v>
      </c>
      <c r="C70" s="13" t="s">
        <v>67</v>
      </c>
      <c r="D70" s="36">
        <v>37353645</v>
      </c>
      <c r="E70" s="36">
        <v>37353645</v>
      </c>
      <c r="F70" s="36">
        <v>37353645</v>
      </c>
      <c r="G70" s="36">
        <v>37353645</v>
      </c>
      <c r="H70" s="36">
        <v>37353645</v>
      </c>
      <c r="I70" s="36">
        <v>37353645</v>
      </c>
      <c r="J70" s="36">
        <v>37353645</v>
      </c>
      <c r="K70" s="36">
        <v>37353645</v>
      </c>
      <c r="L70" s="36">
        <v>37353645</v>
      </c>
      <c r="M70" s="36">
        <v>37353645</v>
      </c>
      <c r="N70" s="36">
        <v>37353645</v>
      </c>
    </row>
    <row r="71" spans="1:14">
      <c r="A71" s="13">
        <v>4001130040</v>
      </c>
      <c r="B71" s="13" t="s">
        <v>71</v>
      </c>
      <c r="C71" s="13" t="s">
        <v>67</v>
      </c>
      <c r="D71" s="36">
        <v>37353645</v>
      </c>
      <c r="E71" s="36">
        <v>37353645</v>
      </c>
      <c r="F71" s="36">
        <v>37353645</v>
      </c>
      <c r="G71" s="36">
        <v>37353645</v>
      </c>
      <c r="H71" s="36">
        <v>37353645</v>
      </c>
      <c r="I71" s="36">
        <v>37353645</v>
      </c>
      <c r="J71" s="36">
        <v>37353645</v>
      </c>
      <c r="K71" s="36">
        <v>37353645</v>
      </c>
      <c r="L71" s="36">
        <v>37353645</v>
      </c>
      <c r="M71" s="36">
        <v>37353645</v>
      </c>
      <c r="N71" s="36">
        <v>37353645</v>
      </c>
    </row>
    <row r="72" spans="1:14">
      <c r="A72" s="13">
        <v>4001130050</v>
      </c>
      <c r="B72" s="13" t="s">
        <v>72</v>
      </c>
      <c r="C72" s="13" t="s">
        <v>67</v>
      </c>
      <c r="D72" s="36"/>
      <c r="E72" s="36"/>
      <c r="F72" s="36"/>
      <c r="G72" s="36"/>
      <c r="H72" s="36"/>
      <c r="I72" s="36"/>
      <c r="J72" s="36"/>
      <c r="K72" s="36"/>
      <c r="L72" s="36"/>
      <c r="M72" s="36"/>
      <c r="N72" s="36"/>
    </row>
    <row r="73" spans="1:14">
      <c r="A73" s="13">
        <v>4001190390</v>
      </c>
      <c r="B73" s="13" t="s">
        <v>73</v>
      </c>
      <c r="C73" s="13" t="s">
        <v>14</v>
      </c>
      <c r="D73" s="36">
        <v>219584.92126999999</v>
      </c>
      <c r="E73" s="36">
        <v>219781.17373000001</v>
      </c>
      <c r="F73" s="36">
        <v>209089.68419999999</v>
      </c>
      <c r="G73" s="36">
        <v>216901.70037000001</v>
      </c>
      <c r="H73" s="36">
        <v>203569.52072</v>
      </c>
      <c r="I73" s="36">
        <v>202298.09763999999</v>
      </c>
      <c r="J73" s="36">
        <v>216989.49559000001</v>
      </c>
      <c r="K73" s="36">
        <v>190751.71143</v>
      </c>
      <c r="L73" s="36">
        <v>183434.8818</v>
      </c>
      <c r="M73" s="36">
        <v>205613.15591</v>
      </c>
      <c r="N73" s="36">
        <v>200086.91136999999</v>
      </c>
    </row>
    <row r="74" spans="1:14">
      <c r="A74" s="13">
        <v>4001130070</v>
      </c>
      <c r="B74" s="13" t="s">
        <v>74</v>
      </c>
      <c r="C74" s="13" t="s">
        <v>14</v>
      </c>
      <c r="D74" s="36">
        <v>18977.7215</v>
      </c>
      <c r="E74" s="36">
        <v>18977.7215</v>
      </c>
      <c r="F74" s="36">
        <v>18977.7215</v>
      </c>
      <c r="G74" s="36">
        <v>18977.7215</v>
      </c>
      <c r="H74" s="36">
        <v>18977.7215</v>
      </c>
      <c r="I74" s="36">
        <v>18977.7215</v>
      </c>
      <c r="J74" s="36">
        <v>18977.7215</v>
      </c>
      <c r="K74" s="36">
        <v>18977.7215</v>
      </c>
      <c r="L74" s="36">
        <v>18977.7215</v>
      </c>
      <c r="M74" s="36">
        <v>18977.7215</v>
      </c>
      <c r="N74" s="36">
        <v>18977.7215</v>
      </c>
    </row>
    <row r="75" spans="1:14">
      <c r="A75" s="13">
        <v>4001130670</v>
      </c>
      <c r="B75" s="13" t="s">
        <v>75</v>
      </c>
      <c r="C75" s="13" t="s">
        <v>14</v>
      </c>
      <c r="D75" s="36"/>
      <c r="E75" s="36"/>
      <c r="F75" s="36"/>
      <c r="G75" s="36"/>
      <c r="H75" s="36"/>
      <c r="I75" s="36"/>
      <c r="J75" s="36"/>
      <c r="K75" s="36"/>
      <c r="L75" s="36"/>
      <c r="M75" s="36"/>
      <c r="N75" s="36"/>
    </row>
    <row r="76" spans="1:14">
      <c r="A76" s="13">
        <v>4001190400</v>
      </c>
      <c r="B76" s="13" t="s">
        <v>76</v>
      </c>
      <c r="C76" s="13" t="s">
        <v>14</v>
      </c>
      <c r="D76" s="36">
        <v>40815.398000000001</v>
      </c>
      <c r="E76" s="36">
        <v>39757.781040000002</v>
      </c>
      <c r="F76" s="36">
        <v>40815.398000000001</v>
      </c>
      <c r="G76" s="36">
        <v>40815.398000000001</v>
      </c>
      <c r="H76" s="36">
        <v>40815.398000000001</v>
      </c>
      <c r="I76" s="36">
        <v>40815.398000000001</v>
      </c>
      <c r="J76" s="36">
        <v>40815.398000000001</v>
      </c>
      <c r="K76" s="36">
        <v>40815.398000000001</v>
      </c>
      <c r="L76" s="36">
        <v>40815.398000000001</v>
      </c>
      <c r="M76" s="36">
        <v>40815.398000000001</v>
      </c>
      <c r="N76" s="36">
        <v>39757.781040000002</v>
      </c>
    </row>
    <row r="77" spans="1:14">
      <c r="A77" s="13">
        <v>4001190420</v>
      </c>
      <c r="B77" s="13" t="s">
        <v>77</v>
      </c>
      <c r="C77" s="13" t="s">
        <v>14</v>
      </c>
      <c r="D77" s="36">
        <v>-14287.01958</v>
      </c>
      <c r="E77" s="36">
        <v>-14287.01958</v>
      </c>
      <c r="F77" s="36">
        <v>-14287.01958</v>
      </c>
      <c r="G77" s="36">
        <v>-14287.01957</v>
      </c>
      <c r="H77" s="36">
        <v>-14287.01958</v>
      </c>
      <c r="I77" s="36">
        <v>-14287.02</v>
      </c>
      <c r="J77" s="36">
        <v>-14287.01958</v>
      </c>
      <c r="K77" s="36">
        <v>-14287.01957</v>
      </c>
      <c r="L77" s="36">
        <v>-14287.01958</v>
      </c>
      <c r="M77" s="36">
        <v>-14266.805319999999</v>
      </c>
      <c r="N77" s="36">
        <v>-14197.8989</v>
      </c>
    </row>
    <row r="78" spans="1:14">
      <c r="A78" s="13">
        <v>4001130360</v>
      </c>
      <c r="B78" s="13" t="s">
        <v>78</v>
      </c>
      <c r="C78" s="13" t="s">
        <v>14</v>
      </c>
      <c r="D78" s="36">
        <v>-1016.269</v>
      </c>
      <c r="E78" s="36">
        <v>-40.215490000000003</v>
      </c>
      <c r="F78" s="36">
        <v>-1106.3689999999999</v>
      </c>
      <c r="G78" s="36">
        <v>-1094.58</v>
      </c>
      <c r="H78" s="36">
        <v>-1084.377</v>
      </c>
      <c r="I78" s="36">
        <v>-1057.431</v>
      </c>
      <c r="J78" s="36">
        <v>-1028.441</v>
      </c>
      <c r="K78" s="36">
        <v>-981.226</v>
      </c>
      <c r="L78" s="36">
        <v>-952.67499999999995</v>
      </c>
      <c r="M78" s="36">
        <v>-1003.362</v>
      </c>
      <c r="N78" s="36">
        <v>86.761650000000003</v>
      </c>
    </row>
    <row r="79" spans="1:14">
      <c r="A79" s="13">
        <v>4001130470</v>
      </c>
      <c r="B79" s="13" t="s">
        <v>79</v>
      </c>
      <c r="C79" s="13" t="s">
        <v>14</v>
      </c>
      <c r="D79" s="36">
        <v>175095.09007000001</v>
      </c>
      <c r="E79" s="36">
        <v>175372.90625999999</v>
      </c>
      <c r="F79" s="36">
        <v>164689.95376</v>
      </c>
      <c r="G79" s="36">
        <v>172490.17999</v>
      </c>
      <c r="H79" s="36">
        <v>159147.79814999999</v>
      </c>
      <c r="I79" s="36">
        <v>157849.429</v>
      </c>
      <c r="J79" s="36">
        <v>172511.83645999999</v>
      </c>
      <c r="K79" s="36">
        <v>146226.83699000001</v>
      </c>
      <c r="L79" s="36">
        <v>138881.45726</v>
      </c>
      <c r="M79" s="36">
        <v>161090.20374</v>
      </c>
      <c r="N79" s="36">
        <v>155462.54607000001</v>
      </c>
    </row>
    <row r="80" spans="1:14">
      <c r="A80" s="13">
        <v>4001130640</v>
      </c>
      <c r="B80" s="13" t="s">
        <v>80</v>
      </c>
      <c r="C80" s="13" t="s">
        <v>14</v>
      </c>
      <c r="D80" s="36">
        <v>-496.46249</v>
      </c>
      <c r="E80" s="36">
        <v>-1010.52792</v>
      </c>
      <c r="F80" s="36">
        <v>-1316.32574</v>
      </c>
      <c r="G80" s="36">
        <v>-1314.76494</v>
      </c>
      <c r="H80" s="36">
        <v>-1284.96775</v>
      </c>
      <c r="I80" s="36">
        <v>-1593.44136</v>
      </c>
      <c r="J80" s="36">
        <v>-2104.3060099999998</v>
      </c>
      <c r="K80" s="36">
        <v>-2448.2767399999998</v>
      </c>
      <c r="L80" s="36">
        <v>-2781.1696499999998</v>
      </c>
      <c r="M80" s="36">
        <v>-2550.82557</v>
      </c>
      <c r="N80" s="36">
        <v>-3113.8192199999999</v>
      </c>
    </row>
    <row r="81" spans="1:14">
      <c r="A81" s="38"/>
      <c r="B81" s="38"/>
      <c r="C81" s="38"/>
      <c r="D81" s="36"/>
      <c r="E81" s="36"/>
      <c r="F81" s="36"/>
      <c r="G81" s="36"/>
      <c r="H81" s="36"/>
      <c r="I81" s="36"/>
      <c r="J81" s="36"/>
      <c r="K81" s="36"/>
      <c r="L81" s="36"/>
      <c r="M81" s="36"/>
      <c r="N81" s="36"/>
    </row>
    <row r="82" spans="1:14">
      <c r="D82" s="37"/>
      <c r="E82" s="37"/>
      <c r="F82" s="37"/>
      <c r="G82" s="37"/>
      <c r="H82" s="37"/>
      <c r="I82" s="37"/>
      <c r="J82" s="37"/>
      <c r="K82" s="37"/>
      <c r="L82" s="37"/>
      <c r="M82" s="37"/>
      <c r="N82" s="37"/>
    </row>
    <row r="83" spans="1:14">
      <c r="D83" s="37"/>
      <c r="E83" s="37"/>
      <c r="F83" s="37"/>
      <c r="G83" s="37"/>
      <c r="H83" s="37"/>
      <c r="I83" s="37"/>
      <c r="J83" s="37"/>
      <c r="K83" s="37"/>
      <c r="L83" s="37"/>
      <c r="M83" s="37"/>
      <c r="N83" s="37"/>
    </row>
    <row r="84" spans="1:14">
      <c r="D84" s="37"/>
      <c r="E84" s="37"/>
      <c r="F84" s="37"/>
      <c r="G84" s="37"/>
      <c r="H84" s="37"/>
      <c r="I84" s="37"/>
      <c r="J84" s="37"/>
      <c r="K84" s="37"/>
      <c r="L84" s="37"/>
      <c r="M84" s="37"/>
      <c r="N84" s="37"/>
    </row>
  </sheetData>
  <phoneticPr fontId="3"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DEF79-7896-443F-B612-B79CD502C5F3}">
  <dimension ref="A2:E85"/>
  <sheetViews>
    <sheetView showGridLines="0" topLeftCell="A12" workbookViewId="0">
      <selection activeCell="I28" sqref="I28"/>
    </sheetView>
  </sheetViews>
  <sheetFormatPr defaultRowHeight="17"/>
  <cols>
    <col min="1" max="1" width="9.5" bestFit="1" customWidth="1"/>
    <col min="2" max="2" width="44.08203125" bestFit="1" customWidth="1"/>
    <col min="3" max="3" width="11.75" bestFit="1" customWidth="1"/>
    <col min="4" max="5" width="9.9140625" bestFit="1" customWidth="1"/>
  </cols>
  <sheetData>
    <row r="2" spans="1:5">
      <c r="A2" s="2" t="s">
        <v>0</v>
      </c>
      <c r="B2" s="2"/>
      <c r="C2" s="2"/>
      <c r="D2" s="2"/>
      <c r="E2" s="2"/>
    </row>
    <row r="3" spans="1:5">
      <c r="A3" s="3" t="s">
        <v>3</v>
      </c>
      <c r="B3" s="3" t="s">
        <v>82</v>
      </c>
      <c r="C3" s="3"/>
      <c r="D3" s="3"/>
      <c r="E3" s="3"/>
    </row>
    <row r="4" spans="1:5">
      <c r="A4" s="3" t="s">
        <v>4</v>
      </c>
      <c r="B4" s="7" t="s">
        <v>86</v>
      </c>
      <c r="C4" s="3" t="s">
        <v>1</v>
      </c>
      <c r="D4" s="3" t="s">
        <v>85</v>
      </c>
      <c r="E4" s="3"/>
    </row>
    <row r="5" spans="1:5">
      <c r="A5" s="3" t="s">
        <v>5</v>
      </c>
      <c r="B5" s="10" t="s">
        <v>83</v>
      </c>
      <c r="C5" s="3" t="s">
        <v>2</v>
      </c>
      <c r="D5" s="3"/>
      <c r="E5" s="3"/>
    </row>
    <row r="6" spans="1:5">
      <c r="A6" s="3" t="s">
        <v>6</v>
      </c>
      <c r="B6" s="8" t="s">
        <v>89</v>
      </c>
      <c r="C6" s="3"/>
      <c r="D6" s="3"/>
      <c r="E6" s="3"/>
    </row>
    <row r="7" spans="1:5">
      <c r="A7" s="3" t="s">
        <v>7</v>
      </c>
      <c r="B7" s="11" t="s">
        <v>84</v>
      </c>
      <c r="C7" s="8" t="s">
        <v>14</v>
      </c>
      <c r="D7" s="3"/>
      <c r="E7" s="3"/>
    </row>
    <row r="8" spans="1:5">
      <c r="A8" s="4" t="s">
        <v>81</v>
      </c>
      <c r="B8" s="9">
        <v>2023</v>
      </c>
      <c r="C8" s="7" t="s">
        <v>87</v>
      </c>
      <c r="D8" s="4"/>
      <c r="E8" s="4"/>
    </row>
    <row r="9" spans="1:5">
      <c r="A9" s="5" t="s">
        <v>9</v>
      </c>
      <c r="B9" s="12" t="s">
        <v>10</v>
      </c>
      <c r="C9" s="12" t="s">
        <v>11</v>
      </c>
      <c r="D9" s="5">
        <v>202312</v>
      </c>
      <c r="E9" s="5">
        <v>202412</v>
      </c>
    </row>
    <row r="10" spans="1:5">
      <c r="A10" s="6"/>
      <c r="B10" s="6"/>
      <c r="C10" s="6"/>
      <c r="D10" s="6" t="s">
        <v>12</v>
      </c>
      <c r="E10" s="6" t="s">
        <v>12</v>
      </c>
    </row>
    <row r="11" spans="1:5">
      <c r="A11" s="13">
        <v>4001190010</v>
      </c>
      <c r="B11" s="13" t="s">
        <v>13</v>
      </c>
      <c r="C11" s="13" t="s">
        <v>14</v>
      </c>
      <c r="D11" s="14">
        <v>485887.42067000002</v>
      </c>
      <c r="E11" s="14">
        <v>506220.62565</v>
      </c>
    </row>
    <row r="12" spans="1:5">
      <c r="A12" s="13">
        <v>4001190240</v>
      </c>
      <c r="B12" s="13" t="s">
        <v>15</v>
      </c>
      <c r="C12" s="13" t="s">
        <v>14</v>
      </c>
      <c r="D12" s="14">
        <v>143794.83525999999</v>
      </c>
      <c r="E12" s="14">
        <v>156076.11033</v>
      </c>
    </row>
    <row r="13" spans="1:5">
      <c r="A13" s="13">
        <v>4001190250</v>
      </c>
      <c r="B13" s="13" t="s">
        <v>16</v>
      </c>
      <c r="C13" s="13" t="s">
        <v>14</v>
      </c>
      <c r="D13" s="14">
        <v>81331.310559999998</v>
      </c>
      <c r="E13" s="14">
        <v>79265.623359999998</v>
      </c>
    </row>
    <row r="14" spans="1:5">
      <c r="A14" s="13">
        <v>4001190260</v>
      </c>
      <c r="B14" s="13" t="s">
        <v>17</v>
      </c>
      <c r="C14" s="13" t="s">
        <v>14</v>
      </c>
      <c r="D14" s="14"/>
      <c r="E14" s="14"/>
    </row>
    <row r="15" spans="1:5">
      <c r="A15" s="13">
        <v>4001190270</v>
      </c>
      <c r="B15" s="13" t="s">
        <v>18</v>
      </c>
      <c r="C15" s="13" t="s">
        <v>14</v>
      </c>
      <c r="D15" s="14">
        <v>6452.2612099999997</v>
      </c>
      <c r="E15" s="14">
        <v>4200.2110000000002</v>
      </c>
    </row>
    <row r="16" spans="1:5">
      <c r="A16" s="13">
        <v>4001190300</v>
      </c>
      <c r="B16" s="13" t="s">
        <v>19</v>
      </c>
      <c r="C16" s="13" t="s">
        <v>14</v>
      </c>
      <c r="D16" s="14">
        <v>40094.052000000003</v>
      </c>
      <c r="E16" s="14">
        <v>43944.254000000001</v>
      </c>
    </row>
    <row r="17" spans="1:5">
      <c r="A17" s="13">
        <v>4001113900</v>
      </c>
      <c r="B17" s="13" t="s">
        <v>20</v>
      </c>
      <c r="C17" s="13" t="s">
        <v>14</v>
      </c>
      <c r="D17" s="14">
        <v>363.58251000000001</v>
      </c>
      <c r="E17" s="14">
        <v>1646.7074700000001</v>
      </c>
    </row>
    <row r="18" spans="1:5">
      <c r="A18" s="13">
        <v>4001180995</v>
      </c>
      <c r="B18" s="13" t="s">
        <v>21</v>
      </c>
      <c r="C18" s="13" t="s">
        <v>14</v>
      </c>
      <c r="D18" s="14"/>
      <c r="E18" s="14"/>
    </row>
    <row r="19" spans="1:5">
      <c r="A19" s="13">
        <v>4001113903</v>
      </c>
      <c r="B19" s="13" t="s">
        <v>22</v>
      </c>
      <c r="C19" s="13" t="s">
        <v>14</v>
      </c>
      <c r="D19" s="14"/>
      <c r="E19" s="14"/>
    </row>
    <row r="20" spans="1:5">
      <c r="A20" s="13">
        <v>4001113904</v>
      </c>
      <c r="B20" s="13" t="s">
        <v>23</v>
      </c>
      <c r="C20" s="13" t="s">
        <v>14</v>
      </c>
      <c r="D20" s="14"/>
      <c r="E20" s="14"/>
    </row>
    <row r="21" spans="1:5">
      <c r="A21" s="13">
        <v>4001190340</v>
      </c>
      <c r="B21" s="13" t="s">
        <v>24</v>
      </c>
      <c r="C21" s="13" t="s">
        <v>14</v>
      </c>
      <c r="D21" s="14">
        <v>1939.5250100000001</v>
      </c>
      <c r="E21" s="14">
        <v>1536.4634900000001</v>
      </c>
    </row>
    <row r="22" spans="1:5">
      <c r="A22" s="13">
        <v>4001190370</v>
      </c>
      <c r="B22" s="13" t="s">
        <v>25</v>
      </c>
      <c r="C22" s="13" t="s">
        <v>14</v>
      </c>
      <c r="D22" s="14">
        <v>13614.103999999999</v>
      </c>
      <c r="E22" s="14">
        <v>25482.850999999999</v>
      </c>
    </row>
    <row r="23" spans="1:5">
      <c r="A23" s="13">
        <v>4001114130</v>
      </c>
      <c r="B23" s="13" t="s">
        <v>26</v>
      </c>
      <c r="C23" s="13" t="s">
        <v>14</v>
      </c>
      <c r="D23" s="14"/>
      <c r="E23" s="14"/>
    </row>
    <row r="24" spans="1:5">
      <c r="A24" s="13">
        <v>4001190020</v>
      </c>
      <c r="B24" s="13" t="s">
        <v>27</v>
      </c>
      <c r="C24" s="13" t="s">
        <v>14</v>
      </c>
      <c r="D24" s="14">
        <v>342092.58539999998</v>
      </c>
      <c r="E24" s="14">
        <v>350144.51532000001</v>
      </c>
    </row>
    <row r="25" spans="1:5">
      <c r="A25" s="13">
        <v>4001190030</v>
      </c>
      <c r="B25" s="13" t="s">
        <v>28</v>
      </c>
      <c r="C25" s="13" t="s">
        <v>14</v>
      </c>
      <c r="D25" s="14">
        <v>270618.68338</v>
      </c>
      <c r="E25" s="14">
        <v>232023.07495000001</v>
      </c>
    </row>
    <row r="26" spans="1:5">
      <c r="A26" s="13">
        <v>4001190070</v>
      </c>
      <c r="B26" s="13" t="s">
        <v>29</v>
      </c>
      <c r="C26" s="13" t="s">
        <v>14</v>
      </c>
      <c r="D26" s="14">
        <v>20950.303</v>
      </c>
      <c r="E26" s="14">
        <v>11735.798000000001</v>
      </c>
    </row>
    <row r="27" spans="1:5">
      <c r="A27" s="13">
        <v>4001190110</v>
      </c>
      <c r="B27" s="13" t="s">
        <v>30</v>
      </c>
      <c r="C27" s="13" t="s">
        <v>14</v>
      </c>
      <c r="D27" s="14"/>
      <c r="E27" s="14"/>
    </row>
    <row r="28" spans="1:5">
      <c r="A28" s="13">
        <v>4001190120</v>
      </c>
      <c r="B28" s="13" t="s">
        <v>31</v>
      </c>
      <c r="C28" s="13" t="s">
        <v>14</v>
      </c>
      <c r="D28" s="14">
        <v>15826.295029999999</v>
      </c>
      <c r="E28" s="14">
        <v>80608.318859999999</v>
      </c>
    </row>
    <row r="29" spans="1:5">
      <c r="A29" s="13">
        <v>4001190130</v>
      </c>
      <c r="B29" s="13" t="s">
        <v>32</v>
      </c>
      <c r="C29" s="13" t="s">
        <v>14</v>
      </c>
      <c r="D29" s="14">
        <v>26967.576690000002</v>
      </c>
      <c r="E29" s="14">
        <v>7239.4133499999998</v>
      </c>
    </row>
    <row r="30" spans="1:5">
      <c r="A30" s="13">
        <v>4001111660</v>
      </c>
      <c r="B30" s="13" t="s">
        <v>33</v>
      </c>
      <c r="C30" s="13" t="s">
        <v>14</v>
      </c>
      <c r="D30" s="14"/>
      <c r="E30" s="14"/>
    </row>
    <row r="31" spans="1:5">
      <c r="A31" s="13">
        <v>4001190160</v>
      </c>
      <c r="B31" s="13" t="s">
        <v>34</v>
      </c>
      <c r="C31" s="13" t="s">
        <v>14</v>
      </c>
      <c r="D31" s="14">
        <v>1286.26118</v>
      </c>
      <c r="E31" s="14">
        <v>318.40496000000002</v>
      </c>
    </row>
    <row r="32" spans="1:5">
      <c r="A32" s="13">
        <v>4001112490</v>
      </c>
      <c r="B32" s="13" t="s">
        <v>35</v>
      </c>
      <c r="C32" s="13" t="s">
        <v>14</v>
      </c>
      <c r="D32" s="14">
        <v>6443.4650600000004</v>
      </c>
      <c r="E32" s="14">
        <v>18219.50532</v>
      </c>
    </row>
    <row r="33" spans="1:5">
      <c r="A33" s="13">
        <v>4001112500</v>
      </c>
      <c r="B33" s="13" t="s">
        <v>36</v>
      </c>
      <c r="C33" s="13" t="s">
        <v>14</v>
      </c>
      <c r="D33" s="14"/>
      <c r="E33" s="14"/>
    </row>
    <row r="34" spans="1:5">
      <c r="A34" s="13">
        <v>4001180575</v>
      </c>
      <c r="B34" s="13" t="s">
        <v>21</v>
      </c>
      <c r="C34" s="13" t="s">
        <v>14</v>
      </c>
      <c r="D34" s="14"/>
      <c r="E34" s="14"/>
    </row>
    <row r="35" spans="1:5">
      <c r="A35" s="13">
        <v>4001112503</v>
      </c>
      <c r="B35" s="13" t="s">
        <v>22</v>
      </c>
      <c r="C35" s="13" t="s">
        <v>14</v>
      </c>
      <c r="D35" s="14"/>
      <c r="E35" s="14"/>
    </row>
    <row r="36" spans="1:5">
      <c r="A36" s="13">
        <v>4001112504</v>
      </c>
      <c r="B36" s="13" t="s">
        <v>23</v>
      </c>
      <c r="C36" s="13" t="s">
        <v>14</v>
      </c>
      <c r="D36" s="14"/>
      <c r="E36" s="14"/>
    </row>
    <row r="37" spans="1:5">
      <c r="A37" s="13">
        <v>4001190200</v>
      </c>
      <c r="B37" s="13" t="s">
        <v>37</v>
      </c>
      <c r="C37" s="13" t="s">
        <v>14</v>
      </c>
      <c r="D37" s="14"/>
      <c r="E37" s="14"/>
    </row>
    <row r="38" spans="1:5">
      <c r="A38" s="13">
        <v>4001112880</v>
      </c>
      <c r="B38" s="13" t="s">
        <v>38</v>
      </c>
      <c r="C38" s="13" t="s">
        <v>14</v>
      </c>
      <c r="D38" s="14"/>
      <c r="E38" s="14"/>
    </row>
    <row r="39" spans="1:5">
      <c r="A39" s="13">
        <v>4001190440</v>
      </c>
      <c r="B39" s="13" t="s">
        <v>39</v>
      </c>
      <c r="C39" s="13" t="s">
        <v>14</v>
      </c>
      <c r="D39" s="14">
        <v>270300.48524000001</v>
      </c>
      <c r="E39" s="14">
        <v>317917.19095999998</v>
      </c>
    </row>
    <row r="40" spans="1:5">
      <c r="A40" s="13">
        <v>4001190610</v>
      </c>
      <c r="B40" s="13" t="s">
        <v>40</v>
      </c>
      <c r="C40" s="13" t="s">
        <v>14</v>
      </c>
      <c r="D40" s="14">
        <v>139213.88514</v>
      </c>
      <c r="E40" s="14">
        <v>218505.56372999999</v>
      </c>
    </row>
    <row r="41" spans="1:5">
      <c r="A41" s="13">
        <v>4001181470</v>
      </c>
      <c r="B41" s="13" t="s">
        <v>41</v>
      </c>
      <c r="C41" s="13" t="s">
        <v>14</v>
      </c>
      <c r="D41" s="14"/>
      <c r="E41" s="14"/>
    </row>
    <row r="42" spans="1:5">
      <c r="A42" s="13">
        <v>4001121700</v>
      </c>
      <c r="B42" s="13" t="s">
        <v>42</v>
      </c>
      <c r="C42" s="13" t="s">
        <v>14</v>
      </c>
      <c r="D42" s="14">
        <v>73873.214940000005</v>
      </c>
      <c r="E42" s="14">
        <v>69134.844559999998</v>
      </c>
    </row>
    <row r="43" spans="1:5">
      <c r="A43" s="13">
        <v>4001190620</v>
      </c>
      <c r="B43" s="13" t="s">
        <v>43</v>
      </c>
      <c r="C43" s="13" t="s">
        <v>14</v>
      </c>
      <c r="D43" s="14">
        <v>38052.193429999999</v>
      </c>
      <c r="E43" s="14">
        <v>95848.851250000007</v>
      </c>
    </row>
    <row r="44" spans="1:5">
      <c r="A44" s="13">
        <v>4001190630</v>
      </c>
      <c r="B44" s="13" t="s">
        <v>44</v>
      </c>
      <c r="C44" s="13" t="s">
        <v>14</v>
      </c>
      <c r="D44" s="14">
        <v>3134.8322899999998</v>
      </c>
      <c r="E44" s="14">
        <v>31870.605820000001</v>
      </c>
    </row>
    <row r="45" spans="1:5">
      <c r="A45" s="13">
        <v>4001190660</v>
      </c>
      <c r="B45" s="13" t="s">
        <v>45</v>
      </c>
      <c r="C45" s="13" t="s">
        <v>14</v>
      </c>
      <c r="D45" s="14">
        <v>20668.424999999999</v>
      </c>
      <c r="E45" s="14">
        <v>17984.827000000001</v>
      </c>
    </row>
    <row r="46" spans="1:5">
      <c r="A46" s="13">
        <v>4001190680</v>
      </c>
      <c r="B46" s="13" t="s">
        <v>46</v>
      </c>
      <c r="C46" s="13" t="s">
        <v>14</v>
      </c>
      <c r="D46" s="14"/>
      <c r="E46" s="14"/>
    </row>
    <row r="47" spans="1:5">
      <c r="A47" s="13">
        <v>4001122460</v>
      </c>
      <c r="B47" s="13" t="s">
        <v>47</v>
      </c>
      <c r="C47" s="13" t="s">
        <v>14</v>
      </c>
      <c r="D47" s="14">
        <v>628.42696999999998</v>
      </c>
      <c r="E47" s="14">
        <v>354.81218000000001</v>
      </c>
    </row>
    <row r="48" spans="1:5">
      <c r="A48" s="13">
        <v>4001122560</v>
      </c>
      <c r="B48" s="13" t="s">
        <v>48</v>
      </c>
      <c r="C48" s="13" t="s">
        <v>14</v>
      </c>
      <c r="D48" s="14"/>
      <c r="E48" s="14">
        <v>570.08420000000001</v>
      </c>
    </row>
    <row r="49" spans="1:5">
      <c r="A49" s="13">
        <v>4001122561</v>
      </c>
      <c r="B49" s="13" t="s">
        <v>49</v>
      </c>
      <c r="C49" s="13" t="s">
        <v>14</v>
      </c>
      <c r="D49" s="14"/>
      <c r="E49" s="14"/>
    </row>
    <row r="50" spans="1:5">
      <c r="A50" s="13">
        <v>4001122562</v>
      </c>
      <c r="B50" s="13" t="s">
        <v>50</v>
      </c>
      <c r="C50" s="13" t="s">
        <v>14</v>
      </c>
      <c r="D50" s="14"/>
      <c r="E50" s="14"/>
    </row>
    <row r="51" spans="1:5">
      <c r="A51" s="13">
        <v>4001122563</v>
      </c>
      <c r="B51" s="13" t="s">
        <v>51</v>
      </c>
      <c r="C51" s="13" t="s">
        <v>14</v>
      </c>
      <c r="D51" s="14"/>
      <c r="E51" s="14"/>
    </row>
    <row r="52" spans="1:5">
      <c r="A52" s="13">
        <v>4001190690</v>
      </c>
      <c r="B52" s="13" t="s">
        <v>52</v>
      </c>
      <c r="C52" s="13" t="s">
        <v>14</v>
      </c>
      <c r="D52" s="14">
        <v>2856.7919999999999</v>
      </c>
      <c r="E52" s="14">
        <v>2741.5390000000002</v>
      </c>
    </row>
    <row r="53" spans="1:5">
      <c r="A53" s="13">
        <v>4001122680</v>
      </c>
      <c r="B53" s="13" t="s">
        <v>53</v>
      </c>
      <c r="C53" s="13" t="s">
        <v>14</v>
      </c>
      <c r="D53" s="14"/>
      <c r="E53" s="14"/>
    </row>
    <row r="54" spans="1:5">
      <c r="A54" s="13">
        <v>4001190450</v>
      </c>
      <c r="B54" s="13" t="s">
        <v>54</v>
      </c>
      <c r="C54" s="13" t="s">
        <v>14</v>
      </c>
      <c r="D54" s="14">
        <v>131086.60010000001</v>
      </c>
      <c r="E54" s="14">
        <v>99411.627229999998</v>
      </c>
    </row>
    <row r="55" spans="1:5">
      <c r="A55" s="13">
        <v>4001190460</v>
      </c>
      <c r="B55" s="13" t="s">
        <v>55</v>
      </c>
      <c r="C55" s="13" t="s">
        <v>14</v>
      </c>
      <c r="D55" s="14"/>
      <c r="E55" s="14"/>
    </row>
    <row r="56" spans="1:5">
      <c r="A56" s="13">
        <v>4001190470</v>
      </c>
      <c r="B56" s="13" t="s">
        <v>56</v>
      </c>
      <c r="C56" s="13" t="s">
        <v>14</v>
      </c>
      <c r="D56" s="14">
        <v>120237.75</v>
      </c>
      <c r="E56" s="14">
        <v>87725.52</v>
      </c>
    </row>
    <row r="57" spans="1:5">
      <c r="A57" s="13">
        <v>4001190480</v>
      </c>
      <c r="B57" s="13" t="s">
        <v>57</v>
      </c>
      <c r="C57" s="13" t="s">
        <v>14</v>
      </c>
      <c r="D57" s="14">
        <v>97.304150000000007</v>
      </c>
      <c r="E57" s="14">
        <v>71.835260000000005</v>
      </c>
    </row>
    <row r="58" spans="1:5">
      <c r="A58" s="13">
        <v>4001190500</v>
      </c>
      <c r="B58" s="13" t="s">
        <v>58</v>
      </c>
      <c r="C58" s="13" t="s">
        <v>14</v>
      </c>
      <c r="D58" s="14">
        <v>25.9</v>
      </c>
      <c r="E58" s="14">
        <v>28.7</v>
      </c>
    </row>
    <row r="59" spans="1:5">
      <c r="A59" s="13">
        <v>4001190570</v>
      </c>
      <c r="B59" s="13" t="s">
        <v>59</v>
      </c>
      <c r="C59" s="13" t="s">
        <v>14</v>
      </c>
      <c r="D59" s="14">
        <v>10583.786</v>
      </c>
      <c r="E59" s="14">
        <v>11426.621999999999</v>
      </c>
    </row>
    <row r="60" spans="1:5">
      <c r="A60" s="13">
        <v>4001121280</v>
      </c>
      <c r="B60" s="13" t="s">
        <v>60</v>
      </c>
      <c r="C60" s="13" t="s">
        <v>14</v>
      </c>
      <c r="D60" s="14">
        <v>141.85971000000001</v>
      </c>
      <c r="E60" s="14">
        <v>158.94971000000001</v>
      </c>
    </row>
    <row r="61" spans="1:5">
      <c r="A61" s="13">
        <v>4001121380</v>
      </c>
      <c r="B61" s="13" t="s">
        <v>61</v>
      </c>
      <c r="C61" s="13" t="s">
        <v>14</v>
      </c>
      <c r="D61" s="14"/>
      <c r="E61" s="14"/>
    </row>
    <row r="62" spans="1:5">
      <c r="A62" s="13">
        <v>4001181370</v>
      </c>
      <c r="B62" s="13" t="s">
        <v>62</v>
      </c>
      <c r="C62" s="13" t="s">
        <v>14</v>
      </c>
      <c r="D62" s="14"/>
      <c r="E62" s="14"/>
    </row>
    <row r="63" spans="1:5">
      <c r="A63" s="13">
        <v>4001121401</v>
      </c>
      <c r="B63" s="13" t="s">
        <v>49</v>
      </c>
      <c r="C63" s="13" t="s">
        <v>14</v>
      </c>
      <c r="D63" s="14"/>
      <c r="E63" s="14"/>
    </row>
    <row r="64" spans="1:5">
      <c r="A64" s="13">
        <v>4001121402</v>
      </c>
      <c r="B64" s="13" t="s">
        <v>50</v>
      </c>
      <c r="C64" s="13" t="s">
        <v>14</v>
      </c>
      <c r="D64" s="14"/>
      <c r="E64" s="14"/>
    </row>
    <row r="65" spans="1:5">
      <c r="A65" s="13">
        <v>4001121403</v>
      </c>
      <c r="B65" s="13" t="s">
        <v>51</v>
      </c>
      <c r="C65" s="13" t="s">
        <v>14</v>
      </c>
      <c r="D65" s="14"/>
      <c r="E65" s="14"/>
    </row>
    <row r="66" spans="1:5">
      <c r="A66" s="13">
        <v>4001190580</v>
      </c>
      <c r="B66" s="13" t="s">
        <v>63</v>
      </c>
      <c r="C66" s="13" t="s">
        <v>14</v>
      </c>
      <c r="D66" s="14"/>
      <c r="E66" s="14"/>
    </row>
    <row r="67" spans="1:5">
      <c r="A67" s="13">
        <v>4001121620</v>
      </c>
      <c r="B67" s="13" t="s">
        <v>64</v>
      </c>
      <c r="C67" s="13" t="s">
        <v>14</v>
      </c>
      <c r="D67" s="14"/>
      <c r="E67" s="14"/>
    </row>
    <row r="68" spans="1:5">
      <c r="A68" s="13">
        <v>4001190380</v>
      </c>
      <c r="B68" s="13" t="s">
        <v>65</v>
      </c>
      <c r="C68" s="13" t="s">
        <v>14</v>
      </c>
      <c r="D68" s="14">
        <v>215586.93541999999</v>
      </c>
      <c r="E68" s="14">
        <v>188303.43468999999</v>
      </c>
    </row>
    <row r="69" spans="1:5">
      <c r="A69" s="13">
        <v>4001130010</v>
      </c>
      <c r="B69" s="13" t="s">
        <v>66</v>
      </c>
      <c r="C69" s="13" t="s">
        <v>67</v>
      </c>
      <c r="D69" s="14">
        <v>200000000</v>
      </c>
      <c r="E69" s="14">
        <v>200000000</v>
      </c>
    </row>
    <row r="70" spans="1:5">
      <c r="A70" s="13">
        <v>4001130020</v>
      </c>
      <c r="B70" s="13" t="s">
        <v>68</v>
      </c>
      <c r="C70" s="13" t="s">
        <v>69</v>
      </c>
      <c r="D70" s="14">
        <v>500</v>
      </c>
      <c r="E70" s="14">
        <v>500</v>
      </c>
    </row>
    <row r="71" spans="1:5">
      <c r="A71" s="13">
        <v>4001130030</v>
      </c>
      <c r="B71" s="13" t="s">
        <v>70</v>
      </c>
      <c r="C71" s="13" t="s">
        <v>67</v>
      </c>
      <c r="D71" s="14">
        <v>37353645</v>
      </c>
      <c r="E71" s="14">
        <v>37353645</v>
      </c>
    </row>
    <row r="72" spans="1:5">
      <c r="A72" s="13">
        <v>4001130040</v>
      </c>
      <c r="B72" s="13" t="s">
        <v>71</v>
      </c>
      <c r="C72" s="13" t="s">
        <v>67</v>
      </c>
      <c r="D72" s="14">
        <v>37353645</v>
      </c>
      <c r="E72" s="14">
        <v>37353645</v>
      </c>
    </row>
    <row r="73" spans="1:5">
      <c r="A73" s="13">
        <v>4001130050</v>
      </c>
      <c r="B73" s="13" t="s">
        <v>72</v>
      </c>
      <c r="C73" s="13" t="s">
        <v>67</v>
      </c>
      <c r="D73" s="14"/>
      <c r="E73" s="14"/>
    </row>
    <row r="74" spans="1:5">
      <c r="A74" s="13">
        <v>4001190390</v>
      </c>
      <c r="B74" s="13" t="s">
        <v>73</v>
      </c>
      <c r="C74" s="13" t="s">
        <v>14</v>
      </c>
      <c r="D74" s="14">
        <v>216901.70037000001</v>
      </c>
      <c r="E74" s="14">
        <v>190751.71143</v>
      </c>
    </row>
    <row r="75" spans="1:5">
      <c r="A75" s="13">
        <v>4001130070</v>
      </c>
      <c r="B75" s="13" t="s">
        <v>74</v>
      </c>
      <c r="C75" s="13" t="s">
        <v>14</v>
      </c>
      <c r="D75" s="14">
        <v>18977.7215</v>
      </c>
      <c r="E75" s="14">
        <v>18977.7215</v>
      </c>
    </row>
    <row r="76" spans="1:5">
      <c r="A76" s="13">
        <v>4001130670</v>
      </c>
      <c r="B76" s="13" t="s">
        <v>75</v>
      </c>
      <c r="C76" s="13" t="s">
        <v>14</v>
      </c>
      <c r="D76" s="14"/>
      <c r="E76" s="14"/>
    </row>
    <row r="77" spans="1:5">
      <c r="A77" s="13">
        <v>4001190400</v>
      </c>
      <c r="B77" s="13" t="s">
        <v>76</v>
      </c>
      <c r="C77" s="13" t="s">
        <v>14</v>
      </c>
      <c r="D77" s="14">
        <v>40815.398000000001</v>
      </c>
      <c r="E77" s="14">
        <v>40815.398000000001</v>
      </c>
    </row>
    <row r="78" spans="1:5">
      <c r="A78" s="13">
        <v>4001190420</v>
      </c>
      <c r="B78" s="13" t="s">
        <v>77</v>
      </c>
      <c r="C78" s="13" t="s">
        <v>14</v>
      </c>
      <c r="D78" s="14">
        <v>-14287.01957</v>
      </c>
      <c r="E78" s="14">
        <v>-14287.01957</v>
      </c>
    </row>
    <row r="79" spans="1:5">
      <c r="A79" s="13">
        <v>4001130360</v>
      </c>
      <c r="B79" s="13" t="s">
        <v>78</v>
      </c>
      <c r="C79" s="13" t="s">
        <v>14</v>
      </c>
      <c r="D79" s="14">
        <v>-1094.58</v>
      </c>
      <c r="E79" s="14">
        <v>-981.226</v>
      </c>
    </row>
    <row r="80" spans="1:5">
      <c r="A80" s="13">
        <v>4001130470</v>
      </c>
      <c r="B80" s="13" t="s">
        <v>79</v>
      </c>
      <c r="C80" s="13" t="s">
        <v>14</v>
      </c>
      <c r="D80" s="14">
        <v>172490.17999</v>
      </c>
      <c r="E80" s="14">
        <v>146226.83699000001</v>
      </c>
    </row>
    <row r="81" spans="1:5">
      <c r="A81" s="13">
        <v>4001130640</v>
      </c>
      <c r="B81" s="13" t="s">
        <v>80</v>
      </c>
      <c r="C81" s="13" t="s">
        <v>14</v>
      </c>
      <c r="D81" s="14">
        <v>-1314.76494</v>
      </c>
      <c r="E81" s="14">
        <v>-2448.2767399999998</v>
      </c>
    </row>
    <row r="82" spans="1:5">
      <c r="A82" s="1"/>
      <c r="B82" s="1"/>
      <c r="C82" s="1"/>
      <c r="D82" s="14"/>
      <c r="E82" s="14"/>
    </row>
    <row r="83" spans="1:5">
      <c r="D83" s="15"/>
      <c r="E83" s="15"/>
    </row>
    <row r="84" spans="1:5">
      <c r="D84" s="15"/>
      <c r="E84" s="15"/>
    </row>
    <row r="85" spans="1:5">
      <c r="D85" s="15"/>
      <c r="E85" s="15"/>
    </row>
  </sheetData>
  <phoneticPr fontId="3" type="noConversion"/>
  <dataValidations count="7">
    <dataValidation type="list" allowBlank="1" showInputMessage="1" sqref="B5" xr:uid="{AB8925E9-9213-41B8-AD64-4CBA504B5557}">
      <formula1>"전체,재무상태표,손익계산서,현금흐름표,자본금변동표"</formula1>
    </dataValidation>
    <dataValidation type="list" allowBlank="1" showInputMessage="1" sqref="B6" xr:uid="{F8A07333-ADC8-4AC5-B7A2-306D0D2124F0}">
      <formula1>"상세(총액),상세(순액),요약,약식"</formula1>
    </dataValidation>
    <dataValidation type="list" allowBlank="1" showInputMessage="1" sqref="B7" xr:uid="{9B393F9E-F3BA-474B-AB84-2996CA912EF4}">
      <formula1>"결산,누적분기,당분기"</formula1>
    </dataValidation>
    <dataValidation type="list" allowBlank="1" showInputMessage="1" sqref="C7" xr:uid="{186289E7-514E-4808-A383-4B1B96304D42}">
      <formula1>"천원,백만원,억원,십억원"</formula1>
    </dataValidation>
    <dataValidation type="list" allowBlank="1" showInputMessage="1" sqref="B4" xr:uid="{5B130111-C124-4624-B805-FAABD6AB332B}">
      <formula1>"별도,연결"</formula1>
    </dataValidation>
    <dataValidation type="list" allowBlank="1" showInputMessage="1" sqref="B8" xr:uid="{18AD71FC-A876-4C54-BC10-FD14D286E7E9}">
      <formula1>"1983,1984,1985,1986,1987,1988,1989,1990,1991,1992,1993,1994,1995,1996,1997,1998,1999,2000,2001,2002,2003,2004,2005,2006,2007,2008,2009,2010,2011,2012,2013,2014,2015,2016,2017,2018,2019,2020,2021,2022,2023,2024,2025"</formula1>
    </dataValidation>
    <dataValidation type="list" allowBlank="1" showInputMessage="1" sqref="C8" xr:uid="{29C684BC-9D08-4BA3-AC88-046103E6FD1F}">
      <formula1>"1983,1984,1985,1986,1987,1988,1989,1990,1991,1992,1993,1994,1995,1996,1997,1998,1999,2000,2001,2002,2003,2004,2005,2006,2007,2008,2009,2010,2011,2012,2013,2014,2015,2016,2017,2018,2019,2020,2021,2022,2023,2024,2025,Current"</formula1>
    </dataValidation>
  </dataValidation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11A78-F928-4AD2-89DE-37BB8E2C1917}">
  <dimension ref="A1:N59"/>
  <sheetViews>
    <sheetView zoomScale="44" workbookViewId="0">
      <selection activeCell="O6" sqref="O6"/>
    </sheetView>
  </sheetViews>
  <sheetFormatPr defaultColWidth="8.6640625" defaultRowHeight="17"/>
  <cols>
    <col min="1" max="1" width="16.9140625" style="18" bestFit="1" customWidth="1"/>
    <col min="2" max="2" width="44.08203125" style="18" bestFit="1" customWidth="1"/>
    <col min="3" max="3" width="11.75" style="18" bestFit="1" customWidth="1"/>
    <col min="4" max="5" width="9.1640625" style="18" bestFit="1" customWidth="1"/>
    <col min="6" max="6" width="8.83203125" style="18" customWidth="1"/>
    <col min="7" max="7" width="9.1640625" style="18" bestFit="1" customWidth="1"/>
    <col min="8" max="8" width="8.6640625" style="18"/>
    <col min="9" max="11" width="9.1640625" style="18" bestFit="1" customWidth="1"/>
    <col min="12" max="12" width="8.6640625" style="18" customWidth="1"/>
    <col min="13" max="14" width="9.1640625" style="18" bestFit="1" customWidth="1"/>
    <col min="15" max="16384" width="8.6640625" style="18"/>
  </cols>
  <sheetData>
    <row r="1" spans="1:14">
      <c r="A1" s="2" t="s">
        <v>0</v>
      </c>
      <c r="B1" s="2"/>
      <c r="C1" s="2"/>
      <c r="D1" s="2"/>
      <c r="E1" s="2"/>
      <c r="F1" s="2"/>
      <c r="G1" s="2"/>
      <c r="H1" s="2"/>
      <c r="I1" s="2"/>
      <c r="J1" s="2"/>
      <c r="K1" s="2"/>
      <c r="L1" s="2"/>
      <c r="M1" s="2"/>
      <c r="N1" s="2"/>
    </row>
    <row r="2" spans="1:14">
      <c r="A2" s="3" t="s">
        <v>3</v>
      </c>
      <c r="B2" s="3" t="s">
        <v>82</v>
      </c>
      <c r="C2" s="3"/>
      <c r="D2" s="3"/>
      <c r="E2" s="3"/>
      <c r="F2" s="3"/>
      <c r="G2" s="3"/>
      <c r="H2" s="3"/>
      <c r="I2" s="3"/>
      <c r="J2" s="3"/>
      <c r="K2" s="3"/>
      <c r="L2" s="3"/>
      <c r="M2" s="3"/>
      <c r="N2" s="3"/>
    </row>
    <row r="3" spans="1:14">
      <c r="A3" s="3" t="s">
        <v>4</v>
      </c>
      <c r="B3" s="7" t="s">
        <v>86</v>
      </c>
      <c r="C3" s="3" t="s">
        <v>1</v>
      </c>
      <c r="D3" s="3" t="s">
        <v>85</v>
      </c>
      <c r="E3" s="3"/>
      <c r="F3" s="3"/>
      <c r="G3" s="3"/>
      <c r="H3" s="3"/>
      <c r="I3" s="3"/>
      <c r="J3" s="3"/>
      <c r="K3" s="3"/>
      <c r="L3" s="3"/>
      <c r="M3" s="3"/>
      <c r="N3" s="3"/>
    </row>
    <row r="4" spans="1:14">
      <c r="A4" s="3" t="s">
        <v>5</v>
      </c>
      <c r="B4" s="10" t="s">
        <v>208</v>
      </c>
      <c r="C4" s="3" t="s">
        <v>2</v>
      </c>
      <c r="D4" s="3"/>
      <c r="E4" s="3"/>
      <c r="F4" s="3"/>
      <c r="G4" s="3"/>
      <c r="H4" s="3"/>
      <c r="I4" s="3"/>
      <c r="J4" s="3"/>
      <c r="K4" s="3"/>
      <c r="L4" s="3"/>
      <c r="M4" s="3"/>
      <c r="N4" s="3"/>
    </row>
    <row r="5" spans="1:14">
      <c r="A5" s="3" t="s">
        <v>6</v>
      </c>
      <c r="B5" s="8" t="s">
        <v>88</v>
      </c>
      <c r="C5" s="3"/>
      <c r="D5" s="3"/>
      <c r="E5" s="3"/>
      <c r="F5" s="3"/>
      <c r="G5" s="3"/>
      <c r="H5" s="3"/>
      <c r="I5" s="3"/>
      <c r="J5" s="3"/>
      <c r="K5" s="3"/>
      <c r="L5" s="3"/>
      <c r="M5" s="3"/>
      <c r="N5" s="3"/>
    </row>
    <row r="6" spans="1:14">
      <c r="A6" s="3" t="s">
        <v>7</v>
      </c>
      <c r="B6" s="11" t="s">
        <v>234</v>
      </c>
      <c r="C6" s="8" t="s">
        <v>14</v>
      </c>
      <c r="D6" s="3"/>
      <c r="E6" s="3"/>
      <c r="F6" s="3"/>
      <c r="G6" s="3"/>
      <c r="H6" s="3"/>
      <c r="I6" s="3"/>
      <c r="J6" s="3"/>
      <c r="K6" s="3"/>
      <c r="L6" s="3"/>
      <c r="M6" s="3"/>
      <c r="N6" s="3"/>
    </row>
    <row r="7" spans="1:14">
      <c r="A7" s="4" t="s">
        <v>8</v>
      </c>
      <c r="B7" s="9">
        <v>2023</v>
      </c>
      <c r="C7" s="7" t="s">
        <v>87</v>
      </c>
      <c r="D7" s="4"/>
      <c r="E7" s="4"/>
      <c r="F7" s="4"/>
      <c r="G7" s="4"/>
      <c r="H7" s="4"/>
      <c r="I7" s="4"/>
      <c r="J7" s="4"/>
      <c r="K7" s="4"/>
      <c r="L7" s="4"/>
      <c r="M7" s="4"/>
      <c r="N7" s="4"/>
    </row>
    <row r="8" spans="1:14">
      <c r="A8" s="5" t="s">
        <v>9</v>
      </c>
      <c r="B8" s="12" t="s">
        <v>10</v>
      </c>
      <c r="C8" s="12" t="s">
        <v>11</v>
      </c>
      <c r="D8" s="5" t="s">
        <v>235</v>
      </c>
      <c r="E8" s="5" t="s">
        <v>236</v>
      </c>
      <c r="F8" s="5" t="s">
        <v>237</v>
      </c>
      <c r="G8" s="5" t="s">
        <v>238</v>
      </c>
      <c r="H8" s="5" t="s">
        <v>239</v>
      </c>
      <c r="I8" s="5" t="s">
        <v>240</v>
      </c>
      <c r="J8" s="5" t="s">
        <v>241</v>
      </c>
      <c r="K8" s="5" t="s">
        <v>242</v>
      </c>
      <c r="L8" s="5" t="s">
        <v>243</v>
      </c>
      <c r="M8" s="5" t="s">
        <v>244</v>
      </c>
      <c r="N8" s="5" t="s">
        <v>543</v>
      </c>
    </row>
    <row r="9" spans="1:14">
      <c r="A9" s="6"/>
      <c r="B9" s="6"/>
      <c r="C9" s="6"/>
      <c r="D9" s="6" t="s">
        <v>12</v>
      </c>
      <c r="E9" s="6" t="s">
        <v>12</v>
      </c>
      <c r="F9" s="6" t="s">
        <v>12</v>
      </c>
      <c r="G9" s="6" t="s">
        <v>12</v>
      </c>
      <c r="H9" s="6" t="s">
        <v>12</v>
      </c>
      <c r="I9" s="6" t="s">
        <v>12</v>
      </c>
      <c r="J9" s="6" t="s">
        <v>12</v>
      </c>
      <c r="K9" s="6" t="s">
        <v>12</v>
      </c>
      <c r="L9" s="6" t="s">
        <v>12</v>
      </c>
      <c r="M9" s="6" t="s">
        <v>12</v>
      </c>
      <c r="N9" s="6" t="s">
        <v>12</v>
      </c>
    </row>
    <row r="10" spans="1:14">
      <c r="A10" s="13">
        <v>4001390000</v>
      </c>
      <c r="B10" s="13" t="s">
        <v>176</v>
      </c>
      <c r="C10" s="13" t="s">
        <v>14</v>
      </c>
      <c r="D10" s="36">
        <v>-2629.4205499999998</v>
      </c>
      <c r="E10" s="36">
        <v>13689.14595</v>
      </c>
      <c r="F10" s="36">
        <v>2128.4368399999998</v>
      </c>
      <c r="G10" s="36">
        <v>7183.35502</v>
      </c>
      <c r="H10" s="36">
        <v>1182.8775700000001</v>
      </c>
      <c r="I10" s="36">
        <v>778.16297999999995</v>
      </c>
      <c r="J10" s="36">
        <v>14072.24496</v>
      </c>
      <c r="K10" s="36">
        <v>16688.992109999999</v>
      </c>
      <c r="L10" s="36">
        <v>11817.976650000001</v>
      </c>
      <c r="M10" s="36">
        <v>-13964.9635</v>
      </c>
      <c r="N10" s="36">
        <v>-16824.520229999998</v>
      </c>
    </row>
    <row r="11" spans="1:14">
      <c r="A11" s="13">
        <v>4001310010</v>
      </c>
      <c r="B11" s="13" t="s">
        <v>177</v>
      </c>
      <c r="C11" s="13" t="s">
        <v>14</v>
      </c>
      <c r="D11" s="36"/>
      <c r="E11" s="36"/>
      <c r="F11" s="36"/>
      <c r="G11" s="36"/>
      <c r="H11" s="36"/>
      <c r="I11" s="36"/>
      <c r="J11" s="36"/>
      <c r="K11" s="36"/>
      <c r="L11" s="36"/>
      <c r="M11" s="36"/>
      <c r="N11" s="36"/>
    </row>
    <row r="12" spans="1:14">
      <c r="A12" s="13">
        <v>4001310100</v>
      </c>
      <c r="B12" s="13" t="s">
        <v>178</v>
      </c>
      <c r="C12" s="13" t="s">
        <v>14</v>
      </c>
      <c r="D12" s="36"/>
      <c r="E12" s="36"/>
      <c r="F12" s="36"/>
      <c r="G12" s="36"/>
      <c r="H12" s="36"/>
      <c r="I12" s="36"/>
      <c r="J12" s="36"/>
      <c r="K12" s="36"/>
      <c r="L12" s="36"/>
      <c r="M12" s="36"/>
      <c r="N12" s="36"/>
    </row>
    <row r="13" spans="1:14">
      <c r="A13" s="13">
        <v>4001310190</v>
      </c>
      <c r="B13" s="13" t="s">
        <v>179</v>
      </c>
      <c r="C13" s="13" t="s">
        <v>14</v>
      </c>
      <c r="D13" s="36">
        <v>-7228.1760000000004</v>
      </c>
      <c r="E13" s="36">
        <v>-962.41399999999999</v>
      </c>
      <c r="F13" s="36">
        <v>-11573.333000000001</v>
      </c>
      <c r="G13" s="36">
        <v>8666.5920000000006</v>
      </c>
      <c r="H13" s="36">
        <v>-8215.2510000000002</v>
      </c>
      <c r="I13" s="36">
        <v>-1424.242</v>
      </c>
      <c r="J13" s="36">
        <v>14105.108</v>
      </c>
      <c r="K13" s="36">
        <v>-26436.067999999999</v>
      </c>
      <c r="L13" s="36">
        <v>-1587.356</v>
      </c>
      <c r="M13" s="36">
        <v>21722.83</v>
      </c>
      <c r="N13" s="36">
        <v>-6686.8940000000002</v>
      </c>
    </row>
    <row r="14" spans="1:14">
      <c r="A14" s="13">
        <v>4001310200</v>
      </c>
      <c r="B14" s="13" t="s">
        <v>180</v>
      </c>
      <c r="C14" s="13" t="s">
        <v>14</v>
      </c>
      <c r="D14" s="36"/>
      <c r="E14" s="36"/>
      <c r="F14" s="36"/>
      <c r="G14" s="36"/>
      <c r="H14" s="36"/>
      <c r="I14" s="36"/>
      <c r="J14" s="36"/>
      <c r="K14" s="36"/>
      <c r="L14" s="36"/>
      <c r="M14" s="36"/>
      <c r="N14" s="36"/>
    </row>
    <row r="15" spans="1:14">
      <c r="A15" s="13">
        <v>4001390010</v>
      </c>
      <c r="B15" s="13" t="s">
        <v>181</v>
      </c>
      <c r="C15" s="13" t="s">
        <v>14</v>
      </c>
      <c r="D15" s="36">
        <v>15997.485000000001</v>
      </c>
      <c r="E15" s="36">
        <v>9463.3410000000003</v>
      </c>
      <c r="F15" s="36">
        <v>17653.505000000001</v>
      </c>
      <c r="G15" s="36">
        <v>2577.5569999999998</v>
      </c>
      <c r="H15" s="36">
        <v>23771.87</v>
      </c>
      <c r="I15" s="36">
        <v>18883.593000000001</v>
      </c>
      <c r="J15" s="36">
        <v>-3676.5169999999998</v>
      </c>
      <c r="K15" s="36">
        <v>57651.79</v>
      </c>
      <c r="L15" s="36">
        <v>11297.985000000001</v>
      </c>
      <c r="M15" s="36">
        <v>14873.196</v>
      </c>
      <c r="N15" s="36">
        <v>10291.266</v>
      </c>
    </row>
    <row r="16" spans="1:14">
      <c r="A16" s="13">
        <v>4001390040</v>
      </c>
      <c r="B16" s="13" t="s">
        <v>182</v>
      </c>
      <c r="C16" s="13" t="s">
        <v>14</v>
      </c>
      <c r="D16" s="36">
        <v>2387.6</v>
      </c>
      <c r="E16" s="36">
        <v>2906.4850000000001</v>
      </c>
      <c r="F16" s="36">
        <v>3725.3789999999999</v>
      </c>
      <c r="G16" s="36">
        <v>3801.1729999999998</v>
      </c>
      <c r="H16" s="36">
        <v>5105.5249999999996</v>
      </c>
      <c r="I16" s="36">
        <v>5528.607</v>
      </c>
      <c r="J16" s="36">
        <v>-1359.65</v>
      </c>
      <c r="K16" s="36">
        <v>16454.553</v>
      </c>
      <c r="L16" s="36">
        <v>2986.056</v>
      </c>
      <c r="M16" s="36">
        <v>26705.678</v>
      </c>
      <c r="N16" s="36">
        <v>-10515.42</v>
      </c>
    </row>
    <row r="17" spans="1:14">
      <c r="A17" s="13">
        <v>4001390060</v>
      </c>
      <c r="B17" s="13" t="s">
        <v>183</v>
      </c>
      <c r="C17" s="13" t="s">
        <v>14</v>
      </c>
      <c r="D17" s="36">
        <v>-5838.2860000000001</v>
      </c>
      <c r="E17" s="36">
        <v>12115.343000000001</v>
      </c>
      <c r="F17" s="36">
        <v>1299.498</v>
      </c>
      <c r="G17" s="36">
        <v>2291.9810000000002</v>
      </c>
      <c r="H17" s="36">
        <v>-6694.9660000000003</v>
      </c>
      <c r="I17" s="36">
        <v>-9819.7279999999992</v>
      </c>
      <c r="J17" s="36">
        <v>5011.1090000000004</v>
      </c>
      <c r="K17" s="36">
        <v>4519.8810000000003</v>
      </c>
      <c r="L17" s="36">
        <v>6111.1059999999998</v>
      </c>
      <c r="M17" s="36">
        <v>-20895.132000000001</v>
      </c>
      <c r="N17" s="36">
        <v>-27983.01</v>
      </c>
    </row>
    <row r="18" spans="1:14">
      <c r="A18" s="13">
        <v>4001390070</v>
      </c>
      <c r="B18" s="13" t="s">
        <v>184</v>
      </c>
      <c r="C18" s="13" t="s">
        <v>14</v>
      </c>
      <c r="D18" s="36">
        <v>3875.527</v>
      </c>
      <c r="E18" s="36">
        <v>9243.8109999999997</v>
      </c>
      <c r="F18" s="36">
        <v>121.965</v>
      </c>
      <c r="G18" s="36">
        <v>866.95600000000002</v>
      </c>
      <c r="H18" s="36">
        <v>-3941.2939999999999</v>
      </c>
      <c r="I18" s="36">
        <v>-13601.949000000001</v>
      </c>
      <c r="J18" s="36">
        <v>5276.4059999999999</v>
      </c>
      <c r="K18" s="36">
        <v>8404.4369999999999</v>
      </c>
      <c r="L18" s="36">
        <v>-4210.68</v>
      </c>
      <c r="M18" s="36">
        <v>-25130.978999999999</v>
      </c>
      <c r="N18" s="36">
        <v>-14625.834000000001</v>
      </c>
    </row>
    <row r="19" spans="1:14">
      <c r="A19" s="13">
        <v>4001390110</v>
      </c>
      <c r="B19" s="13" t="s">
        <v>185</v>
      </c>
      <c r="C19" s="13" t="s">
        <v>14</v>
      </c>
      <c r="D19" s="36">
        <v>-9713.8130000000001</v>
      </c>
      <c r="E19" s="36">
        <v>2871.5320000000002</v>
      </c>
      <c r="F19" s="36">
        <v>1177.5329999999999</v>
      </c>
      <c r="G19" s="36">
        <v>1425.0250000000001</v>
      </c>
      <c r="H19" s="36">
        <v>-2753.672</v>
      </c>
      <c r="I19" s="36">
        <v>3782.221</v>
      </c>
      <c r="J19" s="36">
        <v>-265.29700000000003</v>
      </c>
      <c r="K19" s="36">
        <v>-3884.556</v>
      </c>
      <c r="L19" s="36">
        <v>10321.786</v>
      </c>
      <c r="M19" s="36">
        <v>4235.8469999999998</v>
      </c>
      <c r="N19" s="36">
        <v>-13357.175999999999</v>
      </c>
    </row>
    <row r="20" spans="1:14">
      <c r="A20" s="13">
        <v>4001312260</v>
      </c>
      <c r="B20" s="13" t="s">
        <v>186</v>
      </c>
      <c r="C20" s="13" t="s">
        <v>14</v>
      </c>
      <c r="D20" s="36"/>
      <c r="E20" s="36"/>
      <c r="F20" s="36"/>
      <c r="G20" s="36"/>
      <c r="H20" s="36"/>
      <c r="I20" s="36"/>
      <c r="J20" s="36"/>
      <c r="K20" s="36"/>
      <c r="L20" s="36"/>
      <c r="M20" s="36"/>
      <c r="N20" s="36"/>
    </row>
    <row r="21" spans="1:14">
      <c r="A21" s="13">
        <v>4001312270</v>
      </c>
      <c r="B21" s="13" t="s">
        <v>187</v>
      </c>
      <c r="C21" s="13" t="s">
        <v>14</v>
      </c>
      <c r="D21" s="36"/>
      <c r="E21" s="36"/>
      <c r="F21" s="36"/>
      <c r="G21" s="36"/>
      <c r="H21" s="36"/>
      <c r="I21" s="36"/>
      <c r="J21" s="36"/>
      <c r="K21" s="36"/>
      <c r="L21" s="36"/>
      <c r="M21" s="36"/>
      <c r="N21" s="36"/>
    </row>
    <row r="22" spans="1:14">
      <c r="A22" s="13">
        <v>4001312280</v>
      </c>
      <c r="B22" s="13" t="s">
        <v>188</v>
      </c>
      <c r="C22" s="13" t="s">
        <v>14</v>
      </c>
      <c r="D22" s="36">
        <v>543.423</v>
      </c>
      <c r="E22" s="36">
        <v>17709.785</v>
      </c>
      <c r="F22" s="36">
        <v>3654.2910000000002</v>
      </c>
      <c r="G22" s="36">
        <v>9734.9570000000003</v>
      </c>
      <c r="H22" s="36">
        <v>3756.1280000000002</v>
      </c>
      <c r="I22" s="36">
        <v>2111.0160000000001</v>
      </c>
      <c r="J22" s="36">
        <v>16799.349999999999</v>
      </c>
      <c r="K22" s="36">
        <v>19281.05</v>
      </c>
      <c r="L22" s="36">
        <v>12835.679</v>
      </c>
      <c r="M22" s="36">
        <v>-11004.784</v>
      </c>
      <c r="N22" s="36">
        <v>-13863.218000000001</v>
      </c>
    </row>
    <row r="23" spans="1:14">
      <c r="A23" s="13">
        <v>4001312290</v>
      </c>
      <c r="B23" s="13" t="s">
        <v>189</v>
      </c>
      <c r="C23" s="13" t="s">
        <v>14</v>
      </c>
      <c r="D23" s="36">
        <v>316.95675</v>
      </c>
      <c r="E23" s="36">
        <v>280.50182999999998</v>
      </c>
      <c r="F23" s="36">
        <v>423.46312</v>
      </c>
      <c r="G23" s="36">
        <v>182.21602999999999</v>
      </c>
      <c r="H23" s="36">
        <v>269.81211000000002</v>
      </c>
      <c r="I23" s="36">
        <v>233.25140999999999</v>
      </c>
      <c r="J23" s="36">
        <v>152.23994999999999</v>
      </c>
      <c r="K23" s="36">
        <v>42.50564</v>
      </c>
      <c r="L23" s="36">
        <v>244.16963999999999</v>
      </c>
      <c r="M23" s="36">
        <v>85.568269999999998</v>
      </c>
      <c r="N23" s="36">
        <v>101.8049</v>
      </c>
    </row>
    <row r="24" spans="1:14">
      <c r="A24" s="13">
        <v>4001312300</v>
      </c>
      <c r="B24" s="13" t="s">
        <v>190</v>
      </c>
      <c r="C24" s="13" t="s">
        <v>14</v>
      </c>
      <c r="D24" s="36">
        <v>-1390.306</v>
      </c>
      <c r="E24" s="36">
        <v>-1663.6029699999999</v>
      </c>
      <c r="F24" s="36">
        <v>-1734.64435</v>
      </c>
      <c r="G24" s="36">
        <v>-2573.5670500000001</v>
      </c>
      <c r="H24" s="36">
        <v>-2767.7746200000001</v>
      </c>
      <c r="I24" s="36">
        <v>-2830.6509999999998</v>
      </c>
      <c r="J24" s="36">
        <v>-2835.5877399999999</v>
      </c>
      <c r="K24" s="36">
        <v>-2601.8342400000001</v>
      </c>
      <c r="L24" s="36">
        <v>-2689.5214700000001</v>
      </c>
      <c r="M24" s="36">
        <v>-2807.1896700000002</v>
      </c>
      <c r="N24" s="36">
        <v>-2887.7933400000002</v>
      </c>
    </row>
    <row r="25" spans="1:14">
      <c r="A25" s="13">
        <v>4001312310</v>
      </c>
      <c r="B25" s="13" t="s">
        <v>191</v>
      </c>
      <c r="C25" s="13" t="s">
        <v>14</v>
      </c>
      <c r="D25" s="36"/>
      <c r="E25" s="36"/>
      <c r="F25" s="36"/>
      <c r="G25" s="36"/>
      <c r="H25" s="36"/>
      <c r="I25" s="36"/>
      <c r="J25" s="36"/>
      <c r="K25" s="36"/>
      <c r="L25" s="36"/>
      <c r="M25" s="36"/>
      <c r="N25" s="36"/>
    </row>
    <row r="26" spans="1:14">
      <c r="A26" s="13">
        <v>4001312320</v>
      </c>
      <c r="B26" s="13" t="s">
        <v>192</v>
      </c>
      <c r="C26" s="13" t="s">
        <v>14</v>
      </c>
      <c r="D26" s="36"/>
      <c r="E26" s="36"/>
      <c r="F26" s="36"/>
      <c r="G26" s="36"/>
      <c r="H26" s="36"/>
      <c r="I26" s="36"/>
      <c r="J26" s="36"/>
      <c r="K26" s="36"/>
      <c r="L26" s="36"/>
      <c r="M26" s="36"/>
      <c r="N26" s="36"/>
    </row>
    <row r="27" spans="1:14">
      <c r="A27" s="13">
        <v>4001312330</v>
      </c>
      <c r="B27" s="13" t="s">
        <v>193</v>
      </c>
      <c r="C27" s="13" t="s">
        <v>14</v>
      </c>
      <c r="D27" s="36"/>
      <c r="E27" s="36"/>
      <c r="F27" s="36"/>
      <c r="G27" s="36"/>
      <c r="H27" s="36"/>
      <c r="I27" s="36">
        <v>1189.2584400000001</v>
      </c>
      <c r="J27" s="36">
        <v>-43.756770000000003</v>
      </c>
      <c r="K27" s="36">
        <v>-32.729669999999999</v>
      </c>
      <c r="L27" s="36">
        <v>1427.6495600000001</v>
      </c>
      <c r="M27" s="36">
        <v>-238.55813000000001</v>
      </c>
      <c r="N27" s="36">
        <v>-175.31343000000001</v>
      </c>
    </row>
    <row r="28" spans="1:14">
      <c r="A28" s="13">
        <v>4001312340</v>
      </c>
      <c r="B28" s="13" t="s">
        <v>194</v>
      </c>
      <c r="C28" s="13" t="s">
        <v>14</v>
      </c>
      <c r="D28" s="36">
        <v>-2099.4952699999999</v>
      </c>
      <c r="E28" s="36">
        <v>-2637.53737</v>
      </c>
      <c r="F28" s="36">
        <v>-214.67257000000001</v>
      </c>
      <c r="G28" s="36">
        <v>-160.25084000000001</v>
      </c>
      <c r="H28" s="36">
        <v>-75.287589999999994</v>
      </c>
      <c r="I28" s="36">
        <v>75.287589999999994</v>
      </c>
      <c r="J28" s="36"/>
      <c r="K28" s="36"/>
      <c r="L28" s="36"/>
      <c r="M28" s="36"/>
      <c r="N28" s="36"/>
    </row>
    <row r="29" spans="1:14">
      <c r="A29" s="13">
        <v>4001312350</v>
      </c>
      <c r="B29" s="13" t="s">
        <v>195</v>
      </c>
      <c r="C29" s="13" t="s">
        <v>14</v>
      </c>
      <c r="D29" s="36"/>
      <c r="E29" s="36"/>
      <c r="F29" s="36"/>
      <c r="G29" s="36"/>
      <c r="H29" s="36"/>
      <c r="I29" s="36"/>
      <c r="J29" s="36"/>
      <c r="K29" s="36"/>
      <c r="L29" s="36"/>
      <c r="M29" s="36"/>
      <c r="N29" s="36"/>
    </row>
    <row r="30" spans="1:14">
      <c r="A30" s="13">
        <v>4001390160</v>
      </c>
      <c r="B30" s="13" t="s">
        <v>196</v>
      </c>
      <c r="C30" s="13" t="s">
        <v>14</v>
      </c>
      <c r="D30" s="36">
        <v>-13549.10009</v>
      </c>
      <c r="E30" s="36">
        <v>-16678.560010000001</v>
      </c>
      <c r="F30" s="36">
        <v>-24299.500380000001</v>
      </c>
      <c r="G30" s="36">
        <v>-12689.942660000001</v>
      </c>
      <c r="H30" s="36">
        <v>-5819.3599400000003</v>
      </c>
      <c r="I30" s="36">
        <v>11872.216609999999</v>
      </c>
      <c r="J30" s="36">
        <v>-7978.7872799999996</v>
      </c>
      <c r="K30" s="36">
        <v>-27979.658579999999</v>
      </c>
      <c r="L30" s="36">
        <v>-30214.243439999998</v>
      </c>
      <c r="M30" s="36">
        <v>-2357.9847599999998</v>
      </c>
      <c r="N30" s="36">
        <v>-7066.6737199999998</v>
      </c>
    </row>
    <row r="31" spans="1:14">
      <c r="A31" s="13">
        <v>4001390170</v>
      </c>
      <c r="B31" s="13" t="s">
        <v>197</v>
      </c>
      <c r="C31" s="13" t="s">
        <v>14</v>
      </c>
      <c r="D31" s="36">
        <v>49998.021869999997</v>
      </c>
      <c r="E31" s="36">
        <v>-39876.291530000002</v>
      </c>
      <c r="F31" s="36">
        <v>4213.89311</v>
      </c>
      <c r="G31" s="36">
        <v>1789.96082</v>
      </c>
      <c r="H31" s="36">
        <v>12390.906429999999</v>
      </c>
      <c r="I31" s="36">
        <v>27656.651559999998</v>
      </c>
      <c r="J31" s="36">
        <v>9610.3520599999993</v>
      </c>
      <c r="K31" s="36">
        <v>-4816.6861399999998</v>
      </c>
      <c r="L31" s="36">
        <v>1407.4815100000001</v>
      </c>
      <c r="M31" s="36">
        <v>1490.1966399999999</v>
      </c>
      <c r="N31" s="36">
        <v>790.69272000000001</v>
      </c>
    </row>
    <row r="32" spans="1:14">
      <c r="A32" s="13">
        <v>4001390270</v>
      </c>
      <c r="B32" s="13" t="s">
        <v>198</v>
      </c>
      <c r="C32" s="13" t="s">
        <v>14</v>
      </c>
      <c r="D32" s="36">
        <v>63547.121959999997</v>
      </c>
      <c r="E32" s="36">
        <v>-23197.731520000001</v>
      </c>
      <c r="F32" s="36">
        <v>28513.393489999999</v>
      </c>
      <c r="G32" s="36">
        <v>14479.903480000001</v>
      </c>
      <c r="H32" s="36">
        <v>18210.266370000001</v>
      </c>
      <c r="I32" s="36">
        <v>15784.434950000001</v>
      </c>
      <c r="J32" s="36">
        <v>17589.139340000002</v>
      </c>
      <c r="K32" s="36">
        <v>23162.972440000001</v>
      </c>
      <c r="L32" s="36">
        <v>31621.72495</v>
      </c>
      <c r="M32" s="36">
        <v>3848.1813999999999</v>
      </c>
      <c r="N32" s="36">
        <v>7857.3664399999998</v>
      </c>
    </row>
    <row r="33" spans="1:14">
      <c r="A33" s="13">
        <v>4001321350</v>
      </c>
      <c r="B33" s="13" t="s">
        <v>189</v>
      </c>
      <c r="C33" s="13" t="s">
        <v>14</v>
      </c>
      <c r="D33" s="36"/>
      <c r="E33" s="36"/>
      <c r="F33" s="36"/>
      <c r="G33" s="36"/>
      <c r="H33" s="36"/>
      <c r="I33" s="36"/>
      <c r="J33" s="36"/>
      <c r="K33" s="36"/>
      <c r="L33" s="36"/>
      <c r="M33" s="36"/>
      <c r="N33" s="36"/>
    </row>
    <row r="34" spans="1:14">
      <c r="A34" s="13">
        <v>4001321360</v>
      </c>
      <c r="B34" s="13" t="s">
        <v>190</v>
      </c>
      <c r="C34" s="13" t="s">
        <v>14</v>
      </c>
      <c r="D34" s="36"/>
      <c r="E34" s="36"/>
      <c r="F34" s="36"/>
      <c r="G34" s="36"/>
      <c r="H34" s="36"/>
      <c r="I34" s="36"/>
      <c r="J34" s="36"/>
      <c r="K34" s="36"/>
      <c r="L34" s="36"/>
      <c r="M34" s="36"/>
      <c r="N34" s="36"/>
    </row>
    <row r="35" spans="1:14">
      <c r="A35" s="13">
        <v>4001321370</v>
      </c>
      <c r="B35" s="13" t="s">
        <v>191</v>
      </c>
      <c r="C35" s="13" t="s">
        <v>14</v>
      </c>
      <c r="D35" s="36"/>
      <c r="E35" s="36"/>
      <c r="F35" s="36"/>
      <c r="G35" s="36"/>
      <c r="H35" s="36"/>
      <c r="I35" s="36"/>
      <c r="J35" s="36"/>
      <c r="K35" s="36"/>
      <c r="L35" s="36"/>
      <c r="M35" s="36"/>
      <c r="N35" s="36"/>
    </row>
    <row r="36" spans="1:14">
      <c r="A36" s="13">
        <v>4001321380</v>
      </c>
      <c r="B36" s="13" t="s">
        <v>192</v>
      </c>
      <c r="C36" s="13" t="s">
        <v>14</v>
      </c>
      <c r="D36" s="36"/>
      <c r="E36" s="36"/>
      <c r="F36" s="36"/>
      <c r="G36" s="36"/>
      <c r="H36" s="36"/>
      <c r="I36" s="36"/>
      <c r="J36" s="36"/>
      <c r="K36" s="36"/>
      <c r="L36" s="36"/>
      <c r="M36" s="36"/>
      <c r="N36" s="36"/>
    </row>
    <row r="37" spans="1:14">
      <c r="A37" s="13">
        <v>4001321390</v>
      </c>
      <c r="B37" s="13" t="s">
        <v>193</v>
      </c>
      <c r="C37" s="13" t="s">
        <v>14</v>
      </c>
      <c r="D37" s="36"/>
      <c r="E37" s="36"/>
      <c r="F37" s="36"/>
      <c r="G37" s="36"/>
      <c r="H37" s="36"/>
      <c r="I37" s="36"/>
      <c r="J37" s="36"/>
      <c r="K37" s="36"/>
      <c r="L37" s="36"/>
      <c r="M37" s="36"/>
      <c r="N37" s="36"/>
    </row>
    <row r="38" spans="1:14">
      <c r="A38" s="13">
        <v>4001321400</v>
      </c>
      <c r="B38" s="13" t="s">
        <v>194</v>
      </c>
      <c r="C38" s="13" t="s">
        <v>14</v>
      </c>
      <c r="D38" s="36"/>
      <c r="E38" s="36"/>
      <c r="F38" s="36"/>
      <c r="G38" s="36"/>
      <c r="H38" s="36"/>
      <c r="I38" s="36"/>
      <c r="J38" s="36"/>
      <c r="K38" s="36"/>
      <c r="L38" s="36"/>
      <c r="M38" s="36"/>
      <c r="N38" s="36"/>
    </row>
    <row r="39" spans="1:14">
      <c r="A39" s="13">
        <v>4001321410</v>
      </c>
      <c r="B39" s="13" t="s">
        <v>195</v>
      </c>
      <c r="C39" s="13" t="s">
        <v>14</v>
      </c>
      <c r="D39" s="36"/>
      <c r="E39" s="36"/>
      <c r="F39" s="36"/>
      <c r="G39" s="36"/>
      <c r="H39" s="36"/>
      <c r="I39" s="36"/>
      <c r="J39" s="36"/>
      <c r="K39" s="36"/>
      <c r="L39" s="36"/>
      <c r="M39" s="36"/>
      <c r="N39" s="36"/>
    </row>
    <row r="40" spans="1:14">
      <c r="A40" s="13">
        <v>4001390370</v>
      </c>
      <c r="B40" s="13" t="s">
        <v>199</v>
      </c>
      <c r="C40" s="13" t="s">
        <v>14</v>
      </c>
      <c r="D40" s="36">
        <v>24538.23043</v>
      </c>
      <c r="E40" s="36">
        <v>3662.0522799999999</v>
      </c>
      <c r="F40" s="36">
        <v>11233.131079999999</v>
      </c>
      <c r="G40" s="36">
        <v>-2080.1851799999999</v>
      </c>
      <c r="H40" s="36">
        <v>12217.054700000001</v>
      </c>
      <c r="I40" s="36">
        <v>-13408.06524</v>
      </c>
      <c r="J40" s="36">
        <v>-4105.3001100000001</v>
      </c>
      <c r="K40" s="36">
        <v>13777.500389999999</v>
      </c>
      <c r="L40" s="36">
        <v>10967.32914</v>
      </c>
      <c r="M40" s="36">
        <v>15780.7968</v>
      </c>
      <c r="N40" s="36">
        <v>23412.780940000001</v>
      </c>
    </row>
    <row r="41" spans="1:14">
      <c r="A41" s="13">
        <v>4001390380</v>
      </c>
      <c r="B41" s="13" t="s">
        <v>200</v>
      </c>
      <c r="C41" s="13" t="s">
        <v>14</v>
      </c>
      <c r="D41" s="36">
        <v>30000</v>
      </c>
      <c r="E41" s="36">
        <v>20500</v>
      </c>
      <c r="F41" s="36">
        <v>13000</v>
      </c>
      <c r="G41" s="36">
        <v>-9126.7850600000002</v>
      </c>
      <c r="H41" s="36">
        <v>20043.1718</v>
      </c>
      <c r="I41" s="36">
        <v>17000</v>
      </c>
      <c r="J41" s="36"/>
      <c r="K41" s="36">
        <v>16362.872799999999</v>
      </c>
      <c r="L41" s="36">
        <v>15000</v>
      </c>
      <c r="M41" s="36">
        <v>24000</v>
      </c>
      <c r="N41" s="36">
        <v>50900</v>
      </c>
    </row>
    <row r="42" spans="1:14">
      <c r="A42" s="13">
        <v>4001390470</v>
      </c>
      <c r="B42" s="13" t="s">
        <v>201</v>
      </c>
      <c r="C42" s="13" t="s">
        <v>14</v>
      </c>
      <c r="D42" s="36">
        <v>5461.7695700000004</v>
      </c>
      <c r="E42" s="36">
        <v>12191.686100000001</v>
      </c>
      <c r="F42" s="36">
        <v>1766.8689300000001</v>
      </c>
      <c r="G42" s="36">
        <v>-7046.5998900000004</v>
      </c>
      <c r="H42" s="36">
        <v>7826.1171000000004</v>
      </c>
      <c r="I42" s="36">
        <v>25761.803619999999</v>
      </c>
      <c r="J42" s="36">
        <v>4105.3001100000001</v>
      </c>
      <c r="K42" s="36">
        <v>2585.3724000000002</v>
      </c>
      <c r="L42" s="36">
        <v>4032.6708699999999</v>
      </c>
      <c r="M42" s="36">
        <v>3572.9415800000002</v>
      </c>
      <c r="N42" s="36">
        <v>27487.21905</v>
      </c>
    </row>
    <row r="43" spans="1:14">
      <c r="A43" s="13">
        <v>4001330680</v>
      </c>
      <c r="B43" s="13" t="s">
        <v>189</v>
      </c>
      <c r="C43" s="13" t="s">
        <v>14</v>
      </c>
      <c r="D43" s="36"/>
      <c r="E43" s="36"/>
      <c r="F43" s="36"/>
      <c r="G43" s="36"/>
      <c r="H43" s="36"/>
      <c r="I43" s="36"/>
      <c r="J43" s="36"/>
      <c r="K43" s="36"/>
      <c r="L43" s="36"/>
      <c r="M43" s="36"/>
      <c r="N43" s="36"/>
    </row>
    <row r="44" spans="1:14">
      <c r="A44" s="13">
        <v>4001330690</v>
      </c>
      <c r="B44" s="13" t="s">
        <v>190</v>
      </c>
      <c r="C44" s="13" t="s">
        <v>14</v>
      </c>
      <c r="D44" s="36"/>
      <c r="E44" s="36"/>
      <c r="F44" s="36"/>
      <c r="G44" s="36"/>
      <c r="H44" s="36"/>
      <c r="I44" s="36"/>
      <c r="J44" s="36"/>
      <c r="K44" s="36"/>
      <c r="L44" s="36"/>
      <c r="M44" s="36"/>
      <c r="N44" s="36"/>
    </row>
    <row r="45" spans="1:14">
      <c r="A45" s="13">
        <v>4001330700</v>
      </c>
      <c r="B45" s="13" t="s">
        <v>191</v>
      </c>
      <c r="C45" s="13" t="s">
        <v>14</v>
      </c>
      <c r="D45" s="36"/>
      <c r="E45" s="36"/>
      <c r="F45" s="36"/>
      <c r="G45" s="36"/>
      <c r="H45" s="36"/>
      <c r="I45" s="36"/>
      <c r="J45" s="36"/>
      <c r="K45" s="36"/>
      <c r="L45" s="36"/>
      <c r="M45" s="36"/>
      <c r="N45" s="36"/>
    </row>
    <row r="46" spans="1:14">
      <c r="A46" s="13">
        <v>4001330710</v>
      </c>
      <c r="B46" s="13" t="s">
        <v>192</v>
      </c>
      <c r="C46" s="13" t="s">
        <v>14</v>
      </c>
      <c r="D46" s="36"/>
      <c r="E46" s="36">
        <v>-4646.2616200000002</v>
      </c>
      <c r="F46" s="36"/>
      <c r="G46" s="36"/>
      <c r="H46" s="36"/>
      <c r="I46" s="36">
        <v>-4646.2616200000002</v>
      </c>
      <c r="J46" s="36"/>
      <c r="K46" s="36"/>
      <c r="L46" s="36"/>
      <c r="M46" s="36">
        <v>-4646.2616200000002</v>
      </c>
      <c r="N46" s="36"/>
    </row>
    <row r="47" spans="1:14">
      <c r="A47" s="13">
        <v>4001330720</v>
      </c>
      <c r="B47" s="13" t="s">
        <v>193</v>
      </c>
      <c r="C47" s="13" t="s">
        <v>14</v>
      </c>
      <c r="D47" s="36"/>
      <c r="E47" s="36"/>
      <c r="F47" s="36"/>
      <c r="G47" s="36"/>
      <c r="H47" s="36"/>
      <c r="I47" s="36"/>
      <c r="J47" s="36"/>
      <c r="K47" s="36"/>
      <c r="L47" s="36"/>
      <c r="M47" s="36"/>
      <c r="N47" s="36"/>
    </row>
    <row r="48" spans="1:14">
      <c r="A48" s="13">
        <v>4001330730</v>
      </c>
      <c r="B48" s="13" t="s">
        <v>194</v>
      </c>
      <c r="C48" s="13" t="s">
        <v>14</v>
      </c>
      <c r="D48" s="36"/>
      <c r="E48" s="36"/>
      <c r="F48" s="36"/>
      <c r="G48" s="36"/>
      <c r="H48" s="36"/>
      <c r="I48" s="36"/>
      <c r="J48" s="36"/>
      <c r="K48" s="36"/>
      <c r="L48" s="36"/>
      <c r="M48" s="36"/>
      <c r="N48" s="36"/>
    </row>
    <row r="49" spans="1:14">
      <c r="A49" s="13">
        <v>4001330740</v>
      </c>
      <c r="B49" s="13" t="s">
        <v>195</v>
      </c>
      <c r="C49" s="13" t="s">
        <v>14</v>
      </c>
      <c r="D49" s="36"/>
      <c r="E49" s="36"/>
      <c r="F49" s="36"/>
      <c r="G49" s="36"/>
      <c r="H49" s="36"/>
      <c r="I49" s="36"/>
      <c r="J49" s="36"/>
      <c r="K49" s="36"/>
      <c r="L49" s="36"/>
      <c r="M49" s="36"/>
      <c r="N49" s="36"/>
    </row>
    <row r="50" spans="1:14">
      <c r="A50" s="13">
        <v>4001340000</v>
      </c>
      <c r="B50" s="13" t="s">
        <v>202</v>
      </c>
      <c r="C50" s="13" t="s">
        <v>14</v>
      </c>
      <c r="D50" s="36"/>
      <c r="E50" s="36"/>
      <c r="F50" s="36"/>
      <c r="G50" s="36"/>
      <c r="H50" s="36"/>
      <c r="I50" s="36"/>
      <c r="J50" s="36"/>
      <c r="K50" s="36"/>
      <c r="L50" s="36"/>
      <c r="M50" s="36"/>
      <c r="N50" s="36"/>
    </row>
    <row r="51" spans="1:14">
      <c r="A51" s="13">
        <v>4001340010</v>
      </c>
      <c r="B51" s="13" t="s">
        <v>203</v>
      </c>
      <c r="C51" s="13" t="s">
        <v>14</v>
      </c>
      <c r="D51" s="36"/>
      <c r="E51" s="36"/>
      <c r="F51" s="36"/>
      <c r="G51" s="36"/>
      <c r="H51" s="36"/>
      <c r="I51" s="36"/>
      <c r="J51" s="36"/>
      <c r="K51" s="36"/>
      <c r="L51" s="36"/>
      <c r="M51" s="36"/>
      <c r="N51" s="36"/>
    </row>
    <row r="52" spans="1:14">
      <c r="A52" s="13">
        <v>4001340020</v>
      </c>
      <c r="B52" s="13" t="s">
        <v>204</v>
      </c>
      <c r="C52" s="13" t="s">
        <v>14</v>
      </c>
      <c r="D52" s="36">
        <v>141.14498</v>
      </c>
      <c r="E52" s="36">
        <v>-364.00806</v>
      </c>
      <c r="F52" s="36">
        <v>-41.90643</v>
      </c>
      <c r="G52" s="36">
        <v>40.792879999999997</v>
      </c>
      <c r="H52" s="36">
        <v>-140.08797999999999</v>
      </c>
      <c r="I52" s="36">
        <v>-214.05976000000001</v>
      </c>
      <c r="J52" s="36">
        <v>542.93340000000001</v>
      </c>
      <c r="K52" s="36">
        <v>382.08321999999998</v>
      </c>
      <c r="L52" s="36">
        <v>440.61131999999998</v>
      </c>
      <c r="M52" s="36">
        <v>-638.13347999999996</v>
      </c>
      <c r="N52" s="36">
        <v>172.07357999999999</v>
      </c>
    </row>
    <row r="53" spans="1:14">
      <c r="A53" s="13">
        <v>4001340030</v>
      </c>
      <c r="B53" s="13" t="s">
        <v>205</v>
      </c>
      <c r="C53" s="13" t="s">
        <v>14</v>
      </c>
      <c r="D53" s="36">
        <v>8500.8547699999999</v>
      </c>
      <c r="E53" s="36">
        <v>308.63015999999999</v>
      </c>
      <c r="F53" s="36">
        <v>-10979.838900000001</v>
      </c>
      <c r="G53" s="36">
        <v>-7545.9799300000004</v>
      </c>
      <c r="H53" s="36">
        <v>7440.48434</v>
      </c>
      <c r="I53" s="36">
        <v>-971.74539000000004</v>
      </c>
      <c r="J53" s="36">
        <v>2531.0909700000002</v>
      </c>
      <c r="K53" s="36">
        <v>2868.9171299999998</v>
      </c>
      <c r="L53" s="36">
        <v>-6988.3263399999996</v>
      </c>
      <c r="M53" s="36">
        <v>-1180.28493</v>
      </c>
      <c r="N53" s="36">
        <v>-306.33942999999999</v>
      </c>
    </row>
    <row r="54" spans="1:14">
      <c r="A54" s="13">
        <v>4001340040</v>
      </c>
      <c r="B54" s="13" t="s">
        <v>206</v>
      </c>
      <c r="C54" s="13" t="s">
        <v>14</v>
      </c>
      <c r="D54" s="36">
        <v>23330.438010000002</v>
      </c>
      <c r="E54" s="36">
        <v>31831.29278</v>
      </c>
      <c r="F54" s="36">
        <v>32139.922930000001</v>
      </c>
      <c r="G54" s="36">
        <v>21160.084030000002</v>
      </c>
      <c r="H54" s="36">
        <v>13614.1041</v>
      </c>
      <c r="I54" s="36">
        <v>21054.588449999999</v>
      </c>
      <c r="J54" s="36">
        <v>20082.843049999999</v>
      </c>
      <c r="K54" s="36">
        <v>22613.934020000001</v>
      </c>
      <c r="L54" s="36">
        <v>25482.851149999999</v>
      </c>
      <c r="M54" s="36">
        <v>18494.524809999999</v>
      </c>
      <c r="N54" s="36">
        <v>17314.239890000001</v>
      </c>
    </row>
    <row r="55" spans="1:14">
      <c r="A55" s="13">
        <v>4001340050</v>
      </c>
      <c r="B55" s="13" t="s">
        <v>207</v>
      </c>
      <c r="C55" s="13" t="s">
        <v>14</v>
      </c>
      <c r="D55" s="36">
        <v>31831.29278</v>
      </c>
      <c r="E55" s="36">
        <v>32139.922930000001</v>
      </c>
      <c r="F55" s="36">
        <v>21160.084030000002</v>
      </c>
      <c r="G55" s="36">
        <v>13614.1041</v>
      </c>
      <c r="H55" s="36">
        <v>21054.588449999999</v>
      </c>
      <c r="I55" s="36">
        <v>20082.843049999999</v>
      </c>
      <c r="J55" s="36">
        <v>22613.934020000001</v>
      </c>
      <c r="K55" s="36">
        <v>25482.851149999999</v>
      </c>
      <c r="L55" s="36">
        <v>18494.524809999999</v>
      </c>
      <c r="M55" s="36">
        <v>17314.239890000001</v>
      </c>
      <c r="N55" s="36">
        <v>17007.900450000001</v>
      </c>
    </row>
    <row r="56" spans="1:14">
      <c r="A56" s="38"/>
      <c r="B56" s="38"/>
      <c r="C56" s="38"/>
      <c r="D56" s="36"/>
      <c r="E56" s="36"/>
      <c r="F56" s="36"/>
      <c r="G56" s="36"/>
      <c r="H56" s="36"/>
      <c r="I56" s="36"/>
      <c r="J56" s="36"/>
      <c r="K56" s="36"/>
      <c r="L56" s="36"/>
      <c r="M56" s="36"/>
      <c r="N56" s="36"/>
    </row>
    <row r="57" spans="1:14">
      <c r="D57" s="37"/>
      <c r="E57" s="37"/>
      <c r="F57" s="37"/>
      <c r="G57" s="37"/>
      <c r="H57" s="37"/>
      <c r="I57" s="37"/>
      <c r="J57" s="37"/>
      <c r="K57" s="37"/>
      <c r="L57" s="37"/>
      <c r="M57" s="37"/>
      <c r="N57" s="37"/>
    </row>
    <row r="58" spans="1:14">
      <c r="D58" s="37"/>
      <c r="E58" s="37"/>
      <c r="F58" s="37"/>
      <c r="G58" s="37"/>
      <c r="H58" s="37"/>
      <c r="I58" s="37"/>
      <c r="J58" s="37"/>
      <c r="K58" s="37"/>
      <c r="L58" s="37"/>
      <c r="M58" s="37"/>
      <c r="N58" s="37"/>
    </row>
    <row r="59" spans="1:14">
      <c r="D59" s="37"/>
      <c r="E59" s="37"/>
      <c r="F59" s="37"/>
      <c r="G59" s="37"/>
      <c r="H59" s="37"/>
      <c r="I59" s="37"/>
      <c r="J59" s="37"/>
      <c r="K59" s="37"/>
      <c r="L59" s="37"/>
      <c r="M59" s="37"/>
      <c r="N59" s="37"/>
    </row>
  </sheetData>
  <phoneticPr fontId="3"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C1FDC-6889-41AF-B9D4-DEDB5C884E70}">
  <dimension ref="A2:E60"/>
  <sheetViews>
    <sheetView showGridLines="0" zoomScale="82" workbookViewId="0"/>
  </sheetViews>
  <sheetFormatPr defaultRowHeight="17"/>
  <cols>
    <col min="1" max="1" width="9.5" bestFit="1" customWidth="1"/>
    <col min="2" max="2" width="44.08203125" bestFit="1" customWidth="1"/>
    <col min="3" max="3" width="11.75" bestFit="1" customWidth="1"/>
    <col min="4" max="5" width="8.5" bestFit="1" customWidth="1"/>
  </cols>
  <sheetData>
    <row r="2" spans="1:5">
      <c r="A2" s="2" t="s">
        <v>0</v>
      </c>
      <c r="B2" s="2"/>
      <c r="C2" s="2"/>
      <c r="D2" s="2"/>
      <c r="E2" s="2"/>
    </row>
    <row r="3" spans="1:5">
      <c r="A3" s="3" t="s">
        <v>3</v>
      </c>
      <c r="B3" s="3" t="s">
        <v>82</v>
      </c>
      <c r="C3" s="3"/>
      <c r="D3" s="3"/>
      <c r="E3" s="3"/>
    </row>
    <row r="4" spans="1:5">
      <c r="A4" s="3" t="s">
        <v>4</v>
      </c>
      <c r="B4" s="7" t="s">
        <v>86</v>
      </c>
      <c r="C4" s="3" t="s">
        <v>1</v>
      </c>
      <c r="D4" s="3" t="s">
        <v>85</v>
      </c>
      <c r="E4" s="3"/>
    </row>
    <row r="5" spans="1:5">
      <c r="A5" s="3" t="s">
        <v>5</v>
      </c>
      <c r="B5" s="10" t="s">
        <v>208</v>
      </c>
      <c r="C5" s="3" t="s">
        <v>2</v>
      </c>
      <c r="D5" s="3"/>
      <c r="E5" s="3"/>
    </row>
    <row r="6" spans="1:5">
      <c r="A6" s="3" t="s">
        <v>6</v>
      </c>
      <c r="B6" s="8" t="s">
        <v>89</v>
      </c>
      <c r="C6" s="3"/>
      <c r="D6" s="3"/>
      <c r="E6" s="3"/>
    </row>
    <row r="7" spans="1:5">
      <c r="A7" s="3" t="s">
        <v>7</v>
      </c>
      <c r="B7" s="11" t="s">
        <v>84</v>
      </c>
      <c r="C7" s="8" t="s">
        <v>14</v>
      </c>
      <c r="D7" s="3"/>
      <c r="E7" s="3"/>
    </row>
    <row r="8" spans="1:5">
      <c r="A8" s="4" t="s">
        <v>81</v>
      </c>
      <c r="B8" s="9">
        <v>2023</v>
      </c>
      <c r="C8" s="7" t="s">
        <v>87</v>
      </c>
      <c r="D8" s="4"/>
      <c r="E8" s="4"/>
    </row>
    <row r="9" spans="1:5">
      <c r="A9" s="5" t="s">
        <v>9</v>
      </c>
      <c r="B9" s="12" t="s">
        <v>10</v>
      </c>
      <c r="C9" s="12" t="s">
        <v>11</v>
      </c>
      <c r="D9" s="5">
        <v>202312</v>
      </c>
      <c r="E9" s="5">
        <v>202412</v>
      </c>
    </row>
    <row r="10" spans="1:5">
      <c r="A10" s="6"/>
      <c r="B10" s="6"/>
      <c r="C10" s="6"/>
      <c r="D10" s="6" t="s">
        <v>12</v>
      </c>
      <c r="E10" s="6" t="s">
        <v>12</v>
      </c>
    </row>
    <row r="11" spans="1:5">
      <c r="A11" s="13">
        <v>4001390000</v>
      </c>
      <c r="B11" s="13" t="s">
        <v>176</v>
      </c>
      <c r="C11" s="13" t="s">
        <v>14</v>
      </c>
      <c r="D11" s="14">
        <v>20371.517260000001</v>
      </c>
      <c r="E11" s="14">
        <v>32722.277620000001</v>
      </c>
    </row>
    <row r="12" spans="1:5">
      <c r="A12" s="13">
        <v>4001310010</v>
      </c>
      <c r="B12" s="13" t="s">
        <v>177</v>
      </c>
      <c r="C12" s="13" t="s">
        <v>14</v>
      </c>
      <c r="D12" s="14"/>
      <c r="E12" s="14"/>
    </row>
    <row r="13" spans="1:5">
      <c r="A13" s="13">
        <v>4001310100</v>
      </c>
      <c r="B13" s="13" t="s">
        <v>178</v>
      </c>
      <c r="C13" s="13" t="s">
        <v>14</v>
      </c>
      <c r="D13" s="14"/>
      <c r="E13" s="14"/>
    </row>
    <row r="14" spans="1:5">
      <c r="A14" s="13">
        <v>4001310190</v>
      </c>
      <c r="B14" s="13" t="s">
        <v>179</v>
      </c>
      <c r="C14" s="13" t="s">
        <v>14</v>
      </c>
      <c r="D14" s="14">
        <v>-11097.331</v>
      </c>
      <c r="E14" s="14">
        <v>-21970.453000000001</v>
      </c>
    </row>
    <row r="15" spans="1:5">
      <c r="A15" s="13">
        <v>4001310200</v>
      </c>
      <c r="B15" s="13" t="s">
        <v>180</v>
      </c>
      <c r="C15" s="13" t="s">
        <v>14</v>
      </c>
      <c r="D15" s="14"/>
      <c r="E15" s="14"/>
    </row>
    <row r="16" spans="1:5">
      <c r="A16" s="13">
        <v>4001390010</v>
      </c>
      <c r="B16" s="13" t="s">
        <v>181</v>
      </c>
      <c r="C16" s="13" t="s">
        <v>14</v>
      </c>
      <c r="D16" s="14">
        <v>45691.887999999999</v>
      </c>
      <c r="E16" s="14">
        <v>96630.736000000004</v>
      </c>
    </row>
    <row r="17" spans="1:5">
      <c r="A17" s="13">
        <v>4001390040</v>
      </c>
      <c r="B17" s="13" t="s">
        <v>182</v>
      </c>
      <c r="C17" s="13" t="s">
        <v>14</v>
      </c>
      <c r="D17" s="14">
        <v>12820.637000000001</v>
      </c>
      <c r="E17" s="14">
        <v>25729.035</v>
      </c>
    </row>
    <row r="18" spans="1:5">
      <c r="A18" s="13">
        <v>4001390060</v>
      </c>
      <c r="B18" s="13" t="s">
        <v>183</v>
      </c>
      <c r="C18" s="13" t="s">
        <v>14</v>
      </c>
      <c r="D18" s="14">
        <v>9868.5360000000001</v>
      </c>
      <c r="E18" s="14">
        <v>-6983.7039999999997</v>
      </c>
    </row>
    <row r="19" spans="1:5">
      <c r="A19" s="13">
        <v>4001390070</v>
      </c>
      <c r="B19" s="13" t="s">
        <v>184</v>
      </c>
      <c r="C19" s="13" t="s">
        <v>14</v>
      </c>
      <c r="D19" s="14">
        <v>14108.259</v>
      </c>
      <c r="E19" s="14">
        <v>-3862.4</v>
      </c>
    </row>
    <row r="20" spans="1:5">
      <c r="A20" s="13">
        <v>4001390110</v>
      </c>
      <c r="B20" s="13" t="s">
        <v>185</v>
      </c>
      <c r="C20" s="13" t="s">
        <v>14</v>
      </c>
      <c r="D20" s="14">
        <v>-4239.723</v>
      </c>
      <c r="E20" s="14">
        <v>-3121.3040000000001</v>
      </c>
    </row>
    <row r="21" spans="1:5">
      <c r="A21" s="13">
        <v>4001312260</v>
      </c>
      <c r="B21" s="13" t="s">
        <v>186</v>
      </c>
      <c r="C21" s="13" t="s">
        <v>14</v>
      </c>
      <c r="D21" s="14"/>
      <c r="E21" s="14"/>
    </row>
    <row r="22" spans="1:5">
      <c r="A22" s="13">
        <v>4001312270</v>
      </c>
      <c r="B22" s="13" t="s">
        <v>187</v>
      </c>
      <c r="C22" s="13" t="s">
        <v>14</v>
      </c>
      <c r="D22" s="14"/>
      <c r="E22" s="14"/>
    </row>
    <row r="23" spans="1:5">
      <c r="A23" s="13">
        <v>4001312280</v>
      </c>
      <c r="B23" s="13" t="s">
        <v>188</v>
      </c>
      <c r="C23" s="13" t="s">
        <v>14</v>
      </c>
      <c r="D23" s="14">
        <v>31642.455999999998</v>
      </c>
      <c r="E23" s="14">
        <v>41947.544000000002</v>
      </c>
    </row>
    <row r="24" spans="1:5">
      <c r="A24" s="13">
        <v>4001312290</v>
      </c>
      <c r="B24" s="13" t="s">
        <v>189</v>
      </c>
      <c r="C24" s="13" t="s">
        <v>14</v>
      </c>
      <c r="D24" s="14">
        <v>1203.1377299999999</v>
      </c>
      <c r="E24" s="14">
        <v>697.80911000000003</v>
      </c>
    </row>
    <row r="25" spans="1:5">
      <c r="A25" s="13">
        <v>4001312300</v>
      </c>
      <c r="B25" s="13" t="s">
        <v>190</v>
      </c>
      <c r="C25" s="13" t="s">
        <v>14</v>
      </c>
      <c r="D25" s="14">
        <v>-7362.1203699999996</v>
      </c>
      <c r="E25" s="14">
        <v>-11035.847599999999</v>
      </c>
    </row>
    <row r="26" spans="1:5">
      <c r="A26" s="13">
        <v>4001312310</v>
      </c>
      <c r="B26" s="13" t="s">
        <v>191</v>
      </c>
      <c r="C26" s="13" t="s">
        <v>14</v>
      </c>
      <c r="D26" s="14"/>
      <c r="E26" s="14"/>
    </row>
    <row r="27" spans="1:5">
      <c r="A27" s="13">
        <v>4001312320</v>
      </c>
      <c r="B27" s="13" t="s">
        <v>192</v>
      </c>
      <c r="C27" s="13" t="s">
        <v>14</v>
      </c>
      <c r="D27" s="14"/>
      <c r="E27" s="14"/>
    </row>
    <row r="28" spans="1:5">
      <c r="A28" s="13">
        <v>4001312330</v>
      </c>
      <c r="B28" s="13" t="s">
        <v>193</v>
      </c>
      <c r="C28" s="13" t="s">
        <v>14</v>
      </c>
      <c r="D28" s="14"/>
      <c r="E28" s="14">
        <v>1112.7719999999999</v>
      </c>
    </row>
    <row r="29" spans="1:5">
      <c r="A29" s="13">
        <v>4001312340</v>
      </c>
      <c r="B29" s="13" t="s">
        <v>194</v>
      </c>
      <c r="C29" s="13" t="s">
        <v>14</v>
      </c>
      <c r="D29" s="14">
        <v>-5111.9560499999998</v>
      </c>
      <c r="E29" s="14"/>
    </row>
    <row r="30" spans="1:5">
      <c r="A30" s="13">
        <v>4001312350</v>
      </c>
      <c r="B30" s="13" t="s">
        <v>195</v>
      </c>
      <c r="C30" s="13" t="s">
        <v>14</v>
      </c>
      <c r="D30" s="14"/>
      <c r="E30" s="14"/>
    </row>
    <row r="31" spans="1:5">
      <c r="A31" s="13">
        <v>4001390160</v>
      </c>
      <c r="B31" s="13" t="s">
        <v>196</v>
      </c>
      <c r="C31" s="13" t="s">
        <v>14</v>
      </c>
      <c r="D31" s="14">
        <v>-67217.103140000007</v>
      </c>
      <c r="E31" s="14">
        <v>-29905.589189999999</v>
      </c>
    </row>
    <row r="32" spans="1:5">
      <c r="A32" s="13">
        <v>4001390170</v>
      </c>
      <c r="B32" s="13" t="s">
        <v>197</v>
      </c>
      <c r="C32" s="13" t="s">
        <v>14</v>
      </c>
      <c r="D32" s="14">
        <v>16125.584269999999</v>
      </c>
      <c r="E32" s="14">
        <v>44841.223910000001</v>
      </c>
    </row>
    <row r="33" spans="1:5">
      <c r="A33" s="13">
        <v>4001390270</v>
      </c>
      <c r="B33" s="13" t="s">
        <v>198</v>
      </c>
      <c r="C33" s="13" t="s">
        <v>14</v>
      </c>
      <c r="D33" s="14">
        <v>83342.687409999999</v>
      </c>
      <c r="E33" s="14">
        <v>74746.813099999999</v>
      </c>
    </row>
    <row r="34" spans="1:5">
      <c r="A34" s="13">
        <v>4001321350</v>
      </c>
      <c r="B34" s="13" t="s">
        <v>189</v>
      </c>
      <c r="C34" s="13" t="s">
        <v>14</v>
      </c>
      <c r="D34" s="14"/>
      <c r="E34" s="14"/>
    </row>
    <row r="35" spans="1:5">
      <c r="A35" s="13">
        <v>4001321360</v>
      </c>
      <c r="B35" s="13" t="s">
        <v>190</v>
      </c>
      <c r="C35" s="13" t="s">
        <v>14</v>
      </c>
      <c r="D35" s="14"/>
      <c r="E35" s="14"/>
    </row>
    <row r="36" spans="1:5">
      <c r="A36" s="13">
        <v>4001321370</v>
      </c>
      <c r="B36" s="13" t="s">
        <v>191</v>
      </c>
      <c r="C36" s="13" t="s">
        <v>14</v>
      </c>
      <c r="D36" s="14"/>
      <c r="E36" s="14"/>
    </row>
    <row r="37" spans="1:5">
      <c r="A37" s="13">
        <v>4001321380</v>
      </c>
      <c r="B37" s="13" t="s">
        <v>192</v>
      </c>
      <c r="C37" s="13" t="s">
        <v>14</v>
      </c>
      <c r="D37" s="14"/>
      <c r="E37" s="14"/>
    </row>
    <row r="38" spans="1:5">
      <c r="A38" s="13">
        <v>4001321390</v>
      </c>
      <c r="B38" s="13" t="s">
        <v>193</v>
      </c>
      <c r="C38" s="13" t="s">
        <v>14</v>
      </c>
      <c r="D38" s="14"/>
      <c r="E38" s="14"/>
    </row>
    <row r="39" spans="1:5">
      <c r="A39" s="13">
        <v>4001321400</v>
      </c>
      <c r="B39" s="13" t="s">
        <v>194</v>
      </c>
      <c r="C39" s="13" t="s">
        <v>14</v>
      </c>
      <c r="D39" s="14"/>
      <c r="E39" s="14"/>
    </row>
    <row r="40" spans="1:5">
      <c r="A40" s="13">
        <v>4001321410</v>
      </c>
      <c r="B40" s="13" t="s">
        <v>195</v>
      </c>
      <c r="C40" s="13" t="s">
        <v>14</v>
      </c>
      <c r="D40" s="14"/>
      <c r="E40" s="14"/>
    </row>
    <row r="41" spans="1:5">
      <c r="A41" s="13">
        <v>4001390370</v>
      </c>
      <c r="B41" s="13" t="s">
        <v>199</v>
      </c>
      <c r="C41" s="13" t="s">
        <v>14</v>
      </c>
      <c r="D41" s="14">
        <v>37353.228609999998</v>
      </c>
      <c r="E41" s="14">
        <v>8481.1897399999998</v>
      </c>
    </row>
    <row r="42" spans="1:5">
      <c r="A42" s="13">
        <v>4001390380</v>
      </c>
      <c r="B42" s="13" t="s">
        <v>200</v>
      </c>
      <c r="C42" s="13" t="s">
        <v>14</v>
      </c>
      <c r="D42" s="14">
        <v>54373.214939999998</v>
      </c>
      <c r="E42" s="14">
        <v>53406.044600000001</v>
      </c>
    </row>
    <row r="43" spans="1:5">
      <c r="A43" s="13">
        <v>4001390470</v>
      </c>
      <c r="B43" s="13" t="s">
        <v>201</v>
      </c>
      <c r="C43" s="13" t="s">
        <v>14</v>
      </c>
      <c r="D43" s="14">
        <v>12373.72471</v>
      </c>
      <c r="E43" s="14">
        <v>40278.593229999999</v>
      </c>
    </row>
    <row r="44" spans="1:5">
      <c r="A44" s="13">
        <v>4001330680</v>
      </c>
      <c r="B44" s="13" t="s">
        <v>189</v>
      </c>
      <c r="C44" s="13" t="s">
        <v>14</v>
      </c>
      <c r="D44" s="14"/>
      <c r="E44" s="14"/>
    </row>
    <row r="45" spans="1:5">
      <c r="A45" s="13">
        <v>4001330690</v>
      </c>
      <c r="B45" s="13" t="s">
        <v>190</v>
      </c>
      <c r="C45" s="13" t="s">
        <v>14</v>
      </c>
      <c r="D45" s="14"/>
      <c r="E45" s="14"/>
    </row>
    <row r="46" spans="1:5">
      <c r="A46" s="13">
        <v>4001330700</v>
      </c>
      <c r="B46" s="13" t="s">
        <v>191</v>
      </c>
      <c r="C46" s="13" t="s">
        <v>14</v>
      </c>
      <c r="D46" s="14"/>
      <c r="E46" s="14"/>
    </row>
    <row r="47" spans="1:5">
      <c r="A47" s="13">
        <v>4001330710</v>
      </c>
      <c r="B47" s="13" t="s">
        <v>192</v>
      </c>
      <c r="C47" s="13" t="s">
        <v>14</v>
      </c>
      <c r="D47" s="14">
        <v>-4646.2616200000002</v>
      </c>
      <c r="E47" s="14">
        <v>-4646.2616200000002</v>
      </c>
    </row>
    <row r="48" spans="1:5">
      <c r="A48" s="13">
        <v>4001330720</v>
      </c>
      <c r="B48" s="13" t="s">
        <v>193</v>
      </c>
      <c r="C48" s="13" t="s">
        <v>14</v>
      </c>
      <c r="D48" s="14"/>
      <c r="E48" s="14"/>
    </row>
    <row r="49" spans="1:5">
      <c r="A49" s="13">
        <v>4001330730</v>
      </c>
      <c r="B49" s="13" t="s">
        <v>194</v>
      </c>
      <c r="C49" s="13" t="s">
        <v>14</v>
      </c>
      <c r="D49" s="14"/>
      <c r="E49" s="14"/>
    </row>
    <row r="50" spans="1:5">
      <c r="A50" s="13">
        <v>4001330740</v>
      </c>
      <c r="B50" s="13" t="s">
        <v>195</v>
      </c>
      <c r="C50" s="13" t="s">
        <v>14</v>
      </c>
      <c r="D50" s="14"/>
      <c r="E50" s="14"/>
    </row>
    <row r="51" spans="1:5">
      <c r="A51" s="13">
        <v>4001340000</v>
      </c>
      <c r="B51" s="13" t="s">
        <v>202</v>
      </c>
      <c r="C51" s="13" t="s">
        <v>14</v>
      </c>
      <c r="D51" s="14"/>
      <c r="E51" s="14"/>
    </row>
    <row r="52" spans="1:5">
      <c r="A52" s="13">
        <v>4001340010</v>
      </c>
      <c r="B52" s="13" t="s">
        <v>203</v>
      </c>
      <c r="C52" s="13" t="s">
        <v>14</v>
      </c>
      <c r="D52" s="14"/>
      <c r="E52" s="14"/>
    </row>
    <row r="53" spans="1:5">
      <c r="A53" s="13">
        <v>4001340020</v>
      </c>
      <c r="B53" s="13" t="s">
        <v>204</v>
      </c>
      <c r="C53" s="13" t="s">
        <v>14</v>
      </c>
      <c r="D53" s="14">
        <v>-223.97663</v>
      </c>
      <c r="E53" s="14">
        <v>570.86887999999999</v>
      </c>
    </row>
    <row r="54" spans="1:5">
      <c r="A54" s="13">
        <v>4001340030</v>
      </c>
      <c r="B54" s="13" t="s">
        <v>205</v>
      </c>
      <c r="C54" s="13" t="s">
        <v>14</v>
      </c>
      <c r="D54" s="14">
        <v>-9716.3338999999996</v>
      </c>
      <c r="E54" s="14">
        <v>11868.74705</v>
      </c>
    </row>
    <row r="55" spans="1:5">
      <c r="A55" s="13">
        <v>4001340040</v>
      </c>
      <c r="B55" s="13" t="s">
        <v>206</v>
      </c>
      <c r="C55" s="13" t="s">
        <v>14</v>
      </c>
      <c r="D55" s="14">
        <v>23330.437999999998</v>
      </c>
      <c r="E55" s="14">
        <v>13614.1041</v>
      </c>
    </row>
    <row r="56" spans="1:5">
      <c r="A56" s="13">
        <v>4001340050</v>
      </c>
      <c r="B56" s="13" t="s">
        <v>207</v>
      </c>
      <c r="C56" s="13" t="s">
        <v>14</v>
      </c>
      <c r="D56" s="14">
        <v>13614.1041</v>
      </c>
      <c r="E56" s="14">
        <v>25482.851149999999</v>
      </c>
    </row>
    <row r="57" spans="1:5">
      <c r="A57" s="1"/>
      <c r="B57" s="1"/>
      <c r="C57" s="1"/>
      <c r="D57" s="14"/>
      <c r="E57" s="14"/>
    </row>
    <row r="58" spans="1:5">
      <c r="D58" s="15"/>
      <c r="E58" s="15"/>
    </row>
    <row r="59" spans="1:5">
      <c r="D59" s="15"/>
      <c r="E59" s="15"/>
    </row>
    <row r="60" spans="1:5">
      <c r="D60" s="15"/>
      <c r="E60" s="15"/>
    </row>
  </sheetData>
  <phoneticPr fontId="3" type="noConversion"/>
  <dataValidations count="7">
    <dataValidation type="list" allowBlank="1" showInputMessage="1" sqref="B5" xr:uid="{DC62C91C-706D-4AD4-ACFA-6945C63736C4}">
      <formula1>"전체,재무상태표,손익계산서,현금흐름표,자본금변동표"</formula1>
    </dataValidation>
    <dataValidation type="list" allowBlank="1" showInputMessage="1" sqref="B6" xr:uid="{4FA939FB-0692-4CC6-A02E-9494AF788ED2}">
      <formula1>"상세(총액),상세(순액),요약,약식"</formula1>
    </dataValidation>
    <dataValidation type="list" allowBlank="1" showInputMessage="1" sqref="B7" xr:uid="{965CAE63-B219-42CC-BB46-D041DE6CEAE2}">
      <formula1>"결산,누적분기,당분기"</formula1>
    </dataValidation>
    <dataValidation type="list" allowBlank="1" showInputMessage="1" sqref="C7" xr:uid="{E7EF9053-F18F-42AD-9512-417720CC7B39}">
      <formula1>"천원,백만원,억원,십억원"</formula1>
    </dataValidation>
    <dataValidation type="list" allowBlank="1" showInputMessage="1" sqref="B4" xr:uid="{99A5791B-A302-409F-857C-CC3446ED1A7E}">
      <formula1>"별도,연결"</formula1>
    </dataValidation>
    <dataValidation type="list" allowBlank="1" showInputMessage="1" sqref="B8" xr:uid="{678B7398-E931-433F-878F-E4904149B93F}">
      <formula1>"1983,1984,1985,1986,1987,1988,1989,1990,1991,1992,1993,1994,1995,1996,1997,1998,1999,2000,2001,2002,2003,2004,2005,2006,2007,2008,2009,2010,2011,2012,2013,2014,2015,2016,2017,2018,2019,2020,2021,2022,2023,2024,2025"</formula1>
    </dataValidation>
    <dataValidation type="list" allowBlank="1" showInputMessage="1" sqref="C8" xr:uid="{4F848A65-9FA5-4CA4-814F-8164E3C2BFC7}">
      <formula1>"1983,1984,1985,1986,1987,1988,1989,1990,1991,1992,1993,1994,1995,1996,1997,1998,1999,2000,2001,2002,2003,2004,2005,2006,2007,2008,2009,2010,2011,2012,2013,2014,2015,2016,2017,2018,2019,2020,2021,2022,2023,2024,2025,Current"</formula1>
    </dataValidation>
  </dataValidation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16</vt:i4>
      </vt:variant>
    </vt:vector>
  </HeadingPairs>
  <TitlesOfParts>
    <vt:vector size="16" baseType="lpstr">
      <vt:lpstr>Valuation</vt:lpstr>
      <vt:lpstr>Expected IS</vt:lpstr>
      <vt:lpstr>매출 추정</vt:lpstr>
      <vt:lpstr>PER</vt:lpstr>
      <vt:lpstr>DCF&gt;&gt;&gt;</vt:lpstr>
      <vt:lpstr>WACC</vt:lpstr>
      <vt:lpstr>Change in NWC</vt:lpstr>
      <vt:lpstr>FA Schedule</vt:lpstr>
      <vt:lpstr>비용 추정</vt:lpstr>
      <vt:lpstr>RAW DATA&gt;&gt;&gt;</vt:lpstr>
      <vt:lpstr>IS(Quaterly)</vt:lpstr>
      <vt:lpstr>IS(Yearly)</vt:lpstr>
      <vt:lpstr>BS(Quaterly)</vt:lpstr>
      <vt:lpstr>BS(Yearly)</vt:lpstr>
      <vt:lpstr>CF(Quaterly)</vt:lpstr>
      <vt:lpstr>CF(Yearly)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채현기</dc:creator>
  <cp:lastModifiedBy>채현기</cp:lastModifiedBy>
  <cp:lastPrinted>2025-11-25T08:28:41Z</cp:lastPrinted>
  <dcterms:created xsi:type="dcterms:W3CDTF">2025-11-23T08:28:09Z</dcterms:created>
  <dcterms:modified xsi:type="dcterms:W3CDTF">2025-12-01T04:41:11Z</dcterms:modified>
</cp:coreProperties>
</file>