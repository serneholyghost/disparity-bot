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202300"/>
  <mc:AlternateContent xmlns:mc="http://schemas.openxmlformats.org/markup-compatibility/2006">
    <mc:Choice Requires="x15">
      <x15ac:absPath xmlns:x15ac="http://schemas.microsoft.com/office/spreadsheetml/2010/11/ac" url="C:\Users\채현기\Desktop\RFS\25-2\25-2_0차_투자제안서\CJ제일제당\"/>
    </mc:Choice>
  </mc:AlternateContent>
  <xr:revisionPtr revIDLastSave="0" documentId="13_ncr:1_{C0C57431-352F-469B-9FC9-CCC995086E55}" xr6:coauthVersionLast="47" xr6:coauthVersionMax="47" xr10:uidLastSave="{00000000-0000-0000-0000-000000000000}"/>
  <bookViews>
    <workbookView xWindow="11424" yWindow="0" windowWidth="11712" windowHeight="13056" activeTab="1" xr2:uid="{D1396E1B-2B58-4C1C-A48E-C1FF9FAC3ED1}"/>
  </bookViews>
  <sheets>
    <sheet name="Estimation&gt;&gt;&gt;" sheetId="8" r:id="rId1"/>
    <sheet name="Valuation" sheetId="7" r:id="rId2"/>
    <sheet name="Expected IS" sheetId="5" r:id="rId3"/>
    <sheet name="사업부별 매출추정" sheetId="6" r:id="rId4"/>
    <sheet name="RAWDATA&gt;&gt;&gt;" sheetId="4" r:id="rId5"/>
    <sheet name="IS" sheetId="1" r:id="rId6"/>
    <sheet name="BS" sheetId="2" r:id="rId7"/>
    <sheet name="CF"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6" l="1"/>
  <c r="P14" i="6"/>
  <c r="P13" i="6"/>
  <c r="J13" i="6" s="1"/>
  <c r="K13" i="6" s="1"/>
  <c r="L13" i="6" s="1"/>
  <c r="M13" i="6" s="1"/>
  <c r="N13" i="6" s="1"/>
  <c r="O13" i="6" s="1"/>
  <c r="J14" i="6"/>
  <c r="K14" i="6" s="1"/>
  <c r="L14" i="6" s="1"/>
  <c r="M14" i="6" s="1"/>
  <c r="N14" i="6" s="1"/>
  <c r="O14" i="6" s="1"/>
  <c r="C10" i="7"/>
  <c r="P22" i="6"/>
  <c r="E7" i="6"/>
  <c r="F7" i="6"/>
  <c r="G7" i="6"/>
  <c r="H7" i="6"/>
  <c r="I7" i="6"/>
  <c r="D7" i="6"/>
  <c r="P22" i="5"/>
  <c r="Q22" i="5"/>
  <c r="E20" i="5"/>
  <c r="F20" i="5"/>
  <c r="G20" i="5"/>
  <c r="H20" i="5"/>
  <c r="I20" i="5"/>
  <c r="D20" i="5"/>
  <c r="E19" i="5"/>
  <c r="F19" i="5"/>
  <c r="G19" i="5"/>
  <c r="H19" i="5"/>
  <c r="I19" i="5"/>
  <c r="D19" i="5"/>
  <c r="E17" i="5"/>
  <c r="F17" i="5"/>
  <c r="G17" i="5"/>
  <c r="H17" i="5"/>
  <c r="I17" i="5"/>
  <c r="D17" i="5"/>
  <c r="E23" i="5"/>
  <c r="F23" i="5"/>
  <c r="G23" i="5"/>
  <c r="H23" i="5"/>
  <c r="I23" i="5"/>
  <c r="D23" i="5"/>
  <c r="E21" i="5"/>
  <c r="F21" i="5"/>
  <c r="G21" i="5"/>
  <c r="H21" i="5"/>
  <c r="I21" i="5"/>
  <c r="E22" i="5"/>
  <c r="F22" i="5"/>
  <c r="G22" i="5"/>
  <c r="H22" i="5"/>
  <c r="I22" i="5"/>
  <c r="J22" i="5" s="1"/>
  <c r="K22" i="5" s="1"/>
  <c r="L22" i="5" s="1"/>
  <c r="M22" i="5" s="1"/>
  <c r="N22" i="5" s="1"/>
  <c r="O22" i="5" s="1"/>
  <c r="D22" i="5"/>
  <c r="D21" i="5"/>
  <c r="E18" i="5"/>
  <c r="F18" i="5"/>
  <c r="G18" i="5"/>
  <c r="H18" i="5"/>
  <c r="I18" i="5"/>
  <c r="D18" i="5"/>
  <c r="E16" i="5"/>
  <c r="F16" i="5"/>
  <c r="G16" i="5"/>
  <c r="H16" i="5"/>
  <c r="I16" i="5"/>
  <c r="J16" i="5" s="1"/>
  <c r="D16" i="5"/>
  <c r="E10" i="5"/>
  <c r="F10" i="5"/>
  <c r="G10" i="5"/>
  <c r="H10" i="5"/>
  <c r="I10" i="5"/>
  <c r="D10" i="5"/>
  <c r="E8" i="5"/>
  <c r="F8" i="5"/>
  <c r="G8" i="5"/>
  <c r="H8" i="5"/>
  <c r="I8" i="5"/>
  <c r="D8" i="5"/>
  <c r="E14" i="5"/>
  <c r="F14" i="5"/>
  <c r="G14" i="5"/>
  <c r="H14" i="5"/>
  <c r="I14" i="5"/>
  <c r="D14" i="5"/>
  <c r="E12" i="5"/>
  <c r="F12" i="5"/>
  <c r="G12" i="5"/>
  <c r="H12" i="5"/>
  <c r="I12" i="5"/>
  <c r="D12" i="5"/>
  <c r="E7" i="5"/>
  <c r="F7" i="5"/>
  <c r="G7" i="5"/>
  <c r="G13" i="5" s="1"/>
  <c r="H7" i="5"/>
  <c r="H11" i="5" s="1"/>
  <c r="I7" i="5"/>
  <c r="D7" i="5"/>
  <c r="F24" i="5" l="1"/>
  <c r="E9" i="5"/>
  <c r="E11" i="5"/>
  <c r="H15" i="5"/>
  <c r="I15" i="5"/>
  <c r="D13" i="5"/>
  <c r="D24" i="5"/>
  <c r="I13" i="5"/>
  <c r="G24" i="5"/>
  <c r="F15" i="5"/>
  <c r="I24" i="5"/>
  <c r="J20" i="5"/>
  <c r="K20" i="5" s="1"/>
  <c r="J18" i="5"/>
  <c r="E15" i="5"/>
  <c r="H13" i="5"/>
  <c r="H24" i="5"/>
  <c r="G9" i="5"/>
  <c r="G11" i="5"/>
  <c r="J19" i="5"/>
  <c r="J17" i="5"/>
  <c r="K17" i="5" s="1"/>
  <c r="D15" i="5"/>
  <c r="G15" i="5"/>
  <c r="K16" i="5"/>
  <c r="F13" i="5"/>
  <c r="E13" i="5"/>
  <c r="F9" i="5"/>
  <c r="D9" i="5"/>
  <c r="E24" i="5"/>
  <c r="F11" i="5"/>
  <c r="I9" i="5"/>
  <c r="D11" i="5"/>
  <c r="I11" i="5"/>
  <c r="H9" i="5"/>
  <c r="J22" i="6"/>
  <c r="K18" i="5" l="1"/>
  <c r="P18" i="5" s="1"/>
  <c r="P20" i="5"/>
  <c r="P17" i="5"/>
  <c r="L20" i="5"/>
  <c r="L16" i="5"/>
  <c r="M16" i="5" s="1"/>
  <c r="P16" i="5"/>
  <c r="L17" i="5"/>
  <c r="K19" i="5"/>
  <c r="L19" i="5" s="1"/>
  <c r="J21" i="6"/>
  <c r="K21" i="6" s="1"/>
  <c r="J24" i="6"/>
  <c r="K24" i="6" s="1"/>
  <c r="J23" i="6"/>
  <c r="L18" i="5" l="1"/>
  <c r="M18" i="5" s="1"/>
  <c r="N18" i="5" s="1"/>
  <c r="J20" i="6"/>
  <c r="M20" i="5"/>
  <c r="P19" i="5"/>
  <c r="N20" i="5"/>
  <c r="O20" i="5" s="1"/>
  <c r="M19" i="5"/>
  <c r="N19" i="5" s="1"/>
  <c r="O19" i="5" s="1"/>
  <c r="M17" i="5"/>
  <c r="N17" i="5" s="1"/>
  <c r="N16" i="5"/>
  <c r="O16" i="5" s="1"/>
  <c r="O18" i="5"/>
  <c r="Q18" i="5" s="1"/>
  <c r="L24" i="6"/>
  <c r="M24" i="6" s="1"/>
  <c r="K23" i="6"/>
  <c r="L21" i="6"/>
  <c r="P18" i="6"/>
  <c r="J18" i="6" s="1"/>
  <c r="Q16" i="5" l="1"/>
  <c r="Q20" i="5"/>
  <c r="Q19" i="5"/>
  <c r="O17" i="5"/>
  <c r="N24" i="6"/>
  <c r="O24" i="6" s="1"/>
  <c r="L23" i="6"/>
  <c r="M21" i="6"/>
  <c r="N21" i="6" s="1"/>
  <c r="Q17" i="5" l="1"/>
  <c r="O21" i="6"/>
  <c r="M23" i="6"/>
  <c r="N23" i="6" s="1"/>
  <c r="O23" i="6" l="1"/>
  <c r="P12" i="6" l="1"/>
  <c r="P11" i="6"/>
  <c r="E9" i="6"/>
  <c r="F9" i="6"/>
  <c r="G9" i="6"/>
  <c r="H9" i="6"/>
  <c r="I9" i="6"/>
  <c r="P16" i="6"/>
  <c r="K22" i="6" s="1"/>
  <c r="L22" i="6" l="1"/>
  <c r="K20" i="6"/>
  <c r="J16" i="6"/>
  <c r="K16" i="6" s="1"/>
  <c r="L16" i="6" s="1"/>
  <c r="M16" i="6" s="1"/>
  <c r="N16" i="6" s="1"/>
  <c r="O16" i="6" s="1"/>
  <c r="J11" i="6"/>
  <c r="J12" i="6"/>
  <c r="K12" i="6" s="1"/>
  <c r="L12" i="6" s="1"/>
  <c r="M12" i="6" s="1"/>
  <c r="N12" i="6" s="1"/>
  <c r="O12" i="6" s="1"/>
  <c r="K11" i="6"/>
  <c r="M22" i="6" l="1"/>
  <c r="L20" i="6"/>
  <c r="K18" i="6"/>
  <c r="J10" i="6"/>
  <c r="J9" i="6" s="1"/>
  <c r="J7" i="6" s="1"/>
  <c r="L11" i="6"/>
  <c r="K10" i="6"/>
  <c r="K9" i="6" s="1"/>
  <c r="N22" i="6" l="1"/>
  <c r="M20" i="6"/>
  <c r="L18" i="6"/>
  <c r="K7" i="6"/>
  <c r="K7" i="5" s="1"/>
  <c r="J7" i="5"/>
  <c r="M11" i="6"/>
  <c r="L10" i="6"/>
  <c r="L9" i="6" s="1"/>
  <c r="J14" i="5" l="1"/>
  <c r="J12" i="5"/>
  <c r="P7" i="5"/>
  <c r="J10" i="5"/>
  <c r="J8" i="5"/>
  <c r="K14" i="5"/>
  <c r="K21" i="5" s="1"/>
  <c r="K23" i="5" s="1"/>
  <c r="K24" i="5" s="1"/>
  <c r="K12" i="5"/>
  <c r="K10" i="5"/>
  <c r="K8" i="5"/>
  <c r="O22" i="6"/>
  <c r="O20" i="6" s="1"/>
  <c r="N20" i="6"/>
  <c r="M18" i="6"/>
  <c r="L7" i="6"/>
  <c r="L7" i="5" s="1"/>
  <c r="N11" i="6"/>
  <c r="M10" i="6"/>
  <c r="M9" i="6" s="1"/>
  <c r="P12" i="5" l="1"/>
  <c r="P13" i="5" s="1"/>
  <c r="P8" i="5"/>
  <c r="P9" i="5" s="1"/>
  <c r="P10" i="5"/>
  <c r="P11" i="5" s="1"/>
  <c r="L8" i="5"/>
  <c r="L10" i="5"/>
  <c r="L12" i="5"/>
  <c r="L14" i="5"/>
  <c r="P14" i="5"/>
  <c r="P15" i="5" s="1"/>
  <c r="J21" i="5"/>
  <c r="N18" i="6"/>
  <c r="M7" i="6"/>
  <c r="M7" i="5" s="1"/>
  <c r="O11" i="6"/>
  <c r="O10" i="6" s="1"/>
  <c r="O9" i="6" s="1"/>
  <c r="N10" i="6"/>
  <c r="N9" i="6" s="1"/>
  <c r="M12" i="5" l="1"/>
  <c r="M10" i="5"/>
  <c r="M14" i="5"/>
  <c r="M21" i="5" s="1"/>
  <c r="M23" i="5" s="1"/>
  <c r="M24" i="5" s="1"/>
  <c r="M8" i="5"/>
  <c r="L21" i="5"/>
  <c r="J23" i="5"/>
  <c r="P21" i="5"/>
  <c r="O18" i="6"/>
  <c r="O7" i="6" s="1"/>
  <c r="N7" i="6"/>
  <c r="N7" i="5" s="1"/>
  <c r="J24" i="5" l="1"/>
  <c r="P23" i="5"/>
  <c r="P24" i="5" s="1"/>
  <c r="L23" i="5"/>
  <c r="N10" i="5"/>
  <c r="N14" i="5"/>
  <c r="N8" i="5"/>
  <c r="N12" i="5"/>
  <c r="O7" i="5"/>
  <c r="O12" i="5" l="1"/>
  <c r="Q12" i="5" s="1"/>
  <c r="O8" i="5"/>
  <c r="Q8" i="5" s="1"/>
  <c r="O14" i="5"/>
  <c r="O21" i="5" s="1"/>
  <c r="O23" i="5" s="1"/>
  <c r="O24" i="5" s="1"/>
  <c r="O10" i="5"/>
  <c r="Q10" i="5" s="1"/>
  <c r="Q7" i="5"/>
  <c r="N21" i="5"/>
  <c r="L24" i="5"/>
  <c r="Q14" i="5" l="1"/>
  <c r="Q15" i="5" s="1"/>
  <c r="Q11" i="5"/>
  <c r="Q13" i="5"/>
  <c r="N23" i="5"/>
  <c r="Q21" i="5"/>
  <c r="Q9" i="5"/>
  <c r="N24" i="5" l="1"/>
  <c r="Q23" i="5"/>
  <c r="C7" i="7" s="1"/>
  <c r="Q24" i="5" l="1"/>
  <c r="C9" i="7" l="1"/>
  <c r="C11" i="7" s="1"/>
  <c r="C13" i="7" s="1"/>
  <c r="C15"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3" authorId="0" shapeId="0" xr:uid="{32E381DA-F604-451D-9704-082B5D375445}">
      <text>
        <r>
          <rPr>
            <sz val="8"/>
            <color indexed="54"/>
            <rFont val="Tahoma"/>
            <family val="2"/>
          </rPr>
          <t>별도
연결</t>
        </r>
      </text>
    </comment>
    <comment ref="B4" authorId="0" shapeId="0" xr:uid="{74A7AB74-2862-4395-8224-986BE6DD48A6}">
      <text>
        <r>
          <rPr>
            <sz val="8"/>
            <color indexed="54"/>
            <rFont val="Tahoma"/>
            <family val="2"/>
          </rPr>
          <t>전체
재무상태표
손익계산서
현금흐름표
자본금변동표</t>
        </r>
      </text>
    </comment>
    <comment ref="B5" authorId="0" shapeId="0" xr:uid="{48C46782-2DF8-46A0-9D45-A7692BF455F1}">
      <text>
        <r>
          <rPr>
            <sz val="8"/>
            <color indexed="54"/>
            <rFont val="Tahoma"/>
            <family val="2"/>
          </rPr>
          <t>상세(총액)
상세(순액)
요약
약식</t>
        </r>
      </text>
    </comment>
    <comment ref="B6" authorId="0" shapeId="0" xr:uid="{B48FF63A-2938-4899-BF41-281E9DAC5301}">
      <text>
        <r>
          <rPr>
            <sz val="8"/>
            <color indexed="54"/>
            <rFont val="Tahoma"/>
            <family val="2"/>
          </rPr>
          <t>결산
누적분기
당분기</t>
        </r>
      </text>
    </comment>
    <comment ref="C6" authorId="0" shapeId="0" xr:uid="{7B1378A2-4BF6-468E-8D37-C59B6030A40B}">
      <text>
        <r>
          <rPr>
            <sz val="8"/>
            <color indexed="54"/>
            <rFont val="Tahoma"/>
            <family val="2"/>
          </rPr>
          <t>천원
백만원
억원
십억원</t>
        </r>
      </text>
    </comment>
    <comment ref="B7" authorId="0" shapeId="0" xr:uid="{4EFA2516-2F2D-48C8-B002-54D8A1B0C98E}">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7" authorId="0" shapeId="0" xr:uid="{DC96432E-AE49-47DD-9610-2E6CEB7056DE}">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3" authorId="0" shapeId="0" xr:uid="{9161F2C0-5E6C-48CB-9E27-4DDB529F57EB}">
      <text>
        <r>
          <rPr>
            <sz val="8"/>
            <color indexed="54"/>
            <rFont val="Tahoma"/>
            <family val="2"/>
          </rPr>
          <t>별도
연결</t>
        </r>
      </text>
    </comment>
    <comment ref="B4" authorId="0" shapeId="0" xr:uid="{010C4864-1E0E-492E-9E47-BADBE126BEAA}">
      <text>
        <r>
          <rPr>
            <sz val="8"/>
            <color indexed="54"/>
            <rFont val="Tahoma"/>
            <family val="2"/>
          </rPr>
          <t>전체
재무상태표
손익계산서
현금흐름표
자본금변동표</t>
        </r>
      </text>
    </comment>
    <comment ref="B5" authorId="0" shapeId="0" xr:uid="{0A5724ED-9A51-4FA1-93A9-675F4CB5CB02}">
      <text>
        <r>
          <rPr>
            <sz val="8"/>
            <color indexed="54"/>
            <rFont val="Tahoma"/>
            <family val="2"/>
          </rPr>
          <t>상세(총액)
상세(순액)
요약
약식</t>
        </r>
      </text>
    </comment>
    <comment ref="B6" authorId="0" shapeId="0" xr:uid="{900B8124-947E-4676-965C-DAC987E6B9D1}">
      <text>
        <r>
          <rPr>
            <sz val="8"/>
            <color indexed="54"/>
            <rFont val="Tahoma"/>
            <family val="2"/>
          </rPr>
          <t>결산
누적분기
당분기</t>
        </r>
      </text>
    </comment>
    <comment ref="C6" authorId="0" shapeId="0" xr:uid="{EE0B9D2C-C2FE-4569-B88E-E4E9BDBAF92A}">
      <text>
        <r>
          <rPr>
            <sz val="8"/>
            <color indexed="54"/>
            <rFont val="Tahoma"/>
            <family val="2"/>
          </rPr>
          <t>천원
백만원
억원
십억원</t>
        </r>
      </text>
    </comment>
    <comment ref="B7" authorId="0" shapeId="0" xr:uid="{08D2A1EF-579B-4BE8-86A9-D074C3E2C0A5}">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7" authorId="0" shapeId="0" xr:uid="{309F9715-A955-4020-97DA-CF20C6E98B84}">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3" authorId="0" shapeId="0" xr:uid="{DA395190-0610-4845-8024-967A206083FE}">
      <text>
        <r>
          <rPr>
            <sz val="8"/>
            <color indexed="54"/>
            <rFont val="Tahoma"/>
            <family val="2"/>
          </rPr>
          <t>별도
연결</t>
        </r>
      </text>
    </comment>
    <comment ref="B4" authorId="0" shapeId="0" xr:uid="{7BFDB861-B209-4C7D-B381-2CE671F8E145}">
      <text>
        <r>
          <rPr>
            <sz val="8"/>
            <color indexed="54"/>
            <rFont val="Tahoma"/>
            <family val="2"/>
          </rPr>
          <t>전체
재무상태표
손익계산서
현금흐름표
자본금변동표</t>
        </r>
      </text>
    </comment>
    <comment ref="B5" authorId="0" shapeId="0" xr:uid="{AC00DC05-729F-4013-A813-7BFB9C9A2C71}">
      <text>
        <r>
          <rPr>
            <sz val="8"/>
            <color indexed="54"/>
            <rFont val="Tahoma"/>
            <family val="2"/>
          </rPr>
          <t>상세(총액)
상세(순액)
요약
약식</t>
        </r>
      </text>
    </comment>
    <comment ref="B6" authorId="0" shapeId="0" xr:uid="{EF924CB2-9710-4CAD-BF7E-1EF5C6E1F4D4}">
      <text>
        <r>
          <rPr>
            <sz val="8"/>
            <color indexed="54"/>
            <rFont val="Tahoma"/>
            <family val="2"/>
          </rPr>
          <t>결산
누적분기
당분기</t>
        </r>
      </text>
    </comment>
    <comment ref="C6" authorId="0" shapeId="0" xr:uid="{BE3BEB97-8117-4053-8C59-B4BBC66C8BBA}">
      <text>
        <r>
          <rPr>
            <sz val="8"/>
            <color indexed="54"/>
            <rFont val="Tahoma"/>
            <family val="2"/>
          </rPr>
          <t>천원
백만원
억원
십억원</t>
        </r>
      </text>
    </comment>
    <comment ref="B7" authorId="0" shapeId="0" xr:uid="{EFA79982-C1D1-4E53-A0D7-19DFFF81784D}">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7" authorId="0" shapeId="0" xr:uid="{85554C18-B810-43CC-8745-3A3F0F7008CB}">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sharedStrings.xml><?xml version="1.0" encoding="utf-8"?>
<sst xmlns="http://schemas.openxmlformats.org/spreadsheetml/2006/main" count="674" uniqueCount="323">
  <si>
    <t>Financial Statements</t>
  </si>
  <si>
    <t>Accounting Std.</t>
  </si>
  <si>
    <t>New</t>
  </si>
  <si>
    <t>Company</t>
  </si>
  <si>
    <t>Type</t>
  </si>
  <si>
    <t>Report</t>
  </si>
  <si>
    <t>Form</t>
  </si>
  <si>
    <t>Output</t>
  </si>
  <si>
    <t>계정코드</t>
  </si>
  <si>
    <t>계정명</t>
  </si>
  <si>
    <t>단위</t>
  </si>
  <si>
    <t>IFRS(연결)</t>
  </si>
  <si>
    <t>자산(*)</t>
  </si>
  <si>
    <t xml:space="preserve">    유동자산(*)</t>
  </si>
  <si>
    <t xml:space="preserve">        재고자산(*)</t>
  </si>
  <si>
    <t xml:space="preserve">        유동생물자산(*)</t>
  </si>
  <si>
    <t xml:space="preserve">        유동금융자산(*)</t>
  </si>
  <si>
    <t xml:space="preserve">        매출채권및기타유동채권(*)</t>
  </si>
  <si>
    <t xml:space="preserve">        당기법인세자산(선급법인세)</t>
  </si>
  <si>
    <t xml:space="preserve">        계약자산(**)</t>
  </si>
  <si>
    <t xml:space="preserve">        반품(환불)자산</t>
  </si>
  <si>
    <t xml:space="preserve">        배출권</t>
  </si>
  <si>
    <t xml:space="preserve">        기타유동자산(*)</t>
  </si>
  <si>
    <t xml:space="preserve">        현금및현금성자산(*)</t>
  </si>
  <si>
    <t xml:space="preserve">        매각예정비유동자산및처분자산집단(*)</t>
  </si>
  <si>
    <t xml:space="preserve">    비유동자산(*)</t>
  </si>
  <si>
    <t xml:space="preserve">        유형자산(*)</t>
  </si>
  <si>
    <t xml:space="preserve">        무형자산(*)</t>
  </si>
  <si>
    <t xml:space="preserve">        비유동생물자산(*)</t>
  </si>
  <si>
    <t xml:space="preserve">        투자부동산(*)</t>
  </si>
  <si>
    <t xml:space="preserve">        장기금융자산(*)</t>
  </si>
  <si>
    <t xml:space="preserve">        관계기업등지분관련투자자산(*)</t>
  </si>
  <si>
    <t xml:space="preserve">        장기매출채권및기타비유동채권(*)</t>
  </si>
  <si>
    <t xml:space="preserve">        이연법인세자산</t>
  </si>
  <si>
    <t xml:space="preserve">        장기당기법인세자산</t>
  </si>
  <si>
    <t xml:space="preserve">        기타비유동자산(*)</t>
  </si>
  <si>
    <t xml:space="preserve">    기타금융업자산</t>
  </si>
  <si>
    <t>부채(*)</t>
  </si>
  <si>
    <t xml:space="preserve">    유동부채(*)</t>
  </si>
  <si>
    <t xml:space="preserve">        단기사채(**)</t>
  </si>
  <si>
    <t xml:space="preserve">        단기차입금(*)</t>
  </si>
  <si>
    <t xml:space="preserve">        유동성장기부채(*)</t>
  </si>
  <si>
    <t xml:space="preserve">        유동금융부채(*)</t>
  </si>
  <si>
    <t xml:space="preserve">        매입채무및기타유동채무(*)</t>
  </si>
  <si>
    <t xml:space="preserve">        유동종업원급여충당부채(*)</t>
  </si>
  <si>
    <t xml:space="preserve">        기타단기충당부채(*)</t>
  </si>
  <si>
    <t xml:space="preserve">        당기법인세부채(미지급법인세)</t>
  </si>
  <si>
    <t xml:space="preserve">        계약부채</t>
  </si>
  <si>
    <t xml:space="preserve">        반품(환불)부채</t>
  </si>
  <si>
    <t xml:space="preserve">        배출부채</t>
  </si>
  <si>
    <t xml:space="preserve">        기타유동부채(*)</t>
  </si>
  <si>
    <t xml:space="preserve">        매각예정으로분류된처분자산집단에포함된부채(*)</t>
  </si>
  <si>
    <t xml:space="preserve">    비유동부채(*)</t>
  </si>
  <si>
    <t xml:space="preserve">        사채(*)</t>
  </si>
  <si>
    <t xml:space="preserve">        장기차입금(*)</t>
  </si>
  <si>
    <t xml:space="preserve">        비유동금융부채(*)</t>
  </si>
  <si>
    <t xml:space="preserve">        장기매입채무및기타비유동채무(*)</t>
  </si>
  <si>
    <t xml:space="preserve">        비유동종업원급여충당부채(*)</t>
  </si>
  <si>
    <t xml:space="preserve">        기타장기충당부채(*)</t>
  </si>
  <si>
    <t xml:space="preserve">        이연법인세부채</t>
  </si>
  <si>
    <t xml:space="preserve">        장기당기법인세부채(미지급법인세)(**)</t>
  </si>
  <si>
    <t xml:space="preserve">        기타비유동부채(*)</t>
  </si>
  <si>
    <t xml:space="preserve">    기타금융업부채</t>
  </si>
  <si>
    <t>자본(*)</t>
  </si>
  <si>
    <t>*수권주식수</t>
  </si>
  <si>
    <t>주</t>
  </si>
  <si>
    <t>*주당액면가액</t>
  </si>
  <si>
    <t>원</t>
  </si>
  <si>
    <t>*발행한주식총수(*)</t>
  </si>
  <si>
    <t xml:space="preserve">    *보통주</t>
  </si>
  <si>
    <t xml:space="preserve">    *우선주</t>
  </si>
  <si>
    <t xml:space="preserve">    지배기업주주지분(*)</t>
  </si>
  <si>
    <t xml:space="preserve">        자본금(*)</t>
  </si>
  <si>
    <t xml:space="preserve">        신종자본증권</t>
  </si>
  <si>
    <t xml:space="preserve">        자본잉여금(*)</t>
  </si>
  <si>
    <t xml:space="preserve">        기타자본(*)</t>
  </si>
  <si>
    <t xml:space="preserve">        기타포괄손익누계액(*)</t>
  </si>
  <si>
    <t xml:space="preserve">        이익잉여금(결손금)(*)</t>
  </si>
  <si>
    <t xml:space="preserve">    비지배주주지분</t>
  </si>
  <si>
    <t>Fiscal Year</t>
    <phoneticPr fontId="2" type="noConversion"/>
  </si>
  <si>
    <r>
      <t>A097950(CJ</t>
    </r>
    <r>
      <rPr>
        <sz val="9"/>
        <color rgb="FF325886"/>
        <rFont val="맑은 고딕"/>
        <family val="2"/>
        <charset val="129"/>
        <scheme val="minor"/>
      </rPr>
      <t>제일제당</t>
    </r>
    <r>
      <rPr>
        <sz val="9"/>
        <color rgb="FF325886"/>
        <rFont val="Arial"/>
        <family val="2"/>
      </rPr>
      <t>)  -  Fiscal Month:12,  201103</t>
    </r>
    <r>
      <rPr>
        <sz val="9"/>
        <color rgb="FF325886"/>
        <rFont val="맑은 고딕"/>
        <family val="2"/>
        <charset val="129"/>
        <scheme val="minor"/>
      </rPr>
      <t>부터</t>
    </r>
    <r>
      <rPr>
        <sz val="9"/>
        <color rgb="FF325886"/>
        <rFont val="Arial"/>
        <family val="2"/>
      </rPr>
      <t xml:space="preserve"> IFRS </t>
    </r>
    <r>
      <rPr>
        <sz val="9"/>
        <color rgb="FF325886"/>
        <rFont val="맑은 고딕"/>
        <family val="2"/>
        <charset val="129"/>
        <scheme val="minor"/>
      </rPr>
      <t>적용</t>
    </r>
  </si>
  <si>
    <t>재무상태표</t>
  </si>
  <si>
    <t>약식(COMPARE)</t>
    <phoneticPr fontId="2" type="noConversion"/>
  </si>
  <si>
    <t>결산</t>
  </si>
  <si>
    <t>IFRS</t>
  </si>
  <si>
    <t>연결</t>
  </si>
  <si>
    <t>Current</t>
  </si>
  <si>
    <t>매출액(수익)(*)</t>
  </si>
  <si>
    <t>*수출(*)</t>
  </si>
  <si>
    <t>*내수</t>
  </si>
  <si>
    <t>매출원가(*)</t>
  </si>
  <si>
    <t>매출총이익(손실)</t>
  </si>
  <si>
    <t>판매비와관리비(*)</t>
  </si>
  <si>
    <t xml:space="preserve">    인건비(*)</t>
  </si>
  <si>
    <t xml:space="preserve">    유무형자산상각비(*)</t>
  </si>
  <si>
    <t xml:space="preserve">    연구개발비</t>
  </si>
  <si>
    <t xml:space="preserve">    광고선전비</t>
  </si>
  <si>
    <t xml:space="preserve">    판매비(*)</t>
  </si>
  <si>
    <t xml:space="preserve">    관리비(*)</t>
  </si>
  <si>
    <t xml:space="preserve">    기타원가성비용(*)</t>
  </si>
  <si>
    <t xml:space="preserve">    기타</t>
  </si>
  <si>
    <t>영업이익(손실)</t>
  </si>
  <si>
    <t>금융수익(*)</t>
  </si>
  <si>
    <t xml:space="preserve">    이자수익</t>
  </si>
  <si>
    <t xml:space="preserve">    배당금수익</t>
  </si>
  <si>
    <t xml:space="preserve">    외환이익(*)</t>
  </si>
  <si>
    <t xml:space="preserve">    대손충당금환입액</t>
  </si>
  <si>
    <t xml:space="preserve">    매출채권처분이익</t>
  </si>
  <si>
    <t xml:space="preserve">    당기손익-공정가치측정 금융자산관련이익</t>
  </si>
  <si>
    <t xml:space="preserve">    금융자산처분이익(*)</t>
  </si>
  <si>
    <t xml:space="preserve">    금융자산평가이익(*)</t>
  </si>
  <si>
    <t xml:space="preserve">    금융자산손상차손환입(*)</t>
  </si>
  <si>
    <t xml:space="preserve">    파생상품이익(*)</t>
  </si>
  <si>
    <t xml:space="preserve">    기타금융수익(*)</t>
  </si>
  <si>
    <t>금융원가(*)</t>
  </si>
  <si>
    <t xml:space="preserve">    이자비용</t>
  </si>
  <si>
    <t xml:space="preserve">    외환손실(*)</t>
  </si>
  <si>
    <t xml:space="preserve">    대손상각비</t>
  </si>
  <si>
    <t xml:space="preserve">    당기손익-공정가치측정 금융자산관련손실</t>
  </si>
  <si>
    <t xml:space="preserve">    매출채권처분손실</t>
  </si>
  <si>
    <t xml:space="preserve">    금융자산처분손실(*)</t>
  </si>
  <si>
    <t xml:space="preserve">    금융자산평가손실(*)</t>
  </si>
  <si>
    <t xml:space="preserve">    금융자산손상차손(*)</t>
  </si>
  <si>
    <t xml:space="preserve">    파생상품손실(*)</t>
  </si>
  <si>
    <t xml:space="preserve">    기타금융원가(*)</t>
  </si>
  <si>
    <t>기타수익(*)</t>
  </si>
  <si>
    <t xml:space="preserve">    재고자산감모손실환입</t>
  </si>
  <si>
    <t xml:space="preserve">    재고자산폐기(처분)이익</t>
  </si>
  <si>
    <t xml:space="preserve">    당기손익-공정가치측정 금융자산평가이익</t>
  </si>
  <si>
    <t xml:space="preserve">    자산처분(폐기)이익(*)</t>
  </si>
  <si>
    <t xml:space="preserve">    자산평가이익</t>
  </si>
  <si>
    <t xml:space="preserve">    자산손상차손환입(*)</t>
  </si>
  <si>
    <t xml:space="preserve">    임대료수익</t>
  </si>
  <si>
    <t xml:space="preserve">    로열티수익</t>
  </si>
  <si>
    <t xml:space="preserve">    수수료수익</t>
  </si>
  <si>
    <t xml:space="preserve">    대손충당금환입</t>
  </si>
  <si>
    <t xml:space="preserve">    충당부채환입액</t>
  </si>
  <si>
    <t xml:space="preserve">    기타(*)</t>
  </si>
  <si>
    <t>기타비용(*)</t>
  </si>
  <si>
    <t xml:space="preserve">    재고자산감모손실</t>
  </si>
  <si>
    <t xml:space="preserve">    재고자산폐기(처분)손실</t>
  </si>
  <si>
    <t xml:space="preserve">    당기손익-공정가치측정 금융자산평가손실</t>
  </si>
  <si>
    <t xml:space="preserve">    자산처분(폐기)손실(*)</t>
  </si>
  <si>
    <t xml:space="preserve">    자산평가손실</t>
  </si>
  <si>
    <t xml:space="preserve">    자산손상차손(*)</t>
  </si>
  <si>
    <t xml:space="preserve">    기타대손상각비</t>
  </si>
  <si>
    <t xml:space="preserve">    충당부채전입액</t>
  </si>
  <si>
    <t>종속기업,공동지배기업및관계기업관련손익(*)</t>
  </si>
  <si>
    <t xml:space="preserve">    지분법손익(*)</t>
  </si>
  <si>
    <t xml:space="preserve">    종속기업,공동지배기업및관계기업투자주식처분손익(*)</t>
  </si>
  <si>
    <t xml:space="preserve">    종속기업,공동지배기업및관계기업투자주식손상관련손익(*)</t>
  </si>
  <si>
    <t>법인세비용차감전계속사업이익</t>
  </si>
  <si>
    <t>법인세비용</t>
  </si>
  <si>
    <t>종속회사매수일전순손익</t>
  </si>
  <si>
    <t>처분된종속회사순손익</t>
  </si>
  <si>
    <t>계속영업이익(손실)</t>
  </si>
  <si>
    <t>중단영업이익(손실)</t>
  </si>
  <si>
    <t>당기순이익(손실)</t>
  </si>
  <si>
    <t>기타포괄손익(*)</t>
  </si>
  <si>
    <t>총포괄손익</t>
  </si>
  <si>
    <t>(당기순손익귀속)지배기업주주지분</t>
  </si>
  <si>
    <t>(당기순손익귀속)비지배주주지분</t>
  </si>
  <si>
    <t>(총포괄손익귀속)지배기업주주지분</t>
  </si>
  <si>
    <t>(총포괄손익귀속)비지배주주지분</t>
  </si>
  <si>
    <t>주당계속영업이익</t>
  </si>
  <si>
    <t>주당순손익</t>
  </si>
  <si>
    <t>희석주당계속영업이익</t>
  </si>
  <si>
    <t>희석주당순손익</t>
  </si>
  <si>
    <t>(지배기업주주지분)주당계속영업이익</t>
  </si>
  <si>
    <t>(지배기업주주지분)주당순손익</t>
  </si>
  <si>
    <t>(지배기업주주지분)희석주당계속영업이익</t>
  </si>
  <si>
    <t>(지배기업주주지분)희석주당순손익</t>
  </si>
  <si>
    <t>손익계산서</t>
  </si>
  <si>
    <t>영업활동으로인한현금흐름(간접법)(*)</t>
  </si>
  <si>
    <t xml:space="preserve">    *(직접법)총현금유입(*)</t>
  </si>
  <si>
    <t xml:space="preserve">    *(직접법)총현금유출(*)</t>
  </si>
  <si>
    <t xml:space="preserve">    당기순손익</t>
  </si>
  <si>
    <t xml:space="preserve">    법인세비용차감전계속사업이익</t>
  </si>
  <si>
    <t xml:space="preserve">    현금유출이없는비용등가산(*)</t>
  </si>
  <si>
    <t xml:space="preserve">    (현금유입이없는수익등차감)(*)</t>
  </si>
  <si>
    <t xml:space="preserve">    영업활동으로인한자산부채변동(운전자본변동)(*)</t>
  </si>
  <si>
    <t xml:space="preserve">        자산의감소(증가)(*)</t>
  </si>
  <si>
    <t xml:space="preserve">        부채의증가(감소)(*)</t>
  </si>
  <si>
    <t xml:space="preserve">        정부보조금등의변동</t>
  </si>
  <si>
    <t xml:space="preserve">        기타운전자본의변동</t>
  </si>
  <si>
    <t xml:space="preserve">    *영업에서창출된현금흐름</t>
  </si>
  <si>
    <t xml:space="preserve">    이자수입</t>
  </si>
  <si>
    <t xml:space="preserve">    이자지급(-)</t>
  </si>
  <si>
    <t xml:space="preserve">    배당금수입</t>
  </si>
  <si>
    <t xml:space="preserve">    배당금지급(-)</t>
  </si>
  <si>
    <t xml:space="preserve">    법인세환입</t>
  </si>
  <si>
    <t xml:space="preserve">    법인세납부(-)</t>
  </si>
  <si>
    <t xml:space="preserve">    중단영업관련현금흐름</t>
  </si>
  <si>
    <t>투자활동으로인한현금흐름(*)</t>
  </si>
  <si>
    <t xml:space="preserve">    투자활동으로인한현금유입액(*)</t>
  </si>
  <si>
    <t xml:space="preserve">    (투자활동으로인한현금유출액)(*)</t>
  </si>
  <si>
    <t>재무활동으로인한현금흐름(*)</t>
  </si>
  <si>
    <t xml:space="preserve">    재무활동으로인한현금유입액(*)</t>
  </si>
  <si>
    <t xml:space="preserve">    (재무활동으로인한현금유출액)(*)</t>
  </si>
  <si>
    <t>영업투자재무활동기타현금흐름</t>
  </si>
  <si>
    <t>연결범위변동으로인한현금의증가</t>
  </si>
  <si>
    <t>환율변동효과</t>
  </si>
  <si>
    <t>현금및현금성자산의증가</t>
  </si>
  <si>
    <t>기초현금및현금성자산</t>
  </si>
  <si>
    <t>기말현금및현금성자산</t>
  </si>
  <si>
    <t>현금흐름표</t>
  </si>
  <si>
    <t>식품</t>
    <phoneticPr fontId="2" type="noConversion"/>
  </si>
  <si>
    <t>BIO</t>
    <phoneticPr fontId="2" type="noConversion"/>
  </si>
  <si>
    <t>F&amp;C</t>
    <phoneticPr fontId="2" type="noConversion"/>
  </si>
  <si>
    <t>단위: 억원</t>
    <phoneticPr fontId="2" type="noConversion"/>
  </si>
  <si>
    <t>1Q25</t>
    <phoneticPr fontId="2" type="noConversion"/>
  </si>
  <si>
    <t>2Q25</t>
    <phoneticPr fontId="2" type="noConversion"/>
  </si>
  <si>
    <t>4Q24</t>
    <phoneticPr fontId="2" type="noConversion"/>
  </si>
  <si>
    <t>1Q24</t>
    <phoneticPr fontId="2" type="noConversion"/>
  </si>
  <si>
    <t>2Q24</t>
    <phoneticPr fontId="2" type="noConversion"/>
  </si>
  <si>
    <t>3Q24</t>
    <phoneticPr fontId="2" type="noConversion"/>
  </si>
  <si>
    <t>3Q25E</t>
    <phoneticPr fontId="2" type="noConversion"/>
  </si>
  <si>
    <t>4Q25E</t>
    <phoneticPr fontId="2" type="noConversion"/>
  </si>
  <si>
    <t>국내</t>
    <phoneticPr fontId="2" type="noConversion"/>
  </si>
  <si>
    <t>미주</t>
    <phoneticPr fontId="2" type="noConversion"/>
  </si>
  <si>
    <t>가공</t>
    <phoneticPr fontId="2" type="noConversion"/>
  </si>
  <si>
    <t>소재</t>
    <phoneticPr fontId="2" type="noConversion"/>
  </si>
  <si>
    <t>CJ대한통운</t>
    <phoneticPr fontId="2" type="noConversion"/>
  </si>
  <si>
    <t>아태/유럽/기타</t>
    <phoneticPr fontId="2" type="noConversion"/>
  </si>
  <si>
    <t>Assumption Sheet</t>
    <phoneticPr fontId="2" type="noConversion"/>
  </si>
  <si>
    <t>CJ제일제당(097950.KQ)</t>
    <phoneticPr fontId="2" type="noConversion"/>
  </si>
  <si>
    <t>전체 매출액</t>
    <phoneticPr fontId="2" type="noConversion"/>
  </si>
  <si>
    <t>영업이익</t>
  </si>
  <si>
    <t>1Q26E</t>
    <phoneticPr fontId="2" type="noConversion"/>
  </si>
  <si>
    <t>2Q26E</t>
    <phoneticPr fontId="2" type="noConversion"/>
  </si>
  <si>
    <t>3Q26E</t>
    <phoneticPr fontId="2" type="noConversion"/>
  </si>
  <si>
    <t>4Q26E</t>
    <phoneticPr fontId="2" type="noConversion"/>
  </si>
  <si>
    <t>IMARC 그룹의 바이오 의약품 제조 시장 CAGR을 분기로 계산하여 성장치 적용.</t>
    <phoneticPr fontId="2" type="noConversion"/>
  </si>
  <si>
    <t>식품산업통계정보에서 산출한 식품제조업 과거 5개년 매출액 CAGR을 분기로 계산하여 성장치 적용.</t>
    <phoneticPr fontId="2" type="noConversion"/>
  </si>
  <si>
    <t>CL사업</t>
    <phoneticPr fontId="2" type="noConversion"/>
  </si>
  <si>
    <t>택배사업</t>
    <phoneticPr fontId="2" type="noConversion"/>
  </si>
  <si>
    <t>글로벌사업</t>
    <phoneticPr fontId="2" type="noConversion"/>
  </si>
  <si>
    <t>건설사업</t>
    <phoneticPr fontId="2" type="noConversion"/>
  </si>
  <si>
    <t>특별한 경향성이 없으로 직전 3개 분기 avg flat 적용.</t>
    <phoneticPr fontId="2" type="noConversion"/>
  </si>
  <si>
    <t>국내 택배시장 물동량 추이</t>
    <phoneticPr fontId="2" type="noConversion"/>
  </si>
  <si>
    <t>물동량</t>
    <phoneticPr fontId="2" type="noConversion"/>
  </si>
  <si>
    <t>2012년</t>
  </si>
  <si>
    <t>2013년</t>
  </si>
  <si>
    <t>2014년</t>
  </si>
  <si>
    <t>2015년</t>
  </si>
  <si>
    <t>2016년</t>
    <phoneticPr fontId="2" type="noConversion"/>
  </si>
  <si>
    <t>2017년</t>
    <phoneticPr fontId="2" type="noConversion"/>
  </si>
  <si>
    <t>2018년</t>
    <phoneticPr fontId="2" type="noConversion"/>
  </si>
  <si>
    <t>2019년</t>
    <phoneticPr fontId="2" type="noConversion"/>
  </si>
  <si>
    <t>2020년</t>
    <phoneticPr fontId="2" type="noConversion"/>
  </si>
  <si>
    <t>2021년</t>
    <phoneticPr fontId="2" type="noConversion"/>
  </si>
  <si>
    <t>2022년</t>
    <phoneticPr fontId="2" type="noConversion"/>
  </si>
  <si>
    <t>2023년</t>
    <phoneticPr fontId="2" type="noConversion"/>
  </si>
  <si>
    <t>단위: 만 박스</t>
    <phoneticPr fontId="2" type="noConversion"/>
  </si>
  <si>
    <t>(%)</t>
  </si>
  <si>
    <t>매출총이익</t>
  </si>
  <si>
    <t>GPM(%)</t>
    <phoneticPr fontId="2" type="noConversion"/>
  </si>
  <si>
    <t>판매비와 관리비</t>
    <phoneticPr fontId="2" type="noConversion"/>
  </si>
  <si>
    <t>OPM(%)</t>
    <phoneticPr fontId="2" type="noConversion"/>
  </si>
  <si>
    <t>금융수익</t>
  </si>
  <si>
    <t>금융비용</t>
  </si>
  <si>
    <t>기타수익</t>
  </si>
  <si>
    <t>법인세차감전순이익</t>
    <phoneticPr fontId="2" type="noConversion"/>
  </si>
  <si>
    <t>당기순이익</t>
  </si>
  <si>
    <t>202403(1Q)</t>
  </si>
  <si>
    <t>202406(2Q)</t>
  </si>
  <si>
    <t>202409(3Q)</t>
  </si>
  <si>
    <t>202412(4Q)</t>
  </si>
  <si>
    <t>202503(1Q)</t>
  </si>
  <si>
    <t>202506(2Q)</t>
  </si>
  <si>
    <t>매출원가</t>
    <phoneticPr fontId="2" type="noConversion"/>
  </si>
  <si>
    <t>억원</t>
  </si>
  <si>
    <t>억원</t>
    <phoneticPr fontId="2" type="noConversion"/>
  </si>
  <si>
    <t>직전 3개 분기간 큰 변동이 없으므로, 78% flat 적용.</t>
    <phoneticPr fontId="2" type="noConversion"/>
  </si>
  <si>
    <t>`</t>
    <phoneticPr fontId="2" type="noConversion"/>
  </si>
  <si>
    <t>직전 3개 분기간 큰 변동이 없으므로, 22% flat 적용.</t>
    <phoneticPr fontId="2" type="noConversion"/>
  </si>
  <si>
    <t>직전 3개 분기간 큰 변동이 없으므로, 17% flat 적용.</t>
    <phoneticPr fontId="2" type="noConversion"/>
  </si>
  <si>
    <t>직전 3개 분기간 큰 변동이 없으므로, 5% flat 적용.</t>
    <phoneticPr fontId="2" type="noConversion"/>
  </si>
  <si>
    <t>경향성이 존재하지 않는다고 판단, 직전 3개분기 avg 적용.</t>
    <phoneticPr fontId="2" type="noConversion"/>
  </si>
  <si>
    <t>기타비용</t>
    <phoneticPr fontId="2" type="noConversion"/>
  </si>
  <si>
    <t>종속,공동지배,관계기업손익</t>
    <phoneticPr fontId="2" type="noConversion"/>
  </si>
  <si>
    <t>경향성이 존재하지 않는다고 판단, 직전 분기 flat 적용.</t>
    <phoneticPr fontId="2" type="noConversion"/>
  </si>
  <si>
    <t>P/E Valuation</t>
  </si>
  <si>
    <t>구분</t>
  </si>
  <si>
    <t>비고</t>
  </si>
  <si>
    <t>(A) 연결 기준</t>
  </si>
  <si>
    <t>발행주식수</t>
  </si>
  <si>
    <t>(B)</t>
  </si>
  <si>
    <t>(C) = (A) ÷ (B)</t>
  </si>
  <si>
    <t>Target P/E</t>
  </si>
  <si>
    <t>(배)</t>
  </si>
  <si>
    <t>(D)</t>
  </si>
  <si>
    <t>적정주가</t>
  </si>
  <si>
    <t>(E) = (C) × (D)</t>
  </si>
  <si>
    <t>목표주가</t>
  </si>
  <si>
    <t>현재주가</t>
  </si>
  <si>
    <t>상승여력</t>
  </si>
  <si>
    <t>%</t>
  </si>
  <si>
    <t>2025E</t>
    <phoneticPr fontId="2" type="noConversion"/>
  </si>
  <si>
    <t>2026E</t>
    <phoneticPr fontId="2" type="noConversion"/>
  </si>
  <si>
    <t>26E 당기순이익</t>
    <phoneticPr fontId="2" type="noConversion"/>
  </si>
  <si>
    <t>26E EPS</t>
    <phoneticPr fontId="2" type="noConversion"/>
  </si>
  <si>
    <t>YoY</t>
    <phoneticPr fontId="2" type="noConversion"/>
  </si>
  <si>
    <t>RFS Research Team 2 이재원</t>
    <phoneticPr fontId="2" type="noConversion"/>
  </si>
  <si>
    <t>Expected IS Sheet</t>
    <phoneticPr fontId="2" type="noConversion"/>
  </si>
  <si>
    <t>연결조정</t>
    <phoneticPr fontId="2" type="noConversion"/>
  </si>
  <si>
    <t>코로나 전후의 상황을 모두 포함하기 위하여 국내 택배시장 물동량의 직전 5개년 성장률의 평균을 구한 후, 분기로 계산하여 성장치 적용.</t>
    <phoneticPr fontId="2" type="noConversion"/>
  </si>
  <si>
    <t>(units in KRW )</t>
    <phoneticPr fontId="2" type="noConversion"/>
  </si>
  <si>
    <t>CJ제일제당 RAW DATA</t>
    <phoneticPr fontId="2" type="noConversion"/>
  </si>
  <si>
    <t>CJ제일제당 Valuation &amp; Estimation Logic</t>
    <phoneticPr fontId="2" type="noConversion"/>
  </si>
  <si>
    <t>Peer PER Valuation Sheet</t>
    <phoneticPr fontId="2" type="noConversion"/>
  </si>
  <si>
    <t>대상 PER</t>
    <phoneticPr fontId="2" type="noConversion"/>
  </si>
  <si>
    <t>25.09.03 종가</t>
    <phoneticPr fontId="2" type="noConversion"/>
  </si>
  <si>
    <t>추정을 적용한 분기에서는 연결조정 무시.</t>
    <phoneticPr fontId="2" type="noConversion"/>
  </si>
  <si>
    <t>만두시장 CAGR</t>
    <phoneticPr fontId="2" type="noConversion"/>
  </si>
  <si>
    <t xml:space="preserve">동사 평균 M/S </t>
    <phoneticPr fontId="2" type="noConversion"/>
  </si>
  <si>
    <t>유럽 지역의 만두시장에 동사의 평균 M/S를 곱한 후, 할인율 20%를 적용.</t>
    <phoneticPr fontId="2" type="noConversion"/>
  </si>
  <si>
    <t>할인율</t>
    <phoneticPr fontId="2" type="noConversion"/>
  </si>
  <si>
    <t>미국 지역의 만두시장에 동사의 평균 M/S를 곱한 후, 할인율 20%를 적용</t>
    <phoneticPr fontId="2" type="noConversion"/>
  </si>
  <si>
    <t>미국 지역 식품 시장 지표</t>
    <phoneticPr fontId="2" type="noConversion"/>
  </si>
  <si>
    <t>유럽 지역 식품 시장 지표</t>
    <phoneticPr fontId="2" type="noConversion"/>
  </si>
  <si>
    <t>Future Market Insights에서 산출한 동물 사료 시장 CAGR을 분기로 계산하여 성장치 적용.</t>
    <phoneticPr fontId="2" type="noConversion"/>
  </si>
  <si>
    <t>'26E 목표주가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</si>
</sst>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0_ ;[Red]\-#,##0\ "/>
    <numFmt numFmtId="177" formatCode="0.0%"/>
    <numFmt numFmtId="178" formatCode="_-* #,##0_-;\-* #,##0_-;_-* &quot;-&quot;??_-;_-@_-"/>
    <numFmt numFmtId="179" formatCode="_(* #,##0_);_(* \(#,##0\);_(* &quot;-&quot;_);_(@_)"/>
    <numFmt numFmtId="180" formatCode="_-* #,##0.0_-;\-* #,##0.0_-;_-* &quot;-&quot;_-;_-@_-"/>
  </numFmts>
  <fonts count="41">
    <font>
      <sz val="11"/>
      <color theme="1"/>
      <name val="맑은 고딕"/>
      <family val="2"/>
      <charset val="129"/>
      <scheme val="minor"/>
    </font>
    <font>
      <sz val="9"/>
      <color theme="1"/>
      <name val="Arial"/>
      <family val="2"/>
    </font>
    <font>
      <sz val="8"/>
      <name val="맑은 고딕"/>
      <family val="2"/>
      <charset val="129"/>
      <scheme val="minor"/>
    </font>
    <font>
      <b/>
      <sz val="9"/>
      <color rgb="FFFFFFFF"/>
      <name val="Arial"/>
      <family val="2"/>
    </font>
    <font>
      <sz val="9"/>
      <color rgb="FF325886"/>
      <name val="Arial"/>
      <family val="2"/>
    </font>
    <font>
      <sz val="9"/>
      <color rgb="FF325886"/>
      <name val="맑은 고딕"/>
      <family val="2"/>
      <charset val="129"/>
      <scheme val="minor"/>
    </font>
    <font>
      <sz val="9"/>
      <color rgb="FF000000"/>
      <name val="Arial"/>
      <family val="2"/>
    </font>
    <font>
      <sz val="9"/>
      <color rgb="FF0070C0"/>
      <name val="Arial"/>
      <family val="2"/>
    </font>
    <font>
      <sz val="8"/>
      <color indexed="54"/>
      <name val="Tahoma"/>
      <family val="2"/>
    </font>
    <font>
      <sz val="11"/>
      <color theme="0"/>
      <name val="KoPubWorld돋움체 Bold"/>
      <family val="3"/>
      <charset val="129"/>
    </font>
    <font>
      <sz val="11"/>
      <color theme="1"/>
      <name val="맑은 고딕"/>
      <family val="2"/>
      <charset val="129"/>
      <scheme val="minor"/>
    </font>
    <font>
      <i/>
      <sz val="9"/>
      <color theme="1"/>
      <name val="맑은 고딕"/>
      <family val="3"/>
      <charset val="129"/>
      <scheme val="minor"/>
    </font>
    <font>
      <sz val="10"/>
      <color theme="0"/>
      <name val="KoPubWorld돋움체 Bold"/>
      <family val="3"/>
      <charset val="129"/>
    </font>
    <font>
      <sz val="11"/>
      <color theme="1"/>
      <name val="KoPubWorld돋움체 Bold"/>
      <family val="3"/>
      <charset val="129"/>
    </font>
    <font>
      <sz val="14"/>
      <color theme="0"/>
      <name val="KoPubWorld돋움체 Bold"/>
      <family val="3"/>
      <charset val="129"/>
    </font>
    <font>
      <i/>
      <sz val="10"/>
      <color theme="0"/>
      <name val="KoPubWorld돋움체 Bold"/>
      <family val="3"/>
      <charset val="129"/>
    </font>
    <font>
      <sz val="11"/>
      <color theme="1"/>
      <name val="KoPubWorld돋움체 Medium"/>
      <family val="3"/>
      <charset val="129"/>
    </font>
    <font>
      <sz val="9"/>
      <color theme="1"/>
      <name val="KoPubWorld돋움체 Medium"/>
      <family val="3"/>
      <charset val="129"/>
    </font>
    <font>
      <sz val="12"/>
      <color theme="1"/>
      <name val="맑은 고딕"/>
      <family val="2"/>
      <charset val="129"/>
      <scheme val="minor"/>
    </font>
    <font>
      <sz val="9"/>
      <name val="KoPubWorld돋움체 Medium"/>
      <family val="3"/>
      <charset val="129"/>
    </font>
    <font>
      <sz val="9"/>
      <name val="맑은 고딕"/>
      <family val="2"/>
      <charset val="129"/>
      <scheme val="minor"/>
    </font>
    <font>
      <sz val="9"/>
      <color rgb="FFFF0000"/>
      <name val="KoPubWorld돋움체 Medium"/>
      <family val="3"/>
      <charset val="129"/>
    </font>
    <font>
      <i/>
      <sz val="9"/>
      <color theme="2" tint="-0.499984740745262"/>
      <name val="KoPubWorld돋움체 Medium"/>
      <family val="3"/>
      <charset val="129"/>
    </font>
    <font>
      <sz val="9"/>
      <color rgb="FF000000"/>
      <name val="맑은 고딕"/>
      <family val="3"/>
      <charset val="129"/>
    </font>
    <font>
      <sz val="10"/>
      <color theme="1"/>
      <name val="KoPubWorld돋움체 Medium"/>
      <family val="3"/>
      <charset val="129"/>
    </font>
    <font>
      <sz val="9"/>
      <color theme="0"/>
      <name val="KoPubWorld돋움체 Bold"/>
      <family val="3"/>
      <charset val="129"/>
    </font>
    <font>
      <sz val="9"/>
      <color theme="1"/>
      <name val="Yoon 윤고딕 530_TT"/>
      <family val="1"/>
      <charset val="129"/>
    </font>
    <font>
      <sz val="9"/>
      <color theme="1"/>
      <name val="Yoon YGO 520_TT"/>
      <family val="1"/>
      <charset val="129"/>
    </font>
    <font>
      <sz val="8"/>
      <color theme="1"/>
      <name val="Yoon 윤고딕 530_TT"/>
      <family val="1"/>
      <charset val="129"/>
    </font>
    <font>
      <sz val="11"/>
      <color indexed="8"/>
      <name val="맑은 고딕"/>
      <family val="2"/>
      <scheme val="minor"/>
    </font>
    <font>
      <sz val="9"/>
      <color theme="0"/>
      <name val="KoPubWorld돋움체 Light"/>
      <family val="3"/>
      <charset val="129"/>
    </font>
    <font>
      <sz val="9"/>
      <color theme="1"/>
      <name val="KoPubWorld돋움체 Light"/>
      <family val="3"/>
      <charset val="129"/>
    </font>
    <font>
      <sz val="8"/>
      <color theme="1"/>
      <name val="KoPubWorld돋움체 Light"/>
      <family val="3"/>
      <charset val="129"/>
    </font>
    <font>
      <sz val="9"/>
      <color rgb="FFFF0000"/>
      <name val="KoPubWorld돋움체 Light"/>
      <family val="3"/>
      <charset val="129"/>
    </font>
    <font>
      <sz val="10"/>
      <color theme="1"/>
      <name val="KoPubWorld돋움체 Bold"/>
      <family val="3"/>
      <charset val="129"/>
    </font>
    <font>
      <sz val="10"/>
      <color theme="1"/>
      <name val="맑은 고딕"/>
      <family val="2"/>
      <charset val="129"/>
      <scheme val="minor"/>
    </font>
    <font>
      <sz val="10"/>
      <color theme="0"/>
      <name val="KoPubWorld돋움체 Medium"/>
      <family val="3"/>
      <charset val="129"/>
    </font>
    <font>
      <sz val="9"/>
      <color theme="1"/>
      <name val="KoPubWorld돋움체 Bold"/>
      <family val="3"/>
      <charset val="129"/>
    </font>
    <font>
      <sz val="9"/>
      <color rgb="FFFF0000"/>
      <name val="KoPubWorld돋움체 Bold"/>
      <family val="3"/>
      <charset val="129"/>
    </font>
    <font>
      <sz val="10"/>
      <name val="맑은 고딕"/>
      <family val="2"/>
      <charset val="129"/>
      <scheme val="minor"/>
    </font>
    <font>
      <sz val="10"/>
      <color theme="0"/>
      <name val="맑은 고딕"/>
      <family val="2"/>
      <charset val="129"/>
      <scheme val="minor"/>
    </font>
  </fonts>
  <fills count="16">
    <fill>
      <patternFill patternType="none"/>
    </fill>
    <fill>
      <patternFill patternType="gray125"/>
    </fill>
    <fill>
      <patternFill patternType="solid">
        <fgColor rgb="FF01185F"/>
        <bgColor indexed="64"/>
      </patternFill>
    </fill>
    <fill>
      <patternFill patternType="solid">
        <fgColor rgb="FFE7EEFD"/>
        <bgColor indexed="64"/>
      </patternFill>
    </fill>
    <fill>
      <patternFill patternType="solid">
        <fgColor rgb="FFABC3D6"/>
        <bgColor indexed="64"/>
      </patternFill>
    </fill>
    <fill>
      <patternFill patternType="solid">
        <fgColor rgb="FFD7D7D7"/>
        <bgColor indexed="64"/>
      </patternFill>
    </fill>
    <fill>
      <patternFill patternType="solid">
        <fgColor rgb="FFF7F9FF"/>
        <bgColor indexed="64"/>
      </patternFill>
    </fill>
    <fill>
      <patternFill patternType="solid">
        <fgColor rgb="FFEBEBEB"/>
        <bgColor indexed="64"/>
      </patternFill>
    </fill>
    <fill>
      <patternFill patternType="solid">
        <fgColor theme="0"/>
        <bgColor indexed="64"/>
      </patternFill>
    </fill>
    <fill>
      <patternFill patternType="solid">
        <fgColor rgb="FFEE151E"/>
        <bgColor indexed="64"/>
      </patternFill>
    </fill>
    <fill>
      <patternFill patternType="solid">
        <fgColor rgb="FF006ECD"/>
        <bgColor indexed="64"/>
      </patternFill>
    </fill>
    <fill>
      <patternFill patternType="solid">
        <fgColor rgb="FFFF9700"/>
        <bgColor indexed="64"/>
      </patternFill>
    </fill>
    <fill>
      <patternFill patternType="solid">
        <fgColor rgb="FF203864"/>
        <bgColor indexed="64"/>
      </patternFill>
    </fill>
    <fill>
      <patternFill patternType="solid">
        <fgColor rgb="FF002060"/>
        <bgColor indexed="64"/>
      </patternFill>
    </fill>
    <fill>
      <patternFill patternType="solid">
        <fgColor theme="4" tint="0.79998168889431442"/>
        <bgColor indexed="64"/>
      </patternFill>
    </fill>
    <fill>
      <patternFill patternType="solid">
        <fgColor rgb="FFD0CECE"/>
        <bgColor indexed="64"/>
      </patternFill>
    </fill>
  </fills>
  <borders count="19">
    <border>
      <left/>
      <right/>
      <top/>
      <bottom/>
      <diagonal/>
    </border>
    <border>
      <left/>
      <right/>
      <top/>
      <bottom style="thin">
        <color indexed="64"/>
      </bottom>
      <diagonal/>
    </border>
    <border>
      <left/>
      <right/>
      <top style="thin">
        <color indexed="64"/>
      </top>
      <bottom style="thin">
        <color indexed="64"/>
      </bottom>
      <diagonal/>
    </border>
    <border>
      <left style="thin">
        <color rgb="FF538DD5"/>
      </left>
      <right style="thin">
        <color rgb="FF538DD5"/>
      </right>
      <top style="thin">
        <color rgb="FF538DD5"/>
      </top>
      <bottom style="thin">
        <color rgb="FF538DD5"/>
      </bottom>
      <diagonal/>
    </border>
    <border>
      <left style="thin">
        <color rgb="FF538DD5"/>
      </left>
      <right style="thin">
        <color rgb="FF538DD5"/>
      </right>
      <top style="thin">
        <color rgb="FF538DD5"/>
      </top>
      <bottom/>
      <diagonal/>
    </border>
    <border>
      <left style="thin">
        <color rgb="FF538DD5"/>
      </left>
      <right/>
      <top style="thin">
        <color rgb="FF538DD5"/>
      </top>
      <bottom style="thin">
        <color rgb="FF538DD5"/>
      </bottom>
      <diagonal/>
    </border>
    <border>
      <left style="thin">
        <color rgb="FF538DD5"/>
      </left>
      <right/>
      <top style="thin">
        <color rgb="FF538DD5"/>
      </top>
      <bottom/>
      <diagonal/>
    </border>
    <border>
      <left style="thin">
        <color rgb="FF538DD5"/>
      </left>
      <right style="thin">
        <color rgb="FF538DD5"/>
      </right>
      <top/>
      <bottom/>
      <diagonal/>
    </border>
    <border>
      <left/>
      <right/>
      <top/>
      <bottom style="thin">
        <color auto="1"/>
      </bottom>
      <diagonal/>
    </border>
    <border>
      <left/>
      <right/>
      <top style="thin">
        <color auto="1"/>
      </top>
      <bottom style="thin">
        <color auto="1"/>
      </bottom>
      <diagonal/>
    </border>
    <border>
      <left/>
      <right/>
      <top/>
      <bottom style="thin">
        <color theme="0"/>
      </bottom>
      <diagonal/>
    </border>
    <border>
      <left style="thin">
        <color indexed="64"/>
      </left>
      <right/>
      <top/>
      <bottom style="thin">
        <color theme="0"/>
      </bottom>
      <diagonal/>
    </border>
    <border>
      <left/>
      <right/>
      <top style="thin">
        <color indexed="64"/>
      </top>
      <bottom/>
      <diagonal/>
    </border>
    <border>
      <left/>
      <right/>
      <top/>
      <bottom style="hair">
        <color indexed="64"/>
      </bottom>
      <diagonal/>
    </border>
    <border>
      <left/>
      <right/>
      <top/>
      <bottom style="thin">
        <color auto="1"/>
      </bottom>
      <diagonal/>
    </border>
    <border>
      <left/>
      <right/>
      <top style="thin">
        <color auto="1"/>
      </top>
      <bottom style="thin">
        <color auto="1"/>
      </bottom>
      <diagonal/>
    </border>
    <border>
      <left/>
      <right style="thin">
        <color indexed="64"/>
      </right>
      <top/>
      <bottom style="thin">
        <color auto="1"/>
      </bottom>
      <diagonal/>
    </border>
    <border>
      <left/>
      <right style="thin">
        <color indexed="64"/>
      </right>
      <top/>
      <bottom/>
      <diagonal/>
    </border>
    <border>
      <left/>
      <right style="thin">
        <color indexed="64"/>
      </right>
      <top style="thin">
        <color indexed="64"/>
      </top>
      <bottom/>
      <diagonal/>
    </border>
  </borders>
  <cellStyleXfs count="13">
    <xf numFmtId="0" fontId="0" fillId="0" borderId="0">
      <alignment vertical="center"/>
    </xf>
    <xf numFmtId="41"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0" fillId="0" borderId="0">
      <alignment vertical="center"/>
    </xf>
    <xf numFmtId="179" fontId="18" fillId="0" borderId="0" applyFont="0" applyFill="0" applyBorder="0" applyAlignment="0" applyProtection="0">
      <alignment vertical="center"/>
    </xf>
    <xf numFmtId="41" fontId="10" fillId="0" borderId="0" applyFont="0" applyFill="0" applyBorder="0" applyAlignment="0" applyProtection="0">
      <alignment vertical="center"/>
    </xf>
    <xf numFmtId="0" fontId="10" fillId="0" borderId="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1" fontId="18" fillId="0" borderId="0" applyFont="0" applyFill="0" applyBorder="0" applyAlignment="0" applyProtection="0">
      <alignment vertical="center"/>
    </xf>
    <xf numFmtId="0" fontId="10" fillId="0" borderId="0">
      <alignment vertical="center"/>
    </xf>
    <xf numFmtId="0" fontId="29" fillId="0" borderId="0">
      <alignment vertical="center"/>
    </xf>
    <xf numFmtId="41" fontId="10" fillId="0" borderId="0" applyFont="0" applyFill="0" applyBorder="0" applyAlignment="0" applyProtection="0">
      <alignment vertical="center"/>
    </xf>
  </cellStyleXfs>
  <cellXfs count="130">
    <xf numFmtId="0" fontId="0" fillId="0" borderId="0" xfId="0">
      <alignment vertical="center"/>
    </xf>
    <xf numFmtId="0" fontId="1" fillId="0" borderId="0" xfId="0" applyFont="1">
      <alignment vertical="center"/>
    </xf>
    <xf numFmtId="0" fontId="3" fillId="2" borderId="0" xfId="0" applyFont="1" applyFill="1">
      <alignment vertical="center"/>
    </xf>
    <xf numFmtId="0" fontId="4" fillId="3" borderId="0" xfId="0" applyFont="1" applyFill="1">
      <alignment vertical="center"/>
    </xf>
    <xf numFmtId="0" fontId="4" fillId="3" borderId="1" xfId="0" applyFont="1" applyFill="1" applyBorder="1">
      <alignment vertical="center"/>
    </xf>
    <xf numFmtId="0" fontId="6" fillId="4" borderId="2" xfId="0" applyFont="1" applyFill="1" applyBorder="1" applyAlignment="1">
      <alignment horizontal="center" vertical="center"/>
    </xf>
    <xf numFmtId="0" fontId="6" fillId="5" borderId="2" xfId="0" applyFont="1" applyFill="1" applyBorder="1" applyAlignment="1">
      <alignment horizontal="center" vertical="center"/>
    </xf>
    <xf numFmtId="0" fontId="7" fillId="6" borderId="3" xfId="0" applyFont="1" applyFill="1" applyBorder="1">
      <alignment vertical="center"/>
    </xf>
    <xf numFmtId="0" fontId="7" fillId="6" borderId="4" xfId="0" applyFont="1" applyFill="1" applyBorder="1">
      <alignment vertical="center"/>
    </xf>
    <xf numFmtId="0" fontId="7" fillId="6" borderId="5" xfId="0" applyFont="1" applyFill="1" applyBorder="1">
      <alignment vertical="center"/>
    </xf>
    <xf numFmtId="0" fontId="7" fillId="6" borderId="7" xfId="0" applyFont="1" applyFill="1" applyBorder="1">
      <alignment vertical="center"/>
    </xf>
    <xf numFmtId="0" fontId="7" fillId="6" borderId="6" xfId="0" applyFont="1" applyFill="1" applyBorder="1">
      <alignment vertical="center"/>
    </xf>
    <xf numFmtId="0" fontId="6" fillId="4" borderId="1" xfId="0" applyFont="1" applyFill="1" applyBorder="1" applyAlignment="1">
      <alignment horizontal="center" vertical="center"/>
    </xf>
    <xf numFmtId="0" fontId="6" fillId="7" borderId="0" xfId="0" applyFont="1" applyFill="1">
      <alignment vertical="center"/>
    </xf>
    <xf numFmtId="176" fontId="1" fillId="0" borderId="0" xfId="0" applyNumberFormat="1" applyFont="1">
      <alignment vertical="center"/>
    </xf>
    <xf numFmtId="176" fontId="0" fillId="0" borderId="0" xfId="0" applyNumberFormat="1">
      <alignment vertical="center"/>
    </xf>
    <xf numFmtId="0" fontId="4" fillId="3" borderId="8" xfId="0" applyFont="1" applyFill="1" applyBorder="1">
      <alignment vertical="center"/>
    </xf>
    <xf numFmtId="0" fontId="6" fillId="4" borderId="9" xfId="0" applyFont="1" applyFill="1" applyBorder="1" applyAlignment="1">
      <alignment horizontal="center" vertical="center"/>
    </xf>
    <xf numFmtId="0" fontId="6" fillId="5" borderId="9" xfId="0" applyFont="1" applyFill="1" applyBorder="1" applyAlignment="1">
      <alignment horizontal="center" vertical="center"/>
    </xf>
    <xf numFmtId="0" fontId="0" fillId="8" borderId="0" xfId="0" applyFill="1">
      <alignment vertical="center"/>
    </xf>
    <xf numFmtId="0" fontId="0" fillId="9" borderId="0" xfId="0" applyFill="1">
      <alignment vertical="center"/>
    </xf>
    <xf numFmtId="0" fontId="9" fillId="9" borderId="0" xfId="0" applyFont="1" applyFill="1">
      <alignment vertical="center"/>
    </xf>
    <xf numFmtId="0" fontId="0" fillId="10" borderId="0" xfId="0" applyFill="1">
      <alignment vertical="center"/>
    </xf>
    <xf numFmtId="0" fontId="0" fillId="11" borderId="0" xfId="0" applyFill="1">
      <alignment vertical="center"/>
    </xf>
    <xf numFmtId="0" fontId="9" fillId="11" borderId="0" xfId="0" applyFont="1" applyFill="1">
      <alignment vertical="center"/>
    </xf>
    <xf numFmtId="0" fontId="12" fillId="12" borderId="0" xfId="0" applyFont="1" applyFill="1">
      <alignment vertical="center"/>
    </xf>
    <xf numFmtId="0" fontId="12" fillId="12" borderId="0" xfId="0" applyFont="1" applyFill="1" applyAlignment="1">
      <alignment horizontal="right" vertical="center"/>
    </xf>
    <xf numFmtId="0" fontId="13" fillId="12" borderId="0" xfId="0" applyFont="1" applyFill="1" applyAlignment="1"/>
    <xf numFmtId="0" fontId="14" fillId="12" borderId="10" xfId="0" applyFont="1" applyFill="1" applyBorder="1" applyAlignment="1"/>
    <xf numFmtId="0" fontId="12" fillId="12" borderId="11" xfId="0" applyFont="1" applyFill="1" applyBorder="1" applyAlignment="1">
      <alignment horizontal="right"/>
    </xf>
    <xf numFmtId="0" fontId="12" fillId="12" borderId="10" xfId="0" applyFont="1" applyFill="1" applyBorder="1" applyAlignment="1">
      <alignment horizontal="right"/>
    </xf>
    <xf numFmtId="0" fontId="15" fillId="12" borderId="0" xfId="0" applyFont="1" applyFill="1" applyAlignment="1">
      <alignment horizontal="left"/>
    </xf>
    <xf numFmtId="0" fontId="12" fillId="12" borderId="0" xfId="0" applyFont="1" applyFill="1" applyAlignment="1">
      <alignment horizontal="right"/>
    </xf>
    <xf numFmtId="10" fontId="11" fillId="8" borderId="0" xfId="2" applyNumberFormat="1" applyFont="1" applyFill="1" applyAlignment="1">
      <alignment horizontal="center" vertical="center"/>
    </xf>
    <xf numFmtId="0" fontId="16" fillId="8" borderId="0" xfId="0" applyFont="1" applyFill="1">
      <alignment vertical="center"/>
    </xf>
    <xf numFmtId="0" fontId="13" fillId="8" borderId="0" xfId="0" applyFont="1" applyFill="1">
      <alignment vertical="center"/>
    </xf>
    <xf numFmtId="37" fontId="17" fillId="8" borderId="12" xfId="0" applyNumberFormat="1" applyFont="1" applyFill="1" applyBorder="1" applyAlignment="1">
      <alignment horizontal="center" vertical="center"/>
    </xf>
    <xf numFmtId="180" fontId="22" fillId="8" borderId="8" xfId="5" applyNumberFormat="1" applyFont="1" applyFill="1" applyBorder="1" applyAlignment="1">
      <alignment horizontal="center" vertical="center"/>
    </xf>
    <xf numFmtId="177" fontId="22" fillId="8" borderId="8" xfId="2" applyNumberFormat="1" applyFont="1" applyFill="1" applyBorder="1" applyAlignment="1">
      <alignment horizontal="center" vertical="center" wrapText="1"/>
    </xf>
    <xf numFmtId="0" fontId="17" fillId="8" borderId="12" xfId="0" applyFont="1" applyFill="1" applyBorder="1" applyAlignment="1">
      <alignment horizontal="center" vertical="center"/>
    </xf>
    <xf numFmtId="177" fontId="22" fillId="8" borderId="8" xfId="2" applyNumberFormat="1" applyFont="1" applyFill="1" applyBorder="1" applyAlignment="1">
      <alignment horizontal="center" vertical="center"/>
    </xf>
    <xf numFmtId="9" fontId="19" fillId="8" borderId="12" xfId="2" applyFont="1" applyFill="1" applyBorder="1" applyAlignment="1">
      <alignment horizontal="center" vertical="center"/>
    </xf>
    <xf numFmtId="180" fontId="17" fillId="8" borderId="12" xfId="5" applyNumberFormat="1" applyFont="1" applyFill="1" applyBorder="1" applyAlignment="1">
      <alignment horizontal="center" vertical="center"/>
    </xf>
    <xf numFmtId="40" fontId="19" fillId="8" borderId="0" xfId="0" applyNumberFormat="1" applyFont="1" applyFill="1" applyAlignment="1">
      <alignment horizontal="center" vertical="center"/>
    </xf>
    <xf numFmtId="37" fontId="17" fillId="8" borderId="0" xfId="0" applyNumberFormat="1" applyFont="1" applyFill="1" applyAlignment="1">
      <alignment horizontal="center" vertical="center"/>
    </xf>
    <xf numFmtId="37" fontId="17" fillId="8" borderId="8" xfId="0" applyNumberFormat="1" applyFont="1" applyFill="1" applyBorder="1" applyAlignment="1">
      <alignment horizontal="center" vertical="center"/>
    </xf>
    <xf numFmtId="40" fontId="17" fillId="8" borderId="8" xfId="0" applyNumberFormat="1" applyFont="1" applyFill="1" applyBorder="1" applyAlignment="1">
      <alignment horizontal="center" vertical="center"/>
    </xf>
    <xf numFmtId="0" fontId="4" fillId="3" borderId="14" xfId="0" applyFont="1" applyFill="1" applyBorder="1">
      <alignment vertical="center"/>
    </xf>
    <xf numFmtId="0" fontId="6" fillId="4" borderId="15" xfId="0" applyFont="1" applyFill="1" applyBorder="1" applyAlignment="1">
      <alignment horizontal="center" vertical="center"/>
    </xf>
    <xf numFmtId="0" fontId="6" fillId="5" borderId="15" xfId="0" applyFont="1" applyFill="1" applyBorder="1" applyAlignment="1">
      <alignment horizontal="center" vertical="center"/>
    </xf>
    <xf numFmtId="10" fontId="22" fillId="8" borderId="8" xfId="2" applyNumberFormat="1" applyFont="1" applyFill="1" applyBorder="1" applyAlignment="1">
      <alignment horizontal="center" vertical="center" wrapText="1"/>
    </xf>
    <xf numFmtId="0" fontId="23" fillId="7" borderId="0" xfId="0" applyFont="1" applyFill="1">
      <alignment vertical="center"/>
    </xf>
    <xf numFmtId="0" fontId="19" fillId="8" borderId="12" xfId="0" applyFont="1" applyFill="1" applyBorder="1" applyAlignment="1">
      <alignment horizontal="center" vertical="center"/>
    </xf>
    <xf numFmtId="37" fontId="16" fillId="8" borderId="0" xfId="0" applyNumberFormat="1" applyFont="1" applyFill="1">
      <alignment vertical="center"/>
    </xf>
    <xf numFmtId="0" fontId="19" fillId="8" borderId="0" xfId="0" applyFont="1" applyFill="1" applyAlignment="1">
      <alignment horizontal="center" vertical="center"/>
    </xf>
    <xf numFmtId="0" fontId="24" fillId="8" borderId="0" xfId="0" applyFont="1" applyFill="1">
      <alignment vertical="center"/>
    </xf>
    <xf numFmtId="0" fontId="17" fillId="8" borderId="0" xfId="0" applyFont="1" applyFill="1">
      <alignment vertical="center"/>
    </xf>
    <xf numFmtId="0" fontId="12" fillId="12" borderId="0" xfId="0" applyFont="1" applyFill="1" applyAlignment="1">
      <alignment horizontal="center" vertical="center"/>
    </xf>
    <xf numFmtId="0" fontId="31" fillId="8" borderId="13" xfId="6" applyFont="1" applyFill="1" applyBorder="1" applyAlignment="1">
      <alignment horizontal="center" vertical="center"/>
    </xf>
    <xf numFmtId="0" fontId="25" fillId="13" borderId="12" xfId="6" applyFont="1" applyFill="1" applyBorder="1" applyAlignment="1">
      <alignment horizontal="center" vertical="center"/>
    </xf>
    <xf numFmtId="0" fontId="30" fillId="13" borderId="12" xfId="6" applyFont="1" applyFill="1" applyBorder="1" applyAlignment="1">
      <alignment horizontal="center" vertical="center"/>
    </xf>
    <xf numFmtId="0" fontId="31" fillId="14" borderId="0" xfId="6" applyFont="1" applyFill="1" applyAlignment="1">
      <alignment horizontal="center" vertical="center"/>
    </xf>
    <xf numFmtId="0" fontId="31" fillId="14" borderId="0" xfId="6" quotePrefix="1" applyFont="1" applyFill="1" applyAlignment="1">
      <alignment horizontal="center" vertical="center"/>
    </xf>
    <xf numFmtId="0" fontId="31" fillId="8" borderId="0" xfId="6" applyFont="1" applyFill="1" applyAlignment="1">
      <alignment horizontal="center" vertical="center"/>
    </xf>
    <xf numFmtId="38" fontId="31" fillId="8" borderId="0" xfId="9" applyNumberFormat="1" applyFont="1" applyFill="1" applyBorder="1" applyAlignment="1">
      <alignment horizontal="center" vertical="center"/>
    </xf>
    <xf numFmtId="38" fontId="31" fillId="8" borderId="0" xfId="9" applyNumberFormat="1" applyFont="1" applyFill="1" applyAlignment="1">
      <alignment horizontal="center" vertical="center"/>
    </xf>
    <xf numFmtId="0" fontId="32" fillId="8" borderId="0" xfId="6" applyFont="1" applyFill="1" applyAlignment="1">
      <alignment horizontal="center" vertical="center"/>
    </xf>
    <xf numFmtId="38" fontId="31" fillId="8" borderId="0" xfId="8" applyNumberFormat="1" applyFont="1" applyFill="1" applyAlignment="1">
      <alignment horizontal="center" vertical="center"/>
    </xf>
    <xf numFmtId="0" fontId="26" fillId="8" borderId="0" xfId="6" applyFont="1" applyFill="1" applyAlignment="1">
      <alignment horizontal="center" vertical="center"/>
    </xf>
    <xf numFmtId="38" fontId="27" fillId="8" borderId="0" xfId="6" applyNumberFormat="1" applyFont="1" applyFill="1" applyAlignment="1">
      <alignment horizontal="center" vertical="center"/>
    </xf>
    <xf numFmtId="0" fontId="28" fillId="8" borderId="0" xfId="6" applyFont="1" applyFill="1" applyAlignment="1">
      <alignment horizontal="center" vertical="center"/>
    </xf>
    <xf numFmtId="38" fontId="31" fillId="8" borderId="0" xfId="6" applyNumberFormat="1" applyFont="1" applyFill="1" applyAlignment="1">
      <alignment horizontal="center" vertical="center"/>
    </xf>
    <xf numFmtId="0" fontId="33" fillId="8" borderId="8" xfId="6" applyFont="1" applyFill="1" applyBorder="1" applyAlignment="1">
      <alignment horizontal="center" vertical="center"/>
    </xf>
    <xf numFmtId="0" fontId="17" fillId="8" borderId="0" xfId="3" applyFont="1" applyFill="1">
      <alignment vertical="center"/>
    </xf>
    <xf numFmtId="38" fontId="17" fillId="8" borderId="0" xfId="4" applyNumberFormat="1" applyFont="1" applyFill="1">
      <alignment vertical="center"/>
    </xf>
    <xf numFmtId="0" fontId="19" fillId="8" borderId="0" xfId="3" applyFont="1" applyFill="1">
      <alignment vertical="center"/>
    </xf>
    <xf numFmtId="0" fontId="12" fillId="12" borderId="17" xfId="0" applyFont="1" applyFill="1" applyBorder="1" applyAlignment="1">
      <alignment horizontal="center" vertical="center"/>
    </xf>
    <xf numFmtId="37" fontId="17" fillId="8" borderId="18" xfId="0" applyNumberFormat="1" applyFont="1" applyFill="1" applyBorder="1" applyAlignment="1">
      <alignment horizontal="center" vertical="center"/>
    </xf>
    <xf numFmtId="10" fontId="22" fillId="8" borderId="16" xfId="2" applyNumberFormat="1" applyFont="1" applyFill="1" applyBorder="1" applyAlignment="1">
      <alignment horizontal="center" vertical="center" wrapText="1"/>
    </xf>
    <xf numFmtId="177" fontId="22" fillId="8" borderId="16" xfId="2" applyNumberFormat="1" applyFont="1" applyFill="1" applyBorder="1" applyAlignment="1">
      <alignment horizontal="center" vertical="center" wrapText="1"/>
    </xf>
    <xf numFmtId="37" fontId="17" fillId="8" borderId="17" xfId="0" applyNumberFormat="1" applyFont="1" applyFill="1" applyBorder="1" applyAlignment="1">
      <alignment horizontal="center" vertical="center"/>
    </xf>
    <xf numFmtId="0" fontId="35" fillId="8" borderId="0" xfId="0" applyFont="1" applyFill="1">
      <alignment vertical="center"/>
    </xf>
    <xf numFmtId="9" fontId="36" fillId="8" borderId="0" xfId="2" applyFont="1" applyFill="1">
      <alignment vertical="center"/>
    </xf>
    <xf numFmtId="38" fontId="17" fillId="8" borderId="0" xfId="4" applyNumberFormat="1" applyFont="1" applyFill="1" applyBorder="1">
      <alignment vertical="center"/>
    </xf>
    <xf numFmtId="38" fontId="17" fillId="8" borderId="0" xfId="5" applyNumberFormat="1" applyFont="1" applyFill="1" applyBorder="1">
      <alignment vertical="center"/>
    </xf>
    <xf numFmtId="0" fontId="10" fillId="8" borderId="0" xfId="3" applyFill="1">
      <alignment vertical="center"/>
    </xf>
    <xf numFmtId="0" fontId="20" fillId="8" borderId="0" xfId="3" applyFont="1" applyFill="1">
      <alignment vertical="center"/>
    </xf>
    <xf numFmtId="38" fontId="17" fillId="8" borderId="0" xfId="3" applyNumberFormat="1" applyFont="1" applyFill="1">
      <alignment vertical="center"/>
    </xf>
    <xf numFmtId="0" fontId="21" fillId="8" borderId="0" xfId="3" applyFont="1" applyFill="1">
      <alignment vertical="center"/>
    </xf>
    <xf numFmtId="38" fontId="21" fillId="8" borderId="0" xfId="5" applyNumberFormat="1" applyFont="1" applyFill="1" applyBorder="1">
      <alignment vertical="center"/>
    </xf>
    <xf numFmtId="0" fontId="31" fillId="8" borderId="0" xfId="6" applyFont="1" applyFill="1" applyAlignment="1">
      <alignment horizontal="left" vertical="center"/>
    </xf>
    <xf numFmtId="41" fontId="34" fillId="8" borderId="0" xfId="0" applyNumberFormat="1" applyFont="1" applyFill="1" applyAlignment="1">
      <alignment horizontal="center" vertical="center"/>
    </xf>
    <xf numFmtId="0" fontId="12" fillId="12" borderId="0" xfId="0" applyFont="1" applyFill="1" applyAlignment="1">
      <alignment horizontal="left" vertical="center"/>
    </xf>
    <xf numFmtId="0" fontId="37" fillId="8" borderId="8" xfId="0" applyFont="1" applyFill="1" applyBorder="1">
      <alignment vertical="center"/>
    </xf>
    <xf numFmtId="41" fontId="37" fillId="8" borderId="8" xfId="0" applyNumberFormat="1" applyFont="1" applyFill="1" applyBorder="1" applyAlignment="1">
      <alignment horizontal="center" vertical="center"/>
    </xf>
    <xf numFmtId="41" fontId="37" fillId="8" borderId="16" xfId="0" applyNumberFormat="1" applyFont="1" applyFill="1" applyBorder="1" applyAlignment="1">
      <alignment horizontal="center" vertical="center"/>
    </xf>
    <xf numFmtId="0" fontId="37" fillId="8" borderId="0" xfId="0" applyFont="1" applyFill="1">
      <alignment vertical="center"/>
    </xf>
    <xf numFmtId="41" fontId="37" fillId="8" borderId="0" xfId="0" applyNumberFormat="1" applyFont="1" applyFill="1" applyAlignment="1">
      <alignment horizontal="center" vertical="center"/>
    </xf>
    <xf numFmtId="41" fontId="37" fillId="8" borderId="17" xfId="0" applyNumberFormat="1" applyFont="1" applyFill="1" applyBorder="1" applyAlignment="1">
      <alignment horizontal="center" vertical="center"/>
    </xf>
    <xf numFmtId="0" fontId="17" fillId="8" borderId="8" xfId="0" applyFont="1" applyFill="1" applyBorder="1">
      <alignment vertical="center"/>
    </xf>
    <xf numFmtId="41" fontId="17" fillId="8" borderId="8" xfId="0" applyNumberFormat="1" applyFont="1" applyFill="1" applyBorder="1">
      <alignment vertical="center"/>
    </xf>
    <xf numFmtId="41" fontId="17" fillId="8" borderId="16" xfId="0" applyNumberFormat="1" applyFont="1" applyFill="1" applyBorder="1">
      <alignment vertical="center"/>
    </xf>
    <xf numFmtId="0" fontId="17" fillId="8" borderId="0" xfId="0" applyFont="1" applyFill="1" applyAlignment="1">
      <alignment horizontal="left" vertical="center" indent="1"/>
    </xf>
    <xf numFmtId="41" fontId="17" fillId="8" borderId="0" xfId="1" applyFont="1" applyFill="1">
      <alignment vertical="center"/>
    </xf>
    <xf numFmtId="41" fontId="17" fillId="8" borderId="17" xfId="1" applyFont="1" applyFill="1" applyBorder="1">
      <alignment vertical="center"/>
    </xf>
    <xf numFmtId="178" fontId="17" fillId="8" borderId="0" xfId="0" applyNumberFormat="1" applyFont="1" applyFill="1">
      <alignment vertical="center"/>
    </xf>
    <xf numFmtId="0" fontId="17" fillId="8" borderId="0" xfId="0" applyFont="1" applyFill="1" applyAlignment="1">
      <alignment horizontal="left" vertical="center" indent="2"/>
    </xf>
    <xf numFmtId="41" fontId="17" fillId="8" borderId="0" xfId="1" applyFont="1" applyFill="1" applyBorder="1" applyAlignment="1">
      <alignment horizontal="center" vertical="center"/>
    </xf>
    <xf numFmtId="41" fontId="17" fillId="8" borderId="17" xfId="1" applyFont="1" applyFill="1" applyBorder="1" applyAlignment="1">
      <alignment horizontal="center" vertical="center"/>
    </xf>
    <xf numFmtId="0" fontId="17" fillId="8" borderId="17" xfId="0" applyFont="1" applyFill="1" applyBorder="1">
      <alignment vertical="center"/>
    </xf>
    <xf numFmtId="41" fontId="17" fillId="8" borderId="8" xfId="1" applyFont="1" applyFill="1" applyBorder="1">
      <alignment vertical="center"/>
    </xf>
    <xf numFmtId="41" fontId="17" fillId="8" borderId="16" xfId="1" applyFont="1" applyFill="1" applyBorder="1">
      <alignment vertical="center"/>
    </xf>
    <xf numFmtId="178" fontId="17" fillId="8" borderId="8" xfId="0" applyNumberFormat="1" applyFont="1" applyFill="1" applyBorder="1">
      <alignment vertical="center"/>
    </xf>
    <xf numFmtId="9" fontId="36" fillId="8" borderId="0" xfId="2" applyFont="1" applyFill="1" applyBorder="1" applyAlignment="1">
      <alignment horizontal="center" vertical="center"/>
    </xf>
    <xf numFmtId="0" fontId="17" fillId="8" borderId="0" xfId="0" applyFont="1" applyFill="1" applyAlignment="1">
      <alignment horizontal="center" vertical="center"/>
    </xf>
    <xf numFmtId="41" fontId="17" fillId="8" borderId="0" xfId="1" applyFont="1" applyFill="1" applyBorder="1">
      <alignment vertical="center"/>
    </xf>
    <xf numFmtId="177" fontId="17" fillId="8" borderId="0" xfId="2" applyNumberFormat="1" applyFont="1" applyFill="1" applyBorder="1">
      <alignment vertical="center"/>
    </xf>
    <xf numFmtId="10" fontId="17" fillId="8" borderId="0" xfId="2" applyNumberFormat="1" applyFont="1" applyFill="1" applyBorder="1">
      <alignment vertical="center"/>
    </xf>
    <xf numFmtId="0" fontId="25" fillId="12" borderId="0" xfId="0" applyFont="1" applyFill="1" applyAlignment="1">
      <alignment horizontal="left" vertical="center"/>
    </xf>
    <xf numFmtId="0" fontId="25" fillId="12" borderId="0" xfId="0" applyFont="1" applyFill="1" applyAlignment="1">
      <alignment horizontal="center" vertical="center"/>
    </xf>
    <xf numFmtId="0" fontId="37" fillId="8" borderId="0" xfId="0" applyFont="1" applyFill="1" applyAlignment="1">
      <alignment horizontal="center" vertical="center"/>
    </xf>
    <xf numFmtId="38" fontId="37" fillId="14" borderId="0" xfId="6" applyNumberFormat="1" applyFont="1" applyFill="1" applyAlignment="1">
      <alignment horizontal="center" vertical="center"/>
    </xf>
    <xf numFmtId="38" fontId="38" fillId="8" borderId="8" xfId="8" applyNumberFormat="1" applyFont="1" applyFill="1" applyBorder="1" applyAlignment="1">
      <alignment horizontal="center" vertical="center"/>
    </xf>
    <xf numFmtId="0" fontId="39" fillId="8" borderId="0" xfId="0" applyFont="1" applyFill="1">
      <alignment vertical="center"/>
    </xf>
    <xf numFmtId="0" fontId="40" fillId="8" borderId="0" xfId="0" applyFont="1" applyFill="1">
      <alignment vertical="center"/>
    </xf>
    <xf numFmtId="0" fontId="36" fillId="8" borderId="0" xfId="0" applyFont="1" applyFill="1">
      <alignment vertical="center"/>
    </xf>
    <xf numFmtId="0" fontId="16" fillId="8" borderId="0" xfId="0" applyFont="1" applyFill="1" applyAlignment="1">
      <alignment horizontal="center" vertical="center"/>
    </xf>
    <xf numFmtId="0" fontId="16" fillId="15" borderId="0" xfId="0" applyFont="1" applyFill="1" applyAlignment="1">
      <alignment horizontal="center" vertical="center"/>
    </xf>
    <xf numFmtId="9" fontId="16" fillId="8" borderId="0" xfId="0" applyNumberFormat="1" applyFont="1" applyFill="1" applyAlignment="1">
      <alignment horizontal="center" vertical="center"/>
    </xf>
    <xf numFmtId="0" fontId="9" fillId="12" borderId="0" xfId="0" applyFont="1" applyFill="1">
      <alignment vertical="center"/>
    </xf>
  </cellXfs>
  <cellStyles count="13">
    <cellStyle name="백분율" xfId="2" builtinId="5"/>
    <cellStyle name="백분율 2" xfId="7" xr:uid="{E0257AC2-C9F5-44E6-A83D-FB10E792B202}"/>
    <cellStyle name="쉼표 [0]" xfId="1" builtinId="6"/>
    <cellStyle name="쉼표 [0] 2" xfId="5" xr:uid="{B8D24135-F8B8-4F90-8C4E-F1B205641358}"/>
    <cellStyle name="쉼표 [0] 2 2" xfId="8" xr:uid="{0FC3D8D2-FB79-4155-BF8F-B8D78F6E05CC}"/>
    <cellStyle name="쉼표 [0] 2 3" xfId="12" xr:uid="{BCF21D4F-2EF6-4ED3-8BFB-497191F9334E}"/>
    <cellStyle name="쉼표 [0] 3" xfId="4" xr:uid="{4CB9B5AE-6DC9-4AFC-B9FB-49FBF7D4F0A4}"/>
    <cellStyle name="쉼표 [0] 3 2" xfId="9" xr:uid="{C2BA765A-C48C-4DA2-BDB5-DDC7FC9EB3BF}"/>
    <cellStyle name="표준" xfId="0" builtinId="0"/>
    <cellStyle name="표준 2" xfId="6" xr:uid="{5F219820-2006-43F5-9A94-AC19C4AA09C3}"/>
    <cellStyle name="표준 2 2" xfId="3" xr:uid="{FAD1C16E-105D-45FA-9333-0D6304A135FC}"/>
    <cellStyle name="표준 3" xfId="10" xr:uid="{8590F2E3-4902-4928-8073-2CA76BCA9929}"/>
    <cellStyle name="표준 4" xfId="11" xr:uid="{5B687AAD-0FEE-49D4-8DC6-D548F4305B3C}"/>
  </cellStyles>
  <dxfs count="0"/>
  <tableStyles count="0" defaultTableStyle="TableStyleMedium2" defaultPivotStyle="PivotStyleLight16"/>
  <colors>
    <mruColors>
      <color rgb="FFD0CECE"/>
      <color rgb="FF203864"/>
      <color rgb="FF006ECD"/>
      <color rgb="FFEE151E"/>
      <color rgb="FFFF9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'사업부별 매출추정'!$E$35</c:f>
              <c:strCache>
                <c:ptCount val="1"/>
                <c:pt idx="0">
                  <c:v>물동량</c:v>
                </c:pt>
              </c:strCache>
            </c:strRef>
          </c:tx>
          <c:spPr>
            <a:solidFill>
              <a:srgbClr val="203864"/>
            </a:solidFill>
            <a:ln>
              <a:noFill/>
            </a:ln>
            <a:effectLst/>
          </c:spPr>
          <c:invertIfNegative val="0"/>
          <c:cat>
            <c:strRef>
              <c:f>'사업부별 매출추정'!$D$36:$D$47</c:f>
              <c:strCache>
                <c:ptCount val="12"/>
                <c:pt idx="0">
                  <c:v>2012년</c:v>
                </c:pt>
                <c:pt idx="1">
                  <c:v>2013년</c:v>
                </c:pt>
                <c:pt idx="2">
                  <c:v>2014년</c:v>
                </c:pt>
                <c:pt idx="3">
                  <c:v>2015년</c:v>
                </c:pt>
                <c:pt idx="4">
                  <c:v>2016년</c:v>
                </c:pt>
                <c:pt idx="5">
                  <c:v>2017년</c:v>
                </c:pt>
                <c:pt idx="6">
                  <c:v>2018년</c:v>
                </c:pt>
                <c:pt idx="7">
                  <c:v>2019년</c:v>
                </c:pt>
                <c:pt idx="8">
                  <c:v>2020년</c:v>
                </c:pt>
                <c:pt idx="9">
                  <c:v>2021년</c:v>
                </c:pt>
                <c:pt idx="10">
                  <c:v>2022년</c:v>
                </c:pt>
                <c:pt idx="11">
                  <c:v>2023년</c:v>
                </c:pt>
              </c:strCache>
            </c:strRef>
          </c:cat>
          <c:val>
            <c:numRef>
              <c:f>'사업부별 매출추정'!$E$36:$E$47</c:f>
              <c:numCache>
                <c:formatCode>_(* #,##0_);_(* \(#,##0\);_(* "-"_);_(@_)</c:formatCode>
                <c:ptCount val="12"/>
                <c:pt idx="0">
                  <c:v>140598</c:v>
                </c:pt>
                <c:pt idx="1">
                  <c:v>150931</c:v>
                </c:pt>
                <c:pt idx="2">
                  <c:v>162325</c:v>
                </c:pt>
                <c:pt idx="3">
                  <c:v>181596</c:v>
                </c:pt>
                <c:pt idx="4">
                  <c:v>204666</c:v>
                </c:pt>
                <c:pt idx="5">
                  <c:v>231946</c:v>
                </c:pt>
                <c:pt idx="6">
                  <c:v>254278</c:v>
                </c:pt>
                <c:pt idx="7">
                  <c:v>278980</c:v>
                </c:pt>
                <c:pt idx="8">
                  <c:v>337373</c:v>
                </c:pt>
                <c:pt idx="9">
                  <c:v>362967</c:v>
                </c:pt>
                <c:pt idx="10">
                  <c:v>421221</c:v>
                </c:pt>
                <c:pt idx="11">
                  <c:v>515785</c:v>
                </c:pt>
              </c:numCache>
            </c:numRef>
          </c:val>
          <c:extLst>
            <c:ext xmlns:c16="http://schemas.microsoft.com/office/drawing/2014/chart" uri="{C3380CC4-5D6E-409C-BE32-E72D297353CC}">
              <c16:uniqueId val="{00000000-A3D7-4281-9DFF-1F360661C6FA}"/>
            </c:ext>
          </c:extLst>
        </c:ser>
        <c:dLbls>
          <c:showLegendKey val="0"/>
          <c:showVal val="0"/>
          <c:showCatName val="0"/>
          <c:showSerName val="0"/>
          <c:showPercent val="0"/>
          <c:showBubbleSize val="0"/>
        </c:dLbls>
        <c:gapWidth val="219"/>
        <c:overlap val="-27"/>
        <c:axId val="998276128"/>
        <c:axId val="998272288"/>
      </c:barChart>
      <c:lineChart>
        <c:grouping val="standard"/>
        <c:varyColors val="0"/>
        <c:ser>
          <c:idx val="1"/>
          <c:order val="1"/>
          <c:tx>
            <c:strRef>
              <c:f>'사업부별 매출추정'!$F$35</c:f>
              <c:strCache>
                <c:ptCount val="1"/>
                <c:pt idx="0">
                  <c:v>YoY</c:v>
                </c:pt>
              </c:strCache>
            </c:strRef>
          </c:tx>
          <c:spPr>
            <a:ln w="28575" cap="rnd">
              <a:solidFill>
                <a:srgbClr val="D0CECE"/>
              </a:solidFill>
              <a:round/>
            </a:ln>
            <a:effectLst/>
          </c:spPr>
          <c:marker>
            <c:symbol val="none"/>
          </c:marker>
          <c:cat>
            <c:strRef>
              <c:f>'사업부별 매출추정'!$D$36:$D$47</c:f>
              <c:strCache>
                <c:ptCount val="12"/>
                <c:pt idx="0">
                  <c:v>2012년</c:v>
                </c:pt>
                <c:pt idx="1">
                  <c:v>2013년</c:v>
                </c:pt>
                <c:pt idx="2">
                  <c:v>2014년</c:v>
                </c:pt>
                <c:pt idx="3">
                  <c:v>2015년</c:v>
                </c:pt>
                <c:pt idx="4">
                  <c:v>2016년</c:v>
                </c:pt>
                <c:pt idx="5">
                  <c:v>2017년</c:v>
                </c:pt>
                <c:pt idx="6">
                  <c:v>2018년</c:v>
                </c:pt>
                <c:pt idx="7">
                  <c:v>2019년</c:v>
                </c:pt>
                <c:pt idx="8">
                  <c:v>2020년</c:v>
                </c:pt>
                <c:pt idx="9">
                  <c:v>2021년</c:v>
                </c:pt>
                <c:pt idx="10">
                  <c:v>2022년</c:v>
                </c:pt>
                <c:pt idx="11">
                  <c:v>2023년</c:v>
                </c:pt>
              </c:strCache>
            </c:strRef>
          </c:cat>
          <c:val>
            <c:numRef>
              <c:f>'사업부별 매출추정'!$F$36:$F$47</c:f>
              <c:numCache>
                <c:formatCode>0.0%</c:formatCode>
                <c:ptCount val="12"/>
                <c:pt idx="0">
                  <c:v>8.2000000000000003E-2</c:v>
                </c:pt>
                <c:pt idx="1">
                  <c:v>7.2999999999999995E-2</c:v>
                </c:pt>
                <c:pt idx="2">
                  <c:v>7.4999999999999997E-2</c:v>
                </c:pt>
                <c:pt idx="3">
                  <c:v>0.1187</c:v>
                </c:pt>
                <c:pt idx="4">
                  <c:v>0.127</c:v>
                </c:pt>
                <c:pt idx="5">
                  <c:v>0.1333</c:v>
                </c:pt>
                <c:pt idx="6">
                  <c:v>9.6000000000000002E-2</c:v>
                </c:pt>
                <c:pt idx="7" formatCode="0.00%">
                  <c:v>9.7199999999999995E-2</c:v>
                </c:pt>
                <c:pt idx="8" formatCode="0.00%">
                  <c:v>0.20930000000000001</c:v>
                </c:pt>
                <c:pt idx="9" formatCode="0.00%">
                  <c:v>7.5899999999999995E-2</c:v>
                </c:pt>
                <c:pt idx="10" formatCode="0.00%">
                  <c:v>0.1605</c:v>
                </c:pt>
                <c:pt idx="11" formatCode="0.00%">
                  <c:v>0.22450000000000001</c:v>
                </c:pt>
              </c:numCache>
            </c:numRef>
          </c:val>
          <c:smooth val="0"/>
          <c:extLst>
            <c:ext xmlns:c16="http://schemas.microsoft.com/office/drawing/2014/chart" uri="{C3380CC4-5D6E-409C-BE32-E72D297353CC}">
              <c16:uniqueId val="{00000001-A3D7-4281-9DFF-1F360661C6FA}"/>
            </c:ext>
          </c:extLst>
        </c:ser>
        <c:dLbls>
          <c:showLegendKey val="0"/>
          <c:showVal val="0"/>
          <c:showCatName val="0"/>
          <c:showSerName val="0"/>
          <c:showPercent val="0"/>
          <c:showBubbleSize val="0"/>
        </c:dLbls>
        <c:marker val="1"/>
        <c:smooth val="0"/>
        <c:axId val="998278048"/>
        <c:axId val="998277088"/>
      </c:lineChart>
      <c:catAx>
        <c:axId val="998276128"/>
        <c:scaling>
          <c:orientation val="minMax"/>
        </c:scaling>
        <c:delete val="0"/>
        <c:axPos val="b"/>
        <c:numFmt formatCode="General" sourceLinked="1"/>
        <c:majorTickMark val="in"/>
        <c:minorTickMark val="none"/>
        <c:tickLblPos val="nextTo"/>
        <c:spPr>
          <a:noFill/>
          <a:ln w="31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KoPubWorld돋움체 Medium" panose="00000600000000000000" pitchFamily="2" charset="-127"/>
                <a:ea typeface="KoPubWorld돋움체 Medium" panose="00000600000000000000" pitchFamily="2" charset="-127"/>
                <a:cs typeface="KoPubWorld돋움체 Medium" panose="00000600000000000000" pitchFamily="2" charset="-127"/>
              </a:defRPr>
            </a:pPr>
            <a:endParaRPr lang="ko-KR"/>
          </a:p>
        </c:txPr>
        <c:crossAx val="998272288"/>
        <c:crosses val="autoZero"/>
        <c:auto val="1"/>
        <c:lblAlgn val="ctr"/>
        <c:lblOffset val="100"/>
        <c:noMultiLvlLbl val="0"/>
      </c:catAx>
      <c:valAx>
        <c:axId val="998272288"/>
        <c:scaling>
          <c:orientation val="minMax"/>
        </c:scaling>
        <c:delete val="0"/>
        <c:axPos val="l"/>
        <c:numFmt formatCode="#,##0_);[Red]\(#,##0\)" sourceLinked="0"/>
        <c:majorTickMark val="in"/>
        <c:minorTickMark val="none"/>
        <c:tickLblPos val="nextTo"/>
        <c:spPr>
          <a:noFill/>
          <a:ln w="3175">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KoPubWorld돋움체 Medium" panose="00000600000000000000" pitchFamily="2" charset="-127"/>
                <a:ea typeface="KoPubWorld돋움체 Medium" panose="00000600000000000000" pitchFamily="2" charset="-127"/>
                <a:cs typeface="KoPubWorld돋움체 Medium" panose="00000600000000000000" pitchFamily="2" charset="-127"/>
              </a:defRPr>
            </a:pPr>
            <a:endParaRPr lang="ko-KR"/>
          </a:p>
        </c:txPr>
        <c:crossAx val="998276128"/>
        <c:crosses val="autoZero"/>
        <c:crossBetween val="between"/>
        <c:majorUnit val="150000"/>
      </c:valAx>
      <c:valAx>
        <c:axId val="998277088"/>
        <c:scaling>
          <c:orientation val="minMax"/>
        </c:scaling>
        <c:delete val="0"/>
        <c:axPos val="r"/>
        <c:numFmt formatCode="0%" sourceLinked="0"/>
        <c:majorTickMark val="in"/>
        <c:minorTickMark val="none"/>
        <c:tickLblPos val="nextTo"/>
        <c:spPr>
          <a:noFill/>
          <a:ln w="3175">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KoPubWorld돋움체 Medium" panose="00000600000000000000" pitchFamily="2" charset="-127"/>
                <a:ea typeface="KoPubWorld돋움체 Medium" panose="00000600000000000000" pitchFamily="2" charset="-127"/>
                <a:cs typeface="KoPubWorld돋움체 Medium" panose="00000600000000000000" pitchFamily="2" charset="-127"/>
              </a:defRPr>
            </a:pPr>
            <a:endParaRPr lang="ko-KR"/>
          </a:p>
        </c:txPr>
        <c:crossAx val="998278048"/>
        <c:crosses val="max"/>
        <c:crossBetween val="between"/>
      </c:valAx>
      <c:catAx>
        <c:axId val="998278048"/>
        <c:scaling>
          <c:orientation val="minMax"/>
        </c:scaling>
        <c:delete val="1"/>
        <c:axPos val="b"/>
        <c:numFmt formatCode="General" sourceLinked="1"/>
        <c:majorTickMark val="none"/>
        <c:minorTickMark val="none"/>
        <c:tickLblPos val="nextTo"/>
        <c:crossAx val="99827708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KoPubWorld돋움체 Medium" panose="00000600000000000000" pitchFamily="2" charset="-127"/>
              <a:ea typeface="KoPubWorld돋움체 Medium" panose="00000600000000000000" pitchFamily="2" charset="-127"/>
              <a:cs typeface="KoPubWorld돋움체 Medium" panose="00000600000000000000" pitchFamily="2" charset="-127"/>
            </a:defRPr>
          </a:pPr>
          <a:endParaRPr lang="ko-KR"/>
        </a:p>
      </c:txPr>
    </c:legend>
    <c:plotVisOnly val="1"/>
    <c:dispBlanksAs val="gap"/>
    <c:showDLblsOverMax val="0"/>
  </c:chart>
  <c:spPr>
    <a:noFill/>
    <a:ln w="9525" cap="flat" cmpd="sng" algn="ctr">
      <a:noFill/>
      <a:round/>
    </a:ln>
    <a:effectLst/>
  </c:spPr>
  <c:txPr>
    <a:bodyPr/>
    <a:lstStyle/>
    <a:p>
      <a:pPr>
        <a:defRPr>
          <a:solidFill>
            <a:schemeClr val="tx1"/>
          </a:solidFill>
          <a:latin typeface="KoPubWorld돋움체 Medium" panose="00000600000000000000" pitchFamily="2" charset="-127"/>
          <a:ea typeface="KoPubWorld돋움체 Medium" panose="00000600000000000000" pitchFamily="2" charset="-127"/>
          <a:cs typeface="KoPubWorld돋움체 Medium" panose="00000600000000000000" pitchFamily="2" charset="-127"/>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2</xdr:row>
      <xdr:rowOff>68580</xdr:rowOff>
    </xdr:from>
    <xdr:to>
      <xdr:col>5</xdr:col>
      <xdr:colOff>487680</xdr:colOff>
      <xdr:row>8</xdr:row>
      <xdr:rowOff>193148</xdr:rowOff>
    </xdr:to>
    <xdr:pic>
      <xdr:nvPicPr>
        <xdr:cNvPr id="2" name="그림 1" descr="[제일제당] 보도자료 대표 로고 국문 화이트 – CJ미디어라이브러리">
          <a:extLst>
            <a:ext uri="{FF2B5EF4-FFF2-40B4-BE49-F238E27FC236}">
              <a16:creationId xmlns:a16="http://schemas.microsoft.com/office/drawing/2014/main" id="{E6701A7A-DBA7-4C94-A794-2662947369D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515" t="29242" r="10327" b="28965"/>
        <a:stretch>
          <a:fillRect/>
        </a:stretch>
      </xdr:blipFill>
      <xdr:spPr bwMode="auto">
        <a:xfrm>
          <a:off x="53340" y="518160"/>
          <a:ext cx="3749040" cy="14504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533398</xdr:colOff>
      <xdr:row>33</xdr:row>
      <xdr:rowOff>32084</xdr:rowOff>
    </xdr:from>
    <xdr:to>
      <xdr:col>15</xdr:col>
      <xdr:colOff>360947</xdr:colOff>
      <xdr:row>45</xdr:row>
      <xdr:rowOff>224589</xdr:rowOff>
    </xdr:to>
    <xdr:graphicFrame macro="">
      <xdr:nvGraphicFramePr>
        <xdr:cNvPr id="3" name="차트 2">
          <a:extLst>
            <a:ext uri="{FF2B5EF4-FFF2-40B4-BE49-F238E27FC236}">
              <a16:creationId xmlns:a16="http://schemas.microsoft.com/office/drawing/2014/main" id="{870AB6F5-7386-2B26-73B9-0718BD543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53340</xdr:colOff>
      <xdr:row>2</xdr:row>
      <xdr:rowOff>68580</xdr:rowOff>
    </xdr:from>
    <xdr:to>
      <xdr:col>5</xdr:col>
      <xdr:colOff>487680</xdr:colOff>
      <xdr:row>8</xdr:row>
      <xdr:rowOff>193148</xdr:rowOff>
    </xdr:to>
    <xdr:pic>
      <xdr:nvPicPr>
        <xdr:cNvPr id="3" name="그림 2" descr="[제일제당] 보도자료 대표 로고 국문 화이트 – CJ미디어라이브러리">
          <a:extLst>
            <a:ext uri="{FF2B5EF4-FFF2-40B4-BE49-F238E27FC236}">
              <a16:creationId xmlns:a16="http://schemas.microsoft.com/office/drawing/2014/main" id="{3025C025-2695-ECDB-472B-DE75E53F6A1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515" t="29242" r="10327" b="28965"/>
        <a:stretch>
          <a:fillRect/>
        </a:stretch>
      </xdr:blipFill>
      <xdr:spPr bwMode="auto">
        <a:xfrm>
          <a:off x="53340" y="520614"/>
          <a:ext cx="3727730" cy="1441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250F4-FF22-45F2-9D77-30B0819FACA5}">
  <dimension ref="B1:F11"/>
  <sheetViews>
    <sheetView zoomScale="59" workbookViewId="0">
      <selection activeCell="E19" sqref="E19"/>
    </sheetView>
  </sheetViews>
  <sheetFormatPr defaultColWidth="8.69921875" defaultRowHeight="17.399999999999999"/>
  <cols>
    <col min="1" max="16384" width="8.69921875" style="19"/>
  </cols>
  <sheetData>
    <row r="1" spans="2:6" s="23" customFormat="1"/>
    <row r="2" spans="2:6" s="23" customFormat="1" ht="18">
      <c r="B2" s="24" t="s">
        <v>309</v>
      </c>
    </row>
    <row r="4" spans="2:6">
      <c r="F4"/>
    </row>
    <row r="10" spans="2:6" s="20" customFormat="1" ht="18">
      <c r="B10" s="21" t="s">
        <v>303</v>
      </c>
    </row>
    <row r="11" spans="2:6" s="22" customFormat="1"/>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F0370-49D0-42CA-BB86-44CC262077B2}">
  <dimension ref="A1:AT24"/>
  <sheetViews>
    <sheetView tabSelected="1" workbookViewId="0">
      <selection activeCell="H10" sqref="H10"/>
    </sheetView>
  </sheetViews>
  <sheetFormatPr defaultRowHeight="17.399999999999999"/>
  <cols>
    <col min="1" max="1" width="8.796875" style="19"/>
    <col min="2" max="2" width="19.296875" style="19" bestFit="1" customWidth="1"/>
    <col min="3" max="3" width="9.09765625" style="19" bestFit="1" customWidth="1"/>
    <col min="4" max="4" width="8.796875" style="19"/>
    <col min="5" max="5" width="13.09765625" style="19" bestFit="1" customWidth="1"/>
    <col min="6" max="16384" width="8.796875" style="19"/>
  </cols>
  <sheetData>
    <row r="1" spans="1:46" s="27" customFormat="1" ht="18">
      <c r="A1" s="25" t="s">
        <v>225</v>
      </c>
      <c r="B1" s="25"/>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row>
    <row r="2" spans="1:46" s="27" customFormat="1" ht="22.2">
      <c r="A2" s="28" t="s">
        <v>310</v>
      </c>
      <c r="B2" s="29"/>
      <c r="C2" s="29"/>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row>
    <row r="3" spans="1:46" s="27" customFormat="1" ht="18">
      <c r="A3" s="31" t="s">
        <v>307</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row>
    <row r="5" spans="1:46">
      <c r="A5"/>
      <c r="B5" s="59" t="s">
        <v>282</v>
      </c>
      <c r="C5" s="60"/>
      <c r="D5" s="60"/>
      <c r="E5" s="60"/>
    </row>
    <row r="6" spans="1:46">
      <c r="B6" s="58" t="s">
        <v>283</v>
      </c>
      <c r="C6" s="58"/>
      <c r="D6" s="58" t="s">
        <v>10</v>
      </c>
      <c r="E6" s="58" t="s">
        <v>284</v>
      </c>
    </row>
    <row r="7" spans="1:46">
      <c r="B7" s="63" t="s">
        <v>300</v>
      </c>
      <c r="C7" s="64">
        <f>'Expected IS'!Q23</f>
        <v>7263.7807523220617</v>
      </c>
      <c r="D7" s="63" t="s">
        <v>272</v>
      </c>
      <c r="E7" s="63" t="s">
        <v>285</v>
      </c>
    </row>
    <row r="8" spans="1:46">
      <c r="B8" s="63" t="s">
        <v>286</v>
      </c>
      <c r="C8" s="64">
        <v>14696879</v>
      </c>
      <c r="D8" s="63" t="s">
        <v>65</v>
      </c>
      <c r="E8" s="63" t="s">
        <v>287</v>
      </c>
    </row>
    <row r="9" spans="1:46">
      <c r="B9" s="63" t="s">
        <v>301</v>
      </c>
      <c r="C9" s="65">
        <f>C7/C8*10^8</f>
        <v>49423.967852780595</v>
      </c>
      <c r="D9" s="63" t="s">
        <v>67</v>
      </c>
      <c r="E9" s="66" t="s">
        <v>288</v>
      </c>
    </row>
    <row r="10" spans="1:46">
      <c r="B10" s="63" t="s">
        <v>289</v>
      </c>
      <c r="C10" s="120">
        <f>H10</f>
        <v>7.3</v>
      </c>
      <c r="D10" s="63" t="s">
        <v>290</v>
      </c>
      <c r="E10" s="66" t="s">
        <v>291</v>
      </c>
      <c r="F10" s="90"/>
      <c r="G10" s="63" t="s">
        <v>311</v>
      </c>
      <c r="H10" s="90">
        <v>7.3</v>
      </c>
    </row>
    <row r="11" spans="1:46">
      <c r="B11" s="63" t="s">
        <v>292</v>
      </c>
      <c r="C11" s="67">
        <f>C9*C10</f>
        <v>360794.96532529831</v>
      </c>
      <c r="D11" s="63" t="s">
        <v>67</v>
      </c>
      <c r="E11" s="66" t="s">
        <v>293</v>
      </c>
    </row>
    <row r="12" spans="1:46">
      <c r="B12" s="68"/>
      <c r="C12" s="69"/>
      <c r="D12" s="68"/>
      <c r="E12" s="70"/>
    </row>
    <row r="13" spans="1:46">
      <c r="A13"/>
      <c r="B13" s="61" t="s">
        <v>294</v>
      </c>
      <c r="C13" s="121">
        <f>ROUND(C11,-2)</f>
        <v>360800</v>
      </c>
      <c r="D13" s="61" t="s">
        <v>67</v>
      </c>
      <c r="E13" s="62" t="s">
        <v>322</v>
      </c>
    </row>
    <row r="14" spans="1:46">
      <c r="B14" s="63" t="s">
        <v>295</v>
      </c>
      <c r="C14" s="71">
        <v>241500</v>
      </c>
      <c r="D14" s="63" t="s">
        <v>67</v>
      </c>
      <c r="E14" s="63" t="s">
        <v>312</v>
      </c>
    </row>
    <row r="15" spans="1:46">
      <c r="B15" s="72" t="s">
        <v>296</v>
      </c>
      <c r="C15" s="122">
        <f>(C13-C14)/C14*100</f>
        <v>49.399585921325048</v>
      </c>
      <c r="D15" s="72" t="s">
        <v>297</v>
      </c>
      <c r="E15" s="72"/>
    </row>
    <row r="16" spans="1:46">
      <c r="B16" s="73"/>
      <c r="C16" s="74"/>
      <c r="D16" s="73"/>
      <c r="E16" s="75"/>
    </row>
    <row r="17" spans="2:5">
      <c r="B17" s="73"/>
      <c r="C17" s="83"/>
      <c r="D17" s="73"/>
      <c r="E17" s="75"/>
    </row>
    <row r="18" spans="2:5">
      <c r="B18" s="73"/>
      <c r="C18" s="83"/>
      <c r="D18" s="73"/>
      <c r="E18" s="75"/>
    </row>
    <row r="19" spans="2:5">
      <c r="B19" s="73"/>
      <c r="C19" s="84"/>
      <c r="D19" s="73"/>
      <c r="E19" s="75"/>
    </row>
    <row r="20" spans="2:5">
      <c r="B20" s="73"/>
      <c r="C20" s="84"/>
      <c r="D20" s="73"/>
      <c r="E20" s="75"/>
    </row>
    <row r="21" spans="2:5">
      <c r="B21" s="85"/>
      <c r="C21" s="85"/>
      <c r="D21" s="85"/>
      <c r="E21" s="86"/>
    </row>
    <row r="22" spans="2:5">
      <c r="B22" s="73"/>
      <c r="C22" s="87"/>
      <c r="D22" s="73"/>
      <c r="E22" s="75"/>
    </row>
    <row r="23" spans="2:5">
      <c r="B23" s="73"/>
      <c r="C23" s="87"/>
      <c r="D23" s="73"/>
      <c r="E23" s="75"/>
    </row>
    <row r="24" spans="2:5">
      <c r="B24" s="88"/>
      <c r="C24" s="89"/>
      <c r="D24" s="88"/>
      <c r="E24" s="75"/>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86878-D3AF-4B6A-B020-ED8DEEDB2B2F}">
  <dimension ref="A1:AT27"/>
  <sheetViews>
    <sheetView topLeftCell="A3" zoomScale="79" zoomScaleNormal="55" workbookViewId="0">
      <selection activeCell="J6" sqref="J6:O24"/>
    </sheetView>
  </sheetViews>
  <sheetFormatPr defaultRowHeight="18"/>
  <cols>
    <col min="1" max="1" width="8.796875" style="19"/>
    <col min="2" max="2" width="13.796875" style="34" bestFit="1" customWidth="1"/>
    <col min="3" max="3" width="8.796875" style="34"/>
    <col min="4" max="4" width="11" style="34" bestFit="1" customWidth="1"/>
    <col min="5" max="5" width="10.296875" style="34" customWidth="1"/>
    <col min="6" max="9" width="9.296875" style="34" bestFit="1" customWidth="1"/>
    <col min="10" max="15" width="9.796875" style="34" bestFit="1" customWidth="1"/>
    <col min="16" max="16384" width="8.796875" style="34"/>
  </cols>
  <sheetData>
    <row r="1" spans="1:46" s="27" customFormat="1">
      <c r="A1" s="25" t="s">
        <v>225</v>
      </c>
      <c r="B1" s="25"/>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row>
    <row r="2" spans="1:46" s="27" customFormat="1" ht="22.2">
      <c r="A2" s="28" t="s">
        <v>304</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row>
    <row r="3" spans="1:46" s="27" customFormat="1">
      <c r="A3" s="31" t="s">
        <v>307</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row>
    <row r="4" spans="1:46" s="19" customFormat="1" ht="17.399999999999999"/>
    <row r="5" spans="1:46" s="19" customFormat="1" ht="17.399999999999999"/>
    <row r="6" spans="1:46" s="19" customFormat="1" ht="17.399999999999999">
      <c r="A6" s="19" t="s">
        <v>274</v>
      </c>
      <c r="B6" s="25" t="s">
        <v>209</v>
      </c>
      <c r="C6" s="25"/>
      <c r="D6" s="57" t="s">
        <v>213</v>
      </c>
      <c r="E6" s="57" t="s">
        <v>214</v>
      </c>
      <c r="F6" s="57" t="s">
        <v>215</v>
      </c>
      <c r="G6" s="57" t="s">
        <v>212</v>
      </c>
      <c r="H6" s="57" t="s">
        <v>210</v>
      </c>
      <c r="I6" s="57" t="s">
        <v>211</v>
      </c>
      <c r="J6" s="57" t="s">
        <v>216</v>
      </c>
      <c r="K6" s="57" t="s">
        <v>217</v>
      </c>
      <c r="L6" s="57" t="s">
        <v>228</v>
      </c>
      <c r="M6" s="57" t="s">
        <v>229</v>
      </c>
      <c r="N6" s="57" t="s">
        <v>230</v>
      </c>
      <c r="O6" s="76" t="s">
        <v>231</v>
      </c>
      <c r="P6" s="57" t="s">
        <v>298</v>
      </c>
      <c r="Q6" s="57" t="s">
        <v>299</v>
      </c>
    </row>
    <row r="7" spans="1:46">
      <c r="B7" s="39" t="s">
        <v>226</v>
      </c>
      <c r="C7" s="36"/>
      <c r="D7" s="36">
        <f>BS!G10</f>
        <v>72159.605460000006</v>
      </c>
      <c r="E7" s="36">
        <f>BS!H10</f>
        <v>72386.74605999999</v>
      </c>
      <c r="F7" s="36">
        <f>BS!I10</f>
        <v>74142.784910000002</v>
      </c>
      <c r="G7" s="36">
        <f>BS!J10</f>
        <v>74901.681799999991</v>
      </c>
      <c r="H7" s="36">
        <f>BS!K10</f>
        <v>72084.710550000003</v>
      </c>
      <c r="I7" s="36">
        <f>BS!L10</f>
        <v>72371.757729999998</v>
      </c>
      <c r="J7" s="36">
        <f>'사업부별 매출추정'!J7</f>
        <v>74967.109257905118</v>
      </c>
      <c r="K7" s="36">
        <f>'사업부별 매출추정'!K7</f>
        <v>75880.374310074883</v>
      </c>
      <c r="L7" s="36">
        <f>'사업부별 매출추정'!L7</f>
        <v>76877.918243247957</v>
      </c>
      <c r="M7" s="36">
        <f>'사업부별 매출추정'!M7</f>
        <v>78008.520233441159</v>
      </c>
      <c r="N7" s="36">
        <f>'사업부별 매출추정'!N7</f>
        <v>79063.758111177434</v>
      </c>
      <c r="O7" s="77">
        <f>'사업부별 매출추정'!O7</f>
        <v>80167.160808094515</v>
      </c>
      <c r="P7" s="36">
        <f>SUM(H7:K7)</f>
        <v>295303.95184798003</v>
      </c>
      <c r="Q7" s="36">
        <f>SUM(L7:O7)</f>
        <v>314117.35739596107</v>
      </c>
    </row>
    <row r="8" spans="1:46">
      <c r="B8" s="39" t="s">
        <v>270</v>
      </c>
      <c r="C8" s="36"/>
      <c r="D8" s="36">
        <f>BS!G13</f>
        <v>56035.547810000004</v>
      </c>
      <c r="E8" s="36">
        <f>BS!H13</f>
        <v>56088.672980000003</v>
      </c>
      <c r="F8" s="36">
        <f>BS!I13</f>
        <v>57631.36937</v>
      </c>
      <c r="G8" s="36">
        <f>BS!J13</f>
        <v>58918.279069999997</v>
      </c>
      <c r="H8" s="36">
        <f>BS!K13</f>
        <v>56228.288380000005</v>
      </c>
      <c r="I8" s="36">
        <f>BS!L13</f>
        <v>56729.923210000008</v>
      </c>
      <c r="J8" s="36">
        <f>J$7*J9</f>
        <v>58474.345221165997</v>
      </c>
      <c r="K8" s="36">
        <f t="shared" ref="K8:O8" si="0">K$7*K9</f>
        <v>59186.691961858414</v>
      </c>
      <c r="L8" s="36">
        <f t="shared" si="0"/>
        <v>59964.776229733412</v>
      </c>
      <c r="M8" s="36">
        <f t="shared" si="0"/>
        <v>60846.645782084102</v>
      </c>
      <c r="N8" s="36">
        <f t="shared" si="0"/>
        <v>61669.7313267184</v>
      </c>
      <c r="O8" s="77">
        <f t="shared" si="0"/>
        <v>62530.385430313727</v>
      </c>
      <c r="P8" s="36">
        <f t="shared" ref="P8:P23" si="1">SUM(H8:K8)</f>
        <v>230619.24877302445</v>
      </c>
      <c r="Q8" s="36">
        <f t="shared" ref="Q8:Q22" si="2">SUM(L8:O8)</f>
        <v>245011.53876884966</v>
      </c>
    </row>
    <row r="9" spans="1:46">
      <c r="B9" s="37" t="s">
        <v>254</v>
      </c>
      <c r="C9" s="38"/>
      <c r="D9" s="50">
        <f>D8/D7</f>
        <v>0.77655008578257823</v>
      </c>
      <c r="E9" s="50">
        <f t="shared" ref="E9:I9" si="3">E8/E7</f>
        <v>0.77484727568095368</v>
      </c>
      <c r="F9" s="50">
        <f t="shared" si="3"/>
        <v>0.77730246361742716</v>
      </c>
      <c r="G9" s="50">
        <f t="shared" si="3"/>
        <v>0.78660822633224248</v>
      </c>
      <c r="H9" s="50">
        <f t="shared" si="3"/>
        <v>0.78003071595880891</v>
      </c>
      <c r="I9" s="50">
        <f t="shared" si="3"/>
        <v>0.78386825177915997</v>
      </c>
      <c r="J9" s="50">
        <v>0.78</v>
      </c>
      <c r="K9" s="50">
        <v>0.78</v>
      </c>
      <c r="L9" s="50">
        <v>0.78</v>
      </c>
      <c r="M9" s="50">
        <v>0.78</v>
      </c>
      <c r="N9" s="50">
        <v>0.78</v>
      </c>
      <c r="O9" s="78">
        <v>0.78</v>
      </c>
      <c r="P9" s="50">
        <f t="shared" ref="P9:Q9" si="4">P8/P7</f>
        <v>0.78095551153255571</v>
      </c>
      <c r="Q9" s="50">
        <f t="shared" si="4"/>
        <v>0.78</v>
      </c>
      <c r="S9" s="56" t="s">
        <v>273</v>
      </c>
    </row>
    <row r="10" spans="1:46">
      <c r="B10" s="39" t="s">
        <v>255</v>
      </c>
      <c r="C10" s="36"/>
      <c r="D10" s="36">
        <f>BS!G14</f>
        <v>16124.057649999999</v>
      </c>
      <c r="E10" s="36">
        <f>BS!H14</f>
        <v>16298.07308</v>
      </c>
      <c r="F10" s="36">
        <f>BS!I14</f>
        <v>16511.415540000002</v>
      </c>
      <c r="G10" s="36">
        <f>BS!J14</f>
        <v>15983.40273</v>
      </c>
      <c r="H10" s="36">
        <f>BS!K14</f>
        <v>15856.42217</v>
      </c>
      <c r="I10" s="36">
        <f>BS!L14</f>
        <v>15641.83452</v>
      </c>
      <c r="J10" s="36">
        <f>J$7*J11</f>
        <v>16492.764036739125</v>
      </c>
      <c r="K10" s="36">
        <f t="shared" ref="K10" si="5">K$7*K11</f>
        <v>16693.682348216473</v>
      </c>
      <c r="L10" s="36">
        <f t="shared" ref="L10" si="6">L$7*L11</f>
        <v>16913.142013514549</v>
      </c>
      <c r="M10" s="36">
        <f t="shared" ref="M10" si="7">M$7*M11</f>
        <v>17161.874451357056</v>
      </c>
      <c r="N10" s="36">
        <f t="shared" ref="N10" si="8">N$7*N11</f>
        <v>17394.026784459034</v>
      </c>
      <c r="O10" s="77">
        <f t="shared" ref="O10" si="9">O$7*O11</f>
        <v>17636.775377780792</v>
      </c>
      <c r="P10" s="36">
        <f t="shared" si="1"/>
        <v>64684.7030749556</v>
      </c>
      <c r="Q10" s="36">
        <f t="shared" si="2"/>
        <v>69105.818627111425</v>
      </c>
      <c r="S10" s="56"/>
    </row>
    <row r="11" spans="1:46">
      <c r="B11" s="40" t="s">
        <v>256</v>
      </c>
      <c r="C11" s="38"/>
      <c r="D11" s="38">
        <f>D10/D7</f>
        <v>0.22344991421742175</v>
      </c>
      <c r="E11" s="38">
        <f t="shared" ref="E11:I11" si="10">E10/E7</f>
        <v>0.22515272431904645</v>
      </c>
      <c r="F11" s="38">
        <f t="shared" si="10"/>
        <v>0.22269753638257289</v>
      </c>
      <c r="G11" s="38">
        <f t="shared" si="10"/>
        <v>0.21339177366775763</v>
      </c>
      <c r="H11" s="38">
        <f t="shared" si="10"/>
        <v>0.21996928404119115</v>
      </c>
      <c r="I11" s="38">
        <f t="shared" si="10"/>
        <v>0.21613174822084014</v>
      </c>
      <c r="J11" s="38">
        <v>0.22</v>
      </c>
      <c r="K11" s="38">
        <v>0.22</v>
      </c>
      <c r="L11" s="38">
        <v>0.22</v>
      </c>
      <c r="M11" s="38">
        <v>0.22</v>
      </c>
      <c r="N11" s="38">
        <v>0.22</v>
      </c>
      <c r="O11" s="79">
        <v>0.22</v>
      </c>
      <c r="P11" s="38">
        <f t="shared" ref="P11:Q11" si="11">P10/P7</f>
        <v>0.21904448846744434</v>
      </c>
      <c r="Q11" s="38">
        <f t="shared" si="11"/>
        <v>0.21999999999999997</v>
      </c>
      <c r="S11" s="56" t="s">
        <v>275</v>
      </c>
    </row>
    <row r="12" spans="1:46">
      <c r="B12" s="41" t="s">
        <v>257</v>
      </c>
      <c r="C12" s="36"/>
      <c r="D12" s="36">
        <f>BS!G15</f>
        <v>12364.616129999999</v>
      </c>
      <c r="E12" s="36">
        <f>BS!H15</f>
        <v>12502.416380000001</v>
      </c>
      <c r="F12" s="36">
        <f>BS!I15</f>
        <v>12349.48007</v>
      </c>
      <c r="G12" s="36">
        <f>BS!J15</f>
        <v>12170.260039999999</v>
      </c>
      <c r="H12" s="36">
        <f>BS!K15</f>
        <v>12524.742770000001</v>
      </c>
      <c r="I12" s="36">
        <f>BS!L15</f>
        <v>12110.534879999999</v>
      </c>
      <c r="J12" s="36">
        <f>J$7*J13</f>
        <v>12744.408573843872</v>
      </c>
      <c r="K12" s="36">
        <f t="shared" ref="K12" si="12">K$7*K13</f>
        <v>12899.663632712731</v>
      </c>
      <c r="L12" s="36">
        <f t="shared" ref="L12" si="13">L$7*L13</f>
        <v>13069.246101352153</v>
      </c>
      <c r="M12" s="36">
        <f t="shared" ref="M12" si="14">M$7*M13</f>
        <v>13261.448439684998</v>
      </c>
      <c r="N12" s="36">
        <f t="shared" ref="N12" si="15">N$7*N13</f>
        <v>13440.838878900166</v>
      </c>
      <c r="O12" s="77">
        <f t="shared" ref="O12" si="16">O$7*O13</f>
        <v>13628.417337376068</v>
      </c>
      <c r="P12" s="36">
        <f t="shared" si="1"/>
        <v>50279.349856556597</v>
      </c>
      <c r="Q12" s="36">
        <f t="shared" si="2"/>
        <v>53399.950757313389</v>
      </c>
      <c r="S12" s="56"/>
    </row>
    <row r="13" spans="1:46">
      <c r="B13" s="37" t="s">
        <v>254</v>
      </c>
      <c r="C13" s="38"/>
      <c r="D13" s="38">
        <f>D12/D7</f>
        <v>0.17135093867515719</v>
      </c>
      <c r="E13" s="38">
        <f t="shared" ref="E13:I13" si="17">E12/E7</f>
        <v>0.17271692762148733</v>
      </c>
      <c r="F13" s="38">
        <f t="shared" si="17"/>
        <v>0.16656347728225629</v>
      </c>
      <c r="G13" s="38">
        <f t="shared" si="17"/>
        <v>0.16248313452422375</v>
      </c>
      <c r="H13" s="38">
        <f t="shared" si="17"/>
        <v>0.1737503372689897</v>
      </c>
      <c r="I13" s="38">
        <f t="shared" si="17"/>
        <v>0.16733785747171184</v>
      </c>
      <c r="J13" s="38">
        <v>0.17</v>
      </c>
      <c r="K13" s="38">
        <v>0.17</v>
      </c>
      <c r="L13" s="38">
        <v>0.17</v>
      </c>
      <c r="M13" s="38">
        <v>0.17</v>
      </c>
      <c r="N13" s="38">
        <v>0.17</v>
      </c>
      <c r="O13" s="79">
        <v>0.17</v>
      </c>
      <c r="P13" s="38">
        <f t="shared" ref="P13:Q13" si="18">P12/P7</f>
        <v>0.1702630443714481</v>
      </c>
      <c r="Q13" s="38">
        <f t="shared" si="18"/>
        <v>0.17</v>
      </c>
      <c r="S13" s="56" t="s">
        <v>276</v>
      </c>
    </row>
    <row r="14" spans="1:46">
      <c r="B14" s="42" t="s">
        <v>227</v>
      </c>
      <c r="C14" s="36"/>
      <c r="D14" s="36">
        <f>BS!G24</f>
        <v>3759.4415199999999</v>
      </c>
      <c r="E14" s="36">
        <f>BS!H24</f>
        <v>3795.6567</v>
      </c>
      <c r="F14" s="36">
        <f>BS!I24</f>
        <v>4161.9354700000004</v>
      </c>
      <c r="G14" s="36">
        <f>BS!J24</f>
        <v>3813.1426899999997</v>
      </c>
      <c r="H14" s="36">
        <f>BS!K24</f>
        <v>3331.6794</v>
      </c>
      <c r="I14" s="36">
        <f>BS!L24</f>
        <v>3531.2996399999997</v>
      </c>
      <c r="J14" s="36">
        <f>J$7*J15</f>
        <v>3748.3554628952561</v>
      </c>
      <c r="K14" s="36">
        <f t="shared" ref="K14" si="19">K$7*K15</f>
        <v>3794.0187155037443</v>
      </c>
      <c r="L14" s="36">
        <f t="shared" ref="L14" si="20">L$7*L15</f>
        <v>3843.895912162398</v>
      </c>
      <c r="M14" s="36">
        <f t="shared" ref="M14" si="21">M$7*M15</f>
        <v>3900.4260116720579</v>
      </c>
      <c r="N14" s="36">
        <f t="shared" ref="N14" si="22">N$7*N15</f>
        <v>3953.187905558872</v>
      </c>
      <c r="O14" s="77">
        <f t="shared" ref="O14" si="23">O$7*O15</f>
        <v>4008.3580404047261</v>
      </c>
      <c r="P14" s="36">
        <f t="shared" si="1"/>
        <v>14405.353218399001</v>
      </c>
      <c r="Q14" s="36">
        <f t="shared" si="2"/>
        <v>15705.867869798054</v>
      </c>
      <c r="S14" s="56"/>
    </row>
    <row r="15" spans="1:46">
      <c r="B15" s="40" t="s">
        <v>258</v>
      </c>
      <c r="C15" s="38"/>
      <c r="D15" s="38">
        <f>D14/D7</f>
        <v>5.2098975542264551E-2</v>
      </c>
      <c r="E15" s="38">
        <f t="shared" ref="E15:I15" si="24">E14/E7</f>
        <v>5.2435796697559149E-2</v>
      </c>
      <c r="F15" s="38">
        <f t="shared" si="24"/>
        <v>5.6134059100316581E-2</v>
      </c>
      <c r="G15" s="38">
        <f t="shared" si="24"/>
        <v>5.0908639143533892E-2</v>
      </c>
      <c r="H15" s="38">
        <f t="shared" si="24"/>
        <v>4.6218946772201473E-2</v>
      </c>
      <c r="I15" s="38">
        <f t="shared" si="24"/>
        <v>4.879389074912828E-2</v>
      </c>
      <c r="J15" s="38">
        <v>0.05</v>
      </c>
      <c r="K15" s="38">
        <v>0.05</v>
      </c>
      <c r="L15" s="38">
        <v>0.05</v>
      </c>
      <c r="M15" s="38">
        <v>0.05</v>
      </c>
      <c r="N15" s="38">
        <v>0.05</v>
      </c>
      <c r="O15" s="79">
        <v>0.05</v>
      </c>
      <c r="P15" s="38">
        <f t="shared" ref="P15:Q15" si="25">P14/P7</f>
        <v>4.8781444095996232E-2</v>
      </c>
      <c r="Q15" s="38">
        <f t="shared" si="25"/>
        <v>0.05</v>
      </c>
      <c r="S15" s="56" t="s">
        <v>277</v>
      </c>
    </row>
    <row r="16" spans="1:46">
      <c r="B16" s="43" t="s">
        <v>259</v>
      </c>
      <c r="C16" s="44"/>
      <c r="D16" s="44">
        <f>BS!G25</f>
        <v>1446.9506700000002</v>
      </c>
      <c r="E16" s="44">
        <f>BS!H25</f>
        <v>1667.29402</v>
      </c>
      <c r="F16" s="44">
        <f>BS!I25</f>
        <v>446.39027999999996</v>
      </c>
      <c r="G16" s="44">
        <f>BS!J25</f>
        <v>3055.8259200000002</v>
      </c>
      <c r="H16" s="44">
        <f>BS!K25</f>
        <v>1635.58356</v>
      </c>
      <c r="I16" s="44">
        <f>BS!L25</f>
        <v>1957.17536</v>
      </c>
      <c r="J16" s="44">
        <f>AVERAGE(G16:I16)</f>
        <v>2216.194946666667</v>
      </c>
      <c r="K16" s="44">
        <f t="shared" ref="K16:O16" si="26">AVERAGE(H16:J16)</f>
        <v>1936.3179555555555</v>
      </c>
      <c r="L16" s="44">
        <f t="shared" si="26"/>
        <v>2036.5627540740741</v>
      </c>
      <c r="M16" s="44">
        <f t="shared" si="26"/>
        <v>2063.0252187654323</v>
      </c>
      <c r="N16" s="44">
        <f t="shared" si="26"/>
        <v>2011.968642798354</v>
      </c>
      <c r="O16" s="80">
        <f t="shared" si="26"/>
        <v>2037.1855385459537</v>
      </c>
      <c r="P16" s="44">
        <f t="shared" si="1"/>
        <v>7745.271822222222</v>
      </c>
      <c r="Q16" s="44">
        <f t="shared" si="2"/>
        <v>8148.7421541838148</v>
      </c>
      <c r="S16" s="56" t="s">
        <v>278</v>
      </c>
    </row>
    <row r="17" spans="2:19">
      <c r="B17" s="43" t="s">
        <v>260</v>
      </c>
      <c r="C17" s="44"/>
      <c r="D17" s="44">
        <f>BS!G37*-1</f>
        <v>-2979.2817800000003</v>
      </c>
      <c r="E17" s="44">
        <f>BS!H37*-1</f>
        <v>-3309.6604299999999</v>
      </c>
      <c r="F17" s="44">
        <f>BS!I37*-1</f>
        <v>-1465.19757</v>
      </c>
      <c r="G17" s="44">
        <f>BS!J37*-1</f>
        <v>-4583.3099599999996</v>
      </c>
      <c r="H17" s="44">
        <f>BS!K37*-1</f>
        <v>-2750.3285499999997</v>
      </c>
      <c r="I17" s="44">
        <f>BS!L37*-1</f>
        <v>-2726.8654299999998</v>
      </c>
      <c r="J17" s="44">
        <f t="shared" ref="J17:J20" si="27">AVERAGE(G17:I17)</f>
        <v>-3353.5013133333327</v>
      </c>
      <c r="K17" s="44">
        <f t="shared" ref="K17:K20" si="28">AVERAGE(H17:J17)</f>
        <v>-2943.5650977777773</v>
      </c>
      <c r="L17" s="44">
        <f t="shared" ref="L17:L20" si="29">AVERAGE(I17:K17)</f>
        <v>-3007.9772803703695</v>
      </c>
      <c r="M17" s="44">
        <f t="shared" ref="M17:M20" si="30">AVERAGE(J17:L17)</f>
        <v>-3101.6812304938267</v>
      </c>
      <c r="N17" s="44">
        <f t="shared" ref="N17:N20" si="31">AVERAGE(K17:M17)</f>
        <v>-3017.7412028806575</v>
      </c>
      <c r="O17" s="80">
        <f t="shared" ref="O17:O20" si="32">AVERAGE(L17:N17)</f>
        <v>-3042.4665712482843</v>
      </c>
      <c r="P17" s="44">
        <f t="shared" si="1"/>
        <v>-11774.260391111109</v>
      </c>
      <c r="Q17" s="44">
        <f t="shared" si="2"/>
        <v>-12169.866284993137</v>
      </c>
      <c r="S17" s="56" t="s">
        <v>278</v>
      </c>
    </row>
    <row r="18" spans="2:19">
      <c r="B18" s="43" t="s">
        <v>261</v>
      </c>
      <c r="C18" s="44"/>
      <c r="D18" s="44">
        <f>BS!G48</f>
        <v>597.52683999999999</v>
      </c>
      <c r="E18" s="44">
        <f>BS!H48</f>
        <v>350.58561000000003</v>
      </c>
      <c r="F18" s="44">
        <f>BS!I48</f>
        <v>317.03588000000002</v>
      </c>
      <c r="G18" s="44">
        <f>BS!J48</f>
        <v>535.32027000000005</v>
      </c>
      <c r="H18" s="44">
        <f>BS!K48</f>
        <v>271.74990000000003</v>
      </c>
      <c r="I18" s="44">
        <f>BS!L48</f>
        <v>309.53334999999998</v>
      </c>
      <c r="J18" s="44">
        <f t="shared" si="27"/>
        <v>372.20117333333337</v>
      </c>
      <c r="K18" s="44">
        <f t="shared" si="28"/>
        <v>317.82814111111111</v>
      </c>
      <c r="L18" s="44">
        <f t="shared" si="29"/>
        <v>333.1875548148148</v>
      </c>
      <c r="M18" s="44">
        <f t="shared" si="30"/>
        <v>341.07228975308641</v>
      </c>
      <c r="N18" s="44">
        <f t="shared" si="31"/>
        <v>330.6959952263374</v>
      </c>
      <c r="O18" s="80">
        <f t="shared" si="32"/>
        <v>334.98527993141283</v>
      </c>
      <c r="P18" s="44">
        <f t="shared" si="1"/>
        <v>1271.3125644444444</v>
      </c>
      <c r="Q18" s="44">
        <f t="shared" si="2"/>
        <v>1339.9411197256513</v>
      </c>
      <c r="S18" s="56" t="s">
        <v>278</v>
      </c>
    </row>
    <row r="19" spans="2:19">
      <c r="B19" s="43" t="s">
        <v>279</v>
      </c>
      <c r="C19" s="44"/>
      <c r="D19" s="44">
        <f>BS!G65*-1</f>
        <v>-801.48926999999992</v>
      </c>
      <c r="E19" s="44">
        <f>BS!H65*-1</f>
        <v>-537.56424000000004</v>
      </c>
      <c r="F19" s="44">
        <f>BS!I65*-1</f>
        <v>-791.64063999999996</v>
      </c>
      <c r="G19" s="44">
        <f>BS!J65*-1</f>
        <v>-3637.4882900000002</v>
      </c>
      <c r="H19" s="44">
        <f>BS!K65*-1</f>
        <v>-722.45320000000004</v>
      </c>
      <c r="I19" s="44">
        <f>BS!L65*-1</f>
        <v>-795.83748000000003</v>
      </c>
      <c r="J19" s="44">
        <f t="shared" si="27"/>
        <v>-1718.5929900000001</v>
      </c>
      <c r="K19" s="44">
        <f t="shared" si="28"/>
        <v>-1078.9612233333335</v>
      </c>
      <c r="L19" s="44">
        <f t="shared" si="29"/>
        <v>-1197.7972311111114</v>
      </c>
      <c r="M19" s="44">
        <f t="shared" si="30"/>
        <v>-1331.7838148148151</v>
      </c>
      <c r="N19" s="44">
        <f t="shared" si="31"/>
        <v>-1202.8474230864201</v>
      </c>
      <c r="O19" s="80">
        <f t="shared" si="32"/>
        <v>-1244.1428230041156</v>
      </c>
      <c r="P19" s="44">
        <f t="shared" si="1"/>
        <v>-4315.8448933333339</v>
      </c>
      <c r="Q19" s="44">
        <f t="shared" si="2"/>
        <v>-4976.5712920164624</v>
      </c>
      <c r="S19" s="56" t="s">
        <v>278</v>
      </c>
    </row>
    <row r="20" spans="2:19">
      <c r="B20" s="54" t="s">
        <v>280</v>
      </c>
      <c r="D20" s="44">
        <f>BS!G78</f>
        <v>52.725739999999995</v>
      </c>
      <c r="E20" s="44">
        <f>BS!H78</f>
        <v>44.121369999999999</v>
      </c>
      <c r="F20" s="44">
        <f>BS!I78</f>
        <v>47.579089999999994</v>
      </c>
      <c r="G20" s="44">
        <f>BS!J78</f>
        <v>119.37414000000001</v>
      </c>
      <c r="H20" s="44">
        <f>BS!K78</f>
        <v>54.069600000000001</v>
      </c>
      <c r="I20" s="44">
        <f>BS!L78</f>
        <v>101.0861</v>
      </c>
      <c r="J20" s="44">
        <f t="shared" si="27"/>
        <v>91.509946666666679</v>
      </c>
      <c r="K20" s="44">
        <f t="shared" si="28"/>
        <v>82.22188222222222</v>
      </c>
      <c r="L20" s="44">
        <f t="shared" si="29"/>
        <v>91.605976296296305</v>
      </c>
      <c r="M20" s="44">
        <f t="shared" si="30"/>
        <v>88.445935061728406</v>
      </c>
      <c r="N20" s="44">
        <f t="shared" si="31"/>
        <v>87.424597860082315</v>
      </c>
      <c r="O20" s="80">
        <f t="shared" si="32"/>
        <v>89.158836406035675</v>
      </c>
      <c r="P20" s="44">
        <f t="shared" si="1"/>
        <v>328.88752888888888</v>
      </c>
      <c r="Q20" s="44">
        <f t="shared" si="2"/>
        <v>356.6353456241427</v>
      </c>
      <c r="S20" s="56" t="s">
        <v>278</v>
      </c>
    </row>
    <row r="21" spans="2:19">
      <c r="B21" s="52" t="s">
        <v>262</v>
      </c>
      <c r="C21" s="36"/>
      <c r="D21" s="36">
        <f>BS!G83</f>
        <v>2075.87372</v>
      </c>
      <c r="E21" s="36">
        <f>BS!H83</f>
        <v>2010.4330300000001</v>
      </c>
      <c r="F21" s="36">
        <f>BS!I83</f>
        <v>2716.1025099999997</v>
      </c>
      <c r="G21" s="36">
        <f>BS!J83</f>
        <v>-697.13522999999998</v>
      </c>
      <c r="H21" s="36">
        <f>BS!K83</f>
        <v>1820.30071</v>
      </c>
      <c r="I21" s="36">
        <f>BS!L83</f>
        <v>2376.3915400000001</v>
      </c>
      <c r="J21" s="36">
        <f>J14+SUM(J16:J20)</f>
        <v>1356.1672262285902</v>
      </c>
      <c r="K21" s="36">
        <f t="shared" ref="K21:O21" si="33">K14+SUM(K16:K20)</f>
        <v>2107.8603732815222</v>
      </c>
      <c r="L21" s="36">
        <f t="shared" si="33"/>
        <v>2099.4776858661025</v>
      </c>
      <c r="M21" s="36">
        <f t="shared" si="33"/>
        <v>1959.5044099436634</v>
      </c>
      <c r="N21" s="36">
        <f t="shared" si="33"/>
        <v>2162.6885154765678</v>
      </c>
      <c r="O21" s="77">
        <f t="shared" si="33"/>
        <v>2183.0783010357286</v>
      </c>
      <c r="P21" s="36">
        <f t="shared" si="1"/>
        <v>7660.7198495101129</v>
      </c>
      <c r="Q21" s="36">
        <f t="shared" si="2"/>
        <v>8404.7489123220621</v>
      </c>
    </row>
    <row r="22" spans="2:19">
      <c r="B22" s="46" t="s">
        <v>152</v>
      </c>
      <c r="C22" s="45"/>
      <c r="D22" s="45">
        <f>BS!G84</f>
        <v>529.60247000000004</v>
      </c>
      <c r="E22" s="45">
        <f>BS!H84</f>
        <v>571.17020000000002</v>
      </c>
      <c r="F22" s="45">
        <f>BS!I84</f>
        <v>593.81805999999995</v>
      </c>
      <c r="G22" s="45">
        <f>BS!J84</f>
        <v>792.32774999999992</v>
      </c>
      <c r="H22" s="45">
        <f>BS!K84</f>
        <v>1246.4143099999999</v>
      </c>
      <c r="I22" s="45">
        <f>BS!L84</f>
        <v>285.24204000000003</v>
      </c>
      <c r="J22" s="44">
        <f>I22</f>
        <v>285.24204000000003</v>
      </c>
      <c r="K22" s="44">
        <f t="shared" ref="K22:O22" si="34">J22</f>
        <v>285.24204000000003</v>
      </c>
      <c r="L22" s="44">
        <f t="shared" si="34"/>
        <v>285.24204000000003</v>
      </c>
      <c r="M22" s="44">
        <f t="shared" si="34"/>
        <v>285.24204000000003</v>
      </c>
      <c r="N22" s="44">
        <f t="shared" si="34"/>
        <v>285.24204000000003</v>
      </c>
      <c r="O22" s="80">
        <f t="shared" si="34"/>
        <v>285.24204000000003</v>
      </c>
      <c r="P22" s="44">
        <f t="shared" si="1"/>
        <v>2102.1404299999999</v>
      </c>
      <c r="Q22" s="44">
        <f t="shared" si="2"/>
        <v>1140.9681600000001</v>
      </c>
      <c r="S22" s="56" t="s">
        <v>281</v>
      </c>
    </row>
    <row r="23" spans="2:19">
      <c r="B23" s="39" t="s">
        <v>263</v>
      </c>
      <c r="C23" s="36"/>
      <c r="D23" s="36">
        <f>BS!G89</f>
        <v>1546.27125</v>
      </c>
      <c r="E23" s="36">
        <f>BS!H89</f>
        <v>1439.2628299999999</v>
      </c>
      <c r="F23" s="36">
        <f>BS!I89</f>
        <v>2122.2844500000001</v>
      </c>
      <c r="G23" s="36">
        <f>BS!J89</f>
        <v>-1489.46298</v>
      </c>
      <c r="H23" s="36">
        <f>BS!K89</f>
        <v>573.88639999999998</v>
      </c>
      <c r="I23" s="36">
        <f>BS!L89</f>
        <v>2091.1495</v>
      </c>
      <c r="J23" s="36">
        <f t="shared" ref="J23:O23" si="35">J21-J22</f>
        <v>1070.9251862285901</v>
      </c>
      <c r="K23" s="36">
        <f t="shared" si="35"/>
        <v>1822.6183332815222</v>
      </c>
      <c r="L23" s="36">
        <f t="shared" si="35"/>
        <v>1814.2356458661025</v>
      </c>
      <c r="M23" s="36">
        <f t="shared" si="35"/>
        <v>1674.2623699436633</v>
      </c>
      <c r="N23" s="36">
        <f t="shared" si="35"/>
        <v>1877.4464754765677</v>
      </c>
      <c r="O23" s="77">
        <f t="shared" si="35"/>
        <v>1897.8362610357285</v>
      </c>
      <c r="P23" s="36">
        <f t="shared" si="1"/>
        <v>5558.5794195101116</v>
      </c>
      <c r="Q23" s="36">
        <f>SUM(L23:O23)</f>
        <v>7263.7807523220617</v>
      </c>
    </row>
    <row r="24" spans="2:19">
      <c r="B24" s="40" t="s">
        <v>254</v>
      </c>
      <c r="C24" s="38"/>
      <c r="D24" s="38">
        <f>D23/D7</f>
        <v>2.1428488142956094E-2</v>
      </c>
      <c r="E24" s="38">
        <f t="shared" ref="E24:I24" si="36">E23/E7</f>
        <v>1.9882960739898745E-2</v>
      </c>
      <c r="F24" s="38">
        <f t="shared" si="36"/>
        <v>2.8624288291520018E-2</v>
      </c>
      <c r="G24" s="38">
        <f t="shared" si="36"/>
        <v>-1.9885574585322599E-2</v>
      </c>
      <c r="H24" s="38">
        <f t="shared" si="36"/>
        <v>7.9612777192458323E-3</v>
      </c>
      <c r="I24" s="38">
        <f t="shared" si="36"/>
        <v>2.8894551764260434E-2</v>
      </c>
      <c r="J24" s="38">
        <f t="shared" ref="J24" si="37">J23/J7</f>
        <v>1.428526719023334E-2</v>
      </c>
      <c r="K24" s="38">
        <f t="shared" ref="K24" si="38">K23/K7</f>
        <v>2.401962760270052E-2</v>
      </c>
      <c r="L24" s="38">
        <f t="shared" ref="L24" si="39">L23/L7</f>
        <v>2.3598917443702287E-2</v>
      </c>
      <c r="M24" s="38">
        <f t="shared" ref="M24" si="40">M23/M7</f>
        <v>2.1462557742839103E-2</v>
      </c>
      <c r="N24" s="38">
        <f t="shared" ref="N24" si="41">N23/N7</f>
        <v>2.374598071643079E-2</v>
      </c>
      <c r="O24" s="79">
        <f t="shared" ref="O24:Q24" si="42">O23/O7</f>
        <v>2.3673487272161235E-2</v>
      </c>
      <c r="P24" s="38">
        <f t="shared" si="42"/>
        <v>1.8823247656271195E-2</v>
      </c>
      <c r="Q24" s="38">
        <f t="shared" si="42"/>
        <v>2.3124416977587433E-2</v>
      </c>
    </row>
    <row r="25" spans="2:19">
      <c r="D25" s="53"/>
      <c r="E25" s="53"/>
      <c r="F25" s="53"/>
      <c r="G25" s="53"/>
      <c r="H25" s="53"/>
      <c r="I25" s="53"/>
    </row>
    <row r="26" spans="2:19">
      <c r="D26" s="53"/>
      <c r="E26" s="53"/>
      <c r="F26" s="53"/>
      <c r="G26" s="53"/>
      <c r="H26" s="53"/>
      <c r="I26" s="53"/>
    </row>
    <row r="27" spans="2:19">
      <c r="D27" s="53"/>
      <c r="E27" s="53"/>
      <c r="F27" s="53"/>
      <c r="G27" s="53"/>
      <c r="H27" s="53"/>
      <c r="I27" s="53"/>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F9CE8-6D4E-4E8C-BEFE-62BA70D34C0A}">
  <dimension ref="A1:AT1048560"/>
  <sheetViews>
    <sheetView topLeftCell="M10" zoomScale="70" zoomScaleNormal="70" workbookViewId="0">
      <selection activeCell="X34" sqref="X34"/>
    </sheetView>
  </sheetViews>
  <sheetFormatPr defaultRowHeight="18"/>
  <cols>
    <col min="1" max="2" width="8.796875" style="19"/>
    <col min="3" max="3" width="14.19921875" style="34" customWidth="1"/>
    <col min="4" max="4" width="10.5" style="34" bestFit="1" customWidth="1"/>
    <col min="5" max="5" width="9" style="34" bestFit="1" customWidth="1"/>
    <col min="6" max="6" width="8.8984375" style="34" bestFit="1" customWidth="1"/>
    <col min="7" max="8" width="9.3984375" style="34" bestFit="1" customWidth="1"/>
    <col min="9" max="9" width="8.8984375" style="34" bestFit="1" customWidth="1"/>
    <col min="10" max="15" width="9.19921875" style="34" bestFit="1" customWidth="1"/>
    <col min="16" max="16" width="8.796875" style="34"/>
    <col min="17" max="17" width="8.8984375" style="34" bestFit="1" customWidth="1"/>
    <col min="18" max="16384" width="8.796875" style="34"/>
  </cols>
  <sheetData>
    <row r="1" spans="1:46" s="27" customFormat="1">
      <c r="A1" s="25" t="s">
        <v>225</v>
      </c>
      <c r="B1" s="25"/>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row>
    <row r="2" spans="1:46" s="27" customFormat="1" ht="22.2">
      <c r="A2" s="28" t="s">
        <v>224</v>
      </c>
      <c r="B2" s="29"/>
      <c r="C2" s="29"/>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row>
    <row r="3" spans="1:46" s="27" customFormat="1">
      <c r="A3" s="31" t="s">
        <v>307</v>
      </c>
      <c r="B3" s="31"/>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row>
    <row r="4" spans="1:46" s="19" customFormat="1" ht="17.399999999999999">
      <c r="D4" s="91"/>
      <c r="E4" s="91"/>
      <c r="F4" s="91"/>
      <c r="G4" s="91"/>
      <c r="H4" s="91"/>
      <c r="I4" s="91"/>
    </row>
    <row r="5" spans="1:46" s="19" customFormat="1" ht="17.399999999999999">
      <c r="D5" s="33"/>
      <c r="E5" s="33"/>
      <c r="F5" s="33"/>
      <c r="G5" s="33"/>
      <c r="H5" s="33"/>
      <c r="I5" s="33"/>
    </row>
    <row r="6" spans="1:46" s="19" customFormat="1" ht="17.399999999999999">
      <c r="C6" s="92" t="s">
        <v>209</v>
      </c>
      <c r="D6" s="57" t="s">
        <v>213</v>
      </c>
      <c r="E6" s="57" t="s">
        <v>214</v>
      </c>
      <c r="F6" s="57" t="s">
        <v>215</v>
      </c>
      <c r="G6" s="57" t="s">
        <v>212</v>
      </c>
      <c r="H6" s="57" t="s">
        <v>210</v>
      </c>
      <c r="I6" s="76" t="s">
        <v>211</v>
      </c>
      <c r="J6" s="57" t="s">
        <v>216</v>
      </c>
      <c r="K6" s="57" t="s">
        <v>217</v>
      </c>
      <c r="L6" s="57" t="s">
        <v>228</v>
      </c>
      <c r="M6" s="57" t="s">
        <v>229</v>
      </c>
      <c r="N6" s="57" t="s">
        <v>230</v>
      </c>
      <c r="O6" s="57" t="s">
        <v>231</v>
      </c>
    </row>
    <row r="7" spans="1:46" s="19" customFormat="1" ht="17.399999999999999">
      <c r="C7" s="93" t="s">
        <v>226</v>
      </c>
      <c r="D7" s="94">
        <f>BS!G10</f>
        <v>72159.605460000006</v>
      </c>
      <c r="E7" s="94">
        <f>BS!H10</f>
        <v>72386.74605999999</v>
      </c>
      <c r="F7" s="94">
        <f>BS!I10</f>
        <v>74142.784910000002</v>
      </c>
      <c r="G7" s="94">
        <f>BS!J10</f>
        <v>74901.681799999991</v>
      </c>
      <c r="H7" s="94">
        <f>BS!K10</f>
        <v>72084.710550000003</v>
      </c>
      <c r="I7" s="95">
        <f>BS!L10</f>
        <v>72371.757729999998</v>
      </c>
      <c r="J7" s="94">
        <f>J9+J16+J18+J20</f>
        <v>74967.109257905118</v>
      </c>
      <c r="K7" s="94">
        <f t="shared" ref="K7:N7" si="0">K9+K16+K18+K20</f>
        <v>75880.374310074883</v>
      </c>
      <c r="L7" s="94">
        <f t="shared" si="0"/>
        <v>76877.918243247957</v>
      </c>
      <c r="M7" s="94">
        <f t="shared" si="0"/>
        <v>78008.520233441159</v>
      </c>
      <c r="N7" s="94">
        <f t="shared" si="0"/>
        <v>79063.758111177434</v>
      </c>
      <c r="O7" s="94">
        <f>O9+O16+O18+O20</f>
        <v>80167.160808094515</v>
      </c>
      <c r="P7" s="123"/>
      <c r="Q7" s="81"/>
    </row>
    <row r="8" spans="1:46" s="19" customFormat="1" ht="17.399999999999999">
      <c r="C8" s="96"/>
      <c r="D8" s="97"/>
      <c r="E8" s="97"/>
      <c r="F8" s="97"/>
      <c r="G8" s="97"/>
      <c r="H8" s="97"/>
      <c r="I8" s="98"/>
      <c r="J8" s="97"/>
      <c r="K8" s="97"/>
      <c r="L8" s="97"/>
      <c r="M8" s="97"/>
      <c r="N8" s="97"/>
      <c r="O8" s="97"/>
      <c r="P8" s="124"/>
      <c r="Q8" s="81"/>
    </row>
    <row r="9" spans="1:46">
      <c r="C9" s="99" t="s">
        <v>206</v>
      </c>
      <c r="D9" s="100">
        <f>D10+D13+D14</f>
        <v>28315</v>
      </c>
      <c r="E9" s="100">
        <f t="shared" ref="E9:O9" si="1">E10+E13+E14</f>
        <v>27051</v>
      </c>
      <c r="F9" s="100">
        <f t="shared" si="1"/>
        <v>29721</v>
      </c>
      <c r="G9" s="100">
        <f t="shared" si="1"/>
        <v>28443</v>
      </c>
      <c r="H9" s="100">
        <f t="shared" si="1"/>
        <v>29246</v>
      </c>
      <c r="I9" s="101">
        <f t="shared" si="1"/>
        <v>26873</v>
      </c>
      <c r="J9" s="100">
        <f t="shared" si="1"/>
        <v>27433.87804703373</v>
      </c>
      <c r="K9" s="100">
        <f t="shared" si="1"/>
        <v>28006.799729961156</v>
      </c>
      <c r="L9" s="100">
        <f t="shared" si="1"/>
        <v>28592.030623448478</v>
      </c>
      <c r="M9" s="100">
        <f t="shared" si="1"/>
        <v>29189.84229852544</v>
      </c>
      <c r="N9" s="100">
        <f t="shared" si="1"/>
        <v>29800.512460732658</v>
      </c>
      <c r="O9" s="100">
        <f t="shared" si="1"/>
        <v>30424.325091504808</v>
      </c>
      <c r="P9" s="125"/>
      <c r="Q9" s="55"/>
    </row>
    <row r="10" spans="1:46">
      <c r="C10" s="102" t="s">
        <v>218</v>
      </c>
      <c r="D10" s="103">
        <v>14563</v>
      </c>
      <c r="E10" s="103">
        <v>13807</v>
      </c>
      <c r="F10" s="103">
        <v>15690</v>
      </c>
      <c r="G10" s="103">
        <v>13656</v>
      </c>
      <c r="H10" s="103">
        <v>14365</v>
      </c>
      <c r="I10" s="104">
        <v>13185</v>
      </c>
      <c r="J10" s="105">
        <f>J11+J12</f>
        <v>13414.065523309673</v>
      </c>
      <c r="K10" s="105">
        <f t="shared" ref="K10:O10" si="2">K11+K12</f>
        <v>13647.110645706878</v>
      </c>
      <c r="L10" s="105">
        <f t="shared" si="2"/>
        <v>13884.204505526661</v>
      </c>
      <c r="M10" s="105">
        <f t="shared" si="2"/>
        <v>14125.417442257567</v>
      </c>
      <c r="N10" s="105">
        <f t="shared" si="2"/>
        <v>14370.821017409504</v>
      </c>
      <c r="O10" s="105">
        <f t="shared" si="2"/>
        <v>14620.488035744165</v>
      </c>
      <c r="P10" s="125"/>
      <c r="Q10" s="55" t="s">
        <v>233</v>
      </c>
    </row>
    <row r="11" spans="1:46">
      <c r="C11" s="106" t="s">
        <v>220</v>
      </c>
      <c r="D11" s="103">
        <v>10217</v>
      </c>
      <c r="E11" s="103">
        <v>8668</v>
      </c>
      <c r="F11" s="103">
        <v>10557</v>
      </c>
      <c r="G11" s="103">
        <v>9286</v>
      </c>
      <c r="H11" s="103">
        <v>9994.16</v>
      </c>
      <c r="I11" s="104">
        <v>8407</v>
      </c>
      <c r="J11" s="105">
        <f t="shared" ref="J11:O12" si="3">I11*(1+$P$11)</f>
        <v>8553.0564167208504</v>
      </c>
      <c r="K11" s="105">
        <f t="shared" si="3"/>
        <v>8701.6502994658877</v>
      </c>
      <c r="L11" s="105">
        <f t="shared" si="3"/>
        <v>8852.8257321170004</v>
      </c>
      <c r="M11" s="105">
        <f t="shared" si="3"/>
        <v>9006.6275644337784</v>
      </c>
      <c r="N11" s="105">
        <f t="shared" si="3"/>
        <v>9163.1014253592493</v>
      </c>
      <c r="O11" s="105">
        <f t="shared" si="3"/>
        <v>9322.293736556785</v>
      </c>
      <c r="P11" s="82">
        <f>(9.11)^0.25/100</f>
        <v>1.7373190998078946E-2</v>
      </c>
    </row>
    <row r="12" spans="1:46">
      <c r="C12" s="106" t="s">
        <v>221</v>
      </c>
      <c r="D12" s="103">
        <v>4346</v>
      </c>
      <c r="E12" s="103">
        <v>5139</v>
      </c>
      <c r="F12" s="103">
        <v>5133</v>
      </c>
      <c r="G12" s="103">
        <v>4370</v>
      </c>
      <c r="H12" s="103">
        <v>4370.96</v>
      </c>
      <c r="I12" s="104">
        <v>4778</v>
      </c>
      <c r="J12" s="105">
        <f t="shared" si="3"/>
        <v>4861.0091065888219</v>
      </c>
      <c r="K12" s="105">
        <f t="shared" si="3"/>
        <v>4945.4603462409905</v>
      </c>
      <c r="L12" s="105">
        <f t="shared" si="3"/>
        <v>5031.3787734096613</v>
      </c>
      <c r="M12" s="105">
        <f t="shared" si="3"/>
        <v>5118.7898778237877</v>
      </c>
      <c r="N12" s="105">
        <f t="shared" si="3"/>
        <v>5207.7195920502536</v>
      </c>
      <c r="O12" s="105">
        <f t="shared" si="3"/>
        <v>5298.1942991873802</v>
      </c>
      <c r="P12" s="82">
        <f>(9.11)^0.25/100</f>
        <v>1.7373190998078946E-2</v>
      </c>
      <c r="Q12" s="55"/>
    </row>
    <row r="13" spans="1:46">
      <c r="C13" s="102" t="s">
        <v>219</v>
      </c>
      <c r="D13" s="103">
        <v>11751</v>
      </c>
      <c r="E13" s="103">
        <v>11149</v>
      </c>
      <c r="F13" s="103">
        <v>11744</v>
      </c>
      <c r="G13" s="103">
        <v>12494</v>
      </c>
      <c r="H13" s="103">
        <v>12470</v>
      </c>
      <c r="I13" s="104">
        <v>11120</v>
      </c>
      <c r="J13" s="105">
        <f t="shared" ref="J13:O13" si="4">I13*(1+$P$13)</f>
        <v>11396.105436027279</v>
      </c>
      <c r="K13" s="105">
        <f t="shared" si="4"/>
        <v>11679.066466641232</v>
      </c>
      <c r="L13" s="105">
        <f t="shared" si="4"/>
        <v>11969.053313688315</v>
      </c>
      <c r="M13" s="105">
        <f t="shared" si="4"/>
        <v>12266.240425559688</v>
      </c>
      <c r="N13" s="105">
        <f t="shared" si="4"/>
        <v>12570.806582134743</v>
      </c>
      <c r="O13" s="105">
        <f t="shared" si="4"/>
        <v>12882.935002330327</v>
      </c>
      <c r="P13" s="82">
        <f>(1.33^0.25-1)*0.42*0.8</f>
        <v>2.4829625542021477E-2</v>
      </c>
      <c r="Q13" s="55" t="s">
        <v>318</v>
      </c>
    </row>
    <row r="14" spans="1:46">
      <c r="C14" s="102" t="s">
        <v>223</v>
      </c>
      <c r="D14" s="107">
        <v>2001</v>
      </c>
      <c r="E14" s="107">
        <v>2095</v>
      </c>
      <c r="F14" s="107">
        <v>2287</v>
      </c>
      <c r="G14" s="107">
        <v>2293</v>
      </c>
      <c r="H14" s="107">
        <v>2411</v>
      </c>
      <c r="I14" s="108">
        <v>2568</v>
      </c>
      <c r="J14" s="105">
        <f>I14*(1+$P$14)</f>
        <v>2623.7070876967769</v>
      </c>
      <c r="K14" s="105">
        <f t="shared" ref="K14:O14" si="5">J14*(1+$P$14)</f>
        <v>2680.6226176130463</v>
      </c>
      <c r="L14" s="105">
        <f t="shared" si="5"/>
        <v>2738.7728042335034</v>
      </c>
      <c r="M14" s="105">
        <f t="shared" si="5"/>
        <v>2798.1844307081856</v>
      </c>
      <c r="N14" s="105">
        <f t="shared" si="5"/>
        <v>2858.8848611884105</v>
      </c>
      <c r="O14" s="105">
        <f t="shared" si="5"/>
        <v>2920.9020534303149</v>
      </c>
      <c r="P14" s="82">
        <f>(1.3^0.25-1)*0.4*0.8</f>
        <v>2.1692791159181088E-2</v>
      </c>
      <c r="Q14" s="55" t="s">
        <v>316</v>
      </c>
    </row>
    <row r="15" spans="1:46">
      <c r="C15" s="56"/>
      <c r="D15" s="56"/>
      <c r="E15" s="56"/>
      <c r="F15" s="56"/>
      <c r="G15" s="56"/>
      <c r="H15" s="56"/>
      <c r="I15" s="109"/>
      <c r="J15" s="56"/>
      <c r="K15" s="56"/>
      <c r="L15" s="56"/>
      <c r="M15" s="56"/>
      <c r="N15" s="56"/>
      <c r="O15" s="56"/>
      <c r="P15" s="125"/>
      <c r="Q15" s="55"/>
    </row>
    <row r="16" spans="1:46">
      <c r="C16" s="99" t="s">
        <v>207</v>
      </c>
      <c r="D16" s="110">
        <v>10216</v>
      </c>
      <c r="E16" s="110">
        <v>10564</v>
      </c>
      <c r="F16" s="110">
        <v>10694</v>
      </c>
      <c r="G16" s="110">
        <v>10621</v>
      </c>
      <c r="H16" s="110">
        <v>8954</v>
      </c>
      <c r="I16" s="111">
        <v>10798</v>
      </c>
      <c r="J16" s="112">
        <f t="shared" ref="J16:O16" si="6">I16*(1+$P$16)</f>
        <v>10986.566291636025</v>
      </c>
      <c r="K16" s="112">
        <f t="shared" si="6"/>
        <v>11178.425530701332</v>
      </c>
      <c r="L16" s="112">
        <f t="shared" si="6"/>
        <v>11373.63522218622</v>
      </c>
      <c r="M16" s="112">
        <f t="shared" si="6"/>
        <v>11572.253875294995</v>
      </c>
      <c r="N16" s="112">
        <f t="shared" si="6"/>
        <v>11774.341020982623</v>
      </c>
      <c r="O16" s="112">
        <f t="shared" si="6"/>
        <v>11979.957229797648</v>
      </c>
      <c r="P16" s="82">
        <f>(9.3)^0.25/100</f>
        <v>1.7463075721061802E-2</v>
      </c>
      <c r="Q16" s="55" t="s">
        <v>232</v>
      </c>
    </row>
    <row r="17" spans="2:17">
      <c r="C17" s="56"/>
      <c r="D17" s="56"/>
      <c r="E17" s="56"/>
      <c r="F17" s="56"/>
      <c r="G17" s="56"/>
      <c r="H17" s="56"/>
      <c r="I17" s="109"/>
      <c r="J17" s="56"/>
      <c r="K17" s="56"/>
      <c r="L17" s="56"/>
      <c r="M17" s="56"/>
      <c r="N17" s="56"/>
      <c r="O17" s="56"/>
      <c r="P17" s="125"/>
      <c r="Q17" s="55"/>
    </row>
    <row r="18" spans="2:17">
      <c r="C18" s="99" t="s">
        <v>208</v>
      </c>
      <c r="D18" s="110">
        <v>5911</v>
      </c>
      <c r="E18" s="110">
        <v>5699</v>
      </c>
      <c r="F18" s="110">
        <v>5789</v>
      </c>
      <c r="G18" s="110">
        <v>5686</v>
      </c>
      <c r="H18" s="110">
        <v>5425</v>
      </c>
      <c r="I18" s="111">
        <v>5553</v>
      </c>
      <c r="J18" s="112">
        <f>I18*(1+$P$18)</f>
        <v>5644.276375958214</v>
      </c>
      <c r="K18" s="112">
        <f>J18*(1+$P$16)</f>
        <v>5742.8428017021733</v>
      </c>
      <c r="L18" s="112">
        <f>K18*(1+$P$16)</f>
        <v>5843.1305004024534</v>
      </c>
      <c r="M18" s="112">
        <f>L18*(1+$P$16)</f>
        <v>5945.1695307790278</v>
      </c>
      <c r="N18" s="112">
        <f>M18*(1+$P$16)</f>
        <v>6048.9904764695721</v>
      </c>
      <c r="O18" s="112">
        <f>N18*(1+$P$16)</f>
        <v>6154.6244551961427</v>
      </c>
      <c r="P18" s="82">
        <f>(7.3)^0.25/100</f>
        <v>1.6437308834542409E-2</v>
      </c>
      <c r="Q18" s="55" t="s">
        <v>321</v>
      </c>
    </row>
    <row r="19" spans="2:17">
      <c r="C19" s="56"/>
      <c r="D19" s="56"/>
      <c r="E19" s="56"/>
      <c r="F19" s="56"/>
      <c r="G19" s="56"/>
      <c r="H19" s="56"/>
      <c r="I19" s="109"/>
      <c r="J19" s="56"/>
      <c r="K19" s="56"/>
      <c r="L19" s="56"/>
      <c r="M19" s="56"/>
      <c r="N19" s="56"/>
      <c r="O19" s="56"/>
      <c r="P19" s="55"/>
      <c r="Q19" s="55"/>
    </row>
    <row r="20" spans="2:17">
      <c r="C20" s="99" t="s">
        <v>222</v>
      </c>
      <c r="D20" s="110">
        <v>29214</v>
      </c>
      <c r="E20" s="110">
        <v>30592</v>
      </c>
      <c r="F20" s="110">
        <v>29758</v>
      </c>
      <c r="G20" s="110">
        <v>31603</v>
      </c>
      <c r="H20" s="110">
        <v>29926</v>
      </c>
      <c r="I20" s="111">
        <v>30484</v>
      </c>
      <c r="J20" s="112">
        <f>SUM(J21:J24)</f>
        <v>30902.388543277153</v>
      </c>
      <c r="K20" s="112">
        <f t="shared" ref="K20:O20" si="7">SUM(K21:K24)</f>
        <v>30952.306247710221</v>
      </c>
      <c r="L20" s="112">
        <f t="shared" si="7"/>
        <v>31069.121897210811</v>
      </c>
      <c r="M20" s="112">
        <f t="shared" si="7"/>
        <v>31301.254528841699</v>
      </c>
      <c r="N20" s="112">
        <f t="shared" si="7"/>
        <v>31439.91415299258</v>
      </c>
      <c r="O20" s="112">
        <f t="shared" si="7"/>
        <v>31608.254031595916</v>
      </c>
      <c r="P20" s="55"/>
      <c r="Q20" s="55"/>
    </row>
    <row r="21" spans="2:17">
      <c r="C21" s="102" t="s">
        <v>234</v>
      </c>
      <c r="D21" s="103">
        <v>6968</v>
      </c>
      <c r="E21" s="103">
        <v>7371</v>
      </c>
      <c r="F21" s="103">
        <v>7684</v>
      </c>
      <c r="G21" s="103">
        <v>7834</v>
      </c>
      <c r="H21" s="103">
        <v>8762</v>
      </c>
      <c r="I21" s="104">
        <v>8334</v>
      </c>
      <c r="J21" s="105">
        <f>AVERAGE(G21:I21)</f>
        <v>8310</v>
      </c>
      <c r="K21" s="105">
        <f t="shared" ref="K21:K24" si="8">AVERAGE(H21:J21)</f>
        <v>8468.6666666666661</v>
      </c>
      <c r="L21" s="105">
        <f t="shared" ref="L21:L24" si="9">AVERAGE(I21:K21)</f>
        <v>8370.8888888888887</v>
      </c>
      <c r="M21" s="105">
        <f t="shared" ref="M21:M24" si="10">AVERAGE(J21:L21)</f>
        <v>8383.1851851851843</v>
      </c>
      <c r="N21" s="105">
        <f t="shared" ref="N21:N24" si="11">AVERAGE(K21:M21)</f>
        <v>8407.5802469135797</v>
      </c>
      <c r="O21" s="105">
        <f t="shared" ref="O21:O24" si="12">AVERAGE(L21:N21)</f>
        <v>8387.2181069958842</v>
      </c>
      <c r="P21" s="55"/>
      <c r="Q21" s="55" t="s">
        <v>238</v>
      </c>
    </row>
    <row r="22" spans="2:17">
      <c r="C22" s="102" t="s">
        <v>235</v>
      </c>
      <c r="D22" s="103">
        <v>9370</v>
      </c>
      <c r="E22" s="103">
        <v>9427</v>
      </c>
      <c r="F22" s="103">
        <v>8982</v>
      </c>
      <c r="G22" s="103">
        <v>9510</v>
      </c>
      <c r="H22" s="103">
        <v>8135</v>
      </c>
      <c r="I22" s="104">
        <v>9076</v>
      </c>
      <c r="J22" s="105">
        <f>I22*(1+$P$22)</f>
        <v>9138.3885432771567</v>
      </c>
      <c r="K22" s="105">
        <f>J22*(1+$P$16)</f>
        <v>9297.9729143768891</v>
      </c>
      <c r="L22" s="105">
        <f>K22*(1+$P$16)</f>
        <v>9460.3441194330353</v>
      </c>
      <c r="M22" s="105">
        <f>L22*(1+$P$16)</f>
        <v>9625.5508251379961</v>
      </c>
      <c r="N22" s="105">
        <f>M22*(1+$P$16)</f>
        <v>9793.6425480543112</v>
      </c>
      <c r="O22" s="105">
        <f>N22*(1+$P$16)</f>
        <v>9964.6696694559978</v>
      </c>
      <c r="P22" s="113">
        <f>(AVERAGE(F43:F47))^0.2/100</f>
        <v>6.8740131420400863E-3</v>
      </c>
      <c r="Q22" s="55" t="s">
        <v>306</v>
      </c>
    </row>
    <row r="23" spans="2:17">
      <c r="C23" s="102" t="s">
        <v>236</v>
      </c>
      <c r="D23" s="103">
        <v>10763</v>
      </c>
      <c r="E23" s="103">
        <v>11239</v>
      </c>
      <c r="F23" s="103">
        <v>10985</v>
      </c>
      <c r="G23" s="103">
        <v>11343</v>
      </c>
      <c r="H23" s="103">
        <v>11430</v>
      </c>
      <c r="I23" s="104">
        <v>11027</v>
      </c>
      <c r="J23" s="105">
        <f>AVERAGE(G23:I23)</f>
        <v>11266.666666666666</v>
      </c>
      <c r="K23" s="105">
        <f t="shared" si="8"/>
        <v>11241.222222222221</v>
      </c>
      <c r="L23" s="105">
        <f t="shared" si="9"/>
        <v>11178.296296296294</v>
      </c>
      <c r="M23" s="105">
        <f t="shared" si="10"/>
        <v>11228.728395061727</v>
      </c>
      <c r="N23" s="105">
        <f t="shared" si="11"/>
        <v>11216.082304526746</v>
      </c>
      <c r="O23" s="105">
        <f t="shared" si="12"/>
        <v>11207.702331961589</v>
      </c>
      <c r="P23" s="55"/>
      <c r="Q23" s="55" t="s">
        <v>238</v>
      </c>
    </row>
    <row r="24" spans="2:17">
      <c r="C24" s="102" t="s">
        <v>237</v>
      </c>
      <c r="D24" s="103">
        <v>2114</v>
      </c>
      <c r="E24" s="103">
        <v>2555</v>
      </c>
      <c r="F24" s="103">
        <v>2107</v>
      </c>
      <c r="G24" s="103">
        <v>2916</v>
      </c>
      <c r="H24" s="103">
        <v>1599</v>
      </c>
      <c r="I24" s="104">
        <v>2047</v>
      </c>
      <c r="J24" s="105">
        <f>AVERAGE(G24:I24)</f>
        <v>2187.3333333333335</v>
      </c>
      <c r="K24" s="105">
        <f t="shared" si="8"/>
        <v>1944.4444444444446</v>
      </c>
      <c r="L24" s="105">
        <f t="shared" si="9"/>
        <v>2059.5925925925926</v>
      </c>
      <c r="M24" s="105">
        <f t="shared" si="10"/>
        <v>2063.7901234567903</v>
      </c>
      <c r="N24" s="105">
        <f t="shared" si="11"/>
        <v>2022.6090534979423</v>
      </c>
      <c r="O24" s="105">
        <f t="shared" si="12"/>
        <v>2048.6639231824415</v>
      </c>
      <c r="P24" s="55"/>
      <c r="Q24" s="55" t="s">
        <v>238</v>
      </c>
    </row>
    <row r="25" spans="2:17">
      <c r="C25" s="56"/>
      <c r="D25" s="56"/>
      <c r="E25" s="56"/>
      <c r="F25" s="56"/>
      <c r="G25" s="56"/>
      <c r="H25" s="56"/>
      <c r="I25" s="109"/>
      <c r="J25" s="56"/>
      <c r="K25" s="56"/>
      <c r="L25" s="56"/>
      <c r="M25" s="56"/>
      <c r="N25" s="56"/>
      <c r="O25" s="56"/>
    </row>
    <row r="26" spans="2:17">
      <c r="C26" s="102" t="s">
        <v>305</v>
      </c>
      <c r="D26" s="103">
        <v>-1496.3945399999939</v>
      </c>
      <c r="E26" s="103">
        <v>-1519.2539400000096</v>
      </c>
      <c r="F26" s="103">
        <v>-1819.2150899999979</v>
      </c>
      <c r="G26" s="103">
        <v>-1451.3182000000088</v>
      </c>
      <c r="H26" s="103">
        <v>-1466.2894499999966</v>
      </c>
      <c r="I26" s="104">
        <v>-1336.2422700000025</v>
      </c>
      <c r="J26" s="56"/>
      <c r="K26" s="56"/>
      <c r="L26" s="56"/>
      <c r="M26" s="56"/>
      <c r="N26" s="56"/>
      <c r="O26" s="56"/>
      <c r="Q26" s="55" t="s">
        <v>313</v>
      </c>
    </row>
    <row r="27" spans="2:17">
      <c r="C27" s="102"/>
      <c r="D27" s="103"/>
      <c r="E27" s="103"/>
      <c r="F27" s="103"/>
      <c r="G27" s="103"/>
      <c r="H27" s="103"/>
      <c r="I27" s="115"/>
      <c r="J27" s="56"/>
      <c r="K27" s="56"/>
      <c r="L27" s="56"/>
      <c r="M27" s="56"/>
      <c r="N27" s="56"/>
      <c r="O27" s="56"/>
      <c r="Q27" s="55"/>
    </row>
    <row r="28" spans="2:17">
      <c r="D28" s="129" t="s">
        <v>319</v>
      </c>
      <c r="E28" s="129"/>
      <c r="F28" s="126"/>
      <c r="G28" s="129" t="s">
        <v>320</v>
      </c>
      <c r="H28" s="129"/>
    </row>
    <row r="29" spans="2:17">
      <c r="B29" s="34"/>
      <c r="D29" s="127" t="s">
        <v>314</v>
      </c>
      <c r="E29" s="128">
        <v>0.33</v>
      </c>
      <c r="F29" s="126"/>
      <c r="G29" s="127" t="s">
        <v>314</v>
      </c>
      <c r="H29" s="128">
        <v>0.3</v>
      </c>
    </row>
    <row r="30" spans="2:17">
      <c r="B30" s="34"/>
      <c r="D30" s="127" t="s">
        <v>315</v>
      </c>
      <c r="E30" s="128">
        <v>0.42</v>
      </c>
      <c r="F30" s="126"/>
      <c r="G30" s="127" t="s">
        <v>315</v>
      </c>
      <c r="H30" s="128">
        <v>0.4</v>
      </c>
    </row>
    <row r="31" spans="2:17">
      <c r="B31" s="34"/>
      <c r="D31" s="127" t="s">
        <v>317</v>
      </c>
      <c r="E31" s="128">
        <v>0.2</v>
      </c>
      <c r="F31" s="126"/>
      <c r="G31" s="127" t="s">
        <v>317</v>
      </c>
      <c r="H31" s="128">
        <v>0.2</v>
      </c>
    </row>
    <row r="32" spans="2:17">
      <c r="B32" s="34"/>
    </row>
    <row r="33" spans="3:6">
      <c r="C33" s="19"/>
    </row>
    <row r="34" spans="3:6">
      <c r="C34" s="19"/>
      <c r="D34" s="35" t="s">
        <v>239</v>
      </c>
    </row>
    <row r="35" spans="3:6">
      <c r="C35" s="19"/>
      <c r="D35" s="118" t="s">
        <v>253</v>
      </c>
      <c r="E35" s="119" t="s">
        <v>240</v>
      </c>
      <c r="F35" s="119" t="s">
        <v>302</v>
      </c>
    </row>
    <row r="36" spans="3:6">
      <c r="C36" s="19"/>
      <c r="D36" s="114" t="s">
        <v>241</v>
      </c>
      <c r="E36" s="115">
        <v>140598</v>
      </c>
      <c r="F36" s="116">
        <v>8.2000000000000003E-2</v>
      </c>
    </row>
    <row r="37" spans="3:6">
      <c r="C37" s="19"/>
      <c r="D37" s="114" t="s">
        <v>242</v>
      </c>
      <c r="E37" s="115">
        <v>150931</v>
      </c>
      <c r="F37" s="116">
        <v>7.2999999999999995E-2</v>
      </c>
    </row>
    <row r="38" spans="3:6">
      <c r="C38" s="19"/>
      <c r="D38" s="114" t="s">
        <v>243</v>
      </c>
      <c r="E38" s="115">
        <v>162325</v>
      </c>
      <c r="F38" s="116">
        <v>7.4999999999999997E-2</v>
      </c>
    </row>
    <row r="39" spans="3:6">
      <c r="C39" s="19"/>
      <c r="D39" s="114" t="s">
        <v>244</v>
      </c>
      <c r="E39" s="115">
        <v>181596</v>
      </c>
      <c r="F39" s="116">
        <v>0.1187</v>
      </c>
    </row>
    <row r="40" spans="3:6">
      <c r="C40" s="19"/>
      <c r="D40" s="114" t="s">
        <v>245</v>
      </c>
      <c r="E40" s="115">
        <v>204666</v>
      </c>
      <c r="F40" s="116">
        <v>0.127</v>
      </c>
    </row>
    <row r="41" spans="3:6">
      <c r="C41" s="19"/>
      <c r="D41" s="114" t="s">
        <v>246</v>
      </c>
      <c r="E41" s="115">
        <v>231946</v>
      </c>
      <c r="F41" s="116">
        <v>0.1333</v>
      </c>
    </row>
    <row r="42" spans="3:6">
      <c r="C42" s="19"/>
      <c r="D42" s="114" t="s">
        <v>247</v>
      </c>
      <c r="E42" s="115">
        <v>254278</v>
      </c>
      <c r="F42" s="116">
        <v>9.6000000000000002E-2</v>
      </c>
    </row>
    <row r="43" spans="3:6">
      <c r="C43" s="19"/>
      <c r="D43" s="114" t="s">
        <v>248</v>
      </c>
      <c r="E43" s="115">
        <v>278980</v>
      </c>
      <c r="F43" s="117">
        <v>9.7199999999999995E-2</v>
      </c>
    </row>
    <row r="44" spans="3:6">
      <c r="C44" s="19"/>
      <c r="D44" s="114" t="s">
        <v>249</v>
      </c>
      <c r="E44" s="115">
        <v>337373</v>
      </c>
      <c r="F44" s="117">
        <v>0.20930000000000001</v>
      </c>
    </row>
    <row r="45" spans="3:6">
      <c r="C45" s="19"/>
      <c r="D45" s="114" t="s">
        <v>250</v>
      </c>
      <c r="E45" s="115">
        <v>362967</v>
      </c>
      <c r="F45" s="117">
        <v>7.5899999999999995E-2</v>
      </c>
    </row>
    <row r="46" spans="3:6">
      <c r="C46" s="19"/>
      <c r="D46" s="114" t="s">
        <v>251</v>
      </c>
      <c r="E46" s="115">
        <v>421221</v>
      </c>
      <c r="F46" s="117">
        <v>0.1605</v>
      </c>
    </row>
    <row r="47" spans="3:6">
      <c r="C47" s="19"/>
      <c r="D47" s="114" t="s">
        <v>252</v>
      </c>
      <c r="E47" s="115">
        <v>515785</v>
      </c>
      <c r="F47" s="117">
        <v>0.22450000000000001</v>
      </c>
    </row>
    <row r="48" spans="3:6">
      <c r="C48" s="19"/>
    </row>
    <row r="49" spans="3:3">
      <c r="C49" s="19"/>
    </row>
    <row r="50" spans="3:3">
      <c r="C50" s="19"/>
    </row>
    <row r="51" spans="3:3">
      <c r="C51" s="19"/>
    </row>
    <row r="52" spans="3:3">
      <c r="C52" s="19"/>
    </row>
    <row r="1048560" spans="7:7">
      <c r="G1048560" s="34">
        <v>7834</v>
      </c>
    </row>
  </sheetData>
  <phoneticPr fontId="2" type="noConversion"/>
  <pageMargins left="0.7" right="0.7" top="0.75" bottom="0.75" header="0.3" footer="0.3"/>
  <ignoredErrors>
    <ignoredError sqref="J21 J23:J24" formulaRange="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64641-B598-400A-8408-3B2837630670}">
  <dimension ref="B1:F11"/>
  <sheetViews>
    <sheetView zoomScale="59" workbookViewId="0">
      <selection activeCell="B2" sqref="B2"/>
    </sheetView>
  </sheetViews>
  <sheetFormatPr defaultColWidth="8.69921875" defaultRowHeight="17.399999999999999"/>
  <cols>
    <col min="1" max="16384" width="8.69921875" style="19"/>
  </cols>
  <sheetData>
    <row r="1" spans="2:6" s="23" customFormat="1"/>
    <row r="2" spans="2:6" s="23" customFormat="1" ht="18">
      <c r="B2" s="24" t="s">
        <v>308</v>
      </c>
    </row>
    <row r="4" spans="2:6">
      <c r="F4"/>
    </row>
    <row r="10" spans="2:6" s="20" customFormat="1" ht="18">
      <c r="B10" s="21" t="s">
        <v>303</v>
      </c>
    </row>
    <row r="11" spans="2:6" s="22" customFormat="1"/>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3CFF2-ABB7-4ED9-B975-BD9337341174}">
  <dimension ref="A1:L84"/>
  <sheetViews>
    <sheetView showGridLines="0" zoomScaleNormal="100" workbookViewId="0">
      <selection activeCell="C25" sqref="C25"/>
    </sheetView>
  </sheetViews>
  <sheetFormatPr defaultRowHeight="17.399999999999999"/>
  <cols>
    <col min="1" max="1" width="9.19921875" bestFit="1" customWidth="1"/>
    <col min="2" max="2" width="47.09765625" bestFit="1" customWidth="1"/>
    <col min="3" max="3" width="11.5" bestFit="1" customWidth="1"/>
    <col min="7" max="12" width="9" bestFit="1" customWidth="1"/>
  </cols>
  <sheetData>
    <row r="1" spans="1:12">
      <c r="A1" s="2" t="s">
        <v>0</v>
      </c>
      <c r="B1" s="2"/>
      <c r="C1" s="2"/>
      <c r="D1" s="2"/>
      <c r="E1" s="2"/>
      <c r="F1" s="2"/>
      <c r="G1" s="2"/>
      <c r="H1" s="2"/>
      <c r="I1" s="2"/>
      <c r="J1" s="2"/>
      <c r="K1" s="2"/>
      <c r="L1" s="2"/>
    </row>
    <row r="2" spans="1:12">
      <c r="A2" s="3" t="s">
        <v>3</v>
      </c>
      <c r="B2" s="3" t="s">
        <v>80</v>
      </c>
      <c r="C2" s="3"/>
      <c r="D2" s="3"/>
      <c r="E2" s="3"/>
      <c r="F2" s="3"/>
      <c r="G2" s="3"/>
      <c r="H2" s="3"/>
      <c r="I2" s="3"/>
      <c r="J2" s="3"/>
      <c r="K2" s="3"/>
      <c r="L2" s="3"/>
    </row>
    <row r="3" spans="1:12">
      <c r="A3" s="3" t="s">
        <v>4</v>
      </c>
      <c r="B3" s="7" t="s">
        <v>85</v>
      </c>
      <c r="C3" s="3" t="s">
        <v>1</v>
      </c>
      <c r="D3" s="3" t="s">
        <v>84</v>
      </c>
      <c r="E3" s="3"/>
      <c r="F3" s="3"/>
      <c r="G3" s="3"/>
      <c r="H3" s="3"/>
      <c r="I3" s="3"/>
      <c r="J3" s="3"/>
      <c r="K3" s="3"/>
      <c r="L3" s="3"/>
    </row>
    <row r="4" spans="1:12">
      <c r="A4" s="3" t="s">
        <v>5</v>
      </c>
      <c r="B4" s="10" t="s">
        <v>81</v>
      </c>
      <c r="C4" s="3" t="s">
        <v>2</v>
      </c>
      <c r="D4" s="3"/>
      <c r="E4" s="3"/>
      <c r="F4" s="3"/>
      <c r="G4" s="3"/>
      <c r="H4" s="3"/>
      <c r="I4" s="3"/>
      <c r="J4" s="3"/>
      <c r="K4" s="3"/>
      <c r="L4" s="3"/>
    </row>
    <row r="5" spans="1:12">
      <c r="A5" s="3" t="s">
        <v>6</v>
      </c>
      <c r="B5" s="8" t="s">
        <v>82</v>
      </c>
      <c r="C5" s="3"/>
      <c r="D5" s="3"/>
      <c r="E5" s="3"/>
      <c r="F5" s="3"/>
      <c r="G5" s="3"/>
      <c r="H5" s="3"/>
      <c r="I5" s="3"/>
      <c r="J5" s="3"/>
      <c r="K5" s="3"/>
      <c r="L5" s="3"/>
    </row>
    <row r="6" spans="1:12">
      <c r="A6" s="3" t="s">
        <v>7</v>
      </c>
      <c r="B6" s="11" t="s">
        <v>83</v>
      </c>
      <c r="C6" s="8" t="s">
        <v>271</v>
      </c>
      <c r="D6" s="3"/>
      <c r="E6" s="3"/>
      <c r="F6" s="3"/>
      <c r="G6" s="3"/>
      <c r="H6" s="3"/>
      <c r="I6" s="3"/>
      <c r="J6" s="3"/>
      <c r="K6" s="3"/>
      <c r="L6" s="3"/>
    </row>
    <row r="7" spans="1:12">
      <c r="A7" s="4" t="s">
        <v>79</v>
      </c>
      <c r="B7" s="9">
        <v>2021</v>
      </c>
      <c r="C7" s="7" t="s">
        <v>86</v>
      </c>
      <c r="D7" s="4"/>
      <c r="E7" s="4"/>
      <c r="F7" s="4"/>
      <c r="G7" s="47"/>
      <c r="H7" s="47"/>
      <c r="I7" s="47"/>
      <c r="J7" s="47"/>
      <c r="K7" s="47"/>
      <c r="L7" s="47"/>
    </row>
    <row r="8" spans="1:12">
      <c r="A8" s="5" t="s">
        <v>8</v>
      </c>
      <c r="B8" s="12" t="s">
        <v>9</v>
      </c>
      <c r="C8" s="12" t="s">
        <v>10</v>
      </c>
      <c r="D8" s="5">
        <v>202112</v>
      </c>
      <c r="E8" s="5">
        <v>202212</v>
      </c>
      <c r="F8" s="5">
        <v>202312</v>
      </c>
      <c r="G8" s="48" t="s">
        <v>264</v>
      </c>
      <c r="H8" s="48" t="s">
        <v>265</v>
      </c>
      <c r="I8" s="48" t="s">
        <v>266</v>
      </c>
      <c r="J8" s="48" t="s">
        <v>267</v>
      </c>
      <c r="K8" s="48" t="s">
        <v>268</v>
      </c>
      <c r="L8" s="48" t="s">
        <v>269</v>
      </c>
    </row>
    <row r="9" spans="1:12">
      <c r="A9" s="6"/>
      <c r="B9" s="6"/>
      <c r="C9" s="6"/>
      <c r="D9" s="6" t="s">
        <v>11</v>
      </c>
      <c r="E9" s="6" t="s">
        <v>11</v>
      </c>
      <c r="F9" s="6" t="s">
        <v>11</v>
      </c>
      <c r="G9" s="49" t="s">
        <v>11</v>
      </c>
      <c r="H9" s="49" t="s">
        <v>11</v>
      </c>
      <c r="I9" s="49" t="s">
        <v>11</v>
      </c>
      <c r="J9" s="49" t="s">
        <v>11</v>
      </c>
      <c r="K9" s="49" t="s">
        <v>11</v>
      </c>
      <c r="L9" s="49" t="s">
        <v>11</v>
      </c>
    </row>
    <row r="10" spans="1:12">
      <c r="A10" s="13">
        <v>4001190010</v>
      </c>
      <c r="B10" s="13" t="s">
        <v>12</v>
      </c>
      <c r="C10" s="51" t="s">
        <v>272</v>
      </c>
      <c r="D10" s="14">
        <v>268558.04277</v>
      </c>
      <c r="E10" s="14">
        <v>300132.41845</v>
      </c>
      <c r="F10" s="14">
        <v>296062.79550999997</v>
      </c>
      <c r="G10" s="14">
        <v>302660.22683</v>
      </c>
      <c r="H10" s="14">
        <v>301842.26777999999</v>
      </c>
      <c r="I10" s="14">
        <v>289415.53847999999</v>
      </c>
      <c r="J10" s="14">
        <v>301499.97467000003</v>
      </c>
      <c r="K10" s="14">
        <v>302565.91579</v>
      </c>
      <c r="L10" s="14">
        <v>296581.92442</v>
      </c>
    </row>
    <row r="11" spans="1:12">
      <c r="A11" s="13">
        <v>4001190240</v>
      </c>
      <c r="B11" s="13" t="s">
        <v>13</v>
      </c>
      <c r="C11" s="51" t="s">
        <v>272</v>
      </c>
      <c r="D11" s="14">
        <v>77256.009449999998</v>
      </c>
      <c r="E11" s="14">
        <v>97880.44124</v>
      </c>
      <c r="F11" s="14">
        <v>95802.375590000011</v>
      </c>
      <c r="G11" s="14">
        <v>100480.53021</v>
      </c>
      <c r="H11" s="14">
        <v>98972.012050000005</v>
      </c>
      <c r="I11" s="14">
        <v>91931.751250000001</v>
      </c>
      <c r="J11" s="14">
        <v>94942.533680000008</v>
      </c>
      <c r="K11" s="14">
        <v>96195.496500000008</v>
      </c>
      <c r="L11" s="14">
        <v>88266.658060000002</v>
      </c>
    </row>
    <row r="12" spans="1:12">
      <c r="A12" s="13">
        <v>4001190250</v>
      </c>
      <c r="B12" s="13" t="s">
        <v>14</v>
      </c>
      <c r="C12" s="51" t="s">
        <v>272</v>
      </c>
      <c r="D12" s="14">
        <v>23382.515159999999</v>
      </c>
      <c r="E12" s="14">
        <v>32014.46372</v>
      </c>
      <c r="F12" s="14">
        <v>26494.056579999997</v>
      </c>
      <c r="G12" s="14">
        <v>27671.653280000002</v>
      </c>
      <c r="H12" s="14">
        <v>27610.196039999999</v>
      </c>
      <c r="I12" s="14">
        <v>24490.356349999998</v>
      </c>
      <c r="J12" s="14">
        <v>24285.44168</v>
      </c>
      <c r="K12" s="14">
        <v>25869.288139999997</v>
      </c>
      <c r="L12" s="14">
        <v>27311.28599</v>
      </c>
    </row>
    <row r="13" spans="1:12">
      <c r="A13" s="13">
        <v>4001190260</v>
      </c>
      <c r="B13" s="13" t="s">
        <v>15</v>
      </c>
      <c r="C13" s="51" t="s">
        <v>272</v>
      </c>
      <c r="D13" s="14">
        <v>1966.4960500000002</v>
      </c>
      <c r="E13" s="14">
        <v>2281.5992999999999</v>
      </c>
      <c r="F13" s="14">
        <v>1669.46183</v>
      </c>
      <c r="G13" s="14">
        <v>1598.40434</v>
      </c>
      <c r="H13" s="14">
        <v>1738.5207999999998</v>
      </c>
      <c r="I13" s="14">
        <v>1613.8351699999998</v>
      </c>
      <c r="J13" s="14">
        <v>1547.94202</v>
      </c>
      <c r="K13" s="14">
        <v>1627.44732</v>
      </c>
      <c r="L13" s="14">
        <v>1541.8247899999999</v>
      </c>
    </row>
    <row r="14" spans="1:12">
      <c r="A14" s="13">
        <v>4001190270</v>
      </c>
      <c r="B14" s="13" t="s">
        <v>16</v>
      </c>
      <c r="C14" s="51" t="s">
        <v>272</v>
      </c>
      <c r="D14" s="14">
        <v>3247.1759299999999</v>
      </c>
      <c r="E14" s="14">
        <v>6029.4771699999992</v>
      </c>
      <c r="F14" s="14">
        <v>3383.1614600000003</v>
      </c>
      <c r="G14" s="14">
        <v>7755.9067700000005</v>
      </c>
      <c r="H14" s="14">
        <v>7301.31203</v>
      </c>
      <c r="I14" s="14">
        <v>6370.6586100000004</v>
      </c>
      <c r="J14" s="14">
        <v>6317.9977399999998</v>
      </c>
      <c r="K14" s="14">
        <v>7315.7679500000004</v>
      </c>
      <c r="L14" s="14">
        <v>7389.3543999999993</v>
      </c>
    </row>
    <row r="15" spans="1:12">
      <c r="A15" s="13">
        <v>4001190300</v>
      </c>
      <c r="B15" s="13" t="s">
        <v>17</v>
      </c>
      <c r="C15" s="51" t="s">
        <v>272</v>
      </c>
      <c r="D15" s="14">
        <v>29208.283339999998</v>
      </c>
      <c r="E15" s="14">
        <v>31361.29567</v>
      </c>
      <c r="F15" s="14">
        <v>29405.456320000001</v>
      </c>
      <c r="G15" s="14">
        <v>26880.192710000003</v>
      </c>
      <c r="H15" s="14">
        <v>28297.071340000002</v>
      </c>
      <c r="I15" s="14">
        <v>27528.29679</v>
      </c>
      <c r="J15" s="14">
        <v>32518.7192</v>
      </c>
      <c r="K15" s="14">
        <v>28686.029429999999</v>
      </c>
      <c r="L15" s="14">
        <v>30102.852599999998</v>
      </c>
    </row>
    <row r="16" spans="1:12">
      <c r="A16" s="13">
        <v>4001113900</v>
      </c>
      <c r="B16" s="13" t="s">
        <v>18</v>
      </c>
      <c r="C16" s="51" t="s">
        <v>272</v>
      </c>
      <c r="D16" s="14">
        <v>0</v>
      </c>
      <c r="E16" s="14">
        <v>0</v>
      </c>
      <c r="F16" s="14">
        <v>0</v>
      </c>
      <c r="G16" s="14">
        <v>0</v>
      </c>
      <c r="H16" s="14">
        <v>0</v>
      </c>
      <c r="I16" s="14">
        <v>0</v>
      </c>
      <c r="J16" s="14">
        <v>0</v>
      </c>
      <c r="K16" s="14">
        <v>0</v>
      </c>
      <c r="L16" s="14">
        <v>0</v>
      </c>
    </row>
    <row r="17" spans="1:12">
      <c r="A17" s="13">
        <v>4001180995</v>
      </c>
      <c r="B17" s="13" t="s">
        <v>19</v>
      </c>
      <c r="C17" s="51" t="s">
        <v>272</v>
      </c>
      <c r="D17" s="14">
        <v>3102.6356599999999</v>
      </c>
      <c r="E17" s="14">
        <v>3049.2381099999998</v>
      </c>
      <c r="F17" s="14">
        <v>2799.5718199999997</v>
      </c>
      <c r="G17" s="14">
        <v>3741.4113199999997</v>
      </c>
      <c r="H17" s="14">
        <v>3631.9492700000001</v>
      </c>
      <c r="I17" s="14">
        <v>3832.2920199999999</v>
      </c>
      <c r="J17" s="14">
        <v>4136.8987299999999</v>
      </c>
      <c r="K17" s="14">
        <v>4477.2989299999999</v>
      </c>
      <c r="L17" s="14">
        <v>3817.2372499999997</v>
      </c>
    </row>
    <row r="18" spans="1:12">
      <c r="A18" s="13">
        <v>4001113903</v>
      </c>
      <c r="B18" s="13" t="s">
        <v>20</v>
      </c>
      <c r="C18" s="51" t="s">
        <v>272</v>
      </c>
      <c r="D18" s="14">
        <v>0</v>
      </c>
      <c r="E18" s="14">
        <v>0</v>
      </c>
      <c r="F18" s="14">
        <v>0</v>
      </c>
      <c r="G18" s="14">
        <v>0</v>
      </c>
      <c r="H18" s="14">
        <v>0</v>
      </c>
      <c r="I18" s="14">
        <v>0</v>
      </c>
      <c r="J18" s="14">
        <v>0</v>
      </c>
      <c r="K18" s="14">
        <v>0</v>
      </c>
      <c r="L18" s="14">
        <v>0</v>
      </c>
    </row>
    <row r="19" spans="1:12">
      <c r="A19" s="13">
        <v>4001113904</v>
      </c>
      <c r="B19" s="13" t="s">
        <v>21</v>
      </c>
      <c r="C19" s="51" t="s">
        <v>272</v>
      </c>
      <c r="D19" s="14">
        <v>0</v>
      </c>
      <c r="E19" s="14">
        <v>0</v>
      </c>
      <c r="F19" s="14">
        <v>0</v>
      </c>
      <c r="G19" s="14">
        <v>0</v>
      </c>
      <c r="H19" s="14">
        <v>0</v>
      </c>
      <c r="I19" s="14">
        <v>0</v>
      </c>
      <c r="J19" s="14">
        <v>0</v>
      </c>
      <c r="K19" s="14">
        <v>0</v>
      </c>
      <c r="L19" s="14">
        <v>0</v>
      </c>
    </row>
    <row r="20" spans="1:12">
      <c r="A20" s="13">
        <v>4001190340</v>
      </c>
      <c r="B20" s="13" t="s">
        <v>22</v>
      </c>
      <c r="C20" s="51" t="s">
        <v>272</v>
      </c>
      <c r="D20" s="14">
        <v>5083.1391999999996</v>
      </c>
      <c r="E20" s="14">
        <v>4884.0936899999997</v>
      </c>
      <c r="F20" s="14">
        <v>4443.5945600000005</v>
      </c>
      <c r="G20" s="14">
        <v>4825.3767399999997</v>
      </c>
      <c r="H20" s="14">
        <v>4431.6166400000002</v>
      </c>
      <c r="I20" s="14">
        <v>4618.8255499999996</v>
      </c>
      <c r="J20" s="14">
        <v>3931.7303200000001</v>
      </c>
      <c r="K20" s="14">
        <v>4522.1027399999994</v>
      </c>
      <c r="L20" s="14">
        <v>5266.1611699999994</v>
      </c>
    </row>
    <row r="21" spans="1:12">
      <c r="A21" s="13">
        <v>4001190370</v>
      </c>
      <c r="B21" s="13" t="s">
        <v>23</v>
      </c>
      <c r="C21" s="51" t="s">
        <v>272</v>
      </c>
      <c r="D21" s="14">
        <v>10968.701520000001</v>
      </c>
      <c r="E21" s="14">
        <v>17972.57804</v>
      </c>
      <c r="F21" s="14">
        <v>18536.106329999999</v>
      </c>
      <c r="G21" s="14">
        <v>17886.290059999999</v>
      </c>
      <c r="H21" s="14">
        <v>15676.72968</v>
      </c>
      <c r="I21" s="14">
        <v>14752.795759999999</v>
      </c>
      <c r="J21" s="14">
        <v>12723.98631</v>
      </c>
      <c r="K21" s="14">
        <v>13762.69751</v>
      </c>
      <c r="L21" s="14">
        <v>12622.6577</v>
      </c>
    </row>
    <row r="22" spans="1:12">
      <c r="A22" s="13">
        <v>4001114130</v>
      </c>
      <c r="B22" s="13" t="s">
        <v>24</v>
      </c>
      <c r="C22" s="51" t="s">
        <v>272</v>
      </c>
      <c r="D22" s="14">
        <v>297.06261000000001</v>
      </c>
      <c r="E22" s="14">
        <v>287.69553999999999</v>
      </c>
      <c r="F22" s="14">
        <v>9070.9666899999993</v>
      </c>
      <c r="G22" s="14">
        <v>10121.29499</v>
      </c>
      <c r="H22" s="14">
        <v>10284.616249999999</v>
      </c>
      <c r="I22" s="14">
        <v>8724.6909999999989</v>
      </c>
      <c r="J22" s="14">
        <v>9479.8176800000001</v>
      </c>
      <c r="K22" s="14">
        <v>9934.8644800000002</v>
      </c>
      <c r="L22" s="14">
        <v>215.28416000000001</v>
      </c>
    </row>
    <row r="23" spans="1:12">
      <c r="A23" s="13">
        <v>4001190020</v>
      </c>
      <c r="B23" s="13" t="s">
        <v>25</v>
      </c>
      <c r="C23" s="51" t="s">
        <v>272</v>
      </c>
      <c r="D23" s="14">
        <v>191302.03331999999</v>
      </c>
      <c r="E23" s="14">
        <v>202251.97721000001</v>
      </c>
      <c r="F23" s="14">
        <v>200260.41991999999</v>
      </c>
      <c r="G23" s="14">
        <v>202179.69662</v>
      </c>
      <c r="H23" s="14">
        <v>202870.25572999998</v>
      </c>
      <c r="I23" s="14">
        <v>197483.78723000002</v>
      </c>
      <c r="J23" s="14">
        <v>206557.44099</v>
      </c>
      <c r="K23" s="14">
        <v>206370.41929000002</v>
      </c>
      <c r="L23" s="14">
        <v>208315.26636000001</v>
      </c>
    </row>
    <row r="24" spans="1:12">
      <c r="A24" s="13">
        <v>4001190030</v>
      </c>
      <c r="B24" s="13" t="s">
        <v>26</v>
      </c>
      <c r="C24" s="51" t="s">
        <v>272</v>
      </c>
      <c r="D24" s="14">
        <v>111608.66009999999</v>
      </c>
      <c r="E24" s="14">
        <v>119125.3288</v>
      </c>
      <c r="F24" s="14">
        <v>118754.28266000001</v>
      </c>
      <c r="G24" s="14">
        <v>119985.60201999999</v>
      </c>
      <c r="H24" s="14">
        <v>120723.17917999999</v>
      </c>
      <c r="I24" s="14">
        <v>118005.16096000001</v>
      </c>
      <c r="J24" s="14">
        <v>122581.94313999999</v>
      </c>
      <c r="K24" s="14">
        <v>123149.22159</v>
      </c>
      <c r="L24" s="14">
        <v>120753.74430999999</v>
      </c>
    </row>
    <row r="25" spans="1:12">
      <c r="A25" s="13">
        <v>4001190070</v>
      </c>
      <c r="B25" s="13" t="s">
        <v>27</v>
      </c>
      <c r="C25" s="51" t="s">
        <v>272</v>
      </c>
      <c r="D25" s="14">
        <v>45202.993699999999</v>
      </c>
      <c r="E25" s="14">
        <v>46584.539859999997</v>
      </c>
      <c r="F25" s="14">
        <v>43083.01655</v>
      </c>
      <c r="G25" s="14">
        <v>44220.711849999992</v>
      </c>
      <c r="H25" s="14">
        <v>44817.557390000002</v>
      </c>
      <c r="I25" s="14">
        <v>43306.560480000007</v>
      </c>
      <c r="J25" s="14">
        <v>45406.278180000001</v>
      </c>
      <c r="K25" s="14">
        <v>45273.767829999997</v>
      </c>
      <c r="L25" s="14">
        <v>45706.79191</v>
      </c>
    </row>
    <row r="26" spans="1:12">
      <c r="A26" s="13">
        <v>4001190110</v>
      </c>
      <c r="B26" s="13" t="s">
        <v>28</v>
      </c>
      <c r="C26" s="51" t="s">
        <v>272</v>
      </c>
      <c r="D26" s="14">
        <v>0</v>
      </c>
      <c r="E26" s="14">
        <v>0</v>
      </c>
      <c r="F26" s="14">
        <v>0</v>
      </c>
      <c r="G26" s="14">
        <v>0</v>
      </c>
      <c r="H26" s="14">
        <v>0</v>
      </c>
      <c r="I26" s="14">
        <v>0</v>
      </c>
      <c r="J26" s="14">
        <v>0</v>
      </c>
      <c r="K26" s="14">
        <v>0</v>
      </c>
      <c r="L26" s="14">
        <v>0</v>
      </c>
    </row>
    <row r="27" spans="1:12">
      <c r="A27" s="13">
        <v>4001190120</v>
      </c>
      <c r="B27" s="13" t="s">
        <v>29</v>
      </c>
      <c r="C27" s="51" t="s">
        <v>272</v>
      </c>
      <c r="D27" s="14">
        <v>1892.4815100000001</v>
      </c>
      <c r="E27" s="14">
        <v>1423.3314399999999</v>
      </c>
      <c r="F27" s="14">
        <v>1941.31808</v>
      </c>
      <c r="G27" s="14">
        <v>1782.2610099999999</v>
      </c>
      <c r="H27" s="14">
        <v>2156.0457000000001</v>
      </c>
      <c r="I27" s="14">
        <v>2186.5850500000001</v>
      </c>
      <c r="J27" s="14">
        <v>2218.5572700000002</v>
      </c>
      <c r="K27" s="14">
        <v>2090.45669</v>
      </c>
      <c r="L27" s="14">
        <v>2284.2857899999999</v>
      </c>
    </row>
    <row r="28" spans="1:12">
      <c r="A28" s="13">
        <v>4001190130</v>
      </c>
      <c r="B28" s="13" t="s">
        <v>30</v>
      </c>
      <c r="C28" s="51" t="s">
        <v>272</v>
      </c>
      <c r="D28" s="14">
        <v>6826.2865599999996</v>
      </c>
      <c r="E28" s="14">
        <v>7466.55872</v>
      </c>
      <c r="F28" s="14">
        <v>8160.9894100000001</v>
      </c>
      <c r="G28" s="14">
        <v>8735.0659500000002</v>
      </c>
      <c r="H28" s="14">
        <v>8507.33446</v>
      </c>
      <c r="I28" s="14">
        <v>8515.5687899999994</v>
      </c>
      <c r="J28" s="14">
        <v>7143.12338</v>
      </c>
      <c r="K28" s="14">
        <v>8110.9836999999998</v>
      </c>
      <c r="L28" s="14">
        <v>8811.7422100000003</v>
      </c>
    </row>
    <row r="29" spans="1:12">
      <c r="A29" s="13">
        <v>4001111660</v>
      </c>
      <c r="B29" s="13" t="s">
        <v>31</v>
      </c>
      <c r="C29" s="51" t="s">
        <v>272</v>
      </c>
      <c r="D29" s="14">
        <v>2501.2499499999999</v>
      </c>
      <c r="E29" s="14">
        <v>2907.59836</v>
      </c>
      <c r="F29" s="14">
        <v>3058.5661300000002</v>
      </c>
      <c r="G29" s="14">
        <v>3230.78053</v>
      </c>
      <c r="H29" s="14">
        <v>3094.9671999999996</v>
      </c>
      <c r="I29" s="14">
        <v>3072.11868</v>
      </c>
      <c r="J29" s="14">
        <v>3369.5264299999999</v>
      </c>
      <c r="K29" s="14">
        <v>3126.9671899999998</v>
      </c>
      <c r="L29" s="14">
        <v>3734.4972600000001</v>
      </c>
    </row>
    <row r="30" spans="1:12">
      <c r="A30" s="13">
        <v>4001190160</v>
      </c>
      <c r="B30" s="13" t="s">
        <v>32</v>
      </c>
      <c r="C30" s="51" t="s">
        <v>272</v>
      </c>
      <c r="D30" s="14">
        <v>2844.4773999999998</v>
      </c>
      <c r="E30" s="14">
        <v>937.47989000000007</v>
      </c>
      <c r="F30" s="14">
        <v>1079.1869899999999</v>
      </c>
      <c r="G30" s="14">
        <v>0</v>
      </c>
      <c r="H30" s="14">
        <v>0</v>
      </c>
      <c r="I30" s="14">
        <v>0</v>
      </c>
      <c r="J30" s="14">
        <v>1004.3208599999999</v>
      </c>
      <c r="K30" s="14">
        <v>0</v>
      </c>
      <c r="L30" s="14">
        <v>0</v>
      </c>
    </row>
    <row r="31" spans="1:12">
      <c r="A31" s="13">
        <v>4001112490</v>
      </c>
      <c r="B31" s="13" t="s">
        <v>33</v>
      </c>
      <c r="C31" s="51" t="s">
        <v>272</v>
      </c>
      <c r="D31" s="14">
        <v>850.17543000000001</v>
      </c>
      <c r="E31" s="14">
        <v>779.88452000000007</v>
      </c>
      <c r="F31" s="14">
        <v>659.61285999999996</v>
      </c>
      <c r="G31" s="14">
        <v>844.57807000000003</v>
      </c>
      <c r="H31" s="14">
        <v>855.71929999999998</v>
      </c>
      <c r="I31" s="14">
        <v>596.08489999999995</v>
      </c>
      <c r="J31" s="14">
        <v>782.39170000000001</v>
      </c>
      <c r="K31" s="14">
        <v>706.25498999999991</v>
      </c>
      <c r="L31" s="14">
        <v>950.25129000000004</v>
      </c>
    </row>
    <row r="32" spans="1:12">
      <c r="A32" s="13">
        <v>4001112500</v>
      </c>
      <c r="B32" s="13" t="s">
        <v>34</v>
      </c>
      <c r="C32" s="51" t="s">
        <v>272</v>
      </c>
      <c r="D32" s="14">
        <v>0</v>
      </c>
      <c r="E32" s="14">
        <v>0</v>
      </c>
      <c r="F32" s="14">
        <v>0</v>
      </c>
      <c r="G32" s="14">
        <v>0</v>
      </c>
      <c r="H32" s="14">
        <v>0</v>
      </c>
      <c r="I32" s="14">
        <v>0</v>
      </c>
      <c r="J32" s="14">
        <v>0</v>
      </c>
      <c r="K32" s="14">
        <v>0</v>
      </c>
      <c r="L32" s="14">
        <v>0</v>
      </c>
    </row>
    <row r="33" spans="1:12">
      <c r="A33" s="13">
        <v>4001180575</v>
      </c>
      <c r="B33" s="13" t="s">
        <v>19</v>
      </c>
      <c r="C33" s="51" t="s">
        <v>272</v>
      </c>
      <c r="D33" s="14">
        <v>0</v>
      </c>
      <c r="E33" s="14">
        <v>0</v>
      </c>
      <c r="F33" s="14">
        <v>35.983519999999999</v>
      </c>
      <c r="G33" s="14">
        <v>0</v>
      </c>
      <c r="H33" s="14">
        <v>0</v>
      </c>
      <c r="I33" s="14">
        <v>0</v>
      </c>
      <c r="J33" s="14">
        <v>69.56792999999999</v>
      </c>
      <c r="K33" s="14">
        <v>0</v>
      </c>
      <c r="L33" s="14">
        <v>0</v>
      </c>
    </row>
    <row r="34" spans="1:12">
      <c r="A34" s="13">
        <v>4001112503</v>
      </c>
      <c r="B34" s="13" t="s">
        <v>20</v>
      </c>
      <c r="C34" s="51" t="s">
        <v>272</v>
      </c>
      <c r="D34" s="14">
        <v>0</v>
      </c>
      <c r="E34" s="14">
        <v>0</v>
      </c>
      <c r="F34" s="14">
        <v>0</v>
      </c>
      <c r="G34" s="14">
        <v>0</v>
      </c>
      <c r="H34" s="14">
        <v>0</v>
      </c>
      <c r="I34" s="14">
        <v>0</v>
      </c>
      <c r="J34" s="14">
        <v>0</v>
      </c>
      <c r="K34" s="14">
        <v>0</v>
      </c>
      <c r="L34" s="14">
        <v>0</v>
      </c>
    </row>
    <row r="35" spans="1:12">
      <c r="A35" s="13">
        <v>4001112504</v>
      </c>
      <c r="B35" s="13" t="s">
        <v>21</v>
      </c>
      <c r="C35" s="51" t="s">
        <v>272</v>
      </c>
      <c r="D35" s="14">
        <v>0</v>
      </c>
      <c r="E35" s="14">
        <v>0</v>
      </c>
      <c r="F35" s="14">
        <v>0</v>
      </c>
      <c r="G35" s="14">
        <v>0</v>
      </c>
      <c r="H35" s="14">
        <v>0</v>
      </c>
      <c r="I35" s="14">
        <v>0</v>
      </c>
      <c r="J35" s="14">
        <v>0</v>
      </c>
      <c r="K35" s="14">
        <v>0</v>
      </c>
      <c r="L35" s="14">
        <v>0</v>
      </c>
    </row>
    <row r="36" spans="1:12">
      <c r="A36" s="13">
        <v>4001190200</v>
      </c>
      <c r="B36" s="13" t="s">
        <v>35</v>
      </c>
      <c r="C36" s="51" t="s">
        <v>272</v>
      </c>
      <c r="D36" s="14">
        <v>19575.70867</v>
      </c>
      <c r="E36" s="14">
        <v>23027.25563</v>
      </c>
      <c r="F36" s="14">
        <v>23487.46372</v>
      </c>
      <c r="G36" s="14">
        <v>23380.697189999999</v>
      </c>
      <c r="H36" s="14">
        <v>22715.452499999999</v>
      </c>
      <c r="I36" s="14">
        <v>21801.708369999997</v>
      </c>
      <c r="J36" s="14">
        <v>23981.732100000001</v>
      </c>
      <c r="K36" s="14">
        <v>23912.7673</v>
      </c>
      <c r="L36" s="14">
        <v>26073.953590000001</v>
      </c>
    </row>
    <row r="37" spans="1:12">
      <c r="A37" s="13">
        <v>4001112880</v>
      </c>
      <c r="B37" s="13" t="s">
        <v>36</v>
      </c>
      <c r="C37" s="51" t="s">
        <v>272</v>
      </c>
      <c r="D37" s="14">
        <v>0</v>
      </c>
      <c r="E37" s="14">
        <v>0</v>
      </c>
      <c r="F37" s="14">
        <v>0</v>
      </c>
      <c r="G37" s="14">
        <v>0</v>
      </c>
      <c r="H37" s="14">
        <v>0</v>
      </c>
      <c r="I37" s="14">
        <v>0</v>
      </c>
      <c r="J37" s="14">
        <v>0</v>
      </c>
      <c r="K37" s="14">
        <v>0</v>
      </c>
      <c r="L37" s="14">
        <v>0</v>
      </c>
    </row>
    <row r="38" spans="1:12">
      <c r="A38" s="13">
        <v>4001190440</v>
      </c>
      <c r="B38" s="13" t="s">
        <v>37</v>
      </c>
      <c r="C38" s="51" t="s">
        <v>272</v>
      </c>
      <c r="D38" s="14">
        <v>160490.03858999998</v>
      </c>
      <c r="E38" s="14">
        <v>184842.19203999999</v>
      </c>
      <c r="F38" s="14">
        <v>178263.37300999998</v>
      </c>
      <c r="G38" s="14">
        <v>184663.72276999999</v>
      </c>
      <c r="H38" s="14">
        <v>180935.68563999998</v>
      </c>
      <c r="I38" s="14">
        <v>169525.0024</v>
      </c>
      <c r="J38" s="14">
        <v>179072.11781</v>
      </c>
      <c r="K38" s="14">
        <v>180125.73550000001</v>
      </c>
      <c r="L38" s="14">
        <v>178283.70083000002</v>
      </c>
    </row>
    <row r="39" spans="1:12">
      <c r="A39" s="13">
        <v>4001190610</v>
      </c>
      <c r="B39" s="13" t="s">
        <v>38</v>
      </c>
      <c r="C39" s="51" t="s">
        <v>272</v>
      </c>
      <c r="D39" s="14">
        <v>79158.677429999996</v>
      </c>
      <c r="E39" s="14">
        <v>97495.128960000002</v>
      </c>
      <c r="F39" s="14">
        <v>95556.303050000002</v>
      </c>
      <c r="G39" s="14">
        <v>102450.07337</v>
      </c>
      <c r="H39" s="14">
        <v>101434.32126</v>
      </c>
      <c r="I39" s="14">
        <v>92642.40655</v>
      </c>
      <c r="J39" s="14">
        <v>103195.48336</v>
      </c>
      <c r="K39" s="14">
        <v>111508.8138</v>
      </c>
      <c r="L39" s="14">
        <v>100721.64448</v>
      </c>
    </row>
    <row r="40" spans="1:12">
      <c r="A40" s="13">
        <v>4001181470</v>
      </c>
      <c r="B40" s="13" t="s">
        <v>39</v>
      </c>
      <c r="C40" s="51" t="s">
        <v>272</v>
      </c>
      <c r="D40" s="14">
        <v>0</v>
      </c>
      <c r="E40" s="14">
        <v>0</v>
      </c>
      <c r="F40" s="14">
        <v>0</v>
      </c>
      <c r="G40" s="14">
        <v>0</v>
      </c>
      <c r="H40" s="14">
        <v>0</v>
      </c>
      <c r="I40" s="14">
        <v>0</v>
      </c>
      <c r="J40" s="14">
        <v>0</v>
      </c>
      <c r="K40" s="14">
        <v>0</v>
      </c>
      <c r="L40" s="14">
        <v>0</v>
      </c>
    </row>
    <row r="41" spans="1:12">
      <c r="A41" s="13">
        <v>4001121700</v>
      </c>
      <c r="B41" s="13" t="s">
        <v>40</v>
      </c>
      <c r="C41" s="51" t="s">
        <v>272</v>
      </c>
      <c r="D41" s="14">
        <v>14555.995630000001</v>
      </c>
      <c r="E41" s="14">
        <v>28427.691559999999</v>
      </c>
      <c r="F41" s="14">
        <v>24718.279190000001</v>
      </c>
      <c r="G41" s="14">
        <v>28906.664500000003</v>
      </c>
      <c r="H41" s="14">
        <v>29424.192850000003</v>
      </c>
      <c r="I41" s="14">
        <v>29526.707570000002</v>
      </c>
      <c r="J41" s="14">
        <v>30908.943769999998</v>
      </c>
      <c r="K41" s="14">
        <v>39235.520469999996</v>
      </c>
      <c r="L41" s="14">
        <v>38097.531889999998</v>
      </c>
    </row>
    <row r="42" spans="1:12">
      <c r="A42" s="13">
        <v>4001190620</v>
      </c>
      <c r="B42" s="13" t="s">
        <v>41</v>
      </c>
      <c r="C42" s="51" t="s">
        <v>272</v>
      </c>
      <c r="D42" s="14">
        <v>20693.778139999999</v>
      </c>
      <c r="E42" s="14">
        <v>19913.759420000002</v>
      </c>
      <c r="F42" s="14">
        <v>22348.009449999998</v>
      </c>
      <c r="G42" s="14">
        <v>26885.899069999999</v>
      </c>
      <c r="H42" s="14">
        <v>28302.380580000001</v>
      </c>
      <c r="I42" s="14">
        <v>21013.322499999998</v>
      </c>
      <c r="J42" s="14">
        <v>27607.006230000003</v>
      </c>
      <c r="K42" s="14">
        <v>23009.14861</v>
      </c>
      <c r="L42" s="14">
        <v>20771.966899999999</v>
      </c>
    </row>
    <row r="43" spans="1:12">
      <c r="A43" s="13">
        <v>4001190630</v>
      </c>
      <c r="B43" s="13" t="s">
        <v>42</v>
      </c>
      <c r="C43" s="51" t="s">
        <v>272</v>
      </c>
      <c r="D43" s="14">
        <v>1384.25458</v>
      </c>
      <c r="E43" s="14">
        <v>2303.0922700000001</v>
      </c>
      <c r="F43" s="14">
        <v>2647.0425799999998</v>
      </c>
      <c r="G43" s="14">
        <v>7901.8232600000001</v>
      </c>
      <c r="H43" s="14">
        <v>6905.7652599999992</v>
      </c>
      <c r="I43" s="14">
        <v>7126.9779399999998</v>
      </c>
      <c r="J43" s="14">
        <v>2512.2515699999999</v>
      </c>
      <c r="K43" s="14">
        <v>11047.33056</v>
      </c>
      <c r="L43" s="14">
        <v>11300.5784</v>
      </c>
    </row>
    <row r="44" spans="1:12">
      <c r="A44" s="13">
        <v>4001190660</v>
      </c>
      <c r="B44" s="13" t="s">
        <v>43</v>
      </c>
      <c r="C44" s="51" t="s">
        <v>272</v>
      </c>
      <c r="D44" s="14">
        <v>36772.526209999996</v>
      </c>
      <c r="E44" s="14">
        <v>41401.672429999999</v>
      </c>
      <c r="F44" s="14">
        <v>33141.684649999996</v>
      </c>
      <c r="G44" s="14">
        <v>27365.424070000001</v>
      </c>
      <c r="H44" s="14">
        <v>24925.806680000002</v>
      </c>
      <c r="I44" s="14">
        <v>22701.529049999997</v>
      </c>
      <c r="J44" s="14">
        <v>30901.660169999999</v>
      </c>
      <c r="K44" s="14">
        <v>26455.490419999998</v>
      </c>
      <c r="L44" s="14">
        <v>23377.436540000002</v>
      </c>
    </row>
    <row r="45" spans="1:12">
      <c r="A45" s="13">
        <v>4001190680</v>
      </c>
      <c r="B45" s="13" t="s">
        <v>44</v>
      </c>
      <c r="C45" s="51" t="s">
        <v>272</v>
      </c>
      <c r="D45" s="14">
        <v>0</v>
      </c>
      <c r="E45" s="14">
        <v>0</v>
      </c>
      <c r="F45" s="14">
        <v>0</v>
      </c>
      <c r="G45" s="14">
        <v>0</v>
      </c>
      <c r="H45" s="14">
        <v>0</v>
      </c>
      <c r="I45" s="14">
        <v>0</v>
      </c>
      <c r="J45" s="14">
        <v>0</v>
      </c>
      <c r="K45" s="14">
        <v>0</v>
      </c>
      <c r="L45" s="14">
        <v>0</v>
      </c>
    </row>
    <row r="46" spans="1:12">
      <c r="A46" s="13">
        <v>4001122460</v>
      </c>
      <c r="B46" s="13" t="s">
        <v>45</v>
      </c>
      <c r="C46" s="51" t="s">
        <v>272</v>
      </c>
      <c r="D46" s="14">
        <v>659.0930800000001</v>
      </c>
      <c r="E46" s="14">
        <v>768.45827999999995</v>
      </c>
      <c r="F46" s="14">
        <v>864.96122000000003</v>
      </c>
      <c r="G46" s="14">
        <v>810.39976999999999</v>
      </c>
      <c r="H46" s="14">
        <v>659.35132999999996</v>
      </c>
      <c r="I46" s="14">
        <v>643.68120999999996</v>
      </c>
      <c r="J46" s="14">
        <v>704.67854999999997</v>
      </c>
      <c r="K46" s="14">
        <v>773.74691999999993</v>
      </c>
      <c r="L46" s="14">
        <v>761.70136000000002</v>
      </c>
    </row>
    <row r="47" spans="1:12">
      <c r="A47" s="13">
        <v>4001122560</v>
      </c>
      <c r="B47" s="13" t="s">
        <v>46</v>
      </c>
      <c r="C47" s="51" t="s">
        <v>272</v>
      </c>
      <c r="D47" s="14">
        <v>631.09749999999997</v>
      </c>
      <c r="E47" s="14">
        <v>948.41611</v>
      </c>
      <c r="F47" s="14">
        <v>703.00364000000002</v>
      </c>
      <c r="G47" s="14">
        <v>1053.8983800000001</v>
      </c>
      <c r="H47" s="14">
        <v>924.91299000000004</v>
      </c>
      <c r="I47" s="14">
        <v>1104.3606399999999</v>
      </c>
      <c r="J47" s="14">
        <v>899.64195999999993</v>
      </c>
      <c r="K47" s="14">
        <v>1253.69308</v>
      </c>
      <c r="L47" s="14">
        <v>732.68947000000003</v>
      </c>
    </row>
    <row r="48" spans="1:12">
      <c r="A48" s="13">
        <v>4001122561</v>
      </c>
      <c r="B48" s="13" t="s">
        <v>47</v>
      </c>
      <c r="C48" s="51" t="s">
        <v>272</v>
      </c>
      <c r="D48" s="14">
        <v>1105.6394299999999</v>
      </c>
      <c r="E48" s="14">
        <v>834.53876000000002</v>
      </c>
      <c r="F48" s="14">
        <v>946.77684999999997</v>
      </c>
      <c r="G48" s="14">
        <v>1146.43597</v>
      </c>
      <c r="H48" s="14">
        <v>971.92285000000004</v>
      </c>
      <c r="I48" s="14">
        <v>854.50134000000003</v>
      </c>
      <c r="J48" s="14">
        <v>743.71111999999994</v>
      </c>
      <c r="K48" s="14">
        <v>742.48648000000003</v>
      </c>
      <c r="L48" s="14">
        <v>861.75730999999996</v>
      </c>
    </row>
    <row r="49" spans="1:12">
      <c r="A49" s="13">
        <v>4001122562</v>
      </c>
      <c r="B49" s="13" t="s">
        <v>48</v>
      </c>
      <c r="C49" s="51" t="s">
        <v>272</v>
      </c>
      <c r="D49" s="14">
        <v>0</v>
      </c>
      <c r="E49" s="14">
        <v>0</v>
      </c>
      <c r="F49" s="14">
        <v>0</v>
      </c>
      <c r="G49" s="14">
        <v>0</v>
      </c>
      <c r="H49" s="14">
        <v>0</v>
      </c>
      <c r="I49" s="14">
        <v>0</v>
      </c>
      <c r="J49" s="14">
        <v>0</v>
      </c>
      <c r="K49" s="14">
        <v>0</v>
      </c>
      <c r="L49" s="14">
        <v>0</v>
      </c>
    </row>
    <row r="50" spans="1:12">
      <c r="A50" s="13">
        <v>4001122563</v>
      </c>
      <c r="B50" s="13" t="s">
        <v>49</v>
      </c>
      <c r="C50" s="51" t="s">
        <v>272</v>
      </c>
      <c r="D50" s="14">
        <v>0</v>
      </c>
      <c r="E50" s="14">
        <v>0</v>
      </c>
      <c r="F50" s="14">
        <v>0</v>
      </c>
      <c r="G50" s="14">
        <v>0</v>
      </c>
      <c r="H50" s="14">
        <v>0</v>
      </c>
      <c r="I50" s="14">
        <v>0</v>
      </c>
      <c r="J50" s="14">
        <v>0</v>
      </c>
      <c r="K50" s="14">
        <v>0</v>
      </c>
      <c r="L50" s="14">
        <v>0</v>
      </c>
    </row>
    <row r="51" spans="1:12">
      <c r="A51" s="13">
        <v>4001190690</v>
      </c>
      <c r="B51" s="13" t="s">
        <v>50</v>
      </c>
      <c r="C51" s="51" t="s">
        <v>272</v>
      </c>
      <c r="D51" s="14">
        <v>3356.29286</v>
      </c>
      <c r="E51" s="14">
        <v>2897.5001299999999</v>
      </c>
      <c r="F51" s="14">
        <v>5849.2569999999996</v>
      </c>
      <c r="G51" s="14">
        <v>3162.4074000000001</v>
      </c>
      <c r="H51" s="14">
        <v>5138.3973800000003</v>
      </c>
      <c r="I51" s="14">
        <v>5958.3094999999994</v>
      </c>
      <c r="J51" s="14">
        <v>5289.9324200000001</v>
      </c>
      <c r="K51" s="14">
        <v>4809.7134000000005</v>
      </c>
      <c r="L51" s="14">
        <v>4801.4665999999997</v>
      </c>
    </row>
    <row r="52" spans="1:12">
      <c r="A52" s="13">
        <v>4001122680</v>
      </c>
      <c r="B52" s="13" t="s">
        <v>51</v>
      </c>
      <c r="C52" s="51" t="s">
        <v>272</v>
      </c>
      <c r="D52" s="14">
        <v>0</v>
      </c>
      <c r="E52" s="14">
        <v>0</v>
      </c>
      <c r="F52" s="14">
        <v>4337.2884599999998</v>
      </c>
      <c r="G52" s="14">
        <v>5217.1209499999995</v>
      </c>
      <c r="H52" s="14">
        <v>4181.5913399999999</v>
      </c>
      <c r="I52" s="14">
        <v>3713.0167999999999</v>
      </c>
      <c r="J52" s="14">
        <v>3627.6575699999999</v>
      </c>
      <c r="K52" s="14">
        <v>4181.6838600000001</v>
      </c>
      <c r="L52" s="14">
        <v>16.516010000000001</v>
      </c>
    </row>
    <row r="53" spans="1:12">
      <c r="A53" s="13">
        <v>4001190450</v>
      </c>
      <c r="B53" s="13" t="s">
        <v>52</v>
      </c>
      <c r="C53" s="51" t="s">
        <v>272</v>
      </c>
      <c r="D53" s="14">
        <v>81331.36116</v>
      </c>
      <c r="E53" s="14">
        <v>87347.063080000007</v>
      </c>
      <c r="F53" s="14">
        <v>82707.069960000008</v>
      </c>
      <c r="G53" s="14">
        <v>82213.649400000009</v>
      </c>
      <c r="H53" s="14">
        <v>79501.364379999999</v>
      </c>
      <c r="I53" s="14">
        <v>76882.595849999998</v>
      </c>
      <c r="J53" s="14">
        <v>75876.634449999998</v>
      </c>
      <c r="K53" s="14">
        <v>68616.921700000006</v>
      </c>
      <c r="L53" s="14">
        <v>77562.056349999999</v>
      </c>
    </row>
    <row r="54" spans="1:12">
      <c r="A54" s="13">
        <v>4001190460</v>
      </c>
      <c r="B54" s="13" t="s">
        <v>53</v>
      </c>
      <c r="C54" s="51" t="s">
        <v>272</v>
      </c>
      <c r="D54" s="14">
        <v>29451.65</v>
      </c>
      <c r="E54" s="14">
        <v>35286.058290000001</v>
      </c>
      <c r="F54" s="14">
        <v>34755.993060000001</v>
      </c>
      <c r="G54" s="14">
        <v>35671.843410000001</v>
      </c>
      <c r="H54" s="14">
        <v>33327.111660000002</v>
      </c>
      <c r="I54" s="14">
        <v>32290.314739999998</v>
      </c>
      <c r="J54" s="14">
        <v>31570.884010000002</v>
      </c>
      <c r="K54" s="14">
        <v>24278.804670000001</v>
      </c>
      <c r="L54" s="14">
        <v>32771.848270000002</v>
      </c>
    </row>
    <row r="55" spans="1:12">
      <c r="A55" s="13">
        <v>4001190470</v>
      </c>
      <c r="B55" s="13" t="s">
        <v>54</v>
      </c>
      <c r="C55" s="51" t="s">
        <v>272</v>
      </c>
      <c r="D55" s="14">
        <v>19660.247579999999</v>
      </c>
      <c r="E55" s="14">
        <v>17725.362000000001</v>
      </c>
      <c r="F55" s="14">
        <v>14456.030570000001</v>
      </c>
      <c r="G55" s="14">
        <v>13306.87702</v>
      </c>
      <c r="H55" s="14">
        <v>12856.247579999999</v>
      </c>
      <c r="I55" s="14">
        <v>12551.41878</v>
      </c>
      <c r="J55" s="14">
        <v>9951.5357899999999</v>
      </c>
      <c r="K55" s="14">
        <v>10023.48588</v>
      </c>
      <c r="L55" s="14">
        <v>8845.70586</v>
      </c>
    </row>
    <row r="56" spans="1:12">
      <c r="A56" s="13">
        <v>4001190480</v>
      </c>
      <c r="B56" s="13" t="s">
        <v>55</v>
      </c>
      <c r="C56" s="51" t="s">
        <v>272</v>
      </c>
      <c r="D56" s="14">
        <v>14346.81128</v>
      </c>
      <c r="E56" s="14">
        <v>17656.312269999999</v>
      </c>
      <c r="F56" s="14">
        <v>17896.807229999999</v>
      </c>
      <c r="G56" s="14">
        <v>19183.534459999999</v>
      </c>
      <c r="H56" s="14">
        <v>18815.8632</v>
      </c>
      <c r="I56" s="14">
        <v>18218.712520000001</v>
      </c>
      <c r="J56" s="14">
        <v>17726.30991</v>
      </c>
      <c r="K56" s="14">
        <v>19004.384550000002</v>
      </c>
      <c r="L56" s="14">
        <v>21316.33843</v>
      </c>
    </row>
    <row r="57" spans="1:12">
      <c r="A57" s="13">
        <v>4001190500</v>
      </c>
      <c r="B57" s="13" t="s">
        <v>56</v>
      </c>
      <c r="C57" s="51" t="s">
        <v>272</v>
      </c>
      <c r="D57" s="14">
        <v>3507.8909100000001</v>
      </c>
      <c r="E57" s="14">
        <v>2345.80116</v>
      </c>
      <c r="F57" s="14">
        <v>1645.4383300000002</v>
      </c>
      <c r="G57" s="14">
        <v>0</v>
      </c>
      <c r="H57" s="14">
        <v>0</v>
      </c>
      <c r="I57" s="14">
        <v>0</v>
      </c>
      <c r="J57" s="14">
        <v>1087.52242</v>
      </c>
      <c r="K57" s="14">
        <v>0</v>
      </c>
      <c r="L57" s="14">
        <v>0</v>
      </c>
    </row>
    <row r="58" spans="1:12">
      <c r="A58" s="13">
        <v>4001190570</v>
      </c>
      <c r="B58" s="13" t="s">
        <v>57</v>
      </c>
      <c r="C58" s="51" t="s">
        <v>272</v>
      </c>
      <c r="D58" s="14">
        <v>671.60914999999989</v>
      </c>
      <c r="E58" s="14">
        <v>271.73408999999998</v>
      </c>
      <c r="F58" s="14">
        <v>309.82921999999996</v>
      </c>
      <c r="G58" s="14">
        <v>340.73345</v>
      </c>
      <c r="H58" s="14">
        <v>359.97082</v>
      </c>
      <c r="I58" s="14">
        <v>369.91088999999999</v>
      </c>
      <c r="J58" s="14">
        <v>326.14195999999998</v>
      </c>
      <c r="K58" s="14">
        <v>339.67690000000005</v>
      </c>
      <c r="L58" s="14">
        <v>321.56502</v>
      </c>
    </row>
    <row r="59" spans="1:12">
      <c r="A59" s="13">
        <v>4001121280</v>
      </c>
      <c r="B59" s="13" t="s">
        <v>58</v>
      </c>
      <c r="C59" s="51" t="s">
        <v>272</v>
      </c>
      <c r="D59" s="14">
        <v>0</v>
      </c>
      <c r="E59" s="14">
        <v>0</v>
      </c>
      <c r="F59" s="14">
        <v>0</v>
      </c>
      <c r="G59" s="14">
        <v>0</v>
      </c>
      <c r="H59" s="14">
        <v>0</v>
      </c>
      <c r="I59" s="14">
        <v>0</v>
      </c>
      <c r="J59" s="14">
        <v>0</v>
      </c>
      <c r="K59" s="14">
        <v>0</v>
      </c>
      <c r="L59" s="14">
        <v>0</v>
      </c>
    </row>
    <row r="60" spans="1:12">
      <c r="A60" s="13">
        <v>4001121380</v>
      </c>
      <c r="B60" s="13" t="s">
        <v>59</v>
      </c>
      <c r="C60" s="51" t="s">
        <v>272</v>
      </c>
      <c r="D60" s="14">
        <v>10866.36184</v>
      </c>
      <c r="E60" s="14">
        <v>11076.107760000001</v>
      </c>
      <c r="F60" s="14">
        <v>10863.82287</v>
      </c>
      <c r="G60" s="14">
        <v>10999.56933</v>
      </c>
      <c r="H60" s="14">
        <v>11003.65013</v>
      </c>
      <c r="I60" s="14">
        <v>10219.394540000001</v>
      </c>
      <c r="J60" s="14">
        <v>11661.58567</v>
      </c>
      <c r="K60" s="14">
        <v>11703.29016</v>
      </c>
      <c r="L60" s="14">
        <v>10975.555419999999</v>
      </c>
    </row>
    <row r="61" spans="1:12">
      <c r="A61" s="13">
        <v>4001181370</v>
      </c>
      <c r="B61" s="13" t="s">
        <v>60</v>
      </c>
      <c r="C61" s="51" t="s">
        <v>272</v>
      </c>
      <c r="D61" s="14">
        <v>0</v>
      </c>
      <c r="E61" s="14">
        <v>0</v>
      </c>
      <c r="F61" s="14">
        <v>0</v>
      </c>
      <c r="G61" s="14">
        <v>0</v>
      </c>
      <c r="H61" s="14">
        <v>0</v>
      </c>
      <c r="I61" s="14">
        <v>0</v>
      </c>
      <c r="J61" s="14">
        <v>0</v>
      </c>
      <c r="K61" s="14">
        <v>0</v>
      </c>
      <c r="L61" s="14">
        <v>0</v>
      </c>
    </row>
    <row r="62" spans="1:12">
      <c r="A62" s="13">
        <v>4001121401</v>
      </c>
      <c r="B62" s="13" t="s">
        <v>47</v>
      </c>
      <c r="C62" s="51" t="s">
        <v>272</v>
      </c>
      <c r="D62" s="14">
        <v>1096.20084</v>
      </c>
      <c r="E62" s="14">
        <v>1251.38085</v>
      </c>
      <c r="F62" s="14">
        <v>1140.1632199999999</v>
      </c>
      <c r="G62" s="14">
        <v>1178.0640799999999</v>
      </c>
      <c r="H62" s="14">
        <v>977.48685999999998</v>
      </c>
      <c r="I62" s="14">
        <v>918.61084000000005</v>
      </c>
      <c r="J62" s="14">
        <v>911.93460000000005</v>
      </c>
      <c r="K62" s="14">
        <v>821.23793000000001</v>
      </c>
      <c r="L62" s="14">
        <v>749.73797000000002</v>
      </c>
    </row>
    <row r="63" spans="1:12">
      <c r="A63" s="13">
        <v>4001121402</v>
      </c>
      <c r="B63" s="13" t="s">
        <v>48</v>
      </c>
      <c r="C63" s="51" t="s">
        <v>272</v>
      </c>
      <c r="D63" s="14">
        <v>0</v>
      </c>
      <c r="E63" s="14">
        <v>0</v>
      </c>
      <c r="F63" s="14">
        <v>0</v>
      </c>
      <c r="G63" s="14">
        <v>0</v>
      </c>
      <c r="H63" s="14">
        <v>0</v>
      </c>
      <c r="I63" s="14">
        <v>0</v>
      </c>
      <c r="J63" s="14">
        <v>0</v>
      </c>
      <c r="K63" s="14">
        <v>0</v>
      </c>
      <c r="L63" s="14">
        <v>0</v>
      </c>
    </row>
    <row r="64" spans="1:12">
      <c r="A64" s="13">
        <v>4001121403</v>
      </c>
      <c r="B64" s="13" t="s">
        <v>49</v>
      </c>
      <c r="C64" s="51" t="s">
        <v>272</v>
      </c>
      <c r="D64" s="14">
        <v>0</v>
      </c>
      <c r="E64" s="14">
        <v>0</v>
      </c>
      <c r="F64" s="14">
        <v>0</v>
      </c>
      <c r="G64" s="14">
        <v>0</v>
      </c>
      <c r="H64" s="14">
        <v>0</v>
      </c>
      <c r="I64" s="14">
        <v>0</v>
      </c>
      <c r="J64" s="14">
        <v>0</v>
      </c>
      <c r="K64" s="14">
        <v>0</v>
      </c>
      <c r="L64" s="14">
        <v>0</v>
      </c>
    </row>
    <row r="65" spans="1:12">
      <c r="A65" s="13">
        <v>4001190580</v>
      </c>
      <c r="B65" s="13" t="s">
        <v>61</v>
      </c>
      <c r="C65" s="51" t="s">
        <v>272</v>
      </c>
      <c r="D65" s="14">
        <v>1730.5895600000001</v>
      </c>
      <c r="E65" s="14">
        <v>1734.30666</v>
      </c>
      <c r="F65" s="14">
        <v>1638.9854600000001</v>
      </c>
      <c r="G65" s="14">
        <v>1533.0276500000002</v>
      </c>
      <c r="H65" s="14">
        <v>2161.03413</v>
      </c>
      <c r="I65" s="14">
        <v>2314.2335399999997</v>
      </c>
      <c r="J65" s="14">
        <v>2640.7200900000003</v>
      </c>
      <c r="K65" s="14">
        <v>2446.0416099999998</v>
      </c>
      <c r="L65" s="14">
        <v>2581.3053799999998</v>
      </c>
    </row>
    <row r="66" spans="1:12">
      <c r="A66" s="13">
        <v>4001121620</v>
      </c>
      <c r="B66" s="13" t="s">
        <v>62</v>
      </c>
      <c r="C66" s="51" t="s">
        <v>272</v>
      </c>
      <c r="D66" s="14">
        <v>0</v>
      </c>
      <c r="E66" s="14">
        <v>0</v>
      </c>
      <c r="F66" s="14">
        <v>0</v>
      </c>
      <c r="G66" s="14">
        <v>0</v>
      </c>
      <c r="H66" s="14">
        <v>0</v>
      </c>
      <c r="I66" s="14">
        <v>0</v>
      </c>
      <c r="J66" s="14">
        <v>0</v>
      </c>
      <c r="K66" s="14">
        <v>0</v>
      </c>
      <c r="L66" s="14">
        <v>0</v>
      </c>
    </row>
    <row r="67" spans="1:12">
      <c r="A67" s="13">
        <v>4001190380</v>
      </c>
      <c r="B67" s="13" t="s">
        <v>63</v>
      </c>
      <c r="C67" s="51" t="s">
        <v>272</v>
      </c>
      <c r="D67" s="14">
        <v>108068.00417999999</v>
      </c>
      <c r="E67" s="14">
        <v>115290.22641</v>
      </c>
      <c r="F67" s="14">
        <v>117799.4225</v>
      </c>
      <c r="G67" s="14">
        <v>117996.50405999999</v>
      </c>
      <c r="H67" s="14">
        <v>120906.58214</v>
      </c>
      <c r="I67" s="14">
        <v>119890.53607999999</v>
      </c>
      <c r="J67" s="14">
        <v>122427.85686</v>
      </c>
      <c r="K67" s="14">
        <v>122440.18028999999</v>
      </c>
      <c r="L67" s="14">
        <v>118298.22358999999</v>
      </c>
    </row>
    <row r="68" spans="1:12">
      <c r="A68" s="13">
        <v>4001130010</v>
      </c>
      <c r="B68" s="13" t="s">
        <v>64</v>
      </c>
      <c r="C68" s="13" t="s">
        <v>65</v>
      </c>
      <c r="D68" s="14">
        <v>500000</v>
      </c>
      <c r="E68" s="14">
        <v>500000</v>
      </c>
      <c r="F68" s="14">
        <v>500000</v>
      </c>
      <c r="G68" s="14">
        <v>500000</v>
      </c>
      <c r="H68" s="14">
        <v>500000</v>
      </c>
      <c r="I68" s="14">
        <v>500000</v>
      </c>
      <c r="J68" s="14">
        <v>500000</v>
      </c>
      <c r="K68" s="14">
        <v>500000</v>
      </c>
      <c r="L68" s="14">
        <v>500000</v>
      </c>
    </row>
    <row r="69" spans="1:12">
      <c r="A69" s="13">
        <v>4001130020</v>
      </c>
      <c r="B69" s="13" t="s">
        <v>66</v>
      </c>
      <c r="C69" s="13" t="s">
        <v>67</v>
      </c>
      <c r="D69" s="14">
        <v>50</v>
      </c>
      <c r="E69" s="14">
        <v>50</v>
      </c>
      <c r="F69" s="14">
        <v>50</v>
      </c>
      <c r="G69" s="14">
        <v>50</v>
      </c>
      <c r="H69" s="14">
        <v>50</v>
      </c>
      <c r="I69" s="14">
        <v>50</v>
      </c>
      <c r="J69" s="14">
        <v>50</v>
      </c>
      <c r="K69" s="14">
        <v>50</v>
      </c>
      <c r="L69" s="14">
        <v>50</v>
      </c>
    </row>
    <row r="70" spans="1:12">
      <c r="A70" s="13">
        <v>4001130030</v>
      </c>
      <c r="B70" s="13" t="s">
        <v>68</v>
      </c>
      <c r="C70" s="13" t="s">
        <v>65</v>
      </c>
      <c r="D70" s="14">
        <v>163816.19</v>
      </c>
      <c r="E70" s="14">
        <v>163816.19</v>
      </c>
      <c r="F70" s="14">
        <v>163816.19</v>
      </c>
      <c r="G70" s="14">
        <v>163816.19</v>
      </c>
      <c r="H70" s="14">
        <v>163816.19</v>
      </c>
      <c r="I70" s="14">
        <v>163816.19</v>
      </c>
      <c r="J70" s="14">
        <v>163816.19</v>
      </c>
      <c r="K70" s="14">
        <v>163816.19</v>
      </c>
      <c r="L70" s="14">
        <v>163816.19</v>
      </c>
    </row>
    <row r="71" spans="1:12">
      <c r="A71" s="13">
        <v>4001130040</v>
      </c>
      <c r="B71" s="13" t="s">
        <v>69</v>
      </c>
      <c r="C71" s="13" t="s">
        <v>65</v>
      </c>
      <c r="D71" s="14">
        <v>150541.85999999999</v>
      </c>
      <c r="E71" s="14">
        <v>150541.85999999999</v>
      </c>
      <c r="F71" s="14">
        <v>150541.85999999999</v>
      </c>
      <c r="G71" s="14">
        <v>150541.85999999999</v>
      </c>
      <c r="H71" s="14">
        <v>150541.85999999999</v>
      </c>
      <c r="I71" s="14">
        <v>150541.85999999999</v>
      </c>
      <c r="J71" s="14">
        <v>150541.85999999999</v>
      </c>
      <c r="K71" s="14">
        <v>150541.85999999999</v>
      </c>
      <c r="L71" s="14">
        <v>150541.85999999999</v>
      </c>
    </row>
    <row r="72" spans="1:12">
      <c r="A72" s="13">
        <v>4001130050</v>
      </c>
      <c r="B72" s="13" t="s">
        <v>70</v>
      </c>
      <c r="C72" s="13" t="s">
        <v>65</v>
      </c>
      <c r="D72" s="14">
        <v>13274.33</v>
      </c>
      <c r="E72" s="14">
        <v>13274.33</v>
      </c>
      <c r="F72" s="14">
        <v>13274.33</v>
      </c>
      <c r="G72" s="14">
        <v>13274.33</v>
      </c>
      <c r="H72" s="14">
        <v>13274.33</v>
      </c>
      <c r="I72" s="14">
        <v>13274.33</v>
      </c>
      <c r="J72" s="14">
        <v>13274.33</v>
      </c>
      <c r="K72" s="14">
        <v>13274.33</v>
      </c>
      <c r="L72" s="14">
        <v>13274.33</v>
      </c>
    </row>
    <row r="73" spans="1:12">
      <c r="A73" s="13">
        <v>4001190390</v>
      </c>
      <c r="B73" s="13" t="s">
        <v>71</v>
      </c>
      <c r="C73" s="51" t="s">
        <v>272</v>
      </c>
      <c r="D73" s="14">
        <v>61135.256109999995</v>
      </c>
      <c r="E73" s="14">
        <v>67557.102400000003</v>
      </c>
      <c r="F73" s="14">
        <v>71515.474260000003</v>
      </c>
      <c r="G73" s="14">
        <v>74377.560509999996</v>
      </c>
      <c r="H73" s="14">
        <v>76506.195520000008</v>
      </c>
      <c r="I73" s="14">
        <v>75687.278470000005</v>
      </c>
      <c r="J73" s="14">
        <v>78634.645170000003</v>
      </c>
      <c r="K73" s="14">
        <v>78364.262230000008</v>
      </c>
      <c r="L73" s="14">
        <v>75088.888149999999</v>
      </c>
    </row>
    <row r="74" spans="1:12">
      <c r="A74" s="13">
        <v>4001130070</v>
      </c>
      <c r="B74" s="13" t="s">
        <v>72</v>
      </c>
      <c r="C74" s="51" t="s">
        <v>272</v>
      </c>
      <c r="D74" s="14">
        <v>819.08095000000003</v>
      </c>
      <c r="E74" s="14">
        <v>819.08095000000003</v>
      </c>
      <c r="F74" s="14">
        <v>819.08095000000003</v>
      </c>
      <c r="G74" s="14">
        <v>819.08095000000003</v>
      </c>
      <c r="H74" s="14">
        <v>819.08095000000003</v>
      </c>
      <c r="I74" s="14">
        <v>819.08095000000003</v>
      </c>
      <c r="J74" s="14">
        <v>819.08095000000003</v>
      </c>
      <c r="K74" s="14">
        <v>819.08095000000003</v>
      </c>
      <c r="L74" s="14">
        <v>819.08095000000003</v>
      </c>
    </row>
    <row r="75" spans="1:12">
      <c r="A75" s="13">
        <v>4001130670</v>
      </c>
      <c r="B75" s="13" t="s">
        <v>73</v>
      </c>
      <c r="C75" s="51" t="s">
        <v>272</v>
      </c>
      <c r="D75" s="14">
        <v>0</v>
      </c>
      <c r="E75" s="14">
        <v>0</v>
      </c>
      <c r="F75" s="14">
        <v>0</v>
      </c>
      <c r="G75" s="14">
        <v>0</v>
      </c>
      <c r="H75" s="14">
        <v>0</v>
      </c>
      <c r="I75" s="14">
        <v>0</v>
      </c>
      <c r="J75" s="14">
        <v>0</v>
      </c>
      <c r="K75" s="14">
        <v>0</v>
      </c>
      <c r="L75" s="14">
        <v>0</v>
      </c>
    </row>
    <row r="76" spans="1:12">
      <c r="A76" s="13">
        <v>4001190400</v>
      </c>
      <c r="B76" s="13" t="s">
        <v>74</v>
      </c>
      <c r="C76" s="51" t="s">
        <v>272</v>
      </c>
      <c r="D76" s="14">
        <v>11157.149429999999</v>
      </c>
      <c r="E76" s="14">
        <v>11288.508610000001</v>
      </c>
      <c r="F76" s="14">
        <v>12227.71919</v>
      </c>
      <c r="G76" s="14">
        <v>12227.71919</v>
      </c>
      <c r="H76" s="14">
        <v>12227.71919</v>
      </c>
      <c r="I76" s="14">
        <v>12227.71919</v>
      </c>
      <c r="J76" s="14">
        <v>13043.507660000001</v>
      </c>
      <c r="K76" s="14">
        <v>13043.507660000001</v>
      </c>
      <c r="L76" s="14">
        <v>13043.507660000001</v>
      </c>
    </row>
    <row r="77" spans="1:12">
      <c r="A77" s="13">
        <v>4001190420</v>
      </c>
      <c r="B77" s="13" t="s">
        <v>75</v>
      </c>
      <c r="C77" s="51" t="s">
        <v>272</v>
      </c>
      <c r="D77" s="14">
        <v>-1702.33483</v>
      </c>
      <c r="E77" s="14">
        <v>-1660.5544200000002</v>
      </c>
      <c r="F77" s="14">
        <v>-1931.81376</v>
      </c>
      <c r="G77" s="14">
        <v>-2053.1250399999999</v>
      </c>
      <c r="H77" s="14">
        <v>-2018.40256</v>
      </c>
      <c r="I77" s="14">
        <v>-2021.6185</v>
      </c>
      <c r="J77" s="14">
        <v>-1898.2181499999999</v>
      </c>
      <c r="K77" s="14">
        <v>-1898.2181499999999</v>
      </c>
      <c r="L77" s="14">
        <v>-1963.5997600000001</v>
      </c>
    </row>
    <row r="78" spans="1:12">
      <c r="A78" s="13">
        <v>4001130360</v>
      </c>
      <c r="B78" s="13" t="s">
        <v>76</v>
      </c>
      <c r="C78" s="51" t="s">
        <v>272</v>
      </c>
      <c r="D78" s="14">
        <v>1459.7511100000002</v>
      </c>
      <c r="E78" s="14">
        <v>2595.0268900000001</v>
      </c>
      <c r="F78" s="14">
        <v>3085.5993400000002</v>
      </c>
      <c r="G78" s="14">
        <v>5551.7549399999998</v>
      </c>
      <c r="H78" s="14">
        <v>6829.6137399999998</v>
      </c>
      <c r="I78" s="14">
        <v>4579.94211</v>
      </c>
      <c r="J78" s="14">
        <v>9198.94542</v>
      </c>
      <c r="K78" s="14">
        <v>9247.3995900000009</v>
      </c>
      <c r="L78" s="14">
        <v>4858.2400099999995</v>
      </c>
    </row>
    <row r="79" spans="1:12">
      <c r="A79" s="13">
        <v>4001130470</v>
      </c>
      <c r="B79" s="13" t="s">
        <v>77</v>
      </c>
      <c r="C79" s="51" t="s">
        <v>272</v>
      </c>
      <c r="D79" s="14">
        <v>49401.609450000004</v>
      </c>
      <c r="E79" s="14">
        <v>54515.040369999995</v>
      </c>
      <c r="F79" s="14">
        <v>57314.88854</v>
      </c>
      <c r="G79" s="14">
        <v>57832.130480000007</v>
      </c>
      <c r="H79" s="14">
        <v>58648.184209999999</v>
      </c>
      <c r="I79" s="14">
        <v>60082.154730000002</v>
      </c>
      <c r="J79" s="14">
        <v>57471.329289999994</v>
      </c>
      <c r="K79" s="14">
        <v>57152.492180000001</v>
      </c>
      <c r="L79" s="14">
        <v>58331.659289999996</v>
      </c>
    </row>
    <row r="80" spans="1:12">
      <c r="A80" s="13">
        <v>4001130640</v>
      </c>
      <c r="B80" s="13" t="s">
        <v>78</v>
      </c>
      <c r="C80" s="51" t="s">
        <v>272</v>
      </c>
      <c r="D80" s="14">
        <v>46932.748070000001</v>
      </c>
      <c r="E80" s="14">
        <v>47733.12401</v>
      </c>
      <c r="F80" s="14">
        <v>46283.948239999998</v>
      </c>
      <c r="G80" s="14">
        <v>43618.943550000004</v>
      </c>
      <c r="H80" s="14">
        <v>44400.386619999997</v>
      </c>
      <c r="I80" s="14">
        <v>44203.257610000001</v>
      </c>
      <c r="J80" s="14">
        <v>43793.211689999996</v>
      </c>
      <c r="K80" s="14">
        <v>44075.918059999996</v>
      </c>
      <c r="L80" s="14">
        <v>43209.335439999995</v>
      </c>
    </row>
    <row r="81" spans="1:12">
      <c r="A81" s="1"/>
      <c r="B81" s="1"/>
      <c r="C81" s="1"/>
      <c r="D81" s="14"/>
      <c r="E81" s="14"/>
      <c r="F81" s="14"/>
      <c r="G81" s="14"/>
      <c r="H81" s="14"/>
      <c r="I81" s="14"/>
      <c r="J81" s="14"/>
      <c r="K81" s="14"/>
      <c r="L81" s="14"/>
    </row>
    <row r="82" spans="1:12">
      <c r="D82" s="15"/>
      <c r="E82" s="15"/>
      <c r="F82" s="15"/>
      <c r="G82" s="15"/>
      <c r="H82" s="15"/>
      <c r="I82" s="15"/>
      <c r="J82" s="15"/>
      <c r="K82" s="15"/>
      <c r="L82" s="15"/>
    </row>
    <row r="83" spans="1:12">
      <c r="D83" s="15"/>
      <c r="E83" s="15"/>
      <c r="F83" s="15"/>
      <c r="G83" s="15"/>
      <c r="H83" s="15"/>
      <c r="I83" s="15"/>
      <c r="J83" s="15"/>
      <c r="K83" s="15"/>
      <c r="L83" s="15"/>
    </row>
    <row r="84" spans="1:12">
      <c r="D84" s="15"/>
      <c r="E84" s="15"/>
      <c r="F84" s="15"/>
      <c r="G84" s="15"/>
      <c r="H84" s="15"/>
      <c r="I84" s="15"/>
      <c r="J84" s="15"/>
      <c r="K84" s="15"/>
      <c r="L84" s="15"/>
    </row>
  </sheetData>
  <phoneticPr fontId="2" type="noConversion"/>
  <dataValidations count="7">
    <dataValidation type="list" allowBlank="1" showInputMessage="1" sqref="B4" xr:uid="{A2B7A539-951B-413A-B40D-578CF5EA93FF}">
      <formula1>"전체,재무상태표,손익계산서,현금흐름표,자본금변동표"</formula1>
    </dataValidation>
    <dataValidation type="list" allowBlank="1" showInputMessage="1" sqref="B5" xr:uid="{B1C19BEE-BAEA-461E-B6F0-6B21103BDDB3}">
      <formula1>"상세(총액),상세(순액),요약,약식"</formula1>
    </dataValidation>
    <dataValidation type="list" allowBlank="1" showInputMessage="1" sqref="B6" xr:uid="{BC4C4AA1-C920-421C-A93A-C9317B00F62F}">
      <formula1>"결산,누적분기,당분기"</formula1>
    </dataValidation>
    <dataValidation type="list" allowBlank="1" showInputMessage="1" sqref="C6" xr:uid="{B93C14A4-D8DC-4B26-A91D-6F04B3B688DC}">
      <formula1>"천원,백만원,억원,십억원"</formula1>
    </dataValidation>
    <dataValidation type="list" allowBlank="1" showInputMessage="1" sqref="B3" xr:uid="{C16E843D-9208-4ADC-A5D2-475C11B88E75}">
      <formula1>"별도,연결"</formula1>
    </dataValidation>
    <dataValidation type="list" allowBlank="1" showInputMessage="1" sqref="B7" xr:uid="{60EC4E53-E1D3-4A51-93DD-7B561832DAC6}">
      <formula1>"1983,1984,1985,1986,1987,1988,1989,1990,1991,1992,1993,1994,1995,1996,1997,1998,1999,2000,2001,2002,2003,2004,2005,2006,2007,2008,2009,2010,2011,2012,2013,2014,2015,2016,2017,2018,2019,2020,2021,2022,2023,2024,2025"</formula1>
    </dataValidation>
    <dataValidation type="list" allowBlank="1" showInputMessage="1" sqref="C7" xr:uid="{31091376-3409-49E4-9579-A8E03602DA7F}">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A2E02-1B3A-4863-8CF1-9C3126A1A071}">
  <dimension ref="A1:L107"/>
  <sheetViews>
    <sheetView showGridLines="0" topLeftCell="A16" workbookViewId="0"/>
  </sheetViews>
  <sheetFormatPr defaultRowHeight="17.399999999999999"/>
  <cols>
    <col min="1" max="1" width="9.19921875" bestFit="1" customWidth="1"/>
    <col min="2" max="2" width="47.09765625" bestFit="1" customWidth="1"/>
    <col min="3" max="3" width="11.5" bestFit="1" customWidth="1"/>
    <col min="7" max="12" width="9.296875" bestFit="1" customWidth="1"/>
  </cols>
  <sheetData>
    <row r="1" spans="1:12">
      <c r="A1" s="2" t="s">
        <v>0</v>
      </c>
      <c r="B1" s="2"/>
      <c r="C1" s="2"/>
      <c r="D1" s="2"/>
      <c r="E1" s="2"/>
      <c r="F1" s="2"/>
      <c r="G1" s="2"/>
      <c r="H1" s="2"/>
      <c r="I1" s="2"/>
      <c r="J1" s="2"/>
      <c r="K1" s="2"/>
      <c r="L1" s="2"/>
    </row>
    <row r="2" spans="1:12">
      <c r="A2" s="3" t="s">
        <v>3</v>
      </c>
      <c r="B2" s="3" t="s">
        <v>80</v>
      </c>
      <c r="C2" s="3"/>
      <c r="D2" s="3"/>
      <c r="E2" s="3"/>
      <c r="F2" s="3"/>
      <c r="G2" s="3"/>
      <c r="H2" s="3"/>
      <c r="I2" s="3"/>
      <c r="J2" s="3"/>
      <c r="K2" s="3"/>
      <c r="L2" s="3"/>
    </row>
    <row r="3" spans="1:12">
      <c r="A3" s="3" t="s">
        <v>4</v>
      </c>
      <c r="B3" s="7" t="s">
        <v>85</v>
      </c>
      <c r="C3" s="3" t="s">
        <v>1</v>
      </c>
      <c r="D3" s="3" t="s">
        <v>84</v>
      </c>
      <c r="E3" s="3"/>
      <c r="F3" s="3"/>
      <c r="G3" s="3"/>
      <c r="H3" s="3"/>
      <c r="I3" s="3"/>
      <c r="J3" s="3"/>
      <c r="K3" s="3"/>
      <c r="L3" s="3"/>
    </row>
    <row r="4" spans="1:12">
      <c r="A4" s="3" t="s">
        <v>5</v>
      </c>
      <c r="B4" s="10" t="s">
        <v>172</v>
      </c>
      <c r="C4" s="3" t="s">
        <v>2</v>
      </c>
      <c r="D4" s="3"/>
      <c r="E4" s="3"/>
      <c r="F4" s="3"/>
      <c r="G4" s="3"/>
      <c r="H4" s="3"/>
      <c r="I4" s="3"/>
      <c r="J4" s="3"/>
      <c r="K4" s="3"/>
      <c r="L4" s="3"/>
    </row>
    <row r="5" spans="1:12">
      <c r="A5" s="3" t="s">
        <v>6</v>
      </c>
      <c r="B5" s="8" t="s">
        <v>82</v>
      </c>
      <c r="C5" s="3"/>
      <c r="D5" s="3"/>
      <c r="E5" s="3"/>
      <c r="F5" s="3"/>
      <c r="G5" s="3"/>
      <c r="H5" s="3"/>
      <c r="I5" s="3"/>
      <c r="J5" s="3"/>
      <c r="K5" s="3"/>
      <c r="L5" s="3"/>
    </row>
    <row r="6" spans="1:12">
      <c r="A6" s="3" t="s">
        <v>7</v>
      </c>
      <c r="B6" s="11" t="s">
        <v>83</v>
      </c>
      <c r="C6" s="8" t="s">
        <v>271</v>
      </c>
      <c r="D6" s="3"/>
      <c r="E6" s="3"/>
      <c r="F6" s="3"/>
      <c r="G6" s="3"/>
      <c r="H6" s="3"/>
      <c r="I6" s="3"/>
      <c r="J6" s="3"/>
      <c r="K6" s="3"/>
      <c r="L6" s="3"/>
    </row>
    <row r="7" spans="1:12">
      <c r="A7" s="4" t="s">
        <v>79</v>
      </c>
      <c r="B7" s="9">
        <v>2021</v>
      </c>
      <c r="C7" s="7" t="s">
        <v>86</v>
      </c>
      <c r="D7" s="4"/>
      <c r="E7" s="4"/>
      <c r="F7" s="4"/>
      <c r="G7" s="16"/>
      <c r="H7" s="16"/>
      <c r="I7" s="16"/>
      <c r="J7" s="16"/>
      <c r="K7" s="16"/>
      <c r="L7" s="16"/>
    </row>
    <row r="8" spans="1:12">
      <c r="A8" s="5" t="s">
        <v>8</v>
      </c>
      <c r="B8" s="12" t="s">
        <v>9</v>
      </c>
      <c r="C8" s="12" t="s">
        <v>10</v>
      </c>
      <c r="D8" s="5">
        <v>202112</v>
      </c>
      <c r="E8" s="5">
        <v>202212</v>
      </c>
      <c r="F8" s="5">
        <v>202312</v>
      </c>
      <c r="G8" s="17" t="s">
        <v>264</v>
      </c>
      <c r="H8" s="17" t="s">
        <v>265</v>
      </c>
      <c r="I8" s="17" t="s">
        <v>266</v>
      </c>
      <c r="J8" s="17" t="s">
        <v>267</v>
      </c>
      <c r="K8" s="17" t="s">
        <v>268</v>
      </c>
      <c r="L8" s="17" t="s">
        <v>269</v>
      </c>
    </row>
    <row r="9" spans="1:12">
      <c r="A9" s="6"/>
      <c r="B9" s="6"/>
      <c r="C9" s="6"/>
      <c r="D9" s="6" t="s">
        <v>11</v>
      </c>
      <c r="E9" s="6" t="s">
        <v>11</v>
      </c>
      <c r="F9" s="6" t="s">
        <v>11</v>
      </c>
      <c r="G9" s="18" t="s">
        <v>11</v>
      </c>
      <c r="H9" s="18" t="s">
        <v>11</v>
      </c>
      <c r="I9" s="18" t="s">
        <v>11</v>
      </c>
      <c r="J9" s="18" t="s">
        <v>11</v>
      </c>
      <c r="K9" s="18" t="s">
        <v>11</v>
      </c>
      <c r="L9" s="18" t="s">
        <v>11</v>
      </c>
    </row>
    <row r="10" spans="1:12">
      <c r="A10" s="13">
        <v>4001210000</v>
      </c>
      <c r="B10" s="13" t="s">
        <v>87</v>
      </c>
      <c r="C10" s="51" t="s">
        <v>272</v>
      </c>
      <c r="D10" s="14">
        <v>262892.27766999998</v>
      </c>
      <c r="E10" s="14">
        <v>300795.13121000002</v>
      </c>
      <c r="F10" s="14">
        <v>290234.72909000004</v>
      </c>
      <c r="G10" s="14">
        <v>72159.605460000006</v>
      </c>
      <c r="H10" s="14">
        <v>72386.74605999999</v>
      </c>
      <c r="I10" s="14">
        <v>74142.784910000002</v>
      </c>
      <c r="J10" s="14">
        <v>74901.681799999991</v>
      </c>
      <c r="K10" s="14">
        <v>72084.710550000003</v>
      </c>
      <c r="L10" s="14">
        <v>72371.757729999998</v>
      </c>
    </row>
    <row r="11" spans="1:12">
      <c r="A11" s="13">
        <v>4001210010</v>
      </c>
      <c r="B11" s="13" t="s">
        <v>88</v>
      </c>
      <c r="C11" s="51" t="s">
        <v>272</v>
      </c>
      <c r="D11" s="14">
        <v>0</v>
      </c>
      <c r="E11" s="14">
        <v>0</v>
      </c>
      <c r="F11" s="14">
        <v>0</v>
      </c>
      <c r="G11" s="14">
        <v>0</v>
      </c>
      <c r="H11" s="14">
        <v>0</v>
      </c>
      <c r="I11" s="14">
        <v>0</v>
      </c>
      <c r="J11" s="14">
        <v>0</v>
      </c>
      <c r="K11" s="14">
        <v>0</v>
      </c>
      <c r="L11" s="14">
        <v>0</v>
      </c>
    </row>
    <row r="12" spans="1:12">
      <c r="A12" s="13">
        <v>4001210020</v>
      </c>
      <c r="B12" s="13" t="s">
        <v>89</v>
      </c>
      <c r="C12" s="51" t="s">
        <v>272</v>
      </c>
      <c r="D12" s="14">
        <v>0</v>
      </c>
      <c r="E12" s="14">
        <v>0</v>
      </c>
      <c r="F12" s="14">
        <v>0</v>
      </c>
      <c r="G12" s="14">
        <v>0</v>
      </c>
      <c r="H12" s="14">
        <v>0</v>
      </c>
      <c r="I12" s="14">
        <v>0</v>
      </c>
      <c r="J12" s="14">
        <v>0</v>
      </c>
      <c r="K12" s="14">
        <v>0</v>
      </c>
      <c r="L12" s="14">
        <v>0</v>
      </c>
    </row>
    <row r="13" spans="1:12">
      <c r="A13" s="13">
        <v>4001210320</v>
      </c>
      <c r="B13" s="13" t="s">
        <v>90</v>
      </c>
      <c r="C13" s="51" t="s">
        <v>272</v>
      </c>
      <c r="D13" s="14">
        <v>205071.3677</v>
      </c>
      <c r="E13" s="14">
        <v>235247.38847000001</v>
      </c>
      <c r="F13" s="14">
        <v>229708.95587999999</v>
      </c>
      <c r="G13" s="14">
        <v>56035.547810000004</v>
      </c>
      <c r="H13" s="14">
        <v>56088.672980000003</v>
      </c>
      <c r="I13" s="14">
        <v>57631.36937</v>
      </c>
      <c r="J13" s="14">
        <v>58918.279069999997</v>
      </c>
      <c r="K13" s="14">
        <v>56228.288380000005</v>
      </c>
      <c r="L13" s="14">
        <v>56729.923210000008</v>
      </c>
    </row>
    <row r="14" spans="1:12">
      <c r="A14" s="13">
        <v>4001210780</v>
      </c>
      <c r="B14" s="13" t="s">
        <v>91</v>
      </c>
      <c r="C14" s="51" t="s">
        <v>272</v>
      </c>
      <c r="D14" s="14">
        <v>57820.909970000008</v>
      </c>
      <c r="E14" s="14">
        <v>65547.742740000002</v>
      </c>
      <c r="F14" s="14">
        <v>60525.773210000007</v>
      </c>
      <c r="G14" s="14">
        <v>16124.057649999999</v>
      </c>
      <c r="H14" s="14">
        <v>16298.07308</v>
      </c>
      <c r="I14" s="14">
        <v>16511.415540000002</v>
      </c>
      <c r="J14" s="14">
        <v>15983.40273</v>
      </c>
      <c r="K14" s="14">
        <v>15856.42217</v>
      </c>
      <c r="L14" s="14">
        <v>15641.83452</v>
      </c>
    </row>
    <row r="15" spans="1:12">
      <c r="A15" s="13">
        <v>4001290000</v>
      </c>
      <c r="B15" s="13" t="s">
        <v>92</v>
      </c>
      <c r="C15" s="51" t="s">
        <v>272</v>
      </c>
      <c r="D15" s="14">
        <v>42576.616050000004</v>
      </c>
      <c r="E15" s="14">
        <v>48900.660640000002</v>
      </c>
      <c r="F15" s="14">
        <v>47609.949079999999</v>
      </c>
      <c r="G15" s="14">
        <v>12364.616129999999</v>
      </c>
      <c r="H15" s="14">
        <v>12502.416380000001</v>
      </c>
      <c r="I15" s="14">
        <v>12349.48007</v>
      </c>
      <c r="J15" s="14">
        <v>12170.260039999999</v>
      </c>
      <c r="K15" s="14">
        <v>12524.742770000001</v>
      </c>
      <c r="L15" s="14">
        <v>12110.534879999999</v>
      </c>
    </row>
    <row r="16" spans="1:12">
      <c r="A16" s="13">
        <v>4001290010</v>
      </c>
      <c r="B16" s="13" t="s">
        <v>93</v>
      </c>
      <c r="C16" s="51" t="s">
        <v>272</v>
      </c>
      <c r="D16" s="14">
        <v>15671.973550000001</v>
      </c>
      <c r="E16" s="14">
        <v>17827.56997</v>
      </c>
      <c r="F16" s="14">
        <v>18424.937969999999</v>
      </c>
      <c r="G16" s="14">
        <v>4712.9625900000001</v>
      </c>
      <c r="H16" s="14">
        <v>4757.8858</v>
      </c>
      <c r="I16" s="14">
        <v>4845.1958000000004</v>
      </c>
      <c r="J16" s="14">
        <v>4553.1631699999998</v>
      </c>
      <c r="K16" s="14">
        <v>4860.9652999999998</v>
      </c>
      <c r="L16" s="14">
        <v>4756.36553</v>
      </c>
    </row>
    <row r="17" spans="1:12">
      <c r="A17" s="13">
        <v>4001290020</v>
      </c>
      <c r="B17" s="13" t="s">
        <v>94</v>
      </c>
      <c r="C17" s="51" t="s">
        <v>272</v>
      </c>
      <c r="D17" s="14">
        <v>2921.1302700000001</v>
      </c>
      <c r="E17" s="14">
        <v>3125.97352</v>
      </c>
      <c r="F17" s="14">
        <v>3454.11184</v>
      </c>
      <c r="G17" s="14">
        <v>807.10757000000001</v>
      </c>
      <c r="H17" s="14">
        <v>910.322</v>
      </c>
      <c r="I17" s="14">
        <v>822.34582</v>
      </c>
      <c r="J17" s="14">
        <v>863.58204000000001</v>
      </c>
      <c r="K17" s="14">
        <v>885.55441000000008</v>
      </c>
      <c r="L17" s="14">
        <v>891.55096999999989</v>
      </c>
    </row>
    <row r="18" spans="1:12">
      <c r="A18" s="13">
        <v>4001211300</v>
      </c>
      <c r="B18" s="13" t="s">
        <v>95</v>
      </c>
      <c r="C18" s="51" t="s">
        <v>272</v>
      </c>
      <c r="D18" s="14">
        <v>486.89468999999997</v>
      </c>
      <c r="E18" s="14">
        <v>638.31140000000005</v>
      </c>
      <c r="F18" s="14">
        <v>498.32661999999999</v>
      </c>
      <c r="G18" s="14">
        <v>99.29370999999999</v>
      </c>
      <c r="H18" s="14">
        <v>130.39977999999999</v>
      </c>
      <c r="I18" s="14">
        <v>119.60166</v>
      </c>
      <c r="J18" s="14">
        <v>116.33867000000001</v>
      </c>
      <c r="K18" s="14">
        <v>100.47941999999999</v>
      </c>
      <c r="L18" s="14">
        <v>115.34811999999999</v>
      </c>
    </row>
    <row r="19" spans="1:12">
      <c r="A19" s="13">
        <v>4001211060</v>
      </c>
      <c r="B19" s="13" t="s">
        <v>96</v>
      </c>
      <c r="C19" s="51" t="s">
        <v>272</v>
      </c>
      <c r="D19" s="14">
        <v>1759.43237</v>
      </c>
      <c r="E19" s="14">
        <v>2440.36645</v>
      </c>
      <c r="F19" s="14">
        <v>2052.3513499999999</v>
      </c>
      <c r="G19" s="14">
        <v>462.11095999999998</v>
      </c>
      <c r="H19" s="14">
        <v>754.80029999999999</v>
      </c>
      <c r="I19" s="14">
        <v>844.05589000000009</v>
      </c>
      <c r="J19" s="14">
        <v>14.53458</v>
      </c>
      <c r="K19" s="14">
        <v>568.13495</v>
      </c>
      <c r="L19" s="14">
        <v>599.83870000000002</v>
      </c>
    </row>
    <row r="20" spans="1:12">
      <c r="A20" s="13">
        <v>4001290040</v>
      </c>
      <c r="B20" s="13" t="s">
        <v>97</v>
      </c>
      <c r="C20" s="51" t="s">
        <v>272</v>
      </c>
      <c r="D20" s="14">
        <v>10830.0324</v>
      </c>
      <c r="E20" s="14">
        <v>13241.464820000001</v>
      </c>
      <c r="F20" s="14">
        <v>12073.6728</v>
      </c>
      <c r="G20" s="14">
        <v>3138.5811899999999</v>
      </c>
      <c r="H20" s="14">
        <v>2989.7639299999996</v>
      </c>
      <c r="I20" s="14">
        <v>3148.2233799999999</v>
      </c>
      <c r="J20" s="14">
        <v>3097.1727500000002</v>
      </c>
      <c r="K20" s="14">
        <v>3025.97093</v>
      </c>
      <c r="L20" s="14">
        <v>2810.23045</v>
      </c>
    </row>
    <row r="21" spans="1:12">
      <c r="A21" s="13">
        <v>4001290090</v>
      </c>
      <c r="B21" s="13" t="s">
        <v>98</v>
      </c>
      <c r="C21" s="51" t="s">
        <v>272</v>
      </c>
      <c r="D21" s="14">
        <v>9248.4574599999996</v>
      </c>
      <c r="E21" s="14">
        <v>9568.8403199999993</v>
      </c>
      <c r="F21" s="14">
        <v>9036.8377700000001</v>
      </c>
      <c r="G21" s="14">
        <v>2601.72811</v>
      </c>
      <c r="H21" s="14">
        <v>2391.18824</v>
      </c>
      <c r="I21" s="14">
        <v>2009.0551600000001</v>
      </c>
      <c r="J21" s="14">
        <v>2932.2665099999999</v>
      </c>
      <c r="K21" s="14">
        <v>2528.7932099999998</v>
      </c>
      <c r="L21" s="14">
        <v>2405.3464899999999</v>
      </c>
    </row>
    <row r="22" spans="1:12">
      <c r="A22" s="13">
        <v>4001290110</v>
      </c>
      <c r="B22" s="13" t="s">
        <v>99</v>
      </c>
      <c r="C22" s="51" t="s">
        <v>272</v>
      </c>
      <c r="D22" s="14">
        <v>0</v>
      </c>
      <c r="E22" s="14">
        <v>0</v>
      </c>
      <c r="F22" s="14">
        <v>0</v>
      </c>
      <c r="G22" s="14">
        <v>0</v>
      </c>
      <c r="H22" s="14">
        <v>0</v>
      </c>
      <c r="I22" s="14">
        <v>0</v>
      </c>
      <c r="J22" s="14">
        <v>0</v>
      </c>
      <c r="K22" s="14">
        <v>0</v>
      </c>
      <c r="L22" s="14">
        <v>0</v>
      </c>
    </row>
    <row r="23" spans="1:12">
      <c r="A23" s="13">
        <v>4001211420</v>
      </c>
      <c r="B23" s="13" t="s">
        <v>100</v>
      </c>
      <c r="C23" s="51" t="s">
        <v>272</v>
      </c>
      <c r="D23" s="14">
        <v>1658.6953099999998</v>
      </c>
      <c r="E23" s="14">
        <v>2058.1341600000001</v>
      </c>
      <c r="F23" s="14">
        <v>2069.7107300000002</v>
      </c>
      <c r="G23" s="14">
        <v>542.83199999999999</v>
      </c>
      <c r="H23" s="14">
        <v>568.05633</v>
      </c>
      <c r="I23" s="14">
        <v>561.00235999999995</v>
      </c>
      <c r="J23" s="14">
        <v>593.20231999999999</v>
      </c>
      <c r="K23" s="14">
        <v>554.84455000000003</v>
      </c>
      <c r="L23" s="14">
        <v>531.85461999999995</v>
      </c>
    </row>
    <row r="24" spans="1:12">
      <c r="A24" s="13">
        <v>4001211430</v>
      </c>
      <c r="B24" s="13" t="s">
        <v>101</v>
      </c>
      <c r="C24" s="51" t="s">
        <v>272</v>
      </c>
      <c r="D24" s="14">
        <v>15244.29392</v>
      </c>
      <c r="E24" s="14">
        <v>16647.0821</v>
      </c>
      <c r="F24" s="14">
        <v>12915.824129999999</v>
      </c>
      <c r="G24" s="14">
        <v>3759.4415199999999</v>
      </c>
      <c r="H24" s="14">
        <v>3795.6567</v>
      </c>
      <c r="I24" s="14">
        <v>4161.9354700000004</v>
      </c>
      <c r="J24" s="14">
        <v>3813.1426899999997</v>
      </c>
      <c r="K24" s="14">
        <v>3331.6794</v>
      </c>
      <c r="L24" s="14">
        <v>3531.2996399999997</v>
      </c>
    </row>
    <row r="25" spans="1:12">
      <c r="A25" s="13">
        <v>4001290120</v>
      </c>
      <c r="B25" s="13" t="s">
        <v>102</v>
      </c>
      <c r="C25" s="51" t="s">
        <v>272</v>
      </c>
      <c r="D25" s="14">
        <v>3458.5450199999996</v>
      </c>
      <c r="E25" s="14">
        <v>6812.1336699999993</v>
      </c>
      <c r="F25" s="14">
        <v>4588.5529200000001</v>
      </c>
      <c r="G25" s="14">
        <v>1446.9506700000002</v>
      </c>
      <c r="H25" s="14">
        <v>1667.29402</v>
      </c>
      <c r="I25" s="14">
        <v>446.39027999999996</v>
      </c>
      <c r="J25" s="14">
        <v>3055.8259200000002</v>
      </c>
      <c r="K25" s="14">
        <v>1635.58356</v>
      </c>
      <c r="L25" s="14">
        <v>1957.17536</v>
      </c>
    </row>
    <row r="26" spans="1:12">
      <c r="A26" s="13">
        <v>4001290750</v>
      </c>
      <c r="B26" s="13" t="s">
        <v>103</v>
      </c>
      <c r="C26" s="51" t="s">
        <v>272</v>
      </c>
      <c r="D26" s="14">
        <v>342.00159000000002</v>
      </c>
      <c r="E26" s="14">
        <v>381.60661999999996</v>
      </c>
      <c r="F26" s="14">
        <v>565.61653000000001</v>
      </c>
      <c r="G26" s="14">
        <v>0</v>
      </c>
      <c r="H26" s="14">
        <v>0</v>
      </c>
      <c r="I26" s="14">
        <v>0</v>
      </c>
      <c r="J26" s="14">
        <v>678.72815000000003</v>
      </c>
      <c r="K26" s="14">
        <v>0</v>
      </c>
      <c r="L26" s="14">
        <v>0</v>
      </c>
    </row>
    <row r="27" spans="1:12">
      <c r="A27" s="13">
        <v>4001290760</v>
      </c>
      <c r="B27" s="13" t="s">
        <v>104</v>
      </c>
      <c r="C27" s="51" t="s">
        <v>272</v>
      </c>
      <c r="D27" s="14">
        <v>0</v>
      </c>
      <c r="E27" s="14">
        <v>0</v>
      </c>
      <c r="F27" s="14">
        <v>0</v>
      </c>
      <c r="G27" s="14">
        <v>0</v>
      </c>
      <c r="H27" s="14">
        <v>0</v>
      </c>
      <c r="I27" s="14">
        <v>0</v>
      </c>
      <c r="J27" s="14">
        <v>0</v>
      </c>
      <c r="K27" s="14">
        <v>0</v>
      </c>
      <c r="L27" s="14">
        <v>0</v>
      </c>
    </row>
    <row r="28" spans="1:12">
      <c r="A28" s="13">
        <v>4001211480</v>
      </c>
      <c r="B28" s="13" t="s">
        <v>105</v>
      </c>
      <c r="C28" s="51" t="s">
        <v>272</v>
      </c>
      <c r="D28" s="14">
        <v>1630.24962</v>
      </c>
      <c r="E28" s="14">
        <v>3547.5908399999998</v>
      </c>
      <c r="F28" s="14">
        <v>2592.8598900000002</v>
      </c>
      <c r="G28" s="14">
        <v>0</v>
      </c>
      <c r="H28" s="14">
        <v>0</v>
      </c>
      <c r="I28" s="14">
        <v>0</v>
      </c>
      <c r="J28" s="14">
        <v>2533.62444</v>
      </c>
      <c r="K28" s="14">
        <v>0</v>
      </c>
      <c r="L28" s="14">
        <v>0</v>
      </c>
    </row>
    <row r="29" spans="1:12">
      <c r="A29" s="13">
        <v>4001211520</v>
      </c>
      <c r="B29" s="13" t="s">
        <v>106</v>
      </c>
      <c r="C29" s="51" t="s">
        <v>272</v>
      </c>
      <c r="D29" s="14">
        <v>0</v>
      </c>
      <c r="E29" s="14">
        <v>0</v>
      </c>
      <c r="F29" s="14">
        <v>0</v>
      </c>
      <c r="G29" s="14">
        <v>0</v>
      </c>
      <c r="H29" s="14">
        <v>0</v>
      </c>
      <c r="I29" s="14">
        <v>0</v>
      </c>
      <c r="J29" s="14">
        <v>0</v>
      </c>
      <c r="K29" s="14">
        <v>0</v>
      </c>
      <c r="L29" s="14">
        <v>0</v>
      </c>
    </row>
    <row r="30" spans="1:12">
      <c r="A30" s="13">
        <v>4001211600</v>
      </c>
      <c r="B30" s="13" t="s">
        <v>107</v>
      </c>
      <c r="C30" s="51" t="s">
        <v>272</v>
      </c>
      <c r="D30" s="14">
        <v>0</v>
      </c>
      <c r="E30" s="14">
        <v>0</v>
      </c>
      <c r="F30" s="14">
        <v>0</v>
      </c>
      <c r="G30" s="14">
        <v>0</v>
      </c>
      <c r="H30" s="14">
        <v>0</v>
      </c>
      <c r="I30" s="14">
        <v>0</v>
      </c>
      <c r="J30" s="14">
        <v>0</v>
      </c>
      <c r="K30" s="14">
        <v>0</v>
      </c>
      <c r="L30" s="14">
        <v>0</v>
      </c>
    </row>
    <row r="31" spans="1:12">
      <c r="A31" s="13">
        <v>4001211605</v>
      </c>
      <c r="B31" s="13" t="s">
        <v>108</v>
      </c>
      <c r="C31" s="51" t="s">
        <v>272</v>
      </c>
      <c r="D31" s="14">
        <v>0</v>
      </c>
      <c r="E31" s="14">
        <v>0</v>
      </c>
      <c r="F31" s="14">
        <v>0</v>
      </c>
      <c r="G31" s="14">
        <v>0</v>
      </c>
      <c r="H31" s="14">
        <v>0</v>
      </c>
      <c r="I31" s="14">
        <v>0</v>
      </c>
      <c r="J31" s="14">
        <v>0</v>
      </c>
      <c r="K31" s="14">
        <v>0</v>
      </c>
      <c r="L31" s="14">
        <v>0</v>
      </c>
    </row>
    <row r="32" spans="1:12">
      <c r="A32" s="13">
        <v>4001290130</v>
      </c>
      <c r="B32" s="13" t="s">
        <v>109</v>
      </c>
      <c r="C32" s="51" t="s">
        <v>272</v>
      </c>
      <c r="D32" s="14">
        <v>7.1642600000000005</v>
      </c>
      <c r="E32" s="14">
        <v>41.938459999999992</v>
      </c>
      <c r="F32" s="14">
        <v>1.2815299999999998</v>
      </c>
      <c r="G32" s="14">
        <v>0</v>
      </c>
      <c r="H32" s="14">
        <v>0</v>
      </c>
      <c r="I32" s="14">
        <v>0</v>
      </c>
      <c r="J32" s="14">
        <v>24.210740000000001</v>
      </c>
      <c r="K32" s="14">
        <v>0</v>
      </c>
      <c r="L32" s="14">
        <v>0</v>
      </c>
    </row>
    <row r="33" spans="1:12">
      <c r="A33" s="13">
        <v>4001290150</v>
      </c>
      <c r="B33" s="13" t="s">
        <v>110</v>
      </c>
      <c r="C33" s="51" t="s">
        <v>272</v>
      </c>
      <c r="D33" s="14">
        <v>0</v>
      </c>
      <c r="E33" s="14">
        <v>0</v>
      </c>
      <c r="F33" s="14">
        <v>0</v>
      </c>
      <c r="G33" s="14">
        <v>0</v>
      </c>
      <c r="H33" s="14">
        <v>0</v>
      </c>
      <c r="I33" s="14">
        <v>0</v>
      </c>
      <c r="J33" s="14">
        <v>0</v>
      </c>
      <c r="K33" s="14">
        <v>0</v>
      </c>
      <c r="L33" s="14">
        <v>0</v>
      </c>
    </row>
    <row r="34" spans="1:12">
      <c r="A34" s="13">
        <v>4001211720</v>
      </c>
      <c r="B34" s="13" t="s">
        <v>111</v>
      </c>
      <c r="C34" s="51" t="s">
        <v>272</v>
      </c>
      <c r="D34" s="14">
        <v>0</v>
      </c>
      <c r="E34" s="14">
        <v>0</v>
      </c>
      <c r="F34" s="14">
        <v>0</v>
      </c>
      <c r="G34" s="14">
        <v>0</v>
      </c>
      <c r="H34" s="14">
        <v>0</v>
      </c>
      <c r="I34" s="14">
        <v>0</v>
      </c>
      <c r="J34" s="14">
        <v>0</v>
      </c>
      <c r="K34" s="14">
        <v>0</v>
      </c>
      <c r="L34" s="14">
        <v>0</v>
      </c>
    </row>
    <row r="35" spans="1:12">
      <c r="A35" s="13">
        <v>4001211680</v>
      </c>
      <c r="B35" s="13" t="s">
        <v>112</v>
      </c>
      <c r="C35" s="51" t="s">
        <v>272</v>
      </c>
      <c r="D35" s="14">
        <v>1372.2406700000001</v>
      </c>
      <c r="E35" s="14">
        <v>2660.9841299999998</v>
      </c>
      <c r="F35" s="14">
        <v>1319.5614799999998</v>
      </c>
      <c r="G35" s="14">
        <v>0</v>
      </c>
      <c r="H35" s="14">
        <v>0</v>
      </c>
      <c r="I35" s="14">
        <v>0</v>
      </c>
      <c r="J35" s="14">
        <v>2957.73596</v>
      </c>
      <c r="K35" s="14">
        <v>0</v>
      </c>
      <c r="L35" s="14">
        <v>0</v>
      </c>
    </row>
    <row r="36" spans="1:12">
      <c r="A36" s="13">
        <v>4001290170</v>
      </c>
      <c r="B36" s="13" t="s">
        <v>113</v>
      </c>
      <c r="C36" s="51" t="s">
        <v>272</v>
      </c>
      <c r="D36" s="14">
        <v>106.88888000000001</v>
      </c>
      <c r="E36" s="14">
        <v>180.01362</v>
      </c>
      <c r="F36" s="14">
        <v>109.23349</v>
      </c>
      <c r="G36" s="14">
        <v>1446.9506700000002</v>
      </c>
      <c r="H36" s="14">
        <v>1667.29402</v>
      </c>
      <c r="I36" s="14">
        <v>446.39027999999996</v>
      </c>
      <c r="J36" s="14">
        <v>-3138.4733700000002</v>
      </c>
      <c r="K36" s="14">
        <v>1635.58356</v>
      </c>
      <c r="L36" s="14">
        <v>1957.17536</v>
      </c>
    </row>
    <row r="37" spans="1:12">
      <c r="A37" s="13">
        <v>4001290180</v>
      </c>
      <c r="B37" s="13" t="s">
        <v>114</v>
      </c>
      <c r="C37" s="51" t="s">
        <v>272</v>
      </c>
      <c r="D37" s="14">
        <v>6424.3620600000004</v>
      </c>
      <c r="E37" s="14">
        <v>9892.9053399999993</v>
      </c>
      <c r="F37" s="14">
        <v>9105.3896699999987</v>
      </c>
      <c r="G37" s="14">
        <v>2979.2817800000003</v>
      </c>
      <c r="H37" s="14">
        <v>3309.6604299999999</v>
      </c>
      <c r="I37" s="14">
        <v>1465.19757</v>
      </c>
      <c r="J37" s="14">
        <v>4583.3099599999996</v>
      </c>
      <c r="K37" s="14">
        <v>2750.3285499999997</v>
      </c>
      <c r="L37" s="14">
        <v>2726.8654299999998</v>
      </c>
    </row>
    <row r="38" spans="1:12">
      <c r="A38" s="13">
        <v>4001290770</v>
      </c>
      <c r="B38" s="13" t="s">
        <v>115</v>
      </c>
      <c r="C38" s="51" t="s">
        <v>272</v>
      </c>
      <c r="D38" s="14">
        <v>2727.8337099999999</v>
      </c>
      <c r="E38" s="14">
        <v>3674.68986</v>
      </c>
      <c r="F38" s="14">
        <v>5154.5491000000002</v>
      </c>
      <c r="G38" s="14">
        <v>0</v>
      </c>
      <c r="H38" s="14">
        <v>0</v>
      </c>
      <c r="I38" s="14">
        <v>0</v>
      </c>
      <c r="J38" s="14">
        <v>5534.9231999999993</v>
      </c>
      <c r="K38" s="14">
        <v>0</v>
      </c>
      <c r="L38" s="14">
        <v>0</v>
      </c>
    </row>
    <row r="39" spans="1:12">
      <c r="A39" s="13">
        <v>4001211820</v>
      </c>
      <c r="B39" s="13" t="s">
        <v>116</v>
      </c>
      <c r="C39" s="51" t="s">
        <v>272</v>
      </c>
      <c r="D39" s="14">
        <v>2536.59609</v>
      </c>
      <c r="E39" s="14">
        <v>4540.7541899999997</v>
      </c>
      <c r="F39" s="14">
        <v>2561.9105799999998</v>
      </c>
      <c r="G39" s="14">
        <v>0</v>
      </c>
      <c r="H39" s="14">
        <v>0</v>
      </c>
      <c r="I39" s="14">
        <v>0</v>
      </c>
      <c r="J39" s="14">
        <v>4515.4185499999994</v>
      </c>
      <c r="K39" s="14">
        <v>0</v>
      </c>
      <c r="L39" s="14">
        <v>0</v>
      </c>
    </row>
    <row r="40" spans="1:12">
      <c r="A40" s="13">
        <v>4001211860</v>
      </c>
      <c r="B40" s="13" t="s">
        <v>117</v>
      </c>
      <c r="C40" s="51" t="s">
        <v>272</v>
      </c>
      <c r="D40" s="14">
        <v>0</v>
      </c>
      <c r="E40" s="14">
        <v>0</v>
      </c>
      <c r="F40" s="14">
        <v>0</v>
      </c>
      <c r="G40" s="14">
        <v>0</v>
      </c>
      <c r="H40" s="14">
        <v>0</v>
      </c>
      <c r="I40" s="14">
        <v>0</v>
      </c>
      <c r="J40" s="14">
        <v>0</v>
      </c>
      <c r="K40" s="14">
        <v>0</v>
      </c>
      <c r="L40" s="14">
        <v>0</v>
      </c>
    </row>
    <row r="41" spans="1:12">
      <c r="A41" s="13">
        <v>4001211865</v>
      </c>
      <c r="B41" s="13" t="s">
        <v>118</v>
      </c>
      <c r="C41" s="51" t="s">
        <v>272</v>
      </c>
      <c r="D41" s="14">
        <v>0</v>
      </c>
      <c r="E41" s="14">
        <v>0</v>
      </c>
      <c r="F41" s="14">
        <v>0</v>
      </c>
      <c r="G41" s="14">
        <v>0</v>
      </c>
      <c r="H41" s="14">
        <v>0</v>
      </c>
      <c r="I41" s="14">
        <v>0</v>
      </c>
      <c r="J41" s="14">
        <v>0</v>
      </c>
      <c r="K41" s="14">
        <v>0</v>
      </c>
      <c r="L41" s="14">
        <v>0</v>
      </c>
    </row>
    <row r="42" spans="1:12">
      <c r="A42" s="13">
        <v>4001211940</v>
      </c>
      <c r="B42" s="13" t="s">
        <v>119</v>
      </c>
      <c r="C42" s="51" t="s">
        <v>272</v>
      </c>
      <c r="D42" s="14">
        <v>120.92066000000001</v>
      </c>
      <c r="E42" s="14">
        <v>126.5706</v>
      </c>
      <c r="F42" s="14">
        <v>174.71490000000003</v>
      </c>
      <c r="G42" s="14">
        <v>0</v>
      </c>
      <c r="H42" s="14">
        <v>0</v>
      </c>
      <c r="I42" s="14">
        <v>0</v>
      </c>
      <c r="J42" s="14">
        <v>148.39828</v>
      </c>
      <c r="K42" s="14">
        <v>0</v>
      </c>
      <c r="L42" s="14">
        <v>0</v>
      </c>
    </row>
    <row r="43" spans="1:12">
      <c r="A43" s="13">
        <v>4001290190</v>
      </c>
      <c r="B43" s="13" t="s">
        <v>120</v>
      </c>
      <c r="C43" s="51" t="s">
        <v>272</v>
      </c>
      <c r="D43" s="14">
        <v>1.11572</v>
      </c>
      <c r="E43" s="14">
        <v>2.4084099999999999</v>
      </c>
      <c r="F43" s="14">
        <v>1.0728599999999999</v>
      </c>
      <c r="G43" s="14">
        <v>0</v>
      </c>
      <c r="H43" s="14">
        <v>0</v>
      </c>
      <c r="I43" s="14">
        <v>0</v>
      </c>
      <c r="J43" s="14">
        <v>2.3102</v>
      </c>
      <c r="K43" s="14">
        <v>0</v>
      </c>
      <c r="L43" s="14">
        <v>0</v>
      </c>
    </row>
    <row r="44" spans="1:12">
      <c r="A44" s="13">
        <v>4001290210</v>
      </c>
      <c r="B44" s="13" t="s">
        <v>121</v>
      </c>
      <c r="C44" s="51" t="s">
        <v>272</v>
      </c>
      <c r="D44" s="14">
        <v>0</v>
      </c>
      <c r="E44" s="14">
        <v>0</v>
      </c>
      <c r="F44" s="14">
        <v>0</v>
      </c>
      <c r="G44" s="14">
        <v>0</v>
      </c>
      <c r="H44" s="14">
        <v>0</v>
      </c>
      <c r="I44" s="14">
        <v>0</v>
      </c>
      <c r="J44" s="14">
        <v>0</v>
      </c>
      <c r="K44" s="14">
        <v>0</v>
      </c>
      <c r="L44" s="14">
        <v>0</v>
      </c>
    </row>
    <row r="45" spans="1:12">
      <c r="A45" s="13">
        <v>4001212060</v>
      </c>
      <c r="B45" s="13" t="s">
        <v>122</v>
      </c>
      <c r="C45" s="51" t="s">
        <v>272</v>
      </c>
      <c r="D45" s="14">
        <v>0</v>
      </c>
      <c r="E45" s="14">
        <v>0</v>
      </c>
      <c r="F45" s="14">
        <v>0</v>
      </c>
      <c r="G45" s="14">
        <v>0</v>
      </c>
      <c r="H45" s="14">
        <v>0</v>
      </c>
      <c r="I45" s="14">
        <v>0</v>
      </c>
      <c r="J45" s="14">
        <v>0</v>
      </c>
      <c r="K45" s="14">
        <v>0</v>
      </c>
      <c r="L45" s="14">
        <v>0</v>
      </c>
    </row>
    <row r="46" spans="1:12">
      <c r="A46" s="13">
        <v>4001212020</v>
      </c>
      <c r="B46" s="13" t="s">
        <v>123</v>
      </c>
      <c r="C46" s="51" t="s">
        <v>272</v>
      </c>
      <c r="D46" s="14">
        <v>1013.6656600000001</v>
      </c>
      <c r="E46" s="14">
        <v>1517.0840499999999</v>
      </c>
      <c r="F46" s="14">
        <v>995.96556999999996</v>
      </c>
      <c r="G46" s="14">
        <v>0</v>
      </c>
      <c r="H46" s="14">
        <v>0</v>
      </c>
      <c r="I46" s="14">
        <v>0</v>
      </c>
      <c r="J46" s="14">
        <v>1710.1936499999999</v>
      </c>
      <c r="K46" s="14">
        <v>0</v>
      </c>
      <c r="L46" s="14">
        <v>0</v>
      </c>
    </row>
    <row r="47" spans="1:12">
      <c r="A47" s="13">
        <v>4001290230</v>
      </c>
      <c r="B47" s="13" t="s">
        <v>124</v>
      </c>
      <c r="C47" s="51" t="s">
        <v>272</v>
      </c>
      <c r="D47" s="14">
        <v>24.230219999999999</v>
      </c>
      <c r="E47" s="14">
        <v>31.398229999999998</v>
      </c>
      <c r="F47" s="14">
        <v>217.17666</v>
      </c>
      <c r="G47" s="14">
        <v>2979.2817800000003</v>
      </c>
      <c r="H47" s="14">
        <v>3309.6604299999999</v>
      </c>
      <c r="I47" s="14">
        <v>1465.19757</v>
      </c>
      <c r="J47" s="14">
        <v>-7327.9339199999995</v>
      </c>
      <c r="K47" s="14">
        <v>2750.3285499999997</v>
      </c>
      <c r="L47" s="14">
        <v>2726.8654299999998</v>
      </c>
    </row>
    <row r="48" spans="1:12">
      <c r="A48" s="13">
        <v>4001290240</v>
      </c>
      <c r="B48" s="13" t="s">
        <v>125</v>
      </c>
      <c r="C48" s="51" t="s">
        <v>272</v>
      </c>
      <c r="D48" s="14">
        <v>4322.2571900000003</v>
      </c>
      <c r="E48" s="14">
        <v>2501.6531500000001</v>
      </c>
      <c r="F48" s="14">
        <v>3535.9204</v>
      </c>
      <c r="G48" s="14">
        <v>597.52683999999999</v>
      </c>
      <c r="H48" s="14">
        <v>350.58561000000003</v>
      </c>
      <c r="I48" s="14">
        <v>317.03588000000002</v>
      </c>
      <c r="J48" s="14">
        <v>535.32027000000005</v>
      </c>
      <c r="K48" s="14">
        <v>271.74990000000003</v>
      </c>
      <c r="L48" s="14">
        <v>309.53334999999998</v>
      </c>
    </row>
    <row r="49" spans="1:12">
      <c r="A49" s="13">
        <v>4001280000</v>
      </c>
      <c r="B49" s="13" t="s">
        <v>103</v>
      </c>
      <c r="C49" s="51" t="s">
        <v>272</v>
      </c>
      <c r="D49" s="14">
        <v>0</v>
      </c>
      <c r="E49" s="14">
        <v>0</v>
      </c>
      <c r="F49" s="14">
        <v>0</v>
      </c>
      <c r="G49" s="14">
        <v>0</v>
      </c>
      <c r="H49" s="14">
        <v>0</v>
      </c>
      <c r="I49" s="14">
        <v>0</v>
      </c>
      <c r="J49" s="14">
        <v>0</v>
      </c>
      <c r="K49" s="14">
        <v>0</v>
      </c>
      <c r="L49" s="14">
        <v>0</v>
      </c>
    </row>
    <row r="50" spans="1:12">
      <c r="A50" s="13">
        <v>4001280010</v>
      </c>
      <c r="B50" s="13" t="s">
        <v>104</v>
      </c>
      <c r="C50" s="51" t="s">
        <v>272</v>
      </c>
      <c r="D50" s="14">
        <v>0</v>
      </c>
      <c r="E50" s="14">
        <v>0</v>
      </c>
      <c r="F50" s="14">
        <v>0</v>
      </c>
      <c r="G50" s="14">
        <v>0</v>
      </c>
      <c r="H50" s="14">
        <v>0</v>
      </c>
      <c r="I50" s="14">
        <v>0</v>
      </c>
      <c r="J50" s="14">
        <v>0</v>
      </c>
      <c r="K50" s="14">
        <v>0</v>
      </c>
      <c r="L50" s="14">
        <v>0</v>
      </c>
    </row>
    <row r="51" spans="1:12">
      <c r="A51" s="13">
        <v>4001290250</v>
      </c>
      <c r="B51" s="13" t="s">
        <v>105</v>
      </c>
      <c r="C51" s="51" t="s">
        <v>272</v>
      </c>
      <c r="D51" s="14">
        <v>0</v>
      </c>
      <c r="E51" s="14">
        <v>0</v>
      </c>
      <c r="F51" s="14">
        <v>0</v>
      </c>
      <c r="G51" s="14">
        <v>0</v>
      </c>
      <c r="H51" s="14">
        <v>0</v>
      </c>
      <c r="I51" s="14">
        <v>0</v>
      </c>
      <c r="J51" s="14">
        <v>0</v>
      </c>
      <c r="K51" s="14">
        <v>0</v>
      </c>
      <c r="L51" s="14">
        <v>0</v>
      </c>
    </row>
    <row r="52" spans="1:12">
      <c r="A52" s="13">
        <v>4001280050</v>
      </c>
      <c r="B52" s="13" t="s">
        <v>126</v>
      </c>
      <c r="C52" s="51" t="s">
        <v>272</v>
      </c>
      <c r="D52" s="14">
        <v>0</v>
      </c>
      <c r="E52" s="14">
        <v>0</v>
      </c>
      <c r="F52" s="14">
        <v>0</v>
      </c>
      <c r="G52" s="14">
        <v>0</v>
      </c>
      <c r="H52" s="14">
        <v>0</v>
      </c>
      <c r="I52" s="14">
        <v>0</v>
      </c>
      <c r="J52" s="14">
        <v>0</v>
      </c>
      <c r="K52" s="14">
        <v>0</v>
      </c>
      <c r="L52" s="14">
        <v>0</v>
      </c>
    </row>
    <row r="53" spans="1:12">
      <c r="A53" s="13">
        <v>4001280060</v>
      </c>
      <c r="B53" s="13" t="s">
        <v>127</v>
      </c>
      <c r="C53" s="51" t="s">
        <v>272</v>
      </c>
      <c r="D53" s="14">
        <v>0</v>
      </c>
      <c r="E53" s="14">
        <v>0</v>
      </c>
      <c r="F53" s="14">
        <v>0</v>
      </c>
      <c r="G53" s="14">
        <v>0</v>
      </c>
      <c r="H53" s="14">
        <v>0</v>
      </c>
      <c r="I53" s="14">
        <v>0</v>
      </c>
      <c r="J53" s="14">
        <v>0</v>
      </c>
      <c r="K53" s="14">
        <v>0</v>
      </c>
      <c r="L53" s="14">
        <v>0</v>
      </c>
    </row>
    <row r="54" spans="1:12">
      <c r="A54" s="13">
        <v>4001280065</v>
      </c>
      <c r="B54" s="13" t="s">
        <v>128</v>
      </c>
      <c r="C54" s="51" t="s">
        <v>272</v>
      </c>
      <c r="D54" s="14">
        <v>0</v>
      </c>
      <c r="E54" s="14">
        <v>0</v>
      </c>
      <c r="F54" s="14">
        <v>0</v>
      </c>
      <c r="G54" s="14">
        <v>0</v>
      </c>
      <c r="H54" s="14">
        <v>0</v>
      </c>
      <c r="I54" s="14">
        <v>0</v>
      </c>
      <c r="J54" s="14">
        <v>0</v>
      </c>
      <c r="K54" s="14">
        <v>0</v>
      </c>
      <c r="L54" s="14">
        <v>0</v>
      </c>
    </row>
    <row r="55" spans="1:12">
      <c r="A55" s="13">
        <v>4001290260</v>
      </c>
      <c r="B55" s="13" t="s">
        <v>129</v>
      </c>
      <c r="C55" s="51" t="s">
        <v>272</v>
      </c>
      <c r="D55" s="14">
        <v>439.42363</v>
      </c>
      <c r="E55" s="14">
        <v>185.79240000000001</v>
      </c>
      <c r="F55" s="14">
        <v>726.36698999999999</v>
      </c>
      <c r="G55" s="14">
        <v>0</v>
      </c>
      <c r="H55" s="14">
        <v>0</v>
      </c>
      <c r="I55" s="14">
        <v>0</v>
      </c>
      <c r="J55" s="14">
        <v>436.32144</v>
      </c>
      <c r="K55" s="14">
        <v>0</v>
      </c>
      <c r="L55" s="14">
        <v>0</v>
      </c>
    </row>
    <row r="56" spans="1:12">
      <c r="A56" s="13">
        <v>4001280140</v>
      </c>
      <c r="B56" s="13" t="s">
        <v>130</v>
      </c>
      <c r="C56" s="51" t="s">
        <v>272</v>
      </c>
      <c r="D56" s="14">
        <v>0</v>
      </c>
      <c r="E56" s="14">
        <v>0</v>
      </c>
      <c r="F56" s="14">
        <v>0</v>
      </c>
      <c r="G56" s="14">
        <v>0</v>
      </c>
      <c r="H56" s="14">
        <v>0</v>
      </c>
      <c r="I56" s="14">
        <v>0</v>
      </c>
      <c r="J56" s="14">
        <v>0</v>
      </c>
      <c r="K56" s="14">
        <v>0</v>
      </c>
      <c r="L56" s="14">
        <v>0</v>
      </c>
    </row>
    <row r="57" spans="1:12">
      <c r="A57" s="13">
        <v>4001290280</v>
      </c>
      <c r="B57" s="13" t="s">
        <v>131</v>
      </c>
      <c r="C57" s="51" t="s">
        <v>272</v>
      </c>
      <c r="D57" s="14">
        <v>0</v>
      </c>
      <c r="E57" s="14">
        <v>0</v>
      </c>
      <c r="F57" s="14">
        <v>0</v>
      </c>
      <c r="G57" s="14">
        <v>0</v>
      </c>
      <c r="H57" s="14">
        <v>0</v>
      </c>
      <c r="I57" s="14">
        <v>0</v>
      </c>
      <c r="J57" s="14">
        <v>0</v>
      </c>
      <c r="K57" s="14">
        <v>0</v>
      </c>
      <c r="L57" s="14">
        <v>0</v>
      </c>
    </row>
    <row r="58" spans="1:12">
      <c r="A58" s="13">
        <v>4001290300</v>
      </c>
      <c r="B58" s="13" t="s">
        <v>112</v>
      </c>
      <c r="C58" s="51" t="s">
        <v>272</v>
      </c>
      <c r="D58" s="14">
        <v>873.72524999999996</v>
      </c>
      <c r="E58" s="14">
        <v>1082.60509</v>
      </c>
      <c r="F58" s="14">
        <v>288.43545999999998</v>
      </c>
      <c r="G58" s="14">
        <v>0</v>
      </c>
      <c r="H58" s="14">
        <v>0</v>
      </c>
      <c r="I58" s="14">
        <v>0</v>
      </c>
      <c r="J58" s="14">
        <v>507.88108999999997</v>
      </c>
      <c r="K58" s="14">
        <v>0</v>
      </c>
      <c r="L58" s="14">
        <v>0</v>
      </c>
    </row>
    <row r="59" spans="1:12">
      <c r="A59" s="13">
        <v>4001280240</v>
      </c>
      <c r="B59" s="13" t="s">
        <v>132</v>
      </c>
      <c r="C59" s="51" t="s">
        <v>272</v>
      </c>
      <c r="D59" s="14">
        <v>0</v>
      </c>
      <c r="E59" s="14">
        <v>0</v>
      </c>
      <c r="F59" s="14">
        <v>0</v>
      </c>
      <c r="G59" s="14">
        <v>0</v>
      </c>
      <c r="H59" s="14">
        <v>0</v>
      </c>
      <c r="I59" s="14">
        <v>0</v>
      </c>
      <c r="J59" s="14">
        <v>0</v>
      </c>
      <c r="K59" s="14">
        <v>0</v>
      </c>
      <c r="L59" s="14">
        <v>0</v>
      </c>
    </row>
    <row r="60" spans="1:12">
      <c r="A60" s="13">
        <v>4001280250</v>
      </c>
      <c r="B60" s="13" t="s">
        <v>133</v>
      </c>
      <c r="C60" s="51" t="s">
        <v>272</v>
      </c>
      <c r="D60" s="14">
        <v>0</v>
      </c>
      <c r="E60" s="14">
        <v>0</v>
      </c>
      <c r="F60" s="14">
        <v>0</v>
      </c>
      <c r="G60" s="14">
        <v>0</v>
      </c>
      <c r="H60" s="14">
        <v>0</v>
      </c>
      <c r="I60" s="14">
        <v>0</v>
      </c>
      <c r="J60" s="14">
        <v>0</v>
      </c>
      <c r="K60" s="14">
        <v>0</v>
      </c>
      <c r="L60" s="14">
        <v>0</v>
      </c>
    </row>
    <row r="61" spans="1:12">
      <c r="A61" s="13">
        <v>4001280260</v>
      </c>
      <c r="B61" s="13" t="s">
        <v>134</v>
      </c>
      <c r="C61" s="51" t="s">
        <v>272</v>
      </c>
      <c r="D61" s="14">
        <v>0</v>
      </c>
      <c r="E61" s="14">
        <v>0</v>
      </c>
      <c r="F61" s="14">
        <v>0</v>
      </c>
      <c r="G61" s="14">
        <v>0</v>
      </c>
      <c r="H61" s="14">
        <v>0</v>
      </c>
      <c r="I61" s="14">
        <v>0</v>
      </c>
      <c r="J61" s="14">
        <v>0</v>
      </c>
      <c r="K61" s="14">
        <v>0</v>
      </c>
      <c r="L61" s="14">
        <v>0</v>
      </c>
    </row>
    <row r="62" spans="1:12">
      <c r="A62" s="13">
        <v>4001280270</v>
      </c>
      <c r="B62" s="13" t="s">
        <v>135</v>
      </c>
      <c r="C62" s="51" t="s">
        <v>272</v>
      </c>
      <c r="D62" s="14">
        <v>0</v>
      </c>
      <c r="E62" s="14">
        <v>0</v>
      </c>
      <c r="F62" s="14">
        <v>0</v>
      </c>
      <c r="G62" s="14">
        <v>0</v>
      </c>
      <c r="H62" s="14">
        <v>0</v>
      </c>
      <c r="I62" s="14">
        <v>0</v>
      </c>
      <c r="J62" s="14">
        <v>0</v>
      </c>
      <c r="K62" s="14">
        <v>0</v>
      </c>
      <c r="L62" s="14">
        <v>0</v>
      </c>
    </row>
    <row r="63" spans="1:12">
      <c r="A63" s="13">
        <v>4001280280</v>
      </c>
      <c r="B63" s="13" t="s">
        <v>136</v>
      </c>
      <c r="C63" s="51" t="s">
        <v>272</v>
      </c>
      <c r="D63" s="14">
        <v>0</v>
      </c>
      <c r="E63" s="14">
        <v>0</v>
      </c>
      <c r="F63" s="14">
        <v>0</v>
      </c>
      <c r="G63" s="14">
        <v>0</v>
      </c>
      <c r="H63" s="14">
        <v>0</v>
      </c>
      <c r="I63" s="14">
        <v>0</v>
      </c>
      <c r="J63" s="14">
        <v>0</v>
      </c>
      <c r="K63" s="14">
        <v>0</v>
      </c>
      <c r="L63" s="14">
        <v>0</v>
      </c>
    </row>
    <row r="64" spans="1:12">
      <c r="A64" s="13">
        <v>4001290310</v>
      </c>
      <c r="B64" s="13" t="s">
        <v>137</v>
      </c>
      <c r="C64" s="51" t="s">
        <v>272</v>
      </c>
      <c r="D64" s="14">
        <v>3009.1083100000001</v>
      </c>
      <c r="E64" s="14">
        <v>1233.25566</v>
      </c>
      <c r="F64" s="14">
        <v>2521.1179500000003</v>
      </c>
      <c r="G64" s="14">
        <v>597.52683999999999</v>
      </c>
      <c r="H64" s="14">
        <v>350.58561000000003</v>
      </c>
      <c r="I64" s="14">
        <v>317.03588000000002</v>
      </c>
      <c r="J64" s="14">
        <v>-408.88226000000003</v>
      </c>
      <c r="K64" s="14">
        <v>271.74990000000003</v>
      </c>
      <c r="L64" s="14">
        <v>309.53334999999998</v>
      </c>
    </row>
    <row r="65" spans="1:12">
      <c r="A65" s="13">
        <v>4001290320</v>
      </c>
      <c r="B65" s="13" t="s">
        <v>138</v>
      </c>
      <c r="C65" s="51" t="s">
        <v>272</v>
      </c>
      <c r="D65" s="14">
        <v>4754.2993200000001</v>
      </c>
      <c r="E65" s="14">
        <v>3901.47667</v>
      </c>
      <c r="F65" s="14">
        <v>4810.4613300000001</v>
      </c>
      <c r="G65" s="14">
        <v>801.48926999999992</v>
      </c>
      <c r="H65" s="14">
        <v>537.56424000000004</v>
      </c>
      <c r="I65" s="14">
        <v>791.64063999999996</v>
      </c>
      <c r="J65" s="14">
        <v>3637.4882900000002</v>
      </c>
      <c r="K65" s="14">
        <v>722.45320000000004</v>
      </c>
      <c r="L65" s="14">
        <v>795.83748000000003</v>
      </c>
    </row>
    <row r="66" spans="1:12">
      <c r="A66" s="13">
        <v>4001280400</v>
      </c>
      <c r="B66" s="13" t="s">
        <v>115</v>
      </c>
      <c r="C66" s="51" t="s">
        <v>272</v>
      </c>
      <c r="D66" s="14">
        <v>0</v>
      </c>
      <c r="E66" s="14">
        <v>0</v>
      </c>
      <c r="F66" s="14">
        <v>0</v>
      </c>
      <c r="G66" s="14">
        <v>0</v>
      </c>
      <c r="H66" s="14">
        <v>0</v>
      </c>
      <c r="I66" s="14">
        <v>0</v>
      </c>
      <c r="J66" s="14">
        <v>0</v>
      </c>
      <c r="K66" s="14">
        <v>0</v>
      </c>
      <c r="L66" s="14">
        <v>0</v>
      </c>
    </row>
    <row r="67" spans="1:12">
      <c r="A67" s="13">
        <v>4001290330</v>
      </c>
      <c r="B67" s="13" t="s">
        <v>116</v>
      </c>
      <c r="C67" s="51" t="s">
        <v>272</v>
      </c>
      <c r="D67" s="14">
        <v>0</v>
      </c>
      <c r="E67" s="14">
        <v>0</v>
      </c>
      <c r="F67" s="14">
        <v>0</v>
      </c>
      <c r="G67" s="14">
        <v>0</v>
      </c>
      <c r="H67" s="14">
        <v>0</v>
      </c>
      <c r="I67" s="14">
        <v>0</v>
      </c>
      <c r="J67" s="14">
        <v>0</v>
      </c>
      <c r="K67" s="14">
        <v>0</v>
      </c>
      <c r="L67" s="14">
        <v>0</v>
      </c>
    </row>
    <row r="68" spans="1:12">
      <c r="A68" s="13">
        <v>4001280440</v>
      </c>
      <c r="B68" s="13" t="s">
        <v>139</v>
      </c>
      <c r="C68" s="51" t="s">
        <v>272</v>
      </c>
      <c r="D68" s="14">
        <v>0</v>
      </c>
      <c r="E68" s="14">
        <v>0</v>
      </c>
      <c r="F68" s="14">
        <v>0</v>
      </c>
      <c r="G68" s="14">
        <v>0</v>
      </c>
      <c r="H68" s="14">
        <v>0</v>
      </c>
      <c r="I68" s="14">
        <v>0</v>
      </c>
      <c r="J68" s="14">
        <v>0</v>
      </c>
      <c r="K68" s="14">
        <v>0</v>
      </c>
      <c r="L68" s="14">
        <v>0</v>
      </c>
    </row>
    <row r="69" spans="1:12">
      <c r="A69" s="13">
        <v>4001280450</v>
      </c>
      <c r="B69" s="13" t="s">
        <v>140</v>
      </c>
      <c r="C69" s="51" t="s">
        <v>272</v>
      </c>
      <c r="D69" s="14">
        <v>0</v>
      </c>
      <c r="E69" s="14">
        <v>22.657420000000002</v>
      </c>
      <c r="F69" s="14">
        <v>43.839149999999997</v>
      </c>
      <c r="G69" s="14">
        <v>0</v>
      </c>
      <c r="H69" s="14">
        <v>0</v>
      </c>
      <c r="I69" s="14">
        <v>0</v>
      </c>
      <c r="J69" s="14">
        <v>11.144159999999999</v>
      </c>
      <c r="K69" s="14">
        <v>0</v>
      </c>
      <c r="L69" s="14">
        <v>0</v>
      </c>
    </row>
    <row r="70" spans="1:12">
      <c r="A70" s="13">
        <v>4001280455</v>
      </c>
      <c r="B70" s="13" t="s">
        <v>141</v>
      </c>
      <c r="C70" s="51" t="s">
        <v>272</v>
      </c>
      <c r="D70" s="14">
        <v>0</v>
      </c>
      <c r="E70" s="14">
        <v>0</v>
      </c>
      <c r="F70" s="14">
        <v>0</v>
      </c>
      <c r="G70" s="14">
        <v>0</v>
      </c>
      <c r="H70" s="14">
        <v>0</v>
      </c>
      <c r="I70" s="14">
        <v>0</v>
      </c>
      <c r="J70" s="14">
        <v>0</v>
      </c>
      <c r="K70" s="14">
        <v>0</v>
      </c>
      <c r="L70" s="14">
        <v>0</v>
      </c>
    </row>
    <row r="71" spans="1:12">
      <c r="A71" s="13">
        <v>4001290340</v>
      </c>
      <c r="B71" s="13" t="s">
        <v>142</v>
      </c>
      <c r="C71" s="51" t="s">
        <v>272</v>
      </c>
      <c r="D71" s="14">
        <v>297.43468000000001</v>
      </c>
      <c r="E71" s="14">
        <v>339.30737999999997</v>
      </c>
      <c r="F71" s="14">
        <v>762.24570999999992</v>
      </c>
      <c r="G71" s="14">
        <v>0</v>
      </c>
      <c r="H71" s="14">
        <v>0</v>
      </c>
      <c r="I71" s="14">
        <v>0</v>
      </c>
      <c r="J71" s="14">
        <v>649.84074999999996</v>
      </c>
      <c r="K71" s="14">
        <v>0</v>
      </c>
      <c r="L71" s="14">
        <v>0</v>
      </c>
    </row>
    <row r="72" spans="1:12">
      <c r="A72" s="13">
        <v>4001280540</v>
      </c>
      <c r="B72" s="13" t="s">
        <v>143</v>
      </c>
      <c r="C72" s="51" t="s">
        <v>272</v>
      </c>
      <c r="D72" s="14">
        <v>0</v>
      </c>
      <c r="E72" s="14">
        <v>0</v>
      </c>
      <c r="F72" s="14">
        <v>0</v>
      </c>
      <c r="G72" s="14">
        <v>0</v>
      </c>
      <c r="H72" s="14">
        <v>0</v>
      </c>
      <c r="I72" s="14">
        <v>0</v>
      </c>
      <c r="J72" s="14">
        <v>0</v>
      </c>
      <c r="K72" s="14">
        <v>0</v>
      </c>
      <c r="L72" s="14">
        <v>0</v>
      </c>
    </row>
    <row r="73" spans="1:12">
      <c r="A73" s="13">
        <v>4001290360</v>
      </c>
      <c r="B73" s="13" t="s">
        <v>144</v>
      </c>
      <c r="C73" s="51" t="s">
        <v>272</v>
      </c>
      <c r="D73" s="14">
        <v>1212.70506</v>
      </c>
      <c r="E73" s="14">
        <v>488.4753</v>
      </c>
      <c r="F73" s="14">
        <v>940.64498000000003</v>
      </c>
      <c r="G73" s="14">
        <v>0</v>
      </c>
      <c r="H73" s="14">
        <v>0</v>
      </c>
      <c r="I73" s="14">
        <v>0</v>
      </c>
      <c r="J73" s="14">
        <v>3013.68478</v>
      </c>
      <c r="K73" s="14">
        <v>0</v>
      </c>
      <c r="L73" s="14">
        <v>0</v>
      </c>
    </row>
    <row r="74" spans="1:12">
      <c r="A74" s="13">
        <v>4001290380</v>
      </c>
      <c r="B74" s="13" t="s">
        <v>123</v>
      </c>
      <c r="C74" s="51" t="s">
        <v>272</v>
      </c>
      <c r="D74" s="14">
        <v>708.18165999999997</v>
      </c>
      <c r="E74" s="14">
        <v>769.97807</v>
      </c>
      <c r="F74" s="14">
        <v>715.8182700000001</v>
      </c>
      <c r="G74" s="14">
        <v>0</v>
      </c>
      <c r="H74" s="14">
        <v>0</v>
      </c>
      <c r="I74" s="14">
        <v>0</v>
      </c>
      <c r="J74" s="14">
        <v>385.87644999999998</v>
      </c>
      <c r="K74" s="14">
        <v>0</v>
      </c>
      <c r="L74" s="14">
        <v>0</v>
      </c>
    </row>
    <row r="75" spans="1:12">
      <c r="A75" s="13">
        <v>4001280650</v>
      </c>
      <c r="B75" s="13" t="s">
        <v>145</v>
      </c>
      <c r="C75" s="51" t="s">
        <v>272</v>
      </c>
      <c r="D75" s="14">
        <v>0</v>
      </c>
      <c r="E75" s="14">
        <v>0</v>
      </c>
      <c r="F75" s="14">
        <v>0</v>
      </c>
      <c r="G75" s="14">
        <v>0</v>
      </c>
      <c r="H75" s="14">
        <v>0</v>
      </c>
      <c r="I75" s="14">
        <v>0</v>
      </c>
      <c r="J75" s="14">
        <v>0</v>
      </c>
      <c r="K75" s="14">
        <v>0</v>
      </c>
      <c r="L75" s="14">
        <v>0</v>
      </c>
    </row>
    <row r="76" spans="1:12">
      <c r="A76" s="13">
        <v>4001280660</v>
      </c>
      <c r="B76" s="13" t="s">
        <v>146</v>
      </c>
      <c r="C76" s="51" t="s">
        <v>272</v>
      </c>
      <c r="D76" s="14">
        <v>0</v>
      </c>
      <c r="E76" s="14">
        <v>0</v>
      </c>
      <c r="F76" s="14">
        <v>0</v>
      </c>
      <c r="G76" s="14">
        <v>0</v>
      </c>
      <c r="H76" s="14">
        <v>0</v>
      </c>
      <c r="I76" s="14">
        <v>0</v>
      </c>
      <c r="J76" s="14">
        <v>0</v>
      </c>
      <c r="K76" s="14">
        <v>0</v>
      </c>
      <c r="L76" s="14">
        <v>0</v>
      </c>
    </row>
    <row r="77" spans="1:12">
      <c r="A77" s="13">
        <v>4001290390</v>
      </c>
      <c r="B77" s="13" t="s">
        <v>137</v>
      </c>
      <c r="C77" s="51" t="s">
        <v>272</v>
      </c>
      <c r="D77" s="14">
        <v>2535.9779199999998</v>
      </c>
      <c r="E77" s="14">
        <v>2281.0585000000001</v>
      </c>
      <c r="F77" s="14">
        <v>2347.9132199999999</v>
      </c>
      <c r="G77" s="14">
        <v>801.48926999999992</v>
      </c>
      <c r="H77" s="14">
        <v>537.56424000000004</v>
      </c>
      <c r="I77" s="14">
        <v>791.64063999999996</v>
      </c>
      <c r="J77" s="14">
        <v>-423.05785000000003</v>
      </c>
      <c r="K77" s="14">
        <v>722.45320000000004</v>
      </c>
      <c r="L77" s="14">
        <v>795.83748000000003</v>
      </c>
    </row>
    <row r="78" spans="1:12">
      <c r="A78" s="13">
        <v>4001290640</v>
      </c>
      <c r="B78" s="13" t="s">
        <v>147</v>
      </c>
      <c r="C78" s="51" t="s">
        <v>272</v>
      </c>
      <c r="D78" s="14">
        <v>331.43294000000003</v>
      </c>
      <c r="E78" s="14">
        <v>288.74426</v>
      </c>
      <c r="F78" s="14">
        <v>195.89221000000001</v>
      </c>
      <c r="G78" s="14">
        <v>52.725739999999995</v>
      </c>
      <c r="H78" s="14">
        <v>44.121369999999999</v>
      </c>
      <c r="I78" s="14">
        <v>47.579089999999994</v>
      </c>
      <c r="J78" s="14">
        <v>119.37414000000001</v>
      </c>
      <c r="K78" s="14">
        <v>54.069600000000001</v>
      </c>
      <c r="L78" s="14">
        <v>101.0861</v>
      </c>
    </row>
    <row r="79" spans="1:12">
      <c r="A79" s="13">
        <v>4001290650</v>
      </c>
      <c r="B79" s="13" t="s">
        <v>148</v>
      </c>
      <c r="C79" s="51" t="s">
        <v>272</v>
      </c>
      <c r="D79" s="14">
        <v>0</v>
      </c>
      <c r="E79" s="14">
        <v>0</v>
      </c>
      <c r="F79" s="14">
        <v>0</v>
      </c>
      <c r="G79" s="14">
        <v>0</v>
      </c>
      <c r="H79" s="14">
        <v>0</v>
      </c>
      <c r="I79" s="14">
        <v>0</v>
      </c>
      <c r="J79" s="14">
        <v>0</v>
      </c>
      <c r="K79" s="14">
        <v>0</v>
      </c>
      <c r="L79" s="14">
        <v>0</v>
      </c>
    </row>
    <row r="80" spans="1:12">
      <c r="A80" s="13">
        <v>4001290680</v>
      </c>
      <c r="B80" s="13" t="s">
        <v>149</v>
      </c>
      <c r="C80" s="51" t="s">
        <v>272</v>
      </c>
      <c r="D80" s="14">
        <v>0</v>
      </c>
      <c r="E80" s="14">
        <v>0</v>
      </c>
      <c r="F80" s="14">
        <v>0</v>
      </c>
      <c r="G80" s="14">
        <v>0</v>
      </c>
      <c r="H80" s="14">
        <v>0</v>
      </c>
      <c r="I80" s="14">
        <v>0</v>
      </c>
      <c r="J80" s="14">
        <v>0</v>
      </c>
      <c r="K80" s="14">
        <v>0</v>
      </c>
      <c r="L80" s="14">
        <v>0</v>
      </c>
    </row>
    <row r="81" spans="1:12">
      <c r="A81" s="13">
        <v>4001290710</v>
      </c>
      <c r="B81" s="13" t="s">
        <v>150</v>
      </c>
      <c r="C81" s="51" t="s">
        <v>272</v>
      </c>
      <c r="D81" s="14">
        <v>0</v>
      </c>
      <c r="E81" s="14">
        <v>0</v>
      </c>
      <c r="F81" s="14">
        <v>0</v>
      </c>
      <c r="G81" s="14">
        <v>0</v>
      </c>
      <c r="H81" s="14">
        <v>0</v>
      </c>
      <c r="I81" s="14">
        <v>0</v>
      </c>
      <c r="J81" s="14">
        <v>0</v>
      </c>
      <c r="K81" s="14">
        <v>0</v>
      </c>
      <c r="L81" s="14">
        <v>0</v>
      </c>
    </row>
    <row r="82" spans="1:12">
      <c r="A82" s="13">
        <v>4001290740</v>
      </c>
      <c r="B82" s="13" t="s">
        <v>137</v>
      </c>
      <c r="C82" s="51" t="s">
        <v>272</v>
      </c>
      <c r="D82" s="14">
        <v>331.43294000000003</v>
      </c>
      <c r="E82" s="14">
        <v>288.74426</v>
      </c>
      <c r="F82" s="14">
        <v>195.89221000000001</v>
      </c>
      <c r="G82" s="14">
        <v>52.725739999999995</v>
      </c>
      <c r="H82" s="14">
        <v>44.121369999999999</v>
      </c>
      <c r="I82" s="14">
        <v>47.579089999999994</v>
      </c>
      <c r="J82" s="14">
        <v>119.37414000000001</v>
      </c>
      <c r="K82" s="14">
        <v>54.069600000000001</v>
      </c>
      <c r="L82" s="14">
        <v>101.0861</v>
      </c>
    </row>
    <row r="83" spans="1:12">
      <c r="A83" s="13">
        <v>4001212380</v>
      </c>
      <c r="B83" s="13" t="s">
        <v>151</v>
      </c>
      <c r="C83" s="51" t="s">
        <v>272</v>
      </c>
      <c r="D83" s="14">
        <v>12177.867690000001</v>
      </c>
      <c r="E83" s="14">
        <v>12455.231170000001</v>
      </c>
      <c r="F83" s="14">
        <v>7320.3386499999997</v>
      </c>
      <c r="G83" s="14">
        <v>2075.87372</v>
      </c>
      <c r="H83" s="14">
        <v>2010.4330300000001</v>
      </c>
      <c r="I83" s="14">
        <v>2716.1025099999997</v>
      </c>
      <c r="J83" s="14">
        <v>-697.13522999999998</v>
      </c>
      <c r="K83" s="14">
        <v>1820.30071</v>
      </c>
      <c r="L83" s="14">
        <v>2376.3915400000001</v>
      </c>
    </row>
    <row r="84" spans="1:12">
      <c r="A84" s="13">
        <v>4001212390</v>
      </c>
      <c r="B84" s="13" t="s">
        <v>152</v>
      </c>
      <c r="C84" s="51" t="s">
        <v>272</v>
      </c>
      <c r="D84" s="14">
        <v>3253.9355599999999</v>
      </c>
      <c r="E84" s="14">
        <v>4428.4903299999996</v>
      </c>
      <c r="F84" s="14">
        <v>1725.7176899999999</v>
      </c>
      <c r="G84" s="14">
        <v>529.60247000000004</v>
      </c>
      <c r="H84" s="14">
        <v>571.17020000000002</v>
      </c>
      <c r="I84" s="14">
        <v>593.81805999999995</v>
      </c>
      <c r="J84" s="14">
        <v>792.32774999999992</v>
      </c>
      <c r="K84" s="14">
        <v>1246.4143099999999</v>
      </c>
      <c r="L84" s="14">
        <v>285.24204000000003</v>
      </c>
    </row>
    <row r="85" spans="1:12">
      <c r="A85" s="13">
        <v>4001212400</v>
      </c>
      <c r="B85" s="13" t="s">
        <v>153</v>
      </c>
      <c r="C85" s="51" t="s">
        <v>272</v>
      </c>
      <c r="D85" s="14">
        <v>0</v>
      </c>
      <c r="E85" s="14">
        <v>0</v>
      </c>
      <c r="F85" s="14">
        <v>0</v>
      </c>
      <c r="G85" s="14">
        <v>0</v>
      </c>
      <c r="H85" s="14">
        <v>0</v>
      </c>
      <c r="I85" s="14">
        <v>0</v>
      </c>
      <c r="J85" s="14">
        <v>0</v>
      </c>
      <c r="K85" s="14">
        <v>0</v>
      </c>
      <c r="L85" s="14">
        <v>0</v>
      </c>
    </row>
    <row r="86" spans="1:12">
      <c r="A86" s="13">
        <v>4001212410</v>
      </c>
      <c r="B86" s="13" t="s">
        <v>154</v>
      </c>
      <c r="C86" s="51" t="s">
        <v>272</v>
      </c>
      <c r="D86" s="14">
        <v>0</v>
      </c>
      <c r="E86" s="14">
        <v>0</v>
      </c>
      <c r="F86" s="14">
        <v>0</v>
      </c>
      <c r="G86" s="14">
        <v>0</v>
      </c>
      <c r="H86" s="14">
        <v>0</v>
      </c>
      <c r="I86" s="14">
        <v>0</v>
      </c>
      <c r="J86" s="14">
        <v>0</v>
      </c>
      <c r="K86" s="14">
        <v>0</v>
      </c>
      <c r="L86" s="14">
        <v>0</v>
      </c>
    </row>
    <row r="87" spans="1:12">
      <c r="A87" s="13">
        <v>4001212420</v>
      </c>
      <c r="B87" s="13" t="s">
        <v>155</v>
      </c>
      <c r="C87" s="51" t="s">
        <v>272</v>
      </c>
      <c r="D87" s="14">
        <v>8923.9321299999992</v>
      </c>
      <c r="E87" s="14">
        <v>8026.7408400000004</v>
      </c>
      <c r="F87" s="14">
        <v>5594.6209600000002</v>
      </c>
      <c r="G87" s="14">
        <v>1546.27125</v>
      </c>
      <c r="H87" s="14">
        <v>1439.2628299999999</v>
      </c>
      <c r="I87" s="14">
        <v>2122.2844500000001</v>
      </c>
      <c r="J87" s="14">
        <v>-1489.46298</v>
      </c>
      <c r="K87" s="14">
        <v>573.88639999999998</v>
      </c>
      <c r="L87" s="14">
        <v>2091.1495</v>
      </c>
    </row>
    <row r="88" spans="1:12">
      <c r="A88" s="13">
        <v>4001212430</v>
      </c>
      <c r="B88" s="13" t="s">
        <v>156</v>
      </c>
      <c r="C88" s="51" t="s">
        <v>272</v>
      </c>
      <c r="D88" s="14">
        <v>0</v>
      </c>
      <c r="E88" s="14">
        <v>0</v>
      </c>
      <c r="F88" s="14">
        <v>0</v>
      </c>
      <c r="G88" s="14">
        <v>0</v>
      </c>
      <c r="H88" s="14">
        <v>0</v>
      </c>
      <c r="I88" s="14">
        <v>0</v>
      </c>
      <c r="J88" s="14">
        <v>0</v>
      </c>
      <c r="K88" s="14">
        <v>0</v>
      </c>
      <c r="L88" s="14">
        <v>0</v>
      </c>
    </row>
    <row r="89" spans="1:12">
      <c r="A89" s="13">
        <v>4001212450</v>
      </c>
      <c r="B89" s="13" t="s">
        <v>157</v>
      </c>
      <c r="C89" s="51" t="s">
        <v>272</v>
      </c>
      <c r="D89" s="14">
        <v>8923.9321299999992</v>
      </c>
      <c r="E89" s="14">
        <v>8026.7408400000004</v>
      </c>
      <c r="F89" s="14">
        <v>5594.6209600000002</v>
      </c>
      <c r="G89" s="14">
        <v>1546.27125</v>
      </c>
      <c r="H89" s="14">
        <v>1439.2628299999999</v>
      </c>
      <c r="I89" s="14">
        <v>2122.2844500000001</v>
      </c>
      <c r="J89" s="14">
        <v>-1489.46298</v>
      </c>
      <c r="K89" s="14">
        <v>573.88639999999998</v>
      </c>
      <c r="L89" s="14">
        <v>2091.1495</v>
      </c>
    </row>
    <row r="90" spans="1:12">
      <c r="A90" s="13">
        <v>4001220000</v>
      </c>
      <c r="B90" s="13" t="s">
        <v>158</v>
      </c>
      <c r="C90" s="51" t="s">
        <v>272</v>
      </c>
      <c r="D90" s="14">
        <v>6862.6199699999997</v>
      </c>
      <c r="E90" s="14">
        <v>1749.7232099999999</v>
      </c>
      <c r="F90" s="14">
        <v>567.85400000000004</v>
      </c>
      <c r="G90" s="14">
        <v>2866.7723100000003</v>
      </c>
      <c r="H90" s="14">
        <v>1638.6800599999999</v>
      </c>
      <c r="I90" s="14">
        <v>-2891.7269099999999</v>
      </c>
      <c r="J90" s="14">
        <v>5517.6704200000004</v>
      </c>
      <c r="K90" s="14">
        <v>-124.07938</v>
      </c>
      <c r="L90" s="14">
        <v>-5451.9246200000007</v>
      </c>
    </row>
    <row r="91" spans="1:12">
      <c r="A91" s="13">
        <v>4001220120</v>
      </c>
      <c r="B91" s="13" t="s">
        <v>159</v>
      </c>
      <c r="C91" s="51" t="s">
        <v>272</v>
      </c>
      <c r="D91" s="14">
        <v>15786.552099999999</v>
      </c>
      <c r="E91" s="14">
        <v>9776.4640500000005</v>
      </c>
      <c r="F91" s="14">
        <v>6162.4749600000005</v>
      </c>
      <c r="G91" s="14">
        <v>4413.0435600000001</v>
      </c>
      <c r="H91" s="14">
        <v>3077.9428899999998</v>
      </c>
      <c r="I91" s="14">
        <v>-769.44245999999998</v>
      </c>
      <c r="J91" s="14">
        <v>4028.2074400000001</v>
      </c>
      <c r="K91" s="14">
        <v>449.80701999999997</v>
      </c>
      <c r="L91" s="14">
        <v>-3360.7751199999998</v>
      </c>
    </row>
    <row r="92" spans="1:12">
      <c r="A92" s="13">
        <v>4001230000</v>
      </c>
      <c r="B92" s="13" t="s">
        <v>160</v>
      </c>
      <c r="C92" s="51" t="s">
        <v>272</v>
      </c>
      <c r="D92" s="14">
        <v>6128.9049800000003</v>
      </c>
      <c r="E92" s="14">
        <v>5959.2997699999996</v>
      </c>
      <c r="F92" s="14">
        <v>3859.2726000000002</v>
      </c>
      <c r="G92" s="14">
        <v>919.31035000000008</v>
      </c>
      <c r="H92" s="14">
        <v>942.14571000000001</v>
      </c>
      <c r="I92" s="14">
        <v>1592.0237100000002</v>
      </c>
      <c r="J92" s="14">
        <v>-1971.6679999999999</v>
      </c>
      <c r="K92" s="14">
        <v>176.43526999999997</v>
      </c>
      <c r="L92" s="14">
        <v>1625.1173800000001</v>
      </c>
    </row>
    <row r="93" spans="1:12">
      <c r="A93" s="13">
        <v>4001230030</v>
      </c>
      <c r="B93" s="13" t="s">
        <v>161</v>
      </c>
      <c r="C93" s="51" t="s">
        <v>272</v>
      </c>
      <c r="D93" s="14">
        <v>2795.0271500000003</v>
      </c>
      <c r="E93" s="14">
        <v>2067.4410699999999</v>
      </c>
      <c r="F93" s="14">
        <v>1735.3483600000002</v>
      </c>
      <c r="G93" s="14">
        <v>626.96089999999992</v>
      </c>
      <c r="H93" s="14">
        <v>497.11712</v>
      </c>
      <c r="I93" s="14">
        <v>530.26074000000006</v>
      </c>
      <c r="J93" s="14">
        <v>482.20501999999999</v>
      </c>
      <c r="K93" s="14">
        <v>397.45112999999998</v>
      </c>
      <c r="L93" s="14">
        <v>466.03212000000002</v>
      </c>
    </row>
    <row r="94" spans="1:12">
      <c r="A94" s="13">
        <v>4001230060</v>
      </c>
      <c r="B94" s="13" t="s">
        <v>162</v>
      </c>
      <c r="C94" s="51" t="s">
        <v>272</v>
      </c>
      <c r="D94" s="14">
        <v>10657.023500000001</v>
      </c>
      <c r="E94" s="14">
        <v>7722.7639399999998</v>
      </c>
      <c r="F94" s="14">
        <v>4050.1090899999999</v>
      </c>
      <c r="G94" s="14">
        <v>3384.6403700000001</v>
      </c>
      <c r="H94" s="14">
        <v>2218.9687100000001</v>
      </c>
      <c r="I94" s="14">
        <v>-659.20509000000004</v>
      </c>
      <c r="J94" s="14">
        <v>2173.0928100000001</v>
      </c>
      <c r="K94" s="14">
        <v>209.44808</v>
      </c>
      <c r="L94" s="14">
        <v>-2812.8746500000002</v>
      </c>
    </row>
    <row r="95" spans="1:12">
      <c r="A95" s="13">
        <v>4001230070</v>
      </c>
      <c r="B95" s="13" t="s">
        <v>163</v>
      </c>
      <c r="C95" s="51" t="s">
        <v>272</v>
      </c>
      <c r="D95" s="14">
        <v>5129.5285999999996</v>
      </c>
      <c r="E95" s="14">
        <v>2053.7001099999998</v>
      </c>
      <c r="F95" s="14">
        <v>2112.3658700000001</v>
      </c>
      <c r="G95" s="14">
        <v>1028.40319</v>
      </c>
      <c r="H95" s="14">
        <v>858.97418000000005</v>
      </c>
      <c r="I95" s="14">
        <v>-110.23737</v>
      </c>
      <c r="J95" s="14">
        <v>1855.1146299999998</v>
      </c>
      <c r="K95" s="14">
        <v>240.35893999999999</v>
      </c>
      <c r="L95" s="14">
        <v>-547.90047000000004</v>
      </c>
    </row>
    <row r="96" spans="1:12">
      <c r="A96" s="13">
        <v>4001230080</v>
      </c>
      <c r="B96" s="13" t="s">
        <v>164</v>
      </c>
      <c r="C96" s="13" t="s">
        <v>67</v>
      </c>
      <c r="D96" s="14">
        <v>0</v>
      </c>
      <c r="E96" s="14">
        <v>0</v>
      </c>
      <c r="F96" s="14">
        <v>0</v>
      </c>
      <c r="G96" s="14">
        <v>0</v>
      </c>
      <c r="H96" s="14">
        <v>0</v>
      </c>
      <c r="I96" s="14">
        <v>0</v>
      </c>
      <c r="J96" s="14">
        <v>0</v>
      </c>
      <c r="K96" s="14">
        <v>0</v>
      </c>
      <c r="L96" s="14">
        <v>0</v>
      </c>
    </row>
    <row r="97" spans="1:12">
      <c r="A97" s="13">
        <v>4001230090</v>
      </c>
      <c r="B97" s="13" t="s">
        <v>165</v>
      </c>
      <c r="C97" s="13" t="s">
        <v>67</v>
      </c>
      <c r="D97" s="14">
        <v>0</v>
      </c>
      <c r="E97" s="14">
        <v>0</v>
      </c>
      <c r="F97" s="14">
        <v>0</v>
      </c>
      <c r="G97" s="14">
        <v>0</v>
      </c>
      <c r="H97" s="14">
        <v>0</v>
      </c>
      <c r="I97" s="14">
        <v>0</v>
      </c>
      <c r="J97" s="14">
        <v>0</v>
      </c>
      <c r="K97" s="14">
        <v>0</v>
      </c>
      <c r="L97" s="14">
        <v>0</v>
      </c>
    </row>
    <row r="98" spans="1:12">
      <c r="A98" s="13">
        <v>4001230100</v>
      </c>
      <c r="B98" s="13" t="s">
        <v>166</v>
      </c>
      <c r="C98" s="13" t="s">
        <v>67</v>
      </c>
      <c r="D98" s="14">
        <v>0</v>
      </c>
      <c r="E98" s="14">
        <v>0</v>
      </c>
      <c r="F98" s="14">
        <v>0</v>
      </c>
      <c r="G98" s="14">
        <v>0</v>
      </c>
      <c r="H98" s="14">
        <v>0</v>
      </c>
      <c r="I98" s="14">
        <v>0</v>
      </c>
      <c r="J98" s="14">
        <v>0</v>
      </c>
      <c r="K98" s="14">
        <v>0</v>
      </c>
      <c r="L98" s="14">
        <v>0</v>
      </c>
    </row>
    <row r="99" spans="1:12">
      <c r="A99" s="13">
        <v>4001230110</v>
      </c>
      <c r="B99" s="13" t="s">
        <v>167</v>
      </c>
      <c r="C99" s="13" t="s">
        <v>67</v>
      </c>
      <c r="D99" s="14">
        <v>0</v>
      </c>
      <c r="E99" s="14">
        <v>0</v>
      </c>
      <c r="F99" s="14">
        <v>0</v>
      </c>
      <c r="G99" s="14">
        <v>0</v>
      </c>
      <c r="H99" s="14">
        <v>0</v>
      </c>
      <c r="I99" s="14">
        <v>0</v>
      </c>
      <c r="J99" s="14">
        <v>0</v>
      </c>
      <c r="K99" s="14">
        <v>0</v>
      </c>
      <c r="L99" s="14">
        <v>0</v>
      </c>
    </row>
    <row r="100" spans="1:12">
      <c r="A100" s="13">
        <v>4001230120</v>
      </c>
      <c r="B100" s="13" t="s">
        <v>168</v>
      </c>
      <c r="C100" s="13" t="s">
        <v>67</v>
      </c>
      <c r="D100" s="14">
        <v>382.46</v>
      </c>
      <c r="E100" s="14">
        <v>371.88</v>
      </c>
      <c r="F100" s="14">
        <v>240.81</v>
      </c>
      <c r="G100" s="14">
        <v>57.36</v>
      </c>
      <c r="H100" s="14">
        <v>58.79</v>
      </c>
      <c r="I100" s="14">
        <v>99.35</v>
      </c>
      <c r="J100" s="14">
        <v>-123.06</v>
      </c>
      <c r="K100" s="14">
        <v>11</v>
      </c>
      <c r="L100" s="14">
        <v>98.97</v>
      </c>
    </row>
    <row r="101" spans="1:12">
      <c r="A101" s="13">
        <v>4001230130</v>
      </c>
      <c r="B101" s="13" t="s">
        <v>169</v>
      </c>
      <c r="C101" s="13" t="s">
        <v>67</v>
      </c>
      <c r="D101" s="14">
        <v>382.46</v>
      </c>
      <c r="E101" s="14">
        <v>371.88</v>
      </c>
      <c r="F101" s="14">
        <v>240.81</v>
      </c>
      <c r="G101" s="14">
        <v>57.36</v>
      </c>
      <c r="H101" s="14">
        <v>58.79</v>
      </c>
      <c r="I101" s="14">
        <v>99.35</v>
      </c>
      <c r="J101" s="14">
        <v>-123.06</v>
      </c>
      <c r="K101" s="14">
        <v>11</v>
      </c>
      <c r="L101" s="14">
        <v>98.97</v>
      </c>
    </row>
    <row r="102" spans="1:12">
      <c r="A102" s="13">
        <v>4001230140</v>
      </c>
      <c r="B102" s="13" t="s">
        <v>170</v>
      </c>
      <c r="C102" s="13" t="s">
        <v>67</v>
      </c>
      <c r="D102" s="14">
        <v>0</v>
      </c>
      <c r="E102" s="14">
        <v>0</v>
      </c>
      <c r="F102" s="14">
        <v>0</v>
      </c>
      <c r="G102" s="14">
        <v>0</v>
      </c>
      <c r="H102" s="14">
        <v>0</v>
      </c>
      <c r="I102" s="14">
        <v>0</v>
      </c>
      <c r="J102" s="14">
        <v>0</v>
      </c>
      <c r="K102" s="14">
        <v>0</v>
      </c>
      <c r="L102" s="14">
        <v>0</v>
      </c>
    </row>
    <row r="103" spans="1:12">
      <c r="A103" s="13">
        <v>4001230150</v>
      </c>
      <c r="B103" s="13" t="s">
        <v>171</v>
      </c>
      <c r="C103" s="13" t="s">
        <v>67</v>
      </c>
      <c r="D103" s="14">
        <v>0</v>
      </c>
      <c r="E103" s="14">
        <v>0</v>
      </c>
      <c r="F103" s="14">
        <v>0</v>
      </c>
      <c r="G103" s="14">
        <v>0</v>
      </c>
      <c r="H103" s="14">
        <v>0</v>
      </c>
      <c r="I103" s="14">
        <v>0</v>
      </c>
      <c r="J103" s="14">
        <v>0</v>
      </c>
      <c r="K103" s="14">
        <v>0</v>
      </c>
      <c r="L103" s="14">
        <v>0</v>
      </c>
    </row>
    <row r="104" spans="1:12">
      <c r="A104" s="1"/>
      <c r="B104" s="1"/>
      <c r="C104" s="1"/>
      <c r="D104" s="14"/>
      <c r="E104" s="14"/>
      <c r="F104" s="14"/>
      <c r="G104" s="14"/>
      <c r="H104" s="14"/>
      <c r="I104" s="14"/>
      <c r="J104" s="14"/>
      <c r="K104" s="14"/>
      <c r="L104" s="14"/>
    </row>
    <row r="105" spans="1:12">
      <c r="D105" s="15"/>
      <c r="E105" s="15"/>
      <c r="F105" s="15"/>
      <c r="G105" s="15"/>
      <c r="H105" s="15"/>
      <c r="I105" s="15"/>
      <c r="J105" s="15"/>
      <c r="K105" s="15"/>
      <c r="L105" s="15"/>
    </row>
    <row r="106" spans="1:12">
      <c r="D106" s="15"/>
      <c r="E106" s="15"/>
      <c r="F106" s="15"/>
      <c r="G106" s="15"/>
      <c r="H106" s="15"/>
      <c r="I106" s="15"/>
      <c r="J106" s="15"/>
      <c r="K106" s="15"/>
      <c r="L106" s="15"/>
    </row>
    <row r="107" spans="1:12">
      <c r="D107" s="15"/>
      <c r="E107" s="15"/>
      <c r="F107" s="15"/>
      <c r="G107" s="15"/>
      <c r="H107" s="15"/>
      <c r="I107" s="15"/>
      <c r="J107" s="15"/>
      <c r="K107" s="15"/>
      <c r="L107" s="15"/>
    </row>
  </sheetData>
  <phoneticPr fontId="2" type="noConversion"/>
  <dataValidations count="7">
    <dataValidation type="list" allowBlank="1" showInputMessage="1" sqref="B4" xr:uid="{DDC4096E-2CF5-4441-BCF7-47F2AA43CD4C}">
      <formula1>"전체,재무상태표,손익계산서,현금흐름표,자본금변동표"</formula1>
    </dataValidation>
    <dataValidation type="list" allowBlank="1" showInputMessage="1" sqref="B5" xr:uid="{1BF6A799-3DFD-41EA-9449-20C4B3C0531E}">
      <formula1>"상세(총액),상세(순액),요약,약식"</formula1>
    </dataValidation>
    <dataValidation type="list" allowBlank="1" showInputMessage="1" sqref="B6" xr:uid="{FBDE5598-3B63-4044-BF16-2352362DD4BB}">
      <formula1>"결산,누적분기,당분기"</formula1>
    </dataValidation>
    <dataValidation type="list" allowBlank="1" showInputMessage="1" sqref="C6" xr:uid="{BE1E0EC1-9223-4A7E-A920-8142C77722F4}">
      <formula1>"천원,백만원,억원,십억원"</formula1>
    </dataValidation>
    <dataValidation type="list" allowBlank="1" showInputMessage="1" sqref="B3" xr:uid="{26E45173-7BCF-42AB-AA91-74288DDC732D}">
      <formula1>"별도,연결"</formula1>
    </dataValidation>
    <dataValidation type="list" allowBlank="1" showInputMessage="1" sqref="B7" xr:uid="{CBEEE434-A23D-487E-9AAB-D43925D3274C}">
      <formula1>"1983,1984,1985,1986,1987,1988,1989,1990,1991,1992,1993,1994,1995,1996,1997,1998,1999,2000,2001,2002,2003,2004,2005,2006,2007,2008,2009,2010,2011,2012,2013,2014,2015,2016,2017,2018,2019,2020,2021,2022,2023,2024,2025"</formula1>
    </dataValidation>
    <dataValidation type="list" allowBlank="1" showInputMessage="1" sqref="C7" xr:uid="{E5D2B212-B62E-448E-87AD-D598DF240997}">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9BDA2-FCE7-4488-A763-C043BB77985C}">
  <dimension ref="A1:L59"/>
  <sheetViews>
    <sheetView showGridLines="0" topLeftCell="A46" workbookViewId="0">
      <selection activeCell="B56" sqref="B56"/>
    </sheetView>
  </sheetViews>
  <sheetFormatPr defaultRowHeight="17.399999999999999"/>
  <cols>
    <col min="1" max="1" width="9.19921875" bestFit="1" customWidth="1"/>
    <col min="2" max="2" width="47.09765625" bestFit="1" customWidth="1"/>
    <col min="3" max="3" width="11.5" bestFit="1" customWidth="1"/>
    <col min="4" max="6" width="8.5" bestFit="1" customWidth="1"/>
    <col min="7" max="12" width="9" bestFit="1" customWidth="1"/>
  </cols>
  <sheetData>
    <row r="1" spans="1:12">
      <c r="A1" s="2" t="s">
        <v>0</v>
      </c>
      <c r="B1" s="2"/>
      <c r="C1" s="2"/>
      <c r="D1" s="2"/>
      <c r="E1" s="2"/>
      <c r="F1" s="2"/>
      <c r="G1" s="2"/>
      <c r="H1" s="2"/>
      <c r="I1" s="2"/>
      <c r="J1" s="2"/>
      <c r="K1" s="2"/>
      <c r="L1" s="2"/>
    </row>
    <row r="2" spans="1:12">
      <c r="A2" s="3" t="s">
        <v>3</v>
      </c>
      <c r="B2" s="3" t="s">
        <v>80</v>
      </c>
      <c r="C2" s="3"/>
      <c r="D2" s="3"/>
      <c r="E2" s="3"/>
      <c r="F2" s="3"/>
      <c r="G2" s="3"/>
      <c r="H2" s="3"/>
      <c r="I2" s="3"/>
      <c r="J2" s="3"/>
      <c r="K2" s="3"/>
      <c r="L2" s="3"/>
    </row>
    <row r="3" spans="1:12">
      <c r="A3" s="3" t="s">
        <v>4</v>
      </c>
      <c r="B3" s="7" t="s">
        <v>85</v>
      </c>
      <c r="C3" s="3" t="s">
        <v>1</v>
      </c>
      <c r="D3" s="3" t="s">
        <v>84</v>
      </c>
      <c r="E3" s="3"/>
      <c r="F3" s="3"/>
      <c r="G3" s="3"/>
      <c r="H3" s="3"/>
      <c r="I3" s="3"/>
      <c r="J3" s="3"/>
      <c r="K3" s="3"/>
      <c r="L3" s="3"/>
    </row>
    <row r="4" spans="1:12">
      <c r="A4" s="3" t="s">
        <v>5</v>
      </c>
      <c r="B4" s="10" t="s">
        <v>205</v>
      </c>
      <c r="C4" s="3" t="s">
        <v>2</v>
      </c>
      <c r="D4" s="3"/>
      <c r="E4" s="3"/>
      <c r="F4" s="3"/>
      <c r="G4" s="3"/>
      <c r="H4" s="3"/>
      <c r="I4" s="3"/>
      <c r="J4" s="3"/>
      <c r="K4" s="3"/>
      <c r="L4" s="3"/>
    </row>
    <row r="5" spans="1:12">
      <c r="A5" s="3" t="s">
        <v>6</v>
      </c>
      <c r="B5" s="8" t="s">
        <v>82</v>
      </c>
      <c r="C5" s="3"/>
      <c r="D5" s="3"/>
      <c r="E5" s="3"/>
      <c r="F5" s="3"/>
      <c r="G5" s="3"/>
      <c r="H5" s="3"/>
      <c r="I5" s="3"/>
      <c r="J5" s="3"/>
      <c r="K5" s="3"/>
      <c r="L5" s="3"/>
    </row>
    <row r="6" spans="1:12">
      <c r="A6" s="3" t="s">
        <v>7</v>
      </c>
      <c r="B6" s="11" t="s">
        <v>83</v>
      </c>
      <c r="C6" s="8" t="s">
        <v>271</v>
      </c>
      <c r="D6" s="3"/>
      <c r="E6" s="3"/>
      <c r="F6" s="3"/>
      <c r="G6" s="3"/>
      <c r="H6" s="3"/>
      <c r="I6" s="3"/>
      <c r="J6" s="3"/>
      <c r="K6" s="3"/>
      <c r="L6" s="3"/>
    </row>
    <row r="7" spans="1:12">
      <c r="A7" s="4" t="s">
        <v>79</v>
      </c>
      <c r="B7" s="9">
        <v>2021</v>
      </c>
      <c r="C7" s="7" t="s">
        <v>86</v>
      </c>
      <c r="D7" s="4"/>
      <c r="E7" s="4"/>
      <c r="F7" s="4"/>
      <c r="G7" s="16"/>
      <c r="H7" s="16"/>
      <c r="I7" s="16"/>
      <c r="J7" s="16"/>
      <c r="K7" s="16"/>
      <c r="L7" s="16"/>
    </row>
    <row r="8" spans="1:12">
      <c r="A8" s="5" t="s">
        <v>8</v>
      </c>
      <c r="B8" s="12" t="s">
        <v>9</v>
      </c>
      <c r="C8" s="12" t="s">
        <v>10</v>
      </c>
      <c r="D8" s="5">
        <v>202112</v>
      </c>
      <c r="E8" s="5">
        <v>202212</v>
      </c>
      <c r="F8" s="5">
        <v>202312</v>
      </c>
      <c r="G8" s="17" t="s">
        <v>264</v>
      </c>
      <c r="H8" s="17" t="s">
        <v>265</v>
      </c>
      <c r="I8" s="17" t="s">
        <v>266</v>
      </c>
      <c r="J8" s="17" t="s">
        <v>267</v>
      </c>
      <c r="K8" s="17" t="s">
        <v>268</v>
      </c>
      <c r="L8" s="17" t="s">
        <v>269</v>
      </c>
    </row>
    <row r="9" spans="1:12">
      <c r="A9" s="6"/>
      <c r="B9" s="6"/>
      <c r="C9" s="6"/>
      <c r="D9" s="6" t="s">
        <v>11</v>
      </c>
      <c r="E9" s="6" t="s">
        <v>11</v>
      </c>
      <c r="F9" s="6" t="s">
        <v>11</v>
      </c>
      <c r="G9" s="18" t="s">
        <v>11</v>
      </c>
      <c r="H9" s="18" t="s">
        <v>11</v>
      </c>
      <c r="I9" s="18" t="s">
        <v>11</v>
      </c>
      <c r="J9" s="18" t="s">
        <v>11</v>
      </c>
      <c r="K9" s="18" t="s">
        <v>11</v>
      </c>
      <c r="L9" s="18" t="s">
        <v>11</v>
      </c>
    </row>
    <row r="10" spans="1:12">
      <c r="A10" s="13">
        <v>4001390000</v>
      </c>
      <c r="B10" s="13" t="s">
        <v>173</v>
      </c>
      <c r="C10" s="51" t="s">
        <v>272</v>
      </c>
      <c r="D10" s="14">
        <v>16864.092570000001</v>
      </c>
      <c r="E10" s="14">
        <v>16272.931119999999</v>
      </c>
      <c r="F10" s="14">
        <v>24447.598029999997</v>
      </c>
      <c r="G10" s="14">
        <v>1160.0765099999999</v>
      </c>
      <c r="H10" s="14">
        <v>4523.6697299999996</v>
      </c>
      <c r="I10" s="14">
        <v>8971.4977899999994</v>
      </c>
      <c r="J10" s="14">
        <v>7897.2907400000004</v>
      </c>
      <c r="K10" s="14">
        <v>3434.3803000000003</v>
      </c>
      <c r="L10" s="14">
        <v>2750.6281800000002</v>
      </c>
    </row>
    <row r="11" spans="1:12">
      <c r="A11" s="13">
        <v>4001310010</v>
      </c>
      <c r="B11" s="13" t="s">
        <v>174</v>
      </c>
      <c r="C11" s="51" t="s">
        <v>272</v>
      </c>
      <c r="D11" s="14">
        <v>0</v>
      </c>
      <c r="E11" s="14">
        <v>0</v>
      </c>
      <c r="F11" s="14">
        <v>0</v>
      </c>
      <c r="G11" s="14">
        <v>0</v>
      </c>
      <c r="H11" s="14">
        <v>0</v>
      </c>
      <c r="I11" s="14">
        <v>0</v>
      </c>
      <c r="J11" s="14">
        <v>0</v>
      </c>
      <c r="K11" s="14">
        <v>0</v>
      </c>
      <c r="L11" s="14">
        <v>0</v>
      </c>
    </row>
    <row r="12" spans="1:12">
      <c r="A12" s="13">
        <v>4001310100</v>
      </c>
      <c r="B12" s="13" t="s">
        <v>175</v>
      </c>
      <c r="C12" s="51" t="s">
        <v>272</v>
      </c>
      <c r="D12" s="14">
        <v>0</v>
      </c>
      <c r="E12" s="14">
        <v>0</v>
      </c>
      <c r="F12" s="14">
        <v>0</v>
      </c>
      <c r="G12" s="14">
        <v>0</v>
      </c>
      <c r="H12" s="14">
        <v>0</v>
      </c>
      <c r="I12" s="14">
        <v>0</v>
      </c>
      <c r="J12" s="14">
        <v>0</v>
      </c>
      <c r="K12" s="14">
        <v>0</v>
      </c>
      <c r="L12" s="14">
        <v>0</v>
      </c>
    </row>
    <row r="13" spans="1:12">
      <c r="A13" s="13">
        <v>4001310190</v>
      </c>
      <c r="B13" s="13" t="s">
        <v>176</v>
      </c>
      <c r="C13" s="51" t="s">
        <v>272</v>
      </c>
      <c r="D13" s="14">
        <v>8923.9321299999992</v>
      </c>
      <c r="E13" s="14">
        <v>8026.7408400000004</v>
      </c>
      <c r="F13" s="14">
        <v>5594.6209600000002</v>
      </c>
      <c r="G13" s="14">
        <v>1546.27125</v>
      </c>
      <c r="H13" s="14">
        <v>1404.4874199999999</v>
      </c>
      <c r="I13" s="14">
        <v>2195.9713500000003</v>
      </c>
      <c r="J13" s="14">
        <v>-1528.3744699999997</v>
      </c>
      <c r="K13" s="14">
        <v>573.88639999999998</v>
      </c>
      <c r="L13" s="14">
        <v>2051.9554600000001</v>
      </c>
    </row>
    <row r="14" spans="1:12">
      <c r="A14" s="13">
        <v>4001310200</v>
      </c>
      <c r="B14" s="13" t="s">
        <v>177</v>
      </c>
      <c r="C14" s="51" t="s">
        <v>272</v>
      </c>
      <c r="D14" s="14">
        <v>0</v>
      </c>
      <c r="E14" s="14">
        <v>0</v>
      </c>
      <c r="F14" s="14">
        <v>0</v>
      </c>
      <c r="G14" s="14">
        <v>0</v>
      </c>
      <c r="H14" s="14">
        <v>0</v>
      </c>
      <c r="I14" s="14">
        <v>0</v>
      </c>
      <c r="J14" s="14">
        <v>0</v>
      </c>
      <c r="K14" s="14">
        <v>0</v>
      </c>
      <c r="L14" s="14">
        <v>0</v>
      </c>
    </row>
    <row r="15" spans="1:12">
      <c r="A15" s="13">
        <v>4001390010</v>
      </c>
      <c r="B15" s="13" t="s">
        <v>178</v>
      </c>
      <c r="C15" s="51" t="s">
        <v>272</v>
      </c>
      <c r="D15" s="14">
        <v>26600.913919999999</v>
      </c>
      <c r="E15" s="14">
        <v>31723.412349999999</v>
      </c>
      <c r="F15" s="14">
        <v>30119.666949999999</v>
      </c>
      <c r="G15" s="14">
        <v>8124.3333499999999</v>
      </c>
      <c r="H15" s="14">
        <v>8269.2613000000001</v>
      </c>
      <c r="I15" s="14">
        <v>6669.3893900000003</v>
      </c>
      <c r="J15" s="14">
        <v>12454.832050000001</v>
      </c>
      <c r="K15" s="14">
        <v>8675.9981599999992</v>
      </c>
      <c r="L15" s="14">
        <v>7673.8295200000002</v>
      </c>
    </row>
    <row r="16" spans="1:12">
      <c r="A16" s="13">
        <v>4001390040</v>
      </c>
      <c r="B16" s="13" t="s">
        <v>179</v>
      </c>
      <c r="C16" s="51" t="s">
        <v>272</v>
      </c>
      <c r="D16" s="14">
        <v>7037.8127599999998</v>
      </c>
      <c r="E16" s="14">
        <v>8446.1619200000005</v>
      </c>
      <c r="F16" s="14">
        <v>7390.8492000000006</v>
      </c>
      <c r="G16" s="14">
        <v>1993.2463</v>
      </c>
      <c r="H16" s="14">
        <v>1820.7323999999999</v>
      </c>
      <c r="I16" s="14">
        <v>727.02933000000007</v>
      </c>
      <c r="J16" s="14">
        <v>3310.1114600000001</v>
      </c>
      <c r="K16" s="14">
        <v>1890.0575099999999</v>
      </c>
      <c r="L16" s="14">
        <v>2264.5557100000001</v>
      </c>
    </row>
    <row r="17" spans="1:12">
      <c r="A17" s="13">
        <v>4001390060</v>
      </c>
      <c r="B17" s="13" t="s">
        <v>180</v>
      </c>
      <c r="C17" s="51" t="s">
        <v>272</v>
      </c>
      <c r="D17" s="14">
        <v>-6927.25792</v>
      </c>
      <c r="E17" s="14">
        <v>-11342.803529999999</v>
      </c>
      <c r="F17" s="14">
        <v>-1549.2016699999999</v>
      </c>
      <c r="G17" s="14">
        <v>-6226.3614399999997</v>
      </c>
      <c r="H17" s="14">
        <v>-2426.8456700000002</v>
      </c>
      <c r="I17" s="14">
        <v>1223.434</v>
      </c>
      <c r="J17" s="14">
        <v>670.59268999999995</v>
      </c>
      <c r="K17" s="14">
        <v>-3300.25461</v>
      </c>
      <c r="L17" s="14">
        <v>-3287.3257900000003</v>
      </c>
    </row>
    <row r="18" spans="1:12">
      <c r="A18" s="13">
        <v>4001390070</v>
      </c>
      <c r="B18" s="13" t="s">
        <v>181</v>
      </c>
      <c r="C18" s="51" t="s">
        <v>272</v>
      </c>
      <c r="D18" s="14">
        <v>-8535.1201399999991</v>
      </c>
      <c r="E18" s="14">
        <v>-13683.997169999999</v>
      </c>
      <c r="F18" s="14">
        <v>4795.7770199999995</v>
      </c>
      <c r="G18" s="14">
        <v>-1639.4216800000002</v>
      </c>
      <c r="H18" s="14">
        <v>596.14063999999996</v>
      </c>
      <c r="I18" s="14">
        <v>2093.8658700000001</v>
      </c>
      <c r="J18" s="14">
        <v>1401.6212400000002</v>
      </c>
      <c r="K18" s="14">
        <v>-1731.5416500000001</v>
      </c>
      <c r="L18" s="14">
        <v>-1307.90903</v>
      </c>
    </row>
    <row r="19" spans="1:12">
      <c r="A19" s="13">
        <v>4001390110</v>
      </c>
      <c r="B19" s="13" t="s">
        <v>182</v>
      </c>
      <c r="C19" s="51" t="s">
        <v>272</v>
      </c>
      <c r="D19" s="14">
        <v>2808.99847</v>
      </c>
      <c r="E19" s="14">
        <v>4618.2741299999998</v>
      </c>
      <c r="F19" s="14">
        <v>-6268.18433</v>
      </c>
      <c r="G19" s="14">
        <v>-3716.1415999999999</v>
      </c>
      <c r="H19" s="14">
        <v>-4532.1379699999998</v>
      </c>
      <c r="I19" s="14">
        <v>-1058.6149</v>
      </c>
      <c r="J19" s="14">
        <v>1465.9561900000001</v>
      </c>
      <c r="K19" s="14">
        <v>-1116.1442500000001</v>
      </c>
      <c r="L19" s="14">
        <v>-1251.5003999999999</v>
      </c>
    </row>
    <row r="20" spans="1:12">
      <c r="A20" s="13">
        <v>4001312260</v>
      </c>
      <c r="B20" s="13" t="s">
        <v>183</v>
      </c>
      <c r="C20" s="51" t="s">
        <v>272</v>
      </c>
      <c r="D20" s="14">
        <v>0</v>
      </c>
      <c r="E20" s="14">
        <v>0</v>
      </c>
      <c r="F20" s="14">
        <v>0</v>
      </c>
      <c r="G20" s="14">
        <v>0</v>
      </c>
      <c r="H20" s="14">
        <v>0</v>
      </c>
      <c r="I20" s="14">
        <v>0</v>
      </c>
      <c r="J20" s="14">
        <v>0</v>
      </c>
      <c r="K20" s="14">
        <v>0</v>
      </c>
      <c r="L20" s="14">
        <v>0</v>
      </c>
    </row>
    <row r="21" spans="1:12">
      <c r="A21" s="13">
        <v>4001312270</v>
      </c>
      <c r="B21" s="13" t="s">
        <v>184</v>
      </c>
      <c r="C21" s="51" t="s">
        <v>272</v>
      </c>
      <c r="D21" s="14">
        <v>-1201.13625</v>
      </c>
      <c r="E21" s="14">
        <v>-2277.0804899999998</v>
      </c>
      <c r="F21" s="14">
        <v>-76.794359999999998</v>
      </c>
      <c r="G21" s="14">
        <v>-870.79816000000005</v>
      </c>
      <c r="H21" s="14">
        <v>1509.15166</v>
      </c>
      <c r="I21" s="14">
        <v>188.18303</v>
      </c>
      <c r="J21" s="14">
        <v>-2196.9847399999999</v>
      </c>
      <c r="K21" s="14">
        <v>-452.56871000000001</v>
      </c>
      <c r="L21" s="14">
        <v>-727.91635999999994</v>
      </c>
    </row>
    <row r="22" spans="1:12">
      <c r="A22" s="13">
        <v>4001312280</v>
      </c>
      <c r="B22" s="13" t="s">
        <v>185</v>
      </c>
      <c r="C22" s="51" t="s">
        <v>272</v>
      </c>
      <c r="D22" s="14">
        <v>21559.775369999999</v>
      </c>
      <c r="E22" s="14">
        <v>19961.187740000001</v>
      </c>
      <c r="F22" s="14">
        <v>26774.23704</v>
      </c>
      <c r="G22" s="14">
        <v>1450.99686</v>
      </c>
      <c r="H22" s="14">
        <v>5426.1706499999991</v>
      </c>
      <c r="I22" s="14">
        <v>9361.76541</v>
      </c>
      <c r="J22" s="14">
        <v>8286.9388099999996</v>
      </c>
      <c r="K22" s="14">
        <v>4059.5724399999999</v>
      </c>
      <c r="L22" s="14">
        <v>4173.9034799999999</v>
      </c>
    </row>
    <row r="23" spans="1:12">
      <c r="A23" s="13">
        <v>4001312290</v>
      </c>
      <c r="B23" s="13" t="s">
        <v>186</v>
      </c>
      <c r="C23" s="51" t="s">
        <v>272</v>
      </c>
      <c r="D23" s="14">
        <v>0</v>
      </c>
      <c r="E23" s="14">
        <v>0</v>
      </c>
      <c r="F23" s="14">
        <v>0</v>
      </c>
      <c r="G23" s="14">
        <v>0</v>
      </c>
      <c r="H23" s="14">
        <v>0</v>
      </c>
      <c r="I23" s="14">
        <v>0</v>
      </c>
      <c r="J23" s="14">
        <v>0</v>
      </c>
      <c r="K23" s="14">
        <v>0</v>
      </c>
      <c r="L23" s="14">
        <v>0</v>
      </c>
    </row>
    <row r="24" spans="1:12">
      <c r="A24" s="13">
        <v>4001312300</v>
      </c>
      <c r="B24" s="13" t="s">
        <v>187</v>
      </c>
      <c r="C24" s="51" t="s">
        <v>272</v>
      </c>
      <c r="D24" s="14">
        <v>0</v>
      </c>
      <c r="E24" s="14">
        <v>0</v>
      </c>
      <c r="F24" s="14">
        <v>0</v>
      </c>
      <c r="G24" s="14">
        <v>0</v>
      </c>
      <c r="H24" s="14">
        <v>0</v>
      </c>
      <c r="I24" s="14">
        <v>0</v>
      </c>
      <c r="J24" s="14">
        <v>0</v>
      </c>
      <c r="K24" s="14">
        <v>0</v>
      </c>
      <c r="L24" s="14">
        <v>0</v>
      </c>
    </row>
    <row r="25" spans="1:12">
      <c r="A25" s="13">
        <v>4001312310</v>
      </c>
      <c r="B25" s="13" t="s">
        <v>188</v>
      </c>
      <c r="C25" s="51" t="s">
        <v>272</v>
      </c>
      <c r="D25" s="14">
        <v>0</v>
      </c>
      <c r="E25" s="14">
        <v>0</v>
      </c>
      <c r="F25" s="14">
        <v>0</v>
      </c>
      <c r="G25" s="14">
        <v>0</v>
      </c>
      <c r="H25" s="14">
        <v>0</v>
      </c>
      <c r="I25" s="14">
        <v>0</v>
      </c>
      <c r="J25" s="14">
        <v>0</v>
      </c>
      <c r="K25" s="14">
        <v>0</v>
      </c>
      <c r="L25" s="14">
        <v>0</v>
      </c>
    </row>
    <row r="26" spans="1:12">
      <c r="A26" s="13">
        <v>4001312320</v>
      </c>
      <c r="B26" s="13" t="s">
        <v>189</v>
      </c>
      <c r="C26" s="51" t="s">
        <v>272</v>
      </c>
      <c r="D26" s="14">
        <v>0</v>
      </c>
      <c r="E26" s="14">
        <v>0</v>
      </c>
      <c r="F26" s="14">
        <v>0</v>
      </c>
      <c r="G26" s="14">
        <v>0</v>
      </c>
      <c r="H26" s="14">
        <v>0</v>
      </c>
      <c r="I26" s="14">
        <v>0</v>
      </c>
      <c r="J26" s="14">
        <v>0</v>
      </c>
      <c r="K26" s="14">
        <v>0</v>
      </c>
      <c r="L26" s="14">
        <v>0</v>
      </c>
    </row>
    <row r="27" spans="1:12">
      <c r="A27" s="13">
        <v>4001312330</v>
      </c>
      <c r="B27" s="13" t="s">
        <v>190</v>
      </c>
      <c r="C27" s="51" t="s">
        <v>272</v>
      </c>
      <c r="D27" s="14">
        <v>0</v>
      </c>
      <c r="E27" s="14">
        <v>0</v>
      </c>
      <c r="F27" s="14">
        <v>0</v>
      </c>
      <c r="G27" s="14">
        <v>0</v>
      </c>
      <c r="H27" s="14">
        <v>0</v>
      </c>
      <c r="I27" s="14">
        <v>0</v>
      </c>
      <c r="J27" s="14">
        <v>0</v>
      </c>
      <c r="K27" s="14">
        <v>0</v>
      </c>
      <c r="L27" s="14">
        <v>0</v>
      </c>
    </row>
    <row r="28" spans="1:12">
      <c r="A28" s="13">
        <v>4001312340</v>
      </c>
      <c r="B28" s="13" t="s">
        <v>191</v>
      </c>
      <c r="C28" s="51" t="s">
        <v>272</v>
      </c>
      <c r="D28" s="14">
        <v>-4695.6828000000005</v>
      </c>
      <c r="E28" s="14">
        <v>-3688.2566200000001</v>
      </c>
      <c r="F28" s="14">
        <v>-2326.6390100000003</v>
      </c>
      <c r="G28" s="14">
        <v>-290.92034999999998</v>
      </c>
      <c r="H28" s="14">
        <v>-902.50092000000006</v>
      </c>
      <c r="I28" s="14">
        <v>-390.26762000000002</v>
      </c>
      <c r="J28" s="14">
        <v>-389.64807000000002</v>
      </c>
      <c r="K28" s="14">
        <v>-625.19213999999999</v>
      </c>
      <c r="L28" s="14">
        <v>-1423.2753</v>
      </c>
    </row>
    <row r="29" spans="1:12">
      <c r="A29" s="13">
        <v>4001312350</v>
      </c>
      <c r="B29" s="13" t="s">
        <v>192</v>
      </c>
      <c r="C29" s="51" t="s">
        <v>272</v>
      </c>
      <c r="D29" s="14">
        <v>0</v>
      </c>
      <c r="E29" s="14">
        <v>0</v>
      </c>
      <c r="F29" s="14">
        <v>0</v>
      </c>
      <c r="G29" s="14">
        <v>0</v>
      </c>
      <c r="H29" s="14">
        <v>0</v>
      </c>
      <c r="I29" s="14">
        <v>0</v>
      </c>
      <c r="J29" s="14">
        <v>0</v>
      </c>
      <c r="K29" s="14">
        <v>0</v>
      </c>
      <c r="L29" s="14">
        <v>0</v>
      </c>
    </row>
    <row r="30" spans="1:12">
      <c r="A30" s="13">
        <v>4001390160</v>
      </c>
      <c r="B30" s="13" t="s">
        <v>193</v>
      </c>
      <c r="C30" s="51" t="s">
        <v>272</v>
      </c>
      <c r="D30" s="14">
        <v>-6253.5923400000001</v>
      </c>
      <c r="E30" s="14">
        <v>-14984.664290000001</v>
      </c>
      <c r="F30" s="14">
        <v>-7027.4121100000002</v>
      </c>
      <c r="G30" s="14">
        <v>-3220.4804200000003</v>
      </c>
      <c r="H30" s="14">
        <v>-422.26813000000004</v>
      </c>
      <c r="I30" s="14">
        <v>-1928.8543</v>
      </c>
      <c r="J30" s="14">
        <v>-5463.6481899999999</v>
      </c>
      <c r="K30" s="14">
        <v>-2121.0823999999998</v>
      </c>
      <c r="L30" s="14">
        <v>-4030.4438599999999</v>
      </c>
    </row>
    <row r="31" spans="1:12">
      <c r="A31" s="13">
        <v>4001390170</v>
      </c>
      <c r="B31" s="13" t="s">
        <v>194</v>
      </c>
      <c r="C31" s="51" t="s">
        <v>272</v>
      </c>
      <c r="D31" s="14">
        <v>12990.26463</v>
      </c>
      <c r="E31" s="14">
        <v>4026.0304900000001</v>
      </c>
      <c r="F31" s="14">
        <v>12814.23653</v>
      </c>
      <c r="G31" s="14">
        <v>1974.3457599999999</v>
      </c>
      <c r="H31" s="14">
        <v>1694.7034899999999</v>
      </c>
      <c r="I31" s="14">
        <v>-1549.7971</v>
      </c>
      <c r="J31" s="14">
        <v>3130.6935200000003</v>
      </c>
      <c r="K31" s="14">
        <v>2719.2797100000003</v>
      </c>
      <c r="L31" s="14">
        <v>1776.4310200000002</v>
      </c>
    </row>
    <row r="32" spans="1:12">
      <c r="A32" s="13">
        <v>4001390270</v>
      </c>
      <c r="B32" s="13" t="s">
        <v>195</v>
      </c>
      <c r="C32" s="51" t="s">
        <v>272</v>
      </c>
      <c r="D32" s="14">
        <v>19398.949410000001</v>
      </c>
      <c r="E32" s="14">
        <v>19530.312109999999</v>
      </c>
      <c r="F32" s="14">
        <v>20460.310849999998</v>
      </c>
      <c r="G32" s="14">
        <v>5387.4963200000002</v>
      </c>
      <c r="H32" s="14">
        <v>2289.7129</v>
      </c>
      <c r="I32" s="14">
        <v>522.89016000000004</v>
      </c>
      <c r="J32" s="14">
        <v>8752.5275700000002</v>
      </c>
      <c r="K32" s="14">
        <v>4974.4715999999999</v>
      </c>
      <c r="L32" s="14">
        <v>5975.8530799999999</v>
      </c>
    </row>
    <row r="33" spans="1:12">
      <c r="A33" s="13">
        <v>4001321350</v>
      </c>
      <c r="B33" s="13" t="s">
        <v>186</v>
      </c>
      <c r="C33" s="51" t="s">
        <v>272</v>
      </c>
      <c r="D33" s="14">
        <v>51.844009999999997</v>
      </c>
      <c r="E33" s="14">
        <v>350.97669999999999</v>
      </c>
      <c r="F33" s="14">
        <v>505.27695</v>
      </c>
      <c r="G33" s="14">
        <v>157.35301999999999</v>
      </c>
      <c r="H33" s="14">
        <v>143.56864999999999</v>
      </c>
      <c r="I33" s="14">
        <v>133.0026</v>
      </c>
      <c r="J33" s="14">
        <v>153.39687000000001</v>
      </c>
      <c r="K33" s="14">
        <v>101.57474000000001</v>
      </c>
      <c r="L33" s="14">
        <v>118.49504</v>
      </c>
    </row>
    <row r="34" spans="1:12">
      <c r="A34" s="13">
        <v>4001321360</v>
      </c>
      <c r="B34" s="13" t="s">
        <v>187</v>
      </c>
      <c r="C34" s="51" t="s">
        <v>272</v>
      </c>
      <c r="D34" s="14">
        <v>0</v>
      </c>
      <c r="E34" s="14">
        <v>0</v>
      </c>
      <c r="F34" s="14">
        <v>0</v>
      </c>
      <c r="G34" s="14">
        <v>0</v>
      </c>
      <c r="H34" s="14">
        <v>0</v>
      </c>
      <c r="I34" s="14">
        <v>0</v>
      </c>
      <c r="J34" s="14">
        <v>0</v>
      </c>
      <c r="K34" s="14">
        <v>0</v>
      </c>
      <c r="L34" s="14">
        <v>0</v>
      </c>
    </row>
    <row r="35" spans="1:12">
      <c r="A35" s="13">
        <v>4001321370</v>
      </c>
      <c r="B35" s="13" t="s">
        <v>188</v>
      </c>
      <c r="C35" s="51" t="s">
        <v>272</v>
      </c>
      <c r="D35" s="14">
        <v>103.24843000000001</v>
      </c>
      <c r="E35" s="14">
        <v>168.64062999999999</v>
      </c>
      <c r="F35" s="14">
        <v>113.38526</v>
      </c>
      <c r="G35" s="14">
        <v>35.317120000000003</v>
      </c>
      <c r="H35" s="14">
        <v>29.172629999999998</v>
      </c>
      <c r="I35" s="14">
        <v>10.830360000000001</v>
      </c>
      <c r="J35" s="14">
        <v>4.7889900000000001</v>
      </c>
      <c r="K35" s="14">
        <v>32.534750000000003</v>
      </c>
      <c r="L35" s="14">
        <v>50.483159999999998</v>
      </c>
    </row>
    <row r="36" spans="1:12">
      <c r="A36" s="13">
        <v>4001321380</v>
      </c>
      <c r="B36" s="13" t="s">
        <v>189</v>
      </c>
      <c r="C36" s="51" t="s">
        <v>272</v>
      </c>
      <c r="D36" s="14">
        <v>0</v>
      </c>
      <c r="E36" s="14">
        <v>0</v>
      </c>
      <c r="F36" s="14">
        <v>0</v>
      </c>
      <c r="G36" s="14">
        <v>0</v>
      </c>
      <c r="H36" s="14">
        <v>0</v>
      </c>
      <c r="I36" s="14">
        <v>0</v>
      </c>
      <c r="J36" s="14">
        <v>0</v>
      </c>
      <c r="K36" s="14">
        <v>0</v>
      </c>
      <c r="L36" s="14">
        <v>0</v>
      </c>
    </row>
    <row r="37" spans="1:12">
      <c r="A37" s="13">
        <v>4001321390</v>
      </c>
      <c r="B37" s="13" t="s">
        <v>190</v>
      </c>
      <c r="C37" s="51" t="s">
        <v>272</v>
      </c>
      <c r="D37" s="14">
        <v>0</v>
      </c>
      <c r="E37" s="14">
        <v>0</v>
      </c>
      <c r="F37" s="14">
        <v>0</v>
      </c>
      <c r="G37" s="14">
        <v>0</v>
      </c>
      <c r="H37" s="14">
        <v>0</v>
      </c>
      <c r="I37" s="14">
        <v>0</v>
      </c>
      <c r="J37" s="14">
        <v>0</v>
      </c>
      <c r="K37" s="14">
        <v>0</v>
      </c>
      <c r="L37" s="14">
        <v>0</v>
      </c>
    </row>
    <row r="38" spans="1:12">
      <c r="A38" s="13">
        <v>4001321400</v>
      </c>
      <c r="B38" s="13" t="s">
        <v>191</v>
      </c>
      <c r="C38" s="51" t="s">
        <v>272</v>
      </c>
      <c r="D38" s="14">
        <v>0</v>
      </c>
      <c r="E38" s="14">
        <v>0</v>
      </c>
      <c r="F38" s="14">
        <v>0</v>
      </c>
      <c r="G38" s="14">
        <v>0</v>
      </c>
      <c r="H38" s="14">
        <v>0</v>
      </c>
      <c r="I38" s="14">
        <v>0</v>
      </c>
      <c r="J38" s="14">
        <v>0</v>
      </c>
      <c r="K38" s="14">
        <v>0</v>
      </c>
      <c r="L38" s="14">
        <v>0</v>
      </c>
    </row>
    <row r="39" spans="1:12">
      <c r="A39" s="13">
        <v>4001321410</v>
      </c>
      <c r="B39" s="13" t="s">
        <v>192</v>
      </c>
      <c r="C39" s="51" t="s">
        <v>272</v>
      </c>
      <c r="D39" s="14">
        <v>0</v>
      </c>
      <c r="E39" s="14">
        <v>0</v>
      </c>
      <c r="F39" s="14">
        <v>0</v>
      </c>
      <c r="G39" s="14">
        <v>0</v>
      </c>
      <c r="H39" s="14">
        <v>0</v>
      </c>
      <c r="I39" s="14">
        <v>0</v>
      </c>
      <c r="J39" s="14">
        <v>0</v>
      </c>
      <c r="K39" s="14">
        <v>0</v>
      </c>
      <c r="L39" s="14">
        <v>0</v>
      </c>
    </row>
    <row r="40" spans="1:12">
      <c r="A40" s="13">
        <v>4001390370</v>
      </c>
      <c r="B40" s="13" t="s">
        <v>196</v>
      </c>
      <c r="C40" s="51" t="s">
        <v>272</v>
      </c>
      <c r="D40" s="14">
        <v>-12738.55062</v>
      </c>
      <c r="E40" s="14">
        <v>5515.8683099999998</v>
      </c>
      <c r="F40" s="14">
        <v>-16582.29045</v>
      </c>
      <c r="G40" s="14">
        <v>1190.3690899999999</v>
      </c>
      <c r="H40" s="14">
        <v>-6459.0031600000002</v>
      </c>
      <c r="I40" s="14">
        <v>-8068.2750500000002</v>
      </c>
      <c r="J40" s="14">
        <v>-5295.8558299999995</v>
      </c>
      <c r="K40" s="14">
        <v>-317.25225</v>
      </c>
      <c r="L40" s="14">
        <v>345.28141000000005</v>
      </c>
    </row>
    <row r="41" spans="1:12">
      <c r="A41" s="13">
        <v>4001390380</v>
      </c>
      <c r="B41" s="13" t="s">
        <v>197</v>
      </c>
      <c r="C41" s="51" t="s">
        <v>272</v>
      </c>
      <c r="D41" s="14">
        <v>21922.38236</v>
      </c>
      <c r="E41" s="14">
        <v>46923.418859999998</v>
      </c>
      <c r="F41" s="14">
        <v>38212.630770000003</v>
      </c>
      <c r="G41" s="14">
        <v>20349.192510000001</v>
      </c>
      <c r="H41" s="14">
        <v>5511.62183</v>
      </c>
      <c r="I41" s="14">
        <v>-7403.99773</v>
      </c>
      <c r="J41" s="14">
        <v>26963.401880000001</v>
      </c>
      <c r="K41" s="14">
        <v>13727.00743</v>
      </c>
      <c r="L41" s="14">
        <v>15842.768309999999</v>
      </c>
    </row>
    <row r="42" spans="1:12">
      <c r="A42" s="13">
        <v>4001390470</v>
      </c>
      <c r="B42" s="13" t="s">
        <v>198</v>
      </c>
      <c r="C42" s="51" t="s">
        <v>272</v>
      </c>
      <c r="D42" s="14">
        <v>31115.122779999998</v>
      </c>
      <c r="E42" s="14">
        <v>36329.330909999997</v>
      </c>
      <c r="F42" s="14">
        <v>48638.003649999999</v>
      </c>
      <c r="G42" s="14">
        <v>17751.758679999999</v>
      </c>
      <c r="H42" s="14">
        <v>9922.9526800000003</v>
      </c>
      <c r="I42" s="14">
        <v>-1034.4237699999999</v>
      </c>
      <c r="J42" s="14">
        <v>30700.090789999998</v>
      </c>
      <c r="K42" s="14">
        <v>12518.82034</v>
      </c>
      <c r="L42" s="14">
        <v>13258.90251</v>
      </c>
    </row>
    <row r="43" spans="1:12">
      <c r="A43" s="13">
        <v>4001330680</v>
      </c>
      <c r="B43" s="13" t="s">
        <v>186</v>
      </c>
      <c r="C43" s="51" t="s">
        <v>272</v>
      </c>
      <c r="D43" s="14">
        <v>0</v>
      </c>
      <c r="E43" s="14">
        <v>0</v>
      </c>
      <c r="F43" s="14">
        <v>0</v>
      </c>
      <c r="G43" s="14">
        <v>0</v>
      </c>
      <c r="H43" s="14">
        <v>0</v>
      </c>
      <c r="I43" s="14">
        <v>0</v>
      </c>
      <c r="J43" s="14">
        <v>0</v>
      </c>
      <c r="K43" s="14">
        <v>0</v>
      </c>
      <c r="L43" s="14">
        <v>0</v>
      </c>
    </row>
    <row r="44" spans="1:12">
      <c r="A44" s="13">
        <v>4001330690</v>
      </c>
      <c r="B44" s="13" t="s">
        <v>187</v>
      </c>
      <c r="C44" s="51" t="s">
        <v>272</v>
      </c>
      <c r="D44" s="14">
        <v>-2406.5955400000003</v>
      </c>
      <c r="E44" s="14">
        <v>-3278.6124099999997</v>
      </c>
      <c r="F44" s="14">
        <v>-4743.8616000000002</v>
      </c>
      <c r="G44" s="14">
        <v>-1299.91416</v>
      </c>
      <c r="H44" s="14">
        <v>-1394.7756899999999</v>
      </c>
      <c r="I44" s="14">
        <v>-1433.3836699999999</v>
      </c>
      <c r="J44" s="14">
        <v>-1304.2587799999999</v>
      </c>
      <c r="K44" s="14">
        <v>-1394.6042600000001</v>
      </c>
      <c r="L44" s="14">
        <v>-1384.12968</v>
      </c>
    </row>
    <row r="45" spans="1:12">
      <c r="A45" s="13">
        <v>4001330700</v>
      </c>
      <c r="B45" s="13" t="s">
        <v>188</v>
      </c>
      <c r="C45" s="51" t="s">
        <v>272</v>
      </c>
      <c r="D45" s="14">
        <v>0</v>
      </c>
      <c r="E45" s="14">
        <v>0</v>
      </c>
      <c r="F45" s="14">
        <v>0</v>
      </c>
      <c r="G45" s="14">
        <v>0</v>
      </c>
      <c r="H45" s="14">
        <v>0</v>
      </c>
      <c r="I45" s="14">
        <v>0</v>
      </c>
      <c r="J45" s="14">
        <v>0</v>
      </c>
      <c r="K45" s="14">
        <v>0</v>
      </c>
      <c r="L45" s="14">
        <v>0</v>
      </c>
    </row>
    <row r="46" spans="1:12">
      <c r="A46" s="13">
        <v>4001330710</v>
      </c>
      <c r="B46" s="13" t="s">
        <v>189</v>
      </c>
      <c r="C46" s="51" t="s">
        <v>272</v>
      </c>
      <c r="D46" s="14">
        <v>-1139.2146600000001</v>
      </c>
      <c r="E46" s="14">
        <v>-1799.6072300000001</v>
      </c>
      <c r="F46" s="14">
        <v>-1413.0559700000001</v>
      </c>
      <c r="G46" s="14">
        <v>-107.15058000000001</v>
      </c>
      <c r="H46" s="14">
        <v>-652.89661999999998</v>
      </c>
      <c r="I46" s="14">
        <v>-265.31741999999997</v>
      </c>
      <c r="J46" s="14">
        <v>-254.90813999999997</v>
      </c>
      <c r="K46" s="14">
        <v>-130.83508</v>
      </c>
      <c r="L46" s="14">
        <v>-854.45471000000009</v>
      </c>
    </row>
    <row r="47" spans="1:12">
      <c r="A47" s="13">
        <v>4001330720</v>
      </c>
      <c r="B47" s="13" t="s">
        <v>190</v>
      </c>
      <c r="C47" s="51" t="s">
        <v>272</v>
      </c>
      <c r="D47" s="14">
        <v>0</v>
      </c>
      <c r="E47" s="14">
        <v>0</v>
      </c>
      <c r="F47" s="14">
        <v>0</v>
      </c>
      <c r="G47" s="14">
        <v>0</v>
      </c>
      <c r="H47" s="14">
        <v>0</v>
      </c>
      <c r="I47" s="14">
        <v>0</v>
      </c>
      <c r="J47" s="14">
        <v>0</v>
      </c>
      <c r="K47" s="14">
        <v>0</v>
      </c>
      <c r="L47" s="14">
        <v>0</v>
      </c>
    </row>
    <row r="48" spans="1:12">
      <c r="A48" s="13">
        <v>4001330730</v>
      </c>
      <c r="B48" s="13" t="s">
        <v>191</v>
      </c>
      <c r="C48" s="51" t="s">
        <v>272</v>
      </c>
      <c r="D48" s="14">
        <v>0</v>
      </c>
      <c r="E48" s="14">
        <v>0</v>
      </c>
      <c r="F48" s="14">
        <v>0</v>
      </c>
      <c r="G48" s="14">
        <v>0</v>
      </c>
      <c r="H48" s="14">
        <v>0</v>
      </c>
      <c r="I48" s="14">
        <v>0</v>
      </c>
      <c r="J48" s="14">
        <v>0</v>
      </c>
      <c r="K48" s="14">
        <v>0</v>
      </c>
      <c r="L48" s="14">
        <v>0</v>
      </c>
    </row>
    <row r="49" spans="1:12">
      <c r="A49" s="13">
        <v>4001330740</v>
      </c>
      <c r="B49" s="13" t="s">
        <v>192</v>
      </c>
      <c r="C49" s="51" t="s">
        <v>272</v>
      </c>
      <c r="D49" s="14">
        <v>0</v>
      </c>
      <c r="E49" s="14">
        <v>0</v>
      </c>
      <c r="F49" s="14">
        <v>0</v>
      </c>
      <c r="G49" s="14">
        <v>0</v>
      </c>
      <c r="H49" s="14">
        <v>0</v>
      </c>
      <c r="I49" s="14">
        <v>0</v>
      </c>
      <c r="J49" s="14">
        <v>0</v>
      </c>
      <c r="K49" s="14">
        <v>0</v>
      </c>
      <c r="L49" s="14">
        <v>0</v>
      </c>
    </row>
    <row r="50" spans="1:12">
      <c r="A50" s="13">
        <v>4001340000</v>
      </c>
      <c r="B50" s="13" t="s">
        <v>199</v>
      </c>
      <c r="C50" s="51" t="s">
        <v>272</v>
      </c>
      <c r="D50" s="14">
        <v>0</v>
      </c>
      <c r="E50" s="14">
        <v>0</v>
      </c>
      <c r="F50" s="14">
        <v>-345.13131999999996</v>
      </c>
      <c r="G50" s="14">
        <v>-189.70984000000001</v>
      </c>
      <c r="H50" s="14">
        <v>189.70984000000001</v>
      </c>
      <c r="I50" s="14">
        <v>97.912790000000001</v>
      </c>
      <c r="J50" s="14">
        <v>-54.981750000000005</v>
      </c>
      <c r="K50" s="14">
        <v>62.825099999999999</v>
      </c>
      <c r="L50" s="14">
        <v>-62.825099999999999</v>
      </c>
    </row>
    <row r="51" spans="1:12">
      <c r="A51" s="13">
        <v>4001340010</v>
      </c>
      <c r="B51" s="13" t="s">
        <v>200</v>
      </c>
      <c r="C51" s="51" t="s">
        <v>272</v>
      </c>
      <c r="D51" s="14">
        <v>0</v>
      </c>
      <c r="E51" s="14">
        <v>0</v>
      </c>
      <c r="F51" s="14">
        <v>0</v>
      </c>
      <c r="G51" s="14">
        <v>0</v>
      </c>
      <c r="H51" s="14">
        <v>0</v>
      </c>
      <c r="I51" s="14">
        <v>0</v>
      </c>
      <c r="J51" s="14">
        <v>0</v>
      </c>
      <c r="K51" s="14">
        <v>0</v>
      </c>
      <c r="L51" s="14">
        <v>0</v>
      </c>
    </row>
    <row r="52" spans="1:12">
      <c r="A52" s="13">
        <v>4001340020</v>
      </c>
      <c r="B52" s="13" t="s">
        <v>201</v>
      </c>
      <c r="C52" s="51" t="s">
        <v>272</v>
      </c>
      <c r="D52" s="14">
        <v>974.46089999999992</v>
      </c>
      <c r="E52" s="14">
        <v>199.74137999999999</v>
      </c>
      <c r="F52" s="14">
        <v>70.764139999999998</v>
      </c>
      <c r="G52" s="14">
        <v>409.92838999999998</v>
      </c>
      <c r="H52" s="14">
        <v>260.44225999999998</v>
      </c>
      <c r="I52" s="14">
        <v>-298.32607000000002</v>
      </c>
      <c r="J52" s="14">
        <v>888.38558</v>
      </c>
      <c r="K52" s="14">
        <v>-20.159549999999999</v>
      </c>
      <c r="L52" s="14">
        <v>-436.52600000000001</v>
      </c>
    </row>
    <row r="53" spans="1:12">
      <c r="A53" s="13">
        <v>4001340030</v>
      </c>
      <c r="B53" s="13" t="s">
        <v>202</v>
      </c>
      <c r="C53" s="51" t="s">
        <v>272</v>
      </c>
      <c r="D53" s="14">
        <v>-1153.5894899999998</v>
      </c>
      <c r="E53" s="14">
        <v>7003.8765199999998</v>
      </c>
      <c r="F53" s="14">
        <v>563.52828999999997</v>
      </c>
      <c r="G53" s="14">
        <v>-649.81627000000003</v>
      </c>
      <c r="H53" s="14">
        <v>-1907.44946</v>
      </c>
      <c r="I53" s="14">
        <v>-1226.04484</v>
      </c>
      <c r="J53" s="14">
        <v>-2028.80945</v>
      </c>
      <c r="K53" s="14">
        <v>1038.7112</v>
      </c>
      <c r="L53" s="14">
        <v>-1433.8853700000002</v>
      </c>
    </row>
    <row r="54" spans="1:12">
      <c r="A54" s="13">
        <v>4001340040</v>
      </c>
      <c r="B54" s="13" t="s">
        <v>203</v>
      </c>
      <c r="C54" s="51" t="s">
        <v>272</v>
      </c>
      <c r="D54" s="14">
        <v>12122.291010000001</v>
      </c>
      <c r="E54" s="14">
        <v>10968.701520000001</v>
      </c>
      <c r="F54" s="14">
        <v>17972.57804</v>
      </c>
      <c r="G54" s="14">
        <v>18536.106329999999</v>
      </c>
      <c r="H54" s="14">
        <v>17886.290059999999</v>
      </c>
      <c r="I54" s="14">
        <v>16323.97191</v>
      </c>
      <c r="J54" s="14">
        <v>14752.795759999999</v>
      </c>
      <c r="K54" s="14">
        <v>12723.98631</v>
      </c>
      <c r="L54" s="14">
        <v>13762.69751</v>
      </c>
    </row>
    <row r="55" spans="1:12">
      <c r="A55" s="13">
        <v>4001340050</v>
      </c>
      <c r="B55" s="13" t="s">
        <v>204</v>
      </c>
      <c r="C55" s="51" t="s">
        <v>272</v>
      </c>
      <c r="D55" s="14">
        <v>10968.701520000001</v>
      </c>
      <c r="E55" s="14">
        <v>17972.57804</v>
      </c>
      <c r="F55" s="14">
        <v>18536.106329999999</v>
      </c>
      <c r="G55" s="14">
        <v>17886.290059999999</v>
      </c>
      <c r="H55" s="14">
        <v>16323.97191</v>
      </c>
      <c r="I55" s="14">
        <v>14752.795759999999</v>
      </c>
      <c r="J55" s="14">
        <v>12723.98631</v>
      </c>
      <c r="K55" s="14">
        <v>13762.69751</v>
      </c>
      <c r="L55" s="14">
        <v>12622.6577</v>
      </c>
    </row>
    <row r="56" spans="1:12">
      <c r="A56" s="1"/>
      <c r="B56" s="1"/>
      <c r="C56" s="1"/>
      <c r="D56" s="14"/>
      <c r="E56" s="14"/>
      <c r="F56" s="14"/>
      <c r="G56" s="14"/>
      <c r="H56" s="14"/>
      <c r="I56" s="14"/>
      <c r="J56" s="14"/>
      <c r="K56" s="14"/>
      <c r="L56" s="14"/>
    </row>
    <row r="57" spans="1:12">
      <c r="D57" s="15"/>
      <c r="E57" s="15"/>
      <c r="F57" s="15"/>
      <c r="G57" s="15"/>
      <c r="H57" s="15"/>
      <c r="I57" s="15"/>
      <c r="J57" s="15"/>
      <c r="K57" s="15"/>
      <c r="L57" s="15"/>
    </row>
    <row r="58" spans="1:12">
      <c r="D58" s="15"/>
      <c r="E58" s="15"/>
      <c r="F58" s="15"/>
      <c r="G58" s="15"/>
      <c r="H58" s="15"/>
      <c r="I58" s="15"/>
      <c r="J58" s="15"/>
      <c r="K58" s="15"/>
      <c r="L58" s="15"/>
    </row>
    <row r="59" spans="1:12">
      <c r="D59" s="15"/>
      <c r="E59" s="15"/>
      <c r="F59" s="15"/>
      <c r="G59" s="15"/>
      <c r="H59" s="15"/>
      <c r="I59" s="15"/>
      <c r="J59" s="15"/>
      <c r="K59" s="15"/>
      <c r="L59" s="15"/>
    </row>
  </sheetData>
  <phoneticPr fontId="2" type="noConversion"/>
  <dataValidations count="7">
    <dataValidation type="list" allowBlank="1" showInputMessage="1" sqref="B4" xr:uid="{CAE298F9-45C4-4B61-9214-6B3AE2A6F54F}">
      <formula1>"전체,재무상태표,손익계산서,현금흐름표,자본금변동표"</formula1>
    </dataValidation>
    <dataValidation type="list" allowBlank="1" showInputMessage="1" sqref="B5" xr:uid="{20AEFB9C-CCAD-4DDB-BE5B-ACD973A91017}">
      <formula1>"상세(총액),상세(순액),요약,약식"</formula1>
    </dataValidation>
    <dataValidation type="list" allowBlank="1" showInputMessage="1" sqref="B6" xr:uid="{A679F539-FA2D-4DCF-B4BE-28F2C7EFFA83}">
      <formula1>"결산,누적분기,당분기"</formula1>
    </dataValidation>
    <dataValidation type="list" allowBlank="1" showInputMessage="1" sqref="C6" xr:uid="{88BC67B4-46A0-40AF-83F1-DA4B588BFECE}">
      <formula1>"천원,백만원,억원,십억원"</formula1>
    </dataValidation>
    <dataValidation type="list" allowBlank="1" showInputMessage="1" sqref="B3" xr:uid="{A66C9213-24A3-49C6-84F7-B03FE7335300}">
      <formula1>"별도,연결"</formula1>
    </dataValidation>
    <dataValidation type="list" allowBlank="1" showInputMessage="1" sqref="B7" xr:uid="{3A5B2D3F-CB6F-4EB4-903A-81D3FCB864D0}">
      <formula1>"1983,1984,1985,1986,1987,1988,1989,1990,1991,1992,1993,1994,1995,1996,1997,1998,1999,2000,2001,2002,2003,2004,2005,2006,2007,2008,2009,2010,2011,2012,2013,2014,2015,2016,2017,2018,2019,2020,2021,2022,2023,2024,2025"</formula1>
    </dataValidation>
    <dataValidation type="list" allowBlank="1" showInputMessage="1" sqref="C7" xr:uid="{E3A77ADA-32EB-4FD6-ABB0-4CE52249B940}">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Estimation&gt;&gt;&gt;</vt:lpstr>
      <vt:lpstr>Valuation</vt:lpstr>
      <vt:lpstr>Expected IS</vt:lpstr>
      <vt:lpstr>사업부별 매출추정</vt:lpstr>
      <vt:lpstr>RAWDATA&gt;&gt;&gt;</vt:lpstr>
      <vt:lpstr>IS</vt:lpstr>
      <vt:lpstr>BS</vt:lpstr>
      <vt:lpstr>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채현기</dc:creator>
  <cp:lastModifiedBy>채현기</cp:lastModifiedBy>
  <dcterms:created xsi:type="dcterms:W3CDTF">2025-09-02T05:08:05Z</dcterms:created>
  <dcterms:modified xsi:type="dcterms:W3CDTF">2025-09-11T10:27:08Z</dcterms:modified>
</cp:coreProperties>
</file>