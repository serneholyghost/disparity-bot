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which\Desktop\RFS\25-2\25-2_1차_HD현대마린솔루션\"/>
    </mc:Choice>
  </mc:AlternateContent>
  <xr:revisionPtr revIDLastSave="0" documentId="13_ncr:1_{CE4DC7F8-A5BA-4045-B249-29B15EB48330}" xr6:coauthVersionLast="47" xr6:coauthVersionMax="47" xr10:uidLastSave="{00000000-0000-0000-0000-000000000000}"/>
  <bookViews>
    <workbookView xWindow="12710" yWindow="0" windowWidth="12980" windowHeight="15370" firstSheet="1" activeTab="3" xr2:uid="{4BB7B294-D2F1-46A2-AD7B-68AD306E51E4}"/>
  </bookViews>
  <sheets>
    <sheet name="Estimate&gt;&gt;&gt;" sheetId="10" r:id="rId1"/>
    <sheet name="Valuation" sheetId="28" r:id="rId2"/>
    <sheet name="Expected IS" sheetId="13" r:id="rId3"/>
    <sheet name="매출추정" sheetId="16" r:id="rId4"/>
    <sheet name="AM" sheetId="20" r:id="rId5"/>
    <sheet name="Retrofit" sheetId="22" r:id="rId6"/>
    <sheet name="Digital" sheetId="23" r:id="rId7"/>
    <sheet name="Bunkering" sheetId="25" r:id="rId8"/>
    <sheet name="환율&amp;원유" sheetId="27" r:id="rId9"/>
    <sheet name="비용추정" sheetId="14" r:id="rId10"/>
    <sheet name="RAWDATA&gt;&gt;&gt;" sheetId="15" r:id="rId11"/>
    <sheet name="IS(Quaterly)" sheetId="7" r:id="rId12"/>
    <sheet name="BS(Quaterly)" sheetId="6" r:id="rId13"/>
    <sheet name="CF(Quaterly)" sheetId="8"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3" l="1"/>
  <c r="J21" i="13"/>
  <c r="K21" i="13"/>
  <c r="L21" i="13"/>
  <c r="M21" i="13"/>
  <c r="H21" i="13"/>
  <c r="I65" i="14"/>
  <c r="J65" i="14"/>
  <c r="K65" i="14"/>
  <c r="L65" i="14"/>
  <c r="M65" i="14"/>
  <c r="H65" i="14"/>
  <c r="D67" i="14"/>
  <c r="E67" i="14"/>
  <c r="F67" i="14"/>
  <c r="G67" i="14"/>
  <c r="H67" i="14"/>
  <c r="I67" i="14" s="1"/>
  <c r="C67" i="14"/>
  <c r="D66" i="14"/>
  <c r="E66" i="14"/>
  <c r="F66" i="14"/>
  <c r="G66" i="14"/>
  <c r="C66" i="14"/>
  <c r="I12" i="28"/>
  <c r="J67" i="14" l="1"/>
  <c r="K67" i="14" s="1"/>
  <c r="C42" i="20"/>
  <c r="C44" i="20" s="1"/>
  <c r="G24" i="20" s="1"/>
  <c r="C40" i="20"/>
  <c r="C33" i="20"/>
  <c r="C31" i="20"/>
  <c r="C35" i="20"/>
  <c r="G22" i="20" s="1"/>
  <c r="G6" i="20"/>
  <c r="G9" i="20" s="1"/>
  <c r="H6" i="20"/>
  <c r="H9" i="20" s="1"/>
  <c r="F8" i="20"/>
  <c r="F16" i="20"/>
  <c r="I16" i="20" s="1"/>
  <c r="J16" i="20" s="1"/>
  <c r="K16" i="20" s="1"/>
  <c r="G17" i="20"/>
  <c r="H17" i="20"/>
  <c r="F18" i="20"/>
  <c r="I18" i="20"/>
  <c r="J18" i="20" s="1"/>
  <c r="K18" i="20" s="1"/>
  <c r="L18" i="20" s="1"/>
  <c r="G19" i="20"/>
  <c r="H19" i="20"/>
  <c r="F20" i="20"/>
  <c r="G21" i="20"/>
  <c r="I8" i="28"/>
  <c r="O22" i="20"/>
  <c r="L67" i="14" l="1"/>
  <c r="M67" i="14" s="1"/>
  <c r="H22" i="20"/>
  <c r="I22" i="20" s="1"/>
  <c r="H24" i="20"/>
  <c r="H25" i="20" s="1"/>
  <c r="H21" i="20"/>
  <c r="H12" i="20"/>
  <c r="L15" i="20"/>
  <c r="I15" i="20"/>
  <c r="G15" i="20"/>
  <c r="J15" i="20"/>
  <c r="H15" i="20"/>
  <c r="I24" i="20"/>
  <c r="I25" i="20" s="1"/>
  <c r="N15" i="20"/>
  <c r="M15" i="20"/>
  <c r="K15" i="20"/>
  <c r="L12" i="20"/>
  <c r="K12" i="20"/>
  <c r="J12" i="20"/>
  <c r="I12" i="20"/>
  <c r="G12" i="20"/>
  <c r="I23" i="20"/>
  <c r="J22" i="20"/>
  <c r="J10" i="20" s="1"/>
  <c r="I10" i="20"/>
  <c r="H23" i="20"/>
  <c r="N12" i="20"/>
  <c r="M12" i="20"/>
  <c r="I20" i="20"/>
  <c r="J20" i="20" s="1"/>
  <c r="F6" i="20"/>
  <c r="F21" i="20" s="1"/>
  <c r="E20" i="20" s="1"/>
  <c r="M18" i="20"/>
  <c r="L16" i="20"/>
  <c r="F19" i="20"/>
  <c r="E18" i="20" s="1"/>
  <c r="F9" i="20"/>
  <c r="E8" i="20" s="1"/>
  <c r="H10" i="20"/>
  <c r="H11" i="20" s="1"/>
  <c r="G14" i="20"/>
  <c r="H7" i="20"/>
  <c r="G11" i="20"/>
  <c r="H37" i="14"/>
  <c r="C7" i="28"/>
  <c r="I13" i="20" l="1"/>
  <c r="H13" i="20" s="1"/>
  <c r="H14" i="20" s="1"/>
  <c r="J24" i="20"/>
  <c r="J25" i="20" s="1"/>
  <c r="K24" i="20"/>
  <c r="L24" i="20" s="1"/>
  <c r="K22" i="20"/>
  <c r="J23" i="20"/>
  <c r="F17" i="20"/>
  <c r="E16" i="20" s="1"/>
  <c r="E6" i="20" s="1"/>
  <c r="M16" i="20"/>
  <c r="K20" i="20"/>
  <c r="N18" i="20"/>
  <c r="I37" i="14"/>
  <c r="H33" i="22"/>
  <c r="Q25" i="25"/>
  <c r="I8" i="20" l="1"/>
  <c r="J13" i="20"/>
  <c r="J8" i="20" s="1"/>
  <c r="J6" i="20" s="1"/>
  <c r="J21" i="20" s="1"/>
  <c r="K25" i="20"/>
  <c r="K13" i="20"/>
  <c r="E19" i="20"/>
  <c r="D18" i="20" s="1"/>
  <c r="E21" i="20"/>
  <c r="D20" i="20" s="1"/>
  <c r="E9" i="20"/>
  <c r="D8" i="20" s="1"/>
  <c r="L22" i="20"/>
  <c r="K23" i="20"/>
  <c r="K10" i="20"/>
  <c r="K8" i="20" s="1"/>
  <c r="E17" i="20"/>
  <c r="D16" i="20" s="1"/>
  <c r="D6" i="20" s="1"/>
  <c r="D9" i="20" s="1"/>
  <c r="C8" i="20" s="1"/>
  <c r="L25" i="20"/>
  <c r="L13" i="20"/>
  <c r="M24" i="20"/>
  <c r="N16" i="20"/>
  <c r="L20" i="20"/>
  <c r="J17" i="20"/>
  <c r="J11" i="20"/>
  <c r="J19" i="20"/>
  <c r="J14" i="20"/>
  <c r="J9" i="20"/>
  <c r="F7" i="20"/>
  <c r="J37" i="14"/>
  <c r="K37" i="14" s="1"/>
  <c r="N35" i="22"/>
  <c r="M35" i="22"/>
  <c r="L35" i="22"/>
  <c r="K35" i="22"/>
  <c r="J35" i="22"/>
  <c r="I35" i="22"/>
  <c r="I34" i="22" s="1"/>
  <c r="N37" i="22"/>
  <c r="I6" i="20" l="1"/>
  <c r="I9" i="20"/>
  <c r="L23" i="20"/>
  <c r="M22" i="20"/>
  <c r="L10" i="20"/>
  <c r="M25" i="20"/>
  <c r="N24" i="20"/>
  <c r="M13" i="20"/>
  <c r="L8" i="20"/>
  <c r="K6" i="20"/>
  <c r="D17" i="20"/>
  <c r="C16" i="20" s="1"/>
  <c r="D21" i="20"/>
  <c r="C20" i="20" s="1"/>
  <c r="E7" i="20"/>
  <c r="M20" i="20"/>
  <c r="D19" i="20"/>
  <c r="C18" i="20" s="1"/>
  <c r="L37" i="14"/>
  <c r="M37" i="14" s="1"/>
  <c r="J34" i="22"/>
  <c r="H40" i="22"/>
  <c r="J38" i="22"/>
  <c r="K38" i="22" s="1"/>
  <c r="I7" i="20" l="1"/>
  <c r="I21" i="20"/>
  <c r="I11" i="20"/>
  <c r="I14" i="20"/>
  <c r="I17" i="20"/>
  <c r="I19" i="20"/>
  <c r="J7" i="20"/>
  <c r="M23" i="20"/>
  <c r="N22" i="20"/>
  <c r="M10" i="20"/>
  <c r="M8" i="20" s="1"/>
  <c r="K7" i="20"/>
  <c r="K19" i="20"/>
  <c r="K17" i="20"/>
  <c r="K11" i="20"/>
  <c r="K21" i="20"/>
  <c r="K14" i="20"/>
  <c r="K9" i="20"/>
  <c r="C6" i="20"/>
  <c r="C21" i="20" s="1"/>
  <c r="L6" i="20"/>
  <c r="L9" i="20" s="1"/>
  <c r="N20" i="20"/>
  <c r="N25" i="20"/>
  <c r="N13" i="20"/>
  <c r="K34" i="22"/>
  <c r="L39" i="22"/>
  <c r="L38" i="22" s="1"/>
  <c r="N23" i="20" l="1"/>
  <c r="N10" i="20"/>
  <c r="L7" i="20"/>
  <c r="L19" i="20"/>
  <c r="L11" i="20"/>
  <c r="L17" i="20"/>
  <c r="L21" i="20"/>
  <c r="L14" i="20"/>
  <c r="C9" i="20"/>
  <c r="D7" i="20"/>
  <c r="N8" i="20"/>
  <c r="M6" i="20"/>
  <c r="C17" i="20"/>
  <c r="C19" i="20"/>
  <c r="L34" i="22"/>
  <c r="M7" i="20" l="1"/>
  <c r="M11" i="20"/>
  <c r="M19" i="20"/>
  <c r="M17" i="20"/>
  <c r="M21" i="20"/>
  <c r="M14" i="20"/>
  <c r="N6" i="20"/>
  <c r="N9" i="20" s="1"/>
  <c r="M9" i="20"/>
  <c r="M34" i="22"/>
  <c r="N7" i="20" l="1"/>
  <c r="N11" i="20"/>
  <c r="N19" i="20"/>
  <c r="N17" i="20"/>
  <c r="N21" i="20"/>
  <c r="N14" i="20"/>
  <c r="N34" i="22"/>
  <c r="P43" i="22"/>
  <c r="N45" i="22"/>
  <c r="M45" i="22"/>
  <c r="M37" i="22"/>
  <c r="L37" i="22"/>
  <c r="K37" i="22"/>
  <c r="J37" i="22"/>
  <c r="I37" i="22"/>
  <c r="I36" i="22" s="1"/>
  <c r="I33" i="22" s="1"/>
  <c r="J24" i="22"/>
  <c r="K24" i="22"/>
  <c r="L24" i="22"/>
  <c r="M24" i="22"/>
  <c r="N24" i="22"/>
  <c r="I26" i="22"/>
  <c r="I24" i="22"/>
  <c r="I10" i="22"/>
  <c r="F32" i="22"/>
  <c r="I42" i="22"/>
  <c r="J42" i="22" s="1"/>
  <c r="K42" i="22" s="1"/>
  <c r="L42" i="22" s="1"/>
  <c r="M42" i="22" s="1"/>
  <c r="N42" i="22" s="1"/>
  <c r="I22" i="22"/>
  <c r="P42" i="22"/>
  <c r="I46" i="22"/>
  <c r="J46" i="22" s="1"/>
  <c r="K46" i="22" s="1"/>
  <c r="L46" i="22" s="1"/>
  <c r="M46" i="22" s="1"/>
  <c r="N46" i="22" s="1"/>
  <c r="J7" i="27"/>
  <c r="J6" i="27"/>
  <c r="K6" i="27" s="1"/>
  <c r="D35" i="25"/>
  <c r="E35" i="25"/>
  <c r="F35" i="25"/>
  <c r="C35" i="25"/>
  <c r="D30" i="25"/>
  <c r="E30" i="25"/>
  <c r="F30" i="25"/>
  <c r="C30" i="25"/>
  <c r="G20" i="23"/>
  <c r="O23" i="23"/>
  <c r="H20" i="23"/>
  <c r="I16" i="23"/>
  <c r="J16" i="23" s="1"/>
  <c r="K16" i="23" s="1"/>
  <c r="L16" i="23" s="1"/>
  <c r="M16" i="23" s="1"/>
  <c r="N16" i="23" s="1"/>
  <c r="D7" i="25"/>
  <c r="C15" i="25"/>
  <c r="C17" i="25"/>
  <c r="C20" i="25"/>
  <c r="C9" i="25"/>
  <c r="F20" i="25"/>
  <c r="E20" i="25"/>
  <c r="D20" i="25"/>
  <c r="F17" i="25"/>
  <c r="E17" i="25"/>
  <c r="D17" i="25"/>
  <c r="F15" i="25"/>
  <c r="E15" i="25"/>
  <c r="D15" i="25"/>
  <c r="F9" i="25"/>
  <c r="E9" i="25"/>
  <c r="D9" i="25"/>
  <c r="C9" i="16"/>
  <c r="C15" i="16"/>
  <c r="C17" i="16"/>
  <c r="C19" i="16"/>
  <c r="H7" i="25"/>
  <c r="F7" i="25"/>
  <c r="E7" i="25"/>
  <c r="G18" i="25"/>
  <c r="K18" i="25"/>
  <c r="L18" i="25"/>
  <c r="M18" i="25"/>
  <c r="N18" i="25"/>
  <c r="G11" i="25"/>
  <c r="H11" i="25"/>
  <c r="I11" i="25"/>
  <c r="J11" i="25"/>
  <c r="K11" i="25"/>
  <c r="L11" i="25"/>
  <c r="M11" i="25"/>
  <c r="N11" i="25"/>
  <c r="G12" i="25"/>
  <c r="H12" i="25"/>
  <c r="I12" i="25"/>
  <c r="J12" i="25"/>
  <c r="K12" i="25"/>
  <c r="L12" i="25"/>
  <c r="M12" i="25"/>
  <c r="N12" i="25"/>
  <c r="G13" i="25"/>
  <c r="H13" i="25"/>
  <c r="I13" i="25"/>
  <c r="J13" i="25"/>
  <c r="K13" i="25"/>
  <c r="L13" i="25"/>
  <c r="M13" i="25"/>
  <c r="N13" i="25"/>
  <c r="C25" i="25"/>
  <c r="C26" i="25"/>
  <c r="C29" i="25"/>
  <c r="C34" i="25"/>
  <c r="P25" i="25"/>
  <c r="L21" i="25"/>
  <c r="M21" i="25"/>
  <c r="N21" i="25"/>
  <c r="K21" i="25"/>
  <c r="H21" i="25"/>
  <c r="I21" i="25"/>
  <c r="J21" i="25"/>
  <c r="G21" i="25"/>
  <c r="D34" i="25"/>
  <c r="E34" i="25"/>
  <c r="F34" i="25"/>
  <c r="D29" i="25"/>
  <c r="E29" i="25"/>
  <c r="F29" i="25"/>
  <c r="D25" i="25"/>
  <c r="E25" i="25"/>
  <c r="F25" i="25"/>
  <c r="D26" i="25"/>
  <c r="E26" i="25"/>
  <c r="F26" i="25"/>
  <c r="J19" i="23" l="1"/>
  <c r="J10" i="22"/>
  <c r="H19" i="23"/>
  <c r="H8" i="23" s="1"/>
  <c r="I19" i="23"/>
  <c r="I8" i="23" s="1"/>
  <c r="J26" i="22"/>
  <c r="L6" i="27"/>
  <c r="M6" i="27" s="1"/>
  <c r="N6" i="27" s="1"/>
  <c r="K7" i="27"/>
  <c r="K19" i="23" s="1"/>
  <c r="K14" i="22"/>
  <c r="L43" i="22"/>
  <c r="J43" i="22"/>
  <c r="M43" i="22"/>
  <c r="N43" i="22"/>
  <c r="I43" i="22"/>
  <c r="K43" i="22"/>
  <c r="N44" i="22"/>
  <c r="I12" i="22"/>
  <c r="I8" i="22" s="1"/>
  <c r="J36" i="22"/>
  <c r="J33" i="22" s="1"/>
  <c r="E32" i="22"/>
  <c r="D32" i="22"/>
  <c r="H32" i="22"/>
  <c r="J12" i="22"/>
  <c r="J8" i="22" s="1"/>
  <c r="J22" i="22"/>
  <c r="H21" i="23"/>
  <c r="H10" i="23" s="1"/>
  <c r="I24" i="25"/>
  <c r="I28" i="25"/>
  <c r="I18" i="25"/>
  <c r="H18" i="25"/>
  <c r="J18" i="25"/>
  <c r="I35" i="25"/>
  <c r="I26" i="25"/>
  <c r="I34" i="25"/>
  <c r="I25" i="25"/>
  <c r="I33" i="25"/>
  <c r="I30" i="25"/>
  <c r="I29" i="25"/>
  <c r="M10" i="25"/>
  <c r="N10" i="25"/>
  <c r="K10" i="25"/>
  <c r="L10" i="25"/>
  <c r="K22" i="22" l="1"/>
  <c r="L7" i="27"/>
  <c r="L19" i="23" s="1"/>
  <c r="K10" i="22"/>
  <c r="K26" i="22"/>
  <c r="J9" i="22"/>
  <c r="K12" i="22"/>
  <c r="I16" i="25"/>
  <c r="J16" i="25"/>
  <c r="K16" i="25"/>
  <c r="H19" i="25"/>
  <c r="H20" i="25" s="1"/>
  <c r="I19" i="25"/>
  <c r="J19" i="25"/>
  <c r="K19" i="25"/>
  <c r="G19" i="25"/>
  <c r="G20" i="25" s="1"/>
  <c r="L8" i="25"/>
  <c r="K8" i="25"/>
  <c r="N8" i="25"/>
  <c r="M8" i="25"/>
  <c r="I10" i="25"/>
  <c r="G10" i="25"/>
  <c r="H10" i="25"/>
  <c r="J10" i="25"/>
  <c r="E6" i="23"/>
  <c r="H6" i="23"/>
  <c r="I17" i="23" s="1"/>
  <c r="I18" i="23" s="1"/>
  <c r="G6" i="23"/>
  <c r="H6" i="22"/>
  <c r="G6" i="22"/>
  <c r="D7" i="22"/>
  <c r="E7" i="22"/>
  <c r="L19" i="25" l="1"/>
  <c r="K8" i="22"/>
  <c r="K9" i="22" s="1"/>
  <c r="L16" i="25"/>
  <c r="I8" i="25"/>
  <c r="J8" i="25"/>
  <c r="M7" i="27"/>
  <c r="M19" i="23" s="1"/>
  <c r="L10" i="22"/>
  <c r="L26" i="22"/>
  <c r="L22" i="22"/>
  <c r="I20" i="23"/>
  <c r="I21" i="23" s="1"/>
  <c r="I10" i="23" s="1"/>
  <c r="K36" i="22"/>
  <c r="K33" i="22" s="1"/>
  <c r="H12" i="23"/>
  <c r="I12" i="23" s="1"/>
  <c r="J12" i="23" s="1"/>
  <c r="D6" i="23"/>
  <c r="H8" i="25"/>
  <c r="H9" i="25" s="1"/>
  <c r="G8" i="25"/>
  <c r="G9" i="25" s="1"/>
  <c r="K14" i="25"/>
  <c r="I14" i="25"/>
  <c r="J14" i="25"/>
  <c r="H7" i="23"/>
  <c r="H13" i="16"/>
  <c r="H12" i="16"/>
  <c r="H11" i="16"/>
  <c r="H10" i="16"/>
  <c r="G13" i="16"/>
  <c r="G12" i="16"/>
  <c r="G11" i="16"/>
  <c r="G10" i="16"/>
  <c r="L14" i="25" l="1"/>
  <c r="N7" i="27"/>
  <c r="N19" i="23" s="1"/>
  <c r="I6" i="23"/>
  <c r="K12" i="23"/>
  <c r="M22" i="22"/>
  <c r="M10" i="22"/>
  <c r="M26" i="22"/>
  <c r="M20" i="22"/>
  <c r="M19" i="25"/>
  <c r="M16" i="25"/>
  <c r="L12" i="22"/>
  <c r="C6" i="23"/>
  <c r="J6" i="25"/>
  <c r="I6" i="25"/>
  <c r="I15" i="25" s="1"/>
  <c r="K6" i="25"/>
  <c r="L6" i="25"/>
  <c r="G16" i="25"/>
  <c r="H16" i="25"/>
  <c r="H7" i="22"/>
  <c r="P18" i="16"/>
  <c r="P16" i="16"/>
  <c r="P14" i="16"/>
  <c r="F6" i="22" s="1"/>
  <c r="P13" i="16"/>
  <c r="P12" i="16"/>
  <c r="P11" i="16"/>
  <c r="P10" i="16"/>
  <c r="E8" i="16"/>
  <c r="F8" i="16"/>
  <c r="G8" i="16"/>
  <c r="H8" i="16"/>
  <c r="D8" i="16"/>
  <c r="E6" i="16"/>
  <c r="F6" i="16"/>
  <c r="G6" i="16"/>
  <c r="H6" i="16"/>
  <c r="D6" i="16"/>
  <c r="H19" i="14"/>
  <c r="E9" i="16" l="1"/>
  <c r="N20" i="22"/>
  <c r="N26" i="22"/>
  <c r="N12" i="22"/>
  <c r="N10" i="22"/>
  <c r="N22" i="22"/>
  <c r="N16" i="25"/>
  <c r="N19" i="25"/>
  <c r="N14" i="25" s="1"/>
  <c r="N6" i="25" s="1"/>
  <c r="M14" i="25"/>
  <c r="M6" i="25" s="1"/>
  <c r="H9" i="16"/>
  <c r="L12" i="23"/>
  <c r="I12" i="16"/>
  <c r="I10" i="16"/>
  <c r="I13" i="16"/>
  <c r="I11" i="16"/>
  <c r="L36" i="22"/>
  <c r="L33" i="22" s="1"/>
  <c r="G9" i="16"/>
  <c r="H15" i="16"/>
  <c r="H19" i="16"/>
  <c r="H17" i="16"/>
  <c r="G15" i="16"/>
  <c r="G19" i="16"/>
  <c r="G17" i="16"/>
  <c r="F15" i="16"/>
  <c r="F19" i="16"/>
  <c r="F17" i="16"/>
  <c r="F9" i="16"/>
  <c r="E19" i="16"/>
  <c r="E15" i="16"/>
  <c r="E17" i="16"/>
  <c r="D17" i="16"/>
  <c r="D19" i="16"/>
  <c r="D15" i="16"/>
  <c r="D9" i="16"/>
  <c r="L7" i="25"/>
  <c r="H14" i="25"/>
  <c r="H15" i="25" s="1"/>
  <c r="H17" i="25"/>
  <c r="G14" i="25"/>
  <c r="G15" i="25" s="1"/>
  <c r="G17" i="25"/>
  <c r="K20" i="25"/>
  <c r="K9" i="25"/>
  <c r="K17" i="25"/>
  <c r="K7" i="25"/>
  <c r="L20" i="25"/>
  <c r="L9" i="25"/>
  <c r="L17" i="25"/>
  <c r="I7" i="25"/>
  <c r="I20" i="25"/>
  <c r="I9" i="25"/>
  <c r="I17" i="25"/>
  <c r="J20" i="25"/>
  <c r="J9" i="25"/>
  <c r="J17" i="25"/>
  <c r="J15" i="25"/>
  <c r="L15" i="25"/>
  <c r="K15" i="25"/>
  <c r="J7" i="25"/>
  <c r="P8" i="16"/>
  <c r="H7" i="16"/>
  <c r="D7" i="16"/>
  <c r="P6" i="16"/>
  <c r="G7" i="16"/>
  <c r="F7" i="16"/>
  <c r="E7" i="16"/>
  <c r="I19" i="14"/>
  <c r="M12" i="23" l="1"/>
  <c r="J13" i="16"/>
  <c r="Q13" i="16" s="1"/>
  <c r="I8" i="16"/>
  <c r="J10" i="16"/>
  <c r="J11" i="16"/>
  <c r="Q11" i="16" s="1"/>
  <c r="J12" i="16"/>
  <c r="Q12" i="16" s="1"/>
  <c r="M12" i="22"/>
  <c r="N7" i="25"/>
  <c r="I18" i="16" a="1"/>
  <c r="N20" i="25"/>
  <c r="N9" i="25"/>
  <c r="N17" i="25"/>
  <c r="M7" i="25"/>
  <c r="M20" i="25"/>
  <c r="M9" i="25"/>
  <c r="M17" i="25"/>
  <c r="M15" i="25"/>
  <c r="N15" i="25"/>
  <c r="F7" i="22"/>
  <c r="P17" i="16"/>
  <c r="P9" i="16"/>
  <c r="P15" i="16"/>
  <c r="P19" i="16"/>
  <c r="J19" i="14"/>
  <c r="N12" i="23" l="1"/>
  <c r="J8" i="16"/>
  <c r="Q8" i="16" s="1"/>
  <c r="Q10" i="16"/>
  <c r="K13" i="16"/>
  <c r="K12" i="16"/>
  <c r="K11" i="16"/>
  <c r="K10" i="16"/>
  <c r="M36" i="22"/>
  <c r="I18" i="16"/>
  <c r="R18" i="16"/>
  <c r="K19" i="14"/>
  <c r="L19" i="14" s="1"/>
  <c r="L12" i="16" l="1"/>
  <c r="L11" i="16"/>
  <c r="K8" i="16"/>
  <c r="L10" i="16"/>
  <c r="L13" i="16"/>
  <c r="N36" i="22"/>
  <c r="Q18" i="16"/>
  <c r="M19" i="14"/>
  <c r="M13" i="16" l="1"/>
  <c r="L8" i="16"/>
  <c r="M11" i="16"/>
  <c r="M10" i="16"/>
  <c r="N12" i="16"/>
  <c r="M12" i="16"/>
  <c r="N14" i="14"/>
  <c r="N13" i="14"/>
  <c r="H15" i="14" s="1"/>
  <c r="I15" i="14" s="1"/>
  <c r="H49" i="14"/>
  <c r="H47" i="14"/>
  <c r="I47" i="14" s="1"/>
  <c r="J47" i="14" s="1"/>
  <c r="H45" i="14"/>
  <c r="H43" i="14"/>
  <c r="I43" i="14" s="1"/>
  <c r="H41" i="14"/>
  <c r="I41" i="14" s="1"/>
  <c r="H39" i="14"/>
  <c r="H35" i="14"/>
  <c r="H33" i="14"/>
  <c r="H31" i="14"/>
  <c r="I31" i="14" s="1"/>
  <c r="H29" i="14"/>
  <c r="H27" i="14"/>
  <c r="H25" i="14"/>
  <c r="H23" i="14"/>
  <c r="H21" i="14"/>
  <c r="I21" i="14" s="1"/>
  <c r="H17" i="14"/>
  <c r="I17" i="14" s="1"/>
  <c r="J17" i="14" s="1"/>
  <c r="K17" i="14" s="1"/>
  <c r="J15" i="14" l="1"/>
  <c r="K15" i="14" s="1"/>
  <c r="L15" i="14" s="1"/>
  <c r="M15" i="14" s="1"/>
  <c r="M8" i="16"/>
  <c r="N11" i="16"/>
  <c r="R11" i="16" s="1"/>
  <c r="N10" i="16"/>
  <c r="N13" i="16"/>
  <c r="R13" i="16" s="1"/>
  <c r="R12" i="16"/>
  <c r="I33" i="14"/>
  <c r="J33" i="14" s="1"/>
  <c r="K33" i="14" s="1"/>
  <c r="J41" i="14"/>
  <c r="H13" i="14"/>
  <c r="I13" i="14" s="1"/>
  <c r="J13" i="14" s="1"/>
  <c r="K13" i="14" s="1"/>
  <c r="L13" i="14" s="1"/>
  <c r="M13" i="14" s="1"/>
  <c r="I49" i="14"/>
  <c r="J49" i="14" s="1"/>
  <c r="K47" i="14"/>
  <c r="L47" i="14" s="1"/>
  <c r="I45" i="14"/>
  <c r="J43" i="14"/>
  <c r="I39" i="14"/>
  <c r="I35" i="14"/>
  <c r="J31" i="14"/>
  <c r="I29" i="14"/>
  <c r="I27" i="14"/>
  <c r="J27" i="14" s="1"/>
  <c r="I25" i="14"/>
  <c r="I23" i="14"/>
  <c r="J21" i="14"/>
  <c r="K21" i="14" s="1"/>
  <c r="L17" i="14"/>
  <c r="M17" i="14" s="1"/>
  <c r="N8" i="16" l="1"/>
  <c r="R8" i="16" s="1"/>
  <c r="R10" i="16"/>
  <c r="J23" i="14"/>
  <c r="K23" i="14" s="1"/>
  <c r="K27" i="14"/>
  <c r="L33" i="14"/>
  <c r="M33" i="14" s="1"/>
  <c r="K49" i="14"/>
  <c r="M47" i="14"/>
  <c r="J45" i="14"/>
  <c r="K45" i="14" s="1"/>
  <c r="K43" i="14"/>
  <c r="J39" i="14"/>
  <c r="J35" i="14"/>
  <c r="K31" i="14"/>
  <c r="J29" i="14"/>
  <c r="K29" i="14" s="1"/>
  <c r="J25" i="14"/>
  <c r="L21" i="14"/>
  <c r="L27" i="14" l="1"/>
  <c r="M27" i="14" s="1"/>
  <c r="L49" i="14"/>
  <c r="M49" i="14" s="1"/>
  <c r="L45" i="14"/>
  <c r="M45" i="14" s="1"/>
  <c r="L43" i="14"/>
  <c r="M43" i="14" s="1"/>
  <c r="K41" i="14"/>
  <c r="K39" i="14"/>
  <c r="K35" i="14"/>
  <c r="L31" i="14"/>
  <c r="L29" i="14"/>
  <c r="M29" i="14" s="1"/>
  <c r="K25" i="14"/>
  <c r="L25" i="14" s="1"/>
  <c r="L23" i="14"/>
  <c r="M21" i="14"/>
  <c r="L41" i="14" l="1"/>
  <c r="L39" i="14"/>
  <c r="L35" i="14"/>
  <c r="M31" i="14"/>
  <c r="M25" i="14"/>
  <c r="M23" i="14"/>
  <c r="M41" i="14" l="1"/>
  <c r="M39" i="14"/>
  <c r="M35" i="14"/>
  <c r="E11" i="14" l="1"/>
  <c r="G68" i="14"/>
  <c r="F68" i="14"/>
  <c r="E68" i="14"/>
  <c r="D68" i="14"/>
  <c r="C68" i="14"/>
  <c r="G64" i="14"/>
  <c r="F64" i="14"/>
  <c r="E64" i="14"/>
  <c r="D64" i="14"/>
  <c r="C64" i="14"/>
  <c r="G62" i="14"/>
  <c r="F62" i="14"/>
  <c r="E62" i="14"/>
  <c r="D62" i="14"/>
  <c r="C62" i="14"/>
  <c r="G60" i="14"/>
  <c r="F60" i="14"/>
  <c r="E60" i="14"/>
  <c r="D60" i="14"/>
  <c r="C60" i="14"/>
  <c r="G58" i="14"/>
  <c r="F58" i="14"/>
  <c r="E58" i="14"/>
  <c r="D58" i="14"/>
  <c r="C58" i="14"/>
  <c r="G56" i="14"/>
  <c r="F56" i="14"/>
  <c r="E56" i="14"/>
  <c r="D56" i="14"/>
  <c r="C56" i="14"/>
  <c r="G54" i="14"/>
  <c r="F54" i="14"/>
  <c r="E54" i="14"/>
  <c r="D54" i="14"/>
  <c r="C54" i="14"/>
  <c r="G52" i="14"/>
  <c r="F52" i="14"/>
  <c r="E52" i="14"/>
  <c r="D52" i="14"/>
  <c r="C52" i="14"/>
  <c r="G11" i="14"/>
  <c r="F11" i="14"/>
  <c r="D11" i="14"/>
  <c r="C11" i="14"/>
  <c r="G9" i="14"/>
  <c r="F9" i="14"/>
  <c r="E9" i="14"/>
  <c r="D9" i="14"/>
  <c r="C9" i="14"/>
  <c r="G7" i="14"/>
  <c r="F7" i="14"/>
  <c r="E7" i="14"/>
  <c r="D7" i="14"/>
  <c r="C7" i="14"/>
  <c r="G6" i="14"/>
  <c r="F6" i="14"/>
  <c r="E6" i="14"/>
  <c r="D6" i="14"/>
  <c r="C6" i="14"/>
  <c r="D15" i="13"/>
  <c r="E15" i="13"/>
  <c r="F15" i="13"/>
  <c r="G15" i="13"/>
  <c r="C15" i="13"/>
  <c r="C9" i="13"/>
  <c r="D22" i="13"/>
  <c r="E22" i="13"/>
  <c r="F22" i="13"/>
  <c r="G22" i="13"/>
  <c r="C22" i="13"/>
  <c r="D19" i="13"/>
  <c r="E19" i="13"/>
  <c r="F19" i="13"/>
  <c r="G19" i="13"/>
  <c r="C19" i="13"/>
  <c r="D18" i="13"/>
  <c r="E18" i="13"/>
  <c r="F18" i="13"/>
  <c r="G18" i="13"/>
  <c r="C18" i="13"/>
  <c r="D21" i="13"/>
  <c r="E21" i="13"/>
  <c r="F21" i="13"/>
  <c r="G21" i="13"/>
  <c r="C21" i="13"/>
  <c r="D20" i="13"/>
  <c r="E20" i="13"/>
  <c r="F20" i="13"/>
  <c r="G20" i="13"/>
  <c r="C20" i="13"/>
  <c r="D17" i="13"/>
  <c r="E17" i="13"/>
  <c r="F17" i="13"/>
  <c r="G17" i="13"/>
  <c r="C17" i="13"/>
  <c r="D16" i="13"/>
  <c r="E16" i="13"/>
  <c r="F16" i="13"/>
  <c r="G16" i="13"/>
  <c r="C16" i="13"/>
  <c r="D13" i="13"/>
  <c r="E13" i="13"/>
  <c r="F13" i="13"/>
  <c r="G13" i="13"/>
  <c r="C13" i="13"/>
  <c r="D11" i="13"/>
  <c r="E11" i="13"/>
  <c r="F11" i="13"/>
  <c r="G11" i="13"/>
  <c r="C11" i="13"/>
  <c r="D9" i="13"/>
  <c r="E9" i="13"/>
  <c r="F9" i="13"/>
  <c r="G9" i="13"/>
  <c r="D7" i="13"/>
  <c r="E7" i="13"/>
  <c r="F7" i="13"/>
  <c r="G7" i="13"/>
  <c r="C7" i="13"/>
  <c r="D6" i="13"/>
  <c r="E6" i="13"/>
  <c r="F6" i="13"/>
  <c r="G6" i="13"/>
  <c r="C6" i="13"/>
  <c r="C55" i="14" l="1"/>
  <c r="G55" i="14"/>
  <c r="G59" i="14"/>
  <c r="F46" i="14"/>
  <c r="F22" i="14"/>
  <c r="F44" i="14"/>
  <c r="F36" i="14"/>
  <c r="F28" i="14"/>
  <c r="F42" i="14"/>
  <c r="F32" i="14"/>
  <c r="F26" i="14"/>
  <c r="F24" i="14"/>
  <c r="F18" i="14"/>
  <c r="F50" i="14"/>
  <c r="F40" i="14"/>
  <c r="F16" i="14"/>
  <c r="F38" i="14"/>
  <c r="F30" i="14"/>
  <c r="F20" i="14"/>
  <c r="F48" i="14"/>
  <c r="F14" i="14"/>
  <c r="F34" i="14"/>
  <c r="C61" i="14"/>
  <c r="G36" i="14"/>
  <c r="G26" i="14"/>
  <c r="G14" i="14"/>
  <c r="G28" i="14"/>
  <c r="G50" i="14"/>
  <c r="G40" i="14"/>
  <c r="G16" i="14"/>
  <c r="G30" i="14"/>
  <c r="G38" i="14"/>
  <c r="G44" i="14"/>
  <c r="G20" i="14"/>
  <c r="G34" i="14"/>
  <c r="G42" i="14"/>
  <c r="G46" i="14"/>
  <c r="G48" i="14"/>
  <c r="G24" i="14"/>
  <c r="G18" i="14"/>
  <c r="G32" i="14"/>
  <c r="G22" i="14"/>
  <c r="F12" i="14"/>
  <c r="G12" i="14"/>
  <c r="C12" i="14"/>
  <c r="C28" i="14"/>
  <c r="C50" i="14"/>
  <c r="C42" i="14"/>
  <c r="C18" i="14"/>
  <c r="C14" i="14"/>
  <c r="C32" i="14"/>
  <c r="C30" i="14"/>
  <c r="C48" i="14"/>
  <c r="C46" i="14"/>
  <c r="C22" i="14"/>
  <c r="C34" i="14"/>
  <c r="C24" i="14"/>
  <c r="C36" i="14"/>
  <c r="C26" i="14"/>
  <c r="C44" i="14"/>
  <c r="C20" i="14"/>
  <c r="C40" i="14"/>
  <c r="C16" i="14"/>
  <c r="C38" i="14"/>
  <c r="D42" i="14"/>
  <c r="D18" i="14"/>
  <c r="D16" i="14"/>
  <c r="D44" i="14"/>
  <c r="D34" i="14"/>
  <c r="D48" i="14"/>
  <c r="D14" i="14"/>
  <c r="D32" i="14"/>
  <c r="D40" i="14"/>
  <c r="D46" i="14"/>
  <c r="D22" i="14"/>
  <c r="D50" i="14"/>
  <c r="D36" i="14"/>
  <c r="D20" i="14"/>
  <c r="D24" i="14"/>
  <c r="D28" i="14"/>
  <c r="D26" i="14"/>
  <c r="D38" i="14"/>
  <c r="D30" i="14"/>
  <c r="F55" i="14"/>
  <c r="E32" i="14"/>
  <c r="E28" i="14"/>
  <c r="E46" i="14"/>
  <c r="E22" i="14"/>
  <c r="E34" i="14"/>
  <c r="E36" i="14"/>
  <c r="E48" i="14"/>
  <c r="E42" i="14"/>
  <c r="E18" i="14"/>
  <c r="E26" i="14"/>
  <c r="E30" i="14"/>
  <c r="E14" i="14"/>
  <c r="E50" i="14"/>
  <c r="E40" i="14"/>
  <c r="E16" i="14"/>
  <c r="E44" i="14"/>
  <c r="E20" i="14"/>
  <c r="E24" i="14"/>
  <c r="E38" i="14"/>
  <c r="D55" i="14"/>
  <c r="E55" i="14"/>
  <c r="D12" i="14"/>
  <c r="C57" i="14"/>
  <c r="E12" i="14"/>
  <c r="D23" i="13"/>
  <c r="E23" i="13"/>
  <c r="D8" i="13"/>
  <c r="D10" i="13"/>
  <c r="D61" i="14"/>
  <c r="H60" i="14"/>
  <c r="I60" i="14" s="1"/>
  <c r="J60" i="14" s="1"/>
  <c r="G63" i="14"/>
  <c r="E61" i="14"/>
  <c r="H62" i="14"/>
  <c r="E59" i="14"/>
  <c r="F59" i="14"/>
  <c r="D57" i="14"/>
  <c r="H56" i="14"/>
  <c r="H57" i="14" s="1"/>
  <c r="F61" i="14"/>
  <c r="H58" i="14"/>
  <c r="I58" i="14" s="1"/>
  <c r="C12" i="13"/>
  <c r="E57" i="14"/>
  <c r="G61" i="14"/>
  <c r="F57" i="14"/>
  <c r="C63" i="14"/>
  <c r="G57" i="14"/>
  <c r="D63" i="14"/>
  <c r="D12" i="13"/>
  <c r="C59" i="14"/>
  <c r="E63" i="14"/>
  <c r="G8" i="13"/>
  <c r="C23" i="13"/>
  <c r="C14" i="13"/>
  <c r="D59" i="14"/>
  <c r="F63" i="14"/>
  <c r="H54" i="14"/>
  <c r="G12" i="13"/>
  <c r="F12" i="13"/>
  <c r="C8" i="13"/>
  <c r="E12" i="13"/>
  <c r="G23" i="13"/>
  <c r="E8" i="13"/>
  <c r="G10" i="13"/>
  <c r="E14" i="13"/>
  <c r="F8" i="13"/>
  <c r="G14" i="13"/>
  <c r="F14" i="13"/>
  <c r="F10" i="13"/>
  <c r="D14" i="13"/>
  <c r="C10" i="13"/>
  <c r="F23" i="13"/>
  <c r="E10" i="13"/>
  <c r="F10" i="14"/>
  <c r="F53" i="14"/>
  <c r="G10" i="14"/>
  <c r="G53" i="14"/>
  <c r="F8" i="14"/>
  <c r="G8" i="14"/>
  <c r="G69" i="14"/>
  <c r="D53" i="14"/>
  <c r="E69" i="14"/>
  <c r="C69" i="14"/>
  <c r="E10" i="14"/>
  <c r="C8" i="14"/>
  <c r="D69" i="14"/>
  <c r="F69" i="14"/>
  <c r="C10" i="14"/>
  <c r="E53" i="14"/>
  <c r="E8" i="14"/>
  <c r="C53" i="14"/>
  <c r="D8" i="14"/>
  <c r="D10" i="14"/>
  <c r="I56" i="14" l="1"/>
  <c r="J56" i="14" s="1"/>
  <c r="J16" i="13" s="1"/>
  <c r="H8" i="14"/>
  <c r="I8" i="14" s="1"/>
  <c r="J61" i="14"/>
  <c r="J18" i="13"/>
  <c r="I17" i="13"/>
  <c r="I59" i="14"/>
  <c r="H19" i="13"/>
  <c r="H17" i="13"/>
  <c r="H55" i="14"/>
  <c r="H15" i="13"/>
  <c r="H59" i="14"/>
  <c r="I62" i="14"/>
  <c r="I18" i="13"/>
  <c r="I61" i="14"/>
  <c r="H16" i="13"/>
  <c r="H18" i="13"/>
  <c r="H63" i="14"/>
  <c r="H61" i="14"/>
  <c r="J58" i="14"/>
  <c r="K58" i="14" s="1"/>
  <c r="K60" i="14"/>
  <c r="L60" i="14" s="1"/>
  <c r="I54" i="14"/>
  <c r="J54" i="14" s="1"/>
  <c r="J15" i="13" s="1"/>
  <c r="E51" i="14"/>
  <c r="G51" i="14"/>
  <c r="F51" i="14"/>
  <c r="D51" i="14"/>
  <c r="C51" i="14"/>
  <c r="J57" i="14" l="1"/>
  <c r="I16" i="13"/>
  <c r="K56" i="14"/>
  <c r="L56" i="14" s="1"/>
  <c r="M56" i="14" s="1"/>
  <c r="I57" i="14"/>
  <c r="J8" i="14"/>
  <c r="K59" i="14"/>
  <c r="K17" i="13"/>
  <c r="L58" i="14"/>
  <c r="M58" i="14" s="1"/>
  <c r="L61" i="14"/>
  <c r="L18" i="13"/>
  <c r="M60" i="14"/>
  <c r="I55" i="14"/>
  <c r="I15" i="13"/>
  <c r="K61" i="14"/>
  <c r="K18" i="13"/>
  <c r="J59" i="14"/>
  <c r="J17" i="13"/>
  <c r="K16" i="13"/>
  <c r="K57" i="14"/>
  <c r="I63" i="14"/>
  <c r="I19" i="13"/>
  <c r="J62" i="14"/>
  <c r="K54" i="14"/>
  <c r="J55" i="14"/>
  <c r="K8" i="14" l="1"/>
  <c r="L8" i="14" s="1"/>
  <c r="M8" i="14" s="1"/>
  <c r="M57" i="14"/>
  <c r="M16" i="13"/>
  <c r="K55" i="14"/>
  <c r="K15" i="13"/>
  <c r="L57" i="14"/>
  <c r="L16" i="13"/>
  <c r="M59" i="14"/>
  <c r="M17" i="13"/>
  <c r="M61" i="14"/>
  <c r="M18" i="13"/>
  <c r="L59" i="14"/>
  <c r="L17" i="13"/>
  <c r="J63" i="14"/>
  <c r="J19" i="13"/>
  <c r="K62" i="14"/>
  <c r="L54" i="14"/>
  <c r="L15" i="13" s="1"/>
  <c r="L55" i="14" l="1"/>
  <c r="M54" i="14"/>
  <c r="M55" i="14" s="1"/>
  <c r="K19" i="13"/>
  <c r="K63" i="14"/>
  <c r="L62" i="14"/>
  <c r="M15" i="13" l="1"/>
  <c r="L63" i="14"/>
  <c r="L19" i="13"/>
  <c r="M62" i="14"/>
  <c r="M63" i="14" l="1"/>
  <c r="M19" i="13"/>
  <c r="N18" i="22" l="1"/>
  <c r="N16" i="22" s="1"/>
  <c r="M18" i="22"/>
  <c r="M16" i="22" s="1"/>
  <c r="L18" i="22"/>
  <c r="L16" i="22" s="1"/>
  <c r="K18" i="22"/>
  <c r="K16" i="22" s="1"/>
  <c r="J18" i="22"/>
  <c r="J16" i="22" s="1"/>
  <c r="N17" i="22" l="1"/>
  <c r="J6" i="22"/>
  <c r="K17" i="22"/>
  <c r="K6" i="22"/>
  <c r="M17" i="22"/>
  <c r="L17" i="22"/>
  <c r="I18" i="22"/>
  <c r="I16" i="22" s="1"/>
  <c r="I41" i="22"/>
  <c r="I40" i="22" l="1"/>
  <c r="I6" i="22"/>
  <c r="I13" i="22" s="1"/>
  <c r="J17" i="22"/>
  <c r="J41" i="22"/>
  <c r="J40" i="22" s="1"/>
  <c r="I31" i="22"/>
  <c r="I32" i="22" s="1"/>
  <c r="I11" i="22" l="1"/>
  <c r="I15" i="22"/>
  <c r="I23" i="22"/>
  <c r="J7" i="22"/>
  <c r="I7" i="22"/>
  <c r="I27" i="22"/>
  <c r="I19" i="22"/>
  <c r="I21" i="22"/>
  <c r="I25" i="22"/>
  <c r="I14" i="16"/>
  <c r="K41" i="22"/>
  <c r="K40" i="22" s="1"/>
  <c r="K11" i="22"/>
  <c r="K21" i="22"/>
  <c r="K14" i="16"/>
  <c r="K15" i="22"/>
  <c r="K25" i="22"/>
  <c r="K13" i="22"/>
  <c r="K23" i="22"/>
  <c r="K27" i="22"/>
  <c r="K7" i="22"/>
  <c r="K19" i="22"/>
  <c r="J21" i="22"/>
  <c r="J14" i="16"/>
  <c r="J15" i="22"/>
  <c r="J11" i="22"/>
  <c r="J23" i="22"/>
  <c r="J25" i="22"/>
  <c r="J13" i="22"/>
  <c r="J27" i="22"/>
  <c r="J19" i="22"/>
  <c r="L41" i="22" l="1"/>
  <c r="L40" i="22" s="1"/>
  <c r="Q14" i="16"/>
  <c r="M41" i="22" l="1"/>
  <c r="M40" i="22" s="1"/>
  <c r="N41" i="22" l="1"/>
  <c r="N40" i="22" s="1"/>
  <c r="L31" i="22" l="1"/>
  <c r="N39" i="22"/>
  <c r="N14" i="22" s="1"/>
  <c r="N8" i="22" s="1"/>
  <c r="M39" i="22"/>
  <c r="M14" i="22" s="1"/>
  <c r="M8" i="22" s="1"/>
  <c r="M6" i="22" s="1"/>
  <c r="L14" i="22"/>
  <c r="J31" i="22"/>
  <c r="K31" i="22"/>
  <c r="N6" i="22" l="1"/>
  <c r="N9" i="22"/>
  <c r="L8" i="22"/>
  <c r="M38" i="22"/>
  <c r="M33" i="22" s="1"/>
  <c r="L32" i="22"/>
  <c r="J32" i="22"/>
  <c r="K32" i="22"/>
  <c r="M9" i="22" l="1"/>
  <c r="L6" i="22"/>
  <c r="L14" i="16" s="1"/>
  <c r="L9" i="22"/>
  <c r="M31" i="22"/>
  <c r="M32" i="22" s="1"/>
  <c r="N38" i="22"/>
  <c r="N7" i="22"/>
  <c r="N14" i="16"/>
  <c r="N19" i="22"/>
  <c r="N11" i="22"/>
  <c r="N27" i="22"/>
  <c r="N25" i="22"/>
  <c r="N15" i="22"/>
  <c r="N21" i="22"/>
  <c r="N23" i="22"/>
  <c r="N13" i="22"/>
  <c r="M23" i="22"/>
  <c r="M13" i="22"/>
  <c r="M21" i="22"/>
  <c r="M19" i="22"/>
  <c r="M11" i="22"/>
  <c r="M27" i="22"/>
  <c r="M15" i="22"/>
  <c r="M14" i="16"/>
  <c r="M25" i="22"/>
  <c r="L11" i="22" l="1"/>
  <c r="L13" i="22"/>
  <c r="M7" i="22"/>
  <c r="L7" i="22"/>
  <c r="L27" i="22"/>
  <c r="L15" i="22"/>
  <c r="L25" i="22"/>
  <c r="L23" i="22"/>
  <c r="N33" i="22"/>
  <c r="N31" i="22" s="1"/>
  <c r="N32" i="22" s="1"/>
  <c r="L19" i="22"/>
  <c r="L21" i="22"/>
  <c r="R14" i="16"/>
  <c r="I7" i="23"/>
  <c r="I11" i="23"/>
  <c r="I13" i="23"/>
  <c r="I16" i="16"/>
  <c r="I6" i="16" s="1"/>
  <c r="I9" i="23"/>
  <c r="J17" i="23"/>
  <c r="J18" i="23" s="1"/>
  <c r="H6" i="13" l="1"/>
  <c r="H6" i="14"/>
  <c r="I9" i="16"/>
  <c r="I7" i="16"/>
  <c r="I19" i="16"/>
  <c r="I15" i="16"/>
  <c r="J20" i="23"/>
  <c r="J21" i="23" s="1"/>
  <c r="J10" i="23" s="1"/>
  <c r="J8" i="23"/>
  <c r="I17" i="16"/>
  <c r="J6" i="23" l="1"/>
  <c r="H34" i="14"/>
  <c r="H20" i="14"/>
  <c r="H16" i="14"/>
  <c r="H22" i="14"/>
  <c r="H38" i="14"/>
  <c r="H14" i="14"/>
  <c r="H42" i="14"/>
  <c r="H40" i="14"/>
  <c r="H30" i="14"/>
  <c r="H50" i="14"/>
  <c r="H48" i="14"/>
  <c r="H24" i="14"/>
  <c r="H18" i="14"/>
  <c r="H36" i="14"/>
  <c r="H7" i="14"/>
  <c r="H7" i="13" s="1"/>
  <c r="H8" i="13" s="1"/>
  <c r="H46" i="14"/>
  <c r="H32" i="14"/>
  <c r="H44" i="14"/>
  <c r="H26" i="14"/>
  <c r="H28" i="14"/>
  <c r="H51" i="14" l="1"/>
  <c r="H11" i="14" s="1"/>
  <c r="H12" i="14" s="1"/>
  <c r="H9" i="14"/>
  <c r="H9" i="13"/>
  <c r="H11" i="13" l="1"/>
  <c r="H12" i="13" s="1"/>
  <c r="H52" i="14"/>
  <c r="H64" i="14" s="1"/>
  <c r="H10" i="14"/>
  <c r="H10" i="13"/>
  <c r="H13" i="13" l="1"/>
  <c r="H53" i="14"/>
  <c r="H14" i="13" l="1"/>
  <c r="H20" i="13"/>
  <c r="J16" i="16" l="1"/>
  <c r="Q16" i="16" s="1"/>
  <c r="K17" i="23"/>
  <c r="K18" i="23" s="1"/>
  <c r="K8" i="23" s="1"/>
  <c r="J13" i="23"/>
  <c r="J7" i="23"/>
  <c r="J9" i="23"/>
  <c r="J11" i="23"/>
  <c r="K20" i="23" l="1"/>
  <c r="K21" i="23" s="1"/>
  <c r="K10" i="23" s="1"/>
  <c r="K6" i="23" s="1"/>
  <c r="K11" i="23" s="1"/>
  <c r="J6" i="16"/>
  <c r="I6" i="13" l="1"/>
  <c r="J15" i="16"/>
  <c r="Q6" i="16"/>
  <c r="J7" i="16"/>
  <c r="J19" i="16"/>
  <c r="J9" i="16"/>
  <c r="I6" i="14"/>
  <c r="J17" i="16"/>
  <c r="K16" i="16"/>
  <c r="K13" i="23"/>
  <c r="K9" i="23"/>
  <c r="K7" i="23"/>
  <c r="L17" i="23"/>
  <c r="L18" i="23" s="1"/>
  <c r="I14" i="14" l="1"/>
  <c r="I38" i="14"/>
  <c r="I34" i="14"/>
  <c r="I20" i="14"/>
  <c r="I46" i="14"/>
  <c r="I18" i="14"/>
  <c r="I24" i="14"/>
  <c r="I44" i="14"/>
  <c r="I42" i="14"/>
  <c r="I48" i="14"/>
  <c r="I7" i="14"/>
  <c r="I7" i="13" s="1"/>
  <c r="I8" i="13" s="1"/>
  <c r="I36" i="14"/>
  <c r="I40" i="14"/>
  <c r="I26" i="14"/>
  <c r="I32" i="14"/>
  <c r="I30" i="14"/>
  <c r="I28" i="14"/>
  <c r="I22" i="14"/>
  <c r="I50" i="14"/>
  <c r="I16" i="14"/>
  <c r="K6" i="16"/>
  <c r="K17" i="16" s="1"/>
  <c r="Q19" i="16"/>
  <c r="Q15" i="16"/>
  <c r="Q7" i="16"/>
  <c r="Q9" i="16"/>
  <c r="Q17" i="16"/>
  <c r="L20" i="23"/>
  <c r="L21" i="23" s="1"/>
  <c r="L10" i="23" s="1"/>
  <c r="I9" i="14" l="1"/>
  <c r="I10" i="14" s="1"/>
  <c r="K9" i="16"/>
  <c r="J6" i="14"/>
  <c r="K19" i="16"/>
  <c r="J6" i="13"/>
  <c r="K15" i="16"/>
  <c r="K7" i="16"/>
  <c r="L8" i="23"/>
  <c r="I9" i="13"/>
  <c r="I51" i="14"/>
  <c r="I11" i="14" s="1"/>
  <c r="L6" i="23" l="1"/>
  <c r="L9" i="23" s="1"/>
  <c r="J42" i="14"/>
  <c r="J28" i="14"/>
  <c r="J38" i="14"/>
  <c r="J50" i="14"/>
  <c r="J36" i="14"/>
  <c r="J46" i="14"/>
  <c r="J20" i="14"/>
  <c r="J22" i="14"/>
  <c r="J34" i="14"/>
  <c r="J24" i="14"/>
  <c r="J18" i="14"/>
  <c r="J32" i="14"/>
  <c r="J48" i="14"/>
  <c r="J14" i="14"/>
  <c r="J40" i="14"/>
  <c r="J44" i="14"/>
  <c r="J26" i="14"/>
  <c r="J16" i="14"/>
  <c r="J30" i="14"/>
  <c r="J7" i="14"/>
  <c r="J7" i="13" s="1"/>
  <c r="J8" i="13" s="1"/>
  <c r="I11" i="13"/>
  <c r="I12" i="13" s="1"/>
  <c r="I12" i="14"/>
  <c r="I52" i="14"/>
  <c r="I64" i="14" s="1"/>
  <c r="I10" i="13"/>
  <c r="I13" i="13" l="1"/>
  <c r="J9" i="14"/>
  <c r="J10" i="14" s="1"/>
  <c r="J51" i="14"/>
  <c r="J11" i="14" s="1"/>
  <c r="J12" i="14" s="1"/>
  <c r="J9" i="13"/>
  <c r="J10" i="13" s="1"/>
  <c r="M17" i="23"/>
  <c r="M18" i="23" s="1"/>
  <c r="I53" i="14"/>
  <c r="L7" i="23"/>
  <c r="L16" i="16"/>
  <c r="L13" i="23"/>
  <c r="L11" i="23"/>
  <c r="I20" i="13" l="1"/>
  <c r="J52" i="14"/>
  <c r="I14" i="13"/>
  <c r="M20" i="23"/>
  <c r="M21" i="23" s="1"/>
  <c r="M10" i="23" s="1"/>
  <c r="J11" i="13"/>
  <c r="M8" i="23"/>
  <c r="L6" i="16"/>
  <c r="J53" i="14" l="1"/>
  <c r="J64" i="14"/>
  <c r="J12" i="13"/>
  <c r="J13" i="13"/>
  <c r="L17" i="16"/>
  <c r="L9" i="16"/>
  <c r="L7" i="16"/>
  <c r="L15" i="16"/>
  <c r="K6" i="13"/>
  <c r="L19" i="16"/>
  <c r="K6" i="14"/>
  <c r="M6" i="23"/>
  <c r="N17" i="23" s="1"/>
  <c r="N18" i="23" s="1"/>
  <c r="J20" i="13" l="1"/>
  <c r="J14" i="13"/>
  <c r="M7" i="23"/>
  <c r="M16" i="16"/>
  <c r="M13" i="23"/>
  <c r="M11" i="23"/>
  <c r="N20" i="23"/>
  <c r="N21" i="23" s="1"/>
  <c r="N10" i="23" s="1"/>
  <c r="N8" i="23"/>
  <c r="M9" i="23"/>
  <c r="K7" i="14"/>
  <c r="K7" i="13" s="1"/>
  <c r="K8" i="13" s="1"/>
  <c r="K42" i="14"/>
  <c r="K50" i="14"/>
  <c r="K24" i="14"/>
  <c r="K46" i="14"/>
  <c r="K18" i="14"/>
  <c r="K16" i="14"/>
  <c r="K34" i="14"/>
  <c r="K14" i="14"/>
  <c r="K38" i="14"/>
  <c r="K32" i="14"/>
  <c r="K30" i="14"/>
  <c r="K26" i="14"/>
  <c r="K22" i="14"/>
  <c r="K48" i="14"/>
  <c r="K20" i="14"/>
  <c r="K40" i="14"/>
  <c r="K44" i="14"/>
  <c r="K28" i="14"/>
  <c r="K36" i="14"/>
  <c r="K9" i="14" l="1"/>
  <c r="K10" i="14" s="1"/>
  <c r="K51" i="14"/>
  <c r="K11" i="14" s="1"/>
  <c r="N6" i="23"/>
  <c r="N9" i="23" s="1"/>
  <c r="K9" i="13"/>
  <c r="M6" i="16"/>
  <c r="K52" i="14" l="1"/>
  <c r="N11" i="23"/>
  <c r="K11" i="13"/>
  <c r="K12" i="13" s="1"/>
  <c r="K12" i="14"/>
  <c r="M17" i="16"/>
  <c r="K10" i="13"/>
  <c r="L6" i="13"/>
  <c r="M7" i="16"/>
  <c r="L6" i="14"/>
  <c r="M19" i="16"/>
  <c r="M9" i="16"/>
  <c r="M15" i="16"/>
  <c r="N16" i="16"/>
  <c r="R16" i="16" s="1"/>
  <c r="N13" i="23"/>
  <c r="N7" i="23"/>
  <c r="K53" i="14" l="1"/>
  <c r="K64" i="14"/>
  <c r="K13" i="13"/>
  <c r="L46" i="14"/>
  <c r="L18" i="14"/>
  <c r="L44" i="14"/>
  <c r="L42" i="14"/>
  <c r="L34" i="14"/>
  <c r="L30" i="14"/>
  <c r="L40" i="14"/>
  <c r="L36" i="14"/>
  <c r="L24" i="14"/>
  <c r="L20" i="14"/>
  <c r="L32" i="14"/>
  <c r="L26" i="14"/>
  <c r="L14" i="14"/>
  <c r="L50" i="14"/>
  <c r="L48" i="14"/>
  <c r="L16" i="14"/>
  <c r="L22" i="14"/>
  <c r="L38" i="14"/>
  <c r="L7" i="14"/>
  <c r="L7" i="13" s="1"/>
  <c r="L8" i="13" s="1"/>
  <c r="L28" i="14"/>
  <c r="N6" i="16"/>
  <c r="R6" i="16" s="1"/>
  <c r="K14" i="13" l="1"/>
  <c r="K20" i="13"/>
  <c r="R9" i="16"/>
  <c r="R15" i="16"/>
  <c r="R7" i="16"/>
  <c r="R19" i="16"/>
  <c r="L51" i="14"/>
  <c r="L11" i="14" s="1"/>
  <c r="L11" i="13" s="1"/>
  <c r="L12" i="13" s="1"/>
  <c r="R17" i="16"/>
  <c r="M6" i="13"/>
  <c r="N9" i="16"/>
  <c r="N7" i="16"/>
  <c r="N15" i="16"/>
  <c r="M6" i="14"/>
  <c r="N19" i="16"/>
  <c r="L9" i="14"/>
  <c r="L9" i="13"/>
  <c r="N17" i="16"/>
  <c r="L12" i="14" l="1"/>
  <c r="L10" i="13"/>
  <c r="L13" i="13"/>
  <c r="L10" i="14"/>
  <c r="L52" i="14"/>
  <c r="L64" i="14" s="1"/>
  <c r="M26" i="14"/>
  <c r="M20" i="14"/>
  <c r="M24" i="14"/>
  <c r="M18" i="14"/>
  <c r="M44" i="14"/>
  <c r="M22" i="14"/>
  <c r="M38" i="14"/>
  <c r="M42" i="14"/>
  <c r="M14" i="14"/>
  <c r="M32" i="14"/>
  <c r="M34" i="14"/>
  <c r="M46" i="14"/>
  <c r="M7" i="14"/>
  <c r="M7" i="13" s="1"/>
  <c r="M8" i="13" s="1"/>
  <c r="M40" i="14"/>
  <c r="M28" i="14"/>
  <c r="M50" i="14"/>
  <c r="M30" i="14"/>
  <c r="M16" i="14"/>
  <c r="M48" i="14"/>
  <c r="M36" i="14"/>
  <c r="M9" i="14" l="1"/>
  <c r="M51" i="14"/>
  <c r="M11" i="14" s="1"/>
  <c r="M12" i="14" s="1"/>
  <c r="L53" i="14"/>
  <c r="L20" i="13"/>
  <c r="L14" i="13"/>
  <c r="M9" i="13"/>
  <c r="M52" i="14" l="1"/>
  <c r="M11" i="13"/>
  <c r="M12" i="13" s="1"/>
  <c r="M10" i="14"/>
  <c r="M10" i="13"/>
  <c r="M53" i="14" l="1"/>
  <c r="M64" i="14"/>
  <c r="M13" i="13"/>
  <c r="M20" i="13" l="1"/>
  <c r="M14" i="13"/>
  <c r="M66" i="14"/>
  <c r="M22" i="13" s="1"/>
  <c r="M23" i="13" s="1"/>
  <c r="M68" i="14"/>
  <c r="M69" i="14" s="1"/>
  <c r="L68" i="14"/>
  <c r="L69" i="14" s="1"/>
  <c r="K66" i="14"/>
  <c r="K22" i="13" s="1"/>
  <c r="K23" i="13" s="1"/>
  <c r="K68" i="14"/>
  <c r="K69" i="14" s="1"/>
  <c r="J66" i="14"/>
  <c r="J22" i="13" s="1"/>
  <c r="J23" i="13" s="1"/>
  <c r="I66" i="14"/>
  <c r="I22" i="13" s="1"/>
  <c r="I23" i="13" s="1"/>
  <c r="H68" i="14"/>
  <c r="J68" i="14"/>
  <c r="J69" i="14" l="1"/>
  <c r="H69" i="14"/>
  <c r="I68" i="14"/>
  <c r="I69" i="14" s="1"/>
  <c r="H66" i="14"/>
  <c r="H22" i="13" s="1"/>
  <c r="L66" i="14"/>
  <c r="L22" i="13" s="1"/>
  <c r="L23" i="13" s="1"/>
  <c r="H23" i="13" l="1"/>
  <c r="C6" i="28"/>
  <c r="C9" i="28" s="1"/>
  <c r="C10" i="28" s="1"/>
  <c r="C12"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3" authorId="0" shapeId="0" xr:uid="{6B1CDD88-3A84-4DD4-BC2E-BAECE90E6A15}">
      <text>
        <r>
          <rPr>
            <sz val="8"/>
            <color indexed="54"/>
            <rFont val="Tahoma"/>
            <family val="2"/>
          </rPr>
          <t>별도
연결</t>
        </r>
      </text>
    </comment>
    <comment ref="B4" authorId="0" shapeId="0" xr:uid="{7D4E5944-5A0A-43FE-BEFC-966D89CE2104}">
      <text>
        <r>
          <rPr>
            <sz val="8"/>
            <color indexed="54"/>
            <rFont val="Tahoma"/>
            <family val="2"/>
          </rPr>
          <t>전체
재무상태표
손익계산서
현금흐름표
자본금변동표</t>
        </r>
      </text>
    </comment>
    <comment ref="B5" authorId="0" shapeId="0" xr:uid="{C5ECE87E-50A5-4CE1-AA8D-BE0BE03C889A}">
      <text>
        <r>
          <rPr>
            <sz val="8"/>
            <color indexed="54"/>
            <rFont val="Tahoma"/>
            <family val="2"/>
          </rPr>
          <t>상세(총액)
상세(순액)
요약
약식</t>
        </r>
      </text>
    </comment>
    <comment ref="B6" authorId="0" shapeId="0" xr:uid="{78372BCB-DFD5-4B49-AC8C-7C0446FF9321}">
      <text>
        <r>
          <rPr>
            <sz val="8"/>
            <color indexed="54"/>
            <rFont val="Tahoma"/>
            <family val="2"/>
          </rPr>
          <t>결산
누적분기
당분기</t>
        </r>
      </text>
    </comment>
    <comment ref="C6" authorId="0" shapeId="0" xr:uid="{49FA8B5B-3675-4C67-AD27-0732284195F0}">
      <text>
        <r>
          <rPr>
            <sz val="8"/>
            <color indexed="54"/>
            <rFont val="Tahoma"/>
            <family val="2"/>
          </rPr>
          <t>천원
백만원
억원
십억원</t>
        </r>
      </text>
    </comment>
    <comment ref="B7" authorId="0" shapeId="0" xr:uid="{1A65A385-A814-4375-B050-A91054AC4AD1}">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7" authorId="0" shapeId="0" xr:uid="{25DBFFA4-8F54-48C7-B21A-C5B837FA11F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3" authorId="0" shapeId="0" xr:uid="{BDC01F82-BA90-40AA-9467-6F306829F8AD}">
      <text>
        <r>
          <rPr>
            <sz val="8"/>
            <color indexed="54"/>
            <rFont val="Tahoma"/>
            <family val="2"/>
          </rPr>
          <t>별도
연결</t>
        </r>
      </text>
    </comment>
    <comment ref="B4" authorId="0" shapeId="0" xr:uid="{72A5C830-0776-4193-B9C5-934C51C8C1A2}">
      <text>
        <r>
          <rPr>
            <sz val="8"/>
            <color indexed="54"/>
            <rFont val="Tahoma"/>
            <family val="2"/>
          </rPr>
          <t>전체
재무상태표
손익계산서
현금흐름표
자본금변동표</t>
        </r>
      </text>
    </comment>
    <comment ref="B5" authorId="0" shapeId="0" xr:uid="{A3E81A2B-F62C-4082-83E8-3F41EF5980E3}">
      <text>
        <r>
          <rPr>
            <sz val="8"/>
            <color indexed="54"/>
            <rFont val="Tahoma"/>
            <family val="2"/>
          </rPr>
          <t>상세(총액)
상세(순액)
요약
약식</t>
        </r>
      </text>
    </comment>
    <comment ref="B6" authorId="0" shapeId="0" xr:uid="{625628C0-10E2-4E7D-B314-EAA5D3B2DEA8}">
      <text>
        <r>
          <rPr>
            <sz val="8"/>
            <color indexed="54"/>
            <rFont val="Tahoma"/>
            <family val="2"/>
          </rPr>
          <t>결산
누적분기
당분기</t>
        </r>
      </text>
    </comment>
    <comment ref="C6" authorId="0" shapeId="0" xr:uid="{DC458B71-22FC-4525-855B-99576CB98830}">
      <text>
        <r>
          <rPr>
            <sz val="8"/>
            <color indexed="54"/>
            <rFont val="Tahoma"/>
            <family val="2"/>
          </rPr>
          <t>천원
백만원
억원
십억원</t>
        </r>
      </text>
    </comment>
    <comment ref="B7" authorId="0" shapeId="0" xr:uid="{E6877FC2-6977-4206-855A-455DB9231547}">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7" authorId="0" shapeId="0" xr:uid="{15F2F87F-2ABC-4F4B-B810-7184B70807E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3" authorId="0" shapeId="0" xr:uid="{47B15555-7DFB-4182-9A2F-0410438E4790}">
      <text>
        <r>
          <rPr>
            <sz val="8"/>
            <color indexed="54"/>
            <rFont val="Tahoma"/>
            <family val="2"/>
          </rPr>
          <t>별도
연결</t>
        </r>
      </text>
    </comment>
    <comment ref="B4" authorId="0" shapeId="0" xr:uid="{3B6787E4-30FF-446E-8C44-7A2FC033BEBE}">
      <text>
        <r>
          <rPr>
            <sz val="8"/>
            <color indexed="54"/>
            <rFont val="Tahoma"/>
            <family val="2"/>
          </rPr>
          <t>전체
재무상태표
손익계산서
현금흐름표
자본금변동표</t>
        </r>
      </text>
    </comment>
    <comment ref="B5" authorId="0" shapeId="0" xr:uid="{9A396127-01AC-4791-838F-AAF2FFB4DE41}">
      <text>
        <r>
          <rPr>
            <sz val="8"/>
            <color indexed="54"/>
            <rFont val="Tahoma"/>
            <family val="2"/>
          </rPr>
          <t>상세(총액)
상세(순액)
요약
약식</t>
        </r>
      </text>
    </comment>
    <comment ref="B6" authorId="0" shapeId="0" xr:uid="{C37949A6-74F8-4FA0-B272-A0F57A24899B}">
      <text>
        <r>
          <rPr>
            <sz val="8"/>
            <color indexed="54"/>
            <rFont val="Tahoma"/>
            <family val="2"/>
          </rPr>
          <t>결산
누적분기
당분기</t>
        </r>
      </text>
    </comment>
    <comment ref="C6" authorId="0" shapeId="0" xr:uid="{FA5593C3-04A1-401A-9DD8-84BCC62D68D1}">
      <text>
        <r>
          <rPr>
            <sz val="8"/>
            <color indexed="54"/>
            <rFont val="Tahoma"/>
            <family val="2"/>
          </rPr>
          <t>천원
백만원
억원
십억원</t>
        </r>
      </text>
    </comment>
    <comment ref="B7" authorId="0" shapeId="0" xr:uid="{BF0350B9-C450-4E55-BAA2-B4A203136F89}">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7" authorId="0" shapeId="0" xr:uid="{54CE0FF5-AB7F-4173-92CE-E7F831779BA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501374-6595-4080-93C8-3DAF552E24BD}" keepAlive="1" name="쿼리 - Table005 (Page 5)" description="통합 문서의 'Table005 (Page 5)' 쿼리에 대한 연결입니다." type="5" refreshedVersion="0" background="1">
    <dbPr connection="Provider=Microsoft.Mashup.OleDb.1;Data Source=$Workbook$;Location=&quot;Table005 (Page 5)&quot;;Extended Properties=&quot;&quot;" command="SELECT * FROM [Table005 (Page 5)]"/>
  </connection>
  <connection id="2" xr16:uid="{9EFD64EB-6784-486B-8DDE-AA492AAE6F36}" keepAlive="1" name="쿼리 - Table007 (Page 1)" description="통합 문서의 'Table007 (Page 1)' 쿼리에 대한 연결입니다." type="5" refreshedVersion="0" background="1">
    <dbPr connection="Provider=Microsoft.Mashup.OleDb.1;Data Source=$Workbook$;Location=&quot;Table007 (Page 1)&quot;;Extended Properties=&quot;&quot;" command="SELECT * FROM [Table007 (Page 1)]"/>
  </connection>
  <connection id="3" xr16:uid="{0B8EF79C-8B6A-4F61-875F-FC11E594695B}" keepAlive="1" name="쿼리 - Table007 (Page 1) (2)" description="통합 문서의 'Table007 (Page 1) (2)' 쿼리에 대한 연결입니다." type="5" refreshedVersion="8" background="1" saveData="1">
    <dbPr connection="Provider=Microsoft.Mashup.OleDb.1;Data Source=$Workbook$;Location=&quot;Table007 (Page 1) (2)&quot;;Extended Properties=&quot;&quot;" command="SELECT * FROM [Table007 (Page 1) (2)]"/>
  </connection>
  <connection id="4" xr16:uid="{AED512FF-D0C7-4A3A-AE86-95E75A6E5C44}" keepAlive="1" name="쿼리 - Table033 (Page 9)" description="통합 문서의 'Table033 (Page 9)' 쿼리에 대한 연결입니다." type="5" refreshedVersion="0" background="1">
    <dbPr connection="Provider=Microsoft.Mashup.OleDb.1;Data Source=$Workbook$;Location=&quot;Table033 (Page 9)&quot;;Extended Properties=&quot;&quot;" command="SELECT * FROM [Table033 (Page 9)]"/>
  </connection>
  <connection id="5" xr16:uid="{F30D615C-F352-4FC1-AE02-5F9CD56CA02D}" keepAlive="1" name="쿼리 - Table072 (Page 27)" description="통합 문서의 'Table072 (Page 27)' 쿼리에 대한 연결입니다." type="5" refreshedVersion="8" background="1" saveData="1">
    <dbPr connection="Provider=Microsoft.Mashup.OleDb.1;Data Source=$Workbook$;Location=&quot;Table072 (Page 27)&quot;;Extended Properties=&quot;&quot;" command="SELECT * FROM [Table072 (Page 27)]"/>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<sst xmlns="http://schemas.openxmlformats.org/spreadsheetml/2006/main" count="1096" uniqueCount="520">
  <si>
    <t>영업이익</t>
  </si>
  <si>
    <t>벙커링</t>
    <phoneticPr fontId="2" type="noConversion"/>
  </si>
  <si>
    <t>기업명</t>
  </si>
  <si>
    <t>엔진</t>
    <phoneticPr fontId="2" type="noConversion"/>
  </si>
  <si>
    <t>비엔진</t>
    <phoneticPr fontId="2" type="noConversion"/>
  </si>
  <si>
    <t>육상발전</t>
    <phoneticPr fontId="2" type="noConversion"/>
  </si>
  <si>
    <t>친환경 솔루션</t>
    <phoneticPr fontId="2" type="noConversion"/>
  </si>
  <si>
    <t>백만원</t>
  </si>
  <si>
    <t xml:space="preserve">    비지배주주지분</t>
  </si>
  <si>
    <t xml:space="preserve">        이익잉여금(결손금)(*)</t>
  </si>
  <si>
    <t xml:space="preserve">        기타포괄손익누계액(*)</t>
  </si>
  <si>
    <t xml:space="preserve">        기타자본(*)</t>
  </si>
  <si>
    <t xml:space="preserve">        자본잉여금(*)</t>
  </si>
  <si>
    <t xml:space="preserve">        신종자본증권</t>
  </si>
  <si>
    <t xml:space="preserve">        자본금(*)</t>
  </si>
  <si>
    <t xml:space="preserve">    지배기업주주지분(*)</t>
  </si>
  <si>
    <t>주</t>
  </si>
  <si>
    <t xml:space="preserve">    *우선주</t>
  </si>
  <si>
    <t xml:space="preserve">    *보통주</t>
  </si>
  <si>
    <t>*발행한주식총수(*)</t>
  </si>
  <si>
    <t>원</t>
  </si>
  <si>
    <t>*주당액면가액</t>
  </si>
  <si>
    <t>*수권주식수</t>
  </si>
  <si>
    <t>자본(*)</t>
  </si>
  <si>
    <t xml:space="preserve">    기타금융업부채</t>
  </si>
  <si>
    <t xml:space="preserve">        기타비유동부채(*)</t>
  </si>
  <si>
    <t xml:space="preserve">        배출부채</t>
  </si>
  <si>
    <t xml:space="preserve">        반품(환불)부채</t>
  </si>
  <si>
    <t xml:space="preserve">        계약부채</t>
  </si>
  <si>
    <t xml:space="preserve">        장기당기법인세부채(미지급법인세)(**)</t>
  </si>
  <si>
    <t xml:space="preserve">        이연법인세부채</t>
  </si>
  <si>
    <t xml:space="preserve">        기타장기충당부채(*)</t>
  </si>
  <si>
    <t xml:space="preserve">        비유동종업원급여충당부채(*)</t>
  </si>
  <si>
    <t xml:space="preserve">        장기매입채무및기타비유동채무(*)</t>
  </si>
  <si>
    <t xml:space="preserve">        비유동금융부채(*)</t>
  </si>
  <si>
    <t xml:space="preserve">        장기차입금(*)</t>
  </si>
  <si>
    <t xml:space="preserve">        사채(*)</t>
  </si>
  <si>
    <t xml:space="preserve">    비유동부채(*)</t>
  </si>
  <si>
    <t xml:space="preserve">        매각예정으로분류된처분자산집단에포함된부채(*)</t>
  </si>
  <si>
    <t xml:space="preserve">        기타유동부채(*)</t>
  </si>
  <si>
    <t xml:space="preserve">        당기법인세부채(미지급법인세)</t>
  </si>
  <si>
    <t xml:space="preserve">        기타단기충당부채(*)</t>
  </si>
  <si>
    <t xml:space="preserve">        유동종업원급여충당부채(*)</t>
  </si>
  <si>
    <t xml:space="preserve">        매입채무및기타유동채무(*)</t>
  </si>
  <si>
    <t xml:space="preserve">        유동금융부채(*)</t>
  </si>
  <si>
    <t xml:space="preserve">        유동성장기부채(*)</t>
  </si>
  <si>
    <t xml:space="preserve">        단기차입금(*)</t>
  </si>
  <si>
    <t xml:space="preserve">        단기사채(**)</t>
  </si>
  <si>
    <t xml:space="preserve">    유동부채(*)</t>
  </si>
  <si>
    <t>부채(*)</t>
  </si>
  <si>
    <t xml:space="preserve">    기타금융업자산</t>
  </si>
  <si>
    <t xml:space="preserve">        기타비유동자산(*)</t>
  </si>
  <si>
    <t xml:space="preserve">        배출권</t>
  </si>
  <si>
    <t xml:space="preserve">        반품(환불)자산</t>
  </si>
  <si>
    <t xml:space="preserve">        계약자산(**)</t>
  </si>
  <si>
    <t xml:space="preserve">        장기당기법인세자산</t>
  </si>
  <si>
    <t xml:space="preserve">        이연법인세자산</t>
  </si>
  <si>
    <t xml:space="preserve">        장기매출채권및기타비유동채권(*)</t>
  </si>
  <si>
    <t xml:space="preserve">        관계기업등지분관련투자자산(*)</t>
  </si>
  <si>
    <t xml:space="preserve">        장기금융자산(*)</t>
  </si>
  <si>
    <t xml:space="preserve">        투자부동산(*)</t>
  </si>
  <si>
    <t xml:space="preserve">        비유동생물자산(*)</t>
  </si>
  <si>
    <t xml:space="preserve">        무형자산(*)</t>
  </si>
  <si>
    <t xml:space="preserve">        유형자산(*)</t>
  </si>
  <si>
    <t xml:space="preserve">    비유동자산(*)</t>
  </si>
  <si>
    <t xml:space="preserve">        매각예정비유동자산및처분자산집단(*)</t>
  </si>
  <si>
    <t xml:space="preserve">        현금및현금성자산(*)</t>
  </si>
  <si>
    <t xml:space="preserve">        기타유동자산(*)</t>
  </si>
  <si>
    <t xml:space="preserve">        당기법인세자산(선급법인세)</t>
  </si>
  <si>
    <t xml:space="preserve">        매출채권및기타유동채권(*)</t>
  </si>
  <si>
    <t xml:space="preserve">        유동금융자산(*)</t>
  </si>
  <si>
    <t xml:space="preserve">        유동생물자산(*)</t>
  </si>
  <si>
    <t xml:space="preserve">        재고자산(*)</t>
  </si>
  <si>
    <t xml:space="preserve">    유동자산(*)</t>
  </si>
  <si>
    <t>자산(*)</t>
  </si>
  <si>
    <t>IFRS(연결)</t>
  </si>
  <si>
    <t>단위</t>
  </si>
  <si>
    <t>계정명</t>
  </si>
  <si>
    <t>계정코드</t>
  </si>
  <si>
    <t>Current</t>
  </si>
  <si>
    <t>Fiscal Year</t>
    <phoneticPr fontId="2" type="noConversion"/>
  </si>
  <si>
    <t>결산</t>
  </si>
  <si>
    <t>Output</t>
  </si>
  <si>
    <t>약식(COMPARE)</t>
    <phoneticPr fontId="2" type="noConversion"/>
  </si>
  <si>
    <t>Form</t>
  </si>
  <si>
    <t>New</t>
  </si>
  <si>
    <t>재무상태표</t>
  </si>
  <si>
    <t>Report</t>
  </si>
  <si>
    <t>IFRS</t>
  </si>
  <si>
    <t>Accounting Std.</t>
  </si>
  <si>
    <t>연결</t>
  </si>
  <si>
    <t>Type</t>
  </si>
  <si>
    <r>
      <t>A443060(HD</t>
    </r>
    <r>
      <rPr>
        <sz val="9"/>
        <color rgb="FF325886"/>
        <rFont val="맑은 고딕"/>
        <family val="2"/>
        <charset val="129"/>
        <scheme val="minor"/>
      </rPr>
      <t>현대마린솔루션</t>
    </r>
    <r>
      <rPr>
        <sz val="9"/>
        <color rgb="FF325886"/>
        <rFont val="Arial"/>
        <family val="2"/>
      </rPr>
      <t>)  -  Fiscal Month:12,  201712</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</si>
  <si>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t>Company</t>
  </si>
  <si>
    <t>Financial Statements</t>
  </si>
  <si>
    <t>(지배기업주주지분)희석주당순손익</t>
  </si>
  <si>
    <t>(지배기업주주지분)희석주당계속영업이익</t>
  </si>
  <si>
    <t>(지배기업주주지분)주당순손익</t>
  </si>
  <si>
    <t>(지배기업주주지분)주당계속영업이익</t>
  </si>
  <si>
    <t>희석주당순손익</t>
  </si>
  <si>
    <t>희석주당계속영업이익</t>
  </si>
  <si>
    <t>주당순손익</t>
  </si>
  <si>
    <t>주당계속영업이익</t>
  </si>
  <si>
    <t>(총포괄손익귀속)비지배주주지분</t>
  </si>
  <si>
    <t>(총포괄손익귀속)지배기업주주지분</t>
  </si>
  <si>
    <t>(당기순손익귀속)비지배주주지분</t>
  </si>
  <si>
    <t>(당기순손익귀속)지배기업주주지분</t>
  </si>
  <si>
    <t>총포괄손익</t>
  </si>
  <si>
    <t>기타포괄손익(*)</t>
  </si>
  <si>
    <t>당기순이익(손실)</t>
  </si>
  <si>
    <t>중단영업이익(손실)</t>
  </si>
  <si>
    <t>계속영업이익(손실)</t>
  </si>
  <si>
    <t>처분된종속회사순손익</t>
  </si>
  <si>
    <t>종속회사매수일전순손익</t>
  </si>
  <si>
    <t>법인세비용</t>
  </si>
  <si>
    <t>법인세비용차감전계속사업이익</t>
  </si>
  <si>
    <t xml:space="preserve">    기타(*)</t>
  </si>
  <si>
    <t xml:space="preserve">    종속기업,공동지배기업및관계기업투자주식손상관련손익(*)</t>
  </si>
  <si>
    <t xml:space="preserve">    종속기업,공동지배기업및관계기업투자주식처분손익(*)</t>
  </si>
  <si>
    <t xml:space="preserve">    지분법손익(*)</t>
  </si>
  <si>
    <t>종속기업,공동지배기업및관계기업관련손익(*)</t>
  </si>
  <si>
    <t xml:space="preserve">    충당부채전입액</t>
  </si>
  <si>
    <t xml:space="preserve">    기타대손상각비</t>
  </si>
  <si>
    <t xml:space="preserve">    파생상품손실(*)</t>
  </si>
  <si>
    <t xml:space="preserve">    자산손상차손(*)</t>
  </si>
  <si>
    <t xml:space="preserve">    자산평가손실</t>
  </si>
  <si>
    <t xml:space="preserve">    자산처분(폐기)손실(*)</t>
  </si>
  <si>
    <t xml:space="preserve">    당기손익-공정가치측정 금융자산평가손실</t>
  </si>
  <si>
    <t xml:space="preserve">    재고자산폐기(처분)손실</t>
  </si>
  <si>
    <t xml:space="preserve">    재고자산감모손실</t>
  </si>
  <si>
    <t xml:space="preserve">    외환손실(*)</t>
  </si>
  <si>
    <t xml:space="preserve">    이자비용</t>
  </si>
  <si>
    <t>기타비용(*)</t>
  </si>
  <si>
    <t xml:space="preserve">    충당부채환입액</t>
  </si>
  <si>
    <t xml:space="preserve">    대손충당금환입</t>
  </si>
  <si>
    <t xml:space="preserve">    수수료수익</t>
  </si>
  <si>
    <t xml:space="preserve">    로열티수익</t>
  </si>
  <si>
    <t xml:space="preserve">    임대료수익</t>
  </si>
  <si>
    <t xml:space="preserve">    파생상품이익(*)</t>
  </si>
  <si>
    <t xml:space="preserve">    자산손상차손환입(*)</t>
  </si>
  <si>
    <t xml:space="preserve">    자산평가이익</t>
  </si>
  <si>
    <t xml:space="preserve">    자산처분(폐기)이익(*)</t>
  </si>
  <si>
    <t xml:space="preserve">    당기손익-공정가치측정 금융자산평가이익</t>
  </si>
  <si>
    <t xml:space="preserve">    재고자산폐기(처분)이익</t>
  </si>
  <si>
    <t xml:space="preserve">    재고자산감모손실환입</t>
  </si>
  <si>
    <t xml:space="preserve">    외환이익(*)</t>
  </si>
  <si>
    <t xml:space="preserve">    배당금수익</t>
  </si>
  <si>
    <t xml:space="preserve">    이자수익</t>
  </si>
  <si>
    <t>기타수익(*)</t>
  </si>
  <si>
    <t xml:space="preserve">    기타금융원가(*)</t>
  </si>
  <si>
    <t xml:space="preserve">    금융자산손상차손(*)</t>
  </si>
  <si>
    <t xml:space="preserve">    금융자산평가손실(*)</t>
  </si>
  <si>
    <t xml:space="preserve">    금융자산처분손실(*)</t>
  </si>
  <si>
    <t xml:space="preserve">    매출채권처분손실</t>
  </si>
  <si>
    <t xml:space="preserve">    당기손익-공정가치측정 금융자산관련손실</t>
  </si>
  <si>
    <t xml:space="preserve">    대손상각비</t>
  </si>
  <si>
    <t>금융원가(*)</t>
  </si>
  <si>
    <t xml:space="preserve">    기타금융수익(*)</t>
  </si>
  <si>
    <t xml:space="preserve">    금융자산손상차손환입(*)</t>
  </si>
  <si>
    <t xml:space="preserve">    금융자산평가이익(*)</t>
  </si>
  <si>
    <t xml:space="preserve">    금융자산처분이익(*)</t>
  </si>
  <si>
    <t xml:space="preserve">    당기손익-공정가치측정 금융자산관련이익</t>
  </si>
  <si>
    <t xml:space="preserve">    매출채권처분이익</t>
  </si>
  <si>
    <t xml:space="preserve">    대손충당금환입액</t>
  </si>
  <si>
    <t>금융수익(*)</t>
  </si>
  <si>
    <t>영업이익(손실)</t>
  </si>
  <si>
    <t xml:space="preserve">    기타</t>
  </si>
  <si>
    <t xml:space="preserve">    기타원가성비용(*)</t>
  </si>
  <si>
    <t xml:space="preserve">    관리비(*)</t>
  </si>
  <si>
    <t xml:space="preserve">    판매비(*)</t>
  </si>
  <si>
    <t xml:space="preserve">    광고선전비</t>
  </si>
  <si>
    <t xml:space="preserve">    연구개발비</t>
  </si>
  <si>
    <t xml:space="preserve">    유무형자산상각비(*)</t>
  </si>
  <si>
    <t xml:space="preserve">    인건비(*)</t>
  </si>
  <si>
    <t>판매비와관리비(*)</t>
  </si>
  <si>
    <t>매출총이익(손실)</t>
  </si>
  <si>
    <t>매출원가(*)</t>
  </si>
  <si>
    <t>*내수</t>
  </si>
  <si>
    <t>*수출(*)</t>
  </si>
  <si>
    <t>매출액(수익)(*)</t>
  </si>
  <si>
    <t>손익계산서</t>
  </si>
  <si>
    <t>기말현금및현금성자산</t>
  </si>
  <si>
    <t>기초현금및현금성자산</t>
  </si>
  <si>
    <t>현금및현금성자산의증가</t>
  </si>
  <si>
    <t>환율변동효과</t>
  </si>
  <si>
    <t>연결범위변동으로인한현금의증가</t>
  </si>
  <si>
    <t>영업투자재무활동기타현금흐름</t>
  </si>
  <si>
    <t xml:space="preserve">    중단영업관련현금흐름</t>
  </si>
  <si>
    <t xml:space="preserve">    법인세납부(-)</t>
  </si>
  <si>
    <t xml:space="preserve">    법인세환입</t>
  </si>
  <si>
    <t xml:space="preserve">    배당금지급(-)</t>
  </si>
  <si>
    <t xml:space="preserve">    배당금수입</t>
  </si>
  <si>
    <t xml:space="preserve">    이자지급(-)</t>
  </si>
  <si>
    <t xml:space="preserve">    이자수입</t>
  </si>
  <si>
    <t xml:space="preserve">    (재무활동으로인한현금유출액)(*)</t>
  </si>
  <si>
    <t xml:space="preserve">    재무활동으로인한현금유입액(*)</t>
  </si>
  <si>
    <t>재무활동으로인한현금흐름(*)</t>
  </si>
  <si>
    <t xml:space="preserve">    (투자활동으로인한현금유출액)(*)</t>
  </si>
  <si>
    <t xml:space="preserve">    투자활동으로인한현금유입액(*)</t>
  </si>
  <si>
    <t>투자활동으로인한현금흐름(*)</t>
  </si>
  <si>
    <t xml:space="preserve">    *영업에서창출된현금흐름</t>
  </si>
  <si>
    <t xml:space="preserve">        기타운전자본의변동</t>
  </si>
  <si>
    <t xml:space="preserve">        정부보조금등의변동</t>
  </si>
  <si>
    <t xml:space="preserve">        부채의증가(감소)(*)</t>
  </si>
  <si>
    <t xml:space="preserve">        자산의감소(증가)(*)</t>
  </si>
  <si>
    <t xml:space="preserve">    영업활동으로인한자산부채변동(운전자본변동)(*)</t>
  </si>
  <si>
    <t xml:space="preserve">    (현금유입이없는수익등차감)(*)</t>
  </si>
  <si>
    <t xml:space="preserve">    현금유출이없는비용등가산(*)</t>
  </si>
  <si>
    <t xml:space="preserve">    법인세비용차감전계속사업이익</t>
  </si>
  <si>
    <t xml:space="preserve">    당기순손익</t>
  </si>
  <si>
    <t xml:space="preserve">    *(직접법)총현금유출(*)</t>
  </si>
  <si>
    <t xml:space="preserve">    *(직접법)총현금유입(*)</t>
  </si>
  <si>
    <t>영업활동으로인한현금흐름(간접법)(*)</t>
  </si>
  <si>
    <t>현금흐름표</t>
  </si>
  <si>
    <t>A443060(HD현대마린솔루션)  -  Fiscal Month:12,  201712부터 IFRS 적용</t>
  </si>
  <si>
    <t>약식(COMPARE)</t>
  </si>
  <si>
    <t>누적분기</t>
  </si>
  <si>
    <t>Fiscal Year</t>
  </si>
  <si>
    <t>RFS Research Team 2</t>
    <phoneticPr fontId="2" type="noConversion"/>
  </si>
  <si>
    <t>Assumption Sheet</t>
    <phoneticPr fontId="2" type="noConversion"/>
  </si>
  <si>
    <t>(units in Millions KRW )</t>
    <phoneticPr fontId="2" type="noConversion"/>
  </si>
  <si>
    <t>2Q24</t>
  </si>
  <si>
    <t>3Q24</t>
  </si>
  <si>
    <t>4Q24</t>
  </si>
  <si>
    <t>3Q25E</t>
    <phoneticPr fontId="2" type="noConversion"/>
  </si>
  <si>
    <t>4Q25E</t>
    <phoneticPr fontId="2" type="noConversion"/>
  </si>
  <si>
    <t>매출액</t>
    <phoneticPr fontId="2" type="noConversion"/>
  </si>
  <si>
    <t>매출원가</t>
  </si>
  <si>
    <t>(%)</t>
  </si>
  <si>
    <t>매출총이익</t>
  </si>
  <si>
    <t>GPM(%)</t>
    <phoneticPr fontId="2" type="noConversion"/>
  </si>
  <si>
    <t>판매비와 관리비</t>
    <phoneticPr fontId="2" type="noConversion"/>
  </si>
  <si>
    <t>OPM(%)</t>
    <phoneticPr fontId="2" type="noConversion"/>
  </si>
  <si>
    <t>지분법손익</t>
  </si>
  <si>
    <t>금융수익</t>
  </si>
  <si>
    <t>기타수익</t>
  </si>
  <si>
    <t>기타비용</t>
  </si>
  <si>
    <t>법인세차감전순이익</t>
    <phoneticPr fontId="2" type="noConversion"/>
  </si>
  <si>
    <t>당기순이익</t>
  </si>
  <si>
    <t>1Q25</t>
    <phoneticPr fontId="2" type="noConversion"/>
  </si>
  <si>
    <t>2Q25</t>
    <phoneticPr fontId="2" type="noConversion"/>
  </si>
  <si>
    <t>금융원가</t>
    <phoneticPr fontId="2" type="noConversion"/>
  </si>
  <si>
    <t>급여</t>
    <phoneticPr fontId="2" type="noConversion"/>
  </si>
  <si>
    <t>퇴직급여</t>
    <phoneticPr fontId="2" type="noConversion"/>
  </si>
  <si>
    <t>여비교통비</t>
    <phoneticPr fontId="2" type="noConversion"/>
  </si>
  <si>
    <t>지급수수료</t>
    <phoneticPr fontId="2" type="noConversion"/>
  </si>
  <si>
    <t>광고선전비</t>
    <phoneticPr fontId="2" type="noConversion"/>
  </si>
  <si>
    <t>복리후생비</t>
    <phoneticPr fontId="2" type="noConversion"/>
  </si>
  <si>
    <t>교육훈련비</t>
    <phoneticPr fontId="2" type="noConversion"/>
  </si>
  <si>
    <t>임차료</t>
    <phoneticPr fontId="2" type="noConversion"/>
  </si>
  <si>
    <t>차량유지비</t>
    <phoneticPr fontId="2" type="noConversion"/>
  </si>
  <si>
    <t>수도광열비</t>
    <phoneticPr fontId="2" type="noConversion"/>
  </si>
  <si>
    <t>세금과공과</t>
    <phoneticPr fontId="2" type="noConversion"/>
  </si>
  <si>
    <t>감가상각비</t>
    <phoneticPr fontId="2" type="noConversion"/>
  </si>
  <si>
    <t>외주용역비</t>
    <phoneticPr fontId="2" type="noConversion"/>
  </si>
  <si>
    <t>대손상각비환입</t>
    <phoneticPr fontId="2" type="noConversion"/>
  </si>
  <si>
    <t>하자보수충당부채전입(환입)</t>
    <phoneticPr fontId="2" type="noConversion"/>
  </si>
  <si>
    <t>판매보증충당부채전입</t>
    <phoneticPr fontId="2" type="noConversion"/>
  </si>
  <si>
    <t>기타</t>
    <phoneticPr fontId="2" type="noConversion"/>
  </si>
  <si>
    <t>계</t>
    <phoneticPr fontId="2" type="noConversion"/>
  </si>
  <si>
    <t>전산처리비</t>
    <phoneticPr fontId="2" type="noConversion"/>
  </si>
  <si>
    <t>연구개발비</t>
    <phoneticPr fontId="2" type="noConversion"/>
  </si>
  <si>
    <t>HD현대마린솔루션(443060.KS)</t>
    <phoneticPr fontId="2" type="noConversion"/>
  </si>
  <si>
    <t>of sales(%)</t>
    <phoneticPr fontId="2" type="noConversion"/>
  </si>
  <si>
    <t>1Q26E</t>
    <phoneticPr fontId="2" type="noConversion"/>
  </si>
  <si>
    <t>2Q26E</t>
    <phoneticPr fontId="2" type="noConversion"/>
  </si>
  <si>
    <t>3Q26E</t>
    <phoneticPr fontId="2" type="noConversion"/>
  </si>
  <si>
    <t>4Q26E</t>
    <phoneticPr fontId="2" type="noConversion"/>
  </si>
  <si>
    <t>매출</t>
    <phoneticPr fontId="2" type="noConversion"/>
  </si>
  <si>
    <t>AM 솔루션</t>
    <phoneticPr fontId="2" type="noConversion"/>
  </si>
  <si>
    <t>디지털 솔루션</t>
    <phoneticPr fontId="2" type="noConversion"/>
  </si>
  <si>
    <t>2021A</t>
    <phoneticPr fontId="2" type="noConversion"/>
  </si>
  <si>
    <t>2022A</t>
    <phoneticPr fontId="2" type="noConversion"/>
  </si>
  <si>
    <t>2023A</t>
    <phoneticPr fontId="2" type="noConversion"/>
  </si>
  <si>
    <t>2024A</t>
    <phoneticPr fontId="2" type="noConversion"/>
  </si>
  <si>
    <t>BWTS</t>
    <phoneticPr fontId="2" type="noConversion"/>
  </si>
  <si>
    <t>EGCS</t>
    <phoneticPr fontId="2" type="noConversion"/>
  </si>
  <si>
    <t>Revenue Estimation Sheet</t>
    <phoneticPr fontId="2" type="noConversion"/>
  </si>
  <si>
    <t>(units in Hundred Millions KRW )</t>
    <phoneticPr fontId="2" type="noConversion"/>
  </si>
  <si>
    <t>YoY(%) or QoQ(%)</t>
    <phoneticPr fontId="2" type="noConversion"/>
  </si>
  <si>
    <t>1Q24</t>
    <phoneticPr fontId="2" type="noConversion"/>
  </si>
  <si>
    <t>-</t>
    <phoneticPr fontId="2" type="noConversion"/>
  </si>
  <si>
    <t>2025E</t>
    <phoneticPr fontId="2" type="noConversion"/>
  </si>
  <si>
    <t>2026E</t>
    <phoneticPr fontId="2" type="noConversion"/>
  </si>
  <si>
    <t>스마트케어</t>
    <phoneticPr fontId="2" type="noConversion"/>
  </si>
  <si>
    <t>AM 솔루션 매출</t>
    <phoneticPr fontId="2" type="noConversion"/>
  </si>
  <si>
    <t>YoY(%)</t>
    <phoneticPr fontId="2" type="noConversion"/>
  </si>
  <si>
    <t>of Revenue(%)</t>
    <phoneticPr fontId="2" type="noConversion"/>
  </si>
  <si>
    <t>AM Solution Revenue Estimation Sheet</t>
    <phoneticPr fontId="2" type="noConversion"/>
  </si>
  <si>
    <t>of AM Solution Revenue(%)</t>
    <phoneticPr fontId="2" type="noConversion"/>
  </si>
  <si>
    <t>단위: 백만 원</t>
    <phoneticPr fontId="2" type="noConversion"/>
  </si>
  <si>
    <t>단위: 억 원</t>
    <phoneticPr fontId="2" type="noConversion"/>
  </si>
  <si>
    <t>단위: Mn $</t>
    <phoneticPr fontId="2" type="noConversion"/>
  </si>
  <si>
    <t>Retrofit Revenue Estimation Sheet</t>
    <phoneticPr fontId="2" type="noConversion"/>
  </si>
  <si>
    <t>친환경 솔루션 매출</t>
    <phoneticPr fontId="2" type="noConversion"/>
  </si>
  <si>
    <t>3Q24</t>
    <phoneticPr fontId="2" type="noConversion"/>
  </si>
  <si>
    <t>4Q24</t>
    <phoneticPr fontId="2" type="noConversion"/>
  </si>
  <si>
    <t>2Q24</t>
    <phoneticPr fontId="2" type="noConversion"/>
  </si>
  <si>
    <t>Digital Soultion Revenue Estimation Sheet</t>
    <phoneticPr fontId="2" type="noConversion"/>
  </si>
  <si>
    <t>Bunkering Revenue Estimation Sheet</t>
    <phoneticPr fontId="2" type="noConversion"/>
  </si>
  <si>
    <t>벙커링 매출</t>
    <phoneticPr fontId="2" type="noConversion"/>
  </si>
  <si>
    <t>한국</t>
    <phoneticPr fontId="2" type="noConversion"/>
  </si>
  <si>
    <t>싱가포르</t>
    <phoneticPr fontId="2" type="noConversion"/>
  </si>
  <si>
    <t>HD현대중공업(척)</t>
    <phoneticPr fontId="2" type="noConversion"/>
  </si>
  <si>
    <t>HD현대미포(척)</t>
    <phoneticPr fontId="2" type="noConversion"/>
  </si>
  <si>
    <t>HD현대삼호(척)</t>
    <phoneticPr fontId="2" type="noConversion"/>
  </si>
  <si>
    <t>FSRU</t>
    <phoneticPr fontId="2" type="noConversion"/>
  </si>
  <si>
    <t>FSU</t>
    <phoneticPr fontId="2" type="noConversion"/>
  </si>
  <si>
    <t>of Retrofit Revenue(%)</t>
    <phoneticPr fontId="2" type="noConversion"/>
  </si>
  <si>
    <t>디지털 솔루션 수주 잔고</t>
    <phoneticPr fontId="2" type="noConversion"/>
  </si>
  <si>
    <t>출항 선박 매출</t>
    <phoneticPr fontId="2" type="noConversion"/>
  </si>
  <si>
    <t xml:space="preserve">기항 선박 매출 </t>
    <phoneticPr fontId="2" type="noConversion"/>
  </si>
  <si>
    <t>디지털 솔루션 매출</t>
    <phoneticPr fontId="2" type="noConversion"/>
  </si>
  <si>
    <t>Expected IS Sheet</t>
    <phoneticPr fontId="2" type="noConversion"/>
  </si>
  <si>
    <t>Slope</t>
    <phoneticPr fontId="2" type="noConversion"/>
  </si>
  <si>
    <t>Intercept</t>
    <phoneticPr fontId="2" type="noConversion"/>
  </si>
  <si>
    <t>상관계수</t>
    <phoneticPr fontId="2" type="noConversion"/>
  </si>
  <si>
    <t>향후 매출도 동일한 상관계수와 Slope/Intercept를 통해 추정함.</t>
    <phoneticPr fontId="2" type="noConversion"/>
  </si>
  <si>
    <t>한국 기항 선박 매출</t>
    <phoneticPr fontId="2" type="noConversion"/>
  </si>
  <si>
    <t>싱가포르 기항 선박 매출</t>
    <phoneticPr fontId="2" type="noConversion"/>
  </si>
  <si>
    <t>신규 인도(척)</t>
    <phoneticPr fontId="2" type="noConversion"/>
  </si>
  <si>
    <t>EPLO</t>
    <phoneticPr fontId="2" type="noConversion"/>
  </si>
  <si>
    <t>재액화</t>
    <phoneticPr fontId="2" type="noConversion"/>
  </si>
  <si>
    <t>원/달러 환율</t>
    <phoneticPr fontId="2" type="noConversion"/>
  </si>
  <si>
    <t>출항 선박 상관관계</t>
    <phoneticPr fontId="2" type="noConversion"/>
  </si>
  <si>
    <t>한국 기항 선박 상관관계</t>
    <phoneticPr fontId="2" type="noConversion"/>
  </si>
  <si>
    <t>싱가포르 기항 선박 상관관계</t>
    <phoneticPr fontId="2" type="noConversion"/>
  </si>
  <si>
    <t>싱가포르 HSFO 벙커량 추정치</t>
    <phoneticPr fontId="2" type="noConversion"/>
  </si>
  <si>
    <t>한국 기항 벙커선 판매량의 경우, Clarksons의 기항 선박수 연간 데이터와 선박당 벙커유 연간 판매량을 곱한 후 분기별로 추정함.</t>
    <phoneticPr fontId="2" type="noConversion"/>
  </si>
  <si>
    <t>싱가포르 기항 벙커선 판매량의 경우, Clarksons의 기항 선박수 연간 데이터와 선박당 벙커유 연간 판매량을 곱한 후 분기별로 추정함.</t>
    <phoneticPr fontId="2" type="noConversion"/>
  </si>
  <si>
    <t>한국 HSFO 벙커량 추정치</t>
    <phoneticPr fontId="2" type="noConversion"/>
  </si>
  <si>
    <t>한국 HSFO 벙커량 추정치의 경우, 한국 기항 벙커선 판매량에 두바이 원유 가격과 원/달러 환율을 곱하여 그 총량을 추정함.</t>
    <phoneticPr fontId="2" type="noConversion"/>
  </si>
  <si>
    <t>싱가포르 HSFO 벙커량 추정치의 경우, 한국 기항 벙커선 판매량에 두바이 원유 가격과 원/달러 환율을 곱하여 그 총량을 추정함.</t>
    <phoneticPr fontId="2" type="noConversion"/>
  </si>
  <si>
    <t>HD현대그룹 조선 3사 인도 선박 수 전망</t>
    <phoneticPr fontId="2" type="noConversion"/>
  </si>
  <si>
    <t>한국 기항 HSFO 벙커선 판매량(천 톤)</t>
    <phoneticPr fontId="2" type="noConversion"/>
  </si>
  <si>
    <t>싱가포르 기항 HSFO 벙커선 판매량(천 톤)</t>
    <phoneticPr fontId="2" type="noConversion"/>
  </si>
  <si>
    <t>of Bunkering Revenue(%)</t>
    <phoneticPr fontId="2" type="noConversion"/>
  </si>
  <si>
    <t>*OceanWise 구독의 경우, 구독 선박 수가 증가세를 보이고 있으나, 관련 매출이 공개되지 않고 그 금액 또한 미미할 것으로 판단되므로 매출에 포함시키지 않음.</t>
    <phoneticPr fontId="2" type="noConversion"/>
  </si>
  <si>
    <t>S/G 수주 잔고</t>
  </si>
  <si>
    <t>S/G 척수</t>
  </si>
  <si>
    <t>S/G 매출</t>
  </si>
  <si>
    <t>S/G 매출의 경우, 분기당 공사 가능한 선박 수에 ASP와 환율 전망치를 곱하여 추정함.</t>
  </si>
  <si>
    <t>S/G 제외 수주 잔고</t>
  </si>
  <si>
    <t>Shaft Generator</t>
    <phoneticPr fontId="2" type="noConversion"/>
  </si>
  <si>
    <t>그외 수주 전환 매출</t>
    <phoneticPr fontId="2" type="noConversion"/>
  </si>
  <si>
    <t>S/G 제외 수주 전환액</t>
    <phoneticPr fontId="2" type="noConversion"/>
  </si>
  <si>
    <t>분기별 수주잔고 차이만큼, 수주가 매출로 전환될 것으로 추정함.</t>
    <phoneticPr fontId="2" type="noConversion"/>
  </si>
  <si>
    <t xml:space="preserve">S/G ASP(Mn $): </t>
    <phoneticPr fontId="2" type="noConversion"/>
  </si>
  <si>
    <t>DBL1 Commodity &amp; Currency</t>
    <phoneticPr fontId="2" type="noConversion"/>
  </si>
  <si>
    <t>(units in Hundred Millions KRW &amp; Millions USD)</t>
    <phoneticPr fontId="2" type="noConversion"/>
  </si>
  <si>
    <t>전환</t>
    <phoneticPr fontId="2" type="noConversion"/>
  </si>
  <si>
    <t>선박수(척)</t>
    <phoneticPr fontId="2" type="noConversion"/>
  </si>
  <si>
    <t>기타 부문은 대부분 변동성이 크지 않은 구독형 매출에서 발생하므로 Flat 적용함.</t>
    <phoneticPr fontId="2" type="noConversion"/>
  </si>
  <si>
    <t>D/F</t>
    <phoneticPr fontId="2" type="noConversion"/>
  </si>
  <si>
    <t>재액화 ASP(Mn $)</t>
    <phoneticPr fontId="2" type="noConversion"/>
  </si>
  <si>
    <t>FSU ASP(Mn $)</t>
    <phoneticPr fontId="2" type="noConversion"/>
  </si>
  <si>
    <t>FSRU ASP(Mn $)</t>
    <phoneticPr fontId="2" type="noConversion"/>
  </si>
  <si>
    <t>D/F ASP(Mn $)</t>
    <phoneticPr fontId="2" type="noConversion"/>
  </si>
  <si>
    <t>EPLO ASP(Mn $)</t>
    <phoneticPr fontId="2" type="noConversion"/>
  </si>
  <si>
    <t>엔진 Retrofit 관련 동사의 집중 사업부이므로, '25년 수주 목표 150척이 '26년에도 동일할 것으로 전제하고 이를 분기로 나눠 수주 잔고를 추정함.</t>
    <phoneticPr fontId="2" type="noConversion"/>
  </si>
  <si>
    <t>친환경 솔루션 수주 잔고</t>
    <phoneticPr fontId="2" type="noConversion"/>
  </si>
  <si>
    <t>매출 전환</t>
    <phoneticPr fontId="2" type="noConversion"/>
  </si>
  <si>
    <t>현재 88척 수주 잔고</t>
    <phoneticPr fontId="2" type="noConversion"/>
  </si>
  <si>
    <t>3Q26 1건 수주 전망</t>
    <phoneticPr fontId="2" type="noConversion"/>
  </si>
  <si>
    <t>현재 1척 수주 잔고</t>
    <phoneticPr fontId="2" type="noConversion"/>
  </si>
  <si>
    <t>현재 7척 수주 잔고</t>
    <phoneticPr fontId="2" type="noConversion"/>
  </si>
  <si>
    <t>분기당 EPLO 수주(척)</t>
    <phoneticPr fontId="2" type="noConversion"/>
  </si>
  <si>
    <t>동사의 EPLO 연간 수주 목표인 150척을 분기로 나누어 계산함.</t>
    <phoneticPr fontId="2" type="noConversion"/>
  </si>
  <si>
    <t>연간 150척 수주 목표</t>
    <phoneticPr fontId="2" type="noConversion"/>
  </si>
  <si>
    <t>선주들의 규제 대비가 본격 개시되는 '26년 하반기에 1건을 수주한 후, '27년부터 수주가 급등할 것으로 전망함. ASP의 경우, IR측 답변을 참고함.</t>
    <phoneticPr fontId="2" type="noConversion"/>
  </si>
  <si>
    <t>2Q25 기준, 수주 잔고를 수주 척수로 나누어 ASP를 계산함. IR측  EPLO ASP 답변과 단가가 유사하므로 합리적이라 판단됨.</t>
    <phoneticPr fontId="2" type="noConversion"/>
  </si>
  <si>
    <t>2Q25 기준, 수주 잔고를 수주 척수로 나누어 ASP를 계산함. IR측 재액화 ASP 답변과 단가가 유사하므로 합리적이라 판단됨.</t>
    <phoneticPr fontId="2" type="noConversion"/>
  </si>
  <si>
    <t>표준 공기 1.5년(6Q)</t>
    <phoneticPr fontId="2" type="noConversion"/>
  </si>
  <si>
    <t>표준 공기 6개월(2Q)</t>
    <phoneticPr fontId="2" type="noConversion"/>
  </si>
  <si>
    <t>현재 보유 중인 수주 잔고는 '25년 남은 두 분기에 걸쳐 매출로 전환될 것으로 추정함.</t>
    <phoneticPr fontId="2" type="noConversion"/>
  </si>
  <si>
    <t>*S/G는 Shaft Generator를 의미함. HD현대그룹의 신조 물량에 탑재되는 제품. 따라서 인도 예정 물량이 곧 S/G의 매출과 이어짐.</t>
    <phoneticPr fontId="2" type="noConversion"/>
  </si>
  <si>
    <t>디지털 솔루션 수주 잔고의 경우, HD현대그룹의 신조 인도 물량이 '26년까지 큰 변동성이 없다는 점을 고려하여 직전 분기 증가세를 Flat 적용함.</t>
    <phoneticPr fontId="2" type="noConversion"/>
  </si>
  <si>
    <t>S/G 수주 잔고의 경우. 디지털 솔루션 수주 잔고의 증감(HD현대그룹의 신조 인도 물량)과 매우 유사하므로, 디지털 솔루션 수주 잔고에 직전 분기 매출 비중을 곱하여 향후 수주 잔고 증가세를 추정함.</t>
    <phoneticPr fontId="2" type="noConversion"/>
  </si>
  <si>
    <t>수주 추정 Logic</t>
    <phoneticPr fontId="2" type="noConversion"/>
  </si>
  <si>
    <t>HD현대중공업의 신규 인도 선박 수의 경우, Clarksons의 수치를 참조함.</t>
    <phoneticPr fontId="2" type="noConversion"/>
  </si>
  <si>
    <t>HD현대미포의 신규 인도 선박 수의 경우, Clarksons의 수치를 참조함.</t>
    <phoneticPr fontId="2" type="noConversion"/>
  </si>
  <si>
    <t>HD현대삼호의 신규 인도 선박 수의 경우, Clarksons의 수치를 참조함.</t>
    <phoneticPr fontId="2" type="noConversion"/>
  </si>
  <si>
    <t>(units in $ &amp; KRW/$)</t>
    <phoneticPr fontId="2" type="noConversion"/>
  </si>
  <si>
    <t>Peer P/E Valuation Sheet</t>
    <phoneticPr fontId="2" type="noConversion"/>
  </si>
  <si>
    <t>(units in KRW)</t>
    <phoneticPr fontId="2" type="noConversion"/>
  </si>
  <si>
    <t>(A)</t>
    <phoneticPr fontId="43" type="noConversion"/>
  </si>
  <si>
    <t>Target P/E</t>
    <phoneticPr fontId="43" type="noConversion"/>
  </si>
  <si>
    <t xml:space="preserve">(B) </t>
    <phoneticPr fontId="43" type="noConversion"/>
  </si>
  <si>
    <t>발행 주식 수</t>
    <phoneticPr fontId="43" type="noConversion"/>
  </si>
  <si>
    <t>적정주가</t>
  </si>
  <si>
    <t>원</t>
    <phoneticPr fontId="43" type="noConversion"/>
  </si>
  <si>
    <t>Target Price</t>
  </si>
  <si>
    <t>Current Price</t>
  </si>
  <si>
    <t>Upside</t>
  </si>
  <si>
    <t>%</t>
  </si>
  <si>
    <t>HD현대마린솔루션 Peer P/E Valuation</t>
    <phoneticPr fontId="43" type="noConversion"/>
  </si>
  <si>
    <t>4Q25 1척 수주 전망</t>
    <phoneticPr fontId="2" type="noConversion"/>
  </si>
  <si>
    <t>LNGC</t>
    <phoneticPr fontId="2" type="noConversion"/>
  </si>
  <si>
    <t>엔진 개조</t>
    <phoneticPr fontId="2" type="noConversion"/>
  </si>
  <si>
    <t>LNGC 수주 잔고</t>
    <phoneticPr fontId="2" type="noConversion"/>
  </si>
  <si>
    <t>엔진 개조 수주 잔고</t>
    <phoneticPr fontId="2" type="noConversion"/>
  </si>
  <si>
    <t>BWTS의 경우, 2Q25부터 수주가 존재하지 않는 점과 현재 환경 규제 대응 방식으로 부적절하다고 판단되므로, 향후 수주가 존재하지 않을 것으로 추정함.</t>
    <phoneticPr fontId="2" type="noConversion"/>
  </si>
  <si>
    <t>EGCS의 경우, '24년부터 수주가 급격히 감소한 점과 현재 환경 규제 대응 방식으로 부적절하다고 판단되므로, 향후 수주가 존재하지 않을 것으로 추정함.</t>
    <phoneticPr fontId="2" type="noConversion"/>
  </si>
  <si>
    <t>친환경 솔루션 부문 매출의 경우, LNGC 부문 매출, 엔진 개조 부문 매출, 기타 매출, BWTS, EGCS 부문 매출로 구분하여 추정함.</t>
    <phoneticPr fontId="2" type="noConversion"/>
  </si>
  <si>
    <t>LNGC 부문 매출의 경우, 재액화, FSRU, FSU로 구분하여 추정함.</t>
    <phoneticPr fontId="2" type="noConversion"/>
  </si>
  <si>
    <t>수주 잔고의 경우, 매출 부문과 동일한 기준으로 구분함.</t>
    <phoneticPr fontId="2" type="noConversion"/>
  </si>
  <si>
    <t>재액화 부문 수주 잔고에서 매출로 전환되는 금액에 환율을 고려하여 추정함.</t>
    <phoneticPr fontId="2" type="noConversion"/>
  </si>
  <si>
    <t xml:space="preserve"> FSU 부문 수주 잔고에서 매출로 전환되는 금액에 환율을 고려하여 추정함.</t>
    <phoneticPr fontId="2" type="noConversion"/>
  </si>
  <si>
    <t>FSRU 부문 수주 잔고에서 매출로 전환되는 금액에 환율을 고려하여 추정함.</t>
    <phoneticPr fontId="2" type="noConversion"/>
  </si>
  <si>
    <t>D/F 부문 수주 잔고에서 매출로 전환되는 금액에 환율을 고려하여 추정함.</t>
    <phoneticPr fontId="2" type="noConversion"/>
  </si>
  <si>
    <t>EPLO 부문 수주 잔고에서 매출로 전환되는 금액에 환율을 고려하여 추정함.</t>
    <phoneticPr fontId="2" type="noConversion"/>
  </si>
  <si>
    <t>기타 부문 수주 잔고에서 매출로 전환되는 금액에 환율을 고려하여 추정함.</t>
    <phoneticPr fontId="2" type="noConversion"/>
  </si>
  <si>
    <t>BWTS 부문 수주 잔고에서 매출로 전환되는 금액에 환율을 고려하여 추정함.</t>
    <phoneticPr fontId="2" type="noConversion"/>
  </si>
  <si>
    <t>EGCS 부문 수주 잔고에서 매출로 전환되는 금액에 환율을 고려하여 추정함.</t>
    <phoneticPr fontId="2" type="noConversion"/>
  </si>
  <si>
    <t>Description</t>
    <phoneticPr fontId="2" type="noConversion"/>
  </si>
  <si>
    <t>따라서, 직전년 분기별 평균 매출에 추정 분기의 성장세를 고려하여 추정함.</t>
    <phoneticPr fontId="2" type="noConversion"/>
  </si>
  <si>
    <t>따라서, 직전년 분기별 평균 매출에 추정 분기의 성장세를 반영하여 추정함.</t>
    <phoneticPr fontId="2" type="noConversion"/>
  </si>
  <si>
    <t>백만 원</t>
    <phoneticPr fontId="43" type="noConversion"/>
  </si>
  <si>
    <t>배</t>
    <phoneticPr fontId="2" type="noConversion"/>
  </si>
  <si>
    <t>주</t>
    <phoneticPr fontId="2" type="noConversion"/>
  </si>
  <si>
    <t>지역별 HSFO 벙커선 판매량 전망</t>
    <phoneticPr fontId="2" type="noConversion"/>
  </si>
  <si>
    <t>AM 솔루션 부문 매출의 경우, 엔진, 비엔진, 육상발전, 스마트케어 부문 매출로 구분하여 추정함.</t>
    <phoneticPr fontId="2" type="noConversion"/>
  </si>
  <si>
    <t>급여의 경우, 국회예산정책처에서 발표한 연간 명목임금상승률 전망치를 분기로 계산하여 '25년 YoY+3.6%, '26년 YoY+3.9%로 각 분기 추정함.</t>
    <phoneticPr fontId="2" type="noConversion"/>
  </si>
  <si>
    <t>퇴직급여의 경우, 급여 상승분을 적용하여 추정함.</t>
    <phoneticPr fontId="2" type="noConversion"/>
  </si>
  <si>
    <t>전산처리비의 경우, 1Q25에 급격히 상승하여 유지되는 경향을 보이므로 직전 2Q Average Flat 적용함.</t>
    <phoneticPr fontId="2" type="noConversion"/>
  </si>
  <si>
    <t>세금과공과의 경우, 1Q25에 급격히 상승하여 유지되는 경향을 보이므로 직전 2Q Average Flat 적용함.</t>
    <phoneticPr fontId="2" type="noConversion"/>
  </si>
  <si>
    <t>판매보증충당부채전입의 경우, 1Q25에 급격히 상승하여 유지되는 경향을 보이므로 직전 2Q Average Flat 적용함.</t>
    <phoneticPr fontId="2" type="noConversion"/>
  </si>
  <si>
    <t>두바이 원유 가격의 경우, Bloomberg의 전망치를 참조함. 전망치가 존재하지 않은 4Q25부터는 직전 3Q Average Flat 적용함.</t>
    <phoneticPr fontId="2" type="noConversion"/>
  </si>
  <si>
    <t>원/달러 환율의 경우, Bloomberg 전망치를 참고함. 전망치가 존재하지 않는 4Q25부터는 직전 3Q Average Flat 적용함.</t>
    <phoneticPr fontId="2" type="noConversion"/>
  </si>
  <si>
    <t>여비교통비의 경우, 변동성이 낮으므로 직전 4Q Average Flat 적용함.</t>
    <phoneticPr fontId="2" type="noConversion"/>
  </si>
  <si>
    <t>지급수수료의 경우, 상장 후 첫 분기를 제외하고 매출 대비  매우 작은 폭의 변동성을 보이므로, 직전 4Q Average Flat 적용함.</t>
    <phoneticPr fontId="2" type="noConversion"/>
  </si>
  <si>
    <t>광고선전비의 경우, 변동성이 낮으므로 직전 4Q Average Flat 적용함.</t>
    <phoneticPr fontId="2" type="noConversion"/>
  </si>
  <si>
    <t>복리후생비의 경우, 변동성이 낮으므로 직전 4Q Average Flat 적용함.</t>
    <phoneticPr fontId="2" type="noConversion"/>
  </si>
  <si>
    <t>교육훈련비의 경우, 변동성이 낮으므로 직전 4Q Average Flat 적용함.</t>
    <phoneticPr fontId="2" type="noConversion"/>
  </si>
  <si>
    <t>임차료의 경우, 변동성이 낮으므로 직전 4Q Average Flat 적용함.</t>
    <phoneticPr fontId="2" type="noConversion"/>
  </si>
  <si>
    <t>차량유지비의 경우, 고정비적 성격을 지니므로 직전 4Q Average Flat 적용함.</t>
    <phoneticPr fontId="2" type="noConversion"/>
  </si>
  <si>
    <t>수도광열비의 경우, 변동성이 낮으므로 직전 4Q Average Flat 적용함.</t>
    <phoneticPr fontId="2" type="noConversion"/>
  </si>
  <si>
    <t>감가상각비의 경우, 변동성이 낮으므로 직전 4Q Average Flat 적용함.</t>
    <phoneticPr fontId="2" type="noConversion"/>
  </si>
  <si>
    <t>외주용역비의 경우, 급격히 감소한 1Q25를 제외한 직전 4Q Average Flat 적용함.</t>
    <phoneticPr fontId="2" type="noConversion"/>
  </si>
  <si>
    <t>대손상각비환입의 경우, 매출 대비 매우 작은 폭의 변동성을 보이므로, 직전 4Q Averge Flat 적용함.</t>
    <phoneticPr fontId="2" type="noConversion"/>
  </si>
  <si>
    <t>하자보수충당부채전입(환입)의 경우, 매출 대비 매우 작은 폭의 변동성을 보이므로, 직전 4Q Averge Flat 적용함.</t>
    <phoneticPr fontId="2" type="noConversion"/>
  </si>
  <si>
    <t>기타의 경우, 변동성이 낮으므로 직전 4Q Average Flat 적용함.</t>
    <phoneticPr fontId="2" type="noConversion"/>
  </si>
  <si>
    <t>기타비용의 경우, 자세한 추정이 어렵고 변동성이 낮으므로 직전 4Q Average Flat 적용함.</t>
    <phoneticPr fontId="2" type="noConversion"/>
  </si>
  <si>
    <t>기타수익의 경우, 매출 대비 매우 작은 폭의 변동성을 보이므로 직전 4Q Average Flat 적용함.</t>
    <phoneticPr fontId="2" type="noConversion"/>
  </si>
  <si>
    <t>금융원가의 경우, 자세한 추정이 어렵고 변동성이 낮으므로 직전 4Q Average Flat 적용함.</t>
    <phoneticPr fontId="2" type="noConversion"/>
  </si>
  <si>
    <t>금융수익의 경우, 자세한 추정이 어렵고 변동성이 낮으므로 직전 4Q Average Flat 적용함.</t>
    <phoneticPr fontId="2" type="noConversion"/>
  </si>
  <si>
    <t>지분법손익의 경우, 매출 대비 매우 작은 폭의 변동성을 보이므로 직전 4Q Average Flat 적용함.</t>
    <phoneticPr fontId="2" type="noConversion"/>
  </si>
  <si>
    <t>직전 4개년간, 기항 선박 부문 매출과 해당 지역 HSFO 벙커량 추정치의 상관계수가 각각 0.9292, 0.9628로 유의미한 상관관계를 갖고 있다고 판단되므로,</t>
    <phoneticPr fontId="2" type="noConversion"/>
  </si>
  <si>
    <t>S/G ASP의 경우, 2Q25 기준 수주 잔고와 수주 척수를 이용하여 추정함.</t>
    <phoneticPr fontId="2" type="noConversion"/>
  </si>
  <si>
    <t>비엔진 부문 매출의 경우, 직전 2Y와 직전 2Q 모두 큰 변동성이 존재하지 않고, 동사의 향후 사업 성장여력이 제한된다고 판단됨.</t>
    <phoneticPr fontId="2" type="noConversion"/>
  </si>
  <si>
    <t>육상발전 부문 매출의 경우, 직전 2Y와 직전 2Q 모두 큰 변동성이 존재하지 않고, 동사의 향후 사업 성장여력이 제한된다고 판단됨.</t>
    <phoneticPr fontId="2" type="noConversion"/>
  </si>
  <si>
    <t>스마트케어 부문 매출의 경우, 직전 2Y와 직전 2Q 모두 큰 변동성이 존재하지 않고, 동사의 향후 사업 성장여력이 제한된다고 판단됨.</t>
    <phoneticPr fontId="2" type="noConversion"/>
  </si>
  <si>
    <t>FTAI Aviation Ltd</t>
  </si>
  <si>
    <t>두바이 원유($)</t>
    <phoneticPr fontId="2" type="noConversion"/>
  </si>
  <si>
    <t>엔진 개조 부문 매출의 경우, EPLO, D/F로 구분하여 추정함.</t>
    <phoneticPr fontId="2" type="noConversion"/>
  </si>
  <si>
    <t>디지털 솔루션의 경우, 주요 제품인 Shaft Generator, 그 외 수주가 전환됨에 따라 인식되는 매출, 기타 매출로 구분하여 추정함.</t>
    <phoneticPr fontId="2" type="noConversion"/>
  </si>
  <si>
    <t>S/G의 선박 수의 경우, 직전 분기 대비 수주 증가분을 ASP로 나누어 선박수 증가세를 추정함.</t>
    <phoneticPr fontId="2" type="noConversion"/>
  </si>
  <si>
    <t>벙커링의 경우, 출항/기항 선박의 수와 벙커유 판매량에 매우 큰 영향을 받음. 향후 큰 변동폭이 없을 것으로 전망되기에, 상관관계를 이용하여 매출을 추정함.</t>
    <phoneticPr fontId="2" type="noConversion"/>
  </si>
  <si>
    <t>직전 4개년간, 출항 선박 부문 매출과 신규 인도 선박 수 간의 상관계수가 0.8659로 유의미한 상관관계를 갖고 있다고 판단되므로,</t>
    <phoneticPr fontId="2" type="noConversion"/>
  </si>
  <si>
    <t>Avg P/E</t>
    <phoneticPr fontId="2" type="noConversion"/>
  </si>
  <si>
    <t>'26E 당기순이익</t>
    <phoneticPr fontId="43" type="noConversion"/>
  </si>
  <si>
    <t>4행정 엔진 매출</t>
    <phoneticPr fontId="2" type="noConversion"/>
  </si>
  <si>
    <t>2행정 엔진 매출</t>
    <phoneticPr fontId="2" type="noConversion"/>
  </si>
  <si>
    <t>연구개발비의 경우, 2H에 몰려 집행되는 경향이 있으나, 연간 총 비용으로 계산할 경우 변동성이 크지 않으므로 직전 4Q Average Flat 적용함.</t>
    <phoneticPr fontId="2" type="noConversion"/>
  </si>
  <si>
    <t>유효 법인세율(%)</t>
    <phoneticPr fontId="2" type="noConversion"/>
  </si>
  <si>
    <t>매출 대비 법인세율(%)</t>
    <phoneticPr fontId="2" type="noConversion"/>
  </si>
  <si>
    <t>Total</t>
  </si>
  <si>
    <t>HD 조선 3사 2행정 연도별 선박 대수</t>
  </si>
  <si>
    <t>HD 조선 3사 4행정 연도별 선박 대수</t>
    <phoneticPr fontId="2" type="noConversion"/>
  </si>
  <si>
    <t>2행정 ASP</t>
    <phoneticPr fontId="2" type="noConversion"/>
  </si>
  <si>
    <t>4행정 ASP</t>
    <phoneticPr fontId="2" type="noConversion"/>
  </si>
  <si>
    <t>2행정 엔진 대수</t>
    <phoneticPr fontId="2" type="noConversion"/>
  </si>
  <si>
    <t>4행정 엔진 대수</t>
    <phoneticPr fontId="2" type="noConversion"/>
  </si>
  <si>
    <t>업종</t>
  </si>
  <si>
    <t>P/E</t>
  </si>
  <si>
    <t>할인율</t>
  </si>
  <si>
    <t>항공</t>
  </si>
  <si>
    <t>Heico</t>
  </si>
  <si>
    <t>발전설비</t>
  </si>
  <si>
    <t>GE Vernova</t>
  </si>
  <si>
    <t>방산</t>
  </si>
  <si>
    <t>Raytheon Technologies</t>
  </si>
  <si>
    <t>Bae Syetems</t>
  </si>
  <si>
    <t>철도</t>
  </si>
  <si>
    <t>Alstom</t>
  </si>
  <si>
    <t>AM 서비스 선박 ASP의 경우, 동사가 컨퍼런스콜에서 발표한 연간 단가 상승률 20%를 분기 가중평균 계산하여 적용함.</t>
    <phoneticPr fontId="2" type="noConversion"/>
  </si>
  <si>
    <t>1Q25 매출액(억 원)</t>
    <phoneticPr fontId="2" type="noConversion"/>
  </si>
  <si>
    <t>2행정 엔진 AM ASP</t>
    <phoneticPr fontId="2" type="noConversion"/>
  </si>
  <si>
    <t>동사의 1Q25 컨퍼런스 콜 내용을 참고함.</t>
    <phoneticPr fontId="2" type="noConversion"/>
  </si>
  <si>
    <t>'25~'26년 AM 선박 예상 대수</t>
    <phoneticPr fontId="2" type="noConversion"/>
  </si>
  <si>
    <t>분기당 AM 선박 예상 대수</t>
    <phoneticPr fontId="2" type="noConversion"/>
  </si>
  <si>
    <t>1Q25 2행정 부문 매출액을 분기당 AM 선박 예상 대수로 나누어 2행정 엔진 AM ASP를 추정함.</t>
    <phoneticPr fontId="2" type="noConversion"/>
  </si>
  <si>
    <t>'25~'26년, 총 8개 분기간 '05년, '09년, '10년, '14년, '15년, '20년, '21년 인도된 4행정 선박들의 점검이 균등하게 이루어질 것으로 추정함.</t>
    <phoneticPr fontId="2" type="noConversion"/>
  </si>
  <si>
    <t>선박들의 정기 점검이 약 4~5년 주기로 진행된다는 점 참고.</t>
    <phoneticPr fontId="2" type="noConversion"/>
  </si>
  <si>
    <t>1Q25 4행정 부문 매출액을 분기당 AM 선박 예상 대수로 나누어 4행정 엔진 AM ASP를 추정함.</t>
    <phoneticPr fontId="2" type="noConversion"/>
  </si>
  <si>
    <t>4행정 엔진 AM ASP</t>
    <phoneticPr fontId="2" type="noConversion"/>
  </si>
  <si>
    <t>연간 재액화 Full CAPA(척)</t>
  </si>
  <si>
    <t>동사의 재액화 CAPA는 충분하나, 선주들의 환경 규제 대비가 본격 개시되는 '26년부터 분기당 2척씩 수주할 것으로 추정함. 보유 중인 수주는 Full CAPA로 소진될 것으로 추정함.</t>
  </si>
  <si>
    <t>연간 FSU Full CAPA(척)</t>
  </si>
  <si>
    <t>동사의 엔지니어링 설비 관련 제한사항으로, 연간 FSU Full CAPA는 3척으로 확인됨.</t>
  </si>
  <si>
    <t>동사의 FSU Full CAPA와 관련 파이프라인 및 에너지 수요를 반영하여, 반기당 1척(1천만 불)씩 수주할 것으로 추정함. ASP의 경우 IR측 답변을 참고함.</t>
  </si>
  <si>
    <t>연간 FSRU Full CAPA(척)</t>
  </si>
  <si>
    <t>동사의 설비 내 재기화 장치 관련 제한사항으로, 연간 FSRU Full CAPA는 2척으로 확인됨.</t>
  </si>
  <si>
    <t>'26년에는 1척 수주 후, '27년부터는 Full CAPA가 가동될 것으로 전망함. ASP의 경우, IR측 답변을 참고함.</t>
  </si>
  <si>
    <t>연간 EPLO Full CAPA(척)</t>
  </si>
  <si>
    <t>연간 D/F Full CAPA(척)</t>
  </si>
  <si>
    <t>D/F Full CAPA는 '27년부터 본격 가동될 것으로 전망되므로 추정하지 않음.</t>
  </si>
  <si>
    <t>HD현대마린솔루션 Valuation&amp;Estimation Logic</t>
    <phoneticPr fontId="2" type="noConversion"/>
  </si>
  <si>
    <t>HD현대마린솔루션 RAW DATA</t>
    <phoneticPr fontId="2" type="noConversion"/>
  </si>
  <si>
    <t>'25~'26년, 총 8개 분기간 '05년, '09년, '10년, '14년, '15년, '20년, '21년 인도된 2행정 선박들의 점검이 균등하게 이루어질 것으로 추정함.</t>
    <phoneticPr fontId="2" type="noConversion"/>
  </si>
  <si>
    <t>선박당 2행정 탑재 수</t>
    <phoneticPr fontId="2" type="noConversion"/>
  </si>
  <si>
    <t>선박당 4행정 탑재 수</t>
    <phoneticPr fontId="2" type="noConversion"/>
  </si>
  <si>
    <t>선박당 2행정 엔진 탑재 수는 1대로 전제함.</t>
    <phoneticPr fontId="2" type="noConversion"/>
  </si>
  <si>
    <t>선박당 4행정 엔진 탑재 수는 6대로 전제함.</t>
    <phoneticPr fontId="2" type="noConversion"/>
  </si>
  <si>
    <t xml:space="preserve">(C) </t>
    <phoneticPr fontId="43" type="noConversion"/>
  </si>
  <si>
    <t>(D)=(A)*(B)/(C)</t>
    <phoneticPr fontId="43" type="noConversion"/>
  </si>
  <si>
    <t>매출원가의 경우, 동사가 모그룹 내 계열사들의 공급망을 이용하고, 자체 생산이 아닌 상품으로 취급하는 재화가 대부분이므로 매출액 대비 경향성을 반영하기 위하여 직전 4Q Average Flat 적용함.</t>
    <phoneticPr fontId="2" type="noConversion"/>
  </si>
  <si>
    <t xml:space="preserve">유효 법인세율에 대한 정확한 추정이 불가능하다고 판단되므로, 매출액 대비 법인세율에 직전 4Q Average Flat 적용하였다. </t>
    <phoneticPr fontId="2" type="noConversion"/>
  </si>
  <si>
    <t>추정한 매출액에 대비하여 법인세율을 환산하였을 때, 한계 법인세율 이내이므로 합리적인 추정이라 판단하였다;</t>
  </si>
  <si>
    <t>25.09.22 기준</t>
    <phoneticPr fontId="4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</si>
</sst>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76" formatCode="#,##0_ ;[Red]\-#,##0\ "/>
    <numFmt numFmtId="177" formatCode="0.0%"/>
    <numFmt numFmtId="178" formatCode="_-* #,##0.0_-;\-* #,##0.0_-;_-* &quot;-&quot;_-;_-@_-"/>
    <numFmt numFmtId="179" formatCode="#,##0_);\(#,##0\)"/>
    <numFmt numFmtId="180" formatCode="0.00000%"/>
    <numFmt numFmtId="181" formatCode="0_);[Red]\(0\)"/>
    <numFmt numFmtId="182" formatCode="_-* #,##0.000_-;\-* #,##0.000_-;_-* &quot;-&quot;_-;_-@_-"/>
    <numFmt numFmtId="183" formatCode="_-* #,##0.0000_-;\-* #,##0.0000_-;_-* &quot;-&quot;_-;_-@_-"/>
    <numFmt numFmtId="184" formatCode="0.000E+00"/>
    <numFmt numFmtId="185" formatCode="_-* #,##0.00_-;\-* #,##0.00_-;_-* &quot;-&quot;_-;_-@_-"/>
    <numFmt numFmtId="186" formatCode="#,##0.0;\-#,##0.0"/>
    <numFmt numFmtId="187" formatCode="#,##0.00_);\(#,##0.00\)"/>
    <numFmt numFmtId="188" formatCode="#,##0.0_);\(#,##0.0\)"/>
    <numFmt numFmtId="189" formatCode="#,##0.0_ "/>
    <numFmt numFmtId="190" formatCode="0.0"/>
    <numFmt numFmtId="191" formatCode="0.0_);[Red]\(0.0\)"/>
    <numFmt numFmtId="192" formatCode="#,##0_);[Red]\(#,##0\)"/>
    <numFmt numFmtId="193" formatCode="0.00_);[Red]\(0.00\)"/>
    <numFmt numFmtId="194" formatCode="#,##0.00_);[Red]\(#,##0.00\)"/>
    <numFmt numFmtId="195" formatCode="#,##0.000_);[Red]\(#,##0.000\)"/>
  </numFmts>
  <fonts count="55"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KoPubWorld돋움체 Bold"/>
      <family val="3"/>
      <charset val="129"/>
    </font>
    <font>
      <sz val="9"/>
      <color theme="1"/>
      <name val="KoPubWorld돋움체 Light"/>
      <family val="3"/>
      <charset val="129"/>
    </font>
    <font>
      <sz val="9"/>
      <color rgb="FF000000"/>
      <name val="KoPubWorld돋움체 Light"/>
      <family val="3"/>
      <charset val="129"/>
    </font>
    <font>
      <sz val="9"/>
      <color rgb="FF325886"/>
      <name val="KoPubWorld돋움체 Light"/>
      <family val="3"/>
      <charset val="129"/>
    </font>
    <font>
      <sz val="9"/>
      <color rgb="FF0070C0"/>
      <name val="KoPubWorld돋움체 Light"/>
      <family val="3"/>
      <charset val="129"/>
    </font>
    <font>
      <sz val="9"/>
      <color rgb="FF325886"/>
      <name val="맑은 고딕"/>
      <family val="2"/>
      <charset val="129"/>
      <scheme val="minor"/>
    </font>
    <font>
      <sz val="9"/>
      <color rgb="FF325886"/>
      <name val="Arial"/>
      <family val="2"/>
    </font>
    <font>
      <b/>
      <sz val="9"/>
      <color rgb="FFFFFFFF"/>
      <name val="KoPubWorld돋움체 Light"/>
      <family val="3"/>
      <charset val="129"/>
    </font>
    <font>
      <b/>
      <sz val="9"/>
      <color rgb="FFFFFFFF"/>
      <name val="KoPubWorld돋움체 Bold"/>
      <family val="3"/>
      <charset val="129"/>
    </font>
    <font>
      <sz val="8"/>
      <color indexed="54"/>
      <name val="Tahoma"/>
      <family val="2"/>
    </font>
    <font>
      <sz val="9"/>
      <color theme="1"/>
      <name val="Arial"/>
      <family val="2"/>
    </font>
    <font>
      <sz val="11"/>
      <color theme="0"/>
      <name val="KoPubWorld돋움체 Bold"/>
      <family val="3"/>
      <charset val="129"/>
    </font>
    <font>
      <b/>
      <sz val="10"/>
      <color theme="0"/>
      <name val="Arial"/>
      <family val="2"/>
      <charset val="129"/>
    </font>
    <font>
      <sz val="10"/>
      <color theme="0"/>
      <name val="Arial"/>
      <family val="2"/>
    </font>
    <font>
      <b/>
      <sz val="14"/>
      <color theme="0"/>
      <name val="Arial"/>
      <family val="2"/>
    </font>
    <font>
      <i/>
      <sz val="10"/>
      <color theme="0"/>
      <name val="Arial"/>
      <family val="2"/>
    </font>
    <font>
      <sz val="9"/>
      <color theme="1"/>
      <name val="KoPubWorld돋움체 Medium"/>
      <family val="3"/>
      <charset val="129"/>
    </font>
    <font>
      <sz val="9"/>
      <name val="KoPubWorld돋움체 Medium"/>
      <family val="3"/>
      <charset val="129"/>
    </font>
    <font>
      <i/>
      <sz val="9"/>
      <color theme="2" tint="-0.499984740745262"/>
      <name val="KoPubWorld돋움체 Medium"/>
      <family val="3"/>
      <charset val="129"/>
    </font>
    <font>
      <sz val="10"/>
      <color theme="0"/>
      <name val="KoPubWorld돋움체 Bold"/>
      <family val="3"/>
      <charset val="129"/>
    </font>
    <font>
      <b/>
      <sz val="14"/>
      <color theme="0"/>
      <name val="KoPubWorld돋움체 Bold"/>
      <family val="3"/>
      <charset val="129"/>
    </font>
    <font>
      <i/>
      <sz val="10"/>
      <color theme="0"/>
      <name val="KoPubWorld돋움체 Bold"/>
      <family val="3"/>
      <charset val="129"/>
    </font>
    <font>
      <i/>
      <sz val="8"/>
      <color theme="0" tint="-0.499984740745262"/>
      <name val="KoPubWorld돋움체 Medium"/>
      <family val="3"/>
      <charset val="129"/>
    </font>
    <font>
      <sz val="10"/>
      <color indexed="8"/>
      <name val="Arial"/>
      <family val="2"/>
    </font>
    <font>
      <i/>
      <sz val="9"/>
      <color theme="0" tint="-0.499984740745262"/>
      <name val="KoPubWorld돋움체 Medium"/>
      <family val="3"/>
      <charset val="129"/>
    </font>
    <font>
      <sz val="10"/>
      <color theme="1"/>
      <name val="KoPubWorld돋움체 Bold"/>
      <family val="3"/>
      <charset val="129"/>
    </font>
    <font>
      <i/>
      <sz val="10"/>
      <color theme="0" tint="-0.499984740745262"/>
      <name val="KoPubWorld돋움체 Medium"/>
      <family val="3"/>
      <charset val="129"/>
    </font>
    <font>
      <sz val="10"/>
      <color theme="1"/>
      <name val="KoPubWorld돋움체 Medium"/>
      <family val="3"/>
      <charset val="129"/>
    </font>
    <font>
      <sz val="10"/>
      <color theme="1"/>
      <name val="맑은 고딕"/>
      <family val="2"/>
      <charset val="129"/>
      <scheme val="minor"/>
    </font>
    <font>
      <sz val="10"/>
      <name val="KoPubWorld돋움체 Medium"/>
      <family val="3"/>
      <charset val="129"/>
    </font>
    <font>
      <sz val="10"/>
      <color rgb="FF000000"/>
      <name val="굴림"/>
      <family val="3"/>
      <charset val="129"/>
    </font>
    <font>
      <sz val="10"/>
      <color rgb="FFFF0000"/>
      <name val="KoPubWorld돋움체 Medium"/>
      <family val="3"/>
      <charset val="129"/>
    </font>
    <font>
      <sz val="10"/>
      <color theme="0"/>
      <name val="KoPubWorld돋움체 Light"/>
      <family val="3"/>
      <charset val="129"/>
    </font>
    <font>
      <i/>
      <sz val="10"/>
      <name val="KoPubWorld돋움체 Medium"/>
      <family val="3"/>
      <charset val="129"/>
    </font>
    <font>
      <i/>
      <sz val="10"/>
      <color theme="1"/>
      <name val="KoPubWorld돋움체 Medium"/>
      <family val="3"/>
      <charset val="129"/>
    </font>
    <font>
      <sz val="10"/>
      <color theme="0"/>
      <name val="맑은 고딕"/>
      <family val="2"/>
      <charset val="129"/>
      <scheme val="minor"/>
    </font>
    <font>
      <sz val="9"/>
      <color theme="1"/>
      <name val="맑은 고딕"/>
      <family val="2"/>
      <charset val="129"/>
      <scheme val="minor"/>
    </font>
    <font>
      <sz val="9"/>
      <color theme="0"/>
      <name val="KoPubWorld돋움체 Light"/>
      <family val="3"/>
      <charset val="129"/>
    </font>
    <font>
      <sz val="10"/>
      <name val="KoPubWorld돋움체 Bold"/>
      <family val="3"/>
      <charset val="129"/>
    </font>
    <font>
      <sz val="10"/>
      <color theme="0" tint="-0.14999847407452621"/>
      <name val="KoPubWorld돋움체 Medium"/>
      <family val="3"/>
      <charset val="129"/>
    </font>
    <font>
      <sz val="8"/>
      <name val="맑은 고딕"/>
      <family val="3"/>
      <charset val="129"/>
      <scheme val="minor"/>
    </font>
    <font>
      <sz val="11"/>
      <color theme="1"/>
      <name val="맑은 고딕"/>
      <family val="2"/>
      <scheme val="minor"/>
    </font>
    <font>
      <sz val="10"/>
      <color rgb="FF000000"/>
      <name val="KoPubWorld돋움체 Medium"/>
      <family val="3"/>
      <charset val="129"/>
    </font>
    <font>
      <i/>
      <sz val="10"/>
      <color theme="0" tint="-0.499984740745262"/>
      <name val="KoPubWorld돋움체 Bold"/>
      <family val="3"/>
      <charset val="129"/>
    </font>
    <font>
      <i/>
      <sz val="11"/>
      <color theme="1"/>
      <name val="맑은 고딕"/>
      <family val="2"/>
      <charset val="129"/>
      <scheme val="minor"/>
    </font>
    <font>
      <sz val="11"/>
      <color theme="1"/>
      <name val="KoPubWorld돋움체 Medium"/>
      <family val="3"/>
      <charset val="129"/>
    </font>
    <font>
      <sz val="10"/>
      <color rgb="FFFFFFFF"/>
      <name val="KoPubWorld돋움체 Medium"/>
      <family val="3"/>
      <charset val="129"/>
    </font>
    <font>
      <sz val="11"/>
      <color theme="0"/>
      <name val="KoPubWorld돋움체 Medium"/>
      <family val="3"/>
      <charset val="129"/>
    </font>
    <font>
      <sz val="10"/>
      <color rgb="FFD0CECE"/>
      <name val="KoPubWorld돋움체 Bold"/>
      <family val="3"/>
      <charset val="129"/>
    </font>
    <font>
      <sz val="10"/>
      <color rgb="FFD0CECE"/>
      <name val="KoPubWorld돋움체 Medium"/>
      <family val="3"/>
      <charset val="129"/>
    </font>
    <font>
      <sz val="10"/>
      <color rgb="FFC00000"/>
      <name val="KoPubWorld돋움체 Bold"/>
      <family val="3"/>
      <charset val="129"/>
    </font>
    <font>
      <sz val="11"/>
      <color rgb="FFC00000"/>
      <name val="맑은 고딕"/>
      <family val="2"/>
      <charset val="129"/>
      <scheme val="minor"/>
    </font>
  </fonts>
  <fills count="17">
    <fill>
      <patternFill patternType="none"/>
    </fill>
    <fill>
      <patternFill patternType="gray125"/>
    </fill>
    <fill>
      <patternFill patternType="solid">
        <fgColor rgb="FFD0CECE"/>
        <bgColor indexed="64"/>
      </patternFill>
    </fill>
    <fill>
      <patternFill patternType="solid">
        <fgColor theme="0"/>
        <bgColor indexed="64"/>
      </patternFill>
    </fill>
    <fill>
      <patternFill patternType="solid">
        <fgColor rgb="FFEBEBEB"/>
        <bgColor indexed="64"/>
      </patternFill>
    </fill>
    <fill>
      <patternFill patternType="solid">
        <fgColor rgb="FFD7D7D7"/>
        <bgColor indexed="64"/>
      </patternFill>
    </fill>
    <fill>
      <patternFill patternType="solid">
        <fgColor rgb="FFABC3D6"/>
        <bgColor indexed="64"/>
      </patternFill>
    </fill>
    <fill>
      <patternFill patternType="solid">
        <fgColor rgb="FFE7EEFD"/>
        <bgColor indexed="64"/>
      </patternFill>
    </fill>
    <fill>
      <patternFill patternType="solid">
        <fgColor rgb="FFF7F9FF"/>
        <bgColor indexed="64"/>
      </patternFill>
    </fill>
    <fill>
      <patternFill patternType="solid">
        <fgColor rgb="FF01185F"/>
        <bgColor indexed="64"/>
      </patternFill>
    </fill>
    <fill>
      <patternFill patternType="solid">
        <fgColor rgb="FF062F87"/>
        <bgColor indexed="64"/>
      </patternFill>
    </fill>
    <fill>
      <patternFill patternType="solid">
        <fgColor rgb="FF01AE42"/>
        <bgColor indexed="64"/>
      </patternFill>
    </fill>
    <fill>
      <patternFill patternType="solid">
        <fgColor rgb="FF203864"/>
        <bgColor indexed="64"/>
      </patternFill>
    </fill>
    <fill>
      <patternFill patternType="solid">
        <fgColor rgb="FFFFFFFF"/>
        <bgColor indexed="64"/>
      </patternFill>
    </fill>
    <fill>
      <patternFill patternType="solid">
        <fgColor theme="0"/>
        <bgColor theme="9" tint="0.79998168889431442"/>
      </patternFill>
    </fill>
    <fill>
      <patternFill patternType="solid">
        <fgColor rgb="FFB4C7E7"/>
        <bgColor indexed="64"/>
      </patternFill>
    </fill>
    <fill>
      <patternFill patternType="solid">
        <fgColor rgb="FFD0CECE"/>
        <bgColor theme="9" tint="0.79998168889431442"/>
      </patternFill>
    </fill>
  </fills>
  <borders count="17">
    <border>
      <left/>
      <right/>
      <top/>
      <bottom/>
      <diagonal/>
    </border>
    <border>
      <left/>
      <right/>
      <top style="thin">
        <color auto="1"/>
      </top>
      <bottom style="thin">
        <color indexed="64"/>
      </bottom>
      <diagonal/>
    </border>
    <border>
      <left/>
      <right/>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diagonal/>
    </border>
    <border>
      <left style="thin">
        <color rgb="FF538DD5"/>
      </left>
      <right style="thin">
        <color rgb="FF538DD5"/>
      </right>
      <top/>
      <bottom/>
      <diagonal/>
    </border>
    <border>
      <left/>
      <right/>
      <top/>
      <bottom style="thin">
        <color theme="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s>
  <cellStyleXfs count="8">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 fontId="26" fillId="13" borderId="13">
      <alignment horizontal="right"/>
    </xf>
    <xf numFmtId="41" fontId="44" fillId="0" borderId="0" applyFont="0" applyFill="0" applyBorder="0" applyAlignment="0" applyProtection="0">
      <alignment vertical="center"/>
    </xf>
  </cellStyleXfs>
  <cellXfs count="287">
    <xf numFmtId="0" fontId="0" fillId="0" borderId="0" xfId="0">
      <alignment vertical="center"/>
    </xf>
    <xf numFmtId="176" fontId="4" fillId="3" borderId="0" xfId="0" applyNumberFormat="1" applyFont="1" applyFill="1">
      <alignment vertical="center"/>
    </xf>
    <xf numFmtId="0" fontId="5" fillId="4" borderId="0" xfId="0" applyFont="1" applyFill="1">
      <alignment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horizontal="center" vertical="center"/>
    </xf>
    <xf numFmtId="0" fontId="6" fillId="7" borderId="2" xfId="0" applyFont="1" applyFill="1" applyBorder="1">
      <alignment vertical="center"/>
    </xf>
    <xf numFmtId="0" fontId="7" fillId="8" borderId="3" xfId="0" applyFont="1" applyFill="1" applyBorder="1">
      <alignment vertical="center"/>
    </xf>
    <xf numFmtId="0" fontId="7" fillId="8" borderId="4" xfId="0" applyFont="1" applyFill="1" applyBorder="1">
      <alignment vertical="center"/>
    </xf>
    <xf numFmtId="0" fontId="6" fillId="7" borderId="0" xfId="0" applyFont="1" applyFill="1">
      <alignment vertical="center"/>
    </xf>
    <xf numFmtId="0" fontId="7" fillId="8" borderId="5" xfId="0" applyFont="1" applyFill="1" applyBorder="1">
      <alignment vertical="center"/>
    </xf>
    <xf numFmtId="0" fontId="7" fillId="8" borderId="6" xfId="0" applyFont="1" applyFill="1" applyBorder="1">
      <alignment vertical="center"/>
    </xf>
    <xf numFmtId="0" fontId="7" fillId="8" borderId="7" xfId="0" applyFont="1" applyFill="1" applyBorder="1">
      <alignment vertical="center"/>
    </xf>
    <xf numFmtId="0" fontId="10" fillId="9" borderId="0" xfId="0" applyFont="1" applyFill="1">
      <alignment vertical="center"/>
    </xf>
    <xf numFmtId="0" fontId="11" fillId="9" borderId="0" xfId="0" applyFont="1" applyFill="1">
      <alignment vertical="center"/>
    </xf>
    <xf numFmtId="0" fontId="0" fillId="3" borderId="0" xfId="0" applyFill="1">
      <alignment vertical="center"/>
    </xf>
    <xf numFmtId="0" fontId="5" fillId="3" borderId="0" xfId="0" applyFont="1" applyFill="1">
      <alignment vertical="center"/>
    </xf>
    <xf numFmtId="0" fontId="0" fillId="10" borderId="0" xfId="0" applyFill="1">
      <alignment vertical="center"/>
    </xf>
    <xf numFmtId="0" fontId="0" fillId="11" borderId="0" xfId="0" applyFill="1">
      <alignment vertical="center"/>
    </xf>
    <xf numFmtId="0" fontId="14" fillId="11" borderId="0" xfId="0" applyFont="1" applyFill="1">
      <alignment vertical="center"/>
    </xf>
    <xf numFmtId="0" fontId="15" fillId="12" borderId="0" xfId="0" applyFont="1" applyFill="1">
      <alignment vertical="center"/>
    </xf>
    <xf numFmtId="0" fontId="16" fillId="12" borderId="0" xfId="0" applyFont="1" applyFill="1" applyAlignment="1">
      <alignment horizontal="right" vertical="center"/>
    </xf>
    <xf numFmtId="0" fontId="0" fillId="12" borderId="0" xfId="0" applyFill="1" applyAlignment="1"/>
    <xf numFmtId="0" fontId="17" fillId="12" borderId="8" xfId="0" applyFont="1" applyFill="1" applyBorder="1" applyAlignment="1"/>
    <xf numFmtId="0" fontId="16" fillId="12" borderId="8" xfId="0" applyFont="1" applyFill="1" applyBorder="1" applyAlignment="1">
      <alignment horizontal="right"/>
    </xf>
    <xf numFmtId="0" fontId="18" fillId="12" borderId="0" xfId="0" applyFont="1" applyFill="1" applyAlignment="1">
      <alignment horizontal="left"/>
    </xf>
    <xf numFmtId="0" fontId="16" fillId="12" borderId="0" xfId="0" applyFont="1" applyFill="1" applyAlignment="1">
      <alignment horizontal="right"/>
    </xf>
    <xf numFmtId="0" fontId="22" fillId="12" borderId="0" xfId="0" applyFont="1" applyFill="1">
      <alignment vertical="center"/>
    </xf>
    <xf numFmtId="0" fontId="23" fillId="12" borderId="8" xfId="0" applyFont="1" applyFill="1" applyBorder="1" applyAlignment="1"/>
    <xf numFmtId="0" fontId="24" fillId="12" borderId="0" xfId="0" applyFont="1" applyFill="1" applyAlignment="1">
      <alignment horizontal="left"/>
    </xf>
    <xf numFmtId="176" fontId="13" fillId="3" borderId="0" xfId="0" applyNumberFormat="1" applyFont="1" applyFill="1">
      <alignment vertical="center"/>
    </xf>
    <xf numFmtId="176" fontId="0" fillId="3" borderId="0" xfId="0" applyNumberFormat="1" applyFill="1">
      <alignment vertical="center"/>
    </xf>
    <xf numFmtId="178" fontId="21" fillId="3" borderId="2" xfId="5" applyNumberFormat="1" applyFont="1" applyFill="1" applyBorder="1" applyAlignment="1">
      <alignment horizontal="center" vertical="center"/>
    </xf>
    <xf numFmtId="177" fontId="21" fillId="3" borderId="2" xfId="4" applyNumberFormat="1" applyFont="1" applyFill="1" applyBorder="1" applyAlignment="1">
      <alignment horizontal="center" vertical="center"/>
    </xf>
    <xf numFmtId="40" fontId="20" fillId="3" borderId="0" xfId="0" applyNumberFormat="1" applyFont="1" applyFill="1" applyAlignment="1">
      <alignment horizontal="center" vertical="center"/>
    </xf>
    <xf numFmtId="37" fontId="19" fillId="3" borderId="0" xfId="0" applyNumberFormat="1" applyFont="1" applyFill="1" applyAlignment="1">
      <alignment horizontal="center" vertical="center"/>
    </xf>
    <xf numFmtId="178" fontId="21" fillId="3" borderId="0" xfId="5" applyNumberFormat="1" applyFont="1" applyFill="1" applyBorder="1" applyAlignment="1">
      <alignment horizontal="center" vertical="center"/>
    </xf>
    <xf numFmtId="0" fontId="3" fillId="3" borderId="0" xfId="0" applyFont="1" applyFill="1">
      <alignment vertical="center"/>
    </xf>
    <xf numFmtId="177" fontId="21" fillId="3" borderId="0" xfId="4" applyNumberFormat="1" applyFont="1" applyFill="1" applyBorder="1" applyAlignment="1">
      <alignment horizontal="center" vertical="center"/>
    </xf>
    <xf numFmtId="10" fontId="25" fillId="3" borderId="0" xfId="4" applyNumberFormat="1" applyFont="1" applyFill="1" applyBorder="1" applyAlignment="1">
      <alignment horizontal="center" vertical="center"/>
    </xf>
    <xf numFmtId="41" fontId="19" fillId="14" borderId="0" xfId="1" applyFont="1" applyFill="1" applyBorder="1" applyAlignment="1">
      <alignment vertical="center"/>
    </xf>
    <xf numFmtId="0" fontId="0" fillId="12" borderId="0" xfId="0" applyFill="1">
      <alignment vertical="center"/>
    </xf>
    <xf numFmtId="0" fontId="23" fillId="12" borderId="8" xfId="0" applyFont="1" applyFill="1" applyBorder="1">
      <alignment vertical="center"/>
    </xf>
    <xf numFmtId="0" fontId="17" fillId="12" borderId="8" xfId="0" applyFont="1" applyFill="1" applyBorder="1">
      <alignment vertical="center"/>
    </xf>
    <xf numFmtId="0" fontId="16" fillId="12" borderId="8" xfId="0" applyFont="1" applyFill="1" applyBorder="1" applyAlignment="1">
      <alignment horizontal="right" vertical="center"/>
    </xf>
    <xf numFmtId="0" fontId="24" fillId="12" borderId="0" xfId="0" applyFont="1" applyFill="1" applyAlignment="1">
      <alignment horizontal="left" vertical="center"/>
    </xf>
    <xf numFmtId="0" fontId="18" fillId="12" borderId="0" xfId="0" applyFont="1" applyFill="1" applyAlignment="1">
      <alignment horizontal="left" vertical="center"/>
    </xf>
    <xf numFmtId="41" fontId="19" fillId="3" borderId="0" xfId="1" applyFont="1" applyFill="1" applyBorder="1" applyAlignment="1">
      <alignment vertical="center"/>
    </xf>
    <xf numFmtId="0" fontId="27" fillId="14" borderId="0" xfId="0" applyFont="1" applyFill="1" applyAlignment="1">
      <alignment horizontal="left" vertical="center"/>
    </xf>
    <xf numFmtId="0" fontId="22" fillId="12" borderId="0" xfId="0" applyFont="1" applyFill="1" applyAlignment="1">
      <alignment horizontal="left" vertical="center"/>
    </xf>
    <xf numFmtId="0" fontId="22" fillId="12" borderId="9" xfId="0" applyFont="1" applyFill="1" applyBorder="1" applyAlignment="1">
      <alignment horizontal="center" vertical="center"/>
    </xf>
    <xf numFmtId="0" fontId="22" fillId="12" borderId="0" xfId="0" applyFont="1" applyFill="1" applyAlignment="1">
      <alignment horizontal="center" vertical="center"/>
    </xf>
    <xf numFmtId="0" fontId="28" fillId="14" borderId="0" xfId="0" applyFont="1" applyFill="1" applyAlignment="1">
      <alignment horizontal="center" vertical="center"/>
    </xf>
    <xf numFmtId="179" fontId="28" fillId="14" borderId="0" xfId="1" applyNumberFormat="1" applyFont="1" applyFill="1" applyBorder="1" applyAlignment="1">
      <alignment horizontal="center" vertical="center"/>
    </xf>
    <xf numFmtId="179" fontId="28" fillId="14" borderId="11" xfId="1" applyNumberFormat="1" applyFont="1" applyFill="1" applyBorder="1" applyAlignment="1">
      <alignment horizontal="center" vertical="center"/>
    </xf>
    <xf numFmtId="179" fontId="30" fillId="14" borderId="0" xfId="1" applyNumberFormat="1" applyFont="1" applyFill="1" applyBorder="1" applyAlignment="1">
      <alignment horizontal="center" vertical="center"/>
    </xf>
    <xf numFmtId="179" fontId="30" fillId="14" borderId="11" xfId="1" applyNumberFormat="1" applyFont="1" applyFill="1" applyBorder="1" applyAlignment="1">
      <alignment horizontal="center" vertical="center"/>
    </xf>
    <xf numFmtId="0" fontId="30" fillId="14" borderId="0" xfId="0" applyFont="1" applyFill="1" applyAlignment="1">
      <alignment horizontal="center" vertical="center"/>
    </xf>
    <xf numFmtId="0" fontId="30" fillId="3" borderId="0" xfId="0" applyFont="1" applyFill="1" applyAlignment="1">
      <alignment horizontal="center" vertical="center"/>
    </xf>
    <xf numFmtId="179" fontId="30" fillId="3" borderId="0" xfId="1" applyNumberFormat="1" applyFont="1" applyFill="1" applyBorder="1" applyAlignment="1">
      <alignment horizontal="center" vertical="center"/>
    </xf>
    <xf numFmtId="179" fontId="30" fillId="3" borderId="11" xfId="1" applyNumberFormat="1" applyFont="1" applyFill="1" applyBorder="1" applyAlignment="1">
      <alignment horizontal="center" vertical="center"/>
    </xf>
    <xf numFmtId="0" fontId="30" fillId="3" borderId="2" xfId="0" applyFont="1" applyFill="1" applyBorder="1" applyAlignment="1">
      <alignment horizontal="center" vertical="center"/>
    </xf>
    <xf numFmtId="179" fontId="30" fillId="3" borderId="2" xfId="1" applyNumberFormat="1" applyFont="1" applyFill="1" applyBorder="1" applyAlignment="1">
      <alignment horizontal="center" vertical="center"/>
    </xf>
    <xf numFmtId="179" fontId="30" fillId="3" borderId="12" xfId="1" applyNumberFormat="1" applyFont="1" applyFill="1" applyBorder="1" applyAlignment="1">
      <alignment horizontal="center" vertical="center"/>
    </xf>
    <xf numFmtId="179" fontId="30" fillId="14" borderId="2" xfId="1" applyNumberFormat="1" applyFont="1" applyFill="1" applyBorder="1" applyAlignment="1">
      <alignment horizontal="center" vertical="center"/>
    </xf>
    <xf numFmtId="0" fontId="28" fillId="3" borderId="0" xfId="0" applyFont="1" applyFill="1" applyAlignment="1">
      <alignment horizontal="center" vertical="center"/>
    </xf>
    <xf numFmtId="0" fontId="30" fillId="14" borderId="2" xfId="0" applyFont="1" applyFill="1" applyBorder="1" applyAlignment="1">
      <alignment horizontal="center" vertical="center"/>
    </xf>
    <xf numFmtId="179" fontId="30" fillId="14" borderId="12" xfId="1" applyNumberFormat="1" applyFont="1" applyFill="1" applyBorder="1" applyAlignment="1">
      <alignment horizontal="center" vertical="center"/>
    </xf>
    <xf numFmtId="179" fontId="30" fillId="14" borderId="14" xfId="1" applyNumberFormat="1" applyFont="1" applyFill="1" applyBorder="1" applyAlignment="1">
      <alignment horizontal="center" vertical="center"/>
    </xf>
    <xf numFmtId="0" fontId="31" fillId="3" borderId="0" xfId="0" applyFont="1" applyFill="1">
      <alignment vertical="center"/>
    </xf>
    <xf numFmtId="0" fontId="30" fillId="14" borderId="0" xfId="1" applyNumberFormat="1" applyFont="1" applyFill="1" applyBorder="1" applyAlignment="1">
      <alignment horizontal="left" vertical="center"/>
    </xf>
    <xf numFmtId="41" fontId="30" fillId="14" borderId="0" xfId="1" applyFont="1" applyFill="1" applyBorder="1" applyAlignment="1">
      <alignment vertical="center"/>
    </xf>
    <xf numFmtId="0" fontId="30" fillId="14" borderId="0" xfId="1" applyNumberFormat="1" applyFont="1" applyFill="1" applyBorder="1" applyAlignment="1">
      <alignment vertical="center"/>
    </xf>
    <xf numFmtId="0" fontId="30" fillId="14" borderId="0" xfId="4" applyNumberFormat="1" applyFont="1" applyFill="1" applyBorder="1" applyAlignment="1">
      <alignment vertical="center"/>
    </xf>
    <xf numFmtId="9" fontId="30" fillId="14" borderId="0" xfId="4" applyFont="1" applyFill="1" applyBorder="1" applyAlignment="1">
      <alignment vertical="center"/>
    </xf>
    <xf numFmtId="10" fontId="29" fillId="3" borderId="0" xfId="4" applyNumberFormat="1" applyFont="1" applyFill="1" applyBorder="1" applyAlignment="1">
      <alignment horizontal="center" vertical="center"/>
    </xf>
    <xf numFmtId="41" fontId="30" fillId="3" borderId="0" xfId="1" applyFont="1" applyFill="1" applyBorder="1" applyAlignment="1">
      <alignment vertical="center"/>
    </xf>
    <xf numFmtId="177" fontId="29" fillId="3" borderId="0" xfId="4" applyNumberFormat="1" applyFont="1" applyFill="1" applyBorder="1" applyAlignment="1">
      <alignment horizontal="center" vertical="center"/>
    </xf>
    <xf numFmtId="0" fontId="30" fillId="3" borderId="0" xfId="0" applyFont="1" applyFill="1" applyAlignment="1">
      <alignment horizontal="left" vertical="center"/>
    </xf>
    <xf numFmtId="178" fontId="30" fillId="14" borderId="0" xfId="1" applyNumberFormat="1" applyFont="1" applyFill="1" applyBorder="1" applyAlignment="1">
      <alignment vertical="center"/>
    </xf>
    <xf numFmtId="0" fontId="22" fillId="12" borderId="11" xfId="0" applyFont="1" applyFill="1" applyBorder="1" applyAlignment="1">
      <alignment horizontal="center" vertical="center"/>
    </xf>
    <xf numFmtId="183" fontId="30" fillId="14" borderId="0" xfId="1" applyNumberFormat="1" applyFont="1" applyFill="1" applyBorder="1" applyAlignment="1">
      <alignment vertical="center"/>
    </xf>
    <xf numFmtId="0" fontId="30" fillId="14" borderId="0" xfId="0" applyFont="1" applyFill="1" applyAlignment="1">
      <alignment horizontal="left" vertical="center"/>
    </xf>
    <xf numFmtId="182" fontId="30" fillId="14" borderId="0" xfId="1" applyNumberFormat="1" applyFont="1" applyFill="1" applyBorder="1" applyAlignment="1">
      <alignment vertical="center"/>
    </xf>
    <xf numFmtId="41" fontId="30" fillId="14" borderId="2" xfId="1" applyFont="1" applyFill="1" applyBorder="1" applyAlignment="1">
      <alignment vertical="center"/>
    </xf>
    <xf numFmtId="183" fontId="30" fillId="14" borderId="2" xfId="1" applyNumberFormat="1" applyFont="1" applyFill="1" applyBorder="1" applyAlignment="1">
      <alignment vertical="center"/>
    </xf>
    <xf numFmtId="185" fontId="30" fillId="14" borderId="2" xfId="1" applyNumberFormat="1" applyFont="1" applyFill="1" applyBorder="1" applyAlignment="1">
      <alignment vertical="center"/>
    </xf>
    <xf numFmtId="0" fontId="22" fillId="12" borderId="10" xfId="0" applyFont="1" applyFill="1" applyBorder="1" applyAlignment="1">
      <alignment horizontal="center" vertical="center"/>
    </xf>
    <xf numFmtId="185" fontId="30" fillId="14" borderId="0" xfId="1" applyNumberFormat="1" applyFont="1" applyFill="1" applyBorder="1" applyAlignment="1">
      <alignment vertical="center"/>
    </xf>
    <xf numFmtId="41" fontId="30" fillId="14" borderId="9" xfId="1" applyFont="1" applyFill="1" applyBorder="1" applyAlignment="1">
      <alignment vertical="center"/>
    </xf>
    <xf numFmtId="183" fontId="30" fillId="14" borderId="9" xfId="1" applyNumberFormat="1" applyFont="1" applyFill="1" applyBorder="1" applyAlignment="1">
      <alignment vertical="center"/>
    </xf>
    <xf numFmtId="0" fontId="22" fillId="12" borderId="1" xfId="0" applyFont="1" applyFill="1" applyBorder="1" applyAlignment="1">
      <alignment horizontal="left" vertical="center"/>
    </xf>
    <xf numFmtId="178" fontId="30" fillId="3" borderId="1" xfId="5" applyNumberFormat="1" applyFont="1" applyFill="1" applyBorder="1" applyAlignment="1">
      <alignment horizontal="center" vertical="center"/>
    </xf>
    <xf numFmtId="37" fontId="30" fillId="3" borderId="1" xfId="0" applyNumberFormat="1" applyFont="1" applyFill="1" applyBorder="1" applyAlignment="1">
      <alignment horizontal="center" vertical="center"/>
    </xf>
    <xf numFmtId="38" fontId="30" fillId="3" borderId="1" xfId="0" applyNumberFormat="1" applyFont="1" applyFill="1" applyBorder="1" applyAlignment="1">
      <alignment horizontal="center" vertical="center"/>
    </xf>
    <xf numFmtId="178" fontId="32" fillId="3" borderId="9" xfId="5" applyNumberFormat="1" applyFont="1" applyFill="1" applyBorder="1" applyAlignment="1">
      <alignment horizontal="center" vertical="center"/>
    </xf>
    <xf numFmtId="37" fontId="30" fillId="3" borderId="9" xfId="0" applyNumberFormat="1" applyFont="1" applyFill="1" applyBorder="1" applyAlignment="1">
      <alignment horizontal="center" vertical="center"/>
    </xf>
    <xf numFmtId="0" fontId="30" fillId="3" borderId="9" xfId="0" applyFont="1" applyFill="1" applyBorder="1" applyAlignment="1">
      <alignment horizontal="center" vertical="center"/>
    </xf>
    <xf numFmtId="38" fontId="30" fillId="3" borderId="9" xfId="0" applyNumberFormat="1" applyFont="1" applyFill="1" applyBorder="1" applyAlignment="1">
      <alignment horizontal="center" vertical="center"/>
    </xf>
    <xf numFmtId="9" fontId="32" fillId="3" borderId="9" xfId="4" applyFont="1" applyFill="1" applyBorder="1" applyAlignment="1">
      <alignment horizontal="center" vertical="center"/>
    </xf>
    <xf numFmtId="9" fontId="32" fillId="3" borderId="0" xfId="4" applyFont="1" applyFill="1" applyBorder="1" applyAlignment="1">
      <alignment horizontal="center" vertical="center"/>
    </xf>
    <xf numFmtId="37" fontId="30" fillId="3" borderId="0" xfId="0" applyNumberFormat="1" applyFont="1" applyFill="1" applyAlignment="1">
      <alignment horizontal="center" vertical="center"/>
    </xf>
    <xf numFmtId="9" fontId="32" fillId="3" borderId="0" xfId="4" applyFont="1" applyFill="1" applyBorder="1" applyAlignment="1">
      <alignment horizontal="left" vertical="center"/>
    </xf>
    <xf numFmtId="9" fontId="36" fillId="3" borderId="0" xfId="4" applyFont="1" applyFill="1" applyBorder="1" applyAlignment="1">
      <alignment horizontal="left" vertical="center"/>
    </xf>
    <xf numFmtId="178" fontId="30" fillId="3" borderId="9" xfId="5" applyNumberFormat="1" applyFont="1" applyFill="1" applyBorder="1" applyAlignment="1">
      <alignment horizontal="center" vertical="center"/>
    </xf>
    <xf numFmtId="40" fontId="32" fillId="3" borderId="9" xfId="0" applyNumberFormat="1" applyFont="1" applyFill="1" applyBorder="1" applyAlignment="1">
      <alignment horizontal="center" vertical="center"/>
    </xf>
    <xf numFmtId="40" fontId="32" fillId="3" borderId="0" xfId="0" applyNumberFormat="1" applyFont="1" applyFill="1" applyAlignment="1">
      <alignment horizontal="center" vertical="center"/>
    </xf>
    <xf numFmtId="0" fontId="32" fillId="3" borderId="9" xfId="0" applyFont="1" applyFill="1" applyBorder="1" applyAlignment="1">
      <alignment horizontal="center" vertical="center"/>
    </xf>
    <xf numFmtId="40" fontId="30" fillId="3" borderId="0" xfId="0" applyNumberFormat="1" applyFont="1" applyFill="1" applyAlignment="1">
      <alignment horizontal="center" vertical="center"/>
    </xf>
    <xf numFmtId="179" fontId="30" fillId="3" borderId="0" xfId="0" applyNumberFormat="1" applyFont="1" applyFill="1" applyAlignment="1">
      <alignment horizontal="center" vertical="center"/>
    </xf>
    <xf numFmtId="37" fontId="31" fillId="3" borderId="0" xfId="0" applyNumberFormat="1" applyFont="1" applyFill="1">
      <alignment vertical="center"/>
    </xf>
    <xf numFmtId="37" fontId="30" fillId="3" borderId="10" xfId="0" applyNumberFormat="1" applyFont="1" applyFill="1" applyBorder="1" applyAlignment="1">
      <alignment horizontal="center" vertical="center"/>
    </xf>
    <xf numFmtId="37" fontId="30" fillId="3" borderId="11" xfId="0" applyNumberFormat="1" applyFont="1" applyFill="1" applyBorder="1" applyAlignment="1">
      <alignment horizontal="center" vertical="center"/>
    </xf>
    <xf numFmtId="40" fontId="32" fillId="3" borderId="2" xfId="0" applyNumberFormat="1" applyFont="1" applyFill="1" applyBorder="1" applyAlignment="1">
      <alignment horizontal="center" vertical="center"/>
    </xf>
    <xf numFmtId="37" fontId="30" fillId="3" borderId="2" xfId="0" applyNumberFormat="1" applyFont="1" applyFill="1" applyBorder="1" applyAlignment="1">
      <alignment horizontal="center" vertical="center"/>
    </xf>
    <xf numFmtId="37" fontId="30" fillId="3" borderId="12" xfId="0" applyNumberFormat="1" applyFont="1" applyFill="1" applyBorder="1" applyAlignment="1">
      <alignment horizontal="center" vertical="center"/>
    </xf>
    <xf numFmtId="0" fontId="30" fillId="3" borderId="0" xfId="0" applyFont="1" applyFill="1">
      <alignment vertical="center"/>
    </xf>
    <xf numFmtId="40" fontId="30" fillId="3" borderId="2" xfId="0" applyNumberFormat="1" applyFont="1" applyFill="1" applyBorder="1" applyAlignment="1">
      <alignment horizontal="center" vertical="center"/>
    </xf>
    <xf numFmtId="179" fontId="30" fillId="3" borderId="2" xfId="0" applyNumberFormat="1" applyFont="1" applyFill="1" applyBorder="1" applyAlignment="1">
      <alignment horizontal="center" vertical="center"/>
    </xf>
    <xf numFmtId="40" fontId="27" fillId="3" borderId="2" xfId="0" applyNumberFormat="1" applyFont="1" applyFill="1" applyBorder="1" applyAlignment="1">
      <alignment horizontal="center" vertical="center"/>
    </xf>
    <xf numFmtId="10" fontId="27" fillId="3" borderId="2" xfId="4" applyNumberFormat="1" applyFont="1" applyFill="1" applyBorder="1" applyAlignment="1">
      <alignment horizontal="center" vertical="center"/>
    </xf>
    <xf numFmtId="10" fontId="27" fillId="3" borderId="12" xfId="4" applyNumberFormat="1" applyFont="1" applyFill="1" applyBorder="1" applyAlignment="1">
      <alignment horizontal="center" vertical="center"/>
    </xf>
    <xf numFmtId="10" fontId="27" fillId="3" borderId="0" xfId="4" applyNumberFormat="1" applyFont="1" applyFill="1" applyBorder="1" applyAlignment="1">
      <alignment horizontal="center" vertical="center"/>
    </xf>
    <xf numFmtId="37" fontId="27" fillId="3" borderId="2" xfId="0" applyNumberFormat="1" applyFont="1" applyFill="1" applyBorder="1" applyAlignment="1">
      <alignment horizontal="center" vertical="center"/>
    </xf>
    <xf numFmtId="177" fontId="27" fillId="3" borderId="2" xfId="4" applyNumberFormat="1" applyFont="1" applyFill="1" applyBorder="1" applyAlignment="1">
      <alignment horizontal="center" vertical="center"/>
    </xf>
    <xf numFmtId="177" fontId="27" fillId="3" borderId="12" xfId="4" applyNumberFormat="1" applyFont="1" applyFill="1" applyBorder="1" applyAlignment="1">
      <alignment horizontal="center" vertical="center"/>
    </xf>
    <xf numFmtId="177" fontId="27" fillId="3" borderId="0" xfId="4" applyNumberFormat="1" applyFont="1" applyFill="1" applyBorder="1" applyAlignment="1">
      <alignment horizontal="center" vertical="center"/>
    </xf>
    <xf numFmtId="179" fontId="27" fillId="3" borderId="2" xfId="1" applyNumberFormat="1" applyFont="1" applyFill="1" applyBorder="1" applyAlignment="1">
      <alignment horizontal="center" vertical="center"/>
    </xf>
    <xf numFmtId="177" fontId="27" fillId="3" borderId="14" xfId="4" applyNumberFormat="1" applyFont="1" applyFill="1" applyBorder="1" applyAlignment="1">
      <alignment horizontal="center" vertical="center"/>
    </xf>
    <xf numFmtId="40" fontId="41" fillId="3" borderId="0" xfId="0" applyNumberFormat="1" applyFont="1" applyFill="1" applyAlignment="1">
      <alignment horizontal="center" vertical="center"/>
    </xf>
    <xf numFmtId="37" fontId="28" fillId="3" borderId="0" xfId="0" applyNumberFormat="1" applyFont="1" applyFill="1" applyAlignment="1">
      <alignment horizontal="center" vertical="center"/>
    </xf>
    <xf numFmtId="37" fontId="28" fillId="3" borderId="11" xfId="0" applyNumberFormat="1" applyFont="1" applyFill="1" applyBorder="1" applyAlignment="1">
      <alignment horizontal="center" vertical="center"/>
    </xf>
    <xf numFmtId="0" fontId="28" fillId="14" borderId="0" xfId="1" applyNumberFormat="1" applyFont="1" applyFill="1" applyBorder="1" applyAlignment="1">
      <alignment horizontal="left" vertical="center"/>
    </xf>
    <xf numFmtId="0" fontId="30" fillId="14" borderId="1" xfId="0" applyFont="1" applyFill="1" applyBorder="1" applyAlignment="1">
      <alignment horizontal="center" vertical="center"/>
    </xf>
    <xf numFmtId="179" fontId="30" fillId="14" borderId="1" xfId="1" applyNumberFormat="1" applyFont="1" applyFill="1" applyBorder="1" applyAlignment="1">
      <alignment horizontal="center" vertical="center"/>
    </xf>
    <xf numFmtId="179" fontId="30" fillId="14" borderId="15" xfId="1" applyNumberFormat="1" applyFont="1" applyFill="1" applyBorder="1" applyAlignment="1">
      <alignment horizontal="center" vertical="center"/>
    </xf>
    <xf numFmtId="186" fontId="30" fillId="3" borderId="0" xfId="0" applyNumberFormat="1" applyFont="1" applyFill="1" applyAlignment="1">
      <alignment horizontal="center" vertical="center"/>
    </xf>
    <xf numFmtId="177" fontId="30" fillId="3" borderId="0" xfId="4" applyNumberFormat="1" applyFont="1" applyFill="1" applyAlignment="1">
      <alignment horizontal="center" vertical="center"/>
    </xf>
    <xf numFmtId="0" fontId="34" fillId="3" borderId="0" xfId="1" applyNumberFormat="1" applyFont="1" applyFill="1" applyBorder="1" applyAlignment="1">
      <alignment vertical="center"/>
    </xf>
    <xf numFmtId="0" fontId="30" fillId="3" borderId="0" xfId="1" applyNumberFormat="1" applyFont="1" applyFill="1" applyBorder="1" applyAlignment="1">
      <alignment vertical="center"/>
    </xf>
    <xf numFmtId="187" fontId="30" fillId="14" borderId="2" xfId="1" applyNumberFormat="1" applyFont="1" applyFill="1" applyBorder="1" applyAlignment="1">
      <alignment vertical="center"/>
    </xf>
    <xf numFmtId="37" fontId="28" fillId="3" borderId="0" xfId="0" applyNumberFormat="1" applyFont="1" applyFill="1" applyAlignment="1">
      <alignment horizontal="left" vertical="center"/>
    </xf>
    <xf numFmtId="188" fontId="30" fillId="14" borderId="0" xfId="1" applyNumberFormat="1" applyFont="1" applyFill="1" applyBorder="1" applyAlignment="1">
      <alignment horizontal="center" vertical="center"/>
    </xf>
    <xf numFmtId="188" fontId="30" fillId="14" borderId="11" xfId="1" applyNumberFormat="1" applyFont="1" applyFill="1" applyBorder="1" applyAlignment="1">
      <alignment horizontal="center" vertical="center"/>
    </xf>
    <xf numFmtId="188" fontId="30" fillId="14" borderId="2" xfId="1" applyNumberFormat="1" applyFont="1" applyFill="1" applyBorder="1" applyAlignment="1">
      <alignment horizontal="center" vertical="center"/>
    </xf>
    <xf numFmtId="188" fontId="30" fillId="14" borderId="12" xfId="1" applyNumberFormat="1" applyFont="1" applyFill="1" applyBorder="1" applyAlignment="1">
      <alignment horizontal="center" vertical="center"/>
    </xf>
    <xf numFmtId="189" fontId="30" fillId="3" borderId="0" xfId="0" applyNumberFormat="1" applyFont="1" applyFill="1" applyAlignment="1">
      <alignment horizontal="center" vertical="center"/>
    </xf>
    <xf numFmtId="186" fontId="30" fillId="3" borderId="2" xfId="0" applyNumberFormat="1" applyFont="1" applyFill="1" applyBorder="1" applyAlignment="1">
      <alignment horizontal="center" vertical="center"/>
    </xf>
    <xf numFmtId="0" fontId="32" fillId="3" borderId="0" xfId="0" applyFont="1" applyFill="1" applyAlignment="1">
      <alignment horizontal="center" vertical="center"/>
    </xf>
    <xf numFmtId="0" fontId="32" fillId="3" borderId="2" xfId="0" applyFont="1" applyFill="1" applyBorder="1" applyAlignment="1">
      <alignment horizontal="center" vertical="center"/>
    </xf>
    <xf numFmtId="191" fontId="30" fillId="3" borderId="0" xfId="0" applyNumberFormat="1" applyFont="1" applyFill="1" applyAlignment="1">
      <alignment horizontal="center" vertical="center"/>
    </xf>
    <xf numFmtId="37" fontId="19" fillId="3" borderId="0" xfId="0" applyNumberFormat="1" applyFont="1" applyFill="1" applyAlignment="1">
      <alignment horizontal="left" vertical="center"/>
    </xf>
    <xf numFmtId="0" fontId="0" fillId="3" borderId="0" xfId="0" applyFill="1" applyAlignment="1">
      <alignment horizontal="left" vertical="center"/>
    </xf>
    <xf numFmtId="0" fontId="28" fillId="2" borderId="0" xfId="0" applyFont="1" applyFill="1" applyAlignment="1">
      <alignment horizontal="left" vertical="center"/>
    </xf>
    <xf numFmtId="49" fontId="22" fillId="12" borderId="0" xfId="0" applyNumberFormat="1" applyFont="1" applyFill="1" applyAlignment="1">
      <alignment horizontal="center" vertical="center"/>
    </xf>
    <xf numFmtId="0" fontId="27" fillId="3" borderId="0" xfId="0" applyFont="1" applyFill="1" applyAlignment="1">
      <alignment horizontal="center" vertical="center"/>
    </xf>
    <xf numFmtId="0" fontId="30" fillId="14" borderId="0" xfId="1" applyNumberFormat="1" applyFont="1" applyFill="1" applyBorder="1" applyAlignment="1">
      <alignment horizontal="center" vertical="center"/>
    </xf>
    <xf numFmtId="0" fontId="27" fillId="3" borderId="2" xfId="0" applyFont="1" applyFill="1" applyBorder="1" applyAlignment="1">
      <alignment horizontal="center" vertical="center"/>
    </xf>
    <xf numFmtId="0" fontId="41" fillId="3" borderId="0" xfId="0" applyFont="1" applyFill="1" applyAlignment="1">
      <alignment horizontal="center" vertical="center"/>
    </xf>
    <xf numFmtId="0" fontId="41" fillId="3" borderId="2" xfId="0" applyFont="1" applyFill="1" applyBorder="1" applyAlignment="1">
      <alignment horizontal="center" vertical="center"/>
    </xf>
    <xf numFmtId="37" fontId="28" fillId="3" borderId="2" xfId="0" applyNumberFormat="1" applyFont="1" applyFill="1" applyBorder="1" applyAlignment="1">
      <alignment horizontal="center" vertical="center"/>
    </xf>
    <xf numFmtId="179" fontId="30" fillId="14" borderId="9" xfId="1" applyNumberFormat="1" applyFont="1" applyFill="1" applyBorder="1" applyAlignment="1">
      <alignment horizontal="center" vertical="center"/>
    </xf>
    <xf numFmtId="178" fontId="30" fillId="14" borderId="2" xfId="1" applyNumberFormat="1" applyFont="1" applyFill="1" applyBorder="1" applyAlignment="1">
      <alignment vertical="center"/>
    </xf>
    <xf numFmtId="0" fontId="22" fillId="12" borderId="1" xfId="0" applyFont="1" applyFill="1" applyBorder="1">
      <alignment vertical="center"/>
    </xf>
    <xf numFmtId="0" fontId="30" fillId="3" borderId="0" xfId="0" quotePrefix="1" applyFont="1" applyFill="1" applyAlignment="1">
      <alignment horizontal="center" vertical="center"/>
    </xf>
    <xf numFmtId="0" fontId="28" fillId="2" borderId="0" xfId="0" applyFont="1" applyFill="1" applyAlignment="1">
      <alignment horizontal="center" vertical="center"/>
    </xf>
    <xf numFmtId="192" fontId="30" fillId="3" borderId="0" xfId="1" applyNumberFormat="1" applyFont="1" applyFill="1" applyAlignment="1">
      <alignment horizontal="right" vertical="center"/>
    </xf>
    <xf numFmtId="192" fontId="28" fillId="2" borderId="0" xfId="1" applyNumberFormat="1" applyFont="1" applyFill="1" applyAlignment="1">
      <alignment horizontal="right" vertical="center"/>
    </xf>
    <xf numFmtId="192" fontId="45" fillId="3" borderId="0" xfId="1" applyNumberFormat="1" applyFont="1" applyFill="1" applyAlignment="1">
      <alignment horizontal="right" vertical="center"/>
    </xf>
    <xf numFmtId="49" fontId="22" fillId="12" borderId="1" xfId="0" applyNumberFormat="1" applyFont="1" applyFill="1" applyBorder="1" applyAlignment="1">
      <alignment horizontal="center" vertical="center"/>
    </xf>
    <xf numFmtId="49" fontId="22" fillId="3" borderId="0" xfId="0" applyNumberFormat="1" applyFont="1" applyFill="1" applyAlignment="1">
      <alignment horizontal="center" vertical="center"/>
    </xf>
    <xf numFmtId="41" fontId="31" fillId="3" borderId="0" xfId="1" applyFont="1" applyFill="1" applyAlignment="1">
      <alignment vertical="center"/>
    </xf>
    <xf numFmtId="49" fontId="22" fillId="12" borderId="9" xfId="0" applyNumberFormat="1" applyFont="1" applyFill="1" applyBorder="1" applyAlignment="1">
      <alignment horizontal="center" vertical="center"/>
    </xf>
    <xf numFmtId="0" fontId="39" fillId="3" borderId="0" xfId="0" applyFont="1" applyFill="1">
      <alignment vertical="center"/>
    </xf>
    <xf numFmtId="9" fontId="38" fillId="3" borderId="0" xfId="0" applyNumberFormat="1" applyFont="1" applyFill="1">
      <alignment vertical="center"/>
    </xf>
    <xf numFmtId="37" fontId="0" fillId="3" borderId="0" xfId="0" applyNumberFormat="1" applyFill="1">
      <alignment vertical="center"/>
    </xf>
    <xf numFmtId="49" fontId="22" fillId="3" borderId="0" xfId="0" applyNumberFormat="1" applyFont="1" applyFill="1">
      <alignment vertical="center"/>
    </xf>
    <xf numFmtId="0" fontId="30" fillId="3" borderId="0" xfId="0" quotePrefix="1" applyFont="1" applyFill="1">
      <alignment vertical="center"/>
    </xf>
    <xf numFmtId="0" fontId="28" fillId="3" borderId="0" xfId="0" applyFont="1" applyFill="1">
      <alignment vertical="center"/>
    </xf>
    <xf numFmtId="0" fontId="0" fillId="3" borderId="9" xfId="0" applyFill="1" applyBorder="1">
      <alignment vertical="center"/>
    </xf>
    <xf numFmtId="184" fontId="31" fillId="3" borderId="0" xfId="0" applyNumberFormat="1" applyFont="1" applyFill="1">
      <alignment vertical="center"/>
    </xf>
    <xf numFmtId="0" fontId="31" fillId="0" borderId="0" xfId="0" applyFont="1">
      <alignment vertical="center"/>
    </xf>
    <xf numFmtId="0" fontId="31" fillId="3" borderId="1" xfId="0" applyFont="1" applyFill="1" applyBorder="1">
      <alignment vertical="center"/>
    </xf>
    <xf numFmtId="43" fontId="31" fillId="3" borderId="0" xfId="0" applyNumberFormat="1" applyFont="1" applyFill="1">
      <alignment vertical="center"/>
    </xf>
    <xf numFmtId="0" fontId="33" fillId="3" borderId="0" xfId="0" applyFont="1" applyFill="1">
      <alignment vertical="center"/>
    </xf>
    <xf numFmtId="3" fontId="31" fillId="3" borderId="0" xfId="0" applyNumberFormat="1" applyFont="1" applyFill="1">
      <alignment vertical="center"/>
    </xf>
    <xf numFmtId="3" fontId="33" fillId="3" borderId="0" xfId="0" applyNumberFormat="1" applyFont="1" applyFill="1" applyAlignment="1">
      <alignment horizontal="right" vertical="center"/>
    </xf>
    <xf numFmtId="180" fontId="35" fillId="3" borderId="0" xfId="0" applyNumberFormat="1" applyFont="1" applyFill="1">
      <alignment vertical="center"/>
    </xf>
    <xf numFmtId="180" fontId="40" fillId="3" borderId="0" xfId="0" applyNumberFormat="1" applyFont="1" applyFill="1">
      <alignment vertical="center"/>
    </xf>
    <xf numFmtId="0" fontId="33" fillId="3" borderId="0" xfId="0" applyFont="1" applyFill="1" applyAlignment="1">
      <alignment horizontal="right" vertical="center"/>
    </xf>
    <xf numFmtId="37" fontId="37" fillId="3" borderId="0" xfId="0" applyNumberFormat="1" applyFont="1" applyFill="1" applyAlignment="1">
      <alignment horizontal="center" vertical="center"/>
    </xf>
    <xf numFmtId="37" fontId="37" fillId="3" borderId="0" xfId="0" applyNumberFormat="1" applyFont="1" applyFill="1" applyAlignment="1">
      <alignment horizontal="left" vertical="center"/>
    </xf>
    <xf numFmtId="0" fontId="47" fillId="3" borderId="0" xfId="0" applyFont="1" applyFill="1" applyAlignment="1">
      <alignment horizontal="center" vertical="center"/>
    </xf>
    <xf numFmtId="2" fontId="37" fillId="14" borderId="0" xfId="1" applyNumberFormat="1" applyFont="1" applyFill="1" applyBorder="1" applyAlignment="1">
      <alignment horizontal="center" vertical="center"/>
    </xf>
    <xf numFmtId="190" fontId="37" fillId="14" borderId="0" xfId="1" applyNumberFormat="1" applyFont="1" applyFill="1" applyBorder="1" applyAlignment="1">
      <alignment horizontal="center" vertical="center"/>
    </xf>
    <xf numFmtId="0" fontId="48" fillId="3" borderId="0" xfId="0" applyFont="1" applyFill="1">
      <alignment vertical="center"/>
    </xf>
    <xf numFmtId="41" fontId="30" fillId="14" borderId="0" xfId="1" applyFont="1" applyFill="1" applyBorder="1" applyAlignment="1">
      <alignment horizontal="center" vertical="center"/>
    </xf>
    <xf numFmtId="41" fontId="30" fillId="3" borderId="0" xfId="1" applyFont="1" applyFill="1" applyBorder="1" applyAlignment="1">
      <alignment horizontal="center" vertical="center"/>
    </xf>
    <xf numFmtId="41" fontId="30" fillId="14" borderId="2" xfId="1" applyFont="1" applyFill="1" applyBorder="1" applyAlignment="1">
      <alignment horizontal="center" vertical="center"/>
    </xf>
    <xf numFmtId="181" fontId="30" fillId="14" borderId="0" xfId="1" applyNumberFormat="1" applyFont="1" applyFill="1" applyBorder="1" applyAlignment="1">
      <alignment horizontal="center" vertical="center"/>
    </xf>
    <xf numFmtId="181" fontId="30" fillId="3" borderId="0" xfId="1" applyNumberFormat="1" applyFont="1" applyFill="1" applyBorder="1" applyAlignment="1">
      <alignment horizontal="center" vertical="center"/>
    </xf>
    <xf numFmtId="181" fontId="30" fillId="3" borderId="2" xfId="1" applyNumberFormat="1" applyFont="1" applyFill="1" applyBorder="1" applyAlignment="1">
      <alignment horizontal="center" vertical="center"/>
    </xf>
    <xf numFmtId="177" fontId="27" fillId="3" borderId="2" xfId="4" applyNumberFormat="1" applyFont="1" applyFill="1" applyBorder="1" applyAlignment="1">
      <alignment vertical="center"/>
    </xf>
    <xf numFmtId="0" fontId="48" fillId="3" borderId="0" xfId="0" applyFont="1" applyFill="1" applyAlignment="1">
      <alignment horizontal="center" vertical="center"/>
    </xf>
    <xf numFmtId="177" fontId="37" fillId="3" borderId="0" xfId="4" applyNumberFormat="1" applyFont="1" applyFill="1" applyBorder="1" applyAlignment="1">
      <alignment horizontal="center" vertical="center"/>
    </xf>
    <xf numFmtId="0" fontId="49" fillId="12" borderId="16" xfId="0" applyFont="1" applyFill="1" applyBorder="1" applyAlignment="1">
      <alignment horizontal="center" vertical="center"/>
    </xf>
    <xf numFmtId="0" fontId="49" fillId="12" borderId="16" xfId="0" applyFont="1" applyFill="1" applyBorder="1" applyAlignment="1">
      <alignment horizontal="center" vertical="center" wrapText="1"/>
    </xf>
    <xf numFmtId="0" fontId="45" fillId="3" borderId="0" xfId="0" applyFont="1" applyFill="1" applyAlignment="1">
      <alignment horizontal="center" vertical="center"/>
    </xf>
    <xf numFmtId="9" fontId="45" fillId="3" borderId="0" xfId="0" applyNumberFormat="1" applyFont="1" applyFill="1" applyAlignment="1">
      <alignment horizontal="center" vertical="center" wrapText="1"/>
    </xf>
    <xf numFmtId="40" fontId="27" fillId="3" borderId="0" xfId="0" applyNumberFormat="1" applyFont="1" applyFill="1" applyAlignment="1">
      <alignment horizontal="center" vertical="center"/>
    </xf>
    <xf numFmtId="37" fontId="30" fillId="3" borderId="14" xfId="0" applyNumberFormat="1" applyFont="1" applyFill="1" applyBorder="1" applyAlignment="1">
      <alignment horizontal="center" vertical="center"/>
    </xf>
    <xf numFmtId="0" fontId="50" fillId="12" borderId="0" xfId="0" applyFont="1" applyFill="1" applyAlignment="1">
      <alignment horizontal="center" vertical="center"/>
    </xf>
    <xf numFmtId="0" fontId="14" fillId="12" borderId="0" xfId="0" applyFont="1" applyFill="1" applyAlignment="1">
      <alignment horizontal="center" vertical="center"/>
    </xf>
    <xf numFmtId="0" fontId="48" fillId="3" borderId="2" xfId="0" applyFont="1" applyFill="1" applyBorder="1" applyAlignment="1">
      <alignment horizontal="center" vertical="center"/>
    </xf>
    <xf numFmtId="3" fontId="48" fillId="3" borderId="2" xfId="0" applyNumberFormat="1" applyFont="1" applyFill="1" applyBorder="1" applyAlignment="1">
      <alignment horizontal="center" vertical="center"/>
    </xf>
    <xf numFmtId="0" fontId="48" fillId="3" borderId="12" xfId="0" applyFont="1" applyFill="1" applyBorder="1" applyAlignment="1">
      <alignment horizontal="center" vertical="center"/>
    </xf>
    <xf numFmtId="0" fontId="45" fillId="3" borderId="0" xfId="0" quotePrefix="1" applyFont="1" applyFill="1" applyAlignment="1">
      <alignment horizontal="center" vertical="center"/>
    </xf>
    <xf numFmtId="37" fontId="27" fillId="3" borderId="0" xfId="0" applyNumberFormat="1" applyFont="1" applyFill="1" applyAlignment="1">
      <alignment horizontal="center" vertical="center"/>
    </xf>
    <xf numFmtId="0" fontId="48" fillId="3" borderId="0" xfId="0" quotePrefix="1" applyFont="1" applyFill="1">
      <alignment vertical="center"/>
    </xf>
    <xf numFmtId="0" fontId="48" fillId="15" borderId="2" xfId="0" applyFont="1" applyFill="1" applyBorder="1" applyAlignment="1">
      <alignment horizontal="center" vertical="center"/>
    </xf>
    <xf numFmtId="0" fontId="30" fillId="15" borderId="2" xfId="0" applyFont="1" applyFill="1" applyBorder="1" applyAlignment="1">
      <alignment horizontal="center" vertical="center"/>
    </xf>
    <xf numFmtId="0" fontId="22" fillId="12" borderId="1" xfId="0" applyFont="1" applyFill="1" applyBorder="1" applyAlignment="1">
      <alignment horizontal="center" vertical="center"/>
    </xf>
    <xf numFmtId="37" fontId="30" fillId="2" borderId="0" xfId="0" applyNumberFormat="1" applyFont="1" applyFill="1" applyAlignment="1">
      <alignment horizontal="center" vertical="center"/>
    </xf>
    <xf numFmtId="37" fontId="30" fillId="2" borderId="10" xfId="0" applyNumberFormat="1" applyFont="1" applyFill="1" applyBorder="1" applyAlignment="1">
      <alignment horizontal="center" vertical="center"/>
    </xf>
    <xf numFmtId="177" fontId="27" fillId="2" borderId="0" xfId="4" applyNumberFormat="1" applyFont="1" applyFill="1" applyBorder="1" applyAlignment="1">
      <alignment horizontal="center" vertical="center"/>
    </xf>
    <xf numFmtId="177" fontId="27" fillId="2" borderId="11" xfId="4" applyNumberFormat="1" applyFont="1" applyFill="1" applyBorder="1" applyAlignment="1">
      <alignment horizontal="center" vertical="center"/>
    </xf>
    <xf numFmtId="37" fontId="30" fillId="2" borderId="2" xfId="0" applyNumberFormat="1" applyFont="1" applyFill="1" applyBorder="1" applyAlignment="1">
      <alignment horizontal="center" vertical="center"/>
    </xf>
    <xf numFmtId="37" fontId="30" fillId="2" borderId="12" xfId="0" applyNumberFormat="1" applyFont="1" applyFill="1" applyBorder="1" applyAlignment="1">
      <alignment horizontal="center" vertical="center"/>
    </xf>
    <xf numFmtId="37" fontId="30" fillId="2" borderId="11" xfId="0" applyNumberFormat="1" applyFont="1" applyFill="1" applyBorder="1" applyAlignment="1">
      <alignment horizontal="center" vertical="center"/>
    </xf>
    <xf numFmtId="0" fontId="31" fillId="2" borderId="0" xfId="0" applyFont="1" applyFill="1" applyAlignment="1">
      <alignment horizontal="center" vertical="center"/>
    </xf>
    <xf numFmtId="0" fontId="0" fillId="2" borderId="0" xfId="0" applyFill="1" applyAlignment="1">
      <alignment horizontal="center" vertical="center"/>
    </xf>
    <xf numFmtId="177" fontId="27" fillId="2" borderId="10" xfId="4" applyNumberFormat="1" applyFont="1" applyFill="1" applyBorder="1" applyAlignment="1">
      <alignment horizontal="center" vertical="center"/>
    </xf>
    <xf numFmtId="37" fontId="27" fillId="2" borderId="2" xfId="0" applyNumberFormat="1" applyFont="1" applyFill="1" applyBorder="1" applyAlignment="1">
      <alignment horizontal="center" vertical="center"/>
    </xf>
    <xf numFmtId="10" fontId="27" fillId="2" borderId="2" xfId="4" applyNumberFormat="1" applyFont="1" applyFill="1" applyBorder="1" applyAlignment="1">
      <alignment horizontal="center" vertical="center"/>
    </xf>
    <xf numFmtId="10" fontId="27" fillId="2" borderId="12" xfId="4" applyNumberFormat="1" applyFont="1" applyFill="1" applyBorder="1" applyAlignment="1">
      <alignment horizontal="center" vertical="center"/>
    </xf>
    <xf numFmtId="0" fontId="0" fillId="2" borderId="11" xfId="0" applyFill="1" applyBorder="1" applyAlignment="1">
      <alignment horizontal="center" vertical="center"/>
    </xf>
    <xf numFmtId="37" fontId="46" fillId="2" borderId="0" xfId="0" applyNumberFormat="1" applyFont="1" applyFill="1" applyAlignment="1">
      <alignment horizontal="center" vertical="center"/>
    </xf>
    <xf numFmtId="10" fontId="46" fillId="2" borderId="0" xfId="4" applyNumberFormat="1" applyFont="1" applyFill="1" applyBorder="1" applyAlignment="1">
      <alignment horizontal="center" vertical="center"/>
    </xf>
    <xf numFmtId="10" fontId="46" fillId="2" borderId="11" xfId="4" applyNumberFormat="1" applyFont="1" applyFill="1" applyBorder="1" applyAlignment="1">
      <alignment horizontal="center" vertical="center"/>
    </xf>
    <xf numFmtId="37" fontId="29" fillId="2" borderId="2" xfId="0" applyNumberFormat="1" applyFont="1" applyFill="1" applyBorder="1" applyAlignment="1">
      <alignment horizontal="center" vertical="center"/>
    </xf>
    <xf numFmtId="10" fontId="29" fillId="2" borderId="2" xfId="4" applyNumberFormat="1" applyFont="1" applyFill="1" applyBorder="1" applyAlignment="1">
      <alignment horizontal="center" vertical="center"/>
    </xf>
    <xf numFmtId="10" fontId="29" fillId="2" borderId="12" xfId="4" applyNumberFormat="1" applyFont="1" applyFill="1" applyBorder="1" applyAlignment="1">
      <alignment horizontal="center" vertical="center"/>
    </xf>
    <xf numFmtId="41" fontId="30" fillId="2" borderId="2" xfId="1" applyFont="1" applyFill="1" applyBorder="1" applyAlignment="1">
      <alignment vertical="center"/>
    </xf>
    <xf numFmtId="37" fontId="29" fillId="2" borderId="0" xfId="0" applyNumberFormat="1" applyFont="1" applyFill="1" applyAlignment="1">
      <alignment horizontal="center" vertical="center"/>
    </xf>
    <xf numFmtId="10" fontId="29" fillId="2" borderId="0" xfId="4" applyNumberFormat="1" applyFont="1" applyFill="1" applyBorder="1" applyAlignment="1">
      <alignment horizontal="center" vertical="center"/>
    </xf>
    <xf numFmtId="10" fontId="29" fillId="2" borderId="11" xfId="4" applyNumberFormat="1" applyFont="1" applyFill="1" applyBorder="1" applyAlignment="1">
      <alignment horizontal="center" vertical="center"/>
    </xf>
    <xf numFmtId="41" fontId="30" fillId="2" borderId="0" xfId="1" applyFont="1" applyFill="1" applyBorder="1" applyAlignment="1">
      <alignment vertical="center"/>
    </xf>
    <xf numFmtId="37" fontId="29" fillId="2" borderId="9" xfId="0" applyNumberFormat="1" applyFont="1" applyFill="1" applyBorder="1" applyAlignment="1">
      <alignment horizontal="center" vertical="center"/>
    </xf>
    <xf numFmtId="10" fontId="29" fillId="2" borderId="9" xfId="4" applyNumberFormat="1" applyFont="1" applyFill="1" applyBorder="1" applyAlignment="1">
      <alignment horizontal="center" vertical="center"/>
    </xf>
    <xf numFmtId="10" fontId="29" fillId="2" borderId="10" xfId="4" applyNumberFormat="1" applyFont="1" applyFill="1" applyBorder="1" applyAlignment="1">
      <alignment horizontal="center" vertical="center"/>
    </xf>
    <xf numFmtId="177" fontId="27" fillId="2" borderId="2" xfId="4" applyNumberFormat="1" applyFont="1" applyFill="1" applyBorder="1" applyAlignment="1">
      <alignment horizontal="center" vertical="center"/>
    </xf>
    <xf numFmtId="177" fontId="27" fillId="2" borderId="12" xfId="4" applyNumberFormat="1" applyFont="1" applyFill="1" applyBorder="1" applyAlignment="1">
      <alignment horizontal="center" vertical="center"/>
    </xf>
    <xf numFmtId="37" fontId="30" fillId="2" borderId="0" xfId="0" quotePrefix="1" applyNumberFormat="1" applyFont="1" applyFill="1" applyAlignment="1">
      <alignment horizontal="center" vertical="center"/>
    </xf>
    <xf numFmtId="37" fontId="30" fillId="2" borderId="9" xfId="0" applyNumberFormat="1" applyFont="1" applyFill="1" applyBorder="1" applyAlignment="1">
      <alignment horizontal="center" vertical="center"/>
    </xf>
    <xf numFmtId="37" fontId="30" fillId="2" borderId="0" xfId="0" applyNumberFormat="1" applyFont="1" applyFill="1" applyAlignment="1">
      <alignment horizontal="left" vertical="center"/>
    </xf>
    <xf numFmtId="37" fontId="19" fillId="2" borderId="2" xfId="0" applyNumberFormat="1" applyFont="1" applyFill="1" applyBorder="1" applyAlignment="1">
      <alignment horizontal="left" vertical="center"/>
    </xf>
    <xf numFmtId="37" fontId="19" fillId="2" borderId="2" xfId="0" applyNumberFormat="1" applyFont="1" applyFill="1" applyBorder="1" applyAlignment="1">
      <alignment horizontal="center" vertical="center"/>
    </xf>
    <xf numFmtId="37" fontId="42" fillId="2" borderId="0" xfId="0" applyNumberFormat="1" applyFont="1" applyFill="1" applyAlignment="1">
      <alignment horizontal="center" vertical="center"/>
    </xf>
    <xf numFmtId="37" fontId="42" fillId="2" borderId="2" xfId="0" applyNumberFormat="1" applyFont="1" applyFill="1" applyBorder="1" applyAlignment="1">
      <alignment horizontal="center" vertical="center"/>
    </xf>
    <xf numFmtId="37" fontId="51" fillId="2" borderId="2" xfId="0" applyNumberFormat="1" applyFont="1" applyFill="1" applyBorder="1" applyAlignment="1">
      <alignment horizontal="center" vertical="center"/>
    </xf>
    <xf numFmtId="37" fontId="51" fillId="2" borderId="12" xfId="0" applyNumberFormat="1" applyFont="1" applyFill="1" applyBorder="1" applyAlignment="1">
      <alignment horizontal="center" vertical="center"/>
    </xf>
    <xf numFmtId="37" fontId="52" fillId="2" borderId="0" xfId="0" applyNumberFormat="1" applyFont="1" applyFill="1" applyAlignment="1">
      <alignment horizontal="center" vertical="center"/>
    </xf>
    <xf numFmtId="37" fontId="52" fillId="2" borderId="2" xfId="0" applyNumberFormat="1" applyFont="1" applyFill="1" applyBorder="1" applyAlignment="1">
      <alignment horizontal="center" vertical="center"/>
    </xf>
    <xf numFmtId="41" fontId="30" fillId="16" borderId="0" xfId="1" applyFont="1" applyFill="1" applyBorder="1" applyAlignment="1">
      <alignment vertical="center"/>
    </xf>
    <xf numFmtId="0" fontId="0" fillId="2" borderId="0" xfId="0" applyFill="1">
      <alignment vertical="center"/>
    </xf>
    <xf numFmtId="0" fontId="0" fillId="2" borderId="11" xfId="0" applyFill="1" applyBorder="1">
      <alignment vertical="center"/>
    </xf>
    <xf numFmtId="37" fontId="19" fillId="2" borderId="0" xfId="0" applyNumberFormat="1" applyFont="1" applyFill="1" applyAlignment="1">
      <alignment horizontal="center" vertical="center"/>
    </xf>
    <xf numFmtId="39" fontId="37" fillId="3" borderId="0" xfId="0" applyNumberFormat="1" applyFont="1" applyFill="1" applyAlignment="1">
      <alignment horizontal="center" vertical="center"/>
    </xf>
    <xf numFmtId="192" fontId="48" fillId="3" borderId="0" xfId="1" applyNumberFormat="1" applyFont="1" applyFill="1" applyAlignment="1">
      <alignment horizontal="center" vertical="center"/>
    </xf>
    <xf numFmtId="195" fontId="48" fillId="3" borderId="0" xfId="1" applyNumberFormat="1" applyFont="1" applyFill="1" applyAlignment="1">
      <alignment horizontal="center" vertical="center"/>
    </xf>
    <xf numFmtId="194" fontId="28" fillId="3" borderId="0" xfId="1" applyNumberFormat="1" applyFont="1" applyFill="1" applyAlignment="1">
      <alignment horizontal="right" vertical="center"/>
    </xf>
    <xf numFmtId="0" fontId="28" fillId="3" borderId="0" xfId="0" applyFont="1" applyFill="1" applyAlignment="1">
      <alignment horizontal="left" vertical="center"/>
    </xf>
    <xf numFmtId="9" fontId="30" fillId="3" borderId="0" xfId="4" applyFont="1" applyFill="1" applyBorder="1" applyAlignment="1">
      <alignment horizontal="left" vertical="center"/>
    </xf>
    <xf numFmtId="0" fontId="45" fillId="0" borderId="0" xfId="0" applyFont="1">
      <alignment vertical="center"/>
    </xf>
    <xf numFmtId="0" fontId="54" fillId="3" borderId="0" xfId="0" applyFont="1" applyFill="1">
      <alignment vertical="center"/>
    </xf>
    <xf numFmtId="192" fontId="30" fillId="3" borderId="0" xfId="1" applyNumberFormat="1" applyFont="1" applyFill="1" applyBorder="1" applyAlignment="1">
      <alignment horizontal="right" vertical="center"/>
    </xf>
    <xf numFmtId="0" fontId="30" fillId="3" borderId="0" xfId="0" quotePrefix="1" applyFont="1" applyFill="1" applyAlignment="1">
      <alignment horizontal="left" vertical="center"/>
    </xf>
    <xf numFmtId="0" fontId="53" fillId="3" borderId="1" xfId="0" applyFont="1" applyFill="1" applyBorder="1" applyAlignment="1">
      <alignment horizontal="center" vertical="center"/>
    </xf>
    <xf numFmtId="192" fontId="53" fillId="3" borderId="1" xfId="1" applyNumberFormat="1" applyFont="1" applyFill="1" applyBorder="1" applyAlignment="1">
      <alignment horizontal="center" vertical="center"/>
    </xf>
    <xf numFmtId="0" fontId="53" fillId="3" borderId="1" xfId="0" applyFont="1" applyFill="1" applyBorder="1" applyAlignment="1">
      <alignment horizontal="left" vertical="center"/>
    </xf>
    <xf numFmtId="193" fontId="53" fillId="3" borderId="1" xfId="4" applyNumberFormat="1" applyFont="1" applyFill="1" applyBorder="1" applyAlignment="1">
      <alignment horizontal="center" vertical="center"/>
    </xf>
    <xf numFmtId="49" fontId="22" fillId="12" borderId="0" xfId="0" applyNumberFormat="1" applyFont="1" applyFill="1" applyAlignment="1">
      <alignment horizontal="center" vertical="center"/>
    </xf>
    <xf numFmtId="37" fontId="37" fillId="3" borderId="0" xfId="0" applyNumberFormat="1" applyFont="1" applyFill="1" applyAlignment="1">
      <alignment horizontal="right" vertical="center"/>
    </xf>
    <xf numFmtId="0" fontId="30" fillId="14" borderId="0" xfId="0" applyFont="1" applyFill="1" applyAlignment="1">
      <alignment horizontal="center" vertical="center"/>
    </xf>
    <xf numFmtId="0" fontId="30" fillId="14" borderId="2" xfId="0" applyFont="1" applyFill="1" applyBorder="1" applyAlignment="1">
      <alignment horizontal="center" vertical="center"/>
    </xf>
    <xf numFmtId="0" fontId="30" fillId="3" borderId="0" xfId="0" applyFont="1" applyFill="1" applyAlignment="1">
      <alignment horizontal="center" vertical="center"/>
    </xf>
    <xf numFmtId="0" fontId="30" fillId="3" borderId="2" xfId="0" applyFont="1" applyFill="1" applyBorder="1" applyAlignment="1">
      <alignment horizontal="center" vertical="center"/>
    </xf>
  </cellXfs>
  <cellStyles count="8">
    <cellStyle name="fa_data_standard_2_grouped" xfId="6" xr:uid="{D3034F36-1199-4115-8918-3AD5E2B03887}"/>
    <cellStyle name="백분율" xfId="4" builtinId="5"/>
    <cellStyle name="백분율 2" xfId="3" xr:uid="{FAAEF2F2-227F-49A0-BB0E-B6D25F68EFEB}"/>
    <cellStyle name="쉼표 [0]" xfId="1" builtinId="6"/>
    <cellStyle name="쉼표 [0] 2" xfId="5" xr:uid="{55144449-652A-44CD-9302-022779E6F79E}"/>
    <cellStyle name="쉼표 [0] 5" xfId="7" xr:uid="{57315735-4D6C-4C2D-9B2A-456F48D0DD41}"/>
    <cellStyle name="표준" xfId="0" builtinId="0"/>
    <cellStyle name="표준 2" xfId="2" xr:uid="{1FC60FE9-15E1-4327-AFB3-35ACB686209A}"/>
  </cellStyles>
  <dxfs count="0"/>
  <tableStyles count="0" defaultTableStyle="TableStyleMedium2" defaultPivotStyle="PivotStyleLight16"/>
  <colors>
    <mruColors>
      <color rgb="FFD0CECE"/>
      <color rgb="FFB4C7E7"/>
      <color rgb="FF203864"/>
      <color rgb="FF8FAADC"/>
      <color rgb="FF2F5597"/>
      <color rgb="FF01AE42"/>
      <color rgb="FF34D330"/>
      <color rgb="FF00823C"/>
      <color rgb="FF062F87"/>
      <color rgb="FF2F33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228598</xdr:rowOff>
    </xdr:from>
    <xdr:to>
      <xdr:col>9</xdr:col>
      <xdr:colOff>626262</xdr:colOff>
      <xdr:row>7</xdr:row>
      <xdr:rowOff>7620</xdr:rowOff>
    </xdr:to>
    <xdr:pic>
      <xdr:nvPicPr>
        <xdr:cNvPr id="3" name="그림 2" descr="HD현대마린솔루션, 3분기 매출 4,613억 원, 영업이익 834억 원">
          <a:extLst>
            <a:ext uri="{FF2B5EF4-FFF2-40B4-BE49-F238E27FC236}">
              <a16:creationId xmlns:a16="http://schemas.microsoft.com/office/drawing/2014/main" id="{04DCFF2C-8D24-C459-EC04-494339663F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49578"/>
          <a:ext cx="6592722" cy="1112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228598</xdr:rowOff>
    </xdr:from>
    <xdr:to>
      <xdr:col>9</xdr:col>
      <xdr:colOff>626262</xdr:colOff>
      <xdr:row>7</xdr:row>
      <xdr:rowOff>7620</xdr:rowOff>
    </xdr:to>
    <xdr:pic>
      <xdr:nvPicPr>
        <xdr:cNvPr id="2" name="그림 1" descr="HD현대마린솔루션, 3분기 매출 4,613억 원, 영업이익 834억 원">
          <a:extLst>
            <a:ext uri="{FF2B5EF4-FFF2-40B4-BE49-F238E27FC236}">
              <a16:creationId xmlns:a16="http://schemas.microsoft.com/office/drawing/2014/main" id="{EF4F2E0D-07B1-4A8A-A01C-A39F595B6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49578"/>
          <a:ext cx="6592722" cy="1112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4746-AB57-4F01-BA9A-40315CC2D44F}">
  <sheetPr>
    <tabColor rgb="FF01AE42"/>
  </sheetPr>
  <dimension ref="A1:C20"/>
  <sheetViews>
    <sheetView topLeftCell="A6" zoomScaleNormal="100" workbookViewId="0"/>
  </sheetViews>
  <sheetFormatPr defaultColWidth="8.6640625" defaultRowHeight="17" x14ac:dyDescent="0.45"/>
  <cols>
    <col min="1" max="16384" width="8.6640625" style="15"/>
  </cols>
  <sheetData>
    <row r="1" spans="1:2" s="18" customFormat="1" x14ac:dyDescent="0.45"/>
    <row r="2" spans="1:2" s="18" customFormat="1" ht="18" x14ac:dyDescent="0.45">
      <c r="B2" s="19" t="s">
        <v>507</v>
      </c>
    </row>
    <row r="3" spans="1:2" x14ac:dyDescent="0.45">
      <c r="A3"/>
    </row>
    <row r="8" spans="1:2" s="18" customFormat="1" ht="18" x14ac:dyDescent="0.45">
      <c r="B8" s="19" t="s">
        <v>218</v>
      </c>
    </row>
    <row r="9" spans="1:2" s="17" customFormat="1" x14ac:dyDescent="0.45"/>
    <row r="20" spans="3:3" ht="18" x14ac:dyDescent="0.45">
      <c r="C20" s="37"/>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8408-45B9-4635-9C9B-0121ABA5F061}">
  <sheetPr>
    <tabColor rgb="FF203864"/>
  </sheetPr>
  <dimension ref="A1:AH35"/>
  <sheetViews>
    <sheetView zoomScale="79" workbookViewId="0">
      <selection activeCell="H15" sqref="H15"/>
    </sheetView>
  </sheetViews>
  <sheetFormatPr defaultColWidth="8.83203125" defaultRowHeight="18" x14ac:dyDescent="0.45"/>
  <cols>
    <col min="1" max="1" width="8.83203125" style="15"/>
    <col min="2" max="2" width="15.33203125" style="15" bestFit="1" customWidth="1"/>
    <col min="3" max="3" width="10.6640625" style="15" customWidth="1"/>
    <col min="4" max="4" width="8.33203125" style="15" bestFit="1" customWidth="1"/>
    <col min="5" max="5" width="12.08203125" style="15" bestFit="1" customWidth="1"/>
    <col min="6" max="6" width="8.33203125" style="15" bestFit="1" customWidth="1"/>
    <col min="7" max="7" width="14" style="195" customWidth="1"/>
    <col min="8" max="8" width="19.9140625" style="195" bestFit="1" customWidth="1"/>
    <col min="9" max="9" width="16.4140625" style="195" customWidth="1"/>
    <col min="10" max="11" width="8.33203125" style="195" bestFit="1" customWidth="1"/>
    <col min="12" max="13" width="8.83203125" style="195"/>
    <col min="14" max="14" width="7.9140625" style="195" bestFit="1" customWidth="1"/>
    <col min="15" max="16384" width="8.83203125" style="195"/>
  </cols>
  <sheetData>
    <row r="1" spans="1:34" s="41" customFormat="1" ht="17"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row>
    <row r="2" spans="1:34" s="24" customFormat="1" ht="22.5" x14ac:dyDescent="0.25">
      <c r="A2" s="42" t="s">
        <v>383</v>
      </c>
      <c r="B2" s="43"/>
      <c r="C2" s="44"/>
      <c r="D2" s="44"/>
      <c r="E2" s="44"/>
    </row>
    <row r="3" spans="1:34" s="41" customFormat="1" ht="17" x14ac:dyDescent="0.45">
      <c r="A3" s="45" t="s">
        <v>384</v>
      </c>
      <c r="B3" s="46"/>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row>
    <row r="4" spans="1:34" s="15" customFormat="1" ht="17.5" thickBot="1" x14ac:dyDescent="0.5">
      <c r="A4" s="69"/>
      <c r="B4" s="69"/>
      <c r="C4" s="69"/>
      <c r="D4" s="69"/>
      <c r="E4" s="69"/>
      <c r="F4" s="69"/>
      <c r="G4" s="69"/>
      <c r="H4" s="69"/>
      <c r="I4" s="69"/>
      <c r="J4" s="69"/>
      <c r="V4" s="69"/>
      <c r="W4" s="69"/>
      <c r="X4" s="69"/>
      <c r="Y4" s="69"/>
    </row>
    <row r="5" spans="1:34" x14ac:dyDescent="0.45">
      <c r="A5" s="69"/>
      <c r="B5" s="163" t="s">
        <v>395</v>
      </c>
      <c r="C5" s="163"/>
      <c r="D5" s="163"/>
      <c r="E5" s="163"/>
      <c r="F5" s="69"/>
      <c r="G5" s="205" t="s">
        <v>473</v>
      </c>
      <c r="H5" s="205" t="s">
        <v>2</v>
      </c>
      <c r="I5" s="205" t="s">
        <v>474</v>
      </c>
      <c r="J5" s="206" t="s">
        <v>475</v>
      </c>
    </row>
    <row r="6" spans="1:34" x14ac:dyDescent="0.45">
      <c r="A6" s="69"/>
      <c r="B6" s="164" t="s">
        <v>460</v>
      </c>
      <c r="C6" s="166">
        <f>SUM('Expected IS'!J22:M22)</f>
        <v>278630.74716090155</v>
      </c>
      <c r="D6" s="78" t="s">
        <v>417</v>
      </c>
      <c r="E6" s="78" t="s">
        <v>385</v>
      </c>
      <c r="F6" s="69"/>
      <c r="G6" s="207" t="s">
        <v>476</v>
      </c>
      <c r="H6" s="207" t="s">
        <v>452</v>
      </c>
      <c r="I6" s="207">
        <v>49.21</v>
      </c>
      <c r="J6" s="208">
        <v>0</v>
      </c>
    </row>
    <row r="7" spans="1:34" x14ac:dyDescent="0.45">
      <c r="A7" s="69"/>
      <c r="B7" s="65" t="s">
        <v>386</v>
      </c>
      <c r="C7" s="270">
        <f>I12</f>
        <v>47.976666666666667</v>
      </c>
      <c r="D7" s="271" t="s">
        <v>418</v>
      </c>
      <c r="E7" s="271" t="s">
        <v>387</v>
      </c>
      <c r="F7" s="69"/>
      <c r="G7" s="207" t="s">
        <v>476</v>
      </c>
      <c r="H7" s="207" t="s">
        <v>477</v>
      </c>
      <c r="I7" s="207">
        <v>70.72</v>
      </c>
      <c r="J7" s="208">
        <v>0</v>
      </c>
    </row>
    <row r="8" spans="1:34" x14ac:dyDescent="0.45">
      <c r="A8" s="69"/>
      <c r="B8" s="58" t="s">
        <v>388</v>
      </c>
      <c r="C8" s="168">
        <v>44829210</v>
      </c>
      <c r="D8" s="78" t="s">
        <v>419</v>
      </c>
      <c r="E8" s="78" t="s">
        <v>514</v>
      </c>
      <c r="F8" s="69"/>
      <c r="G8" s="207" t="s">
        <v>478</v>
      </c>
      <c r="H8" s="207" t="s">
        <v>479</v>
      </c>
      <c r="I8" s="207">
        <f>133.2*(1-J8)</f>
        <v>79.919999999999987</v>
      </c>
      <c r="J8" s="208">
        <v>0.4</v>
      </c>
    </row>
    <row r="9" spans="1:34" x14ac:dyDescent="0.45">
      <c r="A9" s="69"/>
      <c r="B9" s="58" t="s">
        <v>389</v>
      </c>
      <c r="C9" s="168">
        <f>C6*C7/C8*10^6</f>
        <v>298193.39844763838</v>
      </c>
      <c r="D9" s="78" t="s">
        <v>390</v>
      </c>
      <c r="E9" s="78" t="s">
        <v>515</v>
      </c>
      <c r="F9" s="69"/>
      <c r="G9" s="207" t="s">
        <v>480</v>
      </c>
      <c r="H9" s="207" t="s">
        <v>481</v>
      </c>
      <c r="I9" s="207">
        <v>26.85</v>
      </c>
      <c r="J9" s="208">
        <v>0</v>
      </c>
    </row>
    <row r="10" spans="1:34" x14ac:dyDescent="0.45">
      <c r="A10" s="69"/>
      <c r="B10" s="165" t="s">
        <v>391</v>
      </c>
      <c r="C10" s="167">
        <f>ROUND(C9,-2)</f>
        <v>298200</v>
      </c>
      <c r="D10" s="153" t="s">
        <v>390</v>
      </c>
      <c r="E10" s="153"/>
      <c r="G10" s="207" t="s">
        <v>480</v>
      </c>
      <c r="H10" s="207" t="s">
        <v>482</v>
      </c>
      <c r="I10" s="207">
        <v>29.66</v>
      </c>
      <c r="J10" s="208">
        <v>0</v>
      </c>
    </row>
    <row r="11" spans="1:34" x14ac:dyDescent="0.45">
      <c r="A11" s="69"/>
      <c r="B11" s="58" t="s">
        <v>392</v>
      </c>
      <c r="C11" s="275">
        <v>203500</v>
      </c>
      <c r="D11" s="78" t="s">
        <v>390</v>
      </c>
      <c r="E11" s="276" t="s">
        <v>519</v>
      </c>
      <c r="G11" s="207" t="s">
        <v>483</v>
      </c>
      <c r="H11" s="207" t="s">
        <v>484</v>
      </c>
      <c r="I11" s="207">
        <v>31.5</v>
      </c>
      <c r="J11" s="208">
        <v>0</v>
      </c>
    </row>
    <row r="12" spans="1:34" x14ac:dyDescent="0.45">
      <c r="A12" s="69"/>
      <c r="B12" s="277" t="s">
        <v>393</v>
      </c>
      <c r="C12" s="278">
        <f>(C10-C11)/C11*100</f>
        <v>46.535626535626534</v>
      </c>
      <c r="D12" s="279" t="s">
        <v>394</v>
      </c>
      <c r="E12" s="279"/>
      <c r="F12" s="274"/>
      <c r="G12" s="277"/>
      <c r="H12" s="278" t="s">
        <v>459</v>
      </c>
      <c r="I12" s="280">
        <f>AVERAGE(I6:I11)</f>
        <v>47.976666666666667</v>
      </c>
      <c r="J12" s="279"/>
    </row>
    <row r="13" spans="1:34" x14ac:dyDescent="0.45">
      <c r="A13" s="69"/>
      <c r="B13" s="69"/>
      <c r="C13" s="69"/>
      <c r="D13" s="69"/>
      <c r="E13" s="69"/>
      <c r="J13" s="203"/>
    </row>
    <row r="14" spans="1:34" x14ac:dyDescent="0.45">
      <c r="A14" s="69"/>
      <c r="B14" s="69"/>
      <c r="C14" s="69"/>
      <c r="D14" s="69"/>
      <c r="E14" s="69"/>
      <c r="J14" s="203"/>
    </row>
    <row r="15" spans="1:34" x14ac:dyDescent="0.45">
      <c r="A15" s="69"/>
      <c r="F15" s="69"/>
      <c r="J15" s="203"/>
    </row>
    <row r="16" spans="1:34" x14ac:dyDescent="0.45">
      <c r="A16" s="69"/>
      <c r="F16" s="69"/>
    </row>
    <row r="17" spans="1:16" x14ac:dyDescent="0.45">
      <c r="A17" s="69"/>
      <c r="F17" s="69"/>
    </row>
    <row r="18" spans="1:16" x14ac:dyDescent="0.45">
      <c r="A18" s="69"/>
    </row>
    <row r="19" spans="1:16" x14ac:dyDescent="0.45">
      <c r="A19" s="69"/>
      <c r="F19" s="69"/>
      <c r="G19" s="116"/>
      <c r="H19" s="116"/>
      <c r="I19" s="116"/>
      <c r="J19" s="116"/>
      <c r="K19" s="116"/>
      <c r="L19" s="116"/>
      <c r="M19" s="116"/>
      <c r="N19" s="116"/>
      <c r="O19" s="116"/>
      <c r="P19" s="116"/>
    </row>
    <row r="20" spans="1:16" x14ac:dyDescent="0.45">
      <c r="A20" s="69"/>
      <c r="F20" s="69"/>
      <c r="G20" s="116"/>
      <c r="H20" s="116"/>
      <c r="I20" s="116"/>
      <c r="J20" s="116"/>
      <c r="K20" s="116"/>
      <c r="L20" s="116"/>
      <c r="M20" s="116"/>
      <c r="N20" s="116"/>
      <c r="O20" s="116"/>
      <c r="P20" s="116"/>
    </row>
    <row r="21" spans="1:16" x14ac:dyDescent="0.45">
      <c r="F21" s="69"/>
      <c r="G21" s="116"/>
      <c r="H21" s="116"/>
      <c r="I21" s="116"/>
      <c r="J21" s="116"/>
      <c r="K21" s="116"/>
      <c r="L21" s="116"/>
      <c r="M21" s="116"/>
      <c r="N21" s="116"/>
      <c r="O21" s="116"/>
      <c r="P21" s="116"/>
    </row>
    <row r="22" spans="1:16" x14ac:dyDescent="0.45">
      <c r="F22" s="69"/>
      <c r="G22" s="116"/>
      <c r="H22" s="116"/>
      <c r="I22" s="116"/>
      <c r="J22" s="116"/>
      <c r="K22" s="116"/>
      <c r="L22" s="116"/>
      <c r="M22" s="116"/>
      <c r="N22" s="116"/>
      <c r="O22" s="116"/>
      <c r="P22" s="116"/>
    </row>
    <row r="23" spans="1:16" x14ac:dyDescent="0.45">
      <c r="F23" s="69"/>
      <c r="G23" s="116"/>
      <c r="H23" s="116"/>
      <c r="I23" s="116"/>
      <c r="J23" s="116"/>
      <c r="K23" s="116"/>
      <c r="L23" s="116"/>
      <c r="M23" s="116"/>
      <c r="N23" s="116"/>
      <c r="O23" s="116"/>
      <c r="P23" s="116"/>
    </row>
    <row r="24" spans="1:16" x14ac:dyDescent="0.45">
      <c r="F24" s="69"/>
      <c r="G24" s="116"/>
      <c r="H24" s="116"/>
      <c r="I24" s="116"/>
      <c r="J24" s="116"/>
      <c r="K24" s="116"/>
      <c r="L24" s="116"/>
      <c r="M24" s="116"/>
      <c r="N24" s="116"/>
      <c r="O24" s="116"/>
      <c r="P24" s="116"/>
    </row>
    <row r="25" spans="1:16" x14ac:dyDescent="0.45">
      <c r="F25" s="69"/>
      <c r="G25" s="116"/>
      <c r="H25" s="116"/>
      <c r="I25" s="116"/>
      <c r="J25" s="116"/>
      <c r="K25" s="116"/>
      <c r="L25" s="116"/>
      <c r="M25" s="116"/>
      <c r="N25" s="116"/>
      <c r="O25" s="116"/>
      <c r="P25" s="116"/>
    </row>
    <row r="26" spans="1:16" x14ac:dyDescent="0.45">
      <c r="F26" s="69"/>
      <c r="G26" s="116"/>
      <c r="H26" s="116"/>
      <c r="I26" s="116"/>
      <c r="J26" s="116"/>
      <c r="K26" s="116"/>
      <c r="L26" s="116"/>
      <c r="M26" s="116"/>
      <c r="N26" s="116"/>
      <c r="O26" s="116"/>
      <c r="P26" s="116"/>
    </row>
    <row r="27" spans="1:16" x14ac:dyDescent="0.45">
      <c r="F27" s="69"/>
      <c r="G27" s="116"/>
      <c r="H27" s="116"/>
      <c r="I27" s="116"/>
      <c r="J27" s="116"/>
      <c r="K27" s="116"/>
      <c r="L27" s="116"/>
      <c r="M27" s="116"/>
      <c r="N27" s="116"/>
      <c r="O27" s="116"/>
      <c r="P27" s="116"/>
    </row>
    <row r="28" spans="1:16" x14ac:dyDescent="0.45">
      <c r="F28" s="69"/>
      <c r="G28" s="116"/>
      <c r="H28" s="116"/>
      <c r="I28" s="116"/>
      <c r="J28" s="116"/>
      <c r="K28" s="116"/>
      <c r="L28" s="116"/>
      <c r="M28" s="116"/>
      <c r="N28" s="116"/>
      <c r="O28" s="116"/>
      <c r="P28" s="116"/>
    </row>
    <row r="29" spans="1:16" x14ac:dyDescent="0.45">
      <c r="F29" s="69"/>
      <c r="G29" s="116"/>
      <c r="H29" s="116"/>
      <c r="I29" s="116"/>
      <c r="J29" s="116"/>
      <c r="K29" s="116"/>
      <c r="L29" s="116"/>
      <c r="M29" s="116"/>
      <c r="N29" s="116"/>
      <c r="O29" s="116"/>
      <c r="P29" s="116"/>
    </row>
    <row r="30" spans="1:16" x14ac:dyDescent="0.45">
      <c r="F30" s="69"/>
      <c r="G30" s="116"/>
      <c r="H30" s="116"/>
      <c r="I30" s="116"/>
      <c r="J30" s="116"/>
      <c r="K30" s="116"/>
      <c r="L30" s="116"/>
      <c r="M30" s="116"/>
      <c r="N30" s="116"/>
      <c r="O30" s="116"/>
      <c r="P30" s="116"/>
    </row>
    <row r="31" spans="1:16" x14ac:dyDescent="0.45">
      <c r="F31" s="69"/>
      <c r="G31" s="116"/>
      <c r="H31" s="116"/>
      <c r="I31" s="116"/>
      <c r="J31" s="116"/>
      <c r="K31" s="116"/>
      <c r="L31" s="116"/>
      <c r="M31" s="116"/>
      <c r="N31" s="116"/>
      <c r="O31" s="116"/>
      <c r="P31" s="116"/>
    </row>
    <row r="32" spans="1:16" x14ac:dyDescent="0.45">
      <c r="F32" s="69"/>
      <c r="G32" s="116"/>
      <c r="H32" s="116"/>
      <c r="I32" s="116"/>
      <c r="J32" s="116"/>
      <c r="K32" s="116"/>
      <c r="L32" s="116"/>
      <c r="M32" s="116"/>
      <c r="N32" s="116"/>
      <c r="O32" s="116"/>
      <c r="P32" s="116"/>
    </row>
    <row r="33" spans="6:16" x14ac:dyDescent="0.45">
      <c r="F33" s="69"/>
      <c r="G33" s="116"/>
      <c r="H33" s="116"/>
      <c r="I33" s="116"/>
      <c r="J33" s="116"/>
      <c r="K33" s="116"/>
      <c r="L33" s="116"/>
      <c r="M33" s="116"/>
      <c r="N33" s="116"/>
      <c r="O33" s="116"/>
      <c r="P33" s="116"/>
    </row>
    <row r="34" spans="6:16" x14ac:dyDescent="0.45">
      <c r="F34" s="69"/>
      <c r="G34" s="116"/>
      <c r="H34" s="116"/>
      <c r="I34" s="116"/>
      <c r="J34" s="116"/>
      <c r="K34" s="116"/>
      <c r="L34" s="116"/>
      <c r="M34" s="116"/>
      <c r="N34" s="116"/>
      <c r="O34" s="116"/>
      <c r="P34" s="116"/>
    </row>
    <row r="35" spans="6:16" x14ac:dyDescent="0.45">
      <c r="F35" s="69"/>
      <c r="G35" s="116"/>
      <c r="H35" s="116"/>
      <c r="I35" s="116"/>
      <c r="J35" s="116"/>
      <c r="K35" s="116"/>
      <c r="L35" s="116"/>
      <c r="M35" s="116"/>
      <c r="N35" s="116"/>
      <c r="O35" s="116"/>
      <c r="P35" s="116"/>
    </row>
  </sheetData>
  <phoneticPr fontId="4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B8D9-53FF-4025-B97F-C6C7C9FE8E4A}">
  <sheetPr>
    <tabColor rgb="FF203864"/>
  </sheetPr>
  <dimension ref="A1:AT23"/>
  <sheetViews>
    <sheetView zoomScale="76" zoomScaleNormal="85" workbookViewId="0">
      <selection activeCell="M14" sqref="M14"/>
    </sheetView>
  </sheetViews>
  <sheetFormatPr defaultColWidth="8.83203125" defaultRowHeight="17" x14ac:dyDescent="0.45"/>
  <cols>
    <col min="1" max="1" width="8.83203125" style="15"/>
    <col min="2" max="2" width="13.1640625" style="15" bestFit="1" customWidth="1"/>
    <col min="3" max="7" width="8.9140625" style="15" bestFit="1" customWidth="1"/>
    <col min="8" max="13" width="10" style="15" bestFit="1" customWidth="1"/>
    <col min="14" max="16384" width="8.83203125" style="15"/>
  </cols>
  <sheetData>
    <row r="1" spans="1:46" s="22"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row>
    <row r="2" spans="1:46" s="24" customFormat="1" ht="22.5" x14ac:dyDescent="0.8">
      <c r="A2" s="28" t="s">
        <v>313</v>
      </c>
      <c r="B2" s="23"/>
    </row>
    <row r="3" spans="1:46" s="26" customFormat="1" ht="16.5" x14ac:dyDescent="0.6">
      <c r="A3" s="29" t="s">
        <v>220</v>
      </c>
      <c r="B3" s="25"/>
    </row>
    <row r="4" spans="1:46" x14ac:dyDescent="0.45">
      <c r="A4" s="69"/>
      <c r="B4" s="69"/>
      <c r="C4" s="69"/>
      <c r="D4" s="69"/>
      <c r="E4" s="69"/>
      <c r="F4" s="69"/>
      <c r="G4" s="69"/>
      <c r="H4" s="69"/>
      <c r="I4" s="69"/>
      <c r="J4" s="69"/>
      <c r="K4" s="69"/>
      <c r="L4" s="69"/>
      <c r="M4" s="69"/>
      <c r="N4" s="69"/>
      <c r="O4" s="69"/>
      <c r="P4" s="69"/>
      <c r="Q4" s="69"/>
    </row>
    <row r="5" spans="1:46" x14ac:dyDescent="0.45">
      <c r="A5" s="69"/>
      <c r="B5" s="221" t="s">
        <v>290</v>
      </c>
      <c r="C5" s="169" t="s">
        <v>221</v>
      </c>
      <c r="D5" s="169" t="s">
        <v>222</v>
      </c>
      <c r="E5" s="169" t="s">
        <v>223</v>
      </c>
      <c r="F5" s="169" t="s">
        <v>239</v>
      </c>
      <c r="G5" s="169" t="s">
        <v>240</v>
      </c>
      <c r="H5" s="169" t="s">
        <v>224</v>
      </c>
      <c r="I5" s="169" t="s">
        <v>225</v>
      </c>
      <c r="J5" s="169" t="s">
        <v>264</v>
      </c>
      <c r="K5" s="169" t="s">
        <v>265</v>
      </c>
      <c r="L5" s="169" t="s">
        <v>266</v>
      </c>
      <c r="M5" s="169" t="s">
        <v>267</v>
      </c>
      <c r="N5" s="69"/>
    </row>
    <row r="6" spans="1:46" x14ac:dyDescent="0.45">
      <c r="A6" s="69"/>
      <c r="B6" s="92" t="s">
        <v>226</v>
      </c>
      <c r="C6" s="93">
        <f>'IS(Quaterly)'!G10</f>
        <v>437855.15857999999</v>
      </c>
      <c r="D6" s="93">
        <f>'IS(Quaterly)'!H10</f>
        <v>461261.43663000001</v>
      </c>
      <c r="E6" s="93">
        <f>'IS(Quaterly)'!I10</f>
        <v>463372.92219000001</v>
      </c>
      <c r="F6" s="93">
        <f>'IS(Quaterly)'!J10</f>
        <v>485597.82841999998</v>
      </c>
      <c r="G6" s="93">
        <f>'IS(Quaterly)'!K10</f>
        <v>467721.56942000001</v>
      </c>
      <c r="H6" s="94">
        <f>매출추정!I6*100</f>
        <v>469386.74662213761</v>
      </c>
      <c r="I6" s="94">
        <f>매출추정!J6*100</f>
        <v>483293.63063535502</v>
      </c>
      <c r="J6" s="94">
        <f>매출추정!K6*100</f>
        <v>508637.4233877068</v>
      </c>
      <c r="K6" s="94">
        <f>매출추정!L6*100</f>
        <v>519267.73544222617</v>
      </c>
      <c r="L6" s="94">
        <f>매출추정!M6*100</f>
        <v>538811.30527874618</v>
      </c>
      <c r="M6" s="94">
        <f>매출추정!N6*100</f>
        <v>550319.22796005022</v>
      </c>
      <c r="N6" s="69"/>
    </row>
    <row r="7" spans="1:46" x14ac:dyDescent="0.45">
      <c r="A7" s="69"/>
      <c r="B7" s="95" t="s">
        <v>227</v>
      </c>
      <c r="C7" s="96">
        <f>'IS(Quaterly)'!G13</f>
        <v>343797.99862999999</v>
      </c>
      <c r="D7" s="96">
        <f>'IS(Quaterly)'!H13</f>
        <v>355933.41735</v>
      </c>
      <c r="E7" s="96">
        <f>'IS(Quaterly)'!I13</f>
        <v>373085.98321999999</v>
      </c>
      <c r="F7" s="96">
        <f>'IS(Quaterly)'!J13</f>
        <v>377587.18170999998</v>
      </c>
      <c r="G7" s="96">
        <f>'IS(Quaterly)'!K13</f>
        <v>358744.48679</v>
      </c>
      <c r="H7" s="96">
        <f>비용추정!H7</f>
        <v>367643.87233406591</v>
      </c>
      <c r="I7" s="96">
        <f>비용추정!I7</f>
        <v>375006.7232630786</v>
      </c>
      <c r="J7" s="96">
        <f>비용추정!J7</f>
        <v>394395.26445860992</v>
      </c>
      <c r="K7" s="96">
        <f>비용추정!K7</f>
        <v>404090.4096771967</v>
      </c>
      <c r="L7" s="96">
        <f>비용추정!L7</f>
        <v>418392.04309196735</v>
      </c>
      <c r="M7" s="96">
        <f>비용추정!M7</f>
        <v>427432.55552263558</v>
      </c>
      <c r="N7" s="69"/>
    </row>
    <row r="8" spans="1:46" x14ac:dyDescent="0.45">
      <c r="A8" s="69"/>
      <c r="B8" s="32" t="s">
        <v>228</v>
      </c>
      <c r="C8" s="33">
        <f t="shared" ref="C8:M8" si="0">C7/C6</f>
        <v>0.78518658943054354</v>
      </c>
      <c r="D8" s="33">
        <f t="shared" si="0"/>
        <v>0.77165223251800108</v>
      </c>
      <c r="E8" s="33">
        <f t="shared" si="0"/>
        <v>0.80515275138805142</v>
      </c>
      <c r="F8" s="33">
        <f t="shared" si="0"/>
        <v>0.77757180862724085</v>
      </c>
      <c r="G8" s="33">
        <f t="shared" si="0"/>
        <v>0.76700436807920258</v>
      </c>
      <c r="H8" s="33">
        <f t="shared" si="0"/>
        <v>0.78324297603149828</v>
      </c>
      <c r="I8" s="33">
        <f t="shared" si="0"/>
        <v>0.7759397175793139</v>
      </c>
      <c r="J8" s="33">
        <f t="shared" si="0"/>
        <v>0.77539568723000496</v>
      </c>
      <c r="K8" s="33">
        <f t="shared" si="0"/>
        <v>0.77819279361360572</v>
      </c>
      <c r="L8" s="33">
        <f t="shared" si="0"/>
        <v>0.77650939947430819</v>
      </c>
      <c r="M8" s="33">
        <f t="shared" si="0"/>
        <v>0.77669929343930633</v>
      </c>
      <c r="N8" s="69"/>
    </row>
    <row r="9" spans="1:46" x14ac:dyDescent="0.45">
      <c r="A9" s="69"/>
      <c r="B9" s="97" t="s">
        <v>229</v>
      </c>
      <c r="C9" s="96">
        <f>'IS(Quaterly)'!G14</f>
        <v>94057.159950000001</v>
      </c>
      <c r="D9" s="96">
        <f>'IS(Quaterly)'!H14</f>
        <v>105328.01927999999</v>
      </c>
      <c r="E9" s="96">
        <f>'IS(Quaterly)'!I14</f>
        <v>90286.938970000003</v>
      </c>
      <c r="F9" s="96">
        <f>'IS(Quaterly)'!J14</f>
        <v>108010.64671</v>
      </c>
      <c r="G9" s="96">
        <f>'IS(Quaterly)'!K14</f>
        <v>108977.08262</v>
      </c>
      <c r="H9" s="98">
        <f t="shared" ref="H9:M9" si="1">H6-H7</f>
        <v>101742.8742880717</v>
      </c>
      <c r="I9" s="98">
        <f t="shared" si="1"/>
        <v>108286.90737227642</v>
      </c>
      <c r="J9" s="98">
        <f t="shared" si="1"/>
        <v>114242.15892909688</v>
      </c>
      <c r="K9" s="98">
        <f t="shared" si="1"/>
        <v>115177.32576502947</v>
      </c>
      <c r="L9" s="98">
        <f t="shared" si="1"/>
        <v>120419.26218677883</v>
      </c>
      <c r="M9" s="98">
        <f t="shared" si="1"/>
        <v>122886.67243741464</v>
      </c>
      <c r="N9" s="69"/>
    </row>
    <row r="10" spans="1:46" x14ac:dyDescent="0.45">
      <c r="A10" s="69"/>
      <c r="B10" s="33" t="s">
        <v>230</v>
      </c>
      <c r="C10" s="33">
        <f t="shared" ref="C10:M10" si="2">C9/C6</f>
        <v>0.21481341056945646</v>
      </c>
      <c r="D10" s="33">
        <f t="shared" si="2"/>
        <v>0.22834776748199886</v>
      </c>
      <c r="E10" s="33">
        <f t="shared" si="2"/>
        <v>0.19484724861194849</v>
      </c>
      <c r="F10" s="33">
        <f t="shared" si="2"/>
        <v>0.22242819137275913</v>
      </c>
      <c r="G10" s="33">
        <f t="shared" si="2"/>
        <v>0.23299563189941713</v>
      </c>
      <c r="H10" s="33">
        <f t="shared" si="2"/>
        <v>0.21675702396850166</v>
      </c>
      <c r="I10" s="33">
        <f t="shared" si="2"/>
        <v>0.22406028242068612</v>
      </c>
      <c r="J10" s="33">
        <f t="shared" si="2"/>
        <v>0.22460431276999504</v>
      </c>
      <c r="K10" s="33">
        <f t="shared" si="2"/>
        <v>0.22180720638639434</v>
      </c>
      <c r="L10" s="33">
        <f t="shared" si="2"/>
        <v>0.22349060052569178</v>
      </c>
      <c r="M10" s="33">
        <f t="shared" si="2"/>
        <v>0.22330070656069365</v>
      </c>
      <c r="N10" s="69"/>
    </row>
    <row r="11" spans="1:46" x14ac:dyDescent="0.45">
      <c r="A11" s="69"/>
      <c r="B11" s="99" t="s">
        <v>231</v>
      </c>
      <c r="C11" s="96">
        <f>'IS(Quaterly)'!G15</f>
        <v>23071.29076</v>
      </c>
      <c r="D11" s="96">
        <f>'IS(Quaterly)'!H15</f>
        <v>21944.669720000002</v>
      </c>
      <c r="E11" s="96">
        <f>'IS(Quaterly)'!I15</f>
        <v>24407.77018</v>
      </c>
      <c r="F11" s="96">
        <f>'IS(Quaterly)'!J15</f>
        <v>25003.819500000001</v>
      </c>
      <c r="G11" s="96">
        <f>'IS(Quaterly)'!K15</f>
        <v>25967.14733</v>
      </c>
      <c r="H11" s="96">
        <f>비용추정!H11</f>
        <v>25534.997442173768</v>
      </c>
      <c r="I11" s="96">
        <f>비용추정!I11</f>
        <v>25957.874271039225</v>
      </c>
      <c r="J11" s="96">
        <f>비용추정!J11</f>
        <v>25964.081698471186</v>
      </c>
      <c r="K11" s="96">
        <f>비용추정!K11</f>
        <v>26135.482437394567</v>
      </c>
      <c r="L11" s="96">
        <f>비용추정!L11</f>
        <v>26176.754940556046</v>
      </c>
      <c r="M11" s="96">
        <f>비용추정!M11</f>
        <v>26341.857489306072</v>
      </c>
      <c r="N11" s="69"/>
    </row>
    <row r="12" spans="1:46" x14ac:dyDescent="0.45">
      <c r="A12" s="69"/>
      <c r="B12" s="32" t="s">
        <v>228</v>
      </c>
      <c r="C12" s="33">
        <f t="shared" ref="C12:M12" si="3">C11/C6</f>
        <v>5.2691604307739753E-2</v>
      </c>
      <c r="D12" s="33">
        <f t="shared" si="3"/>
        <v>4.7575340094175002E-2</v>
      </c>
      <c r="E12" s="33">
        <f t="shared" si="3"/>
        <v>5.2674140009398115E-2</v>
      </c>
      <c r="F12" s="33">
        <f t="shared" si="3"/>
        <v>5.1490797603760838E-2</v>
      </c>
      <c r="G12" s="33">
        <f t="shared" si="3"/>
        <v>5.5518387493227357E-2</v>
      </c>
      <c r="H12" s="33">
        <f t="shared" si="3"/>
        <v>5.4400763604707761E-2</v>
      </c>
      <c r="I12" s="33">
        <f t="shared" si="3"/>
        <v>5.3710358725220689E-2</v>
      </c>
      <c r="J12" s="33">
        <f t="shared" si="3"/>
        <v>5.1046345598287149E-2</v>
      </c>
      <c r="K12" s="33">
        <f t="shared" si="3"/>
        <v>5.0331419908338219E-2</v>
      </c>
      <c r="L12" s="33">
        <f t="shared" si="3"/>
        <v>4.8582415929476243E-2</v>
      </c>
      <c r="M12" s="33">
        <f t="shared" si="3"/>
        <v>4.7866503932547183E-2</v>
      </c>
      <c r="N12" s="69"/>
    </row>
    <row r="13" spans="1:46" x14ac:dyDescent="0.45">
      <c r="A13" s="69"/>
      <c r="B13" s="104" t="s">
        <v>0</v>
      </c>
      <c r="C13" s="96">
        <f>'IS(Quaterly)'!G24</f>
        <v>70985.869189999998</v>
      </c>
      <c r="D13" s="96">
        <f>'IS(Quaterly)'!H24</f>
        <v>83383.349570000006</v>
      </c>
      <c r="E13" s="96">
        <f>'IS(Quaterly)'!I24</f>
        <v>65879.168780000007</v>
      </c>
      <c r="F13" s="96">
        <f>'IS(Quaterly)'!J24</f>
        <v>83006.827220000006</v>
      </c>
      <c r="G13" s="96">
        <f>'IS(Quaterly)'!K24</f>
        <v>83009.935289999994</v>
      </c>
      <c r="H13" s="98">
        <f>H9-H11</f>
        <v>76207.876845897932</v>
      </c>
      <c r="I13" s="98">
        <f t="shared" ref="I13:M13" si="4">I9-I11</f>
        <v>82329.03310123719</v>
      </c>
      <c r="J13" s="98">
        <f t="shared" si="4"/>
        <v>88278.077230625699</v>
      </c>
      <c r="K13" s="98">
        <f t="shared" si="4"/>
        <v>89041.84332763491</v>
      </c>
      <c r="L13" s="98">
        <f t="shared" si="4"/>
        <v>94242.507246222784</v>
      </c>
      <c r="M13" s="98">
        <f t="shared" si="4"/>
        <v>96544.814948108571</v>
      </c>
      <c r="N13" s="69"/>
    </row>
    <row r="14" spans="1:46" x14ac:dyDescent="0.45">
      <c r="A14" s="69"/>
      <c r="B14" s="33" t="s">
        <v>232</v>
      </c>
      <c r="C14" s="33">
        <f t="shared" ref="C14:M14" si="5">C13/C6</f>
        <v>0.16212180626171668</v>
      </c>
      <c r="D14" s="33">
        <f t="shared" si="5"/>
        <v>0.18077242740950356</v>
      </c>
      <c r="E14" s="33">
        <f t="shared" si="5"/>
        <v>0.14217310858096951</v>
      </c>
      <c r="F14" s="33">
        <f t="shared" si="5"/>
        <v>0.17093739378959147</v>
      </c>
      <c r="G14" s="33">
        <f t="shared" si="5"/>
        <v>0.17747724440618975</v>
      </c>
      <c r="H14" s="33">
        <f t="shared" si="5"/>
        <v>0.16235626036379391</v>
      </c>
      <c r="I14" s="33">
        <f t="shared" si="5"/>
        <v>0.17034992369546545</v>
      </c>
      <c r="J14" s="33">
        <f t="shared" si="5"/>
        <v>0.17355796717170788</v>
      </c>
      <c r="K14" s="33">
        <f t="shared" si="5"/>
        <v>0.17147578647805611</v>
      </c>
      <c r="L14" s="33">
        <f t="shared" si="5"/>
        <v>0.17490818459621554</v>
      </c>
      <c r="M14" s="33">
        <f t="shared" si="5"/>
        <v>0.17543420262814646</v>
      </c>
      <c r="N14" s="69"/>
      <c r="O14" s="69"/>
      <c r="P14" s="69"/>
      <c r="Q14" s="69"/>
    </row>
    <row r="15" spans="1:46" x14ac:dyDescent="0.45">
      <c r="A15" s="69"/>
      <c r="B15" s="105" t="s">
        <v>233</v>
      </c>
      <c r="C15" s="96">
        <f>'IS(Quaterly)'!G79</f>
        <v>0</v>
      </c>
      <c r="D15" s="96">
        <f>'IS(Quaterly)'!H79</f>
        <v>-179.16728000000001</v>
      </c>
      <c r="E15" s="96">
        <f>'IS(Quaterly)'!I79</f>
        <v>-58.853540000000002</v>
      </c>
      <c r="F15" s="96">
        <f>'IS(Quaterly)'!J79</f>
        <v>-106.50236</v>
      </c>
      <c r="G15" s="96">
        <f>'IS(Quaterly)'!K79</f>
        <v>-61.979990000000001</v>
      </c>
      <c r="H15" s="96">
        <f>비용추정!H54</f>
        <v>-101.6257925</v>
      </c>
      <c r="I15" s="96">
        <f>비용추정!I54</f>
        <v>-82.240420624999999</v>
      </c>
      <c r="J15" s="96">
        <f>비용추정!J54</f>
        <v>-88.08714078125</v>
      </c>
      <c r="K15" s="96">
        <f>비용추정!K54</f>
        <v>-83.4833359765625</v>
      </c>
      <c r="L15" s="96">
        <f>비용추정!L54</f>
        <v>-88.859172470703129</v>
      </c>
      <c r="M15" s="96">
        <f>비용추정!M54</f>
        <v>-85.667517463378914</v>
      </c>
      <c r="N15" s="69"/>
      <c r="O15" s="69"/>
      <c r="P15" s="69"/>
      <c r="Q15" s="69"/>
    </row>
    <row r="16" spans="1:46" x14ac:dyDescent="0.45">
      <c r="A16" s="69"/>
      <c r="B16" s="106" t="s">
        <v>234</v>
      </c>
      <c r="C16" s="101">
        <f>'IS(Quaterly)'!G25</f>
        <v>10729.355</v>
      </c>
      <c r="D16" s="101">
        <f>'IS(Quaterly)'!H25</f>
        <v>9314.7900000000009</v>
      </c>
      <c r="E16" s="101">
        <f>'IS(Quaterly)'!I25</f>
        <v>29108.738000000001</v>
      </c>
      <c r="F16" s="101">
        <f>'IS(Quaterly)'!J25</f>
        <v>15766.251</v>
      </c>
      <c r="G16" s="101">
        <f>'IS(Quaterly)'!K25</f>
        <v>16252.424000000001</v>
      </c>
      <c r="H16" s="101">
        <f>비용추정!H56</f>
        <v>17610.550750000002</v>
      </c>
      <c r="I16" s="101">
        <f>비용추정!I56</f>
        <v>19684.490937499999</v>
      </c>
      <c r="J16" s="101">
        <f>비용추정!J56</f>
        <v>17328.429171875003</v>
      </c>
      <c r="K16" s="101">
        <f>비용추정!K56</f>
        <v>17718.973714843749</v>
      </c>
      <c r="L16" s="101">
        <f>비용추정!L56</f>
        <v>18085.611143554688</v>
      </c>
      <c r="M16" s="101">
        <f>비용추정!M56</f>
        <v>18204.376241943359</v>
      </c>
      <c r="N16" s="69"/>
      <c r="O16" s="69"/>
      <c r="P16" s="69"/>
      <c r="Q16" s="69"/>
    </row>
    <row r="17" spans="1:17" x14ac:dyDescent="0.45">
      <c r="A17" s="69"/>
      <c r="B17" s="106" t="s">
        <v>241</v>
      </c>
      <c r="C17" s="101">
        <f>'IS(Quaterly)'!G37</f>
        <v>4267.1710000000003</v>
      </c>
      <c r="D17" s="101">
        <f>'IS(Quaterly)'!H37</f>
        <v>14714.404</v>
      </c>
      <c r="E17" s="101">
        <f>'IS(Quaterly)'!I37</f>
        <v>8263.2569999999996</v>
      </c>
      <c r="F17" s="101">
        <f>'IS(Quaterly)'!J37</f>
        <v>13365.847</v>
      </c>
      <c r="G17" s="101">
        <f>'IS(Quaterly)'!K37</f>
        <v>29691.851999999999</v>
      </c>
      <c r="H17" s="101">
        <f>비용추정!H58</f>
        <v>16508.84</v>
      </c>
      <c r="I17" s="101">
        <f>비용추정!I58</f>
        <v>16957.449000000001</v>
      </c>
      <c r="J17" s="101">
        <f>비용추정!J58</f>
        <v>19130.997000000003</v>
      </c>
      <c r="K17" s="101">
        <f>비용추정!K58</f>
        <v>20572.284500000002</v>
      </c>
      <c r="L17" s="101">
        <f>비용추정!L58</f>
        <v>18292.392625</v>
      </c>
      <c r="M17" s="101">
        <f>비용추정!M58</f>
        <v>18738.280781250003</v>
      </c>
      <c r="N17" s="69"/>
      <c r="O17" s="69"/>
      <c r="P17" s="69"/>
      <c r="Q17" s="69"/>
    </row>
    <row r="18" spans="1:17" x14ac:dyDescent="0.45">
      <c r="A18" s="69"/>
      <c r="B18" s="106" t="s">
        <v>235</v>
      </c>
      <c r="C18" s="101">
        <f>'IS(Quaterly)'!G48</f>
        <v>214.75899999999999</v>
      </c>
      <c r="D18" s="101">
        <f>'IS(Quaterly)'!H48</f>
        <v>-6.593</v>
      </c>
      <c r="E18" s="101">
        <f>'IS(Quaterly)'!I48</f>
        <v>424.72800000000001</v>
      </c>
      <c r="F18" s="101">
        <f>'IS(Quaterly)'!J48</f>
        <v>450.714</v>
      </c>
      <c r="G18" s="101">
        <f>'IS(Quaterly)'!K48</f>
        <v>105.875</v>
      </c>
      <c r="H18" s="101">
        <f>비용추정!H60</f>
        <v>243.68099999999998</v>
      </c>
      <c r="I18" s="101">
        <f>비용추정!I60</f>
        <v>306.24950000000001</v>
      </c>
      <c r="J18" s="101">
        <f>비용추정!J60</f>
        <v>276.62987499999997</v>
      </c>
      <c r="K18" s="101">
        <f>비용추정!K60</f>
        <v>233.10884374999998</v>
      </c>
      <c r="L18" s="101">
        <f>비용추정!L60</f>
        <v>264.91730468749995</v>
      </c>
      <c r="M18" s="101">
        <f>비용추정!M60</f>
        <v>270.22638085937501</v>
      </c>
      <c r="N18" s="69"/>
      <c r="O18" s="69"/>
      <c r="P18" s="69"/>
      <c r="Q18" s="69"/>
    </row>
    <row r="19" spans="1:17" x14ac:dyDescent="0.45">
      <c r="A19" s="69"/>
      <c r="B19" s="113" t="s">
        <v>236</v>
      </c>
      <c r="C19" s="114">
        <f>'IS(Quaterly)'!G65</f>
        <v>719.49599999999998</v>
      </c>
      <c r="D19" s="114">
        <f>'IS(Quaterly)'!H65</f>
        <v>482.05099999999999</v>
      </c>
      <c r="E19" s="114">
        <f>'IS(Quaterly)'!I65</f>
        <v>774.81</v>
      </c>
      <c r="F19" s="114">
        <f>'IS(Quaterly)'!J65</f>
        <v>1874.732</v>
      </c>
      <c r="G19" s="114">
        <f>'IS(Quaterly)'!K65</f>
        <v>1333.607</v>
      </c>
      <c r="H19" s="114">
        <f>비용추정!H62</f>
        <v>1116.3</v>
      </c>
      <c r="I19" s="114">
        <f>비용추정!I62</f>
        <v>1274.8622499999999</v>
      </c>
      <c r="J19" s="114">
        <f>비용추정!J62</f>
        <v>1399.8753125000001</v>
      </c>
      <c r="K19" s="114">
        <f>비용추정!K62</f>
        <v>1281.1611406250001</v>
      </c>
      <c r="L19" s="114">
        <f>비용추정!L62</f>
        <v>1268.04967578125</v>
      </c>
      <c r="M19" s="114">
        <f>비용추정!M62</f>
        <v>1305.9870947265624</v>
      </c>
      <c r="N19" s="69"/>
      <c r="O19" s="69"/>
      <c r="P19" s="69"/>
      <c r="Q19" s="69"/>
    </row>
    <row r="20" spans="1:17" x14ac:dyDescent="0.45">
      <c r="A20" s="69"/>
      <c r="B20" s="107" t="s">
        <v>237</v>
      </c>
      <c r="C20" s="96">
        <f>'IS(Quaterly)'!G83</f>
        <v>76943.315960000007</v>
      </c>
      <c r="D20" s="96">
        <f>'IS(Quaterly)'!H83</f>
        <v>77315.924920000005</v>
      </c>
      <c r="E20" s="96">
        <f>'IS(Quaterly)'!I83</f>
        <v>86315.712159999995</v>
      </c>
      <c r="F20" s="96">
        <f>'IS(Quaterly)'!J83</f>
        <v>83876.710909999994</v>
      </c>
      <c r="G20" s="96">
        <f>'IS(Quaterly)'!K83</f>
        <v>68280.796140000006</v>
      </c>
      <c r="H20" s="96">
        <f t="shared" ref="H20:M20" si="6">H13+H15+H16-H17+H18-H19</f>
        <v>76335.342803397943</v>
      </c>
      <c r="I20" s="96">
        <f t="shared" si="6"/>
        <v>84005.221868112189</v>
      </c>
      <c r="J20" s="96">
        <f t="shared" si="6"/>
        <v>85264.176824219452</v>
      </c>
      <c r="K20" s="96">
        <f t="shared" si="6"/>
        <v>85056.996909627094</v>
      </c>
      <c r="L20" s="96">
        <f t="shared" si="6"/>
        <v>92943.734221213002</v>
      </c>
      <c r="M20" s="96">
        <f t="shared" si="6"/>
        <v>94889.482177471349</v>
      </c>
      <c r="N20" s="69"/>
      <c r="O20" s="69"/>
      <c r="P20" s="69"/>
      <c r="Q20" s="69"/>
    </row>
    <row r="21" spans="1:17" x14ac:dyDescent="0.45">
      <c r="A21" s="69"/>
      <c r="B21" s="117" t="s">
        <v>114</v>
      </c>
      <c r="C21" s="118">
        <f>'IS(Quaterly)'!G84</f>
        <v>20264.11565</v>
      </c>
      <c r="D21" s="118">
        <f>'IS(Quaterly)'!H84</f>
        <v>18786.75764</v>
      </c>
      <c r="E21" s="118">
        <f>'IS(Quaterly)'!I84</f>
        <v>17908.97005</v>
      </c>
      <c r="F21" s="118">
        <f>'IS(Quaterly)'!J84</f>
        <v>20558.52476</v>
      </c>
      <c r="G21" s="118">
        <f>'IS(Quaterly)'!K84</f>
        <v>15283.742459999999</v>
      </c>
      <c r="H21" s="118">
        <f>H20*비용추정!H66</f>
        <v>18117.363180394936</v>
      </c>
      <c r="I21" s="118">
        <f>I20*비용추정!I66</f>
        <v>18396.648179693319</v>
      </c>
      <c r="J21" s="118">
        <f>J20*비용추정!J66</f>
        <v>19287.103405582093</v>
      </c>
      <c r="K21" s="118">
        <f>K20*비용추정!K66</f>
        <v>19116.746967377592</v>
      </c>
      <c r="L21" s="118">
        <f>L20*비용추정!L66</f>
        <v>20393.614288148856</v>
      </c>
      <c r="M21" s="118">
        <f>M20*비용추정!M66</f>
        <v>20726.178310520838</v>
      </c>
      <c r="N21" s="69"/>
      <c r="O21" s="69"/>
      <c r="P21" s="69"/>
      <c r="Q21" s="69"/>
    </row>
    <row r="22" spans="1:17" x14ac:dyDescent="0.45">
      <c r="A22" s="69"/>
      <c r="B22" s="97" t="s">
        <v>238</v>
      </c>
      <c r="C22" s="96">
        <f>'IS(Quaterly)'!G89</f>
        <v>56679.20031</v>
      </c>
      <c r="D22" s="96">
        <f>'IS(Quaterly)'!H89</f>
        <v>58529.167280000001</v>
      </c>
      <c r="E22" s="96">
        <f>'IS(Quaterly)'!I89</f>
        <v>68406.742119999995</v>
      </c>
      <c r="F22" s="96">
        <f>'IS(Quaterly)'!J89</f>
        <v>63318.186150000001</v>
      </c>
      <c r="G22" s="96">
        <f>'IS(Quaterly)'!K89</f>
        <v>52997.053679999997</v>
      </c>
      <c r="H22" s="96">
        <f>H20-H21</f>
        <v>58217.979623003004</v>
      </c>
      <c r="I22" s="96">
        <f t="shared" ref="I22:M22" si="7">I20-I21</f>
        <v>65608.573688418866</v>
      </c>
      <c r="J22" s="96">
        <f t="shared" si="7"/>
        <v>65977.073418637359</v>
      </c>
      <c r="K22" s="96">
        <f t="shared" si="7"/>
        <v>65940.249942249502</v>
      </c>
      <c r="L22" s="96">
        <f t="shared" si="7"/>
        <v>72550.119933064154</v>
      </c>
      <c r="M22" s="96">
        <f t="shared" si="7"/>
        <v>74163.303866950504</v>
      </c>
      <c r="N22" s="69"/>
      <c r="O22" s="69"/>
      <c r="P22" s="69"/>
      <c r="Q22" s="69"/>
    </row>
    <row r="23" spans="1:17" x14ac:dyDescent="0.45">
      <c r="A23" s="69"/>
      <c r="B23" s="33" t="s">
        <v>228</v>
      </c>
      <c r="C23" s="33">
        <f t="shared" ref="C23:M23" si="8">C22/C6</f>
        <v>0.12944737363336148</v>
      </c>
      <c r="D23" s="33">
        <f t="shared" si="8"/>
        <v>0.12688935738399709</v>
      </c>
      <c r="E23" s="33">
        <f t="shared" si="8"/>
        <v>0.14762783676848235</v>
      </c>
      <c r="F23" s="33">
        <f t="shared" si="8"/>
        <v>0.13039223498181557</v>
      </c>
      <c r="G23" s="33">
        <f t="shared" si="8"/>
        <v>0.11330897941208742</v>
      </c>
      <c r="H23" s="33">
        <f t="shared" si="8"/>
        <v>0.12402987524031911</v>
      </c>
      <c r="I23" s="33">
        <f t="shared" si="8"/>
        <v>0.13575302782734278</v>
      </c>
      <c r="J23" s="33">
        <f t="shared" si="8"/>
        <v>0.12971336827559107</v>
      </c>
      <c r="K23" s="33">
        <f t="shared" si="8"/>
        <v>0.12698699619011092</v>
      </c>
      <c r="L23" s="33">
        <f t="shared" si="8"/>
        <v>0.13464847382059181</v>
      </c>
      <c r="M23" s="33">
        <f t="shared" si="8"/>
        <v>0.13476415160317515</v>
      </c>
      <c r="N23" s="69"/>
      <c r="O23" s="69"/>
      <c r="P23" s="69"/>
      <c r="Q23" s="69"/>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656B-1149-40AA-9384-1DADB638951F}">
  <dimension ref="A1:AV21"/>
  <sheetViews>
    <sheetView tabSelected="1" topLeftCell="C1" zoomScale="86" zoomScaleNormal="85" workbookViewId="0">
      <selection activeCell="G25" sqref="G25"/>
    </sheetView>
  </sheetViews>
  <sheetFormatPr defaultColWidth="8.83203125" defaultRowHeight="17" x14ac:dyDescent="0.45"/>
  <cols>
    <col min="1" max="1" width="8.83203125" style="15"/>
    <col min="2" max="2" width="12.08203125" style="15" bestFit="1" customWidth="1"/>
    <col min="3" max="8" width="6.9140625" style="15" bestFit="1" customWidth="1"/>
    <col min="9" max="9" width="7.83203125" style="15" bestFit="1" customWidth="1"/>
    <col min="10" max="14" width="7.4140625" style="15" bestFit="1" customWidth="1"/>
    <col min="15" max="15" width="8.83203125" style="15"/>
    <col min="16" max="16" width="6.9140625" style="15" bestFit="1" customWidth="1"/>
    <col min="17" max="18" width="7.6640625" style="15" bestFit="1" customWidth="1"/>
    <col min="19" max="16384" width="8.83203125" style="15"/>
  </cols>
  <sheetData>
    <row r="1" spans="1:48" s="22" customFormat="1" x14ac:dyDescent="0.45">
      <c r="A1" s="27" t="s">
        <v>262</v>
      </c>
      <c r="B1" s="20"/>
      <c r="C1" s="20"/>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row>
    <row r="2" spans="1:48" s="24" customFormat="1" ht="22.5" x14ac:dyDescent="0.8">
      <c r="A2" s="28" t="s">
        <v>277</v>
      </c>
      <c r="B2" s="23"/>
      <c r="C2" s="23"/>
    </row>
    <row r="3" spans="1:48" s="22" customFormat="1" ht="18.5" x14ac:dyDescent="0.6">
      <c r="A3" s="29" t="s">
        <v>278</v>
      </c>
      <c r="B3" s="25"/>
      <c r="C3" s="25"/>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row>
    <row r="4" spans="1:48" x14ac:dyDescent="0.45">
      <c r="A4" s="69"/>
      <c r="B4" s="69"/>
      <c r="C4" s="69"/>
      <c r="D4" s="110"/>
      <c r="E4" s="110"/>
      <c r="F4" s="110"/>
      <c r="G4" s="110"/>
      <c r="H4" s="110"/>
      <c r="I4" s="69"/>
      <c r="J4" s="69"/>
      <c r="K4" s="69"/>
      <c r="L4" s="69"/>
      <c r="M4" s="69"/>
      <c r="N4" s="69"/>
      <c r="O4" s="69"/>
      <c r="P4" s="69"/>
      <c r="Q4" s="69"/>
      <c r="R4" s="69"/>
      <c r="S4" s="69"/>
      <c r="T4" s="69"/>
    </row>
    <row r="5" spans="1:48" x14ac:dyDescent="0.45">
      <c r="A5" s="69"/>
      <c r="B5" s="51" t="s">
        <v>291</v>
      </c>
      <c r="C5" s="154" t="s">
        <v>280</v>
      </c>
      <c r="D5" s="154" t="s">
        <v>297</v>
      </c>
      <c r="E5" s="154" t="s">
        <v>295</v>
      </c>
      <c r="F5" s="154" t="s">
        <v>296</v>
      </c>
      <c r="G5" s="154" t="s">
        <v>239</v>
      </c>
      <c r="H5" s="154" t="s">
        <v>240</v>
      </c>
      <c r="I5" s="154" t="s">
        <v>224</v>
      </c>
      <c r="J5" s="154" t="s">
        <v>225</v>
      </c>
      <c r="K5" s="154" t="s">
        <v>264</v>
      </c>
      <c r="L5" s="154" t="s">
        <v>265</v>
      </c>
      <c r="M5" s="154" t="s">
        <v>266</v>
      </c>
      <c r="N5" s="154" t="s">
        <v>267</v>
      </c>
      <c r="O5" s="170"/>
      <c r="P5" s="169" t="s">
        <v>274</v>
      </c>
      <c r="Q5" s="169" t="s">
        <v>282</v>
      </c>
      <c r="R5" s="169" t="s">
        <v>283</v>
      </c>
      <c r="S5" s="69"/>
    </row>
    <row r="6" spans="1:48" x14ac:dyDescent="0.45">
      <c r="A6" s="69"/>
      <c r="B6" s="106" t="s">
        <v>268</v>
      </c>
      <c r="C6" s="101">
        <v>3830</v>
      </c>
      <c r="D6" s="101">
        <f>'IS(Quaterly)'!G10/100</f>
        <v>4378.5515857999999</v>
      </c>
      <c r="E6" s="101">
        <f>'IS(Quaterly)'!H10/100</f>
        <v>4612.6143663000003</v>
      </c>
      <c r="F6" s="112">
        <f>'IS(Quaterly)'!I10/100</f>
        <v>4633.7292219000001</v>
      </c>
      <c r="G6" s="101">
        <f>'IS(Quaterly)'!J10/100</f>
        <v>4855.9782841999995</v>
      </c>
      <c r="H6" s="101">
        <f>'IS(Quaterly)'!K10/100</f>
        <v>4677.2156942000001</v>
      </c>
      <c r="I6" s="101">
        <f>I8+I14+I16+I18</f>
        <v>4693.8674662213762</v>
      </c>
      <c r="J6" s="101">
        <f t="shared" ref="J6:N6" si="0">J8+J14+J16+J18</f>
        <v>4832.9363063535502</v>
      </c>
      <c r="K6" s="101">
        <f t="shared" si="0"/>
        <v>5086.374233877068</v>
      </c>
      <c r="L6" s="101">
        <f t="shared" si="0"/>
        <v>5192.6773544222615</v>
      </c>
      <c r="M6" s="101">
        <f t="shared" si="0"/>
        <v>5388.113052787462</v>
      </c>
      <c r="N6" s="101">
        <f t="shared" si="0"/>
        <v>5503.1922796005019</v>
      </c>
      <c r="O6" s="101"/>
      <c r="P6" s="101">
        <f>SUM(C6:F6)</f>
        <v>17454.895174000001</v>
      </c>
      <c r="Q6" s="101">
        <f>SUM(G6:J6)</f>
        <v>19059.997750974926</v>
      </c>
      <c r="R6" s="101">
        <f>SUM(K6:N6)</f>
        <v>21170.356920687293</v>
      </c>
      <c r="S6" s="69"/>
    </row>
    <row r="7" spans="1:48" x14ac:dyDescent="0.45">
      <c r="A7" s="69"/>
      <c r="B7" s="119" t="s">
        <v>279</v>
      </c>
      <c r="C7" s="120" t="s">
        <v>281</v>
      </c>
      <c r="D7" s="120">
        <f>(D6-C6)/C6</f>
        <v>0.14322495712793731</v>
      </c>
      <c r="E7" s="120">
        <f>(E6-D6)/D6</f>
        <v>5.3456668469793772E-2</v>
      </c>
      <c r="F7" s="121">
        <f t="shared" ref="F7:R7" si="1">(F6-E6)/E6</f>
        <v>4.5776329697678735E-3</v>
      </c>
      <c r="G7" s="120">
        <f t="shared" si="1"/>
        <v>4.7963325359971963E-2</v>
      </c>
      <c r="H7" s="120">
        <f t="shared" si="1"/>
        <v>-3.6812889090061016E-2</v>
      </c>
      <c r="I7" s="120">
        <f t="shared" si="1"/>
        <v>3.5601890334082979E-3</v>
      </c>
      <c r="J7" s="120">
        <f t="shared" si="1"/>
        <v>2.9627773074753269E-2</v>
      </c>
      <c r="K7" s="120">
        <f t="shared" si="1"/>
        <v>5.2439740865266378E-2</v>
      </c>
      <c r="L7" s="120">
        <f t="shared" si="1"/>
        <v>2.0899586946862211E-2</v>
      </c>
      <c r="M7" s="120">
        <f t="shared" si="1"/>
        <v>3.7636788312826873E-2</v>
      </c>
      <c r="N7" s="120">
        <f t="shared" si="1"/>
        <v>2.1357982968361312E-2</v>
      </c>
      <c r="O7" s="122"/>
      <c r="P7" s="120" t="s">
        <v>281</v>
      </c>
      <c r="Q7" s="120">
        <f t="shared" si="1"/>
        <v>9.1957159351252413E-2</v>
      </c>
      <c r="R7" s="120">
        <f t="shared" si="1"/>
        <v>0.11072190024809531</v>
      </c>
      <c r="S7" s="69"/>
    </row>
    <row r="8" spans="1:48" x14ac:dyDescent="0.45">
      <c r="A8" s="69"/>
      <c r="B8" s="106" t="s">
        <v>269</v>
      </c>
      <c r="C8" s="101">
        <v>1692</v>
      </c>
      <c r="D8" s="101">
        <f>SUM(D10:D13)</f>
        <v>2061</v>
      </c>
      <c r="E8" s="101">
        <f t="shared" ref="E8:N8" si="2">SUM(E10:E13)</f>
        <v>2192</v>
      </c>
      <c r="F8" s="112">
        <f t="shared" si="2"/>
        <v>2113</v>
      </c>
      <c r="G8" s="101">
        <f t="shared" si="2"/>
        <v>2161</v>
      </c>
      <c r="H8" s="101">
        <f t="shared" si="2"/>
        <v>2300</v>
      </c>
      <c r="I8" s="101">
        <f>SUM(I10:I13)</f>
        <v>2468.1268825937977</v>
      </c>
      <c r="J8" s="101">
        <f t="shared" si="2"/>
        <v>2567.3591461058177</v>
      </c>
      <c r="K8" s="101">
        <f t="shared" si="2"/>
        <v>2668.1498406286869</v>
      </c>
      <c r="L8" s="101">
        <f t="shared" si="2"/>
        <v>2762.9244505288552</v>
      </c>
      <c r="M8" s="101">
        <f t="shared" si="2"/>
        <v>2859.7549133759157</v>
      </c>
      <c r="N8" s="101">
        <f t="shared" si="2"/>
        <v>2958.9873472984059</v>
      </c>
      <c r="O8" s="101"/>
      <c r="P8" s="101">
        <f>SUM(C8:F8)</f>
        <v>8058</v>
      </c>
      <c r="Q8" s="101">
        <f>SUM(G8:J8)</f>
        <v>9496.4860286996154</v>
      </c>
      <c r="R8" s="101">
        <f>SUM(K8:N8)</f>
        <v>11249.816551831862</v>
      </c>
      <c r="S8" s="69"/>
    </row>
    <row r="9" spans="1:48" x14ac:dyDescent="0.45">
      <c r="A9" s="69"/>
      <c r="B9" s="120" t="s">
        <v>287</v>
      </c>
      <c r="C9" s="120">
        <f>C8/C$6</f>
        <v>0.44177545691906006</v>
      </c>
      <c r="D9" s="120">
        <f t="shared" ref="D9" si="3">D8/D$6</f>
        <v>0.47070360131966726</v>
      </c>
      <c r="E9" s="120">
        <f t="shared" ref="E9" si="4">E8/E$6</f>
        <v>0.47521856932477724</v>
      </c>
      <c r="F9" s="121">
        <f t="shared" ref="F9" si="5">F8/F$6</f>
        <v>0.45600420283807436</v>
      </c>
      <c r="G9" s="120">
        <f t="shared" ref="G9" si="6">G8/G$6</f>
        <v>0.44501846456589228</v>
      </c>
      <c r="H9" s="120">
        <f t="shared" ref="H9" si="7">H8/H$6</f>
        <v>0.49174554914200858</v>
      </c>
      <c r="I9" s="120">
        <f t="shared" ref="I9" si="8">I8/I$6</f>
        <v>0.52581946558041015</v>
      </c>
      <c r="J9" s="120">
        <f t="shared" ref="J9" si="9">J8/J$6</f>
        <v>0.53122139075796959</v>
      </c>
      <c r="K9" s="120">
        <f t="shared" ref="K9" si="10">K8/K$6</f>
        <v>0.52456813398783297</v>
      </c>
      <c r="L9" s="120">
        <f t="shared" ref="L9" si="11">L8/L$6</f>
        <v>0.53208090199862978</v>
      </c>
      <c r="M9" s="120">
        <f t="shared" ref="M9" si="12">M8/M$6</f>
        <v>0.53075258172180761</v>
      </c>
      <c r="N9" s="120">
        <f t="shared" ref="N9" si="13">N8/N$6</f>
        <v>0.5376856189937107</v>
      </c>
      <c r="O9" s="75"/>
      <c r="P9" s="120">
        <f>P8/P$6</f>
        <v>0.46164700043589041</v>
      </c>
      <c r="Q9" s="120">
        <f t="shared" ref="Q9:R9" si="14">Q8/Q$6</f>
        <v>0.4982417182191885</v>
      </c>
      <c r="R9" s="120">
        <f t="shared" si="14"/>
        <v>0.5313947513487004</v>
      </c>
      <c r="S9" s="69"/>
    </row>
    <row r="10" spans="1:48" x14ac:dyDescent="0.45">
      <c r="A10" s="69"/>
      <c r="B10" s="106" t="s">
        <v>3</v>
      </c>
      <c r="C10" s="101">
        <v>1081</v>
      </c>
      <c r="D10" s="101">
        <v>1245</v>
      </c>
      <c r="E10" s="101">
        <v>1547</v>
      </c>
      <c r="F10" s="112">
        <v>1450</v>
      </c>
      <c r="G10" s="101">
        <f>AM!G8</f>
        <v>1572</v>
      </c>
      <c r="H10" s="101">
        <f>AM!H8</f>
        <v>1568</v>
      </c>
      <c r="I10" s="101">
        <f>AM!I8</f>
        <v>1722.0397207962424</v>
      </c>
      <c r="J10" s="101">
        <f>AM!J8</f>
        <v>1802.3472832143179</v>
      </c>
      <c r="K10" s="101">
        <f>AM!K8</f>
        <v>1886.4000000000005</v>
      </c>
      <c r="L10" s="101">
        <f>AM!L8</f>
        <v>1974.3725269492686</v>
      </c>
      <c r="M10" s="101">
        <f>AM!M8</f>
        <v>2066.4476649554917</v>
      </c>
      <c r="N10" s="101">
        <f>AM!N8</f>
        <v>2162.8167398571823</v>
      </c>
      <c r="O10" s="101"/>
      <c r="P10" s="101">
        <f>SUM(C10:F10)</f>
        <v>5323</v>
      </c>
      <c r="Q10" s="101">
        <f>SUM(G10:J10)</f>
        <v>6664.3870040105603</v>
      </c>
      <c r="R10" s="101">
        <f>SUM(K10:N10)</f>
        <v>8090.0369317619434</v>
      </c>
      <c r="S10" s="69"/>
    </row>
    <row r="11" spans="1:48" x14ac:dyDescent="0.45">
      <c r="A11" s="69"/>
      <c r="B11" s="106" t="s">
        <v>4</v>
      </c>
      <c r="C11" s="101">
        <v>287</v>
      </c>
      <c r="D11" s="101">
        <v>307</v>
      </c>
      <c r="E11" s="101">
        <v>262</v>
      </c>
      <c r="F11" s="112">
        <v>306</v>
      </c>
      <c r="G11" s="101">
        <f>AM!G16</f>
        <v>281</v>
      </c>
      <c r="H11" s="101">
        <f>AM!H16</f>
        <v>283</v>
      </c>
      <c r="I11" s="101">
        <f>AM!I16</f>
        <v>281.17340791738383</v>
      </c>
      <c r="J11" s="101">
        <f>AM!J16</f>
        <v>278.91661817545224</v>
      </c>
      <c r="K11" s="101">
        <f>AM!K16</f>
        <v>278.39409129363924</v>
      </c>
      <c r="L11" s="101">
        <f>AM!L16</f>
        <v>277.90334170185218</v>
      </c>
      <c r="M11" s="101">
        <f>AM!M16</f>
        <v>277.60623692257963</v>
      </c>
      <c r="N11" s="101">
        <f>AM!N16</f>
        <v>277.45685039480935</v>
      </c>
      <c r="O11" s="101"/>
      <c r="P11" s="101">
        <f t="shared" ref="P11:P14" si="15">SUM(C11:F11)</f>
        <v>1162</v>
      </c>
      <c r="Q11" s="101">
        <f>SUM(G11:J11)</f>
        <v>1124.0900260928361</v>
      </c>
      <c r="R11" s="101">
        <f>SUM(K11:N11)</f>
        <v>1111.3605203128805</v>
      </c>
      <c r="S11" s="69"/>
    </row>
    <row r="12" spans="1:48" x14ac:dyDescent="0.45">
      <c r="A12" s="69"/>
      <c r="B12" s="106" t="s">
        <v>5</v>
      </c>
      <c r="C12" s="101">
        <v>115</v>
      </c>
      <c r="D12" s="101">
        <v>279</v>
      </c>
      <c r="E12" s="101">
        <v>193</v>
      </c>
      <c r="F12" s="112">
        <v>115</v>
      </c>
      <c r="G12" s="101">
        <f>AM!G18</f>
        <v>89</v>
      </c>
      <c r="H12" s="101">
        <f>AM!H18</f>
        <v>200</v>
      </c>
      <c r="I12" s="101">
        <f>AM!I18</f>
        <v>206.98005698005696</v>
      </c>
      <c r="J12" s="101">
        <f>AM!J18</f>
        <v>216.2617435718912</v>
      </c>
      <c r="K12" s="101">
        <f>AM!K18</f>
        <v>227.86100427003524</v>
      </c>
      <c r="L12" s="101">
        <f>AM!L18</f>
        <v>231.89970827445069</v>
      </c>
      <c r="M12" s="101">
        <f>AM!M18</f>
        <v>234.82775022366482</v>
      </c>
      <c r="N12" s="101">
        <f>AM!N18</f>
        <v>236.66213097812877</v>
      </c>
      <c r="O12" s="101"/>
      <c r="P12" s="101">
        <f t="shared" si="15"/>
        <v>702</v>
      </c>
      <c r="Q12" s="101">
        <f>SUM(G12:J12)</f>
        <v>712.24180055194813</v>
      </c>
      <c r="R12" s="101">
        <f>SUM(K12:N12)</f>
        <v>931.25059374627949</v>
      </c>
      <c r="S12" s="69"/>
    </row>
    <row r="13" spans="1:48" x14ac:dyDescent="0.45">
      <c r="A13" s="69"/>
      <c r="B13" s="113" t="s">
        <v>284</v>
      </c>
      <c r="C13" s="114">
        <v>209</v>
      </c>
      <c r="D13" s="114">
        <v>230</v>
      </c>
      <c r="E13" s="114">
        <v>190</v>
      </c>
      <c r="F13" s="115">
        <v>242</v>
      </c>
      <c r="G13" s="114">
        <f>AM!G20</f>
        <v>219</v>
      </c>
      <c r="H13" s="114">
        <f>AM!H20</f>
        <v>249</v>
      </c>
      <c r="I13" s="114">
        <f>AM!I20</f>
        <v>257.9336969001148</v>
      </c>
      <c r="J13" s="114">
        <f>AM!J20</f>
        <v>269.83350114415646</v>
      </c>
      <c r="K13" s="114">
        <f>AM!K20</f>
        <v>275.4947450650119</v>
      </c>
      <c r="L13" s="114">
        <f>AM!L20</f>
        <v>278.74887360328381</v>
      </c>
      <c r="M13" s="114">
        <f>AM!M20</f>
        <v>280.87326127417975</v>
      </c>
      <c r="N13" s="114">
        <f>AM!N20</f>
        <v>282.05162606828543</v>
      </c>
      <c r="O13" s="101"/>
      <c r="P13" s="114">
        <f t="shared" si="15"/>
        <v>871</v>
      </c>
      <c r="Q13" s="114">
        <f>SUM(G13:J13)</f>
        <v>995.76719804427125</v>
      </c>
      <c r="R13" s="114">
        <f>SUM(K13:N13)</f>
        <v>1117.1685060107609</v>
      </c>
      <c r="S13" s="69"/>
    </row>
    <row r="14" spans="1:48" x14ac:dyDescent="0.45">
      <c r="A14" s="69"/>
      <c r="B14" s="106" t="s">
        <v>6</v>
      </c>
      <c r="C14" s="101">
        <v>303</v>
      </c>
      <c r="D14" s="101">
        <v>346</v>
      </c>
      <c r="E14" s="101">
        <v>438</v>
      </c>
      <c r="F14" s="112">
        <v>548</v>
      </c>
      <c r="G14" s="101">
        <v>583</v>
      </c>
      <c r="H14" s="101">
        <v>328</v>
      </c>
      <c r="I14" s="101">
        <f>Retrofit!I6</f>
        <v>391.53744696969699</v>
      </c>
      <c r="J14" s="101">
        <f>Retrofit!J6</f>
        <v>396.07819570707068</v>
      </c>
      <c r="K14" s="101">
        <f>Retrofit!K6</f>
        <v>589.45501388888886</v>
      </c>
      <c r="L14" s="101">
        <f>Retrofit!L6</f>
        <v>590.70229910213243</v>
      </c>
      <c r="M14" s="101">
        <f>Retrofit!M6</f>
        <v>685.28887121212119</v>
      </c>
      <c r="N14" s="101">
        <f>Retrofit!N6</f>
        <v>707.19360906908582</v>
      </c>
      <c r="O14" s="101"/>
      <c r="P14" s="101">
        <f t="shared" si="15"/>
        <v>1635</v>
      </c>
      <c r="Q14" s="101">
        <f>SUM(G14:J14)</f>
        <v>1698.6156426767675</v>
      </c>
      <c r="R14" s="101">
        <f>SUM(K14:N14)</f>
        <v>2572.6397932722284</v>
      </c>
      <c r="S14" s="69"/>
      <c r="T14" s="69"/>
    </row>
    <row r="15" spans="1:48" x14ac:dyDescent="0.45">
      <c r="A15" s="69"/>
      <c r="B15" s="120" t="s">
        <v>287</v>
      </c>
      <c r="C15" s="120">
        <f>C14/C$6</f>
        <v>7.9112271540469972E-2</v>
      </c>
      <c r="D15" s="120">
        <f t="shared" ref="D15" si="16">D14/D$6</f>
        <v>7.9021565287047485E-2</v>
      </c>
      <c r="E15" s="120">
        <f t="shared" ref="E15" si="17">E14/E$6</f>
        <v>9.4956995147925369E-2</v>
      </c>
      <c r="F15" s="121">
        <f t="shared" ref="F15" si="18">F14/F$6</f>
        <v>0.11826327645776845</v>
      </c>
      <c r="G15" s="120">
        <f t="shared" ref="G15" si="19">G14/G$6</f>
        <v>0.12005819752055308</v>
      </c>
      <c r="H15" s="120">
        <f t="shared" ref="H15" si="20">H14/H$6</f>
        <v>7.012719135590384E-2</v>
      </c>
      <c r="I15" s="120">
        <f t="shared" ref="I15" si="21">I14/I$6</f>
        <v>8.3414678788297725E-2</v>
      </c>
      <c r="J15" s="120">
        <f t="shared" ref="J15" si="22">J14/J$6</f>
        <v>8.1953944889853442E-2</v>
      </c>
      <c r="K15" s="120">
        <f t="shared" ref="K15" si="23">K14/K$6</f>
        <v>0.11588903741350923</v>
      </c>
      <c r="L15" s="120">
        <f t="shared" ref="L15" si="24">L14/L$6</f>
        <v>0.11375678841264231</v>
      </c>
      <c r="M15" s="120">
        <f t="shared" ref="M15" si="25">M14/M$6</f>
        <v>0.12718531784658768</v>
      </c>
      <c r="N15" s="120">
        <f t="shared" ref="N15" si="26">N14/N$6</f>
        <v>0.12850606941184758</v>
      </c>
      <c r="O15" s="122"/>
      <c r="P15" s="120">
        <f>P14/P$6</f>
        <v>9.3669998226939791E-2</v>
      </c>
      <c r="Q15" s="120">
        <f t="shared" ref="Q15" si="27">Q14/Q$6</f>
        <v>8.9119404150500625E-2</v>
      </c>
      <c r="R15" s="120">
        <f t="shared" ref="R15" si="28">R14/R$6</f>
        <v>0.12152085120295214</v>
      </c>
      <c r="S15" s="69"/>
      <c r="T15" s="69"/>
    </row>
    <row r="16" spans="1:48" x14ac:dyDescent="0.45">
      <c r="A16" s="69"/>
      <c r="B16" s="106" t="s">
        <v>270</v>
      </c>
      <c r="C16" s="101">
        <v>174</v>
      </c>
      <c r="D16" s="101">
        <v>195</v>
      </c>
      <c r="E16" s="101">
        <v>171</v>
      </c>
      <c r="F16" s="112">
        <v>167</v>
      </c>
      <c r="G16" s="101">
        <v>198</v>
      </c>
      <c r="H16" s="101">
        <v>220</v>
      </c>
      <c r="I16" s="101">
        <f>Digital!I6</f>
        <v>230.36243509513739</v>
      </c>
      <c r="J16" s="101">
        <f>Digital!J6</f>
        <v>233.68688620676991</v>
      </c>
      <c r="K16" s="101">
        <f>Digital!K6</f>
        <v>230.90575952211708</v>
      </c>
      <c r="L16" s="101">
        <f>Digital!L6</f>
        <v>232.45383598219325</v>
      </c>
      <c r="M16" s="101">
        <f>Digital!M6</f>
        <v>232.56464918226985</v>
      </c>
      <c r="N16" s="101">
        <f>Digital!N6</f>
        <v>232.03137919246947</v>
      </c>
      <c r="O16" s="101"/>
      <c r="P16" s="101">
        <f>SUM(C16:F16)</f>
        <v>707</v>
      </c>
      <c r="Q16" s="101">
        <f>SUM(G16:J16)</f>
        <v>882.0493213019073</v>
      </c>
      <c r="R16" s="101">
        <f>SUM(K16:N16)</f>
        <v>927.95562387904965</v>
      </c>
      <c r="S16" s="69"/>
      <c r="T16" s="69"/>
    </row>
    <row r="17" spans="1:20" x14ac:dyDescent="0.45">
      <c r="A17" s="69"/>
      <c r="B17" s="120" t="s">
        <v>287</v>
      </c>
      <c r="C17" s="120">
        <f>C16/C$6</f>
        <v>4.5430809399477808E-2</v>
      </c>
      <c r="D17" s="120">
        <f t="shared" ref="D17" si="29">D16/D$6</f>
        <v>4.4535275234029656E-2</v>
      </c>
      <c r="E17" s="120">
        <f t="shared" ref="E17" si="30">E16/E$6</f>
        <v>3.7072251530354428E-2</v>
      </c>
      <c r="F17" s="121">
        <f t="shared" ref="F17" si="31">F16/F$6</f>
        <v>3.6040086073809E-2</v>
      </c>
      <c r="G17" s="120">
        <f t="shared" ref="G17" si="32">G16/G$6</f>
        <v>4.0774482176791617E-2</v>
      </c>
      <c r="H17" s="120">
        <f t="shared" ref="H17" si="33">H16/H$6</f>
        <v>4.7036530787496471E-2</v>
      </c>
      <c r="I17" s="120">
        <f t="shared" ref="I17" si="34">I16/I$6</f>
        <v>4.907731987596619E-2</v>
      </c>
      <c r="J17" s="120">
        <f t="shared" ref="J17" si="35">J16/J$6</f>
        <v>4.8352982823207664E-2</v>
      </c>
      <c r="K17" s="120">
        <f t="shared" ref="K17" si="36">K16/K$6</f>
        <v>4.5396926947333584E-2</v>
      </c>
      <c r="L17" s="120">
        <f t="shared" ref="L17" si="37">L16/L$6</f>
        <v>4.4765699872384254E-2</v>
      </c>
      <c r="M17" s="120">
        <f t="shared" ref="M17" si="38">M16/M$6</f>
        <v>4.3162540745494547E-2</v>
      </c>
      <c r="N17" s="120">
        <f t="shared" ref="N17" si="39">N16/N$6</f>
        <v>4.2163051444263459E-2</v>
      </c>
      <c r="O17" s="122"/>
      <c r="P17" s="120">
        <f>P16/P$6</f>
        <v>4.0504396786817387E-2</v>
      </c>
      <c r="Q17" s="120">
        <f t="shared" ref="Q17" si="40">Q16/Q$6</f>
        <v>4.6277514448121601E-2</v>
      </c>
      <c r="R17" s="120">
        <f t="shared" ref="R17" si="41">R16/R$6</f>
        <v>4.3832781249534256E-2</v>
      </c>
      <c r="S17" s="69"/>
      <c r="T17" s="69"/>
    </row>
    <row r="18" spans="1:20" x14ac:dyDescent="0.45">
      <c r="A18" s="69"/>
      <c r="B18" s="106" t="s">
        <v>1</v>
      </c>
      <c r="C18" s="101">
        <v>1661</v>
      </c>
      <c r="D18" s="101">
        <v>1777</v>
      </c>
      <c r="E18" s="101">
        <v>1812</v>
      </c>
      <c r="F18" s="112">
        <v>1806</v>
      </c>
      <c r="G18" s="101">
        <v>1914</v>
      </c>
      <c r="H18" s="101">
        <v>1829</v>
      </c>
      <c r="I18" s="101" cm="1">
        <f t="array" ref="I18:N18">Bunkering!I6:N6</f>
        <v>1603.8407015627442</v>
      </c>
      <c r="J18" s="101">
        <v>1635.812078333892</v>
      </c>
      <c r="K18" s="101">
        <v>1597.8636198373747</v>
      </c>
      <c r="L18" s="101">
        <v>1606.5967688090814</v>
      </c>
      <c r="M18" s="101">
        <v>1610.5046190171552</v>
      </c>
      <c r="N18" s="101">
        <v>1604.9799440405413</v>
      </c>
      <c r="O18" s="101"/>
      <c r="P18" s="101">
        <f>SUM(C18:F18)</f>
        <v>7056</v>
      </c>
      <c r="Q18" s="101">
        <f>SUM(G18:J18)</f>
        <v>6982.6527798966363</v>
      </c>
      <c r="R18" s="101">
        <f>SUM(K18:N18)</f>
        <v>6419.944951704153</v>
      </c>
      <c r="S18" s="69"/>
      <c r="T18" s="69"/>
    </row>
    <row r="19" spans="1:20" x14ac:dyDescent="0.45">
      <c r="A19" s="69"/>
      <c r="B19" s="120" t="s">
        <v>287</v>
      </c>
      <c r="C19" s="120">
        <f>C18/C$6</f>
        <v>0.43368146214099218</v>
      </c>
      <c r="D19" s="120">
        <f t="shared" ref="D19:N19" si="42">D18/D$6</f>
        <v>0.40584196969677278</v>
      </c>
      <c r="E19" s="120">
        <f t="shared" si="42"/>
        <v>0.39283578814621184</v>
      </c>
      <c r="F19" s="121">
        <f t="shared" si="42"/>
        <v>0.38975087095388655</v>
      </c>
      <c r="G19" s="120">
        <f t="shared" si="42"/>
        <v>0.39415332770898559</v>
      </c>
      <c r="H19" s="120">
        <f t="shared" si="42"/>
        <v>0.39104461277423203</v>
      </c>
      <c r="I19" s="120">
        <f t="shared" si="42"/>
        <v>0.34168853575532604</v>
      </c>
      <c r="J19" s="120">
        <f t="shared" si="42"/>
        <v>0.33847168152896928</v>
      </c>
      <c r="K19" s="120">
        <f t="shared" si="42"/>
        <v>0.31414590165132417</v>
      </c>
      <c r="L19" s="120">
        <f t="shared" si="42"/>
        <v>0.30939660971634386</v>
      </c>
      <c r="M19" s="120">
        <f t="shared" si="42"/>
        <v>0.29889955968611015</v>
      </c>
      <c r="N19" s="120">
        <f t="shared" si="42"/>
        <v>0.29164526015017833</v>
      </c>
      <c r="O19" s="122"/>
      <c r="P19" s="120">
        <f>P18/P$6</f>
        <v>0.40424190060506859</v>
      </c>
      <c r="Q19" s="120">
        <f t="shared" ref="Q19" si="43">Q18/Q$6</f>
        <v>0.36635118593020144</v>
      </c>
      <c r="R19" s="120">
        <f t="shared" ref="R19" si="44">R18/R$6</f>
        <v>0.30325161619881325</v>
      </c>
      <c r="S19" s="69"/>
      <c r="T19" s="69"/>
    </row>
    <row r="20" spans="1:20" x14ac:dyDescent="0.45">
      <c r="A20" s="69"/>
      <c r="B20" s="69"/>
      <c r="C20" s="69"/>
      <c r="D20" s="171"/>
      <c r="E20" s="69"/>
      <c r="F20" s="69"/>
      <c r="G20" s="69"/>
      <c r="H20" s="69"/>
      <c r="I20" s="69"/>
      <c r="J20" s="69"/>
      <c r="K20" s="69"/>
      <c r="L20" s="69"/>
      <c r="M20" s="69"/>
      <c r="N20" s="69"/>
      <c r="O20" s="69"/>
      <c r="P20" s="69"/>
      <c r="Q20" s="69"/>
      <c r="R20" s="69"/>
      <c r="S20" s="69"/>
      <c r="T20" s="69"/>
    </row>
    <row r="21" spans="1:20" x14ac:dyDescent="0.45">
      <c r="A21" s="69"/>
      <c r="B21" s="116"/>
      <c r="C21" s="69"/>
      <c r="D21" s="69"/>
      <c r="E21" s="69"/>
      <c r="F21" s="69"/>
      <c r="G21" s="69"/>
      <c r="H21" s="69"/>
      <c r="I21" s="69"/>
      <c r="J21" s="69"/>
      <c r="K21" s="69"/>
      <c r="L21" s="69"/>
      <c r="M21" s="69"/>
      <c r="N21" s="69"/>
      <c r="O21" s="69"/>
      <c r="P21" s="69"/>
      <c r="Q21" s="69"/>
      <c r="R21" s="69"/>
      <c r="S21" s="69"/>
      <c r="T21" s="69"/>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81334-AB93-419B-A7B4-C1E832DD8304}">
  <dimension ref="A1:AQ49"/>
  <sheetViews>
    <sheetView topLeftCell="A5" zoomScale="67" zoomScaleNormal="40" workbookViewId="0">
      <selection activeCell="A5" sqref="A5"/>
    </sheetView>
  </sheetViews>
  <sheetFormatPr defaultColWidth="8.83203125" defaultRowHeight="17" x14ac:dyDescent="0.45"/>
  <cols>
    <col min="1" max="1" width="8.83203125" style="15"/>
    <col min="2" max="2" width="27.83203125" style="15" customWidth="1"/>
    <col min="3" max="8" width="8.9140625" style="15" bestFit="1" customWidth="1"/>
    <col min="9" max="9" width="10" style="15" bestFit="1" customWidth="1"/>
    <col min="10" max="16" width="8.9140625" style="15" bestFit="1" customWidth="1"/>
    <col min="17" max="17" width="10" style="15" bestFit="1" customWidth="1"/>
    <col min="18" max="16384" width="8.83203125" style="15"/>
  </cols>
  <sheetData>
    <row r="1" spans="1:43" s="22"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row>
    <row r="2" spans="1:43" s="24" customFormat="1" ht="22.5" x14ac:dyDescent="0.8">
      <c r="A2" s="28" t="s">
        <v>288</v>
      </c>
      <c r="B2" s="23"/>
    </row>
    <row r="3" spans="1:43" s="22" customFormat="1" ht="18.5" x14ac:dyDescent="0.6">
      <c r="A3" s="29" t="s">
        <v>278</v>
      </c>
      <c r="B3" s="25"/>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row>
    <row r="4" spans="1:43" x14ac:dyDescent="0.45">
      <c r="A4" s="69"/>
      <c r="B4" s="69"/>
      <c r="C4" s="69"/>
      <c r="D4" s="69"/>
      <c r="E4" s="69"/>
      <c r="F4" s="69"/>
      <c r="G4" s="69"/>
      <c r="H4" s="69"/>
      <c r="I4" s="69"/>
      <c r="J4" s="69"/>
      <c r="K4" s="69"/>
      <c r="L4" s="69"/>
      <c r="M4" s="69"/>
      <c r="N4" s="69"/>
      <c r="O4" s="69"/>
      <c r="P4" s="69"/>
      <c r="Q4" s="69"/>
      <c r="R4" s="69"/>
      <c r="S4" s="69"/>
      <c r="T4" s="69"/>
      <c r="U4" s="69"/>
    </row>
    <row r="5" spans="1:43" x14ac:dyDescent="0.45">
      <c r="A5" s="69"/>
      <c r="B5" s="51" t="s">
        <v>291</v>
      </c>
      <c r="C5" s="50" t="s">
        <v>271</v>
      </c>
      <c r="D5" s="50" t="s">
        <v>272</v>
      </c>
      <c r="E5" s="50" t="s">
        <v>273</v>
      </c>
      <c r="F5" s="51" t="s">
        <v>274</v>
      </c>
      <c r="G5" s="172" t="s">
        <v>239</v>
      </c>
      <c r="H5" s="172" t="s">
        <v>240</v>
      </c>
      <c r="I5" s="172" t="s">
        <v>224</v>
      </c>
      <c r="J5" s="172" t="s">
        <v>225</v>
      </c>
      <c r="K5" s="172" t="s">
        <v>264</v>
      </c>
      <c r="L5" s="172" t="s">
        <v>265</v>
      </c>
      <c r="M5" s="172" t="s">
        <v>266</v>
      </c>
      <c r="N5" s="172" t="s">
        <v>267</v>
      </c>
      <c r="O5" s="69"/>
      <c r="P5" s="154" t="s">
        <v>414</v>
      </c>
      <c r="Q5" s="170"/>
      <c r="R5" s="69"/>
      <c r="S5" s="69"/>
      <c r="T5" s="69"/>
      <c r="U5" s="69"/>
    </row>
    <row r="6" spans="1:43" x14ac:dyDescent="0.45">
      <c r="A6" s="69"/>
      <c r="B6" s="129" t="s">
        <v>285</v>
      </c>
      <c r="C6" s="130">
        <f t="shared" ref="C6:N6" si="0">C8+C16+C18+C20</f>
        <v>3187.8930639024793</v>
      </c>
      <c r="D6" s="130">
        <f t="shared" si="0"/>
        <v>4176.0572855637729</v>
      </c>
      <c r="E6" s="130">
        <f t="shared" si="0"/>
        <v>5652.8282373023912</v>
      </c>
      <c r="F6" s="131">
        <f t="shared" si="0"/>
        <v>8058</v>
      </c>
      <c r="G6" s="130">
        <f t="shared" si="0"/>
        <v>2161</v>
      </c>
      <c r="H6" s="130">
        <f t="shared" si="0"/>
        <v>2300</v>
      </c>
      <c r="I6" s="130">
        <f t="shared" si="0"/>
        <v>2468.1268825937977</v>
      </c>
      <c r="J6" s="130">
        <f t="shared" si="0"/>
        <v>2567.3591461058177</v>
      </c>
      <c r="K6" s="130">
        <f t="shared" si="0"/>
        <v>2668.1498406286869</v>
      </c>
      <c r="L6" s="130">
        <f t="shared" si="0"/>
        <v>2762.9244505288552</v>
      </c>
      <c r="M6" s="130">
        <f t="shared" si="0"/>
        <v>2859.7549133759157</v>
      </c>
      <c r="N6" s="130">
        <f t="shared" si="0"/>
        <v>2958.9873472984059</v>
      </c>
      <c r="O6" s="69"/>
      <c r="P6" s="141" t="s">
        <v>421</v>
      </c>
      <c r="Q6" s="130"/>
      <c r="R6" s="69"/>
      <c r="S6" s="69"/>
      <c r="T6" s="69"/>
      <c r="U6" s="69"/>
    </row>
    <row r="7" spans="1:43" x14ac:dyDescent="0.45">
      <c r="A7" s="69"/>
      <c r="B7" s="119" t="s">
        <v>279</v>
      </c>
      <c r="C7" s="123" t="s">
        <v>281</v>
      </c>
      <c r="D7" s="120">
        <f>(D6-C6)/C6</f>
        <v>0.30997408063983994</v>
      </c>
      <c r="E7" s="120">
        <f t="shared" ref="E7:N7" si="1">(E6-D6)/D6</f>
        <v>0.35362803974065993</v>
      </c>
      <c r="F7" s="121">
        <f t="shared" si="1"/>
        <v>0.4254811329355711</v>
      </c>
      <c r="G7" s="120" t="s">
        <v>281</v>
      </c>
      <c r="H7" s="120">
        <f t="shared" si="1"/>
        <v>6.4322073114298939E-2</v>
      </c>
      <c r="I7" s="120">
        <f t="shared" si="1"/>
        <v>7.3098644605999019E-2</v>
      </c>
      <c r="J7" s="120">
        <f t="shared" si="1"/>
        <v>4.020549519226297E-2</v>
      </c>
      <c r="K7" s="120">
        <f t="shared" si="1"/>
        <v>3.9258509926727241E-2</v>
      </c>
      <c r="L7" s="120">
        <f t="shared" si="1"/>
        <v>3.5520722433578518E-2</v>
      </c>
      <c r="M7" s="120">
        <f t="shared" si="1"/>
        <v>3.5046366479013227E-2</v>
      </c>
      <c r="N7" s="120">
        <f t="shared" si="1"/>
        <v>3.4699628789289193E-2</v>
      </c>
      <c r="O7" s="173"/>
      <c r="P7" s="139"/>
      <c r="Q7" s="122"/>
      <c r="R7" s="69"/>
      <c r="S7" s="69"/>
      <c r="T7" s="69"/>
      <c r="U7" s="69"/>
    </row>
    <row r="8" spans="1:43" s="35" customFormat="1" ht="16.5" x14ac:dyDescent="0.45">
      <c r="A8" s="69"/>
      <c r="B8" s="106" t="s">
        <v>3</v>
      </c>
      <c r="C8" s="101">
        <f>D8/(1+D9)</f>
        <v>1373.0093229819615</v>
      </c>
      <c r="D8" s="101">
        <f>E8/(1+E9)</f>
        <v>2045.5467273219924</v>
      </c>
      <c r="E8" s="101">
        <f>F8/(1+F9)</f>
        <v>3205.4954039309468</v>
      </c>
      <c r="F8" s="112">
        <f>매출추정!P10</f>
        <v>5323</v>
      </c>
      <c r="G8" s="101">
        <v>1572</v>
      </c>
      <c r="H8" s="101">
        <v>1568</v>
      </c>
      <c r="I8" s="101">
        <f>I10+I13</f>
        <v>1722.0397207962424</v>
      </c>
      <c r="J8" s="101">
        <f t="shared" ref="J8:N8" si="2">J10+J13</f>
        <v>1802.3472832143179</v>
      </c>
      <c r="K8" s="101">
        <f t="shared" si="2"/>
        <v>1886.4000000000005</v>
      </c>
      <c r="L8" s="101">
        <f t="shared" si="2"/>
        <v>1974.3725269492686</v>
      </c>
      <c r="M8" s="101">
        <f t="shared" si="2"/>
        <v>2066.4476649554917</v>
      </c>
      <c r="N8" s="101">
        <f t="shared" si="2"/>
        <v>2162.8167398571823</v>
      </c>
      <c r="O8" s="101"/>
      <c r="P8" s="139"/>
      <c r="Q8" s="71"/>
      <c r="R8" s="101"/>
      <c r="S8" s="101"/>
      <c r="T8" s="101"/>
      <c r="U8" s="101"/>
    </row>
    <row r="9" spans="1:43" s="35" customFormat="1" ht="16.5" x14ac:dyDescent="0.45">
      <c r="A9" s="69"/>
      <c r="B9" s="119" t="s">
        <v>289</v>
      </c>
      <c r="C9" s="124">
        <f>C8/C$6</f>
        <v>0.43069491211263639</v>
      </c>
      <c r="D9" s="124">
        <f t="shared" ref="D9:N9" si="3">D8/D$6</f>
        <v>0.48982726707156293</v>
      </c>
      <c r="E9" s="124">
        <f t="shared" si="3"/>
        <v>0.56706046413691391</v>
      </c>
      <c r="F9" s="125">
        <f t="shared" si="3"/>
        <v>0.66058575328865721</v>
      </c>
      <c r="G9" s="124">
        <f t="shared" si="3"/>
        <v>0.72744099953725128</v>
      </c>
      <c r="H9" s="124">
        <f t="shared" si="3"/>
        <v>0.68173913043478263</v>
      </c>
      <c r="I9" s="124">
        <f t="shared" si="3"/>
        <v>0.69771118046675162</v>
      </c>
      <c r="J9" s="124">
        <f t="shared" si="3"/>
        <v>0.70202382317570433</v>
      </c>
      <c r="K9" s="124">
        <f t="shared" si="3"/>
        <v>0.70700676973805743</v>
      </c>
      <c r="L9" s="124">
        <f t="shared" si="3"/>
        <v>0.71459519154472395</v>
      </c>
      <c r="M9" s="124">
        <f t="shared" si="3"/>
        <v>0.7225960711843199</v>
      </c>
      <c r="N9" s="124">
        <f t="shared" si="3"/>
        <v>0.73093139172489607</v>
      </c>
      <c r="P9" s="139"/>
      <c r="Q9" s="122"/>
      <c r="R9" s="101"/>
      <c r="S9" s="101"/>
      <c r="T9" s="101"/>
      <c r="U9" s="101"/>
    </row>
    <row r="10" spans="1:43" s="101" customFormat="1" ht="16.5" x14ac:dyDescent="0.45">
      <c r="A10" s="69"/>
      <c r="B10" s="106" t="s">
        <v>462</v>
      </c>
      <c r="C10" s="222"/>
      <c r="D10" s="222"/>
      <c r="E10" s="222"/>
      <c r="F10" s="223"/>
      <c r="G10" s="101">
        <v>572</v>
      </c>
      <c r="H10" s="101">
        <f>AVERAGE(G10,I10)-79/2</f>
        <v>559.79730289295503</v>
      </c>
      <c r="I10" s="101">
        <f t="shared" ref="I10:N10" si="4">I12*I22</f>
        <v>626.59460578591006</v>
      </c>
      <c r="J10" s="101">
        <f t="shared" si="4"/>
        <v>655.81593256907752</v>
      </c>
      <c r="K10" s="101">
        <f t="shared" si="4"/>
        <v>686.40000000000009</v>
      </c>
      <c r="L10" s="101">
        <f t="shared" si="4"/>
        <v>718.41035967874154</v>
      </c>
      <c r="M10" s="101">
        <f t="shared" si="4"/>
        <v>751.91352694309239</v>
      </c>
      <c r="N10" s="101">
        <f t="shared" si="4"/>
        <v>786.97911908289325</v>
      </c>
    </row>
    <row r="11" spans="1:43" s="35" customFormat="1" ht="16.5" x14ac:dyDescent="0.45">
      <c r="A11" s="69"/>
      <c r="B11" s="209" t="s">
        <v>289</v>
      </c>
      <c r="C11" s="224"/>
      <c r="D11" s="224"/>
      <c r="E11" s="224"/>
      <c r="F11" s="225"/>
      <c r="G11" s="126">
        <f t="shared" ref="G11:N11" si="5">G10/G$6</f>
        <v>0.26469227209625174</v>
      </c>
      <c r="H11" s="126">
        <f t="shared" si="5"/>
        <v>0.24339013169258913</v>
      </c>
      <c r="I11" s="126">
        <f t="shared" si="5"/>
        <v>0.25387455167110812</v>
      </c>
      <c r="J11" s="126">
        <f t="shared" si="5"/>
        <v>0.25544378298759729</v>
      </c>
      <c r="K11" s="126">
        <f t="shared" si="5"/>
        <v>0.25725691621512009</v>
      </c>
      <c r="L11" s="126">
        <f t="shared" si="5"/>
        <v>0.2600180976867571</v>
      </c>
      <c r="M11" s="126">
        <f t="shared" si="5"/>
        <v>0.26292935923500699</v>
      </c>
      <c r="N11" s="126">
        <f t="shared" si="5"/>
        <v>0.26596231301949141</v>
      </c>
      <c r="P11" s="139"/>
      <c r="Q11" s="122"/>
      <c r="R11" s="101"/>
      <c r="S11" s="101"/>
      <c r="T11" s="101"/>
      <c r="U11" s="101"/>
    </row>
    <row r="12" spans="1:43" s="101" customFormat="1" ht="16.5" x14ac:dyDescent="0.45">
      <c r="A12" s="69"/>
      <c r="B12" s="113" t="s">
        <v>471</v>
      </c>
      <c r="C12" s="226"/>
      <c r="D12" s="226"/>
      <c r="E12" s="226"/>
      <c r="F12" s="227"/>
      <c r="G12" s="147">
        <f>$C$33</f>
        <v>137.375</v>
      </c>
      <c r="H12" s="147">
        <f t="shared" ref="H12:N12" si="6">$C$33</f>
        <v>137.375</v>
      </c>
      <c r="I12" s="147">
        <f t="shared" si="6"/>
        <v>137.375</v>
      </c>
      <c r="J12" s="147">
        <f t="shared" si="6"/>
        <v>137.375</v>
      </c>
      <c r="K12" s="147">
        <f t="shared" si="6"/>
        <v>137.375</v>
      </c>
      <c r="L12" s="147">
        <f t="shared" si="6"/>
        <v>137.375</v>
      </c>
      <c r="M12" s="147">
        <f t="shared" si="6"/>
        <v>137.375</v>
      </c>
      <c r="N12" s="147">
        <f t="shared" si="6"/>
        <v>137.375</v>
      </c>
    </row>
    <row r="13" spans="1:43" s="101" customFormat="1" ht="16.5" x14ac:dyDescent="0.45">
      <c r="A13" s="69"/>
      <c r="B13" s="106" t="s">
        <v>461</v>
      </c>
      <c r="C13" s="222"/>
      <c r="D13" s="222"/>
      <c r="E13" s="222"/>
      <c r="F13" s="228"/>
      <c r="G13" s="101">
        <v>1000</v>
      </c>
      <c r="H13" s="101">
        <f>AVERAGE(G13,I13)-79/2</f>
        <v>1008.2225575051662</v>
      </c>
      <c r="I13" s="101">
        <f t="shared" ref="I13:N13" si="7">I15*I24</f>
        <v>1095.4451150103323</v>
      </c>
      <c r="J13" s="101">
        <f t="shared" si="7"/>
        <v>1146.5313506452403</v>
      </c>
      <c r="K13" s="101">
        <f t="shared" si="7"/>
        <v>1200.0000000000005</v>
      </c>
      <c r="L13" s="101">
        <f t="shared" si="7"/>
        <v>1255.9621672705271</v>
      </c>
      <c r="M13" s="101">
        <f t="shared" si="7"/>
        <v>1314.5341380123991</v>
      </c>
      <c r="N13" s="101">
        <f t="shared" si="7"/>
        <v>1375.8376207742888</v>
      </c>
    </row>
    <row r="14" spans="1:43" s="35" customFormat="1" ht="16.5" x14ac:dyDescent="0.45">
      <c r="A14" s="69"/>
      <c r="B14" s="209" t="s">
        <v>289</v>
      </c>
      <c r="C14" s="224"/>
      <c r="D14" s="224"/>
      <c r="E14" s="224"/>
      <c r="F14" s="225"/>
      <c r="G14" s="126">
        <f>G13/G$6</f>
        <v>0.46274872744099954</v>
      </c>
      <c r="H14" s="126">
        <f t="shared" ref="H14:N14" si="8">H13/H$6</f>
        <v>0.43835763369789832</v>
      </c>
      <c r="I14" s="126">
        <f t="shared" si="8"/>
        <v>0.44383662879564356</v>
      </c>
      <c r="J14" s="126">
        <f t="shared" si="8"/>
        <v>0.4465800401881071</v>
      </c>
      <c r="K14" s="126">
        <f t="shared" si="8"/>
        <v>0.44974985352293728</v>
      </c>
      <c r="L14" s="126">
        <f t="shared" si="8"/>
        <v>0.45457709385796691</v>
      </c>
      <c r="M14" s="126">
        <f t="shared" si="8"/>
        <v>0.45966671194931286</v>
      </c>
      <c r="N14" s="126">
        <f t="shared" si="8"/>
        <v>0.46496907870540455</v>
      </c>
      <c r="P14" s="139"/>
      <c r="Q14" s="122"/>
      <c r="R14" s="101"/>
      <c r="S14" s="101"/>
      <c r="T14" s="101"/>
      <c r="U14" s="101"/>
    </row>
    <row r="15" spans="1:43" s="101" customFormat="1" ht="16.5" x14ac:dyDescent="0.45">
      <c r="A15" s="69"/>
      <c r="B15" s="106" t="s">
        <v>472</v>
      </c>
      <c r="C15" s="222"/>
      <c r="D15" s="222"/>
      <c r="E15" s="222"/>
      <c r="F15" s="228"/>
      <c r="G15" s="210">
        <f>$C$42</f>
        <v>72</v>
      </c>
      <c r="H15" s="114">
        <f t="shared" ref="H15:N15" si="9">$C$42</f>
        <v>72</v>
      </c>
      <c r="I15" s="114">
        <f t="shared" si="9"/>
        <v>72</v>
      </c>
      <c r="J15" s="114">
        <f t="shared" si="9"/>
        <v>72</v>
      </c>
      <c r="K15" s="114">
        <f t="shared" si="9"/>
        <v>72</v>
      </c>
      <c r="L15" s="114">
        <f t="shared" si="9"/>
        <v>72</v>
      </c>
      <c r="M15" s="114">
        <f t="shared" si="9"/>
        <v>72</v>
      </c>
      <c r="N15" s="114">
        <f t="shared" si="9"/>
        <v>72</v>
      </c>
    </row>
    <row r="16" spans="1:43" s="35" customFormat="1" ht="16.5" x14ac:dyDescent="0.45">
      <c r="A16" s="69"/>
      <c r="B16" s="105" t="s">
        <v>4</v>
      </c>
      <c r="C16" s="96">
        <f>D16/(1+D17)</f>
        <v>713.75122402664442</v>
      </c>
      <c r="D16" s="96">
        <f>E16/(1+E17)</f>
        <v>860.89038525185435</v>
      </c>
      <c r="E16" s="96">
        <f>F16/(1+F17)</f>
        <v>1015.5527114967462</v>
      </c>
      <c r="F16" s="111">
        <f>매출추정!P11</f>
        <v>1162</v>
      </c>
      <c r="G16" s="101">
        <v>281</v>
      </c>
      <c r="H16" s="101">
        <v>283</v>
      </c>
      <c r="I16" s="101">
        <f>((H16-$F$16/4)/$F$16+1)*H16</f>
        <v>281.17340791738383</v>
      </c>
      <c r="J16" s="101">
        <f>((I16-$F$16/4)/$F$16+1)*I16</f>
        <v>278.91661817545224</v>
      </c>
      <c r="K16" s="101">
        <f>((J16-SUM(G16:J16)/4)/SUM(G16:J16)+1)*J16</f>
        <v>278.39409129363924</v>
      </c>
      <c r="L16" s="101">
        <f t="shared" ref="L16" si="10">((K16-SUM(H16:K16)/4)/SUM(H16:K16)+1)*K16</f>
        <v>277.90334170185218</v>
      </c>
      <c r="M16" s="101">
        <f t="shared" ref="M16" si="11">((L16-SUM(I16:L16)/4)/SUM(I16:L16)+1)*L16</f>
        <v>277.60623692257963</v>
      </c>
      <c r="N16" s="101">
        <f t="shared" ref="N16" si="12">((M16-SUM(J16:M16)/4)/SUM(J16:M16)+1)*M16</f>
        <v>277.45685039480935</v>
      </c>
      <c r="O16" s="101"/>
      <c r="P16" s="139" t="s">
        <v>449</v>
      </c>
      <c r="Q16" s="71"/>
      <c r="R16" s="101"/>
      <c r="S16" s="101"/>
      <c r="T16" s="101"/>
      <c r="U16" s="101"/>
    </row>
    <row r="17" spans="1:24" s="35" customFormat="1" ht="16.5" x14ac:dyDescent="0.45">
      <c r="A17" s="69"/>
      <c r="B17" s="119" t="s">
        <v>289</v>
      </c>
      <c r="C17" s="124">
        <f>C16/C$6</f>
        <v>0.22389434329171048</v>
      </c>
      <c r="D17" s="124">
        <f t="shared" ref="D17" si="13">D16/D$6</f>
        <v>0.2061490842637311</v>
      </c>
      <c r="E17" s="124">
        <f t="shared" ref="E17" si="14">E16/E$6</f>
        <v>0.17965391284936372</v>
      </c>
      <c r="F17" s="125">
        <f t="shared" ref="F17" si="15">F16/F$6</f>
        <v>0.14420451724993796</v>
      </c>
      <c r="G17" s="124">
        <f t="shared" ref="G17" si="16">G16/G$6</f>
        <v>0.13003239241092088</v>
      </c>
      <c r="H17" s="124">
        <f t="shared" ref="H17" si="17">H16/H$6</f>
        <v>0.12304347826086956</v>
      </c>
      <c r="I17" s="124">
        <f t="shared" ref="I17" si="18">I16/I$6</f>
        <v>0.11392178007554206</v>
      </c>
      <c r="J17" s="124">
        <f t="shared" ref="J17" si="19">J16/J$6</f>
        <v>0.10863950164452615</v>
      </c>
      <c r="K17" s="124">
        <f t="shared" ref="K17" si="20">K16/K$6</f>
        <v>0.10433975148413786</v>
      </c>
      <c r="L17" s="124">
        <f t="shared" ref="L17" si="21">L16/L$6</f>
        <v>0.10058304042611745</v>
      </c>
      <c r="M17" s="124">
        <f t="shared" ref="M17" si="22">M16/M$6</f>
        <v>9.7073436476718164E-2</v>
      </c>
      <c r="N17" s="124">
        <f t="shared" ref="N17" si="23">N16/N$6</f>
        <v>9.3767501455567587E-2</v>
      </c>
      <c r="P17" s="139" t="s">
        <v>416</v>
      </c>
      <c r="Q17" s="122"/>
      <c r="R17" s="101"/>
      <c r="S17" s="101"/>
      <c r="T17" s="101"/>
      <c r="U17" s="101"/>
    </row>
    <row r="18" spans="1:24" s="35" customFormat="1" ht="16.5" x14ac:dyDescent="0.45">
      <c r="A18" s="69"/>
      <c r="B18" s="106" t="s">
        <v>5</v>
      </c>
      <c r="C18" s="101">
        <f>D18/(1+D19)</f>
        <v>508.91501755795559</v>
      </c>
      <c r="D18" s="101">
        <f>E18/(1+E19)</f>
        <v>579.54071903554097</v>
      </c>
      <c r="E18" s="101">
        <f>F18/(1+F19)</f>
        <v>645.74383561643833</v>
      </c>
      <c r="F18" s="112">
        <f>매출추정!P12</f>
        <v>702</v>
      </c>
      <c r="G18" s="101">
        <v>89</v>
      </c>
      <c r="H18" s="101">
        <v>200</v>
      </c>
      <c r="I18" s="101">
        <f>((H18-$F$18/4)/$F$18+1)*H18</f>
        <v>206.98005698005696</v>
      </c>
      <c r="J18" s="101">
        <f>((I18-$F$18/4)/$F$18+1)*I18</f>
        <v>216.2617435718912</v>
      </c>
      <c r="K18" s="101">
        <f>((J18-SUM(G18:J18)/4)/SUM(G18:J18)+1)*J18</f>
        <v>227.86100427003524</v>
      </c>
      <c r="L18" s="101">
        <f t="shared" ref="L18" si="24">((K18-SUM(H18:K18)/4)/SUM(H18:K18)+1)*K18</f>
        <v>231.89970827445069</v>
      </c>
      <c r="M18" s="101">
        <f t="shared" ref="M18" si="25">((L18-SUM(I18:L18)/4)/SUM(I18:L18)+1)*L18</f>
        <v>234.82775022366482</v>
      </c>
      <c r="N18" s="101">
        <f t="shared" ref="N18" si="26">((M18-SUM(J18:M18)/4)/SUM(J18:M18)+1)*M18</f>
        <v>236.66213097812877</v>
      </c>
      <c r="O18" s="101"/>
      <c r="P18" s="139" t="s">
        <v>450</v>
      </c>
      <c r="Q18" s="71"/>
      <c r="R18" s="101"/>
      <c r="S18" s="101"/>
      <c r="T18" s="101"/>
      <c r="U18" s="101"/>
    </row>
    <row r="19" spans="1:24" s="35" customFormat="1" ht="16.5" x14ac:dyDescent="0.45">
      <c r="A19" s="69"/>
      <c r="B19" s="119" t="s">
        <v>289</v>
      </c>
      <c r="C19" s="124">
        <f>C18/C$6</f>
        <v>0.15963992748707953</v>
      </c>
      <c r="D19" s="124">
        <f t="shared" ref="D19" si="27">D18/D$6</f>
        <v>0.13877700409880805</v>
      </c>
      <c r="E19" s="124">
        <f t="shared" ref="E19" si="28">E18/E$6</f>
        <v>0.11423376202291904</v>
      </c>
      <c r="F19" s="125">
        <f t="shared" ref="F19" si="29">F18/F$6</f>
        <v>8.7118391660461647E-2</v>
      </c>
      <c r="G19" s="124">
        <f t="shared" ref="G19" si="30">G18/G$6</f>
        <v>4.118463674224896E-2</v>
      </c>
      <c r="H19" s="124">
        <f t="shared" ref="H19" si="31">H18/H$6</f>
        <v>8.6956521739130432E-2</v>
      </c>
      <c r="I19" s="124">
        <f t="shared" ref="I19" si="32">I18/I$6</f>
        <v>8.3861189811497053E-2</v>
      </c>
      <c r="J19" s="124">
        <f t="shared" ref="J19" si="33">J18/J$6</f>
        <v>8.4235095779224348E-2</v>
      </c>
      <c r="K19" s="124">
        <f t="shared" ref="K19" si="34">K18/K$6</f>
        <v>8.5400377745031425E-2</v>
      </c>
      <c r="L19" s="124">
        <f t="shared" ref="L19" si="35">L18/L$6</f>
        <v>8.3932699726936955E-2</v>
      </c>
      <c r="M19" s="124">
        <f t="shared" ref="M19" si="36">M18/M$6</f>
        <v>8.2114641756643653E-2</v>
      </c>
      <c r="N19" s="124">
        <f t="shared" ref="N19" si="37">N18/N$6</f>
        <v>7.9980785046007169E-2</v>
      </c>
      <c r="P19" s="139" t="s">
        <v>415</v>
      </c>
      <c r="Q19" s="122"/>
      <c r="R19" s="101"/>
      <c r="S19" s="101"/>
      <c r="T19" s="101"/>
      <c r="U19" s="101"/>
    </row>
    <row r="20" spans="1:24" x14ac:dyDescent="0.45">
      <c r="A20" s="69"/>
      <c r="B20" s="106" t="s">
        <v>284</v>
      </c>
      <c r="C20" s="101">
        <f>D20/(1+D21)</f>
        <v>592.21749933591775</v>
      </c>
      <c r="D20" s="101">
        <f>E20/(1+E21)</f>
        <v>690.07945395438492</v>
      </c>
      <c r="E20" s="101">
        <f>F20/(1+F21)</f>
        <v>786.03628625825957</v>
      </c>
      <c r="F20" s="111">
        <f>매출추정!P13</f>
        <v>871</v>
      </c>
      <c r="G20" s="101">
        <v>219</v>
      </c>
      <c r="H20" s="101">
        <v>249</v>
      </c>
      <c r="I20" s="101">
        <f>((H20-$F$20/4)/$F$20+1)*H20</f>
        <v>257.9336969001148</v>
      </c>
      <c r="J20" s="101">
        <f t="shared" ref="J20" si="38">((I20-$F$20/4)/$F$20+1)*I20</f>
        <v>269.83350114415646</v>
      </c>
      <c r="K20" s="101">
        <f>((J20-SUM(G20:J20)/4)/SUM(G20:J20)+1)*J20</f>
        <v>275.4947450650119</v>
      </c>
      <c r="L20" s="101">
        <f t="shared" ref="L20:N20" si="39">((K20-SUM(H20:K20)/4)/SUM(H20:K20)+1)*K20</f>
        <v>278.74887360328381</v>
      </c>
      <c r="M20" s="101">
        <f t="shared" si="39"/>
        <v>280.87326127417975</v>
      </c>
      <c r="N20" s="101">
        <f t="shared" si="39"/>
        <v>282.05162606828543</v>
      </c>
      <c r="O20" s="69"/>
      <c r="P20" s="139" t="s">
        <v>451</v>
      </c>
      <c r="Q20" s="71"/>
      <c r="R20" s="69"/>
      <c r="S20" s="69"/>
      <c r="T20" s="69"/>
      <c r="U20" s="69"/>
    </row>
    <row r="21" spans="1:24" x14ac:dyDescent="0.45">
      <c r="A21" s="69"/>
      <c r="B21" s="119" t="s">
        <v>289</v>
      </c>
      <c r="C21" s="124">
        <f>C20/C$6</f>
        <v>0.18577081710857357</v>
      </c>
      <c r="D21" s="124">
        <f t="shared" ref="D21" si="40">D20/D$6</f>
        <v>0.16524664456589783</v>
      </c>
      <c r="E21" s="124">
        <f t="shared" ref="E21" si="41">E20/E$6</f>
        <v>0.13905186099080327</v>
      </c>
      <c r="F21" s="125">
        <f t="shared" ref="F21" si="42">F20/F$6</f>
        <v>0.10809133780094317</v>
      </c>
      <c r="G21" s="124">
        <f t="shared" ref="G21" si="43">G20/G$6</f>
        <v>0.10134197130957889</v>
      </c>
      <c r="H21" s="124">
        <f t="shared" ref="H21" si="44">H20/H$6</f>
        <v>0.1082608695652174</v>
      </c>
      <c r="I21" s="124">
        <f t="shared" ref="I21" si="45">I20/I$6</f>
        <v>0.10450584964620933</v>
      </c>
      <c r="J21" s="124">
        <f t="shared" ref="J21" si="46">J20/J$6</f>
        <v>0.10510157940054518</v>
      </c>
      <c r="K21" s="124">
        <f t="shared" ref="K21" si="47">K20/K$6</f>
        <v>0.10325310103277334</v>
      </c>
      <c r="L21" s="124">
        <f t="shared" ref="L21" si="48">L20/L$6</f>
        <v>0.10088906830222162</v>
      </c>
      <c r="M21" s="124">
        <f t="shared" ref="M21" si="49">M20/M$6</f>
        <v>9.8215850582318368E-2</v>
      </c>
      <c r="N21" s="124">
        <f t="shared" ref="N21" si="50">N20/N$6</f>
        <v>9.5320321773529129E-2</v>
      </c>
      <c r="O21" s="173"/>
      <c r="P21" s="139" t="s">
        <v>415</v>
      </c>
      <c r="Q21" s="122"/>
      <c r="R21" s="69"/>
      <c r="S21" s="69"/>
      <c r="T21" s="69"/>
      <c r="U21" s="69"/>
    </row>
    <row r="22" spans="1:24" x14ac:dyDescent="0.45">
      <c r="A22" s="69"/>
      <c r="B22" s="106" t="s">
        <v>469</v>
      </c>
      <c r="C22" s="229"/>
      <c r="D22" s="230"/>
      <c r="E22" s="230"/>
      <c r="F22" s="231"/>
      <c r="G22" s="101">
        <f>C35</f>
        <v>4.1637852593266604</v>
      </c>
      <c r="H22" s="101">
        <f>G22*(1+$O$22)</f>
        <v>4.3579639652941538</v>
      </c>
      <c r="I22" s="101">
        <f t="shared" ref="I22:N24" si="51">H22*(1+$O$22)</f>
        <v>4.56119822228142</v>
      </c>
      <c r="J22" s="101">
        <f t="shared" si="51"/>
        <v>4.7739103371725387</v>
      </c>
      <c r="K22" s="101">
        <f t="shared" si="51"/>
        <v>4.9965423111919938</v>
      </c>
      <c r="L22" s="101">
        <f t="shared" si="51"/>
        <v>5.2295567583529863</v>
      </c>
      <c r="M22" s="101">
        <f t="shared" si="51"/>
        <v>5.4734378667377062</v>
      </c>
      <c r="N22" s="101">
        <f t="shared" si="51"/>
        <v>5.728692404607048</v>
      </c>
      <c r="O22" s="174">
        <f>1.2^0.25-1</f>
        <v>4.6635139392105618E-2</v>
      </c>
      <c r="P22" s="139" t="s">
        <v>485</v>
      </c>
      <c r="Q22" s="122"/>
      <c r="R22" s="69"/>
      <c r="S22" s="69"/>
      <c r="T22" s="69"/>
      <c r="U22" s="69"/>
    </row>
    <row r="23" spans="1:24" x14ac:dyDescent="0.45">
      <c r="A23" s="69"/>
      <c r="B23" s="119" t="s">
        <v>286</v>
      </c>
      <c r="C23" s="232"/>
      <c r="D23" s="233"/>
      <c r="E23" s="233"/>
      <c r="F23" s="234"/>
      <c r="G23" s="120" t="s">
        <v>281</v>
      </c>
      <c r="H23" s="120">
        <f t="shared" ref="H23" si="52">(H22-G22)/G22</f>
        <v>4.6635139392105583E-2</v>
      </c>
      <c r="I23" s="120">
        <f t="shared" ref="I23" si="53">(I22-H22)/H22</f>
        <v>4.6635139392105639E-2</v>
      </c>
      <c r="J23" s="120">
        <f t="shared" ref="J23" si="54">(J22-I22)/I22</f>
        <v>4.6635139392105673E-2</v>
      </c>
      <c r="K23" s="120">
        <f t="shared" ref="K23" si="55">(K22-J22)/J22</f>
        <v>4.6635139392105583E-2</v>
      </c>
      <c r="L23" s="120">
        <f t="shared" ref="L23" si="56">(L22-K22)/K22</f>
        <v>4.663513939210568E-2</v>
      </c>
      <c r="M23" s="120">
        <f t="shared" ref="M23" si="57">(M22-L22)/L22</f>
        <v>4.6635139392105687E-2</v>
      </c>
      <c r="N23" s="120">
        <f t="shared" ref="N23" si="58">(N22-M22)/M22</f>
        <v>4.6635139392105562E-2</v>
      </c>
      <c r="O23" s="174"/>
      <c r="P23" s="76"/>
      <c r="Q23" s="122"/>
      <c r="R23" s="69"/>
      <c r="S23" s="69"/>
      <c r="T23" s="69"/>
      <c r="U23" s="69"/>
    </row>
    <row r="24" spans="1:24" x14ac:dyDescent="0.45">
      <c r="A24" s="69"/>
      <c r="B24" s="106" t="s">
        <v>470</v>
      </c>
      <c r="C24" s="230"/>
      <c r="D24" s="230"/>
      <c r="E24" s="230"/>
      <c r="F24" s="235"/>
      <c r="G24" s="101">
        <f>C44</f>
        <v>13.888888888888889</v>
      </c>
      <c r="H24" s="101">
        <f>G24*(1+$O$22)</f>
        <v>14.536599158223689</v>
      </c>
      <c r="I24" s="101">
        <f t="shared" si="51"/>
        <v>15.214515486254616</v>
      </c>
      <c r="J24" s="101">
        <f t="shared" si="51"/>
        <v>15.92404653673945</v>
      </c>
      <c r="K24" s="101">
        <f t="shared" si="51"/>
        <v>16.666666666666671</v>
      </c>
      <c r="L24" s="101">
        <f t="shared" si="51"/>
        <v>17.443918989868433</v>
      </c>
      <c r="M24" s="101">
        <f t="shared" si="51"/>
        <v>18.257418583505544</v>
      </c>
      <c r="N24" s="101">
        <f t="shared" si="51"/>
        <v>19.108855844087344</v>
      </c>
      <c r="O24" s="69"/>
      <c r="P24" s="139" t="s">
        <v>485</v>
      </c>
      <c r="Q24" s="122"/>
      <c r="R24" s="69"/>
      <c r="S24" s="69"/>
      <c r="T24" s="69"/>
      <c r="U24" s="69"/>
    </row>
    <row r="25" spans="1:24" x14ac:dyDescent="0.45">
      <c r="A25" s="69"/>
      <c r="B25" s="119" t="s">
        <v>286</v>
      </c>
      <c r="C25" s="232"/>
      <c r="D25" s="233"/>
      <c r="E25" s="233"/>
      <c r="F25" s="234"/>
      <c r="G25" s="120" t="s">
        <v>281</v>
      </c>
      <c r="H25" s="120">
        <f t="shared" ref="H25" si="59">(H24-G24)/G24</f>
        <v>4.6635139392105583E-2</v>
      </c>
      <c r="I25" s="120">
        <f t="shared" ref="I25" si="60">(I24-H24)/H24</f>
        <v>4.6635139392105597E-2</v>
      </c>
      <c r="J25" s="120">
        <f t="shared" ref="J25" si="61">(J24-I24)/I24</f>
        <v>4.663513939210566E-2</v>
      </c>
      <c r="K25" s="120">
        <f t="shared" ref="K25" si="62">(K24-J24)/J24</f>
        <v>4.6635139392105653E-2</v>
      </c>
      <c r="L25" s="120">
        <f t="shared" ref="L25" si="63">(L24-K24)/K24</f>
        <v>4.663513939210566E-2</v>
      </c>
      <c r="M25" s="120">
        <f t="shared" ref="M25" si="64">(M24-L24)/L24</f>
        <v>4.6635139392105542E-2</v>
      </c>
      <c r="N25" s="120">
        <f t="shared" ref="N25" si="65">(N24-M24)/M24</f>
        <v>4.6635139392105611E-2</v>
      </c>
      <c r="O25" s="173"/>
      <c r="P25" s="139"/>
      <c r="Q25" s="122"/>
      <c r="R25" s="69"/>
      <c r="S25" s="69"/>
      <c r="T25" s="69"/>
      <c r="U25" s="69"/>
    </row>
    <row r="26" spans="1:24" x14ac:dyDescent="0.45">
      <c r="A26" s="69"/>
      <c r="B26" s="209"/>
      <c r="C26" s="217"/>
      <c r="D26" s="122"/>
      <c r="E26" s="122"/>
      <c r="F26" s="122"/>
      <c r="G26" s="122"/>
      <c r="H26" s="122"/>
      <c r="I26" s="122"/>
      <c r="J26" s="122"/>
      <c r="K26" s="122"/>
      <c r="L26" s="122"/>
      <c r="M26" s="122"/>
      <c r="N26" s="122"/>
      <c r="O26" s="173"/>
      <c r="P26" s="139"/>
      <c r="Q26" s="122"/>
      <c r="R26" s="69"/>
      <c r="S26" s="69"/>
      <c r="T26" s="69"/>
      <c r="U26" s="69"/>
    </row>
    <row r="27" spans="1:24" x14ac:dyDescent="0.45">
      <c r="A27" s="69"/>
      <c r="B27" s="106"/>
      <c r="G27" s="101"/>
      <c r="H27" s="101"/>
      <c r="I27" s="101"/>
      <c r="J27" s="101"/>
      <c r="K27" s="101"/>
      <c r="L27" s="101"/>
      <c r="M27" s="101"/>
      <c r="N27" s="101"/>
      <c r="O27" s="173"/>
      <c r="P27" s="139"/>
      <c r="Q27" s="122"/>
      <c r="R27" s="69"/>
      <c r="S27" s="69"/>
      <c r="T27" s="69"/>
      <c r="U27" s="69"/>
    </row>
    <row r="28" spans="1:24" ht="18" x14ac:dyDescent="0.45">
      <c r="A28" s="69"/>
      <c r="B28" s="211"/>
      <c r="C28" s="212">
        <v>2005</v>
      </c>
      <c r="D28" s="212">
        <v>2006</v>
      </c>
      <c r="E28" s="212">
        <v>2007</v>
      </c>
      <c r="F28" s="212">
        <v>2008</v>
      </c>
      <c r="G28" s="212">
        <v>2009</v>
      </c>
      <c r="H28" s="51">
        <v>2010</v>
      </c>
      <c r="I28" s="51">
        <v>2011</v>
      </c>
      <c r="J28" s="51">
        <v>2012</v>
      </c>
      <c r="K28" s="51">
        <v>2013</v>
      </c>
      <c r="L28" s="51">
        <v>2014</v>
      </c>
      <c r="M28" s="51">
        <v>2015</v>
      </c>
      <c r="N28" s="51">
        <v>2016</v>
      </c>
      <c r="O28" s="212">
        <v>2017</v>
      </c>
      <c r="P28" s="212">
        <v>2018</v>
      </c>
      <c r="Q28" s="212">
        <v>2019</v>
      </c>
      <c r="R28" s="212">
        <v>2020</v>
      </c>
      <c r="S28" s="212">
        <v>2021</v>
      </c>
      <c r="T28" s="212">
        <v>2022</v>
      </c>
      <c r="U28" s="212">
        <v>2023</v>
      </c>
      <c r="V28" s="212">
        <v>2024</v>
      </c>
      <c r="W28" s="212">
        <v>2025</v>
      </c>
      <c r="X28" s="212" t="s">
        <v>466</v>
      </c>
    </row>
    <row r="29" spans="1:24" ht="18" x14ac:dyDescent="0.45">
      <c r="A29" s="69"/>
      <c r="B29" s="61" t="s">
        <v>467</v>
      </c>
      <c r="C29" s="219">
        <v>140</v>
      </c>
      <c r="D29" s="213">
        <v>152</v>
      </c>
      <c r="E29" s="213">
        <v>160</v>
      </c>
      <c r="F29" s="213">
        <v>186</v>
      </c>
      <c r="G29" s="219">
        <v>197</v>
      </c>
      <c r="H29" s="219">
        <v>175</v>
      </c>
      <c r="I29" s="213">
        <v>220</v>
      </c>
      <c r="J29" s="213">
        <v>203</v>
      </c>
      <c r="K29" s="213">
        <v>163</v>
      </c>
      <c r="L29" s="219">
        <v>148</v>
      </c>
      <c r="M29" s="219">
        <v>183</v>
      </c>
      <c r="N29" s="213">
        <v>167</v>
      </c>
      <c r="O29" s="213">
        <v>131</v>
      </c>
      <c r="P29" s="213">
        <v>100</v>
      </c>
      <c r="Q29" s="213">
        <v>145</v>
      </c>
      <c r="R29" s="219">
        <v>128</v>
      </c>
      <c r="S29" s="219">
        <v>128</v>
      </c>
      <c r="T29" s="213">
        <v>131</v>
      </c>
      <c r="U29" s="213">
        <v>130</v>
      </c>
      <c r="V29" s="213">
        <v>144</v>
      </c>
      <c r="W29" s="215">
        <v>102</v>
      </c>
      <c r="X29" s="214">
        <v>3233</v>
      </c>
    </row>
    <row r="30" spans="1:24" ht="18" x14ac:dyDescent="0.45">
      <c r="A30" s="69"/>
      <c r="B30" s="195"/>
    </row>
    <row r="31" spans="1:24" ht="18" x14ac:dyDescent="0.45">
      <c r="A31" s="69"/>
      <c r="B31" s="216" t="s">
        <v>489</v>
      </c>
      <c r="C31" s="268">
        <f>(C29+G29+H29+L29+M29+R29+S29)</f>
        <v>1099</v>
      </c>
      <c r="E31" s="218" t="s">
        <v>509</v>
      </c>
    </row>
    <row r="32" spans="1:24" ht="18" x14ac:dyDescent="0.45">
      <c r="A32" s="69"/>
      <c r="B32" s="216" t="s">
        <v>510</v>
      </c>
      <c r="C32" s="268">
        <v>1</v>
      </c>
      <c r="E32" s="218" t="s">
        <v>512</v>
      </c>
    </row>
    <row r="33" spans="1:24" ht="18" x14ac:dyDescent="0.45">
      <c r="A33" s="69"/>
      <c r="B33" s="207" t="s">
        <v>490</v>
      </c>
      <c r="C33" s="269">
        <f>C31*C32/8</f>
        <v>137.375</v>
      </c>
      <c r="E33" s="195" t="s">
        <v>493</v>
      </c>
    </row>
    <row r="34" spans="1:24" ht="18" x14ac:dyDescent="0.45">
      <c r="A34" s="69"/>
      <c r="B34" s="207" t="s">
        <v>486</v>
      </c>
      <c r="C34" s="268">
        <v>572</v>
      </c>
      <c r="E34" s="195" t="s">
        <v>488</v>
      </c>
    </row>
    <row r="35" spans="1:24" ht="18" x14ac:dyDescent="0.45">
      <c r="A35" s="69"/>
      <c r="B35" s="207" t="s">
        <v>487</v>
      </c>
      <c r="C35" s="269">
        <f>C34/C33</f>
        <v>4.1637852593266604</v>
      </c>
      <c r="E35" s="195" t="s">
        <v>491</v>
      </c>
    </row>
    <row r="36" spans="1:24" ht="18" x14ac:dyDescent="0.45">
      <c r="A36" s="69"/>
      <c r="B36" s="195"/>
    </row>
    <row r="37" spans="1:24" ht="18" x14ac:dyDescent="0.45">
      <c r="A37" s="69"/>
      <c r="B37" s="211"/>
      <c r="C37" s="212">
        <v>2005</v>
      </c>
      <c r="D37" s="212">
        <v>2006</v>
      </c>
      <c r="E37" s="212">
        <v>2007</v>
      </c>
      <c r="F37" s="212">
        <v>2008</v>
      </c>
      <c r="G37" s="212">
        <v>2009</v>
      </c>
      <c r="H37" s="51">
        <v>2010</v>
      </c>
      <c r="I37" s="51">
        <v>2011</v>
      </c>
      <c r="J37" s="51">
        <v>2012</v>
      </c>
      <c r="K37" s="51">
        <v>2013</v>
      </c>
      <c r="L37" s="51">
        <v>2014</v>
      </c>
      <c r="M37" s="51">
        <v>2015</v>
      </c>
      <c r="N37" s="51">
        <v>2016</v>
      </c>
      <c r="O37" s="212">
        <v>2017</v>
      </c>
      <c r="P37" s="212">
        <v>2018</v>
      </c>
      <c r="Q37" s="212">
        <v>2019</v>
      </c>
      <c r="R37" s="212">
        <v>2020</v>
      </c>
      <c r="S37" s="212">
        <v>2021</v>
      </c>
      <c r="T37" s="212">
        <v>2022</v>
      </c>
      <c r="U37" s="212">
        <v>2023</v>
      </c>
      <c r="V37" s="212">
        <v>2024</v>
      </c>
      <c r="W37" s="212">
        <v>2025</v>
      </c>
      <c r="X37" s="212" t="s">
        <v>466</v>
      </c>
    </row>
    <row r="38" spans="1:24" ht="18" x14ac:dyDescent="0.45">
      <c r="A38" s="69"/>
      <c r="B38" s="61" t="s">
        <v>468</v>
      </c>
      <c r="C38" s="219">
        <v>2</v>
      </c>
      <c r="D38" s="213">
        <v>2</v>
      </c>
      <c r="E38" s="213">
        <v>1</v>
      </c>
      <c r="F38" s="213">
        <v>5</v>
      </c>
      <c r="G38" s="219">
        <v>21</v>
      </c>
      <c r="H38" s="220">
        <v>20</v>
      </c>
      <c r="I38" s="61">
        <v>20</v>
      </c>
      <c r="J38" s="61">
        <v>8</v>
      </c>
      <c r="K38" s="61">
        <v>17</v>
      </c>
      <c r="L38" s="220">
        <v>24</v>
      </c>
      <c r="M38" s="220">
        <v>15</v>
      </c>
      <c r="N38" s="61">
        <v>7</v>
      </c>
      <c r="O38" s="213">
        <v>5</v>
      </c>
      <c r="P38" s="213">
        <v>10</v>
      </c>
      <c r="Q38" s="213">
        <v>7</v>
      </c>
      <c r="R38" s="219">
        <v>8</v>
      </c>
      <c r="S38" s="219">
        <v>6</v>
      </c>
      <c r="T38" s="213">
        <v>6</v>
      </c>
      <c r="U38" s="213">
        <v>10</v>
      </c>
      <c r="V38" s="213">
        <v>6</v>
      </c>
      <c r="W38" s="215">
        <v>1</v>
      </c>
      <c r="X38" s="213">
        <v>201</v>
      </c>
    </row>
    <row r="39" spans="1:24" x14ac:dyDescent="0.45">
      <c r="A39" s="69"/>
    </row>
    <row r="40" spans="1:24" ht="18" x14ac:dyDescent="0.45">
      <c r="A40" s="69"/>
      <c r="B40" s="216" t="s">
        <v>489</v>
      </c>
      <c r="C40" s="268">
        <f>(C38+G38+H38+L38+M38+R38+S38)</f>
        <v>96</v>
      </c>
      <c r="E40" s="218" t="s">
        <v>492</v>
      </c>
    </row>
    <row r="41" spans="1:24" ht="18" x14ac:dyDescent="0.45">
      <c r="A41" s="69"/>
      <c r="B41" s="216" t="s">
        <v>511</v>
      </c>
      <c r="C41" s="268">
        <v>6</v>
      </c>
      <c r="E41" s="218" t="s">
        <v>513</v>
      </c>
    </row>
    <row r="42" spans="1:24" ht="18" x14ac:dyDescent="0.45">
      <c r="A42" s="69"/>
      <c r="B42" s="207" t="s">
        <v>490</v>
      </c>
      <c r="C42" s="268">
        <f>C40*C41/8</f>
        <v>72</v>
      </c>
      <c r="E42" s="195" t="s">
        <v>493</v>
      </c>
    </row>
    <row r="43" spans="1:24" ht="18" x14ac:dyDescent="0.45">
      <c r="A43" s="69"/>
      <c r="B43" s="207" t="s">
        <v>486</v>
      </c>
      <c r="C43" s="268">
        <v>1000</v>
      </c>
      <c r="E43" s="195" t="s">
        <v>488</v>
      </c>
    </row>
    <row r="44" spans="1:24" ht="18" x14ac:dyDescent="0.45">
      <c r="A44" s="69"/>
      <c r="B44" s="207" t="s">
        <v>495</v>
      </c>
      <c r="C44" s="269">
        <f>C43/C42</f>
        <v>13.888888888888889</v>
      </c>
      <c r="E44" s="195" t="s">
        <v>494</v>
      </c>
    </row>
    <row r="45" spans="1:24" x14ac:dyDescent="0.45">
      <c r="A45" s="69"/>
    </row>
    <row r="47" spans="1:24" ht="18" x14ac:dyDescent="0.45">
      <c r="B47" s="211"/>
      <c r="C47" s="212">
        <v>2005</v>
      </c>
      <c r="D47" s="212">
        <v>2006</v>
      </c>
      <c r="E47" s="212">
        <v>2007</v>
      </c>
      <c r="F47" s="212">
        <v>2008</v>
      </c>
      <c r="G47" s="212">
        <v>2009</v>
      </c>
      <c r="H47" s="51">
        <v>2010</v>
      </c>
      <c r="I47" s="51">
        <v>2011</v>
      </c>
      <c r="J47" s="51">
        <v>2012</v>
      </c>
      <c r="K47" s="51">
        <v>2013</v>
      </c>
      <c r="L47" s="51">
        <v>2014</v>
      </c>
      <c r="M47" s="51">
        <v>2015</v>
      </c>
      <c r="N47" s="51">
        <v>2016</v>
      </c>
      <c r="O47" s="212">
        <v>2017</v>
      </c>
      <c r="P47" s="212">
        <v>2018</v>
      </c>
      <c r="Q47" s="212">
        <v>2019</v>
      </c>
      <c r="R47" s="212">
        <v>2020</v>
      </c>
      <c r="S47" s="212">
        <v>2021</v>
      </c>
      <c r="T47" s="212">
        <v>2022</v>
      </c>
      <c r="U47" s="212">
        <v>2023</v>
      </c>
      <c r="V47" s="212">
        <v>2024</v>
      </c>
      <c r="W47" s="212">
        <v>2025</v>
      </c>
      <c r="X47" s="212" t="s">
        <v>466</v>
      </c>
    </row>
    <row r="48" spans="1:24" ht="18" x14ac:dyDescent="0.45">
      <c r="B48" s="61" t="s">
        <v>467</v>
      </c>
      <c r="C48" s="219">
        <v>140</v>
      </c>
      <c r="D48" s="213">
        <v>152</v>
      </c>
      <c r="E48" s="213">
        <v>160</v>
      </c>
      <c r="F48" s="213">
        <v>186</v>
      </c>
      <c r="G48" s="219">
        <v>197</v>
      </c>
      <c r="H48" s="219">
        <v>175</v>
      </c>
      <c r="I48" s="213">
        <v>220</v>
      </c>
      <c r="J48" s="213">
        <v>203</v>
      </c>
      <c r="K48" s="213">
        <v>163</v>
      </c>
      <c r="L48" s="219">
        <v>148</v>
      </c>
      <c r="M48" s="219">
        <v>183</v>
      </c>
      <c r="N48" s="213">
        <v>167</v>
      </c>
      <c r="O48" s="213">
        <v>131</v>
      </c>
      <c r="P48" s="213">
        <v>100</v>
      </c>
      <c r="Q48" s="213">
        <v>145</v>
      </c>
      <c r="R48" s="219">
        <v>128</v>
      </c>
      <c r="S48" s="219">
        <v>128</v>
      </c>
      <c r="T48" s="213">
        <v>131</v>
      </c>
      <c r="U48" s="213">
        <v>130</v>
      </c>
      <c r="V48" s="213">
        <v>144</v>
      </c>
      <c r="W48" s="215">
        <v>102</v>
      </c>
      <c r="X48" s="214">
        <v>3233</v>
      </c>
    </row>
    <row r="49" spans="2:24" ht="18" x14ac:dyDescent="0.45">
      <c r="B49" s="61" t="s">
        <v>468</v>
      </c>
      <c r="C49" s="219">
        <v>2</v>
      </c>
      <c r="D49" s="213">
        <v>2</v>
      </c>
      <c r="E49" s="213">
        <v>1</v>
      </c>
      <c r="F49" s="213">
        <v>5</v>
      </c>
      <c r="G49" s="219">
        <v>21</v>
      </c>
      <c r="H49" s="220">
        <v>20</v>
      </c>
      <c r="I49" s="61">
        <v>20</v>
      </c>
      <c r="J49" s="61">
        <v>8</v>
      </c>
      <c r="K49" s="61">
        <v>17</v>
      </c>
      <c r="L49" s="220">
        <v>24</v>
      </c>
      <c r="M49" s="220">
        <v>15</v>
      </c>
      <c r="N49" s="61">
        <v>7</v>
      </c>
      <c r="O49" s="213">
        <v>5</v>
      </c>
      <c r="P49" s="213">
        <v>10</v>
      </c>
      <c r="Q49" s="213">
        <v>7</v>
      </c>
      <c r="R49" s="219">
        <v>8</v>
      </c>
      <c r="S49" s="219">
        <v>6</v>
      </c>
      <c r="T49" s="213">
        <v>6</v>
      </c>
      <c r="U49" s="213">
        <v>10</v>
      </c>
      <c r="V49" s="213">
        <v>6</v>
      </c>
      <c r="W49" s="215">
        <v>1</v>
      </c>
      <c r="X49" s="213">
        <v>201</v>
      </c>
    </row>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8888-A3FB-418E-9854-8EF2EFF215B3}">
  <dimension ref="A1:AP53"/>
  <sheetViews>
    <sheetView topLeftCell="B13" zoomScale="71" zoomScaleNormal="100" workbookViewId="0">
      <selection activeCell="I34" sqref="I34"/>
    </sheetView>
  </sheetViews>
  <sheetFormatPr defaultColWidth="8.83203125" defaultRowHeight="17" x14ac:dyDescent="0.45"/>
  <cols>
    <col min="1" max="1" width="8.83203125" style="15"/>
    <col min="2" max="2" width="17.9140625" style="15" bestFit="1" customWidth="1"/>
    <col min="3" max="3" width="8.9140625" style="152" bestFit="1" customWidth="1"/>
    <col min="4" max="4" width="8.9140625" style="15" bestFit="1" customWidth="1"/>
    <col min="5" max="5" width="9" style="15" bestFit="1" customWidth="1"/>
    <col min="6" max="7" width="8.9140625" style="15" bestFit="1" customWidth="1"/>
    <col min="8" max="8" width="9.9140625" style="15" bestFit="1" customWidth="1"/>
    <col min="9" max="9" width="11.58203125" style="15" bestFit="1" customWidth="1"/>
    <col min="10" max="14" width="8.9140625" style="15" bestFit="1" customWidth="1"/>
    <col min="15" max="15" width="20.33203125" style="15" bestFit="1" customWidth="1"/>
    <col min="16" max="16" width="8.9140625" style="15" bestFit="1" customWidth="1"/>
    <col min="17" max="16384" width="8.83203125" style="15"/>
  </cols>
  <sheetData>
    <row r="1" spans="1:42" s="22"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row>
    <row r="2" spans="1:42" s="24" customFormat="1" ht="22.5" x14ac:dyDescent="0.8">
      <c r="A2" s="28" t="s">
        <v>293</v>
      </c>
      <c r="B2" s="23"/>
    </row>
    <row r="3" spans="1:42" s="22" customFormat="1" ht="18.5" x14ac:dyDescent="0.6">
      <c r="A3" s="29" t="s">
        <v>349</v>
      </c>
      <c r="B3" s="25"/>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45">
      <c r="A4" s="69"/>
      <c r="B4" s="69"/>
      <c r="C4" s="69"/>
      <c r="D4" s="69"/>
      <c r="E4" s="69"/>
      <c r="F4" s="69"/>
      <c r="G4" s="69"/>
      <c r="H4" s="69"/>
      <c r="I4" s="69"/>
      <c r="J4" s="69"/>
      <c r="K4" s="69"/>
      <c r="L4" s="69"/>
      <c r="M4" s="69"/>
      <c r="N4" s="69"/>
      <c r="O4" s="69"/>
      <c r="P4" s="69"/>
      <c r="Q4" s="69"/>
      <c r="R4" s="69"/>
      <c r="S4" s="69"/>
      <c r="T4" s="69"/>
      <c r="U4" s="69"/>
      <c r="V4" s="69"/>
      <c r="W4" s="69"/>
    </row>
    <row r="5" spans="1:42" ht="17.399999999999999" customHeight="1" x14ac:dyDescent="0.45">
      <c r="A5" s="69"/>
      <c r="B5" s="49" t="s">
        <v>291</v>
      </c>
      <c r="C5" s="50" t="s">
        <v>271</v>
      </c>
      <c r="D5" s="50" t="s">
        <v>272</v>
      </c>
      <c r="E5" s="50" t="s">
        <v>273</v>
      </c>
      <c r="F5" s="51" t="s">
        <v>274</v>
      </c>
      <c r="G5" s="172" t="s">
        <v>239</v>
      </c>
      <c r="H5" s="172" t="s">
        <v>240</v>
      </c>
      <c r="I5" s="172" t="s">
        <v>224</v>
      </c>
      <c r="J5" s="172" t="s">
        <v>225</v>
      </c>
      <c r="K5" s="172" t="s">
        <v>264</v>
      </c>
      <c r="L5" s="172" t="s">
        <v>265</v>
      </c>
      <c r="M5" s="172" t="s">
        <v>266</v>
      </c>
      <c r="N5" s="172" t="s">
        <v>267</v>
      </c>
      <c r="O5" s="69"/>
      <c r="P5" s="154" t="s">
        <v>414</v>
      </c>
      <c r="Q5" s="176"/>
      <c r="R5" s="69"/>
      <c r="S5" s="69"/>
      <c r="T5" s="69"/>
      <c r="U5" s="69"/>
      <c r="V5" s="69"/>
      <c r="W5" s="69"/>
    </row>
    <row r="6" spans="1:42" x14ac:dyDescent="0.45">
      <c r="A6" s="69"/>
      <c r="B6" s="129" t="s">
        <v>294</v>
      </c>
      <c r="C6" s="130">
        <v>1530</v>
      </c>
      <c r="D6" s="130">
        <v>1940</v>
      </c>
      <c r="E6" s="130">
        <v>1690</v>
      </c>
      <c r="F6" s="131">
        <f>매출추정!P14</f>
        <v>1635</v>
      </c>
      <c r="G6" s="130">
        <f>매출추정!G14</f>
        <v>583</v>
      </c>
      <c r="H6" s="130">
        <f>매출추정!H14</f>
        <v>328</v>
      </c>
      <c r="I6" s="130">
        <f>I8+I16+I22+I24+I26</f>
        <v>391.53744696969699</v>
      </c>
      <c r="J6" s="130">
        <f t="shared" ref="J6:N6" si="0">J8+J16+J22+J24+J26</f>
        <v>396.07819570707068</v>
      </c>
      <c r="K6" s="130">
        <f t="shared" si="0"/>
        <v>589.45501388888886</v>
      </c>
      <c r="L6" s="130">
        <f t="shared" si="0"/>
        <v>590.70229910213243</v>
      </c>
      <c r="M6" s="130">
        <f t="shared" si="0"/>
        <v>685.28887121212119</v>
      </c>
      <c r="N6" s="130">
        <f t="shared" si="0"/>
        <v>707.19360906908582</v>
      </c>
      <c r="P6" s="141" t="s">
        <v>403</v>
      </c>
      <c r="Q6" s="69"/>
      <c r="R6" s="69"/>
      <c r="S6" s="69"/>
      <c r="T6" s="69"/>
      <c r="U6" s="69"/>
      <c r="V6" s="69"/>
      <c r="W6" s="69"/>
    </row>
    <row r="7" spans="1:42" x14ac:dyDescent="0.45">
      <c r="A7" s="69"/>
      <c r="B7" s="120" t="s">
        <v>279</v>
      </c>
      <c r="C7" s="123" t="s">
        <v>281</v>
      </c>
      <c r="D7" s="120">
        <f t="shared" ref="D7:N7" si="1">(D6-C6)/C6</f>
        <v>0.26797385620915032</v>
      </c>
      <c r="E7" s="120">
        <f t="shared" si="1"/>
        <v>-0.12886597938144329</v>
      </c>
      <c r="F7" s="121">
        <f t="shared" si="1"/>
        <v>-3.2544378698224852E-2</v>
      </c>
      <c r="G7" s="120" t="s">
        <v>281</v>
      </c>
      <c r="H7" s="120">
        <f t="shared" si="1"/>
        <v>-0.43739279588336194</v>
      </c>
      <c r="I7" s="120">
        <f t="shared" si="1"/>
        <v>0.19371172856614935</v>
      </c>
      <c r="J7" s="120">
        <f t="shared" si="1"/>
        <v>1.1597227219303804E-2</v>
      </c>
      <c r="K7" s="120">
        <f t="shared" si="1"/>
        <v>0.48822889085476129</v>
      </c>
      <c r="L7" s="120">
        <f t="shared" si="1"/>
        <v>2.1159972921677155E-3</v>
      </c>
      <c r="M7" s="120">
        <f t="shared" si="1"/>
        <v>0.16012562039077952</v>
      </c>
      <c r="N7" s="120">
        <f t="shared" si="1"/>
        <v>3.1964239866058376E-2</v>
      </c>
      <c r="O7" s="173"/>
      <c r="P7" s="69"/>
      <c r="Q7" s="69"/>
      <c r="R7" s="69"/>
      <c r="S7" s="69"/>
      <c r="T7" s="69"/>
      <c r="U7" s="69"/>
      <c r="V7" s="69"/>
      <c r="W7" s="69"/>
    </row>
    <row r="8" spans="1:42" x14ac:dyDescent="0.45">
      <c r="A8" s="69"/>
      <c r="B8" s="158" t="s">
        <v>397</v>
      </c>
      <c r="C8" s="236"/>
      <c r="D8" s="237"/>
      <c r="E8" s="237"/>
      <c r="F8" s="238"/>
      <c r="G8" s="237"/>
      <c r="H8" s="237"/>
      <c r="I8" s="130">
        <f t="shared" ref="I8:N8" si="2">I10+I14+I12</f>
        <v>185.29333333333335</v>
      </c>
      <c r="J8" s="130">
        <f t="shared" si="2"/>
        <v>187.44222222222223</v>
      </c>
      <c r="K8" s="130">
        <f t="shared" si="2"/>
        <v>446.43966666666665</v>
      </c>
      <c r="L8" s="130">
        <f t="shared" si="2"/>
        <v>446.6699043209876</v>
      </c>
      <c r="M8" s="130">
        <f t="shared" si="2"/>
        <v>471.45383333333331</v>
      </c>
      <c r="N8" s="130">
        <f t="shared" si="2"/>
        <v>493.96857750342929</v>
      </c>
      <c r="O8" s="69"/>
      <c r="P8" s="141" t="s">
        <v>404</v>
      </c>
      <c r="Q8" s="69"/>
      <c r="R8" s="69"/>
      <c r="S8" s="69"/>
      <c r="T8" s="69"/>
      <c r="U8" s="69"/>
      <c r="V8" s="69"/>
      <c r="W8" s="69"/>
    </row>
    <row r="9" spans="1:42" x14ac:dyDescent="0.45">
      <c r="A9" s="69"/>
      <c r="B9" s="120" t="s">
        <v>279</v>
      </c>
      <c r="C9" s="239"/>
      <c r="D9" s="240"/>
      <c r="E9" s="240"/>
      <c r="F9" s="241"/>
      <c r="G9" s="242"/>
      <c r="H9" s="242"/>
      <c r="I9" s="120" t="s">
        <v>281</v>
      </c>
      <c r="J9" s="120">
        <f t="shared" ref="J9" si="3">(J8-I8)/I8</f>
        <v>1.159722721930386E-2</v>
      </c>
      <c r="K9" s="120">
        <f t="shared" ref="K9" si="4">(K8-J8)/J8</f>
        <v>1.3817454860164318</v>
      </c>
      <c r="L9" s="120">
        <f t="shared" ref="L9" si="5">(L8-K8)/K8</f>
        <v>5.1571952832957224E-4</v>
      </c>
      <c r="M9" s="120">
        <f t="shared" ref="M9" si="6">(M8-L8)/L8</f>
        <v>5.5486006047399582E-2</v>
      </c>
      <c r="N9" s="120">
        <f t="shared" ref="N9" si="7">(N8-M8)/M8</f>
        <v>4.7755989193913967E-2</v>
      </c>
      <c r="O9" s="69"/>
      <c r="P9" s="116"/>
      <c r="Q9" s="69"/>
      <c r="R9" s="69"/>
      <c r="S9" s="69"/>
      <c r="T9" s="69"/>
      <c r="U9" s="69"/>
      <c r="V9" s="69"/>
      <c r="W9" s="69"/>
    </row>
    <row r="10" spans="1:42" x14ac:dyDescent="0.45">
      <c r="A10" s="69"/>
      <c r="B10" s="156" t="s">
        <v>322</v>
      </c>
      <c r="C10" s="243"/>
      <c r="D10" s="244"/>
      <c r="E10" s="244"/>
      <c r="F10" s="245"/>
      <c r="G10" s="246"/>
      <c r="H10" s="246"/>
      <c r="I10" s="101">
        <f>I35*'환율&amp;원유'!I7/100</f>
        <v>162.13166666666669</v>
      </c>
      <c r="J10" s="101">
        <f>J35*'환율&amp;원유'!J7/100</f>
        <v>164.01194444444445</v>
      </c>
      <c r="K10" s="101">
        <f>K35*'환율&amp;원유'!K7/100</f>
        <v>184.40074074074073</v>
      </c>
      <c r="L10" s="101">
        <f>L35*'환율&amp;원유'!L7/100</f>
        <v>208.92611111111108</v>
      </c>
      <c r="M10" s="101">
        <f>M35*'환율&amp;원유'!M7/100</f>
        <v>232.31460905349792</v>
      </c>
      <c r="N10" s="101">
        <f>N35*'환율&amp;원유'!N7/100</f>
        <v>231.65188614540463</v>
      </c>
      <c r="O10" s="69"/>
      <c r="P10" s="116" t="s">
        <v>406</v>
      </c>
      <c r="Q10" s="69"/>
      <c r="R10" s="69"/>
      <c r="S10" s="69"/>
      <c r="T10" s="69"/>
      <c r="U10" s="69"/>
      <c r="V10" s="69"/>
      <c r="W10" s="69"/>
    </row>
    <row r="11" spans="1:42" x14ac:dyDescent="0.45">
      <c r="A11" s="69"/>
      <c r="B11" s="155" t="s">
        <v>308</v>
      </c>
      <c r="C11" s="243"/>
      <c r="D11" s="244"/>
      <c r="E11" s="244"/>
      <c r="F11" s="245"/>
      <c r="G11" s="246"/>
      <c r="H11" s="246"/>
      <c r="I11" s="126">
        <f t="shared" ref="I11:N23" si="8">I10/I$6</f>
        <v>0.41408980908846466</v>
      </c>
      <c r="J11" s="126">
        <f t="shared" si="8"/>
        <v>0.41408980908846471</v>
      </c>
      <c r="K11" s="126">
        <f t="shared" si="8"/>
        <v>0.31283259349033193</v>
      </c>
      <c r="L11" s="126">
        <f t="shared" si="8"/>
        <v>0.3536910410348475</v>
      </c>
      <c r="M11" s="126">
        <f t="shared" si="8"/>
        <v>0.33900245401998991</v>
      </c>
      <c r="N11" s="126">
        <f t="shared" si="8"/>
        <v>0.32756501638969782</v>
      </c>
      <c r="O11" s="69"/>
      <c r="P11" s="116"/>
      <c r="Q11" s="69"/>
      <c r="R11" s="69"/>
      <c r="S11" s="69"/>
      <c r="T11" s="69"/>
      <c r="U11" s="69"/>
      <c r="V11" s="69"/>
      <c r="W11" s="69"/>
    </row>
    <row r="12" spans="1:42" x14ac:dyDescent="0.45">
      <c r="A12" s="69"/>
      <c r="B12" s="156" t="s">
        <v>307</v>
      </c>
      <c r="C12" s="243"/>
      <c r="D12" s="244"/>
      <c r="E12" s="244"/>
      <c r="F12" s="245"/>
      <c r="G12" s="244"/>
      <c r="H12" s="244"/>
      <c r="I12" s="101">
        <f>I37*'환율&amp;원유'!I7/100</f>
        <v>23.161666666666669</v>
      </c>
      <c r="J12" s="101">
        <f>J37*'환율&amp;원유'!J7/100</f>
        <v>23.430277777777778</v>
      </c>
      <c r="K12" s="101">
        <f>K37*'환율&amp;원유'!K7/100</f>
        <v>23.050092592592591</v>
      </c>
      <c r="L12" s="101">
        <f>L37*'환율&amp;원유'!L7/100</f>
        <v>46.428024691358026</v>
      </c>
      <c r="M12" s="101">
        <f>M37*'환율&amp;원유'!M7/100</f>
        <v>46.462921810699584</v>
      </c>
      <c r="N12" s="101">
        <f>N37*'환율&amp;원유'!N7/100</f>
        <v>69.495565843621392</v>
      </c>
      <c r="O12" s="69"/>
      <c r="P12" s="116" t="s">
        <v>407</v>
      </c>
      <c r="Q12" s="69"/>
      <c r="R12" s="69"/>
      <c r="S12" s="69"/>
      <c r="T12" s="69"/>
      <c r="U12" s="69"/>
      <c r="V12" s="69"/>
      <c r="W12" s="69"/>
    </row>
    <row r="13" spans="1:42" x14ac:dyDescent="0.45">
      <c r="A13" s="69"/>
      <c r="B13" s="155" t="s">
        <v>308</v>
      </c>
      <c r="C13" s="243"/>
      <c r="D13" s="244"/>
      <c r="E13" s="244"/>
      <c r="F13" s="245"/>
      <c r="G13" s="244"/>
      <c r="H13" s="244"/>
      <c r="I13" s="126">
        <f t="shared" ref="I13:N13" si="9">I12/I$6</f>
        <v>5.9155687012637806E-2</v>
      </c>
      <c r="J13" s="126">
        <f t="shared" si="9"/>
        <v>5.9155687012637813E-2</v>
      </c>
      <c r="K13" s="126">
        <f t="shared" si="9"/>
        <v>3.9104074186291492E-2</v>
      </c>
      <c r="L13" s="126">
        <f t="shared" si="9"/>
        <v>7.8598009118855006E-2</v>
      </c>
      <c r="M13" s="126">
        <f t="shared" si="9"/>
        <v>6.7800490803997984E-2</v>
      </c>
      <c r="N13" s="126">
        <f t="shared" si="9"/>
        <v>9.8269504916909348E-2</v>
      </c>
      <c r="O13" s="69"/>
      <c r="P13" s="116"/>
      <c r="Q13" s="69"/>
      <c r="R13" s="69"/>
      <c r="S13" s="69"/>
      <c r="T13" s="69"/>
      <c r="U13" s="69"/>
      <c r="V13" s="69"/>
      <c r="W13" s="69"/>
    </row>
    <row r="14" spans="1:42" x14ac:dyDescent="0.45">
      <c r="A14" s="69"/>
      <c r="B14" s="156" t="s">
        <v>306</v>
      </c>
      <c r="C14" s="243"/>
      <c r="D14" s="244"/>
      <c r="E14" s="244"/>
      <c r="F14" s="245"/>
      <c r="G14" s="246"/>
      <c r="H14" s="246"/>
      <c r="I14" s="101">
        <v>0</v>
      </c>
      <c r="J14" s="101">
        <v>0</v>
      </c>
      <c r="K14" s="101">
        <f>K39*'환율&amp;원유'!J7/100</f>
        <v>238.9888333333333</v>
      </c>
      <c r="L14" s="101">
        <f>L39*'환율&amp;원유'!K7/100</f>
        <v>191.31576851851852</v>
      </c>
      <c r="M14" s="101">
        <f>M39*'환율&amp;원유'!L7/100</f>
        <v>192.67630246913578</v>
      </c>
      <c r="N14" s="101">
        <f>N39*'환율&amp;원유'!M7/100</f>
        <v>192.82112551440324</v>
      </c>
      <c r="O14" s="69"/>
      <c r="P14" s="116" t="s">
        <v>408</v>
      </c>
      <c r="Q14" s="69"/>
      <c r="R14" s="69"/>
      <c r="S14" s="69"/>
      <c r="T14" s="69"/>
      <c r="U14" s="69"/>
      <c r="V14" s="69"/>
      <c r="W14" s="69"/>
    </row>
    <row r="15" spans="1:42" x14ac:dyDescent="0.45">
      <c r="A15" s="69"/>
      <c r="B15" s="157" t="s">
        <v>308</v>
      </c>
      <c r="C15" s="239"/>
      <c r="D15" s="240"/>
      <c r="E15" s="240"/>
      <c r="F15" s="241"/>
      <c r="G15" s="242"/>
      <c r="H15" s="242"/>
      <c r="I15" s="124">
        <f t="shared" ref="I15:N15" si="10">I14/I$6</f>
        <v>0</v>
      </c>
      <c r="J15" s="124">
        <f t="shared" si="10"/>
        <v>0</v>
      </c>
      <c r="K15" s="124">
        <f t="shared" si="10"/>
        <v>0.40544032657661344</v>
      </c>
      <c r="L15" s="124">
        <f t="shared" si="10"/>
        <v>0.32387848973894046</v>
      </c>
      <c r="M15" s="124">
        <f t="shared" si="10"/>
        <v>0.28116070545306671</v>
      </c>
      <c r="N15" s="124">
        <f t="shared" si="10"/>
        <v>0.27265677042560282</v>
      </c>
      <c r="O15" s="69"/>
      <c r="P15" s="116"/>
      <c r="Q15" s="69"/>
      <c r="R15" s="69"/>
      <c r="S15" s="69"/>
      <c r="T15" s="69"/>
      <c r="U15" s="69"/>
      <c r="V15" s="69"/>
      <c r="W15" s="69"/>
      <c r="X15" s="69"/>
    </row>
    <row r="16" spans="1:42" x14ac:dyDescent="0.45">
      <c r="A16" s="69"/>
      <c r="B16" s="158" t="s">
        <v>398</v>
      </c>
      <c r="C16" s="236"/>
      <c r="D16" s="237"/>
      <c r="E16" s="237"/>
      <c r="F16" s="238"/>
      <c r="G16" s="237"/>
      <c r="H16" s="237"/>
      <c r="I16" s="130">
        <f t="shared" ref="I16:N16" si="11">I20+I18</f>
        <v>74.222613636363633</v>
      </c>
      <c r="J16" s="130">
        <f t="shared" si="11"/>
        <v>75.083390151515147</v>
      </c>
      <c r="K16" s="130">
        <f t="shared" si="11"/>
        <v>73.865069444444444</v>
      </c>
      <c r="L16" s="130">
        <f t="shared" si="11"/>
        <v>74.390357744107732</v>
      </c>
      <c r="M16" s="130">
        <f t="shared" si="11"/>
        <v>144.14065516273845</v>
      </c>
      <c r="N16" s="130">
        <f t="shared" si="11"/>
        <v>143.72946572203514</v>
      </c>
      <c r="O16" s="69"/>
      <c r="P16" s="141" t="s">
        <v>454</v>
      </c>
      <c r="Q16" s="69"/>
      <c r="R16" s="69"/>
      <c r="S16" s="69"/>
      <c r="T16" s="69"/>
      <c r="U16" s="69"/>
      <c r="V16" s="69"/>
      <c r="W16" s="69"/>
      <c r="X16" s="69"/>
    </row>
    <row r="17" spans="1:24" x14ac:dyDescent="0.45">
      <c r="A17" s="69"/>
      <c r="B17" s="120" t="s">
        <v>279</v>
      </c>
      <c r="C17" s="239"/>
      <c r="D17" s="240"/>
      <c r="E17" s="240"/>
      <c r="F17" s="241"/>
      <c r="G17" s="242"/>
      <c r="H17" s="242"/>
      <c r="I17" s="120" t="s">
        <v>281</v>
      </c>
      <c r="J17" s="120">
        <f t="shared" ref="J17" si="12">(J16-I16)/I16</f>
        <v>1.159722721930391E-2</v>
      </c>
      <c r="K17" s="120">
        <f t="shared" ref="K17" si="13">(K16-J16)/J16</f>
        <v>-1.6226234652060627E-2</v>
      </c>
      <c r="L17" s="120">
        <f t="shared" ref="L17" si="14">(L16-K16)/K16</f>
        <v>7.111457467164079E-3</v>
      </c>
      <c r="M17" s="120">
        <f t="shared" ref="M17" si="15">(M16-L16)/L16</f>
        <v>0.93762551402914129</v>
      </c>
      <c r="N17" s="120">
        <f t="shared" ref="N17" si="16">(N16-M16)/M16</f>
        <v>-2.852695793834621E-3</v>
      </c>
      <c r="O17" s="69"/>
      <c r="P17" s="71"/>
      <c r="Q17" s="69"/>
      <c r="R17" s="69"/>
      <c r="S17" s="69"/>
      <c r="T17" s="69"/>
      <c r="U17" s="69"/>
      <c r="V17" s="69"/>
      <c r="W17" s="69"/>
      <c r="X17" s="69"/>
    </row>
    <row r="18" spans="1:24" x14ac:dyDescent="0.45">
      <c r="A18" s="69"/>
      <c r="B18" s="156" t="s">
        <v>321</v>
      </c>
      <c r="C18" s="243"/>
      <c r="D18" s="244"/>
      <c r="E18" s="244"/>
      <c r="F18" s="245"/>
      <c r="G18" s="246"/>
      <c r="H18" s="246"/>
      <c r="I18" s="101">
        <f>I43*'환율&amp;원유'!I7/100</f>
        <v>74.222613636363633</v>
      </c>
      <c r="J18" s="101">
        <f>J43*'환율&amp;원유'!J7/100</f>
        <v>75.083390151515147</v>
      </c>
      <c r="K18" s="101">
        <f>K43*'환율&amp;원유'!K7/100</f>
        <v>73.865069444444444</v>
      </c>
      <c r="L18" s="101">
        <f>L43*'환율&amp;원유'!L7/100</f>
        <v>74.390357744107732</v>
      </c>
      <c r="M18" s="101">
        <f>M43*'환율&amp;원유'!M7/100</f>
        <v>74.446272446689093</v>
      </c>
      <c r="N18" s="101">
        <f>N43*'환율&amp;원유'!N7/100</f>
        <v>74.233899878413752</v>
      </c>
      <c r="O18" s="69"/>
      <c r="P18" s="116" t="s">
        <v>410</v>
      </c>
      <c r="Q18" s="69"/>
      <c r="R18" s="69"/>
      <c r="S18" s="69"/>
      <c r="T18" s="69"/>
      <c r="U18" s="69"/>
      <c r="V18" s="69"/>
      <c r="W18" s="69"/>
      <c r="X18" s="69"/>
    </row>
    <row r="19" spans="1:24" x14ac:dyDescent="0.45">
      <c r="A19" s="69"/>
      <c r="B19" s="157" t="s">
        <v>308</v>
      </c>
      <c r="C19" s="239"/>
      <c r="D19" s="240"/>
      <c r="E19" s="240"/>
      <c r="F19" s="241"/>
      <c r="G19" s="242"/>
      <c r="H19" s="242"/>
      <c r="I19" s="124">
        <f t="shared" ref="I19:N19" si="17">I18/I$6</f>
        <v>0.18956708792686205</v>
      </c>
      <c r="J19" s="124">
        <f t="shared" si="17"/>
        <v>0.18956708792686205</v>
      </c>
      <c r="K19" s="124">
        <f t="shared" si="17"/>
        <v>0.12531078318788866</v>
      </c>
      <c r="L19" s="124">
        <f t="shared" si="17"/>
        <v>0.12593544642907448</v>
      </c>
      <c r="M19" s="124">
        <f t="shared" si="17"/>
        <v>0.1086348773109513</v>
      </c>
      <c r="N19" s="124">
        <f t="shared" si="17"/>
        <v>0.10496969843397133</v>
      </c>
      <c r="O19" s="69"/>
      <c r="P19" s="116"/>
      <c r="Q19" s="69"/>
      <c r="R19" s="69"/>
      <c r="S19" s="69"/>
      <c r="T19" s="69"/>
      <c r="U19" s="69"/>
      <c r="V19" s="69"/>
      <c r="W19" s="69"/>
      <c r="X19" s="69"/>
    </row>
    <row r="20" spans="1:24" x14ac:dyDescent="0.45">
      <c r="A20" s="69"/>
      <c r="B20" s="156" t="s">
        <v>353</v>
      </c>
      <c r="C20" s="243"/>
      <c r="D20" s="244"/>
      <c r="E20" s="244"/>
      <c r="F20" s="245"/>
      <c r="G20" s="246"/>
      <c r="H20" s="246"/>
      <c r="I20" s="101">
        <v>0</v>
      </c>
      <c r="J20" s="101">
        <v>0</v>
      </c>
      <c r="K20" s="101">
        <v>0</v>
      </c>
      <c r="L20" s="101">
        <v>0</v>
      </c>
      <c r="M20" s="101">
        <f>M45*'환율&amp;원유'!M7/100</f>
        <v>69.694382716049361</v>
      </c>
      <c r="N20" s="101">
        <f>N45*'환율&amp;원유'!N7/100</f>
        <v>69.495565843621392</v>
      </c>
      <c r="O20" s="69"/>
      <c r="P20" s="116" t="s">
        <v>409</v>
      </c>
      <c r="Q20" s="69"/>
      <c r="R20" s="69"/>
      <c r="S20" s="69"/>
      <c r="T20" s="69"/>
      <c r="U20" s="69"/>
      <c r="V20" s="69"/>
      <c r="W20" s="69"/>
      <c r="X20" s="69"/>
    </row>
    <row r="21" spans="1:24" x14ac:dyDescent="0.45">
      <c r="A21" s="69"/>
      <c r="B21" s="155" t="s">
        <v>308</v>
      </c>
      <c r="C21" s="243"/>
      <c r="D21" s="244"/>
      <c r="E21" s="244"/>
      <c r="F21" s="245"/>
      <c r="G21" s="246"/>
      <c r="H21" s="246"/>
      <c r="I21" s="126">
        <f t="shared" ref="I21:N21" si="18">I20/I$6</f>
        <v>0</v>
      </c>
      <c r="J21" s="126">
        <f t="shared" si="18"/>
        <v>0</v>
      </c>
      <c r="K21" s="126">
        <f t="shared" si="18"/>
        <v>0</v>
      </c>
      <c r="L21" s="126">
        <f t="shared" si="18"/>
        <v>0</v>
      </c>
      <c r="M21" s="126">
        <f t="shared" si="18"/>
        <v>0.10170073620599696</v>
      </c>
      <c r="N21" s="126">
        <f t="shared" si="18"/>
        <v>9.8269504916909348E-2</v>
      </c>
      <c r="O21" s="69"/>
      <c r="P21" s="116"/>
      <c r="Q21" s="69"/>
      <c r="R21" s="69"/>
      <c r="S21" s="69"/>
      <c r="T21" s="69"/>
      <c r="U21" s="69"/>
      <c r="V21" s="69"/>
      <c r="W21" s="69"/>
      <c r="X21" s="69"/>
    </row>
    <row r="22" spans="1:24" x14ac:dyDescent="0.45">
      <c r="A22" s="69"/>
      <c r="B22" s="156" t="s">
        <v>258</v>
      </c>
      <c r="C22" s="243"/>
      <c r="D22" s="244"/>
      <c r="E22" s="244"/>
      <c r="F22" s="245"/>
      <c r="G22" s="246"/>
      <c r="H22" s="246"/>
      <c r="I22" s="101">
        <f>I47*'환율&amp;원유'!I7/100</f>
        <v>69.484999999999999</v>
      </c>
      <c r="J22" s="101">
        <f>J47*'환율&amp;원유'!J7/100</f>
        <v>70.290833333333325</v>
      </c>
      <c r="K22" s="101">
        <f>K47*'환율&amp;원유'!K7/100</f>
        <v>69.150277777777774</v>
      </c>
      <c r="L22" s="101">
        <f>L47*'환율&amp;원유'!L7/100</f>
        <v>69.642037037037028</v>
      </c>
      <c r="M22" s="101">
        <f>M47*'환율&amp;원유'!M7/100</f>
        <v>69.694382716049361</v>
      </c>
      <c r="N22" s="101">
        <f>N47*'환율&amp;원유'!N7/100</f>
        <v>69.495565843621392</v>
      </c>
      <c r="O22" s="69"/>
      <c r="P22" s="116" t="s">
        <v>411</v>
      </c>
      <c r="Q22" s="69"/>
      <c r="R22" s="69"/>
      <c r="S22" s="69"/>
      <c r="T22" s="69"/>
      <c r="U22" s="69"/>
      <c r="V22" s="69"/>
      <c r="W22" s="69"/>
      <c r="X22" s="69"/>
    </row>
    <row r="23" spans="1:24" x14ac:dyDescent="0.45">
      <c r="A23" s="69"/>
      <c r="B23" s="155" t="s">
        <v>308</v>
      </c>
      <c r="C23" s="243"/>
      <c r="D23" s="244"/>
      <c r="E23" s="244"/>
      <c r="F23" s="245"/>
      <c r="G23" s="246"/>
      <c r="H23" s="246"/>
      <c r="I23" s="120">
        <f t="shared" si="8"/>
        <v>0.1774670610379134</v>
      </c>
      <c r="J23" s="120">
        <f t="shared" si="8"/>
        <v>0.1774670610379134</v>
      </c>
      <c r="K23" s="120">
        <f t="shared" si="8"/>
        <v>0.11731222255887447</v>
      </c>
      <c r="L23" s="120">
        <f t="shared" si="8"/>
        <v>0.11789701367828249</v>
      </c>
      <c r="M23" s="120">
        <f t="shared" si="8"/>
        <v>0.10170073620599696</v>
      </c>
      <c r="N23" s="120">
        <f t="shared" si="8"/>
        <v>9.8269504916909348E-2</v>
      </c>
      <c r="O23" s="69"/>
      <c r="P23" s="116"/>
      <c r="Q23" s="69"/>
      <c r="R23" s="69"/>
      <c r="S23" s="69"/>
      <c r="T23" s="69"/>
      <c r="U23" s="69"/>
      <c r="V23" s="69"/>
      <c r="W23" s="69"/>
      <c r="X23" s="69"/>
    </row>
    <row r="24" spans="1:24" x14ac:dyDescent="0.45">
      <c r="A24" s="69"/>
      <c r="B24" s="107" t="s">
        <v>275</v>
      </c>
      <c r="C24" s="247"/>
      <c r="D24" s="248"/>
      <c r="E24" s="248"/>
      <c r="F24" s="249"/>
      <c r="G24" s="248"/>
      <c r="H24" s="248"/>
      <c r="I24" s="101">
        <f>I49*'환율&amp;원유'!I14/100</f>
        <v>0</v>
      </c>
      <c r="J24" s="101">
        <f>J49*'환율&amp;원유'!J14/100</f>
        <v>0</v>
      </c>
      <c r="K24" s="101">
        <f>K49*'환율&amp;원유'!K14/100</f>
        <v>0</v>
      </c>
      <c r="L24" s="101">
        <f>L49*'환율&amp;원유'!L14/100</f>
        <v>0</v>
      </c>
      <c r="M24" s="101">
        <f>M49*'환율&amp;원유'!M14/100</f>
        <v>0</v>
      </c>
      <c r="N24" s="101">
        <f>N49*'환율&amp;원유'!N14/100</f>
        <v>0</v>
      </c>
      <c r="O24" s="69"/>
      <c r="P24" s="116" t="s">
        <v>412</v>
      </c>
      <c r="Q24" s="69"/>
      <c r="R24" s="69"/>
      <c r="S24" s="69"/>
      <c r="T24" s="69"/>
      <c r="U24" s="69"/>
      <c r="V24" s="69"/>
      <c r="W24" s="69"/>
      <c r="X24" s="69"/>
    </row>
    <row r="25" spans="1:24" x14ac:dyDescent="0.45">
      <c r="A25" s="69"/>
      <c r="B25" s="157" t="s">
        <v>308</v>
      </c>
      <c r="C25" s="250"/>
      <c r="D25" s="250"/>
      <c r="E25" s="250"/>
      <c r="F25" s="251"/>
      <c r="G25" s="250"/>
      <c r="H25" s="250"/>
      <c r="I25" s="124">
        <f t="shared" ref="I25:N25" si="19">I24/I$6</f>
        <v>0</v>
      </c>
      <c r="J25" s="124">
        <f t="shared" si="19"/>
        <v>0</v>
      </c>
      <c r="K25" s="124">
        <f t="shared" si="19"/>
        <v>0</v>
      </c>
      <c r="L25" s="124">
        <f t="shared" si="19"/>
        <v>0</v>
      </c>
      <c r="M25" s="124">
        <f t="shared" si="19"/>
        <v>0</v>
      </c>
      <c r="N25" s="124">
        <f t="shared" si="19"/>
        <v>0</v>
      </c>
      <c r="O25" s="69"/>
      <c r="P25" s="116"/>
      <c r="Q25" s="69"/>
      <c r="R25" s="69"/>
      <c r="S25" s="69"/>
      <c r="T25" s="69"/>
      <c r="U25" s="69"/>
      <c r="V25" s="69"/>
      <c r="W25" s="69"/>
      <c r="X25" s="69"/>
    </row>
    <row r="26" spans="1:24" x14ac:dyDescent="0.45">
      <c r="A26" s="69"/>
      <c r="B26" s="148" t="s">
        <v>276</v>
      </c>
      <c r="C26" s="243"/>
      <c r="D26" s="244"/>
      <c r="E26" s="244"/>
      <c r="F26" s="245"/>
      <c r="G26" s="244"/>
      <c r="H26" s="244"/>
      <c r="I26" s="101">
        <f>I51*'환율&amp;원유'!I7/100</f>
        <v>62.536500000000004</v>
      </c>
      <c r="J26" s="101">
        <f>J51*'환율&amp;원유'!J7/100</f>
        <v>63.261749999999992</v>
      </c>
      <c r="K26" s="101">
        <f>K51*'환율&amp;원유'!K7/100</f>
        <v>0</v>
      </c>
      <c r="L26" s="101">
        <f>L51*'환율&amp;원유'!L7/100</f>
        <v>0</v>
      </c>
      <c r="M26" s="101">
        <f>M51*'환율&amp;원유'!M7/100</f>
        <v>0</v>
      </c>
      <c r="N26" s="101">
        <f>N51*'환율&amp;원유'!N7/100</f>
        <v>0</v>
      </c>
      <c r="O26" s="69"/>
      <c r="P26" s="116" t="s">
        <v>413</v>
      </c>
      <c r="Q26" s="69"/>
      <c r="R26" s="69"/>
      <c r="S26" s="69"/>
      <c r="T26" s="69"/>
      <c r="U26" s="69"/>
      <c r="V26" s="69"/>
      <c r="W26" s="69"/>
      <c r="X26" s="69"/>
    </row>
    <row r="27" spans="1:24" x14ac:dyDescent="0.45">
      <c r="A27" s="69"/>
      <c r="B27" s="157" t="s">
        <v>308</v>
      </c>
      <c r="C27" s="250"/>
      <c r="D27" s="250"/>
      <c r="E27" s="250"/>
      <c r="F27" s="251"/>
      <c r="G27" s="250"/>
      <c r="H27" s="250"/>
      <c r="I27" s="124">
        <f t="shared" ref="I27:N27" si="20">I26/I$6</f>
        <v>0.15972035493412207</v>
      </c>
      <c r="J27" s="124">
        <f t="shared" si="20"/>
        <v>0.15972035493412207</v>
      </c>
      <c r="K27" s="124">
        <f t="shared" si="20"/>
        <v>0</v>
      </c>
      <c r="L27" s="124">
        <f t="shared" si="20"/>
        <v>0</v>
      </c>
      <c r="M27" s="124">
        <f t="shared" si="20"/>
        <v>0</v>
      </c>
      <c r="N27" s="124">
        <f t="shared" si="20"/>
        <v>0</v>
      </c>
      <c r="O27" s="69"/>
      <c r="P27" s="116"/>
      <c r="T27" s="69"/>
      <c r="U27" s="69"/>
      <c r="V27" s="69"/>
      <c r="W27" s="69"/>
      <c r="X27" s="69"/>
    </row>
    <row r="28" spans="1:24" x14ac:dyDescent="0.45">
      <c r="A28" s="69"/>
      <c r="T28" s="69"/>
      <c r="U28" s="69"/>
      <c r="V28" s="69"/>
      <c r="W28" s="69"/>
      <c r="X28" s="69"/>
    </row>
    <row r="29" spans="1:24" x14ac:dyDescent="0.45">
      <c r="A29" s="69"/>
      <c r="Q29" s="69"/>
      <c r="R29" s="69"/>
      <c r="S29" s="69"/>
      <c r="T29" s="69"/>
      <c r="U29" s="69"/>
      <c r="V29" s="69"/>
      <c r="W29" s="69"/>
      <c r="X29" s="69"/>
    </row>
    <row r="30" spans="1:24" x14ac:dyDescent="0.45">
      <c r="A30" s="69"/>
      <c r="B30" s="49" t="s">
        <v>292</v>
      </c>
      <c r="C30" s="50" t="s">
        <v>271</v>
      </c>
      <c r="D30" s="50" t="s">
        <v>272</v>
      </c>
      <c r="E30" s="50" t="s">
        <v>273</v>
      </c>
      <c r="F30" s="51" t="s">
        <v>274</v>
      </c>
      <c r="G30" s="172" t="s">
        <v>239</v>
      </c>
      <c r="H30" s="172" t="s">
        <v>240</v>
      </c>
      <c r="I30" s="172" t="s">
        <v>224</v>
      </c>
      <c r="J30" s="172" t="s">
        <v>225</v>
      </c>
      <c r="K30" s="172" t="s">
        <v>264</v>
      </c>
      <c r="L30" s="172" t="s">
        <v>265</v>
      </c>
      <c r="M30" s="172" t="s">
        <v>266</v>
      </c>
      <c r="N30" s="172" t="s">
        <v>267</v>
      </c>
      <c r="O30" s="69"/>
      <c r="P30" s="71"/>
      <c r="Q30" s="281" t="s">
        <v>378</v>
      </c>
      <c r="R30" s="281"/>
      <c r="S30" s="69"/>
      <c r="T30" s="69"/>
      <c r="U30" s="69"/>
      <c r="V30" s="69"/>
      <c r="W30" s="69"/>
      <c r="X30" s="69"/>
    </row>
    <row r="31" spans="1:24" x14ac:dyDescent="0.45">
      <c r="A31" s="69"/>
      <c r="B31" s="158" t="s">
        <v>360</v>
      </c>
      <c r="C31" s="130">
        <v>108</v>
      </c>
      <c r="D31" s="130">
        <v>82</v>
      </c>
      <c r="E31" s="130">
        <v>106</v>
      </c>
      <c r="F31" s="131">
        <v>125</v>
      </c>
      <c r="G31" s="130">
        <v>98</v>
      </c>
      <c r="H31" s="130">
        <v>146</v>
      </c>
      <c r="I31" s="130">
        <f t="shared" ref="I31:N31" si="21">I48+I50+I33+I41+I46</f>
        <v>138.35416666666666</v>
      </c>
      <c r="J31" s="130">
        <f t="shared" si="21"/>
        <v>239.70833333333331</v>
      </c>
      <c r="K31" s="130">
        <f t="shared" si="21"/>
        <v>257.39583333333331</v>
      </c>
      <c r="L31" s="130">
        <f t="shared" si="21"/>
        <v>259.91666666666663</v>
      </c>
      <c r="M31" s="130">
        <f t="shared" si="21"/>
        <v>275.77083333333331</v>
      </c>
      <c r="N31" s="130">
        <f t="shared" si="21"/>
        <v>374.95833333333331</v>
      </c>
      <c r="O31" s="69"/>
      <c r="Q31" s="116" t="s">
        <v>405</v>
      </c>
      <c r="W31" s="69"/>
      <c r="X31" s="69"/>
    </row>
    <row r="32" spans="1:24" x14ac:dyDescent="0.45">
      <c r="A32" s="69"/>
      <c r="B32" s="120" t="s">
        <v>279</v>
      </c>
      <c r="C32" s="123" t="s">
        <v>281</v>
      </c>
      <c r="D32" s="120">
        <f t="shared" ref="D32" si="22">(D31-C31)/C31</f>
        <v>-0.24074074074074073</v>
      </c>
      <c r="E32" s="120">
        <f t="shared" ref="E32" si="23">(E31-D31)/D31</f>
        <v>0.29268292682926828</v>
      </c>
      <c r="F32" s="121">
        <f t="shared" ref="F32" si="24">(F31-E31)/E31</f>
        <v>0.17924528301886791</v>
      </c>
      <c r="G32" s="120" t="s">
        <v>281</v>
      </c>
      <c r="H32" s="120">
        <f t="shared" ref="H32" si="25">(H31-G31)/G31</f>
        <v>0.48979591836734693</v>
      </c>
      <c r="I32" s="120">
        <f t="shared" ref="I32" si="26">(I31-H31)/H31</f>
        <v>-5.2368721461187283E-2</v>
      </c>
      <c r="J32" s="120">
        <f t="shared" ref="J32" si="27">(J31-I31)/I31</f>
        <v>0.73257039602469509</v>
      </c>
      <c r="K32" s="120">
        <f t="shared" ref="K32" si="28">(K31-J31)/J31</f>
        <v>7.3787589083956204E-2</v>
      </c>
      <c r="L32" s="120">
        <f t="shared" ref="L32" si="29">(L31-K31)/K31</f>
        <v>9.7936058276000895E-3</v>
      </c>
      <c r="M32" s="120">
        <f t="shared" ref="M32" si="30">(M31-L31)/L31</f>
        <v>6.0997114459762823E-2</v>
      </c>
      <c r="N32" s="120">
        <f t="shared" ref="N32" si="31">(N31-M31)/M31</f>
        <v>0.35967364206391178</v>
      </c>
      <c r="O32" s="69"/>
      <c r="W32" s="69"/>
      <c r="X32" s="69"/>
    </row>
    <row r="33" spans="1:24" x14ac:dyDescent="0.45">
      <c r="A33" s="69"/>
      <c r="B33" s="159" t="s">
        <v>399</v>
      </c>
      <c r="C33" s="259">
        <v>0</v>
      </c>
      <c r="D33" s="259">
        <v>0</v>
      </c>
      <c r="E33" s="259">
        <v>62</v>
      </c>
      <c r="F33" s="260">
        <v>118</v>
      </c>
      <c r="G33" s="259">
        <v>97</v>
      </c>
      <c r="H33" s="160">
        <f>H34+H36+H38</f>
        <v>80</v>
      </c>
      <c r="I33" s="160">
        <f t="shared" ref="I33:N33" si="32">I34+I36+I38</f>
        <v>66.666666666666657</v>
      </c>
      <c r="J33" s="160">
        <f t="shared" si="32"/>
        <v>153.33333333333331</v>
      </c>
      <c r="K33" s="160">
        <f t="shared" si="32"/>
        <v>156.33333333333331</v>
      </c>
      <c r="L33" s="160">
        <f t="shared" si="32"/>
        <v>144.16666666666666</v>
      </c>
      <c r="M33" s="160">
        <f t="shared" si="32"/>
        <v>145.33333333333331</v>
      </c>
      <c r="N33" s="160">
        <f t="shared" si="32"/>
        <v>229.83333333333331</v>
      </c>
      <c r="X33" s="69"/>
    </row>
    <row r="34" spans="1:24" x14ac:dyDescent="0.45">
      <c r="A34" s="69"/>
      <c r="B34" s="148" t="s">
        <v>322</v>
      </c>
      <c r="C34" s="222"/>
      <c r="D34" s="222" t="s">
        <v>365</v>
      </c>
      <c r="E34" s="222"/>
      <c r="F34" s="228"/>
      <c r="G34" s="222"/>
      <c r="H34" s="101">
        <v>70</v>
      </c>
      <c r="I34" s="101">
        <f>H34-I35</f>
        <v>58.333333333333329</v>
      </c>
      <c r="J34" s="101">
        <f>I34-J35</f>
        <v>46.666666666666657</v>
      </c>
      <c r="K34" s="101">
        <f>J34+2*$P$35-K35</f>
        <v>53.333333333333321</v>
      </c>
      <c r="L34" s="101">
        <f t="shared" ref="L34:N34" si="33">K34+2*$P$35-L35</f>
        <v>58.333333333333314</v>
      </c>
      <c r="M34" s="101">
        <f t="shared" si="33"/>
        <v>61.666666666666643</v>
      </c>
      <c r="N34" s="101">
        <f t="shared" si="33"/>
        <v>64.999999999999972</v>
      </c>
      <c r="O34" s="190" t="s">
        <v>496</v>
      </c>
      <c r="P34" s="190">
        <v>10</v>
      </c>
      <c r="Q34" s="116" t="s">
        <v>497</v>
      </c>
      <c r="X34" s="69"/>
    </row>
    <row r="35" spans="1:24" x14ac:dyDescent="0.45">
      <c r="A35" s="69"/>
      <c r="B35" s="149" t="s">
        <v>361</v>
      </c>
      <c r="C35" s="226"/>
      <c r="D35" s="226" t="s">
        <v>372</v>
      </c>
      <c r="E35" s="226"/>
      <c r="F35" s="227"/>
      <c r="G35" s="226"/>
      <c r="H35" s="226"/>
      <c r="I35" s="114">
        <f>$P$35/6*7</f>
        <v>11.666666666666668</v>
      </c>
      <c r="J35" s="114">
        <f t="shared" ref="J35" si="34">$P$35/6*7</f>
        <v>11.666666666666668</v>
      </c>
      <c r="K35" s="114">
        <f>$P$35/6*8</f>
        <v>13.333333333333334</v>
      </c>
      <c r="L35" s="114">
        <f>$P$35/6*9</f>
        <v>15</v>
      </c>
      <c r="M35" s="114">
        <f>$P$35/6*10</f>
        <v>16.666666666666668</v>
      </c>
      <c r="N35" s="114">
        <f>$P$35/6*10</f>
        <v>16.666666666666668</v>
      </c>
      <c r="O35" s="190" t="s">
        <v>354</v>
      </c>
      <c r="P35" s="190">
        <v>10</v>
      </c>
      <c r="Q35" s="177" t="s">
        <v>371</v>
      </c>
      <c r="X35" s="69"/>
    </row>
    <row r="36" spans="1:24" x14ac:dyDescent="0.45">
      <c r="A36" s="69"/>
      <c r="B36" s="148" t="s">
        <v>307</v>
      </c>
      <c r="C36" s="222"/>
      <c r="D36" s="222" t="s">
        <v>364</v>
      </c>
      <c r="E36" s="222"/>
      <c r="F36" s="228"/>
      <c r="G36" s="222"/>
      <c r="H36" s="101">
        <v>10</v>
      </c>
      <c r="I36" s="150">
        <f>H36-I37</f>
        <v>8.3333333333333339</v>
      </c>
      <c r="J36" s="150">
        <f>I36-J37</f>
        <v>6.666666666666667</v>
      </c>
      <c r="K36" s="146">
        <f>J36-K37+$P$37*$P$36/2</f>
        <v>20</v>
      </c>
      <c r="L36" s="150">
        <f>K36-L37</f>
        <v>16.666666666666668</v>
      </c>
      <c r="M36" s="146">
        <f>L36-M37+$P$37*$P$36/2</f>
        <v>28.333333333333336</v>
      </c>
      <c r="N36" s="146">
        <f>M36-N37</f>
        <v>23.333333333333336</v>
      </c>
      <c r="O36" s="191" t="s">
        <v>498</v>
      </c>
      <c r="P36" s="190">
        <v>3</v>
      </c>
      <c r="Q36" s="116" t="s">
        <v>499</v>
      </c>
      <c r="X36" s="69"/>
    </row>
    <row r="37" spans="1:24" x14ac:dyDescent="0.45">
      <c r="A37" s="69"/>
      <c r="B37" s="149" t="s">
        <v>361</v>
      </c>
      <c r="C37" s="226"/>
      <c r="D37" s="226" t="s">
        <v>372</v>
      </c>
      <c r="E37" s="226"/>
      <c r="F37" s="227"/>
      <c r="G37" s="226"/>
      <c r="H37" s="226"/>
      <c r="I37" s="147">
        <f>$H$36/6</f>
        <v>1.6666666666666667</v>
      </c>
      <c r="J37" s="147">
        <f>$H$36/6</f>
        <v>1.6666666666666667</v>
      </c>
      <c r="K37" s="147">
        <f>$H$36/6</f>
        <v>1.6666666666666667</v>
      </c>
      <c r="L37" s="147">
        <f>$H$36/6*2</f>
        <v>3.3333333333333335</v>
      </c>
      <c r="M37" s="147">
        <f>$H$36/6*2</f>
        <v>3.3333333333333335</v>
      </c>
      <c r="N37" s="147">
        <f>$H$36/6*3</f>
        <v>5</v>
      </c>
      <c r="O37" s="190" t="s">
        <v>355</v>
      </c>
      <c r="P37" s="192">
        <v>10</v>
      </c>
      <c r="Q37" s="116" t="s">
        <v>500</v>
      </c>
      <c r="X37" s="69"/>
    </row>
    <row r="38" spans="1:24" x14ac:dyDescent="0.45">
      <c r="A38" s="69"/>
      <c r="B38" s="148" t="s">
        <v>306</v>
      </c>
      <c r="C38" s="222"/>
      <c r="D38" s="252" t="s">
        <v>396</v>
      </c>
      <c r="E38" s="222"/>
      <c r="F38" s="228"/>
      <c r="G38" s="222"/>
      <c r="H38" s="222"/>
      <c r="I38" s="222"/>
      <c r="J38" s="101">
        <f>$P$38/2*$P$39</f>
        <v>100</v>
      </c>
      <c r="K38" s="101">
        <f>J38-K39</f>
        <v>83</v>
      </c>
      <c r="L38" s="101">
        <f>K38-L39</f>
        <v>69.166666666666671</v>
      </c>
      <c r="M38" s="101">
        <f>L38-M39</f>
        <v>55.333333333333336</v>
      </c>
      <c r="N38" s="101">
        <f>M38-N39+$P$38/2*$P$39</f>
        <v>141.5</v>
      </c>
      <c r="O38" s="191" t="s">
        <v>501</v>
      </c>
      <c r="P38" s="190">
        <v>2</v>
      </c>
      <c r="Q38" s="177" t="s">
        <v>502</v>
      </c>
      <c r="X38" s="69"/>
    </row>
    <row r="39" spans="1:24" x14ac:dyDescent="0.45">
      <c r="A39" s="69"/>
      <c r="B39" s="149" t="s">
        <v>361</v>
      </c>
      <c r="C39" s="226"/>
      <c r="D39" s="226" t="s">
        <v>372</v>
      </c>
      <c r="E39" s="226"/>
      <c r="F39" s="227"/>
      <c r="G39" s="226"/>
      <c r="H39" s="226"/>
      <c r="I39" s="226"/>
      <c r="J39" s="226"/>
      <c r="K39" s="114">
        <v>17</v>
      </c>
      <c r="L39" s="114">
        <f>$K$38/6</f>
        <v>13.833333333333334</v>
      </c>
      <c r="M39" s="114">
        <f>$K$38/6</f>
        <v>13.833333333333334</v>
      </c>
      <c r="N39" s="114">
        <f>$K$38/6</f>
        <v>13.833333333333334</v>
      </c>
      <c r="O39" s="190" t="s">
        <v>356</v>
      </c>
      <c r="P39" s="190">
        <v>100</v>
      </c>
      <c r="Q39" s="177" t="s">
        <v>503</v>
      </c>
      <c r="X39" s="69"/>
    </row>
    <row r="40" spans="1:24" x14ac:dyDescent="0.45">
      <c r="A40" s="69"/>
      <c r="B40" s="159" t="s">
        <v>400</v>
      </c>
      <c r="C40" s="259">
        <v>0</v>
      </c>
      <c r="D40" s="259">
        <v>0</v>
      </c>
      <c r="E40" s="259">
        <v>62</v>
      </c>
      <c r="F40" s="260">
        <v>118</v>
      </c>
      <c r="G40" s="259">
        <v>97</v>
      </c>
      <c r="H40" s="160">
        <f t="shared" ref="H40:N40" si="35">H44+H41</f>
        <v>47</v>
      </c>
      <c r="I40" s="160">
        <f t="shared" si="35"/>
        <v>61.6875</v>
      </c>
      <c r="J40" s="160">
        <f t="shared" si="35"/>
        <v>76.375</v>
      </c>
      <c r="K40" s="160">
        <f t="shared" si="35"/>
        <v>91.0625</v>
      </c>
      <c r="L40" s="160">
        <f t="shared" si="35"/>
        <v>105.75</v>
      </c>
      <c r="M40" s="160">
        <f t="shared" si="35"/>
        <v>150.4375</v>
      </c>
      <c r="N40" s="160">
        <f t="shared" si="35"/>
        <v>160.125</v>
      </c>
      <c r="O40" s="190"/>
      <c r="P40" s="190"/>
      <c r="Q40" s="177"/>
      <c r="X40" s="69"/>
    </row>
    <row r="41" spans="1:24" x14ac:dyDescent="0.45">
      <c r="A41" s="69"/>
      <c r="B41" s="107" t="s">
        <v>321</v>
      </c>
      <c r="C41" s="253"/>
      <c r="D41" s="253" t="s">
        <v>362</v>
      </c>
      <c r="E41" s="253"/>
      <c r="F41" s="223"/>
      <c r="G41" s="253"/>
      <c r="H41" s="96">
        <v>47</v>
      </c>
      <c r="I41" s="96">
        <f t="shared" ref="I41:N41" si="36">H41-I43+$P$42*150/4</f>
        <v>61.6875</v>
      </c>
      <c r="J41" s="96">
        <f t="shared" si="36"/>
        <v>76.375</v>
      </c>
      <c r="K41" s="96">
        <f t="shared" si="36"/>
        <v>91.0625</v>
      </c>
      <c r="L41" s="96">
        <f t="shared" si="36"/>
        <v>105.75</v>
      </c>
      <c r="M41" s="96">
        <f t="shared" si="36"/>
        <v>120.4375</v>
      </c>
      <c r="N41" s="96">
        <f t="shared" si="36"/>
        <v>135.125</v>
      </c>
      <c r="O41" s="191" t="s">
        <v>504</v>
      </c>
      <c r="P41" s="190">
        <v>40</v>
      </c>
      <c r="Q41" s="177" t="s">
        <v>359</v>
      </c>
      <c r="X41" s="69"/>
    </row>
    <row r="42" spans="1:24" x14ac:dyDescent="0.45">
      <c r="A42" s="69"/>
      <c r="B42" s="148" t="s">
        <v>351</v>
      </c>
      <c r="C42" s="222"/>
      <c r="D42" s="222" t="s">
        <v>373</v>
      </c>
      <c r="E42" s="222"/>
      <c r="F42" s="228"/>
      <c r="G42" s="222"/>
      <c r="H42" s="101">
        <v>88</v>
      </c>
      <c r="I42" s="101">
        <f t="shared" ref="I42:N42" si="37">H42-$P$41/4+30</f>
        <v>108</v>
      </c>
      <c r="J42" s="101">
        <f t="shared" si="37"/>
        <v>128</v>
      </c>
      <c r="K42" s="101">
        <f t="shared" si="37"/>
        <v>148</v>
      </c>
      <c r="L42" s="101">
        <f t="shared" si="37"/>
        <v>168</v>
      </c>
      <c r="M42" s="101">
        <f t="shared" si="37"/>
        <v>188</v>
      </c>
      <c r="N42" s="101">
        <f t="shared" si="37"/>
        <v>208</v>
      </c>
      <c r="O42" s="190" t="s">
        <v>358</v>
      </c>
      <c r="P42" s="193">
        <f>H41/H42</f>
        <v>0.53409090909090906</v>
      </c>
      <c r="Q42" s="177" t="s">
        <v>370</v>
      </c>
      <c r="X42" s="69"/>
    </row>
    <row r="43" spans="1:24" x14ac:dyDescent="0.45">
      <c r="A43" s="69"/>
      <c r="B43" s="149" t="s">
        <v>361</v>
      </c>
      <c r="C43" s="226"/>
      <c r="D43" s="226" t="s">
        <v>368</v>
      </c>
      <c r="E43" s="226"/>
      <c r="F43" s="227"/>
      <c r="G43" s="226"/>
      <c r="H43" s="226"/>
      <c r="I43" s="147">
        <f t="shared" ref="I43:N43" si="38">$P$41/4*$P$42</f>
        <v>5.3409090909090908</v>
      </c>
      <c r="J43" s="147">
        <f t="shared" si="38"/>
        <v>5.3409090909090908</v>
      </c>
      <c r="K43" s="147">
        <f t="shared" si="38"/>
        <v>5.3409090909090908</v>
      </c>
      <c r="L43" s="147">
        <f t="shared" si="38"/>
        <v>5.3409090909090908</v>
      </c>
      <c r="M43" s="147">
        <f t="shared" si="38"/>
        <v>5.3409090909090908</v>
      </c>
      <c r="N43" s="147">
        <f t="shared" si="38"/>
        <v>5.3409090909090908</v>
      </c>
      <c r="O43" s="190" t="s">
        <v>366</v>
      </c>
      <c r="P43" s="194">
        <f>150/4</f>
        <v>37.5</v>
      </c>
      <c r="Q43" s="177" t="s">
        <v>367</v>
      </c>
      <c r="X43" s="69"/>
    </row>
    <row r="44" spans="1:24" ht="16.75" customHeight="1" x14ac:dyDescent="0.45">
      <c r="A44" s="69"/>
      <c r="B44" s="148" t="s">
        <v>353</v>
      </c>
      <c r="C44" s="222"/>
      <c r="D44" s="222" t="s">
        <v>363</v>
      </c>
      <c r="E44" s="222"/>
      <c r="F44" s="228"/>
      <c r="G44" s="222"/>
      <c r="H44" s="222"/>
      <c r="I44" s="222"/>
      <c r="J44" s="222"/>
      <c r="K44" s="222"/>
      <c r="L44" s="222"/>
      <c r="M44" s="101">
        <v>30</v>
      </c>
      <c r="N44" s="101">
        <f>M44-N45</f>
        <v>25</v>
      </c>
      <c r="O44" s="190" t="s">
        <v>505</v>
      </c>
      <c r="P44" s="190" t="s">
        <v>281</v>
      </c>
      <c r="Q44" s="177" t="s">
        <v>506</v>
      </c>
      <c r="X44" s="69"/>
    </row>
    <row r="45" spans="1:24" ht="16.75" customHeight="1" x14ac:dyDescent="0.45">
      <c r="A45" s="69"/>
      <c r="B45" s="149" t="s">
        <v>361</v>
      </c>
      <c r="C45" s="226"/>
      <c r="D45" s="226" t="s">
        <v>372</v>
      </c>
      <c r="E45" s="226"/>
      <c r="F45" s="227"/>
      <c r="G45" s="226"/>
      <c r="H45" s="226"/>
      <c r="I45" s="226"/>
      <c r="J45" s="226"/>
      <c r="K45" s="226"/>
      <c r="L45" s="226"/>
      <c r="M45" s="114">
        <f>$M$44/6</f>
        <v>5</v>
      </c>
      <c r="N45" s="114">
        <f>$M$44/6</f>
        <v>5</v>
      </c>
      <c r="O45" s="190" t="s">
        <v>357</v>
      </c>
      <c r="P45" s="190">
        <v>30</v>
      </c>
      <c r="Q45" s="177" t="s">
        <v>369</v>
      </c>
      <c r="X45" s="69"/>
    </row>
    <row r="46" spans="1:24" x14ac:dyDescent="0.45">
      <c r="A46" s="69"/>
      <c r="B46" s="148" t="s">
        <v>258</v>
      </c>
      <c r="C46" s="254"/>
      <c r="D46" s="222"/>
      <c r="E46" s="222"/>
      <c r="F46" s="228"/>
      <c r="G46" s="222"/>
      <c r="H46" s="101">
        <v>10</v>
      </c>
      <c r="I46" s="101">
        <f>H46</f>
        <v>10</v>
      </c>
      <c r="J46" s="101">
        <f t="shared" ref="J46:N46" si="39">I46</f>
        <v>10</v>
      </c>
      <c r="K46" s="101">
        <f t="shared" si="39"/>
        <v>10</v>
      </c>
      <c r="L46" s="101">
        <f t="shared" si="39"/>
        <v>10</v>
      </c>
      <c r="M46" s="101">
        <f t="shared" si="39"/>
        <v>10</v>
      </c>
      <c r="N46" s="101">
        <f t="shared" si="39"/>
        <v>10</v>
      </c>
      <c r="O46" s="101"/>
      <c r="Q46" s="177" t="s">
        <v>352</v>
      </c>
      <c r="X46" s="69"/>
    </row>
    <row r="47" spans="1:24" s="35" customFormat="1" ht="16.5" x14ac:dyDescent="0.45">
      <c r="A47" s="69"/>
      <c r="B47" s="149" t="s">
        <v>361</v>
      </c>
      <c r="C47" s="255"/>
      <c r="D47" s="256"/>
      <c r="E47" s="226"/>
      <c r="F47" s="227"/>
      <c r="G47" s="226"/>
      <c r="H47" s="226"/>
      <c r="I47" s="114">
        <v>5</v>
      </c>
      <c r="J47" s="114">
        <v>5</v>
      </c>
      <c r="K47" s="114">
        <v>5</v>
      </c>
      <c r="L47" s="114">
        <v>5</v>
      </c>
      <c r="M47" s="114">
        <v>5</v>
      </c>
      <c r="N47" s="114">
        <v>5</v>
      </c>
      <c r="O47" s="101"/>
      <c r="X47" s="101"/>
    </row>
    <row r="48" spans="1:24" s="35" customFormat="1" x14ac:dyDescent="0.45">
      <c r="B48" s="148" t="s">
        <v>275</v>
      </c>
      <c r="C48" s="261">
        <v>63</v>
      </c>
      <c r="D48" s="261">
        <v>40</v>
      </c>
      <c r="E48" s="261">
        <v>18</v>
      </c>
      <c r="F48" s="112">
        <v>3</v>
      </c>
      <c r="G48" s="101">
        <v>1</v>
      </c>
      <c r="H48" s="58">
        <v>0</v>
      </c>
      <c r="I48" s="58">
        <v>0</v>
      </c>
      <c r="J48" s="58">
        <v>0</v>
      </c>
      <c r="K48" s="58">
        <v>0</v>
      </c>
      <c r="L48" s="58">
        <v>0</v>
      </c>
      <c r="M48" s="58">
        <v>0</v>
      </c>
      <c r="N48" s="58">
        <v>0</v>
      </c>
      <c r="O48" s="69"/>
      <c r="P48" s="15"/>
      <c r="Q48" s="116" t="s">
        <v>401</v>
      </c>
      <c r="R48" s="15"/>
      <c r="S48" s="15"/>
    </row>
    <row r="49" spans="1:24" s="35" customFormat="1" x14ac:dyDescent="0.45">
      <c r="B49" s="149" t="s">
        <v>350</v>
      </c>
      <c r="C49" s="262"/>
      <c r="D49" s="262"/>
      <c r="E49" s="262"/>
      <c r="F49" s="115"/>
      <c r="G49" s="114"/>
      <c r="H49" s="114">
        <v>1</v>
      </c>
      <c r="I49" s="61"/>
      <c r="J49" s="61"/>
      <c r="K49" s="61"/>
      <c r="L49" s="61"/>
      <c r="M49" s="61"/>
      <c r="N49" s="61"/>
      <c r="O49" s="69"/>
      <c r="P49" s="15"/>
      <c r="Q49" s="116"/>
      <c r="R49" s="15"/>
      <c r="S49" s="15"/>
    </row>
    <row r="50" spans="1:24" s="35" customFormat="1" ht="16.5" x14ac:dyDescent="0.45">
      <c r="B50" s="148" t="s">
        <v>276</v>
      </c>
      <c r="C50" s="261">
        <v>45</v>
      </c>
      <c r="D50" s="261">
        <v>42</v>
      </c>
      <c r="E50" s="261">
        <v>26</v>
      </c>
      <c r="F50" s="112">
        <v>4</v>
      </c>
      <c r="G50" s="101">
        <v>0</v>
      </c>
      <c r="H50" s="101">
        <v>9</v>
      </c>
      <c r="I50" s="101">
        <v>0</v>
      </c>
      <c r="J50" s="101">
        <v>0</v>
      </c>
      <c r="K50" s="101">
        <v>0</v>
      </c>
      <c r="L50" s="101">
        <v>0</v>
      </c>
      <c r="M50" s="101">
        <v>0</v>
      </c>
      <c r="N50" s="101">
        <v>0</v>
      </c>
      <c r="O50" s="69"/>
      <c r="P50" s="71"/>
      <c r="Q50" s="116" t="s">
        <v>402</v>
      </c>
      <c r="R50" s="69"/>
      <c r="S50" s="69"/>
    </row>
    <row r="51" spans="1:24" s="35" customFormat="1" x14ac:dyDescent="0.45">
      <c r="B51" s="149" t="s">
        <v>361</v>
      </c>
      <c r="C51" s="262"/>
      <c r="D51" s="262"/>
      <c r="E51" s="262"/>
      <c r="F51" s="115"/>
      <c r="G51" s="114"/>
      <c r="H51" s="114"/>
      <c r="I51" s="147">
        <v>4.5</v>
      </c>
      <c r="J51" s="147">
        <v>4.5</v>
      </c>
      <c r="K51" s="114">
        <v>0</v>
      </c>
      <c r="L51" s="114">
        <v>0</v>
      </c>
      <c r="M51" s="114">
        <v>0</v>
      </c>
      <c r="N51" s="114">
        <v>0</v>
      </c>
      <c r="O51" s="15"/>
      <c r="P51" s="71"/>
      <c r="Q51" s="116" t="s">
        <v>374</v>
      </c>
      <c r="R51" s="69"/>
      <c r="S51" s="69"/>
    </row>
    <row r="52" spans="1:24" s="35" customFormat="1" ht="16.5" x14ac:dyDescent="0.45">
      <c r="C52" s="151"/>
      <c r="I52" s="101"/>
    </row>
    <row r="53" spans="1:24" x14ac:dyDescent="0.45">
      <c r="A53" s="69"/>
      <c r="O53" s="69"/>
      <c r="P53" s="69"/>
      <c r="Q53" s="69"/>
      <c r="R53" s="69"/>
      <c r="S53" s="69"/>
      <c r="T53" s="69"/>
      <c r="U53" s="69"/>
      <c r="V53" s="69"/>
      <c r="W53" s="69"/>
      <c r="X53" s="69"/>
    </row>
  </sheetData>
  <mergeCells count="1">
    <mergeCell ref="Q30:R30"/>
  </mergeCells>
  <phoneticPr fontId="2" type="noConversion"/>
  <pageMargins left="0.7" right="0.7" top="0.75" bottom="0.75" header="0.3" footer="0.3"/>
  <ignoredErrors>
    <ignoredError sqref="K36 L36:M36 L37 N39"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BFFF-63DC-426E-B9E1-F1E366D35D78}">
  <dimension ref="A1:AQ29"/>
  <sheetViews>
    <sheetView topLeftCell="A59" zoomScale="67" zoomScaleNormal="100" workbookViewId="0">
      <selection activeCell="K19" sqref="K19"/>
    </sheetView>
  </sheetViews>
  <sheetFormatPr defaultColWidth="8.83203125" defaultRowHeight="17" x14ac:dyDescent="0.45"/>
  <cols>
    <col min="1" max="1" width="8.83203125" style="15"/>
    <col min="2" max="2" width="17.9140625" style="15" bestFit="1" customWidth="1"/>
    <col min="3" max="3" width="8.9140625" style="15" bestFit="1" customWidth="1"/>
    <col min="4" max="4" width="10" style="15" bestFit="1" customWidth="1"/>
    <col min="5" max="8" width="8.9140625" style="15" bestFit="1" customWidth="1"/>
    <col min="9" max="9" width="11.5" style="15" bestFit="1" customWidth="1"/>
    <col min="10" max="10" width="8.9140625" style="15" bestFit="1" customWidth="1"/>
    <col min="11" max="11" width="10.4140625" style="15" bestFit="1" customWidth="1"/>
    <col min="12" max="14" width="8.9140625" style="15" bestFit="1" customWidth="1"/>
    <col min="15" max="15" width="8.83203125" style="15"/>
    <col min="16" max="16" width="8.9140625" style="15" bestFit="1" customWidth="1"/>
    <col min="17" max="17" width="10" style="15" bestFit="1" customWidth="1"/>
    <col min="18" max="16384" width="8.83203125" style="15"/>
  </cols>
  <sheetData>
    <row r="1" spans="1:43" s="22"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row>
    <row r="2" spans="1:43" s="24" customFormat="1" ht="22.5" x14ac:dyDescent="0.8">
      <c r="A2" s="28" t="s">
        <v>298</v>
      </c>
      <c r="B2" s="23"/>
    </row>
    <row r="3" spans="1:43" s="22" customFormat="1" ht="18.5" x14ac:dyDescent="0.6">
      <c r="A3" s="29" t="s">
        <v>349</v>
      </c>
      <c r="B3" s="25"/>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row>
    <row r="4" spans="1:43" x14ac:dyDescent="0.45">
      <c r="A4" s="69"/>
      <c r="B4" s="69"/>
      <c r="O4" s="69"/>
      <c r="P4" s="69"/>
      <c r="Q4" s="69"/>
      <c r="R4" s="69"/>
    </row>
    <row r="5" spans="1:43" x14ac:dyDescent="0.45">
      <c r="A5" s="69"/>
      <c r="B5" s="49" t="s">
        <v>291</v>
      </c>
      <c r="C5" s="50" t="s">
        <v>271</v>
      </c>
      <c r="D5" s="50" t="s">
        <v>272</v>
      </c>
      <c r="E5" s="50" t="s">
        <v>273</v>
      </c>
      <c r="F5" s="51" t="s">
        <v>274</v>
      </c>
      <c r="G5" s="172" t="s">
        <v>239</v>
      </c>
      <c r="H5" s="172" t="s">
        <v>240</v>
      </c>
      <c r="I5" s="172" t="s">
        <v>224</v>
      </c>
      <c r="J5" s="172" t="s">
        <v>225</v>
      </c>
      <c r="K5" s="172" t="s">
        <v>264</v>
      </c>
      <c r="L5" s="172" t="s">
        <v>265</v>
      </c>
      <c r="M5" s="172" t="s">
        <v>266</v>
      </c>
      <c r="N5" s="172" t="s">
        <v>267</v>
      </c>
      <c r="O5" s="69"/>
      <c r="P5" s="154" t="s">
        <v>414</v>
      </c>
      <c r="Q5" s="170"/>
      <c r="R5" s="69"/>
    </row>
    <row r="6" spans="1:43" x14ac:dyDescent="0.45">
      <c r="A6" s="69"/>
      <c r="B6" s="129" t="s">
        <v>312</v>
      </c>
      <c r="C6" s="130">
        <f>D6/(1+D7)</f>
        <v>487.30776763998028</v>
      </c>
      <c r="D6" s="130">
        <f>E6/(1+E7)</f>
        <v>453.68353167282169</v>
      </c>
      <c r="E6" s="130">
        <f>F6/(1+F7)</f>
        <v>622.90748898678419</v>
      </c>
      <c r="F6" s="131">
        <v>707</v>
      </c>
      <c r="G6" s="130">
        <f>매출추정!G16</f>
        <v>198</v>
      </c>
      <c r="H6" s="130">
        <f>매출추정!H16</f>
        <v>220</v>
      </c>
      <c r="I6" s="130">
        <f>I8+I10+I12</f>
        <v>230.36243509513739</v>
      </c>
      <c r="J6" s="130">
        <f t="shared" ref="J6:N6" si="0">J8+J10+J12</f>
        <v>233.68688620676991</v>
      </c>
      <c r="K6" s="130">
        <f t="shared" si="0"/>
        <v>230.90575952211708</v>
      </c>
      <c r="L6" s="130">
        <f t="shared" si="0"/>
        <v>232.45383598219325</v>
      </c>
      <c r="M6" s="130">
        <f t="shared" si="0"/>
        <v>232.56464918226985</v>
      </c>
      <c r="N6" s="130">
        <f t="shared" si="0"/>
        <v>232.03137919246947</v>
      </c>
      <c r="O6" s="178"/>
      <c r="P6" s="141" t="s">
        <v>455</v>
      </c>
      <c r="Q6" s="130"/>
      <c r="R6" s="69"/>
    </row>
    <row r="7" spans="1:43" x14ac:dyDescent="0.45">
      <c r="A7" s="69"/>
      <c r="B7" s="120" t="s">
        <v>279</v>
      </c>
      <c r="C7" s="123" t="s">
        <v>281</v>
      </c>
      <c r="D7" s="120">
        <v>-6.9000000000000006E-2</v>
      </c>
      <c r="E7" s="120">
        <v>0.373</v>
      </c>
      <c r="F7" s="121">
        <v>0.13500000000000001</v>
      </c>
      <c r="G7" s="120" t="s">
        <v>281</v>
      </c>
      <c r="H7" s="120">
        <f t="shared" ref="H7:N7" si="1">(H6-G6)/G6</f>
        <v>0.1111111111111111</v>
      </c>
      <c r="I7" s="120">
        <f t="shared" si="1"/>
        <v>4.7101977705169933E-2</v>
      </c>
      <c r="J7" s="120">
        <f t="shared" si="1"/>
        <v>1.4431394208259528E-2</v>
      </c>
      <c r="K7" s="120">
        <f t="shared" si="1"/>
        <v>-1.1901081527493362E-2</v>
      </c>
      <c r="L7" s="120">
        <f t="shared" si="1"/>
        <v>6.7043648598461812E-3</v>
      </c>
      <c r="M7" s="120">
        <f t="shared" si="1"/>
        <v>4.76710567534281E-4</v>
      </c>
      <c r="N7" s="120">
        <f t="shared" si="1"/>
        <v>-2.2929967717597085E-3</v>
      </c>
      <c r="O7" s="173"/>
      <c r="P7" s="72"/>
      <c r="Q7" s="122"/>
      <c r="R7" s="69"/>
    </row>
    <row r="8" spans="1:43" x14ac:dyDescent="0.45">
      <c r="A8" s="69"/>
      <c r="B8" s="106" t="s">
        <v>343</v>
      </c>
      <c r="C8" s="222"/>
      <c r="D8" s="222"/>
      <c r="E8" s="222"/>
      <c r="F8" s="223"/>
      <c r="G8" s="222"/>
      <c r="H8" s="136">
        <f>H19</f>
        <v>100.72558139534884</v>
      </c>
      <c r="I8" s="136">
        <f t="shared" ref="I8:N8" si="2">I19</f>
        <v>103.41953488372093</v>
      </c>
      <c r="J8" s="136">
        <f t="shared" si="2"/>
        <v>104.61891472868216</v>
      </c>
      <c r="K8" s="136">
        <f>K19</f>
        <v>102.92134366925063</v>
      </c>
      <c r="L8" s="136">
        <f t="shared" si="2"/>
        <v>103.65326442721791</v>
      </c>
      <c r="M8" s="136">
        <f t="shared" si="2"/>
        <v>103.73117427505022</v>
      </c>
      <c r="N8" s="136">
        <f t="shared" si="2"/>
        <v>103.43526079050625</v>
      </c>
      <c r="O8" s="173"/>
      <c r="P8" s="72"/>
      <c r="Q8" s="122"/>
      <c r="R8" s="69"/>
    </row>
    <row r="9" spans="1:43" x14ac:dyDescent="0.45">
      <c r="A9" s="69"/>
      <c r="B9" s="155" t="s">
        <v>308</v>
      </c>
      <c r="C9" s="243"/>
      <c r="D9" s="244"/>
      <c r="E9" s="244"/>
      <c r="F9" s="245"/>
      <c r="G9" s="263"/>
      <c r="H9" s="246"/>
      <c r="I9" s="126">
        <f t="shared" ref="I9:N13" si="3">I8/I$6</f>
        <v>0.4489427056152176</v>
      </c>
      <c r="J9" s="126">
        <f t="shared" si="3"/>
        <v>0.44768842799383129</v>
      </c>
      <c r="K9" s="126">
        <f t="shared" si="3"/>
        <v>0.44572878512106762</v>
      </c>
      <c r="L9" s="126">
        <f t="shared" si="3"/>
        <v>0.44590902958967771</v>
      </c>
      <c r="M9" s="126">
        <f t="shared" si="3"/>
        <v>0.4460315642974273</v>
      </c>
      <c r="N9" s="126">
        <f t="shared" si="3"/>
        <v>0.44578134711989514</v>
      </c>
      <c r="O9" s="173"/>
      <c r="P9" s="72"/>
      <c r="Q9" s="122"/>
      <c r="R9" s="69"/>
    </row>
    <row r="10" spans="1:43" x14ac:dyDescent="0.45">
      <c r="A10" s="69"/>
      <c r="B10" s="101" t="s">
        <v>344</v>
      </c>
      <c r="C10" s="264"/>
      <c r="D10" s="264"/>
      <c r="E10" s="264"/>
      <c r="F10" s="265"/>
      <c r="G10" s="264"/>
      <c r="H10" s="101">
        <f>H21*'환율&amp;원유'!H7/100</f>
        <v>67.674999999999997</v>
      </c>
      <c r="I10" s="101">
        <f>I21*'환율&amp;원유'!I7/100</f>
        <v>75.34348160676528</v>
      </c>
      <c r="J10" s="101">
        <f>J21*'환율&amp;원유'!J7/100</f>
        <v>77.468552873436607</v>
      </c>
      <c r="K10" s="101">
        <f>K21*'환율&amp;원유'!K7/100</f>
        <v>76.384997248215285</v>
      </c>
      <c r="L10" s="101">
        <f>L21*'환율&amp;원유'!L7/100</f>
        <v>77.201152950324186</v>
      </c>
      <c r="M10" s="101">
        <f>M21*'환율&amp;원유'!M7/100</f>
        <v>77.234056302568447</v>
      </c>
      <c r="N10" s="101">
        <f>N21*'환율&amp;원유'!N7/100</f>
        <v>76.996699797312061</v>
      </c>
      <c r="O10" s="173"/>
      <c r="P10" s="72"/>
      <c r="Q10" s="122"/>
      <c r="R10" s="69"/>
    </row>
    <row r="11" spans="1:43" x14ac:dyDescent="0.45">
      <c r="A11" s="69"/>
      <c r="B11" s="155" t="s">
        <v>308</v>
      </c>
      <c r="C11" s="243"/>
      <c r="D11" s="244"/>
      <c r="E11" s="244"/>
      <c r="F11" s="245"/>
      <c r="G11" s="263"/>
      <c r="H11" s="246"/>
      <c r="I11" s="126">
        <f t="shared" si="3"/>
        <v>0.32706496428399523</v>
      </c>
      <c r="J11" s="126">
        <f t="shared" si="3"/>
        <v>0.3315057773712265</v>
      </c>
      <c r="K11" s="126">
        <f t="shared" si="3"/>
        <v>0.33080594181064082</v>
      </c>
      <c r="L11" s="126">
        <f t="shared" si="3"/>
        <v>0.33211391252858502</v>
      </c>
      <c r="M11" s="126">
        <f t="shared" si="3"/>
        <v>0.33209714620916936</v>
      </c>
      <c r="N11" s="126">
        <f t="shared" si="3"/>
        <v>0.3318374439926226</v>
      </c>
      <c r="O11" s="173"/>
      <c r="P11" s="72"/>
      <c r="Q11" s="122"/>
      <c r="R11" s="69"/>
    </row>
    <row r="12" spans="1:43" x14ac:dyDescent="0.45">
      <c r="A12" s="69"/>
      <c r="B12" s="106" t="s">
        <v>258</v>
      </c>
      <c r="C12" s="222"/>
      <c r="D12" s="222"/>
      <c r="E12" s="222"/>
      <c r="F12" s="228"/>
      <c r="G12" s="222"/>
      <c r="H12" s="136">
        <f>H6-H8-H10</f>
        <v>51.599418604651163</v>
      </c>
      <c r="I12" s="136">
        <f>H12</f>
        <v>51.599418604651163</v>
      </c>
      <c r="J12" s="136">
        <f t="shared" ref="J12:N12" si="4">I12</f>
        <v>51.599418604651163</v>
      </c>
      <c r="K12" s="136">
        <f t="shared" si="4"/>
        <v>51.599418604651163</v>
      </c>
      <c r="L12" s="136">
        <f t="shared" si="4"/>
        <v>51.599418604651163</v>
      </c>
      <c r="M12" s="136">
        <f t="shared" si="4"/>
        <v>51.599418604651163</v>
      </c>
      <c r="N12" s="136">
        <f t="shared" si="4"/>
        <v>51.599418604651163</v>
      </c>
      <c r="O12" s="173"/>
      <c r="P12" s="72"/>
      <c r="Q12" s="122"/>
      <c r="R12" s="69"/>
    </row>
    <row r="13" spans="1:43" x14ac:dyDescent="0.45">
      <c r="A13" s="69"/>
      <c r="B13" s="155" t="s">
        <v>308</v>
      </c>
      <c r="C13" s="243"/>
      <c r="D13" s="244"/>
      <c r="E13" s="244"/>
      <c r="F13" s="245"/>
      <c r="G13" s="263"/>
      <c r="H13" s="246"/>
      <c r="I13" s="126">
        <f t="shared" si="3"/>
        <v>0.22399233010078712</v>
      </c>
      <c r="J13" s="126">
        <f t="shared" si="3"/>
        <v>0.22080579463494229</v>
      </c>
      <c r="K13" s="126">
        <f t="shared" si="3"/>
        <v>0.22346527306829159</v>
      </c>
      <c r="L13" s="126">
        <f t="shared" si="3"/>
        <v>0.22197705788173722</v>
      </c>
      <c r="M13" s="126">
        <f t="shared" si="3"/>
        <v>0.22187128949340326</v>
      </c>
      <c r="N13" s="126">
        <f t="shared" si="3"/>
        <v>0.22238120888748228</v>
      </c>
      <c r="O13" s="173"/>
      <c r="P13" s="72"/>
      <c r="Q13" s="122"/>
      <c r="R13" s="69"/>
    </row>
    <row r="14" spans="1:43" x14ac:dyDescent="0.45">
      <c r="A14" s="69"/>
      <c r="I14" s="101"/>
      <c r="J14" s="101"/>
      <c r="K14" s="101"/>
      <c r="L14" s="101"/>
      <c r="M14" s="101"/>
      <c r="N14" s="101"/>
      <c r="O14" s="173"/>
      <c r="P14" s="72"/>
      <c r="Q14" s="122"/>
      <c r="R14" s="69"/>
    </row>
    <row r="15" spans="1:43" x14ac:dyDescent="0.45">
      <c r="A15" s="69"/>
      <c r="B15" s="49" t="s">
        <v>292</v>
      </c>
      <c r="C15" s="50" t="s">
        <v>271</v>
      </c>
      <c r="D15" s="50" t="s">
        <v>272</v>
      </c>
      <c r="E15" s="50" t="s">
        <v>273</v>
      </c>
      <c r="F15" s="51" t="s">
        <v>274</v>
      </c>
      <c r="G15" s="172" t="s">
        <v>239</v>
      </c>
      <c r="H15" s="172" t="s">
        <v>240</v>
      </c>
      <c r="I15" s="172" t="s">
        <v>224</v>
      </c>
      <c r="J15" s="172" t="s">
        <v>225</v>
      </c>
      <c r="K15" s="172" t="s">
        <v>264</v>
      </c>
      <c r="L15" s="172" t="s">
        <v>265</v>
      </c>
      <c r="M15" s="172" t="s">
        <v>266</v>
      </c>
      <c r="N15" s="172" t="s">
        <v>267</v>
      </c>
      <c r="O15" s="69"/>
      <c r="P15" s="72" t="s">
        <v>375</v>
      </c>
      <c r="Q15" s="75"/>
      <c r="R15" s="69"/>
    </row>
    <row r="16" spans="1:43" s="35" customFormat="1" ht="16.5" x14ac:dyDescent="0.45">
      <c r="A16" s="69"/>
      <c r="B16" s="106" t="s">
        <v>309</v>
      </c>
      <c r="C16" s="101">
        <v>65</v>
      </c>
      <c r="D16" s="101">
        <v>94</v>
      </c>
      <c r="E16" s="101">
        <v>112</v>
      </c>
      <c r="F16" s="112">
        <v>134</v>
      </c>
      <c r="G16" s="101">
        <v>140</v>
      </c>
      <c r="H16" s="101">
        <v>150</v>
      </c>
      <c r="I16" s="101">
        <f>H16+10</f>
        <v>160</v>
      </c>
      <c r="J16" s="101">
        <f t="shared" ref="J16:N16" si="5">I16+10</f>
        <v>170</v>
      </c>
      <c r="K16" s="101">
        <f t="shared" si="5"/>
        <v>180</v>
      </c>
      <c r="L16" s="101">
        <f t="shared" si="5"/>
        <v>190</v>
      </c>
      <c r="M16" s="101">
        <f t="shared" si="5"/>
        <v>200</v>
      </c>
      <c r="N16" s="101">
        <f t="shared" si="5"/>
        <v>210</v>
      </c>
      <c r="O16" s="138"/>
      <c r="P16" s="72" t="s">
        <v>376</v>
      </c>
      <c r="Q16" s="71"/>
      <c r="R16" s="101"/>
    </row>
    <row r="17" spans="1:18" s="35" customFormat="1" ht="16.5" x14ac:dyDescent="0.45">
      <c r="A17" s="69"/>
      <c r="B17" s="101" t="s">
        <v>338</v>
      </c>
      <c r="C17" s="222"/>
      <c r="D17" s="266"/>
      <c r="E17" s="222"/>
      <c r="F17" s="228"/>
      <c r="G17" s="257">
        <v>59</v>
      </c>
      <c r="H17" s="101">
        <v>64</v>
      </c>
      <c r="I17" s="101">
        <f t="shared" ref="I17:N17" si="6">H17+(I16-H16)*H8/H6</f>
        <v>68.578435517970405</v>
      </c>
      <c r="J17" s="101">
        <f t="shared" si="6"/>
        <v>73.067862574122586</v>
      </c>
      <c r="K17" s="101">
        <f t="shared" si="6"/>
        <v>77.544746854060904</v>
      </c>
      <c r="L17" s="101">
        <f t="shared" si="6"/>
        <v>82.002034705271583</v>
      </c>
      <c r="M17" s="101">
        <f t="shared" si="6"/>
        <v>86.461125001168355</v>
      </c>
      <c r="N17" s="101">
        <f t="shared" si="6"/>
        <v>90.921440644142635</v>
      </c>
      <c r="O17" s="101"/>
      <c r="P17" s="72" t="s">
        <v>377</v>
      </c>
      <c r="Q17" s="71"/>
      <c r="R17" s="101"/>
    </row>
    <row r="18" spans="1:18" s="35" customFormat="1" ht="16.5" x14ac:dyDescent="0.45">
      <c r="A18" s="69"/>
      <c r="B18" s="101" t="s">
        <v>339</v>
      </c>
      <c r="C18" s="222"/>
      <c r="D18" s="266"/>
      <c r="E18" s="222"/>
      <c r="F18" s="228"/>
      <c r="G18" s="257"/>
      <c r="H18" s="101">
        <v>43</v>
      </c>
      <c r="I18" s="101">
        <f>H18+(I17-H17)/$O$23</f>
        <v>46.076136363636365</v>
      </c>
      <c r="J18" s="101">
        <f>I18+(J17-I17)/$O$23</f>
        <v>49.092470166988612</v>
      </c>
      <c r="K18" s="101">
        <f t="shared" ref="K18:N18" si="7">J18+(K17-J17)/$O$23</f>
        <v>52.10037679257217</v>
      </c>
      <c r="L18" s="101">
        <f t="shared" si="7"/>
        <v>55.095117067604349</v>
      </c>
      <c r="M18" s="101">
        <f t="shared" si="7"/>
        <v>58.091068360159994</v>
      </c>
      <c r="N18" s="101">
        <f t="shared" si="7"/>
        <v>61.087842932783339</v>
      </c>
      <c r="O18" s="101"/>
      <c r="P18" s="72" t="s">
        <v>456</v>
      </c>
      <c r="Q18" s="76"/>
      <c r="R18" s="101"/>
    </row>
    <row r="19" spans="1:18" s="35" customFormat="1" ht="16.5" x14ac:dyDescent="0.45">
      <c r="A19" s="69"/>
      <c r="B19" s="106" t="s">
        <v>340</v>
      </c>
      <c r="C19" s="222"/>
      <c r="D19" s="222"/>
      <c r="E19" s="222"/>
      <c r="F19" s="228"/>
      <c r="G19" s="257"/>
      <c r="H19" s="136">
        <f>$O$23*5*'환율&amp;원유'!H7/100</f>
        <v>100.72558139534884</v>
      </c>
      <c r="I19" s="136">
        <f>$O$23*5*'환율&amp;원유'!I7/100</f>
        <v>103.41953488372093</v>
      </c>
      <c r="J19" s="136">
        <f>$O$23*5*'환율&amp;원유'!J7/100</f>
        <v>104.61891472868216</v>
      </c>
      <c r="K19" s="136">
        <f>$O$23*5*'환율&amp;원유'!K7/100</f>
        <v>102.92134366925063</v>
      </c>
      <c r="L19" s="136">
        <f>$O$23*5*'환율&amp;원유'!L7/100</f>
        <v>103.65326442721791</v>
      </c>
      <c r="M19" s="136">
        <f>$O$23*5*'환율&amp;원유'!M7/100</f>
        <v>103.73117427505022</v>
      </c>
      <c r="N19" s="136">
        <f>$O$23*5*'환율&amp;원유'!N7/100</f>
        <v>103.43526079050625</v>
      </c>
      <c r="O19" s="101"/>
      <c r="P19" s="139" t="s">
        <v>341</v>
      </c>
      <c r="Q19" s="71"/>
      <c r="R19" s="101"/>
    </row>
    <row r="20" spans="1:18" s="35" customFormat="1" ht="16.5" x14ac:dyDescent="0.45">
      <c r="A20" s="69"/>
      <c r="B20" s="106" t="s">
        <v>342</v>
      </c>
      <c r="C20" s="222"/>
      <c r="D20" s="222"/>
      <c r="E20" s="222"/>
      <c r="F20" s="228"/>
      <c r="G20" s="257">
        <f t="shared" ref="G20:N20" si="8">G16-G17</f>
        <v>81</v>
      </c>
      <c r="H20" s="101">
        <f t="shared" si="8"/>
        <v>86</v>
      </c>
      <c r="I20" s="101">
        <f t="shared" si="8"/>
        <v>91.421564482029595</v>
      </c>
      <c r="J20" s="101">
        <f t="shared" si="8"/>
        <v>96.932137425877414</v>
      </c>
      <c r="K20" s="101">
        <f t="shared" si="8"/>
        <v>102.4552531459391</v>
      </c>
      <c r="L20" s="101">
        <f t="shared" si="8"/>
        <v>107.99796529472842</v>
      </c>
      <c r="M20" s="101">
        <f t="shared" si="8"/>
        <v>113.53887499883164</v>
      </c>
      <c r="N20" s="101">
        <f t="shared" si="8"/>
        <v>119.07855935585737</v>
      </c>
      <c r="O20" s="138"/>
      <c r="P20" s="139" t="s">
        <v>346</v>
      </c>
      <c r="Q20" s="76"/>
      <c r="R20" s="101"/>
    </row>
    <row r="21" spans="1:18" s="35" customFormat="1" ht="16.5" x14ac:dyDescent="0.45">
      <c r="A21" s="69"/>
      <c r="B21" s="113" t="s">
        <v>345</v>
      </c>
      <c r="C21" s="226"/>
      <c r="D21" s="226"/>
      <c r="E21" s="226"/>
      <c r="F21" s="228"/>
      <c r="G21" s="258"/>
      <c r="H21" s="114">
        <f t="shared" ref="H21:N21" si="9">H20-G20</f>
        <v>5</v>
      </c>
      <c r="I21" s="114">
        <f t="shared" si="9"/>
        <v>5.421564482029595</v>
      </c>
      <c r="J21" s="114">
        <f t="shared" si="9"/>
        <v>5.5105729438478193</v>
      </c>
      <c r="K21" s="114">
        <f t="shared" si="9"/>
        <v>5.5231157200616821</v>
      </c>
      <c r="L21" s="114">
        <f t="shared" si="9"/>
        <v>5.5427121487893203</v>
      </c>
      <c r="M21" s="114">
        <f t="shared" si="9"/>
        <v>5.5409097041032283</v>
      </c>
      <c r="N21" s="114">
        <f t="shared" si="9"/>
        <v>5.5396843570257204</v>
      </c>
      <c r="O21" s="101"/>
      <c r="P21" s="58"/>
      <c r="Q21" s="76"/>
      <c r="R21" s="101"/>
    </row>
    <row r="22" spans="1:18" x14ac:dyDescent="0.45">
      <c r="A22" s="69"/>
      <c r="F22" s="179"/>
      <c r="Q22" s="71"/>
      <c r="R22" s="69"/>
    </row>
    <row r="23" spans="1:18" x14ac:dyDescent="0.45">
      <c r="A23" s="69"/>
      <c r="B23" s="106"/>
      <c r="C23" s="101"/>
      <c r="D23" s="101"/>
      <c r="E23" s="101"/>
      <c r="F23" s="101"/>
      <c r="M23" s="282" t="s">
        <v>347</v>
      </c>
      <c r="N23" s="282"/>
      <c r="O23" s="267">
        <f>H17/H18</f>
        <v>1.4883720930232558</v>
      </c>
      <c r="P23" s="72" t="s">
        <v>448</v>
      </c>
      <c r="Q23" s="40"/>
      <c r="R23" s="69"/>
    </row>
    <row r="24" spans="1:18" x14ac:dyDescent="0.45">
      <c r="B24" s="106"/>
      <c r="C24" s="101"/>
      <c r="D24" s="101"/>
      <c r="E24" s="101"/>
      <c r="F24" s="101"/>
      <c r="G24" s="101"/>
      <c r="I24" s="175"/>
      <c r="J24" s="175"/>
      <c r="L24" s="101"/>
      <c r="P24" s="72" t="s">
        <v>337</v>
      </c>
    </row>
    <row r="25" spans="1:18" x14ac:dyDescent="0.45">
      <c r="D25" s="39"/>
      <c r="E25" s="39"/>
      <c r="F25" s="39"/>
      <c r="G25" s="39"/>
      <c r="H25" s="39"/>
      <c r="I25" s="39"/>
      <c r="J25" s="39"/>
      <c r="K25" s="39"/>
      <c r="L25" s="39"/>
      <c r="Q25" s="40"/>
    </row>
    <row r="26" spans="1:18" x14ac:dyDescent="0.45">
      <c r="B26" s="34"/>
      <c r="C26" s="35"/>
      <c r="D26" s="35"/>
      <c r="E26" s="35"/>
      <c r="F26" s="35"/>
      <c r="G26" s="35"/>
      <c r="H26" s="35"/>
      <c r="I26" s="35"/>
      <c r="J26" s="35"/>
      <c r="K26" s="35"/>
      <c r="L26" s="35"/>
      <c r="M26" s="35"/>
      <c r="N26" s="35"/>
      <c r="Q26" s="47"/>
    </row>
    <row r="27" spans="1:18" x14ac:dyDescent="0.45">
      <c r="B27" s="39"/>
      <c r="C27" s="39"/>
      <c r="D27" s="39"/>
      <c r="E27" s="39"/>
      <c r="F27" s="39"/>
      <c r="G27" s="39"/>
      <c r="H27" s="39"/>
      <c r="I27" s="39"/>
      <c r="J27" s="39"/>
      <c r="K27" s="39"/>
      <c r="L27" s="39"/>
    </row>
    <row r="28" spans="1:18" x14ac:dyDescent="0.45">
      <c r="B28" s="106"/>
      <c r="C28" s="101"/>
      <c r="D28" s="101"/>
      <c r="E28" s="101"/>
      <c r="F28" s="101"/>
      <c r="G28" s="101"/>
      <c r="H28" s="101"/>
      <c r="I28" s="39"/>
      <c r="J28" s="39"/>
      <c r="K28" s="39"/>
      <c r="L28" s="39"/>
      <c r="M28" s="39"/>
      <c r="N28" s="39"/>
      <c r="P28" s="47"/>
      <c r="Q28" s="47"/>
    </row>
    <row r="29" spans="1:18" x14ac:dyDescent="0.45">
      <c r="B29" s="106"/>
      <c r="C29" s="101"/>
      <c r="D29" s="101"/>
      <c r="E29" s="101"/>
      <c r="F29" s="101"/>
      <c r="G29" s="137"/>
      <c r="H29" s="101"/>
      <c r="P29" s="40"/>
      <c r="Q29" s="40"/>
    </row>
  </sheetData>
  <mergeCells count="1">
    <mergeCell ref="M23:N23"/>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4FBBD-7D38-49DA-BA24-DF131474B409}">
  <dimension ref="A1:AK38"/>
  <sheetViews>
    <sheetView topLeftCell="B3" zoomScale="81" zoomScaleNormal="100" workbookViewId="0">
      <selection activeCell="K30" sqref="K30"/>
    </sheetView>
  </sheetViews>
  <sheetFormatPr defaultColWidth="8.83203125" defaultRowHeight="17" x14ac:dyDescent="0.45"/>
  <cols>
    <col min="1" max="1" width="8.83203125" style="15"/>
    <col min="2" max="2" width="29.58203125" style="15" customWidth="1"/>
    <col min="3" max="3" width="15.4140625" style="15" bestFit="1" customWidth="1"/>
    <col min="4" max="6" width="9.9140625" style="15" bestFit="1" customWidth="1"/>
    <col min="7" max="7" width="8.83203125" style="15" bestFit="1" customWidth="1"/>
    <col min="8" max="8" width="9.08203125" style="15" bestFit="1" customWidth="1"/>
    <col min="9" max="9" width="8.9140625" style="15" bestFit="1" customWidth="1"/>
    <col min="10" max="10" width="9" style="15" bestFit="1" customWidth="1"/>
    <col min="11" max="11" width="8.83203125" style="15" bestFit="1" customWidth="1"/>
    <col min="12" max="12" width="8.83203125" style="15" customWidth="1"/>
    <col min="13" max="14" width="8.83203125" style="15" bestFit="1" customWidth="1"/>
    <col min="15" max="15" width="8.83203125" style="15" customWidth="1"/>
    <col min="16" max="16" width="8.83203125" style="15"/>
    <col min="17" max="17" width="7.9140625" style="15" bestFit="1" customWidth="1"/>
    <col min="18" max="16384" width="8.83203125" style="15"/>
  </cols>
  <sheetData>
    <row r="1" spans="1:37" s="41"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row>
    <row r="2" spans="1:37" s="24" customFormat="1" ht="22.5" x14ac:dyDescent="0.25">
      <c r="A2" s="42" t="s">
        <v>299</v>
      </c>
      <c r="B2" s="43"/>
      <c r="C2" s="44"/>
      <c r="D2" s="44"/>
      <c r="E2" s="44"/>
      <c r="F2" s="44"/>
      <c r="G2" s="44"/>
      <c r="H2" s="44"/>
      <c r="I2" s="44"/>
      <c r="J2" s="44"/>
      <c r="K2" s="44"/>
    </row>
    <row r="3" spans="1:37" s="41" customFormat="1" x14ac:dyDescent="0.45">
      <c r="A3" s="45" t="s">
        <v>278</v>
      </c>
      <c r="B3" s="46"/>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row>
    <row r="4" spans="1:37" x14ac:dyDescent="0.45">
      <c r="A4" s="69"/>
      <c r="B4" s="69"/>
      <c r="C4" s="69"/>
      <c r="D4" s="69"/>
      <c r="E4" s="69"/>
      <c r="F4" s="69"/>
      <c r="G4" s="180"/>
      <c r="H4" s="69"/>
      <c r="I4" s="69"/>
      <c r="J4" s="69"/>
      <c r="K4" s="69"/>
      <c r="L4" s="69"/>
      <c r="M4" s="69"/>
      <c r="N4" s="69"/>
      <c r="O4" s="69"/>
      <c r="P4" s="69"/>
      <c r="Q4" s="69"/>
      <c r="R4" s="69"/>
      <c r="S4" s="69"/>
      <c r="T4" s="69"/>
      <c r="U4" s="69"/>
      <c r="V4" s="69"/>
      <c r="W4" s="69"/>
      <c r="X4" s="69"/>
      <c r="Y4" s="69"/>
      <c r="Z4" s="69"/>
      <c r="AA4" s="69"/>
      <c r="AB4" s="69"/>
    </row>
    <row r="5" spans="1:37" x14ac:dyDescent="0.45">
      <c r="A5" s="69"/>
      <c r="B5" s="51" t="s">
        <v>291</v>
      </c>
      <c r="C5" s="50" t="s">
        <v>271</v>
      </c>
      <c r="D5" s="50" t="s">
        <v>272</v>
      </c>
      <c r="E5" s="50" t="s">
        <v>273</v>
      </c>
      <c r="F5" s="51" t="s">
        <v>274</v>
      </c>
      <c r="G5" s="172" t="s">
        <v>239</v>
      </c>
      <c r="H5" s="172" t="s">
        <v>240</v>
      </c>
      <c r="I5" s="172" t="s">
        <v>224</v>
      </c>
      <c r="J5" s="172" t="s">
        <v>225</v>
      </c>
      <c r="K5" s="172" t="s">
        <v>264</v>
      </c>
      <c r="L5" s="172" t="s">
        <v>265</v>
      </c>
      <c r="M5" s="172" t="s">
        <v>266</v>
      </c>
      <c r="N5" s="172" t="s">
        <v>267</v>
      </c>
      <c r="O5" s="181"/>
      <c r="P5" s="154" t="s">
        <v>414</v>
      </c>
      <c r="Q5" s="69"/>
      <c r="R5" s="69"/>
      <c r="S5" s="69"/>
      <c r="T5" s="69"/>
      <c r="U5" s="69"/>
      <c r="V5" s="69"/>
      <c r="W5" s="69"/>
      <c r="X5" s="69"/>
      <c r="Y5" s="69"/>
      <c r="Z5" s="69"/>
      <c r="AA5" s="69"/>
      <c r="AB5" s="69"/>
    </row>
    <row r="6" spans="1:37" x14ac:dyDescent="0.45">
      <c r="A6" s="69"/>
      <c r="B6" s="52" t="s">
        <v>300</v>
      </c>
      <c r="C6" s="53">
        <v>5210</v>
      </c>
      <c r="D6" s="53">
        <v>6270</v>
      </c>
      <c r="E6" s="53">
        <v>5960</v>
      </c>
      <c r="F6" s="54">
        <v>7056</v>
      </c>
      <c r="G6" s="53">
        <v>1914</v>
      </c>
      <c r="H6" s="53">
        <v>1829</v>
      </c>
      <c r="I6" s="53">
        <f>I8+I14</f>
        <v>1603.8407015627442</v>
      </c>
      <c r="J6" s="53">
        <f t="shared" ref="J6:N6" si="0">J8+J14</f>
        <v>1635.812078333892</v>
      </c>
      <c r="K6" s="53">
        <f t="shared" si="0"/>
        <v>1597.8636198373747</v>
      </c>
      <c r="L6" s="53">
        <f t="shared" si="0"/>
        <v>1606.5967688090814</v>
      </c>
      <c r="M6" s="53">
        <f t="shared" si="0"/>
        <v>1610.5046190171552</v>
      </c>
      <c r="N6" s="53">
        <f t="shared" si="0"/>
        <v>1604.9799440405413</v>
      </c>
      <c r="O6" s="69"/>
      <c r="P6" s="132" t="s">
        <v>457</v>
      </c>
      <c r="Q6" s="69"/>
      <c r="R6" s="69"/>
      <c r="S6" s="69"/>
      <c r="T6" s="69"/>
      <c r="U6" s="69"/>
      <c r="V6" s="69"/>
      <c r="W6" s="69"/>
      <c r="X6" s="69"/>
      <c r="Y6" s="69"/>
      <c r="Z6" s="69"/>
      <c r="AA6" s="69"/>
      <c r="AB6" s="69"/>
    </row>
    <row r="7" spans="1:37" x14ac:dyDescent="0.45">
      <c r="A7" s="69"/>
      <c r="B7" s="127" t="s">
        <v>279</v>
      </c>
      <c r="C7" s="124" t="s">
        <v>281</v>
      </c>
      <c r="D7" s="124">
        <f>(D6-C6)/C6</f>
        <v>0.2034548944337812</v>
      </c>
      <c r="E7" s="124">
        <f>(E6-D6)/D6</f>
        <v>-4.9441786283891544E-2</v>
      </c>
      <c r="F7" s="125">
        <f t="shared" ref="F7:N7" si="1">(F6-E6)/E6</f>
        <v>0.18389261744966443</v>
      </c>
      <c r="G7" s="124" t="s">
        <v>281</v>
      </c>
      <c r="H7" s="124">
        <f t="shared" si="1"/>
        <v>-4.4409613375130615E-2</v>
      </c>
      <c r="I7" s="124">
        <f t="shared" si="1"/>
        <v>-0.12310513856602283</v>
      </c>
      <c r="J7" s="124">
        <f t="shared" si="1"/>
        <v>1.993425951841454E-2</v>
      </c>
      <c r="K7" s="124">
        <f t="shared" si="1"/>
        <v>-2.319854401317822E-2</v>
      </c>
      <c r="L7" s="124">
        <f t="shared" si="1"/>
        <v>5.4655158696181464E-3</v>
      </c>
      <c r="M7" s="124">
        <f t="shared" si="1"/>
        <v>2.4323777340661281E-3</v>
      </c>
      <c r="N7" s="124">
        <f t="shared" si="1"/>
        <v>-3.4303999574899539E-3</v>
      </c>
      <c r="O7" s="75"/>
      <c r="P7" s="69"/>
      <c r="Q7" s="69"/>
      <c r="R7" s="69"/>
      <c r="S7" s="69"/>
      <c r="T7" s="69"/>
      <c r="U7" s="69"/>
      <c r="V7" s="69"/>
      <c r="W7" s="69"/>
      <c r="X7" s="69"/>
      <c r="Y7" s="69"/>
      <c r="Z7" s="69"/>
      <c r="AA7" s="69"/>
      <c r="AB7" s="69"/>
    </row>
    <row r="8" spans="1:37" x14ac:dyDescent="0.45">
      <c r="A8" s="69"/>
      <c r="B8" s="52" t="s">
        <v>310</v>
      </c>
      <c r="C8" s="55">
        <v>260</v>
      </c>
      <c r="D8" s="55">
        <v>310</v>
      </c>
      <c r="E8" s="55">
        <v>300</v>
      </c>
      <c r="F8" s="56">
        <v>353</v>
      </c>
      <c r="G8" s="55">
        <f t="shared" ref="G8:N8" si="2">$I$25*G10+$I$26</f>
        <v>76.023411371237444</v>
      </c>
      <c r="H8" s="55">
        <f t="shared" si="2"/>
        <v>76.023411371237444</v>
      </c>
      <c r="I8" s="55">
        <f t="shared" si="2"/>
        <v>76.023411371237444</v>
      </c>
      <c r="J8" s="55">
        <f t="shared" si="2"/>
        <v>76.023411371237444</v>
      </c>
      <c r="K8" s="55">
        <f t="shared" si="2"/>
        <v>59.459866220735762</v>
      </c>
      <c r="L8" s="55">
        <f t="shared" si="2"/>
        <v>59.459866220735762</v>
      </c>
      <c r="M8" s="55">
        <f t="shared" si="2"/>
        <v>59.459866220735762</v>
      </c>
      <c r="N8" s="55">
        <f t="shared" si="2"/>
        <v>59.459866220735762</v>
      </c>
      <c r="O8" s="71"/>
      <c r="P8" s="70" t="s">
        <v>458</v>
      </c>
      <c r="Q8" s="71"/>
      <c r="R8" s="71"/>
      <c r="S8" s="71"/>
      <c r="T8" s="76"/>
      <c r="U8" s="76"/>
      <c r="V8" s="76"/>
      <c r="W8" s="76"/>
      <c r="X8" s="69"/>
      <c r="Y8" s="69"/>
      <c r="Z8" s="69"/>
      <c r="AA8" s="69"/>
      <c r="AB8" s="69"/>
    </row>
    <row r="9" spans="1:37" x14ac:dyDescent="0.45">
      <c r="A9" s="69"/>
      <c r="B9" s="119" t="s">
        <v>336</v>
      </c>
      <c r="C9" s="124">
        <f>C8/C$6</f>
        <v>4.9904030710172742E-2</v>
      </c>
      <c r="D9" s="124">
        <f>D8/D$6</f>
        <v>4.9441786283891544E-2</v>
      </c>
      <c r="E9" s="124">
        <f t="shared" ref="E9:N9" si="3">E8/E$6</f>
        <v>5.0335570469798654E-2</v>
      </c>
      <c r="F9" s="125">
        <f t="shared" si="3"/>
        <v>5.0028344671201812E-2</v>
      </c>
      <c r="G9" s="128">
        <f t="shared" si="3"/>
        <v>3.9719650664178395E-2</v>
      </c>
      <c r="H9" s="124">
        <f t="shared" si="3"/>
        <v>4.1565561165247372E-2</v>
      </c>
      <c r="I9" s="124">
        <f t="shared" si="3"/>
        <v>4.7400849284571743E-2</v>
      </c>
      <c r="J9" s="124">
        <f t="shared" si="3"/>
        <v>4.647441621085769E-2</v>
      </c>
      <c r="K9" s="124">
        <f t="shared" si="3"/>
        <v>3.7212103387639174E-2</v>
      </c>
      <c r="L9" s="124">
        <f t="shared" si="3"/>
        <v>3.7009825598498775E-2</v>
      </c>
      <c r="M9" s="124">
        <f t="shared" si="3"/>
        <v>3.6920022158658826E-2</v>
      </c>
      <c r="N9" s="124">
        <f t="shared" si="3"/>
        <v>3.7047108558282284E-2</v>
      </c>
      <c r="O9" s="77"/>
      <c r="P9" s="72" t="s">
        <v>317</v>
      </c>
      <c r="Q9" s="71"/>
      <c r="R9" s="71"/>
      <c r="S9" s="71"/>
      <c r="T9" s="76"/>
      <c r="U9" s="76"/>
      <c r="V9" s="76"/>
      <c r="W9" s="76"/>
      <c r="X9" s="69"/>
      <c r="Y9" s="69"/>
      <c r="Z9" s="69"/>
      <c r="AA9" s="69"/>
      <c r="AB9" s="69"/>
    </row>
    <row r="10" spans="1:37" x14ac:dyDescent="0.45">
      <c r="A10" s="69"/>
      <c r="B10" s="57" t="s">
        <v>320</v>
      </c>
      <c r="C10" s="55">
        <v>119</v>
      </c>
      <c r="D10" s="55">
        <v>120</v>
      </c>
      <c r="E10" s="55">
        <v>124</v>
      </c>
      <c r="F10" s="56">
        <v>130</v>
      </c>
      <c r="G10" s="55">
        <f>G11+G12+G13</f>
        <v>30.75</v>
      </c>
      <c r="H10" s="55">
        <f t="shared" ref="H10:J10" si="4">H11+H12+H13</f>
        <v>30.75</v>
      </c>
      <c r="I10" s="55">
        <f t="shared" si="4"/>
        <v>30.75</v>
      </c>
      <c r="J10" s="55">
        <f t="shared" si="4"/>
        <v>30.75</v>
      </c>
      <c r="K10" s="55">
        <f t="shared" ref="K10" si="5">K11+K12+K13</f>
        <v>28.25</v>
      </c>
      <c r="L10" s="55">
        <f t="shared" ref="L10" si="6">L11+L12+L13</f>
        <v>28.25</v>
      </c>
      <c r="M10" s="55">
        <f t="shared" ref="M10" si="7">M11+M12+M13</f>
        <v>28.25</v>
      </c>
      <c r="N10" s="55">
        <f t="shared" ref="N10" si="8">N11+N12+N13</f>
        <v>28.25</v>
      </c>
      <c r="O10" s="71"/>
      <c r="P10" s="72"/>
      <c r="Q10" s="71"/>
      <c r="R10" s="71"/>
      <c r="S10" s="71"/>
      <c r="T10" s="76"/>
      <c r="U10" s="76"/>
      <c r="V10" s="76"/>
      <c r="W10" s="76"/>
      <c r="X10" s="69"/>
      <c r="Y10" s="69"/>
      <c r="Z10" s="69"/>
      <c r="AA10" s="69"/>
      <c r="AB10" s="69"/>
    </row>
    <row r="11" spans="1:37" x14ac:dyDescent="0.45">
      <c r="A11" s="69"/>
      <c r="B11" s="58" t="s">
        <v>303</v>
      </c>
      <c r="C11" s="59">
        <v>44</v>
      </c>
      <c r="D11" s="59">
        <v>37</v>
      </c>
      <c r="E11" s="59">
        <v>40</v>
      </c>
      <c r="F11" s="60">
        <v>44</v>
      </c>
      <c r="G11" s="55">
        <f t="shared" ref="G11:J13" si="9">$P26/4</f>
        <v>11.5</v>
      </c>
      <c r="H11" s="55">
        <f t="shared" si="9"/>
        <v>11.5</v>
      </c>
      <c r="I11" s="55">
        <f t="shared" si="9"/>
        <v>11.5</v>
      </c>
      <c r="J11" s="55">
        <f t="shared" si="9"/>
        <v>11.5</v>
      </c>
      <c r="K11" s="55">
        <f t="shared" ref="K11:N13" si="10">$Q26/4</f>
        <v>8.75</v>
      </c>
      <c r="L11" s="55">
        <f t="shared" si="10"/>
        <v>8.75</v>
      </c>
      <c r="M11" s="55">
        <f t="shared" si="10"/>
        <v>8.75</v>
      </c>
      <c r="N11" s="55">
        <f t="shared" si="10"/>
        <v>8.75</v>
      </c>
      <c r="O11" s="71"/>
      <c r="P11" s="70" t="s">
        <v>379</v>
      </c>
      <c r="Q11" s="71"/>
      <c r="R11" s="71"/>
      <c r="S11" s="71"/>
      <c r="T11" s="76"/>
      <c r="U11" s="76"/>
      <c r="V11" s="76"/>
      <c r="W11" s="76"/>
      <c r="X11" s="69"/>
      <c r="Y11" s="69"/>
      <c r="Z11" s="69"/>
      <c r="AA11" s="69"/>
      <c r="AB11" s="69"/>
    </row>
    <row r="12" spans="1:37" x14ac:dyDescent="0.45">
      <c r="A12" s="69"/>
      <c r="B12" s="57" t="s">
        <v>304</v>
      </c>
      <c r="C12" s="55">
        <v>45</v>
      </c>
      <c r="D12" s="55">
        <v>53</v>
      </c>
      <c r="E12" s="55">
        <v>51</v>
      </c>
      <c r="F12" s="56">
        <v>55</v>
      </c>
      <c r="G12" s="55">
        <f t="shared" si="9"/>
        <v>11.5</v>
      </c>
      <c r="H12" s="55">
        <f t="shared" si="9"/>
        <v>11.5</v>
      </c>
      <c r="I12" s="55">
        <f t="shared" si="9"/>
        <v>11.5</v>
      </c>
      <c r="J12" s="55">
        <f t="shared" si="9"/>
        <v>11.5</v>
      </c>
      <c r="K12" s="55">
        <f t="shared" si="10"/>
        <v>11.25</v>
      </c>
      <c r="L12" s="55">
        <f t="shared" si="10"/>
        <v>11.25</v>
      </c>
      <c r="M12" s="55">
        <f t="shared" si="10"/>
        <v>11.25</v>
      </c>
      <c r="N12" s="55">
        <f t="shared" si="10"/>
        <v>11.25</v>
      </c>
      <c r="O12" s="71"/>
      <c r="P12" s="70" t="s">
        <v>380</v>
      </c>
      <c r="Q12" s="71"/>
      <c r="R12" s="71"/>
      <c r="S12" s="71"/>
      <c r="T12" s="76"/>
      <c r="U12" s="76"/>
      <c r="V12" s="76"/>
      <c r="W12" s="76"/>
      <c r="X12" s="69"/>
      <c r="Y12" s="69"/>
      <c r="Z12" s="69"/>
      <c r="AA12" s="69"/>
      <c r="AB12" s="69"/>
    </row>
    <row r="13" spans="1:37" x14ac:dyDescent="0.45">
      <c r="A13" s="69"/>
      <c r="B13" s="61" t="s">
        <v>305</v>
      </c>
      <c r="C13" s="62">
        <v>30</v>
      </c>
      <c r="D13" s="62">
        <v>30</v>
      </c>
      <c r="E13" s="62">
        <v>33</v>
      </c>
      <c r="F13" s="63">
        <v>31</v>
      </c>
      <c r="G13" s="64">
        <f t="shared" si="9"/>
        <v>7.75</v>
      </c>
      <c r="H13" s="64">
        <f t="shared" si="9"/>
        <v>7.75</v>
      </c>
      <c r="I13" s="64">
        <f t="shared" si="9"/>
        <v>7.75</v>
      </c>
      <c r="J13" s="64">
        <f t="shared" si="9"/>
        <v>7.75</v>
      </c>
      <c r="K13" s="64">
        <f t="shared" si="10"/>
        <v>8.25</v>
      </c>
      <c r="L13" s="64">
        <f t="shared" si="10"/>
        <v>8.25</v>
      </c>
      <c r="M13" s="64">
        <f t="shared" si="10"/>
        <v>8.25</v>
      </c>
      <c r="N13" s="64">
        <f t="shared" si="10"/>
        <v>8.25</v>
      </c>
      <c r="O13" s="71"/>
      <c r="P13" s="70" t="s">
        <v>381</v>
      </c>
      <c r="Q13" s="71"/>
      <c r="R13" s="71"/>
      <c r="S13" s="71"/>
      <c r="T13" s="76"/>
      <c r="U13" s="76"/>
      <c r="V13" s="76"/>
      <c r="W13" s="76"/>
      <c r="X13" s="69"/>
      <c r="Y13" s="69"/>
      <c r="Z13" s="69"/>
      <c r="AA13" s="69"/>
      <c r="AB13" s="69"/>
    </row>
    <row r="14" spans="1:37" x14ac:dyDescent="0.45">
      <c r="A14" s="69"/>
      <c r="B14" s="65" t="s">
        <v>311</v>
      </c>
      <c r="C14" s="59">
        <v>4950</v>
      </c>
      <c r="D14" s="59">
        <v>5960</v>
      </c>
      <c r="E14" s="59">
        <v>5660</v>
      </c>
      <c r="F14" s="60">
        <v>6703</v>
      </c>
      <c r="G14" s="55">
        <f t="shared" ref="G14:N14" si="11">G16+G19</f>
        <v>1837.9765886287626</v>
      </c>
      <c r="H14" s="55">
        <f t="shared" si="11"/>
        <v>1752.9765886287626</v>
      </c>
      <c r="I14" s="55">
        <f>I16+I19</f>
        <v>1527.8172901915068</v>
      </c>
      <c r="J14" s="55">
        <f t="shared" si="11"/>
        <v>1559.7886669626546</v>
      </c>
      <c r="K14" s="55">
        <f t="shared" si="11"/>
        <v>1538.4037536166388</v>
      </c>
      <c r="L14" s="55">
        <f t="shared" si="11"/>
        <v>1547.1369025883455</v>
      </c>
      <c r="M14" s="55">
        <f t="shared" si="11"/>
        <v>1551.0447527964193</v>
      </c>
      <c r="N14" s="55">
        <f t="shared" si="11"/>
        <v>1545.5200778198055</v>
      </c>
      <c r="O14" s="71"/>
      <c r="P14" s="72" t="s">
        <v>447</v>
      </c>
      <c r="Q14" s="71"/>
      <c r="R14" s="71"/>
      <c r="S14" s="71"/>
      <c r="T14" s="76"/>
      <c r="U14" s="76"/>
      <c r="V14" s="76"/>
      <c r="W14" s="76"/>
      <c r="X14" s="69"/>
      <c r="Y14" s="69"/>
      <c r="Z14" s="69"/>
      <c r="AA14" s="69"/>
      <c r="AB14" s="69"/>
    </row>
    <row r="15" spans="1:37" x14ac:dyDescent="0.45">
      <c r="A15" s="69"/>
      <c r="B15" s="119" t="s">
        <v>336</v>
      </c>
      <c r="C15" s="124">
        <f>C14/C$6</f>
        <v>0.9500959692898272</v>
      </c>
      <c r="D15" s="124">
        <f>D14/D$6</f>
        <v>0.95055821371610849</v>
      </c>
      <c r="E15" s="124">
        <f t="shared" ref="E15:N15" si="12">E14/E$6</f>
        <v>0.94966442953020136</v>
      </c>
      <c r="F15" s="125">
        <f t="shared" si="12"/>
        <v>0.94997165532879824</v>
      </c>
      <c r="G15" s="128">
        <f t="shared" si="12"/>
        <v>0.96028034933582163</v>
      </c>
      <c r="H15" s="124">
        <f t="shared" si="12"/>
        <v>0.95843443883475266</v>
      </c>
      <c r="I15" s="124">
        <f t="shared" si="12"/>
        <v>0.95259915071542822</v>
      </c>
      <c r="J15" s="124">
        <f t="shared" si="12"/>
        <v>0.95352558378914232</v>
      </c>
      <c r="K15" s="124">
        <f t="shared" si="12"/>
        <v>0.96278789661236075</v>
      </c>
      <c r="L15" s="124">
        <f t="shared" si="12"/>
        <v>0.96299017440150114</v>
      </c>
      <c r="M15" s="124">
        <f t="shared" si="12"/>
        <v>0.96307997784134114</v>
      </c>
      <c r="N15" s="202">
        <f t="shared" si="12"/>
        <v>0.9629528914417177</v>
      </c>
      <c r="O15" s="77"/>
      <c r="P15" s="72" t="s">
        <v>317</v>
      </c>
      <c r="Q15" s="71"/>
      <c r="R15" s="71"/>
      <c r="S15" s="71"/>
      <c r="T15" s="76"/>
      <c r="U15" s="76"/>
      <c r="V15" s="76"/>
      <c r="W15" s="76"/>
      <c r="X15" s="69"/>
      <c r="Y15" s="69"/>
      <c r="Z15" s="69"/>
      <c r="AA15" s="69"/>
      <c r="AB15" s="69"/>
    </row>
    <row r="16" spans="1:37" x14ac:dyDescent="0.45">
      <c r="A16" s="69"/>
      <c r="B16" s="65" t="s">
        <v>301</v>
      </c>
      <c r="C16" s="59">
        <v>1825</v>
      </c>
      <c r="D16" s="59">
        <v>2200</v>
      </c>
      <c r="E16" s="59">
        <v>2080</v>
      </c>
      <c r="F16" s="60">
        <v>2471.5</v>
      </c>
      <c r="G16" s="55">
        <f>G6-G8-G19</f>
        <v>839.74325971666713</v>
      </c>
      <c r="H16" s="55">
        <f>H6-H8-H19</f>
        <v>792.19277338165853</v>
      </c>
      <c r="I16" s="55">
        <f>$I$29*I18*'환율&amp;원유'!I6*'환율&amp;원유'!I7/10^3+$I$30</f>
        <v>561.15911232258532</v>
      </c>
      <c r="J16" s="55">
        <f>$I$29*J18*'환율&amp;원유'!J6*'환율&amp;원유'!J7/10^3+$I$30</f>
        <v>584.87335873725544</v>
      </c>
      <c r="K16" s="55">
        <f>$I$29*K18*'환율&amp;원유'!K6*'환율&amp;원유'!K7/10^3+$I$30</f>
        <v>570.98845212066703</v>
      </c>
      <c r="L16" s="59">
        <f>$I$29*L18*'환율&amp;원유'!L6*'환율&amp;원유'!L7/10^3+$I$30</f>
        <v>577.48819848600044</v>
      </c>
      <c r="M16" s="55">
        <f>$I$29*M18*'환율&amp;원유'!M6*'환율&amp;원유'!M7/10^3+$I$30</f>
        <v>580.39666085947931</v>
      </c>
      <c r="N16" s="55">
        <f>$I$29*N18*'환율&amp;원유'!N6*'환율&amp;원유'!N7/10^3+$I$30</f>
        <v>576.2848580933487</v>
      </c>
      <c r="O16" s="71"/>
      <c r="Q16" s="71"/>
      <c r="R16" s="71"/>
      <c r="S16" s="71"/>
      <c r="T16" s="76"/>
      <c r="U16" s="76"/>
      <c r="V16" s="76"/>
      <c r="W16" s="76"/>
      <c r="X16" s="69"/>
      <c r="Y16" s="69"/>
      <c r="Z16" s="69"/>
      <c r="AA16" s="69"/>
      <c r="AB16" s="69"/>
    </row>
    <row r="17" spans="1:28" x14ac:dyDescent="0.45">
      <c r="A17" s="69"/>
      <c r="B17" s="119" t="s">
        <v>336</v>
      </c>
      <c r="C17" s="124">
        <f>C16/C$6</f>
        <v>0.35028790786948177</v>
      </c>
      <c r="D17" s="124">
        <f>D16/D$6</f>
        <v>0.35087719298245612</v>
      </c>
      <c r="E17" s="124">
        <f t="shared" ref="E17:N17" si="13">E16/E$6</f>
        <v>0.34899328859060402</v>
      </c>
      <c r="F17" s="125">
        <f t="shared" si="13"/>
        <v>0.35026927437641725</v>
      </c>
      <c r="G17" s="128">
        <f t="shared" si="13"/>
        <v>0.43873733527516567</v>
      </c>
      <c r="H17" s="124">
        <f t="shared" si="13"/>
        <v>0.43312890835519874</v>
      </c>
      <c r="I17" s="124">
        <f>I16/I$6</f>
        <v>0.34988456882021091</v>
      </c>
      <c r="J17" s="124">
        <f t="shared" si="13"/>
        <v>0.3575431227607519</v>
      </c>
      <c r="K17" s="124">
        <f t="shared" si="13"/>
        <v>0.35734492295329956</v>
      </c>
      <c r="L17" s="124">
        <f t="shared" si="13"/>
        <v>0.35944812643565438</v>
      </c>
      <c r="M17" s="124">
        <f t="shared" si="13"/>
        <v>0.36038186665597938</v>
      </c>
      <c r="N17" s="124">
        <f t="shared" si="13"/>
        <v>0.35906047314370171</v>
      </c>
      <c r="O17" s="77"/>
      <c r="P17" s="72"/>
      <c r="Q17" s="71"/>
      <c r="R17" s="71"/>
      <c r="S17" s="71"/>
      <c r="T17" s="76"/>
      <c r="U17" s="76"/>
      <c r="V17" s="76"/>
      <c r="W17" s="76"/>
      <c r="X17" s="69"/>
      <c r="Y17" s="69"/>
      <c r="Z17" s="69"/>
      <c r="AA17" s="69"/>
      <c r="AB17" s="69"/>
    </row>
    <row r="18" spans="1:28" x14ac:dyDescent="0.45">
      <c r="A18" s="69"/>
      <c r="B18" s="66" t="s">
        <v>334</v>
      </c>
      <c r="C18" s="64">
        <v>1414.4639999999999</v>
      </c>
      <c r="D18" s="64">
        <v>1146.8340000000001</v>
      </c>
      <c r="E18" s="64">
        <v>1304.1300000000001</v>
      </c>
      <c r="F18" s="67">
        <v>1393.7</v>
      </c>
      <c r="G18" s="68">
        <f>$P$31/4</f>
        <v>373.029</v>
      </c>
      <c r="H18" s="64">
        <f>$P$31/4</f>
        <v>373.029</v>
      </c>
      <c r="I18" s="64">
        <f>$P$31/4</f>
        <v>373.029</v>
      </c>
      <c r="J18" s="64">
        <f>$P$31/4</f>
        <v>373.029</v>
      </c>
      <c r="K18" s="64">
        <f>$Q$31/4</f>
        <v>378</v>
      </c>
      <c r="L18" s="64">
        <f>$Q$31/4</f>
        <v>378</v>
      </c>
      <c r="M18" s="64">
        <f>$Q$31/4</f>
        <v>378</v>
      </c>
      <c r="N18" s="64">
        <f>$Q$31/4</f>
        <v>378</v>
      </c>
      <c r="O18" s="71"/>
      <c r="P18" s="72" t="s">
        <v>328</v>
      </c>
      <c r="Q18" s="71"/>
      <c r="R18" s="71"/>
      <c r="S18" s="71"/>
      <c r="T18" s="76"/>
      <c r="U18" s="76"/>
      <c r="V18" s="76"/>
      <c r="W18" s="76"/>
      <c r="X18" s="69"/>
      <c r="Y18" s="69"/>
      <c r="Z18" s="69"/>
      <c r="AA18" s="69"/>
      <c r="AB18" s="69"/>
    </row>
    <row r="19" spans="1:28" x14ac:dyDescent="0.45">
      <c r="A19" s="69"/>
      <c r="B19" s="65" t="s">
        <v>302</v>
      </c>
      <c r="C19" s="59">
        <v>3125</v>
      </c>
      <c r="D19" s="59">
        <v>3760</v>
      </c>
      <c r="E19" s="59">
        <v>3570</v>
      </c>
      <c r="F19" s="60">
        <v>4231.5</v>
      </c>
      <c r="G19" s="55">
        <f>$I$34*G21*'환율&amp;원유'!G6*'환율&amp;원유'!G7/1000+$I$35</f>
        <v>998.23332891209543</v>
      </c>
      <c r="H19" s="55">
        <f>$I$34*H21*'환율&amp;원유'!H6*'환율&amp;원유'!H7/1000+$I$35</f>
        <v>960.78381524710403</v>
      </c>
      <c r="I19" s="55">
        <f>$I$34*I21*'환율&amp;원유'!I6*'환율&amp;원유'!I7/1000+$I$35</f>
        <v>966.65817786892148</v>
      </c>
      <c r="J19" s="55">
        <f>$I$34*J21*'환율&amp;원유'!J6*'환율&amp;원유'!J7/1000+$I$35</f>
        <v>974.91530822539926</v>
      </c>
      <c r="K19" s="55">
        <f>$I$34*K21*'환율&amp;원유'!K6*'환율&amp;원유'!K7/1000+$I$35</f>
        <v>967.41530149597168</v>
      </c>
      <c r="L19" s="55">
        <f>$I$34*L21*'환율&amp;원유'!L6*'환율&amp;원유'!L7/1000+$I$35</f>
        <v>969.64870410234516</v>
      </c>
      <c r="M19" s="55">
        <f>$I$34*M21*'환율&amp;원유'!M6*'환율&amp;원유'!M7/1000+$I$35</f>
        <v>970.64809193694009</v>
      </c>
      <c r="N19" s="55">
        <f>$I$34*N21*'환율&amp;원유'!N6*'환율&amp;원유'!N7/1000+$I$35</f>
        <v>969.23521972645665</v>
      </c>
      <c r="O19" s="71"/>
      <c r="P19" s="72"/>
      <c r="Q19" s="71"/>
      <c r="R19" s="71"/>
      <c r="S19" s="71"/>
      <c r="T19" s="76"/>
      <c r="U19" s="76"/>
      <c r="V19" s="76"/>
      <c r="W19" s="76"/>
      <c r="X19" s="69"/>
      <c r="Y19" s="69"/>
      <c r="Z19" s="69"/>
      <c r="AA19" s="69"/>
      <c r="AB19" s="69"/>
    </row>
    <row r="20" spans="1:28" x14ac:dyDescent="0.45">
      <c r="A20" s="69"/>
      <c r="B20" s="119" t="s">
        <v>336</v>
      </c>
      <c r="C20" s="124">
        <f>C19/C$6</f>
        <v>0.59980806142034548</v>
      </c>
      <c r="D20" s="124">
        <f>D19/D$6</f>
        <v>0.59968102073365226</v>
      </c>
      <c r="E20" s="124">
        <f t="shared" ref="E20:N20" si="14">E19/E$6</f>
        <v>0.59899328859060408</v>
      </c>
      <c r="F20" s="125">
        <f t="shared" si="14"/>
        <v>0.59970238095238093</v>
      </c>
      <c r="G20" s="128">
        <f t="shared" si="14"/>
        <v>0.52154301406065595</v>
      </c>
      <c r="H20" s="124">
        <f t="shared" si="14"/>
        <v>0.52530553047955386</v>
      </c>
      <c r="I20" s="124">
        <f t="shared" si="14"/>
        <v>0.60271458189521732</v>
      </c>
      <c r="J20" s="124">
        <f t="shared" si="14"/>
        <v>0.59598246102839048</v>
      </c>
      <c r="K20" s="124">
        <f t="shared" si="14"/>
        <v>0.60544297365906108</v>
      </c>
      <c r="L20" s="124">
        <f t="shared" si="14"/>
        <v>0.60354204796584687</v>
      </c>
      <c r="M20" s="124">
        <f t="shared" si="14"/>
        <v>0.60269811118536176</v>
      </c>
      <c r="N20" s="124">
        <f t="shared" si="14"/>
        <v>0.60389241829801588</v>
      </c>
      <c r="O20" s="77"/>
      <c r="P20" s="72"/>
      <c r="Q20" s="71"/>
      <c r="R20" s="71"/>
      <c r="S20" s="71"/>
      <c r="T20" s="76"/>
      <c r="U20" s="76"/>
      <c r="V20" s="76"/>
      <c r="W20" s="76"/>
      <c r="X20" s="69"/>
      <c r="Y20" s="69"/>
      <c r="Z20" s="69"/>
      <c r="AA20" s="69"/>
      <c r="AB20" s="69"/>
    </row>
    <row r="21" spans="1:28" x14ac:dyDescent="0.45">
      <c r="A21" s="69"/>
      <c r="B21" s="133" t="s">
        <v>335</v>
      </c>
      <c r="C21" s="134">
        <v>0</v>
      </c>
      <c r="D21" s="134">
        <v>4664</v>
      </c>
      <c r="E21" s="134">
        <v>5572</v>
      </c>
      <c r="F21" s="135">
        <v>6718</v>
      </c>
      <c r="G21" s="134">
        <f>$P$32/4</f>
        <v>1640</v>
      </c>
      <c r="H21" s="134">
        <f>$P$32/4</f>
        <v>1640</v>
      </c>
      <c r="I21" s="134">
        <f>$P$32/4</f>
        <v>1640</v>
      </c>
      <c r="J21" s="134">
        <f>$P$32/4</f>
        <v>1640</v>
      </c>
      <c r="K21" s="134">
        <f>$Q$32/4</f>
        <v>1640</v>
      </c>
      <c r="L21" s="134">
        <f>$Q$32/4</f>
        <v>1640</v>
      </c>
      <c r="M21" s="134">
        <f>$Q$32/4</f>
        <v>1640</v>
      </c>
      <c r="N21" s="134">
        <f>$Q$32/4</f>
        <v>1640</v>
      </c>
      <c r="O21" s="71"/>
      <c r="P21" s="72" t="s">
        <v>329</v>
      </c>
      <c r="Q21" s="71"/>
      <c r="R21" s="71"/>
      <c r="S21" s="71"/>
      <c r="T21" s="76"/>
      <c r="U21" s="76"/>
      <c r="V21" s="76"/>
      <c r="W21" s="76"/>
      <c r="X21" s="69"/>
      <c r="Y21" s="69"/>
      <c r="Z21" s="69"/>
      <c r="AA21" s="69"/>
      <c r="AB21" s="69"/>
    </row>
    <row r="22" spans="1:28" x14ac:dyDescent="0.45">
      <c r="A22" s="69"/>
      <c r="B22" s="57"/>
      <c r="C22" s="55"/>
      <c r="D22" s="55"/>
      <c r="E22" s="55"/>
      <c r="F22" s="55"/>
      <c r="G22" s="55"/>
      <c r="H22" s="161"/>
      <c r="I22" s="161"/>
      <c r="J22" s="55"/>
      <c r="K22" s="55"/>
      <c r="L22" s="55"/>
      <c r="M22" s="55"/>
      <c r="N22" s="55"/>
      <c r="O22" s="71"/>
      <c r="P22" s="72"/>
      <c r="Q22" s="71"/>
      <c r="R22" s="71"/>
      <c r="S22" s="71"/>
      <c r="T22" s="76"/>
      <c r="U22" s="76"/>
      <c r="V22" s="76"/>
      <c r="W22" s="76"/>
      <c r="X22" s="69"/>
      <c r="Y22" s="69"/>
      <c r="Z22" s="69"/>
      <c r="AA22" s="69"/>
      <c r="AB22" s="69"/>
    </row>
    <row r="23" spans="1:28" x14ac:dyDescent="0.45">
      <c r="A23" s="69"/>
      <c r="B23" s="78"/>
      <c r="C23" s="79"/>
      <c r="D23" s="79"/>
      <c r="E23" s="79"/>
      <c r="F23" s="79"/>
      <c r="G23" s="79"/>
      <c r="H23" s="162"/>
      <c r="I23" s="162"/>
      <c r="J23" s="79"/>
      <c r="K23" s="79"/>
      <c r="L23" s="79"/>
      <c r="M23" s="79"/>
      <c r="N23" s="79"/>
      <c r="O23" s="74"/>
      <c r="P23" s="69"/>
      <c r="Q23" s="69"/>
      <c r="R23" s="69"/>
      <c r="S23" s="69"/>
      <c r="T23" s="76"/>
      <c r="U23" s="76"/>
      <c r="V23" s="76"/>
      <c r="W23" s="76"/>
      <c r="X23" s="69"/>
      <c r="Y23" s="69"/>
      <c r="Z23" s="69"/>
      <c r="AA23" s="69"/>
      <c r="AB23" s="69"/>
    </row>
    <row r="24" spans="1:28" x14ac:dyDescent="0.45">
      <c r="A24" s="69"/>
      <c r="B24" s="51" t="s">
        <v>324</v>
      </c>
      <c r="C24" s="50" t="s">
        <v>271</v>
      </c>
      <c r="D24" s="50" t="s">
        <v>272</v>
      </c>
      <c r="E24" s="50" t="s">
        <v>273</v>
      </c>
      <c r="F24" s="80" t="s">
        <v>274</v>
      </c>
      <c r="G24" s="69"/>
      <c r="H24" s="71" t="s">
        <v>316</v>
      </c>
      <c r="I24" s="81">
        <f>CORREL(C25:F25,C26:F26)</f>
        <v>0.86585070620548732</v>
      </c>
      <c r="J24" s="71"/>
      <c r="K24" s="69"/>
      <c r="L24" s="281" t="s">
        <v>333</v>
      </c>
      <c r="M24" s="281"/>
      <c r="N24" s="281"/>
      <c r="O24" s="281"/>
      <c r="P24" s="172" t="s">
        <v>282</v>
      </c>
      <c r="Q24" s="172" t="s">
        <v>283</v>
      </c>
      <c r="S24" s="69"/>
      <c r="T24" s="76"/>
      <c r="U24" s="76"/>
      <c r="V24" s="76"/>
      <c r="W24" s="76"/>
      <c r="X24" s="69"/>
      <c r="Y24" s="69"/>
      <c r="Z24" s="69"/>
      <c r="AA24" s="69"/>
      <c r="AB24" s="69"/>
    </row>
    <row r="25" spans="1:28" x14ac:dyDescent="0.45">
      <c r="A25" s="69"/>
      <c r="B25" s="57" t="s">
        <v>310</v>
      </c>
      <c r="C25" s="71">
        <f>C8</f>
        <v>260</v>
      </c>
      <c r="D25" s="71">
        <f>D8</f>
        <v>310</v>
      </c>
      <c r="E25" s="71">
        <f>E8</f>
        <v>300</v>
      </c>
      <c r="F25" s="71">
        <f>F8</f>
        <v>353</v>
      </c>
      <c r="G25" s="69"/>
      <c r="H25" s="81" t="s">
        <v>314</v>
      </c>
      <c r="I25" s="83">
        <f>SLOPE(C25:F25,C26:F26)</f>
        <v>6.6254180602006691</v>
      </c>
      <c r="J25" s="69"/>
      <c r="K25" s="69"/>
      <c r="L25" s="283" t="s">
        <v>320</v>
      </c>
      <c r="M25" s="283"/>
      <c r="N25" s="283"/>
      <c r="O25" s="283"/>
      <c r="P25" s="199">
        <f>P26+P27+P28</f>
        <v>123</v>
      </c>
      <c r="Q25" s="199">
        <f>Q26+Q27+Q28</f>
        <v>113</v>
      </c>
      <c r="S25" s="69"/>
      <c r="T25" s="76"/>
      <c r="U25" s="76"/>
      <c r="V25" s="76"/>
      <c r="W25" s="76"/>
      <c r="X25" s="69"/>
      <c r="Y25" s="69"/>
      <c r="Z25" s="69"/>
      <c r="AA25" s="69"/>
      <c r="AB25" s="69"/>
    </row>
    <row r="26" spans="1:28" x14ac:dyDescent="0.45">
      <c r="A26" s="69"/>
      <c r="B26" s="66" t="s">
        <v>320</v>
      </c>
      <c r="C26" s="84">
        <f t="shared" ref="C26:F26" si="15">C10</f>
        <v>119</v>
      </c>
      <c r="D26" s="84">
        <f t="shared" si="15"/>
        <v>120</v>
      </c>
      <c r="E26" s="84">
        <f t="shared" si="15"/>
        <v>124</v>
      </c>
      <c r="F26" s="84">
        <f t="shared" si="15"/>
        <v>130</v>
      </c>
      <c r="G26" s="69"/>
      <c r="H26" s="85" t="s">
        <v>315</v>
      </c>
      <c r="I26" s="140">
        <f>INTERCEPT(C25:F25,C26:F26)/4</f>
        <v>-127.70819397993313</v>
      </c>
      <c r="J26" s="69"/>
      <c r="K26" s="69"/>
      <c r="L26" s="285" t="s">
        <v>303</v>
      </c>
      <c r="M26" s="285"/>
      <c r="N26" s="285"/>
      <c r="O26" s="285"/>
      <c r="P26" s="200">
        <v>46</v>
      </c>
      <c r="Q26" s="200">
        <v>35</v>
      </c>
      <c r="S26" s="69"/>
      <c r="T26" s="69"/>
      <c r="U26" s="69"/>
      <c r="V26" s="69"/>
      <c r="W26" s="69"/>
      <c r="X26" s="69"/>
      <c r="Y26" s="69"/>
      <c r="Z26" s="69"/>
      <c r="AA26" s="69"/>
      <c r="AB26" s="69"/>
    </row>
    <row r="27" spans="1:28" x14ac:dyDescent="0.45">
      <c r="A27" s="69"/>
      <c r="B27" s="69"/>
      <c r="C27" s="69"/>
      <c r="D27" s="69"/>
      <c r="E27" s="69"/>
      <c r="F27" s="69"/>
      <c r="G27" s="71"/>
      <c r="H27" s="182"/>
      <c r="I27" s="182"/>
      <c r="J27" s="69"/>
      <c r="K27" s="69"/>
      <c r="L27" s="283" t="s">
        <v>304</v>
      </c>
      <c r="M27" s="283"/>
      <c r="N27" s="283"/>
      <c r="O27" s="283"/>
      <c r="P27" s="199">
        <v>46</v>
      </c>
      <c r="Q27" s="199">
        <v>45</v>
      </c>
      <c r="S27" s="69"/>
      <c r="T27" s="69"/>
      <c r="U27" s="69"/>
      <c r="V27" s="69"/>
      <c r="W27" s="69"/>
      <c r="X27" s="69"/>
      <c r="Y27" s="69"/>
      <c r="Z27" s="69"/>
      <c r="AA27" s="69"/>
      <c r="AB27" s="69"/>
    </row>
    <row r="28" spans="1:28" x14ac:dyDescent="0.45">
      <c r="A28" s="69"/>
      <c r="B28" s="51" t="s">
        <v>325</v>
      </c>
      <c r="C28" s="50" t="s">
        <v>271</v>
      </c>
      <c r="D28" s="50" t="s">
        <v>272</v>
      </c>
      <c r="E28" s="50" t="s">
        <v>273</v>
      </c>
      <c r="F28" s="87" t="s">
        <v>274</v>
      </c>
      <c r="G28" s="69"/>
      <c r="H28" s="71" t="s">
        <v>316</v>
      </c>
      <c r="I28" s="81">
        <f>CORREL(C29:F29,C30:F30)</f>
        <v>0.9291794407307512</v>
      </c>
      <c r="J28" s="69"/>
      <c r="K28" s="69"/>
      <c r="L28" s="286" t="s">
        <v>305</v>
      </c>
      <c r="M28" s="286"/>
      <c r="N28" s="286"/>
      <c r="O28" s="286"/>
      <c r="P28" s="201">
        <v>31</v>
      </c>
      <c r="Q28" s="201">
        <v>33</v>
      </c>
      <c r="S28" s="69"/>
      <c r="T28" s="69"/>
      <c r="U28" s="69"/>
      <c r="V28" s="69"/>
      <c r="W28" s="69"/>
      <c r="X28" s="69"/>
      <c r="Y28" s="69"/>
      <c r="Z28" s="69"/>
      <c r="AA28" s="69"/>
      <c r="AB28" s="69"/>
    </row>
    <row r="29" spans="1:28" x14ac:dyDescent="0.45">
      <c r="A29" s="69"/>
      <c r="B29" s="57" t="s">
        <v>318</v>
      </c>
      <c r="C29" s="71">
        <f>C16</f>
        <v>1825</v>
      </c>
      <c r="D29" s="71">
        <f>D16</f>
        <v>2200</v>
      </c>
      <c r="E29" s="71">
        <f>E16</f>
        <v>2080</v>
      </c>
      <c r="F29" s="71">
        <f>F16</f>
        <v>2471.5</v>
      </c>
      <c r="G29" s="69"/>
      <c r="H29" s="81" t="s">
        <v>314</v>
      </c>
      <c r="I29" s="83">
        <f>SLOPE(C29:F29,C30:F30)</f>
        <v>1.5880409522958334E-2</v>
      </c>
      <c r="J29" s="69"/>
      <c r="K29" s="69"/>
      <c r="L29" s="58"/>
      <c r="M29" s="58"/>
      <c r="N29" s="58"/>
      <c r="O29" s="58"/>
      <c r="P29" s="197"/>
      <c r="Q29" s="197"/>
      <c r="S29" s="69"/>
      <c r="T29" s="69"/>
      <c r="U29" s="69"/>
      <c r="V29" s="69"/>
      <c r="W29" s="69"/>
      <c r="X29" s="69"/>
      <c r="Y29" s="69"/>
      <c r="Z29" s="69"/>
      <c r="AA29" s="69"/>
      <c r="AB29" s="69"/>
    </row>
    <row r="30" spans="1:28" x14ac:dyDescent="0.45">
      <c r="A30" s="69"/>
      <c r="B30" s="66" t="s">
        <v>330</v>
      </c>
      <c r="C30" s="84">
        <f>C18*'환율&amp;원유'!C6*'환율&amp;원유'!C7/1000</f>
        <v>115392.4636808683</v>
      </c>
      <c r="D30" s="84">
        <f>D18*'환율&amp;원유'!D6*'환율&amp;원유'!D7/1000</f>
        <v>146289.43952492572</v>
      </c>
      <c r="E30" s="84">
        <f>E18*'환율&amp;원유'!E6*'환율&amp;원유'!E7/1000</f>
        <v>138926.44081139175</v>
      </c>
      <c r="F30" s="84">
        <f>F18*'환율&amp;원유'!F6*'환율&amp;원유'!F7/1000</f>
        <v>150641.41257505727</v>
      </c>
      <c r="G30" s="183"/>
      <c r="H30" s="85" t="s">
        <v>315</v>
      </c>
      <c r="I30" s="140">
        <f>INTERCEPT(C29:F29,C30:F30)/4</f>
        <v>-11.098242757244975</v>
      </c>
      <c r="J30" s="69"/>
      <c r="K30" s="69"/>
      <c r="L30" s="281" t="s">
        <v>420</v>
      </c>
      <c r="M30" s="281"/>
      <c r="N30" s="281"/>
      <c r="O30" s="281"/>
      <c r="P30" s="172" t="s">
        <v>282</v>
      </c>
      <c r="Q30" s="172" t="s">
        <v>283</v>
      </c>
      <c r="S30" s="69"/>
      <c r="T30" s="69"/>
      <c r="U30" s="69"/>
      <c r="V30" s="69"/>
      <c r="W30" s="69"/>
      <c r="X30" s="69"/>
      <c r="Y30" s="69"/>
      <c r="Z30" s="69"/>
      <c r="AA30" s="69"/>
      <c r="AB30" s="69"/>
    </row>
    <row r="31" spans="1:28" x14ac:dyDescent="0.45">
      <c r="A31" s="69"/>
      <c r="B31" s="48" t="s">
        <v>331</v>
      </c>
      <c r="C31" s="69"/>
      <c r="D31" s="71"/>
      <c r="E31" s="71"/>
      <c r="F31" s="71"/>
      <c r="G31" s="183"/>
      <c r="H31" s="81"/>
      <c r="I31" s="88"/>
      <c r="J31" s="69"/>
      <c r="K31" s="69"/>
      <c r="L31" s="283" t="s">
        <v>334</v>
      </c>
      <c r="M31" s="283"/>
      <c r="N31" s="283"/>
      <c r="O31" s="283"/>
      <c r="P31" s="196">
        <v>1492.116</v>
      </c>
      <c r="Q31" s="196">
        <v>1512</v>
      </c>
      <c r="R31" s="71"/>
      <c r="S31" s="71"/>
      <c r="T31" s="69"/>
      <c r="U31" s="69"/>
      <c r="V31" s="69"/>
      <c r="W31" s="69"/>
      <c r="X31" s="69"/>
      <c r="Y31" s="69"/>
      <c r="Z31" s="69"/>
      <c r="AA31" s="69"/>
      <c r="AB31" s="69"/>
    </row>
    <row r="32" spans="1:28" x14ac:dyDescent="0.45">
      <c r="A32" s="69"/>
      <c r="B32" s="69"/>
      <c r="C32" s="69"/>
      <c r="D32" s="69"/>
      <c r="E32" s="69"/>
      <c r="F32" s="69"/>
      <c r="G32" s="183"/>
      <c r="H32" s="69"/>
      <c r="I32" s="69"/>
      <c r="J32" s="69"/>
      <c r="K32" s="69"/>
      <c r="L32" s="284" t="s">
        <v>335</v>
      </c>
      <c r="M32" s="284"/>
      <c r="N32" s="284"/>
      <c r="O32" s="284"/>
      <c r="P32" s="198">
        <v>6560</v>
      </c>
      <c r="Q32" s="198">
        <v>6560</v>
      </c>
      <c r="R32" s="69"/>
      <c r="S32" s="69"/>
      <c r="T32" s="69"/>
      <c r="U32" s="69"/>
      <c r="V32" s="69"/>
      <c r="W32" s="69"/>
      <c r="X32" s="69"/>
      <c r="Y32" s="69"/>
      <c r="Z32" s="69"/>
      <c r="AA32" s="69"/>
      <c r="AB32" s="69"/>
    </row>
    <row r="33" spans="1:28" x14ac:dyDescent="0.45">
      <c r="A33" s="69"/>
      <c r="B33" s="51" t="s">
        <v>326</v>
      </c>
      <c r="C33" s="50" t="s">
        <v>271</v>
      </c>
      <c r="D33" s="50" t="s">
        <v>272</v>
      </c>
      <c r="E33" s="50" t="s">
        <v>273</v>
      </c>
      <c r="F33" s="87" t="s">
        <v>274</v>
      </c>
      <c r="G33" s="69"/>
      <c r="H33" s="89" t="s">
        <v>316</v>
      </c>
      <c r="I33" s="90">
        <f>CORREL(D34:F34,D35:F35)</f>
        <v>0.9627686325622522</v>
      </c>
      <c r="J33" s="69"/>
      <c r="K33" s="69"/>
      <c r="L33" s="69"/>
      <c r="M33" s="69"/>
      <c r="N33" s="69"/>
      <c r="O33" s="69"/>
      <c r="P33" s="69"/>
      <c r="Q33" s="82"/>
      <c r="R33" s="69"/>
      <c r="S33" s="69"/>
      <c r="T33" s="69"/>
      <c r="U33" s="69"/>
      <c r="V33" s="69"/>
      <c r="W33" s="69"/>
      <c r="X33" s="69"/>
      <c r="Y33" s="69"/>
      <c r="Z33" s="69"/>
      <c r="AA33" s="69"/>
      <c r="AB33" s="69"/>
    </row>
    <row r="34" spans="1:28" x14ac:dyDescent="0.45">
      <c r="A34" s="69"/>
      <c r="B34" s="57" t="s">
        <v>319</v>
      </c>
      <c r="C34" s="71">
        <f>C19</f>
        <v>3125</v>
      </c>
      <c r="D34" s="71">
        <f t="shared" ref="D34:F34" si="16">D19</f>
        <v>3760</v>
      </c>
      <c r="E34" s="71">
        <f t="shared" si="16"/>
        <v>3570</v>
      </c>
      <c r="F34" s="71">
        <f t="shared" si="16"/>
        <v>4231.5</v>
      </c>
      <c r="G34" s="69"/>
      <c r="H34" s="81" t="s">
        <v>314</v>
      </c>
      <c r="I34" s="83">
        <f>SLOPE(C34:F34,C35:F35)</f>
        <v>1.257709259750795E-3</v>
      </c>
      <c r="J34" s="69"/>
      <c r="K34" s="69"/>
      <c r="L34" s="69"/>
      <c r="M34" s="69"/>
      <c r="N34" s="69"/>
      <c r="O34" s="69"/>
      <c r="P34" s="69"/>
      <c r="Q34" s="69"/>
      <c r="R34" s="69"/>
      <c r="S34" s="69"/>
      <c r="T34" s="69"/>
      <c r="U34" s="69"/>
      <c r="V34" s="69"/>
      <c r="W34" s="69"/>
      <c r="X34" s="69"/>
      <c r="Y34" s="69"/>
      <c r="Z34" s="69"/>
      <c r="AA34" s="69"/>
      <c r="AB34" s="69"/>
    </row>
    <row r="35" spans="1:28" x14ac:dyDescent="0.45">
      <c r="A35" s="69"/>
      <c r="B35" s="66" t="s">
        <v>327</v>
      </c>
      <c r="C35" s="84">
        <f>C21*'환율&amp;원유'!C6*'환율&amp;원유'!C7/1000</f>
        <v>0</v>
      </c>
      <c r="D35" s="84">
        <f>D21*'환율&amp;원유'!D6*'환율&amp;원유'!D7/1000</f>
        <v>594936.97077715991</v>
      </c>
      <c r="E35" s="84">
        <f>E21*'환율&amp;원유'!E6*'환율&amp;원유'!E7/1000</f>
        <v>593574.35853870003</v>
      </c>
      <c r="F35" s="84">
        <f>F21*'환율&amp;원유'!F6*'환율&amp;원유'!F7/1000</f>
        <v>726131.16860101512</v>
      </c>
      <c r="G35" s="71"/>
      <c r="H35" s="85" t="s">
        <v>315</v>
      </c>
      <c r="I35" s="86">
        <f>INTERCEPT(C34:F34,C35:F35)/4</f>
        <v>767.40227507859709</v>
      </c>
      <c r="J35" s="69"/>
      <c r="K35" s="69"/>
      <c r="L35" s="69"/>
      <c r="M35" s="69"/>
      <c r="N35" s="69"/>
      <c r="O35" s="69"/>
      <c r="P35" s="69"/>
      <c r="Q35" s="69"/>
      <c r="R35" s="69"/>
      <c r="S35" s="69"/>
      <c r="T35" s="69"/>
      <c r="U35" s="69"/>
      <c r="V35" s="69"/>
      <c r="W35" s="69"/>
      <c r="X35" s="69"/>
      <c r="Y35" s="69"/>
      <c r="Z35" s="69"/>
      <c r="AA35" s="69"/>
      <c r="AB35" s="69"/>
    </row>
    <row r="36" spans="1:28" x14ac:dyDescent="0.45">
      <c r="A36" s="69"/>
      <c r="B36" s="48" t="s">
        <v>332</v>
      </c>
      <c r="C36" s="69"/>
      <c r="D36" s="71"/>
      <c r="E36" s="71"/>
      <c r="F36" s="71"/>
      <c r="G36" s="69"/>
      <c r="H36" s="69"/>
      <c r="I36" s="69"/>
      <c r="J36" s="69"/>
      <c r="K36" s="69"/>
      <c r="L36" s="69"/>
      <c r="M36" s="69"/>
      <c r="N36" s="69"/>
      <c r="O36" s="69"/>
      <c r="P36" s="69"/>
      <c r="Q36" s="69"/>
      <c r="R36" s="69"/>
      <c r="S36" s="69"/>
      <c r="T36" s="69"/>
      <c r="U36" s="69"/>
      <c r="V36" s="69"/>
      <c r="W36" s="69"/>
      <c r="X36" s="69"/>
      <c r="Y36" s="69"/>
      <c r="Z36" s="69"/>
      <c r="AA36" s="69"/>
      <c r="AB36" s="69"/>
    </row>
    <row r="37" spans="1:28" x14ac:dyDescent="0.45">
      <c r="L37" s="69"/>
      <c r="M37" s="69"/>
      <c r="N37" s="69"/>
      <c r="O37" s="69"/>
      <c r="P37" s="69"/>
      <c r="Q37" s="69"/>
    </row>
    <row r="38" spans="1:28" x14ac:dyDescent="0.45">
      <c r="L38" s="69"/>
      <c r="M38" s="69"/>
      <c r="N38" s="69"/>
      <c r="O38" s="69"/>
      <c r="P38" s="69"/>
      <c r="Q38" s="69"/>
    </row>
  </sheetData>
  <mergeCells count="8">
    <mergeCell ref="L31:O31"/>
    <mergeCell ref="L32:O32"/>
    <mergeCell ref="L30:O30"/>
    <mergeCell ref="L24:O24"/>
    <mergeCell ref="L25:O25"/>
    <mergeCell ref="L26:O26"/>
    <mergeCell ref="L27:O27"/>
    <mergeCell ref="L28:O28"/>
  </mergeCells>
  <phoneticPr fontId="2" type="noConversion"/>
  <pageMargins left="0.7" right="0.7" top="0.75" bottom="0.75" header="0.3" footer="0.3"/>
  <ignoredErrors>
    <ignoredError sqref="G16:N1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B67C7-F373-4464-A90D-F9A8F3E60356}">
  <dimension ref="A1:AK8"/>
  <sheetViews>
    <sheetView zoomScale="41" zoomScaleNormal="100" workbookViewId="0">
      <selection activeCell="H31" sqref="H31"/>
    </sheetView>
  </sheetViews>
  <sheetFormatPr defaultColWidth="8.83203125" defaultRowHeight="17" x14ac:dyDescent="0.45"/>
  <cols>
    <col min="1" max="1" width="8.83203125" style="15"/>
    <col min="2" max="2" width="15.33203125" style="15" bestFit="1" customWidth="1"/>
    <col min="3" max="14" width="8.33203125" style="15" bestFit="1" customWidth="1"/>
    <col min="15" max="16" width="8.83203125" style="15"/>
    <col min="17" max="17" width="7.9140625" style="15" bestFit="1" customWidth="1"/>
    <col min="18" max="16384" width="8.83203125" style="15"/>
  </cols>
  <sheetData>
    <row r="1" spans="1:37" s="41"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row>
    <row r="2" spans="1:37" s="24" customFormat="1" ht="22.5" x14ac:dyDescent="0.25">
      <c r="A2" s="42" t="s">
        <v>348</v>
      </c>
      <c r="B2" s="43"/>
      <c r="C2" s="44"/>
      <c r="D2" s="44"/>
    </row>
    <row r="3" spans="1:37" s="41" customFormat="1" x14ac:dyDescent="0.45">
      <c r="A3" s="45" t="s">
        <v>382</v>
      </c>
      <c r="B3" s="46"/>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row>
    <row r="4" spans="1:37" x14ac:dyDescent="0.45">
      <c r="A4" s="69"/>
      <c r="B4" s="69"/>
      <c r="C4" s="69"/>
      <c r="D4" s="69"/>
      <c r="E4" s="69"/>
      <c r="F4" s="69"/>
      <c r="G4" s="180"/>
      <c r="H4" s="69"/>
      <c r="I4" s="69"/>
      <c r="J4" s="69"/>
      <c r="K4" s="69"/>
      <c r="L4" s="69"/>
      <c r="M4" s="69"/>
      <c r="N4" s="69"/>
      <c r="O4" s="69"/>
      <c r="P4" s="69"/>
      <c r="Q4" s="69"/>
      <c r="R4" s="69"/>
      <c r="S4" s="69"/>
      <c r="T4" s="69"/>
      <c r="U4" s="69"/>
      <c r="V4" s="69"/>
      <c r="W4" s="69"/>
      <c r="X4" s="69"/>
      <c r="Y4" s="69"/>
      <c r="Z4" s="69"/>
      <c r="AA4" s="69"/>
      <c r="AB4" s="69"/>
    </row>
    <row r="5" spans="1:37" x14ac:dyDescent="0.45">
      <c r="A5" s="69"/>
      <c r="B5" s="51"/>
      <c r="C5" s="50" t="s">
        <v>271</v>
      </c>
      <c r="D5" s="50" t="s">
        <v>272</v>
      </c>
      <c r="E5" s="50" t="s">
        <v>273</v>
      </c>
      <c r="F5" s="51" t="s">
        <v>274</v>
      </c>
      <c r="G5" s="172" t="s">
        <v>239</v>
      </c>
      <c r="H5" s="172" t="s">
        <v>240</v>
      </c>
      <c r="I5" s="172" t="s">
        <v>224</v>
      </c>
      <c r="J5" s="172" t="s">
        <v>225</v>
      </c>
      <c r="K5" s="172" t="s">
        <v>264</v>
      </c>
      <c r="L5" s="172" t="s">
        <v>265</v>
      </c>
      <c r="M5" s="172" t="s">
        <v>266</v>
      </c>
      <c r="N5" s="172" t="s">
        <v>267</v>
      </c>
      <c r="O5" s="181"/>
      <c r="P5" s="154" t="s">
        <v>414</v>
      </c>
      <c r="Q5" s="69"/>
      <c r="R5" s="69"/>
      <c r="S5" s="69"/>
      <c r="T5" s="69"/>
      <c r="U5" s="69"/>
      <c r="V5" s="69"/>
      <c r="W5" s="69"/>
      <c r="X5" s="69"/>
      <c r="Y5" s="69"/>
      <c r="Z5" s="69"/>
      <c r="AA5" s="69"/>
      <c r="AB5" s="69"/>
    </row>
    <row r="6" spans="1:37" x14ac:dyDescent="0.45">
      <c r="A6" s="69"/>
      <c r="B6" s="58" t="s">
        <v>453</v>
      </c>
      <c r="C6" s="142">
        <v>70.444999999999993</v>
      </c>
      <c r="D6" s="142">
        <v>98.060749999999999</v>
      </c>
      <c r="E6" s="142">
        <v>81.031499999999994</v>
      </c>
      <c r="F6" s="143">
        <v>78.362250000000003</v>
      </c>
      <c r="G6" s="142">
        <v>75.91</v>
      </c>
      <c r="H6" s="142">
        <v>69.268000000000001</v>
      </c>
      <c r="I6" s="142">
        <v>69.513000000000005</v>
      </c>
      <c r="J6" s="142">
        <f>AVERAGE(G6:I6)</f>
        <v>71.563666666666663</v>
      </c>
      <c r="K6" s="142">
        <f t="shared" ref="K6:N6" si="0">AVERAGE(H6:J6)</f>
        <v>70.114888888888899</v>
      </c>
      <c r="L6" s="142">
        <f t="shared" si="0"/>
        <v>70.397185185185194</v>
      </c>
      <c r="M6" s="142">
        <f t="shared" si="0"/>
        <v>70.691913580246919</v>
      </c>
      <c r="N6" s="142">
        <f t="shared" si="0"/>
        <v>70.401329218106994</v>
      </c>
      <c r="O6" s="74"/>
      <c r="P6" s="73" t="s">
        <v>427</v>
      </c>
      <c r="Q6" s="74"/>
      <c r="R6" s="71"/>
      <c r="S6" s="71"/>
      <c r="T6" s="76"/>
      <c r="U6" s="76"/>
      <c r="V6" s="76"/>
      <c r="W6" s="76"/>
      <c r="X6" s="69"/>
      <c r="Y6" s="69"/>
      <c r="Z6" s="69"/>
      <c r="AA6" s="69"/>
      <c r="AB6" s="69"/>
    </row>
    <row r="7" spans="1:37" x14ac:dyDescent="0.45">
      <c r="A7" s="69"/>
      <c r="B7" s="61" t="s">
        <v>323</v>
      </c>
      <c r="C7" s="144">
        <v>1158.0715</v>
      </c>
      <c r="D7" s="144">
        <v>1300.82</v>
      </c>
      <c r="E7" s="144">
        <v>1314.65</v>
      </c>
      <c r="F7" s="145">
        <v>1379.33</v>
      </c>
      <c r="G7" s="144">
        <v>1474.25</v>
      </c>
      <c r="H7" s="144">
        <v>1353.5</v>
      </c>
      <c r="I7" s="144">
        <v>1389.7</v>
      </c>
      <c r="J7" s="144">
        <f>AVERAGE(G7:I7)</f>
        <v>1405.8166666666666</v>
      </c>
      <c r="K7" s="144">
        <f t="shared" ref="K7:N7" si="1">AVERAGE(H7:J7)</f>
        <v>1383.0055555555555</v>
      </c>
      <c r="L7" s="144">
        <f t="shared" si="1"/>
        <v>1392.8407407407406</v>
      </c>
      <c r="M7" s="144">
        <f t="shared" si="1"/>
        <v>1393.8876543209874</v>
      </c>
      <c r="N7" s="144">
        <f t="shared" si="1"/>
        <v>1389.9113168724277</v>
      </c>
      <c r="O7" s="74"/>
      <c r="P7" s="72" t="s">
        <v>428</v>
      </c>
      <c r="Q7" s="73"/>
      <c r="R7" s="74"/>
      <c r="S7" s="71"/>
      <c r="T7" s="76"/>
      <c r="U7" s="76"/>
      <c r="V7" s="76"/>
      <c r="W7" s="76"/>
      <c r="X7" s="69"/>
      <c r="Y7" s="69"/>
      <c r="Z7" s="69"/>
      <c r="AA7" s="69"/>
      <c r="AB7" s="69"/>
    </row>
    <row r="8" spans="1:37" x14ac:dyDescent="0.45">
      <c r="L8" s="69"/>
      <c r="M8" s="69"/>
      <c r="N8" s="69"/>
      <c r="O8" s="69"/>
      <c r="P8" s="69"/>
      <c r="Q8" s="69"/>
    </row>
  </sheetData>
  <phoneticPr fontId="2" type="noConversion"/>
  <pageMargins left="0.7" right="0.7" top="0.75" bottom="0.75" header="0.3" footer="0.3"/>
  <ignoredErrors>
    <ignoredError sqref="J6:J7"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C05E-9667-4B89-A0F2-422C4132F12B}">
  <dimension ref="A1:AQ71"/>
  <sheetViews>
    <sheetView topLeftCell="D2" zoomScale="74" zoomScaleNormal="100" workbookViewId="0">
      <selection activeCell="I15" sqref="I15"/>
    </sheetView>
  </sheetViews>
  <sheetFormatPr defaultColWidth="8.83203125" defaultRowHeight="17" x14ac:dyDescent="0.45"/>
  <cols>
    <col min="1" max="1" width="8.83203125" style="15"/>
    <col min="2" max="2" width="18.5" style="15" bestFit="1" customWidth="1"/>
    <col min="3" max="3" width="9.9140625" style="15" customWidth="1"/>
    <col min="4" max="4" width="10" style="15" bestFit="1" customWidth="1"/>
    <col min="5" max="5" width="9.6640625" style="15" bestFit="1" customWidth="1"/>
    <col min="6" max="7" width="10" style="15" bestFit="1" customWidth="1"/>
    <col min="8" max="8" width="10.9140625" style="15" bestFit="1" customWidth="1"/>
    <col min="9" max="9" width="10.08203125" style="15" bestFit="1" customWidth="1"/>
    <col min="10" max="10" width="10.9140625" style="15" bestFit="1" customWidth="1"/>
    <col min="11" max="13" width="10" style="15" bestFit="1" customWidth="1"/>
    <col min="14" max="14" width="9.83203125" style="15" bestFit="1" customWidth="1"/>
    <col min="15" max="15" width="12.08203125" style="15" customWidth="1"/>
    <col min="16" max="16" width="10.9140625" style="15" bestFit="1" customWidth="1"/>
    <col min="17" max="16384" width="8.83203125" style="15"/>
  </cols>
  <sheetData>
    <row r="1" spans="1:43" s="22" customFormat="1" x14ac:dyDescent="0.45">
      <c r="A1" s="27" t="s">
        <v>262</v>
      </c>
      <c r="B1" s="20"/>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row>
    <row r="2" spans="1:43" s="24" customFormat="1" ht="22.5" x14ac:dyDescent="0.8">
      <c r="A2" s="28" t="s">
        <v>219</v>
      </c>
      <c r="B2" s="23"/>
    </row>
    <row r="3" spans="1:43" s="22" customFormat="1" ht="18.5" x14ac:dyDescent="0.6">
      <c r="A3" s="29" t="s">
        <v>220</v>
      </c>
      <c r="B3" s="25"/>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row>
    <row r="4" spans="1:43" x14ac:dyDescent="0.45">
      <c r="A4" s="69"/>
      <c r="B4" s="69"/>
      <c r="C4" s="69"/>
      <c r="D4" s="69"/>
      <c r="E4" s="69"/>
      <c r="F4" s="69"/>
      <c r="G4" s="69"/>
      <c r="H4" s="69"/>
      <c r="I4" s="69"/>
      <c r="J4" s="69"/>
      <c r="K4" s="69"/>
      <c r="L4" s="69"/>
      <c r="M4" s="69"/>
      <c r="N4" s="69"/>
      <c r="O4" s="69"/>
      <c r="P4" s="69"/>
      <c r="Q4" s="69"/>
      <c r="R4" s="69"/>
      <c r="S4" s="69"/>
      <c r="T4" s="69"/>
      <c r="U4" s="69"/>
      <c r="V4" s="69"/>
      <c r="W4" s="69"/>
    </row>
    <row r="5" spans="1:43" x14ac:dyDescent="0.45">
      <c r="A5" s="69"/>
      <c r="B5" s="91" t="s">
        <v>290</v>
      </c>
      <c r="C5" s="169" t="s">
        <v>221</v>
      </c>
      <c r="D5" s="169" t="s">
        <v>222</v>
      </c>
      <c r="E5" s="169" t="s">
        <v>223</v>
      </c>
      <c r="F5" s="169" t="s">
        <v>239</v>
      </c>
      <c r="G5" s="169" t="s">
        <v>240</v>
      </c>
      <c r="H5" s="169" t="s">
        <v>224</v>
      </c>
      <c r="I5" s="169" t="s">
        <v>225</v>
      </c>
      <c r="J5" s="169" t="s">
        <v>264</v>
      </c>
      <c r="K5" s="169" t="s">
        <v>265</v>
      </c>
      <c r="L5" s="169" t="s">
        <v>266</v>
      </c>
      <c r="M5" s="169" t="s">
        <v>267</v>
      </c>
      <c r="N5" s="69"/>
      <c r="O5" s="154" t="s">
        <v>414</v>
      </c>
      <c r="P5" s="69"/>
      <c r="Q5" s="69"/>
      <c r="R5" s="69"/>
      <c r="S5" s="69"/>
      <c r="T5" s="69"/>
      <c r="U5" s="69"/>
      <c r="V5" s="69"/>
      <c r="W5" s="69"/>
    </row>
    <row r="6" spans="1:43" x14ac:dyDescent="0.45">
      <c r="A6" s="69"/>
      <c r="B6" s="92" t="s">
        <v>226</v>
      </c>
      <c r="C6" s="93">
        <f>'IS(Quaterly)'!G10</f>
        <v>437855.15857999999</v>
      </c>
      <c r="D6" s="93">
        <f>'IS(Quaterly)'!H10</f>
        <v>461261.43663000001</v>
      </c>
      <c r="E6" s="93">
        <f>'IS(Quaterly)'!I10</f>
        <v>463372.92219000001</v>
      </c>
      <c r="F6" s="93">
        <f>'IS(Quaterly)'!J10</f>
        <v>485597.82841999998</v>
      </c>
      <c r="G6" s="93">
        <f>'IS(Quaterly)'!K10</f>
        <v>467721.56942000001</v>
      </c>
      <c r="H6" s="94">
        <f>매출추정!I6*100</f>
        <v>469386.74662213761</v>
      </c>
      <c r="I6" s="94">
        <f>매출추정!J6*100</f>
        <v>483293.63063535502</v>
      </c>
      <c r="J6" s="94">
        <f>매출추정!K6*100</f>
        <v>508637.4233877068</v>
      </c>
      <c r="K6" s="94">
        <f>매출추정!L6*100</f>
        <v>519267.73544222617</v>
      </c>
      <c r="L6" s="94">
        <f>매출추정!M6*100</f>
        <v>538811.30527874618</v>
      </c>
      <c r="M6" s="94">
        <f>매출추정!N6*100</f>
        <v>550319.22796005022</v>
      </c>
      <c r="N6" s="69"/>
      <c r="O6" s="69"/>
      <c r="P6" s="69"/>
      <c r="Q6" s="69"/>
      <c r="R6" s="69"/>
      <c r="S6" s="69"/>
      <c r="T6" s="69"/>
      <c r="U6" s="69"/>
      <c r="V6" s="69"/>
      <c r="W6" s="69"/>
    </row>
    <row r="7" spans="1:43" x14ac:dyDescent="0.45">
      <c r="A7" s="69"/>
      <c r="B7" s="95" t="s">
        <v>227</v>
      </c>
      <c r="C7" s="96">
        <f>'IS(Quaterly)'!G13</f>
        <v>343797.99862999999</v>
      </c>
      <c r="D7" s="96">
        <f>'IS(Quaterly)'!H13</f>
        <v>355933.41735</v>
      </c>
      <c r="E7" s="96">
        <f>'IS(Quaterly)'!I13</f>
        <v>373085.98321999999</v>
      </c>
      <c r="F7" s="96">
        <f>'IS(Quaterly)'!J13</f>
        <v>377587.18170999998</v>
      </c>
      <c r="G7" s="96">
        <f>'IS(Quaterly)'!K13</f>
        <v>358744.48679</v>
      </c>
      <c r="H7" s="96">
        <f>H6*H8</f>
        <v>367643.87233406591</v>
      </c>
      <c r="I7" s="96">
        <f t="shared" ref="I7:M7" si="0">I6*I8</f>
        <v>375006.7232630786</v>
      </c>
      <c r="J7" s="96">
        <f t="shared" si="0"/>
        <v>394395.26445860992</v>
      </c>
      <c r="K7" s="96">
        <f t="shared" si="0"/>
        <v>404090.4096771967</v>
      </c>
      <c r="L7" s="96">
        <f t="shared" si="0"/>
        <v>418392.04309196735</v>
      </c>
      <c r="M7" s="96">
        <f t="shared" si="0"/>
        <v>427432.55552263558</v>
      </c>
      <c r="N7" s="184"/>
      <c r="O7" s="273" t="s">
        <v>516</v>
      </c>
      <c r="P7" s="185"/>
      <c r="Q7" s="69"/>
      <c r="R7" s="69"/>
      <c r="S7" s="69"/>
      <c r="T7" s="69"/>
      <c r="U7" s="69"/>
      <c r="V7" s="69"/>
      <c r="W7" s="69"/>
    </row>
    <row r="8" spans="1:43" x14ac:dyDescent="0.45">
      <c r="A8" s="69"/>
      <c r="B8" s="32" t="s">
        <v>228</v>
      </c>
      <c r="C8" s="33">
        <f>C7/C6</f>
        <v>0.78518658943054354</v>
      </c>
      <c r="D8" s="33">
        <f t="shared" ref="D8:G8" si="1">D7/D6</f>
        <v>0.77165223251800108</v>
      </c>
      <c r="E8" s="33">
        <f t="shared" si="1"/>
        <v>0.80515275138805142</v>
      </c>
      <c r="F8" s="33">
        <f t="shared" si="1"/>
        <v>0.77757180862724085</v>
      </c>
      <c r="G8" s="33">
        <f t="shared" si="1"/>
        <v>0.76700436807920258</v>
      </c>
      <c r="H8" s="33">
        <f>AVERAGE(E8:G8)</f>
        <v>0.78324297603149828</v>
      </c>
      <c r="I8" s="33">
        <f t="shared" ref="I8:M8" si="2">AVERAGE(F8:H8)</f>
        <v>0.7759397175793139</v>
      </c>
      <c r="J8" s="33">
        <f t="shared" si="2"/>
        <v>0.77539568723000496</v>
      </c>
      <c r="K8" s="33">
        <f t="shared" si="2"/>
        <v>0.77819279361360572</v>
      </c>
      <c r="L8" s="33">
        <f t="shared" si="2"/>
        <v>0.77650939947430819</v>
      </c>
      <c r="M8" s="33">
        <f t="shared" si="2"/>
        <v>0.77669929343930633</v>
      </c>
      <c r="N8" s="184"/>
      <c r="O8" s="186"/>
      <c r="P8" s="185"/>
      <c r="Q8" s="69"/>
      <c r="R8" s="69"/>
      <c r="S8" s="69"/>
      <c r="T8" s="69"/>
      <c r="U8" s="69"/>
      <c r="V8" s="69"/>
      <c r="W8" s="69"/>
    </row>
    <row r="9" spans="1:43" x14ac:dyDescent="0.45">
      <c r="A9" s="69"/>
      <c r="B9" s="97" t="s">
        <v>229</v>
      </c>
      <c r="C9" s="96">
        <f>'IS(Quaterly)'!G14</f>
        <v>94057.159950000001</v>
      </c>
      <c r="D9" s="96">
        <f>'IS(Quaterly)'!H14</f>
        <v>105328.01927999999</v>
      </c>
      <c r="E9" s="96">
        <f>'IS(Quaterly)'!I14</f>
        <v>90286.938970000003</v>
      </c>
      <c r="F9" s="96">
        <f>'IS(Quaterly)'!J14</f>
        <v>108010.64671</v>
      </c>
      <c r="G9" s="96">
        <f>'IS(Quaterly)'!K14</f>
        <v>108977.08262</v>
      </c>
      <c r="H9" s="98">
        <f>H6-H7</f>
        <v>101742.8742880717</v>
      </c>
      <c r="I9" s="98">
        <f t="shared" ref="I9:M9" si="3">I6-I7</f>
        <v>108286.90737227642</v>
      </c>
      <c r="J9" s="98">
        <f t="shared" si="3"/>
        <v>114242.15892909688</v>
      </c>
      <c r="K9" s="98">
        <f t="shared" si="3"/>
        <v>115177.32576502947</v>
      </c>
      <c r="L9" s="98">
        <f t="shared" si="3"/>
        <v>120419.26218677883</v>
      </c>
      <c r="M9" s="98">
        <f t="shared" si="3"/>
        <v>122886.67243741464</v>
      </c>
      <c r="N9" s="184"/>
      <c r="O9" s="102"/>
      <c r="P9" s="185"/>
      <c r="Q9" s="69"/>
      <c r="R9" s="69"/>
      <c r="S9" s="69"/>
      <c r="T9" s="69"/>
      <c r="U9" s="69"/>
      <c r="V9" s="69"/>
      <c r="W9" s="69"/>
    </row>
    <row r="10" spans="1:43" x14ac:dyDescent="0.45">
      <c r="A10" s="69"/>
      <c r="B10" s="33" t="s">
        <v>230</v>
      </c>
      <c r="C10" s="33">
        <f t="shared" ref="C10:M10" si="4">C9/C6</f>
        <v>0.21481341056945646</v>
      </c>
      <c r="D10" s="33">
        <f t="shared" si="4"/>
        <v>0.22834776748199886</v>
      </c>
      <c r="E10" s="33">
        <f t="shared" si="4"/>
        <v>0.19484724861194849</v>
      </c>
      <c r="F10" s="33">
        <f t="shared" si="4"/>
        <v>0.22242819137275913</v>
      </c>
      <c r="G10" s="33">
        <f t="shared" si="4"/>
        <v>0.23299563189941713</v>
      </c>
      <c r="H10" s="33">
        <f t="shared" si="4"/>
        <v>0.21675702396850166</v>
      </c>
      <c r="I10" s="33">
        <f t="shared" si="4"/>
        <v>0.22406028242068612</v>
      </c>
      <c r="J10" s="33">
        <f t="shared" si="4"/>
        <v>0.22460431276999504</v>
      </c>
      <c r="K10" s="33">
        <f t="shared" si="4"/>
        <v>0.22180720638639434</v>
      </c>
      <c r="L10" s="33">
        <f t="shared" si="4"/>
        <v>0.22349060052569178</v>
      </c>
      <c r="M10" s="33">
        <f t="shared" si="4"/>
        <v>0.22330070656069365</v>
      </c>
      <c r="N10" s="184"/>
      <c r="O10" s="186"/>
      <c r="P10" s="185"/>
      <c r="Q10" s="69"/>
      <c r="R10" s="69"/>
      <c r="S10" s="69"/>
      <c r="T10" s="69"/>
      <c r="U10" s="69"/>
      <c r="V10" s="69"/>
      <c r="W10" s="69"/>
    </row>
    <row r="11" spans="1:43" x14ac:dyDescent="0.45">
      <c r="A11" s="69"/>
      <c r="B11" s="99" t="s">
        <v>231</v>
      </c>
      <c r="C11" s="96">
        <f>'IS(Quaterly)'!G15</f>
        <v>23071.29076</v>
      </c>
      <c r="D11" s="96">
        <f>'IS(Quaterly)'!H15</f>
        <v>21944.669720000002</v>
      </c>
      <c r="E11" s="96">
        <f>'IS(Quaterly)'!I15</f>
        <v>24407.77018</v>
      </c>
      <c r="F11" s="96">
        <f>'IS(Quaterly)'!J15</f>
        <v>25003.819500000001</v>
      </c>
      <c r="G11" s="96">
        <f>'IS(Quaterly)'!K15</f>
        <v>25967.14733</v>
      </c>
      <c r="H11" s="96">
        <f>H51</f>
        <v>25534.997442173768</v>
      </c>
      <c r="I11" s="96">
        <f t="shared" ref="I11:M11" si="5">I51</f>
        <v>25957.874271039225</v>
      </c>
      <c r="J11" s="96">
        <f t="shared" si="5"/>
        <v>25964.081698471186</v>
      </c>
      <c r="K11" s="96">
        <f t="shared" si="5"/>
        <v>26135.482437394567</v>
      </c>
      <c r="L11" s="96">
        <f t="shared" si="5"/>
        <v>26176.754940556046</v>
      </c>
      <c r="M11" s="96">
        <f t="shared" si="5"/>
        <v>26341.857489306072</v>
      </c>
      <c r="N11" s="184"/>
      <c r="O11" s="186"/>
      <c r="P11" s="185"/>
      <c r="Q11" s="69"/>
      <c r="R11" s="69"/>
      <c r="S11" s="69"/>
      <c r="T11" s="69"/>
      <c r="U11" s="69"/>
      <c r="V11" s="69"/>
      <c r="W11" s="69"/>
    </row>
    <row r="12" spans="1:43" x14ac:dyDescent="0.45">
      <c r="A12" s="69"/>
      <c r="B12" s="36" t="s">
        <v>228</v>
      </c>
      <c r="C12" s="38">
        <f>C11/C$6</f>
        <v>5.2691604307739753E-2</v>
      </c>
      <c r="D12" s="38">
        <f t="shared" ref="D12:M12" si="6">D11/D$6</f>
        <v>4.7575340094175002E-2</v>
      </c>
      <c r="E12" s="38">
        <f t="shared" si="6"/>
        <v>5.2674140009398115E-2</v>
      </c>
      <c r="F12" s="38">
        <f t="shared" si="6"/>
        <v>5.1490797603760838E-2</v>
      </c>
      <c r="G12" s="38">
        <f t="shared" si="6"/>
        <v>5.5518387493227357E-2</v>
      </c>
      <c r="H12" s="38">
        <f t="shared" si="6"/>
        <v>5.4400763604707761E-2</v>
      </c>
      <c r="I12" s="38">
        <f t="shared" si="6"/>
        <v>5.3710358725220689E-2</v>
      </c>
      <c r="J12" s="38">
        <f t="shared" si="6"/>
        <v>5.1046345598287149E-2</v>
      </c>
      <c r="K12" s="38">
        <f t="shared" si="6"/>
        <v>5.0331419908338219E-2</v>
      </c>
      <c r="L12" s="38">
        <f t="shared" si="6"/>
        <v>4.8582415929476243E-2</v>
      </c>
      <c r="M12" s="38">
        <f t="shared" si="6"/>
        <v>4.7866503932547183E-2</v>
      </c>
      <c r="N12" s="184"/>
      <c r="O12" s="186"/>
      <c r="P12" s="185"/>
      <c r="Q12" s="69"/>
      <c r="R12" s="69"/>
      <c r="S12" s="69"/>
      <c r="T12" s="69"/>
      <c r="U12" s="69"/>
      <c r="V12" s="69"/>
      <c r="W12" s="69"/>
    </row>
    <row r="13" spans="1:43" x14ac:dyDescent="0.45">
      <c r="A13" s="69"/>
      <c r="B13" s="100" t="s">
        <v>242</v>
      </c>
      <c r="C13" s="101">
        <v>8578.0069999999996</v>
      </c>
      <c r="D13" s="101">
        <v>9172.3130000000001</v>
      </c>
      <c r="E13" s="101">
        <v>9314.7029999999995</v>
      </c>
      <c r="F13" s="101">
        <v>10343.031000000001</v>
      </c>
      <c r="G13" s="101">
        <v>10338.994000000001</v>
      </c>
      <c r="H13" s="101">
        <f>G13*(1+$N$13)</f>
        <v>10443.30214502409</v>
      </c>
      <c r="I13" s="101">
        <f>H13*(1+$N$13)</f>
        <v>10548.662635094359</v>
      </c>
      <c r="J13" s="101">
        <f>I13*(1+$N$14)</f>
        <v>10655.163047603162</v>
      </c>
      <c r="K13" s="101">
        <f>J13*(1+$N$14)</f>
        <v>10762.738699529218</v>
      </c>
      <c r="L13" s="101">
        <f>K13*(1+$N$14)</f>
        <v>10871.400446603289</v>
      </c>
      <c r="M13" s="101">
        <f>L13*(1+$N$14)</f>
        <v>10981.159254156744</v>
      </c>
      <c r="N13" s="187">
        <f>(1+3.6%)^0.25/100</f>
        <v>1.0088809900082159E-2</v>
      </c>
      <c r="O13" s="102" t="s">
        <v>422</v>
      </c>
      <c r="P13" s="185"/>
      <c r="Q13" s="69"/>
      <c r="R13" s="69"/>
      <c r="S13" s="69"/>
      <c r="T13" s="69"/>
      <c r="U13" s="69"/>
      <c r="V13" s="69"/>
      <c r="W13" s="69"/>
    </row>
    <row r="14" spans="1:43" x14ac:dyDescent="0.45">
      <c r="A14" s="69"/>
      <c r="B14" s="38" t="s">
        <v>263</v>
      </c>
      <c r="C14" s="38">
        <f>C13/C$6</f>
        <v>1.9590969369458103E-2</v>
      </c>
      <c r="D14" s="38">
        <f t="shared" ref="D14" si="7">D13/D$6</f>
        <v>1.9885280388955547E-2</v>
      </c>
      <c r="E14" s="38">
        <f t="shared" ref="E14" si="8">E13/E$6</f>
        <v>2.0101957956405202E-2</v>
      </c>
      <c r="F14" s="38">
        <f t="shared" ref="F14" si="9">F13/F$6</f>
        <v>2.129958248300521E-2</v>
      </c>
      <c r="G14" s="38">
        <f t="shared" ref="G14" si="10">G13/G$6</f>
        <v>2.2105018617851878E-2</v>
      </c>
      <c r="H14" s="38">
        <f t="shared" ref="H14" si="11">H13/H$6</f>
        <v>2.2248821936660012E-2</v>
      </c>
      <c r="I14" s="38">
        <f t="shared" ref="I14" si="12">I13/I$6</f>
        <v>2.1826612159623771E-2</v>
      </c>
      <c r="J14" s="38">
        <f t="shared" ref="J14" si="13">J13/J$6</f>
        <v>2.0948444919046603E-2</v>
      </c>
      <c r="K14" s="38">
        <f t="shared" ref="K14" si="14">K13/K$6</f>
        <v>2.0726761870469963E-2</v>
      </c>
      <c r="L14" s="38">
        <f t="shared" ref="L14" si="15">L13/L$6</f>
        <v>2.0176637609671401E-2</v>
      </c>
      <c r="M14" s="38">
        <f t="shared" ref="M14" si="16">M13/M$6</f>
        <v>1.995416241380886E-2</v>
      </c>
      <c r="N14" s="188">
        <f>(1+3.9%)^0.25/100</f>
        <v>1.0096105657459021E-2</v>
      </c>
      <c r="O14" s="103"/>
      <c r="P14" s="103"/>
      <c r="Q14" s="69"/>
      <c r="R14" s="69"/>
      <c r="S14" s="69"/>
      <c r="T14" s="69"/>
      <c r="U14" s="69"/>
      <c r="V14" s="69"/>
      <c r="W14" s="69"/>
    </row>
    <row r="15" spans="1:43" x14ac:dyDescent="0.45">
      <c r="A15" s="69"/>
      <c r="B15" s="100" t="s">
        <v>243</v>
      </c>
      <c r="C15" s="101">
        <v>307.125</v>
      </c>
      <c r="D15" s="101">
        <v>362.536</v>
      </c>
      <c r="E15" s="101">
        <v>208.154</v>
      </c>
      <c r="F15" s="101">
        <v>394.63099999999997</v>
      </c>
      <c r="G15" s="101">
        <v>420.08499999999998</v>
      </c>
      <c r="H15" s="101">
        <f>G15*(1+$N$13)</f>
        <v>424.32315770687603</v>
      </c>
      <c r="I15" s="101">
        <f>H15*(1+$N$13)</f>
        <v>428.6040733811833</v>
      </c>
      <c r="J15" s="101">
        <f>I15*(1+$N$14)</f>
        <v>432.93130539125707</v>
      </c>
      <c r="K15" s="101">
        <f>J15*(1+$N$14)</f>
        <v>437.30222559290888</v>
      </c>
      <c r="L15" s="101">
        <f>K15*(1+$N$14)</f>
        <v>441.71727506673693</v>
      </c>
      <c r="M15" s="101">
        <f>L15*(1+$N$14)</f>
        <v>446.17689934653566</v>
      </c>
      <c r="N15" s="184"/>
      <c r="O15" s="102" t="s">
        <v>423</v>
      </c>
      <c r="P15" s="185"/>
      <c r="Q15" s="69"/>
      <c r="R15" s="69"/>
      <c r="S15" s="69"/>
      <c r="T15" s="69"/>
      <c r="U15" s="69"/>
      <c r="V15" s="69"/>
      <c r="W15" s="69"/>
    </row>
    <row r="16" spans="1:43" x14ac:dyDescent="0.45">
      <c r="A16" s="69"/>
      <c r="B16" s="38" t="s">
        <v>263</v>
      </c>
      <c r="C16" s="38">
        <f>C15/C$6</f>
        <v>7.0143058493596702E-4</v>
      </c>
      <c r="D16" s="38">
        <f t="shared" ref="D16" si="17">D15/D$6</f>
        <v>7.8596641993032589E-4</v>
      </c>
      <c r="E16" s="38">
        <f t="shared" ref="E16" si="18">E15/E$6</f>
        <v>4.4921485488668491E-4</v>
      </c>
      <c r="F16" s="38">
        <f t="shared" ref="F16" si="19">F15/F$6</f>
        <v>8.1267043817724496E-4</v>
      </c>
      <c r="G16" s="38">
        <f t="shared" ref="G16" si="20">G15/G$6</f>
        <v>8.9815186526661164E-4</v>
      </c>
      <c r="H16" s="38">
        <f t="shared" ref="H16" si="21">H15/H$6</f>
        <v>9.0399475647841765E-4</v>
      </c>
      <c r="I16" s="38">
        <f t="shared" ref="I16" si="22">I15/I$6</f>
        <v>8.8683989651948262E-4</v>
      </c>
      <c r="J16" s="38">
        <f t="shared" ref="J16" si="23">J15/J$6</f>
        <v>8.5115896999434296E-4</v>
      </c>
      <c r="K16" s="38">
        <f t="shared" ref="K16" si="24">K15/K$6</f>
        <v>8.4215173742787492E-4</v>
      </c>
      <c r="L16" s="38">
        <f t="shared" ref="L16" si="25">L15/L$6</f>
        <v>8.1979956756516258E-4</v>
      </c>
      <c r="M16" s="38">
        <f t="shared" ref="M16" si="26">M15/M$6</f>
        <v>8.1076014916005323E-4</v>
      </c>
      <c r="N16" s="184"/>
      <c r="O16" s="102"/>
      <c r="P16" s="185"/>
      <c r="Q16" s="69"/>
      <c r="R16" s="69"/>
      <c r="S16" s="69"/>
      <c r="T16" s="69"/>
      <c r="U16" s="69"/>
      <c r="V16" s="69"/>
      <c r="W16" s="69"/>
    </row>
    <row r="17" spans="1:23" x14ac:dyDescent="0.45">
      <c r="A17" s="69"/>
      <c r="B17" s="100" t="s">
        <v>244</v>
      </c>
      <c r="C17" s="101">
        <v>290.74200000000002</v>
      </c>
      <c r="D17" s="101">
        <v>349.20600000000002</v>
      </c>
      <c r="E17" s="101">
        <v>490.19499999999999</v>
      </c>
      <c r="F17" s="101">
        <v>486.74400000000003</v>
      </c>
      <c r="G17" s="101">
        <v>412.79899999999998</v>
      </c>
      <c r="H17" s="101">
        <f>AVERAGE(D17:G17)</f>
        <v>434.73599999999999</v>
      </c>
      <c r="I17" s="101">
        <f t="shared" ref="I17:M17" si="27">AVERAGE(E17:H17)</f>
        <v>456.11850000000004</v>
      </c>
      <c r="J17" s="101">
        <f t="shared" si="27"/>
        <v>447.59937500000001</v>
      </c>
      <c r="K17" s="101">
        <f t="shared" si="27"/>
        <v>437.81321874999998</v>
      </c>
      <c r="L17" s="101">
        <f t="shared" si="27"/>
        <v>444.06677343750005</v>
      </c>
      <c r="M17" s="101">
        <f t="shared" si="27"/>
        <v>446.399466796875</v>
      </c>
      <c r="N17" s="184"/>
      <c r="O17" s="102" t="s">
        <v>429</v>
      </c>
      <c r="P17" s="185"/>
      <c r="Q17" s="69"/>
      <c r="R17" s="69"/>
      <c r="S17" s="69"/>
      <c r="T17" s="69"/>
      <c r="U17" s="69"/>
      <c r="V17" s="69"/>
      <c r="W17" s="69"/>
    </row>
    <row r="18" spans="1:23" x14ac:dyDescent="0.45">
      <c r="A18" s="69"/>
      <c r="B18" s="38" t="s">
        <v>263</v>
      </c>
      <c r="C18" s="38">
        <f>C17/C$6</f>
        <v>6.6401410215857694E-4</v>
      </c>
      <c r="D18" s="38">
        <f t="shared" ref="D18" si="28">D17/D$6</f>
        <v>7.570674074800555E-4</v>
      </c>
      <c r="E18" s="38">
        <f t="shared" ref="E18" si="29">E17/E$6</f>
        <v>1.0578844307156169E-3</v>
      </c>
      <c r="F18" s="38">
        <f t="shared" ref="F18" si="30">F17/F$6</f>
        <v>1.0023603309424372E-3</v>
      </c>
      <c r="G18" s="38">
        <f t="shared" ref="G18" si="31">G17/G$6</f>
        <v>8.8257422147944341E-4</v>
      </c>
      <c r="H18" s="38">
        <f t="shared" ref="H18" si="32">H17/H$6</f>
        <v>9.2617868554769418E-4</v>
      </c>
      <c r="I18" s="38">
        <f t="shared" ref="I18" si="33">I17/I$6</f>
        <v>9.4377097293910214E-4</v>
      </c>
      <c r="J18" s="38">
        <f t="shared" ref="J18" si="34">J17/J$6</f>
        <v>8.7999693773774723E-4</v>
      </c>
      <c r="K18" s="38">
        <f t="shared" ref="K18" si="35">K17/K$6</f>
        <v>8.4313580233738822E-4</v>
      </c>
      <c r="L18" s="38">
        <f t="shared" ref="L18" si="36">L17/L$6</f>
        <v>8.2416008923155129E-4</v>
      </c>
      <c r="M18" s="38">
        <f t="shared" ref="M18" si="37">M17/M$6</f>
        <v>8.1116458251260821E-4</v>
      </c>
      <c r="N18" s="184"/>
      <c r="O18" s="102"/>
      <c r="P18" s="185"/>
      <c r="Q18" s="69"/>
      <c r="R18" s="69"/>
      <c r="S18" s="69"/>
      <c r="T18" s="69"/>
      <c r="U18" s="69"/>
      <c r="V18" s="69"/>
      <c r="W18" s="69"/>
    </row>
    <row r="19" spans="1:23" x14ac:dyDescent="0.45">
      <c r="A19" s="69"/>
      <c r="B19" s="100" t="s">
        <v>245</v>
      </c>
      <c r="C19" s="101">
        <v>3581.4079999999999</v>
      </c>
      <c r="D19" s="101">
        <v>1754.789</v>
      </c>
      <c r="E19" s="101">
        <v>2315.326</v>
      </c>
      <c r="F19" s="101">
        <v>1739.365</v>
      </c>
      <c r="G19" s="101">
        <v>2623.3330000000001</v>
      </c>
      <c r="H19" s="101">
        <f t="shared" ref="H19:M19" si="38">AVERAGE(D19:G19)</f>
        <v>2108.20325</v>
      </c>
      <c r="I19" s="101">
        <f t="shared" si="38"/>
        <v>2196.5568125</v>
      </c>
      <c r="J19" s="101">
        <f t="shared" si="38"/>
        <v>2166.8645156250004</v>
      </c>
      <c r="K19" s="101">
        <f t="shared" si="38"/>
        <v>2273.7393945312501</v>
      </c>
      <c r="L19" s="101">
        <f t="shared" si="38"/>
        <v>2186.3409931640626</v>
      </c>
      <c r="M19" s="101">
        <f t="shared" si="38"/>
        <v>2205.875428955078</v>
      </c>
      <c r="N19" s="184"/>
      <c r="O19" s="102" t="s">
        <v>430</v>
      </c>
      <c r="P19" s="185"/>
      <c r="Q19" s="69"/>
      <c r="R19" s="69"/>
      <c r="S19" s="69"/>
      <c r="T19" s="69"/>
      <c r="U19" s="69"/>
      <c r="V19" s="69"/>
      <c r="W19" s="69"/>
    </row>
    <row r="20" spans="1:23" x14ac:dyDescent="0.45">
      <c r="A20" s="69"/>
      <c r="B20" s="38" t="s">
        <v>263</v>
      </c>
      <c r="C20" s="38">
        <f>C19/C$6</f>
        <v>8.1794354361720851E-3</v>
      </c>
      <c r="D20" s="38">
        <f t="shared" ref="D20" si="39">D19/D$6</f>
        <v>3.8043262684619365E-3</v>
      </c>
      <c r="E20" s="38">
        <f t="shared" ref="E20" si="40">E19/E$6</f>
        <v>4.9966795406543646E-3</v>
      </c>
      <c r="F20" s="38">
        <f t="shared" ref="F20" si="41">F19/F$6</f>
        <v>3.5819044036078354E-3</v>
      </c>
      <c r="G20" s="38">
        <f t="shared" ref="G20" si="42">G19/G$6</f>
        <v>5.6087492463797947E-3</v>
      </c>
      <c r="H20" s="38">
        <f t="shared" ref="H20" si="43">H19/H$6</f>
        <v>4.4913991823828181E-3</v>
      </c>
      <c r="I20" s="38">
        <f t="shared" ref="I20" si="44">I19/I$6</f>
        <v>4.5449736418258363E-3</v>
      </c>
      <c r="J20" s="38">
        <f t="shared" ref="J20" si="45">J19/J$6</f>
        <v>4.2601358374161876E-3</v>
      </c>
      <c r="K20" s="38">
        <f t="shared" ref="K20" si="46">K19/K$6</f>
        <v>4.3787419077652798E-3</v>
      </c>
      <c r="L20" s="38">
        <f t="shared" ref="L20" si="47">L19/L$6</f>
        <v>4.0577118032684763E-3</v>
      </c>
      <c r="M20" s="38">
        <f t="shared" ref="M20" si="48">M19/M$6</f>
        <v>4.0083560902131714E-3</v>
      </c>
      <c r="N20" s="184"/>
      <c r="O20" s="102"/>
      <c r="P20" s="185"/>
      <c r="Q20" s="69"/>
      <c r="R20" s="69"/>
      <c r="S20" s="69"/>
      <c r="T20" s="69"/>
      <c r="U20" s="69"/>
      <c r="V20" s="69"/>
      <c r="W20" s="69"/>
    </row>
    <row r="21" spans="1:23" x14ac:dyDescent="0.45">
      <c r="A21" s="69"/>
      <c r="B21" s="100" t="s">
        <v>246</v>
      </c>
      <c r="C21" s="101">
        <v>115.089</v>
      </c>
      <c r="D21" s="101">
        <v>93.162999999999997</v>
      </c>
      <c r="E21" s="101">
        <v>132.197</v>
      </c>
      <c r="F21" s="101">
        <v>123.60899999999999</v>
      </c>
      <c r="G21" s="101">
        <v>186.68899999999999</v>
      </c>
      <c r="H21" s="101">
        <f>AVERAGE(D21:G21)</f>
        <v>133.9145</v>
      </c>
      <c r="I21" s="101">
        <f t="shared" ref="I21" si="49">AVERAGE(E21:H21)</f>
        <v>144.10237499999999</v>
      </c>
      <c r="J21" s="101">
        <f t="shared" ref="J21" si="50">AVERAGE(F21:I21)</f>
        <v>147.07871875000001</v>
      </c>
      <c r="K21" s="101">
        <f t="shared" ref="K21" si="51">AVERAGE(G21:J21)</f>
        <v>152.9461484375</v>
      </c>
      <c r="L21" s="101">
        <f t="shared" ref="L21" si="52">AVERAGE(H21:K21)</f>
        <v>144.51043554687502</v>
      </c>
      <c r="M21" s="101">
        <f t="shared" ref="M21" si="53">AVERAGE(I21:L21)</f>
        <v>147.15941943359374</v>
      </c>
      <c r="N21" s="184"/>
      <c r="O21" s="102" t="s">
        <v>431</v>
      </c>
      <c r="P21" s="185"/>
      <c r="Q21" s="69"/>
      <c r="R21" s="69"/>
      <c r="S21" s="69"/>
      <c r="T21" s="69"/>
      <c r="U21" s="69"/>
      <c r="V21" s="69"/>
      <c r="W21" s="69"/>
    </row>
    <row r="22" spans="1:23" x14ac:dyDescent="0.45">
      <c r="A22" s="69"/>
      <c r="B22" s="38" t="s">
        <v>263</v>
      </c>
      <c r="C22" s="38">
        <f>C21/C$6</f>
        <v>2.62847194431243E-4</v>
      </c>
      <c r="D22" s="38">
        <f t="shared" ref="D22" si="54">D21/D$6</f>
        <v>2.0197439586680757E-4</v>
      </c>
      <c r="E22" s="38">
        <f t="shared" ref="E22" si="55">E21/E$6</f>
        <v>2.8529288974247477E-4</v>
      </c>
      <c r="F22" s="38">
        <f t="shared" ref="F22" si="56">F21/F$6</f>
        <v>2.5455014986823407E-4</v>
      </c>
      <c r="G22" s="38">
        <f t="shared" ref="G22" si="57">G21/G$6</f>
        <v>3.9914558619031493E-4</v>
      </c>
      <c r="H22" s="38">
        <f t="shared" ref="H22" si="58">H21/H$6</f>
        <v>2.8529672165584791E-4</v>
      </c>
      <c r="I22" s="38">
        <f t="shared" ref="I22" si="59">I21/I$6</f>
        <v>2.9816733734015462E-4</v>
      </c>
      <c r="J22" s="38">
        <f t="shared" ref="J22" si="60">J21/J$6</f>
        <v>2.8916220472021748E-4</v>
      </c>
      <c r="K22" s="38">
        <f t="shared" ref="K22" si="61">K21/K$6</f>
        <v>2.9454198286986931E-4</v>
      </c>
      <c r="L22" s="38">
        <f t="shared" ref="L22" si="62">L21/L$6</f>
        <v>2.6820230780442636E-4</v>
      </c>
      <c r="M22" s="38">
        <f t="shared" ref="M22" si="63">M21/M$6</f>
        <v>2.6740737367853082E-4</v>
      </c>
      <c r="N22" s="184"/>
      <c r="O22" s="102"/>
      <c r="P22" s="185"/>
      <c r="Q22" s="69"/>
      <c r="R22" s="69"/>
      <c r="S22" s="69"/>
      <c r="T22" s="69"/>
      <c r="U22" s="69"/>
      <c r="V22" s="69"/>
      <c r="W22" s="69"/>
    </row>
    <row r="23" spans="1:23" x14ac:dyDescent="0.45">
      <c r="A23" s="69"/>
      <c r="B23" s="100" t="s">
        <v>247</v>
      </c>
      <c r="C23" s="101">
        <v>2275.0230000000001</v>
      </c>
      <c r="D23" s="101">
        <v>2050.7020000000002</v>
      </c>
      <c r="E23" s="101">
        <v>2734.056</v>
      </c>
      <c r="F23" s="101">
        <v>2627.1329999999998</v>
      </c>
      <c r="G23" s="101">
        <v>2566.9830000000002</v>
      </c>
      <c r="H23" s="101">
        <f>AVERAGE(D23:G23)</f>
        <v>2494.7184999999999</v>
      </c>
      <c r="I23" s="101">
        <f t="shared" ref="I23" si="64">AVERAGE(E23:H23)</f>
        <v>2605.7226250000003</v>
      </c>
      <c r="J23" s="101">
        <f t="shared" ref="J23" si="65">AVERAGE(F23:I23)</f>
        <v>2573.6392812499998</v>
      </c>
      <c r="K23" s="101">
        <f t="shared" ref="K23" si="66">AVERAGE(G23:J23)</f>
        <v>2560.2658515624998</v>
      </c>
      <c r="L23" s="101">
        <f t="shared" ref="L23" si="67">AVERAGE(H23:K23)</f>
        <v>2558.586564453125</v>
      </c>
      <c r="M23" s="101">
        <f t="shared" ref="M23" si="68">AVERAGE(I23:L23)</f>
        <v>2574.5535805664063</v>
      </c>
      <c r="N23" s="184"/>
      <c r="O23" s="102" t="s">
        <v>432</v>
      </c>
      <c r="P23" s="185"/>
      <c r="Q23" s="69"/>
      <c r="R23" s="69"/>
      <c r="S23" s="69"/>
      <c r="T23" s="69"/>
      <c r="U23" s="69"/>
      <c r="V23" s="69"/>
      <c r="W23" s="69"/>
    </row>
    <row r="24" spans="1:23" x14ac:dyDescent="0.45">
      <c r="A24" s="69"/>
      <c r="B24" s="38" t="s">
        <v>263</v>
      </c>
      <c r="C24" s="38">
        <f>C23/C$6</f>
        <v>5.1958346394229667E-3</v>
      </c>
      <c r="D24" s="38">
        <f t="shared" ref="D24" si="69">D23/D$6</f>
        <v>4.4458561612749064E-3</v>
      </c>
      <c r="E24" s="38">
        <f t="shared" ref="E24" si="70">E23/E$6</f>
        <v>5.9003361419529303E-3</v>
      </c>
      <c r="F24" s="38">
        <f t="shared" ref="F24" si="71">F23/F$6</f>
        <v>5.4101003881091448E-3</v>
      </c>
      <c r="G24" s="38">
        <f t="shared" ref="G24" si="72">G23/G$6</f>
        <v>5.4882715868400031E-3</v>
      </c>
      <c r="H24" s="38">
        <f t="shared" ref="H24" si="73">H23/H$6</f>
        <v>5.3148464841685878E-3</v>
      </c>
      <c r="I24" s="38">
        <f t="shared" ref="I24" si="74">I23/I$6</f>
        <v>5.3915931430224412E-3</v>
      </c>
      <c r="J24" s="38">
        <f t="shared" ref="J24" si="75">J23/J$6</f>
        <v>5.0598700821277431E-3</v>
      </c>
      <c r="K24" s="38">
        <f t="shared" ref="K24" si="76">K23/K$6</f>
        <v>4.9305313556254173E-3</v>
      </c>
      <c r="L24" s="38">
        <f t="shared" ref="L24" si="77">L23/L$6</f>
        <v>4.7485762443857365E-3</v>
      </c>
      <c r="M24" s="38">
        <f t="shared" ref="M24" si="78">M23/M$6</f>
        <v>4.6782911622221257E-3</v>
      </c>
      <c r="N24" s="184"/>
      <c r="O24" s="102"/>
      <c r="P24" s="185"/>
      <c r="Q24" s="69"/>
      <c r="R24" s="69"/>
      <c r="S24" s="69"/>
      <c r="T24" s="69"/>
      <c r="U24" s="69"/>
      <c r="V24" s="69"/>
      <c r="W24" s="69"/>
    </row>
    <row r="25" spans="1:23" x14ac:dyDescent="0.45">
      <c r="A25" s="69"/>
      <c r="B25" s="100" t="s">
        <v>248</v>
      </c>
      <c r="C25" s="101">
        <v>80.429000000000002</v>
      </c>
      <c r="D25" s="101">
        <v>94.596000000000004</v>
      </c>
      <c r="E25" s="101">
        <v>208.56899999999999</v>
      </c>
      <c r="F25" s="101">
        <v>99.956000000000003</v>
      </c>
      <c r="G25" s="101">
        <v>171.85300000000001</v>
      </c>
      <c r="H25" s="101">
        <f>AVERAGE(D25:G25)</f>
        <v>143.74349999999998</v>
      </c>
      <c r="I25" s="101">
        <f t="shared" ref="I25" si="79">AVERAGE(E25:H25)</f>
        <v>156.03037499999999</v>
      </c>
      <c r="J25" s="101">
        <f t="shared" ref="J25" si="80">AVERAGE(F25:I25)</f>
        <v>142.89571875000001</v>
      </c>
      <c r="K25" s="101">
        <f t="shared" ref="K25" si="81">AVERAGE(G25:J25)</f>
        <v>153.63064843749999</v>
      </c>
      <c r="L25" s="101">
        <f t="shared" ref="L25" si="82">AVERAGE(H25:K25)</f>
        <v>149.07506054687499</v>
      </c>
      <c r="M25" s="101">
        <f t="shared" ref="M25" si="83">AVERAGE(I25:L25)</f>
        <v>150.40795068359375</v>
      </c>
      <c r="N25" s="184"/>
      <c r="O25" s="102" t="s">
        <v>433</v>
      </c>
      <c r="P25" s="185"/>
      <c r="Q25" s="69"/>
      <c r="R25" s="69"/>
      <c r="S25" s="69"/>
      <c r="T25" s="69"/>
      <c r="U25" s="69"/>
      <c r="V25" s="69"/>
      <c r="W25" s="69"/>
    </row>
    <row r="26" spans="1:23" x14ac:dyDescent="0.45">
      <c r="A26" s="69"/>
      <c r="B26" s="38" t="s">
        <v>263</v>
      </c>
      <c r="C26" s="38">
        <f>C25/C$6</f>
        <v>1.8368859752809083E-4</v>
      </c>
      <c r="D26" s="38">
        <f t="shared" ref="D26" si="84">D25/D$6</f>
        <v>2.050810939044098E-4</v>
      </c>
      <c r="E26" s="38">
        <f t="shared" ref="E26" si="85">E25/E$6</f>
        <v>4.50110461816064E-4</v>
      </c>
      <c r="F26" s="38">
        <f t="shared" ref="F26" si="86">F25/F$6</f>
        <v>2.0584111820522134E-4</v>
      </c>
      <c r="G26" s="38">
        <f t="shared" ref="G26" si="87">G25/G$6</f>
        <v>3.6742586024652874E-4</v>
      </c>
      <c r="H26" s="38">
        <f t="shared" ref="H26" si="88">H25/H$6</f>
        <v>3.0623681012390268E-4</v>
      </c>
      <c r="I26" s="38">
        <f t="shared" ref="I26" si="89">I25/I$6</f>
        <v>3.2284798538494478E-4</v>
      </c>
      <c r="J26" s="38">
        <f t="shared" ref="J26" si="90">J25/J$6</f>
        <v>2.809382718995852E-4</v>
      </c>
      <c r="K26" s="38">
        <f t="shared" ref="K26" si="91">K25/K$6</f>
        <v>2.958601853178166E-4</v>
      </c>
      <c r="L26" s="38">
        <f t="shared" ref="L26" si="92">L25/L$6</f>
        <v>2.7667396560982177E-4</v>
      </c>
      <c r="M26" s="38">
        <f t="shared" ref="M26" si="93">M25/M$6</f>
        <v>2.7331036794976833E-4</v>
      </c>
      <c r="N26" s="184"/>
      <c r="O26" s="102"/>
      <c r="P26" s="185"/>
      <c r="Q26" s="69"/>
      <c r="R26" s="69"/>
      <c r="S26" s="69"/>
      <c r="T26" s="69"/>
      <c r="U26" s="69"/>
      <c r="V26" s="69"/>
      <c r="W26" s="69"/>
    </row>
    <row r="27" spans="1:23" x14ac:dyDescent="0.45">
      <c r="A27" s="69"/>
      <c r="B27" s="100" t="s">
        <v>249</v>
      </c>
      <c r="C27" s="101">
        <v>591.44500000000005</v>
      </c>
      <c r="D27" s="101">
        <v>718.37400000000002</v>
      </c>
      <c r="E27" s="101">
        <v>648.01</v>
      </c>
      <c r="F27" s="101">
        <v>700.178</v>
      </c>
      <c r="G27" s="101">
        <v>644.74599999999998</v>
      </c>
      <c r="H27" s="101">
        <f>AVERAGE(D27:G27)</f>
        <v>677.827</v>
      </c>
      <c r="I27" s="101">
        <f t="shared" ref="I27" si="94">AVERAGE(E27:H27)</f>
        <v>667.69025000000011</v>
      </c>
      <c r="J27" s="101">
        <f t="shared" ref="J27" si="95">AVERAGE(F27:I27)</f>
        <v>672.61031249999996</v>
      </c>
      <c r="K27" s="101">
        <f t="shared" ref="K27" si="96">AVERAGE(G27:J27)</f>
        <v>665.71839062499998</v>
      </c>
      <c r="L27" s="101">
        <f t="shared" ref="L27" si="97">AVERAGE(H27:K27)</f>
        <v>670.96148828125001</v>
      </c>
      <c r="M27" s="101">
        <f t="shared" ref="M27" si="98">AVERAGE(I27:L27)</f>
        <v>669.24511035156252</v>
      </c>
      <c r="N27" s="184"/>
      <c r="O27" s="102" t="s">
        <v>434</v>
      </c>
      <c r="P27" s="185"/>
      <c r="Q27" s="69"/>
      <c r="R27" s="69"/>
      <c r="S27" s="69"/>
      <c r="T27" s="69"/>
      <c r="U27" s="69"/>
      <c r="V27" s="69"/>
      <c r="W27" s="69"/>
    </row>
    <row r="28" spans="1:23" x14ac:dyDescent="0.45">
      <c r="A28" s="69"/>
      <c r="B28" s="38" t="s">
        <v>263</v>
      </c>
      <c r="C28" s="38">
        <f>C27/C$6</f>
        <v>1.3507777364508036E-3</v>
      </c>
      <c r="D28" s="38">
        <f t="shared" ref="D28" si="99">D27/D$6</f>
        <v>1.5574117906939668E-3</v>
      </c>
      <c r="E28" s="38">
        <f t="shared" ref="E28" si="100">E27/E$6</f>
        <v>1.3984632441131118E-3</v>
      </c>
      <c r="F28" s="38">
        <f t="shared" ref="F28" si="101">F27/F$6</f>
        <v>1.4418886556354341E-3</v>
      </c>
      <c r="G28" s="38">
        <f t="shared" ref="G28" si="102">G27/G$6</f>
        <v>1.3784825035961456E-3</v>
      </c>
      <c r="H28" s="38">
        <f t="shared" ref="H28" si="103">H27/H$6</f>
        <v>1.4440693199751962E-3</v>
      </c>
      <c r="I28" s="38">
        <f t="shared" ref="I28" si="104">I27/I$6</f>
        <v>1.3815415881277614E-3</v>
      </c>
      <c r="J28" s="38">
        <f t="shared" ref="J28" si="105">J27/J$6</f>
        <v>1.3223767689372425E-3</v>
      </c>
      <c r="K28" s="38">
        <f t="shared" ref="K28" si="106">K27/K$6</f>
        <v>1.2820330345732947E-3</v>
      </c>
      <c r="L28" s="38">
        <f t="shared" ref="L28" si="107">L27/L$6</f>
        <v>1.2452624540499162E-3</v>
      </c>
      <c r="M28" s="38">
        <f t="shared" ref="M28" si="108">M27/M$6</f>
        <v>1.2161034475069179E-3</v>
      </c>
      <c r="N28" s="184"/>
      <c r="O28" s="102"/>
      <c r="P28" s="185"/>
      <c r="Q28" s="69"/>
      <c r="R28" s="69"/>
      <c r="S28" s="69"/>
      <c r="T28" s="69"/>
      <c r="U28" s="69"/>
      <c r="V28" s="69"/>
      <c r="W28" s="69"/>
    </row>
    <row r="29" spans="1:23" x14ac:dyDescent="0.45">
      <c r="A29" s="69"/>
      <c r="B29" s="100" t="s">
        <v>250</v>
      </c>
      <c r="C29" s="101">
        <v>131.221</v>
      </c>
      <c r="D29" s="101">
        <v>19.715</v>
      </c>
      <c r="E29" s="101">
        <v>98.998000000000005</v>
      </c>
      <c r="F29" s="101">
        <v>103.419</v>
      </c>
      <c r="G29" s="101">
        <v>83.292000000000002</v>
      </c>
      <c r="H29" s="101">
        <f>AVERAGE(D29:G29)</f>
        <v>76.355999999999995</v>
      </c>
      <c r="I29" s="101">
        <f t="shared" ref="I29" si="109">AVERAGE(E29:H29)</f>
        <v>90.516249999999999</v>
      </c>
      <c r="J29" s="101">
        <f t="shared" ref="J29" si="110">AVERAGE(F29:I29)</f>
        <v>88.395812500000005</v>
      </c>
      <c r="K29" s="101">
        <f t="shared" ref="K29" si="111">AVERAGE(G29:J29)</f>
        <v>84.64001562499999</v>
      </c>
      <c r="L29" s="101">
        <f t="shared" ref="L29" si="112">AVERAGE(H29:K29)</f>
        <v>84.977019531249994</v>
      </c>
      <c r="M29" s="101">
        <f t="shared" ref="M29" si="113">AVERAGE(I29:L29)</f>
        <v>87.132274414062493</v>
      </c>
      <c r="N29" s="184"/>
      <c r="O29" s="102" t="s">
        <v>435</v>
      </c>
      <c r="P29" s="185"/>
      <c r="Q29" s="69"/>
      <c r="R29" s="69"/>
      <c r="S29" s="69"/>
      <c r="T29" s="69"/>
      <c r="U29" s="69"/>
      <c r="V29" s="69"/>
      <c r="W29" s="69"/>
    </row>
    <row r="30" spans="1:23" x14ac:dyDescent="0.45">
      <c r="A30" s="69"/>
      <c r="B30" s="38" t="s">
        <v>263</v>
      </c>
      <c r="C30" s="38">
        <f>C29/C$6</f>
        <v>2.9969042828126183E-4</v>
      </c>
      <c r="D30" s="38">
        <f t="shared" ref="D30" si="114">D29/D$6</f>
        <v>4.2741487656195179E-5</v>
      </c>
      <c r="E30" s="38">
        <f t="shared" ref="E30" si="115">E29/E$6</f>
        <v>2.1364649348113433E-4</v>
      </c>
      <c r="F30" s="38">
        <f t="shared" ref="F30" si="116">F29/F$6</f>
        <v>2.1297253395159655E-4</v>
      </c>
      <c r="G30" s="38">
        <f t="shared" ref="G30" si="117">G29/G$6</f>
        <v>1.7808030556146166E-4</v>
      </c>
      <c r="H30" s="38">
        <f t="shared" ref="H30" si="118">H29/H$6</f>
        <v>1.6267182776139941E-4</v>
      </c>
      <c r="I30" s="38">
        <f t="shared" ref="I30" si="119">I29/I$6</f>
        <v>1.8729038469016054E-4</v>
      </c>
      <c r="J30" s="38">
        <f t="shared" ref="J30" si="120">J29/J$6</f>
        <v>1.7378943906889969E-4</v>
      </c>
      <c r="K30" s="38">
        <f t="shared" ref="K30" si="121">K29/K$6</f>
        <v>1.6299879589652851E-4</v>
      </c>
      <c r="L30" s="38">
        <f t="shared" ref="L30" si="122">L29/L$6</f>
        <v>1.5771202032831952E-4</v>
      </c>
      <c r="M30" s="38">
        <f t="shared" ref="M30" si="123">M29/M$6</f>
        <v>1.5833041984930927E-4</v>
      </c>
      <c r="N30" s="184"/>
      <c r="O30" s="102"/>
      <c r="P30" s="185"/>
      <c r="Q30" s="69"/>
      <c r="R30" s="69"/>
      <c r="S30" s="69"/>
      <c r="T30" s="69"/>
      <c r="U30" s="69"/>
      <c r="V30" s="69"/>
      <c r="W30" s="69"/>
    </row>
    <row r="31" spans="1:23" x14ac:dyDescent="0.45">
      <c r="A31" s="69"/>
      <c r="B31" s="100" t="s">
        <v>251</v>
      </c>
      <c r="C31" s="101">
        <v>92.207999999999998</v>
      </c>
      <c r="D31" s="101">
        <v>100.07299999999999</v>
      </c>
      <c r="E31" s="101">
        <v>98.567999999999998</v>
      </c>
      <c r="F31" s="101">
        <v>96.83</v>
      </c>
      <c r="G31" s="101">
        <v>101.732</v>
      </c>
      <c r="H31" s="101">
        <f>AVERAGE(D31:G31)</f>
        <v>99.300749999999994</v>
      </c>
      <c r="I31" s="101">
        <f t="shared" ref="I31" si="124">AVERAGE(E31:H31)</f>
        <v>99.107687499999997</v>
      </c>
      <c r="J31" s="101">
        <f t="shared" ref="J31" si="125">AVERAGE(F31:I31)</f>
        <v>99.242609375000001</v>
      </c>
      <c r="K31" s="101">
        <f t="shared" ref="K31" si="126">AVERAGE(G31:J31)</f>
        <v>99.845761718749998</v>
      </c>
      <c r="L31" s="101">
        <f t="shared" ref="L31" si="127">AVERAGE(H31:K31)</f>
        <v>99.374202148437504</v>
      </c>
      <c r="M31" s="101">
        <f t="shared" ref="M31" si="128">AVERAGE(I31:L31)</f>
        <v>99.392565185546871</v>
      </c>
      <c r="N31" s="184"/>
      <c r="O31" s="102" t="s">
        <v>436</v>
      </c>
      <c r="P31" s="185"/>
      <c r="Q31" s="69"/>
      <c r="R31" s="69"/>
      <c r="S31" s="69"/>
      <c r="T31" s="69"/>
      <c r="U31" s="69"/>
      <c r="V31" s="69"/>
      <c r="W31" s="69"/>
    </row>
    <row r="32" spans="1:23" x14ac:dyDescent="0.45">
      <c r="A32" s="69"/>
      <c r="B32" s="38" t="s">
        <v>263</v>
      </c>
      <c r="C32" s="38">
        <f>C31/C$6</f>
        <v>2.1059018762971315E-4</v>
      </c>
      <c r="D32" s="38">
        <f t="shared" ref="D32" si="129">D31/D$6</f>
        <v>2.1695505423375197E-4</v>
      </c>
      <c r="E32" s="38">
        <f t="shared" ref="E32" si="130">E31/E$6</f>
        <v>2.127185152169584E-4</v>
      </c>
      <c r="F32" s="38">
        <f t="shared" ref="F32" si="131">F31/F$6</f>
        <v>1.9940369238276423E-4</v>
      </c>
      <c r="G32" s="38">
        <f t="shared" ref="G32" si="132">G31/G$6</f>
        <v>2.1750547045789053E-4</v>
      </c>
      <c r="H32" s="38">
        <f t="shared" ref="H32" si="133">H31/H$6</f>
        <v>2.1155422626352587E-4</v>
      </c>
      <c r="I32" s="38">
        <f t="shared" ref="I32" si="134">I31/I$6</f>
        <v>2.0506723287395595E-4</v>
      </c>
      <c r="J32" s="38">
        <f t="shared" ref="J32" si="135">J31/J$6</f>
        <v>1.9511464318533385E-4</v>
      </c>
      <c r="K32" s="38">
        <f t="shared" ref="K32" si="136">K31/K$6</f>
        <v>1.9228185173823274E-4</v>
      </c>
      <c r="L32" s="38">
        <f t="shared" ref="L32" si="137">L31/L$6</f>
        <v>1.8443228858575585E-4</v>
      </c>
      <c r="M32" s="38">
        <f t="shared" ref="M32" si="138">M31/M$6</f>
        <v>1.8060892684774982E-4</v>
      </c>
      <c r="N32" s="184"/>
      <c r="O32" s="102"/>
      <c r="P32" s="185"/>
      <c r="Q32" s="69"/>
      <c r="R32" s="69"/>
      <c r="S32" s="69"/>
      <c r="T32" s="69"/>
      <c r="U32" s="69"/>
      <c r="V32" s="69"/>
      <c r="W32" s="69"/>
    </row>
    <row r="33" spans="1:23" x14ac:dyDescent="0.45">
      <c r="A33" s="69"/>
      <c r="B33" s="100" t="s">
        <v>260</v>
      </c>
      <c r="C33" s="101">
        <v>455.565</v>
      </c>
      <c r="D33" s="101">
        <v>274.34500000000003</v>
      </c>
      <c r="E33" s="101">
        <v>125.86199999999999</v>
      </c>
      <c r="F33" s="101">
        <v>467.11799999999999</v>
      </c>
      <c r="G33" s="101">
        <v>487.78399999999999</v>
      </c>
      <c r="H33" s="101">
        <f>AVERAGE(F33:G33)</f>
        <v>477.45100000000002</v>
      </c>
      <c r="I33" s="101">
        <f t="shared" ref="I33:M33" si="139">AVERAGE(G33:H33)</f>
        <v>482.61750000000001</v>
      </c>
      <c r="J33" s="101">
        <f t="shared" si="139"/>
        <v>480.03425000000004</v>
      </c>
      <c r="K33" s="101">
        <f t="shared" si="139"/>
        <v>481.325875</v>
      </c>
      <c r="L33" s="101">
        <f t="shared" si="139"/>
        <v>480.68006250000002</v>
      </c>
      <c r="M33" s="101">
        <f t="shared" si="139"/>
        <v>481.00296875000004</v>
      </c>
      <c r="N33" s="184"/>
      <c r="O33" s="102" t="s">
        <v>424</v>
      </c>
      <c r="P33" s="185"/>
      <c r="Q33" s="69"/>
      <c r="R33" s="69"/>
      <c r="S33" s="69"/>
      <c r="T33" s="69"/>
      <c r="U33" s="69"/>
      <c r="V33" s="69"/>
      <c r="W33" s="69"/>
    </row>
    <row r="34" spans="1:23" x14ac:dyDescent="0.45">
      <c r="A34" s="69"/>
      <c r="B34" s="38" t="s">
        <v>263</v>
      </c>
      <c r="C34" s="38">
        <f>C33/C$6</f>
        <v>1.0404468031790111E-3</v>
      </c>
      <c r="D34" s="38">
        <f t="shared" ref="D34" si="140">D33/D$6</f>
        <v>5.9477116059035592E-4</v>
      </c>
      <c r="E34" s="38">
        <f t="shared" ref="E34" si="141">E33/E$6</f>
        <v>2.7162139601327832E-4</v>
      </c>
      <c r="F34" s="38">
        <f t="shared" ref="F34" si="142">F33/F$6</f>
        <v>9.6194416997265374E-4</v>
      </c>
      <c r="G34" s="38">
        <f t="shared" ref="G34" si="143">G33/G$6</f>
        <v>1.0428939606203719E-3</v>
      </c>
      <c r="H34" s="38">
        <f t="shared" ref="H34" si="144">H33/H$6</f>
        <v>1.0171804028040745E-3</v>
      </c>
      <c r="I34" s="38">
        <f t="shared" ref="I34" si="145">I33/I$6</f>
        <v>9.9860099411104141E-4</v>
      </c>
      <c r="J34" s="38">
        <f t="shared" ref="J34" si="146">J33/J$6</f>
        <v>9.437651024629698E-4</v>
      </c>
      <c r="K34" s="38">
        <f t="shared" ref="K34" si="147">K33/K$6</f>
        <v>9.2693198931392568E-4</v>
      </c>
      <c r="L34" s="38">
        <f t="shared" ref="L34" si="148">L33/L$6</f>
        <v>8.9211205813754634E-4</v>
      </c>
      <c r="M34" s="38">
        <f t="shared" ref="M34" si="149">M33/M$6</f>
        <v>8.7404354474948111E-4</v>
      </c>
      <c r="N34" s="184"/>
      <c r="O34" s="102"/>
      <c r="P34" s="185"/>
      <c r="Q34" s="69"/>
      <c r="R34" s="69"/>
      <c r="S34" s="69"/>
      <c r="T34" s="69"/>
      <c r="U34" s="69"/>
      <c r="V34" s="69"/>
      <c r="W34" s="69"/>
    </row>
    <row r="35" spans="1:23" x14ac:dyDescent="0.45">
      <c r="A35" s="69"/>
      <c r="B35" s="100" t="s">
        <v>252</v>
      </c>
      <c r="C35" s="101">
        <v>53.386000000000003</v>
      </c>
      <c r="D35" s="101">
        <v>122.78700000000001</v>
      </c>
      <c r="E35" s="101">
        <v>225.78</v>
      </c>
      <c r="F35" s="101">
        <v>489.85300000000001</v>
      </c>
      <c r="G35" s="101">
        <v>373.85500000000002</v>
      </c>
      <c r="H35" s="101">
        <f>AVERAGE(F35:G35)</f>
        <v>431.85400000000004</v>
      </c>
      <c r="I35" s="101">
        <f t="shared" ref="I35" si="150">AVERAGE(G35:H35)</f>
        <v>402.85450000000003</v>
      </c>
      <c r="J35" s="101">
        <f t="shared" ref="J35" si="151">AVERAGE(H35:I35)</f>
        <v>417.35425000000004</v>
      </c>
      <c r="K35" s="101">
        <f t="shared" ref="K35" si="152">AVERAGE(I35:J35)</f>
        <v>410.104375</v>
      </c>
      <c r="L35" s="101">
        <f t="shared" ref="L35" si="153">AVERAGE(J35:K35)</f>
        <v>413.72931249999999</v>
      </c>
      <c r="M35" s="101">
        <f t="shared" ref="M35" si="154">AVERAGE(K35:L35)</f>
        <v>411.91684375</v>
      </c>
      <c r="N35" s="184"/>
      <c r="O35" s="102" t="s">
        <v>425</v>
      </c>
      <c r="P35" s="185"/>
      <c r="Q35" s="69"/>
      <c r="R35" s="69"/>
      <c r="S35" s="69"/>
      <c r="T35" s="69"/>
      <c r="U35" s="69"/>
      <c r="V35" s="69"/>
      <c r="W35" s="69"/>
    </row>
    <row r="36" spans="1:23" x14ac:dyDescent="0.45">
      <c r="A36" s="69"/>
      <c r="B36" s="38" t="s">
        <v>263</v>
      </c>
      <c r="C36" s="38">
        <f>C35/C$6</f>
        <v>1.2192616428943114E-4</v>
      </c>
      <c r="D36" s="38">
        <f t="shared" ref="D36" si="155">D35/D$6</f>
        <v>2.6619827769927659E-4</v>
      </c>
      <c r="E36" s="38">
        <f t="shared" ref="E36" si="156">E35/E$6</f>
        <v>4.8725333136195181E-4</v>
      </c>
      <c r="F36" s="38">
        <f t="shared" ref="F36" si="157">F35/F$6</f>
        <v>1.008762748371106E-3</v>
      </c>
      <c r="G36" s="38">
        <f t="shared" ref="G36" si="158">G35/G$6</f>
        <v>7.99311009889068E-4</v>
      </c>
      <c r="H36" s="38">
        <f t="shared" ref="H36" si="159">H35/H$6</f>
        <v>9.2003875931258045E-4</v>
      </c>
      <c r="I36" s="38">
        <f t="shared" ref="I36" si="160">I35/I$6</f>
        <v>8.3356054055666563E-4</v>
      </c>
      <c r="J36" s="38">
        <f t="shared" ref="J36" si="161">J35/J$6</f>
        <v>8.2053390255925674E-4</v>
      </c>
      <c r="K36" s="38">
        <f t="shared" ref="K36" si="162">K35/K$6</f>
        <v>7.8977442080190301E-4</v>
      </c>
      <c r="L36" s="38">
        <f t="shared" ref="L36" si="163">L35/L$6</f>
        <v>7.6785566384128328E-4</v>
      </c>
      <c r="M36" s="38">
        <f t="shared" ref="M36" si="164">M35/M$6</f>
        <v>7.4850527261588365E-4</v>
      </c>
      <c r="N36" s="184"/>
      <c r="O36" s="102"/>
      <c r="P36" s="185"/>
      <c r="Q36" s="69"/>
      <c r="R36" s="69"/>
      <c r="S36" s="69"/>
      <c r="T36" s="69"/>
      <c r="U36" s="69"/>
      <c r="V36" s="69"/>
      <c r="W36" s="69"/>
    </row>
    <row r="37" spans="1:23" x14ac:dyDescent="0.45">
      <c r="A37" s="69"/>
      <c r="B37" s="100" t="s">
        <v>261</v>
      </c>
      <c r="C37" s="101">
        <v>1212.4739999999999</v>
      </c>
      <c r="D37" s="101">
        <v>1928.8620000000001</v>
      </c>
      <c r="E37" s="101">
        <v>2241.1109999999999</v>
      </c>
      <c r="F37" s="101">
        <v>1138.046</v>
      </c>
      <c r="G37" s="101">
        <v>2003.1489999999999</v>
      </c>
      <c r="H37" s="101">
        <f>AVERAGE(D37:G37)</f>
        <v>1827.7919999999999</v>
      </c>
      <c r="I37" s="101">
        <f t="shared" ref="I37" si="165">AVERAGE(E37:H37)</f>
        <v>1802.5245</v>
      </c>
      <c r="J37" s="101">
        <f t="shared" ref="J37" si="166">AVERAGE(F37:I37)</f>
        <v>1692.8778749999997</v>
      </c>
      <c r="K37" s="101">
        <f t="shared" ref="K37" si="167">AVERAGE(G37:J37)</f>
        <v>1831.5858437500001</v>
      </c>
      <c r="L37" s="101">
        <f t="shared" ref="L37" si="168">AVERAGE(H37:K37)</f>
        <v>1788.6950546874998</v>
      </c>
      <c r="M37" s="101">
        <f t="shared" ref="M37" si="169">AVERAGE(I37:L37)</f>
        <v>1778.9208183593748</v>
      </c>
      <c r="N37" s="184"/>
      <c r="O37" s="102" t="s">
        <v>463</v>
      </c>
      <c r="P37" s="185"/>
      <c r="Q37" s="69"/>
      <c r="R37" s="69"/>
      <c r="S37" s="69"/>
      <c r="T37" s="69"/>
      <c r="U37" s="69"/>
      <c r="V37" s="69"/>
      <c r="W37" s="69"/>
    </row>
    <row r="38" spans="1:23" x14ac:dyDescent="0.45">
      <c r="A38" s="69"/>
      <c r="B38" s="38" t="s">
        <v>263</v>
      </c>
      <c r="C38" s="38">
        <f>C37/C$6</f>
        <v>2.7691211950823008E-3</v>
      </c>
      <c r="D38" s="38">
        <f t="shared" ref="D38" si="170">D37/D$6</f>
        <v>4.1817109492013164E-3</v>
      </c>
      <c r="E38" s="38">
        <f t="shared" ref="E38" si="171">E37/E$6</f>
        <v>4.8365169665245599E-3</v>
      </c>
      <c r="F38" s="38">
        <f t="shared" ref="F38" si="172">F37/F$6</f>
        <v>2.3435977951196457E-3</v>
      </c>
      <c r="G38" s="38">
        <f t="shared" ref="G38" si="173">G37/G$6</f>
        <v>4.2827808913837619E-3</v>
      </c>
      <c r="H38" s="38">
        <f t="shared" ref="H38" si="174">H37/H$6</f>
        <v>3.8940000184355355E-3</v>
      </c>
      <c r="I38" s="38">
        <f t="shared" ref="I38" si="175">I37/I$6</f>
        <v>3.7296674024657373E-3</v>
      </c>
      <c r="J38" s="38">
        <f t="shared" ref="J38" si="176">J37/J$6</f>
        <v>3.3282605588177698E-3</v>
      </c>
      <c r="K38" s="38">
        <f t="shared" ref="K38" si="177">K37/K$6</f>
        <v>3.5272475425228546E-3</v>
      </c>
      <c r="L38" s="38">
        <f t="shared" ref="L38" si="178">L37/L$6</f>
        <v>3.3197058732131546E-3</v>
      </c>
      <c r="M38" s="38">
        <f t="shared" ref="M38" si="179">M37/M$6</f>
        <v>3.2325252834678594E-3</v>
      </c>
      <c r="N38" s="184"/>
      <c r="O38" s="102"/>
      <c r="P38" s="185"/>
      <c r="Q38" s="69"/>
      <c r="R38" s="69"/>
      <c r="S38" s="69"/>
      <c r="T38" s="69"/>
      <c r="U38" s="69"/>
      <c r="V38" s="69"/>
      <c r="W38" s="69"/>
    </row>
    <row r="39" spans="1:23" x14ac:dyDescent="0.45">
      <c r="A39" s="69"/>
      <c r="B39" s="100" t="s">
        <v>253</v>
      </c>
      <c r="C39" s="101">
        <v>2318.7539999999999</v>
      </c>
      <c r="D39" s="101">
        <v>2464.5160000000001</v>
      </c>
      <c r="E39" s="101">
        <v>2398.924</v>
      </c>
      <c r="F39" s="101">
        <v>2499.549</v>
      </c>
      <c r="G39" s="101">
        <v>2505.5300000000002</v>
      </c>
      <c r="H39" s="101">
        <f>AVERAGE(D39:G39)</f>
        <v>2467.1297500000001</v>
      </c>
      <c r="I39" s="101">
        <f t="shared" ref="I39" si="180">AVERAGE(E39:H39)</f>
        <v>2467.7831875000002</v>
      </c>
      <c r="J39" s="101">
        <f t="shared" ref="J39" si="181">AVERAGE(F39:I39)</f>
        <v>2484.9979843749998</v>
      </c>
      <c r="K39" s="101">
        <f t="shared" ref="K39" si="182">AVERAGE(G39:J39)</f>
        <v>2481.3602304687502</v>
      </c>
      <c r="L39" s="101">
        <f t="shared" ref="L39" si="183">AVERAGE(H39:K39)</f>
        <v>2475.3177880859375</v>
      </c>
      <c r="M39" s="101">
        <f t="shared" ref="M39" si="184">AVERAGE(I39:L39)</f>
        <v>2477.3647976074217</v>
      </c>
      <c r="N39" s="184"/>
      <c r="O39" s="102" t="s">
        <v>437</v>
      </c>
      <c r="P39" s="185"/>
      <c r="Q39" s="69"/>
      <c r="R39" s="69"/>
      <c r="S39" s="69"/>
      <c r="T39" s="69"/>
      <c r="U39" s="69"/>
      <c r="V39" s="69"/>
      <c r="W39" s="69"/>
    </row>
    <row r="40" spans="1:23" x14ac:dyDescent="0.45">
      <c r="A40" s="69"/>
      <c r="B40" s="38" t="s">
        <v>263</v>
      </c>
      <c r="C40" s="38">
        <f>C39/C$6</f>
        <v>5.2957101328208814E-3</v>
      </c>
      <c r="D40" s="38">
        <f t="shared" ref="D40" si="185">D39/D$6</f>
        <v>5.3429916405019285E-3</v>
      </c>
      <c r="E40" s="38">
        <f t="shared" ref="E40" si="186">E39/E$6</f>
        <v>5.1770914637440822E-3</v>
      </c>
      <c r="F40" s="38">
        <f t="shared" ref="F40" si="187">F39/F$6</f>
        <v>5.1473644520463281E-3</v>
      </c>
      <c r="G40" s="38">
        <f t="shared" ref="G40" si="188">G39/G$6</f>
        <v>5.3568835901816386E-3</v>
      </c>
      <c r="H40" s="38">
        <f t="shared" ref="H40" si="189">H39/H$6</f>
        <v>5.2560703252792764E-3</v>
      </c>
      <c r="I40" s="38">
        <f t="shared" ref="I40" si="190">I39/I$6</f>
        <v>5.1061777583448894E-3</v>
      </c>
      <c r="J40" s="38">
        <f t="shared" ref="J40" si="191">J39/J$6</f>
        <v>4.8855980116917592E-3</v>
      </c>
      <c r="K40" s="38">
        <f t="shared" ref="K40" si="192">K39/K$6</f>
        <v>4.7785757926121462E-3</v>
      </c>
      <c r="L40" s="38">
        <f t="shared" ref="L40" si="193">L39/L$6</f>
        <v>4.5940346162658338E-3</v>
      </c>
      <c r="M40" s="38">
        <f t="shared" ref="M40" si="194">M39/M$6</f>
        <v>4.5016867878497294E-3</v>
      </c>
      <c r="N40" s="184"/>
      <c r="O40" s="102"/>
      <c r="P40" s="185"/>
      <c r="Q40" s="69"/>
      <c r="R40" s="69"/>
      <c r="S40" s="69"/>
      <c r="T40" s="69"/>
      <c r="U40" s="69"/>
      <c r="V40" s="69"/>
      <c r="W40" s="69"/>
    </row>
    <row r="41" spans="1:23" x14ac:dyDescent="0.45">
      <c r="A41" s="69"/>
      <c r="B41" s="100" t="s">
        <v>254</v>
      </c>
      <c r="C41" s="101">
        <v>1262.7249999999999</v>
      </c>
      <c r="D41" s="101">
        <v>1100.3789999999999</v>
      </c>
      <c r="E41" s="101">
        <v>1225.825</v>
      </c>
      <c r="F41" s="101">
        <v>824.78499999999997</v>
      </c>
      <c r="G41" s="101">
        <v>1298.4290000000001</v>
      </c>
      <c r="H41" s="101">
        <f>AVERAGE(C41,D41,E41,G41)</f>
        <v>1221.8395</v>
      </c>
      <c r="I41" s="101">
        <f>AVERAGE(D41,E41,G41,H41)</f>
        <v>1211.618125</v>
      </c>
      <c r="J41" s="101">
        <f>AVERAGE(E41,G41,H41,I41)</f>
        <v>1239.42790625</v>
      </c>
      <c r="K41" s="101">
        <f t="shared" ref="K41" si="195">AVERAGE(G41:J41)</f>
        <v>1242.8286328125</v>
      </c>
      <c r="L41" s="101">
        <f t="shared" ref="L41" si="196">AVERAGE(H41:K41)</f>
        <v>1228.9285410156249</v>
      </c>
      <c r="M41" s="101">
        <f t="shared" ref="M41" si="197">AVERAGE(I41:L41)</f>
        <v>1230.7008012695312</v>
      </c>
      <c r="N41" s="186"/>
      <c r="O41" s="102" t="s">
        <v>438</v>
      </c>
      <c r="P41" s="189"/>
      <c r="Q41" s="69"/>
      <c r="R41" s="69"/>
      <c r="S41" s="69"/>
      <c r="T41" s="69"/>
      <c r="U41" s="69"/>
      <c r="V41" s="69"/>
      <c r="W41" s="69"/>
    </row>
    <row r="42" spans="1:23" x14ac:dyDescent="0.45">
      <c r="A42" s="69"/>
      <c r="B42" s="38" t="s">
        <v>263</v>
      </c>
      <c r="C42" s="38">
        <f>C41/C$6</f>
        <v>2.8838874574302611E-3</v>
      </c>
      <c r="D42" s="38">
        <f t="shared" ref="D42" si="198">D41/D$6</f>
        <v>2.3855863781707528E-3</v>
      </c>
      <c r="E42" s="38">
        <f t="shared" ref="E42" si="199">E41/E$6</f>
        <v>2.6454394318219713E-3</v>
      </c>
      <c r="F42" s="38">
        <f t="shared" ref="F42" si="200">F41/F$6</f>
        <v>1.6984940041507609E-3</v>
      </c>
      <c r="G42" s="38">
        <f t="shared" ref="G42" si="201">G41/G$6</f>
        <v>2.7760725288126483E-3</v>
      </c>
      <c r="H42" s="38">
        <f t="shared" ref="H42" si="202">H41/H$6</f>
        <v>2.6030549622305305E-3</v>
      </c>
      <c r="I42" s="38">
        <f t="shared" ref="I42" si="203">I41/I$6</f>
        <v>2.507002054645669E-3</v>
      </c>
      <c r="J42" s="38">
        <f t="shared" ref="J42" si="204">J41/J$6</f>
        <v>2.4367611372261358E-3</v>
      </c>
      <c r="K42" s="38">
        <f t="shared" ref="K42" si="205">K41/K$6</f>
        <v>2.3934254874396627E-3</v>
      </c>
      <c r="L42" s="38">
        <f t="shared" ref="L42" si="206">L41/L$6</f>
        <v>2.2808143202931808E-3</v>
      </c>
      <c r="M42" s="38">
        <f t="shared" ref="M42" si="207">M41/M$6</f>
        <v>2.2363398164944228E-3</v>
      </c>
      <c r="N42" s="186"/>
      <c r="O42" s="102"/>
      <c r="P42" s="189"/>
      <c r="Q42" s="69"/>
      <c r="R42" s="69"/>
      <c r="S42" s="69"/>
      <c r="T42" s="69"/>
      <c r="U42" s="69"/>
      <c r="V42" s="69"/>
      <c r="W42" s="69"/>
    </row>
    <row r="43" spans="1:23" x14ac:dyDescent="0.45">
      <c r="A43" s="69"/>
      <c r="B43" s="100" t="s">
        <v>255</v>
      </c>
      <c r="C43" s="101">
        <v>-104.32599999999999</v>
      </c>
      <c r="D43" s="101">
        <v>-183.524</v>
      </c>
      <c r="E43" s="101">
        <v>748.43799999999999</v>
      </c>
      <c r="F43" s="101">
        <v>19.888000000000002</v>
      </c>
      <c r="G43" s="101">
        <v>-316.88799999999998</v>
      </c>
      <c r="H43" s="101">
        <f>AVERAGE(D43:G43)</f>
        <v>66.978500000000011</v>
      </c>
      <c r="I43" s="101">
        <f t="shared" ref="I43" si="208">AVERAGE(E43:H43)</f>
        <v>129.60412500000001</v>
      </c>
      <c r="J43" s="101">
        <f t="shared" ref="J43" si="209">AVERAGE(F43:I43)</f>
        <v>-25.104343749999998</v>
      </c>
      <c r="K43" s="101">
        <f t="shared" ref="K43" si="210">AVERAGE(G43:J43)</f>
        <v>-36.352429687499992</v>
      </c>
      <c r="L43" s="101">
        <f t="shared" ref="L43" si="211">AVERAGE(H43:K43)</f>
        <v>33.781462890625008</v>
      </c>
      <c r="M43" s="101">
        <f t="shared" ref="M43" si="212">AVERAGE(I43:L43)</f>
        <v>25.482203613281257</v>
      </c>
      <c r="N43" s="69"/>
      <c r="O43" s="102" t="s">
        <v>439</v>
      </c>
      <c r="P43" s="69"/>
      <c r="Q43" s="69"/>
      <c r="R43" s="69"/>
      <c r="S43" s="69"/>
      <c r="T43" s="69"/>
      <c r="U43" s="69"/>
      <c r="V43" s="69"/>
      <c r="W43" s="69"/>
    </row>
    <row r="44" spans="1:23" x14ac:dyDescent="0.45">
      <c r="A44" s="69"/>
      <c r="B44" s="38" t="s">
        <v>263</v>
      </c>
      <c r="C44" s="38">
        <f>C43/C$6</f>
        <v>-2.3826600636232703E-4</v>
      </c>
      <c r="D44" s="38">
        <f t="shared" ref="D44" si="213">D43/D$6</f>
        <v>-3.9787414560565882E-4</v>
      </c>
      <c r="E44" s="38">
        <f t="shared" ref="E44" si="214">E43/E$6</f>
        <v>1.6151958048448779E-3</v>
      </c>
      <c r="F44" s="38">
        <f t="shared" ref="F44" si="215">F43/F$6</f>
        <v>4.0955702097577352E-5</v>
      </c>
      <c r="G44" s="38">
        <f t="shared" ref="G44" si="216">G43/G$6</f>
        <v>-6.7751418946309912E-4</v>
      </c>
      <c r="H44" s="38">
        <f t="shared" ref="H44" si="217">H43/H$6</f>
        <v>1.4269363266432099E-4</v>
      </c>
      <c r="I44" s="38">
        <f t="shared" ref="I44" si="218">I43/I$6</f>
        <v>2.6816849381941537E-4</v>
      </c>
      <c r="J44" s="38">
        <f t="shared" ref="J44" si="219">J43/J$6</f>
        <v>-4.9356068971087711E-5</v>
      </c>
      <c r="K44" s="38">
        <f t="shared" ref="K44" si="220">K43/K$6</f>
        <v>-7.0007102706932134E-5</v>
      </c>
      <c r="L44" s="38">
        <f t="shared" ref="L44" si="221">L43/L$6</f>
        <v>6.2696277081915826E-5</v>
      </c>
      <c r="M44" s="38">
        <f t="shared" ref="M44" si="222">M43/M$6</f>
        <v>4.6304403550898836E-5</v>
      </c>
      <c r="N44" s="69"/>
      <c r="O44" s="102"/>
      <c r="P44" s="69"/>
      <c r="Q44" s="69"/>
      <c r="R44" s="69"/>
      <c r="S44" s="69"/>
      <c r="T44" s="69"/>
      <c r="U44" s="69"/>
      <c r="V44" s="69"/>
      <c r="W44" s="69"/>
    </row>
    <row r="45" spans="1:23" x14ac:dyDescent="0.45">
      <c r="A45" s="69"/>
      <c r="B45" s="100" t="s">
        <v>256</v>
      </c>
      <c r="C45" s="101">
        <v>-8.5519999999999996</v>
      </c>
      <c r="D45" s="101">
        <v>-87.692999999999998</v>
      </c>
      <c r="E45" s="101">
        <v>-9.8490000000000002</v>
      </c>
      <c r="F45" s="101">
        <v>-231.94</v>
      </c>
      <c r="G45" s="101">
        <v>-22.422999999999998</v>
      </c>
      <c r="H45" s="101">
        <f>AVERAGE(D45:G45)</f>
        <v>-87.976249999999993</v>
      </c>
      <c r="I45" s="101">
        <f t="shared" ref="I45" si="223">AVERAGE(E45:H45)</f>
        <v>-88.047062499999996</v>
      </c>
      <c r="J45" s="101">
        <f t="shared" ref="J45" si="224">AVERAGE(F45:I45)</f>
        <v>-107.59657812499999</v>
      </c>
      <c r="K45" s="101">
        <f t="shared" ref="K45" si="225">AVERAGE(G45:J45)</f>
        <v>-76.510722656249996</v>
      </c>
      <c r="L45" s="101">
        <f t="shared" ref="L45" si="226">AVERAGE(H45:K45)</f>
        <v>-90.032653320312491</v>
      </c>
      <c r="M45" s="101">
        <f t="shared" ref="M45" si="227">AVERAGE(I45:L45)</f>
        <v>-90.546754150390612</v>
      </c>
      <c r="N45" s="69"/>
      <c r="O45" s="102" t="s">
        <v>440</v>
      </c>
      <c r="P45" s="69"/>
      <c r="Q45" s="69"/>
      <c r="R45" s="69"/>
      <c r="S45" s="69"/>
      <c r="T45" s="69"/>
      <c r="U45" s="69"/>
      <c r="V45" s="69"/>
      <c r="W45" s="69"/>
    </row>
    <row r="46" spans="1:23" x14ac:dyDescent="0.45">
      <c r="A46" s="69"/>
      <c r="B46" s="38" t="s">
        <v>263</v>
      </c>
      <c r="C46" s="38">
        <f>C45/C$6</f>
        <v>-1.9531573015457518E-5</v>
      </c>
      <c r="D46" s="38">
        <f t="shared" ref="D46" si="228">D45/D$6</f>
        <v>-1.9011561131294566E-4</v>
      </c>
      <c r="E46" s="38">
        <f t="shared" ref="E46" si="229">E45/E$6</f>
        <v>-2.1255018427601488E-5</v>
      </c>
      <c r="F46" s="38">
        <f t="shared" ref="F46" si="230">F45/F$6</f>
        <v>-4.7763805030732559E-4</v>
      </c>
      <c r="G46" s="38">
        <f t="shared" ref="G46" si="231">G45/G$6</f>
        <v>-4.7940914993092427E-5</v>
      </c>
      <c r="H46" s="38">
        <f t="shared" ref="H46" si="232">H45/H$6</f>
        <v>-1.8742806573280181E-4</v>
      </c>
      <c r="I46" s="38">
        <f t="shared" ref="I46" si="233">I45/I$6</f>
        <v>-1.8218130121899225E-4</v>
      </c>
      <c r="J46" s="38">
        <f t="shared" ref="J46" si="234">J45/J$6</f>
        <v>-2.115388549437994E-4</v>
      </c>
      <c r="K46" s="38">
        <f t="shared" ref="K46" si="235">K45/K$6</f>
        <v>-1.4734349437499876E-4</v>
      </c>
      <c r="L46" s="38">
        <f t="shared" ref="L46" si="236">L45/L$6</f>
        <v>-1.6709495966075807E-4</v>
      </c>
      <c r="M46" s="38">
        <f t="shared" ref="M46" si="237">M45/M$6</f>
        <v>-1.6453496361745106E-4</v>
      </c>
      <c r="N46" s="69"/>
      <c r="O46" s="102"/>
      <c r="P46" s="69"/>
      <c r="Q46" s="69"/>
      <c r="R46" s="69"/>
      <c r="S46" s="69"/>
      <c r="T46" s="69"/>
      <c r="U46" s="69"/>
      <c r="V46" s="69"/>
      <c r="W46" s="69"/>
    </row>
    <row r="47" spans="1:23" x14ac:dyDescent="0.45">
      <c r="A47" s="69"/>
      <c r="B47" s="100" t="s">
        <v>257</v>
      </c>
      <c r="C47" s="101">
        <v>261.096</v>
      </c>
      <c r="D47" s="101">
        <v>75.484999999999999</v>
      </c>
      <c r="E47" s="101">
        <v>187.94499999999999</v>
      </c>
      <c r="F47" s="101">
        <v>319.08999999999997</v>
      </c>
      <c r="G47" s="101">
        <v>336.89</v>
      </c>
      <c r="H47" s="101">
        <f>AVERAGE(F47:G47)</f>
        <v>327.99</v>
      </c>
      <c r="I47" s="101">
        <f t="shared" ref="I47:M47" si="238">AVERAGE(G47:H47)</f>
        <v>332.44</v>
      </c>
      <c r="J47" s="101">
        <f t="shared" si="238"/>
        <v>330.21500000000003</v>
      </c>
      <c r="K47" s="101">
        <f t="shared" si="238"/>
        <v>331.32749999999999</v>
      </c>
      <c r="L47" s="101">
        <f t="shared" si="238"/>
        <v>330.77125000000001</v>
      </c>
      <c r="M47" s="101">
        <f t="shared" si="238"/>
        <v>331.049375</v>
      </c>
      <c r="N47" s="69"/>
      <c r="O47" s="102" t="s">
        <v>426</v>
      </c>
      <c r="P47" s="69"/>
      <c r="Q47" s="69"/>
      <c r="R47" s="69"/>
      <c r="S47" s="69"/>
      <c r="T47" s="69"/>
      <c r="U47" s="69"/>
      <c r="V47" s="69"/>
      <c r="W47" s="69"/>
    </row>
    <row r="48" spans="1:23" x14ac:dyDescent="0.45">
      <c r="A48" s="69"/>
      <c r="B48" s="38" t="s">
        <v>263</v>
      </c>
      <c r="C48" s="38">
        <f>C47/C$6</f>
        <v>5.9630678064124133E-4</v>
      </c>
      <c r="D48" s="38">
        <f t="shared" ref="D48" si="239">D47/D$6</f>
        <v>1.6364905887536864E-4</v>
      </c>
      <c r="E48" s="38">
        <f t="shared" ref="E48" si="240">E47/E$6</f>
        <v>4.0560203455940311E-4</v>
      </c>
      <c r="F48" s="38">
        <f t="shared" ref="F48" si="241">F47/F$6</f>
        <v>6.5710755140365828E-4</v>
      </c>
      <c r="G48" s="38">
        <f t="shared" ref="G48" si="242">G47/G$6</f>
        <v>7.2027894804544031E-4</v>
      </c>
      <c r="H48" s="38">
        <f t="shared" ref="H48" si="243">H47/H$6</f>
        <v>6.9876280564017752E-4</v>
      </c>
      <c r="I48" s="38">
        <f t="shared" ref="I48" si="244">I47/I$6</f>
        <v>6.8786340006791015E-4</v>
      </c>
      <c r="J48" s="38">
        <f t="shared" ref="J48" si="245">J47/J$6</f>
        <v>6.4921491187307895E-4</v>
      </c>
      <c r="K48" s="38">
        <f t="shared" ref="K48" si="246">K47/K$6</f>
        <v>6.3806679557671753E-4</v>
      </c>
      <c r="L48" s="38">
        <f t="shared" ref="L48" si="247">L47/L$6</f>
        <v>6.1389070117762342E-4</v>
      </c>
      <c r="M48" s="38">
        <f t="shared" ref="M48" si="248">M47/M$6</f>
        <v>6.0155880111103827E-4</v>
      </c>
      <c r="N48" s="69"/>
      <c r="O48" s="102"/>
      <c r="P48" s="69"/>
      <c r="Q48" s="69"/>
      <c r="R48" s="69"/>
      <c r="S48" s="69"/>
      <c r="T48" s="69"/>
      <c r="U48" s="69"/>
      <c r="V48" s="69"/>
      <c r="W48" s="69"/>
    </row>
    <row r="49" spans="1:23" x14ac:dyDescent="0.45">
      <c r="A49" s="69"/>
      <c r="B49" s="100" t="s">
        <v>258</v>
      </c>
      <c r="C49" s="101">
        <v>1577.472</v>
      </c>
      <c r="D49" s="101">
        <v>1534.046</v>
      </c>
      <c r="E49" s="101">
        <v>1014.9589999999999</v>
      </c>
      <c r="F49" s="101">
        <v>2762.5340000000001</v>
      </c>
      <c r="G49" s="101">
        <v>1750.3150000000001</v>
      </c>
      <c r="H49" s="101">
        <f>AVERAGE(D49:G49)</f>
        <v>1765.4635000000003</v>
      </c>
      <c r="I49" s="101">
        <f t="shared" ref="I49" si="249">AVERAGE(E49:H49)</f>
        <v>1823.3178750000002</v>
      </c>
      <c r="J49" s="101">
        <f t="shared" ref="J49" si="250">AVERAGE(F49:I49)</f>
        <v>2025.4075937500002</v>
      </c>
      <c r="K49" s="101">
        <f t="shared" ref="K49" si="251">AVERAGE(G49:J49)</f>
        <v>1841.1259921875003</v>
      </c>
      <c r="L49" s="101">
        <f t="shared" ref="L49" si="252">AVERAGE(H49:K49)</f>
        <v>1863.8287402343753</v>
      </c>
      <c r="M49" s="101">
        <f t="shared" ref="M49" si="253">AVERAGE(I49:L49)</f>
        <v>1888.4200502929689</v>
      </c>
      <c r="N49" s="69"/>
      <c r="O49" s="102" t="s">
        <v>441</v>
      </c>
      <c r="P49" s="69"/>
      <c r="Q49" s="69"/>
      <c r="R49" s="69"/>
      <c r="S49" s="69"/>
      <c r="T49" s="69"/>
      <c r="U49" s="69"/>
      <c r="V49" s="69"/>
      <c r="W49" s="69"/>
    </row>
    <row r="50" spans="1:23" x14ac:dyDescent="0.45">
      <c r="A50" s="69"/>
      <c r="B50" s="38" t="s">
        <v>263</v>
      </c>
      <c r="C50" s="38">
        <f>C49/C$6</f>
        <v>3.6027256253320628E-3</v>
      </c>
      <c r="D50" s="38">
        <f t="shared" ref="D50" si="254">D49/D$6</f>
        <v>3.3257625246277244E-3</v>
      </c>
      <c r="E50" s="38">
        <f t="shared" ref="E50" si="255">E49/E$6</f>
        <v>2.1903718396040182E-3</v>
      </c>
      <c r="F50" s="38">
        <f t="shared" ref="F50" si="256">F49/F$6</f>
        <v>5.6889340073626692E-3</v>
      </c>
      <c r="G50" s="38">
        <f t="shared" ref="G50" si="257">G49/G$6</f>
        <v>3.7422156993325859E-3</v>
      </c>
      <c r="H50" s="38">
        <f t="shared" ref="H50" si="258">H49/H$6</f>
        <v>3.7612129287945602E-3</v>
      </c>
      <c r="I50" s="38">
        <f t="shared" ref="I50" si="259">I49/I$6</f>
        <v>3.7726917124957793E-3</v>
      </c>
      <c r="J50" s="38">
        <f t="shared" ref="J50" si="260">J49/J$6</f>
        <v>3.9820262934254086E-3</v>
      </c>
      <c r="K50" s="38">
        <f t="shared" ref="K50" si="261">K49/K$6</f>
        <v>3.5456198537340941E-3</v>
      </c>
      <c r="L50" s="38">
        <f t="shared" ref="L50" si="262">L49/L$6</f>
        <v>3.4591492828275954E-3</v>
      </c>
      <c r="M50" s="38">
        <f t="shared" ref="M50" si="263">M49/M$6</f>
        <v>3.4314993086704514E-3</v>
      </c>
      <c r="N50" s="69"/>
      <c r="O50" s="102"/>
      <c r="P50" s="69"/>
      <c r="Q50" s="69"/>
      <c r="R50" s="69"/>
      <c r="S50" s="69"/>
      <c r="T50" s="69"/>
      <c r="U50" s="69"/>
      <c r="V50" s="69"/>
      <c r="W50" s="69"/>
    </row>
    <row r="51" spans="1:23" x14ac:dyDescent="0.45">
      <c r="A51" s="69"/>
      <c r="B51" s="100" t="s">
        <v>259</v>
      </c>
      <c r="C51" s="101">
        <f>SUM(C13:C49)</f>
        <v>23071.340088879228</v>
      </c>
      <c r="D51" s="101">
        <f t="shared" ref="D51:M51" si="264">SUM(D13:D49)</f>
        <v>21944.714249578177</v>
      </c>
      <c r="E51" s="101">
        <f t="shared" si="264"/>
        <v>24407.821483769938</v>
      </c>
      <c r="F51" s="101">
        <f t="shared" si="264"/>
        <v>25003.864801862568</v>
      </c>
      <c r="G51" s="101">
        <f t="shared" si="264"/>
        <v>25967.198776171084</v>
      </c>
      <c r="H51" s="101">
        <f t="shared" si="264"/>
        <v>25534.997442173768</v>
      </c>
      <c r="I51" s="101">
        <f t="shared" si="264"/>
        <v>25957.874271039225</v>
      </c>
      <c r="J51" s="101">
        <f t="shared" si="264"/>
        <v>25964.081698471186</v>
      </c>
      <c r="K51" s="101">
        <f t="shared" si="264"/>
        <v>26135.482437394567</v>
      </c>
      <c r="L51" s="101">
        <f t="shared" si="264"/>
        <v>26176.754940556046</v>
      </c>
      <c r="M51" s="101">
        <f t="shared" si="264"/>
        <v>26341.857489306072</v>
      </c>
      <c r="N51" s="69"/>
      <c r="O51" s="102"/>
      <c r="P51" s="69"/>
      <c r="Q51" s="69"/>
      <c r="R51" s="69"/>
      <c r="S51" s="69"/>
      <c r="T51" s="69"/>
      <c r="U51" s="69"/>
      <c r="V51" s="69"/>
      <c r="W51" s="69"/>
    </row>
    <row r="52" spans="1:23" x14ac:dyDescent="0.45">
      <c r="A52" s="69"/>
      <c r="B52" s="104" t="s">
        <v>0</v>
      </c>
      <c r="C52" s="96">
        <f>'IS(Quaterly)'!G24</f>
        <v>70985.869189999998</v>
      </c>
      <c r="D52" s="96">
        <f>'IS(Quaterly)'!H24</f>
        <v>83383.349570000006</v>
      </c>
      <c r="E52" s="96">
        <f>'IS(Quaterly)'!I24</f>
        <v>65879.168780000007</v>
      </c>
      <c r="F52" s="96">
        <f>'IS(Quaterly)'!J24</f>
        <v>83006.827220000006</v>
      </c>
      <c r="G52" s="96">
        <f>'IS(Quaterly)'!K24</f>
        <v>83009.935289999994</v>
      </c>
      <c r="H52" s="98">
        <f>H9-H11</f>
        <v>76207.876845897932</v>
      </c>
      <c r="I52" s="98">
        <f t="shared" ref="I52:M52" si="265">I9-I11</f>
        <v>82329.03310123719</v>
      </c>
      <c r="J52" s="98">
        <f t="shared" si="265"/>
        <v>88278.077230625699</v>
      </c>
      <c r="K52" s="98">
        <f t="shared" si="265"/>
        <v>89041.84332763491</v>
      </c>
      <c r="L52" s="98">
        <f t="shared" si="265"/>
        <v>94242.507246222784</v>
      </c>
      <c r="M52" s="98">
        <f t="shared" si="265"/>
        <v>96544.814948108571</v>
      </c>
      <c r="N52" s="69"/>
      <c r="O52" s="69"/>
      <c r="P52" s="69"/>
      <c r="Q52" s="69"/>
      <c r="R52" s="69"/>
      <c r="S52" s="69"/>
      <c r="T52" s="69"/>
      <c r="U52" s="69"/>
      <c r="V52" s="69"/>
      <c r="W52" s="69"/>
    </row>
    <row r="53" spans="1:23" x14ac:dyDescent="0.45">
      <c r="A53" s="69"/>
      <c r="B53" s="33" t="s">
        <v>232</v>
      </c>
      <c r="C53" s="33">
        <f t="shared" ref="C53:I53" si="266">C52/C6</f>
        <v>0.16212180626171668</v>
      </c>
      <c r="D53" s="33">
        <f t="shared" si="266"/>
        <v>0.18077242740950356</v>
      </c>
      <c r="E53" s="33">
        <f t="shared" si="266"/>
        <v>0.14217310858096951</v>
      </c>
      <c r="F53" s="33">
        <f t="shared" si="266"/>
        <v>0.17093739378959147</v>
      </c>
      <c r="G53" s="33">
        <f t="shared" si="266"/>
        <v>0.17747724440618975</v>
      </c>
      <c r="H53" s="33">
        <f t="shared" si="266"/>
        <v>0.16235626036379391</v>
      </c>
      <c r="I53" s="33">
        <f t="shared" si="266"/>
        <v>0.17034992369546545</v>
      </c>
      <c r="J53" s="33">
        <f t="shared" ref="J53:M53" si="267">J52/J6</f>
        <v>0.17355796717170788</v>
      </c>
      <c r="K53" s="33">
        <f t="shared" si="267"/>
        <v>0.17147578647805611</v>
      </c>
      <c r="L53" s="33">
        <f t="shared" si="267"/>
        <v>0.17490818459621554</v>
      </c>
      <c r="M53" s="33">
        <f t="shared" si="267"/>
        <v>0.17543420262814646</v>
      </c>
      <c r="N53" s="69"/>
      <c r="O53" s="69"/>
      <c r="P53" s="69"/>
      <c r="Q53" s="69"/>
      <c r="R53" s="69"/>
      <c r="S53" s="69"/>
      <c r="T53" s="69"/>
      <c r="U53" s="69"/>
      <c r="V53" s="69"/>
      <c r="W53" s="69"/>
    </row>
    <row r="54" spans="1:23" x14ac:dyDescent="0.45">
      <c r="A54" s="69"/>
      <c r="B54" s="105" t="s">
        <v>233</v>
      </c>
      <c r="C54" s="96">
        <f>'IS(Quaterly)'!G79</f>
        <v>0</v>
      </c>
      <c r="D54" s="96">
        <f>'IS(Quaterly)'!H79</f>
        <v>-179.16728000000001</v>
      </c>
      <c r="E54" s="96">
        <f>'IS(Quaterly)'!I79</f>
        <v>-58.853540000000002</v>
      </c>
      <c r="F54" s="96">
        <f>'IS(Quaterly)'!J79</f>
        <v>-106.50236</v>
      </c>
      <c r="G54" s="96">
        <f>'IS(Quaterly)'!K79</f>
        <v>-61.979990000000001</v>
      </c>
      <c r="H54" s="101">
        <f>AVERAGE(D54:G54)</f>
        <v>-101.6257925</v>
      </c>
      <c r="I54" s="101">
        <f t="shared" ref="I54" si="268">AVERAGE(E54:H54)</f>
        <v>-82.240420624999999</v>
      </c>
      <c r="J54" s="101">
        <f t="shared" ref="J54" si="269">AVERAGE(F54:I54)</f>
        <v>-88.08714078125</v>
      </c>
      <c r="K54" s="101">
        <f t="shared" ref="K54" si="270">AVERAGE(G54:J54)</f>
        <v>-83.4833359765625</v>
      </c>
      <c r="L54" s="101">
        <f t="shared" ref="L54" si="271">AVERAGE(H54:K54)</f>
        <v>-88.859172470703129</v>
      </c>
      <c r="M54" s="101">
        <f t="shared" ref="M54" si="272">AVERAGE(I54:L54)</f>
        <v>-85.667517463378914</v>
      </c>
      <c r="N54" s="69"/>
      <c r="O54" s="102" t="s">
        <v>446</v>
      </c>
      <c r="P54" s="69"/>
      <c r="Q54" s="69"/>
      <c r="R54" s="69"/>
      <c r="S54" s="69"/>
      <c r="T54" s="69"/>
      <c r="U54" s="69"/>
      <c r="V54" s="69"/>
      <c r="W54" s="69"/>
    </row>
    <row r="55" spans="1:23" x14ac:dyDescent="0.45">
      <c r="A55" s="69"/>
      <c r="B55" s="38" t="s">
        <v>263</v>
      </c>
      <c r="C55" s="38">
        <f>C54/$C$6</f>
        <v>0</v>
      </c>
      <c r="D55" s="38">
        <f t="shared" ref="D55:M55" si="273">D54/$C$6</f>
        <v>-4.0919303219140804E-4</v>
      </c>
      <c r="E55" s="38">
        <f t="shared" si="273"/>
        <v>-1.3441326166138326E-4</v>
      </c>
      <c r="F55" s="38">
        <f t="shared" si="273"/>
        <v>-2.4323650849608771E-4</v>
      </c>
      <c r="G55" s="38">
        <f t="shared" si="273"/>
        <v>-1.4155363659755927E-4</v>
      </c>
      <c r="H55" s="38">
        <f t="shared" si="273"/>
        <v>-2.3209910973660957E-4</v>
      </c>
      <c r="I55" s="38">
        <f t="shared" si="273"/>
        <v>-1.8782562912290993E-4</v>
      </c>
      <c r="J55" s="38">
        <f t="shared" si="273"/>
        <v>-2.0117872098829163E-4</v>
      </c>
      <c r="K55" s="38">
        <f t="shared" si="273"/>
        <v>-1.9066427411134259E-4</v>
      </c>
      <c r="L55" s="38">
        <f t="shared" si="273"/>
        <v>-2.0294193348978845E-4</v>
      </c>
      <c r="M55" s="38">
        <f t="shared" si="273"/>
        <v>-1.9565263942808317E-4</v>
      </c>
      <c r="N55" s="69"/>
      <c r="O55" s="102"/>
      <c r="P55" s="69"/>
      <c r="Q55" s="69"/>
      <c r="R55" s="69"/>
      <c r="S55" s="69"/>
      <c r="T55" s="69"/>
      <c r="U55" s="69"/>
      <c r="V55" s="69"/>
      <c r="W55" s="69"/>
    </row>
    <row r="56" spans="1:23" x14ac:dyDescent="0.45">
      <c r="A56" s="69"/>
      <c r="B56" s="106" t="s">
        <v>234</v>
      </c>
      <c r="C56" s="101">
        <f>'IS(Quaterly)'!G25</f>
        <v>10729.355</v>
      </c>
      <c r="D56" s="101">
        <f>'IS(Quaterly)'!H25</f>
        <v>9314.7900000000009</v>
      </c>
      <c r="E56" s="101">
        <f>'IS(Quaterly)'!I25</f>
        <v>29108.738000000001</v>
      </c>
      <c r="F56" s="101">
        <f>'IS(Quaterly)'!J25</f>
        <v>15766.251</v>
      </c>
      <c r="G56" s="101">
        <f>'IS(Quaterly)'!K25</f>
        <v>16252.424000000001</v>
      </c>
      <c r="H56" s="101">
        <f>AVERAGE(D56:G56)</f>
        <v>17610.550750000002</v>
      </c>
      <c r="I56" s="101">
        <f t="shared" ref="I56:M56" si="274">AVERAGE(E56:H56)</f>
        <v>19684.490937499999</v>
      </c>
      <c r="J56" s="101">
        <f t="shared" si="274"/>
        <v>17328.429171875003</v>
      </c>
      <c r="K56" s="101">
        <f t="shared" si="274"/>
        <v>17718.973714843749</v>
      </c>
      <c r="L56" s="101">
        <f t="shared" si="274"/>
        <v>18085.611143554688</v>
      </c>
      <c r="M56" s="101">
        <f t="shared" si="274"/>
        <v>18204.376241943359</v>
      </c>
      <c r="N56" s="69"/>
      <c r="O56" s="102" t="s">
        <v>445</v>
      </c>
      <c r="P56" s="69"/>
      <c r="Q56" s="69"/>
      <c r="R56" s="69"/>
      <c r="S56" s="69"/>
      <c r="T56" s="69"/>
      <c r="U56" s="69"/>
      <c r="V56" s="69"/>
      <c r="W56" s="69"/>
    </row>
    <row r="57" spans="1:23" x14ac:dyDescent="0.45">
      <c r="A57" s="69"/>
      <c r="B57" s="38" t="s">
        <v>263</v>
      </c>
      <c r="C57" s="38">
        <f>C56/$C$6</f>
        <v>2.450434759018524E-2</v>
      </c>
      <c r="D57" s="38">
        <f t="shared" ref="D57:H57" si="275">D56/$C$6</f>
        <v>2.1273678789599338E-2</v>
      </c>
      <c r="E57" s="38">
        <f t="shared" si="275"/>
        <v>6.6480290181808094E-2</v>
      </c>
      <c r="F57" s="38">
        <f t="shared" si="275"/>
        <v>3.6007914240707449E-2</v>
      </c>
      <c r="G57" s="38">
        <f t="shared" si="275"/>
        <v>3.7118265438982008E-2</v>
      </c>
      <c r="H57" s="38">
        <f t="shared" si="275"/>
        <v>4.0220037162774225E-2</v>
      </c>
      <c r="I57" s="38">
        <f t="shared" ref="I57:M57" si="276">I56/$C$6</f>
        <v>4.4956626756067944E-2</v>
      </c>
      <c r="J57" s="38">
        <f t="shared" si="276"/>
        <v>3.957571089963291E-2</v>
      </c>
      <c r="K57" s="38">
        <f t="shared" si="276"/>
        <v>4.0467660064364266E-2</v>
      </c>
      <c r="L57" s="38">
        <f t="shared" si="276"/>
        <v>4.1305008720709836E-2</v>
      </c>
      <c r="M57" s="38">
        <f t="shared" si="276"/>
        <v>4.1576251610193737E-2</v>
      </c>
      <c r="N57" s="69"/>
      <c r="O57" s="102"/>
      <c r="P57" s="69"/>
      <c r="Q57" s="69"/>
      <c r="R57" s="69"/>
      <c r="S57" s="69"/>
      <c r="T57" s="69"/>
      <c r="U57" s="69"/>
      <c r="V57" s="69"/>
      <c r="W57" s="69"/>
    </row>
    <row r="58" spans="1:23" x14ac:dyDescent="0.45">
      <c r="A58" s="69"/>
      <c r="B58" s="106" t="s">
        <v>241</v>
      </c>
      <c r="C58" s="101">
        <f>'IS(Quaterly)'!G37</f>
        <v>4267.1710000000003</v>
      </c>
      <c r="D58" s="101">
        <f>'IS(Quaterly)'!H37</f>
        <v>14714.404</v>
      </c>
      <c r="E58" s="101">
        <f>'IS(Quaterly)'!I37</f>
        <v>8263.2569999999996</v>
      </c>
      <c r="F58" s="101">
        <f>'IS(Quaterly)'!J37</f>
        <v>13365.847</v>
      </c>
      <c r="G58" s="101">
        <f>'IS(Quaterly)'!K37</f>
        <v>29691.851999999999</v>
      </c>
      <c r="H58" s="101">
        <f>AVERAGE(D58:G58)</f>
        <v>16508.84</v>
      </c>
      <c r="I58" s="101">
        <f t="shared" ref="I58:M58" si="277">AVERAGE(E58:H58)</f>
        <v>16957.449000000001</v>
      </c>
      <c r="J58" s="101">
        <f t="shared" si="277"/>
        <v>19130.997000000003</v>
      </c>
      <c r="K58" s="101">
        <f t="shared" si="277"/>
        <v>20572.284500000002</v>
      </c>
      <c r="L58" s="101">
        <f t="shared" si="277"/>
        <v>18292.392625</v>
      </c>
      <c r="M58" s="101">
        <f t="shared" si="277"/>
        <v>18738.280781250003</v>
      </c>
      <c r="N58" s="69"/>
      <c r="O58" s="102" t="s">
        <v>444</v>
      </c>
      <c r="P58" s="69"/>
      <c r="Q58" s="69"/>
      <c r="R58" s="69"/>
      <c r="S58" s="69"/>
      <c r="T58" s="69"/>
      <c r="U58" s="69"/>
      <c r="V58" s="69"/>
      <c r="W58" s="69"/>
    </row>
    <row r="59" spans="1:23" x14ac:dyDescent="0.45">
      <c r="A59" s="69"/>
      <c r="B59" s="38" t="s">
        <v>263</v>
      </c>
      <c r="C59" s="38">
        <f>C58/$C$6</f>
        <v>9.7456223054189512E-3</v>
      </c>
      <c r="D59" s="38">
        <f t="shared" ref="D59:H59" si="278">D58/$C$6</f>
        <v>3.360564266895933E-2</v>
      </c>
      <c r="E59" s="38">
        <f t="shared" si="278"/>
        <v>1.8872124349975494E-2</v>
      </c>
      <c r="F59" s="38">
        <f t="shared" si="278"/>
        <v>3.0525726916970745E-2</v>
      </c>
      <c r="G59" s="38">
        <f t="shared" si="278"/>
        <v>6.7812041078362764E-2</v>
      </c>
      <c r="H59" s="38">
        <f t="shared" si="278"/>
        <v>3.7703883753567084E-2</v>
      </c>
      <c r="I59" s="38">
        <f t="shared" ref="I59:M59" si="279">I58/$C$6</f>
        <v>3.8728444024719019E-2</v>
      </c>
      <c r="J59" s="38">
        <f t="shared" si="279"/>
        <v>4.3692523943404907E-2</v>
      </c>
      <c r="K59" s="38">
        <f t="shared" si="279"/>
        <v>4.6984223200013442E-2</v>
      </c>
      <c r="L59" s="38">
        <f t="shared" si="279"/>
        <v>4.1777268730426115E-2</v>
      </c>
      <c r="M59" s="38">
        <f t="shared" si="279"/>
        <v>4.2795614974640878E-2</v>
      </c>
      <c r="N59" s="69"/>
      <c r="O59" s="102"/>
      <c r="P59" s="69"/>
      <c r="Q59" s="69"/>
      <c r="R59" s="69"/>
      <c r="S59" s="69"/>
      <c r="T59" s="69"/>
      <c r="U59" s="69"/>
      <c r="V59" s="69"/>
      <c r="W59" s="69"/>
    </row>
    <row r="60" spans="1:23" x14ac:dyDescent="0.45">
      <c r="A60" s="69"/>
      <c r="B60" s="106" t="s">
        <v>235</v>
      </c>
      <c r="C60" s="101">
        <f>'IS(Quaterly)'!G48</f>
        <v>214.75899999999999</v>
      </c>
      <c r="D60" s="101">
        <f>'IS(Quaterly)'!H48</f>
        <v>-6.593</v>
      </c>
      <c r="E60" s="101">
        <f>'IS(Quaterly)'!I48</f>
        <v>424.72800000000001</v>
      </c>
      <c r="F60" s="101">
        <f>'IS(Quaterly)'!J48</f>
        <v>450.714</v>
      </c>
      <c r="G60" s="101">
        <f>'IS(Quaterly)'!K48</f>
        <v>105.875</v>
      </c>
      <c r="H60" s="101">
        <f>AVERAGE(D60:G60)</f>
        <v>243.68099999999998</v>
      </c>
      <c r="I60" s="101">
        <f t="shared" ref="I60:M60" si="280">AVERAGE(E60:H60)</f>
        <v>306.24950000000001</v>
      </c>
      <c r="J60" s="101">
        <f t="shared" si="280"/>
        <v>276.62987499999997</v>
      </c>
      <c r="K60" s="101">
        <f t="shared" si="280"/>
        <v>233.10884374999998</v>
      </c>
      <c r="L60" s="101">
        <f t="shared" si="280"/>
        <v>264.91730468749995</v>
      </c>
      <c r="M60" s="101">
        <f t="shared" si="280"/>
        <v>270.22638085937501</v>
      </c>
      <c r="N60" s="69"/>
      <c r="O60" s="102" t="s">
        <v>443</v>
      </c>
      <c r="P60" s="69"/>
      <c r="Q60" s="69"/>
      <c r="R60" s="69"/>
      <c r="S60" s="69"/>
      <c r="T60" s="69"/>
      <c r="U60" s="69"/>
      <c r="V60" s="69"/>
      <c r="W60" s="69"/>
    </row>
    <row r="61" spans="1:23" x14ac:dyDescent="0.45">
      <c r="A61" s="69"/>
      <c r="B61" s="38" t="s">
        <v>263</v>
      </c>
      <c r="C61" s="38">
        <f>C60/$C$6</f>
        <v>4.9047954738384479E-4</v>
      </c>
      <c r="D61" s="38">
        <f t="shared" ref="D61:H61" si="281">D60/$C$6</f>
        <v>-1.5057490749638846E-5</v>
      </c>
      <c r="E61" s="38">
        <f t="shared" si="281"/>
        <v>9.7001940408199727E-4</v>
      </c>
      <c r="F61" s="38">
        <f t="shared" si="281"/>
        <v>1.0293677970169457E-3</v>
      </c>
      <c r="G61" s="38">
        <f t="shared" si="281"/>
        <v>2.4180370591809689E-4</v>
      </c>
      <c r="H61" s="38">
        <f t="shared" si="281"/>
        <v>5.5653335406685017E-4</v>
      </c>
      <c r="I61" s="38">
        <f t="shared" ref="I61:M61" si="282">I60/$C$6</f>
        <v>6.9943106527097258E-4</v>
      </c>
      <c r="J61" s="38">
        <f t="shared" si="282"/>
        <v>6.3178398056821627E-4</v>
      </c>
      <c r="K61" s="38">
        <f t="shared" si="282"/>
        <v>5.3238802645603394E-4</v>
      </c>
      <c r="L61" s="38">
        <f t="shared" si="282"/>
        <v>6.0503410659051816E-4</v>
      </c>
      <c r="M61" s="38">
        <f t="shared" si="282"/>
        <v>6.1715929472143534E-4</v>
      </c>
      <c r="N61" s="69"/>
      <c r="O61" s="102"/>
      <c r="P61" s="69"/>
      <c r="Q61" s="69"/>
      <c r="R61" s="69"/>
      <c r="S61" s="69"/>
      <c r="T61" s="69"/>
      <c r="U61" s="69"/>
      <c r="V61" s="69"/>
      <c r="W61" s="69"/>
    </row>
    <row r="62" spans="1:23" x14ac:dyDescent="0.45">
      <c r="A62" s="69"/>
      <c r="B62" s="106" t="s">
        <v>236</v>
      </c>
      <c r="C62" s="101">
        <f>'IS(Quaterly)'!G65</f>
        <v>719.49599999999998</v>
      </c>
      <c r="D62" s="101">
        <f>'IS(Quaterly)'!H65</f>
        <v>482.05099999999999</v>
      </c>
      <c r="E62" s="101">
        <f>'IS(Quaterly)'!I65</f>
        <v>774.81</v>
      </c>
      <c r="F62" s="101">
        <f>'IS(Quaterly)'!J65</f>
        <v>1874.732</v>
      </c>
      <c r="G62" s="101">
        <f>'IS(Quaterly)'!K65</f>
        <v>1333.607</v>
      </c>
      <c r="H62" s="101">
        <f>AVERAGE(D62:G62)</f>
        <v>1116.3</v>
      </c>
      <c r="I62" s="101">
        <f t="shared" ref="I62:M62" si="283">AVERAGE(E62:H62)</f>
        <v>1274.8622499999999</v>
      </c>
      <c r="J62" s="101">
        <f t="shared" si="283"/>
        <v>1399.8753125000001</v>
      </c>
      <c r="K62" s="101">
        <f t="shared" si="283"/>
        <v>1281.1611406250001</v>
      </c>
      <c r="L62" s="101">
        <f t="shared" si="283"/>
        <v>1268.04967578125</v>
      </c>
      <c r="M62" s="101">
        <f t="shared" si="283"/>
        <v>1305.9870947265624</v>
      </c>
      <c r="N62" s="69"/>
      <c r="O62" s="102" t="s">
        <v>442</v>
      </c>
      <c r="P62" s="69"/>
      <c r="Q62" s="69"/>
      <c r="R62" s="69"/>
      <c r="S62" s="69"/>
      <c r="T62" s="69"/>
      <c r="U62" s="69"/>
      <c r="V62" s="69"/>
      <c r="W62" s="69"/>
    </row>
    <row r="63" spans="1:23" x14ac:dyDescent="0.45">
      <c r="A63" s="69"/>
      <c r="B63" s="38" t="s">
        <v>263</v>
      </c>
      <c r="C63" s="38">
        <f>C62/$C$6</f>
        <v>1.6432283276811999E-3</v>
      </c>
      <c r="D63" s="38">
        <f t="shared" ref="D63:H63" si="284">D62/$C$6</f>
        <v>1.1009371262481655E-3</v>
      </c>
      <c r="E63" s="38">
        <f t="shared" si="284"/>
        <v>1.769557774568129E-3</v>
      </c>
      <c r="F63" s="38">
        <f t="shared" si="284"/>
        <v>4.2816259287201475E-3</v>
      </c>
      <c r="G63" s="38">
        <f t="shared" si="284"/>
        <v>3.0457720409758247E-3</v>
      </c>
      <c r="H63" s="38">
        <f t="shared" si="284"/>
        <v>2.5494732176280666E-3</v>
      </c>
      <c r="I63" s="38">
        <f t="shared" ref="I63:M63" si="285">I62/$C$6</f>
        <v>2.9116072404730417E-3</v>
      </c>
      <c r="J63" s="38">
        <f t="shared" si="285"/>
        <v>3.1971196069492704E-3</v>
      </c>
      <c r="K63" s="38">
        <f t="shared" si="285"/>
        <v>2.9259930265065513E-3</v>
      </c>
      <c r="L63" s="38">
        <f t="shared" si="285"/>
        <v>2.8960482728892325E-3</v>
      </c>
      <c r="M63" s="38">
        <f t="shared" si="285"/>
        <v>2.9826920367045239E-3</v>
      </c>
      <c r="N63" s="69"/>
      <c r="O63" s="102"/>
      <c r="P63" s="69"/>
      <c r="Q63" s="69"/>
      <c r="R63" s="69"/>
      <c r="S63" s="69"/>
      <c r="T63" s="69"/>
      <c r="U63" s="69"/>
      <c r="V63" s="69"/>
      <c r="W63" s="69"/>
    </row>
    <row r="64" spans="1:23" x14ac:dyDescent="0.45">
      <c r="A64" s="69"/>
      <c r="B64" s="107" t="s">
        <v>237</v>
      </c>
      <c r="C64" s="96">
        <f>'IS(Quaterly)'!G83</f>
        <v>76943.315960000007</v>
      </c>
      <c r="D64" s="96">
        <f>'IS(Quaterly)'!H83</f>
        <v>77315.924920000005</v>
      </c>
      <c r="E64" s="96">
        <f>'IS(Quaterly)'!I83</f>
        <v>86315.712159999995</v>
      </c>
      <c r="F64" s="96">
        <f>'IS(Quaterly)'!J83</f>
        <v>83876.710909999994</v>
      </c>
      <c r="G64" s="96">
        <f>'IS(Quaterly)'!K83</f>
        <v>68280.796140000006</v>
      </c>
      <c r="H64" s="96">
        <f>H52+H54+H56-H58+H60-H62</f>
        <v>76335.342803397943</v>
      </c>
      <c r="I64" s="96">
        <f t="shared" ref="I64:M64" si="286">I52+I54+I56-I58+I60-I62</f>
        <v>84005.221868112189</v>
      </c>
      <c r="J64" s="96">
        <f t="shared" si="286"/>
        <v>85264.176824219452</v>
      </c>
      <c r="K64" s="96">
        <f t="shared" si="286"/>
        <v>85056.996909627094</v>
      </c>
      <c r="L64" s="96">
        <f t="shared" si="286"/>
        <v>92943.734221213002</v>
      </c>
      <c r="M64" s="96">
        <f t="shared" si="286"/>
        <v>94889.482177471349</v>
      </c>
      <c r="N64" s="69"/>
      <c r="O64" s="102"/>
      <c r="P64" s="69"/>
      <c r="Q64" s="69"/>
      <c r="R64" s="69"/>
      <c r="S64" s="69"/>
      <c r="T64" s="69"/>
      <c r="U64" s="69"/>
      <c r="V64" s="69"/>
      <c r="W64" s="69"/>
    </row>
    <row r="65" spans="1:23" x14ac:dyDescent="0.45">
      <c r="A65" s="69"/>
      <c r="B65" s="108" t="s">
        <v>114</v>
      </c>
      <c r="C65" s="109">
        <v>20264.11565</v>
      </c>
      <c r="D65" s="109">
        <v>18786.75764</v>
      </c>
      <c r="E65" s="109">
        <v>17908.97005</v>
      </c>
      <c r="F65" s="109">
        <v>20558.52476</v>
      </c>
      <c r="G65" s="109">
        <v>15283.742459999999</v>
      </c>
      <c r="H65" s="109">
        <f>H6*H67</f>
        <v>18117.363180394936</v>
      </c>
      <c r="I65" s="109">
        <f t="shared" ref="I65:M65" si="287">I6*I67</f>
        <v>18396.648179693319</v>
      </c>
      <c r="J65" s="109">
        <f t="shared" si="287"/>
        <v>19287.103405582093</v>
      </c>
      <c r="K65" s="109">
        <f t="shared" si="287"/>
        <v>19116.746967377592</v>
      </c>
      <c r="L65" s="109">
        <f t="shared" si="287"/>
        <v>20393.614288148856</v>
      </c>
      <c r="M65" s="109">
        <f t="shared" si="287"/>
        <v>20726.178310520838</v>
      </c>
      <c r="N65" s="69"/>
      <c r="O65" s="102"/>
      <c r="P65" s="69"/>
      <c r="Q65" s="69"/>
      <c r="R65" s="69"/>
      <c r="S65" s="69"/>
      <c r="T65" s="69"/>
      <c r="U65" s="69"/>
      <c r="V65" s="69"/>
      <c r="W65" s="69"/>
    </row>
    <row r="66" spans="1:23" x14ac:dyDescent="0.45">
      <c r="A66" s="69"/>
      <c r="B66" s="204" t="s">
        <v>464</v>
      </c>
      <c r="C66" s="204">
        <f>C65/C64</f>
        <v>0.26336421035629093</v>
      </c>
      <c r="D66" s="204">
        <f t="shared" ref="D66:G66" si="288">D65/D64</f>
        <v>0.24298690935197312</v>
      </c>
      <c r="E66" s="204">
        <f t="shared" si="288"/>
        <v>0.20748215593474867</v>
      </c>
      <c r="F66" s="204">
        <f t="shared" si="288"/>
        <v>0.24510408833340366</v>
      </c>
      <c r="G66" s="204">
        <f t="shared" si="288"/>
        <v>0.22383661767304047</v>
      </c>
      <c r="H66" s="204">
        <f>H65/H64</f>
        <v>0.23733912123845824</v>
      </c>
      <c r="I66" s="204">
        <f t="shared" ref="I66:M66" si="289">I65/I64</f>
        <v>0.21899410263538108</v>
      </c>
      <c r="J66" s="204">
        <f t="shared" si="289"/>
        <v>0.22620406510631502</v>
      </c>
      <c r="K66" s="204">
        <f t="shared" si="289"/>
        <v>0.22475219749045575</v>
      </c>
      <c r="L66" s="204">
        <f t="shared" si="289"/>
        <v>0.21941892542869579</v>
      </c>
      <c r="M66" s="204">
        <f t="shared" si="289"/>
        <v>0.21842440104959962</v>
      </c>
      <c r="N66" s="69"/>
      <c r="O66" s="273" t="s">
        <v>517</v>
      </c>
      <c r="P66" s="69"/>
      <c r="Q66" s="69"/>
      <c r="R66" s="69"/>
      <c r="S66" s="69"/>
      <c r="T66" s="69"/>
      <c r="U66" s="69"/>
      <c r="V66" s="69"/>
      <c r="W66" s="69"/>
    </row>
    <row r="67" spans="1:23" x14ac:dyDescent="0.45">
      <c r="A67" s="69"/>
      <c r="B67" s="204" t="s">
        <v>465</v>
      </c>
      <c r="C67" s="204">
        <f>C65/C6</f>
        <v>4.6280408607536294E-2</v>
      </c>
      <c r="D67" s="204">
        <f t="shared" ref="D67:G67" si="290">D65/D6</f>
        <v>4.0729087992391097E-2</v>
      </c>
      <c r="E67" s="204">
        <f t="shared" si="290"/>
        <v>3.8649151023668706E-2</v>
      </c>
      <c r="F67" s="204">
        <f t="shared" si="290"/>
        <v>4.233652532362369E-2</v>
      </c>
      <c r="G67" s="204">
        <f t="shared" si="290"/>
        <v>3.2677010125816232E-2</v>
      </c>
      <c r="H67" s="204">
        <f>AVERAGE(D67:G67)</f>
        <v>3.8597943616374933E-2</v>
      </c>
      <c r="I67" s="204">
        <f t="shared" ref="I67" si="291">AVERAGE(E67:H67)</f>
        <v>3.8065157522370885E-2</v>
      </c>
      <c r="J67" s="204">
        <f t="shared" ref="J67" si="292">AVERAGE(F67:I67)</f>
        <v>3.7919159147046438E-2</v>
      </c>
      <c r="K67" s="204">
        <f t="shared" ref="K67" si="293">AVERAGE(G67:J67)</f>
        <v>3.6814817602902124E-2</v>
      </c>
      <c r="L67" s="204">
        <f t="shared" ref="L67" si="294">AVERAGE(H67:K67)</f>
        <v>3.7849269472173597E-2</v>
      </c>
      <c r="M67" s="204">
        <f t="shared" ref="M67" si="295">AVERAGE(I67:L67)</f>
        <v>3.7662100936123259E-2</v>
      </c>
      <c r="N67" s="69"/>
      <c r="O67" s="272" t="s">
        <v>518</v>
      </c>
      <c r="P67" s="69"/>
      <c r="Q67" s="69"/>
      <c r="R67" s="69"/>
      <c r="S67" s="69"/>
      <c r="T67" s="69"/>
      <c r="U67" s="69"/>
      <c r="V67" s="69"/>
      <c r="W67" s="69"/>
    </row>
    <row r="68" spans="1:23" x14ac:dyDescent="0.45">
      <c r="A68" s="69"/>
      <c r="B68" s="97" t="s">
        <v>238</v>
      </c>
      <c r="C68" s="96">
        <f>'IS(Quaterly)'!G89</f>
        <v>56679.20031</v>
      </c>
      <c r="D68" s="96">
        <f>'IS(Quaterly)'!H89</f>
        <v>58529.167280000001</v>
      </c>
      <c r="E68" s="96">
        <f>'IS(Quaterly)'!I89</f>
        <v>68406.742119999995</v>
      </c>
      <c r="F68" s="96">
        <f>'IS(Quaterly)'!J89</f>
        <v>63318.186150000001</v>
      </c>
      <c r="G68" s="96">
        <f>'IS(Quaterly)'!K89</f>
        <v>52997.053679999997</v>
      </c>
      <c r="H68" s="96">
        <f>H64-H65</f>
        <v>58217.979623003004</v>
      </c>
      <c r="I68" s="96">
        <f t="shared" ref="I68:M68" si="296">I64-I65</f>
        <v>65608.573688418866</v>
      </c>
      <c r="J68" s="96">
        <f t="shared" si="296"/>
        <v>65977.073418637359</v>
      </c>
      <c r="K68" s="96">
        <f t="shared" si="296"/>
        <v>65940.249942249502</v>
      </c>
      <c r="L68" s="96">
        <f t="shared" si="296"/>
        <v>72550.119933064154</v>
      </c>
      <c r="M68" s="96">
        <f t="shared" si="296"/>
        <v>74163.303866950504</v>
      </c>
      <c r="N68" s="69"/>
      <c r="O68" s="102"/>
      <c r="P68" s="69"/>
      <c r="Q68" s="69"/>
      <c r="R68" s="69"/>
      <c r="S68" s="69"/>
      <c r="T68" s="69"/>
      <c r="U68" s="69"/>
      <c r="V68" s="69"/>
      <c r="W68" s="69"/>
    </row>
    <row r="69" spans="1:23" x14ac:dyDescent="0.45">
      <c r="A69" s="69"/>
      <c r="B69" s="33" t="s">
        <v>228</v>
      </c>
      <c r="C69" s="33">
        <f t="shared" ref="C69:I69" si="297">C68/C6</f>
        <v>0.12944737363336148</v>
      </c>
      <c r="D69" s="33">
        <f t="shared" si="297"/>
        <v>0.12688935738399709</v>
      </c>
      <c r="E69" s="33">
        <f t="shared" si="297"/>
        <v>0.14762783676848235</v>
      </c>
      <c r="F69" s="33">
        <f t="shared" si="297"/>
        <v>0.13039223498181557</v>
      </c>
      <c r="G69" s="33">
        <f t="shared" si="297"/>
        <v>0.11330897941208742</v>
      </c>
      <c r="H69" s="33">
        <f t="shared" si="297"/>
        <v>0.12402987524031911</v>
      </c>
      <c r="I69" s="33">
        <f t="shared" si="297"/>
        <v>0.13575302782734278</v>
      </c>
      <c r="J69" s="33">
        <f t="shared" ref="J69:M69" si="298">J68/J6</f>
        <v>0.12971336827559107</v>
      </c>
      <c r="K69" s="33">
        <f t="shared" si="298"/>
        <v>0.12698699619011092</v>
      </c>
      <c r="L69" s="33">
        <f t="shared" si="298"/>
        <v>0.13464847382059181</v>
      </c>
      <c r="M69" s="33">
        <f t="shared" si="298"/>
        <v>0.13476415160317515</v>
      </c>
      <c r="N69" s="69"/>
      <c r="O69" s="102"/>
      <c r="P69" s="69"/>
      <c r="Q69" s="69"/>
      <c r="R69" s="69"/>
      <c r="S69" s="69"/>
      <c r="T69" s="69"/>
      <c r="U69" s="69"/>
      <c r="V69" s="69"/>
      <c r="W69" s="69"/>
    </row>
    <row r="70" spans="1:23" x14ac:dyDescent="0.45">
      <c r="A70" s="69"/>
      <c r="B70" s="69"/>
      <c r="C70" s="110"/>
      <c r="D70" s="110"/>
      <c r="E70" s="110"/>
      <c r="F70" s="110"/>
      <c r="G70" s="110"/>
      <c r="H70" s="69"/>
      <c r="I70" s="69"/>
      <c r="J70" s="69"/>
      <c r="K70" s="69"/>
      <c r="L70" s="69"/>
      <c r="M70" s="69"/>
      <c r="N70" s="69"/>
      <c r="O70" s="69"/>
      <c r="P70" s="69"/>
      <c r="Q70" s="69"/>
      <c r="R70" s="69"/>
      <c r="S70" s="69"/>
      <c r="T70" s="69"/>
      <c r="U70" s="69"/>
      <c r="V70" s="69"/>
      <c r="W70" s="69"/>
    </row>
    <row r="71" spans="1:23" x14ac:dyDescent="0.45">
      <c r="A71" s="69"/>
      <c r="B71" s="69"/>
      <c r="C71" s="110"/>
      <c r="D71" s="110"/>
      <c r="E71" s="110"/>
      <c r="F71" s="110"/>
      <c r="G71" s="110"/>
      <c r="H71" s="69"/>
      <c r="I71" s="69"/>
      <c r="J71" s="69"/>
      <c r="K71" s="69"/>
      <c r="L71" s="69"/>
      <c r="M71" s="69"/>
      <c r="N71" s="69"/>
      <c r="O71" s="69"/>
      <c r="P71" s="69"/>
      <c r="Q71" s="69"/>
      <c r="R71" s="69"/>
      <c r="S71" s="69"/>
      <c r="T71" s="69"/>
      <c r="U71" s="69"/>
      <c r="V71" s="69"/>
      <c r="W71" s="69"/>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5E1C-FD43-4B69-BB41-D1B04EAE94C2}">
  <sheetPr>
    <tabColor rgb="FF01AE42"/>
  </sheetPr>
  <dimension ref="A1:B9"/>
  <sheetViews>
    <sheetView zoomScale="121" zoomScaleNormal="100" workbookViewId="0">
      <selection activeCell="I13" sqref="I13"/>
    </sheetView>
  </sheetViews>
  <sheetFormatPr defaultColWidth="8.6640625" defaultRowHeight="17" x14ac:dyDescent="0.45"/>
  <cols>
    <col min="1" max="16384" width="8.6640625" style="15"/>
  </cols>
  <sheetData>
    <row r="1" spans="1:2" s="18" customFormat="1" x14ac:dyDescent="0.45"/>
    <row r="2" spans="1:2" s="18" customFormat="1" ht="18" x14ac:dyDescent="0.45">
      <c r="B2" s="19" t="s">
        <v>508</v>
      </c>
    </row>
    <row r="3" spans="1:2" x14ac:dyDescent="0.45">
      <c r="A3"/>
    </row>
    <row r="8" spans="1:2" s="18" customFormat="1" ht="18" x14ac:dyDescent="0.45">
      <c r="B8" s="19" t="s">
        <v>218</v>
      </c>
    </row>
    <row r="9" spans="1:2" s="17" customFormat="1" x14ac:dyDescent="0.45"/>
  </sheetData>
  <phoneticPr fontId="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B232-0324-493F-82B3-12E5A3029209}">
  <dimension ref="A1:Y107"/>
  <sheetViews>
    <sheetView showGridLines="0" topLeftCell="A3" zoomScale="67" workbookViewId="0">
      <selection activeCell="L35" sqref="L35"/>
    </sheetView>
  </sheetViews>
  <sheetFormatPr defaultColWidth="8.83203125" defaultRowHeight="17" x14ac:dyDescent="0.45"/>
  <cols>
    <col min="1" max="1" width="9.1640625" style="15" bestFit="1" customWidth="1"/>
    <col min="2" max="2" width="52.33203125" style="15" bestFit="1" customWidth="1"/>
    <col min="3" max="3" width="11.5" style="15" bestFit="1" customWidth="1"/>
    <col min="4" max="4" width="8.5" style="15" bestFit="1" customWidth="1"/>
    <col min="5" max="5" width="10.9140625" style="15" bestFit="1" customWidth="1"/>
    <col min="6" max="6" width="9.4140625" style="15" bestFit="1" customWidth="1"/>
    <col min="7" max="11" width="8" style="15" bestFit="1" customWidth="1"/>
    <col min="12" max="13" width="8.5" style="15" bestFit="1" customWidth="1"/>
    <col min="14" max="14" width="7.9140625" style="15" bestFit="1" customWidth="1"/>
    <col min="15" max="15" width="5.1640625" style="15" bestFit="1" customWidth="1"/>
    <col min="16" max="16" width="11.5" style="15" bestFit="1" customWidth="1"/>
    <col min="17" max="38" width="9" style="15" bestFit="1" customWidth="1"/>
    <col min="39" max="16384" width="8.83203125" style="15"/>
  </cols>
  <sheetData>
    <row r="1" spans="1:25" x14ac:dyDescent="0.45">
      <c r="A1" s="14" t="s">
        <v>94</v>
      </c>
      <c r="B1" s="13"/>
      <c r="C1" s="13"/>
      <c r="D1" s="13"/>
      <c r="E1" s="13"/>
      <c r="F1" s="13"/>
      <c r="G1" s="13"/>
      <c r="H1" s="13"/>
      <c r="I1" s="13"/>
      <c r="J1" s="13"/>
      <c r="K1" s="13"/>
    </row>
    <row r="2" spans="1:25" x14ac:dyDescent="0.45">
      <c r="A2" s="9" t="s">
        <v>93</v>
      </c>
      <c r="B2" s="9" t="s">
        <v>92</v>
      </c>
      <c r="C2" s="9"/>
      <c r="D2" s="9"/>
      <c r="E2" s="9"/>
      <c r="F2" s="9"/>
      <c r="G2" s="9"/>
      <c r="H2" s="9"/>
      <c r="I2" s="9"/>
      <c r="J2" s="9"/>
      <c r="K2" s="9"/>
    </row>
    <row r="3" spans="1:25" x14ac:dyDescent="0.45">
      <c r="A3" s="9" t="s">
        <v>91</v>
      </c>
      <c r="B3" s="7" t="s">
        <v>90</v>
      </c>
      <c r="C3" s="9" t="s">
        <v>89</v>
      </c>
      <c r="D3" s="9" t="s">
        <v>88</v>
      </c>
      <c r="E3" s="9"/>
      <c r="F3" s="9"/>
      <c r="G3" s="9"/>
      <c r="H3" s="9"/>
      <c r="I3" s="9"/>
      <c r="J3" s="9"/>
      <c r="K3" s="9"/>
    </row>
    <row r="4" spans="1:25" x14ac:dyDescent="0.45">
      <c r="A4" s="9" t="s">
        <v>87</v>
      </c>
      <c r="B4" s="12" t="s">
        <v>180</v>
      </c>
      <c r="C4" s="9" t="s">
        <v>85</v>
      </c>
      <c r="D4" s="9"/>
      <c r="E4" s="9"/>
      <c r="F4" s="9"/>
      <c r="G4" s="9"/>
      <c r="H4" s="9"/>
      <c r="I4" s="9"/>
      <c r="J4" s="9"/>
      <c r="K4" s="9"/>
    </row>
    <row r="5" spans="1:25" x14ac:dyDescent="0.45">
      <c r="A5" s="9" t="s">
        <v>84</v>
      </c>
      <c r="B5" s="10" t="s">
        <v>83</v>
      </c>
      <c r="C5" s="9"/>
      <c r="D5" s="9"/>
      <c r="E5" s="9"/>
      <c r="F5" s="9"/>
      <c r="G5" s="9"/>
      <c r="H5" s="9"/>
      <c r="I5" s="9"/>
      <c r="J5" s="9"/>
      <c r="K5" s="9"/>
    </row>
    <row r="6" spans="1:25" x14ac:dyDescent="0.45">
      <c r="A6" s="9" t="s">
        <v>82</v>
      </c>
      <c r="B6" s="11" t="s">
        <v>81</v>
      </c>
      <c r="C6" s="10" t="s">
        <v>7</v>
      </c>
      <c r="D6" s="9"/>
      <c r="E6" s="9"/>
      <c r="F6" s="9"/>
      <c r="G6" s="9"/>
      <c r="H6" s="9"/>
      <c r="I6" s="9"/>
      <c r="J6" s="9"/>
      <c r="K6" s="9"/>
    </row>
    <row r="7" spans="1:25" x14ac:dyDescent="0.45">
      <c r="A7" s="6" t="s">
        <v>80</v>
      </c>
      <c r="B7" s="8">
        <v>2021</v>
      </c>
      <c r="C7" s="7" t="s">
        <v>79</v>
      </c>
      <c r="D7" s="6"/>
      <c r="E7" s="6"/>
      <c r="F7" s="6"/>
      <c r="G7" s="6"/>
      <c r="H7" s="6"/>
      <c r="I7" s="6"/>
      <c r="J7" s="6"/>
      <c r="K7" s="6"/>
    </row>
    <row r="8" spans="1:25" x14ac:dyDescent="0.45">
      <c r="A8" s="4" t="s">
        <v>78</v>
      </c>
      <c r="B8" s="5" t="s">
        <v>77</v>
      </c>
      <c r="C8" s="5" t="s">
        <v>76</v>
      </c>
      <c r="D8" s="4">
        <v>202112</v>
      </c>
      <c r="E8" s="4">
        <v>202212</v>
      </c>
      <c r="F8" s="4">
        <v>202312</v>
      </c>
      <c r="G8" s="4">
        <v>202406</v>
      </c>
      <c r="H8" s="4">
        <v>202409</v>
      </c>
      <c r="I8" s="4">
        <v>202412</v>
      </c>
      <c r="J8" s="4">
        <v>202503</v>
      </c>
      <c r="K8" s="4">
        <v>202506</v>
      </c>
    </row>
    <row r="9" spans="1:25" x14ac:dyDescent="0.45">
      <c r="A9" s="3"/>
      <c r="B9" s="3"/>
      <c r="C9" s="3"/>
      <c r="D9" s="3" t="s">
        <v>75</v>
      </c>
      <c r="E9" s="3" t="s">
        <v>75</v>
      </c>
      <c r="F9" s="3" t="s">
        <v>75</v>
      </c>
      <c r="G9" s="3" t="s">
        <v>75</v>
      </c>
      <c r="H9" s="3" t="s">
        <v>75</v>
      </c>
      <c r="I9" s="3" t="s">
        <v>75</v>
      </c>
      <c r="J9" s="3" t="s">
        <v>75</v>
      </c>
      <c r="K9" s="3" t="s">
        <v>75</v>
      </c>
    </row>
    <row r="10" spans="1:25" x14ac:dyDescent="0.45">
      <c r="A10" s="2">
        <v>4001210000</v>
      </c>
      <c r="B10" s="2" t="s">
        <v>179</v>
      </c>
      <c r="C10" s="2" t="s">
        <v>7</v>
      </c>
      <c r="D10" s="1">
        <v>1087745.79721</v>
      </c>
      <c r="E10" s="1">
        <v>1333798.5811699999</v>
      </c>
      <c r="F10" s="1">
        <v>1430463.1663800001</v>
      </c>
      <c r="G10" s="1">
        <v>437855.15857999999</v>
      </c>
      <c r="H10" s="1">
        <v>461261.43663000001</v>
      </c>
      <c r="I10" s="1">
        <v>463372.92219000001</v>
      </c>
      <c r="J10" s="1">
        <v>485597.82841999998</v>
      </c>
      <c r="K10" s="1">
        <v>467721.56942000001</v>
      </c>
    </row>
    <row r="11" spans="1:25" x14ac:dyDescent="0.45">
      <c r="A11" s="2">
        <v>4001210010</v>
      </c>
      <c r="B11" s="2" t="s">
        <v>178</v>
      </c>
      <c r="C11" s="2" t="s">
        <v>7</v>
      </c>
      <c r="D11" s="1"/>
      <c r="E11" s="1"/>
      <c r="F11" s="1"/>
      <c r="G11" s="1"/>
      <c r="H11" s="1">
        <v>341781</v>
      </c>
      <c r="I11" s="1">
        <v>945115</v>
      </c>
      <c r="J11" s="1">
        <v>377736</v>
      </c>
      <c r="K11" s="1"/>
    </row>
    <row r="12" spans="1:25" x14ac:dyDescent="0.45">
      <c r="A12" s="2">
        <v>4001210020</v>
      </c>
      <c r="B12" s="2" t="s">
        <v>177</v>
      </c>
      <c r="C12" s="2" t="s">
        <v>7</v>
      </c>
      <c r="D12" s="1"/>
      <c r="E12" s="1"/>
      <c r="F12" s="1"/>
      <c r="G12" s="1"/>
      <c r="H12" s="1">
        <v>119480</v>
      </c>
      <c r="I12" s="1">
        <v>339083</v>
      </c>
      <c r="J12" s="1">
        <v>107862</v>
      </c>
      <c r="K12" s="1"/>
    </row>
    <row r="13" spans="1:25" x14ac:dyDescent="0.45">
      <c r="A13" s="2">
        <v>4001210320</v>
      </c>
      <c r="B13" s="2" t="s">
        <v>176</v>
      </c>
      <c r="C13" s="2" t="s">
        <v>7</v>
      </c>
      <c r="D13" s="1">
        <v>942316.23595999996</v>
      </c>
      <c r="E13" s="1">
        <v>1138075.3431500001</v>
      </c>
      <c r="F13" s="1">
        <v>1157570.3864</v>
      </c>
      <c r="G13" s="1">
        <v>343797.99862999999</v>
      </c>
      <c r="H13" s="1">
        <v>355933.41735</v>
      </c>
      <c r="I13" s="1">
        <v>373085.98321999999</v>
      </c>
      <c r="J13" s="1">
        <v>377587.18170999998</v>
      </c>
      <c r="K13" s="1">
        <v>358744.48679</v>
      </c>
    </row>
    <row r="14" spans="1:25" x14ac:dyDescent="0.45">
      <c r="A14" s="2">
        <v>4001210780</v>
      </c>
      <c r="B14" s="2" t="s">
        <v>175</v>
      </c>
      <c r="C14" s="2" t="s">
        <v>7</v>
      </c>
      <c r="D14" s="1">
        <v>145429.56124000001</v>
      </c>
      <c r="E14" s="1">
        <v>195723.23801999999</v>
      </c>
      <c r="F14" s="1">
        <v>272892.77996999997</v>
      </c>
      <c r="G14" s="1">
        <v>94057.159950000001</v>
      </c>
      <c r="H14" s="1">
        <v>105328.01927999999</v>
      </c>
      <c r="I14" s="1">
        <v>90286.938970000003</v>
      </c>
      <c r="J14" s="1">
        <v>108010.64671</v>
      </c>
      <c r="K14" s="1">
        <v>108977.08262</v>
      </c>
      <c r="L14" s="30"/>
      <c r="M14" s="30"/>
      <c r="N14" s="30"/>
      <c r="O14" s="30"/>
      <c r="P14" s="30"/>
      <c r="Q14" s="30"/>
      <c r="R14" s="30"/>
      <c r="S14" s="30"/>
      <c r="T14" s="30"/>
      <c r="U14" s="30"/>
      <c r="V14" s="30"/>
      <c r="W14" s="30"/>
      <c r="X14" s="30"/>
      <c r="Y14" s="30"/>
    </row>
    <row r="15" spans="1:25" x14ac:dyDescent="0.45">
      <c r="A15" s="2">
        <v>4001290000</v>
      </c>
      <c r="B15" s="2" t="s">
        <v>174</v>
      </c>
      <c r="C15" s="2" t="s">
        <v>7</v>
      </c>
      <c r="D15" s="1">
        <v>32448.374739999999</v>
      </c>
      <c r="E15" s="1">
        <v>53772.83064</v>
      </c>
      <c r="F15" s="1">
        <v>71420.301619999998</v>
      </c>
      <c r="G15" s="1">
        <v>23071.29076</v>
      </c>
      <c r="H15" s="1">
        <v>21944.669720000002</v>
      </c>
      <c r="I15" s="1">
        <v>24407.77018</v>
      </c>
      <c r="J15" s="1">
        <v>25003.819500000001</v>
      </c>
      <c r="K15" s="1">
        <v>25967.14733</v>
      </c>
      <c r="L15" s="31"/>
      <c r="M15" s="31"/>
      <c r="N15" s="31"/>
      <c r="O15" s="31"/>
      <c r="P15" s="31"/>
      <c r="Q15" s="31"/>
      <c r="R15" s="31"/>
      <c r="S15" s="31"/>
      <c r="T15" s="31"/>
      <c r="U15" s="31"/>
      <c r="V15" s="31"/>
      <c r="W15" s="31"/>
      <c r="X15" s="31"/>
      <c r="Y15" s="31"/>
    </row>
    <row r="16" spans="1:25" x14ac:dyDescent="0.45">
      <c r="A16" s="2">
        <v>4001290010</v>
      </c>
      <c r="B16" s="2" t="s">
        <v>173</v>
      </c>
      <c r="C16" s="2" t="s">
        <v>7</v>
      </c>
      <c r="D16" s="1">
        <v>17489.672999999999</v>
      </c>
      <c r="E16" s="1">
        <v>25329.429</v>
      </c>
      <c r="F16" s="1">
        <v>35800.275999999998</v>
      </c>
      <c r="G16" s="1">
        <v>11160.155000000001</v>
      </c>
      <c r="H16" s="1">
        <v>11585.550999999999</v>
      </c>
      <c r="I16" s="1">
        <v>12256.913</v>
      </c>
      <c r="J16" s="1">
        <v>13364.795</v>
      </c>
      <c r="K16" s="1">
        <v>13326.062</v>
      </c>
      <c r="L16" s="31"/>
      <c r="M16" s="31"/>
      <c r="N16" s="31"/>
      <c r="O16" s="31"/>
      <c r="P16" s="31"/>
      <c r="Q16" s="31"/>
      <c r="R16" s="31"/>
      <c r="S16" s="31"/>
      <c r="T16" s="31"/>
      <c r="U16" s="31"/>
      <c r="V16" s="31"/>
      <c r="W16" s="31"/>
      <c r="X16" s="31"/>
      <c r="Y16" s="31"/>
    </row>
    <row r="17" spans="1:25" x14ac:dyDescent="0.45">
      <c r="A17" s="2">
        <v>4001290020</v>
      </c>
      <c r="B17" s="2" t="s">
        <v>172</v>
      </c>
      <c r="C17" s="2" t="s">
        <v>7</v>
      </c>
      <c r="D17" s="1">
        <v>2360</v>
      </c>
      <c r="E17" s="1">
        <v>5956.2650000000003</v>
      </c>
      <c r="F17" s="1">
        <v>8144.7430000000004</v>
      </c>
      <c r="G17" s="1">
        <v>2318.7539999999999</v>
      </c>
      <c r="H17" s="1">
        <v>2464.5160000000001</v>
      </c>
      <c r="I17" s="1">
        <v>2398.924</v>
      </c>
      <c r="J17" s="1">
        <v>2499.549</v>
      </c>
      <c r="K17" s="1">
        <v>2505.5300000000002</v>
      </c>
      <c r="L17" s="31"/>
      <c r="M17" s="31"/>
      <c r="N17" s="31"/>
      <c r="O17" s="31"/>
      <c r="P17" s="31"/>
      <c r="Q17" s="31"/>
      <c r="R17" s="31"/>
      <c r="S17" s="31"/>
      <c r="T17" s="31"/>
      <c r="U17" s="31"/>
      <c r="V17" s="31"/>
      <c r="W17" s="31"/>
      <c r="X17" s="31"/>
      <c r="Y17" s="31"/>
    </row>
    <row r="18" spans="1:25" x14ac:dyDescent="0.45">
      <c r="A18" s="2">
        <v>4001211300</v>
      </c>
      <c r="B18" s="2" t="s">
        <v>171</v>
      </c>
      <c r="C18" s="2" t="s">
        <v>7</v>
      </c>
      <c r="D18" s="1">
        <v>800.56299999999999</v>
      </c>
      <c r="E18" s="1">
        <v>4629.4679999999998</v>
      </c>
      <c r="F18" s="1">
        <v>4637.0479999999998</v>
      </c>
      <c r="G18" s="1">
        <v>1212.4739999999999</v>
      </c>
      <c r="H18" s="1">
        <v>1928.8620000000001</v>
      </c>
      <c r="I18" s="1">
        <v>2241.1109999999999</v>
      </c>
      <c r="J18" s="1">
        <v>1138.046</v>
      </c>
      <c r="K18" s="1">
        <v>2003.1489999999999</v>
      </c>
    </row>
    <row r="19" spans="1:25" x14ac:dyDescent="0.45">
      <c r="A19" s="2">
        <v>4001211060</v>
      </c>
      <c r="B19" s="2" t="s">
        <v>170</v>
      </c>
      <c r="C19" s="2" t="s">
        <v>7</v>
      </c>
      <c r="D19" s="1">
        <v>164.648</v>
      </c>
      <c r="E19" s="1">
        <v>1342.268</v>
      </c>
      <c r="F19" s="1">
        <v>1200.0039999999999</v>
      </c>
      <c r="G19" s="1">
        <v>115.089</v>
      </c>
      <c r="H19" s="1">
        <v>93.162999999999997</v>
      </c>
      <c r="I19" s="1">
        <v>132.197</v>
      </c>
      <c r="J19" s="1">
        <v>123.60899999999999</v>
      </c>
      <c r="K19" s="1">
        <v>186.68899999999999</v>
      </c>
    </row>
    <row r="20" spans="1:25" x14ac:dyDescent="0.45">
      <c r="A20" s="2">
        <v>4001290040</v>
      </c>
      <c r="B20" s="2" t="s">
        <v>169</v>
      </c>
      <c r="C20" s="2" t="s">
        <v>7</v>
      </c>
      <c r="D20" s="1">
        <v>2389.261</v>
      </c>
      <c r="E20" s="1">
        <v>-278.91000000000003</v>
      </c>
      <c r="F20" s="1">
        <v>-5366.8010000000004</v>
      </c>
      <c r="G20" s="1">
        <v>148.21799999999999</v>
      </c>
      <c r="H20" s="1">
        <v>-195.732</v>
      </c>
      <c r="I20" s="1">
        <v>926.53399999999999</v>
      </c>
      <c r="J20" s="1">
        <v>107.038</v>
      </c>
      <c r="K20" s="1">
        <v>-2.4209999999999998</v>
      </c>
    </row>
    <row r="21" spans="1:25" x14ac:dyDescent="0.45">
      <c r="A21" s="2">
        <v>4001290090</v>
      </c>
      <c r="B21" s="2" t="s">
        <v>168</v>
      </c>
      <c r="C21" s="2" t="s">
        <v>7</v>
      </c>
      <c r="D21" s="1">
        <v>9176.8670000000002</v>
      </c>
      <c r="E21" s="1">
        <v>12524.471</v>
      </c>
      <c r="F21" s="1">
        <v>18511.026999999998</v>
      </c>
      <c r="G21" s="1">
        <v>6539.1289999999999</v>
      </c>
      <c r="H21" s="1">
        <v>4534.2640000000001</v>
      </c>
      <c r="I21" s="1">
        <v>5437.1329999999998</v>
      </c>
      <c r="J21" s="1">
        <v>5008.2479999999996</v>
      </c>
      <c r="K21" s="1">
        <v>6197.8230000000003</v>
      </c>
    </row>
    <row r="22" spans="1:25" x14ac:dyDescent="0.45">
      <c r="A22" s="2">
        <v>4001290110</v>
      </c>
      <c r="B22" s="2" t="s">
        <v>167</v>
      </c>
      <c r="C22" s="2" t="s">
        <v>7</v>
      </c>
      <c r="D22" s="1"/>
      <c r="E22" s="1"/>
      <c r="F22" s="1"/>
      <c r="G22" s="1"/>
      <c r="H22" s="1"/>
      <c r="I22" s="1"/>
      <c r="J22" s="1"/>
      <c r="K22" s="1"/>
    </row>
    <row r="23" spans="1:25" x14ac:dyDescent="0.45">
      <c r="A23" s="2">
        <v>4001211420</v>
      </c>
      <c r="B23" s="2" t="s">
        <v>166</v>
      </c>
      <c r="C23" s="2" t="s">
        <v>7</v>
      </c>
      <c r="D23" s="1">
        <v>67.363</v>
      </c>
      <c r="E23" s="1">
        <v>4269.84</v>
      </c>
      <c r="F23" s="1">
        <v>8494.0040000000008</v>
      </c>
      <c r="G23" s="1">
        <v>1577.472</v>
      </c>
      <c r="H23" s="1">
        <v>1534.046</v>
      </c>
      <c r="I23" s="1">
        <v>1014.9589999999999</v>
      </c>
      <c r="J23" s="1">
        <v>2762.5340000000001</v>
      </c>
      <c r="K23" s="1">
        <v>1750.3150000000001</v>
      </c>
    </row>
    <row r="24" spans="1:25" x14ac:dyDescent="0.45">
      <c r="A24" s="2">
        <v>4001211430</v>
      </c>
      <c r="B24" s="2" t="s">
        <v>165</v>
      </c>
      <c r="C24" s="2" t="s">
        <v>7</v>
      </c>
      <c r="D24" s="1">
        <v>112981.1865</v>
      </c>
      <c r="E24" s="1">
        <v>141950.40737999999</v>
      </c>
      <c r="F24" s="1">
        <v>201472.47834999999</v>
      </c>
      <c r="G24" s="1">
        <v>70985.869189999998</v>
      </c>
      <c r="H24" s="1">
        <v>83383.349570000006</v>
      </c>
      <c r="I24" s="1">
        <v>65879.168780000007</v>
      </c>
      <c r="J24" s="1">
        <v>83006.827220000006</v>
      </c>
      <c r="K24" s="1">
        <v>83009.935289999994</v>
      </c>
    </row>
    <row r="25" spans="1:25" x14ac:dyDescent="0.45">
      <c r="A25" s="2">
        <v>4001290120</v>
      </c>
      <c r="B25" s="2" t="s">
        <v>164</v>
      </c>
      <c r="C25" s="2" t="s">
        <v>7</v>
      </c>
      <c r="D25" s="1">
        <v>18646.664000000001</v>
      </c>
      <c r="E25" s="1">
        <v>40210.224999999999</v>
      </c>
      <c r="F25" s="1">
        <v>40724.493999999999</v>
      </c>
      <c r="G25" s="1">
        <v>10729.355</v>
      </c>
      <c r="H25" s="1">
        <v>9314.7900000000009</v>
      </c>
      <c r="I25" s="1">
        <v>29108.738000000001</v>
      </c>
      <c r="J25" s="1">
        <v>15766.251</v>
      </c>
      <c r="K25" s="1">
        <v>16252.424000000001</v>
      </c>
    </row>
    <row r="26" spans="1:25" x14ac:dyDescent="0.45">
      <c r="A26" s="2">
        <v>4001290750</v>
      </c>
      <c r="B26" s="2" t="s">
        <v>147</v>
      </c>
      <c r="C26" s="2" t="s">
        <v>7</v>
      </c>
      <c r="D26" s="1">
        <v>741.36199999999997</v>
      </c>
      <c r="E26" s="1">
        <v>880.98299999999995</v>
      </c>
      <c r="F26" s="1">
        <v>2344.0279999999998</v>
      </c>
      <c r="G26" s="1">
        <v>2989.8789999999999</v>
      </c>
      <c r="H26" s="1">
        <v>3783.7240000000002</v>
      </c>
      <c r="I26" s="1">
        <v>4065.5349999999999</v>
      </c>
      <c r="J26" s="1">
        <v>4504.1840000000002</v>
      </c>
      <c r="K26" s="1">
        <v>3748.1559999999999</v>
      </c>
    </row>
    <row r="27" spans="1:25" x14ac:dyDescent="0.45">
      <c r="A27" s="2">
        <v>4001290760</v>
      </c>
      <c r="B27" s="2" t="s">
        <v>146</v>
      </c>
      <c r="C27" s="2" t="s">
        <v>7</v>
      </c>
      <c r="D27" s="1">
        <v>145.55199999999999</v>
      </c>
      <c r="E27" s="1"/>
      <c r="F27" s="1"/>
      <c r="G27" s="1"/>
      <c r="H27" s="1"/>
      <c r="I27" s="1"/>
      <c r="J27" s="1"/>
      <c r="K27" s="1"/>
    </row>
    <row r="28" spans="1:25" x14ac:dyDescent="0.45">
      <c r="A28" s="2">
        <v>4001211480</v>
      </c>
      <c r="B28" s="2" t="s">
        <v>145</v>
      </c>
      <c r="C28" s="2" t="s">
        <v>7</v>
      </c>
      <c r="D28" s="1">
        <v>17759.75</v>
      </c>
      <c r="E28" s="1">
        <v>39329.241999999998</v>
      </c>
      <c r="F28" s="1">
        <v>38380.466</v>
      </c>
      <c r="G28" s="1">
        <v>7739.4759999999997</v>
      </c>
      <c r="H28" s="1">
        <v>5520.0709999999999</v>
      </c>
      <c r="I28" s="1">
        <v>25053.214</v>
      </c>
      <c r="J28" s="1">
        <v>11262.066999999999</v>
      </c>
      <c r="K28" s="1">
        <v>12349.374</v>
      </c>
    </row>
    <row r="29" spans="1:25" x14ac:dyDescent="0.45">
      <c r="A29" s="2">
        <v>4001211520</v>
      </c>
      <c r="B29" s="2" t="s">
        <v>163</v>
      </c>
      <c r="C29" s="2" t="s">
        <v>7</v>
      </c>
      <c r="D29" s="1"/>
      <c r="E29" s="1"/>
      <c r="F29" s="1"/>
      <c r="G29" s="1"/>
      <c r="H29" s="1"/>
      <c r="I29" s="1"/>
      <c r="J29" s="1"/>
      <c r="K29" s="1"/>
    </row>
    <row r="30" spans="1:25" x14ac:dyDescent="0.45">
      <c r="A30" s="2">
        <v>4001211600</v>
      </c>
      <c r="B30" s="2" t="s">
        <v>162</v>
      </c>
      <c r="C30" s="2" t="s">
        <v>7</v>
      </c>
      <c r="D30" s="1"/>
      <c r="E30" s="1"/>
      <c r="F30" s="1"/>
      <c r="G30" s="1"/>
      <c r="H30" s="1"/>
      <c r="I30" s="1"/>
      <c r="J30" s="1"/>
      <c r="K30" s="1"/>
    </row>
    <row r="31" spans="1:25" x14ac:dyDescent="0.45">
      <c r="A31" s="2">
        <v>4001211605</v>
      </c>
      <c r="B31" s="2" t="s">
        <v>161</v>
      </c>
      <c r="C31" s="2" t="s">
        <v>7</v>
      </c>
      <c r="D31" s="1"/>
      <c r="E31" s="1"/>
      <c r="F31" s="1"/>
      <c r="G31" s="1"/>
      <c r="H31" s="1"/>
      <c r="I31" s="1"/>
      <c r="J31" s="1"/>
      <c r="K31" s="1"/>
    </row>
    <row r="32" spans="1:25" x14ac:dyDescent="0.45">
      <c r="A32" s="2">
        <v>4001290130</v>
      </c>
      <c r="B32" s="2" t="s">
        <v>160</v>
      </c>
      <c r="C32" s="2" t="s">
        <v>7</v>
      </c>
      <c r="D32" s="1"/>
      <c r="E32" s="1"/>
      <c r="F32" s="1"/>
      <c r="G32" s="1"/>
      <c r="H32" s="1"/>
      <c r="I32" s="1"/>
      <c r="J32" s="1"/>
      <c r="K32" s="1"/>
    </row>
    <row r="33" spans="1:11" x14ac:dyDescent="0.45">
      <c r="A33" s="2">
        <v>4001290150</v>
      </c>
      <c r="B33" s="2" t="s">
        <v>159</v>
      </c>
      <c r="C33" s="2" t="s">
        <v>7</v>
      </c>
      <c r="D33" s="1"/>
      <c r="E33" s="1"/>
      <c r="F33" s="1"/>
      <c r="G33" s="1"/>
      <c r="H33" s="1"/>
      <c r="I33" s="1"/>
      <c r="J33" s="1"/>
      <c r="K33" s="1"/>
    </row>
    <row r="34" spans="1:11" x14ac:dyDescent="0.45">
      <c r="A34" s="2">
        <v>4001211720</v>
      </c>
      <c r="B34" s="2" t="s">
        <v>158</v>
      </c>
      <c r="C34" s="2" t="s">
        <v>7</v>
      </c>
      <c r="D34" s="1"/>
      <c r="E34" s="1"/>
      <c r="F34" s="1"/>
      <c r="G34" s="1"/>
      <c r="H34" s="1"/>
      <c r="I34" s="1"/>
      <c r="J34" s="1"/>
      <c r="K34" s="1"/>
    </row>
    <row r="35" spans="1:11" x14ac:dyDescent="0.45">
      <c r="A35" s="2">
        <v>4001211680</v>
      </c>
      <c r="B35" s="2" t="s">
        <v>138</v>
      </c>
      <c r="C35" s="2" t="s">
        <v>7</v>
      </c>
      <c r="D35" s="1"/>
      <c r="E35" s="1"/>
      <c r="F35" s="1"/>
      <c r="G35" s="1"/>
      <c r="H35" s="1">
        <v>10.994999999999999</v>
      </c>
      <c r="I35" s="1">
        <v>-10.010999999999999</v>
      </c>
      <c r="J35" s="1"/>
      <c r="K35" s="1">
        <v>154.89400000000001</v>
      </c>
    </row>
    <row r="36" spans="1:11" x14ac:dyDescent="0.45">
      <c r="A36" s="2">
        <v>4001290170</v>
      </c>
      <c r="B36" s="2" t="s">
        <v>157</v>
      </c>
      <c r="C36" s="2" t="s">
        <v>7</v>
      </c>
      <c r="D36" s="1"/>
      <c r="E36" s="1"/>
      <c r="F36" s="1"/>
      <c r="G36" s="1"/>
      <c r="H36" s="1"/>
      <c r="I36" s="1"/>
      <c r="J36" s="1"/>
      <c r="K36" s="1"/>
    </row>
    <row r="37" spans="1:11" x14ac:dyDescent="0.45">
      <c r="A37" s="2">
        <v>4001290180</v>
      </c>
      <c r="B37" s="2" t="s">
        <v>156</v>
      </c>
      <c r="C37" s="2" t="s">
        <v>7</v>
      </c>
      <c r="D37" s="1">
        <v>9147.0339999999997</v>
      </c>
      <c r="E37" s="1">
        <v>36462.794000000002</v>
      </c>
      <c r="F37" s="1">
        <v>40626.705999999998</v>
      </c>
      <c r="G37" s="1">
        <v>4267.1710000000003</v>
      </c>
      <c r="H37" s="1">
        <v>14714.404</v>
      </c>
      <c r="I37" s="1">
        <v>8263.2569999999996</v>
      </c>
      <c r="J37" s="1">
        <v>13365.847</v>
      </c>
      <c r="K37" s="1">
        <v>29691.851999999999</v>
      </c>
    </row>
    <row r="38" spans="1:11" x14ac:dyDescent="0.45">
      <c r="A38" s="2">
        <v>4001290770</v>
      </c>
      <c r="B38" s="2" t="s">
        <v>131</v>
      </c>
      <c r="C38" s="2" t="s">
        <v>7</v>
      </c>
      <c r="D38" s="1">
        <v>1218.7729999999999</v>
      </c>
      <c r="E38" s="1">
        <v>2724.3470000000002</v>
      </c>
      <c r="F38" s="1">
        <v>6162.8959999999997</v>
      </c>
      <c r="G38" s="1">
        <v>1669.173</v>
      </c>
      <c r="H38" s="1">
        <v>452.57299999999998</v>
      </c>
      <c r="I38" s="1">
        <v>324.29399999999998</v>
      </c>
      <c r="J38" s="1">
        <v>283.666</v>
      </c>
      <c r="K38" s="1">
        <v>288.02800000000002</v>
      </c>
    </row>
    <row r="39" spans="1:11" x14ac:dyDescent="0.45">
      <c r="A39" s="2">
        <v>4001211820</v>
      </c>
      <c r="B39" s="2" t="s">
        <v>130</v>
      </c>
      <c r="C39" s="2" t="s">
        <v>7</v>
      </c>
      <c r="D39" s="1">
        <v>7928.2250000000004</v>
      </c>
      <c r="E39" s="1">
        <v>33557.9</v>
      </c>
      <c r="F39" s="1">
        <v>34463.81</v>
      </c>
      <c r="G39" s="1">
        <v>2492.0219999999999</v>
      </c>
      <c r="H39" s="1">
        <v>14367.807000000001</v>
      </c>
      <c r="I39" s="1">
        <v>7720.6540000000005</v>
      </c>
      <c r="J39" s="1">
        <v>13065.290999999999</v>
      </c>
      <c r="K39" s="1">
        <v>29420.714</v>
      </c>
    </row>
    <row r="40" spans="1:11" x14ac:dyDescent="0.45">
      <c r="A40" s="2">
        <v>4001211860</v>
      </c>
      <c r="B40" s="2" t="s">
        <v>155</v>
      </c>
      <c r="C40" s="2" t="s">
        <v>7</v>
      </c>
      <c r="D40" s="1"/>
      <c r="E40" s="1"/>
      <c r="F40" s="1"/>
      <c r="G40" s="1"/>
      <c r="H40" s="1"/>
      <c r="I40" s="1"/>
      <c r="J40" s="1"/>
      <c r="K40" s="1"/>
    </row>
    <row r="41" spans="1:11" x14ac:dyDescent="0.45">
      <c r="A41" s="2">
        <v>4001211865</v>
      </c>
      <c r="B41" s="2" t="s">
        <v>154</v>
      </c>
      <c r="C41" s="2" t="s">
        <v>7</v>
      </c>
      <c r="D41" s="1"/>
      <c r="E41" s="1"/>
      <c r="F41" s="1"/>
      <c r="G41" s="1"/>
      <c r="H41" s="1"/>
      <c r="I41" s="1"/>
      <c r="J41" s="1"/>
      <c r="K41" s="1"/>
    </row>
    <row r="42" spans="1:11" x14ac:dyDescent="0.45">
      <c r="A42" s="2">
        <v>4001211940</v>
      </c>
      <c r="B42" s="2" t="s">
        <v>153</v>
      </c>
      <c r="C42" s="2" t="s">
        <v>7</v>
      </c>
      <c r="D42" s="1"/>
      <c r="E42" s="1"/>
      <c r="F42" s="1"/>
      <c r="G42" s="1"/>
      <c r="H42" s="1"/>
      <c r="I42" s="1"/>
      <c r="J42" s="1"/>
      <c r="K42" s="1"/>
    </row>
    <row r="43" spans="1:11" x14ac:dyDescent="0.45">
      <c r="A43" s="2">
        <v>4001290190</v>
      </c>
      <c r="B43" s="2" t="s">
        <v>152</v>
      </c>
      <c r="C43" s="2" t="s">
        <v>7</v>
      </c>
      <c r="D43" s="1">
        <v>3.5999999999999997E-2</v>
      </c>
      <c r="E43" s="1"/>
      <c r="F43" s="1"/>
      <c r="G43" s="1"/>
      <c r="H43" s="1"/>
      <c r="I43" s="1"/>
      <c r="J43" s="1"/>
      <c r="K43" s="1"/>
    </row>
    <row r="44" spans="1:11" x14ac:dyDescent="0.45">
      <c r="A44" s="2">
        <v>4001290210</v>
      </c>
      <c r="B44" s="2" t="s">
        <v>151</v>
      </c>
      <c r="C44" s="2" t="s">
        <v>7</v>
      </c>
      <c r="D44" s="1"/>
      <c r="E44" s="1"/>
      <c r="F44" s="1"/>
      <c r="G44" s="1"/>
      <c r="H44" s="1"/>
      <c r="I44" s="1"/>
      <c r="J44" s="1"/>
      <c r="K44" s="1"/>
    </row>
    <row r="45" spans="1:11" x14ac:dyDescent="0.45">
      <c r="A45" s="2">
        <v>4001212060</v>
      </c>
      <c r="B45" s="2" t="s">
        <v>150</v>
      </c>
      <c r="C45" s="2" t="s">
        <v>7</v>
      </c>
      <c r="D45" s="1"/>
      <c r="E45" s="1"/>
      <c r="F45" s="1"/>
      <c r="G45" s="1"/>
      <c r="H45" s="1"/>
      <c r="I45" s="1"/>
      <c r="J45" s="1"/>
      <c r="K45" s="1"/>
    </row>
    <row r="46" spans="1:11" x14ac:dyDescent="0.45">
      <c r="A46" s="2">
        <v>4001212020</v>
      </c>
      <c r="B46" s="2" t="s">
        <v>123</v>
      </c>
      <c r="C46" s="2" t="s">
        <v>7</v>
      </c>
      <c r="D46" s="1"/>
      <c r="E46" s="1"/>
      <c r="F46" s="1"/>
      <c r="G46" s="1">
        <v>105.976</v>
      </c>
      <c r="H46" s="1">
        <v>-105.976</v>
      </c>
      <c r="I46" s="1">
        <v>218.309</v>
      </c>
      <c r="J46" s="1">
        <v>16.89</v>
      </c>
      <c r="K46" s="1">
        <v>-16.89</v>
      </c>
    </row>
    <row r="47" spans="1:11" x14ac:dyDescent="0.45">
      <c r="A47" s="2">
        <v>4001290230</v>
      </c>
      <c r="B47" s="2" t="s">
        <v>149</v>
      </c>
      <c r="C47" s="2" t="s">
        <v>7</v>
      </c>
      <c r="D47" s="1"/>
      <c r="E47" s="1">
        <v>180.547</v>
      </c>
      <c r="F47" s="1"/>
      <c r="G47" s="1"/>
      <c r="H47" s="1"/>
      <c r="I47" s="1"/>
      <c r="J47" s="1"/>
      <c r="K47" s="1"/>
    </row>
    <row r="48" spans="1:11" x14ac:dyDescent="0.45">
      <c r="A48" s="2">
        <v>4001290240</v>
      </c>
      <c r="B48" s="2" t="s">
        <v>148</v>
      </c>
      <c r="C48" s="2" t="s">
        <v>7</v>
      </c>
      <c r="D48" s="1">
        <v>212.04599999999999</v>
      </c>
      <c r="E48" s="1">
        <v>920.01</v>
      </c>
      <c r="F48" s="1">
        <v>778.97199999999998</v>
      </c>
      <c r="G48" s="1">
        <v>214.75899999999999</v>
      </c>
      <c r="H48" s="1">
        <v>-6.593</v>
      </c>
      <c r="I48" s="1">
        <v>424.72800000000001</v>
      </c>
      <c r="J48" s="1">
        <v>450.714</v>
      </c>
      <c r="K48" s="1">
        <v>105.875</v>
      </c>
    </row>
    <row r="49" spans="1:11" x14ac:dyDescent="0.45">
      <c r="A49" s="2">
        <v>4001280000</v>
      </c>
      <c r="B49" s="2" t="s">
        <v>147</v>
      </c>
      <c r="C49" s="2" t="s">
        <v>7</v>
      </c>
      <c r="D49" s="1"/>
      <c r="E49" s="1"/>
      <c r="F49" s="1"/>
      <c r="G49" s="1"/>
      <c r="H49" s="1"/>
      <c r="I49" s="1"/>
      <c r="J49" s="1"/>
      <c r="K49" s="1"/>
    </row>
    <row r="50" spans="1:11" x14ac:dyDescent="0.45">
      <c r="A50" s="2">
        <v>4001280010</v>
      </c>
      <c r="B50" s="2" t="s">
        <v>146</v>
      </c>
      <c r="C50" s="2" t="s">
        <v>7</v>
      </c>
      <c r="D50" s="1"/>
      <c r="E50" s="1"/>
      <c r="F50" s="1"/>
      <c r="G50" s="1"/>
      <c r="H50" s="1"/>
      <c r="I50" s="1"/>
      <c r="J50" s="1"/>
      <c r="K50" s="1"/>
    </row>
    <row r="51" spans="1:11" x14ac:dyDescent="0.45">
      <c r="A51" s="2">
        <v>4001290250</v>
      </c>
      <c r="B51" s="2" t="s">
        <v>145</v>
      </c>
      <c r="C51" s="2" t="s">
        <v>7</v>
      </c>
      <c r="D51" s="1"/>
      <c r="E51" s="1"/>
      <c r="F51" s="1"/>
      <c r="G51" s="1"/>
      <c r="H51" s="1"/>
      <c r="I51" s="1"/>
      <c r="J51" s="1"/>
      <c r="K51" s="1"/>
    </row>
    <row r="52" spans="1:11" x14ac:dyDescent="0.45">
      <c r="A52" s="2">
        <v>4001280050</v>
      </c>
      <c r="B52" s="2" t="s">
        <v>144</v>
      </c>
      <c r="C52" s="2" t="s">
        <v>7</v>
      </c>
      <c r="D52" s="1"/>
      <c r="E52" s="1"/>
      <c r="F52" s="1"/>
      <c r="G52" s="1"/>
      <c r="H52" s="1"/>
      <c r="I52" s="1"/>
      <c r="J52" s="1"/>
      <c r="K52" s="1"/>
    </row>
    <row r="53" spans="1:11" x14ac:dyDescent="0.45">
      <c r="A53" s="2">
        <v>4001280060</v>
      </c>
      <c r="B53" s="2" t="s">
        <v>143</v>
      </c>
      <c r="C53" s="2" t="s">
        <v>7</v>
      </c>
      <c r="D53" s="1"/>
      <c r="E53" s="1"/>
      <c r="F53" s="1"/>
      <c r="G53" s="1"/>
      <c r="H53" s="1"/>
      <c r="I53" s="1"/>
      <c r="J53" s="1"/>
      <c r="K53" s="1"/>
    </row>
    <row r="54" spans="1:11" x14ac:dyDescent="0.45">
      <c r="A54" s="2">
        <v>4001280065</v>
      </c>
      <c r="B54" s="2" t="s">
        <v>142</v>
      </c>
      <c r="C54" s="2" t="s">
        <v>7</v>
      </c>
      <c r="D54" s="1"/>
      <c r="E54" s="1"/>
      <c r="F54" s="1"/>
      <c r="G54" s="1"/>
      <c r="H54" s="1"/>
      <c r="I54" s="1"/>
      <c r="J54" s="1"/>
      <c r="K54" s="1"/>
    </row>
    <row r="55" spans="1:11" x14ac:dyDescent="0.45">
      <c r="A55" s="2">
        <v>4001290260</v>
      </c>
      <c r="B55" s="2" t="s">
        <v>141</v>
      </c>
      <c r="C55" s="2" t="s">
        <v>7</v>
      </c>
      <c r="D55" s="1">
        <v>20.706</v>
      </c>
      <c r="E55" s="1">
        <v>9.6460000000000008</v>
      </c>
      <c r="F55" s="1">
        <v>5.3639999999999999</v>
      </c>
      <c r="G55" s="1">
        <v>1.764</v>
      </c>
      <c r="H55" s="1">
        <v>0.65800000000000003</v>
      </c>
      <c r="I55" s="1">
        <v>3.6999999999999998E-2</v>
      </c>
      <c r="J55" s="1">
        <v>285.75599999999997</v>
      </c>
      <c r="K55" s="1">
        <v>-1.2999999999999999E-2</v>
      </c>
    </row>
    <row r="56" spans="1:11" x14ac:dyDescent="0.45">
      <c r="A56" s="2">
        <v>4001280140</v>
      </c>
      <c r="B56" s="2" t="s">
        <v>140</v>
      </c>
      <c r="C56" s="2" t="s">
        <v>7</v>
      </c>
      <c r="D56" s="1"/>
      <c r="E56" s="1"/>
      <c r="F56" s="1"/>
      <c r="G56" s="1"/>
      <c r="H56" s="1"/>
      <c r="I56" s="1"/>
      <c r="J56" s="1"/>
      <c r="K56" s="1"/>
    </row>
    <row r="57" spans="1:11" x14ac:dyDescent="0.45">
      <c r="A57" s="2">
        <v>4001290280</v>
      </c>
      <c r="B57" s="2" t="s">
        <v>139</v>
      </c>
      <c r="C57" s="2" t="s">
        <v>7</v>
      </c>
      <c r="D57" s="1"/>
      <c r="E57" s="1"/>
      <c r="F57" s="1"/>
      <c r="G57" s="1"/>
      <c r="H57" s="1"/>
      <c r="I57" s="1"/>
      <c r="J57" s="1"/>
      <c r="K57" s="1"/>
    </row>
    <row r="58" spans="1:11" x14ac:dyDescent="0.45">
      <c r="A58" s="2">
        <v>4001290300</v>
      </c>
      <c r="B58" s="2" t="s">
        <v>138</v>
      </c>
      <c r="C58" s="2" t="s">
        <v>7</v>
      </c>
      <c r="D58" s="1"/>
      <c r="E58" s="1"/>
      <c r="F58" s="1"/>
      <c r="G58" s="1">
        <v>105.976</v>
      </c>
      <c r="H58" s="1">
        <v>-105.976</v>
      </c>
      <c r="I58" s="1">
        <v>218.309</v>
      </c>
      <c r="J58" s="1">
        <v>16.89</v>
      </c>
      <c r="K58" s="1">
        <v>-16.89</v>
      </c>
    </row>
    <row r="59" spans="1:11" x14ac:dyDescent="0.45">
      <c r="A59" s="2">
        <v>4001280240</v>
      </c>
      <c r="B59" s="2" t="s">
        <v>137</v>
      </c>
      <c r="C59" s="2" t="s">
        <v>7</v>
      </c>
      <c r="D59" s="1">
        <v>119.824</v>
      </c>
      <c r="E59" s="1">
        <v>134.96199999999999</v>
      </c>
      <c r="F59" s="1">
        <v>312.21199999999999</v>
      </c>
      <c r="G59" s="1">
        <v>68.376000000000005</v>
      </c>
      <c r="H59" s="1">
        <v>75.534999999999997</v>
      </c>
      <c r="I59" s="1">
        <v>69.662999999999997</v>
      </c>
      <c r="J59" s="1">
        <v>72.222999999999999</v>
      </c>
      <c r="K59" s="1">
        <v>80.974999999999994</v>
      </c>
    </row>
    <row r="60" spans="1:11" x14ac:dyDescent="0.45">
      <c r="A60" s="2">
        <v>4001280250</v>
      </c>
      <c r="B60" s="2" t="s">
        <v>136</v>
      </c>
      <c r="C60" s="2" t="s">
        <v>7</v>
      </c>
      <c r="D60" s="1"/>
      <c r="E60" s="1"/>
      <c r="F60" s="1"/>
      <c r="G60" s="1"/>
      <c r="H60" s="1"/>
      <c r="I60" s="1"/>
      <c r="J60" s="1"/>
      <c r="K60" s="1"/>
    </row>
    <row r="61" spans="1:11" x14ac:dyDescent="0.45">
      <c r="A61" s="2">
        <v>4001280260</v>
      </c>
      <c r="B61" s="2" t="s">
        <v>135</v>
      </c>
      <c r="C61" s="2" t="s">
        <v>7</v>
      </c>
      <c r="D61" s="1"/>
      <c r="E61" s="1"/>
      <c r="F61" s="1"/>
      <c r="G61" s="1"/>
      <c r="H61" s="1"/>
      <c r="I61" s="1"/>
      <c r="J61" s="1"/>
      <c r="K61" s="1"/>
    </row>
    <row r="62" spans="1:11" x14ac:dyDescent="0.45">
      <c r="A62" s="2">
        <v>4001280270</v>
      </c>
      <c r="B62" s="2" t="s">
        <v>134</v>
      </c>
      <c r="C62" s="2" t="s">
        <v>7</v>
      </c>
      <c r="D62" s="1"/>
      <c r="E62" s="1"/>
      <c r="F62" s="1">
        <v>44.389000000000003</v>
      </c>
      <c r="G62" s="1">
        <v>15.569000000000001</v>
      </c>
      <c r="H62" s="1">
        <v>0.878</v>
      </c>
      <c r="I62" s="1">
        <v>11.737</v>
      </c>
      <c r="J62" s="1">
        <v>50.825000000000003</v>
      </c>
      <c r="K62" s="1">
        <v>-0.80100000000000005</v>
      </c>
    </row>
    <row r="63" spans="1:11" x14ac:dyDescent="0.45">
      <c r="A63" s="2">
        <v>4001280280</v>
      </c>
      <c r="B63" s="2" t="s">
        <v>133</v>
      </c>
      <c r="C63" s="2" t="s">
        <v>7</v>
      </c>
      <c r="D63" s="1"/>
      <c r="E63" s="1"/>
      <c r="F63" s="1"/>
      <c r="G63" s="1"/>
      <c r="H63" s="1"/>
      <c r="I63" s="1"/>
      <c r="J63" s="1"/>
      <c r="K63" s="1"/>
    </row>
    <row r="64" spans="1:11" x14ac:dyDescent="0.45">
      <c r="A64" s="2">
        <v>4001290310</v>
      </c>
      <c r="B64" s="2" t="s">
        <v>116</v>
      </c>
      <c r="C64" s="2" t="s">
        <v>7</v>
      </c>
      <c r="D64" s="1">
        <v>71.516000000000005</v>
      </c>
      <c r="E64" s="1">
        <v>775.40200000000004</v>
      </c>
      <c r="F64" s="1">
        <v>417.00700000000001</v>
      </c>
      <c r="G64" s="1">
        <v>23.074000000000002</v>
      </c>
      <c r="H64" s="1">
        <v>22.312000000000001</v>
      </c>
      <c r="I64" s="1">
        <v>124.982</v>
      </c>
      <c r="J64" s="1">
        <v>25.02</v>
      </c>
      <c r="K64" s="1">
        <v>42.603999999999999</v>
      </c>
    </row>
    <row r="65" spans="1:11" x14ac:dyDescent="0.45">
      <c r="A65" s="2">
        <v>4001290320</v>
      </c>
      <c r="B65" s="2" t="s">
        <v>132</v>
      </c>
      <c r="C65" s="2" t="s">
        <v>7</v>
      </c>
      <c r="D65" s="1">
        <v>6024.9960000000001</v>
      </c>
      <c r="E65" s="1">
        <v>4719.32</v>
      </c>
      <c r="F65" s="1">
        <v>1340.798</v>
      </c>
      <c r="G65" s="1">
        <v>719.49599999999998</v>
      </c>
      <c r="H65" s="1">
        <v>482.05099999999999</v>
      </c>
      <c r="I65" s="1">
        <v>774.81</v>
      </c>
      <c r="J65" s="1">
        <v>1874.732</v>
      </c>
      <c r="K65" s="1">
        <v>1333.607</v>
      </c>
    </row>
    <row r="66" spans="1:11" x14ac:dyDescent="0.45">
      <c r="A66" s="2">
        <v>4001280400</v>
      </c>
      <c r="B66" s="2" t="s">
        <v>131</v>
      </c>
      <c r="C66" s="2" t="s">
        <v>7</v>
      </c>
      <c r="D66" s="1"/>
      <c r="E66" s="1"/>
      <c r="F66" s="1"/>
      <c r="G66" s="1"/>
      <c r="H66" s="1"/>
      <c r="I66" s="1"/>
      <c r="J66" s="1"/>
      <c r="K66" s="1"/>
    </row>
    <row r="67" spans="1:11" x14ac:dyDescent="0.45">
      <c r="A67" s="2">
        <v>4001290330</v>
      </c>
      <c r="B67" s="2" t="s">
        <v>130</v>
      </c>
      <c r="C67" s="2" t="s">
        <v>7</v>
      </c>
      <c r="D67" s="1"/>
      <c r="E67" s="1"/>
      <c r="F67" s="1"/>
      <c r="G67" s="1"/>
      <c r="H67" s="1"/>
      <c r="I67" s="1"/>
      <c r="J67" s="1"/>
      <c r="K67" s="1"/>
    </row>
    <row r="68" spans="1:11" x14ac:dyDescent="0.45">
      <c r="A68" s="2">
        <v>4001280440</v>
      </c>
      <c r="B68" s="2" t="s">
        <v>129</v>
      </c>
      <c r="C68" s="2" t="s">
        <v>7</v>
      </c>
      <c r="D68" s="1"/>
      <c r="E68" s="1"/>
      <c r="F68" s="1"/>
      <c r="G68" s="1"/>
      <c r="H68" s="1"/>
      <c r="I68" s="1"/>
      <c r="J68" s="1"/>
      <c r="K68" s="1"/>
    </row>
    <row r="69" spans="1:11" x14ac:dyDescent="0.45">
      <c r="A69" s="2">
        <v>4001280450</v>
      </c>
      <c r="B69" s="2" t="s">
        <v>128</v>
      </c>
      <c r="C69" s="2" t="s">
        <v>7</v>
      </c>
      <c r="D69" s="1"/>
      <c r="E69" s="1"/>
      <c r="F69" s="1"/>
      <c r="G69" s="1"/>
      <c r="H69" s="1"/>
      <c r="I69" s="1"/>
      <c r="J69" s="1"/>
      <c r="K69" s="1"/>
    </row>
    <row r="70" spans="1:11" x14ac:dyDescent="0.45">
      <c r="A70" s="2">
        <v>4001280455</v>
      </c>
      <c r="B70" s="2" t="s">
        <v>127</v>
      </c>
      <c r="C70" s="2" t="s">
        <v>7</v>
      </c>
      <c r="D70" s="1"/>
      <c r="E70" s="1"/>
      <c r="F70" s="1"/>
      <c r="G70" s="1"/>
      <c r="H70" s="1"/>
      <c r="I70" s="1"/>
      <c r="J70" s="1"/>
      <c r="K70" s="1"/>
    </row>
    <row r="71" spans="1:11" x14ac:dyDescent="0.45">
      <c r="A71" s="2">
        <v>4001290340</v>
      </c>
      <c r="B71" s="2" t="s">
        <v>126</v>
      </c>
      <c r="C71" s="2" t="s">
        <v>7</v>
      </c>
      <c r="D71" s="1">
        <v>0.215</v>
      </c>
      <c r="E71" s="1">
        <v>198.32499999999999</v>
      </c>
      <c r="F71" s="1">
        <v>146.21600000000001</v>
      </c>
      <c r="G71" s="1">
        <v>20.478000000000002</v>
      </c>
      <c r="H71" s="1">
        <v>1.0999999999999999E-2</v>
      </c>
      <c r="I71" s="1">
        <v>91.364999999999995</v>
      </c>
      <c r="J71" s="1"/>
      <c r="K71" s="1"/>
    </row>
    <row r="72" spans="1:11" x14ac:dyDescent="0.45">
      <c r="A72" s="2">
        <v>4001280540</v>
      </c>
      <c r="B72" s="2" t="s">
        <v>125</v>
      </c>
      <c r="C72" s="2" t="s">
        <v>7</v>
      </c>
      <c r="D72" s="1"/>
      <c r="E72" s="1"/>
      <c r="F72" s="1"/>
      <c r="G72" s="1"/>
      <c r="H72" s="1"/>
      <c r="I72" s="1"/>
      <c r="J72" s="1"/>
      <c r="K72" s="1"/>
    </row>
    <row r="73" spans="1:11" x14ac:dyDescent="0.45">
      <c r="A73" s="2">
        <v>4001290360</v>
      </c>
      <c r="B73" s="2" t="s">
        <v>124</v>
      </c>
      <c r="C73" s="2" t="s">
        <v>7</v>
      </c>
      <c r="D73" s="1"/>
      <c r="E73" s="1"/>
      <c r="F73" s="1"/>
      <c r="G73" s="1"/>
      <c r="H73" s="1"/>
      <c r="I73" s="1"/>
      <c r="J73" s="1"/>
      <c r="K73" s="1"/>
    </row>
    <row r="74" spans="1:11" x14ac:dyDescent="0.45">
      <c r="A74" s="2">
        <v>4001290380</v>
      </c>
      <c r="B74" s="2" t="s">
        <v>123</v>
      </c>
      <c r="C74" s="2" t="s">
        <v>7</v>
      </c>
      <c r="D74" s="1"/>
      <c r="E74" s="1"/>
      <c r="F74" s="1"/>
      <c r="G74" s="1"/>
      <c r="H74" s="1">
        <v>10.994999999999999</v>
      </c>
      <c r="I74" s="1">
        <v>-10.010999999999999</v>
      </c>
      <c r="J74" s="1"/>
      <c r="K74" s="1">
        <v>154.89400000000001</v>
      </c>
    </row>
    <row r="75" spans="1:11" x14ac:dyDescent="0.45">
      <c r="A75" s="2">
        <v>4001280650</v>
      </c>
      <c r="B75" s="2" t="s">
        <v>122</v>
      </c>
      <c r="C75" s="2" t="s">
        <v>7</v>
      </c>
      <c r="D75" s="1">
        <v>4969.5119999999997</v>
      </c>
      <c r="E75" s="1">
        <v>3203.4929999999999</v>
      </c>
      <c r="F75" s="1">
        <v>81.134</v>
      </c>
      <c r="G75" s="1">
        <v>159.31899999999999</v>
      </c>
      <c r="H75" s="1">
        <v>82.793000000000006</v>
      </c>
      <c r="I75" s="1">
        <v>-424.46899999999999</v>
      </c>
      <c r="J75" s="1">
        <v>39.182000000000002</v>
      </c>
      <c r="K75" s="1">
        <v>0.32600000000000001</v>
      </c>
    </row>
    <row r="76" spans="1:11" x14ac:dyDescent="0.45">
      <c r="A76" s="2">
        <v>4001280660</v>
      </c>
      <c r="B76" s="2" t="s">
        <v>121</v>
      </c>
      <c r="C76" s="2" t="s">
        <v>7</v>
      </c>
      <c r="D76" s="1"/>
      <c r="E76" s="1"/>
      <c r="F76" s="1"/>
      <c r="G76" s="1"/>
      <c r="H76" s="1"/>
      <c r="I76" s="1"/>
      <c r="J76" s="1"/>
      <c r="K76" s="1"/>
    </row>
    <row r="77" spans="1:11" x14ac:dyDescent="0.45">
      <c r="A77" s="2">
        <v>4001290390</v>
      </c>
      <c r="B77" s="2" t="s">
        <v>116</v>
      </c>
      <c r="C77" s="2" t="s">
        <v>7</v>
      </c>
      <c r="D77" s="1">
        <v>1055.269</v>
      </c>
      <c r="E77" s="1">
        <v>1317.502</v>
      </c>
      <c r="F77" s="1">
        <v>1113.4480000000001</v>
      </c>
      <c r="G77" s="1">
        <v>539.69899999999996</v>
      </c>
      <c r="H77" s="1">
        <v>388.25200000000001</v>
      </c>
      <c r="I77" s="1">
        <v>1117.925</v>
      </c>
      <c r="J77" s="1">
        <v>1835.55</v>
      </c>
      <c r="K77" s="1">
        <v>1178.3869999999999</v>
      </c>
    </row>
    <row r="78" spans="1:11" x14ac:dyDescent="0.45">
      <c r="A78" s="2">
        <v>4001290640</v>
      </c>
      <c r="B78" s="2" t="s">
        <v>120</v>
      </c>
      <c r="C78" s="2" t="s">
        <v>7</v>
      </c>
      <c r="D78" s="1"/>
      <c r="E78" s="1"/>
      <c r="F78" s="1"/>
      <c r="G78" s="1"/>
      <c r="H78" s="1">
        <v>-179.16728000000001</v>
      </c>
      <c r="I78" s="1">
        <v>-58.853540000000002</v>
      </c>
      <c r="J78" s="1">
        <v>-106.50236</v>
      </c>
      <c r="K78" s="1">
        <v>-61.979990000000001</v>
      </c>
    </row>
    <row r="79" spans="1:11" x14ac:dyDescent="0.45">
      <c r="A79" s="2">
        <v>4001290650</v>
      </c>
      <c r="B79" s="2" t="s">
        <v>119</v>
      </c>
      <c r="C79" s="2" t="s">
        <v>7</v>
      </c>
      <c r="D79" s="1"/>
      <c r="E79" s="1"/>
      <c r="F79" s="1"/>
      <c r="G79" s="1"/>
      <c r="H79" s="1">
        <v>-179.16728000000001</v>
      </c>
      <c r="I79" s="1">
        <v>-58.853540000000002</v>
      </c>
      <c r="J79" s="1">
        <v>-106.50236</v>
      </c>
      <c r="K79" s="1">
        <v>-61.979990000000001</v>
      </c>
    </row>
    <row r="80" spans="1:11" x14ac:dyDescent="0.45">
      <c r="A80" s="2">
        <v>4001290680</v>
      </c>
      <c r="B80" s="2" t="s">
        <v>118</v>
      </c>
      <c r="C80" s="2" t="s">
        <v>7</v>
      </c>
      <c r="D80" s="1"/>
      <c r="E80" s="1"/>
      <c r="F80" s="1"/>
      <c r="G80" s="1"/>
      <c r="H80" s="1"/>
      <c r="I80" s="1"/>
      <c r="J80" s="1"/>
      <c r="K80" s="1"/>
    </row>
    <row r="81" spans="1:11" x14ac:dyDescent="0.45">
      <c r="A81" s="2">
        <v>4001290710</v>
      </c>
      <c r="B81" s="2" t="s">
        <v>117</v>
      </c>
      <c r="C81" s="2" t="s">
        <v>7</v>
      </c>
      <c r="D81" s="1"/>
      <c r="E81" s="1"/>
      <c r="F81" s="1"/>
      <c r="G81" s="1"/>
      <c r="H81" s="1"/>
      <c r="I81" s="1"/>
      <c r="J81" s="1"/>
      <c r="K81" s="1"/>
    </row>
    <row r="82" spans="1:11" x14ac:dyDescent="0.45">
      <c r="A82" s="2">
        <v>4001290740</v>
      </c>
      <c r="B82" s="2" t="s">
        <v>116</v>
      </c>
      <c r="C82" s="2" t="s">
        <v>7</v>
      </c>
      <c r="D82" s="1"/>
      <c r="E82" s="1"/>
      <c r="F82" s="1"/>
      <c r="G82" s="1"/>
      <c r="H82" s="1"/>
      <c r="I82" s="1"/>
      <c r="J82" s="1"/>
      <c r="K82" s="1"/>
    </row>
    <row r="83" spans="1:11" x14ac:dyDescent="0.45">
      <c r="A83" s="2">
        <v>4001212380</v>
      </c>
      <c r="B83" s="2" t="s">
        <v>115</v>
      </c>
      <c r="C83" s="2" t="s">
        <v>7</v>
      </c>
      <c r="D83" s="1">
        <v>116667.86681000001</v>
      </c>
      <c r="E83" s="1">
        <v>141898.52931000001</v>
      </c>
      <c r="F83" s="1">
        <v>201008.44033000001</v>
      </c>
      <c r="G83" s="1">
        <v>76943.315960000007</v>
      </c>
      <c r="H83" s="1">
        <v>77315.924920000005</v>
      </c>
      <c r="I83" s="1">
        <v>86315.712159999995</v>
      </c>
      <c r="J83" s="1">
        <v>83876.710909999994</v>
      </c>
      <c r="K83" s="1">
        <v>68280.796140000006</v>
      </c>
    </row>
    <row r="84" spans="1:11" x14ac:dyDescent="0.45">
      <c r="A84" s="2">
        <v>4001212390</v>
      </c>
      <c r="B84" s="2" t="s">
        <v>114</v>
      </c>
      <c r="C84" s="2" t="s">
        <v>7</v>
      </c>
      <c r="D84" s="1">
        <v>27103.889139999999</v>
      </c>
      <c r="E84" s="1">
        <v>36972.021509999999</v>
      </c>
      <c r="F84" s="1">
        <v>49892.264999999999</v>
      </c>
      <c r="G84" s="1">
        <v>20264.11565</v>
      </c>
      <c r="H84" s="1">
        <v>18786.75764</v>
      </c>
      <c r="I84" s="1">
        <v>17908.97005</v>
      </c>
      <c r="J84" s="1">
        <v>20558.52476</v>
      </c>
      <c r="K84" s="1">
        <v>15283.742459999999</v>
      </c>
    </row>
    <row r="85" spans="1:11" x14ac:dyDescent="0.45">
      <c r="A85" s="2">
        <v>4001212400</v>
      </c>
      <c r="B85" s="2" t="s">
        <v>113</v>
      </c>
      <c r="C85" s="2" t="s">
        <v>7</v>
      </c>
      <c r="D85" s="1"/>
      <c r="E85" s="1"/>
      <c r="F85" s="1"/>
      <c r="G85" s="1"/>
      <c r="H85" s="1"/>
      <c r="I85" s="1"/>
      <c r="J85" s="1"/>
      <c r="K85" s="1"/>
    </row>
    <row r="86" spans="1:11" x14ac:dyDescent="0.45">
      <c r="A86" s="2">
        <v>4001212410</v>
      </c>
      <c r="B86" s="2" t="s">
        <v>112</v>
      </c>
      <c r="C86" s="2" t="s">
        <v>7</v>
      </c>
      <c r="D86" s="1"/>
      <c r="E86" s="1"/>
      <c r="F86" s="1"/>
      <c r="G86" s="1"/>
      <c r="H86" s="1"/>
      <c r="I86" s="1"/>
      <c r="J86" s="1"/>
      <c r="K86" s="1"/>
    </row>
    <row r="87" spans="1:11" x14ac:dyDescent="0.45">
      <c r="A87" s="2">
        <v>4001212420</v>
      </c>
      <c r="B87" s="2" t="s">
        <v>111</v>
      </c>
      <c r="C87" s="2" t="s">
        <v>7</v>
      </c>
      <c r="D87" s="1">
        <v>89563.977660000004</v>
      </c>
      <c r="E87" s="1">
        <v>104926.50780000001</v>
      </c>
      <c r="F87" s="1">
        <v>151116.17533</v>
      </c>
      <c r="G87" s="1">
        <v>56679.20031</v>
      </c>
      <c r="H87" s="1">
        <v>58529.167280000001</v>
      </c>
      <c r="I87" s="1">
        <v>68406.742119999995</v>
      </c>
      <c r="J87" s="1">
        <v>63318.186150000001</v>
      </c>
      <c r="K87" s="1">
        <v>52997.053679999997</v>
      </c>
    </row>
    <row r="88" spans="1:11" x14ac:dyDescent="0.45">
      <c r="A88" s="2">
        <v>4001212430</v>
      </c>
      <c r="B88" s="2" t="s">
        <v>110</v>
      </c>
      <c r="C88" s="2" t="s">
        <v>7</v>
      </c>
      <c r="D88" s="1"/>
      <c r="E88" s="1"/>
      <c r="F88" s="1"/>
      <c r="G88" s="1"/>
      <c r="H88" s="1"/>
      <c r="I88" s="1"/>
      <c r="J88" s="1"/>
      <c r="K88" s="1"/>
    </row>
    <row r="89" spans="1:11" x14ac:dyDescent="0.45">
      <c r="A89" s="2">
        <v>4001212450</v>
      </c>
      <c r="B89" s="2" t="s">
        <v>109</v>
      </c>
      <c r="C89" s="2" t="s">
        <v>7</v>
      </c>
      <c r="D89" s="1">
        <v>89563.977660000004</v>
      </c>
      <c r="E89" s="1">
        <v>104926.50780000001</v>
      </c>
      <c r="F89" s="1">
        <v>151116.17533</v>
      </c>
      <c r="G89" s="1">
        <v>56679.20031</v>
      </c>
      <c r="H89" s="1">
        <v>58529.167280000001</v>
      </c>
      <c r="I89" s="1">
        <v>68406.742119999995</v>
      </c>
      <c r="J89" s="1">
        <v>63318.186150000001</v>
      </c>
      <c r="K89" s="1">
        <v>52997.053679999997</v>
      </c>
    </row>
    <row r="90" spans="1:11" x14ac:dyDescent="0.45">
      <c r="A90" s="2">
        <v>4001220000</v>
      </c>
      <c r="B90" s="2" t="s">
        <v>108</v>
      </c>
      <c r="C90" s="2" t="s">
        <v>7</v>
      </c>
      <c r="D90" s="1">
        <v>981.12517000000003</v>
      </c>
      <c r="E90" s="1">
        <v>2419.21929</v>
      </c>
      <c r="F90" s="1">
        <v>-3877.04774</v>
      </c>
      <c r="G90" s="1">
        <v>2792.6057700000001</v>
      </c>
      <c r="H90" s="1">
        <v>-4853.1974600000003</v>
      </c>
      <c r="I90" s="1">
        <v>8267.4106699999993</v>
      </c>
      <c r="J90" s="1">
        <v>-201.27208999999999</v>
      </c>
      <c r="K90" s="1">
        <v>-8947.7800100000004</v>
      </c>
    </row>
    <row r="91" spans="1:11" x14ac:dyDescent="0.45">
      <c r="A91" s="2">
        <v>4001220120</v>
      </c>
      <c r="B91" s="2" t="s">
        <v>107</v>
      </c>
      <c r="C91" s="2" t="s">
        <v>7</v>
      </c>
      <c r="D91" s="1">
        <v>90545.102830000003</v>
      </c>
      <c r="E91" s="1">
        <v>107345.72709</v>
      </c>
      <c r="F91" s="1">
        <v>147239.12758</v>
      </c>
      <c r="G91" s="1">
        <v>59471.806080000002</v>
      </c>
      <c r="H91" s="1">
        <v>53675.969819999998</v>
      </c>
      <c r="I91" s="1">
        <v>76674.152789999993</v>
      </c>
      <c r="J91" s="1">
        <v>63116.914060000003</v>
      </c>
      <c r="K91" s="1">
        <v>44049.273670000002</v>
      </c>
    </row>
    <row r="92" spans="1:11" x14ac:dyDescent="0.45">
      <c r="A92" s="2">
        <v>4001230000</v>
      </c>
      <c r="B92" s="2" t="s">
        <v>106</v>
      </c>
      <c r="C92" s="2" t="s">
        <v>7</v>
      </c>
      <c r="D92" s="1">
        <v>89563.977660000004</v>
      </c>
      <c r="E92" s="1">
        <v>104926.50780000001</v>
      </c>
      <c r="F92" s="1">
        <v>151116.17533</v>
      </c>
      <c r="G92" s="1">
        <v>56679.20031</v>
      </c>
      <c r="H92" s="1">
        <v>58529.167280000001</v>
      </c>
      <c r="I92" s="1">
        <v>68406.742119999995</v>
      </c>
      <c r="J92" s="1">
        <v>63318.186150000001</v>
      </c>
      <c r="K92" s="1">
        <v>52997.053679999997</v>
      </c>
    </row>
    <row r="93" spans="1:11" x14ac:dyDescent="0.45">
      <c r="A93" s="2">
        <v>4001230030</v>
      </c>
      <c r="B93" s="2" t="s">
        <v>105</v>
      </c>
      <c r="C93" s="2" t="s">
        <v>7</v>
      </c>
      <c r="D93" s="1"/>
      <c r="E93" s="1"/>
      <c r="F93" s="1"/>
      <c r="G93" s="1"/>
      <c r="H93" s="1"/>
      <c r="I93" s="1"/>
      <c r="J93" s="1"/>
      <c r="K93" s="1"/>
    </row>
    <row r="94" spans="1:11" x14ac:dyDescent="0.45">
      <c r="A94" s="2">
        <v>4001230060</v>
      </c>
      <c r="B94" s="2" t="s">
        <v>104</v>
      </c>
      <c r="C94" s="2" t="s">
        <v>7</v>
      </c>
      <c r="D94" s="1">
        <v>90545.102830000003</v>
      </c>
      <c r="E94" s="1">
        <v>107345.72709</v>
      </c>
      <c r="F94" s="1">
        <v>147239.12758</v>
      </c>
      <c r="G94" s="1">
        <v>59471.806080000002</v>
      </c>
      <c r="H94" s="1">
        <v>53675.969819999998</v>
      </c>
      <c r="I94" s="1">
        <v>76674.152789999993</v>
      </c>
      <c r="J94" s="1">
        <v>63116.914060000003</v>
      </c>
      <c r="K94" s="1">
        <v>44049.273670000002</v>
      </c>
    </row>
    <row r="95" spans="1:11" x14ac:dyDescent="0.45">
      <c r="A95" s="2">
        <v>4001230070</v>
      </c>
      <c r="B95" s="2" t="s">
        <v>103</v>
      </c>
      <c r="C95" s="2" t="s">
        <v>7</v>
      </c>
      <c r="D95" s="1"/>
      <c r="E95" s="1"/>
      <c r="F95" s="1"/>
      <c r="G95" s="1"/>
      <c r="H95" s="1"/>
      <c r="I95" s="1"/>
      <c r="J95" s="1"/>
      <c r="K95" s="1"/>
    </row>
    <row r="96" spans="1:11" x14ac:dyDescent="0.45">
      <c r="A96" s="2">
        <v>4001230080</v>
      </c>
      <c r="B96" s="2" t="s">
        <v>102</v>
      </c>
      <c r="C96" s="2" t="s">
        <v>20</v>
      </c>
      <c r="D96" s="1"/>
      <c r="E96" s="1"/>
      <c r="F96" s="1">
        <v>3778</v>
      </c>
      <c r="G96" s="1"/>
      <c r="H96" s="1">
        <v>1317</v>
      </c>
      <c r="I96" s="1">
        <v>2879</v>
      </c>
      <c r="J96" s="1">
        <v>1412</v>
      </c>
      <c r="K96" s="1"/>
    </row>
    <row r="97" spans="1:11" x14ac:dyDescent="0.45">
      <c r="A97" s="2">
        <v>4001230090</v>
      </c>
      <c r="B97" s="2" t="s">
        <v>101</v>
      </c>
      <c r="C97" s="2" t="s">
        <v>20</v>
      </c>
      <c r="D97" s="1"/>
      <c r="E97" s="1"/>
      <c r="F97" s="1">
        <v>3778</v>
      </c>
      <c r="G97" s="1"/>
      <c r="H97" s="1">
        <v>1317</v>
      </c>
      <c r="I97" s="1">
        <v>2879</v>
      </c>
      <c r="J97" s="1">
        <v>1412</v>
      </c>
      <c r="K97" s="1"/>
    </row>
    <row r="98" spans="1:11" x14ac:dyDescent="0.45">
      <c r="A98" s="2">
        <v>4001230100</v>
      </c>
      <c r="B98" s="2" t="s">
        <v>100</v>
      </c>
      <c r="C98" s="2" t="s">
        <v>20</v>
      </c>
      <c r="D98" s="1"/>
      <c r="E98" s="1"/>
      <c r="F98" s="1">
        <v>3776</v>
      </c>
      <c r="G98" s="1"/>
      <c r="H98" s="1">
        <v>1316</v>
      </c>
      <c r="I98" s="1">
        <v>3959</v>
      </c>
      <c r="J98" s="1"/>
      <c r="K98" s="1"/>
    </row>
    <row r="99" spans="1:11" x14ac:dyDescent="0.45">
      <c r="A99" s="2">
        <v>4001230110</v>
      </c>
      <c r="B99" s="2" t="s">
        <v>99</v>
      </c>
      <c r="C99" s="2" t="s">
        <v>20</v>
      </c>
      <c r="D99" s="1"/>
      <c r="E99" s="1"/>
      <c r="F99" s="1">
        <v>3776</v>
      </c>
      <c r="G99" s="1"/>
      <c r="H99" s="1">
        <v>1316</v>
      </c>
      <c r="I99" s="1">
        <v>3959</v>
      </c>
      <c r="J99" s="1"/>
      <c r="K99" s="1"/>
    </row>
    <row r="100" spans="1:11" x14ac:dyDescent="0.45">
      <c r="A100" s="2">
        <v>4001230120</v>
      </c>
      <c r="B100" s="2" t="s">
        <v>98</v>
      </c>
      <c r="C100" s="2" t="s">
        <v>20</v>
      </c>
      <c r="D100" s="1">
        <v>2239</v>
      </c>
      <c r="E100" s="1">
        <v>2623</v>
      </c>
      <c r="F100" s="1">
        <v>3778</v>
      </c>
      <c r="G100" s="1">
        <v>1319</v>
      </c>
      <c r="H100" s="1">
        <v>1317</v>
      </c>
      <c r="I100" s="1">
        <v>1560</v>
      </c>
      <c r="J100" s="1">
        <v>1412</v>
      </c>
      <c r="K100" s="1">
        <v>1182</v>
      </c>
    </row>
    <row r="101" spans="1:11" x14ac:dyDescent="0.45">
      <c r="A101" s="2">
        <v>4001230130</v>
      </c>
      <c r="B101" s="2" t="s">
        <v>97</v>
      </c>
      <c r="C101" s="2" t="s">
        <v>20</v>
      </c>
      <c r="D101" s="1">
        <v>2239</v>
      </c>
      <c r="E101" s="1">
        <v>2623</v>
      </c>
      <c r="F101" s="1">
        <v>3778</v>
      </c>
      <c r="G101" s="1">
        <v>1319</v>
      </c>
      <c r="H101" s="1">
        <v>1317</v>
      </c>
      <c r="I101" s="1">
        <v>1560</v>
      </c>
      <c r="J101" s="1">
        <v>1412</v>
      </c>
      <c r="K101" s="1">
        <v>1182</v>
      </c>
    </row>
    <row r="102" spans="1:11" x14ac:dyDescent="0.45">
      <c r="A102" s="2">
        <v>4001230140</v>
      </c>
      <c r="B102" s="2" t="s">
        <v>96</v>
      </c>
      <c r="C102" s="2" t="s">
        <v>20</v>
      </c>
      <c r="D102" s="1"/>
      <c r="E102" s="1"/>
      <c r="F102" s="1">
        <v>3776</v>
      </c>
      <c r="G102" s="1">
        <v>1318</v>
      </c>
      <c r="H102" s="1">
        <v>1316</v>
      </c>
      <c r="I102" s="1">
        <v>2641</v>
      </c>
      <c r="J102" s="1"/>
      <c r="K102" s="1"/>
    </row>
    <row r="103" spans="1:11" x14ac:dyDescent="0.45">
      <c r="A103" s="2">
        <v>4001230150</v>
      </c>
      <c r="B103" s="2" t="s">
        <v>95</v>
      </c>
      <c r="C103" s="2" t="s">
        <v>20</v>
      </c>
      <c r="D103" s="1"/>
      <c r="E103" s="1"/>
      <c r="F103" s="1">
        <v>3776</v>
      </c>
      <c r="G103" s="1">
        <v>1318</v>
      </c>
      <c r="H103" s="1">
        <v>1316</v>
      </c>
      <c r="I103" s="1">
        <v>2641</v>
      </c>
      <c r="J103" s="1"/>
      <c r="K103" s="1"/>
    </row>
    <row r="104" spans="1:11" x14ac:dyDescent="0.45">
      <c r="A104" s="16"/>
      <c r="B104" s="16"/>
      <c r="C104" s="16"/>
      <c r="D104" s="1"/>
      <c r="E104" s="1"/>
      <c r="F104" s="1"/>
      <c r="G104" s="1"/>
      <c r="H104" s="1"/>
      <c r="I104" s="1"/>
      <c r="J104" s="1"/>
      <c r="K104" s="1"/>
    </row>
    <row r="105" spans="1:11" x14ac:dyDescent="0.45">
      <c r="A105" s="16"/>
      <c r="B105" s="16"/>
      <c r="C105" s="16"/>
      <c r="D105" s="1"/>
      <c r="E105" s="1"/>
      <c r="F105" s="1"/>
      <c r="G105" s="1"/>
      <c r="H105" s="1"/>
      <c r="I105" s="1"/>
      <c r="J105" s="1"/>
      <c r="K105" s="1"/>
    </row>
    <row r="106" spans="1:11" x14ac:dyDescent="0.45">
      <c r="A106" s="16"/>
      <c r="B106" s="16"/>
      <c r="C106" s="16"/>
      <c r="D106" s="1"/>
      <c r="E106" s="1"/>
      <c r="F106" s="1"/>
      <c r="G106" s="1"/>
      <c r="H106" s="1"/>
      <c r="I106" s="1"/>
      <c r="J106" s="1"/>
      <c r="K106" s="1"/>
    </row>
    <row r="107" spans="1:11" x14ac:dyDescent="0.45">
      <c r="A107" s="16"/>
      <c r="B107" s="16"/>
      <c r="C107" s="16"/>
      <c r="D107" s="1"/>
      <c r="E107" s="1"/>
      <c r="F107" s="1"/>
      <c r="G107" s="1"/>
      <c r="H107" s="1"/>
      <c r="I107" s="1"/>
      <c r="J107" s="1"/>
      <c r="K107" s="1"/>
    </row>
  </sheetData>
  <phoneticPr fontId="2" type="noConversion"/>
  <dataValidations disablePrompts="1" count="7">
    <dataValidation type="list" allowBlank="1" showInputMessage="1" sqref="C7" xr:uid="{26215D0C-C948-4583-9108-EF2190A05E43}">
      <formula1>"1983,1984,1985,1986,1987,1988,1989,1990,1991,1992,1993,1994,1995,1996,1997,1998,1999,2000,2001,2002,2003,2004,2005,2006,2007,2008,2009,2010,2011,2012,2013,2014,2015,2016,2017,2018,2019,2020,2021,2022,2023,2024,2025,Current"</formula1>
    </dataValidation>
    <dataValidation type="list" allowBlank="1" showInputMessage="1" sqref="B7" xr:uid="{4B42306E-CE7F-4891-8143-9D8236207677}">
      <formula1>"1983,1984,1985,1986,1987,1988,1989,1990,1991,1992,1993,1994,1995,1996,1997,1998,1999,2000,2001,2002,2003,2004,2005,2006,2007,2008,2009,2010,2011,2012,2013,2014,2015,2016,2017,2018,2019,2020,2021,2022,2023,2024,2025"</formula1>
    </dataValidation>
    <dataValidation type="list" allowBlank="1" showInputMessage="1" sqref="B3" xr:uid="{ECF6C60E-1843-46BC-A0F4-CD526D4993D0}">
      <formula1>"별도,연결"</formula1>
    </dataValidation>
    <dataValidation type="list" allowBlank="1" showInputMessage="1" sqref="C6" xr:uid="{76D28C99-8BBE-428E-934A-DEA2A0C5AF98}">
      <formula1>"천원,백만원,억원,십억원"</formula1>
    </dataValidation>
    <dataValidation type="list" allowBlank="1" showInputMessage="1" sqref="B6" xr:uid="{55B9557C-F886-4938-951F-6143DFC609B8}">
      <formula1>"결산,누적분기,당분기"</formula1>
    </dataValidation>
    <dataValidation type="list" allowBlank="1" showInputMessage="1" sqref="B5" xr:uid="{32C5A05F-F404-4EFF-AAF7-93C613FE5A20}">
      <formula1>"상세(총액),상세(순액),요약,약식"</formula1>
    </dataValidation>
    <dataValidation type="list" allowBlank="1" showInputMessage="1" sqref="B4" xr:uid="{A9E55C43-7ECC-4406-81E9-D4C75C0FBE8B}">
      <formula1>"전체,재무상태표,손익계산서,현금흐름표,자본금변동표"</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E6C5-4017-4F2B-ABC6-360995ADD2D7}">
  <dimension ref="A1:K80"/>
  <sheetViews>
    <sheetView showGridLines="0" topLeftCell="A46" zoomScale="70" zoomScaleNormal="25" workbookViewId="0">
      <selection activeCell="H68" sqref="H68"/>
    </sheetView>
  </sheetViews>
  <sheetFormatPr defaultColWidth="8.83203125" defaultRowHeight="17" x14ac:dyDescent="0.45"/>
  <cols>
    <col min="1" max="1" width="9.1640625" style="16" bestFit="1" customWidth="1"/>
    <col min="2" max="2" width="52.33203125" style="16" bestFit="1" customWidth="1"/>
    <col min="3" max="3" width="11.5" style="16" bestFit="1" customWidth="1"/>
    <col min="4" max="4" width="8.83203125" style="1" bestFit="1" customWidth="1"/>
    <col min="5" max="11" width="10.6640625" style="1" bestFit="1" customWidth="1"/>
    <col min="12" max="16384" width="8.83203125" style="15"/>
  </cols>
  <sheetData>
    <row r="1" spans="1:11" customFormat="1" x14ac:dyDescent="0.45">
      <c r="A1" s="14" t="s">
        <v>94</v>
      </c>
      <c r="B1" s="13"/>
      <c r="C1" s="13"/>
      <c r="D1" s="13"/>
      <c r="E1" s="13"/>
      <c r="F1" s="13"/>
      <c r="G1" s="13"/>
      <c r="H1" s="13"/>
      <c r="I1" s="13"/>
      <c r="J1" s="13"/>
      <c r="K1" s="13"/>
    </row>
    <row r="2" spans="1:11" customFormat="1" x14ac:dyDescent="0.45">
      <c r="A2" s="9" t="s">
        <v>93</v>
      </c>
      <c r="B2" s="9" t="s">
        <v>214</v>
      </c>
      <c r="C2" s="9"/>
      <c r="D2" s="9"/>
      <c r="E2" s="9"/>
      <c r="F2" s="9"/>
      <c r="G2" s="9"/>
      <c r="H2" s="9"/>
      <c r="I2" s="9"/>
      <c r="J2" s="9"/>
      <c r="K2" s="9"/>
    </row>
    <row r="3" spans="1:11" customFormat="1" x14ac:dyDescent="0.45">
      <c r="A3" s="9" t="s">
        <v>91</v>
      </c>
      <c r="B3" s="7" t="s">
        <v>90</v>
      </c>
      <c r="C3" s="9" t="s">
        <v>89</v>
      </c>
      <c r="D3" s="9"/>
      <c r="E3" s="9"/>
      <c r="F3" s="9"/>
      <c r="G3" s="9"/>
      <c r="H3" s="9"/>
      <c r="I3" s="9"/>
      <c r="J3" s="9"/>
      <c r="K3" s="9"/>
    </row>
    <row r="4" spans="1:11" customFormat="1" x14ac:dyDescent="0.45">
      <c r="A4" s="9" t="s">
        <v>87</v>
      </c>
      <c r="B4" s="12" t="s">
        <v>86</v>
      </c>
      <c r="C4" s="9" t="s">
        <v>85</v>
      </c>
      <c r="D4" s="9"/>
      <c r="E4" s="9"/>
      <c r="F4" s="9"/>
      <c r="G4" s="9"/>
      <c r="H4" s="9"/>
      <c r="I4" s="9"/>
      <c r="J4" s="9"/>
      <c r="K4" s="9"/>
    </row>
    <row r="5" spans="1:11" customFormat="1" x14ac:dyDescent="0.45">
      <c r="A5" s="9" t="s">
        <v>84</v>
      </c>
      <c r="B5" s="10" t="s">
        <v>215</v>
      </c>
      <c r="C5" s="9"/>
      <c r="D5" s="9"/>
      <c r="E5" s="9"/>
      <c r="F5" s="9"/>
      <c r="G5" s="9"/>
      <c r="H5" s="9"/>
      <c r="I5" s="9"/>
      <c r="J5" s="9"/>
      <c r="K5" s="9"/>
    </row>
    <row r="6" spans="1:11" customFormat="1" x14ac:dyDescent="0.45">
      <c r="A6" s="9" t="s">
        <v>82</v>
      </c>
      <c r="B6" s="11" t="s">
        <v>216</v>
      </c>
      <c r="C6" s="10" t="s">
        <v>7</v>
      </c>
      <c r="D6" s="9"/>
      <c r="E6" s="9"/>
      <c r="F6" s="9"/>
      <c r="G6" s="9"/>
      <c r="H6" s="9"/>
      <c r="I6" s="9"/>
      <c r="J6" s="9"/>
      <c r="K6" s="9"/>
    </row>
    <row r="7" spans="1:11" customFormat="1" x14ac:dyDescent="0.45">
      <c r="A7" s="6" t="s">
        <v>217</v>
      </c>
      <c r="B7" s="8">
        <v>2021</v>
      </c>
      <c r="C7" s="7" t="s">
        <v>79</v>
      </c>
      <c r="D7" s="6"/>
      <c r="E7" s="6"/>
      <c r="F7" s="6"/>
      <c r="G7" s="6"/>
      <c r="H7" s="6"/>
      <c r="I7" s="6"/>
      <c r="J7" s="6"/>
      <c r="K7" s="6"/>
    </row>
    <row r="8" spans="1:11" customFormat="1" x14ac:dyDescent="0.45">
      <c r="A8" s="4" t="s">
        <v>78</v>
      </c>
      <c r="B8" s="5" t="s">
        <v>77</v>
      </c>
      <c r="C8" s="5" t="s">
        <v>76</v>
      </c>
      <c r="D8" s="4">
        <v>202112</v>
      </c>
      <c r="E8" s="4">
        <v>202212</v>
      </c>
      <c r="F8" s="4">
        <v>202312</v>
      </c>
      <c r="G8" s="4">
        <v>202406</v>
      </c>
      <c r="H8" s="4">
        <v>202409</v>
      </c>
      <c r="I8" s="4">
        <v>202412</v>
      </c>
      <c r="J8" s="4">
        <v>202503</v>
      </c>
      <c r="K8" s="4">
        <v>202506</v>
      </c>
    </row>
    <row r="9" spans="1:11" customFormat="1" x14ac:dyDescent="0.45">
      <c r="A9" s="3"/>
      <c r="B9" s="3"/>
      <c r="C9" s="3"/>
      <c r="D9" s="3" t="s">
        <v>75</v>
      </c>
      <c r="E9" s="3" t="s">
        <v>75</v>
      </c>
      <c r="F9" s="3" t="s">
        <v>75</v>
      </c>
      <c r="G9" s="3" t="s">
        <v>75</v>
      </c>
      <c r="H9" s="3" t="s">
        <v>75</v>
      </c>
      <c r="I9" s="3" t="s">
        <v>75</v>
      </c>
      <c r="J9" s="3" t="s">
        <v>75</v>
      </c>
      <c r="K9" s="3" t="s">
        <v>75</v>
      </c>
    </row>
    <row r="10" spans="1:11" customFormat="1" x14ac:dyDescent="0.45">
      <c r="A10" s="2">
        <v>4001190010</v>
      </c>
      <c r="B10" s="2" t="s">
        <v>74</v>
      </c>
      <c r="C10" s="2" t="s">
        <v>7</v>
      </c>
      <c r="D10" s="1">
        <v>418547.82202000002</v>
      </c>
      <c r="E10" s="1">
        <v>519815.75819000002</v>
      </c>
      <c r="F10" s="1">
        <v>656618.14648999996</v>
      </c>
      <c r="G10" s="1">
        <v>1082506.46429</v>
      </c>
      <c r="H10" s="1">
        <v>1092452.3857</v>
      </c>
      <c r="I10" s="1">
        <v>1152227.96848</v>
      </c>
      <c r="J10" s="1">
        <v>1233953.0401999999</v>
      </c>
      <c r="K10" s="1">
        <v>1120148.3235200001</v>
      </c>
    </row>
    <row r="11" spans="1:11" customFormat="1" x14ac:dyDescent="0.45">
      <c r="A11" s="2">
        <v>4001190240</v>
      </c>
      <c r="B11" s="2" t="s">
        <v>73</v>
      </c>
      <c r="C11" s="2" t="s">
        <v>7</v>
      </c>
      <c r="D11" s="1">
        <v>384826.27729</v>
      </c>
      <c r="E11" s="1">
        <v>453230.89726</v>
      </c>
      <c r="F11" s="1">
        <v>597262.31683000003</v>
      </c>
      <c r="G11" s="1">
        <v>1014908.46614</v>
      </c>
      <c r="H11" s="1">
        <v>1023380.8179</v>
      </c>
      <c r="I11" s="1">
        <v>1075525.9175</v>
      </c>
      <c r="J11" s="1">
        <v>1151124.2184599999</v>
      </c>
      <c r="K11" s="1">
        <v>1033004.12132</v>
      </c>
    </row>
    <row r="12" spans="1:11" customFormat="1" x14ac:dyDescent="0.45">
      <c r="A12" s="2">
        <v>4001190250</v>
      </c>
      <c r="B12" s="2" t="s">
        <v>72</v>
      </c>
      <c r="C12" s="2" t="s">
        <v>7</v>
      </c>
      <c r="D12" s="1">
        <v>125525.83119</v>
      </c>
      <c r="E12" s="1">
        <v>159914.3058</v>
      </c>
      <c r="F12" s="1">
        <v>237628.47175</v>
      </c>
      <c r="G12" s="1">
        <v>254656.63394</v>
      </c>
      <c r="H12" s="1">
        <v>248671.93583</v>
      </c>
      <c r="I12" s="1">
        <v>273426.85879000003</v>
      </c>
      <c r="J12" s="1">
        <v>254700.30494</v>
      </c>
      <c r="K12" s="1">
        <v>261585.97730999999</v>
      </c>
    </row>
    <row r="13" spans="1:11" customFormat="1" x14ac:dyDescent="0.45">
      <c r="A13" s="2">
        <v>4001190260</v>
      </c>
      <c r="B13" s="2" t="s">
        <v>71</v>
      </c>
      <c r="C13" s="2" t="s">
        <v>7</v>
      </c>
      <c r="D13" s="1"/>
      <c r="E13" s="1"/>
      <c r="F13" s="1"/>
      <c r="G13" s="1"/>
      <c r="H13" s="1"/>
      <c r="I13" s="1"/>
      <c r="J13" s="1"/>
      <c r="K13" s="1"/>
    </row>
    <row r="14" spans="1:11" customFormat="1" x14ac:dyDescent="0.45">
      <c r="A14" s="2">
        <v>4001190270</v>
      </c>
      <c r="B14" s="2" t="s">
        <v>70</v>
      </c>
      <c r="C14" s="2" t="s">
        <v>7</v>
      </c>
      <c r="D14" s="1">
        <v>1169.403</v>
      </c>
      <c r="E14" s="1">
        <v>6328.31</v>
      </c>
      <c r="F14" s="1"/>
      <c r="G14" s="1">
        <v>127035.26449</v>
      </c>
      <c r="H14" s="1">
        <v>252000</v>
      </c>
      <c r="I14" s="1">
        <v>182950</v>
      </c>
      <c r="J14" s="1">
        <v>117950</v>
      </c>
      <c r="K14" s="1">
        <v>196293.44179000001</v>
      </c>
    </row>
    <row r="15" spans="1:11" customFormat="1" x14ac:dyDescent="0.45">
      <c r="A15" s="2">
        <v>4001190300</v>
      </c>
      <c r="B15" s="2" t="s">
        <v>69</v>
      </c>
      <c r="C15" s="2" t="s">
        <v>7</v>
      </c>
      <c r="D15" s="1">
        <v>147254.61199999999</v>
      </c>
      <c r="E15" s="1">
        <v>179692.9455</v>
      </c>
      <c r="F15" s="1">
        <v>210583.35018000001</v>
      </c>
      <c r="G15" s="1">
        <v>243155.52642000001</v>
      </c>
      <c r="H15" s="1">
        <v>227269.49457000001</v>
      </c>
      <c r="I15" s="1">
        <v>262855.90213</v>
      </c>
      <c r="J15" s="1">
        <v>277282.76626</v>
      </c>
      <c r="K15" s="1">
        <v>253016.45694999999</v>
      </c>
    </row>
    <row r="16" spans="1:11" customFormat="1" x14ac:dyDescent="0.45">
      <c r="A16" s="2">
        <v>4001113900</v>
      </c>
      <c r="B16" s="2" t="s">
        <v>68</v>
      </c>
      <c r="C16" s="2" t="s">
        <v>7</v>
      </c>
      <c r="D16" s="1"/>
      <c r="E16" s="1">
        <v>353.57670000000002</v>
      </c>
      <c r="F16" s="1">
        <v>197.2782</v>
      </c>
      <c r="G16" s="1">
        <v>1087.1982399999999</v>
      </c>
      <c r="H16" s="1">
        <v>105.26976999999999</v>
      </c>
      <c r="I16" s="1">
        <v>747.65081999999995</v>
      </c>
      <c r="J16" s="1">
        <v>694.24109999999996</v>
      </c>
      <c r="K16" s="1">
        <v>647.61181999999997</v>
      </c>
    </row>
    <row r="17" spans="1:11" customFormat="1" x14ac:dyDescent="0.45">
      <c r="A17" s="2">
        <v>4001180995</v>
      </c>
      <c r="B17" s="2" t="s">
        <v>54</v>
      </c>
      <c r="C17" s="2" t="s">
        <v>7</v>
      </c>
      <c r="D17" s="1">
        <v>9944.81</v>
      </c>
      <c r="E17" s="1">
        <v>15752.209419999999</v>
      </c>
      <c r="F17" s="1">
        <v>14031.85664</v>
      </c>
      <c r="G17" s="1">
        <v>10836.09</v>
      </c>
      <c r="H17" s="1">
        <v>9541.1336200000005</v>
      </c>
      <c r="I17" s="1">
        <v>16841.284080000001</v>
      </c>
      <c r="J17" s="1">
        <v>7717.3519999999999</v>
      </c>
      <c r="K17" s="1">
        <v>4832.4110000000001</v>
      </c>
    </row>
    <row r="18" spans="1:11" customFormat="1" x14ac:dyDescent="0.45">
      <c r="A18" s="2">
        <v>4001113903</v>
      </c>
      <c r="B18" s="2" t="s">
        <v>53</v>
      </c>
      <c r="C18" s="2" t="s">
        <v>7</v>
      </c>
      <c r="D18" s="1"/>
      <c r="E18" s="1"/>
      <c r="F18" s="1"/>
      <c r="G18" s="1"/>
      <c r="H18" s="1"/>
      <c r="I18" s="1"/>
      <c r="J18" s="1"/>
      <c r="K18" s="1"/>
    </row>
    <row r="19" spans="1:11" customFormat="1" x14ac:dyDescent="0.45">
      <c r="A19" s="2">
        <v>4001113904</v>
      </c>
      <c r="B19" s="2" t="s">
        <v>52</v>
      </c>
      <c r="C19" s="2" t="s">
        <v>7</v>
      </c>
      <c r="D19" s="1"/>
      <c r="E19" s="1"/>
      <c r="F19" s="1"/>
      <c r="G19" s="1"/>
      <c r="H19" s="1"/>
      <c r="I19" s="1"/>
      <c r="J19" s="1"/>
      <c r="K19" s="1"/>
    </row>
    <row r="20" spans="1:11" customFormat="1" x14ac:dyDescent="0.45">
      <c r="A20" s="2">
        <v>4001190340</v>
      </c>
      <c r="B20" s="2" t="s">
        <v>67</v>
      </c>
      <c r="C20" s="2" t="s">
        <v>7</v>
      </c>
      <c r="D20" s="1">
        <v>14942.945</v>
      </c>
      <c r="E20" s="1">
        <v>27638.073710000001</v>
      </c>
      <c r="F20" s="1">
        <v>39109.338649999998</v>
      </c>
      <c r="G20" s="1">
        <v>57408.849410000003</v>
      </c>
      <c r="H20" s="1">
        <v>63787.442539999996</v>
      </c>
      <c r="I20" s="1">
        <v>40238.149080000003</v>
      </c>
      <c r="J20" s="1">
        <v>37009.779349999997</v>
      </c>
      <c r="K20" s="1">
        <v>40850.315580000002</v>
      </c>
    </row>
    <row r="21" spans="1:11" customFormat="1" x14ac:dyDescent="0.45">
      <c r="A21" s="2">
        <v>4001190370</v>
      </c>
      <c r="B21" s="2" t="s">
        <v>66</v>
      </c>
      <c r="C21" s="2" t="s">
        <v>7</v>
      </c>
      <c r="D21" s="1">
        <v>85988.675000000003</v>
      </c>
      <c r="E21" s="1">
        <v>63551.476000000002</v>
      </c>
      <c r="F21" s="1">
        <v>95712.020999999993</v>
      </c>
      <c r="G21" s="1">
        <v>320728.90299999999</v>
      </c>
      <c r="H21" s="1">
        <v>222005.54199999999</v>
      </c>
      <c r="I21" s="1">
        <v>298466.07299999997</v>
      </c>
      <c r="J21" s="1">
        <v>455769.77500000002</v>
      </c>
      <c r="K21" s="1">
        <v>275777.90700000001</v>
      </c>
    </row>
    <row r="22" spans="1:11" customFormat="1" x14ac:dyDescent="0.45">
      <c r="A22" s="2">
        <v>4001114130</v>
      </c>
      <c r="B22" s="2" t="s">
        <v>65</v>
      </c>
      <c r="C22" s="2" t="s">
        <v>7</v>
      </c>
      <c r="D22" s="1"/>
      <c r="E22" s="1"/>
      <c r="F22" s="1"/>
      <c r="G22" s="1"/>
      <c r="H22" s="1"/>
      <c r="I22" s="1"/>
      <c r="J22" s="1"/>
      <c r="K22" s="1"/>
    </row>
    <row r="23" spans="1:11" customFormat="1" x14ac:dyDescent="0.45">
      <c r="A23" s="2">
        <v>4001190020</v>
      </c>
      <c r="B23" s="2" t="s">
        <v>64</v>
      </c>
      <c r="C23" s="2" t="s">
        <v>7</v>
      </c>
      <c r="D23" s="1">
        <v>33721.544730000001</v>
      </c>
      <c r="E23" s="1">
        <v>66584.860920000006</v>
      </c>
      <c r="F23" s="1">
        <v>59355.829660000003</v>
      </c>
      <c r="G23" s="1">
        <v>67597.998149999999</v>
      </c>
      <c r="H23" s="1">
        <v>69071.567800000004</v>
      </c>
      <c r="I23" s="1">
        <v>76702.05098</v>
      </c>
      <c r="J23" s="1">
        <v>82828.821750000003</v>
      </c>
      <c r="K23" s="1">
        <v>87144.2022</v>
      </c>
    </row>
    <row r="24" spans="1:11" customFormat="1" x14ac:dyDescent="0.45">
      <c r="A24" s="2">
        <v>4001190030</v>
      </c>
      <c r="B24" s="2" t="s">
        <v>63</v>
      </c>
      <c r="C24" s="2" t="s">
        <v>7</v>
      </c>
      <c r="D24" s="1">
        <v>12069.32812</v>
      </c>
      <c r="E24" s="1">
        <v>12988.66007</v>
      </c>
      <c r="F24" s="1">
        <v>11181.576520000001</v>
      </c>
      <c r="G24" s="1">
        <v>13789.95399</v>
      </c>
      <c r="H24" s="1">
        <v>15349.270049999999</v>
      </c>
      <c r="I24" s="1">
        <v>19580.721649999999</v>
      </c>
      <c r="J24" s="1">
        <v>20263.564030000001</v>
      </c>
      <c r="K24" s="1">
        <v>23907.899290000001</v>
      </c>
    </row>
    <row r="25" spans="1:11" customFormat="1" x14ac:dyDescent="0.45">
      <c r="A25" s="2">
        <v>4001190070</v>
      </c>
      <c r="B25" s="2" t="s">
        <v>62</v>
      </c>
      <c r="C25" s="2" t="s">
        <v>7</v>
      </c>
      <c r="D25" s="1">
        <v>4136.6670000000004</v>
      </c>
      <c r="E25" s="1">
        <v>4136.6670000000004</v>
      </c>
      <c r="F25" s="1">
        <v>4136.6670000000004</v>
      </c>
      <c r="G25" s="1">
        <v>4136.66651</v>
      </c>
      <c r="H25" s="1">
        <v>4136.66651</v>
      </c>
      <c r="I25" s="1">
        <v>4529.7139999999999</v>
      </c>
      <c r="J25" s="1">
        <v>4520.6530000000002</v>
      </c>
      <c r="K25" s="1">
        <v>4486.1890000000003</v>
      </c>
    </row>
    <row r="26" spans="1:11" customFormat="1" x14ac:dyDescent="0.45">
      <c r="A26" s="2">
        <v>4001190110</v>
      </c>
      <c r="B26" s="2" t="s">
        <v>61</v>
      </c>
      <c r="C26" s="2" t="s">
        <v>7</v>
      </c>
      <c r="D26" s="1"/>
      <c r="E26" s="1"/>
      <c r="F26" s="1"/>
      <c r="G26" s="1"/>
      <c r="H26" s="1"/>
      <c r="I26" s="1"/>
      <c r="J26" s="1"/>
      <c r="K26" s="1"/>
    </row>
    <row r="27" spans="1:11" customFormat="1" x14ac:dyDescent="0.45">
      <c r="A27" s="2">
        <v>4001190120</v>
      </c>
      <c r="B27" s="2" t="s">
        <v>60</v>
      </c>
      <c r="C27" s="2" t="s">
        <v>7</v>
      </c>
      <c r="D27" s="1"/>
      <c r="E27" s="1"/>
      <c r="F27" s="1"/>
      <c r="G27" s="1"/>
      <c r="H27" s="1"/>
      <c r="I27" s="1"/>
      <c r="J27" s="1"/>
      <c r="K27" s="1"/>
    </row>
    <row r="28" spans="1:11" customFormat="1" x14ac:dyDescent="0.45">
      <c r="A28" s="2">
        <v>4001190130</v>
      </c>
      <c r="B28" s="2" t="s">
        <v>59</v>
      </c>
      <c r="C28" s="2" t="s">
        <v>7</v>
      </c>
      <c r="D28" s="1">
        <v>215.16399999999999</v>
      </c>
      <c r="E28" s="1">
        <v>56.935000000000002</v>
      </c>
      <c r="F28" s="1">
        <v>2</v>
      </c>
      <c r="G28" s="1">
        <v>72.711179999999999</v>
      </c>
      <c r="H28" s="1">
        <v>12.01097</v>
      </c>
      <c r="I28" s="1">
        <v>220.30887999999999</v>
      </c>
      <c r="J28" s="1">
        <v>237.19915</v>
      </c>
      <c r="K28" s="1">
        <v>21.973040000000001</v>
      </c>
    </row>
    <row r="29" spans="1:11" customFormat="1" x14ac:dyDescent="0.45">
      <c r="A29" s="2">
        <v>4001111660</v>
      </c>
      <c r="B29" s="2" t="s">
        <v>58</v>
      </c>
      <c r="C29" s="2" t="s">
        <v>7</v>
      </c>
      <c r="D29" s="1"/>
      <c r="E29" s="1"/>
      <c r="F29" s="1"/>
      <c r="G29" s="1"/>
      <c r="H29" s="1">
        <v>2820.83142</v>
      </c>
      <c r="I29" s="1">
        <v>2761.9778700000002</v>
      </c>
      <c r="J29" s="1">
        <v>2655.47552</v>
      </c>
      <c r="K29" s="1">
        <v>2593.4955300000001</v>
      </c>
    </row>
    <row r="30" spans="1:11" customFormat="1" x14ac:dyDescent="0.45">
      <c r="A30" s="2">
        <v>4001190160</v>
      </c>
      <c r="B30" s="2" t="s">
        <v>57</v>
      </c>
      <c r="C30" s="2" t="s">
        <v>7</v>
      </c>
      <c r="D30" s="1">
        <v>1724.932</v>
      </c>
      <c r="E30" s="1">
        <v>4933.9049999999997</v>
      </c>
      <c r="F30" s="1">
        <v>4855.7640000000001</v>
      </c>
      <c r="G30" s="1">
        <v>4868.6076300000004</v>
      </c>
      <c r="H30" s="1">
        <v>4857.0072399999999</v>
      </c>
      <c r="I30" s="1">
        <v>9789.4128199999996</v>
      </c>
      <c r="J30" s="1">
        <v>9876.5981800000009</v>
      </c>
      <c r="K30" s="1">
        <v>9229.9447400000008</v>
      </c>
    </row>
    <row r="31" spans="1:11" customFormat="1" x14ac:dyDescent="0.45">
      <c r="A31" s="2">
        <v>4001112490</v>
      </c>
      <c r="B31" s="2" t="s">
        <v>56</v>
      </c>
      <c r="C31" s="2" t="s">
        <v>7</v>
      </c>
      <c r="D31" s="1">
        <v>10895.11377</v>
      </c>
      <c r="E31" s="1">
        <v>17845.452249999998</v>
      </c>
      <c r="F31" s="1">
        <v>16171.14243</v>
      </c>
      <c r="G31" s="1">
        <v>19048.131600000001</v>
      </c>
      <c r="H31" s="1">
        <v>18096.612969999998</v>
      </c>
      <c r="I31" s="1">
        <v>15510.139279999999</v>
      </c>
      <c r="J31" s="1">
        <v>19445.185170000001</v>
      </c>
      <c r="K31" s="1">
        <v>24302.74164</v>
      </c>
    </row>
    <row r="32" spans="1:11" customFormat="1" x14ac:dyDescent="0.45">
      <c r="A32" s="2">
        <v>4001112500</v>
      </c>
      <c r="B32" s="2" t="s">
        <v>55</v>
      </c>
      <c r="C32" s="2" t="s">
        <v>7</v>
      </c>
      <c r="D32" s="1"/>
      <c r="E32" s="1"/>
      <c r="F32" s="1"/>
      <c r="G32" s="1"/>
      <c r="H32" s="1"/>
      <c r="I32" s="1"/>
      <c r="J32" s="1"/>
      <c r="K32" s="1"/>
    </row>
    <row r="33" spans="1:11" customFormat="1" x14ac:dyDescent="0.45">
      <c r="A33" s="2">
        <v>4001180575</v>
      </c>
      <c r="B33" s="2" t="s">
        <v>54</v>
      </c>
      <c r="C33" s="2" t="s">
        <v>7</v>
      </c>
      <c r="D33" s="1"/>
      <c r="E33" s="1"/>
      <c r="F33" s="1"/>
      <c r="G33" s="1"/>
      <c r="H33" s="1"/>
      <c r="I33" s="1"/>
      <c r="J33" s="1"/>
      <c r="K33" s="1"/>
    </row>
    <row r="34" spans="1:11" customFormat="1" x14ac:dyDescent="0.45">
      <c r="A34" s="2">
        <v>4001112503</v>
      </c>
      <c r="B34" s="2" t="s">
        <v>53</v>
      </c>
      <c r="C34" s="2" t="s">
        <v>7</v>
      </c>
      <c r="D34" s="1"/>
      <c r="E34" s="1"/>
      <c r="F34" s="1"/>
      <c r="G34" s="1"/>
      <c r="H34" s="1"/>
      <c r="I34" s="1"/>
      <c r="J34" s="1"/>
      <c r="K34" s="1"/>
    </row>
    <row r="35" spans="1:11" customFormat="1" x14ac:dyDescent="0.45">
      <c r="A35" s="2">
        <v>4001112504</v>
      </c>
      <c r="B35" s="2" t="s">
        <v>52</v>
      </c>
      <c r="C35" s="2" t="s">
        <v>7</v>
      </c>
      <c r="D35" s="1"/>
      <c r="E35" s="1"/>
      <c r="F35" s="1"/>
      <c r="G35" s="1"/>
      <c r="H35" s="1"/>
      <c r="I35" s="1"/>
      <c r="J35" s="1"/>
      <c r="K35" s="1"/>
    </row>
    <row r="36" spans="1:11" customFormat="1" x14ac:dyDescent="0.45">
      <c r="A36" s="2">
        <v>4001190200</v>
      </c>
      <c r="B36" s="2" t="s">
        <v>51</v>
      </c>
      <c r="C36" s="2" t="s">
        <v>7</v>
      </c>
      <c r="D36" s="1">
        <v>4680.3400300000003</v>
      </c>
      <c r="E36" s="1">
        <v>26623.24152</v>
      </c>
      <c r="F36" s="1">
        <v>23008.68</v>
      </c>
      <c r="G36" s="1">
        <v>25681.927240000001</v>
      </c>
      <c r="H36" s="1">
        <v>23799.16863</v>
      </c>
      <c r="I36" s="1">
        <v>24309.776999999998</v>
      </c>
      <c r="J36" s="1">
        <v>25830.146290000001</v>
      </c>
      <c r="K36" s="1">
        <v>22601.958869999999</v>
      </c>
    </row>
    <row r="37" spans="1:11" customFormat="1" x14ac:dyDescent="0.45">
      <c r="A37" s="2">
        <v>4001112880</v>
      </c>
      <c r="B37" s="2" t="s">
        <v>50</v>
      </c>
      <c r="C37" s="2" t="s">
        <v>7</v>
      </c>
      <c r="D37" s="1"/>
      <c r="E37" s="1"/>
      <c r="F37" s="1"/>
      <c r="G37" s="1"/>
      <c r="H37" s="1"/>
      <c r="I37" s="1"/>
      <c r="J37" s="1"/>
      <c r="K37" s="1"/>
    </row>
    <row r="38" spans="1:11" customFormat="1" x14ac:dyDescent="0.45">
      <c r="A38" s="2">
        <v>4001190440</v>
      </c>
      <c r="B38" s="2" t="s">
        <v>49</v>
      </c>
      <c r="C38" s="2" t="s">
        <v>7</v>
      </c>
      <c r="D38" s="1">
        <v>263676.66820999997</v>
      </c>
      <c r="E38" s="1">
        <v>337598.87728000002</v>
      </c>
      <c r="F38" s="1">
        <v>416651.29501</v>
      </c>
      <c r="G38" s="1">
        <v>448045.02529000002</v>
      </c>
      <c r="H38" s="1">
        <v>424204.19923000003</v>
      </c>
      <c r="I38" s="1">
        <v>378693.40691999998</v>
      </c>
      <c r="J38" s="1">
        <v>518342.38069000002</v>
      </c>
      <c r="K38" s="1">
        <v>391868.83733000001</v>
      </c>
    </row>
    <row r="39" spans="1:11" customFormat="1" x14ac:dyDescent="0.45">
      <c r="A39" s="2">
        <v>4001190610</v>
      </c>
      <c r="B39" s="2" t="s">
        <v>48</v>
      </c>
      <c r="C39" s="2" t="s">
        <v>7</v>
      </c>
      <c r="D39" s="1">
        <v>221843.98052000001</v>
      </c>
      <c r="E39" s="1">
        <v>313608.12516</v>
      </c>
      <c r="F39" s="1">
        <v>387790.34547</v>
      </c>
      <c r="G39" s="1">
        <v>410848.04965</v>
      </c>
      <c r="H39" s="1">
        <v>385699.29220999999</v>
      </c>
      <c r="I39" s="1">
        <v>342617.75149</v>
      </c>
      <c r="J39" s="1">
        <v>476464.18855000002</v>
      </c>
      <c r="K39" s="1">
        <v>354776.17488000001</v>
      </c>
    </row>
    <row r="40" spans="1:11" customFormat="1" x14ac:dyDescent="0.45">
      <c r="A40" s="2">
        <v>4001181470</v>
      </c>
      <c r="B40" s="2" t="s">
        <v>47</v>
      </c>
      <c r="C40" s="2" t="s">
        <v>7</v>
      </c>
      <c r="D40" s="1"/>
      <c r="E40" s="1"/>
      <c r="F40" s="1"/>
      <c r="G40" s="1"/>
      <c r="H40" s="1"/>
      <c r="I40" s="1"/>
      <c r="J40" s="1"/>
      <c r="K40" s="1"/>
    </row>
    <row r="41" spans="1:11" customFormat="1" x14ac:dyDescent="0.45">
      <c r="A41" s="2">
        <v>4001121700</v>
      </c>
      <c r="B41" s="2" t="s">
        <v>46</v>
      </c>
      <c r="C41" s="2" t="s">
        <v>7</v>
      </c>
      <c r="D41" s="1">
        <v>21855</v>
      </c>
      <c r="E41" s="1">
        <v>45346</v>
      </c>
      <c r="F41" s="1">
        <v>127956.493</v>
      </c>
      <c r="G41" s="1">
        <v>71969.153000000006</v>
      </c>
      <c r="H41" s="1">
        <v>46319.6</v>
      </c>
      <c r="I41" s="1"/>
      <c r="J41" s="1"/>
      <c r="K41" s="1">
        <v>2712.8</v>
      </c>
    </row>
    <row r="42" spans="1:11" customFormat="1" x14ac:dyDescent="0.45">
      <c r="A42" s="2">
        <v>4001190620</v>
      </c>
      <c r="B42" s="2" t="s">
        <v>45</v>
      </c>
      <c r="C42" s="2" t="s">
        <v>7</v>
      </c>
      <c r="D42" s="1"/>
      <c r="E42" s="1">
        <v>30000</v>
      </c>
      <c r="F42" s="1"/>
      <c r="G42" s="1"/>
      <c r="H42" s="1"/>
      <c r="I42" s="1"/>
      <c r="J42" s="1"/>
      <c r="K42" s="1"/>
    </row>
    <row r="43" spans="1:11" customFormat="1" x14ac:dyDescent="0.45">
      <c r="A43" s="2">
        <v>4001190630</v>
      </c>
      <c r="B43" s="2" t="s">
        <v>44</v>
      </c>
      <c r="C43" s="2" t="s">
        <v>7</v>
      </c>
      <c r="D43" s="1">
        <v>2499.1041300000002</v>
      </c>
      <c r="E43" s="1">
        <v>5779.5403399999996</v>
      </c>
      <c r="F43" s="1">
        <v>5999.7222099999999</v>
      </c>
      <c r="G43" s="1">
        <v>7916.3184499999998</v>
      </c>
      <c r="H43" s="1">
        <v>8024.9160300000003</v>
      </c>
      <c r="I43" s="1">
        <v>8088.0558499999997</v>
      </c>
      <c r="J43" s="1">
        <v>8466.2815699999992</v>
      </c>
      <c r="K43" s="1">
        <v>8353.3228199999994</v>
      </c>
    </row>
    <row r="44" spans="1:11" customFormat="1" x14ac:dyDescent="0.45">
      <c r="A44" s="2">
        <v>4001190660</v>
      </c>
      <c r="B44" s="2" t="s">
        <v>43</v>
      </c>
      <c r="C44" s="2" t="s">
        <v>7</v>
      </c>
      <c r="D44" s="1">
        <v>98441.471749999997</v>
      </c>
      <c r="E44" s="1">
        <v>122068.91945</v>
      </c>
      <c r="F44" s="1">
        <v>146485.81951</v>
      </c>
      <c r="G44" s="1">
        <v>183448.49856000001</v>
      </c>
      <c r="H44" s="1">
        <v>177611.74786</v>
      </c>
      <c r="I44" s="1">
        <v>183849.01431</v>
      </c>
      <c r="J44" s="1">
        <v>302370.43225999997</v>
      </c>
      <c r="K44" s="1">
        <v>182483.74794999999</v>
      </c>
    </row>
    <row r="45" spans="1:11" customFormat="1" x14ac:dyDescent="0.45">
      <c r="A45" s="2">
        <v>4001190680</v>
      </c>
      <c r="B45" s="2" t="s">
        <v>42</v>
      </c>
      <c r="C45" s="2" t="s">
        <v>7</v>
      </c>
      <c r="D45" s="1"/>
      <c r="E45" s="1"/>
      <c r="F45" s="1"/>
      <c r="G45" s="1"/>
      <c r="H45" s="1"/>
      <c r="I45" s="1"/>
      <c r="J45" s="1"/>
      <c r="K45" s="1"/>
    </row>
    <row r="46" spans="1:11" customFormat="1" x14ac:dyDescent="0.45">
      <c r="A46" s="2">
        <v>4001122460</v>
      </c>
      <c r="B46" s="2" t="s">
        <v>41</v>
      </c>
      <c r="C46" s="2" t="s">
        <v>7</v>
      </c>
      <c r="D46" s="1">
        <v>23735.811959999999</v>
      </c>
      <c r="E46" s="1">
        <v>9958.2822899999992</v>
      </c>
      <c r="F46" s="1">
        <v>7800.2727999999997</v>
      </c>
      <c r="G46" s="1">
        <v>10709.56972</v>
      </c>
      <c r="H46" s="1">
        <v>9597.3408299999992</v>
      </c>
      <c r="I46" s="1">
        <v>11061.71458</v>
      </c>
      <c r="J46" s="1">
        <v>10708.907639999999</v>
      </c>
      <c r="K46" s="1">
        <v>10462.454890000001</v>
      </c>
    </row>
    <row r="47" spans="1:11" customFormat="1" x14ac:dyDescent="0.45">
      <c r="A47" s="2">
        <v>4001122560</v>
      </c>
      <c r="B47" s="2" t="s">
        <v>40</v>
      </c>
      <c r="C47" s="2" t="s">
        <v>7</v>
      </c>
      <c r="D47" s="1">
        <v>20789.983230000002</v>
      </c>
      <c r="E47" s="1">
        <v>33951.610269999997</v>
      </c>
      <c r="F47" s="1">
        <v>32500.615699999998</v>
      </c>
      <c r="G47" s="1">
        <v>40001.02403</v>
      </c>
      <c r="H47" s="1">
        <v>29250.676309999999</v>
      </c>
      <c r="I47" s="1">
        <v>34604.601580000002</v>
      </c>
      <c r="J47" s="1">
        <v>45403.040699999998</v>
      </c>
      <c r="K47" s="1">
        <v>48266.239379999999</v>
      </c>
    </row>
    <row r="48" spans="1:11" customFormat="1" x14ac:dyDescent="0.45">
      <c r="A48" s="2">
        <v>4001122561</v>
      </c>
      <c r="B48" s="2" t="s">
        <v>28</v>
      </c>
      <c r="C48" s="2" t="s">
        <v>7</v>
      </c>
      <c r="D48" s="1">
        <v>50610.483</v>
      </c>
      <c r="E48" s="1">
        <v>65184.431620000003</v>
      </c>
      <c r="F48" s="1">
        <v>62793.719230000002</v>
      </c>
      <c r="G48" s="1">
        <v>95913.92108</v>
      </c>
      <c r="H48" s="1">
        <v>114205.86178000001</v>
      </c>
      <c r="I48" s="1">
        <v>104218.76042999999</v>
      </c>
      <c r="J48" s="1">
        <v>108976.80738</v>
      </c>
      <c r="K48" s="1">
        <v>102249.12527999999</v>
      </c>
    </row>
    <row r="49" spans="1:11" customFormat="1" x14ac:dyDescent="0.45">
      <c r="A49" s="2">
        <v>4001122562</v>
      </c>
      <c r="B49" s="2" t="s">
        <v>27</v>
      </c>
      <c r="C49" s="2" t="s">
        <v>7</v>
      </c>
      <c r="D49" s="1"/>
      <c r="E49" s="1"/>
      <c r="F49" s="1"/>
      <c r="G49" s="1"/>
      <c r="H49" s="1"/>
      <c r="I49" s="1"/>
      <c r="J49" s="1"/>
      <c r="K49" s="1"/>
    </row>
    <row r="50" spans="1:11" customFormat="1" x14ac:dyDescent="0.45">
      <c r="A50" s="2">
        <v>4001122563</v>
      </c>
      <c r="B50" s="2" t="s">
        <v>26</v>
      </c>
      <c r="C50" s="2" t="s">
        <v>7</v>
      </c>
      <c r="D50" s="1"/>
      <c r="E50" s="1"/>
      <c r="F50" s="1"/>
      <c r="G50" s="1"/>
      <c r="H50" s="1"/>
      <c r="I50" s="1"/>
      <c r="J50" s="1"/>
      <c r="K50" s="1"/>
    </row>
    <row r="51" spans="1:11" customFormat="1" x14ac:dyDescent="0.45">
      <c r="A51" s="2">
        <v>4001190690</v>
      </c>
      <c r="B51" s="2" t="s">
        <v>39</v>
      </c>
      <c r="C51" s="2" t="s">
        <v>7</v>
      </c>
      <c r="D51" s="1">
        <v>3912.1264299999998</v>
      </c>
      <c r="E51" s="1">
        <v>1319.3411699999999</v>
      </c>
      <c r="F51" s="1">
        <v>4253.7029400000001</v>
      </c>
      <c r="G51" s="1">
        <v>889.56471999999997</v>
      </c>
      <c r="H51" s="1">
        <v>689.14940000000001</v>
      </c>
      <c r="I51" s="1">
        <v>795.60470999999995</v>
      </c>
      <c r="J51" s="1">
        <v>538.71900000000005</v>
      </c>
      <c r="K51" s="1">
        <v>248.48456999999999</v>
      </c>
    </row>
    <row r="52" spans="1:11" customFormat="1" x14ac:dyDescent="0.45">
      <c r="A52" s="2">
        <v>4001122680</v>
      </c>
      <c r="B52" s="2" t="s">
        <v>38</v>
      </c>
      <c r="C52" s="2" t="s">
        <v>7</v>
      </c>
      <c r="D52" s="1"/>
      <c r="E52" s="1"/>
      <c r="F52" s="1"/>
      <c r="G52" s="1"/>
      <c r="H52" s="1"/>
      <c r="I52" s="1"/>
      <c r="J52" s="1"/>
      <c r="K52" s="1"/>
    </row>
    <row r="53" spans="1:11" customFormat="1" x14ac:dyDescent="0.45">
      <c r="A53" s="2">
        <v>4001190450</v>
      </c>
      <c r="B53" s="2" t="s">
        <v>37</v>
      </c>
      <c r="C53" s="2" t="s">
        <v>7</v>
      </c>
      <c r="D53" s="1">
        <v>41832.687680000003</v>
      </c>
      <c r="E53" s="1">
        <v>23990.752110000001</v>
      </c>
      <c r="F53" s="1">
        <v>28860.949530000002</v>
      </c>
      <c r="G53" s="1">
        <v>37196.975639999997</v>
      </c>
      <c r="H53" s="1">
        <v>38504.907019999999</v>
      </c>
      <c r="I53" s="1">
        <v>36075.655420000003</v>
      </c>
      <c r="J53" s="1">
        <v>41878.192139999999</v>
      </c>
      <c r="K53" s="1">
        <v>37092.662450000003</v>
      </c>
    </row>
    <row r="54" spans="1:11" customFormat="1" x14ac:dyDescent="0.45">
      <c r="A54" s="2">
        <v>4001190460</v>
      </c>
      <c r="B54" s="2" t="s">
        <v>36</v>
      </c>
      <c r="C54" s="2" t="s">
        <v>7</v>
      </c>
      <c r="D54" s="1"/>
      <c r="E54" s="1"/>
      <c r="F54" s="1"/>
      <c r="G54" s="1"/>
      <c r="H54" s="1"/>
      <c r="I54" s="1"/>
      <c r="J54" s="1"/>
      <c r="K54" s="1"/>
    </row>
    <row r="55" spans="1:11" customFormat="1" x14ac:dyDescent="0.45">
      <c r="A55" s="2">
        <v>4001190470</v>
      </c>
      <c r="B55" s="2" t="s">
        <v>35</v>
      </c>
      <c r="C55" s="2" t="s">
        <v>7</v>
      </c>
      <c r="D55" s="1">
        <v>30000</v>
      </c>
      <c r="E55" s="1"/>
      <c r="F55" s="1"/>
      <c r="G55" s="1"/>
      <c r="H55" s="1"/>
      <c r="I55" s="1"/>
      <c r="J55" s="1"/>
      <c r="K55" s="1"/>
    </row>
    <row r="56" spans="1:11" customFormat="1" x14ac:dyDescent="0.45">
      <c r="A56" s="2">
        <v>4001190480</v>
      </c>
      <c r="B56" s="2" t="s">
        <v>34</v>
      </c>
      <c r="C56" s="2" t="s">
        <v>7</v>
      </c>
      <c r="D56" s="1">
        <v>2305.6861699999999</v>
      </c>
      <c r="E56" s="1">
        <v>14054.586139999999</v>
      </c>
      <c r="F56" s="1">
        <v>11835.06467</v>
      </c>
      <c r="G56" s="1">
        <v>14809.12744</v>
      </c>
      <c r="H56" s="1">
        <v>13645.47055</v>
      </c>
      <c r="I56" s="1">
        <v>12682.09167</v>
      </c>
      <c r="J56" s="1">
        <v>14665.055</v>
      </c>
      <c r="K56" s="1">
        <v>12906.747149999999</v>
      </c>
    </row>
    <row r="57" spans="1:11" customFormat="1" x14ac:dyDescent="0.45">
      <c r="A57" s="2">
        <v>4001190500</v>
      </c>
      <c r="B57" s="2" t="s">
        <v>33</v>
      </c>
      <c r="C57" s="2" t="s">
        <v>7</v>
      </c>
      <c r="D57" s="1"/>
      <c r="E57" s="1"/>
      <c r="F57" s="1">
        <v>331.25909000000001</v>
      </c>
      <c r="G57" s="1">
        <v>530.17899999999997</v>
      </c>
      <c r="H57" s="1">
        <v>621.98501999999996</v>
      </c>
      <c r="I57" s="1">
        <v>707.32894999999996</v>
      </c>
      <c r="J57" s="1">
        <v>784.41616999999997</v>
      </c>
      <c r="K57" s="1">
        <v>861.40615000000003</v>
      </c>
    </row>
    <row r="58" spans="1:11" customFormat="1" x14ac:dyDescent="0.45">
      <c r="A58" s="2">
        <v>4001190570</v>
      </c>
      <c r="B58" s="2" t="s">
        <v>32</v>
      </c>
      <c r="C58" s="2" t="s">
        <v>7</v>
      </c>
      <c r="D58" s="1">
        <v>1857.33042</v>
      </c>
      <c r="E58" s="1">
        <v>588.60316999999998</v>
      </c>
      <c r="F58" s="1">
        <v>630.05075999999997</v>
      </c>
      <c r="G58" s="1">
        <v>863.80165999999997</v>
      </c>
      <c r="H58" s="1">
        <v>996.50073999999995</v>
      </c>
      <c r="I58" s="1">
        <v>32.938270000000003</v>
      </c>
      <c r="J58" s="1">
        <v>43.183149999999998</v>
      </c>
      <c r="K58" s="1">
        <v>47.55397</v>
      </c>
    </row>
    <row r="59" spans="1:11" customFormat="1" x14ac:dyDescent="0.45">
      <c r="A59" s="2">
        <v>4001121280</v>
      </c>
      <c r="B59" s="2" t="s">
        <v>31</v>
      </c>
      <c r="C59" s="2" t="s">
        <v>7</v>
      </c>
      <c r="D59" s="1">
        <v>7669.6710800000001</v>
      </c>
      <c r="E59" s="1">
        <v>9347.5627999999997</v>
      </c>
      <c r="F59" s="1">
        <v>4678.2575699999998</v>
      </c>
      <c r="G59" s="1">
        <v>4858.5960100000002</v>
      </c>
      <c r="H59" s="1">
        <v>4984.6176100000002</v>
      </c>
      <c r="I59" s="1">
        <v>4234.1893600000003</v>
      </c>
      <c r="J59" s="1">
        <v>4210.5897000000004</v>
      </c>
      <c r="K59" s="1">
        <v>3447.4896399999998</v>
      </c>
    </row>
    <row r="60" spans="1:11" customFormat="1" x14ac:dyDescent="0.45">
      <c r="A60" s="2">
        <v>4001121380</v>
      </c>
      <c r="B60" s="2" t="s">
        <v>30</v>
      </c>
      <c r="C60" s="2" t="s">
        <v>7</v>
      </c>
      <c r="D60" s="1"/>
      <c r="E60" s="1"/>
      <c r="F60" s="1"/>
      <c r="G60" s="1"/>
      <c r="H60" s="1"/>
      <c r="I60" s="1"/>
      <c r="J60" s="1"/>
      <c r="K60" s="1"/>
    </row>
    <row r="61" spans="1:11" customFormat="1" x14ac:dyDescent="0.45">
      <c r="A61" s="2">
        <v>4001181370</v>
      </c>
      <c r="B61" s="2" t="s">
        <v>29</v>
      </c>
      <c r="C61" s="2" t="s">
        <v>7</v>
      </c>
      <c r="D61" s="1"/>
      <c r="E61" s="1"/>
      <c r="F61" s="1"/>
      <c r="G61" s="1"/>
      <c r="H61" s="1"/>
      <c r="I61" s="1"/>
      <c r="J61" s="1"/>
      <c r="K61" s="1"/>
    </row>
    <row r="62" spans="1:11" customFormat="1" x14ac:dyDescent="0.45">
      <c r="A62" s="2">
        <v>4001121401</v>
      </c>
      <c r="B62" s="2" t="s">
        <v>28</v>
      </c>
      <c r="C62" s="2" t="s">
        <v>7</v>
      </c>
      <c r="D62" s="1"/>
      <c r="E62" s="1"/>
      <c r="F62" s="1">
        <v>11386.317429999999</v>
      </c>
      <c r="G62" s="1">
        <v>16135.27189</v>
      </c>
      <c r="H62" s="1">
        <v>18256.33311</v>
      </c>
      <c r="I62" s="1">
        <v>18419.10714</v>
      </c>
      <c r="J62" s="1">
        <v>22174.948130000001</v>
      </c>
      <c r="K62" s="1">
        <v>19829.465550000001</v>
      </c>
    </row>
    <row r="63" spans="1:11" customFormat="1" x14ac:dyDescent="0.45">
      <c r="A63" s="2">
        <v>4001121402</v>
      </c>
      <c r="B63" s="2" t="s">
        <v>27</v>
      </c>
      <c r="C63" s="2" t="s">
        <v>7</v>
      </c>
      <c r="D63" s="1"/>
      <c r="E63" s="1"/>
      <c r="F63" s="1"/>
      <c r="G63" s="1"/>
      <c r="H63" s="1"/>
      <c r="I63" s="1"/>
      <c r="J63" s="1"/>
      <c r="K63" s="1"/>
    </row>
    <row r="64" spans="1:11" customFormat="1" x14ac:dyDescent="0.45">
      <c r="A64" s="2">
        <v>4001121403</v>
      </c>
      <c r="B64" s="2" t="s">
        <v>26</v>
      </c>
      <c r="C64" s="2" t="s">
        <v>7</v>
      </c>
      <c r="D64" s="1"/>
      <c r="E64" s="1"/>
      <c r="F64" s="1"/>
      <c r="G64" s="1"/>
      <c r="H64" s="1"/>
      <c r="I64" s="1"/>
      <c r="J64" s="1"/>
      <c r="K64" s="1"/>
    </row>
    <row r="65" spans="1:11" customFormat="1" x14ac:dyDescent="0.45">
      <c r="A65" s="2">
        <v>4001190580</v>
      </c>
      <c r="B65" s="2" t="s">
        <v>25</v>
      </c>
      <c r="C65" s="2" t="s">
        <v>7</v>
      </c>
      <c r="D65" s="1"/>
      <c r="E65" s="1"/>
      <c r="F65" s="1"/>
      <c r="G65" s="1"/>
      <c r="H65" s="1"/>
      <c r="I65" s="1"/>
      <c r="J65" s="1"/>
      <c r="K65" s="1"/>
    </row>
    <row r="66" spans="1:11" customFormat="1" x14ac:dyDescent="0.45">
      <c r="A66" s="2">
        <v>4001121620</v>
      </c>
      <c r="B66" s="2" t="s">
        <v>24</v>
      </c>
      <c r="C66" s="2" t="s">
        <v>7</v>
      </c>
      <c r="D66" s="1"/>
      <c r="E66" s="1"/>
      <c r="F66" s="1"/>
      <c r="G66" s="1"/>
      <c r="H66" s="1"/>
      <c r="I66" s="1"/>
      <c r="J66" s="1"/>
      <c r="K66" s="1"/>
    </row>
    <row r="67" spans="1:11" customFormat="1" x14ac:dyDescent="0.45">
      <c r="A67" s="2">
        <v>4001190380</v>
      </c>
      <c r="B67" s="2" t="s">
        <v>23</v>
      </c>
      <c r="C67" s="2" t="s">
        <v>7</v>
      </c>
      <c r="D67" s="1">
        <v>154871.15380999999</v>
      </c>
      <c r="E67" s="1">
        <v>182216.88089999999</v>
      </c>
      <c r="F67" s="1">
        <v>239966.85148000001</v>
      </c>
      <c r="G67" s="1">
        <v>634461.43900000001</v>
      </c>
      <c r="H67" s="1">
        <v>668248.18648000003</v>
      </c>
      <c r="I67" s="1">
        <v>773534.56154999998</v>
      </c>
      <c r="J67" s="1">
        <v>715610.65951999999</v>
      </c>
      <c r="K67" s="1">
        <v>728279.48618000001</v>
      </c>
    </row>
    <row r="68" spans="1:11" customFormat="1" x14ac:dyDescent="0.45">
      <c r="A68" s="2">
        <v>4001130010</v>
      </c>
      <c r="B68" s="2" t="s">
        <v>22</v>
      </c>
      <c r="C68" s="2" t="s">
        <v>16</v>
      </c>
      <c r="D68" s="1">
        <v>20000000</v>
      </c>
      <c r="E68" s="1">
        <v>200000000</v>
      </c>
      <c r="F68" s="1">
        <v>200000000</v>
      </c>
      <c r="G68" s="1">
        <v>200000000</v>
      </c>
      <c r="H68" s="1">
        <v>200000000</v>
      </c>
      <c r="I68" s="1">
        <v>200000000</v>
      </c>
      <c r="J68" s="1">
        <v>200000000</v>
      </c>
      <c r="K68" s="1">
        <v>200000000</v>
      </c>
    </row>
    <row r="69" spans="1:11" customFormat="1" x14ac:dyDescent="0.45">
      <c r="A69" s="2">
        <v>4001130020</v>
      </c>
      <c r="B69" s="2" t="s">
        <v>21</v>
      </c>
      <c r="C69" s="2" t="s">
        <v>20</v>
      </c>
      <c r="D69" s="1">
        <v>5000</v>
      </c>
      <c r="E69" s="1">
        <v>500</v>
      </c>
      <c r="F69" s="1">
        <v>500</v>
      </c>
      <c r="G69" s="1">
        <v>500</v>
      </c>
      <c r="H69" s="1">
        <v>500</v>
      </c>
      <c r="I69" s="1">
        <v>500</v>
      </c>
      <c r="J69" s="1">
        <v>500</v>
      </c>
      <c r="K69" s="1">
        <v>500</v>
      </c>
    </row>
    <row r="70" spans="1:11" customFormat="1" x14ac:dyDescent="0.45">
      <c r="A70" s="2">
        <v>4001130030</v>
      </c>
      <c r="B70" s="2" t="s">
        <v>19</v>
      </c>
      <c r="C70" s="2" t="s">
        <v>16</v>
      </c>
      <c r="D70" s="1">
        <v>4000000</v>
      </c>
      <c r="E70" s="1">
        <v>40000000</v>
      </c>
      <c r="F70" s="1">
        <v>40000000</v>
      </c>
      <c r="G70" s="1">
        <v>44450000</v>
      </c>
      <c r="H70" s="1">
        <v>44450000</v>
      </c>
      <c r="I70" s="1">
        <v>44450000</v>
      </c>
      <c r="J70" s="1">
        <v>44829210</v>
      </c>
      <c r="K70" s="1">
        <v>44829210</v>
      </c>
    </row>
    <row r="71" spans="1:11" customFormat="1" x14ac:dyDescent="0.45">
      <c r="A71" s="2">
        <v>4001130040</v>
      </c>
      <c r="B71" s="2" t="s">
        <v>18</v>
      </c>
      <c r="C71" s="2" t="s">
        <v>16</v>
      </c>
      <c r="D71" s="1">
        <v>4000000</v>
      </c>
      <c r="E71" s="1">
        <v>40000000</v>
      </c>
      <c r="F71" s="1">
        <v>40000000</v>
      </c>
      <c r="G71" s="1">
        <v>44450000</v>
      </c>
      <c r="H71" s="1">
        <v>44450000</v>
      </c>
      <c r="I71" s="1">
        <v>44450000</v>
      </c>
      <c r="J71" s="1">
        <v>44829210</v>
      </c>
      <c r="K71" s="1">
        <v>44829210</v>
      </c>
    </row>
    <row r="72" spans="1:11" customFormat="1" x14ac:dyDescent="0.45">
      <c r="A72" s="2">
        <v>4001130050</v>
      </c>
      <c r="B72" s="2" t="s">
        <v>17</v>
      </c>
      <c r="C72" s="2" t="s">
        <v>16</v>
      </c>
      <c r="D72" s="1"/>
      <c r="E72" s="1"/>
      <c r="F72" s="1"/>
      <c r="G72" s="1"/>
      <c r="H72" s="1"/>
      <c r="I72" s="1"/>
      <c r="J72" s="1"/>
      <c r="K72" s="1"/>
    </row>
    <row r="73" spans="1:11" customFormat="1" x14ac:dyDescent="0.45">
      <c r="A73" s="2">
        <v>4001190390</v>
      </c>
      <c r="B73" s="2" t="s">
        <v>15</v>
      </c>
      <c r="C73" s="2" t="s">
        <v>7</v>
      </c>
      <c r="D73" s="1">
        <v>154871.15380999999</v>
      </c>
      <c r="E73" s="1">
        <v>182216.88089999999</v>
      </c>
      <c r="F73" s="1">
        <v>239966.85148000001</v>
      </c>
      <c r="G73" s="1">
        <v>634461.43900000001</v>
      </c>
      <c r="H73" s="1">
        <v>668248.18648000003</v>
      </c>
      <c r="I73" s="1">
        <v>773534.56154999998</v>
      </c>
      <c r="J73" s="1">
        <v>715610.65951999999</v>
      </c>
      <c r="K73" s="1">
        <v>728279.48618000001</v>
      </c>
    </row>
    <row r="74" spans="1:11" customFormat="1" x14ac:dyDescent="0.45">
      <c r="A74" s="2">
        <v>4001130070</v>
      </c>
      <c r="B74" s="2" t="s">
        <v>14</v>
      </c>
      <c r="C74" s="2" t="s">
        <v>7</v>
      </c>
      <c r="D74" s="1">
        <v>20000</v>
      </c>
      <c r="E74" s="1">
        <v>20000</v>
      </c>
      <c r="F74" s="1">
        <v>20000</v>
      </c>
      <c r="G74" s="1">
        <v>22225</v>
      </c>
      <c r="H74" s="1">
        <v>22225</v>
      </c>
      <c r="I74" s="1">
        <v>22225</v>
      </c>
      <c r="J74" s="1">
        <v>22414.605</v>
      </c>
      <c r="K74" s="1">
        <v>22414.605</v>
      </c>
    </row>
    <row r="75" spans="1:11" customFormat="1" x14ac:dyDescent="0.45">
      <c r="A75" s="2">
        <v>4001130670</v>
      </c>
      <c r="B75" s="2" t="s">
        <v>13</v>
      </c>
      <c r="C75" s="2" t="s">
        <v>7</v>
      </c>
      <c r="D75" s="1"/>
      <c r="E75" s="1"/>
      <c r="F75" s="1"/>
      <c r="G75" s="1"/>
      <c r="H75" s="1"/>
      <c r="I75" s="1"/>
      <c r="J75" s="1"/>
      <c r="K75" s="1"/>
    </row>
    <row r="76" spans="1:11" customFormat="1" x14ac:dyDescent="0.45">
      <c r="A76" s="2">
        <v>4001190400</v>
      </c>
      <c r="B76" s="2" t="s">
        <v>12</v>
      </c>
      <c r="C76" s="2" t="s">
        <v>7</v>
      </c>
      <c r="D76" s="1">
        <v>20000</v>
      </c>
      <c r="E76" s="1">
        <v>20000</v>
      </c>
      <c r="F76" s="1">
        <v>20000</v>
      </c>
      <c r="G76" s="1">
        <v>384624.02659999998</v>
      </c>
      <c r="H76" s="1">
        <v>384624.02659999998</v>
      </c>
      <c r="I76" s="1">
        <v>384624.02659999998</v>
      </c>
      <c r="J76" s="1">
        <v>404355.78668999998</v>
      </c>
      <c r="K76" s="1">
        <v>404355.78668999998</v>
      </c>
    </row>
    <row r="77" spans="1:11" customFormat="1" x14ac:dyDescent="0.45">
      <c r="A77" s="2">
        <v>4001190420</v>
      </c>
      <c r="B77" s="2" t="s">
        <v>11</v>
      </c>
      <c r="C77" s="2" t="s">
        <v>7</v>
      </c>
      <c r="D77" s="1"/>
      <c r="E77" s="1"/>
      <c r="F77" s="1">
        <v>510.84298000000001</v>
      </c>
      <c r="G77" s="1">
        <v>778.17335000000003</v>
      </c>
      <c r="H77" s="1">
        <v>891.45101</v>
      </c>
      <c r="I77" s="1">
        <v>29503.673289999999</v>
      </c>
      <c r="J77" s="1">
        <v>9580.3590999999997</v>
      </c>
      <c r="K77" s="1">
        <v>9580.3590999999997</v>
      </c>
    </row>
    <row r="78" spans="1:11" customFormat="1" x14ac:dyDescent="0.45">
      <c r="A78" s="2">
        <v>4001130360</v>
      </c>
      <c r="B78" s="2" t="s">
        <v>10</v>
      </c>
      <c r="C78" s="2" t="s">
        <v>7</v>
      </c>
      <c r="D78" s="1">
        <v>1585.4048299999999</v>
      </c>
      <c r="E78" s="1">
        <v>2600.34897</v>
      </c>
      <c r="F78" s="1">
        <v>1097.5643299999999</v>
      </c>
      <c r="G78" s="1">
        <v>7471.4276499999996</v>
      </c>
      <c r="H78" s="1">
        <v>2618.2301900000002</v>
      </c>
      <c r="I78" s="1">
        <v>13654.78823</v>
      </c>
      <c r="J78" s="1">
        <v>13453.516149999999</v>
      </c>
      <c r="K78" s="1">
        <v>4505.73614</v>
      </c>
    </row>
    <row r="79" spans="1:11" customFormat="1" x14ac:dyDescent="0.45">
      <c r="A79" s="2">
        <v>4001130470</v>
      </c>
      <c r="B79" s="2" t="s">
        <v>9</v>
      </c>
      <c r="C79" s="2" t="s">
        <v>7</v>
      </c>
      <c r="D79" s="1">
        <v>113285.74897</v>
      </c>
      <c r="E79" s="1">
        <v>139616.53193</v>
      </c>
      <c r="F79" s="1">
        <v>198358.44416000001</v>
      </c>
      <c r="G79" s="1">
        <v>219362.81140000001</v>
      </c>
      <c r="H79" s="1">
        <v>257889.47867000001</v>
      </c>
      <c r="I79" s="1">
        <v>323527.07342999999</v>
      </c>
      <c r="J79" s="1">
        <v>265806.39257999999</v>
      </c>
      <c r="K79" s="1">
        <v>287422.99924999999</v>
      </c>
    </row>
    <row r="80" spans="1:11" customFormat="1" x14ac:dyDescent="0.45">
      <c r="A80" s="2">
        <v>4001130640</v>
      </c>
      <c r="B80" s="2" t="s">
        <v>8</v>
      </c>
      <c r="C80" s="2" t="s">
        <v>7</v>
      </c>
      <c r="D80" s="1"/>
      <c r="E80" s="1"/>
      <c r="F80" s="1"/>
      <c r="G80" s="1"/>
      <c r="H80" s="1"/>
      <c r="I80" s="1"/>
      <c r="J80" s="1"/>
      <c r="K80" s="1"/>
    </row>
  </sheetData>
  <phoneticPr fontId="2" type="noConversion"/>
  <dataValidations count="7">
    <dataValidation type="list" allowBlank="1" showInputMessage="1" sqref="C7" xr:uid="{E59A53CC-E887-4A35-9B45-D3D7F9097427}">
      <formula1>"1983,1984,1985,1986,1987,1988,1989,1990,1991,1992,1993,1994,1995,1996,1997,1998,1999,2000,2001,2002,2003,2004,2005,2006,2007,2008,2009,2010,2011,2012,2013,2014,2015,2016,2017,2018,2019,2020,2021,2022,2023,2024,2025,Current"</formula1>
    </dataValidation>
    <dataValidation type="list" allowBlank="1" showInputMessage="1" sqref="B7" xr:uid="{907DFFD1-78A4-4477-9C57-0DB6615D52F4}">
      <formula1>"1983,1984,1985,1986,1987,1988,1989,1990,1991,1992,1993,1994,1995,1996,1997,1998,1999,2000,2001,2002,2003,2004,2005,2006,2007,2008,2009,2010,2011,2012,2013,2014,2015,2016,2017,2018,2019,2020,2021,2022,2023,2024,2025"</formula1>
    </dataValidation>
    <dataValidation type="list" allowBlank="1" showInputMessage="1" sqref="B3" xr:uid="{C6E606D0-50A8-446F-BE4F-2A5DDE526E4F}">
      <formula1>"별도,연결"</formula1>
    </dataValidation>
    <dataValidation type="list" allowBlank="1" showInputMessage="1" sqref="C6" xr:uid="{63FE0484-7B5C-4D5B-A702-65DD241B3EC4}">
      <formula1>"천원,백만원,억원,십억원"</formula1>
    </dataValidation>
    <dataValidation type="list" allowBlank="1" showInputMessage="1" sqref="B6" xr:uid="{0B5F9BCC-2046-4A23-983B-FBA941724CDC}">
      <formula1>"결산,누적분기,당분기"</formula1>
    </dataValidation>
    <dataValidation type="list" allowBlank="1" showInputMessage="1" sqref="B5" xr:uid="{6C685E99-5422-4EDE-8E4D-603856E4C6F6}">
      <formula1>"상세(총액),상세(순액),요약,약식"</formula1>
    </dataValidation>
    <dataValidation type="list" allowBlank="1" showInputMessage="1" sqref="B4" xr:uid="{11F0ECE9-84FB-4D6F-BB50-2B828D168222}">
      <formula1>"전체,재무상태표,손익계산서,현금흐름표,자본금변동표"</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1465-D435-4D24-A23E-A74986CB2AC5}">
  <dimension ref="A1:K132"/>
  <sheetViews>
    <sheetView zoomScale="89" workbookViewId="0">
      <selection activeCell="D25" sqref="D25"/>
    </sheetView>
  </sheetViews>
  <sheetFormatPr defaultColWidth="8.83203125" defaultRowHeight="17" x14ac:dyDescent="0.45"/>
  <cols>
    <col min="1" max="1" width="9.1640625" style="15" bestFit="1" customWidth="1"/>
    <col min="2" max="2" width="52.33203125" style="15" bestFit="1" customWidth="1"/>
    <col min="3" max="3" width="11.5" style="15" bestFit="1" customWidth="1"/>
    <col min="4" max="11" width="8.5" style="15" bestFit="1" customWidth="1"/>
    <col min="12" max="16384" width="8.83203125" style="15"/>
  </cols>
  <sheetData>
    <row r="1" spans="1:11" x14ac:dyDescent="0.45">
      <c r="A1" s="14" t="s">
        <v>94</v>
      </c>
      <c r="B1" s="13"/>
      <c r="C1" s="13"/>
      <c r="D1" s="13"/>
      <c r="E1" s="13"/>
      <c r="F1" s="13"/>
      <c r="G1" s="13"/>
      <c r="H1" s="13"/>
      <c r="I1" s="13"/>
      <c r="J1" s="13"/>
      <c r="K1" s="13"/>
    </row>
    <row r="2" spans="1:11" x14ac:dyDescent="0.45">
      <c r="A2" s="9" t="s">
        <v>93</v>
      </c>
      <c r="B2" s="9" t="s">
        <v>92</v>
      </c>
      <c r="C2" s="9"/>
      <c r="D2" s="9"/>
      <c r="E2" s="9"/>
      <c r="F2" s="9"/>
      <c r="G2" s="9"/>
      <c r="H2" s="9"/>
      <c r="I2" s="9"/>
      <c r="J2" s="9"/>
      <c r="K2" s="9"/>
    </row>
    <row r="3" spans="1:11" x14ac:dyDescent="0.45">
      <c r="A3" s="9" t="s">
        <v>91</v>
      </c>
      <c r="B3" s="7" t="s">
        <v>90</v>
      </c>
      <c r="C3" s="9" t="s">
        <v>89</v>
      </c>
      <c r="D3" s="9" t="s">
        <v>88</v>
      </c>
      <c r="E3" s="9"/>
      <c r="F3" s="9"/>
      <c r="G3" s="9"/>
      <c r="H3" s="9"/>
      <c r="I3" s="9"/>
      <c r="J3" s="9"/>
      <c r="K3" s="9"/>
    </row>
    <row r="4" spans="1:11" x14ac:dyDescent="0.45">
      <c r="A4" s="9" t="s">
        <v>87</v>
      </c>
      <c r="B4" s="12" t="s">
        <v>213</v>
      </c>
      <c r="C4" s="9" t="s">
        <v>85</v>
      </c>
      <c r="D4" s="9"/>
      <c r="E4" s="9"/>
      <c r="F4" s="9"/>
      <c r="G4" s="9"/>
      <c r="H4" s="9"/>
      <c r="I4" s="9"/>
      <c r="J4" s="9"/>
      <c r="K4" s="9"/>
    </row>
    <row r="5" spans="1:11" x14ac:dyDescent="0.45">
      <c r="A5" s="9" t="s">
        <v>84</v>
      </c>
      <c r="B5" s="10" t="s">
        <v>83</v>
      </c>
      <c r="C5" s="9"/>
      <c r="D5" s="9"/>
      <c r="E5" s="9"/>
      <c r="F5" s="9"/>
      <c r="G5" s="9"/>
      <c r="H5" s="9"/>
      <c r="I5" s="9"/>
      <c r="J5" s="9"/>
      <c r="K5" s="9"/>
    </row>
    <row r="6" spans="1:11" x14ac:dyDescent="0.45">
      <c r="A6" s="9" t="s">
        <v>82</v>
      </c>
      <c r="B6" s="11" t="s">
        <v>81</v>
      </c>
      <c r="C6" s="10" t="s">
        <v>7</v>
      </c>
      <c r="D6" s="9"/>
      <c r="E6" s="9"/>
      <c r="F6" s="9"/>
      <c r="G6" s="9"/>
      <c r="H6" s="9"/>
      <c r="I6" s="9"/>
      <c r="J6" s="9"/>
      <c r="K6" s="9"/>
    </row>
    <row r="7" spans="1:11" x14ac:dyDescent="0.45">
      <c r="A7" s="6" t="s">
        <v>80</v>
      </c>
      <c r="B7" s="8">
        <v>2021</v>
      </c>
      <c r="C7" s="7" t="s">
        <v>79</v>
      </c>
      <c r="D7" s="6"/>
      <c r="E7" s="6"/>
      <c r="F7" s="6"/>
      <c r="G7" s="6"/>
      <c r="H7" s="6"/>
      <c r="I7" s="6"/>
      <c r="J7" s="6"/>
      <c r="K7" s="6"/>
    </row>
    <row r="8" spans="1:11" x14ac:dyDescent="0.45">
      <c r="A8" s="4" t="s">
        <v>78</v>
      </c>
      <c r="B8" s="5" t="s">
        <v>77</v>
      </c>
      <c r="C8" s="5" t="s">
        <v>76</v>
      </c>
      <c r="D8" s="4">
        <v>202112</v>
      </c>
      <c r="E8" s="4">
        <v>202212</v>
      </c>
      <c r="F8" s="4">
        <v>202312</v>
      </c>
      <c r="G8" s="4">
        <v>202406</v>
      </c>
      <c r="H8" s="4">
        <v>202409</v>
      </c>
      <c r="I8" s="4">
        <v>202412</v>
      </c>
      <c r="J8" s="4">
        <v>202503</v>
      </c>
      <c r="K8" s="4">
        <v>202506</v>
      </c>
    </row>
    <row r="9" spans="1:11" x14ac:dyDescent="0.45">
      <c r="A9" s="3"/>
      <c r="B9" s="3"/>
      <c r="C9" s="3"/>
      <c r="D9" s="3" t="s">
        <v>75</v>
      </c>
      <c r="E9" s="3" t="s">
        <v>75</v>
      </c>
      <c r="F9" s="3" t="s">
        <v>75</v>
      </c>
      <c r="G9" s="3" t="s">
        <v>75</v>
      </c>
      <c r="H9" s="3" t="s">
        <v>75</v>
      </c>
      <c r="I9" s="3" t="s">
        <v>75</v>
      </c>
      <c r="J9" s="3" t="s">
        <v>75</v>
      </c>
      <c r="K9" s="3" t="s">
        <v>75</v>
      </c>
    </row>
    <row r="10" spans="1:11" x14ac:dyDescent="0.45">
      <c r="A10" s="2">
        <v>4001390000</v>
      </c>
      <c r="B10" s="2" t="s">
        <v>212</v>
      </c>
      <c r="C10" s="2" t="s">
        <v>7</v>
      </c>
      <c r="D10" s="1">
        <v>68373.450379999995</v>
      </c>
      <c r="E10" s="1">
        <v>51538.08885</v>
      </c>
      <c r="F10" s="1">
        <v>72858.139920000001</v>
      </c>
      <c r="G10" s="1">
        <v>48975.941400000003</v>
      </c>
      <c r="H10" s="1">
        <v>80886.639009999999</v>
      </c>
      <c r="I10" s="1">
        <v>37322.582889999998</v>
      </c>
      <c r="J10" s="1">
        <v>98176.791209999996</v>
      </c>
      <c r="K10" s="1">
        <v>57778.408719999999</v>
      </c>
    </row>
    <row r="11" spans="1:11" x14ac:dyDescent="0.45">
      <c r="A11" s="2">
        <v>4001310010</v>
      </c>
      <c r="B11" s="2" t="s">
        <v>211</v>
      </c>
      <c r="C11" s="2" t="s">
        <v>7</v>
      </c>
      <c r="D11" s="1"/>
      <c r="E11" s="1"/>
      <c r="F11" s="1"/>
      <c r="G11" s="1"/>
      <c r="H11" s="1"/>
      <c r="I11" s="1"/>
      <c r="J11" s="1"/>
      <c r="K11" s="1"/>
    </row>
    <row r="12" spans="1:11" x14ac:dyDescent="0.45">
      <c r="A12" s="2">
        <v>4001310100</v>
      </c>
      <c r="B12" s="2" t="s">
        <v>210</v>
      </c>
      <c r="C12" s="2" t="s">
        <v>7</v>
      </c>
      <c r="D12" s="1"/>
      <c r="E12" s="1"/>
      <c r="F12" s="1"/>
      <c r="G12" s="1"/>
      <c r="H12" s="1"/>
      <c r="I12" s="1"/>
      <c r="J12" s="1"/>
      <c r="K12" s="1"/>
    </row>
    <row r="13" spans="1:11" x14ac:dyDescent="0.45">
      <c r="A13" s="2">
        <v>4001310190</v>
      </c>
      <c r="B13" s="2" t="s">
        <v>209</v>
      </c>
      <c r="C13" s="2" t="s">
        <v>7</v>
      </c>
      <c r="D13" s="1">
        <v>89563.977660000004</v>
      </c>
      <c r="E13" s="1">
        <v>104926.50780000001</v>
      </c>
      <c r="F13" s="1">
        <v>151116.17533</v>
      </c>
      <c r="G13" s="1">
        <v>56679.20031</v>
      </c>
      <c r="H13" s="1">
        <v>58529.167280000001</v>
      </c>
      <c r="I13" s="1">
        <v>68406.742119999995</v>
      </c>
      <c r="J13" s="1">
        <v>63318.186150000001</v>
      </c>
      <c r="K13" s="1">
        <v>52997.053670000001</v>
      </c>
    </row>
    <row r="14" spans="1:11" x14ac:dyDescent="0.45">
      <c r="A14" s="2">
        <v>4001310200</v>
      </c>
      <c r="B14" s="2" t="s">
        <v>208</v>
      </c>
      <c r="C14" s="2" t="s">
        <v>7</v>
      </c>
      <c r="D14" s="1"/>
      <c r="E14" s="1"/>
      <c r="F14" s="1"/>
      <c r="G14" s="1"/>
      <c r="H14" s="1"/>
      <c r="I14" s="1"/>
      <c r="J14" s="1"/>
      <c r="K14" s="1"/>
    </row>
    <row r="15" spans="1:11" x14ac:dyDescent="0.45">
      <c r="A15" s="2">
        <v>4001390010</v>
      </c>
      <c r="B15" s="2" t="s">
        <v>207</v>
      </c>
      <c r="C15" s="2" t="s">
        <v>7</v>
      </c>
      <c r="D15" s="1">
        <v>46141.025999999998</v>
      </c>
      <c r="E15" s="1">
        <v>71780.663</v>
      </c>
      <c r="F15" s="1">
        <v>79369.566999999995</v>
      </c>
      <c r="G15" s="1">
        <v>28537.202000000001</v>
      </c>
      <c r="H15" s="1">
        <v>27170.755000000001</v>
      </c>
      <c r="I15" s="1">
        <v>26272.155999999999</v>
      </c>
      <c r="J15" s="1">
        <v>29593.827000000001</v>
      </c>
      <c r="K15" s="1">
        <v>26855.284</v>
      </c>
    </row>
    <row r="16" spans="1:11" x14ac:dyDescent="0.45">
      <c r="A16" s="2">
        <v>4001390040</v>
      </c>
      <c r="B16" s="2" t="s">
        <v>206</v>
      </c>
      <c r="C16" s="2" t="s">
        <v>7</v>
      </c>
      <c r="D16" s="1">
        <v>3413.9639999999999</v>
      </c>
      <c r="E16" s="1">
        <v>4195.7049999999999</v>
      </c>
      <c r="F16" s="1">
        <v>9643.741</v>
      </c>
      <c r="G16" s="1">
        <v>-301.86399999999998</v>
      </c>
      <c r="H16" s="1">
        <v>3242.982</v>
      </c>
      <c r="I16" s="1">
        <v>13973.221</v>
      </c>
      <c r="J16" s="1">
        <v>9600.8510000000006</v>
      </c>
      <c r="K16" s="1">
        <v>5345.3289999999997</v>
      </c>
    </row>
    <row r="17" spans="1:11" x14ac:dyDescent="0.45">
      <c r="A17" s="2">
        <v>4001390060</v>
      </c>
      <c r="B17" s="2" t="s">
        <v>205</v>
      </c>
      <c r="C17" s="2" t="s">
        <v>7</v>
      </c>
      <c r="D17" s="1">
        <v>-24087.659</v>
      </c>
      <c r="E17" s="1">
        <v>-88286.660999999993</v>
      </c>
      <c r="F17" s="1">
        <v>-96512.663</v>
      </c>
      <c r="G17" s="1">
        <v>-9525.5821500000002</v>
      </c>
      <c r="H17" s="1">
        <v>23386.298940000001</v>
      </c>
      <c r="I17" s="1">
        <v>-45200.474869999998</v>
      </c>
      <c r="J17" s="1">
        <v>23055.745330000002</v>
      </c>
      <c r="K17" s="1">
        <v>-2744.1655099999998</v>
      </c>
    </row>
    <row r="18" spans="1:11" x14ac:dyDescent="0.45">
      <c r="A18" s="2">
        <v>4001390070</v>
      </c>
      <c r="B18" s="2" t="s">
        <v>204</v>
      </c>
      <c r="C18" s="2" t="s">
        <v>7</v>
      </c>
      <c r="D18" s="1">
        <v>430.87099999999998</v>
      </c>
      <c r="E18" s="1">
        <v>-98377.209000000003</v>
      </c>
      <c r="F18" s="1">
        <v>-124449.071</v>
      </c>
      <c r="G18" s="1">
        <v>-33628.432999999997</v>
      </c>
      <c r="H18" s="1">
        <v>-1169.1759999999999</v>
      </c>
      <c r="I18" s="1">
        <v>-9498.7739999999994</v>
      </c>
      <c r="J18" s="1">
        <v>16346.585999999999</v>
      </c>
      <c r="K18" s="1">
        <v>-10284.579</v>
      </c>
    </row>
    <row r="19" spans="1:11" x14ac:dyDescent="0.45">
      <c r="A19" s="2">
        <v>4001390110</v>
      </c>
      <c r="B19" s="2" t="s">
        <v>203</v>
      </c>
      <c r="C19" s="2" t="s">
        <v>7</v>
      </c>
      <c r="D19" s="1">
        <v>-24518.53</v>
      </c>
      <c r="E19" s="1">
        <v>10090.548000000001</v>
      </c>
      <c r="F19" s="1">
        <v>27936.407999999999</v>
      </c>
      <c r="G19" s="1">
        <v>24102.850999999999</v>
      </c>
      <c r="H19" s="1">
        <v>24555.473999999998</v>
      </c>
      <c r="I19" s="1">
        <v>-35701.699999999997</v>
      </c>
      <c r="J19" s="1">
        <v>6709.1589999999997</v>
      </c>
      <c r="K19" s="1">
        <v>7540.4139999999998</v>
      </c>
    </row>
    <row r="20" spans="1:11" x14ac:dyDescent="0.45">
      <c r="A20" s="2">
        <v>4001312260</v>
      </c>
      <c r="B20" s="2" t="s">
        <v>202</v>
      </c>
      <c r="C20" s="2" t="s">
        <v>7</v>
      </c>
      <c r="D20" s="1"/>
      <c r="E20" s="1"/>
      <c r="F20" s="1"/>
      <c r="G20" s="1"/>
      <c r="H20" s="1"/>
      <c r="I20" s="1"/>
      <c r="J20" s="1"/>
      <c r="K20" s="1"/>
    </row>
    <row r="21" spans="1:11" x14ac:dyDescent="0.45">
      <c r="A21" s="2">
        <v>4001312270</v>
      </c>
      <c r="B21" s="2" t="s">
        <v>201</v>
      </c>
      <c r="C21" s="2" t="s">
        <v>7</v>
      </c>
      <c r="D21" s="1"/>
      <c r="E21" s="1"/>
      <c r="F21" s="1"/>
      <c r="G21" s="1"/>
      <c r="H21" s="1"/>
      <c r="I21" s="1"/>
      <c r="J21" s="1"/>
      <c r="K21" s="1"/>
    </row>
    <row r="22" spans="1:11" x14ac:dyDescent="0.45">
      <c r="A22" s="2">
        <v>4001312280</v>
      </c>
      <c r="B22" s="2" t="s">
        <v>200</v>
      </c>
      <c r="C22" s="2" t="s">
        <v>7</v>
      </c>
      <c r="D22" s="1">
        <v>108203.38066</v>
      </c>
      <c r="E22" s="1">
        <v>84224.804999999993</v>
      </c>
      <c r="F22" s="1">
        <v>124329.338</v>
      </c>
      <c r="G22" s="1">
        <v>75992.684160000004</v>
      </c>
      <c r="H22" s="1">
        <v>105843.23922</v>
      </c>
      <c r="I22" s="1">
        <v>35505.202619999996</v>
      </c>
      <c r="J22" s="1">
        <v>106366.90747999999</v>
      </c>
      <c r="K22" s="1">
        <v>71762.843160000004</v>
      </c>
    </row>
    <row r="23" spans="1:11" x14ac:dyDescent="0.45">
      <c r="A23" s="2">
        <v>4001312290</v>
      </c>
      <c r="B23" s="2" t="s">
        <v>193</v>
      </c>
      <c r="C23" s="2" t="s">
        <v>7</v>
      </c>
      <c r="D23" s="1">
        <v>1029.94973</v>
      </c>
      <c r="E23" s="1">
        <v>831.31629999999996</v>
      </c>
      <c r="F23" s="1">
        <v>2452.5652599999999</v>
      </c>
      <c r="G23" s="1">
        <v>1757.6823899999999</v>
      </c>
      <c r="H23" s="1">
        <v>2957.2922100000001</v>
      </c>
      <c r="I23" s="1">
        <v>2880.2906699999999</v>
      </c>
      <c r="J23" s="1">
        <v>5712.8178600000001</v>
      </c>
      <c r="K23" s="1">
        <v>3420.94767</v>
      </c>
    </row>
    <row r="24" spans="1:11" x14ac:dyDescent="0.45">
      <c r="A24" s="2">
        <v>4001312300</v>
      </c>
      <c r="B24" s="2" t="s">
        <v>192</v>
      </c>
      <c r="C24" s="2" t="s">
        <v>7</v>
      </c>
      <c r="D24" s="1">
        <v>-563.80537000000004</v>
      </c>
      <c r="E24" s="1">
        <v>-2200.2934599999999</v>
      </c>
      <c r="F24" s="1">
        <v>-5106.5212499999998</v>
      </c>
      <c r="G24" s="1">
        <v>-1604.8695</v>
      </c>
      <c r="H24" s="1">
        <v>-357.87279999999998</v>
      </c>
      <c r="I24" s="1">
        <v>-463.10237999999998</v>
      </c>
      <c r="J24" s="1">
        <v>-283.20454999999998</v>
      </c>
      <c r="K24" s="1">
        <v>-287.57596000000001</v>
      </c>
    </row>
    <row r="25" spans="1:11" x14ac:dyDescent="0.45">
      <c r="A25" s="2">
        <v>4001312310</v>
      </c>
      <c r="B25" s="2" t="s">
        <v>191</v>
      </c>
      <c r="C25" s="2" t="s">
        <v>7</v>
      </c>
      <c r="D25" s="1">
        <v>145.55232000000001</v>
      </c>
      <c r="E25" s="1"/>
      <c r="F25" s="1"/>
      <c r="G25" s="1"/>
      <c r="H25" s="1"/>
      <c r="I25" s="1"/>
      <c r="J25" s="1"/>
      <c r="K25" s="1"/>
    </row>
    <row r="26" spans="1:11" x14ac:dyDescent="0.45">
      <c r="A26" s="2">
        <v>4001312320</v>
      </c>
      <c r="B26" s="2" t="s">
        <v>190</v>
      </c>
      <c r="C26" s="2" t="s">
        <v>7</v>
      </c>
      <c r="D26" s="1"/>
      <c r="E26" s="1"/>
      <c r="F26" s="1"/>
      <c r="G26" s="1"/>
      <c r="H26" s="1"/>
      <c r="I26" s="1"/>
      <c r="J26" s="1"/>
      <c r="K26" s="1"/>
    </row>
    <row r="27" spans="1:11" x14ac:dyDescent="0.45">
      <c r="A27" s="2">
        <v>4001312330</v>
      </c>
      <c r="B27" s="2" t="s">
        <v>189</v>
      </c>
      <c r="C27" s="2" t="s">
        <v>7</v>
      </c>
      <c r="D27" s="1"/>
      <c r="E27" s="1"/>
      <c r="F27" s="1"/>
      <c r="G27" s="1"/>
      <c r="H27" s="1"/>
      <c r="I27" s="1"/>
      <c r="J27" s="1"/>
      <c r="K27" s="1"/>
    </row>
    <row r="28" spans="1:11" x14ac:dyDescent="0.45">
      <c r="A28" s="2">
        <v>4001312340</v>
      </c>
      <c r="B28" s="2" t="s">
        <v>188</v>
      </c>
      <c r="C28" s="2" t="s">
        <v>7</v>
      </c>
      <c r="D28" s="1">
        <v>-40441.626499999998</v>
      </c>
      <c r="E28" s="1">
        <v>-31317.738160000001</v>
      </c>
      <c r="F28" s="1">
        <v>-48817.24295</v>
      </c>
      <c r="G28" s="1">
        <v>-27169.55761</v>
      </c>
      <c r="H28" s="1">
        <v>-27556.019069999998</v>
      </c>
      <c r="I28" s="1">
        <v>-599.81115</v>
      </c>
      <c r="J28" s="1">
        <v>-13619.729499999999</v>
      </c>
      <c r="K28" s="1">
        <v>-17117.806100000002</v>
      </c>
    </row>
    <row r="29" spans="1:11" x14ac:dyDescent="0.45">
      <c r="A29" s="2">
        <v>4001312350</v>
      </c>
      <c r="B29" s="2" t="s">
        <v>187</v>
      </c>
      <c r="C29" s="2" t="s">
        <v>7</v>
      </c>
      <c r="D29" s="1"/>
      <c r="E29" s="1"/>
      <c r="F29" s="1"/>
      <c r="G29" s="1"/>
      <c r="H29" s="1"/>
      <c r="I29" s="1"/>
      <c r="J29" s="1"/>
      <c r="K29" s="1"/>
    </row>
    <row r="30" spans="1:11" x14ac:dyDescent="0.45">
      <c r="A30" s="2">
        <v>4001390160</v>
      </c>
      <c r="B30" s="2" t="s">
        <v>199</v>
      </c>
      <c r="C30" s="2" t="s">
        <v>7</v>
      </c>
      <c r="D30" s="1">
        <v>64767.533660000001</v>
      </c>
      <c r="E30" s="1">
        <v>-13410.14741</v>
      </c>
      <c r="F30" s="1">
        <v>4737.8243599999996</v>
      </c>
      <c r="G30" s="1">
        <v>-129530.39427999999</v>
      </c>
      <c r="H30" s="1">
        <v>-130593.66778</v>
      </c>
      <c r="I30" s="1">
        <v>66259.986009999993</v>
      </c>
      <c r="J30" s="1">
        <v>61238.077530000002</v>
      </c>
      <c r="K30" s="1">
        <v>-83764.121289999995</v>
      </c>
    </row>
    <row r="31" spans="1:11" x14ac:dyDescent="0.45">
      <c r="A31" s="2">
        <v>4001390170</v>
      </c>
      <c r="B31" s="2" t="s">
        <v>198</v>
      </c>
      <c r="C31" s="2" t="s">
        <v>7</v>
      </c>
      <c r="D31" s="1">
        <v>81190.709310000006</v>
      </c>
      <c r="E31" s="1">
        <v>632.21465000000001</v>
      </c>
      <c r="F31" s="1">
        <v>7918.2017299999998</v>
      </c>
      <c r="G31" s="1">
        <v>47.170079999999999</v>
      </c>
      <c r="H31" s="1">
        <v>38.428989999999999</v>
      </c>
      <c r="I31" s="1">
        <v>61.364550000000001</v>
      </c>
      <c r="J31" s="1">
        <v>105000</v>
      </c>
      <c r="K31" s="1">
        <v>17175.437910000001</v>
      </c>
    </row>
    <row r="32" spans="1:11" x14ac:dyDescent="0.45">
      <c r="A32" s="2">
        <v>4001390270</v>
      </c>
      <c r="B32" s="2" t="s">
        <v>197</v>
      </c>
      <c r="C32" s="2" t="s">
        <v>7</v>
      </c>
      <c r="D32" s="1">
        <v>16423.175650000001</v>
      </c>
      <c r="E32" s="1">
        <v>14042.362059999999</v>
      </c>
      <c r="F32" s="1">
        <v>3180.3773700000002</v>
      </c>
      <c r="G32" s="1">
        <v>129577.56436</v>
      </c>
      <c r="H32" s="1">
        <v>130632.09676</v>
      </c>
      <c r="I32" s="1">
        <v>-66198.621450000006</v>
      </c>
      <c r="J32" s="1">
        <v>43761.922469999998</v>
      </c>
      <c r="K32" s="1">
        <v>100939.55919</v>
      </c>
    </row>
    <row r="33" spans="1:11" x14ac:dyDescent="0.45">
      <c r="A33" s="2">
        <v>4001321350</v>
      </c>
      <c r="B33" s="2" t="s">
        <v>193</v>
      </c>
      <c r="C33" s="2" t="s">
        <v>7</v>
      </c>
      <c r="D33" s="1"/>
      <c r="E33" s="1"/>
      <c r="F33" s="1"/>
      <c r="G33" s="1"/>
      <c r="H33" s="1"/>
      <c r="I33" s="1"/>
      <c r="J33" s="1"/>
      <c r="K33" s="1"/>
    </row>
    <row r="34" spans="1:11" x14ac:dyDescent="0.45">
      <c r="A34" s="2">
        <v>4001321360</v>
      </c>
      <c r="B34" s="2" t="s">
        <v>192</v>
      </c>
      <c r="C34" s="2" t="s">
        <v>7</v>
      </c>
      <c r="D34" s="1"/>
      <c r="E34" s="1"/>
      <c r="F34" s="1"/>
      <c r="G34" s="1"/>
      <c r="H34" s="1"/>
      <c r="I34" s="1"/>
      <c r="J34" s="1"/>
      <c r="K34" s="1"/>
    </row>
    <row r="35" spans="1:11" x14ac:dyDescent="0.45">
      <c r="A35" s="2">
        <v>4001321370</v>
      </c>
      <c r="B35" s="2" t="s">
        <v>191</v>
      </c>
      <c r="C35" s="2" t="s">
        <v>7</v>
      </c>
      <c r="D35" s="1"/>
      <c r="E35" s="1"/>
      <c r="F35" s="1"/>
      <c r="G35" s="1"/>
      <c r="H35" s="1"/>
      <c r="I35" s="1"/>
      <c r="J35" s="1"/>
      <c r="K35" s="1"/>
    </row>
    <row r="36" spans="1:11" x14ac:dyDescent="0.45">
      <c r="A36" s="2">
        <v>4001321380</v>
      </c>
      <c r="B36" s="2" t="s">
        <v>190</v>
      </c>
      <c r="C36" s="2" t="s">
        <v>7</v>
      </c>
      <c r="D36" s="1"/>
      <c r="E36" s="1"/>
      <c r="F36" s="1"/>
      <c r="G36" s="1"/>
      <c r="H36" s="1"/>
      <c r="I36" s="1"/>
      <c r="J36" s="1"/>
      <c r="K36" s="1"/>
    </row>
    <row r="37" spans="1:11" x14ac:dyDescent="0.45">
      <c r="A37" s="2">
        <v>4001321390</v>
      </c>
      <c r="B37" s="2" t="s">
        <v>189</v>
      </c>
      <c r="C37" s="2" t="s">
        <v>7</v>
      </c>
      <c r="D37" s="1"/>
      <c r="E37" s="1"/>
      <c r="F37" s="1"/>
      <c r="G37" s="1"/>
      <c r="H37" s="1"/>
      <c r="I37" s="1"/>
      <c r="J37" s="1"/>
      <c r="K37" s="1"/>
    </row>
    <row r="38" spans="1:11" x14ac:dyDescent="0.45">
      <c r="A38" s="2">
        <v>4001321400</v>
      </c>
      <c r="B38" s="2" t="s">
        <v>188</v>
      </c>
      <c r="C38" s="2" t="s">
        <v>7</v>
      </c>
      <c r="D38" s="1"/>
      <c r="E38" s="1"/>
      <c r="F38" s="1"/>
      <c r="G38" s="1"/>
      <c r="H38" s="1"/>
      <c r="I38" s="1"/>
      <c r="J38" s="1"/>
      <c r="K38" s="1"/>
    </row>
    <row r="39" spans="1:11" x14ac:dyDescent="0.45">
      <c r="A39" s="2">
        <v>4001321410</v>
      </c>
      <c r="B39" s="2" t="s">
        <v>187</v>
      </c>
      <c r="C39" s="2" t="s">
        <v>7</v>
      </c>
      <c r="D39" s="1"/>
      <c r="E39" s="1"/>
      <c r="F39" s="1"/>
      <c r="G39" s="1"/>
      <c r="H39" s="1"/>
      <c r="I39" s="1"/>
      <c r="J39" s="1"/>
      <c r="K39" s="1"/>
    </row>
    <row r="40" spans="1:11" x14ac:dyDescent="0.45">
      <c r="A40" s="2">
        <v>4001390370</v>
      </c>
      <c r="B40" s="2" t="s">
        <v>196</v>
      </c>
      <c r="C40" s="2" t="s">
        <v>7</v>
      </c>
      <c r="D40" s="1">
        <v>-141539.00406000001</v>
      </c>
      <c r="E40" s="1">
        <v>-60582.163209999999</v>
      </c>
      <c r="F40" s="1">
        <v>-43910.643320000003</v>
      </c>
      <c r="G40" s="1">
        <v>222645.96724999999</v>
      </c>
      <c r="H40" s="1">
        <v>-47600.29434</v>
      </c>
      <c r="I40" s="1">
        <v>-29541.571090000001</v>
      </c>
      <c r="J40" s="1">
        <v>-2004.3082999999999</v>
      </c>
      <c r="K40" s="1">
        <v>-151633.73477000001</v>
      </c>
    </row>
    <row r="41" spans="1:11" x14ac:dyDescent="0.45">
      <c r="A41" s="2">
        <v>4001390380</v>
      </c>
      <c r="B41" s="2" t="s">
        <v>195</v>
      </c>
      <c r="C41" s="2" t="s">
        <v>7</v>
      </c>
      <c r="D41" s="1">
        <v>81199.12</v>
      </c>
      <c r="E41" s="1">
        <v>42379.25</v>
      </c>
      <c r="F41" s="1">
        <v>175222.59307</v>
      </c>
      <c r="G41" s="1">
        <v>372151.23064000002</v>
      </c>
      <c r="H41" s="1">
        <v>40000</v>
      </c>
      <c r="I41" s="1">
        <v>19233.295989999999</v>
      </c>
      <c r="J41" s="1"/>
      <c r="K41" s="1">
        <v>5568.9660000000003</v>
      </c>
    </row>
    <row r="42" spans="1:11" x14ac:dyDescent="0.45">
      <c r="A42" s="2">
        <v>4001390470</v>
      </c>
      <c r="B42" s="2" t="s">
        <v>194</v>
      </c>
      <c r="C42" s="2" t="s">
        <v>7</v>
      </c>
      <c r="D42" s="1">
        <v>32738.124059999998</v>
      </c>
      <c r="E42" s="1">
        <v>22961.413209999999</v>
      </c>
      <c r="F42" s="1">
        <v>129133.23639000001</v>
      </c>
      <c r="G42" s="1">
        <v>69505.263380000004</v>
      </c>
      <c r="H42" s="1">
        <v>67597.794349999996</v>
      </c>
      <c r="I42" s="1">
        <v>48774.867080000004</v>
      </c>
      <c r="J42" s="1">
        <v>2004.3082999999999</v>
      </c>
      <c r="K42" s="1">
        <v>4783.3867700000001</v>
      </c>
    </row>
    <row r="43" spans="1:11" x14ac:dyDescent="0.45">
      <c r="A43" s="2">
        <v>4001330680</v>
      </c>
      <c r="B43" s="2" t="s">
        <v>193</v>
      </c>
      <c r="C43" s="2" t="s">
        <v>7</v>
      </c>
      <c r="D43" s="1"/>
      <c r="E43" s="1"/>
      <c r="F43" s="1"/>
      <c r="G43" s="1"/>
      <c r="H43" s="1"/>
      <c r="I43" s="1"/>
      <c r="J43" s="1"/>
      <c r="K43" s="1"/>
    </row>
    <row r="44" spans="1:11" x14ac:dyDescent="0.45">
      <c r="A44" s="2">
        <v>4001330690</v>
      </c>
      <c r="B44" s="2" t="s">
        <v>192</v>
      </c>
      <c r="C44" s="2" t="s">
        <v>7</v>
      </c>
      <c r="D44" s="1"/>
      <c r="E44" s="1"/>
      <c r="F44" s="1"/>
      <c r="G44" s="1"/>
      <c r="H44" s="1"/>
      <c r="I44" s="1"/>
      <c r="J44" s="1"/>
      <c r="K44" s="1"/>
    </row>
    <row r="45" spans="1:11" x14ac:dyDescent="0.45">
      <c r="A45" s="2">
        <v>4001330700</v>
      </c>
      <c r="B45" s="2" t="s">
        <v>191</v>
      </c>
      <c r="C45" s="2" t="s">
        <v>7</v>
      </c>
      <c r="D45" s="1"/>
      <c r="E45" s="1"/>
      <c r="F45" s="1"/>
      <c r="G45" s="1"/>
      <c r="H45" s="1"/>
      <c r="I45" s="1"/>
      <c r="J45" s="1"/>
      <c r="K45" s="1"/>
    </row>
    <row r="46" spans="1:11" x14ac:dyDescent="0.45">
      <c r="A46" s="2">
        <v>4001330710</v>
      </c>
      <c r="B46" s="2" t="s">
        <v>190</v>
      </c>
      <c r="C46" s="2" t="s">
        <v>7</v>
      </c>
      <c r="D46" s="1">
        <v>-190000</v>
      </c>
      <c r="E46" s="1">
        <v>-80000</v>
      </c>
      <c r="F46" s="1">
        <v>-90000</v>
      </c>
      <c r="G46" s="1">
        <v>-80000</v>
      </c>
      <c r="H46" s="1">
        <v>-20002.5</v>
      </c>
      <c r="I46" s="1"/>
      <c r="J46" s="1"/>
      <c r="K46" s="1">
        <v>-152419.31400000001</v>
      </c>
    </row>
    <row r="47" spans="1:11" x14ac:dyDescent="0.45">
      <c r="A47" s="2">
        <v>4001330720</v>
      </c>
      <c r="B47" s="2" t="s">
        <v>189</v>
      </c>
      <c r="C47" s="2" t="s">
        <v>7</v>
      </c>
      <c r="D47" s="1"/>
      <c r="E47" s="1"/>
      <c r="F47" s="1"/>
      <c r="G47" s="1"/>
      <c r="H47" s="1"/>
      <c r="I47" s="1"/>
      <c r="J47" s="1"/>
      <c r="K47" s="1"/>
    </row>
    <row r="48" spans="1:11" x14ac:dyDescent="0.45">
      <c r="A48" s="2">
        <v>4001330730</v>
      </c>
      <c r="B48" s="2" t="s">
        <v>188</v>
      </c>
      <c r="C48" s="2" t="s">
        <v>7</v>
      </c>
      <c r="D48" s="1"/>
      <c r="E48" s="1"/>
      <c r="F48" s="1"/>
      <c r="G48" s="1"/>
      <c r="H48" s="1"/>
      <c r="I48" s="1"/>
      <c r="J48" s="1"/>
      <c r="K48" s="1"/>
    </row>
    <row r="49" spans="1:11" x14ac:dyDescent="0.45">
      <c r="A49" s="2">
        <v>4001330740</v>
      </c>
      <c r="B49" s="2" t="s">
        <v>187</v>
      </c>
      <c r="C49" s="2" t="s">
        <v>7</v>
      </c>
      <c r="D49" s="1"/>
      <c r="E49" s="1"/>
      <c r="F49" s="1"/>
      <c r="G49" s="1"/>
      <c r="H49" s="1"/>
      <c r="I49" s="1"/>
      <c r="J49" s="1"/>
      <c r="K49" s="1"/>
    </row>
    <row r="50" spans="1:11" x14ac:dyDescent="0.45">
      <c r="A50" s="2">
        <v>4001340000</v>
      </c>
      <c r="B50" s="2" t="s">
        <v>186</v>
      </c>
      <c r="C50" s="2" t="s">
        <v>7</v>
      </c>
      <c r="D50" s="1"/>
      <c r="E50" s="1"/>
      <c r="F50" s="1"/>
      <c r="G50" s="1"/>
      <c r="H50" s="1"/>
      <c r="I50" s="1"/>
      <c r="J50" s="1"/>
      <c r="K50" s="1"/>
    </row>
    <row r="51" spans="1:11" x14ac:dyDescent="0.45">
      <c r="A51" s="2">
        <v>4001340010</v>
      </c>
      <c r="B51" s="2" t="s">
        <v>185</v>
      </c>
      <c r="C51" s="2" t="s">
        <v>7</v>
      </c>
      <c r="D51" s="1"/>
      <c r="E51" s="1"/>
      <c r="F51" s="1"/>
      <c r="G51" s="1"/>
      <c r="H51" s="1"/>
      <c r="I51" s="1"/>
      <c r="J51" s="1"/>
      <c r="K51" s="1"/>
    </row>
    <row r="52" spans="1:11" x14ac:dyDescent="0.45">
      <c r="A52" s="2">
        <v>4001340020</v>
      </c>
      <c r="B52" s="2" t="s">
        <v>184</v>
      </c>
      <c r="C52" s="2" t="s">
        <v>7</v>
      </c>
      <c r="D52" s="1">
        <v>675.49593000000004</v>
      </c>
      <c r="E52" s="1">
        <v>17.022819999999999</v>
      </c>
      <c r="F52" s="1">
        <v>-1524.77568</v>
      </c>
      <c r="G52" s="1">
        <v>948.74135999999999</v>
      </c>
      <c r="H52" s="1">
        <v>-1416.03817</v>
      </c>
      <c r="I52" s="1">
        <v>2419.5331900000001</v>
      </c>
      <c r="J52" s="1">
        <v>-106.85818999999999</v>
      </c>
      <c r="K52" s="1">
        <v>-2372.42076</v>
      </c>
    </row>
    <row r="53" spans="1:11" x14ac:dyDescent="0.45">
      <c r="A53" s="2">
        <v>4001340030</v>
      </c>
      <c r="B53" s="2" t="s">
        <v>183</v>
      </c>
      <c r="C53" s="2" t="s">
        <v>7</v>
      </c>
      <c r="D53" s="1">
        <v>-7722.5240800000001</v>
      </c>
      <c r="E53" s="1">
        <v>-22437.198950000002</v>
      </c>
      <c r="F53" s="1">
        <v>32160.545279999998</v>
      </c>
      <c r="G53" s="1">
        <v>143040.25573</v>
      </c>
      <c r="H53" s="1">
        <v>-98723.361279999997</v>
      </c>
      <c r="I53" s="1">
        <v>76460.531000000003</v>
      </c>
      <c r="J53" s="1">
        <v>157303.70224000001</v>
      </c>
      <c r="K53" s="1">
        <v>-179991.86807999999</v>
      </c>
    </row>
    <row r="54" spans="1:11" x14ac:dyDescent="0.45">
      <c r="A54" s="2">
        <v>4001340040</v>
      </c>
      <c r="B54" s="2" t="s">
        <v>182</v>
      </c>
      <c r="C54" s="2" t="s">
        <v>7</v>
      </c>
      <c r="D54" s="1">
        <v>93711.19915</v>
      </c>
      <c r="E54" s="1">
        <v>85988.675059999994</v>
      </c>
      <c r="F54" s="1">
        <v>63551.476110000003</v>
      </c>
      <c r="G54" s="1">
        <v>177688.64713</v>
      </c>
      <c r="H54" s="1">
        <v>320728.90285999997</v>
      </c>
      <c r="I54" s="1">
        <v>222005.54157999999</v>
      </c>
      <c r="J54" s="1">
        <v>298466.07259</v>
      </c>
      <c r="K54" s="1">
        <v>455769.77483000001</v>
      </c>
    </row>
    <row r="55" spans="1:11" x14ac:dyDescent="0.45">
      <c r="A55" s="2">
        <v>4001340050</v>
      </c>
      <c r="B55" s="2" t="s">
        <v>181</v>
      </c>
      <c r="C55" s="2" t="s">
        <v>7</v>
      </c>
      <c r="D55" s="1">
        <v>85988.675059999994</v>
      </c>
      <c r="E55" s="1">
        <v>63551.476110000003</v>
      </c>
      <c r="F55" s="1">
        <v>95712.021389999994</v>
      </c>
      <c r="G55" s="1">
        <v>320728.90285999997</v>
      </c>
      <c r="H55" s="1">
        <v>222005.54157999999</v>
      </c>
      <c r="I55" s="1">
        <v>298466.07259</v>
      </c>
      <c r="J55" s="1">
        <v>455769.77483000001</v>
      </c>
      <c r="K55" s="1">
        <v>275777.90675000002</v>
      </c>
    </row>
    <row r="56" spans="1:11" x14ac:dyDescent="0.45">
      <c r="A56" s="16"/>
      <c r="B56" s="16"/>
      <c r="C56" s="16"/>
      <c r="D56" s="1"/>
      <c r="E56" s="1"/>
      <c r="F56" s="1"/>
      <c r="G56" s="1"/>
      <c r="H56" s="1"/>
      <c r="I56" s="1"/>
      <c r="J56" s="1"/>
      <c r="K56" s="1"/>
    </row>
    <row r="57" spans="1:11" x14ac:dyDescent="0.45">
      <c r="A57" s="16"/>
      <c r="B57" s="16"/>
      <c r="C57" s="16"/>
      <c r="D57" s="1"/>
      <c r="E57" s="1"/>
      <c r="F57" s="1"/>
      <c r="G57" s="1"/>
      <c r="H57" s="1"/>
      <c r="I57" s="1"/>
      <c r="J57" s="1"/>
      <c r="K57" s="1"/>
    </row>
    <row r="58" spans="1:11" x14ac:dyDescent="0.45">
      <c r="A58" s="16"/>
      <c r="B58" s="16"/>
      <c r="C58" s="16"/>
      <c r="D58" s="1"/>
      <c r="E58" s="1"/>
      <c r="F58" s="1"/>
      <c r="G58" s="1"/>
      <c r="H58" s="1"/>
      <c r="I58" s="1"/>
      <c r="J58" s="1"/>
      <c r="K58" s="1"/>
    </row>
    <row r="59" spans="1:11" x14ac:dyDescent="0.45">
      <c r="A59" s="16"/>
      <c r="B59" s="16"/>
      <c r="C59" s="16"/>
      <c r="D59" s="1"/>
      <c r="E59" s="1"/>
      <c r="F59" s="1"/>
      <c r="G59" s="1"/>
      <c r="H59" s="1"/>
      <c r="I59" s="1"/>
      <c r="J59" s="1"/>
      <c r="K59" s="1"/>
    </row>
    <row r="60" spans="1:11" x14ac:dyDescent="0.45">
      <c r="A60" s="16"/>
      <c r="B60" s="16"/>
      <c r="C60" s="16"/>
      <c r="D60" s="1"/>
      <c r="E60" s="1"/>
      <c r="F60" s="1"/>
      <c r="G60" s="1"/>
      <c r="H60" s="1"/>
      <c r="I60" s="1"/>
      <c r="J60" s="1"/>
      <c r="K60" s="1"/>
    </row>
    <row r="61" spans="1:11" x14ac:dyDescent="0.45">
      <c r="A61" s="16"/>
      <c r="B61" s="16"/>
      <c r="C61" s="16"/>
      <c r="D61" s="1"/>
      <c r="E61" s="1"/>
      <c r="F61" s="1"/>
      <c r="G61" s="1"/>
      <c r="H61" s="1"/>
      <c r="I61" s="1"/>
      <c r="J61" s="1"/>
      <c r="K61" s="1"/>
    </row>
    <row r="62" spans="1:11" x14ac:dyDescent="0.45">
      <c r="A62" s="16"/>
      <c r="B62" s="16"/>
      <c r="C62" s="16"/>
      <c r="D62" s="1"/>
      <c r="E62" s="1"/>
      <c r="F62" s="1"/>
      <c r="G62" s="1"/>
      <c r="H62" s="1"/>
      <c r="I62" s="1"/>
      <c r="J62" s="1"/>
      <c r="K62" s="1"/>
    </row>
    <row r="63" spans="1:11" x14ac:dyDescent="0.45">
      <c r="A63" s="16"/>
      <c r="B63" s="16"/>
      <c r="C63" s="16"/>
      <c r="D63" s="1"/>
      <c r="E63" s="1"/>
      <c r="F63" s="1"/>
      <c r="G63" s="1"/>
      <c r="H63" s="1"/>
      <c r="I63" s="1"/>
      <c r="J63" s="1"/>
      <c r="K63" s="1"/>
    </row>
    <row r="64" spans="1:11" x14ac:dyDescent="0.45">
      <c r="A64" s="16"/>
      <c r="B64" s="16"/>
      <c r="C64" s="16"/>
      <c r="D64" s="1"/>
      <c r="E64" s="1"/>
      <c r="F64" s="1"/>
      <c r="G64" s="1"/>
      <c r="H64" s="1"/>
      <c r="I64" s="1"/>
      <c r="J64" s="1"/>
      <c r="K64" s="1"/>
    </row>
    <row r="65" spans="1:11" x14ac:dyDescent="0.45">
      <c r="A65" s="16"/>
      <c r="B65" s="16"/>
      <c r="C65" s="16"/>
      <c r="D65" s="1"/>
      <c r="E65" s="1"/>
      <c r="F65" s="1"/>
      <c r="G65" s="1"/>
      <c r="H65" s="1"/>
      <c r="I65" s="1"/>
      <c r="J65" s="1"/>
      <c r="K65" s="1"/>
    </row>
    <row r="66" spans="1:11" x14ac:dyDescent="0.45">
      <c r="A66" s="16"/>
      <c r="B66" s="16"/>
      <c r="C66" s="16"/>
      <c r="D66" s="1"/>
      <c r="E66" s="1"/>
      <c r="F66" s="1"/>
      <c r="G66" s="1"/>
      <c r="H66" s="1"/>
      <c r="I66" s="1"/>
      <c r="J66" s="1"/>
      <c r="K66" s="1"/>
    </row>
    <row r="67" spans="1:11" x14ac:dyDescent="0.45">
      <c r="A67" s="16"/>
      <c r="B67" s="16"/>
      <c r="C67" s="16"/>
      <c r="D67" s="1"/>
      <c r="E67" s="1"/>
      <c r="F67" s="1"/>
      <c r="G67" s="1"/>
      <c r="H67" s="1"/>
      <c r="I67" s="1"/>
      <c r="J67" s="1"/>
      <c r="K67" s="1"/>
    </row>
    <row r="68" spans="1:11" x14ac:dyDescent="0.45">
      <c r="A68" s="16"/>
      <c r="B68" s="16"/>
      <c r="C68" s="16"/>
      <c r="D68" s="1"/>
      <c r="E68" s="1"/>
      <c r="F68" s="1"/>
      <c r="G68" s="1"/>
      <c r="H68" s="1"/>
      <c r="I68" s="1"/>
      <c r="J68" s="1"/>
      <c r="K68" s="1"/>
    </row>
    <row r="69" spans="1:11" x14ac:dyDescent="0.45">
      <c r="A69" s="16"/>
      <c r="B69" s="16"/>
      <c r="C69" s="16"/>
      <c r="D69" s="1"/>
      <c r="E69" s="1"/>
      <c r="F69" s="1"/>
      <c r="G69" s="1"/>
      <c r="H69" s="1"/>
      <c r="I69" s="1"/>
      <c r="J69" s="1"/>
      <c r="K69" s="1"/>
    </row>
    <row r="70" spans="1:11" x14ac:dyDescent="0.45">
      <c r="A70" s="16"/>
      <c r="B70" s="16"/>
      <c r="C70" s="16"/>
      <c r="D70" s="1"/>
      <c r="E70" s="1"/>
      <c r="F70" s="1"/>
      <c r="G70" s="1"/>
      <c r="H70" s="1"/>
      <c r="I70" s="1"/>
      <c r="J70" s="1"/>
      <c r="K70" s="1"/>
    </row>
    <row r="71" spans="1:11" x14ac:dyDescent="0.45">
      <c r="A71" s="16"/>
      <c r="B71" s="16"/>
      <c r="C71" s="16"/>
      <c r="D71" s="1"/>
      <c r="E71" s="1"/>
      <c r="F71" s="1"/>
      <c r="G71" s="1"/>
      <c r="H71" s="1"/>
      <c r="I71" s="1"/>
      <c r="J71" s="1"/>
      <c r="K71" s="1"/>
    </row>
    <row r="72" spans="1:11" x14ac:dyDescent="0.45">
      <c r="A72" s="16"/>
      <c r="B72" s="16"/>
      <c r="C72" s="16"/>
      <c r="D72" s="1"/>
      <c r="E72" s="1"/>
      <c r="F72" s="1"/>
      <c r="G72" s="1"/>
      <c r="H72" s="1"/>
      <c r="I72" s="1"/>
      <c r="J72" s="1"/>
      <c r="K72" s="1"/>
    </row>
    <row r="73" spans="1:11" x14ac:dyDescent="0.45">
      <c r="A73" s="16"/>
      <c r="B73" s="16"/>
      <c r="C73" s="16"/>
      <c r="D73" s="1"/>
      <c r="E73" s="1"/>
      <c r="F73" s="1"/>
      <c r="G73" s="1"/>
      <c r="H73" s="1"/>
      <c r="I73" s="1"/>
      <c r="J73" s="1"/>
      <c r="K73" s="1"/>
    </row>
    <row r="74" spans="1:11" x14ac:dyDescent="0.45">
      <c r="A74" s="16"/>
      <c r="B74" s="16"/>
      <c r="C74" s="16"/>
      <c r="D74" s="1"/>
      <c r="E74" s="1"/>
      <c r="F74" s="1"/>
      <c r="G74" s="1"/>
      <c r="H74" s="1"/>
      <c r="I74" s="1"/>
      <c r="J74" s="1"/>
      <c r="K74" s="1"/>
    </row>
    <row r="75" spans="1:11" x14ac:dyDescent="0.45">
      <c r="A75" s="16"/>
      <c r="B75" s="16"/>
      <c r="C75" s="16"/>
      <c r="D75" s="1"/>
      <c r="E75" s="1"/>
      <c r="F75" s="1"/>
      <c r="G75" s="1"/>
      <c r="H75" s="1"/>
      <c r="I75" s="1"/>
      <c r="J75" s="1"/>
      <c r="K75" s="1"/>
    </row>
    <row r="76" spans="1:11" x14ac:dyDescent="0.45">
      <c r="A76" s="16"/>
      <c r="B76" s="16"/>
      <c r="C76" s="16"/>
      <c r="D76" s="1"/>
      <c r="E76" s="1"/>
      <c r="F76" s="1"/>
      <c r="G76" s="1"/>
      <c r="H76" s="1"/>
      <c r="I76" s="1"/>
      <c r="J76" s="1"/>
      <c r="K76" s="1"/>
    </row>
    <row r="77" spans="1:11" x14ac:dyDescent="0.45">
      <c r="A77" s="16"/>
      <c r="B77" s="16"/>
      <c r="C77" s="16"/>
      <c r="D77" s="1"/>
      <c r="E77" s="1"/>
      <c r="F77" s="1"/>
      <c r="G77" s="1"/>
      <c r="H77" s="1"/>
      <c r="I77" s="1"/>
      <c r="J77" s="1"/>
      <c r="K77" s="1"/>
    </row>
    <row r="78" spans="1:11" x14ac:dyDescent="0.45">
      <c r="A78" s="16"/>
      <c r="B78" s="16"/>
      <c r="C78" s="16"/>
      <c r="D78" s="1"/>
      <c r="E78" s="1"/>
      <c r="F78" s="1"/>
      <c r="G78" s="1"/>
      <c r="H78" s="1"/>
      <c r="I78" s="1"/>
      <c r="J78" s="1"/>
      <c r="K78" s="1"/>
    </row>
    <row r="79" spans="1:11" x14ac:dyDescent="0.45">
      <c r="A79" s="16"/>
      <c r="B79" s="16"/>
      <c r="C79" s="16"/>
      <c r="D79" s="1"/>
      <c r="E79" s="1"/>
      <c r="F79" s="1"/>
      <c r="G79" s="1"/>
      <c r="H79" s="1"/>
      <c r="I79" s="1"/>
      <c r="J79" s="1"/>
      <c r="K79" s="1"/>
    </row>
    <row r="80" spans="1:11" x14ac:dyDescent="0.45">
      <c r="A80" s="16"/>
      <c r="B80" s="16"/>
      <c r="C80" s="16"/>
      <c r="D80" s="1"/>
      <c r="E80" s="1"/>
      <c r="F80" s="1"/>
      <c r="G80" s="1"/>
      <c r="H80" s="1"/>
      <c r="I80" s="1"/>
      <c r="J80" s="1"/>
      <c r="K80" s="1"/>
    </row>
    <row r="81" spans="1:11" x14ac:dyDescent="0.45">
      <c r="A81" s="16"/>
      <c r="B81" s="16"/>
      <c r="C81" s="16"/>
      <c r="D81" s="1"/>
      <c r="E81" s="1"/>
      <c r="F81" s="1"/>
      <c r="G81" s="1"/>
      <c r="H81" s="1"/>
      <c r="I81" s="1"/>
      <c r="J81" s="1"/>
      <c r="K81" s="1"/>
    </row>
    <row r="82" spans="1:11" x14ac:dyDescent="0.45">
      <c r="A82" s="16"/>
      <c r="B82" s="16"/>
      <c r="C82" s="16"/>
      <c r="D82" s="1"/>
      <c r="E82" s="1"/>
      <c r="F82" s="1"/>
      <c r="G82" s="1"/>
      <c r="H82" s="1"/>
      <c r="I82" s="1"/>
      <c r="J82" s="1"/>
      <c r="K82" s="1"/>
    </row>
    <row r="83" spans="1:11" x14ac:dyDescent="0.45">
      <c r="A83" s="16"/>
      <c r="B83" s="16"/>
      <c r="C83" s="16"/>
      <c r="D83" s="1"/>
      <c r="E83" s="1"/>
      <c r="F83" s="1"/>
      <c r="G83" s="1"/>
      <c r="H83" s="1"/>
      <c r="I83" s="1"/>
      <c r="J83" s="1"/>
      <c r="K83" s="1"/>
    </row>
    <row r="84" spans="1:11" x14ac:dyDescent="0.45">
      <c r="A84" s="16"/>
      <c r="B84" s="16"/>
      <c r="C84" s="16"/>
      <c r="D84" s="1"/>
      <c r="E84" s="1"/>
      <c r="F84" s="1"/>
      <c r="G84" s="1"/>
      <c r="H84" s="1"/>
      <c r="I84" s="1"/>
      <c r="J84" s="1"/>
      <c r="K84" s="1"/>
    </row>
    <row r="85" spans="1:11" x14ac:dyDescent="0.45">
      <c r="A85" s="16"/>
      <c r="B85" s="16"/>
      <c r="C85" s="16"/>
      <c r="D85" s="1"/>
      <c r="E85" s="1"/>
      <c r="F85" s="1"/>
      <c r="G85" s="1"/>
      <c r="H85" s="1"/>
      <c r="I85" s="1"/>
      <c r="J85" s="1"/>
      <c r="K85" s="1"/>
    </row>
    <row r="86" spans="1:11" x14ac:dyDescent="0.45">
      <c r="A86" s="16"/>
      <c r="B86" s="16"/>
      <c r="C86" s="16"/>
      <c r="D86" s="1"/>
      <c r="E86" s="1"/>
      <c r="F86" s="1"/>
      <c r="G86" s="1"/>
      <c r="H86" s="1"/>
      <c r="I86" s="1"/>
      <c r="J86" s="1"/>
      <c r="K86" s="1"/>
    </row>
    <row r="87" spans="1:11" x14ac:dyDescent="0.45">
      <c r="A87" s="16"/>
      <c r="B87" s="16"/>
      <c r="C87" s="16"/>
      <c r="D87" s="1"/>
      <c r="E87" s="1"/>
      <c r="F87" s="1"/>
      <c r="G87" s="1"/>
      <c r="H87" s="1"/>
      <c r="I87" s="1"/>
      <c r="J87" s="1"/>
      <c r="K87" s="1"/>
    </row>
    <row r="88" spans="1:11" x14ac:dyDescent="0.45">
      <c r="A88" s="16"/>
      <c r="B88" s="16"/>
      <c r="C88" s="16"/>
      <c r="D88" s="1"/>
      <c r="E88" s="1"/>
      <c r="F88" s="1"/>
      <c r="G88" s="1"/>
      <c r="H88" s="1"/>
      <c r="I88" s="1"/>
      <c r="J88" s="1"/>
      <c r="K88" s="1"/>
    </row>
    <row r="89" spans="1:11" x14ac:dyDescent="0.45">
      <c r="A89" s="16"/>
      <c r="B89" s="16"/>
      <c r="C89" s="16"/>
      <c r="D89" s="1"/>
      <c r="E89" s="1"/>
      <c r="F89" s="1"/>
      <c r="G89" s="1"/>
      <c r="H89" s="1"/>
      <c r="I89" s="1"/>
      <c r="J89" s="1"/>
      <c r="K89" s="1"/>
    </row>
    <row r="90" spans="1:11" x14ac:dyDescent="0.45">
      <c r="A90" s="16"/>
      <c r="B90" s="16"/>
      <c r="C90" s="16"/>
      <c r="D90" s="1"/>
      <c r="E90" s="1"/>
      <c r="F90" s="1"/>
      <c r="G90" s="1"/>
      <c r="H90" s="1"/>
      <c r="I90" s="1"/>
      <c r="J90" s="1"/>
      <c r="K90" s="1"/>
    </row>
    <row r="91" spans="1:11" x14ac:dyDescent="0.45">
      <c r="A91" s="16"/>
      <c r="B91" s="16"/>
      <c r="C91" s="16"/>
      <c r="D91" s="1"/>
      <c r="E91" s="1"/>
      <c r="F91" s="1"/>
      <c r="G91" s="1"/>
      <c r="H91" s="1"/>
      <c r="I91" s="1"/>
      <c r="J91" s="1"/>
      <c r="K91" s="1"/>
    </row>
    <row r="92" spans="1:11" x14ac:dyDescent="0.45">
      <c r="A92" s="16"/>
      <c r="B92" s="16"/>
      <c r="C92" s="16"/>
      <c r="D92" s="1"/>
      <c r="E92" s="1"/>
      <c r="F92" s="1"/>
      <c r="G92" s="1"/>
      <c r="H92" s="1"/>
      <c r="I92" s="1"/>
      <c r="J92" s="1"/>
      <c r="K92" s="1"/>
    </row>
    <row r="93" spans="1:11" x14ac:dyDescent="0.45">
      <c r="A93" s="16"/>
      <c r="B93" s="16"/>
      <c r="C93" s="16"/>
      <c r="D93" s="1"/>
      <c r="E93" s="1"/>
      <c r="F93" s="1"/>
      <c r="G93" s="1"/>
      <c r="H93" s="1"/>
      <c r="I93" s="1"/>
      <c r="J93" s="1"/>
      <c r="K93" s="1"/>
    </row>
    <row r="94" spans="1:11" x14ac:dyDescent="0.45">
      <c r="A94" s="16"/>
      <c r="B94" s="16"/>
      <c r="C94" s="16"/>
      <c r="D94" s="1"/>
      <c r="E94" s="1"/>
      <c r="F94" s="1"/>
      <c r="G94" s="1"/>
      <c r="H94" s="1"/>
      <c r="I94" s="1"/>
      <c r="J94" s="1"/>
      <c r="K94" s="1"/>
    </row>
    <row r="95" spans="1:11" x14ac:dyDescent="0.45">
      <c r="A95" s="16"/>
      <c r="B95" s="16"/>
      <c r="C95" s="16"/>
      <c r="D95" s="1"/>
      <c r="E95" s="1"/>
      <c r="F95" s="1"/>
      <c r="G95" s="1"/>
      <c r="H95" s="1"/>
      <c r="I95" s="1"/>
      <c r="J95" s="1"/>
      <c r="K95" s="1"/>
    </row>
    <row r="96" spans="1:11" x14ac:dyDescent="0.45">
      <c r="A96" s="16"/>
      <c r="B96" s="16"/>
      <c r="C96" s="16"/>
      <c r="D96" s="1"/>
      <c r="E96" s="1"/>
      <c r="F96" s="1"/>
      <c r="G96" s="1"/>
      <c r="H96" s="1"/>
      <c r="I96" s="1"/>
      <c r="J96" s="1"/>
      <c r="K96" s="1"/>
    </row>
    <row r="97" spans="1:11" x14ac:dyDescent="0.45">
      <c r="A97" s="16"/>
      <c r="B97" s="16"/>
      <c r="C97" s="16"/>
      <c r="D97" s="1"/>
      <c r="E97" s="1"/>
      <c r="F97" s="1"/>
      <c r="G97" s="1"/>
      <c r="H97" s="1"/>
      <c r="I97" s="1"/>
      <c r="J97" s="1"/>
      <c r="K97" s="1"/>
    </row>
    <row r="98" spans="1:11" x14ac:dyDescent="0.45">
      <c r="A98" s="16"/>
      <c r="B98" s="16"/>
      <c r="C98" s="16"/>
      <c r="D98" s="1"/>
      <c r="E98" s="1"/>
      <c r="F98" s="1"/>
      <c r="G98" s="1"/>
      <c r="H98" s="1"/>
      <c r="I98" s="1"/>
      <c r="J98" s="1"/>
      <c r="K98" s="1"/>
    </row>
    <row r="99" spans="1:11" x14ac:dyDescent="0.45">
      <c r="A99" s="16"/>
      <c r="B99" s="16"/>
      <c r="C99" s="16"/>
      <c r="D99" s="1"/>
      <c r="E99" s="1"/>
      <c r="F99" s="1"/>
      <c r="G99" s="1"/>
      <c r="H99" s="1"/>
      <c r="I99" s="1"/>
      <c r="J99" s="1"/>
      <c r="K99" s="1"/>
    </row>
    <row r="100" spans="1:11" x14ac:dyDescent="0.45">
      <c r="A100" s="16"/>
      <c r="B100" s="16"/>
      <c r="C100" s="16"/>
      <c r="D100" s="1"/>
      <c r="E100" s="1"/>
      <c r="F100" s="1"/>
      <c r="G100" s="1"/>
      <c r="H100" s="1"/>
      <c r="I100" s="1"/>
      <c r="J100" s="1"/>
      <c r="K100" s="1"/>
    </row>
    <row r="101" spans="1:11" x14ac:dyDescent="0.45">
      <c r="A101" s="16"/>
      <c r="B101" s="16"/>
      <c r="C101" s="16"/>
      <c r="D101" s="1"/>
      <c r="E101" s="1"/>
      <c r="F101" s="1"/>
      <c r="G101" s="1"/>
      <c r="H101" s="1"/>
      <c r="I101" s="1"/>
      <c r="J101" s="1"/>
      <c r="K101" s="1"/>
    </row>
    <row r="102" spans="1:11" x14ac:dyDescent="0.45">
      <c r="A102" s="16"/>
      <c r="B102" s="16"/>
      <c r="C102" s="16"/>
      <c r="D102" s="1"/>
      <c r="E102" s="1"/>
      <c r="F102" s="1"/>
      <c r="G102" s="1"/>
      <c r="H102" s="1"/>
      <c r="I102" s="1"/>
      <c r="J102" s="1"/>
      <c r="K102" s="1"/>
    </row>
    <row r="103" spans="1:11" x14ac:dyDescent="0.45">
      <c r="A103" s="16"/>
      <c r="B103" s="16"/>
      <c r="C103" s="16"/>
      <c r="D103" s="1"/>
      <c r="E103" s="1"/>
      <c r="F103" s="1"/>
      <c r="G103" s="1"/>
      <c r="H103" s="1"/>
      <c r="I103" s="1"/>
      <c r="J103" s="1"/>
      <c r="K103" s="1"/>
    </row>
    <row r="104" spans="1:11" x14ac:dyDescent="0.45">
      <c r="A104" s="16"/>
      <c r="B104" s="16"/>
      <c r="C104" s="16"/>
      <c r="D104" s="1"/>
      <c r="E104" s="1"/>
      <c r="F104" s="1"/>
      <c r="G104" s="1"/>
      <c r="H104" s="1"/>
      <c r="I104" s="1"/>
      <c r="J104" s="1"/>
      <c r="K104" s="1"/>
    </row>
    <row r="105" spans="1:11" x14ac:dyDescent="0.45">
      <c r="A105" s="16"/>
      <c r="B105" s="16"/>
      <c r="C105" s="16"/>
      <c r="D105" s="1"/>
      <c r="E105" s="1"/>
      <c r="F105" s="1"/>
      <c r="G105" s="1"/>
      <c r="H105" s="1"/>
      <c r="I105" s="1"/>
      <c r="J105" s="1"/>
      <c r="K105" s="1"/>
    </row>
    <row r="106" spans="1:11" x14ac:dyDescent="0.45">
      <c r="A106" s="16"/>
      <c r="B106" s="16"/>
      <c r="C106" s="16"/>
      <c r="D106" s="1"/>
      <c r="E106" s="1"/>
      <c r="F106" s="1"/>
      <c r="G106" s="1"/>
      <c r="H106" s="1"/>
      <c r="I106" s="1"/>
      <c r="J106" s="1"/>
      <c r="K106" s="1"/>
    </row>
    <row r="107" spans="1:11" x14ac:dyDescent="0.45">
      <c r="A107" s="16"/>
      <c r="B107" s="16"/>
      <c r="C107" s="16"/>
      <c r="D107" s="1"/>
      <c r="E107" s="1"/>
      <c r="F107" s="1"/>
      <c r="G107" s="1"/>
      <c r="H107" s="1"/>
      <c r="I107" s="1"/>
      <c r="J107" s="1"/>
      <c r="K107" s="1"/>
    </row>
    <row r="108" spans="1:11" x14ac:dyDescent="0.45">
      <c r="A108" s="16"/>
      <c r="B108" s="16"/>
      <c r="C108" s="16"/>
      <c r="D108" s="1"/>
      <c r="E108" s="1"/>
      <c r="F108" s="1"/>
      <c r="G108" s="1"/>
      <c r="H108" s="1"/>
      <c r="I108" s="1"/>
      <c r="J108" s="1"/>
      <c r="K108" s="1"/>
    </row>
    <row r="109" spans="1:11" x14ac:dyDescent="0.45">
      <c r="A109" s="16"/>
      <c r="B109" s="16"/>
      <c r="C109" s="16"/>
      <c r="D109" s="1"/>
      <c r="E109" s="1"/>
      <c r="F109" s="1"/>
      <c r="G109" s="1"/>
      <c r="H109" s="1"/>
      <c r="I109" s="1"/>
      <c r="J109" s="1"/>
      <c r="K109" s="1"/>
    </row>
    <row r="110" spans="1:11" x14ac:dyDescent="0.45">
      <c r="A110" s="16"/>
      <c r="B110" s="16"/>
      <c r="C110" s="16"/>
      <c r="D110" s="1"/>
      <c r="E110" s="1"/>
      <c r="F110" s="1"/>
      <c r="G110" s="1"/>
      <c r="H110" s="1"/>
      <c r="I110" s="1"/>
      <c r="J110" s="1"/>
      <c r="K110" s="1"/>
    </row>
    <row r="111" spans="1:11" x14ac:dyDescent="0.45">
      <c r="A111" s="16"/>
      <c r="B111" s="16"/>
      <c r="C111" s="16"/>
      <c r="D111" s="1"/>
      <c r="E111" s="1"/>
      <c r="F111" s="1"/>
      <c r="G111" s="1"/>
      <c r="H111" s="1"/>
      <c r="I111" s="1"/>
      <c r="J111" s="1"/>
      <c r="K111" s="1"/>
    </row>
    <row r="112" spans="1:11" x14ac:dyDescent="0.45">
      <c r="A112" s="16"/>
      <c r="B112" s="16"/>
      <c r="C112" s="16"/>
      <c r="D112" s="1"/>
      <c r="E112" s="1"/>
      <c r="F112" s="1"/>
      <c r="G112" s="1"/>
      <c r="H112" s="1"/>
      <c r="I112" s="1"/>
      <c r="J112" s="1"/>
      <c r="K112" s="1"/>
    </row>
    <row r="113" spans="1:11" x14ac:dyDescent="0.45">
      <c r="A113" s="16"/>
      <c r="B113" s="16"/>
      <c r="C113" s="16"/>
      <c r="D113" s="1"/>
      <c r="E113" s="1"/>
      <c r="F113" s="1"/>
      <c r="G113" s="1"/>
      <c r="H113" s="1"/>
      <c r="I113" s="1"/>
      <c r="J113" s="1"/>
      <c r="K113" s="1"/>
    </row>
    <row r="114" spans="1:11" x14ac:dyDescent="0.45">
      <c r="A114" s="16"/>
      <c r="B114" s="16"/>
      <c r="C114" s="16"/>
      <c r="D114" s="1"/>
      <c r="E114" s="1"/>
      <c r="F114" s="1"/>
      <c r="G114" s="1"/>
      <c r="H114" s="1"/>
      <c r="I114" s="1"/>
      <c r="J114" s="1"/>
      <c r="K114" s="1"/>
    </row>
    <row r="115" spans="1:11" x14ac:dyDescent="0.45">
      <c r="A115" s="16"/>
      <c r="B115" s="16"/>
      <c r="C115" s="16"/>
      <c r="D115" s="1"/>
      <c r="E115" s="1"/>
      <c r="F115" s="1"/>
      <c r="G115" s="1"/>
      <c r="H115" s="1"/>
      <c r="I115" s="1"/>
      <c r="J115" s="1"/>
      <c r="K115" s="1"/>
    </row>
    <row r="116" spans="1:11" x14ac:dyDescent="0.45">
      <c r="A116" s="16"/>
      <c r="B116" s="16"/>
      <c r="C116" s="16"/>
      <c r="D116" s="1"/>
      <c r="E116" s="1"/>
      <c r="F116" s="1"/>
      <c r="G116" s="1"/>
      <c r="H116" s="1"/>
      <c r="I116" s="1"/>
      <c r="J116" s="1"/>
      <c r="K116" s="1"/>
    </row>
    <row r="117" spans="1:11" x14ac:dyDescent="0.45">
      <c r="A117" s="16"/>
      <c r="B117" s="16"/>
      <c r="C117" s="16"/>
      <c r="D117" s="1"/>
      <c r="E117" s="1"/>
      <c r="F117" s="1"/>
      <c r="G117" s="1"/>
      <c r="H117" s="1"/>
      <c r="I117" s="1"/>
      <c r="J117" s="1"/>
      <c r="K117" s="1"/>
    </row>
    <row r="118" spans="1:11" x14ac:dyDescent="0.45">
      <c r="A118" s="16"/>
      <c r="B118" s="16"/>
      <c r="C118" s="16"/>
      <c r="D118" s="1"/>
      <c r="E118" s="1"/>
      <c r="F118" s="1"/>
      <c r="G118" s="1"/>
      <c r="H118" s="1"/>
      <c r="I118" s="1"/>
      <c r="J118" s="1"/>
      <c r="K118" s="1"/>
    </row>
    <row r="119" spans="1:11" x14ac:dyDescent="0.45">
      <c r="A119" s="16"/>
      <c r="B119" s="16"/>
      <c r="C119" s="16"/>
      <c r="D119" s="1"/>
      <c r="E119" s="1"/>
      <c r="F119" s="1"/>
      <c r="G119" s="1"/>
      <c r="H119" s="1"/>
      <c r="I119" s="1"/>
      <c r="J119" s="1"/>
      <c r="K119" s="1"/>
    </row>
    <row r="120" spans="1:11" x14ac:dyDescent="0.45">
      <c r="A120" s="16"/>
      <c r="B120" s="16"/>
      <c r="C120" s="16"/>
      <c r="D120" s="1"/>
      <c r="E120" s="1"/>
      <c r="F120" s="1"/>
      <c r="G120" s="1"/>
      <c r="H120" s="1"/>
      <c r="I120" s="1"/>
      <c r="J120" s="1"/>
      <c r="K120" s="1"/>
    </row>
    <row r="121" spans="1:11" x14ac:dyDescent="0.45">
      <c r="A121" s="16"/>
      <c r="B121" s="16"/>
      <c r="C121" s="16"/>
      <c r="D121" s="1"/>
      <c r="E121" s="1"/>
      <c r="F121" s="1"/>
      <c r="G121" s="1"/>
      <c r="H121" s="1"/>
      <c r="I121" s="1"/>
      <c r="J121" s="1"/>
      <c r="K121" s="1"/>
    </row>
    <row r="122" spans="1:11" x14ac:dyDescent="0.45">
      <c r="A122" s="16"/>
      <c r="B122" s="16"/>
      <c r="C122" s="16"/>
      <c r="D122" s="1"/>
      <c r="E122" s="1"/>
      <c r="F122" s="1"/>
      <c r="G122" s="1"/>
      <c r="H122" s="1"/>
      <c r="I122" s="1"/>
      <c r="J122" s="1"/>
      <c r="K122" s="1"/>
    </row>
    <row r="123" spans="1:11" x14ac:dyDescent="0.45">
      <c r="A123" s="16"/>
      <c r="B123" s="16"/>
      <c r="C123" s="16"/>
      <c r="D123" s="1"/>
      <c r="E123" s="1"/>
      <c r="F123" s="1"/>
      <c r="G123" s="1"/>
      <c r="H123" s="1"/>
      <c r="I123" s="1"/>
      <c r="J123" s="1"/>
      <c r="K123" s="1"/>
    </row>
    <row r="124" spans="1:11" x14ac:dyDescent="0.45">
      <c r="A124" s="16"/>
      <c r="B124" s="16"/>
      <c r="C124" s="16"/>
      <c r="D124" s="1"/>
      <c r="E124" s="1"/>
      <c r="F124" s="1"/>
      <c r="G124" s="1"/>
      <c r="H124" s="1"/>
      <c r="I124" s="1"/>
      <c r="J124" s="1"/>
      <c r="K124" s="1"/>
    </row>
    <row r="125" spans="1:11" x14ac:dyDescent="0.45">
      <c r="A125" s="16"/>
      <c r="B125" s="16"/>
      <c r="C125" s="16"/>
      <c r="D125" s="1"/>
      <c r="E125" s="1"/>
      <c r="F125" s="1"/>
      <c r="G125" s="1"/>
      <c r="H125" s="1"/>
      <c r="I125" s="1"/>
      <c r="J125" s="1"/>
      <c r="K125" s="1"/>
    </row>
    <row r="126" spans="1:11" x14ac:dyDescent="0.45">
      <c r="A126" s="16"/>
      <c r="B126" s="16"/>
      <c r="C126" s="16"/>
      <c r="D126" s="1"/>
      <c r="E126" s="1"/>
      <c r="F126" s="1"/>
      <c r="G126" s="1"/>
      <c r="H126" s="1"/>
      <c r="I126" s="1"/>
      <c r="J126" s="1"/>
      <c r="K126" s="1"/>
    </row>
    <row r="127" spans="1:11" x14ac:dyDescent="0.45">
      <c r="A127" s="16"/>
      <c r="B127" s="16"/>
      <c r="C127" s="16"/>
      <c r="D127" s="1"/>
      <c r="E127" s="1"/>
      <c r="F127" s="1"/>
      <c r="G127" s="1"/>
      <c r="H127" s="1"/>
      <c r="I127" s="1"/>
      <c r="J127" s="1"/>
      <c r="K127" s="1"/>
    </row>
    <row r="128" spans="1:11" x14ac:dyDescent="0.45">
      <c r="A128" s="16"/>
      <c r="B128" s="16"/>
      <c r="C128" s="16"/>
      <c r="D128" s="1"/>
      <c r="E128" s="1"/>
      <c r="F128" s="1"/>
      <c r="G128" s="1"/>
      <c r="H128" s="1"/>
      <c r="I128" s="1"/>
      <c r="J128" s="1"/>
      <c r="K128" s="1"/>
    </row>
    <row r="129" spans="1:11" x14ac:dyDescent="0.45">
      <c r="A129" s="16"/>
      <c r="B129" s="16"/>
      <c r="C129" s="16"/>
      <c r="D129" s="1"/>
      <c r="E129" s="1"/>
      <c r="F129" s="1"/>
      <c r="G129" s="1"/>
      <c r="H129" s="1"/>
      <c r="I129" s="1"/>
      <c r="J129" s="1"/>
      <c r="K129" s="1"/>
    </row>
    <row r="130" spans="1:11" x14ac:dyDescent="0.45">
      <c r="A130" s="16"/>
      <c r="B130" s="16"/>
      <c r="C130" s="16"/>
      <c r="D130" s="1"/>
      <c r="E130" s="1"/>
      <c r="F130" s="1"/>
      <c r="G130" s="1"/>
      <c r="H130" s="1"/>
      <c r="I130" s="1"/>
      <c r="J130" s="1"/>
      <c r="K130" s="1"/>
    </row>
    <row r="131" spans="1:11" x14ac:dyDescent="0.45">
      <c r="A131" s="16"/>
      <c r="B131" s="16"/>
      <c r="C131" s="16"/>
      <c r="D131" s="1"/>
      <c r="E131" s="1"/>
      <c r="F131" s="1"/>
      <c r="G131" s="1"/>
      <c r="H131" s="1"/>
      <c r="I131" s="1"/>
      <c r="J131" s="1"/>
      <c r="K131" s="1"/>
    </row>
    <row r="132" spans="1:11" x14ac:dyDescent="0.45">
      <c r="A132" s="16"/>
      <c r="B132" s="16"/>
      <c r="C132" s="16"/>
      <c r="D132" s="1"/>
      <c r="E132" s="1"/>
      <c r="F132" s="1"/>
      <c r="G132" s="1"/>
      <c r="H132" s="1"/>
      <c r="I132" s="1"/>
      <c r="J132" s="1"/>
      <c r="K132" s="1"/>
    </row>
  </sheetData>
  <phoneticPr fontId="2" type="noConversion"/>
  <dataValidations disablePrompts="1" count="7">
    <dataValidation type="list" allowBlank="1" showInputMessage="1" sqref="C7" xr:uid="{CA7B778E-7436-496D-8F10-D29AFA77C934}">
      <formula1>"1983,1984,1985,1986,1987,1988,1989,1990,1991,1992,1993,1994,1995,1996,1997,1998,1999,2000,2001,2002,2003,2004,2005,2006,2007,2008,2009,2010,2011,2012,2013,2014,2015,2016,2017,2018,2019,2020,2021,2022,2023,2024,2025,Current"</formula1>
    </dataValidation>
    <dataValidation type="list" allowBlank="1" showInputMessage="1" sqref="B7" xr:uid="{67220DBB-65A1-4E74-A6A6-307C543ED2A1}">
      <formula1>"1983,1984,1985,1986,1987,1988,1989,1990,1991,1992,1993,1994,1995,1996,1997,1998,1999,2000,2001,2002,2003,2004,2005,2006,2007,2008,2009,2010,2011,2012,2013,2014,2015,2016,2017,2018,2019,2020,2021,2022,2023,2024,2025"</formula1>
    </dataValidation>
    <dataValidation type="list" allowBlank="1" showInputMessage="1" sqref="B3" xr:uid="{BE3583D2-6F8C-4FCF-A4C7-2C7045F6E6AC}">
      <formula1>"별도,연결"</formula1>
    </dataValidation>
    <dataValidation type="list" allowBlank="1" showInputMessage="1" sqref="C6" xr:uid="{3E74B8CC-78C9-4318-8926-107AD0DBE292}">
      <formula1>"천원,백만원,억원,십억원"</formula1>
    </dataValidation>
    <dataValidation type="list" allowBlank="1" showInputMessage="1" sqref="B6" xr:uid="{73CEE685-47D5-49D7-A71D-D6A2D091D4BB}">
      <formula1>"결산,누적분기,당분기"</formula1>
    </dataValidation>
    <dataValidation type="list" allowBlank="1" showInputMessage="1" sqref="B5" xr:uid="{AB674092-3F86-4A8C-86AE-3D9CB9DD6084}">
      <formula1>"상세(총액),상세(순액),요약,약식"</formula1>
    </dataValidation>
    <dataValidation type="list" allowBlank="1" showInputMessage="1" sqref="B4" xr:uid="{E6C89402-6E02-4ED3-A970-B2B9CE2FBA9F}">
      <formula1>"전체,재무상태표,손익계산서,현금흐름표,자본금변동표"</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ECCE3C-A5B2-478A-8274-E688BE6EAF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Estimate&gt;&gt;&gt;</vt:lpstr>
      <vt:lpstr>Valuation</vt:lpstr>
      <vt:lpstr>Expected IS</vt:lpstr>
      <vt:lpstr>매출추정</vt:lpstr>
      <vt:lpstr>AM</vt:lpstr>
      <vt:lpstr>Retrofit</vt:lpstr>
      <vt:lpstr>Digital</vt:lpstr>
      <vt:lpstr>Bunkering</vt:lpstr>
      <vt:lpstr>환율&amp;원유</vt:lpstr>
      <vt:lpstr>비용추정</vt:lpstr>
      <vt:lpstr>RAWDATA&gt;&gt;&gt;</vt:lpstr>
      <vt:lpstr>IS(Quaterly)</vt:lpstr>
      <vt:lpstr>BS(Quaterly)</vt:lpstr>
      <vt:lpstr>CF(Quaterly)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채현기</dc:creator>
  <cp:lastModifiedBy>채현기</cp:lastModifiedBy>
  <dcterms:created xsi:type="dcterms:W3CDTF">2025-08-25T06:15:27Z</dcterms:created>
  <dcterms:modified xsi:type="dcterms:W3CDTF">2026-03-24T11:54:20Z</dcterms:modified>
</cp:coreProperties>
</file>