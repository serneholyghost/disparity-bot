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leehc\Desktop\rfs\투콘_현대건설\"/>
    </mc:Choice>
  </mc:AlternateContent>
  <xr:revisionPtr revIDLastSave="0" documentId="13_ncr:1_{C426DB68-665B-42EF-9DBA-924711DF697F}" xr6:coauthVersionLast="47" xr6:coauthVersionMax="47" xr10:uidLastSave="{00000000-0000-0000-0000-000000000000}"/>
  <bookViews>
    <workbookView xWindow="-120" yWindow="-120" windowWidth="29040" windowHeight="15720" xr2:uid="{7B484E92-3846-4587-8F63-CD64754E2F03}"/>
  </bookViews>
  <sheets>
    <sheet name="Valuation ▶" sheetId="44" r:id="rId1"/>
    <sheet name="Implied PBR" sheetId="25" r:id="rId2"/>
    <sheet name="EV.Backlog" sheetId="20" r:id="rId3"/>
    <sheet name="Estimate ▶" sheetId="21" r:id="rId4"/>
    <sheet name="Expected BS" sheetId="42" r:id="rId5"/>
    <sheet name="Expected IS" sheetId="12" r:id="rId6"/>
    <sheet name="총매출" sheetId="33" r:id="rId7"/>
    <sheet name="건축주택" sheetId="38" r:id="rId8"/>
    <sheet name="건축주택-정비사업" sheetId="40" r:id="rId9"/>
    <sheet name="플랜트" sheetId="35" r:id="rId10"/>
    <sheet name="플랜트-원전" sheetId="37" r:id="rId11"/>
    <sheet name="토목 및 기타" sheetId="2" r:id="rId12"/>
    <sheet name="영업비용추정" sheetId="11" r:id="rId13"/>
    <sheet name="RAW ▶" sheetId="27" r:id="rId14"/>
    <sheet name="Multiple History" sheetId="43" r:id="rId15"/>
    <sheet name="도시정비_RAW" sheetId="41" r:id="rId16"/>
    <sheet name="IS(Y)" sheetId="30" r:id="rId17"/>
    <sheet name="BS(Y)" sheetId="31" r:id="rId18"/>
    <sheet name="CF(Y)" sheetId="32" r:id="rId19"/>
  </sheets>
  <externalReferences>
    <externalReference r:id="rId20"/>
  </externalReferences>
  <definedNames>
    <definedName name="_MOD1" localSheetId="2">#REF!</definedName>
    <definedName name="_MOD1" localSheetId="1">#REF!</definedName>
    <definedName name="_MOD1">#REF!</definedName>
    <definedName name="\a">#N/A</definedName>
    <definedName name="\b">#N/A</definedName>
    <definedName name="\I" localSheetId="2">#REF!</definedName>
    <definedName name="\I" localSheetId="1">#REF!</definedName>
    <definedName name="\I">#REF!</definedName>
    <definedName name="\P">#REF!</definedName>
    <definedName name="A_K___s__Global__I_T">#REF!</definedName>
    <definedName name="Acc_payable_growth_fore">#REF!</definedName>
    <definedName name="Acc_Rec_growth_fore">#REF!</definedName>
    <definedName name="Accrued_compensation_growth_fore">#REF!</definedName>
    <definedName name="Accrued_expenses_growth_fore">#REF!</definedName>
    <definedName name="Accum_Cap_Expenses_growth_fore">#REF!</definedName>
    <definedName name="Accum_Goodwill_Amort_growth_fore">#REF!</definedName>
    <definedName name="Adj_net_oper_fore">#REF!</definedName>
    <definedName name="AveSize">#REF!</definedName>
    <definedName name="BS_C">#REF!</definedName>
    <definedName name="Cash_fore">#REF!</definedName>
    <definedName name="Cash_growth_fore">#REF!</definedName>
    <definedName name="Cash_operating_taxes_fore">#REF!</definedName>
    <definedName name="CDS">#REF!</definedName>
    <definedName name="CE_C">#REF!</definedName>
    <definedName name="CF_C">#REF!</definedName>
    <definedName name="CFormats">#REF!</definedName>
    <definedName name="codeDestination">#REF!</definedName>
    <definedName name="CODELK_Path">#REF!</definedName>
    <definedName name="ColumnHeading">#REF!</definedName>
    <definedName name="Comdty">#REF!</definedName>
    <definedName name="Corp">#REF!</definedName>
    <definedName name="CR3RT">#REF!</definedName>
    <definedName name="CR3RTDK">#REF!</definedName>
    <definedName name="CR5RTDK">#REF!</definedName>
    <definedName name="CTopics">#REF!</definedName>
    <definedName name="Cur">#REF!</definedName>
    <definedName name="Customer_deposits_growth_fore">#REF!</definedName>
    <definedName name="d" localSheetId="3" hidden="1">{"t13&amp;t14Aug",#N/A,FALSE,"Aug00";"t9Aug",#N/A,FALSE,"Aug00";"t8Aug",#N/A,FALSE,"Aug00";"t7Aug",#N/A,FALSE,"Aug00";"t6Aug",#N/A,FALSE,"Aug00"}</definedName>
    <definedName name="d" localSheetId="2" hidden="1">{"t13&amp;t14Aug",#N/A,FALSE,"Aug00";"t9Aug",#N/A,FALSE,"Aug00";"t8Aug",#N/A,FALSE,"Aug00";"t7Aug",#N/A,FALSE,"Aug00";"t6Aug",#N/A,FALSE,"Aug00"}</definedName>
    <definedName name="d" localSheetId="4" hidden="1">{"t13&amp;t14Aug",#N/A,FALSE,"Aug00";"t9Aug",#N/A,FALSE,"Aug00";"t8Aug",#N/A,FALSE,"Aug00";"t7Aug",#N/A,FALSE,"Aug00";"t6Aug",#N/A,FALSE,"Aug00"}</definedName>
    <definedName name="d" localSheetId="1" hidden="1">{"t13&amp;t14Aug",#N/A,FALSE,"Aug00";"t9Aug",#N/A,FALSE,"Aug00";"t8Aug",#N/A,FALSE,"Aug00";"t7Aug",#N/A,FALSE,"Aug00";"t6Aug",#N/A,FALSE,"Aug00"}</definedName>
    <definedName name="d" localSheetId="13" hidden="1">{"t13&amp;t14Aug",#N/A,FALSE,"Aug00";"t9Aug",#N/A,FALSE,"Aug00";"t8Aug",#N/A,FALSE,"Aug00";"t7Aug",#N/A,FALSE,"Aug00";"t6Aug",#N/A,FALSE,"Aug00"}</definedName>
    <definedName name="d" localSheetId="0" hidden="1">{"t13&amp;t14Aug",#N/A,FALSE,"Aug00";"t9Aug",#N/A,FALSE,"Aug00";"t8Aug",#N/A,FALSE,"Aug00";"t7Aug",#N/A,FALSE,"Aug00";"t6Aug",#N/A,FALSE,"Aug00"}</definedName>
    <definedName name="d" hidden="1">{"t13&amp;t14Aug",#N/A,FALSE,"Aug00";"t9Aug",#N/A,FALSE,"Aug00";"t8Aug",#N/A,FALSE,"Aug00";"t7Aug",#N/A,FALSE,"Aug00";"t6Aug",#N/A,FALSE,"Aug00"}</definedName>
    <definedName name="_xlnm.Database">#REF!</definedName>
    <definedName name="Debt_Market_Cap_Ratio">#REF!</definedName>
    <definedName name="Deferred_tax_asset_growth_fore">#REF!</definedName>
    <definedName name="Deferred_tax_liability_growth_fore">#REF!</definedName>
    <definedName name="Dep_margin_fore">#REF!</definedName>
    <definedName name="Depreciation_fore">#REF!</definedName>
    <definedName name="DetailColumns">#REF!</definedName>
    <definedName name="DnA_fore">#REF!</definedName>
    <definedName name="DnA_growth_fore">#REF!</definedName>
    <definedName name="DR">#REF!</definedName>
    <definedName name="DSDDE_Path">#REF!</definedName>
    <definedName name="EBIT_fore">#REF!</definedName>
    <definedName name="EBIT_margin_fore">#REF!</definedName>
    <definedName name="EBITA_fore">#REF!</definedName>
    <definedName name="EBITDA_fore">#REF!</definedName>
    <definedName name="EBITDA_margin_fore">#REF!</definedName>
    <definedName name="Excel_Version">#REF!</definedName>
    <definedName name="Expl_forecast_1st_yr">#REF!</definedName>
    <definedName name="Expl_forecast_2nd_yr">#REF!</definedName>
    <definedName name="Expl_forecast_3rd_yr">#REF!</definedName>
    <definedName name="ExtFiles">#REF!</definedName>
    <definedName name="FDP_0_1_aSrv" hidden="1">#REF!</definedName>
    <definedName name="FDP_100_1_aSrv" hidden="1">#REF!</definedName>
    <definedName name="FDP_101_1_aSrv" hidden="1">#REF!</definedName>
    <definedName name="FDP_102_1_aSrv" hidden="1">#REF!</definedName>
    <definedName name="FDP_103_1_aSrv" hidden="1">#REF!</definedName>
    <definedName name="FDP_104_1_aSrv" hidden="1">#REF!</definedName>
    <definedName name="FDP_12_1_aDrv" hidden="1">#REF!</definedName>
    <definedName name="FDP_13_1_aDrv" hidden="1">#REF!</definedName>
    <definedName name="FDP_14_1_aDrv" hidden="1">#REF!</definedName>
    <definedName name="FDP_15_1_aUrv" hidden="1">#REF!</definedName>
    <definedName name="FDP_17_1_aSrv" hidden="1">#REF!</definedName>
    <definedName name="FDP_19_1_aDrv" hidden="1">#REF!</definedName>
    <definedName name="FDP_2_1_aSrv" hidden="1">#REF!</definedName>
    <definedName name="FDP_20_1_aDrv" hidden="1">#REF!</definedName>
    <definedName name="FDP_21_1_aDrv" hidden="1">#REF!</definedName>
    <definedName name="FDP_22_1_aDrv" hidden="1">#REF!</definedName>
    <definedName name="FDP_23_1_aDrv" hidden="1">#REF!</definedName>
    <definedName name="FDP_24_1_aDrv" hidden="1">#REF!</definedName>
    <definedName name="FDP_25_1_aUrv" hidden="1">#REF!</definedName>
    <definedName name="FDP_26_1_aSrv" hidden="1">#REF!</definedName>
    <definedName name="FDP_27_1_aUrv" hidden="1">#REF!</definedName>
    <definedName name="FDP_28_1_aUrv" hidden="1">#REF!</definedName>
    <definedName name="FDP_29_1_aUrv" hidden="1">#REF!</definedName>
    <definedName name="FDP_30_1_aUrv" hidden="1">#REF!</definedName>
    <definedName name="FDP_31_1_aUrv" hidden="1">#REF!</definedName>
    <definedName name="FDP_32_1_aUrv" hidden="1">#REF!</definedName>
    <definedName name="FDP_33_1_aUrv" hidden="1">#REF!</definedName>
    <definedName name="FDP_34_1_aUrv" hidden="1">#REF!</definedName>
    <definedName name="FDP_35_1_aUrv" hidden="1">#REF!</definedName>
    <definedName name="FDP_36_1_aUrv" hidden="1">#REF!</definedName>
    <definedName name="FDP_37_1_aUrv" hidden="1">#REF!</definedName>
    <definedName name="FDP_38_1_aUrv" hidden="1">#REF!</definedName>
    <definedName name="FDP_39_1_aUrv" hidden="1">#REF!</definedName>
    <definedName name="FDP_4_1_aSrv" hidden="1">#REF!</definedName>
    <definedName name="FDP_40_1_aUrv" hidden="1">#REF!</definedName>
    <definedName name="FDP_50_1_aDrv" hidden="1">#REF!</definedName>
    <definedName name="FDP_51_1_aDrv" hidden="1">#REF!</definedName>
    <definedName name="FDP_52_1_aDrv" hidden="1">#REF!</definedName>
    <definedName name="FDP_53_1_aUrv" hidden="1">#REF!</definedName>
    <definedName name="FDP_54_1_aUrv" hidden="1">#REF!</definedName>
    <definedName name="FDP_57_1_aSrv" hidden="1">#REF!</definedName>
    <definedName name="FDP_59_1_aUrv" hidden="1">#REF!</definedName>
    <definedName name="FDP_60_1_aUrv" hidden="1">#REF!</definedName>
    <definedName name="FDP_61_1_aSrv" hidden="1">#REF!</definedName>
    <definedName name="FDP_62_1_aDrv" hidden="1">#REF!</definedName>
    <definedName name="FDP_63_1_aUrv" hidden="1">#REF!</definedName>
    <definedName name="FDP_64_1_aUrv" hidden="1">#REF!</definedName>
    <definedName name="FDP_65_1_aUrv" hidden="1">#REF!</definedName>
    <definedName name="FDP_66_1_aUrv" hidden="1">#REF!</definedName>
    <definedName name="FDP_67_1_aDrv" hidden="1">#REF!</definedName>
    <definedName name="FDP_68_1_aUrv" hidden="1">#REF!</definedName>
    <definedName name="FDP_69_1_aUrv" hidden="1">#REF!</definedName>
    <definedName name="FDP_70_1_aUrv" hidden="1">#REF!</definedName>
    <definedName name="FDP_71_1_aDrv" hidden="1">#REF!</definedName>
    <definedName name="FDP_72_1_aDrv" hidden="1">#REF!</definedName>
    <definedName name="FDP_73_1_aDrv" hidden="1">#REF!</definedName>
    <definedName name="FDP_74_1_aDrv" hidden="1">#REF!</definedName>
    <definedName name="FDP_75_1_aUrv" hidden="1">#REF!</definedName>
    <definedName name="FDP_76_1_aUrv" hidden="1">#REF!</definedName>
    <definedName name="FDP_77_1_aDrv" hidden="1">#REF!</definedName>
    <definedName name="FDP_78_1_aUrv" hidden="1">#REF!</definedName>
    <definedName name="FDP_79_1_aUrv" hidden="1">#REF!</definedName>
    <definedName name="FDP_80_1_aDrv" hidden="1">#REF!</definedName>
    <definedName name="FDP_81_1_aSrv" hidden="1">#REF!</definedName>
    <definedName name="FDP_82_1_aUrv" hidden="1">#REF!</definedName>
    <definedName name="FDP_83_1_aDrv" hidden="1">#REF!</definedName>
    <definedName name="FDP_84_1_aDrv" hidden="1">#REF!</definedName>
    <definedName name="FDP_85_1_aDrv" hidden="1">#REF!</definedName>
    <definedName name="FDP_86_1_aDrv" hidden="1">#REF!</definedName>
    <definedName name="FDP_87_1_aDrv" hidden="1">#REF!</definedName>
    <definedName name="FDP_88_1_aDrv" hidden="1">#REF!</definedName>
    <definedName name="FDP_89_1_aDrv" hidden="1">#REF!</definedName>
    <definedName name="FDP_90_1_aDrv" hidden="1">#REF!</definedName>
    <definedName name="FDP_91_1_aDrv" hidden="1">#REF!</definedName>
    <definedName name="FDP_92_1_aDrv" hidden="1">#REF!</definedName>
    <definedName name="FDP_93_1_aSrv" hidden="1">#REF!</definedName>
    <definedName name="FDP_94_1_aSrv" hidden="1">#REF!</definedName>
    <definedName name="FDP_95_1_aSrv" hidden="1">#REF!</definedName>
    <definedName name="FDP_96_1_aSrv" hidden="1">#REF!</definedName>
    <definedName name="FDP_97_1_aUrv" hidden="1">#REF!</definedName>
    <definedName name="FDP_98_1_aSrv" hidden="1">#REF!</definedName>
    <definedName name="FDP_99_1_aSrv" hidden="1">#REF!</definedName>
    <definedName name="Fixed_asset_turns_fore">#REF!</definedName>
    <definedName name="Formats">#REF!</definedName>
    <definedName name="FR_COM_ABBR">" "</definedName>
    <definedName name="FR_COM_ABBR_LINK">" "</definedName>
    <definedName name="FR_COM_AGG">0</definedName>
    <definedName name="FR_COM_NAME_LINK">" "</definedName>
    <definedName name="FR_COU_ABBR">" "</definedName>
    <definedName name="FR_COU_ABBR_LINK">" "</definedName>
    <definedName name="FR_COU_NAME_LINK">" "</definedName>
    <definedName name="FR_DATABOX_DOWNLOAD">"N"</definedName>
    <definedName name="FR_END_DATE">"'"</definedName>
    <definedName name="FR_LINKS_OVERRUN">TRUE</definedName>
    <definedName name="FR_RPT_AREA_LINK">" "</definedName>
    <definedName name="FR_RPT_FOOTER_LINK">" "</definedName>
    <definedName name="FR_RPT_HEADER_LINK">" "</definedName>
    <definedName name="FR_SHOW_LINK_MARKER">TRUE</definedName>
    <definedName name="FR_START_DATE">"'"</definedName>
    <definedName name="FR_USE_DIMFAC">TRUE</definedName>
    <definedName name="FR_USE_LOCAL_CCY">TRUE</definedName>
    <definedName name="FR_USE_SCALE_FLAG">TRUE</definedName>
    <definedName name="FR_WORKBOOK">"G:\RESEARCH\COMP_FIN\FRANK\6452.XLS"</definedName>
    <definedName name="FREQS">#REF!</definedName>
    <definedName name="Goodwill_growth_fore">#REF!</definedName>
    <definedName name="Gross_income_fore">#REF!</definedName>
    <definedName name="Gross_income_growth_avg">#REF!</definedName>
    <definedName name="Gross_margin_fore">#REF!</definedName>
    <definedName name="Inc_cap_RnD_fore">#REF!</definedName>
    <definedName name="Income_equivalents_fore">#REF!</definedName>
    <definedName name="Income_form_uncons_subs_fore">#REF!</definedName>
    <definedName name="Income_tax_fore">#REF!</definedName>
    <definedName name="Income_tax_growth_fore">#REF!</definedName>
    <definedName name="Income_taxes_payable_growth_fore">#REF!</definedName>
    <definedName name="Increase_cap_RnD_fore">#REF!</definedName>
    <definedName name="INIT">#REF!</definedName>
    <definedName name="Interest_exp_growth_fore">#REF!</definedName>
    <definedName name="Interest_exp_inc_fore">#REF!</definedName>
    <definedName name="Inventory_growth_fore">#REF!</definedName>
    <definedName name="Invested_capital_growth_fore">#REF!</definedName>
    <definedName name="Invested_capital_turns_fore">#REF!</definedName>
    <definedName name="IS_C">#REF!</definedName>
    <definedName name="ISq" localSheetId="3" hidden="1">{"t13&amp;t14Aug",#N/A,FALSE,"Aug00";"t9Aug",#N/A,FALSE,"Aug00";"t8Aug",#N/A,FALSE,"Aug00";"t7Aug",#N/A,FALSE,"Aug00";"t6Aug",#N/A,FALSE,"Aug00"}</definedName>
    <definedName name="ISq" localSheetId="2" hidden="1">{"t13&amp;t14Aug",#N/A,FALSE,"Aug00";"t9Aug",#N/A,FALSE,"Aug00";"t8Aug",#N/A,FALSE,"Aug00";"t7Aug",#N/A,FALSE,"Aug00";"t6Aug",#N/A,FALSE,"Aug00"}</definedName>
    <definedName name="ISq" localSheetId="4" hidden="1">{"t13&amp;t14Aug",#N/A,FALSE,"Aug00";"t9Aug",#N/A,FALSE,"Aug00";"t8Aug",#N/A,FALSE,"Aug00";"t7Aug",#N/A,FALSE,"Aug00";"t6Aug",#N/A,FALSE,"Aug00"}</definedName>
    <definedName name="ISq" localSheetId="1" hidden="1">{"t13&amp;t14Aug",#N/A,FALSE,"Aug00";"t9Aug",#N/A,FALSE,"Aug00";"t8Aug",#N/A,FALSE,"Aug00";"t7Aug",#N/A,FALSE,"Aug00";"t6Aug",#N/A,FALSE,"Aug00"}</definedName>
    <definedName name="ISq" localSheetId="13" hidden="1">{"t13&amp;t14Aug",#N/A,FALSE,"Aug00";"t9Aug",#N/A,FALSE,"Aug00";"t8Aug",#N/A,FALSE,"Aug00";"t7Aug",#N/A,FALSE,"Aug00";"t6Aug",#N/A,FALSE,"Aug00"}</definedName>
    <definedName name="ISq" localSheetId="0" hidden="1">{"t13&amp;t14Aug",#N/A,FALSE,"Aug00";"t9Aug",#N/A,FALSE,"Aug00";"t8Aug",#N/A,FALSE,"Aug00";"t7Aug",#N/A,FALSE,"Aug00";"t6Aug",#N/A,FALSE,"Aug00"}</definedName>
    <definedName name="ISq" hidden="1">{"t13&amp;t14Aug",#N/A,FALSE,"Aug00";"t9Aug",#N/A,FALSE,"Aug00";"t8Aug",#N/A,FALSE,"Aug00";"t7Aug",#N/A,FALSE,"Aug00";"t6Aug",#N/A,FALSE,"Aug00"}</definedName>
    <definedName name="ISs" localSheetId="3"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ISs" localSheetId="2"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ISs" localSheetId="4"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ISs" localSheetId="1"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ISs" localSheetId="13"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ISs" localSheetId="0"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ISs"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Last_Update">#REF!</definedName>
    <definedName name="LEAP">#REF!</definedName>
    <definedName name="Links">#REF!</definedName>
    <definedName name="LiveReqs">#REF!</definedName>
    <definedName name="LT_debt_growth_fore">#REF!</definedName>
    <definedName name="MemFree">#REF!</definedName>
    <definedName name="MemTotal">#REF!</definedName>
    <definedName name="MOD">#REF!</definedName>
    <definedName name="Net_adj_for_capitalized_expenses">#REF!</definedName>
    <definedName name="Net_income_fore">#REF!</definedName>
    <definedName name="Net_margin_fore">#REF!</definedName>
    <definedName name="Net_PPE_growth_fore">#REF!</definedName>
    <definedName name="Net_sales_fore">#REF!</definedName>
    <definedName name="Net_sales_growth_fore">#REF!</definedName>
    <definedName name="NetWC_turns_fore">#REF!</definedName>
    <definedName name="NONLEAP">#REF!</definedName>
    <definedName name="NOPAT_fore">#REF!</definedName>
    <definedName name="NOPAT_margin_fore">#REF!</definedName>
    <definedName name="NOPBT_fore">#REF!</definedName>
    <definedName name="Norm_forecast_11_15">#REF!</definedName>
    <definedName name="Norm_forecast_16_25">#REF!</definedName>
    <definedName name="Norm_forecast_4_5">#REF!</definedName>
    <definedName name="Norm_forecast_6_10">#REF!</definedName>
    <definedName name="Number_of_Shares">#REF!</definedName>
    <definedName name="Off_B_S_Income_fore">#REF!</definedName>
    <definedName name="Off_B_S_Income_growth_fore">#REF!</definedName>
    <definedName name="Operating_income_fore">#REF!</definedName>
    <definedName name="Operating_Lease_Expense_fore">#REF!</definedName>
    <definedName name="Operating_Sys">#REF!</definedName>
    <definedName name="Other_asset_turns_fore">#REF!</definedName>
    <definedName name="Other_current_assets_growth_fore">#REF!</definedName>
    <definedName name="Other_current_liabilities_growth_fore">#REF!</definedName>
    <definedName name="Other_Expenses_fore">#REF!</definedName>
    <definedName name="Other_expenses_gains_fore">#REF!</definedName>
    <definedName name="Other_expenses_growth_fore">#REF!</definedName>
    <definedName name="Other_fixed_asset_turns_fore">#REF!</definedName>
    <definedName name="Other_fixed_assets_growth_fore">#REF!</definedName>
    <definedName name="Other_growth_fore">#REF!</definedName>
    <definedName name="Other_inc_exp_fore">#REF!</definedName>
    <definedName name="Other_income_growth_fore">#REF!</definedName>
    <definedName name="Other_liabilities_growth_fore">#REF!</definedName>
    <definedName name="PPnE_turns_fore">#REF!</definedName>
    <definedName name="Preferred_stock_growth_fore">#REF!</definedName>
    <definedName name="Pretax_income_fore">#REF!</definedName>
    <definedName name="_xlnm.Print_Area" localSheetId="2">#REF!</definedName>
    <definedName name="_xlnm.Print_Area" localSheetId="1">#REF!</definedName>
    <definedName name="_xlnm.Print_Area">#REF!</definedName>
    <definedName name="Print1">#REF!</definedName>
    <definedName name="Q_Aspect">#REF!</definedName>
    <definedName name="Q_Aspect_R">#REF!</definedName>
    <definedName name="Q_B_R">#REF!</definedName>
    <definedName name="Q_Crude_Day">#REF!</definedName>
    <definedName name="Q_Dem_Non_OECD">#REF!</definedName>
    <definedName name="Q_Dem_OECD_Month">#REF!</definedName>
    <definedName name="Q_P">#REF!</definedName>
    <definedName name="Q_P_R">#REF!</definedName>
    <definedName name="Q_R">#REF!</definedName>
    <definedName name="Q_R_B">#REF!</definedName>
    <definedName name="Q_Reso">#REF!</definedName>
    <definedName name="Q_Reso_R">#REF!</definedName>
    <definedName name="Q_S_B_R">#REF!</definedName>
    <definedName name="Q_S_R">#REF!</definedName>
    <definedName name="Q_Split1_Yearly">#REF!</definedName>
    <definedName name="Q_Split1_YrtoDate">#REF!</definedName>
    <definedName name="Q_Split2_yearly">#REF!</definedName>
    <definedName name="Q_Split2_YrtoDate">#REF!</definedName>
    <definedName name="_xlnm.Recorder">#REF!</definedName>
    <definedName name="reqdetails">#REF!</definedName>
    <definedName name="Restructuring_charges_growth_fore">#REF!</definedName>
    <definedName name="RnD_expense_fore">#REF!</definedName>
    <definedName name="RnD_expense_growth_fore">#REF!</definedName>
    <definedName name="RnD_expenses_fore">#REF!</definedName>
    <definedName name="Sales_growth_avg">#REF!</definedName>
    <definedName name="Schedule">#REF!</definedName>
    <definedName name="sdfd" localSheetId="3" hidden="1">{"T6-Jun",#N/A,FALSE,"Jun00";"T7-Jun",#N/A,FALSE,"Jun00";"T8-Jun",#N/A,FALSE,"Jun00";"T9-Jun",#N/A,FALSE,"Jun00";"T13&amp;14-Jun",#N/A,FALSE,"Jun00"}</definedName>
    <definedName name="sdfd" localSheetId="2" hidden="1">{"T6-Jun",#N/A,FALSE,"Jun00";"T7-Jun",#N/A,FALSE,"Jun00";"T8-Jun",#N/A,FALSE,"Jun00";"T9-Jun",#N/A,FALSE,"Jun00";"T13&amp;14-Jun",#N/A,FALSE,"Jun00"}</definedName>
    <definedName name="sdfd" localSheetId="4" hidden="1">{"T6-Jun",#N/A,FALSE,"Jun00";"T7-Jun",#N/A,FALSE,"Jun00";"T8-Jun",#N/A,FALSE,"Jun00";"T9-Jun",#N/A,FALSE,"Jun00";"T13&amp;14-Jun",#N/A,FALSE,"Jun00"}</definedName>
    <definedName name="sdfd" localSheetId="1" hidden="1">{"T6-Jun",#N/A,FALSE,"Jun00";"T7-Jun",#N/A,FALSE,"Jun00";"T8-Jun",#N/A,FALSE,"Jun00";"T9-Jun",#N/A,FALSE,"Jun00";"T13&amp;14-Jun",#N/A,FALSE,"Jun00"}</definedName>
    <definedName name="sdfd" localSheetId="13" hidden="1">{"T6-Jun",#N/A,FALSE,"Jun00";"T7-Jun",#N/A,FALSE,"Jun00";"T8-Jun",#N/A,FALSE,"Jun00";"T9-Jun",#N/A,FALSE,"Jun00";"T13&amp;14-Jun",#N/A,FALSE,"Jun00"}</definedName>
    <definedName name="sdfd" localSheetId="0" hidden="1">{"T6-Jun",#N/A,FALSE,"Jun00";"T7-Jun",#N/A,FALSE,"Jun00";"T8-Jun",#N/A,FALSE,"Jun00";"T9-Jun",#N/A,FALSE,"Jun00";"T13&amp;14-Jun",#N/A,FALSE,"Jun00"}</definedName>
    <definedName name="sdfd" hidden="1">{"T6-Jun",#N/A,FALSE,"Jun00";"T7-Jun",#N/A,FALSE,"Jun00";"T8-Jun",#N/A,FALSE,"Jun00";"T9-Jun",#N/A,FALSE,"Jun00";"T13&amp;14-Jun",#N/A,FALSE,"Jun00"}</definedName>
    <definedName name="sdfsdgsd" localSheetId="3" hidden="1">{"t13&amp;t14Aug",#N/A,FALSE,"Aug00";"t9Aug",#N/A,FALSE,"Aug00";"t8Aug",#N/A,FALSE,"Aug00";"t7Aug",#N/A,FALSE,"Aug00";"t6Aug",#N/A,FALSE,"Aug00"}</definedName>
    <definedName name="sdfsdgsd" localSheetId="2" hidden="1">{"t13&amp;t14Aug",#N/A,FALSE,"Aug00";"t9Aug",#N/A,FALSE,"Aug00";"t8Aug",#N/A,FALSE,"Aug00";"t7Aug",#N/A,FALSE,"Aug00";"t6Aug",#N/A,FALSE,"Aug00"}</definedName>
    <definedName name="sdfsdgsd" localSheetId="4" hidden="1">{"t13&amp;t14Aug",#N/A,FALSE,"Aug00";"t9Aug",#N/A,FALSE,"Aug00";"t8Aug",#N/A,FALSE,"Aug00";"t7Aug",#N/A,FALSE,"Aug00";"t6Aug",#N/A,FALSE,"Aug00"}</definedName>
    <definedName name="sdfsdgsd" localSheetId="1" hidden="1">{"t13&amp;t14Aug",#N/A,FALSE,"Aug00";"t9Aug",#N/A,FALSE,"Aug00";"t8Aug",#N/A,FALSE,"Aug00";"t7Aug",#N/A,FALSE,"Aug00";"t6Aug",#N/A,FALSE,"Aug00"}</definedName>
    <definedName name="sdfsdgsd" localSheetId="13" hidden="1">{"t13&amp;t14Aug",#N/A,FALSE,"Aug00";"t9Aug",#N/A,FALSE,"Aug00";"t8Aug",#N/A,FALSE,"Aug00";"t7Aug",#N/A,FALSE,"Aug00";"t6Aug",#N/A,FALSE,"Aug00"}</definedName>
    <definedName name="sdfsdgsd" localSheetId="0" hidden="1">{"t13&amp;t14Aug",#N/A,FALSE,"Aug00";"t9Aug",#N/A,FALSE,"Aug00";"t8Aug",#N/A,FALSE,"Aug00";"t7Aug",#N/A,FALSE,"Aug00";"t6Aug",#N/A,FALSE,"Aug00"}</definedName>
    <definedName name="sdfsdgsd" hidden="1">{"t13&amp;t14Aug",#N/A,FALSE,"Aug00";"t9Aug",#N/A,FALSE,"Aug00";"t8Aug",#N/A,FALSE,"Aug00";"t7Aug",#N/A,FALSE,"Aug00";"t6Aug",#N/A,FALSE,"Aug00"}</definedName>
    <definedName name="Segment1_income_fore">#REF!</definedName>
    <definedName name="Segment1_income_growth_fore">#REF!</definedName>
    <definedName name="Segment2_income_fore">#REF!</definedName>
    <definedName name="Segment2_income_growth_fore">#REF!</definedName>
    <definedName name="Setup">#REF!</definedName>
    <definedName name="sFormat">#REF!</definedName>
    <definedName name="sFreq">#REF!</definedName>
    <definedName name="SGA_fore">#REF!</definedName>
    <definedName name="SGA_growth_avg">#REF!</definedName>
    <definedName name="SGA_growth_fore">#REF!</definedName>
    <definedName name="SGA_margin_fore">#REF!</definedName>
    <definedName name="Share_Price">#REF!</definedName>
    <definedName name="Shares_fore">#REF!</definedName>
    <definedName name="Shares_growth_fore">#REF!</definedName>
    <definedName name="ShowDetails">#REF!</definedName>
    <definedName name="ST_debt_growth_fore">#REF!</definedName>
    <definedName name="sTopic">#REF!</definedName>
    <definedName name="sYesNo">#REF!</definedName>
    <definedName name="Table">#N/A</definedName>
    <definedName name="Table_1">#REF!</definedName>
    <definedName name="Table_2">#REF!</definedName>
    <definedName name="Table_3">#REF!</definedName>
    <definedName name="Table_4">#REF!</definedName>
    <definedName name="Table_5">#REF!</definedName>
    <definedName name="TableName">#REF!</definedName>
    <definedName name="Target_debt_to_capital">#REF!</definedName>
    <definedName name="Title">#REF!</definedName>
    <definedName name="Total_amort_fore">#REF!</definedName>
    <definedName name="Total_Amortization_fore">#REF!</definedName>
    <definedName name="Total_COS_fore">#REF!</definedName>
    <definedName name="Total_COS_growth_fore">#REF!</definedName>
    <definedName name="Total_COS_net_DnA_fore">#REF!</definedName>
    <definedName name="Total_debt_fore">#REF!</definedName>
    <definedName name="Total_debt_growth_fore">#REF!</definedName>
    <definedName name="Total_Increase_in_EEs_fore">#REF!</definedName>
    <definedName name="TotalReqs">#REF!</definedName>
    <definedName name="TotalTime">#REF!</definedName>
    <definedName name="UC">#REF!</definedName>
    <definedName name="Value_of_Equity">#REF!</definedName>
    <definedName name="wee">#REF!</definedName>
    <definedName name="wrn.Augrep." localSheetId="3" hidden="1">{"t13&amp;t14Aug",#N/A,FALSE,"Aug00";"t9Aug",#N/A,FALSE,"Aug00";"t8Aug",#N/A,FALSE,"Aug00";"t7Aug",#N/A,FALSE,"Aug00";"t6Aug",#N/A,FALSE,"Aug00"}</definedName>
    <definedName name="wrn.Augrep." localSheetId="2" hidden="1">{"t13&amp;t14Aug",#N/A,FALSE,"Aug00";"t9Aug",#N/A,FALSE,"Aug00";"t8Aug",#N/A,FALSE,"Aug00";"t7Aug",#N/A,FALSE,"Aug00";"t6Aug",#N/A,FALSE,"Aug00"}</definedName>
    <definedName name="wrn.Augrep." localSheetId="4" hidden="1">{"t13&amp;t14Aug",#N/A,FALSE,"Aug00";"t9Aug",#N/A,FALSE,"Aug00";"t8Aug",#N/A,FALSE,"Aug00";"t7Aug",#N/A,FALSE,"Aug00";"t6Aug",#N/A,FALSE,"Aug00"}</definedName>
    <definedName name="wrn.Augrep." localSheetId="1" hidden="1">{"t13&amp;t14Aug",#N/A,FALSE,"Aug00";"t9Aug",#N/A,FALSE,"Aug00";"t8Aug",#N/A,FALSE,"Aug00";"t7Aug",#N/A,FALSE,"Aug00";"t6Aug",#N/A,FALSE,"Aug00"}</definedName>
    <definedName name="wrn.Augrep." localSheetId="13" hidden="1">{"t13&amp;t14Aug",#N/A,FALSE,"Aug00";"t9Aug",#N/A,FALSE,"Aug00";"t8Aug",#N/A,FALSE,"Aug00";"t7Aug",#N/A,FALSE,"Aug00";"t6Aug",#N/A,FALSE,"Aug00"}</definedName>
    <definedName name="wrn.Augrep." localSheetId="0" hidden="1">{"t13&amp;t14Aug",#N/A,FALSE,"Aug00";"t9Aug",#N/A,FALSE,"Aug00";"t8Aug",#N/A,FALSE,"Aug00";"t7Aug",#N/A,FALSE,"Aug00";"t6Aug",#N/A,FALSE,"Aug00"}</definedName>
    <definedName name="wrn.Augrep." hidden="1">{"t13&amp;t14Aug",#N/A,FALSE,"Aug00";"t9Aug",#N/A,FALSE,"Aug00";"t8Aug",#N/A,FALSE,"Aug00";"t7Aug",#N/A,FALSE,"Aug00";"t6Aug",#N/A,FALSE,"Aug00"}</definedName>
    <definedName name="wrn.fmiprint." localSheetId="3"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wrn.fmiprint." localSheetId="2"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wrn.fmiprint." localSheetId="4"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wrn.fmiprint." localSheetId="1"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wrn.fmiprint." localSheetId="13"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wrn.fmiprint." localSheetId="0"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wrn.fmiprint."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wrn.julreport." localSheetId="3" hidden="1">{"t13&amp;14-jul",#N/A,FALSE,"Jul00";"t9-jul",#N/A,FALSE,"Jul00";"t8-jul",#N/A,FALSE,"Jul00";"t7-jul",#N/A,FALSE,"Jul00";"t6-jul",#N/A,FALSE,"Jul00"}</definedName>
    <definedName name="wrn.julreport." localSheetId="2" hidden="1">{"t13&amp;14-jul",#N/A,FALSE,"Jul00";"t9-jul",#N/A,FALSE,"Jul00";"t8-jul",#N/A,FALSE,"Jul00";"t7-jul",#N/A,FALSE,"Jul00";"t6-jul",#N/A,FALSE,"Jul00"}</definedName>
    <definedName name="wrn.julreport." localSheetId="4" hidden="1">{"t13&amp;14-jul",#N/A,FALSE,"Jul00";"t9-jul",#N/A,FALSE,"Jul00";"t8-jul",#N/A,FALSE,"Jul00";"t7-jul",#N/A,FALSE,"Jul00";"t6-jul",#N/A,FALSE,"Jul00"}</definedName>
    <definedName name="wrn.julreport." localSheetId="1" hidden="1">{"t13&amp;14-jul",#N/A,FALSE,"Jul00";"t9-jul",#N/A,FALSE,"Jul00";"t8-jul",#N/A,FALSE,"Jul00";"t7-jul",#N/A,FALSE,"Jul00";"t6-jul",#N/A,FALSE,"Jul00"}</definedName>
    <definedName name="wrn.julreport." localSheetId="13" hidden="1">{"t13&amp;14-jul",#N/A,FALSE,"Jul00";"t9-jul",#N/A,FALSE,"Jul00";"t8-jul",#N/A,FALSE,"Jul00";"t7-jul",#N/A,FALSE,"Jul00";"t6-jul",#N/A,FALSE,"Jul00"}</definedName>
    <definedName name="wrn.julreport." localSheetId="0" hidden="1">{"t13&amp;14-jul",#N/A,FALSE,"Jul00";"t9-jul",#N/A,FALSE,"Jul00";"t8-jul",#N/A,FALSE,"Jul00";"t7-jul",#N/A,FALSE,"Jul00";"t6-jul",#N/A,FALSE,"Jul00"}</definedName>
    <definedName name="wrn.julreport." hidden="1">{"t13&amp;14-jul",#N/A,FALSE,"Jul00";"t9-jul",#N/A,FALSE,"Jul00";"t8-jul",#N/A,FALSE,"Jul00";"t7-jul",#N/A,FALSE,"Jul00";"t6-jul",#N/A,FALSE,"Jul00"}</definedName>
    <definedName name="wrn.OPEC._.Reference._.Basket._.Price." localSheetId="3" hidden="1">{#N/A,#N/A,FALSE,"DAILY R.Basket Price";#N/A,#N/A,FALSE,"WEEKLY R.Basket Price";#N/A,#N/A,FALSE,"Chart 2a";#N/A,#N/A,FALSE,"Chart 2b";#N/A,#N/A,FALSE,"MONTHLY R.Basket Price";#N/A,#N/A,FALSE,"QUARTERLY R.Basket Price";#N/A,#N/A,FALSE,"YEARLY R.Basket Price";#N/A,#N/A,FALSE,"Chart Data 1";#N/A,#N/A,FALSE,"Chart Data 22a";#N/A,#N/A,FALSE,"Chart Data 2b"}</definedName>
    <definedName name="wrn.OPEC._.Reference._.Basket._.Price." localSheetId="2" hidden="1">{#N/A,#N/A,FALSE,"DAILY R.Basket Price";#N/A,#N/A,FALSE,"WEEKLY R.Basket Price";#N/A,#N/A,FALSE,"Chart 2a";#N/A,#N/A,FALSE,"Chart 2b";#N/A,#N/A,FALSE,"MONTHLY R.Basket Price";#N/A,#N/A,FALSE,"QUARTERLY R.Basket Price";#N/A,#N/A,FALSE,"YEARLY R.Basket Price";#N/A,#N/A,FALSE,"Chart Data 1";#N/A,#N/A,FALSE,"Chart Data 22a";#N/A,#N/A,FALSE,"Chart Data 2b"}</definedName>
    <definedName name="wrn.OPEC._.Reference._.Basket._.Price." localSheetId="4" hidden="1">{#N/A,#N/A,FALSE,"DAILY R.Basket Price";#N/A,#N/A,FALSE,"WEEKLY R.Basket Price";#N/A,#N/A,FALSE,"Chart 2a";#N/A,#N/A,FALSE,"Chart 2b";#N/A,#N/A,FALSE,"MONTHLY R.Basket Price";#N/A,#N/A,FALSE,"QUARTERLY R.Basket Price";#N/A,#N/A,FALSE,"YEARLY R.Basket Price";#N/A,#N/A,FALSE,"Chart Data 1";#N/A,#N/A,FALSE,"Chart Data 22a";#N/A,#N/A,FALSE,"Chart Data 2b"}</definedName>
    <definedName name="wrn.OPEC._.Reference._.Basket._.Price." localSheetId="1" hidden="1">{#N/A,#N/A,FALSE,"DAILY R.Basket Price";#N/A,#N/A,FALSE,"WEEKLY R.Basket Price";#N/A,#N/A,FALSE,"Chart 2a";#N/A,#N/A,FALSE,"Chart 2b";#N/A,#N/A,FALSE,"MONTHLY R.Basket Price";#N/A,#N/A,FALSE,"QUARTERLY R.Basket Price";#N/A,#N/A,FALSE,"YEARLY R.Basket Price";#N/A,#N/A,FALSE,"Chart Data 1";#N/A,#N/A,FALSE,"Chart Data 22a";#N/A,#N/A,FALSE,"Chart Data 2b"}</definedName>
    <definedName name="wrn.OPEC._.Reference._.Basket._.Price." localSheetId="13" hidden="1">{#N/A,#N/A,FALSE,"DAILY R.Basket Price";#N/A,#N/A,FALSE,"WEEKLY R.Basket Price";#N/A,#N/A,FALSE,"Chart 2a";#N/A,#N/A,FALSE,"Chart 2b";#N/A,#N/A,FALSE,"MONTHLY R.Basket Price";#N/A,#N/A,FALSE,"QUARTERLY R.Basket Price";#N/A,#N/A,FALSE,"YEARLY R.Basket Price";#N/A,#N/A,FALSE,"Chart Data 1";#N/A,#N/A,FALSE,"Chart Data 22a";#N/A,#N/A,FALSE,"Chart Data 2b"}</definedName>
    <definedName name="wrn.OPEC._.Reference._.Basket._.Price." localSheetId="0" hidden="1">{#N/A,#N/A,FALSE,"DAILY R.Basket Price";#N/A,#N/A,FALSE,"WEEKLY R.Basket Price";#N/A,#N/A,FALSE,"Chart 2a";#N/A,#N/A,FALSE,"Chart 2b";#N/A,#N/A,FALSE,"MONTHLY R.Basket Price";#N/A,#N/A,FALSE,"QUARTERLY R.Basket Price";#N/A,#N/A,FALSE,"YEARLY R.Basket Price";#N/A,#N/A,FALSE,"Chart Data 1";#N/A,#N/A,FALSE,"Chart Data 22a";#N/A,#N/A,FALSE,"Chart Data 2b"}</definedName>
    <definedName name="wrn.OPEC._.Reference._.Basket._.Price." hidden="1">{#N/A,#N/A,FALSE,"DAILY R.Basket Price";#N/A,#N/A,FALSE,"WEEKLY R.Basket Price";#N/A,#N/A,FALSE,"Chart 2a";#N/A,#N/A,FALSE,"Chart 2b";#N/A,#N/A,FALSE,"MONTHLY R.Basket Price";#N/A,#N/A,FALSE,"QUARTERLY R.Basket Price";#N/A,#N/A,FALSE,"YEARLY R.Basket Price";#N/A,#N/A,FALSE,"Chart Data 1";#N/A,#N/A,FALSE,"Chart Data 22a";#N/A,#N/A,FALSE,"Chart Data 2b"}</definedName>
    <definedName name="wrn.suppJun." localSheetId="3" hidden="1">{"T6-Jun",#N/A,FALSE,"Jun00";"T7-Jun",#N/A,FALSE,"Jun00";"T8-Jun",#N/A,FALSE,"Jun00";"T9-Jun",#N/A,FALSE,"Jun00";"T13&amp;14-Jun",#N/A,FALSE,"Jun00"}</definedName>
    <definedName name="wrn.suppJun." localSheetId="2" hidden="1">{"T6-Jun",#N/A,FALSE,"Jun00";"T7-Jun",#N/A,FALSE,"Jun00";"T8-Jun",#N/A,FALSE,"Jun00";"T9-Jun",#N/A,FALSE,"Jun00";"T13&amp;14-Jun",#N/A,FALSE,"Jun00"}</definedName>
    <definedName name="wrn.suppJun." localSheetId="4" hidden="1">{"T6-Jun",#N/A,FALSE,"Jun00";"T7-Jun",#N/A,FALSE,"Jun00";"T8-Jun",#N/A,FALSE,"Jun00";"T9-Jun",#N/A,FALSE,"Jun00";"T13&amp;14-Jun",#N/A,FALSE,"Jun00"}</definedName>
    <definedName name="wrn.suppJun." localSheetId="1" hidden="1">{"T6-Jun",#N/A,FALSE,"Jun00";"T7-Jun",#N/A,FALSE,"Jun00";"T8-Jun",#N/A,FALSE,"Jun00";"T9-Jun",#N/A,FALSE,"Jun00";"T13&amp;14-Jun",#N/A,FALSE,"Jun00"}</definedName>
    <definedName name="wrn.suppJun." localSheetId="13" hidden="1">{"T6-Jun",#N/A,FALSE,"Jun00";"T7-Jun",#N/A,FALSE,"Jun00";"T8-Jun",#N/A,FALSE,"Jun00";"T9-Jun",#N/A,FALSE,"Jun00";"T13&amp;14-Jun",#N/A,FALSE,"Jun00"}</definedName>
    <definedName name="wrn.suppJun." localSheetId="0" hidden="1">{"T6-Jun",#N/A,FALSE,"Jun00";"T7-Jun",#N/A,FALSE,"Jun00";"T8-Jun",#N/A,FALSE,"Jun00";"T9-Jun",#N/A,FALSE,"Jun00";"T13&amp;14-Jun",#N/A,FALSE,"Jun00"}</definedName>
    <definedName name="wrn.suppJun." hidden="1">{"T6-Jun",#N/A,FALSE,"Jun00";"T7-Jun",#N/A,FALSE,"Jun00";"T8-Jun",#N/A,FALSE,"Jun00";"T9-Jun",#N/A,FALSE,"Jun00";"T13&amp;14-Jun",#N/A,FALSE,"Jun00"}</definedName>
    <definedName name="wrn.SuppMay." localSheetId="3" hidden="1">{"T6",#N/A,FALSE,"May00";"T7",#N/A,FALSE,"May00";"T8",#N/A,FALSE,"May00";"T9",#N/A,FALSE,"May00";"T13&amp;14",#N/A,FALSE,"May00"}</definedName>
    <definedName name="wrn.SuppMay." localSheetId="2" hidden="1">{"T6",#N/A,FALSE,"May00";"T7",#N/A,FALSE,"May00";"T8",#N/A,FALSE,"May00";"T9",#N/A,FALSE,"May00";"T13&amp;14",#N/A,FALSE,"May00"}</definedName>
    <definedName name="wrn.SuppMay." localSheetId="4" hidden="1">{"T6",#N/A,FALSE,"May00";"T7",#N/A,FALSE,"May00";"T8",#N/A,FALSE,"May00";"T9",#N/A,FALSE,"May00";"T13&amp;14",#N/A,FALSE,"May00"}</definedName>
    <definedName name="wrn.SuppMay." localSheetId="1" hidden="1">{"T6",#N/A,FALSE,"May00";"T7",#N/A,FALSE,"May00";"T8",#N/A,FALSE,"May00";"T9",#N/A,FALSE,"May00";"T13&amp;14",#N/A,FALSE,"May00"}</definedName>
    <definedName name="wrn.SuppMay." localSheetId="13" hidden="1">{"T6",#N/A,FALSE,"May00";"T7",#N/A,FALSE,"May00";"T8",#N/A,FALSE,"May00";"T9",#N/A,FALSE,"May00";"T13&amp;14",#N/A,FALSE,"May00"}</definedName>
    <definedName name="wrn.SuppMay." localSheetId="0" hidden="1">{"T6",#N/A,FALSE,"May00";"T7",#N/A,FALSE,"May00";"T8",#N/A,FALSE,"May00";"T9",#N/A,FALSE,"May00";"T13&amp;14",#N/A,FALSE,"May00"}</definedName>
    <definedName name="wrn.SuppMay." hidden="1">{"T6",#N/A,FALSE,"May00";"T7",#N/A,FALSE,"May00";"T8",#N/A,FALSE,"May00";"T9",#N/A,FALSE,"May00";"T13&amp;14",#N/A,FALSE,"May00"}</definedName>
    <definedName name="wrn.TablesJun" localSheetId="3" hidden="1">{"T6",#N/A,FALSE,"Feb00";"T7",#N/A,FALSE,"Feb00";"T8",#N/A,FALSE,"Feb00";"T9",#N/A,FALSE,"Feb00";"T13&amp;14",#N/A,FALSE,"Feb00"}</definedName>
    <definedName name="wrn.TablesJun" localSheetId="2" hidden="1">{"T6",#N/A,FALSE,"Feb00";"T7",#N/A,FALSE,"Feb00";"T8",#N/A,FALSE,"Feb00";"T9",#N/A,FALSE,"Feb00";"T13&amp;14",#N/A,FALSE,"Feb00"}</definedName>
    <definedName name="wrn.TablesJun" localSheetId="4" hidden="1">{"T6",#N/A,FALSE,"Feb00";"T7",#N/A,FALSE,"Feb00";"T8",#N/A,FALSE,"Feb00";"T9",#N/A,FALSE,"Feb00";"T13&amp;14",#N/A,FALSE,"Feb00"}</definedName>
    <definedName name="wrn.TablesJun" localSheetId="1" hidden="1">{"T6",#N/A,FALSE,"Feb00";"T7",#N/A,FALSE,"Feb00";"T8",#N/A,FALSE,"Feb00";"T9",#N/A,FALSE,"Feb00";"T13&amp;14",#N/A,FALSE,"Feb00"}</definedName>
    <definedName name="wrn.TablesJun" localSheetId="13" hidden="1">{"T6",#N/A,FALSE,"Feb00";"T7",#N/A,FALSE,"Feb00";"T8",#N/A,FALSE,"Feb00";"T9",#N/A,FALSE,"Feb00";"T13&amp;14",#N/A,FALSE,"Feb00"}</definedName>
    <definedName name="wrn.TablesJun" localSheetId="0" hidden="1">{"T6",#N/A,FALSE,"Feb00";"T7",#N/A,FALSE,"Feb00";"T8",#N/A,FALSE,"Feb00";"T9",#N/A,FALSE,"Feb00";"T13&amp;14",#N/A,FALSE,"Feb00"}</definedName>
    <definedName name="wrn.TablesJun" hidden="1">{"T6",#N/A,FALSE,"Feb00";"T7",#N/A,FALSE,"Feb00";"T8",#N/A,FALSE,"Feb00";"T9",#N/A,FALSE,"Feb00";"T13&amp;14",#N/A,FALSE,"Feb00"}</definedName>
    <definedName name="wrn.Weekly._.and._.Monthly._.Price._.Updates." localSheetId="3" hidden="1">{#N/A,#N/A,FALSE,"T1 Weekly Spot Prices";#N/A,#N/A,FALSE,"T2 Weekly Spot Prices of R.B.";#N/A,#N/A,FALSE,"T3 Average Yearly Spot Prices";#N/A,#N/A,FALSE,"T4 Average Monthly Spot Prices";#N/A,#N/A,FALSE,"T5 Weekly Spot Prices";#N/A,#N/A,FALSE,"Chart1"}</definedName>
    <definedName name="wrn.Weekly._.and._.Monthly._.Price._.Updates." localSheetId="2" hidden="1">{#N/A,#N/A,FALSE,"T1 Weekly Spot Prices";#N/A,#N/A,FALSE,"T2 Weekly Spot Prices of R.B.";#N/A,#N/A,FALSE,"T3 Average Yearly Spot Prices";#N/A,#N/A,FALSE,"T4 Average Monthly Spot Prices";#N/A,#N/A,FALSE,"T5 Weekly Spot Prices";#N/A,#N/A,FALSE,"Chart1"}</definedName>
    <definedName name="wrn.Weekly._.and._.Monthly._.Price._.Updates." localSheetId="4" hidden="1">{#N/A,#N/A,FALSE,"T1 Weekly Spot Prices";#N/A,#N/A,FALSE,"T2 Weekly Spot Prices of R.B.";#N/A,#N/A,FALSE,"T3 Average Yearly Spot Prices";#N/A,#N/A,FALSE,"T4 Average Monthly Spot Prices";#N/A,#N/A,FALSE,"T5 Weekly Spot Prices";#N/A,#N/A,FALSE,"Chart1"}</definedName>
    <definedName name="wrn.Weekly._.and._.Monthly._.Price._.Updates." localSheetId="1" hidden="1">{#N/A,#N/A,FALSE,"T1 Weekly Spot Prices";#N/A,#N/A,FALSE,"T2 Weekly Spot Prices of R.B.";#N/A,#N/A,FALSE,"T3 Average Yearly Spot Prices";#N/A,#N/A,FALSE,"T4 Average Monthly Spot Prices";#N/A,#N/A,FALSE,"T5 Weekly Spot Prices";#N/A,#N/A,FALSE,"Chart1"}</definedName>
    <definedName name="wrn.Weekly._.and._.Monthly._.Price._.Updates." localSheetId="13" hidden="1">{#N/A,#N/A,FALSE,"T1 Weekly Spot Prices";#N/A,#N/A,FALSE,"T2 Weekly Spot Prices of R.B.";#N/A,#N/A,FALSE,"T3 Average Yearly Spot Prices";#N/A,#N/A,FALSE,"T4 Average Monthly Spot Prices";#N/A,#N/A,FALSE,"T5 Weekly Spot Prices";#N/A,#N/A,FALSE,"Chart1"}</definedName>
    <definedName name="wrn.Weekly._.and._.Monthly._.Price._.Updates." localSheetId="0" hidden="1">{#N/A,#N/A,FALSE,"T1 Weekly Spot Prices";#N/A,#N/A,FALSE,"T2 Weekly Spot Prices of R.B.";#N/A,#N/A,FALSE,"T3 Average Yearly Spot Prices";#N/A,#N/A,FALSE,"T4 Average Monthly Spot Prices";#N/A,#N/A,FALSE,"T5 Weekly Spot Prices";#N/A,#N/A,FALSE,"Chart1"}</definedName>
    <definedName name="wrn.Weekly._.and._.Monthly._.Price._.Updates." hidden="1">{#N/A,#N/A,FALSE,"T1 Weekly Spot Prices";#N/A,#N/A,FALSE,"T2 Weekly Spot Prices of R.B.";#N/A,#N/A,FALSE,"T3 Average Yearly Spot Prices";#N/A,#N/A,FALSE,"T4 Average Monthly Spot Prices";#N/A,#N/A,FALSE,"T5 Weekly Spot Prices";#N/A,#N/A,FALSE,"Chart1"}</definedName>
    <definedName name="www" localSheetId="3" hidden="1">{"T6-Jun",#N/A,FALSE,"Jun00";"T7-Jun",#N/A,FALSE,"Jun00";"T8-Jun",#N/A,FALSE,"Jun00";"T9-Jun",#N/A,FALSE,"Jun00";"T13&amp;14-Jun",#N/A,FALSE,"Jun00"}</definedName>
    <definedName name="www" localSheetId="2" hidden="1">{"T6-Jun",#N/A,FALSE,"Jun00";"T7-Jun",#N/A,FALSE,"Jun00";"T8-Jun",#N/A,FALSE,"Jun00";"T9-Jun",#N/A,FALSE,"Jun00";"T13&amp;14-Jun",#N/A,FALSE,"Jun00"}</definedName>
    <definedName name="www" localSheetId="4" hidden="1">{"T6-Jun",#N/A,FALSE,"Jun00";"T7-Jun",#N/A,FALSE,"Jun00";"T8-Jun",#N/A,FALSE,"Jun00";"T9-Jun",#N/A,FALSE,"Jun00";"T13&amp;14-Jun",#N/A,FALSE,"Jun00"}</definedName>
    <definedName name="www" localSheetId="1" hidden="1">{"T6-Jun",#N/A,FALSE,"Jun00";"T7-Jun",#N/A,FALSE,"Jun00";"T8-Jun",#N/A,FALSE,"Jun00";"T9-Jun",#N/A,FALSE,"Jun00";"T13&amp;14-Jun",#N/A,FALSE,"Jun00"}</definedName>
    <definedName name="www" localSheetId="13" hidden="1">{"T6-Jun",#N/A,FALSE,"Jun00";"T7-Jun",#N/A,FALSE,"Jun00";"T8-Jun",#N/A,FALSE,"Jun00";"T9-Jun",#N/A,FALSE,"Jun00";"T13&amp;14-Jun",#N/A,FALSE,"Jun00"}</definedName>
    <definedName name="www" localSheetId="0" hidden="1">{"T6-Jun",#N/A,FALSE,"Jun00";"T7-Jun",#N/A,FALSE,"Jun00";"T8-Jun",#N/A,FALSE,"Jun00";"T9-Jun",#N/A,FALSE,"Jun00";"T13&amp;14-Jun",#N/A,FALSE,"Jun00"}</definedName>
    <definedName name="www" hidden="1">{"T6-Jun",#N/A,FALSE,"Jun00";"T7-Jun",#N/A,FALSE,"Jun00";"T8-Jun",#N/A,FALSE,"Jun00";"T9-Jun",#N/A,FALSE,"Jun00";"T13&amp;14-Jun",#N/A,FALSE,"Jun00"}</definedName>
    <definedName name="XLS">#REF!</definedName>
    <definedName name="xx" localSheetId="3" hidden="1">{"t13&amp;t14Aug",#N/A,FALSE,"Aug00";"t9Aug",#N/A,FALSE,"Aug00";"t8Aug",#N/A,FALSE,"Aug00";"t7Aug",#N/A,FALSE,"Aug00";"t6Aug",#N/A,FALSE,"Aug00"}</definedName>
    <definedName name="xx" localSheetId="2" hidden="1">{"t13&amp;t14Aug",#N/A,FALSE,"Aug00";"t9Aug",#N/A,FALSE,"Aug00";"t8Aug",#N/A,FALSE,"Aug00";"t7Aug",#N/A,FALSE,"Aug00";"t6Aug",#N/A,FALSE,"Aug00"}</definedName>
    <definedName name="xx" localSheetId="4" hidden="1">{"t13&amp;t14Aug",#N/A,FALSE,"Aug00";"t9Aug",#N/A,FALSE,"Aug00";"t8Aug",#N/A,FALSE,"Aug00";"t7Aug",#N/A,FALSE,"Aug00";"t6Aug",#N/A,FALSE,"Aug00"}</definedName>
    <definedName name="xx" localSheetId="1" hidden="1">{"t13&amp;t14Aug",#N/A,FALSE,"Aug00";"t9Aug",#N/A,FALSE,"Aug00";"t8Aug",#N/A,FALSE,"Aug00";"t7Aug",#N/A,FALSE,"Aug00";"t6Aug",#N/A,FALSE,"Aug00"}</definedName>
    <definedName name="xx" localSheetId="13" hidden="1">{"t13&amp;t14Aug",#N/A,FALSE,"Aug00";"t9Aug",#N/A,FALSE,"Aug00";"t8Aug",#N/A,FALSE,"Aug00";"t7Aug",#N/A,FALSE,"Aug00";"t6Aug",#N/A,FALSE,"Aug00"}</definedName>
    <definedName name="xx" localSheetId="0" hidden="1">{"t13&amp;t14Aug",#N/A,FALSE,"Aug00";"t9Aug",#N/A,FALSE,"Aug00";"t8Aug",#N/A,FALSE,"Aug00";"t7Aug",#N/A,FALSE,"Aug00";"t6Aug",#N/A,FALSE,"Aug00"}</definedName>
    <definedName name="xx" hidden="1">{"t13&amp;t14Aug",#N/A,FALSE,"Aug00";"t9Aug",#N/A,FALSE,"Aug00";"t8Aug",#N/A,FALSE,"Aug00";"t7Aug",#N/A,FALSE,"Aug00";"t6Aug",#N/A,FALSE,"Aug00"}</definedName>
    <definedName name="xxx" localSheetId="3" hidden="1">{"t13&amp;14-jul",#N/A,FALSE,"Jul00";"t9-jul",#N/A,FALSE,"Jul00";"t8-jul",#N/A,FALSE,"Jul00";"t7-jul",#N/A,FALSE,"Jul00";"t6-jul",#N/A,FALSE,"Jul00"}</definedName>
    <definedName name="xxx" localSheetId="2" hidden="1">{"t13&amp;14-jul",#N/A,FALSE,"Jul00";"t9-jul",#N/A,FALSE,"Jul00";"t8-jul",#N/A,FALSE,"Jul00";"t7-jul",#N/A,FALSE,"Jul00";"t6-jul",#N/A,FALSE,"Jul00"}</definedName>
    <definedName name="xxx" localSheetId="4" hidden="1">{"t13&amp;14-jul",#N/A,FALSE,"Jul00";"t9-jul",#N/A,FALSE,"Jul00";"t8-jul",#N/A,FALSE,"Jul00";"t7-jul",#N/A,FALSE,"Jul00";"t6-jul",#N/A,FALSE,"Jul00"}</definedName>
    <definedName name="xxx" localSheetId="1" hidden="1">{"t13&amp;14-jul",#N/A,FALSE,"Jul00";"t9-jul",#N/A,FALSE,"Jul00";"t8-jul",#N/A,FALSE,"Jul00";"t7-jul",#N/A,FALSE,"Jul00";"t6-jul",#N/A,FALSE,"Jul00"}</definedName>
    <definedName name="xxx" localSheetId="13" hidden="1">{"t13&amp;14-jul",#N/A,FALSE,"Jul00";"t9-jul",#N/A,FALSE,"Jul00";"t8-jul",#N/A,FALSE,"Jul00";"t7-jul",#N/A,FALSE,"Jul00";"t6-jul",#N/A,FALSE,"Jul00"}</definedName>
    <definedName name="xxx" localSheetId="0" hidden="1">{"t13&amp;14-jul",#N/A,FALSE,"Jul00";"t9-jul",#N/A,FALSE,"Jul00";"t8-jul",#N/A,FALSE,"Jul00";"t7-jul",#N/A,FALSE,"Jul00";"t6-jul",#N/A,FALSE,"Jul00"}</definedName>
    <definedName name="xxx" hidden="1">{"t13&amp;14-jul",#N/A,FALSE,"Jul00";"t9-jul",#N/A,FALSE,"Jul00";"t8-jul",#N/A,FALSE,"Jul00";"t7-jul",#N/A,FALSE,"Jul00";"t6-jul",#N/A,FALSE,"Jul00"}</definedName>
    <definedName name="Y_R">#REF!</definedName>
    <definedName name="Y_S">#REF!</definedName>
    <definedName name="Year">#REF!</definedName>
    <definedName name="YesNo">#REF!</definedName>
    <definedName name="Yield">#REF!</definedName>
    <definedName name="YieldCB">#REF!</definedName>
    <definedName name="글로벌증시">#REF!</definedName>
    <definedName name="단위_백만원">#REF!</definedName>
    <definedName name="ㅁ1">#REF!</definedName>
    <definedName name="미국증시">#REF!</definedName>
    <definedName name="태국매출" localSheetId="3" hidden="1">{"t13&amp;t14Aug",#N/A,FALSE,"Aug00";"t9Aug",#N/A,FALSE,"Aug00";"t8Aug",#N/A,FALSE,"Aug00";"t7Aug",#N/A,FALSE,"Aug00";"t6Aug",#N/A,FALSE,"Aug00"}</definedName>
    <definedName name="태국매출" localSheetId="2" hidden="1">{"t13&amp;t14Aug",#N/A,FALSE,"Aug00";"t9Aug",#N/A,FALSE,"Aug00";"t8Aug",#N/A,FALSE,"Aug00";"t7Aug",#N/A,FALSE,"Aug00";"t6Aug",#N/A,FALSE,"Aug00"}</definedName>
    <definedName name="태국매출" localSheetId="4" hidden="1">{"t13&amp;t14Aug",#N/A,FALSE,"Aug00";"t9Aug",#N/A,FALSE,"Aug00";"t8Aug",#N/A,FALSE,"Aug00";"t7Aug",#N/A,FALSE,"Aug00";"t6Aug",#N/A,FALSE,"Aug00"}</definedName>
    <definedName name="태국매출" localSheetId="1" hidden="1">{"t13&amp;t14Aug",#N/A,FALSE,"Aug00";"t9Aug",#N/A,FALSE,"Aug00";"t8Aug",#N/A,FALSE,"Aug00";"t7Aug",#N/A,FALSE,"Aug00";"t6Aug",#N/A,FALSE,"Aug00"}</definedName>
    <definedName name="태국매출" localSheetId="13" hidden="1">{"t13&amp;t14Aug",#N/A,FALSE,"Aug00";"t9Aug",#N/A,FALSE,"Aug00";"t8Aug",#N/A,FALSE,"Aug00";"t7Aug",#N/A,FALSE,"Aug00";"t6Aug",#N/A,FALSE,"Aug00"}</definedName>
    <definedName name="태국매출" localSheetId="0" hidden="1">{"t13&amp;t14Aug",#N/A,FALSE,"Aug00";"t9Aug",#N/A,FALSE,"Aug00";"t8Aug",#N/A,FALSE,"Aug00";"t7Aug",#N/A,FALSE,"Aug00";"t6Aug",#N/A,FALSE,"Aug00"}</definedName>
    <definedName name="태국매출" hidden="1">{"t13&amp;t14Aug",#N/A,FALSE,"Aug00";"t9Aug",#N/A,FALSE,"Aug00";"t8Aug",#N/A,FALSE,"Aug00";"t7Aug",#N/A,FALSE,"Aug00";"t6Aug",#N/A,FALSE,"Aug00"}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20" l="1"/>
  <c r="C33" i="33"/>
  <c r="F80" i="43"/>
  <c r="F79" i="43"/>
  <c r="F78" i="43"/>
  <c r="F77" i="43"/>
  <c r="F76" i="43"/>
  <c r="F75" i="43"/>
  <c r="F74" i="43"/>
  <c r="F73" i="43"/>
  <c r="F72" i="43"/>
  <c r="F71" i="43"/>
  <c r="F70" i="43"/>
  <c r="F69" i="43"/>
  <c r="F68" i="43"/>
  <c r="F67" i="43"/>
  <c r="F66" i="43"/>
  <c r="F65" i="43"/>
  <c r="F64" i="43"/>
  <c r="F63" i="43"/>
  <c r="F62" i="43"/>
  <c r="F61" i="43"/>
  <c r="F60" i="43"/>
  <c r="F59" i="43"/>
  <c r="F58" i="43"/>
  <c r="F57" i="43"/>
  <c r="F56" i="43"/>
  <c r="F55" i="43"/>
  <c r="F54" i="43"/>
  <c r="F53" i="43"/>
  <c r="F52" i="43"/>
  <c r="F51" i="43"/>
  <c r="F50" i="43"/>
  <c r="F49" i="43"/>
  <c r="F48" i="43"/>
  <c r="F47" i="43"/>
  <c r="F46" i="43"/>
  <c r="F45" i="43"/>
  <c r="F44" i="43"/>
  <c r="F43" i="43"/>
  <c r="F42" i="43"/>
  <c r="F41" i="43"/>
  <c r="F40" i="43"/>
  <c r="F39" i="43"/>
  <c r="F38" i="43"/>
  <c r="F37" i="43"/>
  <c r="F36" i="43"/>
  <c r="F35" i="43"/>
  <c r="F34" i="43"/>
  <c r="F33" i="43"/>
  <c r="F32" i="43"/>
  <c r="F31" i="43"/>
  <c r="F30" i="43"/>
  <c r="F29" i="43"/>
  <c r="F28" i="43"/>
  <c r="F27" i="43"/>
  <c r="F26" i="43"/>
  <c r="F25" i="43"/>
  <c r="F24" i="43"/>
  <c r="F23" i="43"/>
  <c r="F22" i="43"/>
  <c r="F21" i="43"/>
  <c r="C8" i="20" s="1"/>
  <c r="F20" i="43"/>
  <c r="F19" i="43"/>
  <c r="F18" i="43"/>
  <c r="F17" i="43"/>
  <c r="F16" i="43"/>
  <c r="F15" i="43"/>
  <c r="F14" i="43"/>
  <c r="F13" i="43"/>
  <c r="F12" i="43"/>
  <c r="F11" i="43"/>
  <c r="F10" i="43"/>
  <c r="F9" i="43"/>
  <c r="F8" i="43"/>
  <c r="F7" i="43"/>
  <c r="F6" i="43"/>
  <c r="F5" i="43"/>
  <c r="D24" i="11" l="1"/>
  <c r="C24" i="11"/>
  <c r="C14" i="25"/>
  <c r="C11" i="25"/>
  <c r="W18" i="11" a="1"/>
  <c r="W18" i="11" s="1"/>
  <c r="U18" i="11" a="1"/>
  <c r="U18" i="11" s="1"/>
  <c r="E59" i="11"/>
  <c r="D59" i="11"/>
  <c r="E60" i="11" s="1" a="1"/>
  <c r="E60" i="11" s="1"/>
  <c r="C59" i="11"/>
  <c r="F41" i="11"/>
  <c r="G41" i="11" s="1"/>
  <c r="F35" i="11"/>
  <c r="G35" i="11" s="1"/>
  <c r="H35" i="11" s="1"/>
  <c r="I35" i="11" s="1"/>
  <c r="J35" i="11" s="1"/>
  <c r="F33" i="11"/>
  <c r="G33" i="11" s="1"/>
  <c r="H9" i="38"/>
  <c r="F19" i="12"/>
  <c r="G19" i="12" s="1"/>
  <c r="F15" i="12"/>
  <c r="G15" i="12" s="1"/>
  <c r="C13" i="25"/>
  <c r="H15" i="12" l="1"/>
  <c r="H19" i="12"/>
  <c r="I19" i="12" s="1"/>
  <c r="I9" i="38"/>
  <c r="H41" i="11"/>
  <c r="J19" i="12" l="1"/>
  <c r="I15" i="12"/>
  <c r="J15" i="12" s="1"/>
  <c r="J9" i="38"/>
  <c r="I41" i="11"/>
  <c r="J41" i="11" s="1"/>
  <c r="K9" i="38" l="1"/>
  <c r="L9" i="38" s="1"/>
  <c r="F16" i="12"/>
  <c r="F59" i="42"/>
  <c r="G59" i="42" s="1"/>
  <c r="H59" i="42" s="1"/>
  <c r="I59" i="42" s="1"/>
  <c r="J59" i="42" s="1"/>
  <c r="F54" i="42"/>
  <c r="F53" i="42"/>
  <c r="G53" i="42" s="1"/>
  <c r="F45" i="42"/>
  <c r="G45" i="42" s="1"/>
  <c r="J44" i="42"/>
  <c r="F44" i="42" s="1"/>
  <c r="G44" i="42" s="1"/>
  <c r="H44" i="42" s="1"/>
  <c r="I44" i="42" s="1"/>
  <c r="F43" i="42"/>
  <c r="G43" i="42" s="1"/>
  <c r="H43" i="42" s="1"/>
  <c r="I43" i="42" s="1"/>
  <c r="J43" i="42" s="1"/>
  <c r="F42" i="42"/>
  <c r="G42" i="42" s="1"/>
  <c r="H42" i="42" s="1"/>
  <c r="I42" i="42" s="1"/>
  <c r="J42" i="42" s="1"/>
  <c r="J66" i="42"/>
  <c r="I66" i="42"/>
  <c r="H66" i="42"/>
  <c r="G66" i="42"/>
  <c r="F66" i="42"/>
  <c r="F65" i="42"/>
  <c r="G65" i="42" s="1"/>
  <c r="H65" i="42" s="1"/>
  <c r="I65" i="42" s="1"/>
  <c r="J65" i="42" s="1"/>
  <c r="F64" i="42"/>
  <c r="G64" i="42" s="1"/>
  <c r="H64" i="42" s="1"/>
  <c r="I64" i="42" s="1"/>
  <c r="J64" i="42" s="1"/>
  <c r="F63" i="42"/>
  <c r="G63" i="42" s="1"/>
  <c r="H63" i="42" s="1"/>
  <c r="I63" i="42" s="1"/>
  <c r="J63" i="42" s="1"/>
  <c r="G54" i="42" l="1"/>
  <c r="F34" i="42"/>
  <c r="G34" i="42" s="1"/>
  <c r="H34" i="42" s="1"/>
  <c r="I34" i="42" s="1"/>
  <c r="J34" i="42" s="1"/>
  <c r="H54" i="42" l="1"/>
  <c r="I54" i="42" s="1"/>
  <c r="J54" i="42" s="1"/>
  <c r="F48" i="42"/>
  <c r="F47" i="42"/>
  <c r="F38" i="42"/>
  <c r="G38" i="42" s="1"/>
  <c r="F35" i="42"/>
  <c r="G35" i="42" s="1"/>
  <c r="H35" i="42" s="1"/>
  <c r="I35" i="42" s="1"/>
  <c r="J35" i="42" s="1"/>
  <c r="F33" i="42"/>
  <c r="G33" i="42" s="1"/>
  <c r="H33" i="42" s="1"/>
  <c r="I33" i="42" s="1"/>
  <c r="J33" i="42" s="1"/>
  <c r="F26" i="42"/>
  <c r="F25" i="42"/>
  <c r="F21" i="42"/>
  <c r="G21" i="42" s="1"/>
  <c r="H21" i="42" s="1"/>
  <c r="I21" i="42" s="1"/>
  <c r="J21" i="42" s="1"/>
  <c r="J13" i="42"/>
  <c r="F13" i="42" s="1"/>
  <c r="F28" i="42"/>
  <c r="G28" i="42" s="1"/>
  <c r="H28" i="42" s="1"/>
  <c r="I28" i="42" s="1"/>
  <c r="J28" i="42" s="1"/>
  <c r="E62" i="42"/>
  <c r="E61" i="42" s="1"/>
  <c r="E75" i="42" s="1"/>
  <c r="D62" i="42"/>
  <c r="D61" i="42" s="1"/>
  <c r="D75" i="42" s="1"/>
  <c r="C62" i="42"/>
  <c r="C61" i="42" s="1"/>
  <c r="C75" i="42" s="1"/>
  <c r="F60" i="42"/>
  <c r="F58" i="42"/>
  <c r="F57" i="42"/>
  <c r="G57" i="42" s="1"/>
  <c r="H57" i="42" s="1"/>
  <c r="F56" i="42"/>
  <c r="G56" i="42" s="1"/>
  <c r="F55" i="42"/>
  <c r="E52" i="42"/>
  <c r="D52" i="42"/>
  <c r="C52" i="42"/>
  <c r="F49" i="42"/>
  <c r="E46" i="42"/>
  <c r="D46" i="42"/>
  <c r="C46" i="42"/>
  <c r="E41" i="42"/>
  <c r="D41" i="42"/>
  <c r="C41" i="42"/>
  <c r="F40" i="42"/>
  <c r="F39" i="42"/>
  <c r="F32" i="42"/>
  <c r="G32" i="42" s="1"/>
  <c r="F31" i="42"/>
  <c r="F30" i="42"/>
  <c r="F29" i="42"/>
  <c r="F27" i="42"/>
  <c r="G27" i="42" s="1"/>
  <c r="E24" i="42"/>
  <c r="E23" i="42" s="1"/>
  <c r="D24" i="42"/>
  <c r="D23" i="42" s="1"/>
  <c r="C24" i="42"/>
  <c r="C23" i="42" s="1"/>
  <c r="F20" i="42"/>
  <c r="E17" i="42"/>
  <c r="D17" i="42"/>
  <c r="C17" i="42"/>
  <c r="F15" i="42"/>
  <c r="G15" i="42" s="1"/>
  <c r="H15" i="42" s="1"/>
  <c r="F14" i="42"/>
  <c r="F11" i="42"/>
  <c r="E10" i="42"/>
  <c r="D10" i="42"/>
  <c r="C10" i="42"/>
  <c r="F9" i="42"/>
  <c r="G9" i="42" s="1"/>
  <c r="H9" i="42" s="1"/>
  <c r="I9" i="42" s="1"/>
  <c r="J9" i="42" s="1"/>
  <c r="F8" i="42"/>
  <c r="G8" i="42" s="1"/>
  <c r="C72" i="42"/>
  <c r="D72" i="42"/>
  <c r="E72" i="42"/>
  <c r="E73" i="42" s="1"/>
  <c r="F72" i="42"/>
  <c r="G72" i="42"/>
  <c r="H72" i="42"/>
  <c r="F73" i="42" l="1"/>
  <c r="C7" i="42"/>
  <c r="C6" i="42" s="1"/>
  <c r="D73" i="42"/>
  <c r="F19" i="42" s="1"/>
  <c r="G19" i="42" s="1"/>
  <c r="H19" i="42" s="1"/>
  <c r="H73" i="42"/>
  <c r="G73" i="42"/>
  <c r="F12" i="42"/>
  <c r="G12" i="42" s="1"/>
  <c r="H12" i="42" s="1"/>
  <c r="F46" i="42"/>
  <c r="D37" i="42"/>
  <c r="D36" i="42" s="1"/>
  <c r="F24" i="42"/>
  <c r="D7" i="42"/>
  <c r="D6" i="42" s="1"/>
  <c r="E7" i="42"/>
  <c r="E6" i="42" s="1"/>
  <c r="E37" i="42"/>
  <c r="E36" i="42" s="1"/>
  <c r="F18" i="42"/>
  <c r="G18" i="42" s="1"/>
  <c r="H18" i="42" s="1"/>
  <c r="I18" i="42" s="1"/>
  <c r="J18" i="42" s="1"/>
  <c r="G26" i="42"/>
  <c r="H26" i="42" s="1"/>
  <c r="I26" i="42" s="1"/>
  <c r="J26" i="42" s="1"/>
  <c r="G48" i="42"/>
  <c r="G47" i="42"/>
  <c r="H47" i="42" s="1"/>
  <c r="H38" i="42"/>
  <c r="I38" i="42" s="1"/>
  <c r="I15" i="42"/>
  <c r="J15" i="42" s="1"/>
  <c r="I57" i="42"/>
  <c r="J57" i="42" s="1"/>
  <c r="H8" i="42"/>
  <c r="G30" i="42"/>
  <c r="F52" i="42"/>
  <c r="G55" i="42"/>
  <c r="H55" i="42" s="1"/>
  <c r="I55" i="42" s="1"/>
  <c r="H32" i="42"/>
  <c r="I32" i="42" s="1"/>
  <c r="H53" i="42"/>
  <c r="G14" i="42"/>
  <c r="H14" i="42" s="1"/>
  <c r="G49" i="42"/>
  <c r="G58" i="42"/>
  <c r="G29" i="42"/>
  <c r="G31" i="42"/>
  <c r="H31" i="42" s="1"/>
  <c r="C37" i="42"/>
  <c r="G39" i="42"/>
  <c r="H56" i="42"/>
  <c r="G25" i="42"/>
  <c r="H25" i="42" s="1"/>
  <c r="H27" i="42"/>
  <c r="G11" i="42"/>
  <c r="G20" i="42"/>
  <c r="H20" i="42" s="1"/>
  <c r="G40" i="42"/>
  <c r="G60" i="42"/>
  <c r="H60" i="42" s="1"/>
  <c r="I12" i="42" l="1"/>
  <c r="J12" i="42" s="1"/>
  <c r="I19" i="42"/>
  <c r="J19" i="42" s="1"/>
  <c r="F23" i="42"/>
  <c r="I27" i="42"/>
  <c r="J27" i="42" s="1"/>
  <c r="J32" i="42"/>
  <c r="G46" i="42"/>
  <c r="H29" i="42"/>
  <c r="I29" i="42" s="1"/>
  <c r="H48" i="42"/>
  <c r="I48" i="42" s="1"/>
  <c r="J48" i="42" s="1"/>
  <c r="I47" i="42"/>
  <c r="J47" i="42" s="1"/>
  <c r="I25" i="42"/>
  <c r="J25" i="42" s="1"/>
  <c r="H39" i="42"/>
  <c r="I39" i="42" s="1"/>
  <c r="J39" i="42" s="1"/>
  <c r="C36" i="42"/>
  <c r="H49" i="42"/>
  <c r="I49" i="42" s="1"/>
  <c r="I53" i="42"/>
  <c r="I8" i="42"/>
  <c r="F17" i="42"/>
  <c r="H45" i="42"/>
  <c r="I45" i="42" s="1"/>
  <c r="H40" i="42"/>
  <c r="H24" i="42"/>
  <c r="H58" i="42"/>
  <c r="I58" i="42" s="1"/>
  <c r="H11" i="42"/>
  <c r="I11" i="42" s="1"/>
  <c r="I31" i="42"/>
  <c r="J31" i="42" s="1"/>
  <c r="I60" i="42"/>
  <c r="J60" i="42" s="1"/>
  <c r="I20" i="42"/>
  <c r="J20" i="42" s="1"/>
  <c r="G24" i="42"/>
  <c r="G23" i="42" s="1"/>
  <c r="G52" i="42"/>
  <c r="J55" i="42"/>
  <c r="H30" i="42"/>
  <c r="I30" i="42" s="1"/>
  <c r="I56" i="42"/>
  <c r="J56" i="42" s="1"/>
  <c r="I14" i="42"/>
  <c r="J14" i="42" s="1"/>
  <c r="C80" i="42"/>
  <c r="C81" i="42"/>
  <c r="C82" i="42" l="1"/>
  <c r="C83" i="42" s="1"/>
  <c r="J30" i="42"/>
  <c r="J24" i="42"/>
  <c r="L24" i="42" s="1"/>
  <c r="H23" i="42"/>
  <c r="H52" i="42"/>
  <c r="J29" i="42"/>
  <c r="I40" i="42"/>
  <c r="J40" i="42" s="1"/>
  <c r="I24" i="42"/>
  <c r="I23" i="42" s="1"/>
  <c r="G17" i="42"/>
  <c r="I46" i="42"/>
  <c r="J8" i="42"/>
  <c r="I52" i="42"/>
  <c r="J49" i="42"/>
  <c r="J11" i="42"/>
  <c r="J53" i="42"/>
  <c r="J58" i="42"/>
  <c r="H46" i="42"/>
  <c r="J38" i="42"/>
  <c r="J45" i="42"/>
  <c r="J23" i="42" l="1"/>
  <c r="H17" i="42"/>
  <c r="J52" i="42"/>
  <c r="J46" i="42"/>
  <c r="I17" i="42" l="1"/>
  <c r="J17" i="42"/>
  <c r="H14" i="25" l="1"/>
  <c r="C10" i="25" s="1"/>
  <c r="C12" i="25" l="1"/>
  <c r="H7" i="25"/>
  <c r="C55" i="40" l="1"/>
  <c r="E24" i="11"/>
  <c r="E25" i="11" s="1" a="1"/>
  <c r="E25" i="11" s="1"/>
  <c r="D20" i="37" l="1"/>
  <c r="E20" i="37"/>
  <c r="F20" i="37"/>
  <c r="G20" i="37"/>
  <c r="H20" i="37"/>
  <c r="I20" i="37"/>
  <c r="J20" i="37"/>
  <c r="K20" i="37"/>
  <c r="L20" i="37"/>
  <c r="C20" i="37"/>
  <c r="D18" i="37"/>
  <c r="E18" i="37"/>
  <c r="F18" i="37"/>
  <c r="G18" i="37"/>
  <c r="H18" i="37"/>
  <c r="I18" i="37"/>
  <c r="J18" i="37"/>
  <c r="K18" i="37"/>
  <c r="L18" i="37"/>
  <c r="C18" i="37"/>
  <c r="S36" i="11" l="1"/>
  <c r="S35" i="11"/>
  <c r="S34" i="11"/>
  <c r="S33" i="11"/>
  <c r="S32" i="11"/>
  <c r="E43" i="11"/>
  <c r="D43" i="11"/>
  <c r="C43" i="11"/>
  <c r="H33" i="11"/>
  <c r="I33" i="11" s="1"/>
  <c r="J33" i="11" s="1"/>
  <c r="F43" i="11" l="1"/>
  <c r="G43" i="11" s="1"/>
  <c r="H43" i="11" s="1"/>
  <c r="S37" i="11"/>
  <c r="I39" i="11" l="1"/>
  <c r="J39" i="11"/>
  <c r="H39" i="11"/>
  <c r="G39" i="11"/>
  <c r="F39" i="11"/>
  <c r="F40" i="11" s="1"/>
  <c r="I43" i="11"/>
  <c r="J43" i="11" s="1"/>
  <c r="D17" i="33"/>
  <c r="E17" i="33"/>
  <c r="C17" i="33"/>
  <c r="D10" i="33"/>
  <c r="E10" i="33"/>
  <c r="F10" i="33"/>
  <c r="G10" i="33"/>
  <c r="D11" i="33"/>
  <c r="E11" i="33"/>
  <c r="F11" i="33"/>
  <c r="G11" i="33"/>
  <c r="C11" i="33"/>
  <c r="C10" i="33"/>
  <c r="D8" i="33"/>
  <c r="E8" i="33"/>
  <c r="C8" i="33"/>
  <c r="V18" i="11" a="1"/>
  <c r="V18" i="11" s="1"/>
  <c r="X18" i="11" a="1"/>
  <c r="X18" i="11" s="1"/>
  <c r="H12" i="11"/>
  <c r="F68" i="40" l="1"/>
  <c r="F67" i="40"/>
  <c r="G16" i="11"/>
  <c r="H16" i="11"/>
  <c r="I16" i="11"/>
  <c r="J16" i="11"/>
  <c r="F16" i="11"/>
  <c r="C17" i="11" l="1"/>
  <c r="D17" i="11"/>
  <c r="E17" i="11"/>
  <c r="J12" i="11"/>
  <c r="I12" i="11"/>
  <c r="C21" i="11"/>
  <c r="D21" i="11"/>
  <c r="E21" i="11"/>
  <c r="C19" i="11"/>
  <c r="D19" i="11"/>
  <c r="E19" i="11"/>
  <c r="C12" i="11"/>
  <c r="D12" i="11"/>
  <c r="E12" i="11"/>
  <c r="F12" i="11" s="1"/>
  <c r="G12" i="11" s="1"/>
  <c r="K68" i="40"/>
  <c r="J68" i="40"/>
  <c r="L68" i="40"/>
  <c r="I68" i="40"/>
  <c r="I67" i="40" s="1"/>
  <c r="C68" i="40"/>
  <c r="C67" i="40"/>
  <c r="F17" i="11" l="1" a="1"/>
  <c r="F17" i="11" s="1"/>
  <c r="J67" i="40"/>
  <c r="K67" i="40"/>
  <c r="F19" i="11" a="1"/>
  <c r="F19" i="11" s="1"/>
  <c r="F21" i="11" a="1"/>
  <c r="F21" i="11" s="1"/>
  <c r="L67" i="40"/>
  <c r="C69" i="40"/>
  <c r="G17" i="11" l="1" a="1"/>
  <c r="G17" i="11" s="1"/>
  <c r="G19" i="11" a="1"/>
  <c r="G19" i="11" s="1"/>
  <c r="H19" i="11" s="1" a="1"/>
  <c r="H19" i="11" s="1"/>
  <c r="G21" i="11" a="1"/>
  <c r="G21" i="11" s="1"/>
  <c r="H21" i="11" s="1" a="1"/>
  <c r="H21" i="11" s="1"/>
  <c r="H17" i="11" l="1" a="1"/>
  <c r="H17" i="11" s="1"/>
  <c r="I17" i="11" s="1" a="1"/>
  <c r="I17" i="11" s="1"/>
  <c r="I21" i="11" a="1"/>
  <c r="I21" i="11" s="1"/>
  <c r="I19" i="11" a="1"/>
  <c r="I19" i="11" s="1"/>
  <c r="J17" i="11" l="1" a="1"/>
  <c r="J17" i="11" s="1"/>
  <c r="J21" i="11" a="1"/>
  <c r="J21" i="11" s="1"/>
  <c r="J19" i="11" a="1"/>
  <c r="J19" i="11" s="1"/>
  <c r="D55" i="40" l="1"/>
  <c r="E57" i="40" s="1"/>
  <c r="H57" i="40" s="1"/>
  <c r="E55" i="40"/>
  <c r="F57" i="40" s="1"/>
  <c r="F55" i="40"/>
  <c r="G57" i="40" s="1"/>
  <c r="G55" i="40"/>
  <c r="D57" i="40"/>
  <c r="E35" i="40"/>
  <c r="E20" i="40"/>
  <c r="F20" i="40"/>
  <c r="G20" i="40"/>
  <c r="D20" i="40"/>
  <c r="C20" i="40"/>
  <c r="H134" i="41"/>
  <c r="H19" i="40" s="1"/>
  <c r="H122" i="41"/>
  <c r="H116" i="41"/>
  <c r="H105" i="41"/>
  <c r="H100" i="41"/>
  <c r="H82" i="41"/>
  <c r="H87" i="41" s="1"/>
  <c r="H79" i="41"/>
  <c r="H63" i="41"/>
  <c r="H54" i="41"/>
  <c r="H31" i="41"/>
  <c r="H26" i="41"/>
  <c r="H32" i="41" s="1"/>
  <c r="H11" i="41"/>
  <c r="H20" i="40" l="1"/>
  <c r="H88" i="41"/>
  <c r="L57" i="40" a="1"/>
  <c r="L57" i="40" s="1"/>
  <c r="I57" i="40" s="1"/>
  <c r="J57" i="40" s="1"/>
  <c r="K57" i="40" s="1"/>
  <c r="H123" i="41"/>
  <c r="H64" i="41"/>
  <c r="H106" i="41"/>
  <c r="I19" i="40"/>
  <c r="H56" i="40"/>
  <c r="H7" i="40"/>
  <c r="H8" i="38" s="1"/>
  <c r="I20" i="40" l="1"/>
  <c r="J19" i="40"/>
  <c r="K19" i="40" s="1"/>
  <c r="I7" i="40"/>
  <c r="H135" i="41"/>
  <c r="H55" i="40"/>
  <c r="I56" i="40" s="1"/>
  <c r="I55" i="40" s="1"/>
  <c r="C44" i="40"/>
  <c r="H11" i="40"/>
  <c r="J20" i="40" l="1"/>
  <c r="L19" i="40"/>
  <c r="I8" i="38"/>
  <c r="C45" i="40"/>
  <c r="J7" i="40"/>
  <c r="I11" i="40"/>
  <c r="K20" i="40"/>
  <c r="K7" i="40"/>
  <c r="K8" i="38" s="1"/>
  <c r="J8" i="38" l="1"/>
  <c r="C46" i="40"/>
  <c r="J56" i="40"/>
  <c r="L20" i="40"/>
  <c r="L7" i="40"/>
  <c r="L8" i="38" s="1"/>
  <c r="J11" i="40" l="1"/>
  <c r="D33" i="33" l="1"/>
  <c r="E33" i="33"/>
  <c r="G30" i="38"/>
  <c r="F30" i="38"/>
  <c r="E30" i="38"/>
  <c r="D30" i="38"/>
  <c r="E34" i="33" l="1" a="1"/>
  <c r="E34" i="33" s="1"/>
  <c r="C31" i="38"/>
  <c r="H23" i="38" s="1"/>
  <c r="H16" i="38" s="1"/>
  <c r="I23" i="38" s="1"/>
  <c r="I7" i="38"/>
  <c r="J7" i="38"/>
  <c r="H7" i="38"/>
  <c r="F8" i="33" l="1"/>
  <c r="H8" i="33"/>
  <c r="G8" i="33"/>
  <c r="I16" i="38"/>
  <c r="J23" i="38" s="1"/>
  <c r="K7" i="38"/>
  <c r="L7" i="38"/>
  <c r="J8" i="33" l="1"/>
  <c r="I8" i="33"/>
  <c r="J16" i="38"/>
  <c r="K23" i="38" s="1"/>
  <c r="K16" i="38" s="1"/>
  <c r="L23" i="38" s="1"/>
  <c r="L16" i="38" s="1"/>
  <c r="O67" i="37" l="1"/>
  <c r="O74" i="37"/>
  <c r="O81" i="37"/>
  <c r="F103" i="37"/>
  <c r="F102" i="37"/>
  <c r="F101" i="37"/>
  <c r="F100" i="37"/>
  <c r="F99" i="37"/>
  <c r="F98" i="37"/>
  <c r="F97" i="37"/>
  <c r="F96" i="37"/>
  <c r="F95" i="37"/>
  <c r="F94" i="37"/>
  <c r="F93" i="37"/>
  <c r="F92" i="37"/>
  <c r="F91" i="37"/>
  <c r="F90" i="37"/>
  <c r="F89" i="37"/>
  <c r="D9" i="37" l="1"/>
  <c r="F9" i="37"/>
  <c r="H9" i="37"/>
  <c r="I9" i="37"/>
  <c r="J9" i="37"/>
  <c r="K9" i="37"/>
  <c r="L9" i="37"/>
  <c r="G8" i="37"/>
  <c r="H8" i="37"/>
  <c r="I8" i="37"/>
  <c r="J8" i="37"/>
  <c r="K8" i="37"/>
  <c r="L8" i="37"/>
  <c r="C8" i="37"/>
  <c r="G58" i="37"/>
  <c r="G9" i="37" s="1"/>
  <c r="E58" i="37"/>
  <c r="E9" i="37" s="1"/>
  <c r="C58" i="37"/>
  <c r="I79" i="37"/>
  <c r="J79" i="37"/>
  <c r="K79" i="37"/>
  <c r="L79" i="37"/>
  <c r="H79" i="37"/>
  <c r="G79" i="37"/>
  <c r="G80" i="37" s="1"/>
  <c r="G72" i="37"/>
  <c r="H72" i="37"/>
  <c r="I72" i="37"/>
  <c r="J72" i="37"/>
  <c r="F72" i="37"/>
  <c r="E72" i="37"/>
  <c r="E73" i="37" s="1"/>
  <c r="E65" i="37"/>
  <c r="F65" i="37"/>
  <c r="G65" i="37"/>
  <c r="H65" i="37"/>
  <c r="D65" i="37"/>
  <c r="C65" i="37"/>
  <c r="C66" i="37" s="1"/>
  <c r="C28" i="37"/>
  <c r="C11" i="37" s="1"/>
  <c r="O40" i="37"/>
  <c r="O41" i="37" s="1"/>
  <c r="O43" i="37" s="1"/>
  <c r="E27" i="37" s="1"/>
  <c r="E8" i="37" s="1"/>
  <c r="O47" i="37"/>
  <c r="O48" i="37" s="1"/>
  <c r="O50" i="37" s="1"/>
  <c r="F27" i="37" s="1"/>
  <c r="O34" i="37"/>
  <c r="O36" i="37" s="1"/>
  <c r="D27" i="37" s="1"/>
  <c r="D8" i="37" s="1"/>
  <c r="D7" i="35"/>
  <c r="D9" i="33" s="1"/>
  <c r="E7" i="35"/>
  <c r="E9" i="33" s="1"/>
  <c r="F7" i="35"/>
  <c r="F9" i="33" s="1"/>
  <c r="F7" i="33" s="1"/>
  <c r="G7" i="35"/>
  <c r="G9" i="33" s="1"/>
  <c r="G7" i="33" s="1"/>
  <c r="C7" i="35"/>
  <c r="C9" i="33" s="1"/>
  <c r="C7" i="33" s="1"/>
  <c r="H8" i="35"/>
  <c r="D21" i="35"/>
  <c r="E21" i="35"/>
  <c r="F21" i="35"/>
  <c r="G21" i="35"/>
  <c r="C21" i="35"/>
  <c r="D14" i="35"/>
  <c r="E14" i="35"/>
  <c r="C18" i="33" s="1"/>
  <c r="C16" i="33" s="1"/>
  <c r="F14" i="35"/>
  <c r="D18" i="33" s="1"/>
  <c r="D16" i="33" s="1"/>
  <c r="G14" i="35"/>
  <c r="E18" i="33" s="1"/>
  <c r="E16" i="33" s="1"/>
  <c r="C14" i="35"/>
  <c r="K7" i="37" l="1"/>
  <c r="L7" i="37"/>
  <c r="H7" i="37"/>
  <c r="E7" i="37"/>
  <c r="J9" i="35" s="1"/>
  <c r="I7" i="37"/>
  <c r="J7" i="37"/>
  <c r="D7" i="37"/>
  <c r="I9" i="35" s="1"/>
  <c r="G7" i="37"/>
  <c r="L9" i="35" s="1"/>
  <c r="C9" i="37"/>
  <c r="F8" i="37"/>
  <c r="F73" i="37"/>
  <c r="G73" i="37" s="1"/>
  <c r="H73" i="37" s="1"/>
  <c r="I73" i="37" s="1"/>
  <c r="J73" i="37" s="1"/>
  <c r="D66" i="37"/>
  <c r="E66" i="37" s="1"/>
  <c r="F66" i="37" s="1"/>
  <c r="G66" i="37" s="1"/>
  <c r="H66" i="37" s="1"/>
  <c r="C59" i="37"/>
  <c r="H80" i="37"/>
  <c r="I80" i="37" s="1"/>
  <c r="J80" i="37" s="1"/>
  <c r="K80" i="37" s="1"/>
  <c r="L80" i="37" s="1"/>
  <c r="E60" i="37"/>
  <c r="E15" i="37" s="1"/>
  <c r="E19" i="37" s="1"/>
  <c r="L60" i="37"/>
  <c r="L15" i="37" s="1"/>
  <c r="L19" i="37" s="1"/>
  <c r="J34" i="37"/>
  <c r="F34" i="37"/>
  <c r="D34" i="37"/>
  <c r="K34" i="37"/>
  <c r="C34" i="37"/>
  <c r="I34" i="37"/>
  <c r="G34" i="37"/>
  <c r="E34" i="37"/>
  <c r="L34" i="37"/>
  <c r="H34" i="37"/>
  <c r="I41" i="37"/>
  <c r="E41" i="37"/>
  <c r="L41" i="37"/>
  <c r="K41" i="37"/>
  <c r="J41" i="37"/>
  <c r="H41" i="37"/>
  <c r="F41" i="37"/>
  <c r="D41" i="37"/>
  <c r="C41" i="37"/>
  <c r="G41" i="37"/>
  <c r="I48" i="37"/>
  <c r="L48" i="37"/>
  <c r="J48" i="37"/>
  <c r="H48" i="37"/>
  <c r="F48" i="37"/>
  <c r="E48" i="37"/>
  <c r="G48" i="37"/>
  <c r="D48" i="37"/>
  <c r="K48" i="37"/>
  <c r="I8" i="35"/>
  <c r="F7" i="37" l="1"/>
  <c r="K9" i="35" s="1"/>
  <c r="C7" i="37"/>
  <c r="H9" i="35" s="1"/>
  <c r="H7" i="35" s="1"/>
  <c r="G29" i="37"/>
  <c r="G14" i="37" s="1"/>
  <c r="G17" i="37" s="1"/>
  <c r="C12" i="37"/>
  <c r="E29" i="37"/>
  <c r="D60" i="37"/>
  <c r="D15" i="37" s="1"/>
  <c r="D19" i="37" s="1"/>
  <c r="I60" i="37"/>
  <c r="I15" i="37" s="1"/>
  <c r="I19" i="37" s="1"/>
  <c r="G60" i="37"/>
  <c r="H60" i="37"/>
  <c r="H15" i="37" s="1"/>
  <c r="H19" i="37" s="1"/>
  <c r="L59" i="37"/>
  <c r="L12" i="37" s="1"/>
  <c r="C60" i="37"/>
  <c r="C15" i="37" s="1"/>
  <c r="C19" i="37" s="1"/>
  <c r="D59" i="37"/>
  <c r="D12" i="37" s="1"/>
  <c r="K59" i="37"/>
  <c r="K12" i="37" s="1"/>
  <c r="J60" i="37"/>
  <c r="J15" i="37" s="1"/>
  <c r="J19" i="37" s="1"/>
  <c r="F60" i="37"/>
  <c r="F15" i="37" s="1"/>
  <c r="F19" i="37" s="1"/>
  <c r="K60" i="37"/>
  <c r="K15" i="37" s="1"/>
  <c r="K19" i="37" s="1"/>
  <c r="G59" i="37"/>
  <c r="G12" i="37" s="1"/>
  <c r="C29" i="37"/>
  <c r="C14" i="37" s="1"/>
  <c r="C17" i="37" s="1"/>
  <c r="K29" i="37"/>
  <c r="H29" i="37"/>
  <c r="H14" i="37" s="1"/>
  <c r="H17" i="37" s="1"/>
  <c r="F29" i="37"/>
  <c r="F14" i="37" s="1"/>
  <c r="F17" i="37" s="1"/>
  <c r="I29" i="37"/>
  <c r="D29" i="37"/>
  <c r="L29" i="37"/>
  <c r="J29" i="37"/>
  <c r="G35" i="37"/>
  <c r="J35" i="37"/>
  <c r="J42" i="37"/>
  <c r="H49" i="37"/>
  <c r="I35" i="37"/>
  <c r="H42" i="37"/>
  <c r="K49" i="37"/>
  <c r="K35" i="37"/>
  <c r="L49" i="37"/>
  <c r="G42" i="37"/>
  <c r="L35" i="37"/>
  <c r="I49" i="37"/>
  <c r="E35" i="37"/>
  <c r="D35" i="37"/>
  <c r="D28" i="37" s="1"/>
  <c r="D11" i="37" s="1"/>
  <c r="J49" i="37"/>
  <c r="F42" i="37"/>
  <c r="F49" i="37"/>
  <c r="F35" i="37"/>
  <c r="E42" i="37"/>
  <c r="H35" i="37"/>
  <c r="I42" i="37"/>
  <c r="G49" i="37"/>
  <c r="L42" i="37"/>
  <c r="K42" i="37"/>
  <c r="J8" i="35"/>
  <c r="J7" i="35" s="1"/>
  <c r="I7" i="35"/>
  <c r="H9" i="33" l="1"/>
  <c r="H16" i="37"/>
  <c r="I9" i="33"/>
  <c r="J9" i="33"/>
  <c r="C16" i="37"/>
  <c r="F14" i="11" s="1"/>
  <c r="F15" i="11" s="1"/>
  <c r="F16" i="37"/>
  <c r="I14" i="11" s="1"/>
  <c r="H13" i="37"/>
  <c r="K8" i="35"/>
  <c r="K7" i="35" s="1"/>
  <c r="E28" i="37"/>
  <c r="E11" i="37" s="1"/>
  <c r="F13" i="37"/>
  <c r="K23" i="35" s="1"/>
  <c r="C10" i="37"/>
  <c r="H16" i="35" s="1"/>
  <c r="D10" i="37"/>
  <c r="I16" i="35" s="1"/>
  <c r="C13" i="37"/>
  <c r="H23" i="35" s="1"/>
  <c r="H28" i="37"/>
  <c r="H11" i="37" s="1"/>
  <c r="J14" i="37"/>
  <c r="E14" i="37"/>
  <c r="E17" i="37" s="1"/>
  <c r="E16" i="37" s="1"/>
  <c r="H14" i="11" s="1"/>
  <c r="D14" i="37"/>
  <c r="D17" i="37" s="1"/>
  <c r="D16" i="37" s="1"/>
  <c r="G14" i="11" s="1"/>
  <c r="L14" i="37"/>
  <c r="G15" i="37"/>
  <c r="G19" i="37" s="1"/>
  <c r="G16" i="37" s="1"/>
  <c r="J14" i="11" s="1"/>
  <c r="I14" i="37"/>
  <c r="K14" i="37"/>
  <c r="F28" i="37"/>
  <c r="I59" i="37"/>
  <c r="I12" i="37" s="1"/>
  <c r="E59" i="37"/>
  <c r="F59" i="37"/>
  <c r="F12" i="37" s="1"/>
  <c r="J59" i="37"/>
  <c r="J12" i="37" s="1"/>
  <c r="H59" i="37"/>
  <c r="H12" i="37" s="1"/>
  <c r="L28" i="37"/>
  <c r="J28" i="37"/>
  <c r="I28" i="37"/>
  <c r="I11" i="37" s="1"/>
  <c r="K28" i="37"/>
  <c r="G28" i="37"/>
  <c r="F13" i="11" l="1"/>
  <c r="J15" i="11"/>
  <c r="J13" i="11"/>
  <c r="G15" i="11"/>
  <c r="G13" i="11"/>
  <c r="H15" i="11"/>
  <c r="H13" i="11"/>
  <c r="J13" i="37"/>
  <c r="J17" i="37"/>
  <c r="J16" i="37" s="1"/>
  <c r="L13" i="37"/>
  <c r="L17" i="37"/>
  <c r="L16" i="37" s="1"/>
  <c r="K13" i="37"/>
  <c r="K17" i="37"/>
  <c r="K16" i="37" s="1"/>
  <c r="I13" i="37"/>
  <c r="I17" i="37"/>
  <c r="I16" i="37" s="1"/>
  <c r="I13" i="11"/>
  <c r="I15" i="11"/>
  <c r="L8" i="35"/>
  <c r="L7" i="35" s="1"/>
  <c r="I10" i="37"/>
  <c r="G13" i="37"/>
  <c r="L23" i="35" s="1"/>
  <c r="E13" i="37"/>
  <c r="J23" i="35" s="1"/>
  <c r="H10" i="37"/>
  <c r="D13" i="37"/>
  <c r="I23" i="35" s="1"/>
  <c r="E12" i="37"/>
  <c r="J11" i="37"/>
  <c r="J10" i="37" s="1"/>
  <c r="F11" i="37"/>
  <c r="L11" i="37"/>
  <c r="L10" i="37" s="1"/>
  <c r="G11" i="37"/>
  <c r="K11" i="37"/>
  <c r="K10" i="37" s="1"/>
  <c r="E10" i="37" l="1"/>
  <c r="J16" i="35" s="1"/>
  <c r="F10" i="37"/>
  <c r="K16" i="35" s="1"/>
  <c r="G10" i="37"/>
  <c r="L16" i="35" s="1"/>
  <c r="E30" i="35" l="1"/>
  <c r="F30" i="35"/>
  <c r="G30" i="35"/>
  <c r="D30" i="35"/>
  <c r="C31" i="35" l="1"/>
  <c r="H22" i="35" s="1"/>
  <c r="H21" i="35" s="1"/>
  <c r="F52" i="11" l="1"/>
  <c r="F27" i="33"/>
  <c r="H15" i="35"/>
  <c r="H14" i="35" l="1"/>
  <c r="F18" i="33" s="1"/>
  <c r="I22" i="35"/>
  <c r="I21" i="35" s="1"/>
  <c r="G52" i="11" l="1"/>
  <c r="G27" i="33"/>
  <c r="I15" i="35"/>
  <c r="J22" i="35" l="1"/>
  <c r="I14" i="35"/>
  <c r="G18" i="33" s="1"/>
  <c r="E33" i="2"/>
  <c r="F33" i="2"/>
  <c r="G33" i="2"/>
  <c r="D33" i="2"/>
  <c r="E25" i="2"/>
  <c r="F25" i="2"/>
  <c r="G25" i="2"/>
  <c r="D25" i="2"/>
  <c r="H8" i="2"/>
  <c r="H7" i="2"/>
  <c r="H10" i="33" s="1"/>
  <c r="C34" i="2" l="1"/>
  <c r="H18" i="2" s="1"/>
  <c r="F20" i="33" s="1"/>
  <c r="C26" i="2"/>
  <c r="H17" i="2" s="1"/>
  <c r="F19" i="33" s="1"/>
  <c r="I8" i="2"/>
  <c r="H11" i="33"/>
  <c r="H7" i="33" s="1"/>
  <c r="J15" i="35"/>
  <c r="J21" i="35"/>
  <c r="H13" i="2"/>
  <c r="I7" i="2"/>
  <c r="F18" i="12"/>
  <c r="G16" i="12"/>
  <c r="F17" i="12"/>
  <c r="U43" i="30"/>
  <c r="V43" i="30"/>
  <c r="W43" i="30"/>
  <c r="T43" i="30"/>
  <c r="F56" i="11" l="1"/>
  <c r="F20" i="11" s="1"/>
  <c r="F29" i="33"/>
  <c r="G17" i="12"/>
  <c r="H17" i="12"/>
  <c r="G18" i="12"/>
  <c r="H18" i="12" s="1"/>
  <c r="H16" i="12"/>
  <c r="I16" i="12" s="1"/>
  <c r="J16" i="12" s="1"/>
  <c r="F55" i="11"/>
  <c r="F18" i="11" s="1"/>
  <c r="J7" i="2"/>
  <c r="J10" i="33" s="1"/>
  <c r="I10" i="33"/>
  <c r="I18" i="2"/>
  <c r="I13" i="2" s="1"/>
  <c r="J18" i="2" s="1"/>
  <c r="J8" i="2"/>
  <c r="J11" i="33" s="1"/>
  <c r="I11" i="33"/>
  <c r="H52" i="11"/>
  <c r="H27" i="33"/>
  <c r="K22" i="35"/>
  <c r="J14" i="35"/>
  <c r="H18" i="33" s="1"/>
  <c r="H12" i="2"/>
  <c r="F28" i="33"/>
  <c r="I17" i="12"/>
  <c r="J17" i="12" s="1"/>
  <c r="K7" i="30"/>
  <c r="D9" i="30"/>
  <c r="E9" i="30"/>
  <c r="F9" i="30"/>
  <c r="G9" i="30"/>
  <c r="H9" i="30"/>
  <c r="I9" i="30"/>
  <c r="J9" i="30"/>
  <c r="K9" i="30"/>
  <c r="L9" i="30"/>
  <c r="M9" i="30"/>
  <c r="N9" i="30"/>
  <c r="O9" i="30"/>
  <c r="P9" i="30"/>
  <c r="Q9" i="30"/>
  <c r="R9" i="30"/>
  <c r="I18" i="12" l="1"/>
  <c r="J18" i="12" s="1"/>
  <c r="K8" i="2"/>
  <c r="L8" i="2" s="1"/>
  <c r="K7" i="2"/>
  <c r="L7" i="2" s="1"/>
  <c r="N7" i="30"/>
  <c r="H20" i="33"/>
  <c r="H56" i="11"/>
  <c r="H20" i="11" s="1"/>
  <c r="I17" i="2"/>
  <c r="G20" i="33"/>
  <c r="G56" i="11"/>
  <c r="G20" i="11" s="1"/>
  <c r="G29" i="33"/>
  <c r="I7" i="33"/>
  <c r="J7" i="33"/>
  <c r="K15" i="35"/>
  <c r="K21" i="35"/>
  <c r="G19" i="33" l="1"/>
  <c r="G55" i="11"/>
  <c r="G18" i="11" s="1"/>
  <c r="G28" i="33"/>
  <c r="I12" i="2"/>
  <c r="I52" i="11"/>
  <c r="I27" i="33"/>
  <c r="L22" i="35"/>
  <c r="K14" i="35"/>
  <c r="I18" i="33" s="1"/>
  <c r="J13" i="2"/>
  <c r="K18" i="2" s="1"/>
  <c r="I29" i="33" s="1"/>
  <c r="H29" i="33"/>
  <c r="C8" i="12"/>
  <c r="J17" i="2" l="1"/>
  <c r="J12" i="2" s="1"/>
  <c r="I20" i="33"/>
  <c r="I56" i="11"/>
  <c r="I20" i="11" s="1"/>
  <c r="L15" i="35"/>
  <c r="L14" i="35" s="1"/>
  <c r="J18" i="33" s="1"/>
  <c r="L21" i="35"/>
  <c r="K13" i="2"/>
  <c r="L18" i="2" s="1"/>
  <c r="J20" i="33" l="1"/>
  <c r="J56" i="11"/>
  <c r="J20" i="11" s="1"/>
  <c r="K17" i="2"/>
  <c r="H28" i="33"/>
  <c r="H19" i="33"/>
  <c r="H55" i="11"/>
  <c r="H18" i="11" s="1"/>
  <c r="J52" i="11"/>
  <c r="J27" i="33"/>
  <c r="J29" i="33"/>
  <c r="L13" i="2"/>
  <c r="I28" i="33" l="1"/>
  <c r="I19" i="33"/>
  <c r="I55" i="11"/>
  <c r="I18" i="11" s="1"/>
  <c r="K12" i="2"/>
  <c r="L17" i="2" l="1"/>
  <c r="J28" i="33" l="1"/>
  <c r="J19" i="33"/>
  <c r="J55" i="11"/>
  <c r="J18" i="11" s="1"/>
  <c r="L12" i="2"/>
  <c r="E23" i="12" l="1"/>
  <c r="E14" i="12"/>
  <c r="E11" i="12"/>
  <c r="E8" i="12"/>
  <c r="C42" i="11" l="1"/>
  <c r="D36" i="11"/>
  <c r="E42" i="11"/>
  <c r="E38" i="11"/>
  <c r="D42" i="11"/>
  <c r="E44" i="11"/>
  <c r="C38" i="11"/>
  <c r="F38" i="11" s="1"/>
  <c r="C34" i="11"/>
  <c r="C40" i="11"/>
  <c r="C36" i="11"/>
  <c r="D40" i="11"/>
  <c r="D44" i="11"/>
  <c r="E36" i="11"/>
  <c r="E40" i="11"/>
  <c r="D34" i="11"/>
  <c r="C44" i="11"/>
  <c r="E34" i="11"/>
  <c r="D38" i="11"/>
  <c r="G38" i="11" l="1"/>
  <c r="F36" i="11"/>
  <c r="H38" i="11" l="1"/>
  <c r="G36" i="11"/>
  <c r="I38" i="11" l="1"/>
  <c r="J38" i="11" s="1"/>
  <c r="H36" i="11"/>
  <c r="I36" i="11" l="1"/>
  <c r="J36" i="11" l="1"/>
  <c r="D8" i="12" l="1"/>
  <c r="D11" i="12"/>
  <c r="C11" i="12"/>
  <c r="C23" i="12"/>
  <c r="C14" i="12" l="1"/>
  <c r="D14" i="12"/>
  <c r="D23" i="12" l="1"/>
  <c r="H10" i="40" l="1"/>
  <c r="H9" i="40" s="1"/>
  <c r="H8" i="40" s="1"/>
  <c r="H15" i="38" s="1"/>
  <c r="H14" i="38" l="1"/>
  <c r="F17" i="33" s="1"/>
  <c r="F16" i="33" s="1"/>
  <c r="C7" i="20" s="1"/>
  <c r="H22" i="38"/>
  <c r="H21" i="38" s="1"/>
  <c r="I10" i="40"/>
  <c r="I9" i="40" s="1"/>
  <c r="I8" i="40" s="1"/>
  <c r="I15" i="38" s="1"/>
  <c r="I14" i="38" l="1"/>
  <c r="G17" i="33" s="1"/>
  <c r="G16" i="33" s="1"/>
  <c r="C9" i="20"/>
  <c r="C13" i="20" s="1"/>
  <c r="F26" i="33"/>
  <c r="F30" i="33" s="1"/>
  <c r="F25" i="33" s="1"/>
  <c r="F7" i="12" s="1"/>
  <c r="F8" i="12" s="1"/>
  <c r="F51" i="11"/>
  <c r="F50" i="11" s="1"/>
  <c r="I22" i="38"/>
  <c r="I21" i="38" s="1"/>
  <c r="F44" i="40"/>
  <c r="F37" i="11" l="1"/>
  <c r="F32" i="11" s="1"/>
  <c r="F12" i="12" s="1"/>
  <c r="F42" i="11"/>
  <c r="F44" i="11"/>
  <c r="C16" i="20"/>
  <c r="C14" i="20"/>
  <c r="G26" i="33"/>
  <c r="G30" i="33" s="1"/>
  <c r="G25" i="33" s="1"/>
  <c r="G7" i="12" s="1"/>
  <c r="G51" i="11"/>
  <c r="F34" i="11"/>
  <c r="J44" i="40"/>
  <c r="I44" i="40"/>
  <c r="I47" i="40" s="1"/>
  <c r="J55" i="40" s="1"/>
  <c r="K44" i="40"/>
  <c r="F45" i="40"/>
  <c r="G11" i="11" l="1"/>
  <c r="G22" i="11" s="1"/>
  <c r="G50" i="11"/>
  <c r="G8" i="12"/>
  <c r="F46" i="40"/>
  <c r="K46" i="40" s="1"/>
  <c r="K45" i="40"/>
  <c r="J45" i="40"/>
  <c r="J47" i="40" s="1"/>
  <c r="K56" i="40"/>
  <c r="K11" i="40" s="1"/>
  <c r="J10" i="40"/>
  <c r="J9" i="40" s="1"/>
  <c r="J8" i="40" s="1"/>
  <c r="J15" i="38" s="1"/>
  <c r="J14" i="38" l="1"/>
  <c r="H17" i="33" s="1"/>
  <c r="H16" i="33" s="1"/>
  <c r="K55" i="40"/>
  <c r="G37" i="11"/>
  <c r="G32" i="11" s="1"/>
  <c r="G12" i="12" s="1"/>
  <c r="G42" i="11"/>
  <c r="G44" i="11"/>
  <c r="G40" i="11"/>
  <c r="G34" i="11"/>
  <c r="K47" i="40"/>
  <c r="L10" i="40" s="1"/>
  <c r="J22" i="38"/>
  <c r="J21" i="38" s="1"/>
  <c r="K10" i="40"/>
  <c r="K9" i="40" s="1"/>
  <c r="K8" i="40" s="1"/>
  <c r="K15" i="38" s="1"/>
  <c r="K14" i="38" l="1"/>
  <c r="I17" i="33" s="1"/>
  <c r="I16" i="33" s="1"/>
  <c r="H26" i="33"/>
  <c r="H30" i="33" s="1"/>
  <c r="H25" i="33" s="1"/>
  <c r="H7" i="12" s="1"/>
  <c r="H51" i="11"/>
  <c r="L56" i="40"/>
  <c r="L11" i="40" s="1"/>
  <c r="L9" i="40" s="1"/>
  <c r="K22" i="38"/>
  <c r="K21" i="38" s="1"/>
  <c r="L55" i="40" l="1"/>
  <c r="I26" i="33"/>
  <c r="I30" i="33" s="1"/>
  <c r="I25" i="33" s="1"/>
  <c r="I7" i="12" s="1"/>
  <c r="I51" i="11"/>
  <c r="H11" i="11"/>
  <c r="H22" i="11" s="1"/>
  <c r="H50" i="11"/>
  <c r="H8" i="12"/>
  <c r="L8" i="40"/>
  <c r="L15" i="38" s="1"/>
  <c r="L22" i="38"/>
  <c r="L21" i="38" s="1"/>
  <c r="L14" i="38" l="1"/>
  <c r="J17" i="33" s="1"/>
  <c r="J16" i="33" s="1"/>
  <c r="H37" i="11"/>
  <c r="H42" i="11"/>
  <c r="H44" i="11"/>
  <c r="H40" i="11"/>
  <c r="J26" i="33"/>
  <c r="J30" i="33" s="1"/>
  <c r="J25" i="33" s="1"/>
  <c r="J7" i="12" s="1"/>
  <c r="J51" i="11"/>
  <c r="H34" i="11"/>
  <c r="I11" i="11"/>
  <c r="I22" i="11" s="1"/>
  <c r="I50" i="11"/>
  <c r="I8" i="12"/>
  <c r="F11" i="11"/>
  <c r="F22" i="11" s="1"/>
  <c r="H10" i="11"/>
  <c r="H9" i="12" s="1"/>
  <c r="H10" i="12" s="1"/>
  <c r="I37" i="11" l="1"/>
  <c r="I32" i="11" s="1"/>
  <c r="I12" i="12" s="1"/>
  <c r="I42" i="11"/>
  <c r="I44" i="11"/>
  <c r="I40" i="11"/>
  <c r="H32" i="11"/>
  <c r="H12" i="12" s="1"/>
  <c r="H13" i="12" s="1"/>
  <c r="H14" i="12" s="1"/>
  <c r="I34" i="11"/>
  <c r="J11" i="11"/>
  <c r="J22" i="11" s="1"/>
  <c r="J50" i="11"/>
  <c r="H11" i="12"/>
  <c r="J8" i="12"/>
  <c r="F10" i="11"/>
  <c r="F9" i="12" s="1"/>
  <c r="F10" i="12" s="1"/>
  <c r="F13" i="12" s="1"/>
  <c r="F20" i="12" s="1"/>
  <c r="G10" i="11"/>
  <c r="G9" i="12" s="1"/>
  <c r="G10" i="12" s="1"/>
  <c r="I10" i="11"/>
  <c r="I9" i="12" s="1"/>
  <c r="I10" i="12" s="1"/>
  <c r="F21" i="12" l="1"/>
  <c r="F22" i="12" s="1"/>
  <c r="F67" i="42" s="1"/>
  <c r="F62" i="42" s="1"/>
  <c r="F68" i="42" s="1"/>
  <c r="J37" i="11"/>
  <c r="J42" i="11"/>
  <c r="J44" i="11"/>
  <c r="J40" i="11"/>
  <c r="H20" i="12"/>
  <c r="H21" i="12" s="1"/>
  <c r="I13" i="12"/>
  <c r="I20" i="12" s="1"/>
  <c r="I21" i="12" s="1"/>
  <c r="J32" i="11"/>
  <c r="J12" i="12" s="1"/>
  <c r="J10" i="11"/>
  <c r="J9" i="12" s="1"/>
  <c r="J10" i="12" s="1"/>
  <c r="J11" i="12" s="1"/>
  <c r="I11" i="12"/>
  <c r="J34" i="11"/>
  <c r="G11" i="12"/>
  <c r="G13" i="12"/>
  <c r="F11" i="12"/>
  <c r="H16" i="42" l="1"/>
  <c r="H50" i="42"/>
  <c r="I50" i="42"/>
  <c r="I16" i="42"/>
  <c r="I22" i="12"/>
  <c r="H22" i="12"/>
  <c r="I14" i="12"/>
  <c r="J13" i="12"/>
  <c r="J20" i="12" s="1"/>
  <c r="J21" i="12" s="1"/>
  <c r="F14" i="12"/>
  <c r="G14" i="12"/>
  <c r="G20" i="12"/>
  <c r="G21" i="12" s="1"/>
  <c r="H23" i="12" l="1"/>
  <c r="I23" i="12"/>
  <c r="G50" i="42"/>
  <c r="G16" i="42"/>
  <c r="J50" i="42"/>
  <c r="J16" i="42"/>
  <c r="G22" i="12"/>
  <c r="J14" i="12"/>
  <c r="G23" i="12" l="1"/>
  <c r="F50" i="42"/>
  <c r="F16" i="42"/>
  <c r="J22" i="12"/>
  <c r="J23" i="12" s="1"/>
  <c r="J10" i="42"/>
  <c r="J7" i="42" s="1"/>
  <c r="G13" i="42" s="1"/>
  <c r="H13" i="42" s="1"/>
  <c r="I13" i="42" s="1"/>
  <c r="F23" i="12" l="1"/>
  <c r="G10" i="42"/>
  <c r="G7" i="42" s="1"/>
  <c r="F10" i="42"/>
  <c r="F7" i="42" s="1"/>
  <c r="J6" i="42"/>
  <c r="H80" i="42" s="1"/>
  <c r="G67" i="42" l="1"/>
  <c r="G62" i="42" s="1"/>
  <c r="F6" i="42"/>
  <c r="D80" i="42" s="1"/>
  <c r="G6" i="42"/>
  <c r="E80" i="42" s="1"/>
  <c r="I10" i="42"/>
  <c r="I7" i="42" s="1"/>
  <c r="H10" i="42"/>
  <c r="H7" i="42" s="1"/>
  <c r="G68" i="42" l="1"/>
  <c r="G61" i="42" s="1"/>
  <c r="H67" i="42"/>
  <c r="H6" i="42"/>
  <c r="F80" i="42" s="1"/>
  <c r="I6" i="42"/>
  <c r="G80" i="42" s="1"/>
  <c r="F61" i="42"/>
  <c r="J41" i="42"/>
  <c r="J37" i="42" s="1"/>
  <c r="I41" i="42"/>
  <c r="I37" i="42" s="1"/>
  <c r="F75" i="42" l="1"/>
  <c r="H6" i="25"/>
  <c r="H10" i="25" s="1"/>
  <c r="I67" i="42"/>
  <c r="H62" i="42"/>
  <c r="H68" i="42" s="1"/>
  <c r="I36" i="42"/>
  <c r="J36" i="42"/>
  <c r="G41" i="42"/>
  <c r="G37" i="42" s="1"/>
  <c r="G36" i="42" s="1"/>
  <c r="F41" i="42"/>
  <c r="F37" i="42" s="1"/>
  <c r="H41" i="42"/>
  <c r="H37" i="42" s="1"/>
  <c r="C7" i="25" l="1"/>
  <c r="G75" i="42"/>
  <c r="I62" i="42"/>
  <c r="J67" i="42"/>
  <c r="J62" i="42" s="1"/>
  <c r="H61" i="42"/>
  <c r="H75" i="42" s="1"/>
  <c r="H36" i="42"/>
  <c r="F36" i="42"/>
  <c r="J68" i="42" l="1"/>
  <c r="J61" i="42" s="1"/>
  <c r="I68" i="42"/>
  <c r="I61" i="42" s="1"/>
  <c r="D81" i="42"/>
  <c r="D82" i="42" s="1"/>
  <c r="E81" i="42"/>
  <c r="F81" i="42"/>
  <c r="F82" i="42" s="1"/>
  <c r="F83" i="42" s="1"/>
  <c r="E82" i="42" l="1"/>
  <c r="E83" i="42" s="1"/>
  <c r="I75" i="42"/>
  <c r="G81" i="42"/>
  <c r="G82" i="42" s="1"/>
  <c r="G83" i="42" s="1"/>
  <c r="J75" i="42"/>
  <c r="H81" i="42"/>
  <c r="H82" i="42" s="1"/>
  <c r="H83" i="42" s="1"/>
  <c r="D83" i="42"/>
  <c r="J76" i="42" l="1"/>
  <c r="C9" i="25" s="1"/>
  <c r="C8" i="25" l="1"/>
  <c r="C15" i="25" s="1"/>
  <c r="C16" i="25" s="1"/>
  <c r="C18" i="2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leehc</author>
  </authors>
  <commentList>
    <comment ref="B5" authorId="0" shapeId="0" xr:uid="{3D0603C5-0F90-45BF-9A81-AFBCFCD5E738}">
      <text>
        <r>
          <rPr>
            <sz val="8"/>
            <color indexed="54"/>
            <rFont val="Tahoma"/>
            <family val="2"/>
          </rPr>
          <t>별도
연결</t>
        </r>
      </text>
    </comment>
    <comment ref="B6" authorId="0" shapeId="0" xr:uid="{9C6FF235-85B4-4CAB-8E9B-7A9C1FFB3B70}">
      <text>
        <r>
          <rPr>
            <sz val="8"/>
            <color indexed="54"/>
            <rFont val="Tahoma"/>
            <family val="2"/>
          </rPr>
          <t>전체
재무상태표
손익계산서
현금흐름표
자본금변동표</t>
        </r>
      </text>
    </comment>
    <comment ref="B7" authorId="0" shapeId="0" xr:uid="{29E53C78-34E6-4EF6-B324-A0A83C9C29E6}">
      <text>
        <r>
          <rPr>
            <sz val="8"/>
            <color indexed="54"/>
            <rFont val="Tahoma"/>
            <family val="2"/>
          </rPr>
          <t>상세(총액)
상세(순액)
요약
약식</t>
        </r>
      </text>
    </comment>
    <comment ref="B8" authorId="0" shapeId="0" xr:uid="{5909FC3E-630B-4401-83E8-8239C0EAF9DD}">
      <text>
        <r>
          <rPr>
            <sz val="8"/>
            <color indexed="54"/>
            <rFont val="Tahoma"/>
            <family val="2"/>
          </rPr>
          <t>결산
누적분기
당분기</t>
        </r>
      </text>
    </comment>
    <comment ref="C8" authorId="0" shapeId="0" xr:uid="{DB65AB61-E232-49D5-9D88-0EB1906D2414}">
      <text>
        <r>
          <rPr>
            <sz val="8"/>
            <color indexed="54"/>
            <rFont val="Tahoma"/>
            <family val="2"/>
          </rPr>
          <t>천원
백만원
억원
십억원</t>
        </r>
      </text>
    </comment>
    <comment ref="B9" authorId="0" shapeId="0" xr:uid="{B1C26AE2-9E0C-4918-A90C-6A3AE5162D98}">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9" authorId="0" shapeId="0" xr:uid="{A0A1DC97-2950-46FD-96D5-F1A55D513C6B}">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leehc</author>
  </authors>
  <commentList>
    <comment ref="B5" authorId="0" shapeId="0" xr:uid="{36E485C7-7DF1-4164-A706-63432B8396B0}">
      <text>
        <r>
          <rPr>
            <sz val="8"/>
            <color indexed="54"/>
            <rFont val="Tahoma"/>
            <family val="2"/>
          </rPr>
          <t>별도
연결</t>
        </r>
      </text>
    </comment>
    <comment ref="B6" authorId="0" shapeId="0" xr:uid="{AF0A0268-2F2E-412F-905E-DC9A1FB13486}">
      <text>
        <r>
          <rPr>
            <sz val="8"/>
            <color indexed="54"/>
            <rFont val="Tahoma"/>
            <family val="2"/>
          </rPr>
          <t>전체
재무상태표
손익계산서
현금흐름표
자본금변동표</t>
        </r>
      </text>
    </comment>
    <comment ref="B7" authorId="0" shapeId="0" xr:uid="{3CE534A8-1A1A-4AA5-8493-B69BD7F0C9D7}">
      <text>
        <r>
          <rPr>
            <sz val="8"/>
            <color indexed="54"/>
            <rFont val="Tahoma"/>
            <family val="2"/>
          </rPr>
          <t>상세(총액)
상세(순액)
요약
약식</t>
        </r>
      </text>
    </comment>
    <comment ref="B8" authorId="0" shapeId="0" xr:uid="{704AB59D-19E4-4C54-8E26-A55906CB4659}">
      <text>
        <r>
          <rPr>
            <sz val="8"/>
            <color indexed="54"/>
            <rFont val="Tahoma"/>
            <family val="2"/>
          </rPr>
          <t>결산
누적분기
당분기</t>
        </r>
      </text>
    </comment>
    <comment ref="C8" authorId="0" shapeId="0" xr:uid="{CF031F45-B65B-4826-B66E-8CC9119D4EF0}">
      <text>
        <r>
          <rPr>
            <sz val="8"/>
            <color indexed="54"/>
            <rFont val="Tahoma"/>
            <family val="2"/>
          </rPr>
          <t>천원
백만원
억원
십억원</t>
        </r>
      </text>
    </comment>
    <comment ref="B9" authorId="0" shapeId="0" xr:uid="{3FDA7950-3E54-44EE-9DA0-2ED6C527E721}">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9" authorId="0" shapeId="0" xr:uid="{843A64AF-19D6-48A6-9565-AE7917B2034F}">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leehc</author>
  </authors>
  <commentList>
    <comment ref="B5" authorId="0" shapeId="0" xr:uid="{A259E618-9625-4283-BC34-631BB4481EBE}">
      <text>
        <r>
          <rPr>
            <sz val="8"/>
            <color indexed="54"/>
            <rFont val="Tahoma"/>
            <family val="2"/>
          </rPr>
          <t>별도
연결</t>
        </r>
      </text>
    </comment>
    <comment ref="B6" authorId="0" shapeId="0" xr:uid="{65F4F37C-D39A-401B-9542-A027B5D5A606}">
      <text>
        <r>
          <rPr>
            <sz val="8"/>
            <color indexed="54"/>
            <rFont val="Tahoma"/>
            <family val="2"/>
          </rPr>
          <t>전체
재무상태표
손익계산서
현금흐름표
자본금변동표</t>
        </r>
      </text>
    </comment>
    <comment ref="B7" authorId="0" shapeId="0" xr:uid="{6BF867F7-095C-40DF-8350-421F91B4094D}">
      <text>
        <r>
          <rPr>
            <sz val="8"/>
            <color indexed="54"/>
            <rFont val="Tahoma"/>
            <family val="2"/>
          </rPr>
          <t>상세(총액)
상세(순액)
요약
약식</t>
        </r>
      </text>
    </comment>
    <comment ref="B8" authorId="0" shapeId="0" xr:uid="{9FBE12BC-6D6D-4ACE-8CDF-E6B9ED2CC871}">
      <text>
        <r>
          <rPr>
            <sz val="8"/>
            <color indexed="54"/>
            <rFont val="Tahoma"/>
            <family val="2"/>
          </rPr>
          <t>결산
누적분기
당분기</t>
        </r>
      </text>
    </comment>
    <comment ref="C8" authorId="0" shapeId="0" xr:uid="{AD4CEA14-AD45-4E4D-9901-DB286495A7A1}">
      <text>
        <r>
          <rPr>
            <sz val="8"/>
            <color indexed="54"/>
            <rFont val="Tahoma"/>
            <family val="2"/>
          </rPr>
          <t>천원
백만원
억원
십억원</t>
        </r>
      </text>
    </comment>
    <comment ref="B9" authorId="0" shapeId="0" xr:uid="{B878C071-5C96-4C76-9842-F5F8FE7C40A2}">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9" authorId="0" shapeId="0" xr:uid="{D17E75C2-6A8E-46FD-8673-1512DA0705E8}">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<sst xmlns="http://schemas.openxmlformats.org/spreadsheetml/2006/main" count="1791" uniqueCount="931">
  <si>
    <t>2025E</t>
    <phoneticPr fontId="2" type="noConversion"/>
  </si>
  <si>
    <t>(단위: 백만 원)</t>
    <phoneticPr fontId="2" type="noConversion"/>
  </si>
  <si>
    <t>기타</t>
    <phoneticPr fontId="2" type="noConversion"/>
  </si>
  <si>
    <t>(단위: %)</t>
    <phoneticPr fontId="2" type="noConversion"/>
  </si>
  <si>
    <t>기타비용</t>
  </si>
  <si>
    <t>(단위: 백만 원)</t>
  </si>
  <si>
    <t>매출원가</t>
    <phoneticPr fontId="2" type="noConversion"/>
  </si>
  <si>
    <t>판매관리비 추정</t>
    <phoneticPr fontId="2" type="noConversion"/>
  </si>
  <si>
    <t>판매관리비</t>
    <phoneticPr fontId="2" type="noConversion"/>
  </si>
  <si>
    <t>매출액</t>
    <phoneticPr fontId="2" type="noConversion"/>
  </si>
  <si>
    <t>지급수수료</t>
    <phoneticPr fontId="2" type="noConversion"/>
  </si>
  <si>
    <t>추정 손익계산서</t>
    <phoneticPr fontId="2" type="noConversion"/>
  </si>
  <si>
    <t>매출총이익</t>
    <phoneticPr fontId="2" type="noConversion"/>
  </si>
  <si>
    <t>판매비와 관리비</t>
    <phoneticPr fontId="2" type="noConversion"/>
  </si>
  <si>
    <t>영업이익</t>
    <phoneticPr fontId="2" type="noConversion"/>
  </si>
  <si>
    <t>법인세비용 차감 전 순이익</t>
    <phoneticPr fontId="2" type="noConversion"/>
  </si>
  <si>
    <t>당기순이익</t>
    <phoneticPr fontId="2" type="noConversion"/>
  </si>
  <si>
    <t>법인세비용</t>
    <phoneticPr fontId="2" type="noConversion"/>
  </si>
  <si>
    <t>YoY(%)</t>
    <phoneticPr fontId="2" type="noConversion"/>
  </si>
  <si>
    <t>GPM(%)</t>
    <phoneticPr fontId="2" type="noConversion"/>
  </si>
  <si>
    <t>OPM(%)</t>
    <phoneticPr fontId="2" type="noConversion"/>
  </si>
  <si>
    <t>NPM(%)</t>
    <phoneticPr fontId="2" type="noConversion"/>
  </si>
  <si>
    <t>`</t>
    <phoneticPr fontId="2" type="noConversion"/>
  </si>
  <si>
    <t>전체 매출(연간)</t>
    <phoneticPr fontId="2" type="noConversion"/>
  </si>
  <si>
    <t>전체 매출</t>
    <phoneticPr fontId="2" type="noConversion"/>
  </si>
  <si>
    <t>금융수익</t>
    <phoneticPr fontId="2" type="noConversion"/>
  </si>
  <si>
    <t>기타수익</t>
    <phoneticPr fontId="2" type="noConversion"/>
  </si>
  <si>
    <t>기타비용</t>
    <phoneticPr fontId="2" type="noConversion"/>
  </si>
  <si>
    <t>금융비용</t>
    <phoneticPr fontId="2" type="noConversion"/>
  </si>
  <si>
    <t xml:space="preserve">1st Version: 2021.03.02 </t>
    <phoneticPr fontId="15" type="noConversion"/>
  </si>
  <si>
    <t>원 제작자: 28기 김 건 (zzkan103@gmail.com)</t>
    <phoneticPr fontId="15" type="noConversion"/>
  </si>
  <si>
    <t>RFS 정식 회원 외 본 가치평가 모델의 무단 사용 및 수정을 금하며, 본 양식의 원 저작권은 중앙대학교 R.F.S. 학회에 있음을 밝힙니다.</t>
    <phoneticPr fontId="15" type="noConversion"/>
  </si>
  <si>
    <t>%</t>
    <phoneticPr fontId="2" type="noConversion"/>
  </si>
  <si>
    <t>(A)</t>
    <phoneticPr fontId="2" type="noConversion"/>
  </si>
  <si>
    <t>비고</t>
    <phoneticPr fontId="2" type="noConversion"/>
  </si>
  <si>
    <t>백만원</t>
    <phoneticPr fontId="2" type="noConversion"/>
  </si>
  <si>
    <t>발행주식수</t>
    <phoneticPr fontId="2" type="noConversion"/>
  </si>
  <si>
    <t>원</t>
    <phoneticPr fontId="2" type="noConversion"/>
  </si>
  <si>
    <t>(배)</t>
    <phoneticPr fontId="2" type="noConversion"/>
  </si>
  <si>
    <t>적정주가</t>
  </si>
  <si>
    <t>목표주가</t>
    <phoneticPr fontId="2" type="noConversion"/>
  </si>
  <si>
    <t>12개월 목표주가</t>
    <phoneticPr fontId="2" type="noConversion"/>
  </si>
  <si>
    <t>현재주가</t>
  </si>
  <si>
    <t>상승여력</t>
  </si>
  <si>
    <t>H</t>
    <phoneticPr fontId="2" type="noConversion"/>
  </si>
  <si>
    <t>연구개발비</t>
    <phoneticPr fontId="2" type="noConversion"/>
  </si>
  <si>
    <t>인건비</t>
    <phoneticPr fontId="2" type="noConversion"/>
  </si>
  <si>
    <t>상관계수 측정</t>
    <phoneticPr fontId="2" type="noConversion"/>
  </si>
  <si>
    <t>%of sales</t>
    <phoneticPr fontId="2" type="noConversion"/>
  </si>
  <si>
    <t>관계기업투자손익</t>
    <phoneticPr fontId="2" type="noConversion"/>
  </si>
  <si>
    <t>(J)</t>
    <phoneticPr fontId="2" type="noConversion"/>
  </si>
  <si>
    <t>토목 및 기타 매출</t>
    <phoneticPr fontId="2" type="noConversion"/>
  </si>
  <si>
    <t>감가상각비</t>
    <phoneticPr fontId="2" type="noConversion"/>
  </si>
  <si>
    <t>대손상각비</t>
    <phoneticPr fontId="2" type="noConversion"/>
  </si>
  <si>
    <t>2026E</t>
    <phoneticPr fontId="2" type="noConversion"/>
  </si>
  <si>
    <t>2027E</t>
    <phoneticPr fontId="2" type="noConversion"/>
  </si>
  <si>
    <t>2028E</t>
    <phoneticPr fontId="2" type="noConversion"/>
  </si>
  <si>
    <t>2029E</t>
    <phoneticPr fontId="2" type="noConversion"/>
  </si>
  <si>
    <t>추정 재무상태표</t>
    <phoneticPr fontId="2" type="noConversion"/>
  </si>
  <si>
    <t>자산총계</t>
  </si>
  <si>
    <t>부채총계</t>
  </si>
  <si>
    <t>자본총계</t>
    <phoneticPr fontId="2" type="noConversion"/>
  </si>
  <si>
    <t xml:space="preserve">  유동자산 계</t>
    <phoneticPr fontId="2" type="noConversion"/>
  </si>
  <si>
    <t xml:space="preserve">   현금 및 현금성 자산</t>
    <phoneticPr fontId="2" type="noConversion"/>
  </si>
  <si>
    <t xml:space="preserve">   매출채권및기타유동채권</t>
    <phoneticPr fontId="2" type="noConversion"/>
  </si>
  <si>
    <t xml:space="preserve">   재고자산</t>
    <phoneticPr fontId="2" type="noConversion"/>
  </si>
  <si>
    <t xml:space="preserve">   유동금융자산</t>
    <phoneticPr fontId="2" type="noConversion"/>
  </si>
  <si>
    <t xml:space="preserve">   기타유동자산</t>
    <phoneticPr fontId="2" type="noConversion"/>
  </si>
  <si>
    <t xml:space="preserve">  비유동자산 계</t>
    <phoneticPr fontId="2" type="noConversion"/>
  </si>
  <si>
    <t xml:space="preserve">   유형자산</t>
    <phoneticPr fontId="2" type="noConversion"/>
  </si>
  <si>
    <t xml:space="preserve">   무형자산</t>
    <phoneticPr fontId="2" type="noConversion"/>
  </si>
  <si>
    <t xml:space="preserve">   투자부동산</t>
    <phoneticPr fontId="2" type="noConversion"/>
  </si>
  <si>
    <t xml:space="preserve">   장기금융자산</t>
    <phoneticPr fontId="2" type="noConversion"/>
  </si>
  <si>
    <t xml:space="preserve">   관계기업지분관련투자자산</t>
    <phoneticPr fontId="2" type="noConversion"/>
  </si>
  <si>
    <t xml:space="preserve">   장기매출채권및기타비유동채권</t>
    <phoneticPr fontId="2" type="noConversion"/>
  </si>
  <si>
    <t xml:space="preserve">   기타비유동자산</t>
    <phoneticPr fontId="2" type="noConversion"/>
  </si>
  <si>
    <t xml:space="preserve">  유동부채</t>
    <phoneticPr fontId="2" type="noConversion"/>
  </si>
  <si>
    <t xml:space="preserve">   단기차입금</t>
    <phoneticPr fontId="2" type="noConversion"/>
  </si>
  <si>
    <t xml:space="preserve">   기타유동부채</t>
    <phoneticPr fontId="2" type="noConversion"/>
  </si>
  <si>
    <t xml:space="preserve">  비유동부채</t>
    <phoneticPr fontId="2" type="noConversion"/>
  </si>
  <si>
    <t xml:space="preserve">   사채</t>
    <phoneticPr fontId="2" type="noConversion"/>
  </si>
  <si>
    <t xml:space="preserve">   장기차입금</t>
    <phoneticPr fontId="2" type="noConversion"/>
  </si>
  <si>
    <t xml:space="preserve">   기타비유동부채</t>
    <phoneticPr fontId="2" type="noConversion"/>
  </si>
  <si>
    <t xml:space="preserve">  지배주주지분</t>
    <phoneticPr fontId="2" type="noConversion"/>
  </si>
  <si>
    <t xml:space="preserve">   자본금</t>
    <phoneticPr fontId="2" type="noConversion"/>
  </si>
  <si>
    <t xml:space="preserve">   이익잉여금</t>
    <phoneticPr fontId="2" type="noConversion"/>
  </si>
  <si>
    <t xml:space="preserve">   자본잉여금</t>
    <phoneticPr fontId="2" type="noConversion"/>
  </si>
  <si>
    <t xml:space="preserve">   기타자본</t>
    <phoneticPr fontId="2" type="noConversion"/>
  </si>
  <si>
    <t xml:space="preserve">  비지배주주지분</t>
    <phoneticPr fontId="2" type="noConversion"/>
  </si>
  <si>
    <t>건축주택</t>
    <phoneticPr fontId="2" type="noConversion"/>
  </si>
  <si>
    <t>플랜트</t>
    <phoneticPr fontId="2" type="noConversion"/>
  </si>
  <si>
    <t>토목</t>
    <phoneticPr fontId="2" type="noConversion"/>
  </si>
  <si>
    <t>현대건설 Implied PBR Valuation</t>
    <phoneticPr fontId="2" type="noConversion"/>
  </si>
  <si>
    <t>Target PBR</t>
    <phoneticPr fontId="2" type="noConversion"/>
  </si>
  <si>
    <t xml:space="preserve">   Sustainable ROE</t>
    <phoneticPr fontId="2" type="noConversion"/>
  </si>
  <si>
    <t xml:space="preserve">   COE</t>
    <phoneticPr fontId="2" type="noConversion"/>
  </si>
  <si>
    <t xml:space="preserve">      무위험수익률</t>
    <phoneticPr fontId="2" type="noConversion"/>
  </si>
  <si>
    <t xml:space="preserve">      시장기대수익률</t>
    <phoneticPr fontId="2" type="noConversion"/>
  </si>
  <si>
    <t xml:space="preserve">   Terminal Growth</t>
    <phoneticPr fontId="2" type="noConversion"/>
  </si>
  <si>
    <t>(G)</t>
    <phoneticPr fontId="2" type="noConversion"/>
  </si>
  <si>
    <t>(H)</t>
    <phoneticPr fontId="2" type="noConversion"/>
  </si>
  <si>
    <t>(I)</t>
    <phoneticPr fontId="2" type="noConversion"/>
  </si>
  <si>
    <t>(B) = {(C)-(J)/(D)-(J)}</t>
    <phoneticPr fontId="2" type="noConversion"/>
  </si>
  <si>
    <t>(D) = (G)+{(H)-(G)}*(I)</t>
    <phoneticPr fontId="2" type="noConversion"/>
  </si>
  <si>
    <t xml:space="preserve">   기타포괄손익누계액</t>
    <phoneticPr fontId="2" type="noConversion"/>
  </si>
  <si>
    <t xml:space="preserve">   보통주</t>
    <phoneticPr fontId="2" type="noConversion"/>
  </si>
  <si>
    <t xml:space="preserve">   우선주</t>
    <phoneticPr fontId="2" type="noConversion"/>
  </si>
  <si>
    <t>현대건설(000720.KS)</t>
    <phoneticPr fontId="15" type="noConversion"/>
  </si>
  <si>
    <t>Implied PBR Valuation Sheet</t>
    <phoneticPr fontId="15" type="noConversion"/>
  </si>
  <si>
    <t>원</t>
  </si>
  <si>
    <t>(지배기업주주지분)주당순손익</t>
  </si>
  <si>
    <t>(지배기업주주지분)주당계속영업이익</t>
  </si>
  <si>
    <t>백만원</t>
  </si>
  <si>
    <t>(총포괄손익귀속)비지배주주지분</t>
  </si>
  <si>
    <t>(총포괄손익귀속)지배기업주주지분</t>
  </si>
  <si>
    <t>(당기순손익귀속)비지배주주지분</t>
  </si>
  <si>
    <t>(당기순손익귀속)지배기업주주지분</t>
  </si>
  <si>
    <t>총포괄손익</t>
  </si>
  <si>
    <t>기타포괄손익(*)</t>
  </si>
  <si>
    <t>당기순이익(손실)</t>
  </si>
  <si>
    <t>계속영업이익(손실)</t>
  </si>
  <si>
    <t>법인세비용</t>
  </si>
  <si>
    <t>법인세비용차감전계속사업이익</t>
  </si>
  <si>
    <t xml:space="preserve">    지분법손익(*)</t>
  </si>
  <si>
    <t>종속기업,공동지배기업및관계기업관련손익(*)</t>
  </si>
  <si>
    <t xml:space="preserve">    기타(*)</t>
  </si>
  <si>
    <t xml:space="preserve">    기타대손상각비</t>
  </si>
  <si>
    <t xml:space="preserve">    자산손상차손(*)</t>
  </si>
  <si>
    <t xml:space="preserve">    자산처분(폐기)손실(*)</t>
  </si>
  <si>
    <t xml:space="preserve">    외환손실(*)</t>
  </si>
  <si>
    <t>기타비용(*)</t>
  </si>
  <si>
    <t xml:space="preserve">    대손충당금환입</t>
  </si>
  <si>
    <t xml:space="preserve">    수수료수익</t>
  </si>
  <si>
    <t xml:space="preserve">    자산손상차손환입(*)</t>
  </si>
  <si>
    <t xml:space="preserve">    자산처분(폐기)이익(*)</t>
  </si>
  <si>
    <t xml:space="preserve">    외환이익(*)</t>
  </si>
  <si>
    <t>기타수익(*)</t>
  </si>
  <si>
    <t xml:space="preserve">    기타금융원가(*)</t>
  </si>
  <si>
    <t xml:space="preserve">    파생상품손실(*)</t>
  </si>
  <si>
    <t xml:space="preserve">    금융자산손상차손(*)</t>
  </si>
  <si>
    <t xml:space="preserve">    금융자산평가손실(*)</t>
  </si>
  <si>
    <t xml:space="preserve">    금융자산처분손실(*)</t>
  </si>
  <si>
    <t xml:space="preserve">    이자비용</t>
  </si>
  <si>
    <t>금융원가(*)</t>
  </si>
  <si>
    <t xml:space="preserve">    기타금융수익(*)</t>
  </si>
  <si>
    <t xml:space="preserve">    파생상품이익(*)</t>
  </si>
  <si>
    <t xml:space="preserve">    금융자산평가이익(*)</t>
  </si>
  <si>
    <t xml:space="preserve">    금융자산처분이익(*)</t>
  </si>
  <si>
    <t xml:space="preserve">    배당금수익</t>
  </si>
  <si>
    <t xml:space="preserve">    이자수익</t>
  </si>
  <si>
    <t>금융수익(*)</t>
  </si>
  <si>
    <t>영업이익(손실)</t>
  </si>
  <si>
    <t xml:space="preserve">    기타</t>
  </si>
  <si>
    <t xml:space="preserve">    관리비(*)</t>
  </si>
  <si>
    <t xml:space="preserve">    판매비(*)</t>
  </si>
  <si>
    <t xml:space="preserve">    광고선전비</t>
  </si>
  <si>
    <t xml:space="preserve">    연구개발비</t>
  </si>
  <si>
    <t xml:space="preserve">    유무형자산상각비(*)</t>
  </si>
  <si>
    <t xml:space="preserve">    인건비(*)</t>
  </si>
  <si>
    <t>판매비와관리비(*)</t>
  </si>
  <si>
    <t>매출총이익(손실)</t>
  </si>
  <si>
    <t>매출원가(*)</t>
  </si>
  <si>
    <t>매출액(수익)(*)</t>
  </si>
  <si>
    <t>IFRS(연결)</t>
  </si>
  <si>
    <t>단위</t>
  </si>
  <si>
    <t>계정명</t>
  </si>
  <si>
    <t>계정코드</t>
  </si>
  <si>
    <t>Current</t>
    <phoneticPr fontId="2" type="noConversion"/>
  </si>
  <si>
    <t>Fiscal Year</t>
    <phoneticPr fontId="2" type="noConversion"/>
  </si>
  <si>
    <t>ㅈㄴ 악화</t>
    <phoneticPr fontId="2" type="noConversion"/>
  </si>
  <si>
    <t>마진 악화</t>
    <phoneticPr fontId="2" type="noConversion"/>
  </si>
  <si>
    <t>결산</t>
    <phoneticPr fontId="2" type="noConversion"/>
  </si>
  <si>
    <t>Output</t>
  </si>
  <si>
    <t>약식(COMPARE)</t>
    <phoneticPr fontId="2" type="noConversion"/>
  </si>
  <si>
    <t>Form</t>
  </si>
  <si>
    <t>New</t>
    <phoneticPr fontId="2" type="noConversion"/>
  </si>
  <si>
    <t>손익계산서</t>
    <phoneticPr fontId="2" type="noConversion"/>
  </si>
  <si>
    <t>Report</t>
  </si>
  <si>
    <t>IFRS</t>
    <phoneticPr fontId="2" type="noConversion"/>
  </si>
  <si>
    <t>Accounting Std.</t>
    <phoneticPr fontId="2" type="noConversion"/>
  </si>
  <si>
    <t>연결</t>
    <phoneticPr fontId="2" type="noConversion"/>
  </si>
  <si>
    <t>Type</t>
  </si>
  <si>
    <t>A000720(현대건설)  -  Fiscal Month:12,  201103부터 IFRS 적용</t>
    <phoneticPr fontId="2" type="noConversion"/>
  </si>
  <si>
    <t>Company</t>
  </si>
  <si>
    <t>Financial Statements</t>
    <phoneticPr fontId="2" type="noConversion"/>
  </si>
  <si>
    <t xml:space="preserve">    비지배주주지분</t>
  </si>
  <si>
    <t xml:space="preserve">        이익잉여금(결손금)(*)</t>
  </si>
  <si>
    <t xml:space="preserve">        기타포괄손익누계액(*)</t>
  </si>
  <si>
    <t xml:space="preserve">        기타자본(*)</t>
  </si>
  <si>
    <t xml:space="preserve">        자본잉여금(*)</t>
  </si>
  <si>
    <t xml:space="preserve">        신종자본증권</t>
  </si>
  <si>
    <t xml:space="preserve">        자본금(*)</t>
  </si>
  <si>
    <t xml:space="preserve">    지배기업주주지분(*)</t>
  </si>
  <si>
    <t>주</t>
  </si>
  <si>
    <t xml:space="preserve">    *우선주</t>
  </si>
  <si>
    <t xml:space="preserve">    *보통주</t>
  </si>
  <si>
    <t>*발행한주식총수(*)</t>
  </si>
  <si>
    <t>*주당액면가액</t>
  </si>
  <si>
    <t>*수권주식수</t>
  </si>
  <si>
    <t>자본(*)</t>
  </si>
  <si>
    <t xml:space="preserve">    기타금융업부채</t>
  </si>
  <si>
    <t xml:space="preserve">        기타비유동부채(*)</t>
  </si>
  <si>
    <t xml:space="preserve">        배출부채</t>
  </si>
  <si>
    <t xml:space="preserve">        반품(환불)부채</t>
  </si>
  <si>
    <t xml:space="preserve">        계약부채</t>
  </si>
  <si>
    <t xml:space="preserve">        장기당기법인세부채(미지급법인세)(**)</t>
  </si>
  <si>
    <t xml:space="preserve">        이연법인세부채</t>
  </si>
  <si>
    <t xml:space="preserve">        기타장기충당부채(*)</t>
  </si>
  <si>
    <t xml:space="preserve">        비유동종업원급여충당부채(*)</t>
  </si>
  <si>
    <t xml:space="preserve">        장기매입채무및기타비유동채무(*)</t>
  </si>
  <si>
    <t xml:space="preserve">        비유동금융부채(*)</t>
  </si>
  <si>
    <t xml:space="preserve">        장기차입금(*)</t>
  </si>
  <si>
    <t xml:space="preserve">        사채(*)</t>
  </si>
  <si>
    <t xml:space="preserve">    비유동부채(*)</t>
  </si>
  <si>
    <t xml:space="preserve">        매각예정으로분류된처분자산집단에포함된부채(*)</t>
  </si>
  <si>
    <t xml:space="preserve">        기타유동부채(*)</t>
  </si>
  <si>
    <t xml:space="preserve">        당기법인세부채(미지급법인세)</t>
  </si>
  <si>
    <t xml:space="preserve">        기타단기충당부채(*)</t>
  </si>
  <si>
    <t xml:space="preserve">        매입채무및기타유동채무(*)</t>
  </si>
  <si>
    <t xml:space="preserve">        유동금융부채(*)</t>
  </si>
  <si>
    <t xml:space="preserve">        유동성장기부채(*)</t>
  </si>
  <si>
    <t xml:space="preserve">        단기차입금(*)</t>
  </si>
  <si>
    <t xml:space="preserve">    유동부채(*)</t>
  </si>
  <si>
    <t>부채(*)</t>
  </si>
  <si>
    <t xml:space="preserve">    기타금융업자산</t>
  </si>
  <si>
    <t xml:space="preserve">        기타비유동자산(*)</t>
  </si>
  <si>
    <t xml:space="preserve">        배출권</t>
  </si>
  <si>
    <t xml:space="preserve">        반품(환불)자산</t>
  </si>
  <si>
    <t xml:space="preserve">        계약자산(**)</t>
  </si>
  <si>
    <t xml:space="preserve">        장기당기법인세자산</t>
  </si>
  <si>
    <t xml:space="preserve">        이연법인세자산</t>
  </si>
  <si>
    <t xml:space="preserve">        장기매출채권및기타비유동채권(*)</t>
  </si>
  <si>
    <t xml:space="preserve">        관계기업등지분관련투자자산(*)</t>
  </si>
  <si>
    <t xml:space="preserve">        장기금융자산(*)</t>
  </si>
  <si>
    <t xml:space="preserve">        투자부동산(*)</t>
  </si>
  <si>
    <t xml:space="preserve">        비유동생물자산(*)</t>
  </si>
  <si>
    <t xml:space="preserve">        무형자산(*)</t>
  </si>
  <si>
    <t xml:space="preserve">        유형자산(*)</t>
  </si>
  <si>
    <t xml:space="preserve">    비유동자산(*)</t>
  </si>
  <si>
    <t xml:space="preserve">        매각예정비유동자산및처분자산집단(*)</t>
  </si>
  <si>
    <t xml:space="preserve">        현금및현금성자산(*)</t>
  </si>
  <si>
    <t xml:space="preserve">        기타유동자산(*)</t>
  </si>
  <si>
    <t xml:space="preserve">        당기법인세자산(선급법인세)</t>
  </si>
  <si>
    <t xml:space="preserve">        매출채권및기타유동채권(*)</t>
  </si>
  <si>
    <t xml:space="preserve">        유동금융자산(*)</t>
  </si>
  <si>
    <t xml:space="preserve">        유동생물자산(*)</t>
  </si>
  <si>
    <t xml:space="preserve">        재고자산(*)</t>
  </si>
  <si>
    <t xml:space="preserve">    유동자산(*)</t>
  </si>
  <si>
    <t>자산(*)</t>
  </si>
  <si>
    <t>재무상태표</t>
    <phoneticPr fontId="2" type="noConversion"/>
  </si>
  <si>
    <t>기말현금및현금성자산</t>
  </si>
  <si>
    <t>기초현금및현금성자산</t>
  </si>
  <si>
    <t>현금및현금성자산의증가</t>
  </si>
  <si>
    <t>환율변동효과</t>
  </si>
  <si>
    <t>연결범위변동으로인한현금의증가</t>
  </si>
  <si>
    <t>영업투자재무활동기타현금흐름</t>
  </si>
  <si>
    <t xml:space="preserve">    중단영업관련현금흐름</t>
  </si>
  <si>
    <t xml:space="preserve">    법인세납부(-)</t>
  </si>
  <si>
    <t xml:space="preserve">    법인세환입</t>
  </si>
  <si>
    <t xml:space="preserve">    배당금지급(-)</t>
  </si>
  <si>
    <t xml:space="preserve">    배당금수입</t>
  </si>
  <si>
    <t xml:space="preserve">    이자지급(-)</t>
  </si>
  <si>
    <t xml:space="preserve">    이자수입</t>
  </si>
  <si>
    <t xml:space="preserve">    (재무활동으로인한현금유출액)(*)</t>
  </si>
  <si>
    <t xml:space="preserve">    재무활동으로인한현금유입액(*)</t>
  </si>
  <si>
    <t>재무활동으로인한현금흐름(*)</t>
  </si>
  <si>
    <t xml:space="preserve">    (투자활동으로인한현금유출액)(*)</t>
  </si>
  <si>
    <t xml:space="preserve">    투자활동으로인한현금유입액(*)</t>
  </si>
  <si>
    <t>투자활동으로인한현금흐름(*)</t>
  </si>
  <si>
    <t xml:space="preserve">    *영업에서창출된현금흐름</t>
  </si>
  <si>
    <t xml:space="preserve">        기타운전자본의변동</t>
  </si>
  <si>
    <t xml:space="preserve">        정부보조금등의변동</t>
  </si>
  <si>
    <t xml:space="preserve">        부채의증가(감소)(*)</t>
  </si>
  <si>
    <t xml:space="preserve">        자산의감소(증가)(*)</t>
  </si>
  <si>
    <t xml:space="preserve">    영업활동으로인한자산부채변동(운전자본변동)(*)</t>
  </si>
  <si>
    <t xml:space="preserve">    (현금유입이없는수익등차감)(*)</t>
  </si>
  <si>
    <t xml:space="preserve">    현금유출이없는비용등가산(*)</t>
  </si>
  <si>
    <t xml:space="preserve">    법인세비용차감전계속사업이익</t>
  </si>
  <si>
    <t xml:space="preserve">    당기순손익</t>
  </si>
  <si>
    <t xml:space="preserve">    *(직접법)총현금유출(*)</t>
  </si>
  <si>
    <t xml:space="preserve">    *(직접법)총현금유입(*)</t>
  </si>
  <si>
    <t>영업활동으로인한현금흐름(간접법)(*)</t>
  </si>
  <si>
    <t>기간별 진행률 추정</t>
    <phoneticPr fontId="2" type="noConversion"/>
  </si>
  <si>
    <t>1년차</t>
    <phoneticPr fontId="2" type="noConversion"/>
  </si>
  <si>
    <t>2015년</t>
    <phoneticPr fontId="2" type="noConversion"/>
  </si>
  <si>
    <t>2년차</t>
    <phoneticPr fontId="2" type="noConversion"/>
  </si>
  <si>
    <t>2022년</t>
    <phoneticPr fontId="2" type="noConversion"/>
  </si>
  <si>
    <t>3년차</t>
    <phoneticPr fontId="2" type="noConversion"/>
  </si>
  <si>
    <t>평균</t>
    <phoneticPr fontId="2" type="noConversion"/>
  </si>
  <si>
    <t>4년차</t>
    <phoneticPr fontId="2" type="noConversion"/>
  </si>
  <si>
    <t>2015년 정비사업</t>
    <phoneticPr fontId="2" type="noConversion"/>
  </si>
  <si>
    <t>사업명</t>
    <phoneticPr fontId="2" type="noConversion"/>
  </si>
  <si>
    <t>지연여부</t>
    <phoneticPr fontId="2" type="noConversion"/>
  </si>
  <si>
    <t>시공사선정일</t>
    <phoneticPr fontId="2" type="noConversion"/>
  </si>
  <si>
    <t>완공예정일</t>
    <phoneticPr fontId="2" type="noConversion"/>
  </si>
  <si>
    <t>기본도급액</t>
    <phoneticPr fontId="2" type="noConversion"/>
  </si>
  <si>
    <t>5년차</t>
    <phoneticPr fontId="2" type="noConversion"/>
  </si>
  <si>
    <t>화정주공아파트</t>
    <phoneticPr fontId="2" type="noConversion"/>
  </si>
  <si>
    <t>정상</t>
    <phoneticPr fontId="2" type="noConversion"/>
  </si>
  <si>
    <t>왕십리뉴타운3구역</t>
    <phoneticPr fontId="2" type="noConversion"/>
  </si>
  <si>
    <t>해운대주공</t>
    <phoneticPr fontId="2" type="noConversion"/>
  </si>
  <si>
    <t>가락시영아파트</t>
    <phoneticPr fontId="2" type="noConversion"/>
  </si>
  <si>
    <t>지연</t>
    <phoneticPr fontId="2" type="noConversion"/>
  </si>
  <si>
    <t>고덕시영</t>
    <phoneticPr fontId="2" type="noConversion"/>
  </si>
  <si>
    <t>개포주공3단지</t>
    <phoneticPr fontId="2" type="noConversion"/>
  </si>
  <si>
    <t>지금동 재건축</t>
    <phoneticPr fontId="2" type="noConversion"/>
  </si>
  <si>
    <t>응암1구역</t>
    <phoneticPr fontId="2" type="noConversion"/>
  </si>
  <si>
    <t>2022년 정비사업</t>
    <phoneticPr fontId="2" type="noConversion"/>
  </si>
  <si>
    <t>시공사선정</t>
    <phoneticPr fontId="2" type="noConversion"/>
  </si>
  <si>
    <t>개포주공1단지</t>
    <phoneticPr fontId="2" type="noConversion"/>
  </si>
  <si>
    <t>주안1구역</t>
    <phoneticPr fontId="2" type="noConversion"/>
  </si>
  <si>
    <t>힐스테이트 홍은</t>
    <phoneticPr fontId="2" type="noConversion"/>
  </si>
  <si>
    <t>x</t>
    <phoneticPr fontId="2" type="noConversion"/>
  </si>
  <si>
    <t>둔촌주공</t>
    <phoneticPr fontId="2" type="noConversion"/>
  </si>
  <si>
    <t>힐스테이트 수원</t>
    <phoneticPr fontId="2" type="noConversion"/>
  </si>
  <si>
    <t>수주잔고</t>
    <phoneticPr fontId="2" type="noConversion"/>
  </si>
  <si>
    <t>매출</t>
    <phoneticPr fontId="2" type="noConversion"/>
  </si>
  <si>
    <t>합계</t>
    <phoneticPr fontId="2" type="noConversion"/>
  </si>
  <si>
    <t>진행률</t>
    <phoneticPr fontId="2" type="noConversion"/>
  </si>
  <si>
    <t>[이동평균] 특별한 경향성 없어 3개년 이동평균</t>
    <phoneticPr fontId="2" type="noConversion"/>
  </si>
  <si>
    <t>신규수주</t>
    <phoneticPr fontId="2" type="noConversion"/>
  </si>
  <si>
    <t>2027E</t>
  </si>
  <si>
    <t>2028E</t>
  </si>
  <si>
    <t>2029E</t>
  </si>
  <si>
    <t>(단위: 십억 원)</t>
  </si>
  <si>
    <t>(단위: 십억 원)</t>
    <phoneticPr fontId="2" type="noConversion"/>
  </si>
  <si>
    <t>토목 및 기타 부문 신규수주</t>
    <phoneticPr fontId="2" type="noConversion"/>
  </si>
  <si>
    <t>토목 및 기타 부문 수주잔고</t>
    <phoneticPr fontId="2" type="noConversion"/>
  </si>
  <si>
    <t>토목 및 기타 부문 매출액</t>
    <phoneticPr fontId="2" type="noConversion"/>
  </si>
  <si>
    <t>수주잔고 = 전기 수주잔고 - 당기 매출액 + 당기 신규수주</t>
    <phoneticPr fontId="2" type="noConversion"/>
  </si>
  <si>
    <t>내부거래 제거</t>
    <phoneticPr fontId="2" type="noConversion"/>
  </si>
  <si>
    <t>플랜트 매출</t>
    <phoneticPr fontId="2" type="noConversion"/>
  </si>
  <si>
    <t>플랜트 부문 신규수주</t>
    <phoneticPr fontId="2" type="noConversion"/>
  </si>
  <si>
    <t>원전 플랜트</t>
    <phoneticPr fontId="2" type="noConversion"/>
  </si>
  <si>
    <t>비원전 플랜트</t>
    <phoneticPr fontId="2" type="noConversion"/>
  </si>
  <si>
    <t>플랜트 부문 수주잔고</t>
    <phoneticPr fontId="2" type="noConversion"/>
  </si>
  <si>
    <t>플랜트 부문 매출액</t>
    <phoneticPr fontId="2" type="noConversion"/>
  </si>
  <si>
    <t>플랜트 - 원전 플랜트 추정</t>
    <phoneticPr fontId="2" type="noConversion"/>
  </si>
  <si>
    <t>SMR 수주 및 매출 추정</t>
    <phoneticPr fontId="2" type="noConversion"/>
  </si>
  <si>
    <t>대형 원전 수주 및 매출 추정</t>
    <phoneticPr fontId="2" type="noConversion"/>
  </si>
  <si>
    <t>[이동평균] 투자분석 과정에서 특이적 투자아이디어 발견할 수 없고  특별한 경향성 없어 4개년 이동평균 활용하여 보수적 추정</t>
  </si>
  <si>
    <t>[잔고 계산] 수주잔고 = 전기 수주잔고 - 당기 매출액 + 당기 신규수주</t>
    <phoneticPr fontId="2" type="noConversion"/>
  </si>
  <si>
    <t>SMR</t>
    <phoneticPr fontId="2" type="noConversion"/>
  </si>
  <si>
    <t>대형원전</t>
    <phoneticPr fontId="2" type="noConversion"/>
  </si>
  <si>
    <t>총 사업비</t>
    <phoneticPr fontId="2" type="noConversion"/>
  </si>
  <si>
    <t>EPC 수주액</t>
    <phoneticPr fontId="2" type="noConversion"/>
  </si>
  <si>
    <t>완성공사액</t>
    <phoneticPr fontId="2" type="noConversion"/>
  </si>
  <si>
    <t>계약잔액</t>
    <phoneticPr fontId="2" type="noConversion"/>
  </si>
  <si>
    <t>EWA</t>
    <phoneticPr fontId="2" type="noConversion"/>
  </si>
  <si>
    <t>기본설계/인허가</t>
    <phoneticPr fontId="2" type="noConversion"/>
  </si>
  <si>
    <t>EPC 계약체결 및 상세설계</t>
  </si>
  <si>
    <t>토목 기초 공사</t>
  </si>
  <si>
    <t>구조물 기계 설비 설치</t>
  </si>
  <si>
    <t>계통 연결 및 시운전</t>
  </si>
  <si>
    <t>상업 운전 개시</t>
  </si>
  <si>
    <t>TFS</t>
    <phoneticPr fontId="2" type="noConversion"/>
  </si>
  <si>
    <t>추정 지분율</t>
    <phoneticPr fontId="2" type="noConversion"/>
  </si>
  <si>
    <t>추정 수주액</t>
    <phoneticPr fontId="2" type="noConversion"/>
  </si>
  <si>
    <t>진행단계</t>
    <phoneticPr fontId="2" type="noConversion"/>
  </si>
  <si>
    <t>2030E</t>
    <phoneticPr fontId="2" type="noConversion"/>
  </si>
  <si>
    <t>2031E</t>
    <phoneticPr fontId="2" type="noConversion"/>
  </si>
  <si>
    <t>2032E</t>
    <phoneticPr fontId="2" type="noConversion"/>
  </si>
  <si>
    <t>2033E</t>
    <phoneticPr fontId="2" type="noConversion"/>
  </si>
  <si>
    <t>2034E</t>
    <phoneticPr fontId="2" type="noConversion"/>
  </si>
  <si>
    <t>상업 운전 개시</t>
    <phoneticPr fontId="2" type="noConversion"/>
  </si>
  <si>
    <t>수주1. 불가리아 코즐로두이 대형원전 AP1000 × 2기</t>
    <phoneticPr fontId="2" type="noConversion"/>
  </si>
  <si>
    <t>수주2. 핀란드 포툼 대형원전 AP1000 × 1기</t>
    <phoneticPr fontId="2" type="noConversion"/>
  </si>
  <si>
    <t>수주3. 슬로베니아 크르슈코 대형원전 AP1000 × 1기</t>
    <phoneticPr fontId="2" type="noConversion"/>
  </si>
  <si>
    <t>대형원전 수주 및 매출 추정</t>
    <phoneticPr fontId="2" type="noConversion"/>
  </si>
  <si>
    <t xml:space="preserve">내용 추정 </t>
    <phoneticPr fontId="2" type="noConversion"/>
  </si>
  <si>
    <t>단계</t>
    <phoneticPr fontId="2" type="noConversion"/>
  </si>
  <si>
    <t>누적 진행률</t>
    <phoneticPr fontId="2" type="noConversion"/>
  </si>
  <si>
    <t>5~6년차</t>
    <phoneticPr fontId="2" type="noConversion"/>
  </si>
  <si>
    <t>7~8년차</t>
    <phoneticPr fontId="2" type="noConversion"/>
  </si>
  <si>
    <t>9년차</t>
    <phoneticPr fontId="2" type="noConversion"/>
  </si>
  <si>
    <t>10년차</t>
    <phoneticPr fontId="2" type="noConversion"/>
  </si>
  <si>
    <t>1. 건설회계 수익인식기준에 의해 공사 진행률에 따라 매출인식 및 수주잔고 소진을 추정하였으며, 이에 동사가 기 시공했던 UAE 바라카 원전사업의 연도별 진행률을 바탕으로 진행단계별 진행률(매출인식률) 추정함</t>
    <phoneticPr fontId="2" type="noConversion"/>
  </si>
  <si>
    <t>2. 각 사업 별 수주잔고 인식시점은 '기본설계/인허가' 시작 시점으로 추정함</t>
  </si>
  <si>
    <t>3. 유럽 프로젝트에 대한 수주액 추정을 위한 기준 환율은 1600원/￡로 Flat 추정함</t>
    <phoneticPr fontId="2" type="noConversion"/>
  </si>
  <si>
    <t>4. 총 사업비 중 EPC 수주액과 현대건설 지분율은 동사 IR 문의 결과 50~60%로, 보수적 추정을 위해 50% 가정하여 추정함</t>
    <phoneticPr fontId="2" type="noConversion"/>
  </si>
  <si>
    <t>수주2. Holtec 向 수주 가정, SMR-300 × 1기</t>
    <phoneticPr fontId="2" type="noConversion"/>
  </si>
  <si>
    <t>수주1. 팰리세이즈 FOAK 프로젝트 SMR-300 × 2기</t>
    <phoneticPr fontId="2" type="noConversion"/>
  </si>
  <si>
    <t>수주3. Holtec 向 수주 가정, SMR-300 × 1기</t>
    <phoneticPr fontId="2" type="noConversion"/>
  </si>
  <si>
    <t>기본 설계</t>
  </si>
  <si>
    <t>상세 설계</t>
  </si>
  <si>
    <t>기자재 조달</t>
  </si>
  <si>
    <t>모듈 제작</t>
  </si>
  <si>
    <t>현장 시공</t>
  </si>
  <si>
    <t>시운전 및 초기 O&amp;M</t>
  </si>
  <si>
    <t>SMR 진행단계별 매출인식비율 추정</t>
    <phoneticPr fontId="2" type="noConversion"/>
  </si>
  <si>
    <t>6년차</t>
    <phoneticPr fontId="2" type="noConversion"/>
  </si>
  <si>
    <t>1. 건설회계 수익인식기준에 의해 공사 진행률에 따라 매출인식 및 수주잔고 소진을 추정하였으며, 이에 협력사인 Holtec의 SMR 프로젝트 진행계획을 참조하여 일반적인 SMR 진행단계별 진행률(매출인식률) 추정함</t>
    <phoneticPr fontId="2" type="noConversion"/>
  </si>
  <si>
    <t>2. 총 사업비 중 EPC 수주액과 현대건설 지분율은 동사 IR 문의 결과 55~65%로, 보수적 추정을 위해 55% 가정하여 추정함</t>
    <phoneticPr fontId="2" type="noConversion"/>
  </si>
  <si>
    <t>진행단계별 진행률(매출인식률) 추정</t>
    <phoneticPr fontId="2" type="noConversion"/>
  </si>
  <si>
    <t>2. 사업 공사기간 : 동사 시공계획에 의해 2030년 완공 추정함</t>
    <phoneticPr fontId="2" type="noConversion"/>
  </si>
  <si>
    <t>1. 총 사업비 : 동사가 기 발표한 금액인 5.4조원 적용함</t>
    <phoneticPr fontId="2" type="noConversion"/>
  </si>
  <si>
    <t>Holtec 向 추가 수주 추정논리</t>
    <phoneticPr fontId="2" type="noConversion"/>
  </si>
  <si>
    <t>2. 총 사업비, 공사기간, 진행률 : 기 수주한 펠리세이즈 SMR-300과 동일 추정함</t>
    <phoneticPr fontId="2" type="noConversion"/>
  </si>
  <si>
    <t xml:space="preserve">   - SMR 시장이 상용화 단계에 진입하였으며, 시장 내 현대건설-Holtec의 경쟁력과 입지는 향후 5년 내 추가 수주 가능성 높을 것으로 전망</t>
    <phoneticPr fontId="2" type="noConversion"/>
  </si>
  <si>
    <t>불가리아 코즐로두이 대형원전 수주 내용 추정논리</t>
    <phoneticPr fontId="2" type="noConversion"/>
  </si>
  <si>
    <t>1. 총 사업비 : 동사가 기 발표한 금액인 10조원 적용함</t>
    <phoneticPr fontId="2" type="noConversion"/>
  </si>
  <si>
    <t>2. 사업 공사기간 : 동사 시공계획에 의해 2035년 완공 추정함</t>
    <phoneticPr fontId="2" type="noConversion"/>
  </si>
  <si>
    <t>필란드 포툼 대형원전 수주 내용 추정논리</t>
    <phoneticPr fontId="2" type="noConversion"/>
  </si>
  <si>
    <t>슬로베니아 크르슈코 대형원전 수주 내용 추정논리</t>
    <phoneticPr fontId="2" type="noConversion"/>
  </si>
  <si>
    <t>1. 총 사업비 : 추정한 발전용량 당 사업비와 발전규모를 고려하여 추정함</t>
    <phoneticPr fontId="2" type="noConversion"/>
  </si>
  <si>
    <t xml:space="preserve">   - 발전용량 1GW 당 사업비 : 과거 2005년 체결된 당국의 1.6GW규모 대형원전의 총 수주액 80억유로 발생함을 고려하고, 장기인플레이션율 3% 적용하여 추정함.</t>
    <phoneticPr fontId="2" type="noConversion"/>
  </si>
  <si>
    <t>1. 총 사업비 : 슬로베니아 국영 원전기업 GEN energija이 분석한 원전 발전용량 1GW 당 사업비(93억유로)와 대형원전 1기 당 추정 발전규모(1.3GW)를 고려하여 추정함</t>
    <phoneticPr fontId="2" type="noConversion"/>
  </si>
  <si>
    <t>원전 플랜트 수주 및 매출 추정(종합)</t>
    <phoneticPr fontId="2" type="noConversion"/>
  </si>
  <si>
    <t>1. 본 팀은 산업분석 및 투자포인트에서 언급하였듯이, 다음과 같은 논리에 의해 2년 당 SMR 1기 수주할 것으로 추정함.또한 29년 이후는 동사 밸류에이션을 위한 실적 추정연도에 해당되지 않기에 미추정함</t>
    <phoneticPr fontId="2" type="noConversion"/>
  </si>
  <si>
    <t xml:space="preserve">   - DOE 프로그램 1-Tier 선정 가능성 높으며, 선정 시 지급되는 지원금은 향후 SMR 추가 건설에 대한 가능성 높일 것으로 전망</t>
    <phoneticPr fontId="2" type="noConversion"/>
  </si>
  <si>
    <t>3. 사업 진행률 : 동사 발표에 의해 25년 내 기본설계 완료 후, 25년 말 EPC계약체결 및 착공할 것으로 추정함</t>
    <phoneticPr fontId="2" type="noConversion"/>
  </si>
  <si>
    <t xml:space="preserve">   - 발전규모 : AP1000의 1기 당 통상 발전용량인 1.1GW 추정함</t>
    <phoneticPr fontId="2" type="noConversion"/>
  </si>
  <si>
    <t>2. 사업 진행률 : 동사 발표에 의해 25년 EWA 진행 중이며, 26년 기본설계/인허가, 27년 EPC 계약 체결 및 착공할 것으로 추정함.</t>
    <phoneticPr fontId="2" type="noConversion"/>
  </si>
  <si>
    <t>2. 사업 진행률 : 동사 발표에 의해 25년 3분기 내로 TFS 완료 후, 26년 EWA, 27년 기본설계/인허가가 시작될 것으로 추정함.</t>
    <phoneticPr fontId="2" type="noConversion"/>
  </si>
  <si>
    <t>3. 사업 진행률 : 양 사 공동발표에 의해 25년 하반기 착공 추정함</t>
    <phoneticPr fontId="2" type="noConversion"/>
  </si>
  <si>
    <t>대형원전 진행률 추정</t>
    <phoneticPr fontId="2" type="noConversion"/>
  </si>
  <si>
    <t xml:space="preserve">바라카 원전 프로젝트 연도별 진행률 </t>
    <phoneticPr fontId="2" type="noConversion"/>
  </si>
  <si>
    <t>연도</t>
    <phoneticPr fontId="2" type="noConversion"/>
  </si>
  <si>
    <t>추정단계</t>
    <phoneticPr fontId="2" type="noConversion"/>
  </si>
  <si>
    <t>TFS&amp;EWA</t>
    <phoneticPr fontId="2" type="noConversion"/>
  </si>
  <si>
    <t>EPC 계약 체결 및 상세설계</t>
    <phoneticPr fontId="2" type="noConversion"/>
  </si>
  <si>
    <t>기자재 조달기초 토목 공사</t>
    <phoneticPr fontId="2" type="noConversion"/>
  </si>
  <si>
    <t>구조물/기계설비</t>
    <phoneticPr fontId="2" type="noConversion"/>
  </si>
  <si>
    <t>계통연결 및 시운전</t>
    <phoneticPr fontId="2" type="noConversion"/>
  </si>
  <si>
    <t>시운전</t>
    <phoneticPr fontId="2" type="noConversion"/>
  </si>
  <si>
    <t>초기 O&amp;M</t>
    <phoneticPr fontId="2" type="noConversion"/>
  </si>
  <si>
    <t>*바라카 원전의 경우 총 4개호기 건설하여 시운전 단계 장기간 소요</t>
    <phoneticPr fontId="2" type="noConversion"/>
  </si>
  <si>
    <t>대형원전 전체 추정논리</t>
    <phoneticPr fontId="2" type="noConversion"/>
  </si>
  <si>
    <t>SMR 전체 추정논리</t>
    <phoneticPr fontId="2" type="noConversion"/>
  </si>
  <si>
    <t>기술타당성조사 (TFS)</t>
    <phoneticPr fontId="2" type="noConversion"/>
  </si>
  <si>
    <t>EWA(사전업무착수계약)</t>
    <phoneticPr fontId="2" type="noConversion"/>
  </si>
  <si>
    <t>시공 초기 (토목, 기초공사)</t>
    <phoneticPr fontId="2" type="noConversion"/>
  </si>
  <si>
    <t>구조물/기계설비 설치</t>
    <phoneticPr fontId="2" type="noConversion"/>
  </si>
  <si>
    <t>기본설계</t>
    <phoneticPr fontId="2" type="noConversion"/>
  </si>
  <si>
    <t>상세설계</t>
    <phoneticPr fontId="2" type="noConversion"/>
  </si>
  <si>
    <t>기자재 조달</t>
    <phoneticPr fontId="2" type="noConversion"/>
  </si>
  <si>
    <t>모듈 제작</t>
    <phoneticPr fontId="2" type="noConversion"/>
  </si>
  <si>
    <t>현장 시공</t>
    <phoneticPr fontId="2" type="noConversion"/>
  </si>
  <si>
    <t>진행시점</t>
    <phoneticPr fontId="2" type="noConversion"/>
  </si>
  <si>
    <t xml:space="preserve">*기 시공한 UAE 바라카 원전의 진행률 기반 추정 </t>
    <phoneticPr fontId="2" type="noConversion"/>
  </si>
  <si>
    <t>*Holtec의 프로젝트 진행계획 기반 추정</t>
    <phoneticPr fontId="2" type="noConversion"/>
  </si>
  <si>
    <r>
      <t xml:space="preserve">[별도추정] </t>
    </r>
    <r>
      <rPr>
        <u/>
        <sz val="11"/>
        <color theme="3" tint="0.499984740745262"/>
        <rFont val="KoPubWorld돋움체 Medium"/>
        <family val="3"/>
        <charset val="129"/>
      </rPr>
      <t>'플랜트-원전'</t>
    </r>
    <r>
      <rPr>
        <sz val="11"/>
        <color theme="1"/>
        <rFont val="KoPubWorld돋움체 Medium"/>
        <family val="3"/>
        <charset val="129"/>
      </rPr>
      <t xml:space="preserve"> 시트 참고</t>
    </r>
    <phoneticPr fontId="2" type="noConversion"/>
  </si>
  <si>
    <t>[Avg Rate] 내부거래 전 매출액 중 과거 내부거래액 평균 비중 적용하여 추정</t>
    <phoneticPr fontId="2" type="noConversion"/>
  </si>
  <si>
    <t>건축/주택 매출</t>
    <phoneticPr fontId="2" type="noConversion"/>
  </si>
  <si>
    <t>건축/주택 부문 신규수주</t>
    <phoneticPr fontId="2" type="noConversion"/>
  </si>
  <si>
    <t>건축/주택 부문 수주잔고</t>
    <phoneticPr fontId="2" type="noConversion"/>
  </si>
  <si>
    <t>건축/주택 부문 매출액</t>
    <phoneticPr fontId="2" type="noConversion"/>
  </si>
  <si>
    <t>도시정비사업</t>
  </si>
  <si>
    <t>비도시정비사업</t>
    <phoneticPr fontId="2" type="noConversion"/>
  </si>
  <si>
    <t>신규수주분</t>
    <phoneticPr fontId="2" type="noConversion"/>
  </si>
  <si>
    <t>기존수주분</t>
    <phoneticPr fontId="2" type="noConversion"/>
  </si>
  <si>
    <r>
      <t xml:space="preserve">[별도추정] </t>
    </r>
    <r>
      <rPr>
        <u/>
        <sz val="11"/>
        <color theme="10"/>
        <rFont val="KoPubWorld돋움체 Medium"/>
        <family val="3"/>
        <charset val="129"/>
      </rPr>
      <t>'건축주택-정비사업'</t>
    </r>
    <r>
      <rPr>
        <sz val="11"/>
        <rFont val="KoPubWorld돋움체 Medium"/>
        <family val="3"/>
        <charset val="129"/>
      </rPr>
      <t xml:space="preserve"> 시트 참고</t>
    </r>
    <phoneticPr fontId="2" type="noConversion"/>
  </si>
  <si>
    <t>건축/주택 - 정비사업 추정</t>
    <phoneticPr fontId="2" type="noConversion"/>
  </si>
  <si>
    <t>기업</t>
    <phoneticPr fontId="2" type="noConversion"/>
  </si>
  <si>
    <t>사업명</t>
  </si>
  <si>
    <t>시행사</t>
  </si>
  <si>
    <t>선정시 수주금액</t>
  </si>
  <si>
    <t>현대건설</t>
    <phoneticPr fontId="2" type="noConversion"/>
  </si>
  <si>
    <t>등촌동1구역 주택재건축</t>
  </si>
  <si>
    <t>인천 화수화평 재개발</t>
  </si>
  <si>
    <t>김포 북변5 도시환경정비</t>
  </si>
  <si>
    <t>청주 사직3구역 재개발</t>
  </si>
  <si>
    <t>대구 신암9구역 재개발</t>
  </si>
  <si>
    <t>부산 감천2구역 재개발</t>
  </si>
  <si>
    <t>서울 신용산북측2구역 도시환경정비사업</t>
  </si>
  <si>
    <t>서울 용산구 신용산역 북측 제 2구역 도시환경정비사업조합</t>
  </si>
  <si>
    <t>대전 대흥동 1구역 재개발사업</t>
  </si>
  <si>
    <t>대흥동 1구역 재개발정비사업조합</t>
  </si>
  <si>
    <t>장위 11-2구역 가로주택정비사업조합</t>
  </si>
  <si>
    <t>원주 원동나래구역 재개발사업</t>
  </si>
  <si>
    <t>원동나래구역 주택재개발정비사업조합</t>
  </si>
  <si>
    <t>서울 제기제4구역 재개발사업</t>
  </si>
  <si>
    <t>제기4구역 재개발 조합</t>
  </si>
  <si>
    <t>대구 도원아파트 가로주택정비사업</t>
  </si>
  <si>
    <t>도원아파트 가로주택정비사업위원회</t>
  </si>
  <si>
    <t>부산 반여3-1구역 재건축사업</t>
  </si>
  <si>
    <t>반여 3-1구역 재건축정비사업조합</t>
  </si>
  <si>
    <t>서울 한남3구역 재개발사업</t>
  </si>
  <si>
    <t>한남3구역 재개발 조합</t>
  </si>
  <si>
    <t>서울 홍제3구역 재건축사업</t>
  </si>
  <si>
    <t>홍제3구역 주택 재건축 조합</t>
  </si>
  <si>
    <t>대전 대동4·8구역 재개발사업</t>
  </si>
  <si>
    <t>대동 48구역 재개발 조합</t>
  </si>
  <si>
    <t>제주 이도주공 2,3단지 재건축사업</t>
  </si>
  <si>
    <t xml:space="preserve"> 2,3단지 주택재건축정비사업조합</t>
  </si>
  <si>
    <t>서울 노량진4구역 재개발사업</t>
  </si>
  <si>
    <t>노량진4구역조합</t>
  </si>
  <si>
    <t>진주 이현1-5구역(이현주공) </t>
  </si>
  <si>
    <t>이현 1-5구역 재건축 조합</t>
  </si>
  <si>
    <t>대구 명륜지구 재개발사업</t>
  </si>
  <si>
    <t>명륜지구 재개발조합</t>
  </si>
  <si>
    <t>소계</t>
    <phoneticPr fontId="2" type="noConversion"/>
  </si>
  <si>
    <t>현대엔지니어링</t>
    <phoneticPr fontId="2" type="noConversion"/>
  </si>
  <si>
    <t>울산 중구 B-05구역 주택재개발정비사업</t>
  </si>
  <si>
    <t>중구 B-05 주택재개발조합</t>
    <phoneticPr fontId="2" type="noConversion"/>
  </si>
  <si>
    <t>인천 송림 1,2구역 주택재개발정비사업</t>
  </si>
  <si>
    <t>송림 1,2동 재개발조합</t>
    <phoneticPr fontId="2" type="noConversion"/>
  </si>
  <si>
    <t>수원 권선 1구역 재건축정비사업</t>
  </si>
  <si>
    <t>권선1구역재건축정비사업조합</t>
    <phoneticPr fontId="2" type="noConversion"/>
  </si>
  <si>
    <t>청주 사직 1구역 재개발사업</t>
  </si>
  <si>
    <t>청주시 사직1구역 주택재개발정비사업조합</t>
    <phoneticPr fontId="2" type="noConversion"/>
  </si>
  <si>
    <t>용인 수지 신정마을9단지 리모델링</t>
    <phoneticPr fontId="2" type="noConversion"/>
  </si>
  <si>
    <t>용인 수지 신정마을9단지 리모델링 정비사업조합</t>
  </si>
  <si>
    <t>1월 9일</t>
  </si>
  <si>
    <t>대전 도마·변동1구역 재개발</t>
    <phoneticPr fontId="2" type="noConversion"/>
  </si>
  <si>
    <t>3월</t>
  </si>
  <si>
    <t>대구 신암10재정비촉진구역 재건축</t>
    <phoneticPr fontId="2" type="noConversion"/>
  </si>
  <si>
    <t>4월</t>
  </si>
  <si>
    <t>용산 한남시범아파트 소규모재건축</t>
  </si>
  <si>
    <t>5월</t>
  </si>
  <si>
    <t>의정부 금오생활권 1구역 재개발</t>
  </si>
  <si>
    <t>전주 하가구역 재개발</t>
  </si>
  <si>
    <t>5월 22일</t>
    <phoneticPr fontId="2" type="noConversion"/>
  </si>
  <si>
    <t>부산 범천4구역 재개발</t>
  </si>
  <si>
    <t>8월</t>
  </si>
  <si>
    <t>성동 금호벽산아파트 리모델링</t>
  </si>
  <si>
    <t>창원 회원2구역 재개발</t>
  </si>
  <si>
    <t>9월</t>
  </si>
  <si>
    <t>성북 장위11-1구역 가로주택</t>
  </si>
  <si>
    <t>10월</t>
  </si>
  <si>
    <t>송파 마천4재정비촉진구역 재개발</t>
  </si>
  <si>
    <t>10월9일</t>
    <phoneticPr fontId="2" type="noConversion"/>
  </si>
  <si>
    <t>아산 용화주공1단지 재건축</t>
  </si>
  <si>
    <t>대구 동구43구역 재개발</t>
  </si>
  <si>
    <t>11월</t>
  </si>
  <si>
    <t>서초 반포MV아파트 리모델링</t>
  </si>
  <si>
    <t>서초 잠원동아아파트 리모델링</t>
  </si>
  <si>
    <t>잠원 동아아파트 리모델링 주택조합</t>
  </si>
  <si>
    <t>12월 9일</t>
    <phoneticPr fontId="2" type="noConversion"/>
  </si>
  <si>
    <t>대치 선경3차아파트 가로주택</t>
  </si>
  <si>
    <t>12월</t>
  </si>
  <si>
    <t>산본 개나리13단지 리모델링</t>
  </si>
  <si>
    <t>안산 고잔연립3구역 재건축</t>
  </si>
  <si>
    <t>수원 신명동보아파트 리모델링</t>
  </si>
  <si>
    <t>대치 비취타운 가로주택</t>
  </si>
  <si>
    <t>대치 비취타운 가로주택정비사업조합</t>
  </si>
  <si>
    <t>12월 31일</t>
    <phoneticPr fontId="2" type="noConversion"/>
  </si>
  <si>
    <t>잠원 갤럭시 리모델링</t>
  </si>
  <si>
    <t>잠원 롯데캐슬갤럭시1차 리모델링정비사업조합</t>
  </si>
  <si>
    <t>의정부 장암5구역 재개발</t>
  </si>
  <si>
    <t>1월</t>
    <phoneticPr fontId="2" type="noConversion"/>
  </si>
  <si>
    <t>광명 철산한신아파트 리모델링</t>
  </si>
  <si>
    <t>3월</t>
    <phoneticPr fontId="2" type="noConversion"/>
  </si>
  <si>
    <t>가락쌍용1차아파트 리모델링</t>
  </si>
  <si>
    <t>5월</t>
    <phoneticPr fontId="2" type="noConversion"/>
  </si>
  <si>
    <t>수원영통 신성신안쌍용진흥아파트 리모델링</t>
  </si>
  <si>
    <t>6월</t>
    <phoneticPr fontId="2" type="noConversion"/>
  </si>
  <si>
    <t>안산팔곡일동1구역 재건축</t>
  </si>
  <si>
    <t> 8월</t>
  </si>
  <si>
    <t>부산 좌천·범일 통합2지구 도시환경정비사업</t>
  </si>
  <si>
    <t>창원 회원2구역 주택재개발 정비사업</t>
  </si>
  <si>
    <t>남양주 덕소5A구역 도시환경정비사업</t>
  </si>
  <si>
    <t>대구 봉덕1동 우리재개발</t>
    <phoneticPr fontId="2" type="noConversion"/>
  </si>
  <si>
    <t>이촌 강촌 리모델링</t>
    <phoneticPr fontId="2" type="noConversion"/>
  </si>
  <si>
    <t>대전 장대B구역</t>
    <phoneticPr fontId="2" type="noConversion"/>
  </si>
  <si>
    <t>강동 선사현대 리모델링</t>
    <phoneticPr fontId="2" type="noConversion"/>
  </si>
  <si>
    <t>경기 과천주공8,9단지</t>
    <phoneticPr fontId="2" type="noConversion"/>
  </si>
  <si>
    <t>전남 광천동 재개발</t>
    <phoneticPr fontId="2" type="noConversion"/>
  </si>
  <si>
    <t>도마변동 5구역</t>
    <phoneticPr fontId="2" type="noConversion"/>
  </si>
  <si>
    <t>이문4구역 재개발</t>
    <phoneticPr fontId="2" type="noConversion"/>
  </si>
  <si>
    <t>부산 우동3구역 재개발</t>
    <phoneticPr fontId="2" type="noConversion"/>
  </si>
  <si>
    <t>부산 서금사6구역 재개발</t>
    <phoneticPr fontId="2" type="noConversion"/>
  </si>
  <si>
    <t>산본 무궁화주공 1단지 리모델링</t>
    <phoneticPr fontId="2" type="noConversion"/>
  </si>
  <si>
    <t>성남 수진1구역</t>
    <phoneticPr fontId="2" type="noConversion"/>
  </si>
  <si>
    <t>방배삼호 12,13동</t>
    <phoneticPr fontId="2" type="noConversion"/>
  </si>
  <si>
    <t>창원 성원토월그랜드타운</t>
    <phoneticPr fontId="2" type="noConversion"/>
  </si>
  <si>
    <t>오류동 현대연립 재건축</t>
    <phoneticPr fontId="2" type="noConversion"/>
  </si>
  <si>
    <t>양산 복지아파트 재건축</t>
    <phoneticPr fontId="2" type="noConversion"/>
  </si>
  <si>
    <t>도마변동 4구역 재개발</t>
    <phoneticPr fontId="2" type="noConversion"/>
  </si>
  <si>
    <t>용두 1구역(6지구) 재개발</t>
    <phoneticPr fontId="2" type="noConversion"/>
  </si>
  <si>
    <t>용인 수지 삼성1차 리모델링</t>
    <phoneticPr fontId="2" type="noConversion"/>
  </si>
  <si>
    <t>이촌 한가람아파트 리모델링</t>
    <phoneticPr fontId="2" type="noConversion"/>
  </si>
  <si>
    <t>창원 성원도월그랜드타운</t>
    <phoneticPr fontId="2" type="noConversion"/>
  </si>
  <si>
    <t>일산 강선마을14단지 리모델링</t>
    <phoneticPr fontId="2" type="noConversion"/>
  </si>
  <si>
    <t>부산 괴정7구역 재개발</t>
    <phoneticPr fontId="2" type="noConversion"/>
  </si>
  <si>
    <t>구미 형곡4구공 재건축</t>
    <phoneticPr fontId="2" type="noConversion"/>
  </si>
  <si>
    <t>울산중구B-04 재개발</t>
    <phoneticPr fontId="2" type="noConversion"/>
  </si>
  <si>
    <t>청주 사모2구역 재개발</t>
    <phoneticPr fontId="2" type="noConversion"/>
  </si>
  <si>
    <t>제물포역 도심 공공주택복합사업</t>
    <phoneticPr fontId="2" type="noConversion"/>
  </si>
  <si>
    <t>군포 산본1동1지구 재개발</t>
    <phoneticPr fontId="2" type="noConversion"/>
  </si>
  <si>
    <t>응봉1 주택재건축</t>
    <phoneticPr fontId="2" type="noConversion"/>
  </si>
  <si>
    <t>한가람세경 리모델링</t>
    <phoneticPr fontId="2" type="noConversion"/>
  </si>
  <si>
    <t>부산 초량2구역 재개발</t>
    <phoneticPr fontId="2" type="noConversion"/>
  </si>
  <si>
    <t>평촌 공작부영아파트 리모델링</t>
    <phoneticPr fontId="2" type="noConversion"/>
  </si>
  <si>
    <t>부산 부민2구역</t>
    <phoneticPr fontId="2" type="noConversion"/>
  </si>
  <si>
    <t>평촌 초원2단지 대림 리모델링</t>
    <phoneticPr fontId="2" type="noConversion"/>
  </si>
  <si>
    <t>송파 가락현대6차아파트</t>
    <phoneticPr fontId="2" type="noConversion"/>
  </si>
  <si>
    <t>평촌 공작부영 리모델링</t>
    <phoneticPr fontId="2" type="noConversion"/>
  </si>
  <si>
    <t>성남 중2구역 도시환경정비</t>
    <phoneticPr fontId="2" type="noConversion"/>
  </si>
  <si>
    <t>여의도 한양아파트 재건축</t>
    <phoneticPr fontId="2" type="noConversion"/>
  </si>
  <si>
    <t>인천 부개5구역 재개발</t>
    <phoneticPr fontId="2" type="noConversion"/>
  </si>
  <si>
    <t>도마변동 16구역 재개발</t>
    <phoneticPr fontId="2" type="noConversion"/>
  </si>
  <si>
    <t>송파 가락삼익맨숀 재건축</t>
    <phoneticPr fontId="2" type="noConversion"/>
  </si>
  <si>
    <t>부산 괴정5구역 재개발</t>
    <phoneticPr fontId="2" type="noConversion"/>
  </si>
  <si>
    <t>방화3구역 재건축</t>
    <phoneticPr fontId="2" type="noConversion"/>
  </si>
  <si>
    <t>마장세림 재건축</t>
    <phoneticPr fontId="2" type="noConversion"/>
  </si>
  <si>
    <t>신반포2차 재건축</t>
    <phoneticPr fontId="2" type="noConversion"/>
  </si>
  <si>
    <t>강남 삼성 서광아파트 리모델링</t>
    <phoneticPr fontId="2" type="noConversion"/>
  </si>
  <si>
    <t>사당5 재건축</t>
    <phoneticPr fontId="2" type="noConversion"/>
  </si>
  <si>
    <t>안산 고잔연립2구역 재건축</t>
    <phoneticPr fontId="2" type="noConversion"/>
  </si>
  <si>
    <t>강서 방화3구역 재건축</t>
    <phoneticPr fontId="2" type="noConversion"/>
  </si>
  <si>
    <t>전농 제9구역 재개발</t>
    <phoneticPr fontId="2" type="noConversion"/>
  </si>
  <si>
    <t>부산 연산5구역 재건축</t>
    <phoneticPr fontId="44" type="noConversion"/>
  </si>
  <si>
    <t>수원 구운1구역 재건축</t>
  </si>
  <si>
    <t>서울 장위9구역 공공재개발</t>
  </si>
  <si>
    <t>서울 개포주공 6·7단지</t>
  </si>
  <si>
    <t>면목7구역</t>
    <phoneticPr fontId="44" type="noConversion"/>
  </si>
  <si>
    <t>구리 수택동</t>
    <phoneticPr fontId="44" type="noConversion"/>
  </si>
  <si>
    <t>강북 미아9-2구역</t>
  </si>
  <si>
    <t>압구정2구역</t>
    <phoneticPr fontId="44" type="noConversion"/>
  </si>
  <si>
    <t>장위15구역</t>
    <phoneticPr fontId="44" type="noConversion"/>
  </si>
  <si>
    <t>성수1지구</t>
    <phoneticPr fontId="44" type="noConversion"/>
  </si>
  <si>
    <t>총계</t>
    <phoneticPr fontId="2" type="noConversion"/>
  </si>
  <si>
    <t>도시정비사업 신규수주 추정</t>
    <phoneticPr fontId="2" type="noConversion"/>
  </si>
  <si>
    <t>2025년 신규수주 누계 및 추정</t>
    <phoneticPr fontId="2" type="noConversion"/>
  </si>
  <si>
    <t>부산 연산5구역 재건축</t>
  </si>
  <si>
    <t>수주금액</t>
    <phoneticPr fontId="2" type="noConversion"/>
  </si>
  <si>
    <t>롯데건설과의 컨소시엄 단위로서 총 공사비 1444.7십억 중 53% 지분</t>
    <phoneticPr fontId="2" type="noConversion"/>
  </si>
  <si>
    <t>롯데건설과의 컨소시엄 단위로서 총 공사비 665.0십억 중 47% 지분</t>
    <phoneticPr fontId="2" type="noConversion"/>
  </si>
  <si>
    <t>DL이앤씨와의 컨소시엄 단위로서 총 공사비 875.5십억 중 40% 지분</t>
    <phoneticPr fontId="2" type="noConversion"/>
  </si>
  <si>
    <t>단독 수주</t>
    <phoneticPr fontId="2" type="noConversion"/>
  </si>
  <si>
    <t>SK에코플랜트와의 컨소시엄 단위로서 총 공사비 595.8십억 중 49% 지분</t>
    <phoneticPr fontId="2" type="noConversion"/>
  </si>
  <si>
    <t>서울 면목7구역 재개발</t>
    <phoneticPr fontId="2" type="noConversion"/>
  </si>
  <si>
    <t>서울 장위9구역 재개발</t>
    <phoneticPr fontId="2" type="noConversion"/>
  </si>
  <si>
    <t>포스코이앤씨와의 컨소시엄 단위로서 총 공사비 2806.9십억 중 70% 지분</t>
    <phoneticPr fontId="2" type="noConversion"/>
  </si>
  <si>
    <t>HDC현대산업개발과의 컨소시엄 단위로서 총 공사비 635.8십억 중 53% 지분</t>
    <phoneticPr fontId="2" type="noConversion"/>
  </si>
  <si>
    <t>9월 총회 예정</t>
    <phoneticPr fontId="2" type="noConversion"/>
  </si>
  <si>
    <t>9월 총회 추정</t>
    <phoneticPr fontId="2" type="noConversion"/>
  </si>
  <si>
    <t>1차 단독입찰로 유찰, 2차 입찰 9월 예정으로 가능성 높음</t>
    <phoneticPr fontId="2" type="noConversion"/>
  </si>
  <si>
    <t>연내 선정 예정</t>
    <phoneticPr fontId="2" type="noConversion"/>
  </si>
  <si>
    <t>서울 성수1지구 재개발</t>
    <phoneticPr fontId="2" type="noConversion"/>
  </si>
  <si>
    <t>서울 장위15구역 재개발</t>
    <phoneticPr fontId="2" type="noConversion"/>
  </si>
  <si>
    <t>서울 압구정2구역 재건축</t>
    <phoneticPr fontId="2" type="noConversion"/>
  </si>
  <si>
    <t>서울 미아9-2구역 재건축</t>
    <phoneticPr fontId="2" type="noConversion"/>
  </si>
  <si>
    <t>구리 수택동 재개발</t>
    <phoneticPr fontId="2" type="noConversion"/>
  </si>
  <si>
    <t>서울 개포주공 6·7단지 재건축</t>
    <phoneticPr fontId="2" type="noConversion"/>
  </si>
  <si>
    <t>총합</t>
    <phoneticPr fontId="2" type="noConversion"/>
  </si>
  <si>
    <t>도시정비사업 매출 추정</t>
    <phoneticPr fontId="2" type="noConversion"/>
  </si>
  <si>
    <t>(단위: 십억 원)</t>
    <phoneticPr fontId="44" type="noConversion"/>
  </si>
  <si>
    <t>2025E</t>
    <phoneticPr fontId="44" type="noConversion"/>
  </si>
  <si>
    <t>2026E</t>
    <phoneticPr fontId="44" type="noConversion"/>
  </si>
  <si>
    <t>기존수주</t>
    <phoneticPr fontId="44" type="noConversion"/>
  </si>
  <si>
    <t>기존수주 매출</t>
    <phoneticPr fontId="44" type="noConversion"/>
  </si>
  <si>
    <t>기존수주분 매출 추정</t>
    <phoneticPr fontId="44" type="noConversion"/>
  </si>
  <si>
    <t>(2) 기존수주분 매출 추정</t>
    <phoneticPr fontId="2" type="noConversion"/>
  </si>
  <si>
    <t>(1) 신규수주분 매출 추정</t>
    <phoneticPr fontId="2" type="noConversion"/>
  </si>
  <si>
    <t>기준연도</t>
    <phoneticPr fontId="44" type="noConversion"/>
  </si>
  <si>
    <t>착공연도</t>
    <phoneticPr fontId="44" type="noConversion"/>
  </si>
  <si>
    <t>착공률</t>
    <phoneticPr fontId="44" type="noConversion"/>
  </si>
  <si>
    <t>2027E</t>
    <phoneticPr fontId="44" type="noConversion"/>
  </si>
  <si>
    <t>2028E</t>
    <phoneticPr fontId="44" type="noConversion"/>
  </si>
  <si>
    <t>2029E</t>
    <phoneticPr fontId="44" type="noConversion"/>
  </si>
  <si>
    <t>착공규모</t>
    <phoneticPr fontId="44" type="noConversion"/>
  </si>
  <si>
    <t>착공률 및 기간별 정비사업 진행률 추정</t>
    <phoneticPr fontId="2" type="noConversion"/>
  </si>
  <si>
    <t>신규수주분 매출 추정</t>
    <phoneticPr fontId="44" type="noConversion"/>
  </si>
  <si>
    <t>서울 장위11-2 가로주택정비사업</t>
    <phoneticPr fontId="2" type="noConversion"/>
  </si>
  <si>
    <t>정상착공율 추정</t>
    <phoneticPr fontId="2" type="noConversion"/>
  </si>
  <si>
    <t>연도별</t>
    <phoneticPr fontId="2" type="noConversion"/>
  </si>
  <si>
    <t>누적</t>
    <phoneticPr fontId="2" type="noConversion"/>
  </si>
  <si>
    <t>T+1</t>
    <phoneticPr fontId="2" type="noConversion"/>
  </si>
  <si>
    <t>T+2</t>
    <phoneticPr fontId="2" type="noConversion"/>
  </si>
  <si>
    <t>T+3</t>
    <phoneticPr fontId="2" type="noConversion"/>
  </si>
  <si>
    <t>T+4</t>
    <phoneticPr fontId="2" type="noConversion"/>
  </si>
  <si>
    <t>유력건설사인 GS건설 향응제공으로 자격박탈 가능성 높아, 박탈 시 동사 유력</t>
    <phoneticPr fontId="2" type="noConversion"/>
  </si>
  <si>
    <t>T+5</t>
    <phoneticPr fontId="2" type="noConversion"/>
  </si>
  <si>
    <t>공사착공일(T)</t>
    <phoneticPr fontId="2" type="noConversion"/>
  </si>
  <si>
    <t>매출원가 추정</t>
    <phoneticPr fontId="2" type="noConversion"/>
  </si>
  <si>
    <t>사업부별 매출원가 추정</t>
    <phoneticPr fontId="2" type="noConversion"/>
  </si>
  <si>
    <t>%of segment sales</t>
    <phoneticPr fontId="2" type="noConversion"/>
  </si>
  <si>
    <t>[이동평균] 특별한 경향성 없어 3년 이동평균</t>
    <phoneticPr fontId="2" type="noConversion"/>
  </si>
  <si>
    <t>원가율</t>
    <phoneticPr fontId="2" type="noConversion"/>
  </si>
  <si>
    <t>[이동평균] 최근 3년간 수익성 악화 환경 동일해, 일회적 요인 발생한 2024년 제외하여 3개년 이동평균</t>
    <phoneticPr fontId="2" type="noConversion"/>
  </si>
  <si>
    <t>ROE</t>
    <phoneticPr fontId="2" type="noConversion"/>
  </si>
  <si>
    <t>신규수주 추정논리</t>
    <phoneticPr fontId="2" type="noConversion"/>
  </si>
  <si>
    <t>1. 2025년의 경우 기확보한 수주누계와 향후 연내 수주가능성 높은 사업지를 보수적으로 고려하여 추정함('2025년 신규수주 누계 및 추정' 표 참조)</t>
    <phoneticPr fontId="2" type="noConversion"/>
  </si>
  <si>
    <t>2. 2026~2029년의 경우 전국 사업지 진행상황 추정에 한계가 있어, 3년 이동평균 적용하여 추정함</t>
    <phoneticPr fontId="2" type="noConversion"/>
  </si>
  <si>
    <t>신규수주분 매출 추정논리</t>
    <phoneticPr fontId="2" type="noConversion"/>
  </si>
  <si>
    <t>1. 신규수주 중 지연되지 않고 정상착공 진행될 비율은, 동사 공시를 기반으로 35.4%로 추정함.('정상착공율 추정' 표 참조)</t>
    <phoneticPr fontId="2" type="noConversion"/>
  </si>
  <si>
    <t>사업 수</t>
    <phoneticPr fontId="2" type="noConversion"/>
  </si>
  <si>
    <t>수주-착공 소요기간</t>
    <phoneticPr fontId="2" type="noConversion"/>
  </si>
  <si>
    <t>정상착공</t>
    <phoneticPr fontId="2" type="noConversion"/>
  </si>
  <si>
    <t>지연착공</t>
    <phoneticPr fontId="2" type="noConversion"/>
  </si>
  <si>
    <t>기간</t>
    <phoneticPr fontId="2" type="noConversion"/>
  </si>
  <si>
    <t>(단위: 년)</t>
    <phoneticPr fontId="2" type="noConversion"/>
  </si>
  <si>
    <t>3. 해당연도에 착공되는 물량은 도시정비사업 기간별 진행률에 따라 매출 추정함.('기간별 진행률 추정' 표 참조)</t>
    <phoneticPr fontId="2" type="noConversion"/>
  </si>
  <si>
    <t>2. 정상착공사업은 수주에서 착공시점까지 2년 소요됨을 고려하여, 기준연도 신규수주분은 2년 뒤 착공될 것으로 가정함.('수주-착공 소요기간' 표 참조)</t>
    <phoneticPr fontId="2" type="noConversion"/>
  </si>
  <si>
    <t>기존수주분 매출 추정논리</t>
    <phoneticPr fontId="2" type="noConversion"/>
  </si>
  <si>
    <t>도시정비사업 수주 및 매출 추정(종합)</t>
    <phoneticPr fontId="2" type="noConversion"/>
  </si>
  <si>
    <t>신규수주 누적액</t>
    <phoneticPr fontId="44" type="noConversion"/>
  </si>
  <si>
    <t>사업부문별 원가율</t>
    <phoneticPr fontId="2" type="noConversion"/>
  </si>
  <si>
    <t>[추정논리] 악성사업 준공으로 27년까지 정상원가율까지 단계적 감소 추정했으며, 정상 원가율은 보수적 추정 위해 17~24년 평균 원가율 적용함</t>
    <phoneticPr fontId="2" type="noConversion"/>
  </si>
  <si>
    <t>정비사업 호황기인 2015년과 2022년을 기준으로 동사가 시행중인 도시정비사업 수주를 분석하였다.</t>
  </si>
  <si>
    <t xml:space="preserve">일정규모 이상에 해당하는 정비사업에 대하여 아래와 같은 내용을 분석하였다. </t>
  </si>
  <si>
    <t>1) 시공사선정으로부터 착공까지 지연여부 확인 → 해당연도 착공지연율 추정</t>
  </si>
  <si>
    <t>2) 착공 이후 연차별 진행률 분석 → 기간별 평균 진행률 추정</t>
  </si>
  <si>
    <t>전체 신규수주</t>
    <phoneticPr fontId="2" type="noConversion"/>
  </si>
  <si>
    <t>전체 수주잔고</t>
    <phoneticPr fontId="2" type="noConversion"/>
  </si>
  <si>
    <t>전체 신규수주(연간)</t>
  </si>
  <si>
    <t>전체 신규수주(연간)</t>
    <phoneticPr fontId="2" type="noConversion"/>
  </si>
  <si>
    <t>전체 수주잔고(연간)</t>
    <phoneticPr fontId="2" type="noConversion"/>
  </si>
  <si>
    <t>판관비 세부항목</t>
    <phoneticPr fontId="2" type="noConversion"/>
  </si>
  <si>
    <t>[CAGR] 고용노동부 300인 이상 건설업 임금 평균 상승률 2.87% 적용</t>
    <phoneticPr fontId="2" type="noConversion"/>
  </si>
  <si>
    <t>[추정논리] 매출액 대비 연구개발비 평균 비중에 당기 추정매출액 적용하여 추정</t>
    <phoneticPr fontId="2" type="noConversion"/>
  </si>
  <si>
    <t>[추정논리] 신규수주 시점에서 발생, 최근 3개년 평균 신규수주액 대비 지급수수료율 0.18% 적용하여 추정</t>
    <phoneticPr fontId="2" type="noConversion"/>
  </si>
  <si>
    <t>[이동평균] 완공 사업장으로부터 자금회수 지연, 미분양 물량에 대한 할인 매각 등으로 매출채권 미회수시 인식하는 항목으로, 합리적 추정할 수 없어 3개년 이동평균</t>
    <phoneticPr fontId="2" type="noConversion"/>
  </si>
  <si>
    <t>[이동평균] 합리적 추정할 수 없어 3개년 이동평균</t>
    <phoneticPr fontId="2" type="noConversion"/>
  </si>
  <si>
    <t>[추정논리] '플랜트-원전' 시트 참조</t>
    <phoneticPr fontId="2" type="noConversion"/>
  </si>
  <si>
    <t>SMR은 과거 시공 이력이 존재하지 않지만, 통상적으로 대형 원전에 비해 짧은 공기와 모듈화 설계 구조로 변동성이 작고 시공 단계에서의 리스크 관리가 용이함.</t>
  </si>
  <si>
    <t>이를 반영하기 위해, 1.33배의 프리미엄을 적용하여 SMR의 GPM을 8%로 적용함.</t>
  </si>
  <si>
    <t>원가율 추정논리</t>
    <phoneticPr fontId="2" type="noConversion"/>
  </si>
  <si>
    <t>기존 시공(C)만 담당하던 바라카 원전 사업의 GPM은 약 3.5%로 추정. 하지만 컨소시엄 단위의 수주로 EPC 전 영역에 참여하게 되며 GPM 상승할 것으로 추정, 업계 자료 바탕으로 향후 GPM 추정함.</t>
    <phoneticPr fontId="2" type="noConversion"/>
  </si>
  <si>
    <t>업계 평균 E/P/C의 각 단계별 수주액 비중과 평균 GPM은 각각 15%/10%, 40%/7.5%, 45%/3.5%로 추정됨. 각 단계별 수주액 비중에 평균 GPM을 곱한 후 합하여 총 GPM을 추정하여, 6.075%를 적용함.</t>
    <phoneticPr fontId="2" type="noConversion"/>
  </si>
  <si>
    <t>지급수수료/신규수주</t>
    <phoneticPr fontId="2" type="noConversion"/>
  </si>
  <si>
    <t>flat한 경향으로 3개년 이동평균 적용</t>
  </si>
  <si>
    <t>비주요항목</t>
    <phoneticPr fontId="2" type="noConversion"/>
  </si>
  <si>
    <t xml:space="preserve">   비유동금융부채</t>
    <phoneticPr fontId="2" type="noConversion"/>
  </si>
  <si>
    <t xml:space="preserve">   장기매입채무및기타비유동채무</t>
    <phoneticPr fontId="2" type="noConversion"/>
  </si>
  <si>
    <t xml:space="preserve">   비유동종업원급여충당부채</t>
    <phoneticPr fontId="2" type="noConversion"/>
  </si>
  <si>
    <t xml:space="preserve">   기타장기충당부채</t>
    <phoneticPr fontId="2" type="noConversion"/>
  </si>
  <si>
    <t xml:space="preserve">   이연법인세부채</t>
    <phoneticPr fontId="2" type="noConversion"/>
  </si>
  <si>
    <t>과거수준 유지할 것으로 판단, 3개년 이동평균 적용</t>
  </si>
  <si>
    <t>자본금은 발행주식 수에 따른 고정 항목으로 최근 3년간 변동이 없었고 향후 유상증자 또는 감자 등의 계획이 없다는 가정 하에 동일한 수준 유지하는 것으로 추정</t>
  </si>
  <si>
    <t>자본거래가 없는 한 변동이 없는 항목으로 향후에도 현재 수준으로 고정 추정</t>
  </si>
  <si>
    <t>최근 3년간 변동이 없었던 점 고려, 향후에도 동일한 수준으로 유지될 것으로 추정</t>
  </si>
  <si>
    <t>당기순이익에서 배당금이 차감되어 매년 누적되는 항목, 보통주 600원, 우선주 650원의 과거 배당 적용하여 총 배당금(67,499백만원)을 매년 동일하게 차감하는 보수적 가정 하에 추정</t>
  </si>
  <si>
    <t xml:space="preserve">      매출채권</t>
    <phoneticPr fontId="2" type="noConversion"/>
  </si>
  <si>
    <t xml:space="preserve">      공사(분양)미수금</t>
    <phoneticPr fontId="2" type="noConversion"/>
  </si>
  <si>
    <t xml:space="preserve">      미수금</t>
    <phoneticPr fontId="2" type="noConversion"/>
  </si>
  <si>
    <t xml:space="preserve">      기타의 유동채권</t>
    <phoneticPr fontId="2" type="noConversion"/>
  </si>
  <si>
    <t xml:space="preserve">   당기법인세자산(선급법인세)</t>
    <phoneticPr fontId="2" type="noConversion"/>
  </si>
  <si>
    <t xml:space="preserve">      선급금</t>
    <phoneticPr fontId="2" type="noConversion"/>
  </si>
  <si>
    <t xml:space="preserve">      선급비용</t>
    <phoneticPr fontId="2" type="noConversion"/>
  </si>
  <si>
    <t xml:space="preserve">      기타의유동자산</t>
    <phoneticPr fontId="2" type="noConversion"/>
  </si>
  <si>
    <t xml:space="preserve">   매각예정비유동자산및처분자산집단</t>
    <phoneticPr fontId="2" type="noConversion"/>
  </si>
  <si>
    <t xml:space="preserve">      토지</t>
    <phoneticPr fontId="2" type="noConversion"/>
  </si>
  <si>
    <t xml:space="preserve">      설비자산</t>
    <phoneticPr fontId="2" type="noConversion"/>
  </si>
  <si>
    <t xml:space="preserve">      기타의유형자산</t>
    <phoneticPr fontId="2" type="noConversion"/>
  </si>
  <si>
    <t xml:space="preserve">      건설중인자산</t>
    <phoneticPr fontId="2" type="noConversion"/>
  </si>
  <si>
    <t xml:space="preserve">   이연법인세자산</t>
    <phoneticPr fontId="2" type="noConversion"/>
  </si>
  <si>
    <t xml:space="preserve">   유동성장기부채</t>
    <phoneticPr fontId="2" type="noConversion"/>
  </si>
  <si>
    <t xml:space="preserve">   유동금융부채</t>
    <phoneticPr fontId="2" type="noConversion"/>
  </si>
  <si>
    <t xml:space="preserve">   매입채무및기타유동채무</t>
    <phoneticPr fontId="2" type="noConversion"/>
  </si>
  <si>
    <t xml:space="preserve">      매입채무</t>
    <phoneticPr fontId="2" type="noConversion"/>
  </si>
  <si>
    <t xml:space="preserve">      미지급금</t>
    <phoneticPr fontId="2" type="noConversion"/>
  </si>
  <si>
    <t xml:space="preserve">      단기초과청구공사</t>
    <phoneticPr fontId="2" type="noConversion"/>
  </si>
  <si>
    <t xml:space="preserve">      기타의 유동채무</t>
    <phoneticPr fontId="2" type="noConversion"/>
  </si>
  <si>
    <t xml:space="preserve">   기타단기충당부채</t>
    <phoneticPr fontId="2" type="noConversion"/>
  </si>
  <si>
    <t xml:space="preserve">      (공사)손실부담계약충당부채</t>
    <phoneticPr fontId="2" type="noConversion"/>
  </si>
  <si>
    <t xml:space="preserve">      하자보수충당부채</t>
    <phoneticPr fontId="2" type="noConversion"/>
  </si>
  <si>
    <t xml:space="preserve">      기타</t>
    <phoneticPr fontId="2" type="noConversion"/>
  </si>
  <si>
    <t xml:space="preserve">   당기법인세부채(미지급법인세)</t>
    <phoneticPr fontId="2" type="noConversion"/>
  </si>
  <si>
    <t xml:space="preserve">      계약자산(미청구공사)</t>
    <phoneticPr fontId="2" type="noConversion"/>
  </si>
  <si>
    <t>대차 일치 확인</t>
    <phoneticPr fontId="2" type="noConversion"/>
  </si>
  <si>
    <t>flat한 경향으로 3개년 이동평균 적용</t>
    <phoneticPr fontId="2" type="noConversion"/>
  </si>
  <si>
    <t>향후 수주환경이 개선되고, 착공률이 회복할 전망이며, 이에 따라 정상 수준으로 회귀할 것으로 추정</t>
    <phoneticPr fontId="2" type="noConversion"/>
  </si>
  <si>
    <t>미청구공사의 감소와 신규 수주의 착공으로 현금 유입이 증가할 전망, 이에 따라 과거 성장률을 적용</t>
    <phoneticPr fontId="2" type="noConversion"/>
  </si>
  <si>
    <t>자산</t>
    <phoneticPr fontId="2" type="noConversion"/>
  </si>
  <si>
    <t>자본+부채</t>
    <phoneticPr fontId="2" type="noConversion"/>
  </si>
  <si>
    <t>현금흐름표</t>
    <phoneticPr fontId="2" type="noConversion"/>
  </si>
  <si>
    <t>현대건설(000720.KS)-EV/Backlog</t>
    <phoneticPr fontId="15" type="noConversion"/>
  </si>
  <si>
    <r>
      <t>Estimate Sheets (</t>
    </r>
    <r>
      <rPr>
        <b/>
        <sz val="18"/>
        <color indexed="9"/>
        <rFont val="KoPubWorld돋움체 Bold"/>
        <family val="3"/>
        <charset val="129"/>
      </rPr>
      <t>추정재무제표 작성)</t>
    </r>
    <phoneticPr fontId="15" type="noConversion"/>
  </si>
  <si>
    <t>건축/주택</t>
    <phoneticPr fontId="2" type="noConversion"/>
  </si>
  <si>
    <t>기본 설계</t>
    <phoneticPr fontId="2" type="noConversion"/>
  </si>
  <si>
    <t>상세 설계</t>
    <phoneticPr fontId="2" type="noConversion"/>
  </si>
  <si>
    <t>팰리세이즈 FOAK 프로젝트 내용 추정논리</t>
    <phoneticPr fontId="2" type="noConversion"/>
  </si>
  <si>
    <t>신규수주 : 두 사업부 모두 투자분석 과정에서 특이적 투자아이디어 발견할 수 없고  특별한 경향성 없어 3개년 이동평균 활용하여 보수적 추정</t>
  </si>
  <si>
    <t>향후 업황 상황의 개선으로 금융자산 증가가 예상되나 보수적인 추정을 위해 flat 적용</t>
    <phoneticPr fontId="2" type="noConversion"/>
  </si>
  <si>
    <t>규모 미미하고 변동성 크지 않아 3개년 이동평균 적용</t>
    <phoneticPr fontId="2" type="noConversion"/>
  </si>
  <si>
    <t>수주 증가에 의해 미수금이 상승은 제한적일 것으로 판단하나 보수적 추정을 위해 매해 신규 수주 증가율을 적용</t>
    <phoneticPr fontId="2" type="noConversion"/>
  </si>
  <si>
    <t>향후 매출 증가와 회수 효율화가 병행될 것으로 판단되나, 보수적 추정을 위해 평균 수준을 유지하도록 추정</t>
    <phoneticPr fontId="2" type="noConversion"/>
  </si>
  <si>
    <t>공사 비용 중 선지급된 부분 사업 확장과 착공률 증가가 동시에 예상되기에 신규 수주 증가율 적용</t>
    <phoneticPr fontId="2" type="noConversion"/>
  </si>
  <si>
    <t>기간비용 중 선지급된 부분. 사업 확장과 착공률 증가가 동시에 예상되기에 신규 수주 증가율 적용</t>
    <phoneticPr fontId="2" type="noConversion"/>
  </si>
  <si>
    <t>규모 미미해 3개년 이동평균 적용</t>
    <phoneticPr fontId="2" type="noConversion"/>
  </si>
  <si>
    <t>수주 증가에 따른 설비 확충 확대, 2022~2023년간 급증 이후 2024년부터 안정적 증가세로 전환, 이에 동일한 증가율로 추정</t>
    <phoneticPr fontId="2" type="noConversion"/>
  </si>
  <si>
    <t>건설업종 특성상 CAPEX 투자의 낮은 변동성이 예상되기에 과거 투자 추세를 반영하기 위해 3개년 CAGR 적용</t>
    <phoneticPr fontId="2" type="noConversion"/>
  </si>
  <si>
    <t>2024년 일회성 요인으로 판단, 당해 연도 수치를 제외하여 3개년 이동 평균 적용</t>
    <phoneticPr fontId="2" type="noConversion"/>
  </si>
  <si>
    <t>최근 3년간 연평균 약 -4.5% 감소, 이는 장기미수금 및 PF채권 회수 확대 등에 기인한 것으로 판단, 향후에도 동일한 흐름이 이어질 것으로 보아 해당 수치 적용</t>
    <phoneticPr fontId="2" type="noConversion"/>
  </si>
  <si>
    <t>보수적 추정과 과거 추세를 반영하기 위해 3개년 CAGR 적용</t>
    <phoneticPr fontId="2" type="noConversion"/>
  </si>
  <si>
    <t>장기선급비용, 기타의비유동자산 등 다양한 항목으로 구성되어 있기에 별도 추정이 곤란, 과거 3개년 성장률 적용</t>
    <phoneticPr fontId="2" type="noConversion"/>
  </si>
  <si>
    <t>2024년 급증은 일회성 요인으로 판단, 해당 연도 제외 후 3개년 이동평균 적용</t>
    <phoneticPr fontId="2" type="noConversion"/>
  </si>
  <si>
    <t>최근 급증세(2022~2023) 이후 2024년에는 증가세가 둔화, 향후 사업 확장에 따른 증가가 예상되기에 급증 시기 수치를 적용</t>
    <phoneticPr fontId="2" type="noConversion"/>
  </si>
  <si>
    <t>미지급금은 공사 원가 및 외주비용에 비례해 증가하는 항목으로 최근 2년간 높은 증가세(2022~2024년 CAGR: 약 +13.6%)를 보였으며, 향후에도 지속될 것이라 추정</t>
    <phoneticPr fontId="2" type="noConversion"/>
  </si>
  <si>
    <t>사업 환경 개선에 따른 성장세를 반영하기 위하여 3개년 이동평균 반영</t>
    <phoneticPr fontId="2" type="noConversion"/>
  </si>
  <si>
    <t>2024년 급증은 일회성 요인으로 판단, 원가 안정화로 공사 손실에 대한 위험도가 줄어들 것을 예상되기에 2024년도를 제외하고 이동평균 적용</t>
    <phoneticPr fontId="2" type="noConversion"/>
  </si>
  <si>
    <t>최근 급증했으며, 보수적 추정을 위해 3개년 이동평균 적용</t>
    <phoneticPr fontId="2" type="noConversion"/>
  </si>
  <si>
    <t>공사 계약에 따른 계약부채가 주를 이루며 향후 사업 확대로 큰 폭의 증가 후 정상 수준으로 회귀하도록 추정</t>
    <phoneticPr fontId="2" type="noConversion"/>
  </si>
  <si>
    <t>비정상치인 2022년도를 제외하고 3개년 이동평균 적용</t>
    <phoneticPr fontId="2" type="noConversion"/>
  </si>
  <si>
    <t>3개년 이동평균 적용</t>
    <phoneticPr fontId="2" type="noConversion"/>
  </si>
  <si>
    <t>차액</t>
    <phoneticPr fontId="2" type="noConversion"/>
  </si>
  <si>
    <t>구분</t>
  </si>
  <si>
    <t>비고</t>
  </si>
  <si>
    <t>십억 원</t>
    <phoneticPr fontId="2" type="noConversion"/>
  </si>
  <si>
    <t xml:space="preserve">      Target EV/Backlog</t>
    <phoneticPr fontId="44" type="noConversion"/>
  </si>
  <si>
    <t>(배)</t>
  </si>
  <si>
    <t>EV</t>
    <phoneticPr fontId="2" type="noConversion"/>
  </si>
  <si>
    <t>(C) = (A) × (B)</t>
    <phoneticPr fontId="2" type="noConversion"/>
  </si>
  <si>
    <t>발행주식수</t>
  </si>
  <si>
    <t>현재주가</t>
    <phoneticPr fontId="2" type="noConversion"/>
  </si>
  <si>
    <t>25.07.30 기준 종가</t>
    <phoneticPr fontId="2" type="noConversion"/>
  </si>
  <si>
    <t>1Q06</t>
    <phoneticPr fontId="2" type="noConversion"/>
  </si>
  <si>
    <t>2Q06</t>
    <phoneticPr fontId="2" type="noConversion"/>
  </si>
  <si>
    <t>3Q06</t>
    <phoneticPr fontId="2" type="noConversion"/>
  </si>
  <si>
    <t>4Q06</t>
    <phoneticPr fontId="2" type="noConversion"/>
  </si>
  <si>
    <t>1Q07</t>
    <phoneticPr fontId="2" type="noConversion"/>
  </si>
  <si>
    <t>2Q07</t>
    <phoneticPr fontId="2" type="noConversion"/>
  </si>
  <si>
    <t>3Q07</t>
    <phoneticPr fontId="2" type="noConversion"/>
  </si>
  <si>
    <t>4Q07</t>
    <phoneticPr fontId="2" type="noConversion"/>
  </si>
  <si>
    <t>1Q08</t>
    <phoneticPr fontId="2" type="noConversion"/>
  </si>
  <si>
    <t>2Q08</t>
    <phoneticPr fontId="2" type="noConversion"/>
  </si>
  <si>
    <t>3Q08</t>
    <phoneticPr fontId="2" type="noConversion"/>
  </si>
  <si>
    <t>4Q08</t>
    <phoneticPr fontId="2" type="noConversion"/>
  </si>
  <si>
    <t>1Q09</t>
    <phoneticPr fontId="2" type="noConversion"/>
  </si>
  <si>
    <t>2Q09</t>
    <phoneticPr fontId="2" type="noConversion"/>
  </si>
  <si>
    <t>3Q09</t>
    <phoneticPr fontId="2" type="noConversion"/>
  </si>
  <si>
    <t>4Q09</t>
    <phoneticPr fontId="2" type="noConversion"/>
  </si>
  <si>
    <t>1Q10</t>
    <phoneticPr fontId="2" type="noConversion"/>
  </si>
  <si>
    <t>2Q10</t>
    <phoneticPr fontId="2" type="noConversion"/>
  </si>
  <si>
    <t>3Q10</t>
    <phoneticPr fontId="2" type="noConversion"/>
  </si>
  <si>
    <t>4Q10</t>
    <phoneticPr fontId="2" type="noConversion"/>
  </si>
  <si>
    <t>1Q11</t>
    <phoneticPr fontId="2" type="noConversion"/>
  </si>
  <si>
    <t>2Q11</t>
    <phoneticPr fontId="2" type="noConversion"/>
  </si>
  <si>
    <t>3Q11</t>
    <phoneticPr fontId="2" type="noConversion"/>
  </si>
  <si>
    <t>4Q11</t>
    <phoneticPr fontId="2" type="noConversion"/>
  </si>
  <si>
    <t>1Q12</t>
    <phoneticPr fontId="2" type="noConversion"/>
  </si>
  <si>
    <t>2Q12</t>
    <phoneticPr fontId="2" type="noConversion"/>
  </si>
  <si>
    <t>3Q12</t>
    <phoneticPr fontId="2" type="noConversion"/>
  </si>
  <si>
    <t>4Q12</t>
    <phoneticPr fontId="2" type="noConversion"/>
  </si>
  <si>
    <t>1Q13</t>
    <phoneticPr fontId="2" type="noConversion"/>
  </si>
  <si>
    <t>2Q13</t>
    <phoneticPr fontId="2" type="noConversion"/>
  </si>
  <si>
    <t>3Q13</t>
    <phoneticPr fontId="2" type="noConversion"/>
  </si>
  <si>
    <t>4Q13</t>
    <phoneticPr fontId="2" type="noConversion"/>
  </si>
  <si>
    <t>1Q14</t>
    <phoneticPr fontId="2" type="noConversion"/>
  </si>
  <si>
    <t>2Q14</t>
    <phoneticPr fontId="2" type="noConversion"/>
  </si>
  <si>
    <t>3Q14</t>
    <phoneticPr fontId="2" type="noConversion"/>
  </si>
  <si>
    <t>4Q14</t>
    <phoneticPr fontId="2" type="noConversion"/>
  </si>
  <si>
    <t>1Q15</t>
    <phoneticPr fontId="2" type="noConversion"/>
  </si>
  <si>
    <t>2Q15</t>
    <phoneticPr fontId="2" type="noConversion"/>
  </si>
  <si>
    <t>3Q15</t>
    <phoneticPr fontId="2" type="noConversion"/>
  </si>
  <si>
    <t>4Q15</t>
    <phoneticPr fontId="2" type="noConversion"/>
  </si>
  <si>
    <t>1Q16</t>
    <phoneticPr fontId="2" type="noConversion"/>
  </si>
  <si>
    <t>2Q16</t>
    <phoneticPr fontId="2" type="noConversion"/>
  </si>
  <si>
    <t>3Q16</t>
    <phoneticPr fontId="2" type="noConversion"/>
  </si>
  <si>
    <t>4Q16</t>
    <phoneticPr fontId="2" type="noConversion"/>
  </si>
  <si>
    <t>1Q17</t>
    <phoneticPr fontId="2" type="noConversion"/>
  </si>
  <si>
    <t>2Q17</t>
    <phoneticPr fontId="2" type="noConversion"/>
  </si>
  <si>
    <t>3Q17</t>
    <phoneticPr fontId="2" type="noConversion"/>
  </si>
  <si>
    <t>4Q17</t>
    <phoneticPr fontId="2" type="noConversion"/>
  </si>
  <si>
    <t>1Q18</t>
    <phoneticPr fontId="2" type="noConversion"/>
  </si>
  <si>
    <t>2Q18</t>
    <phoneticPr fontId="2" type="noConversion"/>
  </si>
  <si>
    <t>3Q18</t>
    <phoneticPr fontId="2" type="noConversion"/>
  </si>
  <si>
    <t>4Q18</t>
    <phoneticPr fontId="2" type="noConversion"/>
  </si>
  <si>
    <t>1Q19</t>
    <phoneticPr fontId="2" type="noConversion"/>
  </si>
  <si>
    <t>2Q19</t>
    <phoneticPr fontId="2" type="noConversion"/>
  </si>
  <si>
    <t>3Q19</t>
    <phoneticPr fontId="2" type="noConversion"/>
  </si>
  <si>
    <t>4Q19</t>
    <phoneticPr fontId="2" type="noConversion"/>
  </si>
  <si>
    <t>1Q20</t>
    <phoneticPr fontId="2" type="noConversion"/>
  </si>
  <si>
    <t>2Q20</t>
    <phoneticPr fontId="2" type="noConversion"/>
  </si>
  <si>
    <t>3Q20</t>
    <phoneticPr fontId="2" type="noConversion"/>
  </si>
  <si>
    <t>4Q20</t>
    <phoneticPr fontId="2" type="noConversion"/>
  </si>
  <si>
    <t>1Q21</t>
    <phoneticPr fontId="2" type="noConversion"/>
  </si>
  <si>
    <t>2Q21</t>
    <phoneticPr fontId="2" type="noConversion"/>
  </si>
  <si>
    <t>3Q21</t>
    <phoneticPr fontId="2" type="noConversion"/>
  </si>
  <si>
    <t>4Q21</t>
    <phoneticPr fontId="2" type="noConversion"/>
  </si>
  <si>
    <t>1Q22</t>
    <phoneticPr fontId="2" type="noConversion"/>
  </si>
  <si>
    <t>2Q22</t>
    <phoneticPr fontId="2" type="noConversion"/>
  </si>
  <si>
    <t>3Q22</t>
    <phoneticPr fontId="2" type="noConversion"/>
  </si>
  <si>
    <t>4Q22</t>
    <phoneticPr fontId="2" type="noConversion"/>
  </si>
  <si>
    <t>1Q23</t>
    <phoneticPr fontId="2" type="noConversion"/>
  </si>
  <si>
    <t>2Q23</t>
    <phoneticPr fontId="2" type="noConversion"/>
  </si>
  <si>
    <t>3Q23</t>
    <phoneticPr fontId="2" type="noConversion"/>
  </si>
  <si>
    <t>4Q23</t>
    <phoneticPr fontId="2" type="noConversion"/>
  </si>
  <si>
    <t>1Q24</t>
    <phoneticPr fontId="2" type="noConversion"/>
  </si>
  <si>
    <t>2Q24</t>
    <phoneticPr fontId="2" type="noConversion"/>
  </si>
  <si>
    <t>3Q24</t>
    <phoneticPr fontId="2" type="noConversion"/>
  </si>
  <si>
    <t>4Q24</t>
    <phoneticPr fontId="2" type="noConversion"/>
  </si>
  <si>
    <t>EV/Backlog</t>
    <phoneticPr fontId="2" type="noConversion"/>
  </si>
  <si>
    <t>분기별 EV/Backlog 추정</t>
    <phoneticPr fontId="2" type="noConversion"/>
  </si>
  <si>
    <t>(단위:십억 원)</t>
    <phoneticPr fontId="2" type="noConversion"/>
  </si>
  <si>
    <t xml:space="preserve">      조정 베타</t>
    <phoneticPr fontId="2" type="noConversion"/>
  </si>
  <si>
    <t>COE Estimation Logic</t>
    <phoneticPr fontId="2" type="noConversion"/>
  </si>
  <si>
    <t>[전환율 기반]  5년 평균 매출전환율 고려하여 전기 수주잔고에 적용하여 매출액 추정</t>
  </si>
  <si>
    <t>비정비사업 매출전환율 추정</t>
  </si>
  <si>
    <t>매출전환율</t>
  </si>
  <si>
    <t>Avg 매출전환율</t>
  </si>
  <si>
    <t>*매출전환율(BBR) = 당기 매출액/전기 수주잔고</t>
  </si>
  <si>
    <t>1. 기존수주 수주잔고에 매출전환율을 곱하여 매출 추정함.</t>
  </si>
  <si>
    <t>2. 매출전환율은 투자포인트1에서 언급하였듯이 규제완화와 경기진작에 따라 착공률 증가할 것으로 전망, 이에 주택경기 호황이던 2022년 매출전환율을 25년 적용 후, 29년까지 평균 수준으로 체감하도록 추정함.</t>
  </si>
  <si>
    <t>비원전플랜트 매출전환율 추정</t>
  </si>
  <si>
    <t>매출액 : 5년 평균 매출전환율 고려하여 전기 수주잔고에 적용하여 매출액 추정</t>
  </si>
  <si>
    <t>토목 매출전환율 추정</t>
  </si>
  <si>
    <t>기타 매출전환율 추정</t>
  </si>
  <si>
    <t>결과</t>
    <phoneticPr fontId="2" type="noConversion"/>
  </si>
  <si>
    <t>신규수주 성장률(%)</t>
    <phoneticPr fontId="2" type="noConversion"/>
  </si>
  <si>
    <t>최근 2년 급증은 일시적 효과로 판단, 합리적 추정 불가해 2022~2023 동일 가정</t>
    <phoneticPr fontId="2" type="noConversion"/>
  </si>
  <si>
    <t>[추정논리] 유형자산 증가율 4.2% 반영하여 감가상각비 상승 가정('Expected BS'시트 참조)</t>
    <phoneticPr fontId="2" type="noConversion"/>
  </si>
  <si>
    <t>Geomean</t>
    <phoneticPr fontId="2" type="noConversion"/>
  </si>
  <si>
    <t>[추정논리] 보수적 추정을 위해 한계세율보다 높은 법인세비용차감전순이익 대비 법인세비용 비율의 3개년 평균 29.4% 적용</t>
    <phoneticPr fontId="2" type="noConversion"/>
  </si>
  <si>
    <t>*IR 및 언론 발표 자료를 통해 도시정비사업과 그 외 비도시정비사업의 수주잔고로 분류</t>
    <phoneticPr fontId="2" type="noConversion"/>
  </si>
  <si>
    <t>*기존 수주의 경우, 연결 기준 수주잔고가 공시되지 않아, 종속 기업의 매출 비중에 따라 사업부별로 분류하였다.</t>
    <phoneticPr fontId="2" type="noConversion"/>
  </si>
  <si>
    <t>(E)</t>
    <phoneticPr fontId="2" type="noConversion"/>
  </si>
  <si>
    <t>(F)</t>
    <phoneticPr fontId="2" type="noConversion"/>
  </si>
  <si>
    <t>(I) = (A)*(B)</t>
    <phoneticPr fontId="2" type="noConversion"/>
  </si>
  <si>
    <t>RAW DATA</t>
    <phoneticPr fontId="15" type="noConversion"/>
  </si>
  <si>
    <t>보수적 추정을 위해 0%로 가정</t>
    <phoneticPr fontId="2" type="noConversion"/>
  </si>
  <si>
    <t>한국의 기업규모위험 프리미엄(Size Risk Premium) 연구결과, 한국공인회계사회(2024.06.05)</t>
  </si>
  <si>
    <t>국내 10년 만기 국공채 이자율(출처:BloomBerg)</t>
  </si>
  <si>
    <t>2/3*실질베타+1/3*1로 베타 조정(출처: BloomBerg)</t>
    <phoneticPr fontId="2" type="noConversion"/>
  </si>
  <si>
    <t>수주선정일</t>
    <phoneticPr fontId="2" type="noConversion"/>
  </si>
  <si>
    <t>내부거래 제거 비중</t>
    <phoneticPr fontId="2" type="noConversion"/>
  </si>
  <si>
    <t>법인세 환급이 발생한 2024년도 제외하여 과거 법인세 비용 대비 비율로 추정</t>
    <phoneticPr fontId="2" type="noConversion"/>
  </si>
  <si>
    <t>현대건설(000720.KS)- Implied PBR &amp; Historical EV/Backlog</t>
    <phoneticPr fontId="15" type="noConversion"/>
  </si>
  <si>
    <t>(In KRW Billions)</t>
    <phoneticPr fontId="15" type="noConversion"/>
  </si>
  <si>
    <t>25년 Fwd BPS</t>
    <phoneticPr fontId="2" type="noConversion"/>
  </si>
  <si>
    <t>25E 자본</t>
    <phoneticPr fontId="2" type="noConversion"/>
  </si>
  <si>
    <t>25E BPS</t>
    <phoneticPr fontId="2" type="noConversion"/>
  </si>
  <si>
    <t>(B) 2010년 평균 EV/Backlog</t>
    <phoneticPr fontId="2" type="noConversion"/>
  </si>
  <si>
    <t>25E Backlog</t>
    <phoneticPr fontId="44" type="noConversion"/>
  </si>
  <si>
    <t>EV/Backlog Multiple History</t>
    <phoneticPr fontId="2" type="noConversion"/>
  </si>
  <si>
    <t>(D) = (E) + (F)</t>
    <phoneticPr fontId="2" type="noConversion"/>
  </si>
  <si>
    <t>(G) = (C) ÷ (D)</t>
    <phoneticPr fontId="2" type="noConversion"/>
  </si>
  <si>
    <t>현대건설 Historical EV/Backlog</t>
    <phoneticPr fontId="44" type="noConversion"/>
  </si>
  <si>
    <t>TEAM 현대전설</t>
    <phoneticPr fontId="15" type="noConversion"/>
  </si>
  <si>
    <t xml:space="preserve"> </t>
    <phoneticPr fontId="2" type="noConversion"/>
  </si>
  <si>
    <t>Historical EV/Backlog Valuation Sheet</t>
    <phoneticPr fontId="15" type="noConversion"/>
  </si>
  <si>
    <t>매출원가 및 판관비 추정</t>
    <phoneticPr fontId="2" type="noConversion"/>
  </si>
  <si>
    <t>도시정비 사업 수주내용</t>
    <phoneticPr fontId="2" type="noConversion"/>
  </si>
  <si>
    <t>S-C CORR</t>
    <phoneticPr fontId="2" type="noConversion"/>
  </si>
  <si>
    <t>Avg원가율</t>
    <phoneticPr fontId="2" type="noConversion"/>
  </si>
  <si>
    <r>
      <t>A000720(</t>
    </r>
    <r>
      <rPr>
        <sz val="9"/>
        <color rgb="FF325886"/>
        <rFont val="KoPubWorld돋움체 Medium"/>
        <family val="3"/>
        <charset val="129"/>
      </rPr>
      <t>현대건설)  -  Fiscal Month:12,  201103부터 IFRS 적용</t>
    </r>
    <phoneticPr fontId="2" type="noConversion"/>
  </si>
  <si>
    <t>주</t>
    <phoneticPr fontId="2" type="noConversion"/>
  </si>
  <si>
    <t>(C) 25~29년 평균 ROE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</si>
</sst>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 #,##0_-;_-* &quot;-&quot;_-;_-@_-"/>
    <numFmt numFmtId="43" formatCode="_-* #,##0.00_-;\-* #,##0.00_-;_-* &quot;-&quot;??_-;_-@_-"/>
    <numFmt numFmtId="176" formatCode="_(* #,##0_);_(* \(#,##0\);_(* &quot;-&quot;_);_(@_)"/>
    <numFmt numFmtId="177" formatCode="0.0%"/>
    <numFmt numFmtId="178" formatCode="#,##0_ ;[Red]\-#,##0\ "/>
    <numFmt numFmtId="179" formatCode="#,##0.0;[Red]\-#,##0.0"/>
    <numFmt numFmtId="180" formatCode="_-* #,##0_-;\-* #,##0_-;_-* &quot;-&quot;??_-;_-@_-"/>
    <numFmt numFmtId="181" formatCode="0.0"/>
    <numFmt numFmtId="182" formatCode="_-* #,##0.0_-;\-* #,##0.0_-;_-* &quot;-&quot;_-;_-@_-"/>
    <numFmt numFmtId="183" formatCode="_-* #,##0.0_-;\-* #,##0.0_-;_-* &quot;-&quot;?_-;_-@_-"/>
    <numFmt numFmtId="184" formatCode="#,##0.0_ ;[Red]\-#,##0.0\ "/>
    <numFmt numFmtId="185" formatCode="0.000%"/>
    <numFmt numFmtId="186" formatCode="0_);[Red]\(0\)"/>
    <numFmt numFmtId="187" formatCode="#,##0.00_ "/>
    <numFmt numFmtId="188" formatCode="#,##0.000;[Red]\-#,##0.000"/>
  </numFmts>
  <fonts count="65">
    <font>
      <sz val="11"/>
      <color theme="1"/>
      <name val="맑은 고딕"/>
      <family val="2"/>
      <charset val="129"/>
      <scheme val="minor"/>
    </font>
    <font>
      <sz val="12"/>
      <color theme="1"/>
      <name val="맑은 고딕"/>
      <family val="2"/>
      <charset val="129"/>
      <scheme val="minor"/>
    </font>
    <font>
      <sz val="8"/>
      <name val="맑은 고딕"/>
      <family val="2"/>
      <charset val="129"/>
      <scheme val="minor"/>
    </font>
    <font>
      <sz val="11"/>
      <color theme="1"/>
      <name val="맑은 고딕"/>
      <family val="2"/>
      <charset val="129"/>
      <scheme val="minor"/>
    </font>
    <font>
      <sz val="11"/>
      <color rgb="FF203864"/>
      <name val="맑은 고딕"/>
      <family val="2"/>
      <charset val="129"/>
      <scheme val="minor"/>
    </font>
    <font>
      <sz val="20"/>
      <color theme="0"/>
      <name val="KoPubWorld돋움체 Bold"/>
      <family val="3"/>
      <charset val="129"/>
    </font>
    <font>
      <sz val="11"/>
      <color theme="1"/>
      <name val="KoPubWorld돋움체 Bold"/>
      <family val="3"/>
      <charset val="129"/>
    </font>
    <font>
      <sz val="11"/>
      <color rgb="FF203864"/>
      <name val="KoPubWorld돋움체 Bold"/>
      <family val="3"/>
      <charset val="129"/>
    </font>
    <font>
      <sz val="11"/>
      <color rgb="FF203864"/>
      <name val="KoPubWorld돋움체 Medium"/>
      <family val="3"/>
      <charset val="129"/>
    </font>
    <font>
      <sz val="11"/>
      <color theme="1"/>
      <name val="KoPubWorld돋움체 Medium"/>
      <family val="3"/>
      <charset val="129"/>
    </font>
    <font>
      <sz val="11"/>
      <color theme="0"/>
      <name val="KoPubWorld돋움체 Medium"/>
      <family val="3"/>
      <charset val="129"/>
    </font>
    <font>
      <sz val="11"/>
      <name val="KoPubWorld돋움체 Medium"/>
      <family val="3"/>
      <charset val="129"/>
    </font>
    <font>
      <u/>
      <sz val="11"/>
      <name val="KoPubWorld돋움체 Medium"/>
      <family val="3"/>
      <charset val="129"/>
    </font>
    <font>
      <sz val="9"/>
      <color theme="1"/>
      <name val="Arial"/>
      <family val="2"/>
    </font>
    <font>
      <sz val="9"/>
      <color theme="0"/>
      <name val="KoPubWorld바탕체 Medium"/>
      <family val="3"/>
      <charset val="129"/>
    </font>
    <font>
      <sz val="8"/>
      <name val="맑은 고딕"/>
      <family val="2"/>
      <charset val="129"/>
    </font>
    <font>
      <i/>
      <sz val="10"/>
      <color theme="0"/>
      <name val="Arial"/>
      <family val="2"/>
    </font>
    <font>
      <b/>
      <sz val="11"/>
      <color theme="0"/>
      <name val="Arial"/>
      <family val="2"/>
    </font>
    <font>
      <b/>
      <sz val="22"/>
      <color theme="0"/>
      <name val="KoPubWorld돋움체 Bold"/>
      <family val="3"/>
      <charset val="129"/>
    </font>
    <font>
      <sz val="9"/>
      <color theme="0"/>
      <name val="KoPubWorld돋움체 Medium"/>
      <family val="3"/>
      <charset val="129"/>
    </font>
    <font>
      <b/>
      <sz val="12"/>
      <color theme="0"/>
      <name val="Arial"/>
      <family val="2"/>
    </font>
    <font>
      <b/>
      <sz val="16"/>
      <color theme="0"/>
      <name val="KoPubWorld돋움체 Bold"/>
      <family val="3"/>
      <charset val="129"/>
    </font>
    <font>
      <sz val="8"/>
      <color theme="0"/>
      <name val="KoPubWorld바탕체 Medium"/>
      <family val="3"/>
      <charset val="129"/>
    </font>
    <font>
      <sz val="9"/>
      <color theme="1"/>
      <name val="KoPubWorld돋움체 Medium"/>
      <family val="3"/>
      <charset val="129"/>
    </font>
    <font>
      <sz val="9"/>
      <color rgb="FFFF0000"/>
      <name val="KoPubWorld돋움체 Medium"/>
      <family val="3"/>
      <charset val="129"/>
    </font>
    <font>
      <sz val="11"/>
      <color rgb="FF000000"/>
      <name val="KoPubWorld돋움체 Medium"/>
      <family val="3"/>
      <charset val="129"/>
    </font>
    <font>
      <i/>
      <sz val="10"/>
      <color rgb="FF2F5597"/>
      <name val="KoPubWorld돋움체 Medium"/>
      <family val="3"/>
      <charset val="129"/>
    </font>
    <font>
      <sz val="9"/>
      <color rgb="FF000000"/>
      <name val="KoPubWorld돋움체 Medium"/>
      <family val="3"/>
      <charset val="129"/>
    </font>
    <font>
      <sz val="11"/>
      <color theme="1"/>
      <name val="KoPubWorld돋움체 Light"/>
      <family val="3"/>
      <charset val="129"/>
    </font>
    <font>
      <sz val="9"/>
      <name val="KoPubWorld돋움체 Medium"/>
      <family val="3"/>
      <charset val="129"/>
    </font>
    <font>
      <sz val="8"/>
      <color indexed="54"/>
      <name val="Tahoma"/>
      <family val="2"/>
    </font>
    <font>
      <sz val="11"/>
      <color theme="0"/>
      <name val="KoPubWorld돋움체 Bold"/>
      <family val="3"/>
      <charset val="129"/>
    </font>
    <font>
      <sz val="11"/>
      <color theme="0"/>
      <name val="KoPubWorld돋움체 Light"/>
      <family val="3"/>
      <charset val="129"/>
    </font>
    <font>
      <sz val="11"/>
      <name val="KoPubWorld돋움체 Bold"/>
      <family val="3"/>
      <charset val="129"/>
    </font>
    <font>
      <sz val="11"/>
      <name val="KoPubWorld돋움체 Light"/>
      <family val="3"/>
      <charset val="129"/>
    </font>
    <font>
      <u/>
      <sz val="11"/>
      <color theme="10"/>
      <name val="맑은 고딕"/>
      <family val="2"/>
      <charset val="129"/>
      <scheme val="minor"/>
    </font>
    <font>
      <sz val="11"/>
      <color rgb="FF000000"/>
      <name val="KoPubWorld돋움체 Light"/>
      <family val="3"/>
      <charset val="129"/>
    </font>
    <font>
      <u/>
      <sz val="11"/>
      <color theme="3" tint="0.499984740745262"/>
      <name val="KoPubWorld돋움체 Medium"/>
      <family val="3"/>
      <charset val="129"/>
    </font>
    <font>
      <u/>
      <sz val="11"/>
      <color theme="10"/>
      <name val="KoPubWorld돋움체 Medium"/>
      <family val="3"/>
      <charset val="129"/>
    </font>
    <font>
      <sz val="10"/>
      <color theme="0"/>
      <name val="KoPubWorld돋움체 Bold"/>
      <family val="3"/>
      <charset val="129"/>
    </font>
    <font>
      <sz val="10"/>
      <color theme="1"/>
      <name val="KoPubWorld돋움체 Light"/>
      <family val="3"/>
      <charset val="129"/>
    </font>
    <font>
      <sz val="10"/>
      <color rgb="FF333333"/>
      <name val="KoPubWorld돋움체 Light"/>
      <family val="3"/>
      <charset val="129"/>
    </font>
    <font>
      <sz val="10"/>
      <color rgb="FF000000"/>
      <name val="KoPubWorld돋움체 Light"/>
      <family val="3"/>
      <charset val="129"/>
    </font>
    <font>
      <sz val="10"/>
      <color rgb="FF222222"/>
      <name val="KoPubWorld돋움체 Light"/>
      <family val="3"/>
      <charset val="129"/>
    </font>
    <font>
      <sz val="8"/>
      <name val="KoPubWorld돋움체 Light"/>
      <family val="2"/>
      <charset val="129"/>
    </font>
    <font>
      <sz val="11"/>
      <color rgb="FF222222"/>
      <name val="KoPubWorld돋움체 Light"/>
      <family val="3"/>
      <charset val="129"/>
    </font>
    <font>
      <sz val="12"/>
      <color theme="1"/>
      <name val="KoPubWorld돋움체 Medium"/>
      <family val="3"/>
      <charset val="129"/>
    </font>
    <font>
      <sz val="11"/>
      <color indexed="8"/>
      <name val="KoPubWorld돋움체 Medium"/>
      <family val="3"/>
      <charset val="129"/>
    </font>
    <font>
      <b/>
      <sz val="18"/>
      <color theme="0"/>
      <name val="KoPubWorld돋움체 Bold"/>
      <family val="3"/>
      <charset val="129"/>
    </font>
    <font>
      <b/>
      <sz val="18"/>
      <color indexed="9"/>
      <name val="KoPubWorld돋움체 Bold"/>
      <family val="3"/>
      <charset val="129"/>
    </font>
    <font>
      <i/>
      <sz val="11"/>
      <color rgb="FF00A84F"/>
      <name val="KoPubWorld돋움체 Medium"/>
      <family val="3"/>
      <charset val="129"/>
    </font>
    <font>
      <i/>
      <sz val="10"/>
      <color rgb="FF00A84F"/>
      <name val="KoPubWorld돋움체 Medium"/>
      <family val="3"/>
      <charset val="129"/>
    </font>
    <font>
      <sz val="11"/>
      <color rgb="FF00A84F"/>
      <name val="KoPubWorld돋움체 Medium"/>
      <family val="3"/>
      <charset val="129"/>
    </font>
    <font>
      <sz val="9"/>
      <color theme="0"/>
      <name val="KoPubWorld돋움체 Bold"/>
      <family val="3"/>
      <charset val="129"/>
    </font>
    <font>
      <sz val="10"/>
      <color theme="1"/>
      <name val="맑은 고딕"/>
      <family val="3"/>
      <charset val="129"/>
      <scheme val="minor"/>
    </font>
    <font>
      <sz val="11"/>
      <color rgb="FF000000"/>
      <name val="굴림"/>
      <family val="3"/>
      <charset val="129"/>
    </font>
    <font>
      <b/>
      <sz val="12"/>
      <color theme="0"/>
      <name val="KoPubWorld돋움체 Bold"/>
      <family val="3"/>
      <charset val="129"/>
    </font>
    <font>
      <i/>
      <sz val="10"/>
      <color theme="0"/>
      <name val="KoPubWorld돋움체 Medium"/>
      <family val="3"/>
      <charset val="129"/>
    </font>
    <font>
      <sz val="6"/>
      <color rgb="FF000000"/>
      <name val="굴림"/>
      <family val="3"/>
      <charset val="129"/>
    </font>
    <font>
      <sz val="8"/>
      <name val="KoPubWorld돋움체 Medium"/>
      <family val="3"/>
      <charset val="129"/>
    </font>
    <font>
      <sz val="9"/>
      <color theme="1"/>
      <name val="KoPubWorld돋움체 Bold"/>
      <family val="3"/>
      <charset val="129"/>
    </font>
    <font>
      <sz val="9"/>
      <color theme="1"/>
      <name val="KoPubWorld돋움체 Light"/>
      <family val="3"/>
      <charset val="129"/>
    </font>
    <font>
      <i/>
      <sz val="11"/>
      <color rgb="FF00A84F"/>
      <name val="KoPubWorld돋움체 Light"/>
      <family val="3"/>
      <charset val="129"/>
    </font>
    <font>
      <b/>
      <sz val="9"/>
      <color rgb="FFFFFFFF"/>
      <name val="KoPubWorld돋움체 Medium"/>
      <family val="3"/>
      <charset val="129"/>
    </font>
    <font>
      <sz val="9"/>
      <color rgb="FF325886"/>
      <name val="KoPubWorld돋움체 Medium"/>
      <family val="3"/>
      <charset val="129"/>
    </font>
  </fonts>
  <fills count="15">
    <fill>
      <patternFill patternType="none"/>
    </fill>
    <fill>
      <patternFill patternType="gray125"/>
    </fill>
    <fill>
      <patternFill patternType="solid">
        <fgColor rgb="FFFFFF00"/>
        <bgColor indexed="64"/>
      </patternFill>
    </fill>
    <fill>
      <patternFill patternType="solid">
        <fgColor rgb="FFEBEBEB"/>
        <bgColor indexed="64"/>
      </patternFill>
    </fill>
    <fill>
      <patternFill patternType="solid">
        <fgColor theme="0"/>
        <bgColor indexed="64"/>
      </patternFill>
    </fill>
    <fill>
      <patternFill patternType="solid">
        <fgColor rgb="FFE7E6E6"/>
        <bgColor indexed="64"/>
      </patternFill>
    </fill>
    <fill>
      <patternFill patternType="solid">
        <fgColor rgb="FFD7D7D7"/>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2"/>
        <bgColor indexed="64"/>
      </patternFill>
    </fill>
    <fill>
      <patternFill patternType="solid">
        <fgColor theme="1"/>
        <bgColor indexed="64"/>
      </patternFill>
    </fill>
    <fill>
      <patternFill patternType="solid">
        <fgColor rgb="FF00A84F"/>
        <bgColor indexed="64"/>
      </patternFill>
    </fill>
    <fill>
      <patternFill patternType="solid">
        <fgColor theme="0" tint="-0.14999847407452621"/>
        <bgColor indexed="64"/>
      </patternFill>
    </fill>
    <fill>
      <patternFill patternType="solid">
        <fgColor rgb="FFFFFFFF"/>
        <bgColor indexed="64"/>
      </patternFill>
    </fill>
    <fill>
      <patternFill patternType="solid">
        <fgColor rgb="FFD0CECE"/>
        <bgColor indexed="64"/>
      </patternFill>
    </fill>
  </fills>
  <borders count="29">
    <border>
      <left/>
      <right/>
      <top/>
      <bottom/>
      <diagonal/>
    </border>
    <border>
      <left/>
      <right/>
      <top/>
      <bottom style="double">
        <color indexed="64"/>
      </bottom>
      <diagonal/>
    </border>
    <border>
      <left/>
      <right/>
      <top style="double">
        <color indexed="64"/>
      </top>
      <bottom/>
      <diagonal/>
    </border>
    <border>
      <left/>
      <right/>
      <top/>
      <bottom style="medium">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medium">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theme="1"/>
      </left>
      <right/>
      <top/>
      <bottom/>
      <diagonal/>
    </border>
    <border>
      <left style="thin">
        <color indexed="64"/>
      </left>
      <right/>
      <top/>
      <bottom style="double">
        <color indexed="64"/>
      </bottom>
      <diagonal/>
    </border>
    <border>
      <left/>
      <right style="thin">
        <color indexed="64"/>
      </right>
      <top/>
      <bottom style="double">
        <color indexed="64"/>
      </bottom>
      <diagonal/>
    </border>
    <border>
      <left/>
      <right style="thin">
        <color indexed="64"/>
      </right>
      <top style="thin">
        <color indexed="64"/>
      </top>
      <bottom style="thin">
        <color indexed="64"/>
      </bottom>
      <diagonal/>
    </border>
    <border>
      <left style="thin">
        <color rgb="FF538DD5"/>
      </left>
      <right style="thin">
        <color rgb="FF538DD5"/>
      </right>
      <top style="thin">
        <color rgb="FF538DD5"/>
      </top>
      <bottom style="thin">
        <color rgb="FF538DD5"/>
      </bottom>
      <diagonal/>
    </border>
    <border>
      <left style="thin">
        <color rgb="FF538DD5"/>
      </left>
      <right/>
      <top style="thin">
        <color rgb="FF538DD5"/>
      </top>
      <bottom style="thin">
        <color rgb="FF538DD5"/>
      </bottom>
      <diagonal/>
    </border>
    <border>
      <left style="thin">
        <color rgb="FF538DD5"/>
      </left>
      <right style="thin">
        <color rgb="FF538DD5"/>
      </right>
      <top style="thin">
        <color rgb="FF538DD5"/>
      </top>
      <bottom/>
      <diagonal/>
    </border>
    <border>
      <left style="thin">
        <color rgb="FF538DD5"/>
      </left>
      <right/>
      <top style="thin">
        <color rgb="FF538DD5"/>
      </top>
      <bottom/>
      <diagonal/>
    </border>
    <border>
      <left style="thin">
        <color rgb="FF538DD5"/>
      </left>
      <right style="thin">
        <color rgb="FF538DD5"/>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s>
  <cellStyleXfs count="16">
    <xf numFmtId="0" fontId="0" fillId="0" borderId="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176" fontId="1" fillId="0" borderId="0" applyFont="0" applyFill="0" applyBorder="0" applyAlignment="0" applyProtection="0">
      <alignment vertical="center"/>
    </xf>
    <xf numFmtId="0" fontId="1"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43" fontId="3" fillId="0" borderId="0" applyFont="0" applyFill="0" applyBorder="0" applyAlignment="0" applyProtection="0">
      <alignment vertical="center"/>
    </xf>
    <xf numFmtId="0" fontId="35" fillId="0" borderId="0" applyNumberFormat="0" applyFill="0" applyBorder="0" applyAlignment="0" applyProtection="0">
      <alignment vertical="center"/>
    </xf>
    <xf numFmtId="0" fontId="1" fillId="0" borderId="0">
      <alignment vertical="center"/>
    </xf>
  </cellStyleXfs>
  <cellXfs count="511">
    <xf numFmtId="0" fontId="0" fillId="0" borderId="0" xfId="0">
      <alignment vertical="center"/>
    </xf>
    <xf numFmtId="0" fontId="9" fillId="0" borderId="0" xfId="0" applyFont="1">
      <alignment vertical="center"/>
    </xf>
    <xf numFmtId="0" fontId="9" fillId="0" borderId="1" xfId="0" applyFont="1" applyBorder="1">
      <alignment vertical="center"/>
    </xf>
    <xf numFmtId="0" fontId="9" fillId="0" borderId="1" xfId="0" applyFont="1" applyBorder="1" applyAlignment="1">
      <alignment horizontal="right" vertical="center"/>
    </xf>
    <xf numFmtId="0" fontId="9" fillId="0" borderId="4" xfId="0" applyFont="1" applyBorder="1">
      <alignment vertical="center"/>
    </xf>
    <xf numFmtId="0" fontId="9" fillId="0" borderId="5" xfId="0" applyFont="1" applyBorder="1" applyAlignment="1">
      <alignment horizontal="left" vertical="center" indent="1"/>
    </xf>
    <xf numFmtId="0" fontId="9" fillId="0" borderId="0" xfId="0" applyFont="1" applyAlignment="1">
      <alignment horizontal="left" vertical="center" indent="1"/>
    </xf>
    <xf numFmtId="43" fontId="9" fillId="0" borderId="0" xfId="0" applyNumberFormat="1" applyFont="1">
      <alignment vertical="center"/>
    </xf>
    <xf numFmtId="0" fontId="11" fillId="0" borderId="0" xfId="0" applyFont="1">
      <alignment vertical="center"/>
    </xf>
    <xf numFmtId="0" fontId="9" fillId="0" borderId="6" xfId="0" applyFont="1" applyBorder="1">
      <alignment vertical="center"/>
    </xf>
    <xf numFmtId="0" fontId="10" fillId="0" borderId="0" xfId="0" applyFont="1">
      <alignment vertical="center"/>
    </xf>
    <xf numFmtId="0" fontId="9" fillId="0" borderId="0" xfId="0" applyFont="1" applyAlignment="1">
      <alignment horizontal="right" vertical="center"/>
    </xf>
    <xf numFmtId="0" fontId="12" fillId="0" borderId="0" xfId="0" applyFont="1">
      <alignment vertical="center"/>
    </xf>
    <xf numFmtId="0" fontId="9" fillId="0" borderId="1" xfId="0" applyFont="1" applyBorder="1" applyAlignment="1">
      <alignment horizontal="right" vertical="center" wrapText="1"/>
    </xf>
    <xf numFmtId="0" fontId="9" fillId="0" borderId="9" xfId="0" applyFont="1" applyBorder="1">
      <alignment vertical="center"/>
    </xf>
    <xf numFmtId="0" fontId="9" fillId="0" borderId="11" xfId="0" applyFont="1" applyBorder="1">
      <alignment vertical="center"/>
    </xf>
    <xf numFmtId="41" fontId="9" fillId="0" borderId="0" xfId="1" applyFont="1">
      <alignment vertical="center"/>
    </xf>
    <xf numFmtId="41" fontId="9" fillId="0" borderId="0" xfId="0" applyNumberFormat="1" applyFont="1">
      <alignment vertical="center"/>
    </xf>
    <xf numFmtId="0" fontId="9" fillId="0" borderId="5" xfId="0" applyFont="1" applyBorder="1">
      <alignment vertical="center"/>
    </xf>
    <xf numFmtId="178" fontId="13" fillId="0" borderId="0" xfId="0" applyNumberFormat="1" applyFont="1">
      <alignment vertical="center"/>
    </xf>
    <xf numFmtId="41" fontId="0" fillId="0" borderId="0" xfId="1" applyFont="1">
      <alignment vertical="center"/>
    </xf>
    <xf numFmtId="41" fontId="0" fillId="0" borderId="0" xfId="0" applyNumberFormat="1">
      <alignment vertical="center"/>
    </xf>
    <xf numFmtId="0" fontId="3" fillId="0" borderId="0" xfId="4">
      <alignment vertical="center"/>
    </xf>
    <xf numFmtId="0" fontId="23" fillId="0" borderId="0" xfId="4" applyFont="1">
      <alignment vertical="center"/>
    </xf>
    <xf numFmtId="38" fontId="23" fillId="0" borderId="0" xfId="6" applyNumberFormat="1" applyFont="1" applyBorder="1">
      <alignment vertical="center"/>
    </xf>
    <xf numFmtId="38" fontId="23" fillId="0" borderId="0" xfId="5" applyNumberFormat="1" applyFont="1">
      <alignment vertical="center"/>
    </xf>
    <xf numFmtId="38" fontId="23" fillId="0" borderId="0" xfId="4" applyNumberFormat="1" applyFont="1">
      <alignment vertical="center"/>
    </xf>
    <xf numFmtId="0" fontId="23" fillId="3" borderId="0" xfId="4" applyFont="1" applyFill="1">
      <alignment vertical="center"/>
    </xf>
    <xf numFmtId="38" fontId="23" fillId="3" borderId="0" xfId="4" applyNumberFormat="1" applyFont="1" applyFill="1">
      <alignment vertical="center"/>
    </xf>
    <xf numFmtId="178" fontId="9" fillId="0" borderId="0" xfId="0" applyNumberFormat="1" applyFont="1">
      <alignment vertical="center"/>
    </xf>
    <xf numFmtId="41" fontId="9" fillId="0" borderId="0" xfId="1" applyFont="1" applyFill="1" applyBorder="1">
      <alignment vertical="center"/>
    </xf>
    <xf numFmtId="9" fontId="9" fillId="0" borderId="0" xfId="0" applyNumberFormat="1" applyFont="1">
      <alignment vertical="center"/>
    </xf>
    <xf numFmtId="41" fontId="9" fillId="0" borderId="0" xfId="1" applyFont="1" applyBorder="1" applyAlignment="1">
      <alignment horizontal="right" vertical="center"/>
    </xf>
    <xf numFmtId="9" fontId="9" fillId="0" borderId="0" xfId="2" applyFont="1">
      <alignment vertical="center"/>
    </xf>
    <xf numFmtId="41" fontId="9" fillId="5" borderId="7" xfId="1" applyFont="1" applyFill="1" applyBorder="1" applyAlignment="1">
      <alignment horizontal="right" vertical="center"/>
    </xf>
    <xf numFmtId="0" fontId="9" fillId="0" borderId="14" xfId="0" applyFont="1" applyBorder="1" applyAlignment="1"/>
    <xf numFmtId="10" fontId="26" fillId="0" borderId="0" xfId="2" applyNumberFormat="1" applyFont="1" applyFill="1" applyAlignment="1">
      <alignment vertical="center" wrapText="1"/>
    </xf>
    <xf numFmtId="10" fontId="26" fillId="0" borderId="0" xfId="1" applyNumberFormat="1" applyFont="1" applyFill="1" applyBorder="1">
      <alignment vertical="center"/>
    </xf>
    <xf numFmtId="41" fontId="9" fillId="0" borderId="0" xfId="1" applyFont="1" applyFill="1">
      <alignment vertical="center"/>
    </xf>
    <xf numFmtId="10" fontId="26" fillId="0" borderId="0" xfId="1" applyNumberFormat="1" applyFont="1" applyFill="1">
      <alignment vertical="center"/>
    </xf>
    <xf numFmtId="10" fontId="26" fillId="0" borderId="0" xfId="1" applyNumberFormat="1" applyFont="1" applyFill="1" applyAlignment="1">
      <alignment vertical="center" wrapText="1"/>
    </xf>
    <xf numFmtId="10" fontId="26" fillId="0" borderId="0" xfId="2" applyNumberFormat="1" applyFont="1" applyFill="1" applyBorder="1" applyAlignment="1">
      <alignment vertical="center" wrapText="1"/>
    </xf>
    <xf numFmtId="178" fontId="23" fillId="0" borderId="0" xfId="0" applyNumberFormat="1" applyFont="1">
      <alignment vertical="center"/>
    </xf>
    <xf numFmtId="0" fontId="27" fillId="0" borderId="0" xfId="0" applyFont="1">
      <alignment vertical="center"/>
    </xf>
    <xf numFmtId="0" fontId="9" fillId="0" borderId="13" xfId="0" applyFont="1" applyBorder="1">
      <alignment vertical="center"/>
    </xf>
    <xf numFmtId="179" fontId="23" fillId="0" borderId="0" xfId="6" applyNumberFormat="1" applyFont="1">
      <alignment vertical="center"/>
    </xf>
    <xf numFmtId="0" fontId="29" fillId="0" borderId="0" xfId="4" applyFont="1">
      <alignment vertical="center"/>
    </xf>
    <xf numFmtId="0" fontId="29" fillId="0" borderId="0" xfId="0" applyFont="1">
      <alignment vertical="center"/>
    </xf>
    <xf numFmtId="0" fontId="29" fillId="3" borderId="0" xfId="4" applyFont="1" applyFill="1">
      <alignment vertical="center"/>
    </xf>
    <xf numFmtId="0" fontId="29" fillId="0" borderId="11" xfId="4" applyFont="1" applyBorder="1">
      <alignment vertical="center"/>
    </xf>
    <xf numFmtId="41" fontId="9" fillId="0" borderId="11" xfId="9" applyFont="1" applyFill="1" applyBorder="1">
      <alignment vertical="center"/>
    </xf>
    <xf numFmtId="41" fontId="9" fillId="0" borderId="0" xfId="9" applyFont="1" applyFill="1" applyBorder="1">
      <alignment vertical="center"/>
    </xf>
    <xf numFmtId="41" fontId="9" fillId="0" borderId="15" xfId="9" applyFont="1" applyFill="1" applyBorder="1">
      <alignment vertical="center"/>
    </xf>
    <xf numFmtId="43" fontId="0" fillId="0" borderId="0" xfId="0" applyNumberFormat="1">
      <alignment vertical="center"/>
    </xf>
    <xf numFmtId="178" fontId="0" fillId="0" borderId="0" xfId="0" applyNumberFormat="1">
      <alignment vertical="center"/>
    </xf>
    <xf numFmtId="0" fontId="13" fillId="0" borderId="0" xfId="0" applyFont="1">
      <alignment vertical="center"/>
    </xf>
    <xf numFmtId="0" fontId="26" fillId="0" borderId="0" xfId="1" applyNumberFormat="1" applyFont="1" applyFill="1" applyBorder="1">
      <alignment vertical="center"/>
    </xf>
    <xf numFmtId="0" fontId="9" fillId="0" borderId="0" xfId="0" applyFont="1" applyAlignment="1">
      <alignment horizontal="left" vertical="center"/>
    </xf>
    <xf numFmtId="41" fontId="11" fillId="0" borderId="0" xfId="1" applyFont="1" applyFill="1" applyBorder="1" applyAlignment="1">
      <alignment horizontal="right" vertical="center"/>
    </xf>
    <xf numFmtId="182" fontId="9" fillId="0" borderId="12" xfId="1" applyNumberFormat="1" applyFont="1" applyBorder="1" applyAlignment="1">
      <alignment horizontal="right" vertical="center"/>
    </xf>
    <xf numFmtId="182" fontId="9" fillId="0" borderId="0" xfId="1" applyNumberFormat="1" applyFont="1" applyBorder="1" applyAlignment="1">
      <alignment horizontal="right" vertical="center"/>
    </xf>
    <xf numFmtId="182" fontId="11" fillId="5" borderId="0" xfId="1" applyNumberFormat="1" applyFont="1" applyFill="1" applyBorder="1" applyAlignment="1">
      <alignment horizontal="right" vertical="center"/>
    </xf>
    <xf numFmtId="2" fontId="0" fillId="0" borderId="0" xfId="0" applyNumberFormat="1">
      <alignment vertical="center"/>
    </xf>
    <xf numFmtId="182" fontId="11" fillId="5" borderId="2" xfId="1" applyNumberFormat="1" applyFont="1" applyFill="1" applyBorder="1" applyAlignment="1">
      <alignment horizontal="right" vertical="center"/>
    </xf>
    <xf numFmtId="0" fontId="0" fillId="0" borderId="0" xfId="0" applyAlignment="1">
      <alignment horizontal="right" vertical="center"/>
    </xf>
    <xf numFmtId="41" fontId="9" fillId="4" borderId="0" xfId="1" applyFont="1" applyFill="1" applyBorder="1" applyAlignment="1">
      <alignment horizontal="right" vertical="center"/>
    </xf>
    <xf numFmtId="182" fontId="9" fillId="0" borderId="11" xfId="1" applyNumberFormat="1" applyFont="1" applyBorder="1" applyAlignment="1">
      <alignment horizontal="right" vertical="center"/>
    </xf>
    <xf numFmtId="182" fontId="11" fillId="0" borderId="0" xfId="1" applyNumberFormat="1" applyFont="1" applyFill="1" applyBorder="1" applyAlignment="1">
      <alignment horizontal="right" vertical="center"/>
    </xf>
    <xf numFmtId="182" fontId="9" fillId="0" borderId="0" xfId="1" applyNumberFormat="1" applyFont="1" applyFill="1" applyBorder="1" applyAlignment="1">
      <alignment horizontal="right" vertical="center"/>
    </xf>
    <xf numFmtId="182" fontId="9" fillId="0" borderId="4" xfId="1" applyNumberFormat="1" applyFont="1" applyBorder="1" applyAlignment="1">
      <alignment horizontal="right" vertical="center"/>
    </xf>
    <xf numFmtId="182" fontId="10" fillId="0" borderId="0" xfId="1" applyNumberFormat="1" applyFont="1" applyFill="1" applyBorder="1" applyAlignment="1">
      <alignment horizontal="right" vertical="center"/>
    </xf>
    <xf numFmtId="0" fontId="6" fillId="0" borderId="0" xfId="0" applyFont="1">
      <alignment vertical="center"/>
    </xf>
    <xf numFmtId="0" fontId="28" fillId="0" borderId="0" xfId="0" applyFont="1">
      <alignment vertical="center"/>
    </xf>
    <xf numFmtId="41" fontId="28" fillId="0" borderId="0" xfId="1" applyFont="1">
      <alignment vertical="center"/>
    </xf>
    <xf numFmtId="0" fontId="28" fillId="0" borderId="1" xfId="0" applyFont="1" applyBorder="1" applyAlignment="1">
      <alignment horizontal="right" vertical="center"/>
    </xf>
    <xf numFmtId="9" fontId="28" fillId="0" borderId="0" xfId="0" applyNumberFormat="1" applyFont="1" applyAlignment="1">
      <alignment horizontal="center" vertical="center"/>
    </xf>
    <xf numFmtId="182" fontId="11" fillId="5" borderId="10" xfId="1" applyNumberFormat="1" applyFont="1" applyFill="1" applyBorder="1" applyAlignment="1">
      <alignment horizontal="right" vertical="center"/>
    </xf>
    <xf numFmtId="0" fontId="32" fillId="0" borderId="0" xfId="0" applyFont="1">
      <alignment vertical="center"/>
    </xf>
    <xf numFmtId="0" fontId="28" fillId="0" borderId="5" xfId="0" applyFont="1" applyBorder="1">
      <alignment vertical="center"/>
    </xf>
    <xf numFmtId="182" fontId="11" fillId="0" borderId="12" xfId="1" applyNumberFormat="1" applyFont="1" applyFill="1" applyBorder="1" applyAlignment="1">
      <alignment horizontal="right" vertical="center"/>
    </xf>
    <xf numFmtId="182" fontId="9" fillId="0" borderId="5" xfId="1" applyNumberFormat="1" applyFont="1" applyBorder="1" applyAlignment="1">
      <alignment horizontal="right" vertical="center"/>
    </xf>
    <xf numFmtId="0" fontId="35" fillId="0" borderId="0" xfId="14" quotePrefix="1" applyBorder="1" applyAlignment="1">
      <alignment vertical="center"/>
    </xf>
    <xf numFmtId="182" fontId="11" fillId="9" borderId="0" xfId="1" applyNumberFormat="1" applyFont="1" applyFill="1" applyBorder="1" applyAlignment="1">
      <alignment horizontal="right" vertical="center"/>
    </xf>
    <xf numFmtId="181" fontId="9" fillId="0" borderId="0" xfId="0" applyNumberFormat="1" applyFont="1">
      <alignment vertical="center"/>
    </xf>
    <xf numFmtId="177" fontId="28" fillId="0" borderId="0" xfId="0" applyNumberFormat="1" applyFont="1">
      <alignment vertical="center"/>
    </xf>
    <xf numFmtId="9" fontId="34" fillId="0" borderId="0" xfId="0" applyNumberFormat="1" applyFont="1">
      <alignment vertical="center"/>
    </xf>
    <xf numFmtId="0" fontId="28" fillId="0" borderId="0" xfId="0" applyFont="1" applyAlignment="1">
      <alignment horizontal="center" vertical="center"/>
    </xf>
    <xf numFmtId="10" fontId="28" fillId="0" borderId="0" xfId="0" applyNumberFormat="1" applyFont="1">
      <alignment vertical="center"/>
    </xf>
    <xf numFmtId="0" fontId="28" fillId="0" borderId="1" xfId="0" applyFont="1" applyBorder="1">
      <alignment vertical="center"/>
    </xf>
    <xf numFmtId="0" fontId="31" fillId="0" borderId="0" xfId="0" applyFont="1">
      <alignment vertical="center"/>
    </xf>
    <xf numFmtId="182" fontId="9" fillId="4" borderId="10" xfId="1" applyNumberFormat="1" applyFont="1" applyFill="1" applyBorder="1" applyAlignment="1">
      <alignment horizontal="right" vertical="center"/>
    </xf>
    <xf numFmtId="182" fontId="9" fillId="0" borderId="2" xfId="1" applyNumberFormat="1" applyFont="1" applyBorder="1" applyAlignment="1">
      <alignment horizontal="right" vertical="center"/>
    </xf>
    <xf numFmtId="182" fontId="9" fillId="0" borderId="10" xfId="1" applyNumberFormat="1" applyFont="1" applyBorder="1" applyAlignment="1">
      <alignment horizontal="right" vertical="center"/>
    </xf>
    <xf numFmtId="182" fontId="9" fillId="5" borderId="0" xfId="1" applyNumberFormat="1" applyFont="1" applyFill="1" applyAlignment="1">
      <alignment horizontal="right" vertical="center"/>
    </xf>
    <xf numFmtId="182" fontId="9" fillId="0" borderId="0" xfId="1" applyNumberFormat="1" applyFont="1" applyAlignment="1">
      <alignment horizontal="right" vertical="center"/>
    </xf>
    <xf numFmtId="182" fontId="9" fillId="4" borderId="0" xfId="1" applyNumberFormat="1" applyFont="1" applyFill="1" applyBorder="1" applyAlignment="1">
      <alignment horizontal="right" vertical="center"/>
    </xf>
    <xf numFmtId="182" fontId="9" fillId="4" borderId="8" xfId="1" applyNumberFormat="1" applyFont="1" applyFill="1" applyBorder="1" applyAlignment="1">
      <alignment horizontal="right" vertical="center"/>
    </xf>
    <xf numFmtId="182" fontId="9" fillId="0" borderId="0" xfId="0" applyNumberFormat="1" applyFont="1">
      <alignment vertical="center"/>
    </xf>
    <xf numFmtId="0" fontId="9" fillId="0" borderId="5" xfId="0" applyFont="1" applyBorder="1" applyAlignment="1">
      <alignment horizontal="left" vertical="center" indent="2"/>
    </xf>
    <xf numFmtId="182" fontId="9" fillId="10" borderId="0" xfId="1" applyNumberFormat="1" applyFont="1" applyFill="1" applyAlignment="1">
      <alignment horizontal="right" vertical="center"/>
    </xf>
    <xf numFmtId="182" fontId="9" fillId="5" borderId="0" xfId="1" applyNumberFormat="1" applyFont="1" applyFill="1" applyBorder="1">
      <alignment vertical="center"/>
    </xf>
    <xf numFmtId="184" fontId="9" fillId="5" borderId="0" xfId="1" applyNumberFormat="1" applyFont="1" applyFill="1" applyBorder="1">
      <alignment vertical="center"/>
    </xf>
    <xf numFmtId="41" fontId="9" fillId="0" borderId="0" xfId="1" applyFont="1" applyFill="1" applyBorder="1" applyAlignment="1">
      <alignment horizontal="right" vertical="center"/>
    </xf>
    <xf numFmtId="182" fontId="9" fillId="9" borderId="0" xfId="1" applyNumberFormat="1" applyFont="1" applyFill="1" applyBorder="1" applyAlignment="1">
      <alignment horizontal="right" vertical="center"/>
    </xf>
    <xf numFmtId="182" fontId="9" fillId="5" borderId="0" xfId="1" applyNumberFormat="1" applyFont="1" applyFill="1" applyBorder="1" applyAlignment="1">
      <alignment horizontal="right" vertical="center"/>
    </xf>
    <xf numFmtId="0" fontId="9" fillId="0" borderId="0" xfId="0" applyFont="1" applyAlignment="1">
      <alignment vertical="center" wrapText="1"/>
    </xf>
    <xf numFmtId="182" fontId="9" fillId="5" borderId="11" xfId="1" applyNumberFormat="1" applyFont="1" applyFill="1" applyBorder="1" applyAlignment="1">
      <alignment horizontal="right" vertical="center"/>
    </xf>
    <xf numFmtId="182" fontId="9" fillId="0" borderId="7" xfId="1" applyNumberFormat="1" applyFont="1" applyBorder="1" applyAlignment="1">
      <alignment horizontal="right" vertical="center"/>
    </xf>
    <xf numFmtId="2" fontId="11" fillId="0" borderId="0" xfId="0" applyNumberFormat="1" applyFont="1">
      <alignment vertical="center"/>
    </xf>
    <xf numFmtId="2" fontId="11" fillId="0" borderId="3" xfId="0" applyNumberFormat="1" applyFont="1" applyBorder="1">
      <alignment vertical="center"/>
    </xf>
    <xf numFmtId="181" fontId="9" fillId="9" borderId="0" xfId="0" applyNumberFormat="1" applyFont="1" applyFill="1">
      <alignment vertical="center"/>
    </xf>
    <xf numFmtId="181" fontId="9" fillId="0" borderId="8" xfId="0" applyNumberFormat="1" applyFont="1" applyBorder="1">
      <alignment vertical="center"/>
    </xf>
    <xf numFmtId="181" fontId="9" fillId="0" borderId="7" xfId="0" applyNumberFormat="1" applyFont="1" applyBorder="1">
      <alignment vertical="center"/>
    </xf>
    <xf numFmtId="181" fontId="9" fillId="9" borderId="7" xfId="0" applyNumberFormat="1" applyFont="1" applyFill="1" applyBorder="1">
      <alignment vertical="center"/>
    </xf>
    <xf numFmtId="181" fontId="9" fillId="0" borderId="9" xfId="0" applyNumberFormat="1" applyFont="1" applyBorder="1">
      <alignment vertical="center"/>
    </xf>
    <xf numFmtId="181" fontId="9" fillId="0" borderId="5" xfId="0" applyNumberFormat="1" applyFont="1" applyBorder="1">
      <alignment vertical="center"/>
    </xf>
    <xf numFmtId="0" fontId="9" fillId="4" borderId="0" xfId="0" applyFont="1" applyFill="1">
      <alignment vertical="center"/>
    </xf>
    <xf numFmtId="182" fontId="9" fillId="10" borderId="0" xfId="1" applyNumberFormat="1" applyFont="1" applyFill="1" applyBorder="1" applyAlignment="1">
      <alignment horizontal="right" vertical="center"/>
    </xf>
    <xf numFmtId="178" fontId="9" fillId="0" borderId="0" xfId="9" applyNumberFormat="1" applyFont="1" applyFill="1" applyBorder="1">
      <alignment vertical="center"/>
    </xf>
    <xf numFmtId="178" fontId="9" fillId="0" borderId="1" xfId="9" applyNumberFormat="1" applyFont="1" applyFill="1" applyBorder="1">
      <alignment vertical="center"/>
    </xf>
    <xf numFmtId="177" fontId="9" fillId="0" borderId="0" xfId="0" applyNumberFormat="1" applyFont="1">
      <alignment vertical="center"/>
    </xf>
    <xf numFmtId="0" fontId="21" fillId="11" borderId="16" xfId="4" applyFont="1" applyFill="1" applyBorder="1">
      <alignment vertical="center"/>
    </xf>
    <xf numFmtId="0" fontId="17" fillId="11" borderId="0" xfId="4" applyFont="1" applyFill="1">
      <alignment vertical="center"/>
    </xf>
    <xf numFmtId="0" fontId="1" fillId="11" borderId="0" xfId="7" applyFill="1">
      <alignment vertical="center"/>
    </xf>
    <xf numFmtId="0" fontId="20" fillId="11" borderId="16" xfId="4" applyFont="1" applyFill="1" applyBorder="1">
      <alignment vertical="center"/>
    </xf>
    <xf numFmtId="0" fontId="16" fillId="11" borderId="16" xfId="4" applyFont="1" applyFill="1" applyBorder="1">
      <alignment vertical="center"/>
    </xf>
    <xf numFmtId="0" fontId="16" fillId="11" borderId="0" xfId="4" applyFont="1" applyFill="1">
      <alignment vertical="center"/>
    </xf>
    <xf numFmtId="0" fontId="4" fillId="11" borderId="0" xfId="0" applyFont="1" applyFill="1">
      <alignment vertical="center"/>
    </xf>
    <xf numFmtId="0" fontId="0" fillId="11" borderId="0" xfId="0" applyFill="1">
      <alignment vertical="center"/>
    </xf>
    <xf numFmtId="0" fontId="10" fillId="11" borderId="0" xfId="0" applyFont="1" applyFill="1">
      <alignment vertical="center"/>
    </xf>
    <xf numFmtId="0" fontId="7" fillId="11" borderId="0" xfId="0" applyFont="1" applyFill="1" applyAlignment="1">
      <alignment horizontal="left" vertical="center"/>
    </xf>
    <xf numFmtId="0" fontId="8" fillId="11" borderId="0" xfId="0" applyFont="1" applyFill="1">
      <alignment vertical="center"/>
    </xf>
    <xf numFmtId="0" fontId="9" fillId="11" borderId="0" xfId="0" applyFont="1" applyFill="1">
      <alignment vertical="center"/>
    </xf>
    <xf numFmtId="0" fontId="7" fillId="11" borderId="0" xfId="0" applyFont="1" applyFill="1">
      <alignment vertical="center"/>
    </xf>
    <xf numFmtId="0" fontId="31" fillId="11" borderId="0" xfId="0" applyFont="1" applyFill="1">
      <alignment vertical="center"/>
    </xf>
    <xf numFmtId="0" fontId="28" fillId="0" borderId="11" xfId="0" applyFont="1" applyBorder="1" applyAlignment="1">
      <alignment horizontal="center" vertical="center"/>
    </xf>
    <xf numFmtId="14" fontId="36" fillId="0" borderId="11" xfId="0" applyNumberFormat="1" applyFont="1" applyBorder="1" applyAlignment="1">
      <alignment horizontal="center" vertical="center" shrinkToFit="1"/>
    </xf>
    <xf numFmtId="0" fontId="28" fillId="0" borderId="0" xfId="0" applyFont="1" applyAlignment="1">
      <alignment vertical="center" shrinkToFit="1"/>
    </xf>
    <xf numFmtId="41" fontId="9" fillId="11" borderId="0" xfId="1" applyFont="1" applyFill="1">
      <alignment vertical="center"/>
    </xf>
    <xf numFmtId="9" fontId="9" fillId="11" borderId="0" xfId="2" applyFont="1" applyFill="1">
      <alignment vertical="center"/>
    </xf>
    <xf numFmtId="9" fontId="9" fillId="11" borderId="0" xfId="0" applyNumberFormat="1" applyFont="1" applyFill="1">
      <alignment vertical="center"/>
    </xf>
    <xf numFmtId="41" fontId="9" fillId="11" borderId="0" xfId="1" applyFont="1" applyFill="1" applyBorder="1" applyAlignment="1">
      <alignment vertical="center" wrapText="1"/>
    </xf>
    <xf numFmtId="0" fontId="10" fillId="11" borderId="0" xfId="0" applyFont="1" applyFill="1" applyAlignment="1">
      <alignment horizontal="left" vertical="center"/>
    </xf>
    <xf numFmtId="0" fontId="18" fillId="11" borderId="0" xfId="3" applyFont="1" applyFill="1">
      <alignment vertical="center"/>
    </xf>
    <xf numFmtId="0" fontId="3" fillId="11" borderId="0" xfId="4" applyFill="1">
      <alignment vertical="center"/>
    </xf>
    <xf numFmtId="0" fontId="3" fillId="4" borderId="0" xfId="4" applyFill="1">
      <alignment vertical="center"/>
    </xf>
    <xf numFmtId="0" fontId="1" fillId="4" borderId="0" xfId="7" applyFill="1">
      <alignment vertical="center"/>
    </xf>
    <xf numFmtId="0" fontId="22" fillId="4" borderId="0" xfId="4" applyFont="1" applyFill="1">
      <alignment vertical="center"/>
    </xf>
    <xf numFmtId="0" fontId="14" fillId="4" borderId="0" xfId="4" applyFont="1" applyFill="1">
      <alignment vertical="center"/>
    </xf>
    <xf numFmtId="9" fontId="50" fillId="5" borderId="0" xfId="2" applyFont="1" applyFill="1" applyBorder="1">
      <alignment vertical="center"/>
    </xf>
    <xf numFmtId="9" fontId="50" fillId="5" borderId="0" xfId="1" applyNumberFormat="1" applyFont="1" applyFill="1" applyBorder="1">
      <alignment vertical="center"/>
    </xf>
    <xf numFmtId="0" fontId="50" fillId="0" borderId="0" xfId="0" applyFont="1" applyAlignment="1">
      <alignment horizontal="right" vertical="center"/>
    </xf>
    <xf numFmtId="9" fontId="50" fillId="0" borderId="0" xfId="2" applyFont="1" applyBorder="1">
      <alignment vertical="center"/>
    </xf>
    <xf numFmtId="177" fontId="50" fillId="0" borderId="0" xfId="2" applyNumberFormat="1" applyFont="1" applyBorder="1">
      <alignment vertical="center"/>
    </xf>
    <xf numFmtId="182" fontId="9" fillId="5" borderId="0" xfId="1" applyNumberFormat="1" applyFont="1" applyFill="1" applyBorder="1" applyAlignment="1">
      <alignment vertical="center" wrapText="1"/>
    </xf>
    <xf numFmtId="182" fontId="9" fillId="5" borderId="0" xfId="0" applyNumberFormat="1" applyFont="1" applyFill="1">
      <alignment vertical="center"/>
    </xf>
    <xf numFmtId="184" fontId="9" fillId="9" borderId="0" xfId="0" applyNumberFormat="1" applyFont="1" applyFill="1">
      <alignment vertical="center"/>
    </xf>
    <xf numFmtId="0" fontId="33" fillId="0" borderId="0" xfId="0" applyFont="1">
      <alignment vertical="center"/>
    </xf>
    <xf numFmtId="0" fontId="9" fillId="0" borderId="0" xfId="0" applyFont="1" applyAlignment="1">
      <alignment horizontal="left" vertical="center" indent="2"/>
    </xf>
    <xf numFmtId="0" fontId="9" fillId="0" borderId="13" xfId="0" applyFont="1" applyBorder="1" applyAlignment="1">
      <alignment horizontal="left" vertical="center" indent="1"/>
    </xf>
    <xf numFmtId="182" fontId="9" fillId="0" borderId="15" xfId="1" applyNumberFormat="1" applyFont="1" applyBorder="1" applyAlignment="1">
      <alignment horizontal="right" vertical="center"/>
    </xf>
    <xf numFmtId="0" fontId="9" fillId="0" borderId="18" xfId="0" applyFont="1" applyBorder="1">
      <alignment vertical="center"/>
    </xf>
    <xf numFmtId="177" fontId="9" fillId="0" borderId="0" xfId="2" applyNumberFormat="1" applyFont="1" applyBorder="1">
      <alignment vertical="center"/>
    </xf>
    <xf numFmtId="14" fontId="9" fillId="0" borderId="0" xfId="0" applyNumberFormat="1" applyFont="1" applyAlignment="1">
      <alignment horizontal="left" vertical="center"/>
    </xf>
    <xf numFmtId="0" fontId="9" fillId="9" borderId="0" xfId="0" applyFont="1" applyFill="1">
      <alignment vertical="center"/>
    </xf>
    <xf numFmtId="0" fontId="9" fillId="9" borderId="0" xfId="0" applyFont="1" applyFill="1" applyAlignment="1">
      <alignment horizontal="left" vertical="center"/>
    </xf>
    <xf numFmtId="0" fontId="28" fillId="9" borderId="0" xfId="0" applyFont="1" applyFill="1">
      <alignment vertical="center"/>
    </xf>
    <xf numFmtId="0" fontId="28" fillId="11" borderId="0" xfId="0" applyFont="1" applyFill="1">
      <alignment vertical="center"/>
    </xf>
    <xf numFmtId="182" fontId="28" fillId="9" borderId="0" xfId="0" applyNumberFormat="1" applyFont="1" applyFill="1" applyAlignment="1">
      <alignment horizontal="right" vertical="center"/>
    </xf>
    <xf numFmtId="0" fontId="28" fillId="0" borderId="1" xfId="0" applyFont="1" applyBorder="1" applyAlignment="1">
      <alignment horizontal="center" vertical="center"/>
    </xf>
    <xf numFmtId="177" fontId="28" fillId="0" borderId="0" xfId="0" applyNumberFormat="1" applyFont="1" applyAlignment="1">
      <alignment horizontal="center" vertical="center"/>
    </xf>
    <xf numFmtId="0" fontId="28" fillId="0" borderId="4" xfId="0" applyFont="1" applyBorder="1" applyAlignment="1">
      <alignment horizontal="center" vertical="center"/>
    </xf>
    <xf numFmtId="0" fontId="28" fillId="0" borderId="5" xfId="0" applyFont="1" applyBorder="1" applyAlignment="1">
      <alignment horizontal="center" vertical="center"/>
    </xf>
    <xf numFmtId="3" fontId="28" fillId="0" borderId="4" xfId="0" applyNumberFormat="1" applyFont="1" applyBorder="1" applyAlignment="1">
      <alignment vertical="center" wrapText="1"/>
    </xf>
    <xf numFmtId="0" fontId="32" fillId="11" borderId="0" xfId="0" applyFont="1" applyFill="1">
      <alignment vertical="center"/>
    </xf>
    <xf numFmtId="10" fontId="28" fillId="0" borderId="0" xfId="2" applyNumberFormat="1" applyFont="1" applyBorder="1">
      <alignment vertical="center"/>
    </xf>
    <xf numFmtId="14" fontId="36" fillId="0" borderId="0" xfId="0" applyNumberFormat="1" applyFont="1" applyAlignment="1">
      <alignment horizontal="center" vertical="center" shrinkToFit="1"/>
    </xf>
    <xf numFmtId="0" fontId="32" fillId="11" borderId="0" xfId="0" applyFont="1" applyFill="1" applyAlignment="1">
      <alignment vertical="center" shrinkToFit="1"/>
    </xf>
    <xf numFmtId="0" fontId="28" fillId="0" borderId="0" xfId="0" applyFont="1" applyAlignment="1">
      <alignment horizontal="center" vertical="center" shrinkToFit="1"/>
    </xf>
    <xf numFmtId="14" fontId="28" fillId="0" borderId="0" xfId="0" applyNumberFormat="1" applyFont="1" applyAlignment="1">
      <alignment horizontal="center" vertical="center" shrinkToFit="1"/>
    </xf>
    <xf numFmtId="3" fontId="36" fillId="0" borderId="0" xfId="0" applyNumberFormat="1" applyFont="1" applyAlignment="1">
      <alignment horizontal="center" vertical="center" wrapText="1"/>
    </xf>
    <xf numFmtId="0" fontId="36" fillId="0" borderId="0" xfId="0" applyFont="1" applyAlignment="1">
      <alignment horizontal="center" vertical="center" shrinkToFit="1"/>
    </xf>
    <xf numFmtId="0" fontId="28" fillId="0" borderId="11" xfId="0" applyFont="1" applyBorder="1" applyAlignment="1">
      <alignment horizontal="center" vertical="center" shrinkToFit="1"/>
    </xf>
    <xf numFmtId="14" fontId="28" fillId="0" borderId="11" xfId="0" applyNumberFormat="1" applyFont="1" applyBorder="1" applyAlignment="1">
      <alignment horizontal="center" vertical="center" shrinkToFit="1"/>
    </xf>
    <xf numFmtId="3" fontId="36" fillId="0" borderId="11" xfId="0" applyNumberFormat="1" applyFont="1" applyBorder="1" applyAlignment="1">
      <alignment horizontal="center" vertical="center" wrapText="1"/>
    </xf>
    <xf numFmtId="177" fontId="28" fillId="0" borderId="11" xfId="0" applyNumberFormat="1" applyFont="1" applyBorder="1" applyAlignment="1">
      <alignment horizontal="center" vertical="center"/>
    </xf>
    <xf numFmtId="9" fontId="28" fillId="0" borderId="11" xfId="0" applyNumberFormat="1" applyFont="1" applyBorder="1" applyAlignment="1">
      <alignment horizontal="center" vertical="center"/>
    </xf>
    <xf numFmtId="177" fontId="36" fillId="0" borderId="0" xfId="0" applyNumberFormat="1" applyFont="1" applyAlignment="1">
      <alignment horizontal="center" vertical="center" wrapText="1"/>
    </xf>
    <xf numFmtId="0" fontId="28" fillId="0" borderId="1" xfId="0" applyFont="1" applyBorder="1" applyAlignment="1">
      <alignment horizontal="center" vertical="center" shrinkToFit="1"/>
    </xf>
    <xf numFmtId="177" fontId="36" fillId="0" borderId="0" xfId="2" applyNumberFormat="1" applyFont="1" applyBorder="1" applyAlignment="1">
      <alignment horizontal="center" vertical="center" wrapText="1"/>
    </xf>
    <xf numFmtId="177" fontId="28" fillId="0" borderId="0" xfId="2" applyNumberFormat="1" applyFont="1" applyBorder="1" applyAlignment="1">
      <alignment horizontal="center" vertical="center"/>
    </xf>
    <xf numFmtId="177" fontId="36" fillId="0" borderId="11" xfId="2" applyNumberFormat="1" applyFont="1" applyBorder="1" applyAlignment="1">
      <alignment horizontal="center" vertical="center" wrapText="1"/>
    </xf>
    <xf numFmtId="177" fontId="28" fillId="0" borderId="11" xfId="2" applyNumberFormat="1" applyFont="1" applyBorder="1" applyAlignment="1">
      <alignment horizontal="center" vertical="center"/>
    </xf>
    <xf numFmtId="43" fontId="9" fillId="9" borderId="0" xfId="0" applyNumberFormat="1" applyFont="1" applyFill="1">
      <alignment vertical="center"/>
    </xf>
    <xf numFmtId="183" fontId="9" fillId="9" borderId="0" xfId="0" applyNumberFormat="1" applyFont="1" applyFill="1">
      <alignment vertical="center"/>
    </xf>
    <xf numFmtId="177" fontId="51" fillId="9" borderId="0" xfId="0" applyNumberFormat="1" applyFont="1" applyFill="1" applyAlignment="1">
      <alignment horizontal="right" vertical="center"/>
    </xf>
    <xf numFmtId="0" fontId="9" fillId="0" borderId="19" xfId="0" applyFont="1" applyBorder="1">
      <alignment vertical="center"/>
    </xf>
    <xf numFmtId="0" fontId="51" fillId="0" borderId="5" xfId="0" applyFont="1" applyBorder="1" applyAlignment="1">
      <alignment horizontal="right" vertical="center"/>
    </xf>
    <xf numFmtId="0" fontId="31" fillId="11" borderId="0" xfId="0" applyFont="1" applyFill="1" applyAlignment="1">
      <alignment horizontal="left" vertical="center"/>
    </xf>
    <xf numFmtId="0" fontId="9" fillId="0" borderId="11" xfId="0" applyFont="1" applyBorder="1" applyAlignment="1">
      <alignment horizontal="center" vertical="center"/>
    </xf>
    <xf numFmtId="0" fontId="28" fillId="0" borderId="13" xfId="0" applyFont="1" applyBorder="1" applyAlignment="1">
      <alignment horizontal="center" vertical="center" shrinkToFit="1"/>
    </xf>
    <xf numFmtId="0" fontId="28" fillId="0" borderId="5" xfId="0" applyFont="1" applyBorder="1" applyAlignment="1">
      <alignment horizontal="center" vertical="center" shrinkToFit="1"/>
    </xf>
    <xf numFmtId="0" fontId="9" fillId="0" borderId="0" xfId="0" applyFont="1" applyAlignment="1">
      <alignment horizontal="center" vertical="center"/>
    </xf>
    <xf numFmtId="0" fontId="9" fillId="0" borderId="5" xfId="0" applyFont="1" applyBorder="1" applyAlignment="1">
      <alignment horizontal="left" vertical="center"/>
    </xf>
    <xf numFmtId="177" fontId="9" fillId="0" borderId="11" xfId="2" applyNumberFormat="1" applyFont="1" applyBorder="1">
      <alignment vertical="center"/>
    </xf>
    <xf numFmtId="0" fontId="9" fillId="0" borderId="5" xfId="0" applyFont="1" applyBorder="1" applyAlignment="1">
      <alignment horizontal="left" vertical="center" indent="3"/>
    </xf>
    <xf numFmtId="41" fontId="9" fillId="0" borderId="0" xfId="1" applyFont="1" applyFill="1" applyBorder="1" applyAlignment="1">
      <alignment vertical="center" wrapText="1"/>
    </xf>
    <xf numFmtId="9" fontId="9" fillId="0" borderId="0" xfId="2" applyFont="1" applyBorder="1">
      <alignment vertical="center"/>
    </xf>
    <xf numFmtId="0" fontId="51" fillId="0" borderId="14" xfId="0" applyFont="1" applyBorder="1" applyAlignment="1">
      <alignment horizontal="right" vertical="center"/>
    </xf>
    <xf numFmtId="177" fontId="51" fillId="0" borderId="11" xfId="1" applyNumberFormat="1" applyFont="1" applyBorder="1">
      <alignment vertical="center"/>
    </xf>
    <xf numFmtId="177" fontId="51" fillId="5" borderId="11" xfId="1" applyNumberFormat="1" applyFont="1" applyFill="1" applyBorder="1">
      <alignment vertical="center"/>
    </xf>
    <xf numFmtId="182" fontId="52" fillId="10" borderId="0" xfId="1" applyNumberFormat="1" applyFont="1" applyFill="1" applyAlignment="1">
      <alignment horizontal="right" vertical="center"/>
    </xf>
    <xf numFmtId="182" fontId="52" fillId="10" borderId="0" xfId="1" applyNumberFormat="1" applyFont="1" applyFill="1" applyBorder="1" applyAlignment="1">
      <alignment horizontal="right" vertical="center"/>
    </xf>
    <xf numFmtId="177" fontId="51" fillId="5" borderId="0" xfId="1" applyNumberFormat="1" applyFont="1" applyFill="1">
      <alignment vertical="center"/>
    </xf>
    <xf numFmtId="177" fontId="47" fillId="0" borderId="0" xfId="2" applyNumberFormat="1" applyFont="1" applyBorder="1" applyAlignment="1">
      <alignment horizontal="center" vertical="center"/>
    </xf>
    <xf numFmtId="0" fontId="10" fillId="11" borderId="0" xfId="0" applyFont="1" applyFill="1" applyAlignment="1">
      <alignment horizontal="center" vertical="center"/>
    </xf>
    <xf numFmtId="177" fontId="47" fillId="0" borderId="0" xfId="2" applyNumberFormat="1" applyFont="1" applyFill="1" applyBorder="1" applyAlignment="1">
      <alignment horizontal="center" vertical="center"/>
    </xf>
    <xf numFmtId="0" fontId="46" fillId="0" borderId="1" xfId="7" applyFont="1" applyBorder="1" applyAlignment="1">
      <alignment horizontal="center" vertical="center"/>
    </xf>
    <xf numFmtId="0" fontId="46" fillId="0" borderId="4" xfId="7" applyFont="1" applyBorder="1" applyAlignment="1">
      <alignment horizontal="center" vertical="center"/>
    </xf>
    <xf numFmtId="0" fontId="46" fillId="0" borderId="5" xfId="7" applyFont="1" applyBorder="1" applyAlignment="1">
      <alignment horizontal="center" vertical="center"/>
    </xf>
    <xf numFmtId="0" fontId="9" fillId="0" borderId="5" xfId="0" applyFont="1" applyBorder="1" applyAlignment="1">
      <alignment horizontal="center" vertical="center"/>
    </xf>
    <xf numFmtId="0" fontId="9" fillId="0" borderId="13" xfId="0" applyFont="1" applyBorder="1" applyAlignment="1">
      <alignment horizontal="center" vertical="center"/>
    </xf>
    <xf numFmtId="10" fontId="9" fillId="0" borderId="10" xfId="0" applyNumberFormat="1" applyFont="1" applyBorder="1" applyAlignment="1">
      <alignment horizontal="center" vertical="center"/>
    </xf>
    <xf numFmtId="10" fontId="51" fillId="0" borderId="0" xfId="1" applyNumberFormat="1" applyFont="1">
      <alignment vertical="center"/>
    </xf>
    <xf numFmtId="10" fontId="51" fillId="0" borderId="5" xfId="1" applyNumberFormat="1" applyFont="1" applyBorder="1">
      <alignment vertical="center"/>
    </xf>
    <xf numFmtId="10" fontId="51" fillId="9" borderId="0" xfId="1" applyNumberFormat="1" applyFont="1" applyFill="1">
      <alignment vertical="center"/>
    </xf>
    <xf numFmtId="10" fontId="51" fillId="9" borderId="0" xfId="1" applyNumberFormat="1" applyFont="1" applyFill="1" applyBorder="1">
      <alignment vertical="center"/>
    </xf>
    <xf numFmtId="10" fontId="51" fillId="9" borderId="0" xfId="2" applyNumberFormat="1" applyFont="1" applyFill="1" applyAlignment="1">
      <alignment vertical="center" wrapText="1"/>
    </xf>
    <xf numFmtId="10" fontId="51" fillId="9" borderId="0" xfId="1" applyNumberFormat="1" applyFont="1" applyFill="1" applyAlignment="1">
      <alignment vertical="center" wrapText="1"/>
    </xf>
    <xf numFmtId="182" fontId="9" fillId="4" borderId="15" xfId="1" applyNumberFormat="1" applyFont="1" applyFill="1" applyBorder="1" applyAlignment="1">
      <alignment horizontal="right" vertical="center"/>
    </xf>
    <xf numFmtId="182" fontId="9" fillId="5" borderId="15" xfId="1" applyNumberFormat="1" applyFont="1" applyFill="1" applyBorder="1" applyAlignment="1">
      <alignment horizontal="right" vertical="center"/>
    </xf>
    <xf numFmtId="182" fontId="9" fillId="4" borderId="11" xfId="1" applyNumberFormat="1" applyFont="1" applyFill="1" applyBorder="1" applyAlignment="1">
      <alignment horizontal="right" vertical="center"/>
    </xf>
    <xf numFmtId="0" fontId="9" fillId="0" borderId="5" xfId="0" applyFont="1" applyBorder="1" applyAlignment="1">
      <alignment horizontal="left" vertical="center" indent="4"/>
    </xf>
    <xf numFmtId="0" fontId="9" fillId="0" borderId="14" xfId="0" applyFont="1" applyBorder="1" applyAlignment="1">
      <alignment horizontal="left" vertical="center" indent="2"/>
    </xf>
    <xf numFmtId="0" fontId="9" fillId="0" borderId="1" xfId="0" applyFont="1" applyBorder="1" applyAlignment="1">
      <alignment horizontal="center" vertical="center" wrapText="1"/>
    </xf>
    <xf numFmtId="182" fontId="9" fillId="0" borderId="2" xfId="1" applyNumberFormat="1" applyFont="1" applyBorder="1" applyAlignment="1">
      <alignment vertical="center"/>
    </xf>
    <xf numFmtId="182" fontId="9" fillId="4" borderId="2" xfId="1" applyNumberFormat="1" applyFont="1" applyFill="1" applyBorder="1" applyAlignment="1">
      <alignment vertical="center"/>
    </xf>
    <xf numFmtId="182" fontId="9" fillId="9" borderId="7" xfId="1" applyNumberFormat="1" applyFont="1" applyFill="1" applyBorder="1" applyAlignment="1">
      <alignment vertical="center"/>
    </xf>
    <xf numFmtId="182" fontId="9" fillId="0" borderId="10" xfId="1" applyNumberFormat="1" applyFont="1" applyBorder="1" applyAlignment="1">
      <alignment vertical="center"/>
    </xf>
    <xf numFmtId="182" fontId="9" fillId="9" borderId="10" xfId="1" applyNumberFormat="1" applyFont="1" applyFill="1" applyBorder="1" applyAlignment="1">
      <alignment vertical="center"/>
    </xf>
    <xf numFmtId="182" fontId="9" fillId="0" borderId="0" xfId="1" applyNumberFormat="1" applyFont="1" applyBorder="1" applyAlignment="1">
      <alignment vertical="center"/>
    </xf>
    <xf numFmtId="182" fontId="9" fillId="9" borderId="0" xfId="1" applyNumberFormat="1" applyFont="1" applyFill="1" applyBorder="1" applyAlignment="1">
      <alignment vertical="center"/>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9" fillId="0" borderId="18" xfId="0" applyFont="1" applyBorder="1" applyAlignment="1">
      <alignment horizontal="center" vertical="center"/>
    </xf>
    <xf numFmtId="182" fontId="28" fillId="0" borderId="0" xfId="0" applyNumberFormat="1" applyFont="1" applyAlignment="1">
      <alignment horizontal="right" vertical="center"/>
    </xf>
    <xf numFmtId="182" fontId="28" fillId="9" borderId="0" xfId="0" applyNumberFormat="1" applyFont="1" applyFill="1">
      <alignment vertical="center"/>
    </xf>
    <xf numFmtId="0" fontId="9" fillId="8" borderId="1" xfId="0" applyFont="1" applyFill="1" applyBorder="1" applyAlignment="1">
      <alignment horizontal="center" vertical="center"/>
    </xf>
    <xf numFmtId="0" fontId="11" fillId="0" borderId="1" xfId="0" applyFont="1" applyBorder="1" applyAlignment="1">
      <alignment horizontal="right" vertical="center"/>
    </xf>
    <xf numFmtId="177" fontId="9" fillId="8" borderId="0" xfId="2" applyNumberFormat="1" applyFont="1" applyFill="1" applyBorder="1">
      <alignment vertical="center"/>
    </xf>
    <xf numFmtId="0" fontId="9" fillId="0" borderId="5" xfId="1" applyNumberFormat="1" applyFont="1" applyBorder="1" applyAlignment="1">
      <alignment horizontal="left" vertical="center" indent="1"/>
    </xf>
    <xf numFmtId="41" fontId="9" fillId="0" borderId="0" xfId="1" applyFont="1" applyBorder="1">
      <alignment vertical="center"/>
    </xf>
    <xf numFmtId="41" fontId="9" fillId="8" borderId="0" xfId="1" applyFont="1" applyFill="1" applyBorder="1">
      <alignment vertical="center"/>
    </xf>
    <xf numFmtId="177" fontId="9" fillId="0" borderId="0" xfId="2" applyNumberFormat="1" applyFont="1" applyFill="1" applyBorder="1">
      <alignment vertical="center"/>
    </xf>
    <xf numFmtId="3" fontId="25" fillId="0" borderId="0" xfId="0" applyNumberFormat="1" applyFont="1" applyAlignment="1">
      <alignment horizontal="center" vertical="center" wrapText="1"/>
    </xf>
    <xf numFmtId="9" fontId="25" fillId="0" borderId="0" xfId="0" applyNumberFormat="1" applyFont="1" applyAlignment="1">
      <alignment horizontal="center" vertical="center" wrapText="1"/>
    </xf>
    <xf numFmtId="0" fontId="25" fillId="0" borderId="0" xfId="0" applyFont="1">
      <alignment vertical="center"/>
    </xf>
    <xf numFmtId="0" fontId="25" fillId="0" borderId="11" xfId="0" applyFont="1" applyBorder="1">
      <alignment vertical="center"/>
    </xf>
    <xf numFmtId="178" fontId="9" fillId="0" borderId="11" xfId="9" applyNumberFormat="1" applyFont="1" applyFill="1" applyBorder="1">
      <alignment vertical="center"/>
    </xf>
    <xf numFmtId="41" fontId="9" fillId="12" borderId="11" xfId="9" applyFont="1" applyFill="1" applyBorder="1">
      <alignment vertical="center"/>
    </xf>
    <xf numFmtId="41" fontId="9" fillId="12" borderId="15" xfId="9" applyFont="1" applyFill="1" applyBorder="1">
      <alignment vertical="center"/>
    </xf>
    <xf numFmtId="178" fontId="9" fillId="12" borderId="0" xfId="9" applyNumberFormat="1" applyFont="1" applyFill="1" applyBorder="1">
      <alignment vertical="center"/>
    </xf>
    <xf numFmtId="41" fontId="9" fillId="12" borderId="0" xfId="9" applyFont="1" applyFill="1" applyBorder="1">
      <alignment vertical="center"/>
    </xf>
    <xf numFmtId="41" fontId="9" fillId="12" borderId="1" xfId="9" applyFont="1" applyFill="1" applyBorder="1">
      <alignment vertical="center"/>
    </xf>
    <xf numFmtId="178" fontId="9" fillId="12" borderId="1" xfId="9" applyNumberFormat="1" applyFont="1" applyFill="1" applyBorder="1">
      <alignment vertical="center"/>
    </xf>
    <xf numFmtId="37" fontId="9" fillId="12" borderId="26" xfId="9" applyNumberFormat="1" applyFont="1" applyFill="1" applyBorder="1">
      <alignment vertical="center"/>
    </xf>
    <xf numFmtId="41" fontId="9" fillId="0" borderId="7" xfId="9" applyFont="1" applyFill="1" applyBorder="1">
      <alignment vertical="center"/>
    </xf>
    <xf numFmtId="0" fontId="9" fillId="0" borderId="26" xfId="0" applyFont="1" applyBorder="1">
      <alignment vertical="center"/>
    </xf>
    <xf numFmtId="37" fontId="9" fillId="0" borderId="26" xfId="9" applyNumberFormat="1" applyFont="1" applyFill="1" applyBorder="1">
      <alignment vertical="center"/>
    </xf>
    <xf numFmtId="9" fontId="0" fillId="0" borderId="0" xfId="2" applyFont="1">
      <alignment vertical="center"/>
    </xf>
    <xf numFmtId="2" fontId="11" fillId="0" borderId="10" xfId="0" applyNumberFormat="1" applyFont="1" applyBorder="1">
      <alignment vertical="center"/>
    </xf>
    <xf numFmtId="40" fontId="23" fillId="0" borderId="0" xfId="6" applyNumberFormat="1" applyFont="1" applyBorder="1">
      <alignment vertical="center"/>
    </xf>
    <xf numFmtId="0" fontId="29" fillId="0" borderId="0" xfId="3" applyFont="1">
      <alignment vertical="center"/>
    </xf>
    <xf numFmtId="0" fontId="23" fillId="0" borderId="11" xfId="4" applyFont="1" applyBorder="1">
      <alignment vertical="center"/>
    </xf>
    <xf numFmtId="38" fontId="23" fillId="0" borderId="11" xfId="6" applyNumberFormat="1" applyFont="1" applyBorder="1">
      <alignment vertical="center"/>
    </xf>
    <xf numFmtId="0" fontId="54" fillId="0" borderId="0" xfId="7" applyFont="1">
      <alignment vertical="center"/>
    </xf>
    <xf numFmtId="186" fontId="55" fillId="13" borderId="0" xfId="7" applyNumberFormat="1" applyFont="1" applyFill="1" applyAlignment="1">
      <alignment horizontal="right" vertical="center"/>
    </xf>
    <xf numFmtId="43" fontId="28" fillId="0" borderId="0" xfId="0" applyNumberFormat="1" applyFont="1">
      <alignment vertical="center"/>
    </xf>
    <xf numFmtId="3" fontId="28" fillId="0" borderId="0" xfId="0" applyNumberFormat="1" applyFont="1">
      <alignment vertical="center"/>
    </xf>
    <xf numFmtId="41" fontId="28" fillId="0" borderId="0" xfId="1" applyFont="1" applyBorder="1">
      <alignment vertical="center"/>
    </xf>
    <xf numFmtId="0" fontId="56" fillId="11" borderId="16" xfId="4" applyFont="1" applyFill="1" applyBorder="1">
      <alignment vertical="center"/>
    </xf>
    <xf numFmtId="0" fontId="57" fillId="11" borderId="16" xfId="4" applyFont="1" applyFill="1" applyBorder="1">
      <alignment vertical="center"/>
    </xf>
    <xf numFmtId="0" fontId="53" fillId="11" borderId="0" xfId="4" applyFont="1" applyFill="1">
      <alignment vertical="center"/>
    </xf>
    <xf numFmtId="0" fontId="19" fillId="11" borderId="0" xfId="4" applyFont="1" applyFill="1">
      <alignment vertical="center"/>
    </xf>
    <xf numFmtId="0" fontId="23" fillId="0" borderId="11" xfId="4" applyFont="1" applyBorder="1" applyAlignment="1">
      <alignment horizontal="left" vertical="center"/>
    </xf>
    <xf numFmtId="41" fontId="23" fillId="0" borderId="11" xfId="4" applyNumberFormat="1" applyFont="1" applyBorder="1">
      <alignment vertical="center"/>
    </xf>
    <xf numFmtId="0" fontId="23" fillId="0" borderId="0" xfId="4" applyFont="1" applyAlignment="1">
      <alignment horizontal="left" vertical="center"/>
    </xf>
    <xf numFmtId="41" fontId="23" fillId="0" borderId="0" xfId="4" applyNumberFormat="1" applyFont="1">
      <alignment vertical="center"/>
    </xf>
    <xf numFmtId="188" fontId="23" fillId="0" borderId="0" xfId="6" applyNumberFormat="1" applyFont="1" applyBorder="1">
      <alignment vertical="center"/>
    </xf>
    <xf numFmtId="0" fontId="23" fillId="4" borderId="0" xfId="12" applyFont="1" applyFill="1" applyAlignment="1">
      <alignment horizontal="left" vertical="center"/>
    </xf>
    <xf numFmtId="0" fontId="24" fillId="4" borderId="0" xfId="12" applyFont="1" applyFill="1" applyAlignment="1">
      <alignment horizontal="left" vertical="center"/>
    </xf>
    <xf numFmtId="10" fontId="23" fillId="0" borderId="0" xfId="2" applyNumberFormat="1" applyFont="1" applyAlignment="1">
      <alignment horizontal="right" vertical="center"/>
    </xf>
    <xf numFmtId="0" fontId="23" fillId="4" borderId="0" xfId="12" applyFont="1" applyFill="1" applyAlignment="1">
      <alignment horizontal="center" vertical="center"/>
    </xf>
    <xf numFmtId="0" fontId="23" fillId="3" borderId="11" xfId="4" applyFont="1" applyFill="1" applyBorder="1">
      <alignment vertical="center"/>
    </xf>
    <xf numFmtId="38" fontId="23" fillId="3" borderId="11" xfId="4" applyNumberFormat="1" applyFont="1" applyFill="1" applyBorder="1">
      <alignment vertical="center"/>
    </xf>
    <xf numFmtId="0" fontId="29" fillId="3" borderId="11" xfId="4" applyFont="1" applyFill="1" applyBorder="1">
      <alignment vertical="center"/>
    </xf>
    <xf numFmtId="3" fontId="23" fillId="4" borderId="0" xfId="5" applyNumberFormat="1" applyFont="1" applyFill="1" applyBorder="1" applyAlignment="1">
      <alignment horizontal="center" vertical="center"/>
    </xf>
    <xf numFmtId="3" fontId="23" fillId="4" borderId="0" xfId="12" applyNumberFormat="1" applyFont="1" applyFill="1" applyAlignment="1">
      <alignment horizontal="center" vertical="center"/>
    </xf>
    <xf numFmtId="179" fontId="23" fillId="0" borderId="11" xfId="6" applyNumberFormat="1" applyFont="1" applyBorder="1">
      <alignment vertical="center"/>
    </xf>
    <xf numFmtId="0" fontId="29" fillId="0" borderId="11" xfId="0" applyFont="1" applyBorder="1">
      <alignment vertical="center"/>
    </xf>
    <xf numFmtId="188" fontId="23" fillId="0" borderId="0" xfId="6" applyNumberFormat="1" applyFont="1">
      <alignment vertical="center"/>
    </xf>
    <xf numFmtId="179" fontId="23" fillId="0" borderId="0" xfId="6" applyNumberFormat="1" applyFont="1" applyFill="1" applyBorder="1">
      <alignment vertical="center"/>
    </xf>
    <xf numFmtId="3" fontId="58" fillId="0" borderId="0" xfId="0" applyNumberFormat="1" applyFont="1">
      <alignment vertical="center"/>
    </xf>
    <xf numFmtId="0" fontId="9" fillId="0" borderId="3" xfId="0" applyFont="1" applyBorder="1" applyAlignment="1">
      <alignment horizontal="right" vertical="center"/>
    </xf>
    <xf numFmtId="0" fontId="9" fillId="0" borderId="6" xfId="0" applyFont="1" applyBorder="1" applyAlignment="1">
      <alignment horizontal="right" vertical="center"/>
    </xf>
    <xf numFmtId="0" fontId="16" fillId="4" borderId="0" xfId="4" applyFont="1" applyFill="1">
      <alignment vertical="center"/>
    </xf>
    <xf numFmtId="9" fontId="58" fillId="0" borderId="0" xfId="2" applyFont="1">
      <alignment vertical="center"/>
    </xf>
    <xf numFmtId="10" fontId="0" fillId="0" borderId="6" xfId="0" applyNumberFormat="1" applyBorder="1">
      <alignment vertical="center"/>
    </xf>
    <xf numFmtId="0" fontId="59" fillId="0" borderId="0" xfId="0" applyFont="1">
      <alignment vertical="center"/>
    </xf>
    <xf numFmtId="0" fontId="59" fillId="0" borderId="0" xfId="0" quotePrefix="1" applyFont="1">
      <alignment vertical="center"/>
    </xf>
    <xf numFmtId="0" fontId="24" fillId="0" borderId="3" xfId="4" applyFont="1" applyBorder="1">
      <alignment vertical="center"/>
    </xf>
    <xf numFmtId="38" fontId="24" fillId="0" borderId="3" xfId="5" applyNumberFormat="1" applyFont="1" applyBorder="1">
      <alignment vertical="center"/>
    </xf>
    <xf numFmtId="0" fontId="29" fillId="0" borderId="3" xfId="4" applyFont="1" applyBorder="1">
      <alignment vertical="center"/>
    </xf>
    <xf numFmtId="0" fontId="9" fillId="14" borderId="0" xfId="0" applyFont="1" applyFill="1" applyAlignment="1">
      <alignment horizontal="left" vertical="center" indent="1"/>
    </xf>
    <xf numFmtId="177" fontId="0" fillId="14" borderId="0" xfId="2" applyNumberFormat="1" applyFont="1" applyFill="1">
      <alignment vertical="center"/>
    </xf>
    <xf numFmtId="0" fontId="9" fillId="0" borderId="27" xfId="0" applyFont="1" applyBorder="1" applyAlignment="1">
      <alignment horizontal="left" vertical="center" indent="1"/>
    </xf>
    <xf numFmtId="0" fontId="27" fillId="0" borderId="27" xfId="0" applyFont="1" applyBorder="1">
      <alignment vertical="center"/>
    </xf>
    <xf numFmtId="185" fontId="27" fillId="0" borderId="6" xfId="0" applyNumberFormat="1" applyFont="1" applyBorder="1">
      <alignment vertical="center"/>
    </xf>
    <xf numFmtId="0" fontId="9" fillId="14" borderId="0" xfId="0" applyFont="1" applyFill="1">
      <alignment vertical="center"/>
    </xf>
    <xf numFmtId="10" fontId="9" fillId="14" borderId="0" xfId="2" applyNumberFormat="1" applyFont="1" applyFill="1">
      <alignment vertical="center"/>
    </xf>
    <xf numFmtId="41" fontId="9" fillId="14" borderId="0" xfId="1" applyFont="1" applyFill="1" applyAlignment="1">
      <alignment vertical="center" wrapText="1"/>
    </xf>
    <xf numFmtId="177" fontId="9" fillId="14" borderId="0" xfId="2" applyNumberFormat="1" applyFont="1" applyFill="1" applyAlignment="1">
      <alignment vertical="center" wrapText="1"/>
    </xf>
    <xf numFmtId="0" fontId="23" fillId="0" borderId="3" xfId="4" applyFont="1" applyBorder="1" applyAlignment="1">
      <alignment horizontal="left" vertical="center"/>
    </xf>
    <xf numFmtId="41" fontId="23" fillId="0" borderId="3" xfId="1" applyFont="1" applyBorder="1" applyAlignment="1">
      <alignment vertical="center"/>
    </xf>
    <xf numFmtId="0" fontId="3" fillId="0" borderId="11" xfId="4" applyBorder="1">
      <alignment vertical="center"/>
    </xf>
    <xf numFmtId="0" fontId="6" fillId="0" borderId="11" xfId="0" applyFont="1" applyBorder="1">
      <alignment vertical="center"/>
    </xf>
    <xf numFmtId="0" fontId="61" fillId="0" borderId="11" xfId="0" applyFont="1" applyBorder="1">
      <alignment vertical="center"/>
    </xf>
    <xf numFmtId="0" fontId="31" fillId="11" borderId="0" xfId="4" applyFont="1" applyFill="1">
      <alignment vertical="center"/>
    </xf>
    <xf numFmtId="0" fontId="50" fillId="0" borderId="3" xfId="0" applyFont="1" applyBorder="1" applyAlignment="1">
      <alignment horizontal="right" vertical="center"/>
    </xf>
    <xf numFmtId="9" fontId="50" fillId="0" borderId="3" xfId="2" applyFont="1" applyBorder="1">
      <alignment vertical="center"/>
    </xf>
    <xf numFmtId="9" fontId="50" fillId="5" borderId="3" xfId="2" applyFont="1" applyFill="1" applyBorder="1">
      <alignment vertical="center"/>
    </xf>
    <xf numFmtId="9" fontId="50" fillId="5" borderId="3" xfId="1" applyNumberFormat="1" applyFont="1" applyFill="1" applyBorder="1">
      <alignment vertical="center"/>
    </xf>
    <xf numFmtId="0" fontId="9" fillId="0" borderId="6" xfId="0" applyFont="1" applyBorder="1" applyAlignment="1">
      <alignment horizontal="left" vertical="center" indent="1"/>
    </xf>
    <xf numFmtId="182" fontId="9" fillId="0" borderId="3" xfId="1" applyNumberFormat="1" applyFont="1" applyBorder="1" applyAlignment="1">
      <alignment vertical="center"/>
    </xf>
    <xf numFmtId="182" fontId="9" fillId="9" borderId="3" xfId="1" applyNumberFormat="1" applyFont="1" applyFill="1" applyBorder="1" applyAlignment="1">
      <alignment vertical="center"/>
    </xf>
    <xf numFmtId="0" fontId="60" fillId="0" borderId="1" xfId="4" applyFont="1" applyBorder="1" applyAlignment="1">
      <alignment horizontal="center" vertical="center"/>
    </xf>
    <xf numFmtId="0" fontId="23" fillId="0" borderId="3" xfId="4" applyFont="1" applyBorder="1">
      <alignment vertical="center"/>
    </xf>
    <xf numFmtId="179" fontId="23" fillId="0" borderId="3" xfId="6" applyNumberFormat="1" applyFont="1" applyFill="1" applyBorder="1">
      <alignment vertical="center"/>
    </xf>
    <xf numFmtId="0" fontId="29" fillId="0" borderId="3" xfId="0" applyFont="1" applyBorder="1">
      <alignment vertical="center"/>
    </xf>
    <xf numFmtId="178" fontId="28" fillId="0" borderId="0" xfId="0" applyNumberFormat="1" applyFont="1">
      <alignment vertical="center"/>
    </xf>
    <xf numFmtId="0" fontId="62" fillId="0" borderId="0" xfId="0" applyFont="1" applyAlignment="1">
      <alignment horizontal="right" vertical="center"/>
    </xf>
    <xf numFmtId="0" fontId="62" fillId="0" borderId="0" xfId="0" applyFont="1">
      <alignment vertical="center"/>
    </xf>
    <xf numFmtId="177" fontId="62" fillId="0" borderId="0" xfId="0" applyNumberFormat="1" applyFont="1">
      <alignment vertical="center"/>
    </xf>
    <xf numFmtId="180" fontId="28" fillId="14" borderId="0" xfId="0" applyNumberFormat="1" applyFont="1" applyFill="1">
      <alignment vertical="center"/>
    </xf>
    <xf numFmtId="10" fontId="28" fillId="14" borderId="0" xfId="2" applyNumberFormat="1" applyFont="1" applyFill="1">
      <alignment vertical="center"/>
    </xf>
    <xf numFmtId="43" fontId="28" fillId="0" borderId="27" xfId="0" applyNumberFormat="1" applyFont="1" applyBorder="1">
      <alignment vertical="center"/>
    </xf>
    <xf numFmtId="10" fontId="28" fillId="0" borderId="6" xfId="0" applyNumberFormat="1" applyFont="1" applyBorder="1">
      <alignment vertical="center"/>
    </xf>
    <xf numFmtId="0" fontId="24" fillId="0" borderId="26" xfId="4" applyFont="1" applyBorder="1">
      <alignment vertical="center"/>
    </xf>
    <xf numFmtId="38" fontId="24" fillId="0" borderId="26" xfId="5" applyNumberFormat="1" applyFont="1" applyBorder="1">
      <alignment vertical="center"/>
    </xf>
    <xf numFmtId="0" fontId="29" fillId="0" borderId="26" xfId="4" applyFont="1" applyBorder="1">
      <alignment vertical="center"/>
    </xf>
    <xf numFmtId="0" fontId="0" fillId="0" borderId="1" xfId="0" applyBorder="1">
      <alignment vertical="center"/>
    </xf>
    <xf numFmtId="41" fontId="9" fillId="12" borderId="7" xfId="9" applyFont="1" applyFill="1" applyBorder="1">
      <alignment vertical="center"/>
    </xf>
    <xf numFmtId="178" fontId="9" fillId="12" borderId="11" xfId="9" applyNumberFormat="1" applyFont="1" applyFill="1" applyBorder="1">
      <alignment vertical="center"/>
    </xf>
    <xf numFmtId="41" fontId="28" fillId="0" borderId="0" xfId="0" applyNumberFormat="1" applyFont="1">
      <alignment vertical="center"/>
    </xf>
    <xf numFmtId="0" fontId="62" fillId="0" borderId="3" xfId="0" applyFont="1" applyBorder="1" applyAlignment="1">
      <alignment horizontal="right" vertical="center"/>
    </xf>
    <xf numFmtId="0" fontId="62" fillId="0" borderId="3" xfId="0" applyFont="1" applyBorder="1">
      <alignment vertical="center"/>
    </xf>
    <xf numFmtId="177" fontId="62" fillId="0" borderId="3" xfId="0" applyNumberFormat="1" applyFont="1" applyBorder="1">
      <alignment vertical="center"/>
    </xf>
    <xf numFmtId="0" fontId="0" fillId="0" borderId="3" xfId="0" applyBorder="1">
      <alignment vertical="center"/>
    </xf>
    <xf numFmtId="0" fontId="6" fillId="0" borderId="15" xfId="0" applyFont="1" applyBorder="1">
      <alignment vertical="center"/>
    </xf>
    <xf numFmtId="0" fontId="6" fillId="0" borderId="26" xfId="0" applyFont="1" applyBorder="1">
      <alignment vertical="center"/>
    </xf>
    <xf numFmtId="182" fontId="9" fillId="0" borderId="3" xfId="1" applyNumberFormat="1" applyFont="1" applyBorder="1" applyAlignment="1">
      <alignment horizontal="right" vertical="center"/>
    </xf>
    <xf numFmtId="182" fontId="9" fillId="9" borderId="3" xfId="1" applyNumberFormat="1" applyFont="1" applyFill="1" applyBorder="1" applyAlignment="1">
      <alignment horizontal="right" vertical="center"/>
    </xf>
    <xf numFmtId="182" fontId="9" fillId="0" borderId="6" xfId="1" applyNumberFormat="1" applyFont="1" applyBorder="1" applyAlignment="1">
      <alignment horizontal="right" vertical="center"/>
    </xf>
    <xf numFmtId="182" fontId="11" fillId="5" borderId="3" xfId="1" applyNumberFormat="1" applyFont="1" applyFill="1" applyBorder="1" applyAlignment="1">
      <alignment horizontal="right" vertical="center"/>
    </xf>
    <xf numFmtId="177" fontId="9" fillId="0" borderId="3" xfId="2" applyNumberFormat="1" applyFont="1" applyBorder="1">
      <alignment vertical="center"/>
    </xf>
    <xf numFmtId="0" fontId="9" fillId="0" borderId="3" xfId="0" applyFont="1" applyBorder="1">
      <alignment vertical="center"/>
    </xf>
    <xf numFmtId="182" fontId="11" fillId="0" borderId="27" xfId="1" applyNumberFormat="1" applyFont="1" applyFill="1" applyBorder="1" applyAlignment="1">
      <alignment horizontal="right" vertical="center"/>
    </xf>
    <xf numFmtId="182" fontId="11" fillId="0" borderId="3" xfId="1" applyNumberFormat="1" applyFont="1" applyFill="1" applyBorder="1" applyAlignment="1">
      <alignment horizontal="right" vertical="center"/>
    </xf>
    <xf numFmtId="177" fontId="11" fillId="0" borderId="3" xfId="2" applyNumberFormat="1" applyFont="1" applyFill="1" applyBorder="1" applyAlignment="1">
      <alignment horizontal="right" vertical="center"/>
    </xf>
    <xf numFmtId="177" fontId="11" fillId="9" borderId="3" xfId="2" applyNumberFormat="1" applyFont="1" applyFill="1" applyBorder="1" applyAlignment="1">
      <alignment horizontal="right" vertical="center"/>
    </xf>
    <xf numFmtId="0" fontId="28" fillId="0" borderId="3" xfId="0" applyFont="1" applyBorder="1" applyAlignment="1">
      <alignment horizontal="center" vertical="center"/>
    </xf>
    <xf numFmtId="182" fontId="28" fillId="9" borderId="3" xfId="0" applyNumberFormat="1" applyFont="1" applyFill="1" applyBorder="1">
      <alignment vertical="center"/>
    </xf>
    <xf numFmtId="0" fontId="28" fillId="0" borderId="6" xfId="0" applyFont="1" applyBorder="1" applyAlignment="1">
      <alignment horizontal="right" vertical="center"/>
    </xf>
    <xf numFmtId="177" fontId="28" fillId="0" borderId="3" xfId="0" applyNumberFormat="1" applyFont="1" applyBorder="1" applyAlignment="1">
      <alignment horizontal="right" vertical="center"/>
    </xf>
    <xf numFmtId="177" fontId="28" fillId="9" borderId="3" xfId="0" applyNumberFormat="1" applyFont="1" applyFill="1" applyBorder="1" applyAlignment="1">
      <alignment horizontal="right" vertical="center"/>
    </xf>
    <xf numFmtId="0" fontId="28" fillId="0" borderId="6" xfId="0" applyFont="1" applyBorder="1" applyAlignment="1">
      <alignment horizontal="center" vertical="center"/>
    </xf>
    <xf numFmtId="10" fontId="28" fillId="0" borderId="3" xfId="2" applyNumberFormat="1" applyFont="1" applyBorder="1">
      <alignment vertical="center"/>
    </xf>
    <xf numFmtId="10" fontId="28" fillId="0" borderId="3" xfId="0" applyNumberFormat="1" applyFont="1" applyBorder="1">
      <alignment vertical="center"/>
    </xf>
    <xf numFmtId="0" fontId="28" fillId="0" borderId="3" xfId="0" applyFont="1" applyBorder="1" applyAlignment="1">
      <alignment horizontal="center" vertical="center" shrinkToFit="1"/>
    </xf>
    <xf numFmtId="14" fontId="28" fillId="0" borderId="3" xfId="0" applyNumberFormat="1" applyFont="1" applyBorder="1" applyAlignment="1">
      <alignment horizontal="center" vertical="center" shrinkToFit="1"/>
    </xf>
    <xf numFmtId="14" fontId="36" fillId="0" borderId="3" xfId="0" applyNumberFormat="1" applyFont="1" applyBorder="1" applyAlignment="1">
      <alignment horizontal="center" vertical="center" shrinkToFit="1"/>
    </xf>
    <xf numFmtId="3" fontId="36" fillId="0" borderId="3" xfId="0" applyNumberFormat="1" applyFont="1" applyBorder="1" applyAlignment="1">
      <alignment horizontal="center" vertical="center" wrapText="1"/>
    </xf>
    <xf numFmtId="177" fontId="36" fillId="0" borderId="3" xfId="0" applyNumberFormat="1" applyFont="1" applyBorder="1" applyAlignment="1">
      <alignment horizontal="center" vertical="center" wrapText="1"/>
    </xf>
    <xf numFmtId="177" fontId="28" fillId="0" borderId="3" xfId="0" applyNumberFormat="1" applyFont="1" applyBorder="1" applyAlignment="1">
      <alignment horizontal="center" vertical="center"/>
    </xf>
    <xf numFmtId="177" fontId="36" fillId="0" borderId="3" xfId="2" applyNumberFormat="1" applyFont="1" applyBorder="1" applyAlignment="1">
      <alignment horizontal="center" vertical="center" wrapText="1"/>
    </xf>
    <xf numFmtId="177" fontId="28" fillId="0" borderId="3" xfId="2" applyNumberFormat="1" applyFont="1" applyBorder="1" applyAlignment="1">
      <alignment horizontal="center" vertical="center"/>
    </xf>
    <xf numFmtId="0" fontId="51" fillId="0" borderId="6" xfId="0" applyFont="1" applyBorder="1" applyAlignment="1">
      <alignment horizontal="right" vertical="center"/>
    </xf>
    <xf numFmtId="9" fontId="51" fillId="9" borderId="3" xfId="0" applyNumberFormat="1" applyFont="1" applyFill="1" applyBorder="1" applyAlignment="1">
      <alignment horizontal="right" vertical="center"/>
    </xf>
    <xf numFmtId="0" fontId="9" fillId="0" borderId="3" xfId="0" applyFont="1" applyBorder="1" applyAlignment="1">
      <alignment horizontal="center" vertical="center" shrinkToFit="1"/>
    </xf>
    <xf numFmtId="0" fontId="9" fillId="8" borderId="3" xfId="0" applyFont="1" applyFill="1" applyBorder="1" applyAlignment="1">
      <alignment horizontal="center" vertical="center" shrinkToFit="1"/>
    </xf>
    <xf numFmtId="0" fontId="9" fillId="0" borderId="3" xfId="0" applyFont="1" applyBorder="1" applyAlignment="1">
      <alignment horizontal="left" vertical="center" indent="1"/>
    </xf>
    <xf numFmtId="41" fontId="9" fillId="0" borderId="3" xfId="1" applyFont="1" applyFill="1" applyBorder="1">
      <alignment vertical="center"/>
    </xf>
    <xf numFmtId="0" fontId="9" fillId="0" borderId="7" xfId="0" applyFont="1" applyBorder="1">
      <alignment vertical="center"/>
    </xf>
    <xf numFmtId="41" fontId="9" fillId="0" borderId="7" xfId="1" applyFont="1" applyFill="1" applyBorder="1">
      <alignment vertical="center"/>
    </xf>
    <xf numFmtId="0" fontId="9" fillId="0" borderId="28" xfId="0" applyFont="1" applyBorder="1" applyAlignment="1">
      <alignment horizontal="left" vertical="center" indent="1"/>
    </xf>
    <xf numFmtId="0" fontId="9" fillId="0" borderId="26" xfId="0" applyFont="1" applyBorder="1" applyAlignment="1">
      <alignment horizontal="center" vertical="center" shrinkToFit="1"/>
    </xf>
    <xf numFmtId="0" fontId="9" fillId="8" borderId="26" xfId="0" applyFont="1" applyFill="1" applyBorder="1" applyAlignment="1">
      <alignment horizontal="center" vertical="center" shrinkToFit="1"/>
    </xf>
    <xf numFmtId="0" fontId="9" fillId="0" borderId="26" xfId="0" applyFont="1" applyBorder="1" applyAlignment="1">
      <alignment horizontal="left" vertical="center" indent="1"/>
    </xf>
    <xf numFmtId="41" fontId="9" fillId="0" borderId="26" xfId="1" applyFont="1" applyFill="1" applyBorder="1">
      <alignment vertical="center"/>
    </xf>
    <xf numFmtId="0" fontId="9" fillId="0" borderId="28" xfId="0" applyFont="1" applyBorder="1">
      <alignment vertical="center"/>
    </xf>
    <xf numFmtId="182" fontId="11" fillId="5" borderId="26" xfId="1" applyNumberFormat="1" applyFont="1" applyFill="1" applyBorder="1" applyAlignment="1">
      <alignment horizontal="right" vertical="center"/>
    </xf>
    <xf numFmtId="0" fontId="9" fillId="0" borderId="28" xfId="0" applyFont="1" applyBorder="1" applyAlignment="1">
      <alignment horizontal="left" vertical="center"/>
    </xf>
    <xf numFmtId="182" fontId="9" fillId="0" borderId="26" xfId="1" applyNumberFormat="1" applyFont="1" applyBorder="1" applyAlignment="1">
      <alignment horizontal="right" vertical="center"/>
    </xf>
    <xf numFmtId="182" fontId="11" fillId="0" borderId="26" xfId="1" applyNumberFormat="1" applyFont="1" applyFill="1" applyBorder="1" applyAlignment="1">
      <alignment horizontal="right" vertical="center"/>
    </xf>
    <xf numFmtId="177" fontId="9" fillId="0" borderId="26" xfId="2" applyNumberFormat="1" applyFont="1" applyBorder="1">
      <alignment vertical="center"/>
    </xf>
    <xf numFmtId="182" fontId="9" fillId="4" borderId="26" xfId="1" applyNumberFormat="1" applyFont="1" applyFill="1" applyBorder="1" applyAlignment="1">
      <alignment horizontal="right" vertical="center"/>
    </xf>
    <xf numFmtId="182" fontId="9" fillId="5" borderId="26" xfId="1" applyNumberFormat="1" applyFont="1" applyFill="1" applyBorder="1" applyAlignment="1">
      <alignment horizontal="right" vertical="center"/>
    </xf>
    <xf numFmtId="0" fontId="51" fillId="0" borderId="28" xfId="0" applyFont="1" applyBorder="1" applyAlignment="1">
      <alignment horizontal="right" vertical="center"/>
    </xf>
    <xf numFmtId="10" fontId="51" fillId="0" borderId="25" xfId="1" applyNumberFormat="1" applyFont="1" applyBorder="1">
      <alignment vertical="center"/>
    </xf>
    <xf numFmtId="10" fontId="51" fillId="0" borderId="26" xfId="1" applyNumberFormat="1" applyFont="1" applyBorder="1">
      <alignment vertical="center"/>
    </xf>
    <xf numFmtId="10" fontId="51" fillId="0" borderId="28" xfId="1" applyNumberFormat="1" applyFont="1" applyBorder="1">
      <alignment vertical="center"/>
    </xf>
    <xf numFmtId="10" fontId="51" fillId="9" borderId="26" xfId="1" applyNumberFormat="1" applyFont="1" applyFill="1" applyBorder="1">
      <alignment vertical="center"/>
    </xf>
    <xf numFmtId="0" fontId="9" fillId="0" borderId="28" xfId="0" applyFont="1" applyBorder="1" applyAlignment="1">
      <alignment horizontal="right" vertical="center" indent="4"/>
    </xf>
    <xf numFmtId="187" fontId="28" fillId="0" borderId="0" xfId="0" applyNumberFormat="1" applyFont="1">
      <alignment vertical="center"/>
    </xf>
    <xf numFmtId="4" fontId="0" fillId="0" borderId="0" xfId="0" applyNumberFormat="1">
      <alignment vertical="center"/>
    </xf>
    <xf numFmtId="0" fontId="28" fillId="4" borderId="1" xfId="0" applyFont="1" applyFill="1" applyBorder="1">
      <alignment vertical="center"/>
    </xf>
    <xf numFmtId="3" fontId="28" fillId="0" borderId="3" xfId="0" applyNumberFormat="1" applyFont="1" applyBorder="1">
      <alignment vertical="center"/>
    </xf>
    <xf numFmtId="187" fontId="28" fillId="0" borderId="3" xfId="0" applyNumberFormat="1" applyFont="1" applyBorder="1">
      <alignment vertical="center"/>
    </xf>
    <xf numFmtId="0" fontId="39" fillId="11" borderId="0" xfId="0" applyFont="1" applyFill="1">
      <alignment vertical="center"/>
    </xf>
    <xf numFmtId="0" fontId="9" fillId="0" borderId="6" xfId="0" applyFont="1" applyBorder="1" applyAlignment="1">
      <alignment horizontal="center" vertical="center"/>
    </xf>
    <xf numFmtId="3" fontId="25" fillId="0" borderId="3" xfId="0" applyNumberFormat="1" applyFont="1" applyBorder="1" applyAlignment="1">
      <alignment horizontal="center" vertical="top" wrapText="1"/>
    </xf>
    <xf numFmtId="9" fontId="25" fillId="0" borderId="3" xfId="0" applyNumberFormat="1" applyFont="1" applyBorder="1" applyAlignment="1">
      <alignment horizontal="center" vertical="center" wrapText="1"/>
    </xf>
    <xf numFmtId="0" fontId="28" fillId="0" borderId="6" xfId="0" applyFont="1" applyBorder="1" applyAlignment="1">
      <alignment horizontal="center" vertical="center" shrinkToFit="1"/>
    </xf>
    <xf numFmtId="9" fontId="28" fillId="0" borderId="3" xfId="0" applyNumberFormat="1" applyFont="1" applyBorder="1" applyAlignment="1">
      <alignment horizontal="center" vertical="center"/>
    </xf>
    <xf numFmtId="182" fontId="28" fillId="0" borderId="11" xfId="0" applyNumberFormat="1" applyFont="1" applyBorder="1" applyAlignment="1">
      <alignment horizontal="right" vertical="center"/>
    </xf>
    <xf numFmtId="182" fontId="28" fillId="9" borderId="11" xfId="0" applyNumberFormat="1" applyFont="1" applyFill="1" applyBorder="1">
      <alignment vertical="center"/>
    </xf>
    <xf numFmtId="0" fontId="28" fillId="0" borderId="25" xfId="0" applyFont="1" applyBorder="1" applyAlignment="1">
      <alignment horizontal="center" vertical="center"/>
    </xf>
    <xf numFmtId="0" fontId="28" fillId="0" borderId="2" xfId="0" applyFont="1" applyBorder="1" applyAlignment="1">
      <alignment horizontal="center" vertical="center"/>
    </xf>
    <xf numFmtId="182" fontId="28" fillId="0" borderId="2" xfId="0" applyNumberFormat="1" applyFont="1" applyBorder="1" applyAlignment="1">
      <alignment horizontal="right" vertical="center"/>
    </xf>
    <xf numFmtId="0" fontId="9" fillId="0" borderId="11" xfId="0" applyFont="1" applyBorder="1" applyAlignment="1">
      <alignment horizontal="right" vertical="center"/>
    </xf>
    <xf numFmtId="177" fontId="9" fillId="0" borderId="11" xfId="2" applyNumberFormat="1" applyFont="1" applyBorder="1" applyAlignment="1">
      <alignment horizontal="right" vertical="center"/>
    </xf>
    <xf numFmtId="182" fontId="11" fillId="5" borderId="11" xfId="1" applyNumberFormat="1" applyFont="1" applyFill="1" applyBorder="1" applyAlignment="1">
      <alignment horizontal="right" vertical="center"/>
    </xf>
    <xf numFmtId="177" fontId="51" fillId="9" borderId="11" xfId="1" applyNumberFormat="1" applyFont="1" applyFill="1" applyBorder="1">
      <alignment vertical="center"/>
    </xf>
    <xf numFmtId="0" fontId="28" fillId="4" borderId="0" xfId="0" applyFont="1" applyFill="1">
      <alignment vertical="center"/>
    </xf>
    <xf numFmtId="0" fontId="40" fillId="4" borderId="0" xfId="0" applyFont="1" applyFill="1" applyAlignment="1">
      <alignment horizontal="center" vertical="center"/>
    </xf>
    <xf numFmtId="0" fontId="40" fillId="4" borderId="0" xfId="0" applyFont="1" applyFill="1">
      <alignment vertical="center"/>
    </xf>
    <xf numFmtId="41" fontId="28" fillId="4" borderId="0" xfId="0" applyNumberFormat="1" applyFont="1" applyFill="1">
      <alignment vertical="center"/>
    </xf>
    <xf numFmtId="0" fontId="43" fillId="4" borderId="0" xfId="0" applyFont="1" applyFill="1">
      <alignment vertical="center"/>
    </xf>
    <xf numFmtId="0" fontId="45" fillId="4" borderId="0" xfId="0" applyFont="1" applyFill="1">
      <alignment vertical="center"/>
    </xf>
    <xf numFmtId="0" fontId="28" fillId="4" borderId="3" xfId="0" applyFont="1" applyFill="1" applyBorder="1">
      <alignment vertical="center"/>
    </xf>
    <xf numFmtId="0" fontId="40" fillId="4" borderId="3" xfId="0" applyFont="1" applyFill="1" applyBorder="1">
      <alignment vertical="center"/>
    </xf>
    <xf numFmtId="41" fontId="28" fillId="4" borderId="3" xfId="0" applyNumberFormat="1" applyFont="1" applyFill="1" applyBorder="1">
      <alignment vertical="center"/>
    </xf>
    <xf numFmtId="0" fontId="28" fillId="0" borderId="10" xfId="0" applyFont="1" applyBorder="1">
      <alignment vertical="center"/>
    </xf>
    <xf numFmtId="0" fontId="61" fillId="0" borderId="0" xfId="0" applyFont="1">
      <alignment vertical="center"/>
    </xf>
    <xf numFmtId="0" fontId="28" fillId="4" borderId="1" xfId="0" applyFont="1" applyFill="1" applyBorder="1" applyAlignment="1">
      <alignment horizontal="center" vertical="center"/>
    </xf>
    <xf numFmtId="0" fontId="40" fillId="4" borderId="2" xfId="0" applyFont="1" applyFill="1" applyBorder="1">
      <alignment vertical="center"/>
    </xf>
    <xf numFmtId="14" fontId="40" fillId="4" borderId="2" xfId="0" applyNumberFormat="1" applyFont="1" applyFill="1" applyBorder="1">
      <alignment vertical="center"/>
    </xf>
    <xf numFmtId="41" fontId="28" fillId="4" borderId="2" xfId="0" applyNumberFormat="1" applyFont="1" applyFill="1" applyBorder="1">
      <alignment vertical="center"/>
    </xf>
    <xf numFmtId="14" fontId="40" fillId="4" borderId="0" xfId="0" applyNumberFormat="1" applyFont="1" applyFill="1">
      <alignment vertical="center"/>
    </xf>
    <xf numFmtId="14" fontId="40" fillId="4" borderId="0" xfId="0" quotePrefix="1" applyNumberFormat="1" applyFont="1" applyFill="1">
      <alignment vertical="center"/>
    </xf>
    <xf numFmtId="0" fontId="40" fillId="4" borderId="11" xfId="0" applyFont="1" applyFill="1" applyBorder="1">
      <alignment vertical="center"/>
    </xf>
    <xf numFmtId="0" fontId="40" fillId="4" borderId="11" xfId="0" applyFont="1" applyFill="1" applyBorder="1" applyAlignment="1">
      <alignment horizontal="center" vertical="center"/>
    </xf>
    <xf numFmtId="41" fontId="28" fillId="4" borderId="11" xfId="0" applyNumberFormat="1" applyFont="1" applyFill="1" applyBorder="1">
      <alignment vertical="center"/>
    </xf>
    <xf numFmtId="0" fontId="40" fillId="4" borderId="10" xfId="0" applyFont="1" applyFill="1" applyBorder="1">
      <alignment vertical="center"/>
    </xf>
    <xf numFmtId="14" fontId="40" fillId="4" borderId="10" xfId="0" applyNumberFormat="1" applyFont="1" applyFill="1" applyBorder="1">
      <alignment vertical="center"/>
    </xf>
    <xf numFmtId="41" fontId="28" fillId="4" borderId="10" xfId="0" applyNumberFormat="1" applyFont="1" applyFill="1" applyBorder="1">
      <alignment vertical="center"/>
    </xf>
    <xf numFmtId="0" fontId="40" fillId="4" borderId="10" xfId="0" applyFont="1" applyFill="1" applyBorder="1" applyAlignment="1"/>
    <xf numFmtId="0" fontId="41" fillId="4" borderId="10" xfId="0" applyFont="1" applyFill="1" applyBorder="1">
      <alignment vertical="center"/>
    </xf>
    <xf numFmtId="0" fontId="40" fillId="4" borderId="0" xfId="0" applyFont="1" applyFill="1" applyAlignment="1"/>
    <xf numFmtId="0" fontId="41" fillId="4" borderId="0" xfId="0" applyFont="1" applyFill="1">
      <alignment vertical="center"/>
    </xf>
    <xf numFmtId="0" fontId="42" fillId="4" borderId="0" xfId="0" applyFont="1" applyFill="1">
      <alignment vertical="center"/>
    </xf>
    <xf numFmtId="0" fontId="28" fillId="4" borderId="6" xfId="0" applyFont="1" applyFill="1" applyBorder="1">
      <alignment vertical="center"/>
    </xf>
    <xf numFmtId="0" fontId="63" fillId="11" borderId="0" xfId="0" applyFont="1" applyFill="1">
      <alignment vertical="center"/>
    </xf>
    <xf numFmtId="0" fontId="23" fillId="8" borderId="0" xfId="0" applyFont="1" applyFill="1">
      <alignment vertical="center"/>
    </xf>
    <xf numFmtId="0" fontId="23" fillId="8" borderId="20" xfId="0" applyFont="1" applyFill="1" applyBorder="1">
      <alignment vertical="center"/>
    </xf>
    <xf numFmtId="0" fontId="23" fillId="8" borderId="24" xfId="0" applyFont="1" applyFill="1" applyBorder="1">
      <alignment vertical="center"/>
    </xf>
    <xf numFmtId="0" fontId="23" fillId="8" borderId="22" xfId="0" applyFont="1" applyFill="1" applyBorder="1">
      <alignment vertical="center"/>
    </xf>
    <xf numFmtId="0" fontId="23" fillId="8" borderId="23" xfId="0" applyFont="1" applyFill="1" applyBorder="1">
      <alignment vertical="center"/>
    </xf>
    <xf numFmtId="0" fontId="23" fillId="8" borderId="11" xfId="0" applyFont="1" applyFill="1" applyBorder="1">
      <alignment vertical="center"/>
    </xf>
    <xf numFmtId="0" fontId="23" fillId="8" borderId="21" xfId="0" applyFont="1" applyFill="1" applyBorder="1">
      <alignment vertical="center"/>
    </xf>
    <xf numFmtId="0" fontId="27" fillId="7" borderId="15" xfId="0" applyFont="1" applyFill="1" applyBorder="1" applyAlignment="1">
      <alignment horizontal="center" vertical="center"/>
    </xf>
    <xf numFmtId="0" fontId="27" fillId="7" borderId="11" xfId="0" applyFont="1" applyFill="1" applyBorder="1" applyAlignment="1">
      <alignment horizontal="center" vertical="center"/>
    </xf>
    <xf numFmtId="0" fontId="27" fillId="6" borderId="15" xfId="0" applyFont="1" applyFill="1" applyBorder="1" applyAlignment="1">
      <alignment horizontal="center" vertical="center"/>
    </xf>
    <xf numFmtId="0" fontId="27" fillId="3" borderId="0" xfId="0" applyFont="1" applyFill="1">
      <alignment vertical="center"/>
    </xf>
    <xf numFmtId="178" fontId="23" fillId="2" borderId="0" xfId="0" applyNumberFormat="1" applyFont="1" applyFill="1">
      <alignment vertical="center"/>
    </xf>
    <xf numFmtId="0" fontId="23" fillId="0" borderId="0" xfId="0" applyFont="1">
      <alignment vertical="center"/>
    </xf>
    <xf numFmtId="0" fontId="28" fillId="0" borderId="4" xfId="0" applyFont="1" applyBorder="1">
      <alignment vertical="center"/>
    </xf>
    <xf numFmtId="0" fontId="28" fillId="0" borderId="6" xfId="0" applyFont="1" applyBorder="1">
      <alignment vertical="center"/>
    </xf>
    <xf numFmtId="0" fontId="48" fillId="11" borderId="0" xfId="4" applyFont="1" applyFill="1" applyAlignment="1">
      <alignment horizontal="left" vertical="center"/>
    </xf>
    <xf numFmtId="0" fontId="53" fillId="11" borderId="0" xfId="4" applyFont="1" applyFill="1">
      <alignment vertical="center"/>
    </xf>
    <xf numFmtId="0" fontId="5" fillId="11" borderId="0" xfId="0" applyFont="1" applyFill="1" applyAlignment="1">
      <alignment horizontal="left" vertical="center"/>
    </xf>
    <xf numFmtId="0" fontId="4" fillId="11" borderId="0" xfId="0" applyFont="1" applyFill="1" applyAlignment="1">
      <alignment horizontal="left" vertical="center"/>
    </xf>
    <xf numFmtId="0" fontId="7" fillId="11" borderId="0" xfId="0" applyFont="1" applyFill="1" applyAlignment="1">
      <alignment horizontal="left" vertical="center"/>
    </xf>
    <xf numFmtId="0" fontId="9" fillId="0" borderId="0" xfId="0" applyFont="1" applyAlignment="1">
      <alignment horizontal="left" vertical="center"/>
    </xf>
    <xf numFmtId="0" fontId="5" fillId="11" borderId="0" xfId="0" applyFont="1" applyFill="1" applyAlignment="1">
      <alignment horizontal="center" vertical="center"/>
    </xf>
    <xf numFmtId="0" fontId="9" fillId="0" borderId="11" xfId="0" applyFont="1" applyBorder="1" applyAlignment="1">
      <alignment horizontal="center" vertical="center"/>
    </xf>
    <xf numFmtId="0" fontId="9" fillId="0" borderId="10" xfId="0" applyFont="1" applyBorder="1" applyAlignment="1">
      <alignment horizontal="center" vertical="center"/>
    </xf>
    <xf numFmtId="0" fontId="9" fillId="0" borderId="0" xfId="0" applyFont="1" applyAlignment="1">
      <alignment horizontal="center" vertical="center"/>
    </xf>
    <xf numFmtId="0" fontId="9" fillId="0" borderId="3" xfId="0" applyFont="1" applyBorder="1" applyAlignment="1">
      <alignment horizontal="center" vertical="center"/>
    </xf>
    <xf numFmtId="0" fontId="28" fillId="0" borderId="10" xfId="0" applyFont="1" applyBorder="1" applyAlignment="1">
      <alignment horizontal="center" vertical="center" shrinkToFit="1"/>
    </xf>
    <xf numFmtId="0" fontId="28" fillId="0" borderId="13" xfId="0" applyFont="1" applyBorder="1" applyAlignment="1">
      <alignment horizontal="center" vertical="center" shrinkToFit="1"/>
    </xf>
    <xf numFmtId="0" fontId="28" fillId="0" borderId="0" xfId="0" applyFont="1" applyAlignment="1">
      <alignment horizontal="center" vertical="center" shrinkToFit="1"/>
    </xf>
    <xf numFmtId="0" fontId="28" fillId="0" borderId="5" xfId="0" applyFont="1" applyBorder="1" applyAlignment="1">
      <alignment horizontal="center" vertical="center" shrinkToFit="1"/>
    </xf>
    <xf numFmtId="0" fontId="28" fillId="0" borderId="3" xfId="0" applyFont="1" applyBorder="1" applyAlignment="1">
      <alignment horizontal="center" vertical="center" shrinkToFit="1"/>
    </xf>
    <xf numFmtId="0" fontId="28" fillId="0" borderId="6" xfId="0" applyFont="1" applyBorder="1" applyAlignment="1">
      <alignment horizontal="center" vertical="center" shrinkToFit="1"/>
    </xf>
    <xf numFmtId="9" fontId="28" fillId="0" borderId="12" xfId="0" applyNumberFormat="1" applyFont="1" applyBorder="1" applyAlignment="1">
      <alignment horizontal="center" vertical="center"/>
    </xf>
    <xf numFmtId="9" fontId="28" fillId="0" borderId="0" xfId="0" applyNumberFormat="1" applyFont="1" applyAlignment="1">
      <alignment horizontal="center" vertical="center"/>
    </xf>
    <xf numFmtId="9" fontId="28" fillId="0" borderId="27" xfId="0" applyNumberFormat="1" applyFont="1" applyBorder="1" applyAlignment="1">
      <alignment horizontal="center" vertical="center"/>
    </xf>
    <xf numFmtId="9" fontId="28" fillId="0" borderId="3" xfId="0" applyNumberFormat="1" applyFont="1" applyBorder="1" applyAlignment="1">
      <alignment horizontal="center" vertical="center"/>
    </xf>
    <xf numFmtId="0" fontId="40" fillId="4" borderId="4" xfId="0" applyFont="1" applyFill="1" applyBorder="1" applyAlignment="1">
      <alignment horizontal="center" vertical="center"/>
    </xf>
    <xf numFmtId="0" fontId="40" fillId="4" borderId="5" xfId="0" applyFont="1" applyFill="1" applyBorder="1" applyAlignment="1">
      <alignment horizontal="center" vertical="center"/>
    </xf>
    <xf numFmtId="0" fontId="40" fillId="4" borderId="14" xfId="0" applyFont="1" applyFill="1" applyBorder="1" applyAlignment="1">
      <alignment horizontal="center" vertical="center"/>
    </xf>
    <xf numFmtId="0" fontId="40" fillId="4" borderId="2" xfId="0" applyFont="1" applyFill="1" applyBorder="1" applyAlignment="1">
      <alignment horizontal="center" vertical="center"/>
    </xf>
    <xf numFmtId="0" fontId="40" fillId="4" borderId="0" xfId="0" applyFont="1" applyFill="1" applyAlignment="1">
      <alignment horizontal="center" vertical="center"/>
    </xf>
    <xf numFmtId="0" fontId="40" fillId="4" borderId="11" xfId="0" applyFont="1" applyFill="1" applyBorder="1" applyAlignment="1">
      <alignment horizontal="center" vertical="center"/>
    </xf>
    <xf numFmtId="0" fontId="40" fillId="4" borderId="13" xfId="0" applyFont="1" applyFill="1" applyBorder="1" applyAlignment="1">
      <alignment horizontal="center" vertical="center"/>
    </xf>
    <xf numFmtId="0" fontId="40" fillId="4" borderId="10" xfId="0" applyFont="1" applyFill="1" applyBorder="1" applyAlignment="1">
      <alignment horizontal="center" vertical="center"/>
    </xf>
    <xf numFmtId="0" fontId="40" fillId="4" borderId="0" xfId="0" applyFont="1" applyFill="1">
      <alignment vertical="center"/>
    </xf>
    <xf numFmtId="0" fontId="40" fillId="4" borderId="0" xfId="0" applyFont="1" applyFill="1" applyAlignment="1">
      <alignment horizontal="center"/>
    </xf>
    <xf numFmtId="0" fontId="28" fillId="4" borderId="5" xfId="0" applyFont="1" applyFill="1" applyBorder="1" applyAlignment="1">
      <alignment horizontal="center" vertical="center"/>
    </xf>
    <xf numFmtId="38" fontId="23" fillId="0" borderId="11" xfId="5" applyNumberFormat="1" applyFont="1" applyBorder="1">
      <alignment vertical="center"/>
    </xf>
  </cellXfs>
  <cellStyles count="16">
    <cellStyle name="백분율" xfId="2" builtinId="5"/>
    <cellStyle name="백분율 2" xfId="8" xr:uid="{7D7CDB5D-031F-4540-B4FC-57D0BF73D277}"/>
    <cellStyle name="백분율 4" xfId="11" xr:uid="{BE646404-D7DC-4A3F-BC0A-3BC527A99571}"/>
    <cellStyle name="쉼표 [0]" xfId="1" builtinId="6"/>
    <cellStyle name="쉼표 [0] 2" xfId="5" xr:uid="{2F4310C5-8E77-FB48-AD93-B4AA01475F7E}"/>
    <cellStyle name="쉼표 [0] 3" xfId="6" xr:uid="{921ABB4A-E5DD-CA42-A984-822E34F0AF57}"/>
    <cellStyle name="쉼표 [0] 4" xfId="10" xr:uid="{692F5504-D7E0-4526-BAB9-35D33883E47F}"/>
    <cellStyle name="쉼표 [0] 5" xfId="9" xr:uid="{FF398017-242C-494D-951E-1C223309138D}"/>
    <cellStyle name="쉼표 2" xfId="13" xr:uid="{C6CC24D7-BC1C-453D-94C7-00E63E9C2DC1}"/>
    <cellStyle name="표준" xfId="0" builtinId="0"/>
    <cellStyle name="표준 2" xfId="7" xr:uid="{BA1F07F4-140B-E64C-A7BD-5E67CAB3611F}"/>
    <cellStyle name="표준 2 2" xfId="4" xr:uid="{613EAA67-EA07-4E4B-BB29-C9ABD378CF79}"/>
    <cellStyle name="표준 3 2" xfId="3" xr:uid="{838BAC06-68DF-524F-B1D4-C84D2ED3C94F}"/>
    <cellStyle name="표준 4" xfId="15" xr:uid="{DDCC8AD3-41A2-408C-93E4-697EE6192F87}"/>
    <cellStyle name="표준 4 2" xfId="12" xr:uid="{BF288065-B7B5-4AED-97D0-C33B6BB2D4A2}"/>
    <cellStyle name="하이퍼링크" xfId="14" builtinId="8"/>
  </cellStyles>
  <dxfs count="0"/>
  <tableStyles count="0" defaultTableStyle="TableStyleMedium2" defaultPivotStyle="PivotStyleLight16"/>
  <colors>
    <mruColors>
      <color rgb="FF00A84F"/>
      <color rgb="FFD0CECE"/>
      <color rgb="FFE8E8E8"/>
      <color rgb="FF203864"/>
      <color rgb="FF2F5597"/>
      <color rgb="FFE7E6E6"/>
      <color rgb="FFB4C7E7"/>
      <color rgb="FF8FAA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'Multiple History'!$E$4</c:f>
              <c:strCache>
                <c:ptCount val="1"/>
                <c:pt idx="0">
                  <c:v>수주잔고</c:v>
                </c:pt>
              </c:strCache>
            </c:strRef>
          </c:tx>
          <c:spPr>
            <a:solidFill>
              <a:schemeClr val="accent6"/>
            </a:solidFill>
            <a:ln>
              <a:noFill/>
            </a:ln>
            <a:effectLst/>
          </c:spPr>
          <c:invertIfNegative val="0"/>
          <c:cat>
            <c:strRef>
              <c:f>'Multiple History'!$C$5:$C$44</c:f>
              <c:strCache>
                <c:ptCount val="40"/>
                <c:pt idx="0">
                  <c:v>1Q06</c:v>
                </c:pt>
                <c:pt idx="1">
                  <c:v>2Q06</c:v>
                </c:pt>
                <c:pt idx="2">
                  <c:v>3Q06</c:v>
                </c:pt>
                <c:pt idx="3">
                  <c:v>4Q06</c:v>
                </c:pt>
                <c:pt idx="4">
                  <c:v>1Q07</c:v>
                </c:pt>
                <c:pt idx="5">
                  <c:v>2Q07</c:v>
                </c:pt>
                <c:pt idx="6">
                  <c:v>3Q07</c:v>
                </c:pt>
                <c:pt idx="7">
                  <c:v>4Q07</c:v>
                </c:pt>
                <c:pt idx="8">
                  <c:v>1Q08</c:v>
                </c:pt>
                <c:pt idx="9">
                  <c:v>2Q08</c:v>
                </c:pt>
                <c:pt idx="10">
                  <c:v>3Q08</c:v>
                </c:pt>
                <c:pt idx="11">
                  <c:v>4Q08</c:v>
                </c:pt>
                <c:pt idx="12">
                  <c:v>1Q09</c:v>
                </c:pt>
                <c:pt idx="13">
                  <c:v>2Q09</c:v>
                </c:pt>
                <c:pt idx="14">
                  <c:v>3Q09</c:v>
                </c:pt>
                <c:pt idx="15">
                  <c:v>4Q09</c:v>
                </c:pt>
                <c:pt idx="16">
                  <c:v>1Q10</c:v>
                </c:pt>
                <c:pt idx="17">
                  <c:v>2Q10</c:v>
                </c:pt>
                <c:pt idx="18">
                  <c:v>3Q10</c:v>
                </c:pt>
                <c:pt idx="19">
                  <c:v>4Q10</c:v>
                </c:pt>
                <c:pt idx="20">
                  <c:v>1Q11</c:v>
                </c:pt>
                <c:pt idx="21">
                  <c:v>2Q11</c:v>
                </c:pt>
                <c:pt idx="22">
                  <c:v>3Q11</c:v>
                </c:pt>
                <c:pt idx="23">
                  <c:v>4Q11</c:v>
                </c:pt>
                <c:pt idx="24">
                  <c:v>1Q12</c:v>
                </c:pt>
                <c:pt idx="25">
                  <c:v>2Q12</c:v>
                </c:pt>
                <c:pt idx="26">
                  <c:v>3Q12</c:v>
                </c:pt>
                <c:pt idx="27">
                  <c:v>4Q12</c:v>
                </c:pt>
                <c:pt idx="28">
                  <c:v>1Q13</c:v>
                </c:pt>
                <c:pt idx="29">
                  <c:v>2Q13</c:v>
                </c:pt>
                <c:pt idx="30">
                  <c:v>3Q13</c:v>
                </c:pt>
                <c:pt idx="31">
                  <c:v>4Q13</c:v>
                </c:pt>
                <c:pt idx="32">
                  <c:v>1Q14</c:v>
                </c:pt>
                <c:pt idx="33">
                  <c:v>2Q14</c:v>
                </c:pt>
                <c:pt idx="34">
                  <c:v>3Q14</c:v>
                </c:pt>
                <c:pt idx="35">
                  <c:v>4Q14</c:v>
                </c:pt>
                <c:pt idx="36">
                  <c:v>1Q15</c:v>
                </c:pt>
                <c:pt idx="37">
                  <c:v>2Q15</c:v>
                </c:pt>
                <c:pt idx="38">
                  <c:v>3Q15</c:v>
                </c:pt>
                <c:pt idx="39">
                  <c:v>4Q15</c:v>
                </c:pt>
              </c:strCache>
            </c:strRef>
          </c:cat>
          <c:val>
            <c:numRef>
              <c:f>'Multiple History'!$E$5:$E$44</c:f>
              <c:numCache>
                <c:formatCode>#,##0</c:formatCode>
                <c:ptCount val="40"/>
                <c:pt idx="0">
                  <c:v>24535.3</c:v>
                </c:pt>
                <c:pt idx="1">
                  <c:v>26243.3</c:v>
                </c:pt>
                <c:pt idx="2">
                  <c:v>29066.5</c:v>
                </c:pt>
                <c:pt idx="3">
                  <c:v>29226.5</c:v>
                </c:pt>
                <c:pt idx="4">
                  <c:v>30327</c:v>
                </c:pt>
                <c:pt idx="5">
                  <c:v>32368.9</c:v>
                </c:pt>
                <c:pt idx="6">
                  <c:v>34807.1</c:v>
                </c:pt>
                <c:pt idx="7">
                  <c:v>32392.3</c:v>
                </c:pt>
                <c:pt idx="8">
                  <c:v>34607.1</c:v>
                </c:pt>
                <c:pt idx="9">
                  <c:v>38454.699999999997</c:v>
                </c:pt>
                <c:pt idx="10">
                  <c:v>39169.699999999997</c:v>
                </c:pt>
                <c:pt idx="11">
                  <c:v>41774.400000000001</c:v>
                </c:pt>
                <c:pt idx="12">
                  <c:v>44277.599999999999</c:v>
                </c:pt>
                <c:pt idx="13">
                  <c:v>45354.1</c:v>
                </c:pt>
                <c:pt idx="14">
                  <c:v>47476.6</c:v>
                </c:pt>
                <c:pt idx="15">
                  <c:v>47570.3</c:v>
                </c:pt>
                <c:pt idx="16">
                  <c:v>49373.8</c:v>
                </c:pt>
                <c:pt idx="17">
                  <c:v>52608.800000000003</c:v>
                </c:pt>
                <c:pt idx="18">
                  <c:v>55762.5</c:v>
                </c:pt>
                <c:pt idx="19">
                  <c:v>48498.6</c:v>
                </c:pt>
                <c:pt idx="20">
                  <c:v>46374.850424502889</c:v>
                </c:pt>
                <c:pt idx="21">
                  <c:v>44344.099662567904</c:v>
                </c:pt>
                <c:pt idx="22" formatCode="#,##0.00">
                  <c:v>42402.275304046627</c:v>
                </c:pt>
                <c:pt idx="23">
                  <c:v>38770</c:v>
                </c:pt>
                <c:pt idx="24">
                  <c:v>41303.599999999999</c:v>
                </c:pt>
                <c:pt idx="25">
                  <c:v>42881.2</c:v>
                </c:pt>
                <c:pt idx="26">
                  <c:v>43848.1</c:v>
                </c:pt>
                <c:pt idx="27">
                  <c:v>46228</c:v>
                </c:pt>
                <c:pt idx="28">
                  <c:v>47567.3</c:v>
                </c:pt>
                <c:pt idx="29">
                  <c:v>47591.7</c:v>
                </c:pt>
                <c:pt idx="30">
                  <c:v>47915.9</c:v>
                </c:pt>
                <c:pt idx="31">
                  <c:v>53644</c:v>
                </c:pt>
                <c:pt idx="32">
                  <c:v>53924.800000000003</c:v>
                </c:pt>
                <c:pt idx="33">
                  <c:v>61613.5</c:v>
                </c:pt>
                <c:pt idx="34">
                  <c:v>62081.1</c:v>
                </c:pt>
                <c:pt idx="35">
                  <c:v>66564.3</c:v>
                </c:pt>
                <c:pt idx="36">
                  <c:v>65665.100000000006</c:v>
                </c:pt>
                <c:pt idx="37">
                  <c:v>69705.100000000006</c:v>
                </c:pt>
                <c:pt idx="38">
                  <c:v>67925.3</c:v>
                </c:pt>
                <c:pt idx="39">
                  <c:v>67016.100000000006</c:v>
                </c:pt>
              </c:numCache>
            </c:numRef>
          </c:val>
          <c:extLst>
            <c:ext xmlns:c16="http://schemas.microsoft.com/office/drawing/2014/chart" uri="{C3380CC4-5D6E-409C-BE32-E72D297353CC}">
              <c16:uniqueId val="{00000000-937C-4383-8D4C-BD4BAB9B3595}"/>
            </c:ext>
          </c:extLst>
        </c:ser>
        <c:dLbls>
          <c:showLegendKey val="0"/>
          <c:showVal val="0"/>
          <c:showCatName val="0"/>
          <c:showSerName val="0"/>
          <c:showPercent val="0"/>
          <c:showBubbleSize val="0"/>
        </c:dLbls>
        <c:gapWidth val="150"/>
        <c:axId val="810005600"/>
        <c:axId val="810009920"/>
      </c:barChart>
      <c:lineChart>
        <c:grouping val="standard"/>
        <c:varyColors val="0"/>
        <c:ser>
          <c:idx val="1"/>
          <c:order val="1"/>
          <c:tx>
            <c:strRef>
              <c:f>'Multiple History'!$F$4</c:f>
              <c:strCache>
                <c:ptCount val="1"/>
                <c:pt idx="0">
                  <c:v>EV/Backlog</c:v>
                </c:pt>
              </c:strCache>
            </c:strRef>
          </c:tx>
          <c:spPr>
            <a:ln w="28575" cap="rnd">
              <a:solidFill>
                <a:srgbClr val="D0CECE"/>
              </a:solidFill>
              <a:round/>
            </a:ln>
            <a:effectLst/>
          </c:spPr>
          <c:marker>
            <c:symbol val="none"/>
          </c:marker>
          <c:cat>
            <c:strRef>
              <c:f>'Multiple History'!$C$5:$C$44</c:f>
              <c:strCache>
                <c:ptCount val="40"/>
                <c:pt idx="0">
                  <c:v>1Q06</c:v>
                </c:pt>
                <c:pt idx="1">
                  <c:v>2Q06</c:v>
                </c:pt>
                <c:pt idx="2">
                  <c:v>3Q06</c:v>
                </c:pt>
                <c:pt idx="3">
                  <c:v>4Q06</c:v>
                </c:pt>
                <c:pt idx="4">
                  <c:v>1Q07</c:v>
                </c:pt>
                <c:pt idx="5">
                  <c:v>2Q07</c:v>
                </c:pt>
                <c:pt idx="6">
                  <c:v>3Q07</c:v>
                </c:pt>
                <c:pt idx="7">
                  <c:v>4Q07</c:v>
                </c:pt>
                <c:pt idx="8">
                  <c:v>1Q08</c:v>
                </c:pt>
                <c:pt idx="9">
                  <c:v>2Q08</c:v>
                </c:pt>
                <c:pt idx="10">
                  <c:v>3Q08</c:v>
                </c:pt>
                <c:pt idx="11">
                  <c:v>4Q08</c:v>
                </c:pt>
                <c:pt idx="12">
                  <c:v>1Q09</c:v>
                </c:pt>
                <c:pt idx="13">
                  <c:v>2Q09</c:v>
                </c:pt>
                <c:pt idx="14">
                  <c:v>3Q09</c:v>
                </c:pt>
                <c:pt idx="15">
                  <c:v>4Q09</c:v>
                </c:pt>
                <c:pt idx="16">
                  <c:v>1Q10</c:v>
                </c:pt>
                <c:pt idx="17">
                  <c:v>2Q10</c:v>
                </c:pt>
                <c:pt idx="18">
                  <c:v>3Q10</c:v>
                </c:pt>
                <c:pt idx="19">
                  <c:v>4Q10</c:v>
                </c:pt>
                <c:pt idx="20">
                  <c:v>1Q11</c:v>
                </c:pt>
                <c:pt idx="21">
                  <c:v>2Q11</c:v>
                </c:pt>
                <c:pt idx="22">
                  <c:v>3Q11</c:v>
                </c:pt>
                <c:pt idx="23">
                  <c:v>4Q11</c:v>
                </c:pt>
                <c:pt idx="24">
                  <c:v>1Q12</c:v>
                </c:pt>
                <c:pt idx="25">
                  <c:v>2Q12</c:v>
                </c:pt>
                <c:pt idx="26">
                  <c:v>3Q12</c:v>
                </c:pt>
                <c:pt idx="27">
                  <c:v>4Q12</c:v>
                </c:pt>
                <c:pt idx="28">
                  <c:v>1Q13</c:v>
                </c:pt>
                <c:pt idx="29">
                  <c:v>2Q13</c:v>
                </c:pt>
                <c:pt idx="30">
                  <c:v>3Q13</c:v>
                </c:pt>
                <c:pt idx="31">
                  <c:v>4Q13</c:v>
                </c:pt>
                <c:pt idx="32">
                  <c:v>1Q14</c:v>
                </c:pt>
                <c:pt idx="33">
                  <c:v>2Q14</c:v>
                </c:pt>
                <c:pt idx="34">
                  <c:v>3Q14</c:v>
                </c:pt>
                <c:pt idx="35">
                  <c:v>4Q14</c:v>
                </c:pt>
                <c:pt idx="36">
                  <c:v>1Q15</c:v>
                </c:pt>
                <c:pt idx="37">
                  <c:v>2Q15</c:v>
                </c:pt>
                <c:pt idx="38">
                  <c:v>3Q15</c:v>
                </c:pt>
                <c:pt idx="39">
                  <c:v>4Q15</c:v>
                </c:pt>
              </c:strCache>
            </c:strRef>
          </c:cat>
          <c:val>
            <c:numRef>
              <c:f>'Multiple History'!$F$5:$F$44</c:f>
              <c:numCache>
                <c:formatCode>#,##0.00_ </c:formatCode>
                <c:ptCount val="40"/>
                <c:pt idx="0">
                  <c:v>0.22089524073477806</c:v>
                </c:pt>
                <c:pt idx="1">
                  <c:v>0.18144684548056075</c:v>
                </c:pt>
                <c:pt idx="2">
                  <c:v>0.19168692481034866</c:v>
                </c:pt>
                <c:pt idx="3">
                  <c:v>0.21585410500744187</c:v>
                </c:pt>
                <c:pt idx="4">
                  <c:v>0.1850480429979886</c:v>
                </c:pt>
                <c:pt idx="5">
                  <c:v>0.23119472703737229</c:v>
                </c:pt>
                <c:pt idx="6">
                  <c:v>0.27842741854391778</c:v>
                </c:pt>
                <c:pt idx="7">
                  <c:v>0.30203681121748066</c:v>
                </c:pt>
                <c:pt idx="8">
                  <c:v>0.27569813708747626</c:v>
                </c:pt>
                <c:pt idx="9">
                  <c:v>0.20067019115998827</c:v>
                </c:pt>
                <c:pt idx="10">
                  <c:v>0.19814062910872438</c:v>
                </c:pt>
                <c:pt idx="11">
                  <c:v>0.15178188076908344</c:v>
                </c:pt>
                <c:pt idx="12">
                  <c:v>0.14797798435326215</c:v>
                </c:pt>
                <c:pt idx="13">
                  <c:v>0.13081677290476496</c:v>
                </c:pt>
                <c:pt idx="14">
                  <c:v>0.14978793763664625</c:v>
                </c:pt>
                <c:pt idx="15">
                  <c:v>0.16605051891621453</c:v>
                </c:pt>
                <c:pt idx="16">
                  <c:v>0.14012802336461846</c:v>
                </c:pt>
                <c:pt idx="17">
                  <c:v>0.12007629902221681</c:v>
                </c:pt>
                <c:pt idx="18">
                  <c:v>0.14487747141896434</c:v>
                </c:pt>
                <c:pt idx="19">
                  <c:v>0.16611124857212373</c:v>
                </c:pt>
                <c:pt idx="20">
                  <c:v>0.1902845813889133</c:v>
                </c:pt>
                <c:pt idx="21">
                  <c:v>0.2163200081407293</c:v>
                </c:pt>
                <c:pt idx="22">
                  <c:v>0.16053548898472372</c:v>
                </c:pt>
                <c:pt idx="23">
                  <c:v>0.20229953572349754</c:v>
                </c:pt>
                <c:pt idx="24">
                  <c:v>0.21793248046175154</c:v>
                </c:pt>
                <c:pt idx="25">
                  <c:v>0.16886479389569323</c:v>
                </c:pt>
                <c:pt idx="26">
                  <c:v>0.1714881602623603</c:v>
                </c:pt>
                <c:pt idx="27">
                  <c:v>0.16868047503677425</c:v>
                </c:pt>
                <c:pt idx="28">
                  <c:v>0.15666939262896989</c:v>
                </c:pt>
                <c:pt idx="29">
                  <c:v>0.13085338409848776</c:v>
                </c:pt>
                <c:pt idx="30">
                  <c:v>0.1437207899674221</c:v>
                </c:pt>
                <c:pt idx="31">
                  <c:v>0.12606233688762955</c:v>
                </c:pt>
                <c:pt idx="32">
                  <c:v>0.115708931697475</c:v>
                </c:pt>
                <c:pt idx="33">
                  <c:v>0.10415941311563214</c:v>
                </c:pt>
                <c:pt idx="34">
                  <c:v>0.1082217293185849</c:v>
                </c:pt>
                <c:pt idx="35">
                  <c:v>7.0478244344190505E-2</c:v>
                </c:pt>
                <c:pt idx="36">
                  <c:v>8.5527197857004703E-2</c:v>
                </c:pt>
                <c:pt idx="37">
                  <c:v>6.565292926916394E-2</c:v>
                </c:pt>
                <c:pt idx="38">
                  <c:v>5.6143395759753724E-2</c:v>
                </c:pt>
                <c:pt idx="39">
                  <c:v>4.7499556076823331E-2</c:v>
                </c:pt>
              </c:numCache>
            </c:numRef>
          </c:val>
          <c:smooth val="0"/>
          <c:extLst>
            <c:ext xmlns:c16="http://schemas.microsoft.com/office/drawing/2014/chart" uri="{C3380CC4-5D6E-409C-BE32-E72D297353CC}">
              <c16:uniqueId val="{00000001-937C-4383-8D4C-BD4BAB9B3595}"/>
            </c:ext>
          </c:extLst>
        </c:ser>
        <c:dLbls>
          <c:showLegendKey val="0"/>
          <c:showVal val="0"/>
          <c:showCatName val="0"/>
          <c:showSerName val="0"/>
          <c:showPercent val="0"/>
          <c:showBubbleSize val="0"/>
        </c:dLbls>
        <c:marker val="1"/>
        <c:smooth val="0"/>
        <c:axId val="1545489040"/>
        <c:axId val="1545488560"/>
      </c:lineChart>
      <c:catAx>
        <c:axId val="810005600"/>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KoPubWorld돋움체 Light" panose="00000300000000000000" pitchFamily="2" charset="-127"/>
                <a:ea typeface="KoPubWorld돋움체 Light" panose="00000300000000000000" pitchFamily="2" charset="-127"/>
                <a:cs typeface="KoPubWorld돋움체 Light" panose="00000300000000000000" pitchFamily="2" charset="-127"/>
              </a:defRPr>
            </a:pPr>
            <a:endParaRPr lang="ko-KR"/>
          </a:p>
        </c:txPr>
        <c:crossAx val="810009920"/>
        <c:crosses val="autoZero"/>
        <c:auto val="1"/>
        <c:lblAlgn val="ctr"/>
        <c:lblOffset val="100"/>
        <c:tickLblSkip val="8"/>
        <c:tickMarkSkip val="4"/>
        <c:noMultiLvlLbl val="0"/>
      </c:catAx>
      <c:valAx>
        <c:axId val="810009920"/>
        <c:scaling>
          <c:orientation val="minMax"/>
        </c:scaling>
        <c:delete val="0"/>
        <c:axPos val="l"/>
        <c:numFmt formatCode="#,##0" sourceLinked="1"/>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KoPubWorld돋움체 Light" panose="00000300000000000000" pitchFamily="2" charset="-127"/>
                <a:ea typeface="KoPubWorld돋움체 Light" panose="00000300000000000000" pitchFamily="2" charset="-127"/>
                <a:cs typeface="KoPubWorld돋움체 Light" panose="00000300000000000000" pitchFamily="2" charset="-127"/>
              </a:defRPr>
            </a:pPr>
            <a:endParaRPr lang="ko-KR"/>
          </a:p>
        </c:txPr>
        <c:crossAx val="810005600"/>
        <c:crosses val="autoZero"/>
        <c:crossBetween val="between"/>
        <c:majorUnit val="20000"/>
      </c:valAx>
      <c:valAx>
        <c:axId val="1545488560"/>
        <c:scaling>
          <c:orientation val="minMax"/>
          <c:max val="0.35000000000000003"/>
        </c:scaling>
        <c:delete val="0"/>
        <c:axPos val="r"/>
        <c:numFmt formatCode="#,##0.00_ " sourceLinked="1"/>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KoPubWorld돋움체 Light" panose="00000300000000000000" pitchFamily="2" charset="-127"/>
                <a:ea typeface="KoPubWorld돋움체 Light" panose="00000300000000000000" pitchFamily="2" charset="-127"/>
                <a:cs typeface="KoPubWorld돋움체 Light" panose="00000300000000000000" pitchFamily="2" charset="-127"/>
              </a:defRPr>
            </a:pPr>
            <a:endParaRPr lang="ko-KR"/>
          </a:p>
        </c:txPr>
        <c:crossAx val="1545489040"/>
        <c:crosses val="max"/>
        <c:crossBetween val="between"/>
      </c:valAx>
      <c:catAx>
        <c:axId val="1545489040"/>
        <c:scaling>
          <c:orientation val="minMax"/>
        </c:scaling>
        <c:delete val="1"/>
        <c:axPos val="b"/>
        <c:numFmt formatCode="General" sourceLinked="1"/>
        <c:majorTickMark val="out"/>
        <c:minorTickMark val="none"/>
        <c:tickLblPos val="nextTo"/>
        <c:crossAx val="15454885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KoPubWorld돋움체 Light" panose="00000300000000000000" pitchFamily="2" charset="-127"/>
              <a:ea typeface="KoPubWorld돋움체 Light" panose="00000300000000000000" pitchFamily="2" charset="-127"/>
              <a:cs typeface="KoPubWorld돋움체 Light" panose="00000300000000000000" pitchFamily="2" charset="-127"/>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700">
          <a:solidFill>
            <a:sysClr val="windowText" lastClr="000000"/>
          </a:solidFill>
          <a:latin typeface="KoPubWorld돋움체 Light" panose="00000300000000000000" pitchFamily="2" charset="-127"/>
          <a:ea typeface="KoPubWorld돋움체 Light" panose="00000300000000000000" pitchFamily="2" charset="-127"/>
          <a:cs typeface="KoPubWorld돋움체 Light" panose="00000300000000000000" pitchFamily="2" charset="-127"/>
        </a:defRPr>
      </a:pPr>
      <a:endParaRPr lang="ko-KR"/>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808628</xdr:colOff>
      <xdr:row>7</xdr:row>
      <xdr:rowOff>0</xdr:rowOff>
    </xdr:to>
    <xdr:pic>
      <xdr:nvPicPr>
        <xdr:cNvPr id="2" name="그림 1" descr="현대건설의 첫번째 뉴스테이 '힐스테이트 호매실' 분양 :: 1등 조세회계 경제신문">
          <a:extLst>
            <a:ext uri="{FF2B5EF4-FFF2-40B4-BE49-F238E27FC236}">
              <a16:creationId xmlns:a16="http://schemas.microsoft.com/office/drawing/2014/main" id="{CB6FBC21-4C6C-43F8-A89F-BDB152D93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14350"/>
          <a:ext cx="6637928" cy="1314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6</xdr:row>
      <xdr:rowOff>53339</xdr:rowOff>
    </xdr:from>
    <xdr:to>
      <xdr:col>14</xdr:col>
      <xdr:colOff>0</xdr:colOff>
      <xdr:row>19</xdr:row>
      <xdr:rowOff>0</xdr:rowOff>
    </xdr:to>
    <xdr:graphicFrame macro="">
      <xdr:nvGraphicFramePr>
        <xdr:cNvPr id="8" name="차트 7">
          <a:extLst>
            <a:ext uri="{FF2B5EF4-FFF2-40B4-BE49-F238E27FC236}">
              <a16:creationId xmlns:a16="http://schemas.microsoft.com/office/drawing/2014/main" id="{6B8113CF-33E4-4BB6-B747-54D30F073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11027</xdr:colOff>
      <xdr:row>8</xdr:row>
      <xdr:rowOff>154879</xdr:rowOff>
    </xdr:from>
    <xdr:to>
      <xdr:col>9</xdr:col>
      <xdr:colOff>69570</xdr:colOff>
      <xdr:row>16</xdr:row>
      <xdr:rowOff>1</xdr:rowOff>
    </xdr:to>
    <xdr:sp macro="" textlink="">
      <xdr:nvSpPr>
        <xdr:cNvPr id="9" name="사각형: 둥근 모서리 8">
          <a:extLst>
            <a:ext uri="{FF2B5EF4-FFF2-40B4-BE49-F238E27FC236}">
              <a16:creationId xmlns:a16="http://schemas.microsoft.com/office/drawing/2014/main" id="{F657826F-6CB2-400F-85A2-F0FF21D8B3C4}"/>
            </a:ext>
          </a:extLst>
        </xdr:cNvPr>
        <xdr:cNvSpPr/>
      </xdr:nvSpPr>
      <xdr:spPr>
        <a:xfrm>
          <a:off x="7676747" y="2105599"/>
          <a:ext cx="58543" cy="1673922"/>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0.42542</cdr:x>
      <cdr:y>0.29669</cdr:y>
    </cdr:from>
    <cdr:to>
      <cdr:x>0.54875</cdr:x>
      <cdr:y>0.56821</cdr:y>
    </cdr:to>
    <cdr:cxnSp macro="">
      <cdr:nvCxnSpPr>
        <cdr:cNvPr id="6" name="직선 화살표 연결선 5">
          <a:extLst xmlns:a="http://schemas.openxmlformats.org/drawingml/2006/main">
            <a:ext uri="{FF2B5EF4-FFF2-40B4-BE49-F238E27FC236}">
              <a16:creationId xmlns:a16="http://schemas.microsoft.com/office/drawing/2014/main" id="{0D4EC734-CEF3-9B2D-7EFB-9F21E2C0535B}"/>
            </a:ext>
          </a:extLst>
        </cdr:cNvPr>
        <cdr:cNvCxnSpPr/>
      </cdr:nvCxnSpPr>
      <cdr:spPr>
        <a:xfrm xmlns:a="http://schemas.openxmlformats.org/drawingml/2006/main" flipV="1">
          <a:off x="1928812" y="813872"/>
          <a:ext cx="559166" cy="744833"/>
        </a:xfrm>
        <a:prstGeom xmlns:a="http://schemas.openxmlformats.org/drawingml/2006/main" prst="straightConnector1">
          <a:avLst/>
        </a:prstGeom>
        <a:ln xmlns:a="http://schemas.openxmlformats.org/drawingml/2006/main">
          <a:solidFill>
            <a:srgbClr val="0070C0"/>
          </a:solidFill>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0.54656</cdr:x>
      <cdr:y>0.11663</cdr:y>
    </cdr:from>
    <cdr:to>
      <cdr:x>0.86778</cdr:x>
      <cdr:y>0.50248</cdr:y>
    </cdr:to>
    <cdr:cxnSp macro="">
      <cdr:nvCxnSpPr>
        <cdr:cNvPr id="9" name="직선 화살표 연결선 8">
          <a:extLst xmlns:a="http://schemas.openxmlformats.org/drawingml/2006/main">
            <a:ext uri="{FF2B5EF4-FFF2-40B4-BE49-F238E27FC236}">
              <a16:creationId xmlns:a16="http://schemas.microsoft.com/office/drawing/2014/main" id="{41BDE397-2054-FEE1-D064-E0EDDC9E00FA}"/>
            </a:ext>
          </a:extLst>
        </cdr:cNvPr>
        <cdr:cNvCxnSpPr/>
      </cdr:nvCxnSpPr>
      <cdr:spPr>
        <a:xfrm xmlns:a="http://schemas.openxmlformats.org/drawingml/2006/main" flipV="1">
          <a:off x="2478049" y="319939"/>
          <a:ext cx="1456379" cy="1058475"/>
        </a:xfrm>
        <a:prstGeom xmlns:a="http://schemas.openxmlformats.org/drawingml/2006/main" prst="straightConnector1">
          <a:avLst/>
        </a:prstGeom>
        <a:ln xmlns:a="http://schemas.openxmlformats.org/drawingml/2006/main">
          <a:solidFill>
            <a:srgbClr val="0070C0"/>
          </a:solidFill>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0.4065</cdr:x>
      <cdr:y>0.09598</cdr:y>
    </cdr:from>
    <cdr:to>
      <cdr:x>0.80105</cdr:x>
      <cdr:y>0.17785</cdr:y>
    </cdr:to>
    <cdr:sp macro="" textlink="">
      <cdr:nvSpPr>
        <cdr:cNvPr id="3" name="TextBox 2">
          <a:extLst xmlns:a="http://schemas.openxmlformats.org/drawingml/2006/main">
            <a:ext uri="{FF2B5EF4-FFF2-40B4-BE49-F238E27FC236}">
              <a16:creationId xmlns:a16="http://schemas.microsoft.com/office/drawing/2014/main" id="{05FBAFBA-4A72-3620-D376-97AE0DEE1486}"/>
            </a:ext>
          </a:extLst>
        </cdr:cNvPr>
        <cdr:cNvSpPr txBox="1"/>
      </cdr:nvSpPr>
      <cdr:spPr>
        <a:xfrm xmlns:a="http://schemas.openxmlformats.org/drawingml/2006/main">
          <a:off x="1843048" y="263292"/>
          <a:ext cx="1788842" cy="22457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altLang="ko-KR" sz="700" kern="1200">
              <a:solidFill>
                <a:srgbClr val="FF0000"/>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1</a:t>
          </a:r>
          <a:r>
            <a:rPr lang="ko-KR" altLang="en-US" sz="700" kern="1200">
              <a:solidFill>
                <a:srgbClr val="FF0000"/>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년간 멀티플 상승 → </a:t>
          </a:r>
          <a:r>
            <a:rPr lang="en-US" altLang="ko-KR" sz="700" kern="1200">
              <a:solidFill>
                <a:srgbClr val="FF0000"/>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5</a:t>
          </a:r>
          <a:r>
            <a:rPr lang="ko-KR" altLang="en-US" sz="700" kern="1200">
              <a:solidFill>
                <a:srgbClr val="FF0000"/>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년간 수주잔고 증가</a:t>
          </a:r>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808628</xdr:colOff>
      <xdr:row>7</xdr:row>
      <xdr:rowOff>0</xdr:rowOff>
    </xdr:to>
    <xdr:pic>
      <xdr:nvPicPr>
        <xdr:cNvPr id="3" name="그림 2" descr="현대건설의 첫번째 뉴스테이 '힐스테이트 호매실' 분양 :: 1등 조세회계 경제신문">
          <a:extLst>
            <a:ext uri="{FF2B5EF4-FFF2-40B4-BE49-F238E27FC236}">
              <a16:creationId xmlns:a16="http://schemas.microsoft.com/office/drawing/2014/main" id="{1829B924-5925-18ED-D1B1-C03E6EAED4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19113"/>
          <a:ext cx="6637928"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808628</xdr:colOff>
      <xdr:row>7</xdr:row>
      <xdr:rowOff>0</xdr:rowOff>
    </xdr:to>
    <xdr:pic>
      <xdr:nvPicPr>
        <xdr:cNvPr id="4" name="그림 3" descr="현대건설의 첫번째 뉴스테이 '힐스테이트 호매실' 분양 :: 1등 조세회계 경제신문">
          <a:extLst>
            <a:ext uri="{FF2B5EF4-FFF2-40B4-BE49-F238E27FC236}">
              <a16:creationId xmlns:a16="http://schemas.microsoft.com/office/drawing/2014/main" id="{0DE1E933-02E3-4E6A-88E3-70FCCC794F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19113"/>
          <a:ext cx="6637928"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xdr:row>
      <xdr:rowOff>0</xdr:rowOff>
    </xdr:from>
    <xdr:to>
      <xdr:col>6</xdr:col>
      <xdr:colOff>808628</xdr:colOff>
      <xdr:row>7</xdr:row>
      <xdr:rowOff>0</xdr:rowOff>
    </xdr:to>
    <xdr:pic>
      <xdr:nvPicPr>
        <xdr:cNvPr id="5" name="그림 4" descr="현대건설의 첫번째 뉴스테이 '힐스테이트 호매실' 분양 :: 1등 조세회계 경제신문">
          <a:extLst>
            <a:ext uri="{FF2B5EF4-FFF2-40B4-BE49-F238E27FC236}">
              <a16:creationId xmlns:a16="http://schemas.microsoft.com/office/drawing/2014/main" id="{9EBE861E-518C-485D-903B-BE6F04F14D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19113"/>
          <a:ext cx="6637928"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eehc/Documents/&#52852;&#52852;&#50724;&#53665;%20&#48155;&#51008;%20&#54028;&#51068;/&#54788;&#45824;&#44148;&#49444;_&#48184;&#47448;&#49884;&#53944;_0726_21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
      <sheetName val="Implied PBR"/>
      <sheetName val="EV.Backlog"/>
      <sheetName val="Estimate ▶"/>
      <sheetName val="Expected BS"/>
      <sheetName val="Expected IS"/>
      <sheetName val="총매출"/>
      <sheetName val="건축주택"/>
      <sheetName val="건축주택-정비사업"/>
      <sheetName val="플랜트"/>
      <sheetName val="플랜트-원전"/>
      <sheetName val="토목 및 기타"/>
      <sheetName val="영업비용추정"/>
      <sheetName val="RAW ▶"/>
      <sheetName val="도시정비_RAW"/>
      <sheetName val="연결수주 추정"/>
      <sheetName val="IS(Y)"/>
      <sheetName val="BS(Y)"/>
      <sheetName val="CF(Y)"/>
    </sheetNames>
    <sheetDataSet>
      <sheetData sheetId="0" refreshError="1"/>
      <sheetData sheetId="1" refreshError="1"/>
      <sheetData sheetId="2" refreshError="1"/>
      <sheetData sheetId="3" refreshError="1"/>
      <sheetData sheetId="4" refreshError="1"/>
      <sheetData sheetId="5" refreshError="1">
        <row r="21">
          <cell r="C21">
            <v>282.93900000000002</v>
          </cell>
        </row>
        <row r="22">
          <cell r="C22">
            <v>470.87599999999998</v>
          </cell>
          <cell r="D22">
            <v>654.28099999999995</v>
          </cell>
          <cell r="E22">
            <v>-766.221</v>
          </cell>
        </row>
      </sheetData>
      <sheetData sheetId="6" refreshError="1"/>
      <sheetData sheetId="7" refreshError="1">
        <row r="7">
          <cell r="G7">
            <v>21454.5</v>
          </cell>
          <cell r="H7">
            <v>25245.612249999998</v>
          </cell>
          <cell r="I7">
            <v>22120.444729166666</v>
          </cell>
          <cell r="J7">
            <v>22811.319800347221</v>
          </cell>
          <cell r="K7">
            <v>23489.776602285878</v>
          </cell>
          <cell r="L7">
            <v>22822.031555326481</v>
          </cell>
        </row>
      </sheetData>
      <sheetData sheetId="8" refreshError="1"/>
      <sheetData sheetId="9" refreshError="1">
        <row r="7">
          <cell r="G7">
            <v>5089.1000000000004</v>
          </cell>
          <cell r="H7">
            <v>9045.5249999999996</v>
          </cell>
          <cell r="I7">
            <v>11198.231250000001</v>
          </cell>
          <cell r="J7">
            <v>16502.114062500001</v>
          </cell>
          <cell r="K7">
            <v>15275.892578125</v>
          </cell>
          <cell r="L7">
            <v>8377.5907226562504</v>
          </cell>
        </row>
      </sheetData>
      <sheetData sheetId="10" refreshError="1"/>
      <sheetData sheetId="11" refreshError="1">
        <row r="7">
          <cell r="G7">
            <v>2962.0160000000001</v>
          </cell>
          <cell r="H7">
            <v>3413.1006666666667</v>
          </cell>
          <cell r="I7">
            <v>3267.6602222222223</v>
          </cell>
          <cell r="J7">
            <v>3214.2589629629633</v>
          </cell>
          <cell r="K7">
            <v>3298.3399506172841</v>
          </cell>
          <cell r="L7">
            <v>3260.0863786008231</v>
          </cell>
        </row>
        <row r="8">
          <cell r="G8">
            <v>1022.4438000000001</v>
          </cell>
          <cell r="H8">
            <v>1203.6853666666668</v>
          </cell>
          <cell r="I8">
            <v>1168.9231222222224</v>
          </cell>
          <cell r="J8">
            <v>1131.6840962962965</v>
          </cell>
          <cell r="K8">
            <v>1168.0975283950618</v>
          </cell>
          <cell r="L8">
            <v>1156.2349156378602</v>
          </cell>
        </row>
      </sheetData>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CDB76-969F-49F2-8962-546574FDDB18}">
  <sheetPr>
    <tabColor rgb="FF00A84F"/>
  </sheetPr>
  <dimension ref="A1:AK61"/>
  <sheetViews>
    <sheetView tabSelected="1" zoomScaleNormal="100" workbookViewId="0"/>
  </sheetViews>
  <sheetFormatPr defaultColWidth="12.75" defaultRowHeight="17.25"/>
  <cols>
    <col min="1" max="16384" width="12.75" style="146"/>
  </cols>
  <sheetData>
    <row r="1" spans="1:37" s="123" customFormat="1" ht="40.9" customHeight="1">
      <c r="A1" s="143" t="s">
        <v>910</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row>
    <row r="2" spans="1:37">
      <c r="A2" s="126"/>
      <c r="B2" s="126"/>
      <c r="C2" s="126"/>
      <c r="D2" s="126"/>
      <c r="E2" s="126"/>
      <c r="F2" s="126"/>
      <c r="G2" s="305"/>
      <c r="H2" s="305"/>
      <c r="I2" s="305"/>
      <c r="J2" s="305"/>
      <c r="K2" s="305"/>
      <c r="L2" s="305"/>
      <c r="M2" s="305"/>
      <c r="N2" s="305"/>
      <c r="O2" s="305"/>
      <c r="P2" s="305"/>
      <c r="Q2" s="305"/>
      <c r="R2" s="305"/>
      <c r="S2" s="305"/>
      <c r="T2" s="305"/>
      <c r="U2" s="305"/>
      <c r="V2" s="305"/>
      <c r="W2" s="305"/>
      <c r="X2" s="305"/>
      <c r="Y2" s="305"/>
      <c r="Z2" s="305"/>
      <c r="AA2" s="305"/>
      <c r="AB2" s="305"/>
      <c r="AC2" s="305"/>
      <c r="AD2" s="305"/>
      <c r="AE2" s="305"/>
      <c r="AF2" s="305"/>
      <c r="AG2" s="305"/>
      <c r="AH2" s="305"/>
      <c r="AI2" s="305"/>
      <c r="AJ2" s="305"/>
      <c r="AK2" s="305"/>
    </row>
    <row r="3" spans="1:37">
      <c r="A3" s="126"/>
      <c r="B3" s="126"/>
      <c r="C3" s="126"/>
      <c r="D3" s="126"/>
      <c r="E3" s="126"/>
      <c r="F3" s="126"/>
      <c r="G3" s="305"/>
      <c r="H3" s="305"/>
      <c r="I3" s="305"/>
      <c r="J3" s="305"/>
      <c r="K3" s="305"/>
      <c r="L3" s="305"/>
      <c r="M3" s="305"/>
      <c r="N3" s="305"/>
      <c r="O3" s="305"/>
      <c r="P3" s="305"/>
      <c r="Q3" s="305"/>
      <c r="R3" s="305"/>
      <c r="S3" s="305"/>
      <c r="T3" s="305"/>
      <c r="U3" s="305"/>
      <c r="V3" s="305"/>
      <c r="W3" s="305"/>
      <c r="X3" s="305"/>
      <c r="Y3" s="305"/>
      <c r="Z3" s="305"/>
      <c r="AA3" s="305"/>
      <c r="AB3" s="305"/>
      <c r="AC3" s="305"/>
      <c r="AD3" s="305"/>
      <c r="AE3" s="305"/>
      <c r="AF3" s="305"/>
      <c r="AG3" s="305"/>
      <c r="AH3" s="305"/>
      <c r="AI3" s="305"/>
      <c r="AJ3" s="305"/>
      <c r="AK3" s="305"/>
    </row>
    <row r="4" spans="1:37">
      <c r="A4" s="126"/>
      <c r="B4" s="126"/>
      <c r="C4" s="126"/>
      <c r="D4" s="126"/>
      <c r="E4" s="126"/>
      <c r="F4" s="126"/>
      <c r="G4" s="305"/>
      <c r="H4" s="305"/>
      <c r="I4" s="305"/>
      <c r="J4" s="305"/>
      <c r="K4" s="305"/>
      <c r="L4" s="305"/>
      <c r="M4" s="305"/>
      <c r="N4" s="305"/>
      <c r="O4" s="305"/>
      <c r="P4" s="305"/>
      <c r="Q4" s="305"/>
      <c r="R4" s="305"/>
      <c r="S4" s="305"/>
      <c r="T4" s="305"/>
      <c r="U4" s="305"/>
      <c r="V4" s="305"/>
      <c r="W4" s="305"/>
      <c r="X4" s="305"/>
      <c r="Y4" s="305"/>
      <c r="Z4" s="305"/>
      <c r="AA4" s="305"/>
      <c r="AB4" s="305"/>
      <c r="AC4" s="305"/>
      <c r="AD4" s="305"/>
      <c r="AE4" s="305"/>
      <c r="AF4" s="305"/>
      <c r="AG4" s="305"/>
      <c r="AH4" s="305"/>
      <c r="AI4" s="305"/>
      <c r="AJ4" s="305"/>
      <c r="AK4" s="305"/>
    </row>
    <row r="5" spans="1:37">
      <c r="A5" s="126"/>
      <c r="B5" s="126"/>
      <c r="C5" s="126"/>
      <c r="D5" s="126"/>
      <c r="E5" s="126"/>
      <c r="F5" s="126"/>
      <c r="G5" s="305"/>
      <c r="H5" s="305"/>
      <c r="I5" s="305"/>
      <c r="J5" s="305"/>
      <c r="K5" s="305"/>
      <c r="L5" s="305"/>
      <c r="M5" s="305"/>
      <c r="N5" s="305"/>
      <c r="O5" s="305"/>
      <c r="P5" s="305"/>
      <c r="Q5" s="305"/>
      <c r="R5" s="305"/>
      <c r="S5" s="305"/>
      <c r="T5" s="305"/>
      <c r="U5" s="305"/>
      <c r="V5" s="305"/>
      <c r="W5" s="305"/>
      <c r="X5" s="305"/>
      <c r="Y5" s="305"/>
      <c r="Z5" s="305"/>
      <c r="AA5" s="305"/>
      <c r="AB5" s="305"/>
      <c r="AC5" s="305"/>
      <c r="AD5" s="305"/>
      <c r="AE5" s="305"/>
      <c r="AF5" s="305"/>
      <c r="AG5" s="305"/>
      <c r="AH5" s="305"/>
      <c r="AI5" s="305"/>
      <c r="AJ5" s="305"/>
      <c r="AK5" s="305"/>
    </row>
    <row r="6" spans="1:37">
      <c r="A6" s="126"/>
      <c r="B6" s="126"/>
      <c r="C6" s="126"/>
      <c r="D6" s="126"/>
      <c r="E6" s="126"/>
      <c r="F6" s="126"/>
      <c r="G6" s="305"/>
      <c r="H6" s="305"/>
      <c r="I6" s="305"/>
      <c r="J6" s="305"/>
      <c r="K6" s="305"/>
      <c r="L6" s="305"/>
      <c r="M6" s="305"/>
      <c r="N6" s="305"/>
      <c r="O6" s="305"/>
      <c r="P6" s="305"/>
      <c r="Q6" s="305"/>
      <c r="R6" s="305"/>
      <c r="S6" s="305"/>
      <c r="T6" s="305"/>
      <c r="U6" s="305"/>
      <c r="V6" s="305"/>
      <c r="W6" s="305"/>
      <c r="X6" s="305"/>
      <c r="Y6" s="305"/>
      <c r="Z6" s="305"/>
      <c r="AA6" s="305"/>
      <c r="AB6" s="305"/>
      <c r="AC6" s="305"/>
      <c r="AD6" s="305"/>
      <c r="AE6" s="305"/>
      <c r="AF6" s="305"/>
      <c r="AG6" s="305"/>
      <c r="AH6" s="305"/>
      <c r="AI6" s="305"/>
      <c r="AJ6" s="305"/>
      <c r="AK6" s="305"/>
    </row>
    <row r="7" spans="1:37">
      <c r="A7" s="126"/>
      <c r="B7" s="126"/>
      <c r="C7" s="126"/>
      <c r="D7" s="126"/>
      <c r="E7" s="126"/>
      <c r="F7" s="126"/>
      <c r="G7" s="305"/>
      <c r="H7" s="305"/>
      <c r="I7" s="305"/>
      <c r="J7" s="305"/>
      <c r="K7" s="305"/>
      <c r="L7" s="305"/>
      <c r="M7" s="305"/>
      <c r="N7" s="305"/>
      <c r="O7" s="305"/>
      <c r="P7" s="305"/>
      <c r="Q7" s="305"/>
      <c r="R7" s="305"/>
      <c r="S7" s="305"/>
      <c r="T7" s="305"/>
      <c r="U7" s="305"/>
      <c r="V7" s="305"/>
      <c r="W7" s="305"/>
      <c r="X7" s="305"/>
      <c r="Y7" s="305"/>
      <c r="Z7" s="305"/>
      <c r="AA7" s="305"/>
      <c r="AB7" s="305"/>
      <c r="AC7" s="305"/>
      <c r="AD7" s="305"/>
      <c r="AE7" s="305"/>
      <c r="AF7" s="305"/>
      <c r="AG7" s="305"/>
      <c r="AH7" s="305"/>
      <c r="AI7" s="305"/>
      <c r="AJ7" s="305"/>
      <c r="AK7" s="305"/>
    </row>
    <row r="8" spans="1:37" s="123" customFormat="1" ht="27.6" customHeight="1">
      <c r="A8" s="478" t="s">
        <v>921</v>
      </c>
      <c r="B8" s="478"/>
      <c r="C8" s="478"/>
      <c r="D8" s="478"/>
      <c r="E8" s="478"/>
      <c r="F8" s="144"/>
      <c r="G8" s="144"/>
      <c r="H8" s="144"/>
      <c r="I8" s="144"/>
      <c r="J8" s="144"/>
      <c r="K8" s="144"/>
      <c r="L8" s="144"/>
      <c r="M8" s="144"/>
      <c r="N8" s="144"/>
      <c r="O8" s="144"/>
      <c r="P8" s="144"/>
      <c r="Q8" s="144"/>
      <c r="R8" s="144"/>
      <c r="S8" s="144"/>
      <c r="T8" s="144"/>
      <c r="U8" s="144"/>
      <c r="V8" s="144"/>
      <c r="W8" s="144"/>
      <c r="X8" s="144"/>
      <c r="Y8" s="144"/>
      <c r="Z8" s="144"/>
      <c r="AA8" s="144"/>
      <c r="AB8" s="144"/>
      <c r="AC8" s="144"/>
      <c r="AD8" s="144"/>
      <c r="AE8" s="144"/>
      <c r="AF8" s="144"/>
      <c r="AG8" s="144"/>
      <c r="AH8" s="144"/>
      <c r="AI8" s="144"/>
      <c r="AJ8" s="144"/>
      <c r="AK8" s="144"/>
    </row>
    <row r="9" spans="1:37">
      <c r="A9" s="145"/>
      <c r="B9" s="145"/>
      <c r="C9" s="145"/>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145"/>
      <c r="AH9" s="145"/>
      <c r="AI9" s="145"/>
      <c r="AJ9" s="145"/>
      <c r="AK9" s="145"/>
    </row>
    <row r="10" spans="1:37">
      <c r="A10" s="145"/>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c r="AA10" s="145"/>
      <c r="AB10" s="145"/>
      <c r="AC10" s="145"/>
      <c r="AD10" s="145"/>
      <c r="AE10" s="145"/>
      <c r="AF10" s="145"/>
      <c r="AG10" s="145"/>
      <c r="AH10" s="145"/>
      <c r="AI10" s="145"/>
      <c r="AJ10" s="145"/>
      <c r="AK10" s="145"/>
    </row>
    <row r="11" spans="1:37">
      <c r="A11" s="145"/>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c r="AD11" s="145"/>
      <c r="AE11" s="145"/>
      <c r="AF11" s="145"/>
      <c r="AG11" s="145"/>
      <c r="AH11" s="145"/>
      <c r="AI11" s="145"/>
      <c r="AJ11" s="145"/>
      <c r="AK11" s="145"/>
    </row>
    <row r="12" spans="1:37">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45"/>
      <c r="AH12" s="145"/>
      <c r="AI12" s="145"/>
      <c r="AJ12" s="145"/>
      <c r="AK12" s="145"/>
    </row>
    <row r="13" spans="1:37">
      <c r="A13" s="145"/>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145"/>
      <c r="AH13" s="145"/>
      <c r="AI13" s="145"/>
      <c r="AJ13" s="145"/>
      <c r="AK13" s="145"/>
    </row>
    <row r="14" spans="1:37">
      <c r="A14" s="145"/>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c r="AA14" s="145"/>
      <c r="AB14" s="145"/>
      <c r="AC14" s="145"/>
      <c r="AD14" s="145"/>
      <c r="AE14" s="145"/>
      <c r="AF14" s="145"/>
      <c r="AG14" s="145"/>
      <c r="AH14" s="145"/>
      <c r="AI14" s="145"/>
      <c r="AJ14" s="145"/>
      <c r="AK14" s="145"/>
    </row>
    <row r="15" spans="1:37">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145"/>
      <c r="AH15" s="145"/>
      <c r="AI15" s="145"/>
      <c r="AJ15" s="145"/>
      <c r="AK15" s="145"/>
    </row>
    <row r="16" spans="1:37">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c r="AG16" s="145"/>
      <c r="AH16" s="145"/>
      <c r="AI16" s="145"/>
      <c r="AJ16" s="145"/>
      <c r="AK16" s="145"/>
    </row>
    <row r="17" spans="1:37">
      <c r="A17" s="145"/>
      <c r="B17" s="145"/>
      <c r="C17" s="147" t="s">
        <v>31</v>
      </c>
      <c r="D17" s="145"/>
      <c r="E17" s="145"/>
      <c r="F17" s="145"/>
      <c r="G17" s="145"/>
      <c r="H17" s="145"/>
      <c r="I17" s="145"/>
      <c r="J17" s="145"/>
      <c r="K17" s="145"/>
      <c r="L17" s="145"/>
      <c r="M17" s="145"/>
      <c r="N17" s="145"/>
      <c r="O17" s="145"/>
      <c r="P17" s="145"/>
      <c r="Q17" s="145"/>
      <c r="R17" s="145"/>
      <c r="S17" s="145"/>
      <c r="T17" s="145"/>
      <c r="U17" s="145"/>
      <c r="V17" s="145"/>
      <c r="W17" s="145"/>
      <c r="X17" s="145"/>
      <c r="Y17" s="145"/>
      <c r="Z17" s="145"/>
      <c r="AA17" s="145"/>
      <c r="AB17" s="145"/>
      <c r="AC17" s="145"/>
      <c r="AD17" s="145"/>
      <c r="AE17" s="145"/>
      <c r="AF17" s="145"/>
      <c r="AG17" s="145"/>
      <c r="AH17" s="145"/>
      <c r="AI17" s="145"/>
      <c r="AJ17" s="145"/>
      <c r="AK17" s="145"/>
    </row>
    <row r="18" spans="1:37">
      <c r="A18" s="145"/>
      <c r="B18" s="145"/>
      <c r="C18" s="148" t="s">
        <v>30</v>
      </c>
      <c r="D18" s="145"/>
      <c r="E18" s="145"/>
      <c r="F18" s="145"/>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c r="AG18" s="145"/>
      <c r="AH18" s="145"/>
      <c r="AI18" s="145"/>
      <c r="AJ18" s="145"/>
      <c r="AK18" s="145"/>
    </row>
    <row r="19" spans="1:37">
      <c r="A19" s="145"/>
      <c r="B19" s="145"/>
      <c r="C19" s="148" t="s">
        <v>29</v>
      </c>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c r="AD19" s="145"/>
      <c r="AE19" s="145"/>
      <c r="AF19" s="145"/>
      <c r="AG19" s="145"/>
      <c r="AH19" s="145"/>
      <c r="AI19" s="145"/>
      <c r="AJ19" s="145"/>
      <c r="AK19" s="145"/>
    </row>
    <row r="20" spans="1:37">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c r="AI20" s="145"/>
      <c r="AJ20" s="145"/>
      <c r="AK20" s="145"/>
    </row>
    <row r="21" spans="1:37">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c r="AI21" s="145"/>
      <c r="AJ21" s="145"/>
      <c r="AK21" s="145"/>
    </row>
    <row r="22" spans="1:37">
      <c r="A22" s="14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c r="AI22" s="145"/>
      <c r="AJ22" s="145"/>
      <c r="AK22" s="145"/>
    </row>
    <row r="23" spans="1:37">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5"/>
    </row>
    <row r="24" spans="1:37">
      <c r="A24" s="145"/>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row>
    <row r="25" spans="1:37">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145"/>
      <c r="AH25" s="145"/>
      <c r="AI25" s="145"/>
      <c r="AJ25" s="145"/>
      <c r="AK25" s="145"/>
    </row>
    <row r="26" spans="1:37">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c r="AA26" s="145"/>
      <c r="AB26" s="145"/>
      <c r="AC26" s="145"/>
      <c r="AD26" s="145"/>
      <c r="AE26" s="145"/>
      <c r="AF26" s="145"/>
      <c r="AG26" s="145"/>
      <c r="AH26" s="145"/>
      <c r="AI26" s="145"/>
      <c r="AJ26" s="145"/>
      <c r="AK26" s="145"/>
    </row>
    <row r="27" spans="1:3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c r="AA27" s="145"/>
      <c r="AB27" s="145"/>
      <c r="AC27" s="145"/>
      <c r="AD27" s="145"/>
      <c r="AE27" s="145"/>
      <c r="AF27" s="145"/>
      <c r="AG27" s="145"/>
      <c r="AH27" s="145"/>
      <c r="AI27" s="145"/>
      <c r="AJ27" s="145"/>
      <c r="AK27" s="145"/>
    </row>
    <row r="28" spans="1:37">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c r="AA28" s="145"/>
      <c r="AB28" s="145"/>
      <c r="AC28" s="145"/>
      <c r="AD28" s="145"/>
      <c r="AE28" s="145"/>
      <c r="AF28" s="145"/>
      <c r="AG28" s="145"/>
      <c r="AH28" s="145"/>
      <c r="AI28" s="145"/>
      <c r="AJ28" s="145"/>
      <c r="AK28" s="145"/>
    </row>
    <row r="29" spans="1:37">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145"/>
      <c r="AH29" s="145"/>
      <c r="AI29" s="145"/>
      <c r="AJ29" s="145"/>
      <c r="AK29" s="145"/>
    </row>
    <row r="30" spans="1:37">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c r="AA30" s="145"/>
      <c r="AB30" s="145"/>
      <c r="AC30" s="145"/>
      <c r="AD30" s="145"/>
      <c r="AE30" s="145"/>
      <c r="AF30" s="145"/>
      <c r="AG30" s="145"/>
      <c r="AH30" s="145"/>
      <c r="AI30" s="145"/>
      <c r="AJ30" s="145"/>
      <c r="AK30" s="145"/>
    </row>
    <row r="31" spans="1:37">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c r="AA31" s="145"/>
      <c r="AB31" s="145"/>
      <c r="AC31" s="145"/>
      <c r="AD31" s="145"/>
      <c r="AE31" s="145"/>
      <c r="AF31" s="145"/>
      <c r="AG31" s="145"/>
      <c r="AH31" s="145"/>
      <c r="AI31" s="145"/>
      <c r="AJ31" s="145"/>
      <c r="AK31" s="145"/>
    </row>
    <row r="32" spans="1:37">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145"/>
      <c r="AH32" s="145"/>
      <c r="AI32" s="145"/>
      <c r="AJ32" s="145"/>
      <c r="AK32" s="145"/>
    </row>
    <row r="33" spans="1:37">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c r="AG33" s="145"/>
      <c r="AH33" s="145"/>
      <c r="AI33" s="145"/>
      <c r="AJ33" s="145"/>
      <c r="AK33" s="145"/>
    </row>
    <row r="34" spans="1:37">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c r="AG34" s="145"/>
      <c r="AH34" s="145"/>
      <c r="AI34" s="145"/>
      <c r="AJ34" s="145"/>
      <c r="AK34" s="145"/>
    </row>
    <row r="35" spans="1:37">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45"/>
      <c r="AH35" s="145"/>
      <c r="AI35" s="145"/>
      <c r="AJ35" s="145"/>
      <c r="AK35" s="145"/>
    </row>
    <row r="36" spans="1:37">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45"/>
      <c r="AH36" s="145"/>
      <c r="AI36" s="145"/>
      <c r="AJ36" s="145"/>
      <c r="AK36" s="145"/>
    </row>
    <row r="37" spans="1:37">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45"/>
      <c r="AH37" s="145"/>
      <c r="AI37" s="145"/>
      <c r="AJ37" s="145"/>
      <c r="AK37" s="145"/>
    </row>
    <row r="38" spans="1:37">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45"/>
      <c r="AH38" s="145"/>
      <c r="AI38" s="145"/>
      <c r="AJ38" s="145"/>
      <c r="AK38" s="145"/>
    </row>
    <row r="39" spans="1:37">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145"/>
      <c r="AH39" s="145"/>
      <c r="AI39" s="145"/>
      <c r="AJ39" s="145"/>
      <c r="AK39" s="145"/>
    </row>
    <row r="40" spans="1:37">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45"/>
      <c r="AH40" s="145"/>
      <c r="AI40" s="145"/>
      <c r="AJ40" s="145"/>
      <c r="AK40" s="145"/>
    </row>
    <row r="41" spans="1:37">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c r="AH41" s="145"/>
      <c r="AI41" s="145"/>
      <c r="AJ41" s="145"/>
      <c r="AK41" s="145"/>
    </row>
    <row r="42" spans="1:37">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row>
    <row r="43" spans="1:37">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c r="AH43" s="145"/>
      <c r="AI43" s="145"/>
      <c r="AJ43" s="145"/>
      <c r="AK43" s="145"/>
    </row>
    <row r="44" spans="1:37">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c r="AH44" s="145"/>
      <c r="AI44" s="145"/>
      <c r="AJ44" s="145"/>
      <c r="AK44" s="145"/>
    </row>
    <row r="45" spans="1:37">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c r="AI45" s="145"/>
      <c r="AJ45" s="145"/>
      <c r="AK45" s="145"/>
    </row>
    <row r="46" spans="1:37">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45"/>
      <c r="AH46" s="145"/>
      <c r="AI46" s="145"/>
      <c r="AJ46" s="145"/>
      <c r="AK46" s="145"/>
    </row>
    <row r="47" spans="1:37">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c r="AI47" s="145"/>
      <c r="AJ47" s="145"/>
      <c r="AK47" s="145"/>
    </row>
    <row r="48" spans="1:37">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row>
    <row r="49" spans="1:37">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c r="AI49" s="145"/>
      <c r="AJ49" s="145"/>
      <c r="AK49" s="145"/>
    </row>
    <row r="50" spans="1:37">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row>
    <row r="51" spans="1:37">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c r="AH51" s="145"/>
      <c r="AI51" s="145"/>
      <c r="AJ51" s="145"/>
      <c r="AK51" s="145"/>
    </row>
    <row r="52" spans="1:37">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c r="AH52" s="145"/>
      <c r="AI52" s="145"/>
      <c r="AJ52" s="145"/>
      <c r="AK52" s="145"/>
    </row>
    <row r="53" spans="1:37">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45"/>
      <c r="AH53" s="145"/>
      <c r="AI53" s="145"/>
      <c r="AJ53" s="145"/>
      <c r="AK53" s="145"/>
    </row>
    <row r="54" spans="1:37">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45"/>
      <c r="AH54" s="145"/>
      <c r="AI54" s="145"/>
      <c r="AJ54" s="145"/>
      <c r="AK54" s="145"/>
    </row>
    <row r="55" spans="1:37">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45"/>
      <c r="AH55" s="145"/>
      <c r="AI55" s="145"/>
      <c r="AJ55" s="145"/>
      <c r="AK55" s="145"/>
    </row>
    <row r="56" spans="1:37">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row>
    <row r="57" spans="1:3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45"/>
      <c r="AH57" s="145"/>
      <c r="AI57" s="145"/>
      <c r="AJ57" s="145"/>
      <c r="AK57" s="145"/>
    </row>
    <row r="58" spans="1:37">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45"/>
      <c r="AH58" s="145"/>
      <c r="AI58" s="145"/>
      <c r="AJ58" s="145"/>
      <c r="AK58" s="145"/>
    </row>
    <row r="59" spans="1:37">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c r="AG59" s="145"/>
      <c r="AH59" s="145"/>
      <c r="AI59" s="145"/>
      <c r="AJ59" s="145"/>
      <c r="AK59" s="145"/>
    </row>
    <row r="60" spans="1:37">
      <c r="A60" s="145"/>
    </row>
    <row r="61" spans="1:37">
      <c r="A61" s="145"/>
    </row>
  </sheetData>
  <mergeCells count="1">
    <mergeCell ref="A8:E8"/>
  </mergeCells>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0D856-7D40-4157-8796-B9E9DF1E63C5}">
  <sheetPr>
    <tabColor theme="1"/>
  </sheetPr>
  <dimension ref="A1:L31"/>
  <sheetViews>
    <sheetView showGridLines="0" zoomScaleNormal="100" workbookViewId="0"/>
  </sheetViews>
  <sheetFormatPr defaultColWidth="8.25" defaultRowHeight="16.5"/>
  <cols>
    <col min="1" max="1" width="2" style="22" customWidth="1"/>
    <col min="2" max="2" width="17.5" style="22" customWidth="1"/>
    <col min="3" max="3" width="11.375" style="22" bestFit="1" customWidth="1"/>
    <col min="4" max="4" width="9.25" style="22" customWidth="1"/>
    <col min="5" max="5" width="16.5" style="22" customWidth="1"/>
    <col min="6" max="6" width="11.25" style="22" customWidth="1"/>
    <col min="7" max="7" width="12.375" style="22" customWidth="1"/>
    <col min="8" max="8" width="11.25" style="22" customWidth="1"/>
    <col min="9" max="9" width="5.875" style="22" customWidth="1"/>
    <col min="10" max="10" width="14.625" style="22" customWidth="1"/>
    <col min="11" max="12" width="11.125" style="22" bestFit="1" customWidth="1"/>
    <col min="13" max="16384" width="8.25" style="22"/>
  </cols>
  <sheetData>
    <row r="1" spans="1:12" s="123" customFormat="1" ht="25.5">
      <c r="A1" s="121" t="s">
        <v>107</v>
      </c>
      <c r="B1" s="122"/>
      <c r="C1" s="122"/>
      <c r="D1" s="122"/>
      <c r="E1" s="122"/>
      <c r="F1" s="122"/>
      <c r="G1" s="122"/>
      <c r="H1" s="122"/>
      <c r="I1" s="122"/>
      <c r="J1" s="122"/>
      <c r="K1" s="122"/>
      <c r="L1" s="122"/>
    </row>
    <row r="2" spans="1:12" s="123" customFormat="1" ht="20.25">
      <c r="A2" s="280" t="s">
        <v>108</v>
      </c>
      <c r="B2" s="122"/>
      <c r="C2" s="122"/>
      <c r="D2" s="122"/>
      <c r="E2" s="122"/>
      <c r="F2" s="122"/>
      <c r="G2" s="122"/>
      <c r="H2" s="122"/>
      <c r="I2" s="122"/>
      <c r="J2" s="122"/>
      <c r="K2" s="122"/>
      <c r="L2" s="122"/>
    </row>
    <row r="3" spans="1:12" s="123" customFormat="1" ht="17.25">
      <c r="A3" s="281" t="s">
        <v>911</v>
      </c>
      <c r="B3" s="126"/>
      <c r="C3" s="126"/>
      <c r="D3" s="126"/>
      <c r="E3" s="126"/>
      <c r="F3" s="126"/>
      <c r="G3" s="126"/>
      <c r="H3" s="126"/>
      <c r="I3" s="126"/>
      <c r="J3" s="126"/>
      <c r="K3" s="126"/>
      <c r="L3" s="126"/>
    </row>
    <row r="5" spans="1:12" ht="13.9" customHeight="1">
      <c r="B5" s="282" t="s">
        <v>92</v>
      </c>
      <c r="C5" s="283"/>
      <c r="D5" s="283"/>
      <c r="E5" s="283"/>
      <c r="G5" s="479" t="s">
        <v>912</v>
      </c>
      <c r="H5" s="479"/>
    </row>
    <row r="6" spans="1:12" ht="13.9" customHeight="1" thickBot="1">
      <c r="B6" s="335" t="s">
        <v>789</v>
      </c>
      <c r="C6" s="335"/>
      <c r="D6" s="335" t="s">
        <v>164</v>
      </c>
      <c r="E6" s="335" t="s">
        <v>790</v>
      </c>
      <c r="G6" s="284" t="s">
        <v>913</v>
      </c>
      <c r="H6" s="285">
        <f>'Expected BS'!F61</f>
        <v>10377.153031342175</v>
      </c>
    </row>
    <row r="7" spans="1:12" ht="13.9" customHeight="1" thickTop="1">
      <c r="B7" s="23" t="s">
        <v>912</v>
      </c>
      <c r="C7" s="24">
        <f>H10</f>
        <v>93189.185412557446</v>
      </c>
      <c r="D7" s="23" t="s">
        <v>37</v>
      </c>
      <c r="E7" s="46" t="s">
        <v>33</v>
      </c>
      <c r="G7" s="286" t="s">
        <v>36</v>
      </c>
      <c r="H7" s="287">
        <f>H8+H9</f>
        <v>112410458</v>
      </c>
    </row>
    <row r="8" spans="1:12" ht="13.9" customHeight="1">
      <c r="B8" s="273" t="s">
        <v>93</v>
      </c>
      <c r="C8" s="298">
        <f>(C9-C14)/(C10-C14)</f>
        <v>1.1619641063532689</v>
      </c>
      <c r="D8" s="273" t="s">
        <v>38</v>
      </c>
      <c r="E8" s="49" t="s">
        <v>102</v>
      </c>
      <c r="G8" s="286" t="s">
        <v>105</v>
      </c>
      <c r="H8" s="287">
        <v>111355765</v>
      </c>
    </row>
    <row r="9" spans="1:12" ht="13.9" customHeight="1">
      <c r="B9" s="23" t="s">
        <v>94</v>
      </c>
      <c r="C9" s="45">
        <f>'Expected BS'!J76*100</f>
        <v>7.5350502245666782</v>
      </c>
      <c r="D9" s="23" t="s">
        <v>32</v>
      </c>
      <c r="E9" s="47" t="s">
        <v>930</v>
      </c>
      <c r="F9" s="289"/>
      <c r="G9" s="286" t="s">
        <v>106</v>
      </c>
      <c r="H9" s="287">
        <v>1054693</v>
      </c>
    </row>
    <row r="10" spans="1:12" ht="13.9" customHeight="1" thickBot="1">
      <c r="B10" s="23" t="s">
        <v>95</v>
      </c>
      <c r="C10" s="45">
        <f>H14</f>
        <v>6.4847529999999995</v>
      </c>
      <c r="D10" s="23" t="s">
        <v>32</v>
      </c>
      <c r="E10" s="47" t="s">
        <v>103</v>
      </c>
      <c r="G10" s="322" t="s">
        <v>914</v>
      </c>
      <c r="H10" s="323">
        <f>H6/H8*1000000000</f>
        <v>93189.185412557446</v>
      </c>
    </row>
    <row r="11" spans="1:12" ht="13.9" customHeight="1">
      <c r="B11" s="23" t="s">
        <v>96</v>
      </c>
      <c r="C11" s="45">
        <f>H15</f>
        <v>2.8109999999999999</v>
      </c>
      <c r="D11" s="23" t="s">
        <v>32</v>
      </c>
      <c r="E11" s="47" t="s">
        <v>899</v>
      </c>
      <c r="F11" s="289"/>
    </row>
    <row r="12" spans="1:12" ht="13.9" customHeight="1">
      <c r="B12" s="23" t="s">
        <v>97</v>
      </c>
      <c r="C12" s="45">
        <f>H16</f>
        <v>7</v>
      </c>
      <c r="D12" s="23" t="s">
        <v>32</v>
      </c>
      <c r="E12" s="47" t="s">
        <v>900</v>
      </c>
      <c r="F12" s="290"/>
      <c r="G12" s="23"/>
      <c r="H12" s="291"/>
    </row>
    <row r="13" spans="1:12" ht="13.9" customHeight="1">
      <c r="B13" s="23" t="s">
        <v>878</v>
      </c>
      <c r="C13" s="45">
        <f>H17</f>
        <v>0.877</v>
      </c>
      <c r="D13" s="23"/>
      <c r="E13" s="46" t="s">
        <v>99</v>
      </c>
      <c r="F13" s="289"/>
      <c r="G13" s="282" t="s">
        <v>879</v>
      </c>
      <c r="H13" s="283"/>
      <c r="I13" s="283"/>
      <c r="J13" s="283"/>
    </row>
    <row r="14" spans="1:12" ht="13.9" customHeight="1">
      <c r="B14" s="273" t="s">
        <v>98</v>
      </c>
      <c r="C14" s="298">
        <f>H18</f>
        <v>0</v>
      </c>
      <c r="D14" s="273" t="s">
        <v>32</v>
      </c>
      <c r="E14" s="49" t="s">
        <v>100</v>
      </c>
      <c r="F14" s="289"/>
      <c r="G14" s="273" t="s">
        <v>95</v>
      </c>
      <c r="H14" s="298">
        <f>H15+(H16-H15)*H17</f>
        <v>6.4847529999999995</v>
      </c>
      <c r="I14" s="273" t="s">
        <v>32</v>
      </c>
      <c r="J14" s="299" t="s">
        <v>103</v>
      </c>
    </row>
    <row r="15" spans="1:12" ht="13.9" customHeight="1">
      <c r="B15" s="23" t="s">
        <v>39</v>
      </c>
      <c r="C15" s="25">
        <f>C7*C8</f>
        <v>108282.48854969139</v>
      </c>
      <c r="D15" s="23" t="s">
        <v>37</v>
      </c>
      <c r="E15" s="46" t="s">
        <v>901</v>
      </c>
      <c r="G15" s="23" t="s">
        <v>96</v>
      </c>
      <c r="H15" s="300">
        <v>2.8109999999999999</v>
      </c>
      <c r="I15" s="23" t="s">
        <v>32</v>
      </c>
      <c r="J15" s="47" t="s">
        <v>99</v>
      </c>
      <c r="K15" s="289" t="s">
        <v>905</v>
      </c>
    </row>
    <row r="16" spans="1:12" ht="13.9" customHeight="1">
      <c r="B16" s="293" t="s">
        <v>40</v>
      </c>
      <c r="C16" s="294">
        <f>ROUND(C15,-2)</f>
        <v>108300</v>
      </c>
      <c r="D16" s="293" t="s">
        <v>37</v>
      </c>
      <c r="E16" s="295" t="s">
        <v>41</v>
      </c>
      <c r="G16" s="23" t="s">
        <v>97</v>
      </c>
      <c r="H16" s="301">
        <v>7</v>
      </c>
      <c r="I16" s="23" t="s">
        <v>32</v>
      </c>
      <c r="J16" s="47" t="s">
        <v>100</v>
      </c>
      <c r="K16" s="289" t="s">
        <v>904</v>
      </c>
    </row>
    <row r="17" spans="2:11" ht="13.9" customHeight="1">
      <c r="B17" s="23" t="s">
        <v>42</v>
      </c>
      <c r="C17" s="26">
        <v>65200</v>
      </c>
      <c r="D17" s="23" t="s">
        <v>37</v>
      </c>
      <c r="E17" s="46" t="s">
        <v>798</v>
      </c>
      <c r="G17" s="23" t="s">
        <v>878</v>
      </c>
      <c r="H17" s="288">
        <v>0.877</v>
      </c>
      <c r="I17" s="23"/>
      <c r="J17" s="47" t="s">
        <v>101</v>
      </c>
      <c r="K17" s="289" t="s">
        <v>906</v>
      </c>
    </row>
    <row r="18" spans="2:11" ht="13.9" customHeight="1" thickBot="1">
      <c r="B18" s="310" t="s">
        <v>43</v>
      </c>
      <c r="C18" s="311">
        <f>(C16/C17-1)*100</f>
        <v>66.104294478527621</v>
      </c>
      <c r="D18" s="310" t="s">
        <v>32</v>
      </c>
      <c r="E18" s="312"/>
      <c r="G18" s="336" t="s">
        <v>98</v>
      </c>
      <c r="H18" s="337">
        <v>0</v>
      </c>
      <c r="I18" s="336" t="s">
        <v>32</v>
      </c>
      <c r="J18" s="338" t="s">
        <v>50</v>
      </c>
      <c r="K18" s="289" t="s">
        <v>903</v>
      </c>
    </row>
    <row r="19" spans="2:11" ht="13.9" customHeight="1">
      <c r="H19" s="292"/>
      <c r="I19" s="297"/>
    </row>
    <row r="20" spans="2:11" ht="13.9" customHeight="1">
      <c r="I20" s="296"/>
    </row>
    <row r="21" spans="2:11" ht="13.9" customHeight="1">
      <c r="K21" s="308"/>
    </row>
    <row r="22" spans="2:11" ht="23.25" customHeight="1">
      <c r="K22" s="309"/>
    </row>
    <row r="23" spans="2:11" ht="15.75" customHeight="1"/>
    <row r="24" spans="2:11" ht="13.9" customHeight="1"/>
    <row r="25" spans="2:11" ht="13.9" customHeight="1"/>
    <row r="26" spans="2:11" ht="13.9" customHeight="1"/>
    <row r="27" spans="2:11" ht="13.9" customHeight="1"/>
    <row r="28" spans="2:11" ht="13.9" customHeight="1"/>
    <row r="31" spans="2:11" ht="15.75" customHeight="1"/>
  </sheetData>
  <mergeCells count="1">
    <mergeCell ref="G5:H5"/>
  </mergeCells>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027C-AC1E-7D4F-9A33-11C3DB608EC3}">
  <sheetPr>
    <tabColor theme="1"/>
  </sheetPr>
  <dimension ref="A1:Z24"/>
  <sheetViews>
    <sheetView showGridLines="0" zoomScaleNormal="100" workbookViewId="0"/>
  </sheetViews>
  <sheetFormatPr defaultColWidth="8.25" defaultRowHeight="16.5"/>
  <cols>
    <col min="1" max="1" width="2" style="22" customWidth="1"/>
    <col min="2" max="2" width="17.5" style="22" customWidth="1"/>
    <col min="3" max="3" width="14" style="22" bestFit="1" customWidth="1"/>
    <col min="4" max="4" width="11.25" style="22" customWidth="1"/>
    <col min="5" max="5" width="18.875" style="22" customWidth="1"/>
    <col min="6" max="6" width="12.375" style="22" bestFit="1" customWidth="1"/>
    <col min="7" max="16384" width="8.25" style="22"/>
  </cols>
  <sheetData>
    <row r="1" spans="1:14" s="123" customFormat="1" ht="25.5">
      <c r="A1" s="121" t="s">
        <v>107</v>
      </c>
      <c r="B1" s="122"/>
      <c r="C1" s="122"/>
      <c r="D1" s="122"/>
      <c r="E1" s="122"/>
      <c r="F1" s="122"/>
      <c r="G1" s="122"/>
      <c r="H1" s="122"/>
    </row>
    <row r="2" spans="1:14" s="123" customFormat="1" ht="17.25">
      <c r="A2" s="124" t="s">
        <v>923</v>
      </c>
      <c r="B2" s="122"/>
      <c r="C2" s="122"/>
      <c r="D2" s="122"/>
      <c r="E2" s="122"/>
      <c r="F2" s="122"/>
      <c r="G2" s="122"/>
      <c r="H2" s="122"/>
    </row>
    <row r="3" spans="1:14" s="123" customFormat="1" ht="17.25">
      <c r="A3" s="125" t="s">
        <v>911</v>
      </c>
      <c r="B3" s="126"/>
      <c r="C3" s="126"/>
      <c r="D3" s="126"/>
      <c r="E3" s="126"/>
      <c r="F3" s="126"/>
      <c r="G3" s="126"/>
      <c r="H3" s="126"/>
    </row>
    <row r="5" spans="1:14" ht="18" customHeight="1">
      <c r="B5" s="327" t="s">
        <v>920</v>
      </c>
      <c r="C5" s="283"/>
      <c r="D5" s="283"/>
      <c r="E5" s="283"/>
      <c r="G5" s="72"/>
      <c r="H5" s="72"/>
      <c r="I5" s="72"/>
      <c r="J5" s="72"/>
      <c r="K5" s="72"/>
    </row>
    <row r="6" spans="1:14" ht="18" customHeight="1" thickBot="1">
      <c r="B6" s="335" t="s">
        <v>789</v>
      </c>
      <c r="C6" s="335"/>
      <c r="D6" s="335" t="s">
        <v>164</v>
      </c>
      <c r="E6" s="335" t="s">
        <v>790</v>
      </c>
      <c r="G6" s="72"/>
      <c r="H6" s="325" t="s">
        <v>917</v>
      </c>
      <c r="I6" s="326"/>
      <c r="J6" s="326"/>
      <c r="K6" s="326"/>
      <c r="L6" s="324"/>
      <c r="M6" s="324"/>
      <c r="N6" s="324"/>
    </row>
    <row r="7" spans="1:14" ht="18" customHeight="1" thickTop="1">
      <c r="B7" s="23" t="s">
        <v>916</v>
      </c>
      <c r="C7" s="24">
        <f>총매출!F16</f>
        <v>87348.90254322259</v>
      </c>
      <c r="D7" s="23" t="s">
        <v>791</v>
      </c>
      <c r="E7" s="46" t="s">
        <v>33</v>
      </c>
      <c r="G7" s="72"/>
      <c r="H7" s="72"/>
      <c r="I7" s="72"/>
      <c r="J7" s="72"/>
      <c r="K7" s="72"/>
    </row>
    <row r="8" spans="1:14" ht="18" customHeight="1">
      <c r="B8" s="23" t="s">
        <v>792</v>
      </c>
      <c r="C8" s="271">
        <f>AVERAGE('Multiple History'!F21:F24)</f>
        <v>0.14279826059448084</v>
      </c>
      <c r="D8" s="23" t="s">
        <v>793</v>
      </c>
      <c r="E8" s="272" t="s">
        <v>915</v>
      </c>
      <c r="G8" s="72"/>
      <c r="H8" s="72"/>
      <c r="I8" s="279"/>
      <c r="J8" s="277"/>
      <c r="K8" s="277"/>
    </row>
    <row r="9" spans="1:14" ht="18" customHeight="1">
      <c r="B9" s="273" t="s">
        <v>794</v>
      </c>
      <c r="C9" s="274">
        <f>C7*C8</f>
        <v>12473.27134800901</v>
      </c>
      <c r="D9" s="273" t="s">
        <v>791</v>
      </c>
      <c r="E9" s="49" t="s">
        <v>795</v>
      </c>
      <c r="G9" s="72"/>
      <c r="H9" s="72"/>
      <c r="I9" s="278"/>
      <c r="J9" s="72"/>
      <c r="K9" s="72"/>
    </row>
    <row r="10" spans="1:14" ht="18" customHeight="1">
      <c r="B10" s="23" t="s">
        <v>796</v>
      </c>
      <c r="C10" s="25">
        <f>C11+C12</f>
        <v>112410458</v>
      </c>
      <c r="D10" s="23" t="s">
        <v>193</v>
      </c>
      <c r="E10" s="46" t="s">
        <v>918</v>
      </c>
      <c r="F10" s="275"/>
      <c r="G10" s="72"/>
      <c r="H10" s="72"/>
      <c r="I10" s="72"/>
      <c r="J10" s="72"/>
      <c r="K10" s="72"/>
    </row>
    <row r="11" spans="1:14" ht="18" customHeight="1">
      <c r="B11" s="286" t="s">
        <v>105</v>
      </c>
      <c r="C11" s="25">
        <v>111355765</v>
      </c>
      <c r="D11" s="23" t="s">
        <v>929</v>
      </c>
      <c r="E11" s="46" t="s">
        <v>899</v>
      </c>
      <c r="F11" s="275"/>
    </row>
    <row r="12" spans="1:14" ht="18" customHeight="1">
      <c r="B12" s="284" t="s">
        <v>106</v>
      </c>
      <c r="C12" s="510">
        <v>1054693</v>
      </c>
      <c r="D12" s="273" t="s">
        <v>929</v>
      </c>
      <c r="E12" s="49" t="s">
        <v>900</v>
      </c>
      <c r="F12" s="275"/>
    </row>
    <row r="13" spans="1:14" ht="18" customHeight="1">
      <c r="B13" s="23" t="s">
        <v>39</v>
      </c>
      <c r="C13" s="25">
        <f>C9/C10*1000000000</f>
        <v>110961.84082809278</v>
      </c>
      <c r="D13" s="23" t="s">
        <v>109</v>
      </c>
      <c r="E13" s="46" t="s">
        <v>919</v>
      </c>
      <c r="F13" s="275"/>
    </row>
    <row r="14" spans="1:14" ht="18" customHeight="1">
      <c r="B14" s="27" t="s">
        <v>40</v>
      </c>
      <c r="C14" s="28">
        <f>ROUND(C13,-2)</f>
        <v>111000</v>
      </c>
      <c r="D14" s="27" t="s">
        <v>37</v>
      </c>
      <c r="E14" s="48" t="s">
        <v>41</v>
      </c>
    </row>
    <row r="15" spans="1:14" ht="18" customHeight="1">
      <c r="B15" s="23" t="s">
        <v>797</v>
      </c>
      <c r="C15" s="25">
        <v>65200</v>
      </c>
      <c r="D15" s="23" t="s">
        <v>109</v>
      </c>
      <c r="E15" s="46" t="s">
        <v>798</v>
      </c>
      <c r="L15" s="276"/>
    </row>
    <row r="16" spans="1:14" ht="18" customHeight="1" thickBot="1">
      <c r="B16" s="347" t="s">
        <v>43</v>
      </c>
      <c r="C16" s="348">
        <f>(C13/C15-1)*100</f>
        <v>70.186872435725121</v>
      </c>
      <c r="D16" s="347" t="s">
        <v>32</v>
      </c>
      <c r="E16" s="349"/>
      <c r="L16" s="276"/>
    </row>
    <row r="17" spans="2:26" ht="13.9" customHeight="1"/>
    <row r="18" spans="2:26" ht="13.9" customHeight="1">
      <c r="B18" s="72"/>
    </row>
    <row r="19" spans="2:26" s="72" customFormat="1" ht="18.75">
      <c r="G19" s="22"/>
      <c r="H19" s="22"/>
      <c r="I19" s="22"/>
      <c r="J19" s="22"/>
      <c r="K19" s="22"/>
    </row>
    <row r="20" spans="2:26" s="72" customFormat="1" ht="18.75">
      <c r="B20" s="71"/>
      <c r="C20" s="443"/>
      <c r="D20" s="443"/>
      <c r="E20" s="443"/>
      <c r="H20" s="442"/>
      <c r="I20" s="442"/>
      <c r="J20" s="442"/>
      <c r="K20" s="442"/>
      <c r="L20" s="442"/>
      <c r="M20" s="442"/>
      <c r="N20" s="442"/>
    </row>
    <row r="21" spans="2:26" s="72" customFormat="1" ht="18.75"/>
    <row r="22" spans="2:26" s="72" customFormat="1" ht="18.75">
      <c r="C22" s="279"/>
      <c r="D22" s="277"/>
      <c r="E22" s="277"/>
    </row>
    <row r="23" spans="2:26" s="72" customFormat="1" ht="18.75">
      <c r="C23" s="278"/>
    </row>
    <row r="24" spans="2:26" s="72" customFormat="1" ht="18.75">
      <c r="U24" s="277"/>
      <c r="V24" s="277"/>
      <c r="W24" s="277"/>
      <c r="X24" s="277"/>
      <c r="Y24" s="277"/>
      <c r="Z24" s="277"/>
    </row>
  </sheetData>
  <phoneticPr fontId="2"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7D9B1-EFCE-A540-953B-2FC7CE508B95}">
  <sheetPr>
    <tabColor rgb="FF00A84F"/>
  </sheetPr>
  <dimension ref="A1:AK61"/>
  <sheetViews>
    <sheetView zoomScaleNormal="100" workbookViewId="0"/>
  </sheetViews>
  <sheetFormatPr defaultColWidth="12.75" defaultRowHeight="17.25"/>
  <cols>
    <col min="1" max="16384" width="12.75" style="146"/>
  </cols>
  <sheetData>
    <row r="1" spans="1:37" s="123" customFormat="1" ht="40.9" customHeight="1">
      <c r="A1" s="143" t="s">
        <v>910</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row>
    <row r="2" spans="1:37">
      <c r="A2" s="126"/>
      <c r="B2" s="126"/>
      <c r="C2" s="126"/>
      <c r="D2" s="126"/>
      <c r="E2" s="126"/>
      <c r="F2" s="126"/>
      <c r="G2" s="305"/>
      <c r="H2" s="305"/>
      <c r="I2" s="305"/>
      <c r="J2" s="305"/>
      <c r="K2" s="305"/>
      <c r="L2" s="305"/>
      <c r="M2" s="305"/>
      <c r="N2" s="305"/>
      <c r="O2" s="305"/>
      <c r="P2" s="305"/>
      <c r="Q2" s="305"/>
      <c r="R2" s="305"/>
      <c r="S2" s="305"/>
      <c r="T2" s="305"/>
      <c r="U2" s="305"/>
      <c r="V2" s="305"/>
      <c r="W2" s="305"/>
      <c r="X2" s="305"/>
      <c r="Y2" s="305"/>
      <c r="Z2" s="305"/>
      <c r="AA2" s="305"/>
      <c r="AB2" s="305"/>
      <c r="AC2" s="305"/>
      <c r="AD2" s="305"/>
      <c r="AE2" s="305"/>
      <c r="AF2" s="305"/>
      <c r="AG2" s="305"/>
      <c r="AH2" s="305"/>
      <c r="AI2" s="305"/>
      <c r="AJ2" s="305"/>
      <c r="AK2" s="305"/>
    </row>
    <row r="3" spans="1:37">
      <c r="A3" s="126"/>
      <c r="B3" s="126"/>
      <c r="C3" s="126"/>
      <c r="D3" s="126"/>
      <c r="E3" s="126"/>
      <c r="F3" s="126"/>
      <c r="G3" s="305"/>
      <c r="H3" s="305"/>
      <c r="I3" s="305"/>
      <c r="J3" s="305"/>
      <c r="K3" s="305"/>
      <c r="L3" s="305"/>
      <c r="M3" s="305"/>
      <c r="N3" s="305"/>
      <c r="O3" s="305"/>
      <c r="P3" s="305"/>
      <c r="Q3" s="305"/>
      <c r="R3" s="305"/>
      <c r="S3" s="305"/>
      <c r="T3" s="305"/>
      <c r="U3" s="305"/>
      <c r="V3" s="305"/>
      <c r="W3" s="305"/>
      <c r="X3" s="305"/>
      <c r="Y3" s="305"/>
      <c r="Z3" s="305"/>
      <c r="AA3" s="305"/>
      <c r="AB3" s="305"/>
      <c r="AC3" s="305"/>
      <c r="AD3" s="305"/>
      <c r="AE3" s="305"/>
      <c r="AF3" s="305"/>
      <c r="AG3" s="305"/>
      <c r="AH3" s="305"/>
      <c r="AI3" s="305"/>
      <c r="AJ3" s="305"/>
      <c r="AK3" s="305"/>
    </row>
    <row r="4" spans="1:37">
      <c r="A4" s="126"/>
      <c r="B4" s="126"/>
      <c r="C4" s="126"/>
      <c r="D4" s="126"/>
      <c r="E4" s="126"/>
      <c r="F4" s="126"/>
      <c r="G4" s="305"/>
      <c r="H4" s="305"/>
      <c r="I4" s="305"/>
      <c r="J4" s="305"/>
      <c r="K4" s="305"/>
      <c r="L4" s="305"/>
      <c r="M4" s="305"/>
      <c r="N4" s="305"/>
      <c r="O4" s="305"/>
      <c r="P4" s="305"/>
      <c r="Q4" s="305"/>
      <c r="R4" s="305"/>
      <c r="S4" s="305"/>
      <c r="T4" s="305"/>
      <c r="U4" s="305"/>
      <c r="V4" s="305"/>
      <c r="W4" s="305"/>
      <c r="X4" s="305"/>
      <c r="Y4" s="305"/>
      <c r="Z4" s="305"/>
      <c r="AA4" s="305"/>
      <c r="AB4" s="305"/>
      <c r="AC4" s="305"/>
      <c r="AD4" s="305"/>
      <c r="AE4" s="305"/>
      <c r="AF4" s="305"/>
      <c r="AG4" s="305"/>
      <c r="AH4" s="305"/>
      <c r="AI4" s="305"/>
      <c r="AJ4" s="305"/>
      <c r="AK4" s="305"/>
    </row>
    <row r="5" spans="1:37">
      <c r="A5" s="126"/>
      <c r="B5" s="126"/>
      <c r="C5" s="126"/>
      <c r="D5" s="126"/>
      <c r="E5" s="126"/>
      <c r="F5" s="126"/>
      <c r="G5" s="305"/>
      <c r="H5" s="305"/>
      <c r="I5" s="305"/>
      <c r="J5" s="305"/>
      <c r="K5" s="305"/>
      <c r="L5" s="305"/>
      <c r="M5" s="305"/>
      <c r="N5" s="305"/>
      <c r="O5" s="305"/>
      <c r="P5" s="305"/>
      <c r="Q5" s="305"/>
      <c r="R5" s="305"/>
      <c r="S5" s="305"/>
      <c r="T5" s="305"/>
      <c r="U5" s="305"/>
      <c r="V5" s="305"/>
      <c r="W5" s="305"/>
      <c r="X5" s="305"/>
      <c r="Y5" s="305"/>
      <c r="Z5" s="305"/>
      <c r="AA5" s="305"/>
      <c r="AB5" s="305"/>
      <c r="AC5" s="305"/>
      <c r="AD5" s="305"/>
      <c r="AE5" s="305"/>
      <c r="AF5" s="305"/>
      <c r="AG5" s="305"/>
      <c r="AH5" s="305"/>
      <c r="AI5" s="305"/>
      <c r="AJ5" s="305"/>
      <c r="AK5" s="305"/>
    </row>
    <row r="6" spans="1:37">
      <c r="A6" s="126"/>
      <c r="B6" s="126"/>
      <c r="C6" s="126"/>
      <c r="D6" s="126"/>
      <c r="E6" s="126"/>
      <c r="F6" s="126"/>
      <c r="G6" s="305"/>
      <c r="H6" s="305"/>
      <c r="I6" s="305"/>
      <c r="J6" s="305"/>
      <c r="K6" s="305"/>
      <c r="L6" s="305"/>
      <c r="M6" s="305"/>
      <c r="N6" s="305"/>
      <c r="O6" s="305"/>
      <c r="P6" s="305"/>
      <c r="Q6" s="305"/>
      <c r="R6" s="305"/>
      <c r="S6" s="305"/>
      <c r="T6" s="305"/>
      <c r="U6" s="305"/>
      <c r="V6" s="305"/>
      <c r="W6" s="305"/>
      <c r="X6" s="305"/>
      <c r="Y6" s="305"/>
      <c r="Z6" s="305"/>
      <c r="AA6" s="305"/>
      <c r="AB6" s="305"/>
      <c r="AC6" s="305"/>
      <c r="AD6" s="305"/>
      <c r="AE6" s="305"/>
      <c r="AF6" s="305"/>
      <c r="AG6" s="305"/>
      <c r="AH6" s="305"/>
      <c r="AI6" s="305"/>
      <c r="AJ6" s="305"/>
      <c r="AK6" s="305"/>
    </row>
    <row r="7" spans="1:37">
      <c r="A7" s="126"/>
      <c r="B7" s="126"/>
      <c r="C7" s="126"/>
      <c r="D7" s="126"/>
      <c r="E7" s="126"/>
      <c r="F7" s="126"/>
      <c r="G7" s="305"/>
      <c r="H7" s="305"/>
      <c r="I7" s="305"/>
      <c r="J7" s="305"/>
      <c r="K7" s="305"/>
      <c r="L7" s="305"/>
      <c r="M7" s="305"/>
      <c r="N7" s="305"/>
      <c r="O7" s="305"/>
      <c r="P7" s="305"/>
      <c r="Q7" s="305"/>
      <c r="R7" s="305"/>
      <c r="S7" s="305"/>
      <c r="T7" s="305"/>
      <c r="U7" s="305"/>
      <c r="V7" s="305"/>
      <c r="W7" s="305"/>
      <c r="X7" s="305"/>
      <c r="Y7" s="305"/>
      <c r="Z7" s="305"/>
      <c r="AA7" s="305"/>
      <c r="AB7" s="305"/>
      <c r="AC7" s="305"/>
      <c r="AD7" s="305"/>
      <c r="AE7" s="305"/>
      <c r="AF7" s="305"/>
      <c r="AG7" s="305"/>
      <c r="AH7" s="305"/>
      <c r="AI7" s="305"/>
      <c r="AJ7" s="305"/>
      <c r="AK7" s="305"/>
    </row>
    <row r="8" spans="1:37" s="123" customFormat="1" ht="27.6" customHeight="1">
      <c r="A8" s="478" t="s">
        <v>760</v>
      </c>
      <c r="B8" s="478"/>
      <c r="C8" s="478"/>
      <c r="D8" s="478"/>
      <c r="E8" s="478"/>
      <c r="F8" s="144"/>
      <c r="G8" s="144"/>
      <c r="H8" s="144"/>
      <c r="I8" s="144"/>
      <c r="J8" s="144"/>
      <c r="K8" s="144"/>
      <c r="L8" s="144"/>
      <c r="M8" s="144"/>
      <c r="N8" s="144"/>
      <c r="O8" s="144"/>
      <c r="P8" s="144"/>
      <c r="Q8" s="144"/>
      <c r="R8" s="144"/>
      <c r="S8" s="144"/>
      <c r="T8" s="144"/>
      <c r="U8" s="144"/>
      <c r="V8" s="144"/>
      <c r="W8" s="144"/>
      <c r="X8" s="144"/>
      <c r="Y8" s="144"/>
      <c r="Z8" s="144"/>
      <c r="AA8" s="144"/>
      <c r="AB8" s="144"/>
      <c r="AC8" s="144"/>
      <c r="AD8" s="144"/>
      <c r="AE8" s="144"/>
      <c r="AF8" s="144"/>
      <c r="AG8" s="144"/>
      <c r="AH8" s="144"/>
      <c r="AI8" s="144"/>
      <c r="AJ8" s="144"/>
      <c r="AK8" s="144"/>
    </row>
    <row r="9" spans="1:37">
      <c r="A9" s="145"/>
      <c r="B9" s="145"/>
      <c r="C9" s="145"/>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145"/>
      <c r="AH9" s="145"/>
      <c r="AI9" s="145"/>
      <c r="AJ9" s="145"/>
      <c r="AK9" s="145"/>
    </row>
    <row r="10" spans="1:37">
      <c r="A10" s="145"/>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c r="AA10" s="145"/>
      <c r="AB10" s="145"/>
      <c r="AC10" s="145"/>
      <c r="AD10" s="145"/>
      <c r="AE10" s="145"/>
      <c r="AF10" s="145"/>
      <c r="AG10" s="145"/>
      <c r="AH10" s="145"/>
      <c r="AI10" s="145"/>
      <c r="AJ10" s="145"/>
      <c r="AK10" s="145"/>
    </row>
    <row r="11" spans="1:37">
      <c r="A11" s="145"/>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c r="AD11" s="145"/>
      <c r="AE11" s="145"/>
      <c r="AF11" s="145"/>
      <c r="AG11" s="145"/>
      <c r="AH11" s="145"/>
      <c r="AI11" s="145"/>
      <c r="AJ11" s="145"/>
      <c r="AK11" s="145"/>
    </row>
    <row r="12" spans="1:37">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45"/>
      <c r="AH12" s="145"/>
      <c r="AI12" s="145"/>
      <c r="AJ12" s="145"/>
      <c r="AK12" s="145"/>
    </row>
    <row r="13" spans="1:37">
      <c r="A13" s="145"/>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145"/>
      <c r="AH13" s="145"/>
      <c r="AI13" s="145"/>
      <c r="AJ13" s="145"/>
      <c r="AK13" s="145"/>
    </row>
    <row r="14" spans="1:37">
      <c r="A14" s="145"/>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c r="AA14" s="145"/>
      <c r="AB14" s="145"/>
      <c r="AC14" s="145"/>
      <c r="AD14" s="145"/>
      <c r="AE14" s="145"/>
      <c r="AF14" s="145"/>
      <c r="AG14" s="145"/>
      <c r="AH14" s="145"/>
      <c r="AI14" s="145"/>
      <c r="AJ14" s="145"/>
      <c r="AK14" s="145"/>
    </row>
    <row r="15" spans="1:37">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145"/>
      <c r="AH15" s="145"/>
      <c r="AI15" s="145"/>
      <c r="AJ15" s="145"/>
      <c r="AK15" s="145"/>
    </row>
    <row r="16" spans="1:37">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c r="AG16" s="145"/>
      <c r="AH16" s="145"/>
      <c r="AI16" s="145"/>
      <c r="AJ16" s="145"/>
      <c r="AK16" s="145"/>
    </row>
    <row r="17" spans="1:37">
      <c r="A17" s="145"/>
      <c r="B17" s="145"/>
      <c r="C17" s="147" t="s">
        <v>31</v>
      </c>
      <c r="D17" s="145"/>
      <c r="E17" s="145"/>
      <c r="F17" s="145"/>
      <c r="G17" s="145"/>
      <c r="H17" s="145"/>
      <c r="I17" s="145"/>
      <c r="J17" s="145"/>
      <c r="K17" s="145"/>
      <c r="L17" s="145"/>
      <c r="M17" s="145"/>
      <c r="N17" s="145"/>
      <c r="O17" s="145"/>
      <c r="P17" s="145"/>
      <c r="Q17" s="145"/>
      <c r="R17" s="145"/>
      <c r="S17" s="145"/>
      <c r="T17" s="145"/>
      <c r="U17" s="145"/>
      <c r="V17" s="145"/>
      <c r="W17" s="145"/>
      <c r="X17" s="145"/>
      <c r="Y17" s="145"/>
      <c r="Z17" s="145"/>
      <c r="AA17" s="145"/>
      <c r="AB17" s="145"/>
      <c r="AC17" s="145"/>
      <c r="AD17" s="145"/>
      <c r="AE17" s="145"/>
      <c r="AF17" s="145"/>
      <c r="AG17" s="145"/>
      <c r="AH17" s="145"/>
      <c r="AI17" s="145"/>
      <c r="AJ17" s="145"/>
      <c r="AK17" s="145"/>
    </row>
    <row r="18" spans="1:37">
      <c r="A18" s="145"/>
      <c r="B18" s="145"/>
      <c r="C18" s="148" t="s">
        <v>30</v>
      </c>
      <c r="D18" s="145"/>
      <c r="E18" s="145"/>
      <c r="F18" s="145"/>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c r="AG18" s="145"/>
      <c r="AH18" s="145"/>
      <c r="AI18" s="145"/>
      <c r="AJ18" s="145"/>
      <c r="AK18" s="145"/>
    </row>
    <row r="19" spans="1:37">
      <c r="A19" s="145"/>
      <c r="B19" s="145"/>
      <c r="C19" s="148" t="s">
        <v>29</v>
      </c>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c r="AD19" s="145"/>
      <c r="AE19" s="145"/>
      <c r="AF19" s="145"/>
      <c r="AG19" s="145"/>
      <c r="AH19" s="145"/>
      <c r="AI19" s="145"/>
      <c r="AJ19" s="145"/>
      <c r="AK19" s="145"/>
    </row>
    <row r="20" spans="1:37">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c r="AI20" s="145"/>
      <c r="AJ20" s="145"/>
      <c r="AK20" s="145"/>
    </row>
    <row r="21" spans="1:37">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c r="AI21" s="145"/>
      <c r="AJ21" s="145"/>
      <c r="AK21" s="145"/>
    </row>
    <row r="22" spans="1:37">
      <c r="A22" s="14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c r="AI22" s="145"/>
      <c r="AJ22" s="145"/>
      <c r="AK22" s="145"/>
    </row>
    <row r="23" spans="1:37">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5"/>
    </row>
    <row r="24" spans="1:37">
      <c r="A24" s="145"/>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row>
    <row r="25" spans="1:37">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145"/>
      <c r="AH25" s="145"/>
      <c r="AI25" s="145"/>
      <c r="AJ25" s="145"/>
      <c r="AK25" s="145"/>
    </row>
    <row r="26" spans="1:37">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c r="AA26" s="145"/>
      <c r="AB26" s="145"/>
      <c r="AC26" s="145"/>
      <c r="AD26" s="145"/>
      <c r="AE26" s="145"/>
      <c r="AF26" s="145"/>
      <c r="AG26" s="145"/>
      <c r="AH26" s="145"/>
      <c r="AI26" s="145"/>
      <c r="AJ26" s="145"/>
      <c r="AK26" s="145"/>
    </row>
    <row r="27" spans="1:3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c r="AA27" s="145"/>
      <c r="AB27" s="145"/>
      <c r="AC27" s="145"/>
      <c r="AD27" s="145"/>
      <c r="AE27" s="145"/>
      <c r="AF27" s="145"/>
      <c r="AG27" s="145"/>
      <c r="AH27" s="145"/>
      <c r="AI27" s="145"/>
      <c r="AJ27" s="145"/>
      <c r="AK27" s="145"/>
    </row>
    <row r="28" spans="1:37">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c r="AA28" s="145"/>
      <c r="AB28" s="145"/>
      <c r="AC28" s="145"/>
      <c r="AD28" s="145"/>
      <c r="AE28" s="145"/>
      <c r="AF28" s="145"/>
      <c r="AG28" s="145"/>
      <c r="AH28" s="145"/>
      <c r="AI28" s="145"/>
      <c r="AJ28" s="145"/>
      <c r="AK28" s="145"/>
    </row>
    <row r="29" spans="1:37">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145"/>
      <c r="AH29" s="145"/>
      <c r="AI29" s="145"/>
      <c r="AJ29" s="145"/>
      <c r="AK29" s="145"/>
    </row>
    <row r="30" spans="1:37">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c r="AA30" s="145"/>
      <c r="AB30" s="145"/>
      <c r="AC30" s="145"/>
      <c r="AD30" s="145"/>
      <c r="AE30" s="145"/>
      <c r="AF30" s="145"/>
      <c r="AG30" s="145"/>
      <c r="AH30" s="145"/>
      <c r="AI30" s="145"/>
      <c r="AJ30" s="145"/>
      <c r="AK30" s="145"/>
    </row>
    <row r="31" spans="1:37">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c r="AA31" s="145"/>
      <c r="AB31" s="145"/>
      <c r="AC31" s="145"/>
      <c r="AD31" s="145"/>
      <c r="AE31" s="145"/>
      <c r="AF31" s="145"/>
      <c r="AG31" s="145"/>
      <c r="AH31" s="145"/>
      <c r="AI31" s="145"/>
      <c r="AJ31" s="145"/>
      <c r="AK31" s="145"/>
    </row>
    <row r="32" spans="1:37">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145"/>
      <c r="AH32" s="145"/>
      <c r="AI32" s="145"/>
      <c r="AJ32" s="145"/>
      <c r="AK32" s="145"/>
    </row>
    <row r="33" spans="1:37">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c r="AG33" s="145"/>
      <c r="AH33" s="145"/>
      <c r="AI33" s="145"/>
      <c r="AJ33" s="145"/>
      <c r="AK33" s="145"/>
    </row>
    <row r="34" spans="1:37">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c r="AG34" s="145"/>
      <c r="AH34" s="145"/>
      <c r="AI34" s="145"/>
      <c r="AJ34" s="145"/>
      <c r="AK34" s="145"/>
    </row>
    <row r="35" spans="1:37">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45"/>
      <c r="AH35" s="145"/>
      <c r="AI35" s="145"/>
      <c r="AJ35" s="145"/>
      <c r="AK35" s="145"/>
    </row>
    <row r="36" spans="1:37">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45"/>
      <c r="AH36" s="145"/>
      <c r="AI36" s="145"/>
      <c r="AJ36" s="145"/>
      <c r="AK36" s="145"/>
    </row>
    <row r="37" spans="1:37">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45"/>
      <c r="AH37" s="145"/>
      <c r="AI37" s="145"/>
      <c r="AJ37" s="145"/>
      <c r="AK37" s="145"/>
    </row>
    <row r="38" spans="1:37">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45"/>
      <c r="AH38" s="145"/>
      <c r="AI38" s="145"/>
      <c r="AJ38" s="145"/>
      <c r="AK38" s="145"/>
    </row>
    <row r="39" spans="1:37">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145"/>
      <c r="AH39" s="145"/>
      <c r="AI39" s="145"/>
      <c r="AJ39" s="145"/>
      <c r="AK39" s="145"/>
    </row>
    <row r="40" spans="1:37">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45"/>
      <c r="AH40" s="145"/>
      <c r="AI40" s="145"/>
      <c r="AJ40" s="145"/>
      <c r="AK40" s="145"/>
    </row>
    <row r="41" spans="1:37">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c r="AH41" s="145"/>
      <c r="AI41" s="145"/>
      <c r="AJ41" s="145"/>
      <c r="AK41" s="145"/>
    </row>
    <row r="42" spans="1:37">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row>
    <row r="43" spans="1:37">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c r="AH43" s="145"/>
      <c r="AI43" s="145"/>
      <c r="AJ43" s="145"/>
      <c r="AK43" s="145"/>
    </row>
    <row r="44" spans="1:37">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c r="AH44" s="145"/>
      <c r="AI44" s="145"/>
      <c r="AJ44" s="145"/>
      <c r="AK44" s="145"/>
    </row>
    <row r="45" spans="1:37">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c r="AI45" s="145"/>
      <c r="AJ45" s="145"/>
      <c r="AK45" s="145"/>
    </row>
    <row r="46" spans="1:37">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45"/>
      <c r="AH46" s="145"/>
      <c r="AI46" s="145"/>
      <c r="AJ46" s="145"/>
      <c r="AK46" s="145"/>
    </row>
    <row r="47" spans="1:37">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c r="AI47" s="145"/>
      <c r="AJ47" s="145"/>
      <c r="AK47" s="145"/>
    </row>
    <row r="48" spans="1:37">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row>
    <row r="49" spans="1:37">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c r="AI49" s="145"/>
      <c r="AJ49" s="145"/>
      <c r="AK49" s="145"/>
    </row>
    <row r="50" spans="1:37">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row>
    <row r="51" spans="1:37">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c r="AH51" s="145"/>
      <c r="AI51" s="145"/>
      <c r="AJ51" s="145"/>
      <c r="AK51" s="145"/>
    </row>
    <row r="52" spans="1:37">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c r="AH52" s="145"/>
      <c r="AI52" s="145"/>
      <c r="AJ52" s="145"/>
      <c r="AK52" s="145"/>
    </row>
    <row r="53" spans="1:37">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45"/>
      <c r="AH53" s="145"/>
      <c r="AI53" s="145"/>
      <c r="AJ53" s="145"/>
      <c r="AK53" s="145"/>
    </row>
    <row r="54" spans="1:37">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45"/>
      <c r="AH54" s="145"/>
      <c r="AI54" s="145"/>
      <c r="AJ54" s="145"/>
      <c r="AK54" s="145"/>
    </row>
    <row r="55" spans="1:37">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45"/>
      <c r="AH55" s="145"/>
      <c r="AI55" s="145"/>
      <c r="AJ55" s="145"/>
      <c r="AK55" s="145"/>
    </row>
    <row r="56" spans="1:37">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row>
    <row r="57" spans="1:3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45"/>
      <c r="AH57" s="145"/>
      <c r="AI57" s="145"/>
      <c r="AJ57" s="145"/>
      <c r="AK57" s="145"/>
    </row>
    <row r="58" spans="1:37">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45"/>
      <c r="AH58" s="145"/>
      <c r="AI58" s="145"/>
      <c r="AJ58" s="145"/>
      <c r="AK58" s="145"/>
    </row>
    <row r="59" spans="1:37">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c r="AG59" s="145"/>
      <c r="AH59" s="145"/>
      <c r="AI59" s="145"/>
      <c r="AJ59" s="145"/>
      <c r="AK59" s="145"/>
    </row>
    <row r="60" spans="1:37">
      <c r="A60" s="145"/>
    </row>
    <row r="61" spans="1:37">
      <c r="A61" s="145"/>
    </row>
  </sheetData>
  <mergeCells count="1">
    <mergeCell ref="A8:E8"/>
  </mergeCells>
  <phoneticPr fontId="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7326F-E979-40E7-8C0B-76923D3BA12D}">
  <sheetPr>
    <tabColor rgb="FFFFFF00"/>
  </sheetPr>
  <dimension ref="A1:AC83"/>
  <sheetViews>
    <sheetView showGridLines="0" zoomScale="60" zoomScaleNormal="60" workbookViewId="0"/>
  </sheetViews>
  <sheetFormatPr defaultColWidth="8.75" defaultRowHeight="18" customHeight="1"/>
  <cols>
    <col min="1" max="1" width="2.625" customWidth="1"/>
    <col min="2" max="2" width="24.5" customWidth="1"/>
    <col min="3" max="10" width="12.5" customWidth="1"/>
    <col min="11" max="13" width="10.75" customWidth="1"/>
    <col min="14" max="14" width="12.25" bestFit="1" customWidth="1"/>
    <col min="15" max="16" width="12.25" customWidth="1"/>
    <col min="17" max="17" width="11.25" bestFit="1" customWidth="1"/>
    <col min="19" max="19" width="9.25" bestFit="1" customWidth="1"/>
  </cols>
  <sheetData>
    <row r="1" spans="1:29" s="128" customFormat="1" ht="18" customHeight="1">
      <c r="A1" s="127"/>
      <c r="B1" s="480" t="s">
        <v>58</v>
      </c>
      <c r="C1" s="481"/>
      <c r="D1" s="481"/>
      <c r="E1" s="481"/>
    </row>
    <row r="2" spans="1:29" s="128" customFormat="1" ht="18" customHeight="1">
      <c r="A2" s="127"/>
      <c r="B2" s="481"/>
      <c r="C2" s="481"/>
      <c r="D2" s="481"/>
      <c r="E2" s="481"/>
    </row>
    <row r="3" spans="1:29" ht="13.5" customHeight="1">
      <c r="H3" s="54"/>
      <c r="I3" s="54"/>
    </row>
    <row r="4" spans="1:29" ht="18" customHeight="1">
      <c r="B4" s="134" t="s">
        <v>58</v>
      </c>
      <c r="C4" s="134"/>
      <c r="D4" s="134"/>
      <c r="E4" s="134"/>
      <c r="F4" s="134"/>
      <c r="G4" s="134"/>
      <c r="H4" s="134"/>
      <c r="I4" s="134"/>
      <c r="J4" s="134"/>
      <c r="K4" s="1"/>
    </row>
    <row r="5" spans="1:29" ht="18" customHeight="1" thickBot="1">
      <c r="B5" s="2" t="s">
        <v>325</v>
      </c>
      <c r="C5" s="13">
        <v>2022</v>
      </c>
      <c r="D5" s="13">
        <v>2023</v>
      </c>
      <c r="E5" s="3">
        <v>2024</v>
      </c>
      <c r="F5" s="13" t="s">
        <v>0</v>
      </c>
      <c r="G5" s="13" t="s">
        <v>54</v>
      </c>
      <c r="H5" s="13" t="s">
        <v>55</v>
      </c>
      <c r="I5" s="13" t="s">
        <v>56</v>
      </c>
      <c r="J5" s="13" t="s">
        <v>57</v>
      </c>
    </row>
    <row r="6" spans="1:29" s="1" customFormat="1" ht="18" customHeight="1" thickTop="1">
      <c r="B6" s="325" t="s">
        <v>59</v>
      </c>
      <c r="C6" s="50">
        <f t="shared" ref="C6:E6" si="0">SUM(C7, C23)</f>
        <v>20911.448</v>
      </c>
      <c r="D6" s="266">
        <f t="shared" si="0"/>
        <v>23714.235000000001</v>
      </c>
      <c r="E6" s="266">
        <f t="shared" si="0"/>
        <v>27005.385000000002</v>
      </c>
      <c r="F6" s="351">
        <f>SUM(F7, F23)</f>
        <v>29779.338265962597</v>
      </c>
      <c r="G6" s="351">
        <f>SUM(G7, G23)</f>
        <v>30530.247517328819</v>
      </c>
      <c r="H6" s="351">
        <f>SUM(H7, H23)</f>
        <v>33423.884789384872</v>
      </c>
      <c r="I6" s="351">
        <f>SUM(I7, I23)</f>
        <v>34999.720683061634</v>
      </c>
      <c r="J6" s="351">
        <f>SUM(J7, J23)</f>
        <v>34586.956022495775</v>
      </c>
    </row>
    <row r="7" spans="1:29" s="1" customFormat="1" ht="18" customHeight="1">
      <c r="B7" s="358" t="s">
        <v>62</v>
      </c>
      <c r="C7" s="52">
        <f t="shared" ref="C7:J7" si="1">SUM(C8:C10, C16:C17, C21:C22)</f>
        <v>15516.484</v>
      </c>
      <c r="D7" s="52">
        <f t="shared" si="1"/>
        <v>18613.170000000002</v>
      </c>
      <c r="E7" s="52">
        <f t="shared" si="1"/>
        <v>21100.663</v>
      </c>
      <c r="F7" s="260">
        <f>SUM(F8:F10, F16:F17, F21:F22)</f>
        <v>23575.114230553459</v>
      </c>
      <c r="G7" s="260">
        <f>SUM(G8:G10, G16:G17, G21:G22)</f>
        <v>23889.315905776712</v>
      </c>
      <c r="H7" s="260">
        <f>SUM(H8:H10, H16:H17, H21:H22)</f>
        <v>26062.130080205086</v>
      </c>
      <c r="I7" s="260">
        <f t="shared" si="1"/>
        <v>26678.244156379129</v>
      </c>
      <c r="J7" s="260">
        <f t="shared" si="1"/>
        <v>24930.678022652646</v>
      </c>
    </row>
    <row r="8" spans="1:29" s="1" customFormat="1" ht="18" customHeight="1">
      <c r="B8" s="1" t="s">
        <v>65</v>
      </c>
      <c r="C8" s="118">
        <v>855.39400000000001</v>
      </c>
      <c r="D8" s="118">
        <v>815.625</v>
      </c>
      <c r="E8" s="118">
        <v>776.51099999999997</v>
      </c>
      <c r="F8" s="261">
        <f>AVERAGE(C8:E8)</f>
        <v>815.84333333333325</v>
      </c>
      <c r="G8" s="261">
        <f>AVERAGE(D8:F8)</f>
        <v>802.65977777777778</v>
      </c>
      <c r="H8" s="261">
        <f>AVERAGE(E8:G8)</f>
        <v>798.338037037037</v>
      </c>
      <c r="I8" s="261">
        <f>AVERAGE(F8:H8)</f>
        <v>805.61371604938267</v>
      </c>
      <c r="J8" s="261">
        <f>AVERAGE(G8:I8)</f>
        <v>802.20384362139919</v>
      </c>
      <c r="L8" s="1" t="s">
        <v>753</v>
      </c>
    </row>
    <row r="9" spans="1:29" s="1" customFormat="1" ht="18" customHeight="1">
      <c r="B9" s="1" t="s">
        <v>66</v>
      </c>
      <c r="C9" s="51">
        <v>1528.836</v>
      </c>
      <c r="D9" s="51">
        <v>1026.49</v>
      </c>
      <c r="E9" s="51">
        <v>760.79</v>
      </c>
      <c r="F9" s="262">
        <f t="shared" ref="F9:J9" si="2">E9</f>
        <v>760.79</v>
      </c>
      <c r="G9" s="262">
        <f t="shared" si="2"/>
        <v>760.79</v>
      </c>
      <c r="H9" s="262">
        <f t="shared" si="2"/>
        <v>760.79</v>
      </c>
      <c r="I9" s="262">
        <f t="shared" si="2"/>
        <v>760.79</v>
      </c>
      <c r="J9" s="262">
        <f t="shared" si="2"/>
        <v>760.79</v>
      </c>
      <c r="L9" s="1" t="s">
        <v>766</v>
      </c>
    </row>
    <row r="10" spans="1:29" s="1" customFormat="1" ht="18" customHeight="1">
      <c r="B10" s="1" t="s">
        <v>64</v>
      </c>
      <c r="C10" s="51">
        <f t="shared" ref="C10:J10" si="3">SUM(C11:C15)</f>
        <v>7848.7890000000007</v>
      </c>
      <c r="D10" s="51">
        <f t="shared" si="3"/>
        <v>10659.313</v>
      </c>
      <c r="E10" s="51">
        <f t="shared" si="3"/>
        <v>12100.467000000001</v>
      </c>
      <c r="F10" s="262">
        <f t="shared" si="3"/>
        <v>13492.19008563321</v>
      </c>
      <c r="G10" s="262">
        <f t="shared" si="3"/>
        <v>13405.593672343224</v>
      </c>
      <c r="H10" s="262">
        <f t="shared" si="3"/>
        <v>14597.18662282162</v>
      </c>
      <c r="I10" s="262">
        <f t="shared" si="3"/>
        <v>14648.793002739583</v>
      </c>
      <c r="J10" s="262">
        <f t="shared" si="3"/>
        <v>12832.970648183629</v>
      </c>
    </row>
    <row r="11" spans="1:29" s="1" customFormat="1" ht="18" customHeight="1">
      <c r="B11" s="1" t="s">
        <v>725</v>
      </c>
      <c r="C11" s="118">
        <v>4.8819999999999997</v>
      </c>
      <c r="D11" s="118">
        <v>2.3239999999999998</v>
      </c>
      <c r="E11" s="118">
        <v>4.6029999999999998</v>
      </c>
      <c r="F11" s="261">
        <f>AVERAGE(C11:E11)</f>
        <v>3.9363333333333332</v>
      </c>
      <c r="G11" s="261">
        <f>AVERAGE(D11:F11)</f>
        <v>3.6211111111111109</v>
      </c>
      <c r="H11" s="261">
        <f>AVERAGE(E11:G11)</f>
        <v>4.053481481481481</v>
      </c>
      <c r="I11" s="261">
        <f>AVERAGE(F11:H11)</f>
        <v>3.8703086419753086</v>
      </c>
      <c r="J11" s="261">
        <f>AVERAGE(G11:I11)</f>
        <v>3.8483004115226334</v>
      </c>
      <c r="L11" s="1" t="s">
        <v>767</v>
      </c>
    </row>
    <row r="12" spans="1:29" s="1" customFormat="1" ht="18" customHeight="1">
      <c r="B12" s="1" t="s">
        <v>726</v>
      </c>
      <c r="C12" s="118">
        <v>2010.9469999999999</v>
      </c>
      <c r="D12" s="118">
        <v>3376.3719999999998</v>
      </c>
      <c r="E12" s="118">
        <v>5314.6080000000002</v>
      </c>
      <c r="F12" s="261">
        <f>E12*(1+D73)</f>
        <v>6773.4524139326277</v>
      </c>
      <c r="G12" s="261">
        <f>F12*(1+E73)</f>
        <v>6572.785973229069</v>
      </c>
      <c r="H12" s="261">
        <f>G12*(1+F73)</f>
        <v>7600.6295645831533</v>
      </c>
      <c r="I12" s="261">
        <f>H12*(1+G73)</f>
        <v>7526.2463914927193</v>
      </c>
      <c r="J12" s="261">
        <f>I12*(1+H73)</f>
        <v>6200.3540308996808</v>
      </c>
      <c r="L12" s="1" t="s">
        <v>768</v>
      </c>
    </row>
    <row r="13" spans="1:29" s="1" customFormat="1" ht="18" customHeight="1">
      <c r="B13" s="1" t="s">
        <v>751</v>
      </c>
      <c r="C13" s="118">
        <v>3734.7040000000002</v>
      </c>
      <c r="D13" s="118">
        <v>5335.2340000000004</v>
      </c>
      <c r="E13" s="118">
        <v>4684.982</v>
      </c>
      <c r="F13" s="262">
        <f>E13*(1+RATE(6, 0, -$E$13, $J$13))</f>
        <v>4668.163671700584</v>
      </c>
      <c r="G13" s="262">
        <f t="shared" ref="G13:I13" si="4">F13*(1+RATE(6, 0, -$E$7, $J$7))</f>
        <v>4799.7550324474878</v>
      </c>
      <c r="H13" s="262">
        <f t="shared" si="4"/>
        <v>4935.055836016244</v>
      </c>
      <c r="I13" s="262">
        <f t="shared" si="4"/>
        <v>5074.1706482839018</v>
      </c>
      <c r="J13" s="262">
        <f>AVERAGE(C13:E13)</f>
        <v>4584.9733333333334</v>
      </c>
      <c r="L13" s="1" t="s">
        <v>769</v>
      </c>
    </row>
    <row r="14" spans="1:29" s="1" customFormat="1" ht="18" customHeight="1">
      <c r="B14" s="1" t="s">
        <v>727</v>
      </c>
      <c r="C14" s="118">
        <v>862.06299999999999</v>
      </c>
      <c r="D14" s="118">
        <v>895.25599999999997</v>
      </c>
      <c r="E14" s="118">
        <v>817.26900000000001</v>
      </c>
      <c r="F14" s="261">
        <f>AVERAGE(C14:E14)</f>
        <v>858.19599999999991</v>
      </c>
      <c r="G14" s="261">
        <f t="shared" ref="G14:J14" si="5">AVERAGE(D14:F14)</f>
        <v>856.90700000000004</v>
      </c>
      <c r="H14" s="261">
        <f t="shared" si="5"/>
        <v>844.12399999999991</v>
      </c>
      <c r="I14" s="261">
        <f t="shared" si="5"/>
        <v>853.07566666666662</v>
      </c>
      <c r="J14" s="261">
        <f t="shared" si="5"/>
        <v>851.36888888888882</v>
      </c>
      <c r="L14" s="1" t="s">
        <v>713</v>
      </c>
    </row>
    <row r="15" spans="1:29" s="1" customFormat="1" ht="18" customHeight="1">
      <c r="B15" s="1" t="s">
        <v>728</v>
      </c>
      <c r="C15" s="118">
        <v>1236.193</v>
      </c>
      <c r="D15" s="118">
        <v>1050.127</v>
      </c>
      <c r="E15" s="118">
        <v>1279.0050000000001</v>
      </c>
      <c r="F15" s="261">
        <f>AVERAGE(C15:E15)</f>
        <v>1188.4416666666666</v>
      </c>
      <c r="G15" s="261">
        <f>AVERAGE(D15:F15)</f>
        <v>1172.5245555555555</v>
      </c>
      <c r="H15" s="261">
        <f>AVERAGE(E15:G15)</f>
        <v>1213.3237407407407</v>
      </c>
      <c r="I15" s="261">
        <f>AVERAGE(F15:H15)</f>
        <v>1191.4299876543209</v>
      </c>
      <c r="J15" s="261">
        <f>AVERAGE(G15:I15)</f>
        <v>1192.4260946502056</v>
      </c>
      <c r="L15" s="1" t="s">
        <v>713</v>
      </c>
    </row>
    <row r="16" spans="1:29" ht="18" customHeight="1">
      <c r="B16" s="1" t="s">
        <v>729</v>
      </c>
      <c r="C16" s="51">
        <v>5.7889999999999997</v>
      </c>
      <c r="D16" s="51">
        <v>6.6630000000000003</v>
      </c>
      <c r="E16" s="51">
        <v>29.567</v>
      </c>
      <c r="F16" s="262">
        <f>'Expected IS'!F$21*AVERAGE('Expected BS'!$C$16/'Expected IS'!$C$21, 'Expected BS'!$D$16/'Expected IS'!$D$21)</f>
        <v>4.3224388485044321</v>
      </c>
      <c r="G16" s="262">
        <f>'Expected IS'!G$21*AVERAGE('Expected BS'!$C$16/'Expected IS'!$C$21, 'Expected BS'!$D$16/'Expected IS'!$D$21)</f>
        <v>7.8496706208395324</v>
      </c>
      <c r="H16" s="262">
        <f>'Expected IS'!H$21*AVERAGE('Expected BS'!$C$16/'Expected IS'!$C$21, 'Expected BS'!$D$16/'Expected IS'!$D$21)</f>
        <v>10.891219317707034</v>
      </c>
      <c r="I16" s="262">
        <f>'Expected IS'!I$21*AVERAGE('Expected BS'!$C$16/'Expected IS'!$C$21, 'Expected BS'!$D$16/'Expected IS'!$D$21)</f>
        <v>11.33739216837435</v>
      </c>
      <c r="J16" s="262">
        <f>'Expected IS'!J$21*AVERAGE('Expected BS'!$C$16/'Expected IS'!$C$21, 'Expected BS'!$D$16/'Expected IS'!$D$21)</f>
        <v>12.554528407575928</v>
      </c>
      <c r="L16" s="1" t="s">
        <v>909</v>
      </c>
      <c r="M16" s="1"/>
      <c r="N16" s="1"/>
      <c r="O16" s="1"/>
      <c r="P16" s="1"/>
      <c r="Q16" s="1"/>
      <c r="R16" s="1"/>
      <c r="S16" s="1"/>
      <c r="T16" s="1"/>
      <c r="U16" s="1"/>
      <c r="V16" s="1"/>
      <c r="W16" s="1"/>
      <c r="X16" s="1"/>
      <c r="Y16" s="1"/>
      <c r="Z16" s="1"/>
      <c r="AA16" s="1"/>
      <c r="AB16" s="1"/>
      <c r="AC16" s="1"/>
    </row>
    <row r="17" spans="2:12" s="1" customFormat="1" ht="18" customHeight="1">
      <c r="B17" s="1" t="s">
        <v>67</v>
      </c>
      <c r="C17" s="51">
        <f>SUM(C18:C20)</f>
        <v>1303.779</v>
      </c>
      <c r="D17" s="51">
        <f t="shared" ref="D17:J17" si="6">SUM(D18:D20)</f>
        <v>1899.4139999999998</v>
      </c>
      <c r="E17" s="51">
        <f t="shared" si="6"/>
        <v>2287.386</v>
      </c>
      <c r="F17" s="262">
        <f>SUM(F18:F20)</f>
        <v>2915.6424074639331</v>
      </c>
      <c r="G17" s="262">
        <f>SUM(G18:G20)</f>
        <v>2829.6206431434384</v>
      </c>
      <c r="H17" s="262">
        <f t="shared" si="6"/>
        <v>3271.5223216181557</v>
      </c>
      <c r="I17" s="262">
        <f>SUM(I18:I20)</f>
        <v>3239.6634535958883</v>
      </c>
      <c r="J17" s="262">
        <f t="shared" si="6"/>
        <v>2669.1527996371374</v>
      </c>
    </row>
    <row r="18" spans="2:12" s="1" customFormat="1" ht="18" customHeight="1">
      <c r="B18" s="1" t="s">
        <v>730</v>
      </c>
      <c r="C18" s="118">
        <v>815.93700000000001</v>
      </c>
      <c r="D18" s="118">
        <v>1266.75</v>
      </c>
      <c r="E18" s="118">
        <v>1444.048</v>
      </c>
      <c r="F18" s="261">
        <f t="shared" ref="F18:J19" si="7">E18*(1+D$73)</f>
        <v>1840.4349693212712</v>
      </c>
      <c r="G18" s="261">
        <f t="shared" si="7"/>
        <v>1785.9112918712894</v>
      </c>
      <c r="H18" s="261">
        <f t="shared" si="7"/>
        <v>2065.1897414592331</v>
      </c>
      <c r="I18" s="261">
        <f t="shared" si="7"/>
        <v>2044.9788675180325</v>
      </c>
      <c r="J18" s="261">
        <f t="shared" si="7"/>
        <v>1684.7166973768565</v>
      </c>
      <c r="L18" s="1" t="s">
        <v>770</v>
      </c>
    </row>
    <row r="19" spans="2:12" s="1" customFormat="1" ht="18" customHeight="1">
      <c r="B19" s="1" t="s">
        <v>731</v>
      </c>
      <c r="C19" s="118">
        <v>487.84</v>
      </c>
      <c r="D19" s="118">
        <v>630.19799999999998</v>
      </c>
      <c r="E19" s="118">
        <v>842.86300000000006</v>
      </c>
      <c r="F19" s="261">
        <f t="shared" si="7"/>
        <v>1074.2264381426619</v>
      </c>
      <c r="G19" s="261">
        <f t="shared" si="7"/>
        <v>1042.4020179388156</v>
      </c>
      <c r="H19" s="261">
        <f t="shared" si="7"/>
        <v>1205.4114690478114</v>
      </c>
      <c r="I19" s="261">
        <f t="shared" si="7"/>
        <v>1193.6147712630409</v>
      </c>
      <c r="J19" s="261">
        <f t="shared" si="7"/>
        <v>983.33668250719472</v>
      </c>
      <c r="L19" s="1" t="s">
        <v>771</v>
      </c>
    </row>
    <row r="20" spans="2:12" s="1" customFormat="1" ht="18" customHeight="1">
      <c r="B20" s="1" t="s">
        <v>732</v>
      </c>
      <c r="C20" s="118">
        <v>2E-3</v>
      </c>
      <c r="D20" s="118">
        <v>2.4660000000000002</v>
      </c>
      <c r="E20" s="118">
        <v>0.47499999999999998</v>
      </c>
      <c r="F20" s="261">
        <f>AVERAGE(C20:E20)</f>
        <v>0.98099999999999998</v>
      </c>
      <c r="G20" s="261">
        <f>AVERAGE(D20:F20)</f>
        <v>1.3073333333333335</v>
      </c>
      <c r="H20" s="261">
        <f>AVERAGE(E20:G20)</f>
        <v>0.92111111111111121</v>
      </c>
      <c r="I20" s="261">
        <f>AVERAGE(F20:H20)</f>
        <v>1.069814814814815</v>
      </c>
      <c r="J20" s="261">
        <f>AVERAGE(G20:I20)</f>
        <v>1.0994197530864198</v>
      </c>
      <c r="K20" s="29"/>
      <c r="L20" s="1" t="s">
        <v>772</v>
      </c>
    </row>
    <row r="21" spans="2:12" s="1" customFormat="1" ht="18" customHeight="1">
      <c r="B21" s="1" t="s">
        <v>63</v>
      </c>
      <c r="C21" s="51">
        <v>3973.8969999999999</v>
      </c>
      <c r="D21" s="51">
        <v>4205.665</v>
      </c>
      <c r="E21" s="51">
        <v>5130.3720000000003</v>
      </c>
      <c r="F21" s="262">
        <f>E21*(1+RATE(3, 0, -$C$21, $E$21))</f>
        <v>5586.3259652744791</v>
      </c>
      <c r="G21" s="262">
        <f t="shared" ref="G21:J21" si="8">F21*(1+RATE(3, 0, -$C$21, $E$21))</f>
        <v>6082.8021418914341</v>
      </c>
      <c r="H21" s="262">
        <f t="shared" si="8"/>
        <v>6623.4018794105641</v>
      </c>
      <c r="I21" s="262">
        <f t="shared" si="8"/>
        <v>7212.0465918258988</v>
      </c>
      <c r="J21" s="262">
        <f t="shared" si="8"/>
        <v>7853.0062028029024</v>
      </c>
      <c r="K21" s="31"/>
      <c r="L21" s="1" t="s">
        <v>755</v>
      </c>
    </row>
    <row r="22" spans="2:12" s="1" customFormat="1" ht="18" customHeight="1">
      <c r="B22" s="1" t="s">
        <v>733</v>
      </c>
      <c r="C22" s="51"/>
      <c r="D22" s="50"/>
      <c r="E22" s="50">
        <v>15.57</v>
      </c>
      <c r="F22" s="259">
        <v>0</v>
      </c>
      <c r="G22" s="262">
        <v>0</v>
      </c>
      <c r="H22" s="262">
        <v>0</v>
      </c>
      <c r="I22" s="262">
        <v>0</v>
      </c>
      <c r="J22" s="262">
        <v>0</v>
      </c>
      <c r="L22" s="1" t="s">
        <v>714</v>
      </c>
    </row>
    <row r="23" spans="2:12" s="1" customFormat="1" ht="18" customHeight="1">
      <c r="B23" s="358" t="s">
        <v>68</v>
      </c>
      <c r="C23" s="52">
        <f>SUM(C24, C29:C35)</f>
        <v>5394.9640000000009</v>
      </c>
      <c r="D23" s="52">
        <f t="shared" ref="D23:H23" si="9">SUM(D24, D29:D35)</f>
        <v>5101.0649999999996</v>
      </c>
      <c r="E23" s="52">
        <f t="shared" si="9"/>
        <v>5904.7219999999998</v>
      </c>
      <c r="F23" s="260">
        <f t="shared" si="9"/>
        <v>6204.2240354091373</v>
      </c>
      <c r="G23" s="260">
        <f t="shared" si="9"/>
        <v>6640.9316115521087</v>
      </c>
      <c r="H23" s="260">
        <f t="shared" si="9"/>
        <v>7361.754709179786</v>
      </c>
      <c r="I23" s="260">
        <f>SUM(I24, I29:I35)</f>
        <v>8321.4765266825034</v>
      </c>
      <c r="J23" s="260">
        <f t="shared" ref="J23" si="10">SUM(J24, J29:J35)</f>
        <v>9656.277999843127</v>
      </c>
    </row>
    <row r="24" spans="2:12" s="1" customFormat="1" ht="18" customHeight="1">
      <c r="B24" s="1" t="s">
        <v>69</v>
      </c>
      <c r="C24" s="51">
        <f>SUM(C25:C28)</f>
        <v>1048.81</v>
      </c>
      <c r="D24" s="51">
        <f t="shared" ref="D24" si="11">SUM(D25:D28)</f>
        <v>1204.52</v>
      </c>
      <c r="E24" s="51">
        <f>SUM(E25:E28)</f>
        <v>1289.154</v>
      </c>
      <c r="F24" s="262">
        <f>SUM(F25:F28)</f>
        <v>1356.8789253757759</v>
      </c>
      <c r="G24" s="262">
        <f t="shared" ref="G24:J24" si="12">SUM(G25:G28)</f>
        <v>1433.7668895870099</v>
      </c>
      <c r="H24" s="262">
        <f>SUM(H25:H28)</f>
        <v>1516.8606852579996</v>
      </c>
      <c r="I24" s="262">
        <f t="shared" si="12"/>
        <v>1605.090676498832</v>
      </c>
      <c r="J24" s="262">
        <f t="shared" si="12"/>
        <v>1701.1241301165237</v>
      </c>
      <c r="L24" s="120">
        <f>RATE(5, 0, -F24, J24)</f>
        <v>4.6258457256603019E-2</v>
      </c>
    </row>
    <row r="25" spans="2:12" s="1" customFormat="1" ht="18" customHeight="1">
      <c r="B25" s="1" t="s">
        <v>734</v>
      </c>
      <c r="C25" s="118">
        <v>363</v>
      </c>
      <c r="D25" s="118">
        <v>363.04500000000002</v>
      </c>
      <c r="E25" s="118">
        <v>368.27</v>
      </c>
      <c r="F25" s="261">
        <f>AVERAGE(C25:E25)</f>
        <v>364.7716666666667</v>
      </c>
      <c r="G25" s="261">
        <f>AVERAGE(D25:F25)</f>
        <v>365.36222222222227</v>
      </c>
      <c r="H25" s="261">
        <f>AVERAGE(E25:G25)</f>
        <v>366.13462962962967</v>
      </c>
      <c r="I25" s="261">
        <f>AVERAGE(F25:H25)</f>
        <v>365.42283950617292</v>
      </c>
      <c r="J25" s="261">
        <f>AVERAGE(G25:I25)</f>
        <v>365.63989711934164</v>
      </c>
      <c r="K25" s="29"/>
      <c r="L25" s="1" t="s">
        <v>713</v>
      </c>
    </row>
    <row r="26" spans="2:12" s="1" customFormat="1" ht="18" customHeight="1">
      <c r="B26" s="1" t="s">
        <v>735</v>
      </c>
      <c r="C26" s="118">
        <v>487.63400000000001</v>
      </c>
      <c r="D26" s="118">
        <v>628.47400000000005</v>
      </c>
      <c r="E26" s="118">
        <v>677.76800000000003</v>
      </c>
      <c r="F26" s="261">
        <f>E26*(1+$E$26/$D$26-1)</f>
        <v>730.92834679557154</v>
      </c>
      <c r="G26" s="261">
        <f t="shared" ref="G26:J26" si="13">F26*(1+$E$26/$D$26-1)</f>
        <v>788.25829509405469</v>
      </c>
      <c r="H26" s="261">
        <f t="shared" si="13"/>
        <v>850.08488521292406</v>
      </c>
      <c r="I26" s="261">
        <f t="shared" si="13"/>
        <v>916.76080869056329</v>
      </c>
      <c r="J26" s="261">
        <f t="shared" si="13"/>
        <v>988.66642022515759</v>
      </c>
      <c r="K26" s="33"/>
      <c r="L26" s="1" t="s">
        <v>773</v>
      </c>
    </row>
    <row r="27" spans="2:12" s="1" customFormat="1" ht="18" customHeight="1">
      <c r="B27" s="1" t="s">
        <v>736</v>
      </c>
      <c r="C27" s="118">
        <v>19.959</v>
      </c>
      <c r="D27" s="118">
        <v>19.797000000000001</v>
      </c>
      <c r="E27" s="118">
        <v>19.283000000000001</v>
      </c>
      <c r="F27" s="261">
        <f>AVERAGE(C27:E27)</f>
        <v>19.679666666666666</v>
      </c>
      <c r="G27" s="261">
        <f>AVERAGE(D27:F27)</f>
        <v>19.586555555555552</v>
      </c>
      <c r="H27" s="261">
        <f>AVERAGE(E27:G27)</f>
        <v>19.516407407407403</v>
      </c>
      <c r="I27" s="261">
        <f>AVERAGE(F27:H27)</f>
        <v>19.594209876543207</v>
      </c>
      <c r="J27" s="261">
        <f>AVERAGE(G27:I27)</f>
        <v>19.56572427983539</v>
      </c>
      <c r="K27" s="29"/>
      <c r="L27" s="1" t="s">
        <v>713</v>
      </c>
    </row>
    <row r="28" spans="2:12" s="1" customFormat="1" ht="18" customHeight="1">
      <c r="B28" s="1" t="s">
        <v>737</v>
      </c>
      <c r="C28" s="118">
        <v>178.21700000000001</v>
      </c>
      <c r="D28" s="118">
        <v>193.20400000000001</v>
      </c>
      <c r="E28" s="118">
        <v>223.833</v>
      </c>
      <c r="F28" s="262">
        <f>E28*(1+RATE(3, 0, -$C$28, $E$28))</f>
        <v>241.49924524687083</v>
      </c>
      <c r="G28" s="262">
        <f t="shared" ref="G28:J28" si="14">F28*(1+RATE(3, 0, -$C$28, $E$28))</f>
        <v>260.55981671517719</v>
      </c>
      <c r="H28" s="262">
        <f t="shared" si="14"/>
        <v>281.12476300803854</v>
      </c>
      <c r="I28" s="262">
        <f t="shared" si="14"/>
        <v>303.31281842555268</v>
      </c>
      <c r="J28" s="262">
        <f t="shared" si="14"/>
        <v>327.25208849218905</v>
      </c>
      <c r="K28" s="31"/>
      <c r="L28" s="1" t="s">
        <v>774</v>
      </c>
    </row>
    <row r="29" spans="2:12" s="1" customFormat="1" ht="18" customHeight="1">
      <c r="B29" s="1" t="s">
        <v>70</v>
      </c>
      <c r="C29" s="118">
        <v>720.62599999999998</v>
      </c>
      <c r="D29" s="118">
        <v>724.42700000000002</v>
      </c>
      <c r="E29" s="118">
        <v>750.74099999999999</v>
      </c>
      <c r="F29" s="261">
        <f>AVERAGE(C29:E29)</f>
        <v>731.93133333333333</v>
      </c>
      <c r="G29" s="261">
        <f>AVERAGE(D29:F29)</f>
        <v>735.69977777777785</v>
      </c>
      <c r="H29" s="261">
        <f t="shared" ref="H29:J30" si="15">AVERAGE(E29:G29)</f>
        <v>739.45737037037043</v>
      </c>
      <c r="I29" s="261">
        <f t="shared" si="15"/>
        <v>735.69616049382728</v>
      </c>
      <c r="J29" s="261">
        <f t="shared" si="15"/>
        <v>736.9511028806586</v>
      </c>
      <c r="K29" s="29"/>
      <c r="L29" s="1" t="s">
        <v>713</v>
      </c>
    </row>
    <row r="30" spans="2:12" s="1" customFormat="1" ht="18" customHeight="1">
      <c r="B30" s="1" t="s">
        <v>71</v>
      </c>
      <c r="C30" s="118">
        <v>444.48200000000003</v>
      </c>
      <c r="D30" s="118">
        <v>446.36700000000002</v>
      </c>
      <c r="E30" s="118">
        <v>456.52199999999999</v>
      </c>
      <c r="F30" s="261">
        <f>AVERAGE(C30:E30)</f>
        <v>449.12366666666668</v>
      </c>
      <c r="G30" s="261">
        <f>AVERAGE(D30:F30)</f>
        <v>450.6708888888889</v>
      </c>
      <c r="H30" s="261">
        <f>AVERAGE(E30:G30)</f>
        <v>452.10551851851852</v>
      </c>
      <c r="I30" s="261">
        <f t="shared" si="15"/>
        <v>450.6333580246914</v>
      </c>
      <c r="J30" s="261">
        <f t="shared" si="15"/>
        <v>451.13658847736627</v>
      </c>
      <c r="K30" s="29"/>
      <c r="L30" s="1" t="s">
        <v>713</v>
      </c>
    </row>
    <row r="31" spans="2:12" s="1" customFormat="1" ht="18" customHeight="1">
      <c r="B31" s="1" t="s">
        <v>72</v>
      </c>
      <c r="C31" s="118">
        <v>1468.3420000000001</v>
      </c>
      <c r="D31" s="118">
        <v>1130.4639999999999</v>
      </c>
      <c r="E31" s="118">
        <v>1222.068</v>
      </c>
      <c r="F31" s="261">
        <f t="shared" ref="F31:H31" si="16">AVERAGE(C31:E31)</f>
        <v>1273.6246666666666</v>
      </c>
      <c r="G31" s="261">
        <f t="shared" si="16"/>
        <v>1208.7188888888888</v>
      </c>
      <c r="H31" s="261">
        <f t="shared" si="16"/>
        <v>1234.8038518518517</v>
      </c>
      <c r="I31" s="261">
        <f>AVERAGE(F31:H31)</f>
        <v>1239.049135802469</v>
      </c>
      <c r="J31" s="261">
        <f>AVERAGE(G31:I31)</f>
        <v>1227.5239588477364</v>
      </c>
      <c r="K31" s="29"/>
      <c r="L31" s="1" t="s">
        <v>713</v>
      </c>
    </row>
    <row r="32" spans="2:12" s="1" customFormat="1" ht="18" customHeight="1">
      <c r="B32" s="1" t="s">
        <v>73</v>
      </c>
      <c r="C32" s="118">
        <v>88.957999999999998</v>
      </c>
      <c r="D32" s="118">
        <v>86.608000000000004</v>
      </c>
      <c r="E32" s="118">
        <v>168.06399999999999</v>
      </c>
      <c r="F32" s="261">
        <f>AVERAGE(C32:D32)</f>
        <v>87.783000000000001</v>
      </c>
      <c r="G32" s="261">
        <f>AVERAGE(C32:D32, F32)</f>
        <v>87.783000000000001</v>
      </c>
      <c r="H32" s="262">
        <f>AVERAGE(F32:G32, D32)</f>
        <v>87.391333333333321</v>
      </c>
      <c r="I32" s="262">
        <f>AVERAGE(F32:H32)</f>
        <v>87.652444444444441</v>
      </c>
      <c r="J32" s="262">
        <f>AVERAGE(G32:I32)</f>
        <v>87.608925925925917</v>
      </c>
      <c r="L32" s="1" t="s">
        <v>775</v>
      </c>
    </row>
    <row r="33" spans="2:12" s="1" customFormat="1" ht="18" customHeight="1">
      <c r="B33" s="1" t="s">
        <v>74</v>
      </c>
      <c r="C33" s="118">
        <v>1085.7570000000001</v>
      </c>
      <c r="D33" s="118">
        <v>1003.101</v>
      </c>
      <c r="E33" s="118">
        <v>945.07600000000002</v>
      </c>
      <c r="F33" s="262">
        <f>E33*(1+RATE(3,0,-$C$33,$E$33))</f>
        <v>902.35639389101527</v>
      </c>
      <c r="G33" s="262">
        <f t="shared" ref="G33:J33" si="17">F33*(1+RATE(3,0,-$C$33,$E$33))</f>
        <v>861.56781210822953</v>
      </c>
      <c r="H33" s="262">
        <f t="shared" si="17"/>
        <v>822.6229679163938</v>
      </c>
      <c r="I33" s="262">
        <f t="shared" si="17"/>
        <v>785.43852014119659</v>
      </c>
      <c r="J33" s="262">
        <f t="shared" si="17"/>
        <v>749.9348948208459</v>
      </c>
      <c r="L33" s="1" t="s">
        <v>776</v>
      </c>
    </row>
    <row r="34" spans="2:12" s="1" customFormat="1" ht="18" customHeight="1">
      <c r="B34" s="1" t="s">
        <v>738</v>
      </c>
      <c r="C34" s="118">
        <v>248.31</v>
      </c>
      <c r="D34" s="118">
        <v>232.14599999999999</v>
      </c>
      <c r="E34" s="118">
        <v>717.12599999999998</v>
      </c>
      <c r="F34" s="261">
        <f>E34*(1+RATE(3, 0, -$C$34, $E$34))</f>
        <v>1021.243302467645</v>
      </c>
      <c r="G34" s="261">
        <f t="shared" ref="G34:J34" si="18">F34*(1+RATE(3, 0, -$C$34, $E$34))</f>
        <v>1454.330038005904</v>
      </c>
      <c r="H34" s="261">
        <f t="shared" si="18"/>
        <v>2071.079295536691</v>
      </c>
      <c r="I34" s="261">
        <f t="shared" si="18"/>
        <v>2949.3782953710424</v>
      </c>
      <c r="J34" s="261">
        <f t="shared" si="18"/>
        <v>4200.1445082051368</v>
      </c>
      <c r="K34" s="120"/>
      <c r="L34" s="1" t="s">
        <v>777</v>
      </c>
    </row>
    <row r="35" spans="2:12" s="1" customFormat="1" ht="18" customHeight="1" thickBot="1">
      <c r="B35" s="2" t="s">
        <v>75</v>
      </c>
      <c r="C35" s="119">
        <v>289.67899999999997</v>
      </c>
      <c r="D35" s="119">
        <v>273.43200000000002</v>
      </c>
      <c r="E35" s="119">
        <v>355.971</v>
      </c>
      <c r="F35" s="263">
        <f>E35*(1+RATE(3, 0, -$C$35, $E$35))</f>
        <v>381.28274700803468</v>
      </c>
      <c r="G35" s="263">
        <f t="shared" ref="G35:J35" si="19">F35*(1+RATE(3, 0, -$C$35, $E$35))</f>
        <v>408.39431629540883</v>
      </c>
      <c r="H35" s="263">
        <f t="shared" si="19"/>
        <v>437.4336863946267</v>
      </c>
      <c r="I35" s="263">
        <f t="shared" si="19"/>
        <v>468.53793590599918</v>
      </c>
      <c r="J35" s="263">
        <f t="shared" si="19"/>
        <v>501.85389056893359</v>
      </c>
      <c r="K35" s="120"/>
      <c r="L35" s="1" t="s">
        <v>778</v>
      </c>
    </row>
    <row r="36" spans="2:12" s="1" customFormat="1" ht="18" customHeight="1" thickTop="1">
      <c r="B36" s="325" t="s">
        <v>60</v>
      </c>
      <c r="C36" s="50">
        <f>SUM(C37, C52)</f>
        <v>10987.430999999999</v>
      </c>
      <c r="D36" s="266">
        <f t="shared" ref="D36:I36" si="20">SUM(D37, D52)</f>
        <v>13258.980000000003</v>
      </c>
      <c r="E36" s="266">
        <f t="shared" si="20"/>
        <v>17335.972000000002</v>
      </c>
      <c r="F36" s="351">
        <f t="shared" si="20"/>
        <v>19401.995784878167</v>
      </c>
      <c r="G36" s="259">
        <f>SUM(G37, G52)</f>
        <v>19153.818097421838</v>
      </c>
      <c r="H36" s="259">
        <f t="shared" si="20"/>
        <v>20626.331323084738</v>
      </c>
      <c r="I36" s="259">
        <f t="shared" si="20"/>
        <v>20719.322296882387</v>
      </c>
      <c r="J36" s="259">
        <f>SUM(J37, J52)</f>
        <v>18656.691482077033</v>
      </c>
    </row>
    <row r="37" spans="2:12" s="1" customFormat="1" ht="18" customHeight="1">
      <c r="B37" s="358" t="s">
        <v>76</v>
      </c>
      <c r="C37" s="52">
        <f>SUM(C38:C41, C46, C50:C51)</f>
        <v>8757.396999999999</v>
      </c>
      <c r="D37" s="52">
        <f t="shared" ref="D37:H37" si="21">SUM(D38:D41, D46, D50:D51)</f>
        <v>10356.647000000003</v>
      </c>
      <c r="E37" s="52">
        <f t="shared" si="21"/>
        <v>14663.775000000003</v>
      </c>
      <c r="F37" s="260">
        <f t="shared" si="21"/>
        <v>16634.944358112458</v>
      </c>
      <c r="G37" s="260">
        <f>SUM(G38:G41, G46, G50:G51)</f>
        <v>16311.360348266127</v>
      </c>
      <c r="H37" s="260">
        <f t="shared" si="21"/>
        <v>17755.685870843357</v>
      </c>
      <c r="I37" s="260">
        <f>SUM(I38:I41, I46, I50:I51)</f>
        <v>17699.105234901406</v>
      </c>
      <c r="J37" s="260">
        <f>SUM(J38:J41, J46, J50:J51)</f>
        <v>15405.441929064789</v>
      </c>
    </row>
    <row r="38" spans="2:12" s="1" customFormat="1" ht="18" customHeight="1">
      <c r="B38" s="1" t="s">
        <v>77</v>
      </c>
      <c r="C38" s="118">
        <v>83.141999999999996</v>
      </c>
      <c r="D38" s="118">
        <v>248.744</v>
      </c>
      <c r="E38" s="118">
        <v>744.66800000000001</v>
      </c>
      <c r="F38" s="262">
        <f>AVERAGE(C38:D38)</f>
        <v>165.94299999999998</v>
      </c>
      <c r="G38" s="261">
        <f>AVERAGE(C38:D38, F38)</f>
        <v>165.94299999999998</v>
      </c>
      <c r="H38" s="261">
        <f>AVERAGE(D38, F38:G38)</f>
        <v>193.54333333333332</v>
      </c>
      <c r="I38" s="261">
        <f>AVERAGE(F38:H38)</f>
        <v>175.1431111111111</v>
      </c>
      <c r="J38" s="261">
        <f t="shared" ref="I38:J40" si="22">AVERAGE(G38:I38)</f>
        <v>178.20981481481479</v>
      </c>
      <c r="L38" s="1" t="s">
        <v>779</v>
      </c>
    </row>
    <row r="39" spans="2:12" s="1" customFormat="1" ht="18" customHeight="1">
      <c r="B39" s="1" t="s">
        <v>739</v>
      </c>
      <c r="C39" s="118">
        <v>519.36099999999999</v>
      </c>
      <c r="D39" s="118">
        <v>354.36500000000001</v>
      </c>
      <c r="E39" s="118">
        <v>1044.694</v>
      </c>
      <c r="F39" s="262">
        <f>AVERAGE(C39:D39)</f>
        <v>436.863</v>
      </c>
      <c r="G39" s="261">
        <f>AVERAGE(C39:D39, F39)</f>
        <v>436.863</v>
      </c>
      <c r="H39" s="261">
        <f>AVERAGE(D39, F39:G39)</f>
        <v>409.36366666666669</v>
      </c>
      <c r="I39" s="261">
        <f t="shared" si="22"/>
        <v>427.69655555555556</v>
      </c>
      <c r="J39" s="261">
        <f t="shared" si="22"/>
        <v>424.64107407407408</v>
      </c>
      <c r="L39" s="1" t="s">
        <v>779</v>
      </c>
    </row>
    <row r="40" spans="2:12" s="1" customFormat="1" ht="18" customHeight="1">
      <c r="B40" s="1" t="s">
        <v>740</v>
      </c>
      <c r="C40" s="118">
        <v>41.814999999999998</v>
      </c>
      <c r="D40" s="118">
        <v>41.356000000000002</v>
      </c>
      <c r="E40" s="118">
        <v>142.96299999999999</v>
      </c>
      <c r="F40" s="262">
        <f>AVERAGE(C40:D40)</f>
        <v>41.585499999999996</v>
      </c>
      <c r="G40" s="261">
        <f>AVERAGE(C40:D40, F40)</f>
        <v>41.585499999999996</v>
      </c>
      <c r="H40" s="261">
        <f>AVERAGE(D40, F40:G40)</f>
        <v>41.508999999999993</v>
      </c>
      <c r="I40" s="261">
        <f t="shared" si="22"/>
        <v>41.559999999999995</v>
      </c>
      <c r="J40" s="261">
        <f t="shared" si="22"/>
        <v>41.551499999999997</v>
      </c>
      <c r="L40" s="1" t="s">
        <v>779</v>
      </c>
    </row>
    <row r="41" spans="2:12" s="1" customFormat="1" ht="18" customHeight="1">
      <c r="B41" s="1" t="s">
        <v>741</v>
      </c>
      <c r="C41" s="118">
        <f>SUM(C42:C45)</f>
        <v>6806.3629999999994</v>
      </c>
      <c r="D41" s="118">
        <f t="shared" ref="D41:J41" si="23">SUM(D42:D45)</f>
        <v>7714.9430000000011</v>
      </c>
      <c r="E41" s="118">
        <f t="shared" si="23"/>
        <v>9940.0850000000009</v>
      </c>
      <c r="F41" s="261">
        <f t="shared" si="23"/>
        <v>9726.6977034412685</v>
      </c>
      <c r="G41" s="261">
        <f t="shared" si="23"/>
        <v>9915.1068200293539</v>
      </c>
      <c r="H41" s="261">
        <f t="shared" si="23"/>
        <v>10123.938679696003</v>
      </c>
      <c r="I41" s="261">
        <f t="shared" si="23"/>
        <v>10280.58119495167</v>
      </c>
      <c r="J41" s="261">
        <f t="shared" si="23"/>
        <v>10411.618558322407</v>
      </c>
    </row>
    <row r="42" spans="2:12" s="1" customFormat="1" ht="18" customHeight="1">
      <c r="B42" s="256" t="s">
        <v>742</v>
      </c>
      <c r="C42" s="118">
        <v>2598.7959999999998</v>
      </c>
      <c r="D42" s="118">
        <v>3959.03</v>
      </c>
      <c r="E42" s="118">
        <v>4038.6619999999998</v>
      </c>
      <c r="F42" s="262">
        <f>E42*(1+$E$42/$D$42-1)</f>
        <v>4119.8957194676477</v>
      </c>
      <c r="G42" s="262">
        <f t="shared" ref="G42:J42" si="24">F42*(1+$E$42/$D$42-1)</f>
        <v>4202.7633754168701</v>
      </c>
      <c r="H42" s="262">
        <f t="shared" si="24"/>
        <v>4287.2978328751869</v>
      </c>
      <c r="I42" s="262">
        <f t="shared" si="24"/>
        <v>4373.5326179178664</v>
      </c>
      <c r="J42" s="262">
        <f t="shared" si="24"/>
        <v>4461.5019309642539</v>
      </c>
      <c r="L42" s="1" t="s">
        <v>780</v>
      </c>
    </row>
    <row r="43" spans="2:12" s="1" customFormat="1" ht="18" customHeight="1">
      <c r="B43" s="256" t="s">
        <v>743</v>
      </c>
      <c r="C43" s="118">
        <v>1035.2829999999999</v>
      </c>
      <c r="D43" s="118">
        <v>1241.7270000000001</v>
      </c>
      <c r="E43" s="118">
        <v>1519.1610000000001</v>
      </c>
      <c r="F43" s="261">
        <f>E43*(1+RATE(3, 0, -$C$43, $E$43))</f>
        <v>1726.3096939562286</v>
      </c>
      <c r="G43" s="261">
        <f t="shared" ref="G43:J43" si="25">F43*(1+RATE(3, 0, -$C$43, $E$43))</f>
        <v>1961.7046247548794</v>
      </c>
      <c r="H43" s="261">
        <f t="shared" si="25"/>
        <v>2229.1973730191298</v>
      </c>
      <c r="I43" s="261">
        <f t="shared" si="25"/>
        <v>2533.1647105110537</v>
      </c>
      <c r="J43" s="261">
        <f t="shared" si="25"/>
        <v>2878.5802137779046</v>
      </c>
      <c r="K43" s="120"/>
      <c r="L43" s="1" t="s">
        <v>781</v>
      </c>
    </row>
    <row r="44" spans="2:12" s="1" customFormat="1" ht="18" customHeight="1">
      <c r="B44" s="256" t="s">
        <v>744</v>
      </c>
      <c r="C44" s="118">
        <v>2764.33</v>
      </c>
      <c r="D44" s="118">
        <v>1955.6569999999999</v>
      </c>
      <c r="E44" s="118">
        <v>3470.3969999999999</v>
      </c>
      <c r="F44" s="261">
        <f>E44*(1+RATE(6,0,-$E$44,$J$44))</f>
        <v>3254.3762900173929</v>
      </c>
      <c r="G44" s="261">
        <f t="shared" ref="G44:I44" si="26">F44*(1+RATE(6,0,-$E$44,$J$44))</f>
        <v>3051.8021531909376</v>
      </c>
      <c r="H44" s="261">
        <f t="shared" si="26"/>
        <v>2861.837584912797</v>
      </c>
      <c r="I44" s="261">
        <f t="shared" si="26"/>
        <v>2683.6976813375659</v>
      </c>
      <c r="J44" s="261">
        <f>AVERAGE(C44:D44)</f>
        <v>2359.9935</v>
      </c>
      <c r="L44" s="1" t="s">
        <v>754</v>
      </c>
    </row>
    <row r="45" spans="2:12" s="1" customFormat="1" ht="18" customHeight="1">
      <c r="B45" s="256" t="s">
        <v>745</v>
      </c>
      <c r="C45" s="118">
        <v>407.95400000000001</v>
      </c>
      <c r="D45" s="118">
        <v>558.529</v>
      </c>
      <c r="E45" s="118">
        <v>911.86500000000001</v>
      </c>
      <c r="F45" s="261">
        <f>AVERAGE(C45:E45)</f>
        <v>626.11599999999999</v>
      </c>
      <c r="G45" s="261">
        <f>AVERAGE(D45:F45)</f>
        <v>698.8366666666667</v>
      </c>
      <c r="H45" s="261">
        <f>AVERAGE(E45:G45)</f>
        <v>745.6058888888889</v>
      </c>
      <c r="I45" s="261">
        <f>AVERAGE(F45:H45)</f>
        <v>690.18618518518508</v>
      </c>
      <c r="J45" s="261">
        <f>AVERAGE(G45:I45)</f>
        <v>711.54291358024693</v>
      </c>
      <c r="L45" s="1" t="s">
        <v>782</v>
      </c>
    </row>
    <row r="46" spans="2:12" s="1" customFormat="1" ht="18" customHeight="1">
      <c r="B46" s="256" t="s">
        <v>746</v>
      </c>
      <c r="C46" s="118">
        <f>SUM(C47:C49)</f>
        <v>159.75899999999999</v>
      </c>
      <c r="D46" s="118">
        <f t="shared" ref="D46:J46" si="27">SUM(D47:D49)</f>
        <v>306.18900000000002</v>
      </c>
      <c r="E46" s="118">
        <f t="shared" si="27"/>
        <v>724.70799999999997</v>
      </c>
      <c r="F46" s="261">
        <f>SUM(F47:F49)</f>
        <v>328.9975</v>
      </c>
      <c r="G46" s="261">
        <f t="shared" si="27"/>
        <v>331.30016666666666</v>
      </c>
      <c r="H46" s="261">
        <f t="shared" si="27"/>
        <v>338.02522222222217</v>
      </c>
      <c r="I46" s="261">
        <f t="shared" si="27"/>
        <v>332.77429629629626</v>
      </c>
      <c r="J46" s="261">
        <f t="shared" si="27"/>
        <v>334.03322839506171</v>
      </c>
    </row>
    <row r="47" spans="2:12" s="1" customFormat="1" ht="18" customHeight="1">
      <c r="B47" s="256" t="s">
        <v>747</v>
      </c>
      <c r="C47" s="118">
        <v>44.622999999999998</v>
      </c>
      <c r="D47" s="118">
        <v>39.686999999999998</v>
      </c>
      <c r="E47" s="118">
        <v>410.61700000000002</v>
      </c>
      <c r="F47" s="262">
        <f>AVERAGE(C47:D47)</f>
        <v>42.155000000000001</v>
      </c>
      <c r="G47" s="261">
        <f>AVERAGE(C47:D47, F47)</f>
        <v>42.155000000000001</v>
      </c>
      <c r="H47" s="261">
        <f>AVERAGE(D47, F47:G47)</f>
        <v>41.332333333333331</v>
      </c>
      <c r="I47" s="261">
        <f>AVERAGE(F47:H47)</f>
        <v>41.88077777777778</v>
      </c>
      <c r="J47" s="261">
        <f t="shared" ref="J47" si="28">AVERAGE(G47:I47)</f>
        <v>41.789370370370371</v>
      </c>
      <c r="L47" s="1" t="s">
        <v>783</v>
      </c>
    </row>
    <row r="48" spans="2:12" s="1" customFormat="1" ht="18" customHeight="1">
      <c r="B48" s="256" t="s">
        <v>748</v>
      </c>
      <c r="C48" s="118">
        <v>115.136</v>
      </c>
      <c r="D48" s="118">
        <v>136.52600000000001</v>
      </c>
      <c r="E48" s="118">
        <v>114.47</v>
      </c>
      <c r="F48" s="261">
        <f>AVERAGE(C48:E48)</f>
        <v>122.044</v>
      </c>
      <c r="G48" s="261">
        <f t="shared" ref="F48:H49" si="29">AVERAGE(D48:F48)</f>
        <v>124.34666666666668</v>
      </c>
      <c r="H48" s="261">
        <f t="shared" si="29"/>
        <v>120.2868888888889</v>
      </c>
      <c r="I48" s="261">
        <f t="shared" ref="I48:J49" si="30">AVERAGE(F48:H48)</f>
        <v>122.22585185185186</v>
      </c>
      <c r="J48" s="261">
        <f t="shared" si="30"/>
        <v>122.28646913580248</v>
      </c>
      <c r="K48" s="29"/>
      <c r="L48" s="1" t="s">
        <v>713</v>
      </c>
    </row>
    <row r="49" spans="2:29" s="1" customFormat="1" ht="18" customHeight="1">
      <c r="B49" s="256" t="s">
        <v>749</v>
      </c>
      <c r="C49" s="118"/>
      <c r="D49" s="118">
        <v>129.976</v>
      </c>
      <c r="E49" s="118">
        <v>199.62100000000001</v>
      </c>
      <c r="F49" s="261">
        <f t="shared" si="29"/>
        <v>164.79849999999999</v>
      </c>
      <c r="G49" s="261">
        <f t="shared" si="29"/>
        <v>164.79849999999999</v>
      </c>
      <c r="H49" s="261">
        <f t="shared" si="29"/>
        <v>176.40599999999998</v>
      </c>
      <c r="I49" s="261">
        <f t="shared" si="30"/>
        <v>168.66766666666663</v>
      </c>
      <c r="J49" s="261">
        <f t="shared" si="30"/>
        <v>169.95738888888886</v>
      </c>
      <c r="L49" s="1" t="s">
        <v>784</v>
      </c>
    </row>
    <row r="50" spans="2:29" s="1" customFormat="1" ht="18" customHeight="1">
      <c r="B50" s="256" t="s">
        <v>750</v>
      </c>
      <c r="C50" s="118">
        <v>116.798</v>
      </c>
      <c r="D50" s="118">
        <v>93.683000000000007</v>
      </c>
      <c r="E50" s="118">
        <v>51.164000000000001</v>
      </c>
      <c r="F50" s="262">
        <f>'Expected IS'!F$21*AVERAGE('Expected BS'!$C$50/'Expected IS'!$C$21, 'Expected BS'!$D$50/'Expected IS'!$D$21)</f>
        <v>73.11769753525023</v>
      </c>
      <c r="G50" s="262">
        <f>'Expected IS'!G$21*AVERAGE('Expected BS'!$C$50/'Expected IS'!$C$21, 'Expected BS'!$D$50/'Expected IS'!$D$21)</f>
        <v>132.78379690772766</v>
      </c>
      <c r="H50" s="262">
        <f>'Expected IS'!H$21*AVERAGE('Expected BS'!$C$50/'Expected IS'!$C$21, 'Expected BS'!$D$50/'Expected IS'!$D$21)</f>
        <v>184.23415756077426</v>
      </c>
      <c r="I50" s="262">
        <f>'Expected IS'!I$21*AVERAGE('Expected BS'!$C$50/'Expected IS'!$C$21, 'Expected BS'!$D$50/'Expected IS'!$D$21)</f>
        <v>191.78154751513321</v>
      </c>
      <c r="J50" s="262">
        <f>'Expected IS'!J$21*AVERAGE('Expected BS'!$C$50/'Expected IS'!$C$21, 'Expected BS'!$D$50/'Expected IS'!$D$21)</f>
        <v>212.37043321514145</v>
      </c>
      <c r="L50" s="1" t="s">
        <v>909</v>
      </c>
    </row>
    <row r="51" spans="2:29" s="1" customFormat="1" ht="18" customHeight="1">
      <c r="B51" s="257" t="s">
        <v>78</v>
      </c>
      <c r="C51" s="258">
        <v>1030.1590000000001</v>
      </c>
      <c r="D51" s="258">
        <v>1597.367</v>
      </c>
      <c r="E51" s="258">
        <v>2015.4929999999999</v>
      </c>
      <c r="F51" s="259">
        <v>5861.7399571359401</v>
      </c>
      <c r="G51" s="262">
        <v>5287.7780646623796</v>
      </c>
      <c r="H51" s="262">
        <v>6465.0718113643597</v>
      </c>
      <c r="I51" s="262">
        <v>6249.5685294716404</v>
      </c>
      <c r="J51" s="262">
        <v>3803.0173202432902</v>
      </c>
      <c r="L51" s="1" t="s">
        <v>785</v>
      </c>
    </row>
    <row r="52" spans="2:29" s="1" customFormat="1" ht="18" customHeight="1">
      <c r="B52" s="358" t="s">
        <v>79</v>
      </c>
      <c r="C52" s="52">
        <f>SUM(C53:C60)</f>
        <v>2230.0339999999997</v>
      </c>
      <c r="D52" s="52">
        <f t="shared" ref="D52:J52" si="31">SUM(D53:D60)</f>
        <v>2902.3330000000001</v>
      </c>
      <c r="E52" s="52">
        <f t="shared" si="31"/>
        <v>2672.1970000000001</v>
      </c>
      <c r="F52" s="259">
        <f t="shared" si="31"/>
        <v>2767.051426765709</v>
      </c>
      <c r="G52" s="260">
        <f t="shared" si="31"/>
        <v>2842.4577491557088</v>
      </c>
      <c r="H52" s="260">
        <f t="shared" si="31"/>
        <v>2870.6454522413801</v>
      </c>
      <c r="I52" s="260">
        <f t="shared" si="31"/>
        <v>3020.2170619809799</v>
      </c>
      <c r="J52" s="260">
        <f t="shared" si="31"/>
        <v>3251.2495530122442</v>
      </c>
    </row>
    <row r="53" spans="2:29" ht="18" customHeight="1">
      <c r="B53" s="1" t="s">
        <v>80</v>
      </c>
      <c r="C53" s="118">
        <v>1017.694</v>
      </c>
      <c r="D53" s="118">
        <v>1207.22</v>
      </c>
      <c r="E53" s="118">
        <v>928.04700000000003</v>
      </c>
      <c r="F53" s="261">
        <f>AVERAGE(C53:E53)</f>
        <v>1050.9869999999999</v>
      </c>
      <c r="G53" s="261">
        <f>AVERAGE(D53:F53)</f>
        <v>1062.0846666666666</v>
      </c>
      <c r="H53" s="261">
        <f>AVERAGE(E53:G53)</f>
        <v>1013.7062222222221</v>
      </c>
      <c r="I53" s="261">
        <f>AVERAGE(F53:H53)</f>
        <v>1042.2592962962963</v>
      </c>
      <c r="J53" s="261">
        <f>AVERAGE(G53:I53)</f>
        <v>1039.3500617283951</v>
      </c>
      <c r="K53" s="29"/>
      <c r="L53" s="1" t="s">
        <v>713</v>
      </c>
      <c r="M53" s="1"/>
      <c r="N53" s="1"/>
      <c r="O53" s="1"/>
      <c r="P53" s="1"/>
      <c r="Q53" s="1"/>
      <c r="R53" s="1"/>
      <c r="S53" s="1"/>
      <c r="T53" s="1"/>
      <c r="U53" s="1"/>
      <c r="V53" s="1"/>
      <c r="W53" s="1"/>
      <c r="X53" s="1"/>
      <c r="Y53" s="1"/>
      <c r="Z53" s="1"/>
      <c r="AA53" s="1"/>
      <c r="AB53" s="1"/>
      <c r="AC53" s="1"/>
    </row>
    <row r="54" spans="2:29" ht="18" customHeight="1">
      <c r="B54" s="1" t="s">
        <v>81</v>
      </c>
      <c r="C54" s="118">
        <v>193.53100000000001</v>
      </c>
      <c r="D54" s="118">
        <v>563.60900000000004</v>
      </c>
      <c r="E54" s="118">
        <v>598.21199999999999</v>
      </c>
      <c r="F54" s="261">
        <f>AVERAGE(D54:E54)</f>
        <v>580.91049999999996</v>
      </c>
      <c r="G54" s="261">
        <f>AVERAGE(D54:F54)</f>
        <v>580.91049999999996</v>
      </c>
      <c r="H54" s="261">
        <f>AVERAGE(E54:G54)</f>
        <v>586.6776666666666</v>
      </c>
      <c r="I54" s="261">
        <f>AVERAGE(F54:H54)</f>
        <v>582.83288888888876</v>
      </c>
      <c r="J54" s="261">
        <f>AVERAGE(G54:I54)</f>
        <v>583.47368518518499</v>
      </c>
      <c r="K54" s="1"/>
      <c r="L54" s="1" t="s">
        <v>786</v>
      </c>
      <c r="M54" s="1"/>
      <c r="N54" s="1"/>
      <c r="O54" s="1"/>
      <c r="P54" s="1"/>
      <c r="Q54" s="1"/>
      <c r="R54" s="1"/>
      <c r="S54" s="1"/>
      <c r="T54" s="1"/>
      <c r="U54" s="1"/>
      <c r="V54" s="1"/>
      <c r="W54" s="1"/>
      <c r="X54" s="1"/>
      <c r="Y54" s="1"/>
      <c r="Z54" s="1"/>
      <c r="AA54" s="1"/>
      <c r="AB54" s="1"/>
      <c r="AC54" s="1"/>
    </row>
    <row r="55" spans="2:29" ht="18" customHeight="1">
      <c r="B55" s="1" t="s">
        <v>715</v>
      </c>
      <c r="C55" s="118">
        <v>141.28200000000001</v>
      </c>
      <c r="D55" s="118">
        <v>128.16399999999999</v>
      </c>
      <c r="E55" s="118">
        <v>185.79400000000001</v>
      </c>
      <c r="F55" s="261">
        <f>AVERAGE(C55:E55)</f>
        <v>151.74666666666667</v>
      </c>
      <c r="G55" s="261">
        <f t="shared" ref="G55:J56" si="32">AVERAGE(D55:F55)</f>
        <v>155.23488888888889</v>
      </c>
      <c r="H55" s="261">
        <f t="shared" si="32"/>
        <v>164.25851851851851</v>
      </c>
      <c r="I55" s="261">
        <f t="shared" si="32"/>
        <v>157.08002469135803</v>
      </c>
      <c r="J55" s="261">
        <f t="shared" si="32"/>
        <v>158.8578106995885</v>
      </c>
      <c r="K55" s="29"/>
      <c r="L55" s="1" t="s">
        <v>720</v>
      </c>
      <c r="M55" s="1"/>
      <c r="N55" s="1"/>
      <c r="O55" s="1"/>
      <c r="P55" s="1"/>
      <c r="Q55" s="1"/>
      <c r="R55" s="1"/>
      <c r="S55" s="1"/>
      <c r="T55" s="1"/>
      <c r="U55" s="1"/>
      <c r="V55" s="1"/>
      <c r="W55" s="1"/>
      <c r="X55" s="1"/>
      <c r="Y55" s="1"/>
      <c r="Z55" s="1"/>
      <c r="AA55" s="1"/>
      <c r="AB55" s="1"/>
      <c r="AC55" s="1"/>
    </row>
    <row r="56" spans="2:29" ht="18" customHeight="1">
      <c r="B56" s="1" t="s">
        <v>716</v>
      </c>
      <c r="C56" s="118">
        <v>277.18200000000002</v>
      </c>
      <c r="D56" s="118">
        <v>360.02699999999999</v>
      </c>
      <c r="E56" s="118">
        <v>322.77300000000002</v>
      </c>
      <c r="F56" s="261">
        <f>AVERAGE(C56:E56)</f>
        <v>319.99400000000003</v>
      </c>
      <c r="G56" s="261">
        <f>AVERAGE(D56:F56)</f>
        <v>334.26466666666664</v>
      </c>
      <c r="H56" s="261">
        <f>AVERAGE(E56:G56)</f>
        <v>325.67722222222227</v>
      </c>
      <c r="I56" s="261">
        <f>AVERAGE(F56:H56)</f>
        <v>326.64529629629629</v>
      </c>
      <c r="J56" s="261">
        <f t="shared" si="32"/>
        <v>328.86239506172842</v>
      </c>
      <c r="K56" s="29"/>
      <c r="L56" s="1" t="s">
        <v>720</v>
      </c>
      <c r="M56" s="1"/>
      <c r="N56" s="1"/>
      <c r="O56" s="1"/>
      <c r="P56" s="1"/>
      <c r="Q56" s="1"/>
      <c r="R56" s="1"/>
      <c r="S56" s="1"/>
      <c r="T56" s="1"/>
      <c r="U56" s="1"/>
      <c r="V56" s="1"/>
      <c r="W56" s="1"/>
      <c r="X56" s="1"/>
      <c r="Y56" s="1"/>
      <c r="Z56" s="1"/>
      <c r="AA56" s="1"/>
      <c r="AB56" s="1"/>
      <c r="AC56" s="1"/>
    </row>
    <row r="57" spans="2:29" ht="18" customHeight="1">
      <c r="B57" s="1" t="s">
        <v>717</v>
      </c>
      <c r="C57" s="118">
        <v>44.046999999999997</v>
      </c>
      <c r="D57" s="118">
        <v>50.591000000000001</v>
      </c>
      <c r="E57" s="118">
        <v>70.661000000000001</v>
      </c>
      <c r="F57" s="261">
        <f>AVERAGE(C57:E57)</f>
        <v>55.099666666666671</v>
      </c>
      <c r="G57" s="261">
        <f>AVERAGE(D57:F57)</f>
        <v>58.783888888888896</v>
      </c>
      <c r="H57" s="261">
        <f t="shared" ref="H57" si="33">AVERAGE(E57:G57)</f>
        <v>61.514851851851859</v>
      </c>
      <c r="I57" s="261">
        <f>AVERAGE(F57:H57)</f>
        <v>58.466135802469147</v>
      </c>
      <c r="J57" s="261">
        <f>AVERAGE(G57:I57)</f>
        <v>59.588292181069967</v>
      </c>
      <c r="K57" s="29"/>
      <c r="L57" s="1" t="s">
        <v>787</v>
      </c>
      <c r="M57" s="1"/>
      <c r="N57" s="1"/>
      <c r="O57" s="1"/>
      <c r="P57" s="1"/>
      <c r="Q57" s="1"/>
      <c r="R57" s="1"/>
      <c r="S57" s="1"/>
      <c r="T57" s="1"/>
      <c r="U57" s="1"/>
      <c r="V57" s="1"/>
      <c r="W57" s="1"/>
      <c r="X57" s="1"/>
      <c r="Y57" s="1"/>
      <c r="Z57" s="1"/>
      <c r="AA57" s="1"/>
      <c r="AB57" s="1"/>
      <c r="AC57" s="1"/>
    </row>
    <row r="58" spans="2:29" ht="18" customHeight="1">
      <c r="B58" s="1" t="s">
        <v>718</v>
      </c>
      <c r="C58" s="118">
        <v>500.79700000000003</v>
      </c>
      <c r="D58" s="118">
        <v>515.09</v>
      </c>
      <c r="E58" s="118">
        <v>483.10300000000001</v>
      </c>
      <c r="F58" s="261">
        <f>AVERAGE(C58:E58)</f>
        <v>499.66333333333336</v>
      </c>
      <c r="G58" s="261">
        <f>AVERAGE(D58:F58)</f>
        <v>499.28544444444447</v>
      </c>
      <c r="H58" s="261">
        <f>AVERAGE(E58:G58)</f>
        <v>494.01725925925922</v>
      </c>
      <c r="I58" s="261">
        <f t="shared" ref="I58" si="34">AVERAGE(F58:H58)</f>
        <v>497.65534567901233</v>
      </c>
      <c r="J58" s="261">
        <f>AVERAGE(G58:I58)</f>
        <v>496.98601646090532</v>
      </c>
      <c r="K58" s="29"/>
      <c r="L58" s="1" t="s">
        <v>713</v>
      </c>
      <c r="M58" s="1"/>
      <c r="N58" s="1"/>
      <c r="O58" s="1"/>
      <c r="P58" s="1"/>
      <c r="Q58" s="1"/>
      <c r="R58" s="1"/>
      <c r="S58" s="1"/>
      <c r="T58" s="1"/>
      <c r="U58" s="1"/>
      <c r="V58" s="1"/>
      <c r="W58" s="1"/>
      <c r="X58" s="1"/>
      <c r="Y58" s="1"/>
      <c r="Z58" s="1"/>
      <c r="AA58" s="1"/>
      <c r="AB58" s="1"/>
      <c r="AC58" s="1"/>
    </row>
    <row r="59" spans="2:29" ht="18" customHeight="1">
      <c r="B59" s="1" t="s">
        <v>719</v>
      </c>
      <c r="C59" s="118">
        <v>5.819</v>
      </c>
      <c r="D59" s="118">
        <v>20.048999999999999</v>
      </c>
      <c r="E59" s="118">
        <v>31.608000000000001</v>
      </c>
      <c r="F59" s="261">
        <f>E59*(1+RATE(3, 0, -$C$59, $E$59))</f>
        <v>55.562260099042412</v>
      </c>
      <c r="G59" s="261">
        <f t="shared" ref="G59:J59" si="35">F59*(1+RATE(3, 0, -$C$59, $E$59))</f>
        <v>97.670360266819813</v>
      </c>
      <c r="H59" s="261">
        <f t="shared" si="35"/>
        <v>171.69026705619527</v>
      </c>
      <c r="I59" s="261">
        <f t="shared" si="35"/>
        <v>301.80648173406649</v>
      </c>
      <c r="J59" s="261">
        <f t="shared" si="35"/>
        <v>530.5318349052485</v>
      </c>
      <c r="K59" s="1"/>
      <c r="L59" s="1" t="s">
        <v>777</v>
      </c>
      <c r="M59" s="1"/>
      <c r="N59" s="1"/>
      <c r="O59" s="1"/>
      <c r="P59" s="1"/>
      <c r="Q59" s="1"/>
      <c r="R59" s="1"/>
      <c r="S59" s="1"/>
      <c r="T59" s="1"/>
      <c r="U59" s="1"/>
      <c r="V59" s="1"/>
      <c r="W59" s="1"/>
      <c r="X59" s="1"/>
      <c r="Y59" s="1"/>
      <c r="Z59" s="1"/>
      <c r="AA59" s="1"/>
      <c r="AB59" s="1"/>
      <c r="AC59" s="1"/>
    </row>
    <row r="60" spans="2:29" ht="18" customHeight="1" thickBot="1">
      <c r="B60" s="2" t="s">
        <v>82</v>
      </c>
      <c r="C60" s="119">
        <v>49.682000000000002</v>
      </c>
      <c r="D60" s="119">
        <v>57.582999999999998</v>
      </c>
      <c r="E60" s="119">
        <v>51.999000000000002</v>
      </c>
      <c r="F60" s="264">
        <f>AVERAGE(C60:E60)</f>
        <v>53.088000000000001</v>
      </c>
      <c r="G60" s="264">
        <f t="shared" ref="G60" si="36">AVERAGE(D60:F60)</f>
        <v>54.223333333333329</v>
      </c>
      <c r="H60" s="264">
        <f>AVERAGE(E60:G60)</f>
        <v>53.103444444444449</v>
      </c>
      <c r="I60" s="264">
        <f>AVERAGE(F60:H60)</f>
        <v>53.471592592592593</v>
      </c>
      <c r="J60" s="264">
        <f>AVERAGE(G60:I60)</f>
        <v>53.599456790123462</v>
      </c>
      <c r="K60" s="29"/>
      <c r="L60" s="1" t="s">
        <v>720</v>
      </c>
      <c r="M60" s="1"/>
      <c r="N60" s="1"/>
      <c r="O60" s="1"/>
      <c r="P60" s="1"/>
      <c r="Q60" s="1"/>
      <c r="R60" s="1"/>
      <c r="S60" s="1"/>
      <c r="T60" s="1"/>
      <c r="U60" s="1"/>
      <c r="V60" s="1"/>
      <c r="W60" s="1"/>
      <c r="X60" s="1"/>
      <c r="Y60" s="1"/>
      <c r="Z60" s="1"/>
      <c r="AA60" s="1"/>
      <c r="AB60" s="1"/>
      <c r="AC60" s="1"/>
    </row>
    <row r="61" spans="2:29" ht="18" customHeight="1" thickTop="1">
      <c r="B61" s="325" t="s">
        <v>61</v>
      </c>
      <c r="C61" s="50">
        <f>SUM(C62, C68)</f>
        <v>9924.277</v>
      </c>
      <c r="D61" s="266">
        <f t="shared" ref="D61:I61" si="37">SUM(D62, D68)</f>
        <v>10455.515000000001</v>
      </c>
      <c r="E61" s="266">
        <f t="shared" si="37"/>
        <v>9669.4130000000005</v>
      </c>
      <c r="F61" s="351">
        <f>SUM(F62, F68)</f>
        <v>10377.153031342175</v>
      </c>
      <c r="G61" s="259">
        <f>SUM(G62, G68)</f>
        <v>11377.152209929851</v>
      </c>
      <c r="H61" s="259">
        <f t="shared" si="37"/>
        <v>12797.588197098215</v>
      </c>
      <c r="I61" s="259">
        <f t="shared" si="37"/>
        <v>14279.699175563979</v>
      </c>
      <c r="J61" s="259">
        <f>SUM(J62, J68)</f>
        <v>15930.05630985978</v>
      </c>
      <c r="K61" s="1"/>
      <c r="L61" s="1"/>
      <c r="M61" s="1"/>
      <c r="N61" s="1"/>
      <c r="O61" s="1"/>
      <c r="P61" s="1"/>
      <c r="Q61" s="1"/>
      <c r="R61" s="1"/>
      <c r="S61" s="1"/>
      <c r="T61" s="1"/>
      <c r="U61" s="1"/>
      <c r="V61" s="1"/>
      <c r="W61" s="1"/>
      <c r="X61" s="1"/>
      <c r="Y61" s="1"/>
      <c r="Z61" s="1"/>
      <c r="AA61" s="1"/>
      <c r="AB61" s="1"/>
      <c r="AC61" s="1"/>
    </row>
    <row r="62" spans="2:29" ht="18" customHeight="1">
      <c r="B62" s="358" t="s">
        <v>83</v>
      </c>
      <c r="C62" s="52">
        <f>SUM(C63:C67)</f>
        <v>7686.6770000000006</v>
      </c>
      <c r="D62" s="52">
        <f t="shared" ref="D62:J62" si="38">SUM(D63:D67)</f>
        <v>8136.6510000000007</v>
      </c>
      <c r="E62" s="52">
        <f t="shared" si="38"/>
        <v>8025.41</v>
      </c>
      <c r="F62" s="260">
        <f>SUM(F63:F67)</f>
        <v>8233.7864772478206</v>
      </c>
      <c r="G62" s="260">
        <f>SUM(G63:G67)</f>
        <v>9027.2391409066877</v>
      </c>
      <c r="H62" s="260">
        <f t="shared" si="38"/>
        <v>10154.288784254806</v>
      </c>
      <c r="I62" s="260">
        <f t="shared" si="38"/>
        <v>11330.274653925802</v>
      </c>
      <c r="J62" s="260">
        <f t="shared" si="38"/>
        <v>12639.75599374533</v>
      </c>
      <c r="K62" s="1"/>
      <c r="L62" s="1"/>
      <c r="M62" s="1"/>
      <c r="N62" s="1"/>
      <c r="O62" s="1"/>
      <c r="P62" s="1"/>
      <c r="Q62" s="1"/>
      <c r="R62" s="1"/>
      <c r="S62" s="1"/>
      <c r="T62" s="1"/>
      <c r="U62" s="1"/>
      <c r="V62" s="1"/>
      <c r="W62" s="1"/>
      <c r="X62" s="1"/>
      <c r="Y62" s="1"/>
      <c r="Z62" s="1"/>
      <c r="AA62" s="1"/>
      <c r="AB62" s="1"/>
      <c r="AC62" s="1"/>
    </row>
    <row r="63" spans="2:29" ht="18" customHeight="1">
      <c r="B63" s="1" t="s">
        <v>84</v>
      </c>
      <c r="C63" s="118">
        <v>562.05200000000002</v>
      </c>
      <c r="D63" s="118">
        <v>562.05200000000002</v>
      </c>
      <c r="E63" s="118">
        <v>562.05200000000002</v>
      </c>
      <c r="F63" s="261">
        <f t="shared" ref="F63:J63" si="39">E63</f>
        <v>562.05200000000002</v>
      </c>
      <c r="G63" s="261">
        <f t="shared" si="39"/>
        <v>562.05200000000002</v>
      </c>
      <c r="H63" s="261">
        <f t="shared" si="39"/>
        <v>562.05200000000002</v>
      </c>
      <c r="I63" s="261">
        <f t="shared" si="39"/>
        <v>562.05200000000002</v>
      </c>
      <c r="J63" s="261">
        <f t="shared" si="39"/>
        <v>562.05200000000002</v>
      </c>
      <c r="K63" s="1"/>
      <c r="L63" s="1" t="s">
        <v>721</v>
      </c>
      <c r="M63" s="1"/>
      <c r="N63" s="1"/>
      <c r="O63" s="1"/>
      <c r="P63" s="1"/>
      <c r="Q63" s="1"/>
      <c r="R63" s="1"/>
      <c r="S63" s="1"/>
      <c r="T63" s="1"/>
      <c r="U63" s="1"/>
      <c r="V63" s="1"/>
      <c r="W63" s="1"/>
      <c r="X63" s="1"/>
      <c r="Y63" s="1"/>
      <c r="Z63" s="1"/>
      <c r="AA63" s="1"/>
      <c r="AB63" s="1"/>
      <c r="AC63" s="1"/>
    </row>
    <row r="64" spans="2:29" ht="18" customHeight="1">
      <c r="B64" s="1" t="s">
        <v>86</v>
      </c>
      <c r="C64" s="118">
        <v>1095.3240000000001</v>
      </c>
      <c r="D64" s="118">
        <v>1095.3240000000001</v>
      </c>
      <c r="E64" s="118">
        <v>1095.31</v>
      </c>
      <c r="F64" s="261">
        <f t="shared" ref="F64:J64" si="40">E64</f>
        <v>1095.31</v>
      </c>
      <c r="G64" s="261">
        <f t="shared" si="40"/>
        <v>1095.31</v>
      </c>
      <c r="H64" s="261">
        <f t="shared" si="40"/>
        <v>1095.31</v>
      </c>
      <c r="I64" s="261">
        <f t="shared" si="40"/>
        <v>1095.31</v>
      </c>
      <c r="J64" s="261">
        <f t="shared" si="40"/>
        <v>1095.31</v>
      </c>
      <c r="K64" s="1"/>
      <c r="L64" s="1" t="s">
        <v>722</v>
      </c>
      <c r="M64" s="1"/>
      <c r="N64" s="1"/>
      <c r="O64" s="1"/>
      <c r="P64" s="1"/>
      <c r="Q64" s="1"/>
      <c r="R64" s="1"/>
      <c r="S64" s="1"/>
      <c r="T64" s="1"/>
      <c r="U64" s="1"/>
      <c r="V64" s="1"/>
      <c r="W64" s="1"/>
      <c r="X64" s="1"/>
      <c r="Y64" s="1"/>
      <c r="Z64" s="1"/>
      <c r="AA64" s="1"/>
      <c r="AB64" s="1"/>
      <c r="AC64" s="1"/>
    </row>
    <row r="65" spans="2:29" ht="18" customHeight="1">
      <c r="B65" s="1" t="s">
        <v>87</v>
      </c>
      <c r="C65" s="118">
        <v>-5.7110000000000003</v>
      </c>
      <c r="D65" s="118">
        <v>-5.7110000000000003</v>
      </c>
      <c r="E65" s="118">
        <v>-5.7110000000000003</v>
      </c>
      <c r="F65" s="261">
        <f t="shared" ref="F65:J65" si="41">E65</f>
        <v>-5.7110000000000003</v>
      </c>
      <c r="G65" s="261">
        <f t="shared" si="41"/>
        <v>-5.7110000000000003</v>
      </c>
      <c r="H65" s="261">
        <f t="shared" si="41"/>
        <v>-5.7110000000000003</v>
      </c>
      <c r="I65" s="261">
        <f t="shared" si="41"/>
        <v>-5.7110000000000003</v>
      </c>
      <c r="J65" s="261">
        <f t="shared" si="41"/>
        <v>-5.7110000000000003</v>
      </c>
      <c r="K65" s="1"/>
      <c r="L65" s="1" t="s">
        <v>723</v>
      </c>
      <c r="M65" s="1"/>
      <c r="N65" s="1"/>
      <c r="O65" s="1"/>
      <c r="P65" s="1"/>
      <c r="Q65" s="1"/>
      <c r="R65" s="1"/>
      <c r="S65" s="1"/>
      <c r="T65" s="1"/>
      <c r="U65" s="1"/>
      <c r="V65" s="1"/>
      <c r="W65" s="1"/>
      <c r="X65" s="1"/>
      <c r="Y65" s="1"/>
      <c r="Z65" s="1"/>
      <c r="AA65" s="1"/>
      <c r="AB65" s="1"/>
      <c r="AC65" s="1"/>
    </row>
    <row r="66" spans="2:29" ht="18" customHeight="1">
      <c r="B66" s="1" t="s">
        <v>104</v>
      </c>
      <c r="C66" s="118">
        <v>25.873000000000001</v>
      </c>
      <c r="D66" s="118">
        <v>64.766000000000005</v>
      </c>
      <c r="E66" s="118">
        <v>243.529</v>
      </c>
      <c r="F66" s="261">
        <f>AVERAGE($C$66:$D$66)</f>
        <v>45.319500000000005</v>
      </c>
      <c r="G66" s="261">
        <f t="shared" ref="G66:J66" si="42">AVERAGE($C$66:$D$66)</f>
        <v>45.319500000000005</v>
      </c>
      <c r="H66" s="261">
        <f t="shared" si="42"/>
        <v>45.319500000000005</v>
      </c>
      <c r="I66" s="261">
        <f t="shared" si="42"/>
        <v>45.319500000000005</v>
      </c>
      <c r="J66" s="261">
        <f t="shared" si="42"/>
        <v>45.319500000000005</v>
      </c>
      <c r="K66" s="1"/>
      <c r="L66" s="1" t="s">
        <v>893</v>
      </c>
      <c r="M66" s="1"/>
      <c r="N66" s="1"/>
      <c r="O66" s="1"/>
      <c r="P66" s="1"/>
      <c r="Q66" s="1"/>
      <c r="R66" s="1"/>
      <c r="S66" s="1"/>
      <c r="T66" s="1"/>
      <c r="U66" s="1"/>
      <c r="V66" s="1"/>
      <c r="W66" s="1"/>
      <c r="X66" s="1"/>
      <c r="Y66" s="1"/>
      <c r="Z66" s="1"/>
      <c r="AA66" s="1"/>
      <c r="AB66" s="1"/>
      <c r="AC66" s="1"/>
    </row>
    <row r="67" spans="2:29" ht="18" customHeight="1">
      <c r="B67" s="15" t="s">
        <v>85</v>
      </c>
      <c r="C67" s="258">
        <v>6009.1390000000001</v>
      </c>
      <c r="D67" s="258">
        <v>6420.22</v>
      </c>
      <c r="E67" s="258">
        <v>6130.23</v>
      </c>
      <c r="F67" s="352">
        <f>E67+'Expected IS'!F22-67.499</f>
        <v>6536.8159772478211</v>
      </c>
      <c r="G67" s="261">
        <f>F67+'Expected IS'!G22-67.499</f>
        <v>7330.2686409066873</v>
      </c>
      <c r="H67" s="261">
        <f>G67+'Expected IS'!H22-67.499</f>
        <v>8457.3182842548067</v>
      </c>
      <c r="I67" s="261">
        <f>H67+'Expected IS'!I22-67.499</f>
        <v>9633.3041539258029</v>
      </c>
      <c r="J67" s="261">
        <f>I67+'Expected IS'!J22-67.499</f>
        <v>10942.78549374533</v>
      </c>
      <c r="K67" s="1"/>
      <c r="L67" s="1" t="s">
        <v>724</v>
      </c>
      <c r="M67" s="1"/>
      <c r="N67" s="1"/>
      <c r="O67" s="1"/>
      <c r="P67" s="1"/>
      <c r="Q67" s="1"/>
      <c r="R67" s="1"/>
      <c r="S67" s="1"/>
      <c r="T67" s="1"/>
      <c r="U67" s="1"/>
      <c r="V67" s="1"/>
      <c r="W67" s="1"/>
      <c r="X67" s="1"/>
      <c r="Y67" s="1"/>
      <c r="Z67" s="1"/>
      <c r="AA67" s="1"/>
      <c r="AB67" s="1"/>
      <c r="AC67" s="1"/>
    </row>
    <row r="68" spans="2:29" ht="18" customHeight="1" thickBot="1">
      <c r="B68" s="359" t="s">
        <v>88</v>
      </c>
      <c r="C68" s="268">
        <v>2237.6</v>
      </c>
      <c r="D68" s="268">
        <v>2318.864</v>
      </c>
      <c r="E68" s="268">
        <v>1644.0029999999999</v>
      </c>
      <c r="F68" s="265">
        <f>F62*AVERAGE($C$68/$C$62, $D$68/$D$62, $E$68/$E$62)</f>
        <v>2143.3665540943539</v>
      </c>
      <c r="G68" s="265">
        <f>G62*AVERAGE($C$68/$C$62, $D$68/$D$62, $E$68/$E$62)</f>
        <v>2349.9130690231627</v>
      </c>
      <c r="H68" s="265">
        <f t="shared" ref="H68:J68" si="43">H62*AVERAGE($C$68/$C$62, $D$68/$D$62, $E$68/$E$62)</f>
        <v>2643.2994128434093</v>
      </c>
      <c r="I68" s="265">
        <f t="shared" si="43"/>
        <v>2949.4245216381769</v>
      </c>
      <c r="J68" s="265">
        <f t="shared" si="43"/>
        <v>3290.3003161144493</v>
      </c>
      <c r="K68" s="1"/>
      <c r="L68" s="1"/>
      <c r="M68" s="1"/>
      <c r="N68" s="1"/>
      <c r="O68" s="1"/>
      <c r="P68" s="1"/>
      <c r="Q68" s="1"/>
      <c r="R68" s="1"/>
      <c r="S68" s="1"/>
      <c r="T68" s="1"/>
      <c r="U68" s="1"/>
      <c r="V68" s="1"/>
      <c r="W68" s="1"/>
      <c r="X68" s="1"/>
      <c r="Y68" s="1"/>
      <c r="Z68" s="1"/>
      <c r="AA68" s="1"/>
      <c r="AB68" s="1"/>
      <c r="AC68" s="1"/>
    </row>
    <row r="69" spans="2:29" ht="18" customHeight="1">
      <c r="C69" s="53"/>
      <c r="D69" s="53"/>
      <c r="E69" s="53"/>
    </row>
    <row r="70" spans="2:29" ht="18" customHeight="1">
      <c r="B70" s="134" t="s">
        <v>892</v>
      </c>
      <c r="C70" s="167"/>
      <c r="D70" s="174"/>
      <c r="E70" s="167"/>
      <c r="F70" s="167"/>
      <c r="G70" s="167"/>
      <c r="H70" s="167"/>
      <c r="I70" s="339"/>
      <c r="J70" s="72"/>
      <c r="L70" s="21"/>
      <c r="M70" s="21"/>
    </row>
    <row r="71" spans="2:29" ht="18" customHeight="1" thickBot="1">
      <c r="B71" s="88" t="s">
        <v>325</v>
      </c>
      <c r="C71" s="74">
        <v>2024</v>
      </c>
      <c r="D71" s="74" t="s">
        <v>0</v>
      </c>
      <c r="E71" s="74" t="s">
        <v>54</v>
      </c>
      <c r="F71" s="74" t="s">
        <v>321</v>
      </c>
      <c r="G71" s="74" t="s">
        <v>322</v>
      </c>
      <c r="H71" s="74" t="s">
        <v>323</v>
      </c>
      <c r="I71" s="339"/>
      <c r="J71" s="72"/>
      <c r="N71" s="21"/>
    </row>
    <row r="72" spans="2:29" ht="18" customHeight="1" thickTop="1">
      <c r="B72" s="72" t="s">
        <v>320</v>
      </c>
      <c r="C72" s="353">
        <f>SUM([1]건축주택!G7, [1]플랜트!G7, '[1]토목 및 기타'!G7, '[1]토목 및 기타'!G8)</f>
        <v>30528.059799999999</v>
      </c>
      <c r="D72" s="353">
        <f>SUM([1]건축주택!H7, [1]플랜트!H7, '[1]토목 및 기타'!H7, '[1]토목 및 기타'!H8)</f>
        <v>38907.92328333333</v>
      </c>
      <c r="E72" s="353">
        <f>SUM([1]건축주택!I7, [1]플랜트!I7, '[1]토목 및 기타'!I7, '[1]토목 및 기타'!I8)</f>
        <v>37755.259323611113</v>
      </c>
      <c r="F72" s="353">
        <f>SUM([1]건축주택!J7, [1]플랜트!J7, '[1]토목 및 기타'!J7, '[1]토목 및 기타'!J8)</f>
        <v>43659.376922106479</v>
      </c>
      <c r="G72" s="353">
        <f>SUM([1]건축주택!K7, [1]플랜트!K7, '[1]토목 및 기타'!K7, '[1]토목 및 기타'!K8)</f>
        <v>43232.106659423225</v>
      </c>
      <c r="H72" s="353">
        <f>SUM([1]건축주택!L7, [1]플랜트!L7, '[1]토목 및 기타'!L7, '[1]토목 및 기타'!L8)</f>
        <v>35615.943572221411</v>
      </c>
      <c r="I72" s="339"/>
      <c r="J72" s="72"/>
      <c r="L72" s="21"/>
      <c r="M72" s="21"/>
      <c r="N72" s="21"/>
    </row>
    <row r="73" spans="2:29" ht="18" customHeight="1" thickBot="1">
      <c r="B73" s="354" t="s">
        <v>18</v>
      </c>
      <c r="C73" s="355"/>
      <c r="D73" s="356">
        <f>D72/C72-1</f>
        <v>0.27449708688441876</v>
      </c>
      <c r="E73" s="356">
        <f t="shared" ref="E73:H73" si="44">E72/D72-1</f>
        <v>-2.9625430052597435E-2</v>
      </c>
      <c r="F73" s="356">
        <f t="shared" si="44"/>
        <v>0.15637867953414086</v>
      </c>
      <c r="G73" s="356">
        <f t="shared" si="44"/>
        <v>-9.7864489327357251E-3</v>
      </c>
      <c r="H73" s="356">
        <f t="shared" si="44"/>
        <v>-0.17616914084712387</v>
      </c>
      <c r="I73" s="339"/>
      <c r="J73" s="72"/>
    </row>
    <row r="74" spans="2:29" ht="18" customHeight="1">
      <c r="B74" s="340"/>
      <c r="C74" s="341"/>
      <c r="D74" s="342"/>
      <c r="E74" s="342"/>
      <c r="F74" s="342"/>
      <c r="G74" s="342"/>
      <c r="H74" s="342"/>
      <c r="I74" s="339"/>
      <c r="J74" s="72"/>
    </row>
    <row r="75" spans="2:29" ht="18" customHeight="1">
      <c r="B75" s="343" t="s">
        <v>672</v>
      </c>
      <c r="C75" s="344">
        <f>'[1]Expected IS'!C22/'Expected BS'!C61</f>
        <v>4.7446882024756061E-2</v>
      </c>
      <c r="D75" s="344">
        <f>'[1]Expected IS'!D22/'Expected BS'!D61</f>
        <v>6.2577596608105857E-2</v>
      </c>
      <c r="E75" s="344">
        <f>'[1]Expected IS'!E22/'Expected BS'!E61</f>
        <v>-7.9241728530987349E-2</v>
      </c>
      <c r="F75" s="344">
        <f>'Expected IS'!F22/'Expected BS'!F61</f>
        <v>4.5685456870101074E-2</v>
      </c>
      <c r="G75" s="344">
        <f>'Expected IS'!G22/'Expected BS'!G61</f>
        <v>7.56737404732475E-2</v>
      </c>
      <c r="H75" s="344">
        <f>'Expected IS'!H22/'Expected BS'!H61</f>
        <v>9.3341700400937727E-2</v>
      </c>
      <c r="I75" s="344">
        <f>'Expected IS'!I22/'Expected BS'!I61</f>
        <v>8.7080606837915714E-2</v>
      </c>
      <c r="J75" s="344">
        <f>'Expected IS'!J22/'Expected BS'!J61</f>
        <v>8.6439138257612888E-2</v>
      </c>
    </row>
    <row r="76" spans="2:29" ht="18" customHeight="1" thickBot="1">
      <c r="B76" s="72"/>
      <c r="C76" s="72"/>
      <c r="D76" s="72"/>
      <c r="E76" s="277"/>
      <c r="F76" s="277"/>
      <c r="G76" s="277"/>
      <c r="H76" s="277"/>
      <c r="I76" s="345" t="s">
        <v>895</v>
      </c>
      <c r="J76" s="346">
        <f>GEOMEAN(F75:J75)</f>
        <v>7.5350502245666778E-2</v>
      </c>
    </row>
    <row r="77" spans="2:29" ht="18" customHeight="1">
      <c r="B77" t="s">
        <v>922</v>
      </c>
    </row>
    <row r="78" spans="2:29" ht="18" customHeight="1">
      <c r="B78" s="134" t="s">
        <v>752</v>
      </c>
      <c r="C78" s="134"/>
      <c r="D78" s="134"/>
      <c r="E78" s="134"/>
      <c r="F78" s="134"/>
      <c r="G78" s="134"/>
      <c r="H78" s="134"/>
    </row>
    <row r="79" spans="2:29" ht="18" customHeight="1" thickBot="1">
      <c r="B79" s="350" t="s">
        <v>325</v>
      </c>
      <c r="C79" s="3">
        <v>2024</v>
      </c>
      <c r="D79" s="3" t="s">
        <v>0</v>
      </c>
      <c r="E79" s="3" t="s">
        <v>54</v>
      </c>
      <c r="F79" s="3" t="s">
        <v>321</v>
      </c>
      <c r="G79" s="3" t="s">
        <v>322</v>
      </c>
      <c r="H79" s="3" t="s">
        <v>323</v>
      </c>
    </row>
    <row r="80" spans="2:29" ht="18" customHeight="1" thickTop="1">
      <c r="B80" t="s">
        <v>756</v>
      </c>
      <c r="C80" s="21">
        <f t="shared" ref="C80:H80" si="45">INT(E6)</f>
        <v>27005</v>
      </c>
      <c r="D80" s="21">
        <f t="shared" si="45"/>
        <v>29779</v>
      </c>
      <c r="E80" s="21">
        <f t="shared" si="45"/>
        <v>30530</v>
      </c>
      <c r="F80" s="21">
        <f t="shared" si="45"/>
        <v>33423</v>
      </c>
      <c r="G80" s="21">
        <f t="shared" si="45"/>
        <v>34999</v>
      </c>
      <c r="H80" s="21">
        <f t="shared" si="45"/>
        <v>34586</v>
      </c>
    </row>
    <row r="81" spans="2:10" ht="18" customHeight="1">
      <c r="B81" t="s">
        <v>757</v>
      </c>
      <c r="C81" s="21">
        <f t="shared" ref="C81:H81" si="46">INT(SUM(E36, E61))</f>
        <v>27005</v>
      </c>
      <c r="D81" s="21">
        <f t="shared" si="46"/>
        <v>29779</v>
      </c>
      <c r="E81" s="21">
        <f t="shared" si="46"/>
        <v>30530</v>
      </c>
      <c r="F81" s="21">
        <f t="shared" si="46"/>
        <v>33423</v>
      </c>
      <c r="G81" s="21">
        <f t="shared" si="46"/>
        <v>34999</v>
      </c>
      <c r="H81" s="21">
        <f t="shared" si="46"/>
        <v>34586</v>
      </c>
      <c r="I81" s="269"/>
      <c r="J81" s="269"/>
    </row>
    <row r="82" spans="2:10" ht="18" customHeight="1">
      <c r="B82" t="s">
        <v>788</v>
      </c>
      <c r="C82" s="21">
        <f t="shared" ref="C82:H82" si="47">C80-C81</f>
        <v>0</v>
      </c>
      <c r="D82" s="21">
        <f t="shared" si="47"/>
        <v>0</v>
      </c>
      <c r="E82" s="21">
        <f t="shared" si="47"/>
        <v>0</v>
      </c>
      <c r="F82" s="21">
        <f t="shared" si="47"/>
        <v>0</v>
      </c>
      <c r="G82" s="21">
        <f t="shared" si="47"/>
        <v>0</v>
      </c>
      <c r="H82" s="21">
        <f t="shared" si="47"/>
        <v>0</v>
      </c>
      <c r="I82" s="269"/>
      <c r="J82" s="269"/>
    </row>
    <row r="83" spans="2:10" ht="18" customHeight="1" thickBot="1">
      <c r="B83" s="357" t="s">
        <v>891</v>
      </c>
      <c r="C83" s="303" t="b">
        <f t="shared" ref="C83:H83" si="48">IF(C82=0, TRUE)</f>
        <v>1</v>
      </c>
      <c r="D83" s="303" t="b">
        <f t="shared" si="48"/>
        <v>1</v>
      </c>
      <c r="E83" s="303" t="b">
        <f t="shared" si="48"/>
        <v>1</v>
      </c>
      <c r="F83" s="303" t="b">
        <f t="shared" si="48"/>
        <v>1</v>
      </c>
      <c r="G83" s="303" t="b">
        <f t="shared" si="48"/>
        <v>1</v>
      </c>
      <c r="H83" s="303" t="b">
        <f t="shared" si="48"/>
        <v>1</v>
      </c>
    </row>
  </sheetData>
  <mergeCells count="1">
    <mergeCell ref="B1:E2"/>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0E02E-EE67-418F-AFFA-3FED4CE372A3}">
  <sheetPr>
    <tabColor rgb="FFFFFF00"/>
  </sheetPr>
  <dimension ref="A1:O28"/>
  <sheetViews>
    <sheetView showGridLines="0" zoomScaleNormal="100" workbookViewId="0"/>
  </sheetViews>
  <sheetFormatPr defaultColWidth="8.75" defaultRowHeight="16.5"/>
  <cols>
    <col min="2" max="2" width="20.25" customWidth="1"/>
    <col min="3" max="10" width="10.75" customWidth="1"/>
    <col min="11" max="11" width="12.25" bestFit="1" customWidth="1"/>
    <col min="12" max="12" width="11.25" bestFit="1" customWidth="1"/>
    <col min="14" max="14" width="9.25" bestFit="1" customWidth="1"/>
  </cols>
  <sheetData>
    <row r="1" spans="1:15" s="128" customFormat="1">
      <c r="A1" s="127"/>
      <c r="B1" s="480" t="s">
        <v>11</v>
      </c>
      <c r="C1" s="481"/>
      <c r="D1" s="481"/>
      <c r="E1" s="481"/>
    </row>
    <row r="2" spans="1:15" s="128" customFormat="1">
      <c r="A2" s="127"/>
      <c r="B2" s="481"/>
      <c r="C2" s="481"/>
      <c r="D2" s="481"/>
      <c r="E2" s="481"/>
    </row>
    <row r="4" spans="1:15">
      <c r="E4" s="19"/>
    </row>
    <row r="5" spans="1:15" s="1" customFormat="1" ht="18.75">
      <c r="B5" s="134" t="s">
        <v>11</v>
      </c>
      <c r="C5" s="129"/>
      <c r="D5" s="129"/>
      <c r="E5" s="129"/>
      <c r="F5" s="129"/>
      <c r="G5" s="129"/>
      <c r="H5" s="129"/>
      <c r="I5" s="129"/>
      <c r="J5" s="129"/>
    </row>
    <row r="6" spans="1:15" s="1" customFormat="1" ht="19.5" thickBot="1">
      <c r="B6" s="2" t="s">
        <v>325</v>
      </c>
      <c r="C6" s="13">
        <v>2022</v>
      </c>
      <c r="D6" s="13">
        <v>2023</v>
      </c>
      <c r="E6" s="13">
        <v>2024</v>
      </c>
      <c r="F6" s="13" t="s">
        <v>0</v>
      </c>
      <c r="G6" s="13" t="s">
        <v>54</v>
      </c>
      <c r="H6" s="13" t="s">
        <v>55</v>
      </c>
      <c r="I6" s="13" t="s">
        <v>56</v>
      </c>
      <c r="J6" s="13" t="s">
        <v>57</v>
      </c>
    </row>
    <row r="7" spans="1:15" s="1" customFormat="1" ht="19.5" thickTop="1">
      <c r="B7" s="157" t="s">
        <v>9</v>
      </c>
      <c r="C7" s="83">
        <v>21239.081999999999</v>
      </c>
      <c r="D7" s="83">
        <v>29651.357</v>
      </c>
      <c r="E7" s="83">
        <v>32670.268</v>
      </c>
      <c r="F7" s="100">
        <f>총매출!F25</f>
        <v>31025.542028951681</v>
      </c>
      <c r="G7" s="100">
        <f>총매출!G25</f>
        <v>32003.686431127859</v>
      </c>
      <c r="H7" s="100">
        <f>총매출!H25</f>
        <v>33081.646710941255</v>
      </c>
      <c r="I7" s="100">
        <f>총매출!I25</f>
        <v>34552.282889393478</v>
      </c>
      <c r="J7" s="100">
        <f>총매출!J25</f>
        <v>37172.772502468062</v>
      </c>
    </row>
    <row r="8" spans="1:15" s="1" customFormat="1" ht="18.75">
      <c r="B8" s="151" t="s">
        <v>18</v>
      </c>
      <c r="C8" s="152">
        <f>(C7/18065534)-1</f>
        <v>-0.99882433134830118</v>
      </c>
      <c r="D8" s="152">
        <f>(D7/C7)-1</f>
        <v>0.3960752635165683</v>
      </c>
      <c r="E8" s="152">
        <f>(E7/D7)-1</f>
        <v>0.10181358647430527</v>
      </c>
      <c r="F8" s="149">
        <f>F7/E7-1</f>
        <v>-5.0343204134362107E-2</v>
      </c>
      <c r="G8" s="149">
        <f t="shared" ref="G8:J8" si="0">G7/F7-1</f>
        <v>3.152706893125079E-2</v>
      </c>
      <c r="H8" s="149">
        <f t="shared" si="0"/>
        <v>3.3682378501400878E-2</v>
      </c>
      <c r="I8" s="149">
        <f t="shared" si="0"/>
        <v>4.445474529433957E-2</v>
      </c>
      <c r="J8" s="149">
        <f t="shared" si="0"/>
        <v>7.5841287288111348E-2</v>
      </c>
    </row>
    <row r="9" spans="1:15" s="1" customFormat="1" ht="18.75">
      <c r="B9" s="157" t="s">
        <v>6</v>
      </c>
      <c r="C9" s="83">
        <v>19726.333999999999</v>
      </c>
      <c r="D9" s="83">
        <v>27948.548999999999</v>
      </c>
      <c r="E9" s="83">
        <v>32887.201000000001</v>
      </c>
      <c r="F9" s="100">
        <f>영업비용추정!F10</f>
        <v>29477.927916949975</v>
      </c>
      <c r="G9" s="100">
        <f>영업비용추정!G10</f>
        <v>29925.842333613844</v>
      </c>
      <c r="H9" s="100">
        <f>영업비용추정!H10</f>
        <v>30504.858838105389</v>
      </c>
      <c r="I9" s="100">
        <f>영업비용추정!I10</f>
        <v>31853.048524235659</v>
      </c>
      <c r="J9" s="100">
        <f>영업비용추정!J10</f>
        <v>34247.951931471311</v>
      </c>
    </row>
    <row r="10" spans="1:15" s="1" customFormat="1" ht="18.75">
      <c r="B10" s="157" t="s">
        <v>12</v>
      </c>
      <c r="C10" s="83">
        <v>1512.748</v>
      </c>
      <c r="D10" s="83">
        <v>1702.808</v>
      </c>
      <c r="E10" s="83">
        <v>-216.93299999999999</v>
      </c>
      <c r="F10" s="100">
        <f>F7-F9</f>
        <v>1547.6141120017055</v>
      </c>
      <c r="G10" s="100">
        <f t="shared" ref="G10:J10" si="1">G7-G9</f>
        <v>2077.8440975140147</v>
      </c>
      <c r="H10" s="100">
        <f t="shared" si="1"/>
        <v>2576.7878728358664</v>
      </c>
      <c r="I10" s="100">
        <f t="shared" si="1"/>
        <v>2699.2343651578194</v>
      </c>
      <c r="J10" s="100">
        <f t="shared" si="1"/>
        <v>2924.8205709967515</v>
      </c>
    </row>
    <row r="11" spans="1:15" s="1" customFormat="1" ht="18.75">
      <c r="B11" s="151" t="s">
        <v>19</v>
      </c>
      <c r="C11" s="152">
        <f t="shared" ref="C11:E11" si="2">C10/C7</f>
        <v>7.1224735607687759E-2</v>
      </c>
      <c r="D11" s="152">
        <f t="shared" si="2"/>
        <v>5.7427658369901921E-2</v>
      </c>
      <c r="E11" s="153">
        <f t="shared" si="2"/>
        <v>-6.6400740881586888E-3</v>
      </c>
      <c r="F11" s="149">
        <f>F10/F7</f>
        <v>4.9881936327092681E-2</v>
      </c>
      <c r="G11" s="149">
        <f t="shared" ref="G11:J11" si="3">G10/G7</f>
        <v>6.4925148607037783E-2</v>
      </c>
      <c r="H11" s="149">
        <f t="shared" si="3"/>
        <v>7.7891765647313829E-2</v>
      </c>
      <c r="I11" s="149">
        <f t="shared" si="3"/>
        <v>7.812029016428329E-2</v>
      </c>
      <c r="J11" s="150">
        <f t="shared" si="3"/>
        <v>7.8681797834760911E-2</v>
      </c>
      <c r="O11" s="1" t="s">
        <v>22</v>
      </c>
    </row>
    <row r="12" spans="1:15" s="1" customFormat="1" ht="18.75">
      <c r="B12" s="157" t="s">
        <v>13</v>
      </c>
      <c r="C12" s="83">
        <v>937.846</v>
      </c>
      <c r="D12" s="83">
        <v>917.37800000000004</v>
      </c>
      <c r="E12" s="83">
        <v>1046.4870000000001</v>
      </c>
      <c r="F12" s="100">
        <f>영업비용추정!F32</f>
        <v>1079.8135575159579</v>
      </c>
      <c r="G12" s="100">
        <f>영업비용추정!G32</f>
        <v>1070.4018933527984</v>
      </c>
      <c r="H12" s="100">
        <f>영업비용추정!H32</f>
        <v>1116.1485961485866</v>
      </c>
      <c r="I12" s="100">
        <f>영업비용추정!I32</f>
        <v>1153.7348703926311</v>
      </c>
      <c r="J12" s="100">
        <f>영업비용추정!J32</f>
        <v>1194.2342536372769</v>
      </c>
    </row>
    <row r="13" spans="1:15" s="1" customFormat="1" ht="18.75">
      <c r="B13" s="157" t="s">
        <v>14</v>
      </c>
      <c r="C13" s="83">
        <v>574.90200000000004</v>
      </c>
      <c r="D13" s="83">
        <v>785.43</v>
      </c>
      <c r="E13" s="83">
        <v>-1263.42</v>
      </c>
      <c r="F13" s="100">
        <f>F10-F12</f>
        <v>467.80055448574763</v>
      </c>
      <c r="G13" s="100">
        <f t="shared" ref="G13:J13" si="4">G10-G12</f>
        <v>1007.4422041612163</v>
      </c>
      <c r="H13" s="100">
        <f t="shared" si="4"/>
        <v>1460.6392766872798</v>
      </c>
      <c r="I13" s="100">
        <f t="shared" si="4"/>
        <v>1545.4994947651883</v>
      </c>
      <c r="J13" s="100">
        <f t="shared" si="4"/>
        <v>1730.5863173594746</v>
      </c>
    </row>
    <row r="14" spans="1:15" s="1" customFormat="1" ht="18.75">
      <c r="B14" s="151" t="s">
        <v>20</v>
      </c>
      <c r="C14" s="152">
        <f t="shared" ref="C14:E14" si="5">C13/C7</f>
        <v>2.706811904582317E-2</v>
      </c>
      <c r="D14" s="152">
        <f t="shared" si="5"/>
        <v>2.6488838268009116E-2</v>
      </c>
      <c r="E14" s="153">
        <f t="shared" si="5"/>
        <v>-3.8671859073822111E-2</v>
      </c>
      <c r="F14" s="149">
        <f>F13/F7</f>
        <v>1.5077917222178314E-2</v>
      </c>
      <c r="G14" s="149">
        <f t="shared" ref="G14:J14" si="6">G13/G7</f>
        <v>3.1478942475243861E-2</v>
      </c>
      <c r="H14" s="149">
        <f t="shared" si="6"/>
        <v>4.4152556535349115E-2</v>
      </c>
      <c r="I14" s="149">
        <f t="shared" si="6"/>
        <v>4.4729301959946927E-2</v>
      </c>
      <c r="J14" s="150">
        <f t="shared" si="6"/>
        <v>4.6555212346471427E-2</v>
      </c>
    </row>
    <row r="15" spans="1:15" s="1" customFormat="1" ht="18.75">
      <c r="B15" s="158" t="s">
        <v>25</v>
      </c>
      <c r="C15" s="83">
        <v>401.42899999999997</v>
      </c>
      <c r="D15" s="83">
        <v>294.58499999999998</v>
      </c>
      <c r="E15" s="83">
        <v>359.85300000000001</v>
      </c>
      <c r="F15" s="154">
        <f>AVERAGE(C15:E15)</f>
        <v>351.95566666666667</v>
      </c>
      <c r="G15" s="155">
        <f>AVERAGE(D15:F15)</f>
        <v>335.46455555555553</v>
      </c>
      <c r="H15" s="155">
        <f>AVERAGE(E15:G15)</f>
        <v>349.09107407407402</v>
      </c>
      <c r="I15" s="155">
        <f>AVERAGE(F15:H15)</f>
        <v>345.50376543209876</v>
      </c>
      <c r="J15" s="155">
        <f>AVERAGE(G15:I15)</f>
        <v>343.35313168724275</v>
      </c>
      <c r="K15" s="1" t="s">
        <v>319</v>
      </c>
    </row>
    <row r="16" spans="1:15" s="1" customFormat="1" ht="18.75">
      <c r="B16" s="158" t="s">
        <v>28</v>
      </c>
      <c r="C16" s="83">
        <v>176.77699999999999</v>
      </c>
      <c r="D16" s="83">
        <v>141.179</v>
      </c>
      <c r="E16" s="83">
        <v>171.77099999999999</v>
      </c>
      <c r="F16" s="154">
        <f>AVERAGE(C16:E16)</f>
        <v>163.24233333333333</v>
      </c>
      <c r="G16" s="155">
        <f t="shared" ref="G16:J17" si="7">AVERAGE(D16:F16)</f>
        <v>158.73077777777777</v>
      </c>
      <c r="H16" s="155">
        <f t="shared" ref="H16" si="8">AVERAGE(E16:G16)</f>
        <v>164.58137037037037</v>
      </c>
      <c r="I16" s="155">
        <f>AVERAGE(F16:H16)</f>
        <v>162.18482716049382</v>
      </c>
      <c r="J16" s="155">
        <f>AVERAGE(G16:I16)</f>
        <v>161.83232510288065</v>
      </c>
      <c r="K16" s="1" t="s">
        <v>319</v>
      </c>
    </row>
    <row r="17" spans="2:14" s="1" customFormat="1" ht="18.75">
      <c r="B17" s="158" t="s">
        <v>26</v>
      </c>
      <c r="C17" s="83">
        <v>435.786</v>
      </c>
      <c r="D17" s="83">
        <v>504.78800000000001</v>
      </c>
      <c r="E17" s="83">
        <v>839.95699999999999</v>
      </c>
      <c r="F17" s="154">
        <f>AVERAGE(C17:E17)</f>
        <v>593.51033333333328</v>
      </c>
      <c r="G17" s="155">
        <f t="shared" si="7"/>
        <v>646.08511111111102</v>
      </c>
      <c r="H17" s="155">
        <f>AVERAGE(E17:G17)</f>
        <v>693.18414814814821</v>
      </c>
      <c r="I17" s="155">
        <f t="shared" si="7"/>
        <v>644.25986419753087</v>
      </c>
      <c r="J17" s="155">
        <f t="shared" si="7"/>
        <v>661.17637448559674</v>
      </c>
      <c r="K17" s="1" t="s">
        <v>319</v>
      </c>
    </row>
    <row r="18" spans="2:14" s="1" customFormat="1" ht="18.75">
      <c r="B18" s="158" t="s">
        <v>27</v>
      </c>
      <c r="C18" s="83">
        <v>468.85199999999998</v>
      </c>
      <c r="D18" s="83">
        <v>498.79899999999998</v>
      </c>
      <c r="E18" s="83">
        <v>755.91099999999994</v>
      </c>
      <c r="F18" s="154">
        <f>AVERAGE(C18:E18)</f>
        <v>574.52066666666667</v>
      </c>
      <c r="G18" s="155">
        <f t="shared" ref="G18:J18" si="9">AVERAGE(D18:F18)</f>
        <v>609.74355555555564</v>
      </c>
      <c r="H18" s="155">
        <f t="shared" si="9"/>
        <v>646.72507407407409</v>
      </c>
      <c r="I18" s="155">
        <f>AVERAGE(F18:H18)</f>
        <v>610.32976543209872</v>
      </c>
      <c r="J18" s="155">
        <f t="shared" si="9"/>
        <v>622.26613168724282</v>
      </c>
      <c r="K18" s="1" t="s">
        <v>319</v>
      </c>
    </row>
    <row r="19" spans="2:14" s="1" customFormat="1" ht="18.75">
      <c r="B19" s="158" t="s">
        <v>49</v>
      </c>
      <c r="C19" s="83">
        <v>-12.673</v>
      </c>
      <c r="D19" s="83">
        <v>-5.28</v>
      </c>
      <c r="E19" s="83">
        <v>5.5750000000000002</v>
      </c>
      <c r="F19" s="156">
        <f>AVERAGE(C19:E19)</f>
        <v>-4.1260000000000003</v>
      </c>
      <c r="G19" s="156">
        <f>AVERAGE(D19:F19)</f>
        <v>-1.2770000000000001</v>
      </c>
      <c r="H19" s="156">
        <f>AVERAGE(E19:G19)</f>
        <v>5.7333333333333236E-2</v>
      </c>
      <c r="I19" s="156">
        <f>AVERAGE(F19:H19)</f>
        <v>-1.7818888888888891</v>
      </c>
      <c r="J19" s="156">
        <f>AVERAGE(G19:I19)</f>
        <v>-1.0005185185185186</v>
      </c>
      <c r="K19" s="1" t="s">
        <v>319</v>
      </c>
    </row>
    <row r="20" spans="2:14" s="1" customFormat="1" ht="18.75">
      <c r="B20" s="158" t="s">
        <v>15</v>
      </c>
      <c r="C20" s="83">
        <v>753.81500000000005</v>
      </c>
      <c r="D20" s="83">
        <v>939.54499999999996</v>
      </c>
      <c r="E20" s="83">
        <v>-985.71699999999998</v>
      </c>
      <c r="F20" s="101">
        <f>F13+F15-F16+F17-F18+F19</f>
        <v>671.37755448574751</v>
      </c>
      <c r="G20" s="101">
        <f t="shared" ref="G20:J20" si="10">G13+G15-G16+G17-G18+G19</f>
        <v>1219.2405374945492</v>
      </c>
      <c r="H20" s="101">
        <f t="shared" si="10"/>
        <v>1691.6653877983906</v>
      </c>
      <c r="I20" s="101">
        <f t="shared" si="10"/>
        <v>1760.9666429133365</v>
      </c>
      <c r="J20" s="101">
        <f t="shared" si="10"/>
        <v>1950.0168482236725</v>
      </c>
    </row>
    <row r="21" spans="2:14" s="1" customFormat="1" ht="18.75">
      <c r="B21" s="158" t="s">
        <v>17</v>
      </c>
      <c r="C21" s="83">
        <v>282.93900000000002</v>
      </c>
      <c r="D21" s="83">
        <v>285.26400000000001</v>
      </c>
      <c r="E21" s="83">
        <v>-219.49600000000001</v>
      </c>
      <c r="F21" s="101">
        <f>F20*GEOMEAN($C$21/$C$20, $D$21/$D$20, $E$21/$E$20)</f>
        <v>197.29257723792597</v>
      </c>
      <c r="G21" s="101">
        <f t="shared" ref="G21:J21" si="11">G20*GEOMEAN($C$21/$C$20, $D$21/$D$20, $E$21/$E$20)</f>
        <v>358.28887383568355</v>
      </c>
      <c r="H21" s="101">
        <f t="shared" si="11"/>
        <v>497.11674445027211</v>
      </c>
      <c r="I21" s="101">
        <f t="shared" si="11"/>
        <v>517.48177324234041</v>
      </c>
      <c r="J21" s="101">
        <f t="shared" si="11"/>
        <v>573.03650840414423</v>
      </c>
      <c r="K21" s="1" t="s">
        <v>896</v>
      </c>
    </row>
    <row r="22" spans="2:14" s="1" customFormat="1" ht="18.75">
      <c r="B22" s="157" t="s">
        <v>16</v>
      </c>
      <c r="C22" s="83">
        <v>470.87599999999998</v>
      </c>
      <c r="D22" s="83">
        <v>654.28099999999995</v>
      </c>
      <c r="E22" s="83">
        <v>-766.221</v>
      </c>
      <c r="F22" s="101">
        <f>F20-F21</f>
        <v>474.08497724782154</v>
      </c>
      <c r="G22" s="101">
        <f t="shared" ref="G22:I22" si="12">G20-G21</f>
        <v>860.95166365886575</v>
      </c>
      <c r="H22" s="101">
        <f t="shared" si="12"/>
        <v>1194.5486433481185</v>
      </c>
      <c r="I22" s="101">
        <f t="shared" si="12"/>
        <v>1243.484869670996</v>
      </c>
      <c r="J22" s="101">
        <f>J20-J21</f>
        <v>1376.9803398195281</v>
      </c>
      <c r="N22" s="16"/>
    </row>
    <row r="23" spans="2:14" ht="19.5" thickBot="1">
      <c r="B23" s="328" t="s">
        <v>21</v>
      </c>
      <c r="C23" s="329">
        <f>C22/C7</f>
        <v>2.2170261407719976E-2</v>
      </c>
      <c r="D23" s="329">
        <f>D22/D7</f>
        <v>2.2065802924297863E-2</v>
      </c>
      <c r="E23" s="329">
        <f t="shared" ref="E23" si="13">E22/E7</f>
        <v>-2.3453159306804583E-2</v>
      </c>
      <c r="F23" s="330">
        <f>F22/F7</f>
        <v>1.5280473643471761E-2</v>
      </c>
      <c r="G23" s="330">
        <f>G22/G7</f>
        <v>2.6901640394197693E-2</v>
      </c>
      <c r="H23" s="330">
        <f>H22/H7</f>
        <v>3.6109104658113636E-2</v>
      </c>
      <c r="I23" s="330">
        <f>I22/I7</f>
        <v>3.5988501068122153E-2</v>
      </c>
      <c r="J23" s="331">
        <f t="shared" ref="J23" si="14">J22/J7</f>
        <v>3.7042712908435992E-2</v>
      </c>
    </row>
    <row r="24" spans="2:14" ht="18.75">
      <c r="B24" s="1"/>
      <c r="C24" s="302"/>
      <c r="D24" s="302"/>
      <c r="E24" s="302"/>
      <c r="F24" s="1"/>
      <c r="G24" s="1"/>
      <c r="H24" s="1"/>
      <c r="I24" s="17"/>
      <c r="J24" s="1"/>
    </row>
    <row r="25" spans="2:14" ht="18.75">
      <c r="C25" s="152"/>
      <c r="D25" s="152"/>
      <c r="E25" s="152"/>
      <c r="F25" s="306"/>
      <c r="G25" s="306"/>
      <c r="H25" s="306"/>
      <c r="I25" s="306"/>
      <c r="J25" s="306"/>
    </row>
    <row r="26" spans="2:14" ht="18.75">
      <c r="C26" s="152"/>
      <c r="D26" s="152"/>
      <c r="E26" s="152"/>
      <c r="I26" s="21"/>
    </row>
    <row r="27" spans="2:14">
      <c r="C27" s="22"/>
      <c r="D27" s="22"/>
      <c r="E27" s="22"/>
    </row>
    <row r="28" spans="2:14">
      <c r="C28" s="22"/>
      <c r="D28" s="22"/>
      <c r="E28" s="22"/>
    </row>
  </sheetData>
  <mergeCells count="1">
    <mergeCell ref="B1:E2"/>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46726-6FB2-45C6-9B44-2B6157377902}">
  <sheetPr>
    <tabColor rgb="FFFFFF00"/>
  </sheetPr>
  <dimension ref="B1:K34"/>
  <sheetViews>
    <sheetView showGridLines="0" zoomScaleNormal="100" workbookViewId="0"/>
  </sheetViews>
  <sheetFormatPr defaultColWidth="8.75" defaultRowHeight="16.5"/>
  <cols>
    <col min="2" max="2" width="16" customWidth="1"/>
    <col min="3" max="10" width="11.625" customWidth="1"/>
  </cols>
  <sheetData>
    <row r="1" spans="2:10" s="128" customFormat="1">
      <c r="B1" s="480" t="s">
        <v>24</v>
      </c>
      <c r="C1" s="482"/>
      <c r="D1" s="482"/>
      <c r="E1" s="482"/>
    </row>
    <row r="2" spans="2:10" s="128" customFormat="1">
      <c r="B2" s="482"/>
      <c r="C2" s="482"/>
      <c r="D2" s="482"/>
      <c r="E2" s="482"/>
    </row>
    <row r="5" spans="2:10" ht="18.75">
      <c r="B5" s="134" t="s">
        <v>695</v>
      </c>
      <c r="C5" s="129"/>
      <c r="D5" s="129"/>
      <c r="E5" s="129"/>
      <c r="F5" s="129"/>
      <c r="G5" s="129"/>
      <c r="H5" s="129"/>
      <c r="I5" s="129"/>
      <c r="J5" s="129"/>
    </row>
    <row r="6" spans="2:10" ht="19.5" thickBot="1">
      <c r="B6" s="2" t="s">
        <v>325</v>
      </c>
      <c r="C6" s="234">
        <v>2022</v>
      </c>
      <c r="D6" s="234">
        <v>2023</v>
      </c>
      <c r="E6" s="234">
        <v>2024</v>
      </c>
      <c r="F6" s="234" t="s">
        <v>0</v>
      </c>
      <c r="G6" s="234" t="s">
        <v>54</v>
      </c>
      <c r="H6" s="234" t="s">
        <v>55</v>
      </c>
      <c r="I6" s="234" t="s">
        <v>56</v>
      </c>
      <c r="J6" s="234" t="s">
        <v>57</v>
      </c>
    </row>
    <row r="7" spans="2:10" ht="19.5" thickTop="1">
      <c r="B7" s="14" t="s">
        <v>698</v>
      </c>
      <c r="C7" s="235">
        <f>SUM(C8:C11)</f>
        <v>34376.181000000004</v>
      </c>
      <c r="D7" s="235">
        <v>29651.4</v>
      </c>
      <c r="E7" s="236">
        <v>32670.3</v>
      </c>
      <c r="F7" s="237">
        <f>SUM(F8:F11)</f>
        <v>37794.116450000001</v>
      </c>
      <c r="G7" s="237">
        <f>SUM(G8:G11)</f>
        <v>31194.004529166665</v>
      </c>
      <c r="H7" s="237">
        <f>SUM(H8:H11)</f>
        <v>36473.630833680552</v>
      </c>
      <c r="I7" s="237">
        <f>SUM(I8:I11)</f>
        <v>39124.591196730325</v>
      </c>
      <c r="J7" s="237">
        <f>SUM(J8:J11)</f>
        <v>43401.897677085741</v>
      </c>
    </row>
    <row r="8" spans="2:10" ht="18.75">
      <c r="B8" s="159" t="s">
        <v>89</v>
      </c>
      <c r="C8" s="238">
        <f>건축주택!E7</f>
        <v>24480</v>
      </c>
      <c r="D8" s="238">
        <f>건축주택!F7</f>
        <v>19942.099999999999</v>
      </c>
      <c r="E8" s="238">
        <f>건축주택!G7</f>
        <v>21454.5</v>
      </c>
      <c r="F8" s="239">
        <f>건축주택!H7</f>
        <v>25245.612249999998</v>
      </c>
      <c r="G8" s="239">
        <f>건축주택!I7</f>
        <v>22120.444729166666</v>
      </c>
      <c r="H8" s="239">
        <f>건축주택!J7</f>
        <v>22811.319800347221</v>
      </c>
      <c r="I8" s="239">
        <f>건축주택!K7</f>
        <v>23489.776602285878</v>
      </c>
      <c r="J8" s="239">
        <f>건축주택!L7</f>
        <v>22822.031555326481</v>
      </c>
    </row>
    <row r="9" spans="2:10" ht="18.75">
      <c r="B9" s="5" t="s">
        <v>90</v>
      </c>
      <c r="C9" s="240">
        <f>플랜트!C7</f>
        <v>5171.8</v>
      </c>
      <c r="D9" s="240">
        <f>플랜트!D7</f>
        <v>5584.7</v>
      </c>
      <c r="E9" s="240">
        <f>플랜트!E7</f>
        <v>5788.3</v>
      </c>
      <c r="F9" s="241">
        <f>플랜트!F7</f>
        <v>7840</v>
      </c>
      <c r="G9" s="241">
        <f>플랜트!G7</f>
        <v>5089.1000000000004</v>
      </c>
      <c r="H9" s="241">
        <f>플랜트!H7</f>
        <v>9045.5249999999996</v>
      </c>
      <c r="I9" s="241">
        <f>플랜트!I7</f>
        <v>11198.231250000001</v>
      </c>
      <c r="J9" s="241">
        <f>플랜트!J7</f>
        <v>16233.923062499998</v>
      </c>
    </row>
    <row r="10" spans="2:10" ht="18.75">
      <c r="B10" s="5" t="s">
        <v>91</v>
      </c>
      <c r="C10" s="240">
        <f>'토목 및 기타'!C7</f>
        <v>3930.32</v>
      </c>
      <c r="D10" s="240">
        <f>'토목 및 기타'!D7</f>
        <v>2104.7999999999997</v>
      </c>
      <c r="E10" s="240">
        <f>'토목 및 기타'!E7</f>
        <v>3849.422</v>
      </c>
      <c r="F10" s="241">
        <f>'토목 및 기타'!F7</f>
        <v>3427.8639999999996</v>
      </c>
      <c r="G10" s="241">
        <f>'토목 및 기타'!G7</f>
        <v>2962.0160000000001</v>
      </c>
      <c r="H10" s="241">
        <f>'토목 및 기타'!H7</f>
        <v>3413.1006666666667</v>
      </c>
      <c r="I10" s="241">
        <f>'토목 및 기타'!I7</f>
        <v>3267.6602222222223</v>
      </c>
      <c r="J10" s="241">
        <f>'토목 및 기타'!J7</f>
        <v>3214.2589629629633</v>
      </c>
    </row>
    <row r="11" spans="2:10" ht="19.5" thickBot="1">
      <c r="B11" s="332" t="s">
        <v>2</v>
      </c>
      <c r="C11" s="333">
        <f>'토목 및 기타'!C8</f>
        <v>794.06100000000004</v>
      </c>
      <c r="D11" s="333">
        <f>'토목 및 기타'!D8</f>
        <v>1128.385</v>
      </c>
      <c r="E11" s="333">
        <f>'토목 및 기타'!E8</f>
        <v>1307.9721000000002</v>
      </c>
      <c r="F11" s="334">
        <f>'토목 및 기타'!F8</f>
        <v>1280.6402</v>
      </c>
      <c r="G11" s="334">
        <f>'토목 및 기타'!G8</f>
        <v>1022.4438000000001</v>
      </c>
      <c r="H11" s="334">
        <f>'토목 및 기타'!H8</f>
        <v>1203.6853666666668</v>
      </c>
      <c r="I11" s="334">
        <f>'토목 및 기타'!I8</f>
        <v>1168.9231222222224</v>
      </c>
      <c r="J11" s="334">
        <f>'토목 및 기타'!J8</f>
        <v>1131.6840962962965</v>
      </c>
    </row>
    <row r="12" spans="2:10" ht="18.75">
      <c r="B12" s="6"/>
      <c r="C12" s="32"/>
      <c r="D12" s="32"/>
      <c r="E12" s="65"/>
      <c r="F12" s="102"/>
      <c r="G12" s="102"/>
      <c r="H12" s="102"/>
      <c r="I12" s="102"/>
      <c r="J12" s="102"/>
    </row>
    <row r="13" spans="2:10" ht="18.75">
      <c r="B13" s="6"/>
      <c r="C13" s="32"/>
      <c r="D13" s="32"/>
      <c r="E13" s="65"/>
      <c r="F13" s="102"/>
      <c r="G13" s="102"/>
      <c r="H13" s="102"/>
      <c r="I13" s="102"/>
      <c r="J13" s="102"/>
    </row>
    <row r="14" spans="2:10" ht="18.75">
      <c r="B14" s="134" t="s">
        <v>696</v>
      </c>
      <c r="C14" s="129"/>
      <c r="D14" s="129"/>
      <c r="E14" s="129"/>
      <c r="F14" s="129"/>
      <c r="G14" s="129"/>
      <c r="H14" s="129"/>
      <c r="I14" s="129"/>
      <c r="J14" s="129"/>
    </row>
    <row r="15" spans="2:10" ht="19.5" thickBot="1">
      <c r="B15" s="2" t="s">
        <v>325</v>
      </c>
      <c r="C15" s="234">
        <v>2022</v>
      </c>
      <c r="D15" s="234">
        <v>2023</v>
      </c>
      <c r="E15" s="234">
        <v>2024</v>
      </c>
      <c r="F15" s="234" t="s">
        <v>0</v>
      </c>
      <c r="G15" s="234" t="s">
        <v>54</v>
      </c>
      <c r="H15" s="234" t="s">
        <v>55</v>
      </c>
      <c r="I15" s="234" t="s">
        <v>56</v>
      </c>
      <c r="J15" s="234" t="s">
        <v>57</v>
      </c>
    </row>
    <row r="16" spans="2:10" ht="19.5" thickTop="1">
      <c r="B16" s="14" t="s">
        <v>699</v>
      </c>
      <c r="C16" s="235">
        <f>SUM(C17:C20)</f>
        <v>88367.127999999982</v>
      </c>
      <c r="D16" s="235">
        <f t="shared" ref="D16:E16" si="0">SUM(D17:D20)</f>
        <v>89744.978000000003</v>
      </c>
      <c r="E16" s="236">
        <f t="shared" si="0"/>
        <v>89899.999999999985</v>
      </c>
      <c r="F16" s="237">
        <f>SUM(F17:F20)</f>
        <v>87348.90254322259</v>
      </c>
      <c r="G16" s="237">
        <f>SUM(G17:G20)</f>
        <v>92263.623299575367</v>
      </c>
      <c r="H16" s="237">
        <f>SUM(H17:H20)</f>
        <v>101808.31733628907</v>
      </c>
      <c r="I16" s="237">
        <f>SUM(I17:I20)</f>
        <v>109255.36894185716</v>
      </c>
      <c r="J16" s="237">
        <f>SUM(J17:J20)</f>
        <v>106908.20098792852</v>
      </c>
    </row>
    <row r="17" spans="2:11" ht="18.75">
      <c r="B17" s="159" t="s">
        <v>89</v>
      </c>
      <c r="C17" s="238">
        <f>건축주택!E14</f>
        <v>60033</v>
      </c>
      <c r="D17" s="238">
        <f>건축주택!F14</f>
        <v>59317.5</v>
      </c>
      <c r="E17" s="238">
        <f>건축주택!G14</f>
        <v>59332.999999999985</v>
      </c>
      <c r="F17" s="239">
        <f>건축주택!H14</f>
        <v>64650.240523866989</v>
      </c>
      <c r="G17" s="239">
        <f>건축주택!I14</f>
        <v>65710.866501209166</v>
      </c>
      <c r="H17" s="239">
        <f>건축주택!J14</f>
        <v>67451.399906246384</v>
      </c>
      <c r="I17" s="239">
        <f>건축주택!K14</f>
        <v>69021.794381451822</v>
      </c>
      <c r="J17" s="239">
        <f>건축주택!L14</f>
        <v>68936.021412103117</v>
      </c>
    </row>
    <row r="18" spans="2:11" ht="18.75">
      <c r="B18" s="5" t="s">
        <v>90</v>
      </c>
      <c r="C18" s="240">
        <f>플랜트!E14</f>
        <v>13678.4</v>
      </c>
      <c r="D18" s="240">
        <f>플랜트!F14</f>
        <v>13910.300000000001</v>
      </c>
      <c r="E18" s="240">
        <f>플랜트!G14</f>
        <v>17320</v>
      </c>
      <c r="F18" s="241">
        <f>플랜트!H14</f>
        <v>18676.18362361964</v>
      </c>
      <c r="G18" s="241">
        <f>플랜트!I14</f>
        <v>22445.114025917148</v>
      </c>
      <c r="H18" s="241">
        <f>플랜트!J14</f>
        <v>30206.021026830349</v>
      </c>
      <c r="I18" s="241">
        <f>플랜트!K14</f>
        <v>36063.19108836817</v>
      </c>
      <c r="J18" s="241">
        <f>플랜트!L14</f>
        <v>33729.563305062453</v>
      </c>
    </row>
    <row r="19" spans="2:11" ht="18.75">
      <c r="B19" s="5" t="s">
        <v>91</v>
      </c>
      <c r="C19" s="240">
        <v>12157.76</v>
      </c>
      <c r="D19" s="240">
        <v>13923.76</v>
      </c>
      <c r="E19" s="240">
        <v>10840</v>
      </c>
      <c r="F19" s="241">
        <f>'토목 및 기타'!H17</f>
        <v>2639.103878418704</v>
      </c>
      <c r="G19" s="241">
        <f>'토목 및 기타'!I17</f>
        <v>2827.5409564398128</v>
      </c>
      <c r="H19" s="241">
        <f>'토목 및 기타'!J17</f>
        <v>2934.6922905074466</v>
      </c>
      <c r="I19" s="241">
        <f>'토목 및 기타'!K17</f>
        <v>3002.7555275511704</v>
      </c>
      <c r="J19" s="241">
        <f>'토목 및 기타'!L17</f>
        <v>3074.7184424325301</v>
      </c>
    </row>
    <row r="20" spans="2:11" ht="19.5" thickBot="1">
      <c r="B20" s="332" t="s">
        <v>2</v>
      </c>
      <c r="C20" s="333">
        <v>2497.9680000000003</v>
      </c>
      <c r="D20" s="333">
        <v>2593.4180000000001</v>
      </c>
      <c r="E20" s="333">
        <v>2407</v>
      </c>
      <c r="F20" s="334">
        <f>'토목 및 기타'!H18</f>
        <v>1383.3745173172531</v>
      </c>
      <c r="G20" s="334">
        <f>'토목 및 기타'!I18</f>
        <v>1280.101816009234</v>
      </c>
      <c r="H20" s="334">
        <f>'토목 및 기타'!J18</f>
        <v>1216.2041127048842</v>
      </c>
      <c r="I20" s="334">
        <f>'토목 및 기타'!K18</f>
        <v>1167.6279444859908</v>
      </c>
      <c r="J20" s="334">
        <f>'토목 및 기타'!L18</f>
        <v>1167.8978283304243</v>
      </c>
    </row>
    <row r="21" spans="2:11" ht="18.75">
      <c r="B21" s="72" t="s">
        <v>898</v>
      </c>
    </row>
    <row r="23" spans="2:11" ht="18.75">
      <c r="B23" s="134" t="s">
        <v>24</v>
      </c>
      <c r="C23" s="129"/>
      <c r="D23" s="129"/>
      <c r="E23" s="129"/>
      <c r="F23" s="129"/>
      <c r="G23" s="129"/>
      <c r="H23" s="129"/>
      <c r="I23" s="129"/>
      <c r="J23" s="129"/>
    </row>
    <row r="24" spans="2:11" ht="19.5" thickBot="1">
      <c r="B24" s="2" t="s">
        <v>325</v>
      </c>
      <c r="C24" s="234">
        <v>2022</v>
      </c>
      <c r="D24" s="234">
        <v>2023</v>
      </c>
      <c r="E24" s="234">
        <v>2024</v>
      </c>
      <c r="F24" s="234" t="s">
        <v>0</v>
      </c>
      <c r="G24" s="234" t="s">
        <v>54</v>
      </c>
      <c r="H24" s="234" t="s">
        <v>55</v>
      </c>
      <c r="I24" s="234" t="s">
        <v>56</v>
      </c>
      <c r="J24" s="234" t="s">
        <v>57</v>
      </c>
    </row>
    <row r="25" spans="2:11" ht="19.5" thickTop="1">
      <c r="B25" s="14" t="s">
        <v>23</v>
      </c>
      <c r="C25" s="235">
        <v>21239.1</v>
      </c>
      <c r="D25" s="235">
        <v>29651.4</v>
      </c>
      <c r="E25" s="236">
        <v>32670.3</v>
      </c>
      <c r="F25" s="237">
        <f>SUM(F26:F30)</f>
        <v>31025.542028951681</v>
      </c>
      <c r="G25" s="237">
        <f t="shared" ref="G25:J25" si="1">SUM(G26:G30)</f>
        <v>32003.686431127859</v>
      </c>
      <c r="H25" s="237">
        <f t="shared" si="1"/>
        <v>33081.646710941255</v>
      </c>
      <c r="I25" s="237">
        <f t="shared" si="1"/>
        <v>34552.282889393478</v>
      </c>
      <c r="J25" s="237">
        <f t="shared" si="1"/>
        <v>37172.772502468062</v>
      </c>
    </row>
    <row r="26" spans="2:11" ht="18.75">
      <c r="B26" s="159" t="s">
        <v>89</v>
      </c>
      <c r="C26" s="238">
        <v>12501.099999999999</v>
      </c>
      <c r="D26" s="238">
        <v>19699.900000000001</v>
      </c>
      <c r="E26" s="238">
        <v>21999.1</v>
      </c>
      <c r="F26" s="239">
        <f>건축주택!H21</f>
        <v>19928.371726132995</v>
      </c>
      <c r="G26" s="239">
        <f>건축주택!I21</f>
        <v>21059.818751824485</v>
      </c>
      <c r="H26" s="239">
        <f>건축주택!J21</f>
        <v>21070.78639531001</v>
      </c>
      <c r="I26" s="239">
        <f>건축주택!K21</f>
        <v>21919.382127080444</v>
      </c>
      <c r="J26" s="239">
        <f>건축주택!L21</f>
        <v>22907.80452467519</v>
      </c>
    </row>
    <row r="27" spans="2:11" ht="18.75">
      <c r="B27" s="5" t="s">
        <v>90</v>
      </c>
      <c r="C27" s="240">
        <v>5386.9000000000005</v>
      </c>
      <c r="D27" s="240">
        <v>6569.0999999999995</v>
      </c>
      <c r="E27" s="240">
        <v>6830.4000000000005</v>
      </c>
      <c r="F27" s="241">
        <f>플랜트!H21</f>
        <v>7649.6413763803603</v>
      </c>
      <c r="G27" s="241">
        <f>플랜트!I21</f>
        <v>7429.3008477024914</v>
      </c>
      <c r="H27" s="241">
        <f>플랜트!J21</f>
        <v>8473.016061586799</v>
      </c>
      <c r="I27" s="241">
        <f>플랜트!K21</f>
        <v>9102.8225165871754</v>
      </c>
      <c r="J27" s="241">
        <f>플랜트!L21</f>
        <v>10711.218505961968</v>
      </c>
    </row>
    <row r="28" spans="2:11" ht="18.75">
      <c r="B28" s="5" t="s">
        <v>91</v>
      </c>
      <c r="C28" s="240">
        <v>2458</v>
      </c>
      <c r="D28" s="240">
        <v>2740</v>
      </c>
      <c r="E28" s="240">
        <v>2780.2</v>
      </c>
      <c r="F28" s="241">
        <f>'토목 및 기타'!H17</f>
        <v>2639.103878418704</v>
      </c>
      <c r="G28" s="241">
        <f>'토목 및 기타'!I17</f>
        <v>2827.5409564398128</v>
      </c>
      <c r="H28" s="241">
        <f>'토목 및 기타'!J17</f>
        <v>2934.6922905074466</v>
      </c>
      <c r="I28" s="241">
        <f>'토목 및 기타'!K17</f>
        <v>3002.7555275511704</v>
      </c>
      <c r="J28" s="241">
        <f>'토목 및 기타'!L17</f>
        <v>3074.7184424325301</v>
      </c>
    </row>
    <row r="29" spans="2:11" ht="18.75">
      <c r="B29" s="5" t="s">
        <v>2</v>
      </c>
      <c r="C29" s="240">
        <v>1296.5</v>
      </c>
      <c r="D29" s="240">
        <v>1336.2</v>
      </c>
      <c r="E29" s="240">
        <v>1492.4</v>
      </c>
      <c r="F29" s="241">
        <f>'토목 및 기타'!H18</f>
        <v>1383.3745173172531</v>
      </c>
      <c r="G29" s="241">
        <f>'토목 및 기타'!I18</f>
        <v>1280.101816009234</v>
      </c>
      <c r="H29" s="241">
        <f>'토목 및 기타'!J18</f>
        <v>1216.2041127048842</v>
      </c>
      <c r="I29" s="241">
        <f>'토목 및 기타'!K18</f>
        <v>1167.6279444859908</v>
      </c>
      <c r="J29" s="241">
        <f>'토목 및 기타'!L18</f>
        <v>1167.8978283304243</v>
      </c>
    </row>
    <row r="30" spans="2:11" ht="19.5" thickBot="1">
      <c r="B30" s="332" t="s">
        <v>330</v>
      </c>
      <c r="C30" s="360">
        <v>-403.5</v>
      </c>
      <c r="D30" s="360">
        <v>-693.9</v>
      </c>
      <c r="E30" s="360">
        <v>-431.9</v>
      </c>
      <c r="F30" s="361">
        <f>SUM(F26:F29)*E34</f>
        <v>-574.94946929763478</v>
      </c>
      <c r="G30" s="361">
        <f>SUM(G26:G29)*$E$34</f>
        <v>-593.07594084816742</v>
      </c>
      <c r="H30" s="361">
        <f>SUM(H26:H29)*$E$34</f>
        <v>-613.05214916788987</v>
      </c>
      <c r="I30" s="361">
        <f>SUM(I26:I29)*$E$34</f>
        <v>-640.305226311296</v>
      </c>
      <c r="J30" s="361">
        <f>SUM(J26:J29)*$E$34</f>
        <v>-688.86679893205007</v>
      </c>
      <c r="K30" s="8" t="s">
        <v>442</v>
      </c>
    </row>
    <row r="31" spans="2:11" ht="18.75">
      <c r="B31" s="1"/>
      <c r="C31" s="1"/>
      <c r="D31" s="1"/>
      <c r="E31" s="1"/>
      <c r="F31" s="1"/>
      <c r="G31" s="1"/>
      <c r="H31" s="1"/>
      <c r="I31" s="1"/>
      <c r="J31" s="1"/>
    </row>
    <row r="32" spans="2:11">
      <c r="F32" s="20"/>
    </row>
    <row r="33" spans="2:5" ht="18.75">
      <c r="B33" s="313" t="s">
        <v>908</v>
      </c>
      <c r="C33" s="314">
        <f>C30/SUM(C26:C29)</f>
        <v>-1.8643872011089292E-2</v>
      </c>
      <c r="D33" s="314">
        <f>D30/SUM(D26:D29)</f>
        <v>-2.2866878451946269E-2</v>
      </c>
      <c r="E33" s="314">
        <f>E30/SUM(E26:E29)</f>
        <v>-1.3047510580899702E-2</v>
      </c>
    </row>
    <row r="34" spans="2:5" ht="19.5" thickBot="1">
      <c r="D34" s="315" t="s">
        <v>895</v>
      </c>
      <c r="E34" s="307" cm="1">
        <f t="array" ref="E34">GEOMEAN(C33:E33+1)-1</f>
        <v>-1.8194320469018255E-2</v>
      </c>
    </row>
  </sheetData>
  <mergeCells count="1">
    <mergeCell ref="B1:E2"/>
  </mergeCells>
  <phoneticPr fontId="2"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F4F0A-DF2A-4B84-ABC8-696DF3B9C5F8}">
  <dimension ref="B1:V34"/>
  <sheetViews>
    <sheetView showGridLines="0" zoomScaleNormal="100" workbookViewId="0"/>
  </sheetViews>
  <sheetFormatPr defaultColWidth="8.75" defaultRowHeight="18.75"/>
  <cols>
    <col min="1" max="1" width="8.75" style="1"/>
    <col min="2" max="2" width="16.125" style="1" customWidth="1"/>
    <col min="3" max="12" width="11.125" style="1" customWidth="1"/>
    <col min="13" max="14" width="10.125" style="1" bestFit="1" customWidth="1"/>
    <col min="15" max="16384" width="8.75" style="1"/>
  </cols>
  <sheetData>
    <row r="1" spans="2:15" s="131" customFormat="1">
      <c r="B1" s="480" t="s">
        <v>443</v>
      </c>
      <c r="C1" s="482"/>
      <c r="D1" s="482"/>
      <c r="E1" s="482"/>
      <c r="F1" s="130"/>
    </row>
    <row r="2" spans="2:15" s="131" customFormat="1">
      <c r="B2" s="482"/>
      <c r="C2" s="482"/>
      <c r="D2" s="482"/>
      <c r="E2" s="482"/>
      <c r="F2" s="130"/>
    </row>
    <row r="5" spans="2:15">
      <c r="B5" s="134" t="s">
        <v>444</v>
      </c>
      <c r="C5" s="132"/>
      <c r="D5" s="132"/>
      <c r="E5" s="132"/>
      <c r="F5" s="132"/>
      <c r="G5" s="132"/>
      <c r="H5" s="132"/>
      <c r="I5" s="132"/>
      <c r="J5" s="132"/>
      <c r="K5" s="132"/>
      <c r="L5" s="132"/>
    </row>
    <row r="6" spans="2:15" ht="19.5" thickBot="1">
      <c r="B6" s="161" t="s">
        <v>325</v>
      </c>
      <c r="C6" s="242">
        <v>2020</v>
      </c>
      <c r="D6" s="243">
        <v>2021</v>
      </c>
      <c r="E6" s="243">
        <v>2022</v>
      </c>
      <c r="F6" s="243">
        <v>2023</v>
      </c>
      <c r="G6" s="244">
        <v>2024</v>
      </c>
      <c r="H6" s="243" t="s">
        <v>0</v>
      </c>
      <c r="I6" s="243" t="s">
        <v>54</v>
      </c>
      <c r="J6" s="243" t="s">
        <v>55</v>
      </c>
      <c r="K6" s="243" t="s">
        <v>56</v>
      </c>
      <c r="L6" s="243" t="s">
        <v>57</v>
      </c>
    </row>
    <row r="7" spans="2:15" ht="19.5" thickTop="1">
      <c r="B7" s="4" t="s">
        <v>761</v>
      </c>
      <c r="C7" s="60">
        <v>17263</v>
      </c>
      <c r="D7" s="60">
        <v>21451.1</v>
      </c>
      <c r="E7" s="60">
        <v>24480</v>
      </c>
      <c r="F7" s="60">
        <v>19942.099999999999</v>
      </c>
      <c r="G7" s="69">
        <v>21454.5</v>
      </c>
      <c r="H7" s="61">
        <f>H8+H9</f>
        <v>25245.612249999998</v>
      </c>
      <c r="I7" s="61">
        <f t="shared" ref="I7:L7" si="0">I8+I9</f>
        <v>22120.444729166666</v>
      </c>
      <c r="J7" s="61">
        <f t="shared" si="0"/>
        <v>22811.319800347221</v>
      </c>
      <c r="K7" s="61">
        <f t="shared" si="0"/>
        <v>23489.776602285878</v>
      </c>
      <c r="L7" s="63">
        <f t="shared" si="0"/>
        <v>22822.031555326481</v>
      </c>
    </row>
    <row r="8" spans="2:15">
      <c r="B8" s="5" t="s">
        <v>447</v>
      </c>
      <c r="C8" s="60">
        <v>5301</v>
      </c>
      <c r="D8" s="60">
        <v>7402.6510000000017</v>
      </c>
      <c r="E8" s="60">
        <v>11404.6</v>
      </c>
      <c r="F8" s="60">
        <v>6902.2000000000007</v>
      </c>
      <c r="G8" s="80">
        <v>7639.4</v>
      </c>
      <c r="H8" s="61">
        <f>'건축주택-정비사업'!H7</f>
        <v>11750.9</v>
      </c>
      <c r="I8" s="61">
        <f>'건축주택-정비사업'!I7</f>
        <v>8764.1666666666661</v>
      </c>
      <c r="J8" s="61">
        <f>'건축주택-정비사업'!J7</f>
        <v>9384.822222222223</v>
      </c>
      <c r="K8" s="61">
        <f>'건축주택-정비사업'!K7</f>
        <v>9966.6296296296296</v>
      </c>
      <c r="L8" s="61">
        <f>'건축주택-정비사업'!L7</f>
        <v>9371.8728395061717</v>
      </c>
      <c r="M8" s="1" t="s">
        <v>451</v>
      </c>
      <c r="N8" s="81"/>
    </row>
    <row r="9" spans="2:15" ht="19.5" thickBot="1">
      <c r="B9" s="332" t="s">
        <v>448</v>
      </c>
      <c r="C9" s="360">
        <v>11962</v>
      </c>
      <c r="D9" s="360">
        <v>14048.448999999997</v>
      </c>
      <c r="E9" s="360">
        <v>13075.4</v>
      </c>
      <c r="F9" s="360">
        <v>13039.899999999998</v>
      </c>
      <c r="G9" s="362">
        <v>13815.1</v>
      </c>
      <c r="H9" s="363">
        <f>AVERAGE(D9:G9)</f>
        <v>13494.712249999999</v>
      </c>
      <c r="I9" s="363">
        <f>AVERAGE(E9:H9)</f>
        <v>13356.278062499998</v>
      </c>
      <c r="J9" s="363">
        <f>AVERAGE(F9:I9)</f>
        <v>13426.497578125</v>
      </c>
      <c r="K9" s="363">
        <f>AVERAGE(G9:J9)</f>
        <v>13523.14697265625</v>
      </c>
      <c r="L9" s="363">
        <f>AVERAGE(H9:K9)</f>
        <v>13450.158715820311</v>
      </c>
      <c r="M9" s="1" t="s">
        <v>340</v>
      </c>
      <c r="N9" s="57"/>
      <c r="O9" s="57"/>
    </row>
    <row r="10" spans="2:15">
      <c r="B10" s="6"/>
      <c r="C10" s="60"/>
      <c r="D10" s="60"/>
      <c r="E10" s="60"/>
      <c r="F10" s="60"/>
      <c r="G10" s="67"/>
      <c r="H10" s="67"/>
      <c r="I10" s="67"/>
      <c r="J10" s="67"/>
      <c r="K10" s="67"/>
      <c r="L10" s="67"/>
    </row>
    <row r="11" spans="2:15">
      <c r="B11" s="6"/>
      <c r="C11" s="60"/>
      <c r="D11" s="60"/>
      <c r="E11" s="60"/>
      <c r="F11" s="60"/>
      <c r="G11" s="67"/>
      <c r="H11" s="67"/>
      <c r="I11" s="67"/>
      <c r="J11" s="67"/>
      <c r="K11" s="67"/>
      <c r="L11" s="67"/>
    </row>
    <row r="12" spans="2:15">
      <c r="B12" s="134" t="s">
        <v>445</v>
      </c>
      <c r="C12" s="132"/>
      <c r="D12" s="132"/>
      <c r="E12" s="132"/>
      <c r="F12" s="132"/>
      <c r="G12" s="132"/>
      <c r="H12" s="132"/>
      <c r="I12" s="132"/>
      <c r="J12" s="132"/>
      <c r="K12" s="132"/>
      <c r="L12" s="132"/>
    </row>
    <row r="13" spans="2:15" ht="19.5" thickBot="1">
      <c r="B13" s="161" t="s">
        <v>325</v>
      </c>
      <c r="C13" s="242">
        <v>2020</v>
      </c>
      <c r="D13" s="243">
        <v>2021</v>
      </c>
      <c r="E13" s="243">
        <v>2022</v>
      </c>
      <c r="F13" s="243">
        <v>2023</v>
      </c>
      <c r="G13" s="244">
        <v>2024</v>
      </c>
      <c r="H13" s="243" t="s">
        <v>0</v>
      </c>
      <c r="I13" s="243" t="s">
        <v>54</v>
      </c>
      <c r="J13" s="243" t="s">
        <v>55</v>
      </c>
      <c r="K13" s="243" t="s">
        <v>56</v>
      </c>
      <c r="L13" s="243" t="s">
        <v>57</v>
      </c>
    </row>
    <row r="14" spans="2:15" ht="19.5" thickTop="1">
      <c r="B14" s="4" t="s">
        <v>761</v>
      </c>
      <c r="C14" s="60">
        <v>43815.6</v>
      </c>
      <c r="D14" s="60">
        <v>53361.4</v>
      </c>
      <c r="E14" s="60">
        <v>60033</v>
      </c>
      <c r="F14" s="60">
        <v>59317.5</v>
      </c>
      <c r="G14" s="69">
        <v>59332.999999999985</v>
      </c>
      <c r="H14" s="61">
        <f>H15+H16</f>
        <v>64650.240523866989</v>
      </c>
      <c r="I14" s="61">
        <f>I15+I16</f>
        <v>65710.866501209166</v>
      </c>
      <c r="J14" s="61">
        <f>J15+J16</f>
        <v>67451.399906246384</v>
      </c>
      <c r="K14" s="61">
        <f>K15+K16</f>
        <v>69021.794381451822</v>
      </c>
      <c r="L14" s="63">
        <f>L15+L16</f>
        <v>68936.021412103117</v>
      </c>
    </row>
    <row r="15" spans="2:15">
      <c r="B15" s="5" t="s">
        <v>447</v>
      </c>
      <c r="C15" s="60">
        <v>13454.584695591726</v>
      </c>
      <c r="D15" s="60">
        <v>16136.267200629089</v>
      </c>
      <c r="E15" s="60">
        <v>34332.008755346731</v>
      </c>
      <c r="F15" s="60">
        <v>19083.234216597913</v>
      </c>
      <c r="G15" s="80">
        <v>19234.017108473687</v>
      </c>
      <c r="H15" s="61">
        <f>'건축주택-정비사업'!H8</f>
        <v>22463.25483556078</v>
      </c>
      <c r="I15" s="61">
        <f>'건축주택-정비사업'!I8</f>
        <v>22168.273434630042</v>
      </c>
      <c r="J15" s="61">
        <f>'건축주택-정비사업'!J8</f>
        <v>22868.601185550666</v>
      </c>
      <c r="K15" s="61">
        <f>'건축주택-정비사업'!K8</f>
        <v>23598.041475733706</v>
      </c>
      <c r="L15" s="61">
        <f>'건축주택-정비사업'!L8</f>
        <v>22983.523609763586</v>
      </c>
      <c r="M15" s="1" t="s">
        <v>451</v>
      </c>
    </row>
    <row r="16" spans="2:15" ht="19.5" thickBot="1">
      <c r="B16" s="332" t="s">
        <v>448</v>
      </c>
      <c r="C16" s="360">
        <v>30361.015304408273</v>
      </c>
      <c r="D16" s="360">
        <v>37225.132799370913</v>
      </c>
      <c r="E16" s="360">
        <v>25700.991244653265</v>
      </c>
      <c r="F16" s="360">
        <v>40234.265783402087</v>
      </c>
      <c r="G16" s="362">
        <v>40098.982891526299</v>
      </c>
      <c r="H16" s="363">
        <f>G16-H23+H9</f>
        <v>42186.985688306209</v>
      </c>
      <c r="I16" s="363">
        <f>H16-I23+I9</f>
        <v>43542.593066579124</v>
      </c>
      <c r="J16" s="363">
        <f>I16-J23+J9</f>
        <v>44582.798720695719</v>
      </c>
      <c r="K16" s="363">
        <f>J16-K23+K9</f>
        <v>45423.752905718109</v>
      </c>
      <c r="L16" s="363">
        <f>K16-L23+L9</f>
        <v>45952.497802339523</v>
      </c>
      <c r="M16" s="1" t="s">
        <v>341</v>
      </c>
      <c r="N16" s="57"/>
      <c r="O16" s="57"/>
    </row>
    <row r="17" spans="2:22">
      <c r="B17" s="72" t="s">
        <v>897</v>
      </c>
      <c r="C17" s="68"/>
      <c r="D17" s="68"/>
      <c r="E17" s="68"/>
      <c r="F17" s="68"/>
      <c r="G17" s="67"/>
      <c r="H17" s="67"/>
      <c r="I17" s="67"/>
      <c r="J17" s="67"/>
      <c r="K17" s="67"/>
      <c r="L17" s="67"/>
    </row>
    <row r="18" spans="2:22">
      <c r="B18" s="6"/>
      <c r="C18" s="7"/>
      <c r="D18" s="7"/>
      <c r="E18" s="7"/>
      <c r="F18" s="7"/>
      <c r="G18" s="8"/>
      <c r="H18" s="8"/>
      <c r="I18" s="8"/>
      <c r="J18" s="8"/>
      <c r="K18" s="8"/>
    </row>
    <row r="19" spans="2:22">
      <c r="B19" s="134" t="s">
        <v>446</v>
      </c>
      <c r="C19" s="132"/>
      <c r="D19" s="132"/>
      <c r="E19" s="132"/>
      <c r="F19" s="132"/>
      <c r="G19" s="132"/>
      <c r="H19" s="132"/>
      <c r="I19" s="132"/>
      <c r="J19" s="132"/>
      <c r="K19" s="132"/>
      <c r="L19" s="132"/>
    </row>
    <row r="20" spans="2:22" ht="19.5" thickBot="1">
      <c r="B20" s="161" t="s">
        <v>325</v>
      </c>
      <c r="C20" s="242">
        <v>2020</v>
      </c>
      <c r="D20" s="243">
        <v>2021</v>
      </c>
      <c r="E20" s="243">
        <v>2022</v>
      </c>
      <c r="F20" s="243">
        <v>2023</v>
      </c>
      <c r="G20" s="244">
        <v>2024</v>
      </c>
      <c r="H20" s="243" t="s">
        <v>0</v>
      </c>
      <c r="I20" s="243" t="s">
        <v>54</v>
      </c>
      <c r="J20" s="243" t="s">
        <v>55</v>
      </c>
      <c r="K20" s="243" t="s">
        <v>56</v>
      </c>
      <c r="L20" s="243" t="s">
        <v>57</v>
      </c>
    </row>
    <row r="21" spans="2:22" ht="19.5" thickTop="1">
      <c r="B21" s="4" t="s">
        <v>761</v>
      </c>
      <c r="C21" s="60">
        <v>11484.819753229451</v>
      </c>
      <c r="D21" s="60">
        <v>14600.111807704252</v>
      </c>
      <c r="E21" s="60">
        <v>16756.500815360469</v>
      </c>
      <c r="F21" s="60">
        <v>20264.378320165932</v>
      </c>
      <c r="G21" s="69">
        <v>22507.03747878881</v>
      </c>
      <c r="H21" s="61">
        <f>H22+H23</f>
        <v>19928.371726132995</v>
      </c>
      <c r="I21" s="61">
        <f t="shared" ref="I21:L21" si="1">I22+I23</f>
        <v>21059.818751824485</v>
      </c>
      <c r="J21" s="61">
        <f t="shared" si="1"/>
        <v>21070.78639531001</v>
      </c>
      <c r="K21" s="61">
        <f t="shared" si="1"/>
        <v>21919.382127080444</v>
      </c>
      <c r="L21" s="63">
        <f t="shared" si="1"/>
        <v>22907.80452467519</v>
      </c>
    </row>
    <row r="22" spans="2:22">
      <c r="B22" s="5" t="s">
        <v>447</v>
      </c>
      <c r="C22" s="60">
        <v>2740.38024677055</v>
      </c>
      <c r="D22" s="60">
        <v>3119.939192295752</v>
      </c>
      <c r="E22" s="60">
        <v>7149.1991846395322</v>
      </c>
      <c r="F22" s="60">
        <v>6337.7216798340687</v>
      </c>
      <c r="G22" s="80">
        <v>7131.4625212111896</v>
      </c>
      <c r="H22" s="61">
        <f>'건축주택-정비사업'!H9</f>
        <v>8521.6622729129085</v>
      </c>
      <c r="I22" s="61">
        <f>'건축주택-정비사업'!I9</f>
        <v>9059.1480675974035</v>
      </c>
      <c r="J22" s="61">
        <f>'건축주택-정비사업'!J9</f>
        <v>8684.4944713016012</v>
      </c>
      <c r="K22" s="61">
        <f>'건축주택-정비사업'!K9</f>
        <v>9237.1893394465878</v>
      </c>
      <c r="L22" s="61">
        <f>'건축주택-정비사업'!L9</f>
        <v>9986.3907054762913</v>
      </c>
      <c r="M22" s="1" t="s">
        <v>451</v>
      </c>
    </row>
    <row r="23" spans="2:22" ht="19.5" thickBot="1">
      <c r="B23" s="332" t="s">
        <v>448</v>
      </c>
      <c r="C23" s="360">
        <v>6183.8197532294498</v>
      </c>
      <c r="D23" s="360">
        <v>7197.4608077042503</v>
      </c>
      <c r="E23" s="360">
        <v>5351.9008153604682</v>
      </c>
      <c r="F23" s="360">
        <v>13362.178320165933</v>
      </c>
      <c r="G23" s="362">
        <v>14867.637478788811</v>
      </c>
      <c r="H23" s="363">
        <f>G16*$C$31</f>
        <v>11406.709453220086</v>
      </c>
      <c r="I23" s="363">
        <f>H16*$C$31</f>
        <v>12000.670684227081</v>
      </c>
      <c r="J23" s="363">
        <f>I16*$C$31</f>
        <v>12386.291924008407</v>
      </c>
      <c r="K23" s="363">
        <f>J16*$C$31</f>
        <v>12682.192787633856</v>
      </c>
      <c r="L23" s="363">
        <f>K16*$C$31</f>
        <v>12921.413819198899</v>
      </c>
      <c r="M23" s="1" t="s">
        <v>880</v>
      </c>
    </row>
    <row r="24" spans="2:22">
      <c r="B24" s="6"/>
      <c r="C24" s="60"/>
      <c r="D24" s="60"/>
      <c r="E24" s="60"/>
      <c r="F24" s="60"/>
      <c r="G24" s="67"/>
      <c r="H24" s="70"/>
      <c r="I24" s="70"/>
      <c r="J24" s="70"/>
      <c r="K24" s="70"/>
      <c r="L24" s="70"/>
    </row>
    <row r="25" spans="2:22">
      <c r="B25" s="57"/>
      <c r="C25" s="32"/>
      <c r="D25" s="32"/>
      <c r="E25" s="32"/>
      <c r="F25" s="32"/>
      <c r="G25" s="58"/>
      <c r="H25" s="58"/>
      <c r="I25" s="58"/>
      <c r="J25" s="58"/>
      <c r="K25" s="58"/>
      <c r="L25" s="58"/>
    </row>
    <row r="26" spans="2:22">
      <c r="B26" s="134" t="s">
        <v>881</v>
      </c>
      <c r="C26" s="132"/>
      <c r="D26" s="132"/>
      <c r="E26" s="132"/>
      <c r="F26" s="132"/>
      <c r="G26" s="132"/>
      <c r="J26"/>
      <c r="K26"/>
      <c r="L26"/>
      <c r="M26"/>
      <c r="N26"/>
      <c r="O26"/>
    </row>
    <row r="27" spans="2:22" ht="19.5" thickBot="1">
      <c r="B27" s="161" t="s">
        <v>325</v>
      </c>
      <c r="C27" s="242">
        <v>2020</v>
      </c>
      <c r="D27" s="243">
        <v>2021</v>
      </c>
      <c r="E27" s="243">
        <v>2022</v>
      </c>
      <c r="F27" s="243">
        <v>2023</v>
      </c>
      <c r="G27" s="243">
        <v>2024</v>
      </c>
      <c r="H27" s="64"/>
      <c r="I27"/>
      <c r="J27"/>
      <c r="K27"/>
      <c r="L27"/>
      <c r="M27"/>
      <c r="N27"/>
      <c r="O27"/>
      <c r="P27"/>
      <c r="Q27"/>
      <c r="R27"/>
      <c r="S27"/>
      <c r="T27"/>
      <c r="U27"/>
      <c r="V27"/>
    </row>
    <row r="28" spans="2:22" ht="19.5" thickTop="1">
      <c r="B28" s="4" t="s">
        <v>315</v>
      </c>
      <c r="C28" s="59">
        <v>30361.015304408273</v>
      </c>
      <c r="D28" s="60">
        <v>37225.132799370913</v>
      </c>
      <c r="E28" s="60">
        <v>25700.991244653265</v>
      </c>
      <c r="F28" s="60">
        <v>40234.265783402087</v>
      </c>
      <c r="G28" s="63">
        <v>40098.982891526299</v>
      </c>
      <c r="H28"/>
      <c r="I28"/>
      <c r="J28"/>
      <c r="K28"/>
      <c r="L28"/>
      <c r="M28"/>
      <c r="N28"/>
      <c r="O28"/>
      <c r="P28"/>
      <c r="Q28"/>
      <c r="S28"/>
      <c r="T28"/>
      <c r="U28"/>
      <c r="V28"/>
    </row>
    <row r="29" spans="2:22">
      <c r="B29" s="5" t="s">
        <v>9</v>
      </c>
      <c r="C29" s="59">
        <v>6183.8197532294498</v>
      </c>
      <c r="D29" s="60">
        <v>7197.4608077042503</v>
      </c>
      <c r="E29" s="60">
        <v>5351.9008153604682</v>
      </c>
      <c r="F29" s="60">
        <v>13362.178320165933</v>
      </c>
      <c r="G29" s="61">
        <v>14867.637478788811</v>
      </c>
      <c r="H29" s="62"/>
    </row>
    <row r="30" spans="2:22">
      <c r="B30" s="233" t="s">
        <v>882</v>
      </c>
      <c r="C30" s="429"/>
      <c r="D30" s="430">
        <f>D29/C28</f>
        <v>0.23706258619945472</v>
      </c>
      <c r="E30" s="430">
        <f t="shared" ref="E30:G30" si="2">E29/D28</f>
        <v>0.1437711678345151</v>
      </c>
      <c r="F30" s="430">
        <f t="shared" si="2"/>
        <v>0.51990906471149234</v>
      </c>
      <c r="G30" s="431">
        <f t="shared" si="2"/>
        <v>0.36952675012954217</v>
      </c>
      <c r="H30"/>
      <c r="I30"/>
      <c r="J30"/>
      <c r="K30"/>
      <c r="L30"/>
      <c r="M30"/>
      <c r="N30"/>
      <c r="O30"/>
    </row>
    <row r="31" spans="2:22" ht="19.5" thickBot="1">
      <c r="B31" s="9" t="s">
        <v>883</v>
      </c>
      <c r="C31" s="364">
        <f>GEOMEAN(D30:G30)</f>
        <v>0.28446381006912141</v>
      </c>
      <c r="D31" s="365"/>
      <c r="E31" s="365"/>
      <c r="F31" s="365"/>
      <c r="G31" s="365"/>
      <c r="I31" s="105"/>
      <c r="J31" s="105"/>
      <c r="K31" s="105"/>
      <c r="L31" s="105"/>
      <c r="M31" s="105"/>
      <c r="N31" s="105"/>
    </row>
    <row r="32" spans="2:22">
      <c r="B32" s="1" t="s">
        <v>884</v>
      </c>
      <c r="I32" s="105"/>
      <c r="J32" s="105"/>
      <c r="K32" s="105"/>
      <c r="L32" s="105"/>
      <c r="M32" s="105"/>
      <c r="N32" s="105"/>
      <c r="P32"/>
      <c r="Q32"/>
      <c r="R32"/>
    </row>
    <row r="33" spans="9:14">
      <c r="I33" s="105"/>
      <c r="J33" s="105"/>
      <c r="K33" s="105"/>
      <c r="L33" s="105"/>
      <c r="M33" s="105"/>
      <c r="N33" s="105"/>
    </row>
    <row r="34" spans="9:14">
      <c r="I34" s="105"/>
      <c r="J34" s="105"/>
      <c r="K34" s="105"/>
      <c r="L34" s="105"/>
      <c r="M34" s="105"/>
      <c r="N34" s="105"/>
    </row>
  </sheetData>
  <mergeCells count="1">
    <mergeCell ref="B1:E2"/>
  </mergeCells>
  <phoneticPr fontId="2" type="noConversion"/>
  <hyperlinks>
    <hyperlink ref="M22" location="'플랜트-원전'!A1" display="[별도추정] '플랜트-원전' 시트 참고" xr:uid="{0C0A233E-D778-4A70-BDD1-A9C970EDEB48}"/>
    <hyperlink ref="M22:O22" location="'건축주택-정비사업'!A1" display="[별도추정] '플랜트-원전' 시트 참고" xr:uid="{B6E4736B-17B3-4585-AC15-1B263309B436}"/>
    <hyperlink ref="M8" location="'건축주택-정비사업'!A1" display="[별도추정] '건축주택-정비사업' 시트 참고" xr:uid="{9BF9483A-C046-4CD0-92F0-DC613957068E}"/>
    <hyperlink ref="M15" location="'건축주택-정비사업'!A1" display="[별도추정] '건축주택-정비사업' 시트 참고" xr:uid="{554CB011-94E7-47CE-A0F6-EE519F9F5F3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54516-12B5-420E-BA3E-BE564F7AF301}">
  <dimension ref="B1:X90"/>
  <sheetViews>
    <sheetView showGridLines="0" zoomScaleNormal="100" workbookViewId="0"/>
  </sheetViews>
  <sheetFormatPr defaultColWidth="8.625" defaultRowHeight="18.75"/>
  <cols>
    <col min="1" max="1" width="8.75" style="1" customWidth="1"/>
    <col min="2" max="2" width="11.25" style="1" customWidth="1"/>
    <col min="3" max="3" width="13.375" style="1" bestFit="1" customWidth="1"/>
    <col min="4" max="12" width="11.25" style="1" customWidth="1"/>
    <col min="13" max="16384" width="8.625" style="1"/>
  </cols>
  <sheetData>
    <row r="1" spans="2:16" s="131" customFormat="1" ht="18.75" customHeight="1">
      <c r="B1" s="480" t="s">
        <v>452</v>
      </c>
      <c r="C1" s="480"/>
      <c r="D1" s="480"/>
      <c r="E1" s="480"/>
      <c r="N1" s="133"/>
      <c r="P1" s="133"/>
    </row>
    <row r="2" spans="2:16" s="131" customFormat="1" ht="18.75" customHeight="1">
      <c r="B2" s="480"/>
      <c r="C2" s="480"/>
      <c r="D2" s="480"/>
      <c r="E2" s="480"/>
      <c r="N2" s="133"/>
      <c r="O2" s="133"/>
      <c r="P2" s="133"/>
    </row>
    <row r="5" spans="2:16">
      <c r="B5" s="134" t="s">
        <v>687</v>
      </c>
      <c r="C5" s="132"/>
      <c r="D5" s="132"/>
      <c r="E5" s="132"/>
      <c r="F5" s="132"/>
      <c r="G5" s="132"/>
      <c r="H5" s="129"/>
      <c r="I5" s="129"/>
      <c r="J5" s="129"/>
      <c r="K5" s="129"/>
      <c r="L5" s="129"/>
    </row>
    <row r="6" spans="2:16" ht="19.5" thickBot="1">
      <c r="B6" s="2" t="s">
        <v>325</v>
      </c>
      <c r="C6" s="243">
        <v>2020</v>
      </c>
      <c r="D6" s="243">
        <v>2021</v>
      </c>
      <c r="E6" s="243">
        <v>2022</v>
      </c>
      <c r="F6" s="243">
        <v>2023</v>
      </c>
      <c r="G6" s="243">
        <v>2024</v>
      </c>
      <c r="H6" s="243" t="s">
        <v>0</v>
      </c>
      <c r="I6" s="243" t="s">
        <v>54</v>
      </c>
      <c r="J6" s="243" t="s">
        <v>55</v>
      </c>
      <c r="K6" s="243" t="s">
        <v>56</v>
      </c>
      <c r="L6" s="243" t="s">
        <v>57</v>
      </c>
    </row>
    <row r="7" spans="2:16" ht="19.5" thickTop="1">
      <c r="B7" s="4" t="s">
        <v>320</v>
      </c>
      <c r="C7" s="67">
        <v>5301</v>
      </c>
      <c r="D7" s="67">
        <v>7402.6510000000017</v>
      </c>
      <c r="E7" s="67">
        <v>11404.6</v>
      </c>
      <c r="F7" s="67">
        <v>6902.2000000000007</v>
      </c>
      <c r="G7" s="67">
        <v>7639.4</v>
      </c>
      <c r="H7" s="61">
        <f>H19</f>
        <v>11750.9</v>
      </c>
      <c r="I7" s="61">
        <f t="shared" ref="I7:L7" si="0">I19</f>
        <v>8764.1666666666661</v>
      </c>
      <c r="J7" s="61">
        <f t="shared" si="0"/>
        <v>9384.822222222223</v>
      </c>
      <c r="K7" s="61">
        <f t="shared" si="0"/>
        <v>9966.6296296296296</v>
      </c>
      <c r="L7" s="61">
        <f t="shared" si="0"/>
        <v>9371.8728395061717</v>
      </c>
    </row>
    <row r="8" spans="2:16">
      <c r="B8" s="18" t="s">
        <v>315</v>
      </c>
      <c r="C8" s="67">
        <v>13454.584695591726</v>
      </c>
      <c r="D8" s="67">
        <v>16136.267200629089</v>
      </c>
      <c r="E8" s="67">
        <v>34332.008755346731</v>
      </c>
      <c r="F8" s="67">
        <v>19083.234216597913</v>
      </c>
      <c r="G8" s="67">
        <v>19234.017108473687</v>
      </c>
      <c r="H8" s="61">
        <f>G8+H7-H9</f>
        <v>22463.25483556078</v>
      </c>
      <c r="I8" s="61">
        <f t="shared" ref="I8:L8" si="1">H8+I7-I9</f>
        <v>22168.273434630042</v>
      </c>
      <c r="J8" s="61">
        <f t="shared" si="1"/>
        <v>22868.601185550666</v>
      </c>
      <c r="K8" s="61">
        <f t="shared" si="1"/>
        <v>23598.041475733706</v>
      </c>
      <c r="L8" s="61">
        <f t="shared" si="1"/>
        <v>22983.523609763586</v>
      </c>
    </row>
    <row r="9" spans="2:16">
      <c r="B9" s="18" t="s">
        <v>316</v>
      </c>
      <c r="C9" s="67">
        <v>5301</v>
      </c>
      <c r="D9" s="67">
        <v>7402.6510000000017</v>
      </c>
      <c r="E9" s="67">
        <v>11404.6</v>
      </c>
      <c r="F9" s="67">
        <v>6902.2000000000007</v>
      </c>
      <c r="G9" s="67">
        <v>7639.4</v>
      </c>
      <c r="H9" s="61">
        <f>H10+H11</f>
        <v>8521.6622729129085</v>
      </c>
      <c r="I9" s="61">
        <f t="shared" ref="I9:L9" si="2">I10+I11</f>
        <v>9059.1480675974035</v>
      </c>
      <c r="J9" s="61">
        <f t="shared" si="2"/>
        <v>8684.4944713016012</v>
      </c>
      <c r="K9" s="61">
        <f t="shared" si="2"/>
        <v>9237.1893394465878</v>
      </c>
      <c r="L9" s="61">
        <f t="shared" si="2"/>
        <v>9986.3907054762913</v>
      </c>
    </row>
    <row r="10" spans="2:16">
      <c r="B10" s="5" t="s">
        <v>449</v>
      </c>
      <c r="C10" s="79">
        <v>0</v>
      </c>
      <c r="D10" s="67">
        <v>0</v>
      </c>
      <c r="E10" s="67">
        <v>0</v>
      </c>
      <c r="F10" s="67">
        <v>0</v>
      </c>
      <c r="G10" s="67">
        <v>0</v>
      </c>
      <c r="H10" s="61">
        <f>G47</f>
        <v>0</v>
      </c>
      <c r="I10" s="61">
        <f t="shared" ref="I10:L10" si="3">H47</f>
        <v>0</v>
      </c>
      <c r="J10" s="61">
        <f t="shared" si="3"/>
        <v>546.69662325504396</v>
      </c>
      <c r="K10" s="61">
        <f t="shared" si="3"/>
        <v>1595.75330493604</v>
      </c>
      <c r="L10" s="61">
        <f t="shared" si="3"/>
        <v>2808.9155966911485</v>
      </c>
    </row>
    <row r="11" spans="2:16" ht="19.5" thickBot="1">
      <c r="B11" s="332" t="s">
        <v>450</v>
      </c>
      <c r="C11" s="366">
        <v>0</v>
      </c>
      <c r="D11" s="367">
        <v>0</v>
      </c>
      <c r="E11" s="367">
        <v>0</v>
      </c>
      <c r="F11" s="367">
        <v>0</v>
      </c>
      <c r="G11" s="367">
        <v>0</v>
      </c>
      <c r="H11" s="363">
        <f>H56</f>
        <v>8521.6622729129085</v>
      </c>
      <c r="I11" s="363">
        <f t="shared" ref="I11:L11" si="4">I56</f>
        <v>9059.1480675974035</v>
      </c>
      <c r="J11" s="363">
        <f t="shared" si="4"/>
        <v>8137.7978480465572</v>
      </c>
      <c r="K11" s="363">
        <f t="shared" si="4"/>
        <v>7641.4360345105488</v>
      </c>
      <c r="L11" s="363">
        <f t="shared" si="4"/>
        <v>7177.4751087851428</v>
      </c>
    </row>
    <row r="14" spans="2:16" s="132" customFormat="1">
      <c r="B14" s="134" t="s">
        <v>613</v>
      </c>
    </row>
    <row r="17" spans="2:24">
      <c r="B17" s="129" t="s">
        <v>613</v>
      </c>
      <c r="C17" s="132"/>
      <c r="D17" s="132"/>
      <c r="E17" s="132"/>
      <c r="F17" s="132"/>
      <c r="G17" s="132"/>
      <c r="H17" s="129"/>
      <c r="I17" s="129"/>
      <c r="J17" s="129"/>
      <c r="K17" s="129"/>
      <c r="L17" s="129"/>
      <c r="R17" s="71"/>
    </row>
    <row r="18" spans="2:24" ht="19.5" thickBot="1">
      <c r="B18" s="2" t="s">
        <v>325</v>
      </c>
      <c r="C18" s="243">
        <v>2020</v>
      </c>
      <c r="D18" s="243">
        <v>2021</v>
      </c>
      <c r="E18" s="243">
        <v>2022</v>
      </c>
      <c r="F18" s="243">
        <v>2023</v>
      </c>
      <c r="G18" s="243">
        <v>2024</v>
      </c>
      <c r="H18" s="243" t="s">
        <v>0</v>
      </c>
      <c r="I18" s="243" t="s">
        <v>54</v>
      </c>
      <c r="J18" s="243" t="s">
        <v>55</v>
      </c>
      <c r="K18" s="243" t="s">
        <v>56</v>
      </c>
      <c r="L18" s="243" t="s">
        <v>57</v>
      </c>
      <c r="N18" s="71" t="s">
        <v>673</v>
      </c>
    </row>
    <row r="19" spans="2:24" ht="19.5" thickTop="1">
      <c r="B19" s="4" t="s">
        <v>320</v>
      </c>
      <c r="C19" s="67">
        <v>5301</v>
      </c>
      <c r="D19" s="67">
        <v>7402.6510000000017</v>
      </c>
      <c r="E19" s="67">
        <v>11404.6</v>
      </c>
      <c r="F19" s="67">
        <v>6902.2000000000007</v>
      </c>
      <c r="G19" s="67">
        <v>7639.4</v>
      </c>
      <c r="H19" s="82">
        <f>도시정비_RAW!H134</f>
        <v>11750.9</v>
      </c>
      <c r="I19" s="82">
        <f>AVERAGE(F19:H19)</f>
        <v>8764.1666666666661</v>
      </c>
      <c r="J19" s="82">
        <f>AVERAGE(G19:I19)</f>
        <v>9384.822222222223</v>
      </c>
      <c r="K19" s="82">
        <f>AVERAGE(H19:J19)</f>
        <v>9966.6296296296296</v>
      </c>
      <c r="L19" s="82">
        <f>AVERAGE(I19:K19)</f>
        <v>9371.8728395061717</v>
      </c>
      <c r="N19" s="1" t="s">
        <v>674</v>
      </c>
      <c r="X19" s="77"/>
    </row>
    <row r="20" spans="2:24" ht="19.5" thickBot="1">
      <c r="B20" s="304" t="s">
        <v>18</v>
      </c>
      <c r="C20" s="368">
        <f>C19/1954.3-1</f>
        <v>1.7124801719285681</v>
      </c>
      <c r="D20" s="368">
        <f>D19/C19-1</f>
        <v>0.39646312016600671</v>
      </c>
      <c r="E20" s="368">
        <f t="shared" ref="E20:L20" si="5">E19/D19-1</f>
        <v>0.5406102489500042</v>
      </c>
      <c r="F20" s="368">
        <f t="shared" si="5"/>
        <v>-0.39478806797257238</v>
      </c>
      <c r="G20" s="368">
        <f t="shared" si="5"/>
        <v>0.10680652545565161</v>
      </c>
      <c r="H20" s="369">
        <f t="shared" si="5"/>
        <v>0.53819671701966132</v>
      </c>
      <c r="I20" s="369">
        <f t="shared" si="5"/>
        <v>-0.25417060253540869</v>
      </c>
      <c r="J20" s="369">
        <f t="shared" si="5"/>
        <v>7.0817406738296951E-2</v>
      </c>
      <c r="K20" s="369">
        <f t="shared" si="5"/>
        <v>6.1994504917711746E-2</v>
      </c>
      <c r="L20" s="369">
        <f t="shared" si="5"/>
        <v>-5.9674816083795768E-2</v>
      </c>
      <c r="N20" s="1" t="s">
        <v>675</v>
      </c>
    </row>
    <row r="23" spans="2:24">
      <c r="B23" s="134" t="s">
        <v>614</v>
      </c>
      <c r="C23" s="129"/>
      <c r="D23" s="129"/>
      <c r="E23" s="129"/>
      <c r="F23" s="129"/>
      <c r="G23" s="129"/>
      <c r="H23" s="129"/>
      <c r="I23" s="129"/>
      <c r="J23" s="132"/>
      <c r="R23" s="71"/>
    </row>
    <row r="24" spans="2:24" ht="19.5" thickBot="1">
      <c r="B24" s="2" t="s">
        <v>325</v>
      </c>
      <c r="C24" s="2"/>
      <c r="D24" s="243" t="s">
        <v>293</v>
      </c>
      <c r="E24" s="243" t="s">
        <v>616</v>
      </c>
      <c r="F24" s="243" t="s">
        <v>34</v>
      </c>
      <c r="G24" s="2"/>
      <c r="H24" s="2"/>
      <c r="I24" s="2"/>
      <c r="J24" s="2"/>
    </row>
    <row r="25" spans="2:24" ht="19.5" thickTop="1">
      <c r="B25" s="1" t="s">
        <v>615</v>
      </c>
      <c r="D25" s="163">
        <v>45739</v>
      </c>
      <c r="E25" s="67">
        <v>765.7</v>
      </c>
      <c r="F25" s="1" t="s">
        <v>617</v>
      </c>
    </row>
    <row r="26" spans="2:24">
      <c r="B26" s="1" t="s">
        <v>603</v>
      </c>
      <c r="D26" s="163">
        <v>45745</v>
      </c>
      <c r="E26" s="67">
        <v>312.3</v>
      </c>
      <c r="F26" s="1" t="s">
        <v>618</v>
      </c>
    </row>
    <row r="27" spans="2:24">
      <c r="B27" s="1" t="s">
        <v>623</v>
      </c>
      <c r="D27" s="163">
        <v>45773</v>
      </c>
      <c r="E27" s="67">
        <v>350.2</v>
      </c>
      <c r="F27" s="1" t="s">
        <v>619</v>
      </c>
    </row>
    <row r="28" spans="2:24">
      <c r="B28" s="1" t="s">
        <v>635</v>
      </c>
      <c r="D28" s="163">
        <v>45801</v>
      </c>
      <c r="E28" s="67">
        <v>1513.8</v>
      </c>
      <c r="F28" s="1" t="s">
        <v>620</v>
      </c>
    </row>
    <row r="29" spans="2:24">
      <c r="B29" s="1" t="s">
        <v>622</v>
      </c>
      <c r="D29" s="163">
        <v>45822</v>
      </c>
      <c r="E29" s="67">
        <v>291.89999999999998</v>
      </c>
      <c r="F29" s="1" t="s">
        <v>621</v>
      </c>
    </row>
    <row r="30" spans="2:24">
      <c r="B30" s="1" t="s">
        <v>634</v>
      </c>
      <c r="D30" s="163">
        <v>45829</v>
      </c>
      <c r="E30" s="67">
        <v>1964.8</v>
      </c>
      <c r="F30" s="1" t="s">
        <v>624</v>
      </c>
      <c r="R30" s="71"/>
    </row>
    <row r="31" spans="2:24">
      <c r="B31" s="1" t="s">
        <v>633</v>
      </c>
      <c r="D31" s="163">
        <v>45836</v>
      </c>
      <c r="E31" s="67">
        <v>337</v>
      </c>
      <c r="F31" s="1" t="s">
        <v>625</v>
      </c>
      <c r="H31" s="72"/>
      <c r="I31" s="72"/>
      <c r="J31" s="72"/>
      <c r="K31" s="72"/>
      <c r="L31" s="72"/>
      <c r="M31" s="72"/>
      <c r="N31" s="72"/>
      <c r="O31" s="72"/>
    </row>
    <row r="32" spans="2:24">
      <c r="B32" s="164" t="s">
        <v>632</v>
      </c>
      <c r="C32" s="164"/>
      <c r="D32" s="165" t="s">
        <v>626</v>
      </c>
      <c r="E32" s="82">
        <v>2748.8</v>
      </c>
      <c r="F32" s="164"/>
      <c r="G32" s="164"/>
      <c r="H32" s="166"/>
      <c r="I32" s="166"/>
      <c r="J32" s="166"/>
      <c r="K32" s="72"/>
      <c r="L32" s="72"/>
      <c r="M32" s="72"/>
      <c r="N32" s="72"/>
      <c r="O32" s="72"/>
    </row>
    <row r="33" spans="2:19">
      <c r="B33" s="164" t="s">
        <v>631</v>
      </c>
      <c r="C33" s="164"/>
      <c r="D33" s="165" t="s">
        <v>627</v>
      </c>
      <c r="E33" s="82">
        <v>1466.3</v>
      </c>
      <c r="F33" s="164" t="s">
        <v>628</v>
      </c>
      <c r="G33" s="164"/>
      <c r="H33" s="166"/>
      <c r="I33" s="166"/>
      <c r="J33" s="166"/>
      <c r="K33" s="72"/>
      <c r="L33" s="72"/>
      <c r="M33" s="72"/>
      <c r="N33" s="72"/>
      <c r="O33" s="72"/>
    </row>
    <row r="34" spans="2:19">
      <c r="B34" s="164" t="s">
        <v>630</v>
      </c>
      <c r="C34" s="164"/>
      <c r="D34" s="165" t="s">
        <v>629</v>
      </c>
      <c r="E34" s="82">
        <v>2000</v>
      </c>
      <c r="F34" s="164" t="s">
        <v>663</v>
      </c>
      <c r="G34" s="164"/>
      <c r="H34" s="164"/>
      <c r="I34" s="164"/>
      <c r="J34" s="164"/>
    </row>
    <row r="35" spans="2:19" ht="19.5" thickBot="1">
      <c r="B35" s="365" t="s">
        <v>636</v>
      </c>
      <c r="C35" s="365"/>
      <c r="D35" s="365"/>
      <c r="E35" s="367">
        <f>SUM(E25:E34)</f>
        <v>11750.8</v>
      </c>
      <c r="F35" s="365"/>
      <c r="G35" s="365"/>
      <c r="H35" s="365"/>
      <c r="I35" s="365"/>
      <c r="J35" s="365"/>
    </row>
    <row r="38" spans="2:19" s="132" customFormat="1">
      <c r="B38" s="134" t="s">
        <v>637</v>
      </c>
    </row>
    <row r="40" spans="2:19">
      <c r="B40" s="1" t="s">
        <v>645</v>
      </c>
    </row>
    <row r="42" spans="2:19">
      <c r="B42" s="134" t="s">
        <v>654</v>
      </c>
      <c r="C42" s="167"/>
      <c r="D42" s="167"/>
      <c r="E42" s="167"/>
      <c r="F42" s="167"/>
      <c r="G42" s="167"/>
      <c r="H42" s="167"/>
      <c r="I42" s="167"/>
      <c r="J42" s="167"/>
      <c r="K42" s="167"/>
      <c r="N42" s="71" t="s">
        <v>676</v>
      </c>
    </row>
    <row r="43" spans="2:19" ht="19.5" thickBot="1">
      <c r="B43" s="169" t="s">
        <v>646</v>
      </c>
      <c r="C43" s="169" t="s">
        <v>688</v>
      </c>
      <c r="D43" s="169" t="s">
        <v>647</v>
      </c>
      <c r="E43" s="169" t="s">
        <v>648</v>
      </c>
      <c r="F43" s="169" t="s">
        <v>652</v>
      </c>
      <c r="G43" s="74" t="s">
        <v>639</v>
      </c>
      <c r="H43" s="74" t="s">
        <v>640</v>
      </c>
      <c r="I43" s="74" t="s">
        <v>649</v>
      </c>
      <c r="J43" s="74" t="s">
        <v>650</v>
      </c>
      <c r="K43" s="74" t="s">
        <v>651</v>
      </c>
      <c r="N43" s="1" t="s">
        <v>677</v>
      </c>
    </row>
    <row r="44" spans="2:19" ht="19.5" thickTop="1">
      <c r="B44" s="427" t="s">
        <v>0</v>
      </c>
      <c r="C44" s="428">
        <f>H7</f>
        <v>11750.9</v>
      </c>
      <c r="D44" s="427" t="s">
        <v>55</v>
      </c>
      <c r="E44" s="170">
        <v>0.35420000000000001</v>
      </c>
      <c r="F44" s="245">
        <f>C44*E44</f>
        <v>4162.16878</v>
      </c>
      <c r="G44" s="246">
        <v>0</v>
      </c>
      <c r="H44" s="246">
        <v>0</v>
      </c>
      <c r="I44" s="246">
        <f>$F44*I67</f>
        <v>546.69662325504396</v>
      </c>
      <c r="J44" s="246">
        <f>$F44*J67</f>
        <v>1188.0108918178037</v>
      </c>
      <c r="K44" s="246">
        <f>$F44*K67</f>
        <v>1486.2444756328191</v>
      </c>
      <c r="N44" s="1" t="s">
        <v>685</v>
      </c>
      <c r="R44" s="71"/>
    </row>
    <row r="45" spans="2:19">
      <c r="B45" s="86" t="s">
        <v>54</v>
      </c>
      <c r="C45" s="245">
        <f>I7</f>
        <v>8764.1666666666661</v>
      </c>
      <c r="D45" s="86" t="s">
        <v>56</v>
      </c>
      <c r="E45" s="170">
        <v>0.35420000000000001</v>
      </c>
      <c r="F45" s="245">
        <f>C45*E45</f>
        <v>3104.2678333333333</v>
      </c>
      <c r="G45" s="246">
        <v>0</v>
      </c>
      <c r="H45" s="246">
        <v>0</v>
      </c>
      <c r="I45" s="246">
        <v>0</v>
      </c>
      <c r="J45" s="246">
        <f>$F45*I67</f>
        <v>407.74241311823619</v>
      </c>
      <c r="K45" s="246">
        <f>$F45*J67</f>
        <v>886.05344762584434</v>
      </c>
      <c r="N45" s="1" t="s">
        <v>684</v>
      </c>
      <c r="O45" s="89"/>
      <c r="P45" s="89"/>
      <c r="Q45" s="89"/>
      <c r="R45" s="89"/>
      <c r="S45" s="89"/>
    </row>
    <row r="46" spans="2:19">
      <c r="B46" s="135" t="s">
        <v>55</v>
      </c>
      <c r="C46" s="424">
        <f>J7</f>
        <v>9384.822222222223</v>
      </c>
      <c r="D46" s="135" t="s">
        <v>57</v>
      </c>
      <c r="E46" s="185">
        <v>0.35420000000000001</v>
      </c>
      <c r="F46" s="424">
        <f>C46*E46</f>
        <v>3324.1040311111115</v>
      </c>
      <c r="G46" s="425">
        <v>0</v>
      </c>
      <c r="H46" s="425">
        <v>0</v>
      </c>
      <c r="I46" s="425">
        <v>0</v>
      </c>
      <c r="J46" s="425">
        <v>0</v>
      </c>
      <c r="K46" s="425">
        <f>F46*I67</f>
        <v>436.61767343248499</v>
      </c>
      <c r="O46" s="72"/>
      <c r="P46" s="87"/>
      <c r="Q46" s="87"/>
      <c r="R46" s="87"/>
      <c r="S46" s="87"/>
    </row>
    <row r="47" spans="2:19" ht="19.5" thickBot="1">
      <c r="B47" s="370"/>
      <c r="C47" s="370"/>
      <c r="D47" s="370"/>
      <c r="E47" s="370"/>
      <c r="F47" s="426" t="s">
        <v>9</v>
      </c>
      <c r="G47" s="371"/>
      <c r="H47" s="371"/>
      <c r="I47" s="371">
        <f>SUM(I44:I46)</f>
        <v>546.69662325504396</v>
      </c>
      <c r="J47" s="371">
        <f>SUM(J44:J46)</f>
        <v>1595.75330493604</v>
      </c>
      <c r="K47" s="371">
        <f>SUM(K44:K46)</f>
        <v>2808.9155966911485</v>
      </c>
      <c r="O47" s="72"/>
      <c r="P47" s="87"/>
      <c r="Q47" s="87"/>
      <c r="R47" s="87"/>
      <c r="S47" s="87"/>
    </row>
    <row r="48" spans="2:19">
      <c r="D48" s="75"/>
      <c r="E48" s="72"/>
      <c r="R48" s="72"/>
    </row>
    <row r="49" spans="2:18">
      <c r="D49" s="75"/>
      <c r="E49" s="72"/>
      <c r="R49" s="72"/>
    </row>
    <row r="50" spans="2:18">
      <c r="D50" s="75"/>
      <c r="E50" s="72"/>
      <c r="R50" s="72"/>
    </row>
    <row r="51" spans="2:18">
      <c r="B51" s="1" t="s">
        <v>644</v>
      </c>
      <c r="R51" s="72"/>
    </row>
    <row r="53" spans="2:18">
      <c r="B53" s="134" t="s">
        <v>643</v>
      </c>
      <c r="C53" s="167"/>
      <c r="D53" s="167"/>
      <c r="E53" s="167"/>
      <c r="F53" s="167"/>
      <c r="G53" s="167"/>
      <c r="H53" s="167"/>
      <c r="I53" s="167"/>
      <c r="J53" s="167"/>
      <c r="K53" s="167"/>
      <c r="L53" s="167"/>
      <c r="N53" s="71" t="s">
        <v>686</v>
      </c>
      <c r="R53" s="71"/>
    </row>
    <row r="54" spans="2:18" ht="19.5" thickBot="1">
      <c r="B54" s="88" t="s">
        <v>638</v>
      </c>
      <c r="C54" s="169">
        <v>2020</v>
      </c>
      <c r="D54" s="169">
        <v>2021</v>
      </c>
      <c r="E54" s="169">
        <v>2022</v>
      </c>
      <c r="F54" s="169">
        <v>2023</v>
      </c>
      <c r="G54" s="169">
        <v>2024</v>
      </c>
      <c r="H54" s="169" t="s">
        <v>639</v>
      </c>
      <c r="I54" s="169" t="s">
        <v>640</v>
      </c>
      <c r="J54" s="169" t="s">
        <v>321</v>
      </c>
      <c r="K54" s="169" t="s">
        <v>322</v>
      </c>
      <c r="L54" s="169" t="s">
        <v>323</v>
      </c>
      <c r="M54" s="72"/>
      <c r="N54" s="1" t="s">
        <v>885</v>
      </c>
      <c r="O54" s="72"/>
      <c r="R54" s="72"/>
    </row>
    <row r="55" spans="2:18" ht="19.5" thickTop="1">
      <c r="B55" s="173" t="s">
        <v>641</v>
      </c>
      <c r="C55" s="245">
        <f>C8</f>
        <v>13454.584695591726</v>
      </c>
      <c r="D55" s="245">
        <f>D8</f>
        <v>16136.267200629089</v>
      </c>
      <c r="E55" s="245">
        <f>E8</f>
        <v>34332.008755346731</v>
      </c>
      <c r="F55" s="245">
        <f>F8</f>
        <v>19083.234216597913</v>
      </c>
      <c r="G55" s="245">
        <f>G8</f>
        <v>19234.017108473687</v>
      </c>
      <c r="H55" s="168">
        <f>G55-H56+H7</f>
        <v>22463.25483556078</v>
      </c>
      <c r="I55" s="168">
        <f>H55-I56+I7</f>
        <v>22168.273434630042</v>
      </c>
      <c r="J55" s="168">
        <f>I55-J56+J7-I47</f>
        <v>22868.601185550662</v>
      </c>
      <c r="K55" s="168">
        <f>J55-K56+K7-J47</f>
        <v>23598.041475733702</v>
      </c>
      <c r="L55" s="168">
        <f>K55-L56+L7-K47</f>
        <v>22983.523609763579</v>
      </c>
      <c r="M55" s="72"/>
      <c r="N55" s="1" t="s">
        <v>886</v>
      </c>
      <c r="O55" s="72"/>
    </row>
    <row r="56" spans="2:18">
      <c r="B56" s="78" t="s">
        <v>642</v>
      </c>
      <c r="C56" s="245">
        <v>2740.38024677055</v>
      </c>
      <c r="D56" s="245">
        <v>3119.939192295752</v>
      </c>
      <c r="E56" s="245">
        <v>7149.1991846395322</v>
      </c>
      <c r="F56" s="245">
        <v>6337.7216798340687</v>
      </c>
      <c r="G56" s="245">
        <v>7131.4625212111896</v>
      </c>
      <c r="H56" s="168">
        <f>G55*H57</f>
        <v>8521.6622729129085</v>
      </c>
      <c r="I56" s="168">
        <f t="shared" ref="I56:L56" si="6">H55*I57</f>
        <v>9059.1480675974035</v>
      </c>
      <c r="J56" s="168">
        <f t="shared" si="6"/>
        <v>8137.7978480465572</v>
      </c>
      <c r="K56" s="168">
        <f t="shared" si="6"/>
        <v>7641.4360345105488</v>
      </c>
      <c r="L56" s="168">
        <f t="shared" si="6"/>
        <v>7177.4751087851428</v>
      </c>
      <c r="M56" s="72"/>
      <c r="O56" s="72"/>
    </row>
    <row r="57" spans="2:18" ht="19.5" thickBot="1">
      <c r="B57" s="372" t="s">
        <v>882</v>
      </c>
      <c r="C57" s="373"/>
      <c r="D57" s="373">
        <f>D56/C55</f>
        <v>0.23188669608791213</v>
      </c>
      <c r="E57" s="373">
        <f>E56/D55</f>
        <v>0.44305161136404664</v>
      </c>
      <c r="F57" s="373">
        <f>F56/E55</f>
        <v>0.18460095722907729</v>
      </c>
      <c r="G57" s="373">
        <f>G56/F55</f>
        <v>0.37370303378703484</v>
      </c>
      <c r="H57" s="374">
        <f>E57</f>
        <v>0.44305161136404664</v>
      </c>
      <c r="I57" s="374">
        <f>H57*(1+RATE(4,0,-$H$57,$L$57))</f>
        <v>0.40328741911684984</v>
      </c>
      <c r="J57" s="374">
        <f t="shared" ref="J57:K57" si="7">I57*(1+RATE(4,0,-$H$57,$L$57))</f>
        <v>0.36709209095797884</v>
      </c>
      <c r="K57" s="374">
        <f t="shared" si="7"/>
        <v>0.33414531883737286</v>
      </c>
      <c r="L57" s="374" cm="1">
        <f t="array" ref="L57">GEOMEAN(D57:G57+1)-1</f>
        <v>0.304155542576102</v>
      </c>
    </row>
    <row r="58" spans="2:18">
      <c r="B58" s="1" t="s">
        <v>884</v>
      </c>
      <c r="G58" s="120"/>
    </row>
    <row r="59" spans="2:18">
      <c r="M59" s="84"/>
    </row>
    <row r="60" spans="2:18">
      <c r="M60" s="85"/>
    </row>
    <row r="62" spans="2:18" s="129" customFormat="1">
      <c r="B62" s="134" t="s">
        <v>653</v>
      </c>
    </row>
    <row r="65" spans="2:14">
      <c r="B65" s="134" t="s">
        <v>656</v>
      </c>
      <c r="C65" s="174"/>
      <c r="D65" s="72"/>
      <c r="E65" s="134" t="s">
        <v>679</v>
      </c>
      <c r="F65" s="174"/>
      <c r="G65" s="72"/>
      <c r="H65" s="134" t="s">
        <v>282</v>
      </c>
      <c r="I65" s="174"/>
      <c r="J65" s="174"/>
      <c r="K65" s="174"/>
      <c r="L65" s="174"/>
      <c r="N65" s="1" t="s">
        <v>691</v>
      </c>
    </row>
    <row r="66" spans="2:14" ht="19.5" thickBot="1">
      <c r="B66" s="88" t="s">
        <v>3</v>
      </c>
      <c r="C66" s="169" t="s">
        <v>678</v>
      </c>
      <c r="D66" s="72"/>
      <c r="E66" s="88" t="s">
        <v>683</v>
      </c>
      <c r="F66" s="169" t="s">
        <v>682</v>
      </c>
      <c r="G66" s="72"/>
      <c r="H66" s="88" t="s">
        <v>3</v>
      </c>
      <c r="I66" s="169" t="s">
        <v>659</v>
      </c>
      <c r="J66" s="169" t="s">
        <v>660</v>
      </c>
      <c r="K66" s="169" t="s">
        <v>661</v>
      </c>
      <c r="L66" s="169" t="s">
        <v>662</v>
      </c>
      <c r="N66" s="1" t="s">
        <v>692</v>
      </c>
    </row>
    <row r="67" spans="2:14" ht="19.5" thickTop="1">
      <c r="B67" s="171" t="s">
        <v>284</v>
      </c>
      <c r="C67" s="175">
        <f>COUNT(G74:G76)/(COUNT(G74:G76)+COUNT(G77:G81))</f>
        <v>0.375</v>
      </c>
      <c r="D67" s="72"/>
      <c r="E67" s="171" t="s">
        <v>680</v>
      </c>
      <c r="F67" s="175">
        <f>(SUM(E74:E76,E85:E86)-SUM(D74:D76,D85:D86))/5/365</f>
        <v>2.055890410958904</v>
      </c>
      <c r="G67" s="72"/>
      <c r="H67" s="171" t="s">
        <v>657</v>
      </c>
      <c r="I67" s="87">
        <f>I68</f>
        <v>0.13134897985925598</v>
      </c>
      <c r="J67" s="87">
        <f>J68-I68</f>
        <v>0.28543073445902012</v>
      </c>
      <c r="K67" s="87">
        <f t="shared" ref="K67:L67" si="8">K68-J68</f>
        <v>0.35708414391422616</v>
      </c>
      <c r="L67" s="87">
        <f t="shared" si="8"/>
        <v>0.21806424088682663</v>
      </c>
      <c r="N67" s="1" t="s">
        <v>693</v>
      </c>
    </row>
    <row r="68" spans="2:14" ht="19.5" thickBot="1">
      <c r="B68" s="172" t="s">
        <v>286</v>
      </c>
      <c r="C68" s="175">
        <f>COUNT(G85:G86)/(COUNT(G85:G86)+COUNT(G87:G90))</f>
        <v>0.33333333333333331</v>
      </c>
      <c r="D68" s="72"/>
      <c r="E68" s="375" t="s">
        <v>681</v>
      </c>
      <c r="F68" s="376">
        <f>(SUM(E77:E81,E87:E90)-SUM(D77:D81,D87:D90))/9/365</f>
        <v>10.096499238964991</v>
      </c>
      <c r="G68" s="72"/>
      <c r="H68" s="375" t="s">
        <v>658</v>
      </c>
      <c r="I68" s="377">
        <f>GEOMEAN(H74:H81,H85:H90)</f>
        <v>0.13134897985925598</v>
      </c>
      <c r="J68" s="377">
        <f>GEOMEAN(I74:I81,I85:I90)</f>
        <v>0.4167797143182761</v>
      </c>
      <c r="K68" s="377">
        <f>GEOMEAN(J74:J90)</f>
        <v>0.77386385823250226</v>
      </c>
      <c r="L68" s="377">
        <f>GEOMEAN(K74:K81,K85:K90)</f>
        <v>0.99192809911932889</v>
      </c>
      <c r="N68" s="1" t="s">
        <v>694</v>
      </c>
    </row>
    <row r="69" spans="2:14" ht="19.5" thickBot="1">
      <c r="B69" s="375" t="s">
        <v>288</v>
      </c>
      <c r="C69" s="376">
        <f>AVERAGE(C67:C68)</f>
        <v>0.35416666666666663</v>
      </c>
      <c r="D69" s="72"/>
      <c r="E69" s="72"/>
      <c r="F69" s="175"/>
      <c r="G69" s="72"/>
      <c r="H69" s="87"/>
      <c r="I69" s="87"/>
      <c r="J69" s="72"/>
      <c r="K69" s="72"/>
      <c r="L69" s="72"/>
      <c r="M69" s="72"/>
    </row>
    <row r="70" spans="2:14">
      <c r="B70" s="72"/>
      <c r="C70" s="72"/>
      <c r="D70" s="72"/>
      <c r="E70" s="72"/>
      <c r="F70" s="72"/>
      <c r="G70" s="72"/>
      <c r="H70" s="87"/>
      <c r="I70" s="87"/>
      <c r="J70" s="72"/>
      <c r="K70" s="72"/>
      <c r="L70" s="72"/>
      <c r="M70" s="72"/>
    </row>
    <row r="71" spans="2:14">
      <c r="B71" s="72"/>
      <c r="C71" s="72"/>
      <c r="D71" s="72"/>
      <c r="E71" s="72"/>
      <c r="F71" s="72"/>
      <c r="G71" s="72"/>
      <c r="H71" s="72"/>
      <c r="I71" s="72"/>
      <c r="J71" s="72"/>
      <c r="K71" s="72"/>
      <c r="L71" s="72"/>
      <c r="M71" s="72"/>
    </row>
    <row r="72" spans="2:14">
      <c r="B72" s="134" t="s">
        <v>290</v>
      </c>
      <c r="C72" s="174"/>
      <c r="D72" s="174"/>
      <c r="E72" s="174"/>
      <c r="F72" s="174"/>
      <c r="G72" s="174"/>
      <c r="H72" s="174"/>
      <c r="I72" s="174"/>
      <c r="J72" s="174"/>
      <c r="K72" s="174"/>
      <c r="L72" s="174"/>
      <c r="M72" s="72"/>
    </row>
    <row r="73" spans="2:14" ht="19.5" thickBot="1">
      <c r="B73" s="169" t="s">
        <v>291</v>
      </c>
      <c r="C73" s="169" t="s">
        <v>292</v>
      </c>
      <c r="D73" s="169" t="s">
        <v>293</v>
      </c>
      <c r="E73" s="169" t="s">
        <v>665</v>
      </c>
      <c r="F73" s="169" t="s">
        <v>294</v>
      </c>
      <c r="G73" s="169" t="s">
        <v>295</v>
      </c>
      <c r="H73" s="169" t="s">
        <v>659</v>
      </c>
      <c r="I73" s="169" t="s">
        <v>660</v>
      </c>
      <c r="J73" s="169" t="s">
        <v>661</v>
      </c>
      <c r="K73" s="169" t="s">
        <v>662</v>
      </c>
      <c r="L73" s="169" t="s">
        <v>664</v>
      </c>
      <c r="M73" s="72"/>
    </row>
    <row r="74" spans="2:14" ht="19.5" thickTop="1">
      <c r="B74" s="178" t="s">
        <v>297</v>
      </c>
      <c r="C74" s="86" t="s">
        <v>298</v>
      </c>
      <c r="D74" s="179">
        <v>40666</v>
      </c>
      <c r="E74" s="176">
        <v>41000</v>
      </c>
      <c r="F74" s="176">
        <v>42124</v>
      </c>
      <c r="G74" s="180">
        <v>674628</v>
      </c>
      <c r="H74" s="170">
        <v>0.126</v>
      </c>
      <c r="I74" s="170">
        <v>0.45900000000000002</v>
      </c>
      <c r="J74" s="170">
        <v>0.81899999999999995</v>
      </c>
      <c r="K74" s="170">
        <v>1</v>
      </c>
      <c r="L74" s="86"/>
      <c r="M74" s="72"/>
    </row>
    <row r="75" spans="2:14">
      <c r="B75" s="181" t="s">
        <v>299</v>
      </c>
      <c r="C75" s="86" t="s">
        <v>298</v>
      </c>
      <c r="D75" s="179">
        <v>40879</v>
      </c>
      <c r="E75" s="176">
        <v>41585</v>
      </c>
      <c r="F75" s="176">
        <v>42680</v>
      </c>
      <c r="G75" s="180">
        <v>241435</v>
      </c>
      <c r="H75" s="170">
        <v>0.114</v>
      </c>
      <c r="I75" s="170">
        <v>0.443</v>
      </c>
      <c r="J75" s="170">
        <v>0.88500000000000001</v>
      </c>
      <c r="K75" s="170">
        <v>1</v>
      </c>
      <c r="L75" s="86"/>
      <c r="M75" s="72"/>
    </row>
    <row r="76" spans="2:14">
      <c r="B76" s="182" t="s">
        <v>300</v>
      </c>
      <c r="C76" s="135" t="s">
        <v>298</v>
      </c>
      <c r="D76" s="183">
        <v>39733</v>
      </c>
      <c r="E76" s="136">
        <v>40207</v>
      </c>
      <c r="F76" s="136">
        <v>42094</v>
      </c>
      <c r="G76" s="184">
        <v>346620</v>
      </c>
      <c r="H76" s="185">
        <v>0.14000000000000001</v>
      </c>
      <c r="I76" s="185">
        <v>0.32</v>
      </c>
      <c r="J76" s="185">
        <v>0.64600000000000002</v>
      </c>
      <c r="K76" s="185">
        <v>0.9</v>
      </c>
      <c r="L76" s="186">
        <v>1</v>
      </c>
      <c r="M76" s="72"/>
    </row>
    <row r="77" spans="2:14">
      <c r="B77" s="178" t="s">
        <v>301</v>
      </c>
      <c r="C77" s="86" t="s">
        <v>302</v>
      </c>
      <c r="D77" s="179">
        <v>36618</v>
      </c>
      <c r="E77" s="176">
        <v>42248</v>
      </c>
      <c r="F77" s="176">
        <v>43374</v>
      </c>
      <c r="G77" s="180">
        <v>575615</v>
      </c>
      <c r="H77" s="187">
        <v>0.13100000000000001</v>
      </c>
      <c r="I77" s="170">
        <v>0.45200000000000001</v>
      </c>
      <c r="J77" s="170">
        <v>0.8859999999999999</v>
      </c>
      <c r="K77" s="170">
        <v>1</v>
      </c>
      <c r="L77" s="86"/>
      <c r="M77" s="72"/>
    </row>
    <row r="78" spans="2:14">
      <c r="B78" s="178" t="s">
        <v>303</v>
      </c>
      <c r="C78" s="86" t="s">
        <v>302</v>
      </c>
      <c r="D78" s="179">
        <v>38809</v>
      </c>
      <c r="E78" s="176">
        <v>41639</v>
      </c>
      <c r="F78" s="176">
        <v>42766</v>
      </c>
      <c r="G78" s="180">
        <v>352287</v>
      </c>
      <c r="H78" s="187">
        <v>0.13400000000000001</v>
      </c>
      <c r="I78" s="170">
        <v>0.46300000000000002</v>
      </c>
      <c r="J78" s="170">
        <v>0.8629</v>
      </c>
      <c r="K78" s="170">
        <v>1</v>
      </c>
      <c r="L78" s="86"/>
      <c r="M78" s="72"/>
    </row>
    <row r="79" spans="2:14">
      <c r="B79" s="178" t="s">
        <v>304</v>
      </c>
      <c r="C79" s="86" t="s">
        <v>302</v>
      </c>
      <c r="D79" s="179">
        <v>36486</v>
      </c>
      <c r="E79" s="176">
        <v>42613</v>
      </c>
      <c r="F79" s="176">
        <v>43707</v>
      </c>
      <c r="G79" s="180">
        <v>369096</v>
      </c>
      <c r="H79" s="187">
        <v>9.7100000000000006E-2</v>
      </c>
      <c r="I79" s="170">
        <v>0.39700000000000002</v>
      </c>
      <c r="J79" s="170">
        <v>0.97899999999999998</v>
      </c>
      <c r="K79" s="170">
        <v>1</v>
      </c>
      <c r="L79" s="86"/>
      <c r="M79" s="72"/>
    </row>
    <row r="80" spans="2:14">
      <c r="B80" s="178" t="s">
        <v>305</v>
      </c>
      <c r="C80" s="86" t="s">
        <v>302</v>
      </c>
      <c r="D80" s="179">
        <v>37558</v>
      </c>
      <c r="E80" s="176">
        <v>41030</v>
      </c>
      <c r="F80" s="176">
        <v>42190</v>
      </c>
      <c r="G80" s="180">
        <v>226350</v>
      </c>
      <c r="H80" s="187">
        <v>0.17899999999999999</v>
      </c>
      <c r="I80" s="170">
        <v>0.36699999999999999</v>
      </c>
      <c r="J80" s="170">
        <v>0.85299999999999998</v>
      </c>
      <c r="K80" s="170">
        <v>1</v>
      </c>
      <c r="L80" s="86"/>
      <c r="M80" s="72"/>
    </row>
    <row r="81" spans="2:13" ht="19.5" thickBot="1">
      <c r="B81" s="378" t="s">
        <v>306</v>
      </c>
      <c r="C81" s="370" t="s">
        <v>302</v>
      </c>
      <c r="D81" s="379">
        <v>40047</v>
      </c>
      <c r="E81" s="380">
        <v>42004</v>
      </c>
      <c r="F81" s="380">
        <v>42854</v>
      </c>
      <c r="G81" s="381">
        <v>186874</v>
      </c>
      <c r="H81" s="382">
        <v>0.16699999999999998</v>
      </c>
      <c r="I81" s="383">
        <v>0.62</v>
      </c>
      <c r="J81" s="383">
        <v>1</v>
      </c>
      <c r="K81" s="383"/>
      <c r="L81" s="370"/>
      <c r="M81" s="72"/>
    </row>
    <row r="82" spans="2:13">
      <c r="B82" s="86"/>
      <c r="C82" s="137"/>
      <c r="D82" s="137"/>
      <c r="E82" s="137"/>
      <c r="F82" s="137"/>
      <c r="G82" s="72"/>
      <c r="H82" s="72"/>
      <c r="I82" s="72"/>
      <c r="J82" s="72"/>
      <c r="K82" s="72"/>
      <c r="L82" s="72"/>
      <c r="M82" s="72"/>
    </row>
    <row r="83" spans="2:13">
      <c r="B83" s="198" t="s">
        <v>307</v>
      </c>
      <c r="C83" s="177"/>
      <c r="D83" s="177"/>
      <c r="E83" s="177"/>
      <c r="F83" s="177"/>
      <c r="G83" s="174"/>
      <c r="H83" s="174"/>
      <c r="I83" s="174"/>
      <c r="J83" s="174"/>
      <c r="K83" s="174"/>
      <c r="L83" s="174"/>
      <c r="M83" s="72"/>
    </row>
    <row r="84" spans="2:13" ht="19.5" thickBot="1">
      <c r="B84" s="188" t="s">
        <v>291</v>
      </c>
      <c r="C84" s="169" t="s">
        <v>292</v>
      </c>
      <c r="D84" s="188" t="s">
        <v>308</v>
      </c>
      <c r="E84" s="188" t="s">
        <v>665</v>
      </c>
      <c r="F84" s="188" t="s">
        <v>294</v>
      </c>
      <c r="G84" s="169" t="s">
        <v>295</v>
      </c>
      <c r="H84" s="169" t="s">
        <v>659</v>
      </c>
      <c r="I84" s="169" t="s">
        <v>660</v>
      </c>
      <c r="J84" s="169" t="s">
        <v>661</v>
      </c>
      <c r="K84" s="169" t="s">
        <v>662</v>
      </c>
      <c r="L84" s="169" t="s">
        <v>664</v>
      </c>
      <c r="M84" s="72"/>
    </row>
    <row r="85" spans="2:13" ht="19.5" thickTop="1">
      <c r="B85" s="181" t="s">
        <v>309</v>
      </c>
      <c r="C85" s="86" t="s">
        <v>298</v>
      </c>
      <c r="D85" s="179">
        <v>42850</v>
      </c>
      <c r="E85" s="176">
        <v>43985</v>
      </c>
      <c r="F85" s="176">
        <v>45232</v>
      </c>
      <c r="G85" s="180">
        <v>1074100</v>
      </c>
      <c r="H85" s="189">
        <v>0.12570000000000001</v>
      </c>
      <c r="I85" s="190">
        <v>0.39340000000000003</v>
      </c>
      <c r="J85" s="190">
        <v>0.7379</v>
      </c>
      <c r="K85" s="190">
        <v>1</v>
      </c>
      <c r="L85" s="86"/>
      <c r="M85" s="72"/>
    </row>
    <row r="86" spans="2:13">
      <c r="B86" s="182" t="s">
        <v>310</v>
      </c>
      <c r="C86" s="135" t="s">
        <v>298</v>
      </c>
      <c r="D86" s="183">
        <v>42667</v>
      </c>
      <c r="E86" s="136">
        <v>43770</v>
      </c>
      <c r="F86" s="136">
        <v>45095</v>
      </c>
      <c r="G86" s="184">
        <v>322254</v>
      </c>
      <c r="H86" s="191">
        <v>0.121</v>
      </c>
      <c r="I86" s="192">
        <v>0.4083</v>
      </c>
      <c r="J86" s="192">
        <v>0.86140000000000005</v>
      </c>
      <c r="K86" s="192">
        <v>1</v>
      </c>
      <c r="L86" s="135"/>
      <c r="M86" s="72"/>
    </row>
    <row r="87" spans="2:13">
      <c r="B87" s="178" t="s">
        <v>22</v>
      </c>
      <c r="C87" s="86" t="s">
        <v>302</v>
      </c>
      <c r="D87" s="179">
        <v>40448</v>
      </c>
      <c r="E87" s="176">
        <v>43678</v>
      </c>
      <c r="F87" s="176">
        <v>44985</v>
      </c>
      <c r="G87" s="180">
        <v>477378</v>
      </c>
      <c r="H87" s="189">
        <v>0.106</v>
      </c>
      <c r="I87" s="190">
        <v>0.40400000000000003</v>
      </c>
      <c r="J87" s="190">
        <v>0.80200000000000005</v>
      </c>
      <c r="K87" s="190">
        <v>1</v>
      </c>
      <c r="L87" s="86"/>
      <c r="M87" s="72"/>
    </row>
    <row r="88" spans="2:13">
      <c r="B88" s="178" t="s">
        <v>311</v>
      </c>
      <c r="C88" s="86" t="s">
        <v>302</v>
      </c>
      <c r="D88" s="179">
        <v>39980</v>
      </c>
      <c r="E88" s="176">
        <v>43739</v>
      </c>
      <c r="F88" s="176">
        <v>44865</v>
      </c>
      <c r="G88" s="180">
        <v>143346</v>
      </c>
      <c r="H88" s="189">
        <v>0.1845</v>
      </c>
      <c r="I88" s="190">
        <v>0.50009999999999999</v>
      </c>
      <c r="J88" s="190" t="s">
        <v>312</v>
      </c>
      <c r="K88" s="190">
        <v>1</v>
      </c>
      <c r="L88" s="86"/>
      <c r="M88" s="72"/>
    </row>
    <row r="89" spans="2:13">
      <c r="B89" s="178" t="s">
        <v>313</v>
      </c>
      <c r="C89" s="86" t="s">
        <v>302</v>
      </c>
      <c r="D89" s="179">
        <v>40426</v>
      </c>
      <c r="E89" s="176">
        <v>43800</v>
      </c>
      <c r="F89" s="176">
        <v>45657</v>
      </c>
      <c r="G89" s="180">
        <v>1222972</v>
      </c>
      <c r="H89" s="189">
        <v>8.2699999999999996E-2</v>
      </c>
      <c r="I89" s="190">
        <v>0.22900000000000001</v>
      </c>
      <c r="J89" s="190">
        <v>0.30270000000000002</v>
      </c>
      <c r="K89" s="190">
        <v>1</v>
      </c>
      <c r="L89" s="86"/>
      <c r="M89" s="72"/>
    </row>
    <row r="90" spans="2:13" ht="19.5" thickBot="1">
      <c r="B90" s="378" t="s">
        <v>314</v>
      </c>
      <c r="C90" s="370" t="s">
        <v>302</v>
      </c>
      <c r="D90" s="379">
        <v>41012</v>
      </c>
      <c r="E90" s="380">
        <v>43800</v>
      </c>
      <c r="F90" s="380">
        <v>44804</v>
      </c>
      <c r="G90" s="381">
        <v>316687</v>
      </c>
      <c r="H90" s="384">
        <v>0.18049999999999999</v>
      </c>
      <c r="I90" s="385">
        <v>0.52200000000000002</v>
      </c>
      <c r="J90" s="385" t="s">
        <v>312</v>
      </c>
      <c r="K90" s="385">
        <v>1</v>
      </c>
      <c r="L90" s="370"/>
      <c r="M90" s="72"/>
    </row>
  </sheetData>
  <mergeCells count="1">
    <mergeCell ref="B1:E2"/>
  </mergeCells>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07D27-254F-4B83-8394-6D55EF76D2A5}">
  <dimension ref="B1:V32"/>
  <sheetViews>
    <sheetView showGridLines="0" zoomScaleNormal="100" workbookViewId="0"/>
  </sheetViews>
  <sheetFormatPr defaultColWidth="8.75" defaultRowHeight="18.75"/>
  <cols>
    <col min="1" max="1" width="8.75" style="1"/>
    <col min="2" max="2" width="17.75" style="1" customWidth="1"/>
    <col min="3" max="12" width="11.125" style="1" customWidth="1"/>
    <col min="13" max="14" width="10.125" style="1" bestFit="1" customWidth="1"/>
    <col min="15" max="16384" width="8.75" style="1"/>
  </cols>
  <sheetData>
    <row r="1" spans="2:15" s="131" customFormat="1">
      <c r="B1" s="480" t="s">
        <v>331</v>
      </c>
      <c r="C1" s="482"/>
      <c r="D1" s="482"/>
      <c r="E1" s="482"/>
      <c r="F1" s="130"/>
    </row>
    <row r="2" spans="2:15" s="131" customFormat="1">
      <c r="B2" s="482"/>
      <c r="C2" s="482"/>
      <c r="D2" s="482"/>
      <c r="E2" s="482"/>
      <c r="F2" s="130"/>
    </row>
    <row r="5" spans="2:15">
      <c r="B5" s="134" t="s">
        <v>332</v>
      </c>
      <c r="C5" s="132"/>
      <c r="D5" s="132"/>
      <c r="E5" s="132"/>
      <c r="F5" s="132"/>
      <c r="G5" s="132"/>
      <c r="H5" s="132"/>
      <c r="I5" s="132"/>
      <c r="J5" s="132"/>
      <c r="K5" s="132"/>
      <c r="L5" s="132"/>
    </row>
    <row r="6" spans="2:15" ht="19.5" thickBot="1">
      <c r="B6" s="2" t="s">
        <v>325</v>
      </c>
      <c r="C6" s="3">
        <v>2020</v>
      </c>
      <c r="D6" s="3">
        <v>2021</v>
      </c>
      <c r="E6" s="3">
        <v>2022</v>
      </c>
      <c r="F6" s="3">
        <v>2023</v>
      </c>
      <c r="G6" s="3">
        <v>2024</v>
      </c>
      <c r="H6" s="3" t="s">
        <v>0</v>
      </c>
      <c r="I6" s="3" t="s">
        <v>54</v>
      </c>
      <c r="J6" s="3" t="s">
        <v>55</v>
      </c>
      <c r="K6" s="3" t="s">
        <v>56</v>
      </c>
      <c r="L6" s="3" t="s">
        <v>57</v>
      </c>
    </row>
    <row r="7" spans="2:15" ht="19.5" thickTop="1">
      <c r="B7" s="4" t="s">
        <v>90</v>
      </c>
      <c r="C7" s="91">
        <f>C8+C9</f>
        <v>5171.8</v>
      </c>
      <c r="D7" s="91">
        <f t="shared" ref="D7:G7" si="0">D8+D9</f>
        <v>5584.7</v>
      </c>
      <c r="E7" s="91">
        <f t="shared" si="0"/>
        <v>5788.3</v>
      </c>
      <c r="F7" s="91">
        <f t="shared" si="0"/>
        <v>7840</v>
      </c>
      <c r="G7" s="91">
        <f t="shared" si="0"/>
        <v>5089.1000000000004</v>
      </c>
      <c r="H7" s="63">
        <f>H8+H9</f>
        <v>9045.5249999999996</v>
      </c>
      <c r="I7" s="63">
        <f t="shared" ref="I7:L7" si="1">I8+I9</f>
        <v>11198.231250000001</v>
      </c>
      <c r="J7" s="63">
        <f t="shared" si="1"/>
        <v>16233.923062499998</v>
      </c>
      <c r="K7" s="63">
        <f t="shared" si="1"/>
        <v>14959.992578125</v>
      </c>
      <c r="L7" s="63">
        <f t="shared" si="1"/>
        <v>8377.5907226562504</v>
      </c>
    </row>
    <row r="8" spans="2:15">
      <c r="B8" s="5" t="s">
        <v>334</v>
      </c>
      <c r="C8" s="60">
        <v>5171.8</v>
      </c>
      <c r="D8" s="60">
        <v>5584.7</v>
      </c>
      <c r="E8" s="60">
        <v>5788.3</v>
      </c>
      <c r="F8" s="60">
        <v>7840</v>
      </c>
      <c r="G8" s="67">
        <v>5089.1000000000004</v>
      </c>
      <c r="H8" s="61">
        <f>AVERAGE(D8:G8)</f>
        <v>6075.5249999999996</v>
      </c>
      <c r="I8" s="61">
        <f t="shared" ref="I8" si="2">AVERAGE(E8:H8)</f>
        <v>6198.2312500000007</v>
      </c>
      <c r="J8" s="61">
        <f t="shared" ref="J8" si="3">AVERAGE(F8:I8)</f>
        <v>6300.7140625000002</v>
      </c>
      <c r="K8" s="61">
        <f t="shared" ref="K8" si="4">AVERAGE(G8:J8)</f>
        <v>5915.892578125</v>
      </c>
      <c r="L8" s="61">
        <f t="shared" ref="L8" si="5">AVERAGE(H8:K8)</f>
        <v>6122.5907226562504</v>
      </c>
      <c r="M8" s="1" t="s">
        <v>340</v>
      </c>
    </row>
    <row r="9" spans="2:15" ht="19.5" thickBot="1">
      <c r="B9" s="332" t="s">
        <v>333</v>
      </c>
      <c r="C9" s="360">
        <v>0</v>
      </c>
      <c r="D9" s="360">
        <v>0</v>
      </c>
      <c r="E9" s="360">
        <v>0</v>
      </c>
      <c r="F9" s="360">
        <v>0</v>
      </c>
      <c r="G9" s="367">
        <v>0</v>
      </c>
      <c r="H9" s="363">
        <f>'플랜트-원전'!C7</f>
        <v>2970.0000000000005</v>
      </c>
      <c r="I9" s="363">
        <f>'플랜트-원전'!D7</f>
        <v>5000</v>
      </c>
      <c r="J9" s="363">
        <f>'플랜트-원전'!E7</f>
        <v>9933.2089999999989</v>
      </c>
      <c r="K9" s="363">
        <f>'플랜트-원전'!F7</f>
        <v>9044.1</v>
      </c>
      <c r="L9" s="363">
        <f>'플랜트-원전'!G7</f>
        <v>2255</v>
      </c>
      <c r="M9" s="483" t="s">
        <v>441</v>
      </c>
      <c r="N9" s="483"/>
      <c r="O9" s="483"/>
    </row>
    <row r="10" spans="2:15">
      <c r="B10" s="6"/>
      <c r="C10" s="60"/>
      <c r="D10" s="60"/>
      <c r="E10" s="60"/>
      <c r="F10" s="60"/>
      <c r="G10" s="67"/>
      <c r="H10" s="67"/>
      <c r="I10" s="67"/>
      <c r="J10" s="67"/>
      <c r="K10" s="67"/>
      <c r="L10" s="67"/>
    </row>
    <row r="11" spans="2:15">
      <c r="B11" s="6"/>
      <c r="C11" s="60"/>
      <c r="D11" s="60"/>
      <c r="E11" s="60"/>
      <c r="F11" s="60"/>
      <c r="G11" s="67"/>
      <c r="H11" s="67"/>
      <c r="I11" s="67"/>
      <c r="J11" s="67"/>
      <c r="K11" s="67"/>
      <c r="L11" s="67"/>
    </row>
    <row r="12" spans="2:15">
      <c r="B12" s="134" t="s">
        <v>335</v>
      </c>
      <c r="C12" s="132"/>
      <c r="D12" s="132"/>
      <c r="E12" s="132"/>
      <c r="F12" s="132"/>
      <c r="G12" s="132"/>
      <c r="H12" s="132"/>
      <c r="I12" s="132"/>
      <c r="J12" s="132"/>
      <c r="K12" s="132"/>
      <c r="L12" s="132"/>
    </row>
    <row r="13" spans="2:15" ht="19.5" thickBot="1">
      <c r="B13" s="2" t="s">
        <v>325</v>
      </c>
      <c r="C13" s="3">
        <v>2020</v>
      </c>
      <c r="D13" s="3">
        <v>2021</v>
      </c>
      <c r="E13" s="3">
        <v>2022</v>
      </c>
      <c r="F13" s="3">
        <v>2023</v>
      </c>
      <c r="G13" s="3">
        <v>2024</v>
      </c>
      <c r="H13" s="3" t="s">
        <v>0</v>
      </c>
      <c r="I13" s="3" t="s">
        <v>54</v>
      </c>
      <c r="J13" s="3" t="s">
        <v>55</v>
      </c>
      <c r="K13" s="3" t="s">
        <v>56</v>
      </c>
      <c r="L13" s="3" t="s">
        <v>57</v>
      </c>
    </row>
    <row r="14" spans="2:15" ht="19.5" thickTop="1">
      <c r="B14" s="4" t="s">
        <v>90</v>
      </c>
      <c r="C14" s="91">
        <f>SUM(C16,C15)</f>
        <v>11692.6</v>
      </c>
      <c r="D14" s="91">
        <f>SUM(D16,D15)</f>
        <v>14507</v>
      </c>
      <c r="E14" s="91">
        <f>SUM(E16,E15)</f>
        <v>13678.4</v>
      </c>
      <c r="F14" s="91">
        <f>SUM(F16,F15)</f>
        <v>13910.300000000001</v>
      </c>
      <c r="G14" s="91">
        <f>SUM(G16,G15)</f>
        <v>17320</v>
      </c>
      <c r="H14" s="63">
        <f>H15+H16</f>
        <v>18676.18362361964</v>
      </c>
      <c r="I14" s="63">
        <f t="shared" ref="I14:L14" si="6">I15+I16</f>
        <v>22445.114025917148</v>
      </c>
      <c r="J14" s="63">
        <f t="shared" si="6"/>
        <v>30206.021026830349</v>
      </c>
      <c r="K14" s="63">
        <f t="shared" si="6"/>
        <v>36063.19108836817</v>
      </c>
      <c r="L14" s="63">
        <f t="shared" si="6"/>
        <v>33729.563305062453</v>
      </c>
    </row>
    <row r="15" spans="2:15">
      <c r="B15" s="5" t="s">
        <v>334</v>
      </c>
      <c r="C15" s="60">
        <v>11540</v>
      </c>
      <c r="D15" s="60">
        <v>14354.4</v>
      </c>
      <c r="E15" s="60">
        <v>13561.9</v>
      </c>
      <c r="F15" s="60">
        <v>13781.7</v>
      </c>
      <c r="G15" s="67">
        <v>17280.3</v>
      </c>
      <c r="H15" s="61">
        <f>G15-H22+H8</f>
        <v>15854.683623619638</v>
      </c>
      <c r="I15" s="61">
        <f>H15-I22+I8</f>
        <v>15170.614025917148</v>
      </c>
      <c r="J15" s="61">
        <f>I15-J22+J8</f>
        <v>14885.972476830349</v>
      </c>
      <c r="K15" s="61">
        <f>J15-K22+K8</f>
        <v>14340.068438368173</v>
      </c>
      <c r="L15" s="61">
        <f>K15-L22+L8</f>
        <v>14237.832005062455</v>
      </c>
      <c r="M15" s="1" t="s">
        <v>341</v>
      </c>
    </row>
    <row r="16" spans="2:15" ht="19.5" thickBot="1">
      <c r="B16" s="332" t="s">
        <v>333</v>
      </c>
      <c r="C16" s="360">
        <v>152.6</v>
      </c>
      <c r="D16" s="360">
        <v>152.6</v>
      </c>
      <c r="E16" s="360">
        <v>116.5</v>
      </c>
      <c r="F16" s="360">
        <v>128.6</v>
      </c>
      <c r="G16" s="367">
        <v>39.700000000000003</v>
      </c>
      <c r="H16" s="363">
        <f>'플랜트-원전'!C10</f>
        <v>2821.5000000000005</v>
      </c>
      <c r="I16" s="363">
        <f>'플랜트-원전'!D10</f>
        <v>7274.5</v>
      </c>
      <c r="J16" s="363">
        <f>'플랜트-원전'!E10</f>
        <v>15320.04855</v>
      </c>
      <c r="K16" s="363">
        <f>'플랜트-원전'!F10</f>
        <v>21723.122650000001</v>
      </c>
      <c r="L16" s="363">
        <f>'플랜트-원전'!G10</f>
        <v>19491.731299999999</v>
      </c>
      <c r="M16" s="483" t="s">
        <v>441</v>
      </c>
      <c r="N16" s="483"/>
      <c r="O16" s="483"/>
    </row>
    <row r="17" spans="2:22">
      <c r="B17" s="6"/>
      <c r="C17" s="68"/>
      <c r="D17" s="68"/>
      <c r="E17" s="68"/>
      <c r="F17" s="68"/>
      <c r="G17" s="67"/>
      <c r="H17" s="67"/>
      <c r="I17" s="67"/>
      <c r="J17" s="67"/>
      <c r="K17" s="67"/>
      <c r="L17" s="67"/>
    </row>
    <row r="18" spans="2:22">
      <c r="B18" s="6"/>
      <c r="C18" s="7"/>
      <c r="D18" s="7"/>
      <c r="E18" s="7"/>
      <c r="F18" s="7"/>
      <c r="G18" s="8"/>
      <c r="H18" s="8"/>
      <c r="I18" s="8"/>
      <c r="J18" s="8"/>
      <c r="K18" s="8"/>
    </row>
    <row r="19" spans="2:22">
      <c r="B19" s="134" t="s">
        <v>336</v>
      </c>
      <c r="C19" s="132"/>
      <c r="D19" s="132"/>
      <c r="E19" s="132"/>
      <c r="F19" s="132"/>
      <c r="G19" s="132"/>
      <c r="H19" s="132"/>
      <c r="I19" s="132"/>
      <c r="J19" s="132"/>
      <c r="K19" s="132"/>
      <c r="L19" s="132"/>
    </row>
    <row r="20" spans="2:22" ht="19.5" thickBot="1">
      <c r="B20" s="2" t="s">
        <v>325</v>
      </c>
      <c r="C20" s="3">
        <v>2020</v>
      </c>
      <c r="D20" s="3">
        <v>2021</v>
      </c>
      <c r="E20" s="3">
        <v>2022</v>
      </c>
      <c r="F20" s="3">
        <v>2023</v>
      </c>
      <c r="G20" s="3">
        <v>2024</v>
      </c>
      <c r="H20" s="3" t="s">
        <v>0</v>
      </c>
      <c r="I20" s="3" t="s">
        <v>54</v>
      </c>
      <c r="J20" s="3" t="s">
        <v>55</v>
      </c>
      <c r="K20" s="3" t="s">
        <v>56</v>
      </c>
      <c r="L20" s="3" t="s">
        <v>57</v>
      </c>
    </row>
    <row r="21" spans="2:22" ht="19.5" thickTop="1">
      <c r="B21" s="4" t="s">
        <v>90</v>
      </c>
      <c r="C21" s="91">
        <f t="shared" ref="C21:H21" si="7">C22+C23</f>
        <v>4796.6499999999996</v>
      </c>
      <c r="D21" s="91">
        <f t="shared" si="7"/>
        <v>4649.2049999999999</v>
      </c>
      <c r="E21" s="91">
        <f t="shared" si="7"/>
        <v>5386.9669999999996</v>
      </c>
      <c r="F21" s="91">
        <f t="shared" si="7"/>
        <v>6569.1440000000002</v>
      </c>
      <c r="G21" s="91">
        <f t="shared" si="7"/>
        <v>6830.3980000000001</v>
      </c>
      <c r="H21" s="63">
        <f t="shared" si="7"/>
        <v>7649.6413763803603</v>
      </c>
      <c r="I21" s="63">
        <f t="shared" ref="I21:L21" si="8">I22+I23</f>
        <v>7429.3008477024914</v>
      </c>
      <c r="J21" s="63">
        <f t="shared" si="8"/>
        <v>8473.016061586799</v>
      </c>
      <c r="K21" s="63">
        <f t="shared" si="8"/>
        <v>9102.8225165871754</v>
      </c>
      <c r="L21" s="63">
        <f t="shared" si="8"/>
        <v>10711.218505961968</v>
      </c>
    </row>
    <row r="22" spans="2:22">
      <c r="B22" s="5" t="s">
        <v>334</v>
      </c>
      <c r="C22" s="60">
        <v>4741.45</v>
      </c>
      <c r="D22" s="60">
        <v>4649.2049999999999</v>
      </c>
      <c r="E22" s="60">
        <v>5304.2669999999998</v>
      </c>
      <c r="F22" s="60">
        <v>6541.6440000000002</v>
      </c>
      <c r="G22" s="67">
        <v>6814.3980000000001</v>
      </c>
      <c r="H22" s="61">
        <f>G15*$C$31</f>
        <v>7501.1413763803603</v>
      </c>
      <c r="I22" s="61">
        <f>H15*$C$31</f>
        <v>6882.3008477024914</v>
      </c>
      <c r="J22" s="61">
        <f>I15*$C$31</f>
        <v>6585.3556115867987</v>
      </c>
      <c r="K22" s="61">
        <f>J15*$C$31</f>
        <v>6461.7966165871758</v>
      </c>
      <c r="L22" s="61">
        <f>K15*$C$31</f>
        <v>6224.8271559619679</v>
      </c>
      <c r="M22" s="1" t="s">
        <v>880</v>
      </c>
    </row>
    <row r="23" spans="2:22" ht="19.5" thickBot="1">
      <c r="B23" s="332" t="s">
        <v>333</v>
      </c>
      <c r="C23" s="360">
        <v>55.2</v>
      </c>
      <c r="D23" s="360">
        <v>0</v>
      </c>
      <c r="E23" s="360">
        <v>82.7</v>
      </c>
      <c r="F23" s="360">
        <v>27.5</v>
      </c>
      <c r="G23" s="367">
        <v>16</v>
      </c>
      <c r="H23" s="363">
        <f>'플랜트-원전'!C13</f>
        <v>148.50000000000003</v>
      </c>
      <c r="I23" s="363">
        <f>'플랜트-원전'!D13</f>
        <v>547</v>
      </c>
      <c r="J23" s="363">
        <f>'플랜트-원전'!E13</f>
        <v>1887.6604500000003</v>
      </c>
      <c r="K23" s="363">
        <f>'플랜트-원전'!F13</f>
        <v>2641.0259000000001</v>
      </c>
      <c r="L23" s="363">
        <f>'플랜트-원전'!G13</f>
        <v>4486.3913499999999</v>
      </c>
      <c r="M23" s="483" t="s">
        <v>441</v>
      </c>
      <c r="N23" s="483"/>
      <c r="O23" s="483"/>
    </row>
    <row r="24" spans="2:22">
      <c r="B24" s="6"/>
      <c r="C24" s="60"/>
      <c r="D24" s="60"/>
      <c r="E24" s="60"/>
      <c r="F24" s="60"/>
      <c r="G24" s="67"/>
      <c r="H24" s="70"/>
      <c r="I24" s="70"/>
      <c r="J24" s="70"/>
      <c r="K24" s="70"/>
      <c r="L24" s="70"/>
    </row>
    <row r="25" spans="2:22">
      <c r="B25" s="57"/>
      <c r="C25" s="32"/>
      <c r="D25" s="32"/>
      <c r="E25" s="32"/>
      <c r="F25" s="32"/>
      <c r="G25" s="58"/>
      <c r="H25" s="58"/>
      <c r="I25" s="58"/>
      <c r="J25" s="58"/>
      <c r="K25" s="58"/>
      <c r="L25" s="58"/>
    </row>
    <row r="26" spans="2:22">
      <c r="B26" s="134" t="s">
        <v>887</v>
      </c>
      <c r="C26" s="132"/>
      <c r="D26" s="132"/>
      <c r="E26" s="132"/>
      <c r="F26" s="132"/>
      <c r="G26" s="132"/>
      <c r="M26"/>
      <c r="N26"/>
      <c r="O26"/>
    </row>
    <row r="27" spans="2:22" ht="19.5" thickBot="1">
      <c r="B27" s="2" t="s">
        <v>325</v>
      </c>
      <c r="C27" s="3">
        <v>2020</v>
      </c>
      <c r="D27" s="3">
        <v>2021</v>
      </c>
      <c r="E27" s="3">
        <v>2022</v>
      </c>
      <c r="F27" s="3">
        <v>2023</v>
      </c>
      <c r="G27" s="3">
        <v>2024</v>
      </c>
      <c r="M27"/>
      <c r="N27"/>
      <c r="O27"/>
      <c r="P27"/>
      <c r="Q27"/>
      <c r="R27"/>
      <c r="S27"/>
      <c r="T27"/>
      <c r="U27"/>
      <c r="V27"/>
    </row>
    <row r="28" spans="2:22" ht="19.5" thickTop="1">
      <c r="B28" s="14" t="s">
        <v>315</v>
      </c>
      <c r="C28" s="107">
        <v>11540</v>
      </c>
      <c r="D28" s="107">
        <v>14354.4</v>
      </c>
      <c r="E28" s="107">
        <v>13561.9</v>
      </c>
      <c r="F28" s="107">
        <v>13781.7</v>
      </c>
      <c r="G28" s="107">
        <v>17280.3</v>
      </c>
      <c r="H28" s="11"/>
      <c r="I28" s="11"/>
      <c r="J28" s="11"/>
      <c r="K28" s="11"/>
      <c r="L28" s="11"/>
      <c r="M28"/>
      <c r="N28"/>
      <c r="O28"/>
      <c r="P28"/>
      <c r="Q28"/>
      <c r="S28"/>
      <c r="T28"/>
      <c r="U28"/>
      <c r="V28"/>
    </row>
    <row r="29" spans="2:22">
      <c r="B29" s="5" t="s">
        <v>9</v>
      </c>
      <c r="C29" s="60">
        <v>4741.45</v>
      </c>
      <c r="D29" s="60">
        <v>4649.2049999999999</v>
      </c>
      <c r="E29" s="60">
        <v>5304.2669999999998</v>
      </c>
      <c r="F29" s="60">
        <v>6541.6440000000002</v>
      </c>
      <c r="G29" s="67">
        <v>6814.3980000000001</v>
      </c>
      <c r="H29" s="67"/>
      <c r="I29" s="67"/>
      <c r="J29" s="67"/>
      <c r="K29" s="67"/>
      <c r="L29" s="67"/>
    </row>
    <row r="30" spans="2:22">
      <c r="B30" s="98" t="s">
        <v>882</v>
      </c>
      <c r="C30" s="60"/>
      <c r="D30" s="60">
        <f>D29/C28</f>
        <v>0.40287738301559789</v>
      </c>
      <c r="E30" s="60">
        <f t="shared" ref="E30:G30" si="9">E29/D28</f>
        <v>0.36952202808894835</v>
      </c>
      <c r="F30" s="60">
        <f t="shared" si="9"/>
        <v>0.48235453734358757</v>
      </c>
      <c r="G30" s="67">
        <f t="shared" si="9"/>
        <v>0.49445264372319814</v>
      </c>
      <c r="H30" s="67"/>
      <c r="I30" s="67"/>
      <c r="J30" s="67"/>
      <c r="K30" s="67"/>
      <c r="L30" s="67"/>
      <c r="M30"/>
      <c r="N30"/>
      <c r="O30"/>
    </row>
    <row r="31" spans="2:22" ht="19.5" thickBot="1">
      <c r="B31" s="9" t="s">
        <v>883</v>
      </c>
      <c r="C31" s="364">
        <f>GEOMEAN(D30:G30)</f>
        <v>0.43408629343126914</v>
      </c>
      <c r="D31" s="365"/>
      <c r="E31" s="365"/>
      <c r="F31" s="365"/>
      <c r="G31" s="365"/>
      <c r="H31" s="67"/>
      <c r="I31" s="67"/>
      <c r="J31" s="67"/>
      <c r="K31" s="67"/>
      <c r="L31" s="67"/>
    </row>
    <row r="32" spans="2:22">
      <c r="B32" s="1" t="s">
        <v>884</v>
      </c>
      <c r="J32"/>
      <c r="P32"/>
      <c r="Q32"/>
      <c r="R32"/>
    </row>
  </sheetData>
  <mergeCells count="4">
    <mergeCell ref="B1:E2"/>
    <mergeCell ref="M9:O9"/>
    <mergeCell ref="M16:O16"/>
    <mergeCell ref="M23:O23"/>
  </mergeCells>
  <phoneticPr fontId="2" type="noConversion"/>
  <hyperlinks>
    <hyperlink ref="M16" location="'플랜트-원전'!A1" display="[별도추정] '플랜트-원전' 시트 참고" xr:uid="{338D68A8-B8FA-40CD-931A-018C5A69F216}"/>
    <hyperlink ref="M23" location="'플랜트-원전'!A1" display="[별도추정] '플랜트-원전' 시트 참고" xr:uid="{3DC0FC6B-831D-46BA-90F5-D95010AFABF0}"/>
    <hyperlink ref="M9" location="'플랜트-원전'!A1" display="[별도추정] '플랜트-원전' 시트 참고" xr:uid="{DABB1BDF-3680-465B-AC61-D6C5583346C8}"/>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3F2ED-FE23-4BE5-9AE1-A11791E31514}">
  <dimension ref="B1:AC117"/>
  <sheetViews>
    <sheetView showGridLines="0" zoomScaleNormal="100" workbookViewId="0"/>
  </sheetViews>
  <sheetFormatPr defaultColWidth="8.75" defaultRowHeight="18.75"/>
  <cols>
    <col min="1" max="1" width="8.75" style="1"/>
    <col min="2" max="2" width="13.625" style="1" customWidth="1"/>
    <col min="3" max="12" width="13" style="1" customWidth="1"/>
    <col min="13" max="13" width="3" style="1" customWidth="1"/>
    <col min="14" max="15" width="11.625" style="1" customWidth="1"/>
    <col min="16" max="32" width="8.75" style="1"/>
    <col min="33" max="33" width="8.75" style="1" customWidth="1"/>
    <col min="34" max="16384" width="8.75" style="1"/>
  </cols>
  <sheetData>
    <row r="1" spans="2:17" s="131" customFormat="1" ht="18.75" customHeight="1">
      <c r="B1" s="484" t="s">
        <v>337</v>
      </c>
      <c r="C1" s="484"/>
      <c r="D1" s="484"/>
      <c r="M1" s="133"/>
      <c r="O1" s="133"/>
    </row>
    <row r="2" spans="2:17" s="131" customFormat="1" ht="18.75" customHeight="1">
      <c r="B2" s="484"/>
      <c r="C2" s="484"/>
      <c r="D2" s="484"/>
      <c r="M2" s="133"/>
      <c r="N2" s="133"/>
      <c r="O2" s="133"/>
    </row>
    <row r="5" spans="2:17">
      <c r="B5" s="134" t="s">
        <v>407</v>
      </c>
      <c r="C5" s="132"/>
      <c r="D5" s="132"/>
      <c r="E5" s="132"/>
      <c r="F5" s="132"/>
      <c r="G5" s="132"/>
      <c r="H5" s="129"/>
      <c r="I5" s="129"/>
      <c r="J5" s="129"/>
      <c r="K5" s="129"/>
      <c r="L5" s="129"/>
    </row>
    <row r="6" spans="2:17" ht="19.5" thickBot="1">
      <c r="B6" s="2" t="s">
        <v>325</v>
      </c>
      <c r="C6" s="243" t="s">
        <v>0</v>
      </c>
      <c r="D6" s="243" t="s">
        <v>54</v>
      </c>
      <c r="E6" s="243" t="s">
        <v>55</v>
      </c>
      <c r="F6" s="243" t="s">
        <v>56</v>
      </c>
      <c r="G6" s="243" t="s">
        <v>57</v>
      </c>
      <c r="H6" s="169" t="s">
        <v>359</v>
      </c>
      <c r="I6" s="169" t="s">
        <v>360</v>
      </c>
      <c r="J6" s="169" t="s">
        <v>361</v>
      </c>
      <c r="K6" s="169" t="s">
        <v>362</v>
      </c>
      <c r="L6" s="169" t="s">
        <v>363</v>
      </c>
    </row>
    <row r="7" spans="2:17" ht="19.5" thickTop="1">
      <c r="B7" s="4" t="s">
        <v>320</v>
      </c>
      <c r="C7" s="63">
        <f>C8+C9</f>
        <v>2970.0000000000005</v>
      </c>
      <c r="D7" s="63">
        <f t="shared" ref="D7:L7" si="0">D8+D9</f>
        <v>5000</v>
      </c>
      <c r="E7" s="63">
        <f t="shared" si="0"/>
        <v>9933.2089999999989</v>
      </c>
      <c r="F7" s="63">
        <f t="shared" si="0"/>
        <v>9044.1</v>
      </c>
      <c r="G7" s="63">
        <f t="shared" si="0"/>
        <v>2255</v>
      </c>
      <c r="H7" s="63">
        <f t="shared" si="0"/>
        <v>0</v>
      </c>
      <c r="I7" s="63">
        <f t="shared" si="0"/>
        <v>0</v>
      </c>
      <c r="J7" s="63">
        <f t="shared" si="0"/>
        <v>0</v>
      </c>
      <c r="K7" s="63">
        <f t="shared" si="0"/>
        <v>0</v>
      </c>
      <c r="L7" s="63">
        <f t="shared" si="0"/>
        <v>0</v>
      </c>
    </row>
    <row r="8" spans="2:17">
      <c r="B8" s="5" t="s">
        <v>343</v>
      </c>
      <c r="C8" s="61">
        <f>C27</f>
        <v>0</v>
      </c>
      <c r="D8" s="61">
        <f t="shared" ref="D8:L8" si="1">D27</f>
        <v>5000</v>
      </c>
      <c r="E8" s="61">
        <f t="shared" si="1"/>
        <v>7678.2089999999998</v>
      </c>
      <c r="F8" s="61">
        <f t="shared" si="1"/>
        <v>9044.1</v>
      </c>
      <c r="G8" s="61">
        <f t="shared" si="1"/>
        <v>0</v>
      </c>
      <c r="H8" s="61">
        <f t="shared" si="1"/>
        <v>0</v>
      </c>
      <c r="I8" s="61">
        <f t="shared" si="1"/>
        <v>0</v>
      </c>
      <c r="J8" s="61">
        <f t="shared" si="1"/>
        <v>0</v>
      </c>
      <c r="K8" s="61">
        <f t="shared" si="1"/>
        <v>0</v>
      </c>
      <c r="L8" s="61">
        <f t="shared" si="1"/>
        <v>0</v>
      </c>
    </row>
    <row r="9" spans="2:17">
      <c r="B9" s="5" t="s">
        <v>342</v>
      </c>
      <c r="C9" s="61">
        <f>C58</f>
        <v>2970.0000000000005</v>
      </c>
      <c r="D9" s="61">
        <f t="shared" ref="D9:L9" si="2">D58</f>
        <v>0</v>
      </c>
      <c r="E9" s="61">
        <f t="shared" si="2"/>
        <v>2255</v>
      </c>
      <c r="F9" s="61">
        <f t="shared" si="2"/>
        <v>0</v>
      </c>
      <c r="G9" s="61">
        <f t="shared" si="2"/>
        <v>2255</v>
      </c>
      <c r="H9" s="61">
        <f t="shared" si="2"/>
        <v>0</v>
      </c>
      <c r="I9" s="61">
        <f t="shared" si="2"/>
        <v>0</v>
      </c>
      <c r="J9" s="61">
        <f t="shared" si="2"/>
        <v>0</v>
      </c>
      <c r="K9" s="61">
        <f t="shared" si="2"/>
        <v>0</v>
      </c>
      <c r="L9" s="61">
        <f t="shared" si="2"/>
        <v>0</v>
      </c>
    </row>
    <row r="10" spans="2:17">
      <c r="B10" s="44" t="s">
        <v>315</v>
      </c>
      <c r="C10" s="76">
        <f>C11+C12</f>
        <v>2821.5000000000005</v>
      </c>
      <c r="D10" s="76">
        <f t="shared" ref="D10:L10" si="3">D11+D12</f>
        <v>7274.5</v>
      </c>
      <c r="E10" s="76">
        <f t="shared" si="3"/>
        <v>15320.04855</v>
      </c>
      <c r="F10" s="76">
        <f t="shared" si="3"/>
        <v>21723.122650000001</v>
      </c>
      <c r="G10" s="76">
        <f t="shared" si="3"/>
        <v>19491.731299999999</v>
      </c>
      <c r="H10" s="76">
        <f t="shared" si="3"/>
        <v>15372.63495</v>
      </c>
      <c r="I10" s="76">
        <f t="shared" si="3"/>
        <v>10761.2886</v>
      </c>
      <c r="J10" s="76">
        <f t="shared" si="3"/>
        <v>6939.1922500000001</v>
      </c>
      <c r="K10" s="76">
        <f t="shared" si="3"/>
        <v>3604.3458999999993</v>
      </c>
      <c r="L10" s="76">
        <f t="shared" si="3"/>
        <v>1641.8846299999996</v>
      </c>
    </row>
    <row r="11" spans="2:17">
      <c r="B11" s="5" t="s">
        <v>343</v>
      </c>
      <c r="C11" s="61">
        <f>C28</f>
        <v>0</v>
      </c>
      <c r="D11" s="61">
        <f t="shared" ref="D11:L11" si="4">D28</f>
        <v>4750</v>
      </c>
      <c r="E11" s="61">
        <f t="shared" si="4"/>
        <v>11544.29855</v>
      </c>
      <c r="F11" s="61">
        <f t="shared" si="4"/>
        <v>18618.372650000001</v>
      </c>
      <c r="G11" s="61">
        <f t="shared" si="4"/>
        <v>15812.231299999999</v>
      </c>
      <c r="H11" s="61">
        <f t="shared" si="4"/>
        <v>12553.88495</v>
      </c>
      <c r="I11" s="61">
        <f t="shared" si="4"/>
        <v>9295.5385999999999</v>
      </c>
      <c r="J11" s="61">
        <f t="shared" si="4"/>
        <v>6037.1922500000001</v>
      </c>
      <c r="K11" s="61">
        <f t="shared" si="4"/>
        <v>3378.8458999999993</v>
      </c>
      <c r="L11" s="61">
        <f t="shared" si="4"/>
        <v>1641.8846299999996</v>
      </c>
    </row>
    <row r="12" spans="2:17">
      <c r="B12" s="5" t="s">
        <v>342</v>
      </c>
      <c r="C12" s="61">
        <f>C59</f>
        <v>2821.5000000000005</v>
      </c>
      <c r="D12" s="61">
        <f t="shared" ref="D12:L12" si="5">D59</f>
        <v>2524.5000000000005</v>
      </c>
      <c r="E12" s="61">
        <f t="shared" si="5"/>
        <v>3775.75</v>
      </c>
      <c r="F12" s="61">
        <f t="shared" si="5"/>
        <v>3104.75</v>
      </c>
      <c r="G12" s="61">
        <f t="shared" si="5"/>
        <v>3679.5</v>
      </c>
      <c r="H12" s="61">
        <f t="shared" si="5"/>
        <v>2818.75</v>
      </c>
      <c r="I12" s="61">
        <f t="shared" si="5"/>
        <v>1465.75</v>
      </c>
      <c r="J12" s="61">
        <f t="shared" si="5"/>
        <v>902</v>
      </c>
      <c r="K12" s="61">
        <f t="shared" si="5"/>
        <v>225.49999999999989</v>
      </c>
      <c r="L12" s="61">
        <f t="shared" si="5"/>
        <v>0</v>
      </c>
    </row>
    <row r="13" spans="2:17">
      <c r="B13" s="44" t="s">
        <v>316</v>
      </c>
      <c r="C13" s="76">
        <f>C14+C15</f>
        <v>148.50000000000003</v>
      </c>
      <c r="D13" s="76">
        <f t="shared" ref="D13:L13" si="6">D14+D15</f>
        <v>547</v>
      </c>
      <c r="E13" s="76">
        <f t="shared" si="6"/>
        <v>1887.6604500000003</v>
      </c>
      <c r="F13" s="76">
        <f t="shared" si="6"/>
        <v>2641.0259000000001</v>
      </c>
      <c r="G13" s="76">
        <f t="shared" si="6"/>
        <v>4486.3913499999999</v>
      </c>
      <c r="H13" s="76">
        <f t="shared" si="6"/>
        <v>4119.0963499999998</v>
      </c>
      <c r="I13" s="76">
        <f t="shared" si="6"/>
        <v>4611.3463500000007</v>
      </c>
      <c r="J13" s="76">
        <f t="shared" si="6"/>
        <v>3822.0963500000003</v>
      </c>
      <c r="K13" s="76">
        <f t="shared" si="6"/>
        <v>3334.8463500000007</v>
      </c>
      <c r="L13" s="76">
        <f t="shared" si="6"/>
        <v>1962.46127</v>
      </c>
    </row>
    <row r="14" spans="2:17">
      <c r="B14" s="5" t="s">
        <v>343</v>
      </c>
      <c r="C14" s="61">
        <f>C29</f>
        <v>0</v>
      </c>
      <c r="D14" s="61">
        <f t="shared" ref="D14:L14" si="7">D29</f>
        <v>250</v>
      </c>
      <c r="E14" s="61">
        <f t="shared" si="7"/>
        <v>883.91044999999997</v>
      </c>
      <c r="F14" s="61">
        <f t="shared" si="7"/>
        <v>1970.0259000000001</v>
      </c>
      <c r="G14" s="61">
        <f t="shared" si="7"/>
        <v>2806.1413499999999</v>
      </c>
      <c r="H14" s="61">
        <f t="shared" si="7"/>
        <v>3258.3463499999998</v>
      </c>
      <c r="I14" s="61">
        <f t="shared" si="7"/>
        <v>3258.3463500000003</v>
      </c>
      <c r="J14" s="61">
        <f t="shared" si="7"/>
        <v>3258.3463500000003</v>
      </c>
      <c r="K14" s="61">
        <f t="shared" si="7"/>
        <v>2658.3463500000007</v>
      </c>
      <c r="L14" s="61">
        <f t="shared" si="7"/>
        <v>1736.96127</v>
      </c>
    </row>
    <row r="15" spans="2:17">
      <c r="B15" s="5" t="s">
        <v>342</v>
      </c>
      <c r="C15" s="61">
        <f>C60</f>
        <v>148.50000000000003</v>
      </c>
      <c r="D15" s="61">
        <f t="shared" ref="D15:L15" si="8">D60</f>
        <v>297</v>
      </c>
      <c r="E15" s="61">
        <f t="shared" si="8"/>
        <v>1003.7500000000002</v>
      </c>
      <c r="F15" s="61">
        <f t="shared" si="8"/>
        <v>670.99999999999989</v>
      </c>
      <c r="G15" s="61">
        <f t="shared" si="8"/>
        <v>1680.2500000000005</v>
      </c>
      <c r="H15" s="61">
        <f t="shared" si="8"/>
        <v>860.75</v>
      </c>
      <c r="I15" s="61">
        <f t="shared" si="8"/>
        <v>1353.0000000000002</v>
      </c>
      <c r="J15" s="61">
        <f t="shared" si="8"/>
        <v>563.74999999999989</v>
      </c>
      <c r="K15" s="61">
        <f t="shared" si="8"/>
        <v>676.50000000000011</v>
      </c>
      <c r="L15" s="61">
        <f t="shared" si="8"/>
        <v>225.49999999999994</v>
      </c>
    </row>
    <row r="16" spans="2:17">
      <c r="B16" s="44" t="s">
        <v>6</v>
      </c>
      <c r="C16" s="76">
        <f>C17+C19</f>
        <v>138.10500000000005</v>
      </c>
      <c r="D16" s="76">
        <f t="shared" ref="D16:L16" si="9">D17+D19</f>
        <v>511.02250000000004</v>
      </c>
      <c r="E16" s="76">
        <f t="shared" si="9"/>
        <v>1763.7003901625003</v>
      </c>
      <c r="F16" s="76">
        <f t="shared" si="9"/>
        <v>2474.3768265750005</v>
      </c>
      <c r="G16" s="76">
        <f t="shared" si="9"/>
        <v>4198.300762987501</v>
      </c>
      <c r="H16" s="76">
        <f t="shared" si="9"/>
        <v>3860.8993092374999</v>
      </c>
      <c r="I16" s="76">
        <f t="shared" si="9"/>
        <v>4318.6918092375008</v>
      </c>
      <c r="J16" s="76">
        <f t="shared" si="9"/>
        <v>3584.6893092375003</v>
      </c>
      <c r="K16" s="76">
        <f t="shared" si="9"/>
        <v>3125.9968092375007</v>
      </c>
      <c r="L16" s="76">
        <f t="shared" si="9"/>
        <v>1841.1558728474999</v>
      </c>
      <c r="Q16" s="71" t="s">
        <v>709</v>
      </c>
    </row>
    <row r="17" spans="2:24">
      <c r="B17" s="5" t="s">
        <v>343</v>
      </c>
      <c r="C17" s="193">
        <f>C14*C18</f>
        <v>0</v>
      </c>
      <c r="D17" s="193">
        <f t="shared" ref="D17:L17" si="10">D14*D18</f>
        <v>234.8125</v>
      </c>
      <c r="E17" s="193">
        <f t="shared" si="10"/>
        <v>830.2128901625</v>
      </c>
      <c r="F17" s="193">
        <f t="shared" si="10"/>
        <v>1850.3468265750003</v>
      </c>
      <c r="G17" s="193">
        <f t="shared" si="10"/>
        <v>2635.6682629874999</v>
      </c>
      <c r="H17" s="193">
        <f t="shared" si="10"/>
        <v>3060.4018092374999</v>
      </c>
      <c r="I17" s="193">
        <f t="shared" si="10"/>
        <v>3060.4018092375004</v>
      </c>
      <c r="J17" s="193">
        <f t="shared" si="10"/>
        <v>3060.4018092375004</v>
      </c>
      <c r="K17" s="193">
        <f t="shared" si="10"/>
        <v>2496.8518092375007</v>
      </c>
      <c r="L17" s="193">
        <f t="shared" si="10"/>
        <v>1631.4408728475</v>
      </c>
      <c r="Q17" s="1" t="s">
        <v>710</v>
      </c>
    </row>
    <row r="18" spans="2:24">
      <c r="B18" s="197" t="s">
        <v>670</v>
      </c>
      <c r="C18" s="195">
        <f>1-0.06075</f>
        <v>0.93925000000000003</v>
      </c>
      <c r="D18" s="195">
        <f t="shared" ref="D18:L18" si="11">1-0.06075</f>
        <v>0.93925000000000003</v>
      </c>
      <c r="E18" s="195">
        <f t="shared" si="11"/>
        <v>0.93925000000000003</v>
      </c>
      <c r="F18" s="195">
        <f t="shared" si="11"/>
        <v>0.93925000000000003</v>
      </c>
      <c r="G18" s="195">
        <f t="shared" si="11"/>
        <v>0.93925000000000003</v>
      </c>
      <c r="H18" s="195">
        <f t="shared" si="11"/>
        <v>0.93925000000000003</v>
      </c>
      <c r="I18" s="195">
        <f t="shared" si="11"/>
        <v>0.93925000000000003</v>
      </c>
      <c r="J18" s="195">
        <f t="shared" si="11"/>
        <v>0.93925000000000003</v>
      </c>
      <c r="K18" s="195">
        <f t="shared" si="11"/>
        <v>0.93925000000000003</v>
      </c>
      <c r="L18" s="195">
        <f t="shared" si="11"/>
        <v>0.93925000000000003</v>
      </c>
      <c r="Q18" s="1" t="s">
        <v>711</v>
      </c>
    </row>
    <row r="19" spans="2:24">
      <c r="B19" s="5" t="s">
        <v>342</v>
      </c>
      <c r="C19" s="194">
        <f>C15*C20</f>
        <v>138.10500000000005</v>
      </c>
      <c r="D19" s="194">
        <f t="shared" ref="D19:L19" si="12">D15*D20</f>
        <v>276.21000000000004</v>
      </c>
      <c r="E19" s="194">
        <f t="shared" si="12"/>
        <v>933.4875000000003</v>
      </c>
      <c r="F19" s="194">
        <f t="shared" si="12"/>
        <v>624.03</v>
      </c>
      <c r="G19" s="194">
        <f t="shared" si="12"/>
        <v>1562.6325000000006</v>
      </c>
      <c r="H19" s="194">
        <f t="shared" si="12"/>
        <v>800.49750000000006</v>
      </c>
      <c r="I19" s="194">
        <f t="shared" si="12"/>
        <v>1258.2900000000002</v>
      </c>
      <c r="J19" s="194">
        <f t="shared" si="12"/>
        <v>524.28749999999991</v>
      </c>
      <c r="K19" s="194">
        <f t="shared" si="12"/>
        <v>629.1450000000001</v>
      </c>
      <c r="L19" s="194">
        <f t="shared" si="12"/>
        <v>209.71499999999995</v>
      </c>
      <c r="Q19" s="1" t="s">
        <v>707</v>
      </c>
    </row>
    <row r="20" spans="2:24" ht="19.5" thickBot="1">
      <c r="B20" s="386" t="s">
        <v>670</v>
      </c>
      <c r="C20" s="387">
        <f>93%</f>
        <v>0.93</v>
      </c>
      <c r="D20" s="387">
        <f>93%</f>
        <v>0.93</v>
      </c>
      <c r="E20" s="387">
        <f>93%</f>
        <v>0.93</v>
      </c>
      <c r="F20" s="387">
        <f>93%</f>
        <v>0.93</v>
      </c>
      <c r="G20" s="387">
        <f>93%</f>
        <v>0.93</v>
      </c>
      <c r="H20" s="387">
        <f>93%</f>
        <v>0.93</v>
      </c>
      <c r="I20" s="387">
        <f>93%</f>
        <v>0.93</v>
      </c>
      <c r="J20" s="387">
        <f>93%</f>
        <v>0.93</v>
      </c>
      <c r="K20" s="387">
        <f>93%</f>
        <v>0.93</v>
      </c>
      <c r="L20" s="387">
        <f>93%</f>
        <v>0.93</v>
      </c>
      <c r="M20" s="31"/>
      <c r="Q20" s="1" t="s">
        <v>708</v>
      </c>
    </row>
    <row r="22" spans="2:24" s="132" customFormat="1">
      <c r="B22" s="134" t="s">
        <v>339</v>
      </c>
    </row>
    <row r="25" spans="2:24">
      <c r="B25" s="134" t="s">
        <v>368</v>
      </c>
      <c r="C25" s="132"/>
      <c r="D25" s="132"/>
      <c r="E25" s="132"/>
      <c r="F25" s="132"/>
      <c r="G25" s="132"/>
      <c r="H25" s="129"/>
      <c r="I25" s="129"/>
      <c r="J25" s="129"/>
      <c r="K25" s="129"/>
      <c r="L25" s="129"/>
      <c r="Q25" s="71" t="s">
        <v>427</v>
      </c>
    </row>
    <row r="26" spans="2:24" ht="19.5" thickBot="1">
      <c r="B26" s="2" t="s">
        <v>325</v>
      </c>
      <c r="C26" s="243" t="s">
        <v>0</v>
      </c>
      <c r="D26" s="243" t="s">
        <v>54</v>
      </c>
      <c r="E26" s="243" t="s">
        <v>55</v>
      </c>
      <c r="F26" s="243" t="s">
        <v>56</v>
      </c>
      <c r="G26" s="243" t="s">
        <v>57</v>
      </c>
      <c r="H26" s="169" t="s">
        <v>359</v>
      </c>
      <c r="I26" s="169" t="s">
        <v>360</v>
      </c>
      <c r="J26" s="169" t="s">
        <v>361</v>
      </c>
      <c r="K26" s="169" t="s">
        <v>362</v>
      </c>
      <c r="L26" s="169" t="s">
        <v>363</v>
      </c>
      <c r="Q26" s="1" t="s">
        <v>376</v>
      </c>
    </row>
    <row r="27" spans="2:24" ht="19.5" thickTop="1">
      <c r="B27" s="4" t="s">
        <v>320</v>
      </c>
      <c r="C27" s="61">
        <v>0</v>
      </c>
      <c r="D27" s="61">
        <f>O36</f>
        <v>5000</v>
      </c>
      <c r="E27" s="61">
        <f>O43</f>
        <v>7678.2089999999998</v>
      </c>
      <c r="F27" s="61">
        <f>O50</f>
        <v>9044.1</v>
      </c>
      <c r="G27" s="61">
        <v>0</v>
      </c>
      <c r="H27" s="61">
        <v>0</v>
      </c>
      <c r="I27" s="61">
        <v>0</v>
      </c>
      <c r="J27" s="61">
        <v>0</v>
      </c>
      <c r="K27" s="61">
        <v>0</v>
      </c>
      <c r="L27" s="61">
        <v>0</v>
      </c>
      <c r="Q27" s="1" t="s">
        <v>377</v>
      </c>
      <c r="X27" s="77">
        <v>1546</v>
      </c>
    </row>
    <row r="28" spans="2:24">
      <c r="B28" s="18" t="s">
        <v>315</v>
      </c>
      <c r="C28" s="61">
        <f>C35+C42+C49</f>
        <v>0</v>
      </c>
      <c r="D28" s="61">
        <f>D35+D42+D49</f>
        <v>4750</v>
      </c>
      <c r="E28" s="61">
        <f t="shared" ref="E28:L28" si="13">E35+E42+E49</f>
        <v>11544.29855</v>
      </c>
      <c r="F28" s="61">
        <f t="shared" si="13"/>
        <v>18618.372650000001</v>
      </c>
      <c r="G28" s="61">
        <f t="shared" si="13"/>
        <v>15812.231299999999</v>
      </c>
      <c r="H28" s="61">
        <f t="shared" si="13"/>
        <v>12553.88495</v>
      </c>
      <c r="I28" s="61">
        <f t="shared" si="13"/>
        <v>9295.5385999999999</v>
      </c>
      <c r="J28" s="61">
        <f t="shared" si="13"/>
        <v>6037.1922500000001</v>
      </c>
      <c r="K28" s="61">
        <f t="shared" si="13"/>
        <v>3378.8458999999993</v>
      </c>
      <c r="L28" s="61">
        <f t="shared" si="13"/>
        <v>1641.8846299999996</v>
      </c>
      <c r="Q28" s="1" t="s">
        <v>378</v>
      </c>
    </row>
    <row r="29" spans="2:24" ht="19.5" thickBot="1">
      <c r="B29" s="9" t="s">
        <v>316</v>
      </c>
      <c r="C29" s="363">
        <f>C34+C41+C48</f>
        <v>0</v>
      </c>
      <c r="D29" s="363">
        <f>D34+D41+D48</f>
        <v>250</v>
      </c>
      <c r="E29" s="363">
        <f t="shared" ref="E29:L29" si="14">E34+E41+E48</f>
        <v>883.91044999999997</v>
      </c>
      <c r="F29" s="363">
        <f t="shared" si="14"/>
        <v>1970.0259000000001</v>
      </c>
      <c r="G29" s="363">
        <f t="shared" si="14"/>
        <v>2806.1413499999999</v>
      </c>
      <c r="H29" s="363">
        <f t="shared" si="14"/>
        <v>3258.3463499999998</v>
      </c>
      <c r="I29" s="363">
        <f t="shared" si="14"/>
        <v>3258.3463500000003</v>
      </c>
      <c r="J29" s="363">
        <f t="shared" si="14"/>
        <v>3258.3463500000003</v>
      </c>
      <c r="K29" s="363">
        <f t="shared" si="14"/>
        <v>2658.3463500000007</v>
      </c>
      <c r="L29" s="363">
        <f t="shared" si="14"/>
        <v>1736.96127</v>
      </c>
      <c r="Q29" s="1" t="s">
        <v>379</v>
      </c>
    </row>
    <row r="31" spans="2:24">
      <c r="B31" s="134" t="s">
        <v>365</v>
      </c>
      <c r="C31" s="129"/>
      <c r="D31" s="129"/>
      <c r="E31" s="129"/>
      <c r="F31" s="129"/>
      <c r="G31" s="129"/>
      <c r="H31" s="129"/>
      <c r="I31" s="129"/>
      <c r="J31" s="129"/>
      <c r="K31" s="129"/>
      <c r="L31" s="129"/>
      <c r="M31" s="77"/>
      <c r="N31" s="134" t="s">
        <v>369</v>
      </c>
      <c r="O31" s="174"/>
      <c r="Q31" s="71" t="s">
        <v>399</v>
      </c>
    </row>
    <row r="32" spans="2:24" ht="19.5" thickBot="1">
      <c r="B32" s="2" t="s">
        <v>325</v>
      </c>
      <c r="C32" s="243" t="s">
        <v>0</v>
      </c>
      <c r="D32" s="247" t="s">
        <v>54</v>
      </c>
      <c r="E32" s="243" t="s">
        <v>55</v>
      </c>
      <c r="F32" s="243" t="s">
        <v>56</v>
      </c>
      <c r="G32" s="243" t="s">
        <v>57</v>
      </c>
      <c r="H32" s="243" t="s">
        <v>359</v>
      </c>
      <c r="I32" s="243" t="s">
        <v>360</v>
      </c>
      <c r="J32" s="243" t="s">
        <v>361</v>
      </c>
      <c r="K32" s="243" t="s">
        <v>362</v>
      </c>
      <c r="L32" s="243" t="s">
        <v>363</v>
      </c>
      <c r="N32" s="248" t="s">
        <v>324</v>
      </c>
      <c r="O32" s="248"/>
      <c r="Q32" s="1" t="s">
        <v>400</v>
      </c>
    </row>
    <row r="33" spans="2:29" ht="19.5" thickTop="1">
      <c r="B33" s="4" t="s">
        <v>318</v>
      </c>
      <c r="C33" s="162">
        <v>0</v>
      </c>
      <c r="D33" s="249">
        <v>0.05</v>
      </c>
      <c r="E33" s="162">
        <v>0.15</v>
      </c>
      <c r="F33" s="162">
        <v>0.3</v>
      </c>
      <c r="G33" s="162">
        <v>0.45</v>
      </c>
      <c r="H33" s="162">
        <v>0.6</v>
      </c>
      <c r="I33" s="162">
        <v>0.75</v>
      </c>
      <c r="J33" s="162">
        <v>0.9</v>
      </c>
      <c r="K33" s="162">
        <v>0.93</v>
      </c>
      <c r="L33" s="162">
        <v>0.96</v>
      </c>
      <c r="M33" s="30"/>
      <c r="N33" s="392" t="s">
        <v>344</v>
      </c>
      <c r="O33" s="393">
        <v>10000</v>
      </c>
      <c r="Q33" s="1" t="s">
        <v>401</v>
      </c>
    </row>
    <row r="34" spans="2:29">
      <c r="B34" s="250" t="s">
        <v>346</v>
      </c>
      <c r="C34" s="251">
        <f>O36*C33</f>
        <v>0</v>
      </c>
      <c r="D34" s="252">
        <f t="shared" ref="D34:L34" si="15">(D33-C33)*$O36</f>
        <v>250</v>
      </c>
      <c r="E34" s="251">
        <f t="shared" si="15"/>
        <v>499.99999999999994</v>
      </c>
      <c r="F34" s="251">
        <f t="shared" si="15"/>
        <v>750</v>
      </c>
      <c r="G34" s="251">
        <f t="shared" si="15"/>
        <v>750.00000000000011</v>
      </c>
      <c r="H34" s="251">
        <f t="shared" si="15"/>
        <v>749.99999999999989</v>
      </c>
      <c r="I34" s="251">
        <f t="shared" si="15"/>
        <v>750.00000000000011</v>
      </c>
      <c r="J34" s="251">
        <f t="shared" si="15"/>
        <v>750.00000000000011</v>
      </c>
      <c r="K34" s="251">
        <f t="shared" si="15"/>
        <v>150.00000000000014</v>
      </c>
      <c r="L34" s="251">
        <f t="shared" si="15"/>
        <v>149.99999999999957</v>
      </c>
      <c r="M34" s="30"/>
      <c r="N34" s="6" t="s">
        <v>345</v>
      </c>
      <c r="O34" s="30">
        <f>O33*100%</f>
        <v>10000</v>
      </c>
      <c r="Q34" s="1" t="s">
        <v>410</v>
      </c>
    </row>
    <row r="35" spans="2:29">
      <c r="B35" s="250" t="s">
        <v>347</v>
      </c>
      <c r="C35" s="251">
        <v>0</v>
      </c>
      <c r="D35" s="252">
        <f>$O36-SUM(C34:D34)</f>
        <v>4750</v>
      </c>
      <c r="E35" s="251">
        <f>$O36-SUM(C34:E34)</f>
        <v>4250</v>
      </c>
      <c r="F35" s="251">
        <f>$O36-SUM(C34:F34)</f>
        <v>3500</v>
      </c>
      <c r="G35" s="251">
        <f>$O36-SUM(C34:G34)</f>
        <v>2750</v>
      </c>
      <c r="H35" s="251">
        <f>$O36-SUM(C34:H34)</f>
        <v>2000</v>
      </c>
      <c r="I35" s="251">
        <f>$O36-SUM(C34:I34)</f>
        <v>1250</v>
      </c>
      <c r="J35" s="251">
        <f>$O36-SUM(C34:J34)</f>
        <v>500</v>
      </c>
      <c r="K35" s="251">
        <f>$O36-SUM(C34:K34)</f>
        <v>350</v>
      </c>
      <c r="L35" s="251">
        <f>$O36-SUM(C34:L34)</f>
        <v>200</v>
      </c>
      <c r="M35" s="31"/>
      <c r="N35" s="6" t="s">
        <v>356</v>
      </c>
      <c r="O35" s="31">
        <v>0.5</v>
      </c>
    </row>
    <row r="36" spans="2:29" ht="19.5" thickBot="1">
      <c r="B36" s="332" t="s">
        <v>358</v>
      </c>
      <c r="C36" s="388" t="s">
        <v>348</v>
      </c>
      <c r="D36" s="389" t="s">
        <v>349</v>
      </c>
      <c r="E36" s="388" t="s">
        <v>350</v>
      </c>
      <c r="F36" s="388" t="s">
        <v>351</v>
      </c>
      <c r="G36" s="388" t="s">
        <v>352</v>
      </c>
      <c r="H36" s="388" t="s">
        <v>352</v>
      </c>
      <c r="I36" s="388" t="s">
        <v>353</v>
      </c>
      <c r="J36" s="388" t="s">
        <v>354</v>
      </c>
      <c r="K36" s="388" t="s">
        <v>354</v>
      </c>
      <c r="L36" s="388" t="s">
        <v>354</v>
      </c>
      <c r="M36" s="30"/>
      <c r="N36" s="390" t="s">
        <v>357</v>
      </c>
      <c r="O36" s="391">
        <f>O34*O35</f>
        <v>5000</v>
      </c>
    </row>
    <row r="37" spans="2:29">
      <c r="B37" s="72"/>
      <c r="C37" s="72"/>
      <c r="D37" s="72"/>
      <c r="E37" s="72"/>
      <c r="F37" s="72"/>
      <c r="G37" s="72"/>
      <c r="H37" s="72"/>
      <c r="I37" s="72"/>
      <c r="J37" s="72"/>
      <c r="K37" s="72"/>
      <c r="L37" s="72"/>
      <c r="M37" s="72"/>
      <c r="N37" s="72"/>
      <c r="O37" s="72"/>
    </row>
    <row r="38" spans="2:29">
      <c r="B38" s="134" t="s">
        <v>366</v>
      </c>
      <c r="C38" s="129"/>
      <c r="D38" s="129"/>
      <c r="E38" s="129"/>
      <c r="F38" s="129"/>
      <c r="G38" s="129"/>
      <c r="H38" s="129"/>
      <c r="I38" s="129"/>
      <c r="J38" s="129"/>
      <c r="K38" s="129"/>
      <c r="L38" s="129"/>
      <c r="M38" s="77"/>
      <c r="N38" s="134" t="s">
        <v>369</v>
      </c>
      <c r="O38" s="174"/>
      <c r="Q38" s="71" t="s">
        <v>402</v>
      </c>
    </row>
    <row r="39" spans="2:29" ht="19.5" thickBot="1">
      <c r="B39" s="2" t="s">
        <v>325</v>
      </c>
      <c r="C39" s="243" t="s">
        <v>0</v>
      </c>
      <c r="D39" s="243" t="s">
        <v>54</v>
      </c>
      <c r="E39" s="247" t="s">
        <v>55</v>
      </c>
      <c r="F39" s="243" t="s">
        <v>56</v>
      </c>
      <c r="G39" s="243" t="s">
        <v>57</v>
      </c>
      <c r="H39" s="243" t="s">
        <v>359</v>
      </c>
      <c r="I39" s="243" t="s">
        <v>360</v>
      </c>
      <c r="J39" s="243" t="s">
        <v>361</v>
      </c>
      <c r="K39" s="243" t="s">
        <v>362</v>
      </c>
      <c r="L39" s="243" t="s">
        <v>363</v>
      </c>
      <c r="N39" s="248" t="s">
        <v>324</v>
      </c>
      <c r="O39" s="248"/>
      <c r="Q39" s="1" t="s">
        <v>404</v>
      </c>
    </row>
    <row r="40" spans="2:29" ht="19.5" thickTop="1">
      <c r="B40" s="4" t="s">
        <v>318</v>
      </c>
      <c r="C40" s="162">
        <v>0</v>
      </c>
      <c r="D40" s="253">
        <v>0</v>
      </c>
      <c r="E40" s="249">
        <v>0.05</v>
      </c>
      <c r="F40" s="162">
        <v>0.15</v>
      </c>
      <c r="G40" s="162">
        <v>0.3</v>
      </c>
      <c r="H40" s="162">
        <v>0.45</v>
      </c>
      <c r="I40" s="162">
        <v>0.6</v>
      </c>
      <c r="J40" s="162">
        <v>0.75</v>
      </c>
      <c r="K40" s="162">
        <v>0.9</v>
      </c>
      <c r="L40" s="162">
        <v>0.93</v>
      </c>
      <c r="M40" s="30"/>
      <c r="N40" s="392" t="s">
        <v>344</v>
      </c>
      <c r="O40" s="393">
        <f>1.1*9.03*X27</f>
        <v>15356.418</v>
      </c>
      <c r="Q40" s="1" t="s">
        <v>405</v>
      </c>
      <c r="U40" s="72"/>
      <c r="V40" s="72"/>
      <c r="W40" s="72"/>
      <c r="X40" s="72"/>
      <c r="Y40" s="72"/>
      <c r="Z40" s="72"/>
      <c r="AA40" s="72"/>
      <c r="AB40" s="72"/>
      <c r="AC40" s="72"/>
    </row>
    <row r="41" spans="2:29">
      <c r="B41" s="250" t="s">
        <v>346</v>
      </c>
      <c r="C41" s="251">
        <f>O43*C40</f>
        <v>0</v>
      </c>
      <c r="D41" s="30">
        <f t="shared" ref="D41:L41" si="16">(D40-C40)*$O43</f>
        <v>0</v>
      </c>
      <c r="E41" s="252">
        <f t="shared" si="16"/>
        <v>383.91045000000003</v>
      </c>
      <c r="F41" s="251">
        <f t="shared" si="16"/>
        <v>767.82089999999994</v>
      </c>
      <c r="G41" s="251">
        <f t="shared" si="16"/>
        <v>1151.73135</v>
      </c>
      <c r="H41" s="251">
        <f t="shared" si="16"/>
        <v>1151.7313500000002</v>
      </c>
      <c r="I41" s="251">
        <f t="shared" si="16"/>
        <v>1151.7313499999998</v>
      </c>
      <c r="J41" s="251">
        <f t="shared" si="16"/>
        <v>1151.7313500000002</v>
      </c>
      <c r="K41" s="251">
        <f t="shared" si="16"/>
        <v>1151.7313500000002</v>
      </c>
      <c r="L41" s="251">
        <f t="shared" si="16"/>
        <v>230.3462700000002</v>
      </c>
      <c r="M41" s="30"/>
      <c r="N41" s="6" t="s">
        <v>345</v>
      </c>
      <c r="O41" s="30">
        <f>O40*100%</f>
        <v>15356.418</v>
      </c>
      <c r="Q41" s="1" t="s">
        <v>411</v>
      </c>
      <c r="R41" s="72"/>
      <c r="S41" s="72"/>
      <c r="T41" s="72"/>
      <c r="U41" s="72"/>
      <c r="V41" s="72"/>
      <c r="W41" s="72"/>
      <c r="X41" s="72"/>
      <c r="Y41" s="72"/>
      <c r="Z41" s="72"/>
      <c r="AA41" s="72"/>
      <c r="AB41" s="72"/>
      <c r="AC41" s="72"/>
    </row>
    <row r="42" spans="2:29">
      <c r="B42" s="250" t="s">
        <v>347</v>
      </c>
      <c r="C42" s="251">
        <v>0</v>
      </c>
      <c r="D42" s="30">
        <v>0</v>
      </c>
      <c r="E42" s="252">
        <f>$O43-SUM(C41:E41)</f>
        <v>7294.2985499999995</v>
      </c>
      <c r="F42" s="251">
        <f>$O43-SUM(C41:F41)</f>
        <v>6526.4776499999998</v>
      </c>
      <c r="G42" s="251">
        <f>$O43-SUM(C41:G41)</f>
        <v>5374.7462999999998</v>
      </c>
      <c r="H42" s="251">
        <f>$O43-SUM(C41:H41)</f>
        <v>4223.0149499999998</v>
      </c>
      <c r="I42" s="251">
        <f>$O43-SUM(C41:I41)</f>
        <v>3071.2835999999998</v>
      </c>
      <c r="J42" s="251">
        <f>$O43-SUM(C41:J41)</f>
        <v>1919.5522499999997</v>
      </c>
      <c r="K42" s="251">
        <f>$O43-SUM(C41:K41)</f>
        <v>767.82089999999971</v>
      </c>
      <c r="L42" s="251">
        <f>$O43-SUM(C41:L41)</f>
        <v>537.47462999999971</v>
      </c>
      <c r="M42" s="31"/>
      <c r="N42" s="6" t="s">
        <v>356</v>
      </c>
      <c r="O42" s="31">
        <v>0.5</v>
      </c>
      <c r="Q42" s="1" t="s">
        <v>412</v>
      </c>
      <c r="R42" s="72"/>
      <c r="S42" s="72"/>
      <c r="T42" s="72"/>
      <c r="U42" s="72"/>
      <c r="V42" s="72"/>
      <c r="W42" s="72"/>
      <c r="X42" s="72"/>
      <c r="Y42" s="72"/>
      <c r="Z42" s="72"/>
      <c r="AA42" s="72"/>
      <c r="AB42" s="72"/>
      <c r="AC42" s="72"/>
    </row>
    <row r="43" spans="2:29" ht="19.5" thickBot="1">
      <c r="B43" s="394" t="s">
        <v>358</v>
      </c>
      <c r="C43" s="395" t="s">
        <v>355</v>
      </c>
      <c r="D43" s="395" t="s">
        <v>348</v>
      </c>
      <c r="E43" s="396" t="s">
        <v>349</v>
      </c>
      <c r="F43" s="395" t="s">
        <v>350</v>
      </c>
      <c r="G43" s="395" t="s">
        <v>351</v>
      </c>
      <c r="H43" s="395" t="s">
        <v>351</v>
      </c>
      <c r="I43" s="395" t="s">
        <v>351</v>
      </c>
      <c r="J43" s="395" t="s">
        <v>352</v>
      </c>
      <c r="K43" s="395" t="s">
        <v>353</v>
      </c>
      <c r="L43" s="395" t="s">
        <v>354</v>
      </c>
      <c r="M43" s="30"/>
      <c r="N43" s="397" t="s">
        <v>357</v>
      </c>
      <c r="O43" s="398">
        <f>O41*O42</f>
        <v>7678.2089999999998</v>
      </c>
    </row>
    <row r="44" spans="2:29">
      <c r="B44" s="72"/>
      <c r="C44" s="72"/>
      <c r="D44" s="72"/>
      <c r="E44" s="72"/>
      <c r="F44" s="72"/>
      <c r="G44" s="73"/>
      <c r="H44" s="72"/>
      <c r="I44" s="72"/>
      <c r="J44" s="72"/>
      <c r="K44" s="72"/>
      <c r="L44" s="72"/>
      <c r="M44" s="72"/>
      <c r="N44" s="72"/>
      <c r="O44" s="72"/>
    </row>
    <row r="45" spans="2:29">
      <c r="B45" s="134" t="s">
        <v>367</v>
      </c>
      <c r="C45" s="129"/>
      <c r="D45" s="129"/>
      <c r="E45" s="129"/>
      <c r="F45" s="129"/>
      <c r="G45" s="129"/>
      <c r="H45" s="129"/>
      <c r="I45" s="129"/>
      <c r="J45" s="129"/>
      <c r="K45" s="129"/>
      <c r="L45" s="129"/>
      <c r="M45" s="77"/>
      <c r="N45" s="134" t="s">
        <v>369</v>
      </c>
      <c r="O45" s="174"/>
      <c r="Q45" s="71" t="s">
        <v>403</v>
      </c>
    </row>
    <row r="46" spans="2:29" ht="19.5" thickBot="1">
      <c r="B46" s="2" t="s">
        <v>325</v>
      </c>
      <c r="C46" s="243" t="s">
        <v>0</v>
      </c>
      <c r="D46" s="243" t="s">
        <v>54</v>
      </c>
      <c r="E46" s="243" t="s">
        <v>55</v>
      </c>
      <c r="F46" s="247" t="s">
        <v>56</v>
      </c>
      <c r="G46" s="243" t="s">
        <v>57</v>
      </c>
      <c r="H46" s="243" t="s">
        <v>359</v>
      </c>
      <c r="I46" s="243" t="s">
        <v>360</v>
      </c>
      <c r="J46" s="243" t="s">
        <v>361</v>
      </c>
      <c r="K46" s="243" t="s">
        <v>362</v>
      </c>
      <c r="L46" s="243" t="s">
        <v>363</v>
      </c>
      <c r="N46" s="248" t="s">
        <v>324</v>
      </c>
      <c r="O46" s="248"/>
      <c r="Q46" s="1" t="s">
        <v>406</v>
      </c>
    </row>
    <row r="47" spans="2:29" ht="19.5" thickTop="1">
      <c r="B47" s="4" t="s">
        <v>318</v>
      </c>
      <c r="C47" s="162">
        <v>0</v>
      </c>
      <c r="D47" s="253">
        <v>0</v>
      </c>
      <c r="E47" s="162">
        <v>0</v>
      </c>
      <c r="F47" s="249">
        <v>0.05</v>
      </c>
      <c r="G47" s="162">
        <v>0.15</v>
      </c>
      <c r="H47" s="162">
        <v>0.3</v>
      </c>
      <c r="I47" s="162">
        <v>0.45</v>
      </c>
      <c r="J47" s="162">
        <v>0.6</v>
      </c>
      <c r="K47" s="162">
        <v>0.75</v>
      </c>
      <c r="L47" s="162">
        <v>0.9</v>
      </c>
      <c r="M47" s="30"/>
      <c r="N47" s="1" t="s">
        <v>344</v>
      </c>
      <c r="O47" s="30">
        <f>1.3*9*X27</f>
        <v>18088.2</v>
      </c>
      <c r="Q47" s="1" t="s">
        <v>413</v>
      </c>
    </row>
    <row r="48" spans="2:29">
      <c r="B48" s="250" t="s">
        <v>346</v>
      </c>
      <c r="C48" s="251">
        <v>0</v>
      </c>
      <c r="D48" s="30">
        <f t="shared" ref="D48:L48" si="17">(D47-C47)*$O50</f>
        <v>0</v>
      </c>
      <c r="E48" s="251">
        <f t="shared" si="17"/>
        <v>0</v>
      </c>
      <c r="F48" s="252">
        <f t="shared" si="17"/>
        <v>452.20500000000004</v>
      </c>
      <c r="G48" s="251">
        <f t="shared" si="17"/>
        <v>904.41</v>
      </c>
      <c r="H48" s="251">
        <f t="shared" si="17"/>
        <v>1356.615</v>
      </c>
      <c r="I48" s="251">
        <f t="shared" si="17"/>
        <v>1356.6150000000002</v>
      </c>
      <c r="J48" s="251">
        <f t="shared" si="17"/>
        <v>1356.6149999999998</v>
      </c>
      <c r="K48" s="251">
        <f t="shared" si="17"/>
        <v>1356.6150000000002</v>
      </c>
      <c r="L48" s="251">
        <f t="shared" si="17"/>
        <v>1356.6150000000002</v>
      </c>
      <c r="M48" s="30"/>
      <c r="N48" s="6" t="s">
        <v>345</v>
      </c>
      <c r="O48" s="30">
        <f>O47*100%</f>
        <v>18088.2</v>
      </c>
    </row>
    <row r="49" spans="2:24">
      <c r="B49" s="250" t="s">
        <v>347</v>
      </c>
      <c r="C49" s="251">
        <v>0</v>
      </c>
      <c r="D49" s="30">
        <v>0</v>
      </c>
      <c r="E49" s="251">
        <v>0</v>
      </c>
      <c r="F49" s="252">
        <f>$O50-SUM(D48:F48)</f>
        <v>8591.8950000000004</v>
      </c>
      <c r="G49" s="251">
        <f>$O50-SUM(D48:G48)</f>
        <v>7687.4850000000006</v>
      </c>
      <c r="H49" s="251">
        <f>$O50-SUM(D48:H48)</f>
        <v>6330.8700000000008</v>
      </c>
      <c r="I49" s="251">
        <f>$O50-SUM(D48:I48)</f>
        <v>4974.2550000000001</v>
      </c>
      <c r="J49" s="251">
        <f>$O50-SUM(D48:J48)</f>
        <v>3617.6400000000003</v>
      </c>
      <c r="K49" s="251">
        <f>$O50-SUM(D48:K48)</f>
        <v>2261.0249999999996</v>
      </c>
      <c r="L49" s="251">
        <f>$O50-SUM(D48:L48)</f>
        <v>904.40999999999985</v>
      </c>
      <c r="M49" s="31"/>
      <c r="N49" s="6" t="s">
        <v>356</v>
      </c>
      <c r="O49" s="31">
        <v>0.5</v>
      </c>
    </row>
    <row r="50" spans="2:24" ht="19.5" thickBot="1">
      <c r="B50" s="394" t="s">
        <v>358</v>
      </c>
      <c r="C50" s="395"/>
      <c r="D50" s="395" t="s">
        <v>355</v>
      </c>
      <c r="E50" s="395" t="s">
        <v>348</v>
      </c>
      <c r="F50" s="396" t="s">
        <v>349</v>
      </c>
      <c r="G50" s="395" t="s">
        <v>350</v>
      </c>
      <c r="H50" s="395" t="s">
        <v>351</v>
      </c>
      <c r="I50" s="395" t="s">
        <v>352</v>
      </c>
      <c r="J50" s="395" t="s">
        <v>352</v>
      </c>
      <c r="K50" s="395" t="s">
        <v>353</v>
      </c>
      <c r="L50" s="395" t="s">
        <v>354</v>
      </c>
      <c r="M50" s="30"/>
      <c r="N50" s="397" t="s">
        <v>357</v>
      </c>
      <c r="O50" s="398">
        <f>O48*O49</f>
        <v>9044.1</v>
      </c>
    </row>
    <row r="53" spans="2:24" s="132" customFormat="1">
      <c r="B53" s="134" t="s">
        <v>338</v>
      </c>
    </row>
    <row r="56" spans="2:24">
      <c r="B56" s="134" t="s">
        <v>338</v>
      </c>
      <c r="C56" s="132"/>
      <c r="D56" s="132"/>
      <c r="E56" s="132"/>
      <c r="F56" s="132"/>
      <c r="G56" s="132"/>
      <c r="H56" s="129"/>
      <c r="I56" s="129"/>
      <c r="J56" s="129"/>
      <c r="K56" s="129"/>
      <c r="L56" s="129"/>
      <c r="Q56" s="71" t="s">
        <v>428</v>
      </c>
    </row>
    <row r="57" spans="2:24" ht="19.5" thickBot="1">
      <c r="B57" s="2" t="s">
        <v>325</v>
      </c>
      <c r="C57" s="243" t="s">
        <v>0</v>
      </c>
      <c r="D57" s="243" t="s">
        <v>54</v>
      </c>
      <c r="E57" s="243" t="s">
        <v>55</v>
      </c>
      <c r="F57" s="243" t="s">
        <v>56</v>
      </c>
      <c r="G57" s="243" t="s">
        <v>57</v>
      </c>
      <c r="H57" s="243" t="s">
        <v>359</v>
      </c>
      <c r="I57" s="243" t="s">
        <v>360</v>
      </c>
      <c r="J57" s="243" t="s">
        <v>361</v>
      </c>
      <c r="K57" s="243" t="s">
        <v>362</v>
      </c>
      <c r="L57" s="243" t="s">
        <v>363</v>
      </c>
      <c r="Q57" s="1" t="s">
        <v>391</v>
      </c>
    </row>
    <row r="58" spans="2:24" ht="19.5" thickTop="1">
      <c r="B58" s="4" t="s">
        <v>320</v>
      </c>
      <c r="C58" s="61">
        <f>O67</f>
        <v>2970.0000000000005</v>
      </c>
      <c r="D58" s="61">
        <v>0</v>
      </c>
      <c r="E58" s="61">
        <f>O74</f>
        <v>2255</v>
      </c>
      <c r="F58" s="61">
        <v>0</v>
      </c>
      <c r="G58" s="61">
        <f>O81</f>
        <v>2255</v>
      </c>
      <c r="H58" s="61">
        <v>0</v>
      </c>
      <c r="I58" s="61">
        <v>0</v>
      </c>
      <c r="J58" s="61">
        <v>0</v>
      </c>
      <c r="K58" s="61">
        <v>0</v>
      </c>
      <c r="L58" s="61">
        <v>0</v>
      </c>
      <c r="Q58" s="1" t="s">
        <v>392</v>
      </c>
      <c r="X58" s="72"/>
    </row>
    <row r="59" spans="2:24">
      <c r="B59" s="18" t="s">
        <v>315</v>
      </c>
      <c r="C59" s="61">
        <f>C66+C73+C80</f>
        <v>2821.5000000000005</v>
      </c>
      <c r="D59" s="61">
        <f>D66+D73+D80</f>
        <v>2524.5000000000005</v>
      </c>
      <c r="E59" s="61">
        <f t="shared" ref="E59:L59" si="18">E66+E73+E80</f>
        <v>3775.75</v>
      </c>
      <c r="F59" s="61">
        <f t="shared" si="18"/>
        <v>3104.75</v>
      </c>
      <c r="G59" s="61">
        <f t="shared" si="18"/>
        <v>3679.5</v>
      </c>
      <c r="H59" s="61">
        <f t="shared" si="18"/>
        <v>2818.75</v>
      </c>
      <c r="I59" s="61">
        <f t="shared" si="18"/>
        <v>1465.75</v>
      </c>
      <c r="J59" s="61">
        <f t="shared" si="18"/>
        <v>902</v>
      </c>
      <c r="K59" s="61">
        <f t="shared" si="18"/>
        <v>225.49999999999989</v>
      </c>
      <c r="L59" s="61">
        <f t="shared" si="18"/>
        <v>0</v>
      </c>
      <c r="Q59" s="71"/>
      <c r="R59" s="71"/>
      <c r="S59" s="71"/>
    </row>
    <row r="60" spans="2:24" ht="19.5" thickBot="1">
      <c r="B60" s="399" t="s">
        <v>316</v>
      </c>
      <c r="C60" s="400">
        <f>C65+C72+C79</f>
        <v>148.50000000000003</v>
      </c>
      <c r="D60" s="400">
        <f>D65+D72+D79</f>
        <v>297</v>
      </c>
      <c r="E60" s="400">
        <f t="shared" ref="E60:L60" si="19">E65+E72+E79</f>
        <v>1003.7500000000002</v>
      </c>
      <c r="F60" s="400">
        <f t="shared" si="19"/>
        <v>670.99999999999989</v>
      </c>
      <c r="G60" s="400">
        <f t="shared" si="19"/>
        <v>1680.2500000000005</v>
      </c>
      <c r="H60" s="400">
        <f t="shared" si="19"/>
        <v>860.75</v>
      </c>
      <c r="I60" s="400">
        <f t="shared" si="19"/>
        <v>1353.0000000000002</v>
      </c>
      <c r="J60" s="400">
        <f t="shared" si="19"/>
        <v>563.74999999999989</v>
      </c>
      <c r="K60" s="400">
        <f t="shared" si="19"/>
        <v>676.50000000000011</v>
      </c>
      <c r="L60" s="400">
        <f t="shared" si="19"/>
        <v>225.49999999999994</v>
      </c>
      <c r="Q60" s="71"/>
      <c r="R60" s="71"/>
      <c r="S60"/>
    </row>
    <row r="61" spans="2:24">
      <c r="Q61" s="72"/>
      <c r="R61" s="75"/>
      <c r="S61" s="72"/>
    </row>
    <row r="62" spans="2:24">
      <c r="B62" s="134" t="s">
        <v>381</v>
      </c>
      <c r="C62" s="129"/>
      <c r="D62" s="129"/>
      <c r="E62" s="129"/>
      <c r="F62" s="129"/>
      <c r="G62" s="129"/>
      <c r="H62" s="129"/>
      <c r="I62" s="129"/>
      <c r="J62" s="129"/>
      <c r="K62" s="129"/>
      <c r="L62" s="129"/>
      <c r="M62" s="77"/>
      <c r="N62" s="134" t="s">
        <v>369</v>
      </c>
      <c r="O62" s="174"/>
      <c r="Q62" s="71" t="s">
        <v>764</v>
      </c>
      <c r="R62" s="75"/>
      <c r="S62" s="72"/>
    </row>
    <row r="63" spans="2:24" ht="19.5" thickBot="1">
      <c r="B63" s="2" t="s">
        <v>325</v>
      </c>
      <c r="C63" s="243" t="s">
        <v>0</v>
      </c>
      <c r="D63" s="247" t="s">
        <v>54</v>
      </c>
      <c r="E63" s="243" t="s">
        <v>55</v>
      </c>
      <c r="F63" s="243" t="s">
        <v>56</v>
      </c>
      <c r="G63" s="243" t="s">
        <v>57</v>
      </c>
      <c r="H63" s="243" t="s">
        <v>359</v>
      </c>
      <c r="I63" s="243" t="s">
        <v>360</v>
      </c>
      <c r="J63" s="243" t="s">
        <v>361</v>
      </c>
      <c r="K63" s="243" t="s">
        <v>362</v>
      </c>
      <c r="L63" s="243" t="s">
        <v>363</v>
      </c>
      <c r="N63" s="248" t="s">
        <v>324</v>
      </c>
      <c r="O63" s="248"/>
      <c r="Q63" s="1" t="s">
        <v>395</v>
      </c>
      <c r="R63" s="75"/>
      <c r="S63" s="72"/>
    </row>
    <row r="64" spans="2:24" ht="19.5" thickTop="1">
      <c r="B64" s="4" t="s">
        <v>318</v>
      </c>
      <c r="C64" s="162">
        <v>0.05</v>
      </c>
      <c r="D64" s="249">
        <v>0.15</v>
      </c>
      <c r="E64" s="162">
        <v>0.45</v>
      </c>
      <c r="F64" s="162">
        <v>0.6</v>
      </c>
      <c r="G64" s="162">
        <v>0.9</v>
      </c>
      <c r="H64" s="162">
        <v>1</v>
      </c>
      <c r="I64" s="162"/>
      <c r="J64" s="162"/>
      <c r="K64" s="162"/>
      <c r="L64" s="162"/>
      <c r="M64" s="30"/>
      <c r="N64" s="1" t="s">
        <v>344</v>
      </c>
      <c r="O64" s="30">
        <v>5400</v>
      </c>
      <c r="Q64" s="72" t="s">
        <v>394</v>
      </c>
      <c r="R64" s="75"/>
      <c r="S64" s="72"/>
    </row>
    <row r="65" spans="2:29">
      <c r="B65" s="250" t="s">
        <v>346</v>
      </c>
      <c r="C65" s="251">
        <f>$O$67*C64</f>
        <v>148.50000000000003</v>
      </c>
      <c r="D65" s="252">
        <f>$O$67*(D64-C64)</f>
        <v>297</v>
      </c>
      <c r="E65" s="251">
        <f>$O$67*(E64-D64)</f>
        <v>891.00000000000023</v>
      </c>
      <c r="F65" s="251">
        <f>$O$67*(F64-E64)</f>
        <v>445.49999999999994</v>
      </c>
      <c r="G65" s="251">
        <f>$O$67*(G64-F64)</f>
        <v>891.00000000000023</v>
      </c>
      <c r="H65" s="251">
        <f>$O$67*(H64-G64)</f>
        <v>297</v>
      </c>
      <c r="I65" s="251"/>
      <c r="J65" s="251"/>
      <c r="K65" s="251"/>
      <c r="L65" s="251"/>
      <c r="M65" s="30"/>
      <c r="N65" s="6" t="s">
        <v>345</v>
      </c>
      <c r="O65" s="30">
        <v>5400</v>
      </c>
      <c r="Q65" s="72" t="s">
        <v>414</v>
      </c>
      <c r="R65" s="75"/>
      <c r="S65" s="72"/>
    </row>
    <row r="66" spans="2:29">
      <c r="B66" s="250" t="s">
        <v>347</v>
      </c>
      <c r="C66" s="251">
        <f>$O$67-C65</f>
        <v>2821.5000000000005</v>
      </c>
      <c r="D66" s="252">
        <f>C66-D65</f>
        <v>2524.5000000000005</v>
      </c>
      <c r="E66" s="251">
        <f t="shared" ref="E66:H66" si="20">D66-E65</f>
        <v>1633.5000000000002</v>
      </c>
      <c r="F66" s="251">
        <f t="shared" si="20"/>
        <v>1188.0000000000002</v>
      </c>
      <c r="G66" s="251">
        <f t="shared" si="20"/>
        <v>297</v>
      </c>
      <c r="H66" s="251">
        <f t="shared" si="20"/>
        <v>0</v>
      </c>
      <c r="I66" s="251"/>
      <c r="J66" s="251"/>
      <c r="K66" s="251"/>
      <c r="L66" s="251"/>
      <c r="M66" s="31"/>
      <c r="N66" s="6" t="s">
        <v>356</v>
      </c>
      <c r="O66" s="31">
        <v>0.55000000000000004</v>
      </c>
      <c r="Q66" s="72"/>
      <c r="R66" s="75"/>
      <c r="S66" s="72"/>
    </row>
    <row r="67" spans="2:29" ht="19.5" thickBot="1">
      <c r="B67" s="394" t="s">
        <v>358</v>
      </c>
      <c r="C67" s="395" t="s">
        <v>762</v>
      </c>
      <c r="D67" s="396" t="s">
        <v>763</v>
      </c>
      <c r="E67" s="395" t="s">
        <v>385</v>
      </c>
      <c r="F67" s="395" t="s">
        <v>386</v>
      </c>
      <c r="G67" s="395" t="s">
        <v>387</v>
      </c>
      <c r="H67" s="395" t="s">
        <v>388</v>
      </c>
      <c r="I67" s="395"/>
      <c r="J67" s="395"/>
      <c r="K67" s="395"/>
      <c r="L67" s="395"/>
      <c r="M67" s="30"/>
      <c r="N67" s="397" t="s">
        <v>357</v>
      </c>
      <c r="O67" s="398">
        <f>O65*O66</f>
        <v>2970.0000000000005</v>
      </c>
      <c r="Q67" s="72"/>
      <c r="R67" s="75"/>
      <c r="S67" s="72"/>
    </row>
    <row r="68" spans="2:29">
      <c r="B68" s="72"/>
      <c r="C68" s="72"/>
      <c r="D68" s="72"/>
      <c r="E68" s="72"/>
      <c r="F68" s="72"/>
      <c r="G68" s="72"/>
      <c r="H68" s="72"/>
      <c r="I68" s="72"/>
      <c r="J68" s="72"/>
      <c r="K68" s="72"/>
      <c r="L68" s="72"/>
      <c r="M68" s="72"/>
      <c r="N68" s="72"/>
      <c r="O68" s="72"/>
    </row>
    <row r="69" spans="2:29">
      <c r="B69" s="134" t="s">
        <v>380</v>
      </c>
      <c r="C69" s="129"/>
      <c r="D69" s="129"/>
      <c r="E69" s="129"/>
      <c r="F69" s="129"/>
      <c r="G69" s="129"/>
      <c r="H69" s="129"/>
      <c r="I69" s="129"/>
      <c r="J69" s="129"/>
      <c r="K69" s="129"/>
      <c r="L69" s="129"/>
      <c r="M69" s="77"/>
      <c r="N69" s="134" t="s">
        <v>369</v>
      </c>
      <c r="O69" s="174"/>
      <c r="Q69" s="71" t="s">
        <v>396</v>
      </c>
    </row>
    <row r="70" spans="2:29" ht="19.5" thickBot="1">
      <c r="B70" s="2" t="s">
        <v>325</v>
      </c>
      <c r="C70" s="243" t="s">
        <v>0</v>
      </c>
      <c r="D70" s="243" t="s">
        <v>54</v>
      </c>
      <c r="E70" s="247" t="s">
        <v>55</v>
      </c>
      <c r="F70" s="243" t="s">
        <v>56</v>
      </c>
      <c r="G70" s="243" t="s">
        <v>57</v>
      </c>
      <c r="H70" s="243" t="s">
        <v>359</v>
      </c>
      <c r="I70" s="243" t="s">
        <v>360</v>
      </c>
      <c r="J70" s="243" t="s">
        <v>361</v>
      </c>
      <c r="K70" s="243" t="s">
        <v>362</v>
      </c>
      <c r="L70" s="243" t="s">
        <v>363</v>
      </c>
      <c r="N70" s="248" t="s">
        <v>324</v>
      </c>
      <c r="O70" s="248"/>
      <c r="Q70" s="72" t="s">
        <v>408</v>
      </c>
      <c r="R70" s="75"/>
      <c r="S70" s="72"/>
    </row>
    <row r="71" spans="2:29" ht="19.5" thickTop="1">
      <c r="B71" s="4" t="s">
        <v>318</v>
      </c>
      <c r="C71" s="162"/>
      <c r="D71" s="253"/>
      <c r="E71" s="249">
        <v>0.05</v>
      </c>
      <c r="F71" s="162">
        <v>0.15</v>
      </c>
      <c r="G71" s="162">
        <v>0.45</v>
      </c>
      <c r="H71" s="162">
        <v>0.6</v>
      </c>
      <c r="I71" s="162">
        <v>0.9</v>
      </c>
      <c r="J71" s="162">
        <v>1</v>
      </c>
      <c r="K71" s="162"/>
      <c r="L71" s="162"/>
      <c r="M71" s="30"/>
      <c r="N71" s="1" t="s">
        <v>344</v>
      </c>
      <c r="O71" s="30">
        <v>4100</v>
      </c>
      <c r="Q71" s="1" t="s">
        <v>409</v>
      </c>
      <c r="U71" s="72"/>
      <c r="V71" s="72"/>
      <c r="W71" s="72"/>
      <c r="X71" s="72"/>
      <c r="Y71" s="72"/>
      <c r="Z71" s="72"/>
      <c r="AA71" s="72"/>
      <c r="AB71" s="72"/>
      <c r="AC71" s="72"/>
    </row>
    <row r="72" spans="2:29">
      <c r="B72" s="250" t="s">
        <v>346</v>
      </c>
      <c r="C72" s="251"/>
      <c r="D72" s="30"/>
      <c r="E72" s="252">
        <f>O74*E71</f>
        <v>112.75</v>
      </c>
      <c r="F72" s="251">
        <f>$O$74*(F71-E71)</f>
        <v>225.49999999999997</v>
      </c>
      <c r="G72" s="251">
        <f>$O$74*(G71-F71)</f>
        <v>676.50000000000011</v>
      </c>
      <c r="H72" s="251">
        <f>$O$74*(H71-G71)</f>
        <v>338.24999999999994</v>
      </c>
      <c r="I72" s="251">
        <f>$O$74*(I71-H71)</f>
        <v>676.50000000000011</v>
      </c>
      <c r="J72" s="251">
        <f>$O$74*(J71-I71)</f>
        <v>225.49999999999994</v>
      </c>
      <c r="K72" s="251"/>
      <c r="L72" s="251"/>
      <c r="M72" s="30"/>
      <c r="N72" s="6" t="s">
        <v>345</v>
      </c>
      <c r="O72" s="30">
        <v>4100</v>
      </c>
      <c r="Q72" s="1" t="s">
        <v>398</v>
      </c>
      <c r="R72" s="72"/>
      <c r="S72" s="72"/>
      <c r="T72" s="72"/>
      <c r="U72" s="72"/>
      <c r="V72" s="72"/>
      <c r="W72" s="72"/>
      <c r="X72" s="72"/>
      <c r="Y72" s="72"/>
      <c r="Z72" s="72"/>
      <c r="AA72" s="72"/>
      <c r="AB72" s="72"/>
      <c r="AC72" s="72"/>
    </row>
    <row r="73" spans="2:29">
      <c r="B73" s="250" t="s">
        <v>347</v>
      </c>
      <c r="C73" s="251"/>
      <c r="D73" s="30"/>
      <c r="E73" s="252">
        <f>O74-E72</f>
        <v>2142.25</v>
      </c>
      <c r="F73" s="251">
        <f>E73-F72</f>
        <v>1916.75</v>
      </c>
      <c r="G73" s="251">
        <f t="shared" ref="G73:J73" si="21">F73-G72</f>
        <v>1240.25</v>
      </c>
      <c r="H73" s="251">
        <f t="shared" si="21"/>
        <v>902</v>
      </c>
      <c r="I73" s="251">
        <f t="shared" si="21"/>
        <v>225.49999999999989</v>
      </c>
      <c r="J73" s="251">
        <f t="shared" si="21"/>
        <v>0</v>
      </c>
      <c r="K73" s="251"/>
      <c r="L73" s="251"/>
      <c r="M73" s="31"/>
      <c r="N73" s="6" t="s">
        <v>356</v>
      </c>
      <c r="O73" s="31">
        <v>0.55000000000000004</v>
      </c>
      <c r="Q73" s="1" t="s">
        <v>397</v>
      </c>
      <c r="R73" s="72"/>
      <c r="S73" s="72"/>
      <c r="T73" s="72"/>
      <c r="U73" s="72"/>
      <c r="V73" s="72"/>
      <c r="W73" s="72"/>
      <c r="X73" s="72"/>
      <c r="Y73" s="72"/>
      <c r="Z73" s="72"/>
      <c r="AA73" s="72"/>
      <c r="AB73" s="72"/>
      <c r="AC73" s="72"/>
    </row>
    <row r="74" spans="2:29" ht="19.5" thickBot="1">
      <c r="B74" s="394" t="s">
        <v>358</v>
      </c>
      <c r="C74" s="395"/>
      <c r="D74" s="395"/>
      <c r="E74" s="396" t="s">
        <v>383</v>
      </c>
      <c r="F74" s="395" t="s">
        <v>384</v>
      </c>
      <c r="G74" s="395" t="s">
        <v>385</v>
      </c>
      <c r="H74" s="395" t="s">
        <v>386</v>
      </c>
      <c r="I74" s="395" t="s">
        <v>387</v>
      </c>
      <c r="J74" s="395" t="s">
        <v>388</v>
      </c>
      <c r="K74" s="395"/>
      <c r="L74" s="395"/>
      <c r="M74" s="30"/>
      <c r="N74" s="397" t="s">
        <v>357</v>
      </c>
      <c r="O74" s="398">
        <f>O72*O73</f>
        <v>2255</v>
      </c>
    </row>
    <row r="75" spans="2:29">
      <c r="B75" s="72"/>
      <c r="C75" s="72"/>
      <c r="D75" s="72"/>
      <c r="E75" s="72"/>
      <c r="F75" s="72"/>
      <c r="G75" s="73"/>
      <c r="H75" s="72"/>
      <c r="I75" s="72"/>
      <c r="J75" s="72"/>
      <c r="K75" s="72"/>
      <c r="L75" s="72"/>
      <c r="M75" s="72"/>
      <c r="N75" s="72"/>
      <c r="O75" s="72"/>
    </row>
    <row r="76" spans="2:29">
      <c r="B76" s="134" t="s">
        <v>382</v>
      </c>
      <c r="C76" s="129"/>
      <c r="D76" s="129"/>
      <c r="E76" s="129"/>
      <c r="F76" s="129"/>
      <c r="G76" s="129"/>
      <c r="H76" s="129"/>
      <c r="I76" s="129"/>
      <c r="J76" s="129"/>
      <c r="K76" s="129"/>
      <c r="L76" s="129"/>
      <c r="M76" s="77"/>
      <c r="N76" s="134" t="s">
        <v>369</v>
      </c>
      <c r="O76" s="174"/>
    </row>
    <row r="77" spans="2:29" ht="19.5" thickBot="1">
      <c r="B77" s="2" t="s">
        <v>325</v>
      </c>
      <c r="C77" s="243" t="s">
        <v>0</v>
      </c>
      <c r="D77" s="243" t="s">
        <v>54</v>
      </c>
      <c r="E77" s="243" t="s">
        <v>55</v>
      </c>
      <c r="F77" s="243" t="s">
        <v>56</v>
      </c>
      <c r="G77" s="247" t="s">
        <v>57</v>
      </c>
      <c r="H77" s="243" t="s">
        <v>359</v>
      </c>
      <c r="I77" s="243" t="s">
        <v>360</v>
      </c>
      <c r="J77" s="243" t="s">
        <v>361</v>
      </c>
      <c r="K77" s="243" t="s">
        <v>362</v>
      </c>
      <c r="L77" s="243" t="s">
        <v>363</v>
      </c>
      <c r="N77" s="248" t="s">
        <v>324</v>
      </c>
      <c r="O77" s="248"/>
    </row>
    <row r="78" spans="2:29" ht="19.5" thickTop="1">
      <c r="B78" s="4" t="s">
        <v>318</v>
      </c>
      <c r="C78" s="162"/>
      <c r="D78" s="253"/>
      <c r="E78" s="162"/>
      <c r="F78" s="162"/>
      <c r="G78" s="249">
        <v>0.05</v>
      </c>
      <c r="H78" s="162">
        <v>0.15</v>
      </c>
      <c r="I78" s="162">
        <v>0.45</v>
      </c>
      <c r="J78" s="162">
        <v>0.6</v>
      </c>
      <c r="K78" s="162">
        <v>0.9</v>
      </c>
      <c r="L78" s="162">
        <v>1</v>
      </c>
      <c r="M78" s="30"/>
      <c r="N78" s="1" t="s">
        <v>344</v>
      </c>
      <c r="O78" s="30">
        <v>4100</v>
      </c>
    </row>
    <row r="79" spans="2:29">
      <c r="B79" s="250" t="s">
        <v>346</v>
      </c>
      <c r="C79" s="251"/>
      <c r="D79" s="30"/>
      <c r="E79" s="251"/>
      <c r="F79" s="251"/>
      <c r="G79" s="252">
        <f>O81*G78</f>
        <v>112.75</v>
      </c>
      <c r="H79" s="251">
        <f>$O$81*(H78-G78)</f>
        <v>225.49999999999997</v>
      </c>
      <c r="I79" s="251">
        <f>$O$81*(I78-H78)</f>
        <v>676.50000000000011</v>
      </c>
      <c r="J79" s="251">
        <f>$O$81*(J78-I78)</f>
        <v>338.24999999999994</v>
      </c>
      <c r="K79" s="251">
        <f>$O$81*(K78-J78)</f>
        <v>676.50000000000011</v>
      </c>
      <c r="L79" s="251">
        <f>$O$81*(L78-K78)</f>
        <v>225.49999999999994</v>
      </c>
      <c r="M79" s="30"/>
      <c r="N79" s="6" t="s">
        <v>345</v>
      </c>
      <c r="O79" s="30">
        <v>4100</v>
      </c>
    </row>
    <row r="80" spans="2:29">
      <c r="B80" s="250" t="s">
        <v>347</v>
      </c>
      <c r="C80" s="251"/>
      <c r="D80" s="30"/>
      <c r="E80" s="251"/>
      <c r="F80" s="251"/>
      <c r="G80" s="252">
        <f>O81-G79</f>
        <v>2142.25</v>
      </c>
      <c r="H80" s="251">
        <f>G80-H79</f>
        <v>1916.75</v>
      </c>
      <c r="I80" s="251">
        <f t="shared" ref="I80" si="22">H80-I79</f>
        <v>1240.25</v>
      </c>
      <c r="J80" s="251">
        <f t="shared" ref="J80" si="23">I80-J79</f>
        <v>902</v>
      </c>
      <c r="K80" s="251">
        <f t="shared" ref="K80" si="24">J80-K79</f>
        <v>225.49999999999989</v>
      </c>
      <c r="L80" s="251">
        <f t="shared" ref="L80" si="25">K80-L79</f>
        <v>0</v>
      </c>
      <c r="M80" s="31"/>
      <c r="N80" s="6" t="s">
        <v>356</v>
      </c>
      <c r="O80" s="31">
        <v>0.55000000000000004</v>
      </c>
    </row>
    <row r="81" spans="2:15" ht="19.5" thickBot="1">
      <c r="B81" s="394" t="s">
        <v>358</v>
      </c>
      <c r="C81" s="395"/>
      <c r="D81" s="395"/>
      <c r="E81" s="395"/>
      <c r="F81" s="395"/>
      <c r="G81" s="396" t="s">
        <v>383</v>
      </c>
      <c r="H81" s="395" t="s">
        <v>384</v>
      </c>
      <c r="I81" s="395" t="s">
        <v>385</v>
      </c>
      <c r="J81" s="395" t="s">
        <v>386</v>
      </c>
      <c r="K81" s="395" t="s">
        <v>387</v>
      </c>
      <c r="L81" s="395" t="s">
        <v>388</v>
      </c>
      <c r="M81" s="30"/>
      <c r="N81" s="397" t="s">
        <v>357</v>
      </c>
      <c r="O81" s="398">
        <f>O79*O80</f>
        <v>2255</v>
      </c>
    </row>
    <row r="84" spans="2:15" s="129" customFormat="1">
      <c r="B84" s="134" t="s">
        <v>393</v>
      </c>
    </row>
    <row r="87" spans="2:15">
      <c r="B87" s="198" t="s">
        <v>416</v>
      </c>
      <c r="C87" s="129"/>
      <c r="D87" s="129"/>
      <c r="E87" s="129"/>
      <c r="F87" s="129"/>
      <c r="G87" s="129"/>
      <c r="H87" s="129"/>
      <c r="J87" s="134" t="s">
        <v>415</v>
      </c>
      <c r="K87" s="134"/>
      <c r="L87" s="134"/>
      <c r="M87" s="134"/>
      <c r="N87" s="134"/>
    </row>
    <row r="88" spans="2:15">
      <c r="B88" s="199" t="s">
        <v>417</v>
      </c>
      <c r="C88" s="199" t="s">
        <v>295</v>
      </c>
      <c r="D88" s="199" t="s">
        <v>346</v>
      </c>
      <c r="E88" s="199" t="s">
        <v>347</v>
      </c>
      <c r="F88" s="199" t="s">
        <v>371</v>
      </c>
      <c r="G88" s="485" t="s">
        <v>418</v>
      </c>
      <c r="H88" s="485"/>
      <c r="J88" s="485" t="s">
        <v>370</v>
      </c>
      <c r="K88" s="485"/>
      <c r="L88" s="199" t="s">
        <v>371</v>
      </c>
      <c r="M88" s="199"/>
      <c r="N88" s="199" t="s">
        <v>438</v>
      </c>
      <c r="O88" s="202"/>
    </row>
    <row r="89" spans="2:15">
      <c r="B89" s="221">
        <v>2010</v>
      </c>
      <c r="C89" s="254">
        <v>3505491</v>
      </c>
      <c r="D89" s="254">
        <v>68009</v>
      </c>
      <c r="E89" s="254">
        <v>3437481</v>
      </c>
      <c r="F89" s="255">
        <f>D89/C89</f>
        <v>1.9400705921082097E-2</v>
      </c>
      <c r="G89" s="486" t="s">
        <v>419</v>
      </c>
      <c r="H89" s="486"/>
      <c r="J89" s="489" t="s">
        <v>429</v>
      </c>
      <c r="K89" s="490"/>
      <c r="L89" s="495">
        <v>0</v>
      </c>
      <c r="M89" s="496"/>
      <c r="N89" s="86" t="s">
        <v>283</v>
      </c>
      <c r="O89" s="86"/>
    </row>
    <row r="90" spans="2:15">
      <c r="B90" s="220">
        <v>2011</v>
      </c>
      <c r="C90" s="254">
        <v>3548770</v>
      </c>
      <c r="D90" s="254">
        <v>249669</v>
      </c>
      <c r="E90" s="254">
        <v>3299101</v>
      </c>
      <c r="F90" s="255">
        <f t="shared" ref="F90:F103" si="26">D90/C90</f>
        <v>7.035367183559374E-2</v>
      </c>
      <c r="G90" s="487" t="s">
        <v>349</v>
      </c>
      <c r="H90" s="487"/>
      <c r="J90" s="491" t="s">
        <v>430</v>
      </c>
      <c r="K90" s="492"/>
      <c r="L90" s="495">
        <v>0</v>
      </c>
      <c r="M90" s="496"/>
      <c r="N90" s="86" t="s">
        <v>285</v>
      </c>
      <c r="O90" s="86"/>
    </row>
    <row r="91" spans="2:15">
      <c r="B91" s="220">
        <v>2012</v>
      </c>
      <c r="C91" s="254">
        <v>3335050</v>
      </c>
      <c r="D91" s="254">
        <v>537960</v>
      </c>
      <c r="E91" s="254">
        <v>2797090</v>
      </c>
      <c r="F91" s="255">
        <f t="shared" si="26"/>
        <v>0.16130492796209953</v>
      </c>
      <c r="G91" s="487" t="s">
        <v>420</v>
      </c>
      <c r="H91" s="487"/>
      <c r="J91" s="491" t="s">
        <v>349</v>
      </c>
      <c r="K91" s="492"/>
      <c r="L91" s="495">
        <v>0.05</v>
      </c>
      <c r="M91" s="496"/>
      <c r="N91" s="86" t="s">
        <v>287</v>
      </c>
      <c r="O91" s="86"/>
    </row>
    <row r="92" spans="2:15">
      <c r="B92" s="220">
        <v>2013</v>
      </c>
      <c r="C92" s="254">
        <v>3318045</v>
      </c>
      <c r="D92" s="254">
        <v>934232</v>
      </c>
      <c r="E92" s="254">
        <v>2383814</v>
      </c>
      <c r="F92" s="255">
        <f t="shared" si="26"/>
        <v>0.28156097943216563</v>
      </c>
      <c r="G92" s="487" t="s">
        <v>421</v>
      </c>
      <c r="H92" s="487"/>
      <c r="J92" s="491" t="s">
        <v>420</v>
      </c>
      <c r="K92" s="492"/>
      <c r="L92" s="495">
        <v>0.15</v>
      </c>
      <c r="M92" s="496"/>
      <c r="N92" s="86" t="s">
        <v>289</v>
      </c>
      <c r="O92" s="86"/>
    </row>
    <row r="93" spans="2:15">
      <c r="B93" s="220">
        <v>2014</v>
      </c>
      <c r="C93" s="254">
        <v>3430662</v>
      </c>
      <c r="D93" s="254">
        <v>1517618</v>
      </c>
      <c r="E93" s="254">
        <v>1913043</v>
      </c>
      <c r="F93" s="255">
        <f t="shared" si="26"/>
        <v>0.44236884892769968</v>
      </c>
      <c r="G93" s="487" t="s">
        <v>421</v>
      </c>
      <c r="H93" s="487"/>
      <c r="J93" s="491" t="s">
        <v>431</v>
      </c>
      <c r="K93" s="492"/>
      <c r="L93" s="495">
        <v>0.45</v>
      </c>
      <c r="M93" s="496"/>
      <c r="N93" s="86" t="s">
        <v>372</v>
      </c>
      <c r="O93" s="86"/>
    </row>
    <row r="94" spans="2:15">
      <c r="B94" s="220">
        <v>2015</v>
      </c>
      <c r="C94" s="254">
        <v>3603878</v>
      </c>
      <c r="D94" s="254">
        <v>2136987</v>
      </c>
      <c r="E94" s="254">
        <v>1466891</v>
      </c>
      <c r="F94" s="255">
        <f t="shared" si="26"/>
        <v>0.59296874089522456</v>
      </c>
      <c r="G94" s="487" t="s">
        <v>422</v>
      </c>
      <c r="H94" s="487"/>
      <c r="J94" s="491" t="s">
        <v>432</v>
      </c>
      <c r="K94" s="492"/>
      <c r="L94" s="495">
        <v>0.75</v>
      </c>
      <c r="M94" s="496"/>
      <c r="N94" s="86" t="s">
        <v>373</v>
      </c>
      <c r="O94" s="86"/>
    </row>
    <row r="95" spans="2:15">
      <c r="B95" s="220">
        <v>2016</v>
      </c>
      <c r="C95" s="254">
        <v>3684879</v>
      </c>
      <c r="D95" s="254">
        <v>2795203</v>
      </c>
      <c r="E95" s="254">
        <v>889676</v>
      </c>
      <c r="F95" s="255">
        <f t="shared" si="26"/>
        <v>0.75856032179075628</v>
      </c>
      <c r="G95" s="487" t="s">
        <v>422</v>
      </c>
      <c r="H95" s="487"/>
      <c r="J95" s="491" t="s">
        <v>423</v>
      </c>
      <c r="K95" s="492"/>
      <c r="L95" s="495">
        <v>0.9</v>
      </c>
      <c r="M95" s="496"/>
      <c r="N95" s="86" t="s">
        <v>374</v>
      </c>
      <c r="O95" s="86"/>
    </row>
    <row r="96" spans="2:15" ht="19.5" thickBot="1">
      <c r="B96" s="220">
        <v>2017</v>
      </c>
      <c r="C96" s="254">
        <v>3609674</v>
      </c>
      <c r="D96" s="254">
        <v>3257569</v>
      </c>
      <c r="E96" s="254">
        <v>352106</v>
      </c>
      <c r="F96" s="255">
        <f t="shared" si="26"/>
        <v>0.90245518016308401</v>
      </c>
      <c r="G96" s="487" t="s">
        <v>423</v>
      </c>
      <c r="H96" s="487"/>
      <c r="J96" s="493" t="s">
        <v>364</v>
      </c>
      <c r="K96" s="494"/>
      <c r="L96" s="497">
        <v>1</v>
      </c>
      <c r="M96" s="498"/>
      <c r="N96" s="370" t="s">
        <v>375</v>
      </c>
      <c r="O96" s="86"/>
    </row>
    <row r="97" spans="2:12">
      <c r="B97" s="220">
        <v>2018</v>
      </c>
      <c r="C97" s="254">
        <v>3824794</v>
      </c>
      <c r="D97" s="254">
        <v>3563850</v>
      </c>
      <c r="E97" s="254">
        <v>260944</v>
      </c>
      <c r="F97" s="255">
        <f t="shared" si="26"/>
        <v>0.93177567210155632</v>
      </c>
      <c r="G97" s="487" t="s">
        <v>424</v>
      </c>
      <c r="H97" s="487"/>
      <c r="J97" s="1" t="s">
        <v>439</v>
      </c>
    </row>
    <row r="98" spans="2:12">
      <c r="B98" s="220">
        <v>2019</v>
      </c>
      <c r="C98" s="254">
        <v>3878898</v>
      </c>
      <c r="D98" s="254">
        <v>3689820</v>
      </c>
      <c r="E98" s="254">
        <v>189078</v>
      </c>
      <c r="F98" s="255">
        <f t="shared" si="26"/>
        <v>0.95125471203419121</v>
      </c>
      <c r="G98" s="487" t="s">
        <v>424</v>
      </c>
      <c r="H98" s="487"/>
    </row>
    <row r="99" spans="2:12">
      <c r="B99" s="220">
        <v>2020</v>
      </c>
      <c r="C99" s="254">
        <v>3976244</v>
      </c>
      <c r="D99" s="254">
        <v>3842371</v>
      </c>
      <c r="E99" s="254">
        <v>133873</v>
      </c>
      <c r="F99" s="255">
        <f t="shared" si="26"/>
        <v>0.96633179452770002</v>
      </c>
      <c r="G99" s="487" t="s">
        <v>424</v>
      </c>
      <c r="H99" s="487"/>
    </row>
    <row r="100" spans="2:12">
      <c r="B100" s="220">
        <v>2021</v>
      </c>
      <c r="C100" s="254">
        <v>3976244</v>
      </c>
      <c r="D100" s="254">
        <v>3842371</v>
      </c>
      <c r="E100" s="254">
        <v>133873</v>
      </c>
      <c r="F100" s="255">
        <f t="shared" si="26"/>
        <v>0.96633179452770002</v>
      </c>
      <c r="G100" s="487" t="s">
        <v>424</v>
      </c>
      <c r="H100" s="487"/>
      <c r="J100" s="134" t="s">
        <v>389</v>
      </c>
      <c r="K100" s="134"/>
      <c r="L100" s="134"/>
    </row>
    <row r="101" spans="2:12">
      <c r="B101" s="220">
        <v>2022</v>
      </c>
      <c r="C101" s="254">
        <v>4010027</v>
      </c>
      <c r="D101" s="254">
        <v>3958821</v>
      </c>
      <c r="E101" s="254">
        <v>51205</v>
      </c>
      <c r="F101" s="255">
        <f t="shared" si="26"/>
        <v>0.98723050991925987</v>
      </c>
      <c r="G101" s="487" t="s">
        <v>424</v>
      </c>
      <c r="H101" s="487"/>
      <c r="J101" s="199" t="s">
        <v>370</v>
      </c>
      <c r="K101" s="199" t="s">
        <v>371</v>
      </c>
      <c r="L101" s="199" t="s">
        <v>438</v>
      </c>
    </row>
    <row r="102" spans="2:12">
      <c r="B102" s="220">
        <v>2023</v>
      </c>
      <c r="C102" s="254">
        <v>4111180</v>
      </c>
      <c r="D102" s="254">
        <v>4087436</v>
      </c>
      <c r="E102" s="254">
        <v>23744</v>
      </c>
      <c r="F102" s="255">
        <f t="shared" si="26"/>
        <v>0.99422452921059157</v>
      </c>
      <c r="G102" s="487" t="s">
        <v>424</v>
      </c>
      <c r="H102" s="487"/>
      <c r="J102" s="200" t="s">
        <v>433</v>
      </c>
      <c r="K102" s="75">
        <v>0.05</v>
      </c>
      <c r="L102" s="86" t="s">
        <v>283</v>
      </c>
    </row>
    <row r="103" spans="2:12" ht="19.5" thickBot="1">
      <c r="B103" s="419">
        <v>2024</v>
      </c>
      <c r="C103" s="420">
        <v>4134902</v>
      </c>
      <c r="D103" s="420">
        <v>4127121</v>
      </c>
      <c r="E103" s="420">
        <v>7781</v>
      </c>
      <c r="F103" s="421">
        <f t="shared" si="26"/>
        <v>0.99811821416807456</v>
      </c>
      <c r="G103" s="488" t="s">
        <v>425</v>
      </c>
      <c r="H103" s="488"/>
      <c r="J103" s="201" t="s">
        <v>434</v>
      </c>
      <c r="K103" s="75">
        <v>0.15</v>
      </c>
      <c r="L103" s="86" t="s">
        <v>285</v>
      </c>
    </row>
    <row r="104" spans="2:12">
      <c r="B104" s="1" t="s">
        <v>426</v>
      </c>
      <c r="J104" s="201" t="s">
        <v>435</v>
      </c>
      <c r="K104" s="75">
        <v>0.45</v>
      </c>
      <c r="L104" s="86" t="s">
        <v>287</v>
      </c>
    </row>
    <row r="105" spans="2:12">
      <c r="J105" s="201" t="s">
        <v>436</v>
      </c>
      <c r="K105" s="75">
        <v>0.6</v>
      </c>
      <c r="L105" s="86" t="s">
        <v>289</v>
      </c>
    </row>
    <row r="106" spans="2:12">
      <c r="J106" s="201" t="s">
        <v>437</v>
      </c>
      <c r="K106" s="75">
        <v>0.9</v>
      </c>
      <c r="L106" s="86" t="s">
        <v>296</v>
      </c>
    </row>
    <row r="107" spans="2:12">
      <c r="J107" s="201" t="s">
        <v>424</v>
      </c>
      <c r="K107" s="75">
        <v>0.95</v>
      </c>
      <c r="L107" s="86" t="s">
        <v>390</v>
      </c>
    </row>
    <row r="108" spans="2:12" ht="19.5" thickBot="1">
      <c r="J108" s="422" t="s">
        <v>425</v>
      </c>
      <c r="K108" s="423">
        <v>1</v>
      </c>
      <c r="L108" s="370" t="s">
        <v>390</v>
      </c>
    </row>
    <row r="109" spans="2:12">
      <c r="J109" s="1" t="s">
        <v>440</v>
      </c>
    </row>
    <row r="110" spans="2:12">
      <c r="B110" s="71"/>
      <c r="C110" s="71"/>
      <c r="D110"/>
    </row>
    <row r="111" spans="2:12">
      <c r="B111" s="72"/>
      <c r="C111" s="75"/>
      <c r="D111" s="72"/>
    </row>
    <row r="112" spans="2:12">
      <c r="B112" s="72"/>
      <c r="C112" s="75"/>
      <c r="D112" s="72"/>
    </row>
    <row r="113" spans="2:4">
      <c r="B113" s="72"/>
      <c r="C113" s="75"/>
      <c r="D113" s="72"/>
    </row>
    <row r="114" spans="2:4">
      <c r="B114" s="72"/>
      <c r="C114" s="75"/>
      <c r="D114" s="72"/>
    </row>
    <row r="115" spans="2:4">
      <c r="B115" s="72"/>
      <c r="C115" s="75"/>
      <c r="D115" s="72"/>
    </row>
    <row r="116" spans="2:4">
      <c r="B116" s="72"/>
      <c r="C116" s="75"/>
      <c r="D116" s="72"/>
    </row>
    <row r="117" spans="2:4">
      <c r="B117" s="72"/>
      <c r="C117" s="75"/>
      <c r="D117" s="72"/>
    </row>
  </sheetData>
  <mergeCells count="34">
    <mergeCell ref="L93:M93"/>
    <mergeCell ref="L94:M94"/>
    <mergeCell ref="L95:M95"/>
    <mergeCell ref="L96:M96"/>
    <mergeCell ref="L89:M89"/>
    <mergeCell ref="L90:M90"/>
    <mergeCell ref="L91:M91"/>
    <mergeCell ref="L92:M92"/>
    <mergeCell ref="G102:H102"/>
    <mergeCell ref="G103:H103"/>
    <mergeCell ref="J88:K88"/>
    <mergeCell ref="J89:K89"/>
    <mergeCell ref="J90:K90"/>
    <mergeCell ref="J91:K91"/>
    <mergeCell ref="J92:K92"/>
    <mergeCell ref="J93:K93"/>
    <mergeCell ref="J94:K94"/>
    <mergeCell ref="J95:K95"/>
    <mergeCell ref="J96:K96"/>
    <mergeCell ref="G97:H97"/>
    <mergeCell ref="G98:H98"/>
    <mergeCell ref="G99:H99"/>
    <mergeCell ref="G100:H100"/>
    <mergeCell ref="G101:H101"/>
    <mergeCell ref="G92:H92"/>
    <mergeCell ref="G93:H93"/>
    <mergeCell ref="G94:H94"/>
    <mergeCell ref="G95:H95"/>
    <mergeCell ref="G96:H96"/>
    <mergeCell ref="B1:D2"/>
    <mergeCell ref="G88:H88"/>
    <mergeCell ref="G89:H89"/>
    <mergeCell ref="G90:H90"/>
    <mergeCell ref="G91:H91"/>
  </mergeCells>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BE6D8-F803-4EBB-BEBA-C3E6CF997D72}">
  <dimension ref="B1:V35"/>
  <sheetViews>
    <sheetView showGridLines="0" zoomScaleNormal="100" workbookViewId="0"/>
  </sheetViews>
  <sheetFormatPr defaultColWidth="8.75" defaultRowHeight="18.75"/>
  <cols>
    <col min="1" max="1" width="8.75" style="1"/>
    <col min="2" max="2" width="17.75" style="1" customWidth="1"/>
    <col min="3" max="12" width="11.125" style="1" customWidth="1"/>
    <col min="13" max="14" width="10.125" style="1" bestFit="1" customWidth="1"/>
    <col min="15" max="16384" width="8.75" style="1"/>
  </cols>
  <sheetData>
    <row r="1" spans="2:14" s="131" customFormat="1">
      <c r="B1" s="480" t="s">
        <v>51</v>
      </c>
      <c r="C1" s="482"/>
      <c r="D1" s="482"/>
      <c r="E1" s="482"/>
      <c r="F1" s="130"/>
    </row>
    <row r="2" spans="2:14" s="131" customFormat="1">
      <c r="B2" s="482"/>
      <c r="C2" s="482"/>
      <c r="D2" s="482"/>
      <c r="E2" s="482"/>
      <c r="F2" s="130"/>
    </row>
    <row r="5" spans="2:14">
      <c r="B5" s="134" t="s">
        <v>326</v>
      </c>
      <c r="C5" s="132"/>
      <c r="D5" s="132"/>
      <c r="E5" s="132"/>
      <c r="F5" s="132"/>
      <c r="G5" s="132"/>
      <c r="H5" s="132"/>
      <c r="I5" s="132"/>
      <c r="J5" s="132"/>
      <c r="K5" s="132"/>
      <c r="L5" s="132"/>
    </row>
    <row r="6" spans="2:14" ht="19.5" thickBot="1">
      <c r="B6" s="2" t="s">
        <v>325</v>
      </c>
      <c r="C6" s="3">
        <v>2020</v>
      </c>
      <c r="D6" s="3">
        <v>2021</v>
      </c>
      <c r="E6" s="3">
        <v>2022</v>
      </c>
      <c r="F6" s="3">
        <v>2023</v>
      </c>
      <c r="G6" s="3">
        <v>2024</v>
      </c>
      <c r="H6" s="3" t="s">
        <v>0</v>
      </c>
      <c r="I6" s="3" t="s">
        <v>54</v>
      </c>
      <c r="J6" s="3" t="s">
        <v>55</v>
      </c>
      <c r="K6" s="3" t="s">
        <v>56</v>
      </c>
      <c r="L6" s="3" t="s">
        <v>57</v>
      </c>
      <c r="N6" s="256" t="s">
        <v>765</v>
      </c>
    </row>
    <row r="7" spans="2:14" ht="19.5" thickTop="1">
      <c r="B7" s="4" t="s">
        <v>91</v>
      </c>
      <c r="C7" s="60">
        <v>3930.32</v>
      </c>
      <c r="D7" s="60">
        <v>2104.7999999999997</v>
      </c>
      <c r="E7" s="60">
        <v>3849.422</v>
      </c>
      <c r="F7" s="60">
        <v>3427.8639999999996</v>
      </c>
      <c r="G7" s="67">
        <v>2962.0160000000001</v>
      </c>
      <c r="H7" s="61">
        <f>AVERAGE(E7:G7)</f>
        <v>3413.1006666666667</v>
      </c>
      <c r="I7" s="61">
        <f t="shared" ref="I7:L7" si="0">AVERAGE(F7:H7)</f>
        <v>3267.6602222222223</v>
      </c>
      <c r="J7" s="61">
        <f t="shared" si="0"/>
        <v>3214.2589629629633</v>
      </c>
      <c r="K7" s="61">
        <f t="shared" si="0"/>
        <v>3298.3399506172841</v>
      </c>
      <c r="L7" s="61">
        <f t="shared" si="0"/>
        <v>3260.0863786008231</v>
      </c>
    </row>
    <row r="8" spans="2:14" ht="19.5" thickBot="1">
      <c r="B8" s="401" t="s">
        <v>2</v>
      </c>
      <c r="C8" s="402">
        <v>794.06100000000004</v>
      </c>
      <c r="D8" s="402">
        <v>1128.385</v>
      </c>
      <c r="E8" s="402">
        <v>1307.9721000000002</v>
      </c>
      <c r="F8" s="402">
        <v>1280.6402</v>
      </c>
      <c r="G8" s="403">
        <v>1022.4438000000001</v>
      </c>
      <c r="H8" s="400">
        <f>AVERAGE(E8:G8)</f>
        <v>1203.6853666666668</v>
      </c>
      <c r="I8" s="400">
        <f t="shared" ref="I8:L8" si="1">AVERAGE(F8:H8)</f>
        <v>1168.9231222222224</v>
      </c>
      <c r="J8" s="400">
        <f t="shared" si="1"/>
        <v>1131.6840962962965</v>
      </c>
      <c r="K8" s="400">
        <f t="shared" si="1"/>
        <v>1168.0975283950618</v>
      </c>
      <c r="L8" s="400">
        <f t="shared" si="1"/>
        <v>1156.2349156378602</v>
      </c>
    </row>
    <row r="10" spans="2:14">
      <c r="B10" s="134" t="s">
        <v>327</v>
      </c>
      <c r="C10" s="132"/>
      <c r="D10" s="132"/>
      <c r="E10" s="132"/>
      <c r="F10" s="132"/>
      <c r="G10" s="132"/>
      <c r="H10" s="132"/>
      <c r="I10" s="132"/>
      <c r="J10" s="132"/>
      <c r="K10" s="132"/>
      <c r="L10" s="132"/>
    </row>
    <row r="11" spans="2:14" ht="19.5" thickBot="1">
      <c r="B11" s="2" t="s">
        <v>325</v>
      </c>
      <c r="C11" s="3">
        <v>2020</v>
      </c>
      <c r="D11" s="3">
        <v>2021</v>
      </c>
      <c r="E11" s="3">
        <v>2022</v>
      </c>
      <c r="F11" s="3">
        <v>2023</v>
      </c>
      <c r="G11" s="3">
        <v>2024</v>
      </c>
      <c r="H11" s="3" t="s">
        <v>0</v>
      </c>
      <c r="I11" s="3" t="s">
        <v>54</v>
      </c>
      <c r="J11" s="3" t="s">
        <v>55</v>
      </c>
      <c r="K11" s="3" t="s">
        <v>56</v>
      </c>
      <c r="L11" s="3" t="s">
        <v>57</v>
      </c>
      <c r="N11" s="256" t="s">
        <v>329</v>
      </c>
    </row>
    <row r="12" spans="2:14" ht="19.5" thickTop="1">
      <c r="B12" s="4" t="s">
        <v>91</v>
      </c>
      <c r="C12" s="60">
        <v>7818.6480000000001</v>
      </c>
      <c r="D12" s="60">
        <v>8472.7479999999996</v>
      </c>
      <c r="E12" s="60">
        <v>12157.76</v>
      </c>
      <c r="F12" s="60">
        <v>13923.76</v>
      </c>
      <c r="G12" s="67">
        <v>10840</v>
      </c>
      <c r="H12" s="61">
        <f>G12+H7-H17</f>
        <v>11613.996788247963</v>
      </c>
      <c r="I12" s="61">
        <f t="shared" ref="I12:L12" si="2">H12+I7-I17</f>
        <v>12054.116054030374</v>
      </c>
      <c r="J12" s="61">
        <f t="shared" si="2"/>
        <v>12333.682726485891</v>
      </c>
      <c r="K12" s="61">
        <f t="shared" si="2"/>
        <v>12629.267149552004</v>
      </c>
      <c r="L12" s="61">
        <f t="shared" si="2"/>
        <v>12814.635085720298</v>
      </c>
    </row>
    <row r="13" spans="2:14" ht="19.5" thickBot="1">
      <c r="B13" s="401" t="s">
        <v>2</v>
      </c>
      <c r="C13" s="402">
        <v>1951.3964000000001</v>
      </c>
      <c r="D13" s="402">
        <v>2419.5164</v>
      </c>
      <c r="E13" s="402">
        <v>2497.9680000000003</v>
      </c>
      <c r="F13" s="402">
        <v>2593.4180000000001</v>
      </c>
      <c r="G13" s="403">
        <v>2407</v>
      </c>
      <c r="H13" s="400">
        <f>G13+H8-H18</f>
        <v>2227.3108493494137</v>
      </c>
      <c r="I13" s="400">
        <f t="shared" ref="I13:L13" si="3">H13+I8-I18</f>
        <v>2116.1321555624022</v>
      </c>
      <c r="J13" s="400">
        <f t="shared" si="3"/>
        <v>2031.6121391538145</v>
      </c>
      <c r="K13" s="400">
        <f t="shared" si="3"/>
        <v>2032.0817230628857</v>
      </c>
      <c r="L13" s="400">
        <f t="shared" si="3"/>
        <v>2020.4188103703216</v>
      </c>
    </row>
    <row r="14" spans="2:14">
      <c r="B14" s="6"/>
      <c r="C14" s="7"/>
      <c r="D14" s="7"/>
      <c r="E14" s="7"/>
      <c r="F14" s="7"/>
      <c r="G14" s="8"/>
      <c r="H14" s="8"/>
      <c r="I14" s="8"/>
      <c r="J14" s="8"/>
      <c r="K14" s="8"/>
    </row>
    <row r="15" spans="2:14">
      <c r="B15" s="134" t="s">
        <v>328</v>
      </c>
      <c r="C15" s="132"/>
      <c r="D15" s="132"/>
      <c r="E15" s="132"/>
      <c r="F15" s="132"/>
      <c r="G15" s="132"/>
      <c r="H15" s="132"/>
      <c r="I15" s="132"/>
      <c r="J15" s="132"/>
      <c r="K15" s="132"/>
      <c r="L15" s="132"/>
    </row>
    <row r="16" spans="2:14" ht="19.5" thickBot="1">
      <c r="B16" s="2" t="s">
        <v>325</v>
      </c>
      <c r="C16" s="3">
        <v>2020</v>
      </c>
      <c r="D16" s="3">
        <v>2021</v>
      </c>
      <c r="E16" s="3">
        <v>2022</v>
      </c>
      <c r="F16" s="3">
        <v>2023</v>
      </c>
      <c r="G16" s="3">
        <v>2024</v>
      </c>
      <c r="H16" s="3" t="s">
        <v>0</v>
      </c>
      <c r="I16" s="3" t="s">
        <v>54</v>
      </c>
      <c r="J16" s="3" t="s">
        <v>55</v>
      </c>
      <c r="K16" s="3" t="s">
        <v>56</v>
      </c>
      <c r="L16" s="3" t="s">
        <v>57</v>
      </c>
    </row>
    <row r="17" spans="2:22" ht="19.5" thickTop="1">
      <c r="B17" s="4" t="s">
        <v>91</v>
      </c>
      <c r="C17" s="60">
        <v>2364.6000000000004</v>
      </c>
      <c r="D17" s="60">
        <v>2104.1</v>
      </c>
      <c r="E17" s="60">
        <v>2458</v>
      </c>
      <c r="F17" s="60">
        <v>2740</v>
      </c>
      <c r="G17" s="67">
        <v>2780.2</v>
      </c>
      <c r="H17" s="61">
        <f>G12*$C$26</f>
        <v>2639.103878418704</v>
      </c>
      <c r="I17" s="61">
        <f t="shared" ref="I17:L17" si="4">H12*$C$26</f>
        <v>2827.5409564398128</v>
      </c>
      <c r="J17" s="61">
        <f t="shared" si="4"/>
        <v>2934.6922905074466</v>
      </c>
      <c r="K17" s="61">
        <f t="shared" si="4"/>
        <v>3002.7555275511704</v>
      </c>
      <c r="L17" s="61">
        <f t="shared" si="4"/>
        <v>3074.7184424325301</v>
      </c>
      <c r="N17" s="256" t="s">
        <v>888</v>
      </c>
    </row>
    <row r="18" spans="2:22" ht="19.5" thickBot="1">
      <c r="B18" s="401" t="s">
        <v>2</v>
      </c>
      <c r="C18" s="402">
        <v>1090.0999999999999</v>
      </c>
      <c r="D18" s="402">
        <v>1290.8</v>
      </c>
      <c r="E18" s="402">
        <v>1296.5</v>
      </c>
      <c r="F18" s="402">
        <v>1336.2</v>
      </c>
      <c r="G18" s="403">
        <v>1492.4</v>
      </c>
      <c r="H18" s="400">
        <f>G13*$C$34</f>
        <v>1383.3745173172531</v>
      </c>
      <c r="I18" s="400">
        <f t="shared" ref="I18:L18" si="5">H13*$C$34</f>
        <v>1280.101816009234</v>
      </c>
      <c r="J18" s="400">
        <f t="shared" si="5"/>
        <v>1216.2041127048842</v>
      </c>
      <c r="K18" s="400">
        <f t="shared" si="5"/>
        <v>1167.6279444859908</v>
      </c>
      <c r="L18" s="400">
        <f t="shared" si="5"/>
        <v>1167.8978283304243</v>
      </c>
    </row>
    <row r="19" spans="2:22">
      <c r="B19" s="57"/>
      <c r="C19" s="32"/>
      <c r="D19" s="32"/>
      <c r="E19" s="32"/>
      <c r="F19" s="32"/>
      <c r="G19" s="58"/>
      <c r="H19" s="58"/>
      <c r="I19" s="58"/>
      <c r="J19" s="58"/>
      <c r="K19" s="58"/>
      <c r="L19" s="58"/>
    </row>
    <row r="20" spans="2:22">
      <c r="B20" s="57"/>
      <c r="C20" s="32"/>
      <c r="D20" s="32"/>
      <c r="E20" s="32"/>
      <c r="F20" s="32"/>
      <c r="G20" s="58"/>
      <c r="H20" s="58"/>
      <c r="I20" s="58"/>
      <c r="J20" s="58"/>
      <c r="K20" s="58"/>
      <c r="L20" s="58"/>
    </row>
    <row r="21" spans="2:22">
      <c r="B21" s="134" t="s">
        <v>889</v>
      </c>
      <c r="C21" s="132"/>
      <c r="D21" s="132"/>
      <c r="E21" s="132"/>
      <c r="F21" s="132"/>
      <c r="G21" s="132"/>
      <c r="I21"/>
      <c r="J21"/>
      <c r="K21"/>
      <c r="L21"/>
      <c r="M21"/>
      <c r="N21"/>
      <c r="O21"/>
    </row>
    <row r="22" spans="2:22" ht="19.5" thickBot="1">
      <c r="B22" s="2" t="s">
        <v>325</v>
      </c>
      <c r="C22" s="3">
        <v>2020</v>
      </c>
      <c r="D22" s="3">
        <v>2021</v>
      </c>
      <c r="E22" s="3">
        <v>2022</v>
      </c>
      <c r="F22" s="3">
        <v>2023</v>
      </c>
      <c r="G22" s="3">
        <v>2024</v>
      </c>
      <c r="H22" s="64"/>
      <c r="I22"/>
      <c r="J22"/>
      <c r="K22"/>
      <c r="L22"/>
      <c r="M22"/>
      <c r="N22"/>
      <c r="O22"/>
      <c r="P22"/>
      <c r="Q22"/>
      <c r="R22"/>
      <c r="S22"/>
      <c r="T22"/>
      <c r="U22"/>
      <c r="V22"/>
    </row>
    <row r="23" spans="2:22" ht="19.5" thickTop="1">
      <c r="B23" s="4" t="s">
        <v>315</v>
      </c>
      <c r="C23" s="60">
        <v>7818.6480000000001</v>
      </c>
      <c r="D23" s="60">
        <v>8472.7479999999996</v>
      </c>
      <c r="E23" s="60">
        <v>12157.76</v>
      </c>
      <c r="F23" s="60">
        <v>13923.76</v>
      </c>
      <c r="G23" s="67">
        <v>10840</v>
      </c>
      <c r="H23"/>
      <c r="I23"/>
      <c r="J23"/>
      <c r="K23"/>
      <c r="L23"/>
      <c r="M23"/>
      <c r="N23"/>
      <c r="O23"/>
      <c r="P23"/>
      <c r="Q23"/>
      <c r="S23"/>
      <c r="T23"/>
      <c r="U23"/>
      <c r="V23"/>
    </row>
    <row r="24" spans="2:22">
      <c r="B24" s="203" t="s">
        <v>9</v>
      </c>
      <c r="C24" s="60">
        <v>2364.6000000000004</v>
      </c>
      <c r="D24" s="60">
        <v>2104.1</v>
      </c>
      <c r="E24" s="60">
        <v>2458</v>
      </c>
      <c r="F24" s="60">
        <v>2740</v>
      </c>
      <c r="G24" s="67">
        <v>2780.2</v>
      </c>
      <c r="H24" s="62"/>
    </row>
    <row r="25" spans="2:22">
      <c r="B25" s="233" t="s">
        <v>882</v>
      </c>
      <c r="C25" s="15"/>
      <c r="D25" s="204">
        <f>D24/C23</f>
        <v>0.26911302312113294</v>
      </c>
      <c r="E25" s="204">
        <f t="shared" ref="E25:G25" si="6">E24/D23</f>
        <v>0.29010658643453108</v>
      </c>
      <c r="F25" s="204">
        <f t="shared" si="6"/>
        <v>0.22537046298002264</v>
      </c>
      <c r="G25" s="204">
        <f t="shared" si="6"/>
        <v>0.19967307681258509</v>
      </c>
      <c r="H25"/>
      <c r="I25"/>
      <c r="J25"/>
      <c r="K25"/>
      <c r="L25"/>
      <c r="M25"/>
      <c r="N25"/>
      <c r="O25"/>
    </row>
    <row r="26" spans="2:22" ht="19.5" thickBot="1">
      <c r="B26" s="399" t="s">
        <v>883</v>
      </c>
      <c r="C26" s="404">
        <f>GEOMEAN(D25:G25)</f>
        <v>0.24345976738179925</v>
      </c>
      <c r="D26" s="267"/>
      <c r="E26" s="267"/>
      <c r="F26" s="267"/>
      <c r="G26" s="267"/>
    </row>
    <row r="27" spans="2:22">
      <c r="B27" s="1" t="s">
        <v>884</v>
      </c>
      <c r="J27"/>
      <c r="P27"/>
      <c r="Q27"/>
      <c r="R27"/>
    </row>
    <row r="28" spans="2:22">
      <c r="J28"/>
      <c r="P28"/>
      <c r="Q28"/>
      <c r="R28"/>
    </row>
    <row r="29" spans="2:22">
      <c r="B29" s="134" t="s">
        <v>890</v>
      </c>
      <c r="C29" s="132"/>
      <c r="D29" s="132"/>
      <c r="E29" s="132"/>
      <c r="F29" s="132"/>
      <c r="G29" s="132"/>
      <c r="P29"/>
      <c r="Q29"/>
      <c r="R29"/>
    </row>
    <row r="30" spans="2:22" ht="19.5" thickBot="1">
      <c r="B30" s="2" t="s">
        <v>325</v>
      </c>
      <c r="C30" s="3">
        <v>2020</v>
      </c>
      <c r="D30" s="3">
        <v>2021</v>
      </c>
      <c r="E30" s="3">
        <v>2022</v>
      </c>
      <c r="F30" s="3">
        <v>2023</v>
      </c>
      <c r="G30" s="3">
        <v>2024</v>
      </c>
      <c r="P30"/>
      <c r="Q30"/>
      <c r="R30"/>
    </row>
    <row r="31" spans="2:22" ht="19.5" thickTop="1">
      <c r="B31" s="4" t="s">
        <v>315</v>
      </c>
      <c r="C31" s="60">
        <v>1951.3964000000001</v>
      </c>
      <c r="D31" s="60">
        <v>2419.5164</v>
      </c>
      <c r="E31" s="60">
        <v>2497.9680000000003</v>
      </c>
      <c r="F31" s="60">
        <v>2593.4180000000001</v>
      </c>
      <c r="G31" s="67">
        <v>2407</v>
      </c>
    </row>
    <row r="32" spans="2:22">
      <c r="B32" s="203" t="s">
        <v>9</v>
      </c>
      <c r="C32" s="60">
        <v>1090.0999999999999</v>
      </c>
      <c r="D32" s="60">
        <v>1290.8</v>
      </c>
      <c r="E32" s="60">
        <v>1296.5</v>
      </c>
      <c r="F32" s="60">
        <v>1336.2</v>
      </c>
      <c r="G32" s="67">
        <v>1492.4</v>
      </c>
      <c r="H32" s="11"/>
      <c r="I32" s="11"/>
      <c r="J32" s="11"/>
      <c r="K32" s="11"/>
    </row>
    <row r="33" spans="2:11">
      <c r="B33" s="233" t="s">
        <v>882</v>
      </c>
      <c r="C33" s="15"/>
      <c r="D33" s="204">
        <f>D32/C31</f>
        <v>0.66147503398079444</v>
      </c>
      <c r="E33" s="204">
        <f t="shared" ref="E33:G33" si="7">E32/D31</f>
        <v>0.53585088325915042</v>
      </c>
      <c r="F33" s="204">
        <f t="shared" si="7"/>
        <v>0.53491477873215343</v>
      </c>
      <c r="G33" s="204">
        <f t="shared" si="7"/>
        <v>0.57545679099936842</v>
      </c>
      <c r="H33" s="8"/>
      <c r="I33" s="8"/>
      <c r="J33" s="8"/>
      <c r="K33" s="12"/>
    </row>
    <row r="34" spans="2:11" ht="19.5" thickBot="1">
      <c r="B34" s="399" t="s">
        <v>883</v>
      </c>
      <c r="C34" s="404">
        <f>GEOMEAN(D33:G33)</f>
        <v>0.57472975376703495</v>
      </c>
      <c r="D34" s="267"/>
      <c r="E34" s="267"/>
      <c r="F34" s="267"/>
      <c r="G34" s="267"/>
    </row>
    <row r="35" spans="2:11">
      <c r="B35" s="1" t="s">
        <v>884</v>
      </c>
    </row>
  </sheetData>
  <mergeCells count="1">
    <mergeCell ref="B1:E2"/>
  </mergeCells>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1561C-C545-4422-9FFC-E1D43BE6E5DA}">
  <dimension ref="A1:X85"/>
  <sheetViews>
    <sheetView showGridLines="0" zoomScaleNormal="100" workbookViewId="0"/>
  </sheetViews>
  <sheetFormatPr defaultColWidth="8.75" defaultRowHeight="18.75"/>
  <cols>
    <col min="1" max="1" width="8.75" style="1"/>
    <col min="2" max="2" width="23.375" style="1" bestFit="1" customWidth="1"/>
    <col min="3" max="10" width="12.75" style="1" customWidth="1"/>
    <col min="11" max="12" width="12.625" style="1" bestFit="1" customWidth="1"/>
    <col min="13" max="14" width="12.5" style="1" customWidth="1"/>
    <col min="15" max="15" width="24.125" style="1" customWidth="1"/>
    <col min="16" max="16" width="7.25" style="1" customWidth="1"/>
    <col min="17" max="21" width="10" style="1" customWidth="1"/>
    <col min="22" max="16384" width="8.75" style="1"/>
  </cols>
  <sheetData>
    <row r="1" spans="1:24" s="131" customFormat="1">
      <c r="A1" s="131" t="s">
        <v>22</v>
      </c>
      <c r="B1" s="480" t="s">
        <v>924</v>
      </c>
      <c r="C1" s="482"/>
      <c r="D1" s="482"/>
      <c r="E1" s="482"/>
      <c r="I1" s="131" t="s">
        <v>44</v>
      </c>
    </row>
    <row r="2" spans="1:24" s="131" customFormat="1">
      <c r="B2" s="482"/>
      <c r="C2" s="482"/>
      <c r="D2" s="482"/>
      <c r="E2" s="482"/>
    </row>
    <row r="3" spans="1:24" ht="15.75" customHeight="1">
      <c r="C3" s="16"/>
      <c r="D3" s="16"/>
      <c r="E3" s="16"/>
    </row>
    <row r="4" spans="1:24" ht="15.75" customHeight="1">
      <c r="C4" s="16"/>
      <c r="D4" s="16"/>
      <c r="E4" s="16"/>
    </row>
    <row r="5" spans="1:24" s="132" customFormat="1" ht="15.75" customHeight="1">
      <c r="B5" s="134" t="s">
        <v>666</v>
      </c>
      <c r="C5" s="138"/>
      <c r="D5" s="138"/>
      <c r="E5" s="138"/>
    </row>
    <row r="6" spans="1:24" ht="15.75" customHeight="1">
      <c r="C6" s="16"/>
      <c r="D6" s="16"/>
      <c r="E6" s="16"/>
    </row>
    <row r="7" spans="1:24" ht="15.75" customHeight="1">
      <c r="C7" s="16"/>
      <c r="D7" s="16"/>
      <c r="E7" s="16"/>
    </row>
    <row r="8" spans="1:24" ht="17.45" customHeight="1">
      <c r="B8" s="134" t="s">
        <v>667</v>
      </c>
      <c r="C8" s="129"/>
      <c r="D8" s="129"/>
      <c r="E8" s="129"/>
      <c r="F8" s="129"/>
      <c r="G8" s="129"/>
      <c r="H8" s="129"/>
      <c r="I8" s="129"/>
      <c r="J8" s="129"/>
      <c r="N8" s="116"/>
    </row>
    <row r="9" spans="1:24" ht="19.5" thickBot="1">
      <c r="B9" s="2" t="s">
        <v>325</v>
      </c>
      <c r="C9" s="13">
        <v>2022</v>
      </c>
      <c r="D9" s="13">
        <v>2023</v>
      </c>
      <c r="E9" s="13">
        <v>2024</v>
      </c>
      <c r="F9" s="13" t="s">
        <v>0</v>
      </c>
      <c r="G9" s="13" t="s">
        <v>54</v>
      </c>
      <c r="H9" s="13" t="s">
        <v>55</v>
      </c>
      <c r="I9" s="13" t="s">
        <v>56</v>
      </c>
      <c r="J9" s="13" t="s">
        <v>57</v>
      </c>
    </row>
    <row r="10" spans="1:24" ht="19.5" thickTop="1">
      <c r="B10" s="14" t="s">
        <v>6</v>
      </c>
      <c r="C10" s="96">
        <v>19726.333999999999</v>
      </c>
      <c r="D10" s="90">
        <v>27948.548999999999</v>
      </c>
      <c r="E10" s="90">
        <v>32887.201000000001</v>
      </c>
      <c r="F10" s="34">
        <f>F11+F13+F18+F20+F22</f>
        <v>29477.927916949975</v>
      </c>
      <c r="G10" s="34">
        <f>G11+G13+G18+G20+G22</f>
        <v>29925.842333613844</v>
      </c>
      <c r="H10" s="34">
        <f>H11+H13+H18+H20+H22</f>
        <v>30504.858838105389</v>
      </c>
      <c r="I10" s="34">
        <f>I11+I13+I18+I20+I22</f>
        <v>31853.048524235659</v>
      </c>
      <c r="J10" s="34">
        <f>J11+J13+J18+J20+J22</f>
        <v>34247.951931471311</v>
      </c>
      <c r="T10" s="142" t="s">
        <v>689</v>
      </c>
      <c r="U10" s="215"/>
      <c r="V10" s="215"/>
      <c r="W10" s="215"/>
      <c r="X10" s="215"/>
    </row>
    <row r="11" spans="1:24" ht="21" thickBot="1">
      <c r="B11" s="5" t="s">
        <v>89</v>
      </c>
      <c r="C11" s="97">
        <v>11255.326999999999</v>
      </c>
      <c r="D11" s="92">
        <v>18463.972000000002</v>
      </c>
      <c r="E11" s="92">
        <v>21067.826000000001</v>
      </c>
      <c r="F11" s="93">
        <f>F51*F12</f>
        <v>18659.518814017505</v>
      </c>
      <c r="G11" s="93">
        <f>G51*G12</f>
        <v>19279.55783076166</v>
      </c>
      <c r="H11" s="93">
        <f>H51*H12</f>
        <v>18859.796406677713</v>
      </c>
      <c r="I11" s="93">
        <f>I51*I12</f>
        <v>19619.347684570617</v>
      </c>
      <c r="J11" s="93">
        <f>J51*J12</f>
        <v>20504.053401419726</v>
      </c>
      <c r="T11" s="217"/>
      <c r="U11" s="217" t="s">
        <v>89</v>
      </c>
      <c r="V11" s="217" t="s">
        <v>91</v>
      </c>
      <c r="W11" s="217" t="s">
        <v>90</v>
      </c>
      <c r="X11" s="217" t="s">
        <v>2</v>
      </c>
    </row>
    <row r="12" spans="1:24" ht="21" thickTop="1">
      <c r="B12" s="208" t="s">
        <v>668</v>
      </c>
      <c r="C12" s="209">
        <f>C11/C51</f>
        <v>0.90034692947020667</v>
      </c>
      <c r="D12" s="209">
        <f>D11/D51</f>
        <v>0.93726221960517564</v>
      </c>
      <c r="E12" s="209">
        <f>E11/E51</f>
        <v>0.95766763185766701</v>
      </c>
      <c r="F12" s="210">
        <f>E12*(1+RATE(3,0,-$E$12,$H$12))</f>
        <v>0.93632932336104591</v>
      </c>
      <c r="G12" s="210">
        <f>F12*(1+RATE(3,0,-$E$12,$H$12))</f>
        <v>0.91546646521311603</v>
      </c>
      <c r="H12" s="432">
        <f>1-U18</f>
        <v>0.89506846364669035</v>
      </c>
      <c r="I12" s="210">
        <f>H12</f>
        <v>0.89506846364669035</v>
      </c>
      <c r="J12" s="210">
        <f>H12</f>
        <v>0.89506846364669035</v>
      </c>
      <c r="K12" s="1" t="s">
        <v>690</v>
      </c>
      <c r="T12" s="218">
        <v>2024</v>
      </c>
      <c r="U12" s="216">
        <v>4.2334999999999998E-2</v>
      </c>
      <c r="V12" s="214">
        <v>3.0575000000000001E-2</v>
      </c>
      <c r="W12" s="214">
        <v>-0.21834999999999999</v>
      </c>
      <c r="X12" s="214">
        <v>0.168216</v>
      </c>
    </row>
    <row r="13" spans="1:24" ht="20.25">
      <c r="B13" s="5" t="s">
        <v>90</v>
      </c>
      <c r="C13" s="94">
        <v>5340.7370000000001</v>
      </c>
      <c r="D13" s="60">
        <v>6362.17</v>
      </c>
      <c r="E13" s="95">
        <v>8321.7929999999997</v>
      </c>
      <c r="F13" s="93">
        <f>F14+F16</f>
        <v>7639.2463763803607</v>
      </c>
      <c r="G13" s="93">
        <f t="shared" ref="G13:J13" si="0">G14+G16</f>
        <v>7393.3233477024914</v>
      </c>
      <c r="H13" s="93">
        <f t="shared" si="0"/>
        <v>8349.056001749299</v>
      </c>
      <c r="I13" s="93">
        <f t="shared" si="0"/>
        <v>8936.1734431621771</v>
      </c>
      <c r="J13" s="93">
        <f t="shared" si="0"/>
        <v>10423.127918949469</v>
      </c>
      <c r="T13" s="219">
        <v>2023</v>
      </c>
      <c r="U13" s="216">
        <v>6.2742966259558566E-2</v>
      </c>
      <c r="V13" s="214">
        <v>3.6636666228704068E-2</v>
      </c>
      <c r="W13" s="214">
        <v>3.1501247125750004E-2</v>
      </c>
      <c r="X13" s="214">
        <v>0.16220912611550767</v>
      </c>
    </row>
    <row r="14" spans="1:24" ht="20.25">
      <c r="B14" s="205" t="s">
        <v>333</v>
      </c>
      <c r="C14" s="99"/>
      <c r="D14" s="117"/>
      <c r="E14" s="117"/>
      <c r="F14" s="93">
        <f>'플랜트-원전'!C16</f>
        <v>138.10500000000005</v>
      </c>
      <c r="G14" s="93">
        <f>'플랜트-원전'!D16</f>
        <v>511.02250000000004</v>
      </c>
      <c r="H14" s="93">
        <f>'플랜트-원전'!E16</f>
        <v>1763.7003901625003</v>
      </c>
      <c r="I14" s="93">
        <f>'플랜트-원전'!F16</f>
        <v>2474.3768265750005</v>
      </c>
      <c r="J14" s="93">
        <f>'플랜트-원전'!G16</f>
        <v>4198.300762987501</v>
      </c>
      <c r="T14" s="219">
        <v>2022</v>
      </c>
      <c r="U14" s="216">
        <v>9.9656743607048667E-2</v>
      </c>
      <c r="V14" s="214">
        <v>1.2889092268159709E-2</v>
      </c>
      <c r="W14" s="214">
        <v>1.4498345545224594E-2</v>
      </c>
      <c r="X14" s="214">
        <v>0.13492476898329703</v>
      </c>
    </row>
    <row r="15" spans="1:24" ht="20.25">
      <c r="B15" s="197" t="s">
        <v>668</v>
      </c>
      <c r="C15" s="211"/>
      <c r="D15" s="212"/>
      <c r="E15" s="212"/>
      <c r="F15" s="213">
        <f>F14/F53</f>
        <v>0.93000000000000016</v>
      </c>
      <c r="G15" s="213">
        <f>G14/G53</f>
        <v>0.93422760511883007</v>
      </c>
      <c r="H15" s="213">
        <f>H14/H53</f>
        <v>0.9277408986320862</v>
      </c>
      <c r="I15" s="213">
        <f>I14/I53</f>
        <v>0.92202263588819688</v>
      </c>
      <c r="J15" s="213">
        <f>J14/J53</f>
        <v>0.9210415410846583</v>
      </c>
      <c r="K15" s="1" t="s">
        <v>706</v>
      </c>
      <c r="T15" s="219">
        <v>2021</v>
      </c>
      <c r="U15" s="216">
        <v>0.14215925351996367</v>
      </c>
      <c r="V15" s="214">
        <v>-2.1131019669907304E-2</v>
      </c>
      <c r="W15" s="214">
        <v>4.2824845969639688E-2</v>
      </c>
      <c r="X15" s="214">
        <v>0.14829137394249398</v>
      </c>
    </row>
    <row r="16" spans="1:24" ht="20.25">
      <c r="B16" s="205" t="s">
        <v>334</v>
      </c>
      <c r="C16" s="99"/>
      <c r="D16" s="117"/>
      <c r="E16" s="117"/>
      <c r="F16" s="93">
        <f>F54</f>
        <v>7501.1413763803603</v>
      </c>
      <c r="G16" s="93">
        <f t="shared" ref="G16:J16" si="1">G54</f>
        <v>6882.3008477024914</v>
      </c>
      <c r="H16" s="93">
        <f t="shared" si="1"/>
        <v>6585.3556115867987</v>
      </c>
      <c r="I16" s="93">
        <f t="shared" si="1"/>
        <v>6461.7966165871758</v>
      </c>
      <c r="J16" s="93">
        <f t="shared" si="1"/>
        <v>6224.8271559619679</v>
      </c>
      <c r="T16" s="219">
        <v>2020</v>
      </c>
      <c r="U16" s="214">
        <v>0.13581139053660549</v>
      </c>
      <c r="V16" s="214">
        <v>3.5274554532405988E-3</v>
      </c>
      <c r="W16" s="214">
        <v>7.6793098523867155E-3</v>
      </c>
      <c r="X16" s="214">
        <v>0.14541066258627713</v>
      </c>
    </row>
    <row r="17" spans="2:24" ht="20.25">
      <c r="B17" s="208" t="s">
        <v>668</v>
      </c>
      <c r="C17" s="209">
        <f>C13/C52</f>
        <v>0.99143050734188487</v>
      </c>
      <c r="D17" s="209">
        <f>D13/D52</f>
        <v>0.96849949003668701</v>
      </c>
      <c r="E17" s="209">
        <f>E13/E52</f>
        <v>1.2183463633169358</v>
      </c>
      <c r="F17" s="210" cm="1">
        <f t="array" ref="F17">GEOMEAN(C17:D17+1,2-W15)-1</f>
        <v>0.97231700337624671</v>
      </c>
      <c r="G17" s="210" cm="1">
        <f t="array" ref="G17">GEOMEAN(F17+1,C17:D17+1)-1</f>
        <v>0.97739027436454817</v>
      </c>
      <c r="H17" s="210" cm="1">
        <f t="array" ref="H17">GEOMEAN(F17:G17+1,D17+1)-1</f>
        <v>0.97273222865130293</v>
      </c>
      <c r="I17" s="210" cm="1">
        <f t="array" ref="I17">GEOMEAN(F17:H17+1)-1</f>
        <v>0.97414516308778243</v>
      </c>
      <c r="J17" s="210" cm="1">
        <f t="array" ref="J17">GEOMEAN(G17:I17+1)-1</f>
        <v>0.97475492614496462</v>
      </c>
      <c r="K17" s="1" t="s">
        <v>671</v>
      </c>
      <c r="T17" s="219">
        <v>2019</v>
      </c>
      <c r="U17" s="214">
        <v>0.15156015743263701</v>
      </c>
      <c r="V17" s="214">
        <v>3.2649206792761655E-2</v>
      </c>
      <c r="W17" s="214">
        <v>5.2819406844860022E-2</v>
      </c>
      <c r="X17" s="214">
        <v>0.10497760291587893</v>
      </c>
    </row>
    <row r="18" spans="2:24">
      <c r="B18" s="5" t="s">
        <v>91</v>
      </c>
      <c r="C18" s="94">
        <v>2383.6309999999999</v>
      </c>
      <c r="D18" s="60">
        <v>2639.5770000000002</v>
      </c>
      <c r="E18" s="95">
        <v>2695.1729999999998</v>
      </c>
      <c r="F18" s="93">
        <f>F55*F19</f>
        <v>2553.3362773858553</v>
      </c>
      <c r="G18" s="93">
        <f>G55*G19</f>
        <v>2733.5370631979899</v>
      </c>
      <c r="H18" s="93">
        <f>H55*H19</f>
        <v>2840.4607097689072</v>
      </c>
      <c r="I18" s="93">
        <f>I55*I19</f>
        <v>2904.811380811911</v>
      </c>
      <c r="J18" s="93">
        <f>J55*J19</f>
        <v>2974.3047059800438</v>
      </c>
      <c r="T18" s="221" t="s">
        <v>288</v>
      </c>
      <c r="U18" s="222" cm="1">
        <f t="array" ref="U18">GEOMEAN(U12:U17+1)-1</f>
        <v>0.10493153635330965</v>
      </c>
      <c r="V18" s="222" cm="1">
        <f t="array" ref="V18">GEOMEAN(V12:V17+1)-1</f>
        <v>1.5654001753442337E-2</v>
      </c>
      <c r="W18" s="222" cm="1">
        <f t="array" ref="W18">GEOMEAN(W12:W17+1)-1</f>
        <v>-1.6509495971331445E-2</v>
      </c>
      <c r="X18" s="222" cm="1">
        <f t="array" ref="X18">GEOMEAN(X12:X17+1)-1</f>
        <v>0.14381788811225937</v>
      </c>
    </row>
    <row r="19" spans="2:24">
      <c r="B19" s="208" t="s">
        <v>668</v>
      </c>
      <c r="C19" s="209">
        <f>C18/C55</f>
        <v>0.9697441008950366</v>
      </c>
      <c r="D19" s="209">
        <f>D18/D55</f>
        <v>0.96334927007299276</v>
      </c>
      <c r="E19" s="209">
        <f>E18/E55</f>
        <v>0.96941694842097692</v>
      </c>
      <c r="F19" s="210" cm="1">
        <f t="array" ref="F19">GEOMEAN(C19:E19+1)-1</f>
        <v>0.96750124095750301</v>
      </c>
      <c r="G19" s="210" cm="1">
        <f t="array" ref="G19">GEOMEAN(D19:F19+1)-1</f>
        <v>0.96675418864305884</v>
      </c>
      <c r="H19" s="210" cm="1">
        <f t="array" ref="H19">GEOMEAN(E19:G19+1)-1</f>
        <v>0.96789047320451926</v>
      </c>
      <c r="I19" s="210" cm="1">
        <f t="array" ref="I19">GEOMEAN(F19:H19+1)-1</f>
        <v>0.96738191110112259</v>
      </c>
      <c r="J19" s="210" cm="1">
        <f t="array" ref="J19">GEOMEAN(G19:I19+1)-1</f>
        <v>0.96734213609066422</v>
      </c>
      <c r="K19" s="1" t="s">
        <v>669</v>
      </c>
    </row>
    <row r="20" spans="2:24">
      <c r="B20" s="5" t="s">
        <v>2</v>
      </c>
      <c r="C20" s="60">
        <v>1130.9760000000001</v>
      </c>
      <c r="D20" s="60">
        <v>1119.519</v>
      </c>
      <c r="E20" s="95">
        <v>1241.4570000000001</v>
      </c>
      <c r="F20" s="93">
        <f>F21*F56</f>
        <v>1172.0702475140176</v>
      </c>
      <c r="G20" s="93">
        <f>G21*G56</f>
        <v>1073.9680148191621</v>
      </c>
      <c r="H20" s="93">
        <f>H21*H56</f>
        <v>1020.8191681224872</v>
      </c>
      <c r="I20" s="93">
        <f>I21*I56</f>
        <v>982.97223260874102</v>
      </c>
      <c r="J20" s="93">
        <f>J21*J56</f>
        <v>981.10112783464217</v>
      </c>
    </row>
    <row r="21" spans="2:24">
      <c r="B21" s="208" t="s">
        <v>668</v>
      </c>
      <c r="C21" s="209">
        <f>C20/C56</f>
        <v>0.87233011955264184</v>
      </c>
      <c r="D21" s="209">
        <f>D20/D56</f>
        <v>0.83783789851818591</v>
      </c>
      <c r="E21" s="209">
        <f>E20/E56</f>
        <v>0.83185272045028147</v>
      </c>
      <c r="F21" s="210" cm="1">
        <f t="array" ref="F21">GEOMEAN(C21:E21+1)-1</f>
        <v>0.84725447291525002</v>
      </c>
      <c r="G21" s="210" cm="1">
        <f t="array" ref="G21">GEOMEAN(D21:F21+1)-1</f>
        <v>0.83897077668969966</v>
      </c>
      <c r="H21" s="210" cm="1">
        <f t="array" ref="H21">GEOMEAN(E21:G21+1)-1</f>
        <v>0.83934855790953256</v>
      </c>
      <c r="I21" s="210" cm="1">
        <f t="array" ref="I21">GEOMEAN(F21:H21+1)-1</f>
        <v>0.84185398032886383</v>
      </c>
      <c r="J21" s="210" cm="1">
        <f t="array" ref="J21">GEOMEAN(G21:I21+1)-1</f>
        <v>0.84005732696427859</v>
      </c>
      <c r="K21" s="1" t="s">
        <v>669</v>
      </c>
    </row>
    <row r="22" spans="2:24" ht="19.5" thickBot="1">
      <c r="B22" s="394" t="s">
        <v>330</v>
      </c>
      <c r="C22" s="402">
        <v>-384.33699999999999</v>
      </c>
      <c r="D22" s="402">
        <v>-636.68899999999996</v>
      </c>
      <c r="E22" s="405">
        <v>-439.048</v>
      </c>
      <c r="F22" s="406">
        <f>(F11+F13+F18+F20)*E25</f>
        <v>-546.24379834776551</v>
      </c>
      <c r="G22" s="406">
        <f>(G11+G13+G18+G20)*$E$25</f>
        <v>-554.5439228674577</v>
      </c>
      <c r="H22" s="406">
        <f>(H11+H13+H18+H20)*$E$25</f>
        <v>-565.27344821301779</v>
      </c>
      <c r="I22" s="406">
        <f>(I11+I13+I18+I20)*$E$25</f>
        <v>-590.25621691778895</v>
      </c>
      <c r="J22" s="406">
        <f>(J11+J13+J18+J20)*$E$25</f>
        <v>-634.63522271256829</v>
      </c>
    </row>
    <row r="23" spans="2:24">
      <c r="B23" s="206"/>
      <c r="C23" s="206"/>
    </row>
    <row r="24" spans="2:24">
      <c r="B24" s="320" t="s">
        <v>908</v>
      </c>
      <c r="C24" s="321">
        <f>C22/(C11+C13+C18+C20)</f>
        <v>-1.9111097784852631E-2</v>
      </c>
      <c r="D24" s="321">
        <f>D22/(D11+D13+D18+D20)</f>
        <v>-2.2273349621927233E-2</v>
      </c>
      <c r="E24" s="321">
        <f>E22/(E11+E13+E18+E20)</f>
        <v>-1.3174239921210456E-2</v>
      </c>
    </row>
    <row r="25" spans="2:24" ht="19.5" thickBot="1">
      <c r="B25" s="36"/>
      <c r="D25" s="316" t="s">
        <v>895</v>
      </c>
      <c r="E25" s="317" cm="1">
        <f t="array" ref="E25">GEOMEAN(C24:E24+1)-1</f>
        <v>-1.8193467700874044E-2</v>
      </c>
      <c r="T25" s="132"/>
      <c r="U25" s="132"/>
      <c r="V25" s="132"/>
      <c r="W25" s="132"/>
      <c r="X25" s="132"/>
    </row>
    <row r="26" spans="2:24">
      <c r="B26" s="36"/>
      <c r="C26" s="36"/>
      <c r="E26" s="37"/>
    </row>
    <row r="27" spans="2:24" s="132" customFormat="1">
      <c r="B27" s="134" t="s">
        <v>7</v>
      </c>
      <c r="C27" s="139"/>
      <c r="D27" s="139"/>
      <c r="E27" s="139"/>
      <c r="F27" s="139"/>
      <c r="G27" s="139"/>
      <c r="H27" s="139"/>
      <c r="I27" s="140"/>
      <c r="M27" s="129"/>
      <c r="O27" s="141"/>
      <c r="T27" s="1"/>
      <c r="U27" s="1"/>
      <c r="V27" s="1"/>
      <c r="W27" s="1"/>
      <c r="X27" s="1"/>
    </row>
    <row r="28" spans="2:24">
      <c r="C28" s="33"/>
      <c r="D28" s="33"/>
      <c r="E28" s="33"/>
      <c r="F28" s="33"/>
      <c r="G28" s="33"/>
      <c r="H28" s="33"/>
      <c r="O28" s="56"/>
    </row>
    <row r="29" spans="2:24">
      <c r="C29" s="207"/>
      <c r="D29" s="207"/>
      <c r="E29" s="207"/>
      <c r="F29" s="207"/>
      <c r="G29" s="207"/>
      <c r="H29" s="207"/>
      <c r="O29" s="56"/>
    </row>
    <row r="30" spans="2:24">
      <c r="B30" s="134" t="s">
        <v>7</v>
      </c>
      <c r="C30" s="129"/>
      <c r="D30" s="129"/>
      <c r="E30" s="129"/>
      <c r="F30" s="129"/>
      <c r="G30" s="129"/>
      <c r="H30" s="129"/>
      <c r="I30" s="129"/>
      <c r="J30" s="129"/>
      <c r="R30" s="142" t="s">
        <v>47</v>
      </c>
      <c r="S30" s="142"/>
    </row>
    <row r="31" spans="2:24" ht="19.5" thickBot="1">
      <c r="B31" s="2" t="s">
        <v>5</v>
      </c>
      <c r="C31" s="13">
        <v>2022</v>
      </c>
      <c r="D31" s="13">
        <v>2023</v>
      </c>
      <c r="E31" s="13">
        <v>2024</v>
      </c>
      <c r="F31" s="3" t="s">
        <v>0</v>
      </c>
      <c r="G31" s="13" t="s">
        <v>54</v>
      </c>
      <c r="H31" s="3" t="s">
        <v>55</v>
      </c>
      <c r="I31" s="13" t="s">
        <v>56</v>
      </c>
      <c r="J31" s="13" t="s">
        <v>57</v>
      </c>
      <c r="R31" s="35" t="s">
        <v>700</v>
      </c>
      <c r="S31" s="15"/>
    </row>
    <row r="32" spans="2:24" ht="19.5" thickTop="1">
      <c r="B32" s="14" t="s">
        <v>8</v>
      </c>
      <c r="C32" s="111">
        <v>937.846</v>
      </c>
      <c r="D32" s="112">
        <v>917.37800000000004</v>
      </c>
      <c r="E32" s="114">
        <v>1046.4870000000001</v>
      </c>
      <c r="F32" s="113">
        <f>(F33+F35+F37+F39+F41+F43)</f>
        <v>1079.8135575159579</v>
      </c>
      <c r="G32" s="113">
        <f t="shared" ref="G32:J32" si="2">(G33+G35+G37+G39+G41+G43)</f>
        <v>1070.4018933527984</v>
      </c>
      <c r="H32" s="113">
        <f>(H33+H35+H37+H39+H41+H43)</f>
        <v>1116.1485961485866</v>
      </c>
      <c r="I32" s="113">
        <f t="shared" si="2"/>
        <v>1153.7348703926311</v>
      </c>
      <c r="J32" s="113">
        <f t="shared" si="2"/>
        <v>1194.2342536372769</v>
      </c>
      <c r="K32" s="10"/>
      <c r="L32" s="10"/>
      <c r="R32" s="44" t="s">
        <v>46</v>
      </c>
      <c r="S32" s="270">
        <f>CORREL($C$50:$E$50,C33:E33)</f>
        <v>0.95534305348304416</v>
      </c>
    </row>
    <row r="33" spans="2:19">
      <c r="B33" s="98" t="s">
        <v>46</v>
      </c>
      <c r="C33" s="83">
        <v>538.37699999999995</v>
      </c>
      <c r="D33" s="83">
        <v>583.15300000000002</v>
      </c>
      <c r="E33" s="115">
        <v>633.54</v>
      </c>
      <c r="F33" s="110">
        <f>E33*1.0287</f>
        <v>651.72259799999995</v>
      </c>
      <c r="G33" s="110">
        <f>F33*1.0287</f>
        <v>670.42703656259994</v>
      </c>
      <c r="H33" s="110">
        <f t="shared" ref="H33" si="3">G33*1.0287</f>
        <v>689.66829251194656</v>
      </c>
      <c r="I33" s="110">
        <f>H33*1.0287</f>
        <v>709.46177250703943</v>
      </c>
      <c r="J33" s="110">
        <f>I33*1.0287</f>
        <v>729.82332537799141</v>
      </c>
      <c r="K33" s="57" t="s">
        <v>701</v>
      </c>
      <c r="R33" s="18" t="s">
        <v>52</v>
      </c>
      <c r="S33" s="108">
        <f>CORREL(C35:E35,C50:E50)</f>
        <v>0.81775601129166775</v>
      </c>
    </row>
    <row r="34" spans="2:19">
      <c r="B34" s="197" t="s">
        <v>48</v>
      </c>
      <c r="C34" s="223">
        <f>C33/C$50</f>
        <v>2.5348390468522677E-2</v>
      </c>
      <c r="D34" s="223">
        <f>D33/$D$50</f>
        <v>1.9666963448606137E-2</v>
      </c>
      <c r="E34" s="224">
        <f>E33/$E$50</f>
        <v>1.939192477571372E-2</v>
      </c>
      <c r="F34" s="225">
        <f>F33/F$50</f>
        <v>2.100600200286077E-2</v>
      </c>
      <c r="G34" s="225">
        <f>G33/G$50</f>
        <v>2.094843161288195E-2</v>
      </c>
      <c r="H34" s="225">
        <f>H33/H$50</f>
        <v>2.0847613327409007E-2</v>
      </c>
      <c r="I34" s="226">
        <f>I33/I50</f>
        <v>2.0537271641220944E-2</v>
      </c>
      <c r="J34" s="225">
        <f>J33/J50</f>
        <v>1.9645035927555149E-2</v>
      </c>
      <c r="K34" s="57"/>
      <c r="L34" s="30"/>
      <c r="R34" s="18" t="s">
        <v>45</v>
      </c>
      <c r="S34" s="108">
        <f>CORREL($C$50:$E$50,C37:E37)</f>
        <v>-0.78246255509519358</v>
      </c>
    </row>
    <row r="35" spans="2:19">
      <c r="B35" s="98" t="s">
        <v>52</v>
      </c>
      <c r="C35" s="83">
        <v>38.665999999999997</v>
      </c>
      <c r="D35" s="83">
        <v>42.762</v>
      </c>
      <c r="E35" s="115">
        <v>60.631</v>
      </c>
      <c r="F35" s="110">
        <f>E35*1.042</f>
        <v>63.177502000000004</v>
      </c>
      <c r="G35" s="110">
        <f>F35*1.042</f>
        <v>65.830957084000005</v>
      </c>
      <c r="H35" s="110">
        <f>G35*1.042</f>
        <v>68.595857281528012</v>
      </c>
      <c r="I35" s="110">
        <f>H35*1.042</f>
        <v>71.476883287352194</v>
      </c>
      <c r="J35" s="110">
        <f>I35*1.042</f>
        <v>74.478912385420983</v>
      </c>
      <c r="K35" s="57" t="s">
        <v>894</v>
      </c>
      <c r="L35" s="38"/>
      <c r="R35" s="18" t="s">
        <v>10</v>
      </c>
      <c r="S35" s="108">
        <f>CORREL($C$50:$E$50,C39:E39)</f>
        <v>0.3927276127959608</v>
      </c>
    </row>
    <row r="36" spans="2:19">
      <c r="B36" s="197" t="s">
        <v>48</v>
      </c>
      <c r="C36" s="223">
        <f>C35/C$50</f>
        <v>1.8205102852757414E-3</v>
      </c>
      <c r="D36" s="223">
        <f>D35/$D$50</f>
        <v>1.4421578745017099E-3</v>
      </c>
      <c r="E36" s="224">
        <f>E35/$E$50</f>
        <v>1.8558446050388274E-3</v>
      </c>
      <c r="F36" s="225">
        <f>AVERAGE(C36:E36)</f>
        <v>1.7061709216054262E-3</v>
      </c>
      <c r="G36" s="225">
        <f>F36</f>
        <v>1.7061709216054262E-3</v>
      </c>
      <c r="H36" s="225">
        <f>G36</f>
        <v>1.7061709216054262E-3</v>
      </c>
      <c r="I36" s="226">
        <f>H36</f>
        <v>1.7061709216054262E-3</v>
      </c>
      <c r="J36" s="227">
        <f>I36</f>
        <v>1.7061709216054262E-3</v>
      </c>
      <c r="K36" s="57"/>
      <c r="L36" s="39"/>
      <c r="R36" s="18" t="s">
        <v>53</v>
      </c>
      <c r="S36" s="108">
        <f>CORREL($C$50:$E$50,C41:E41)</f>
        <v>-0.57428852212437909</v>
      </c>
    </row>
    <row r="37" spans="2:19" ht="19.5" thickBot="1">
      <c r="B37" s="98" t="s">
        <v>45</v>
      </c>
      <c r="C37" s="83">
        <v>178.61199999999999</v>
      </c>
      <c r="D37" s="83">
        <v>138.78700000000001</v>
      </c>
      <c r="E37" s="115">
        <v>154.923</v>
      </c>
      <c r="F37" s="110">
        <f>F50*F38</f>
        <v>177.30990847596797</v>
      </c>
      <c r="G37" s="110">
        <f>G50*G38</f>
        <v>160.80269981574685</v>
      </c>
      <c r="H37" s="110">
        <f>H50*H38</f>
        <v>170.19252995828904</v>
      </c>
      <c r="I37" s="110">
        <f>I50*I38</f>
        <v>182.61681497232513</v>
      </c>
      <c r="J37" s="110">
        <f>J50*J38</f>
        <v>191.3520202424651</v>
      </c>
      <c r="K37" s="57" t="s">
        <v>702</v>
      </c>
      <c r="M37" s="17"/>
      <c r="R37" s="9" t="s">
        <v>27</v>
      </c>
      <c r="S37" s="109">
        <f>CORREL($C$43:$E$43,C50:E50)</f>
        <v>0.99172540638582418</v>
      </c>
    </row>
    <row r="38" spans="2:19">
      <c r="B38" s="197" t="s">
        <v>48</v>
      </c>
      <c r="C38" s="223">
        <f>C37/C$50</f>
        <v>8.4095842102537306E-3</v>
      </c>
      <c r="D38" s="223">
        <f>D37/$D$50</f>
        <v>4.6806221628658343E-3</v>
      </c>
      <c r="E38" s="224">
        <f>E37/$E$50</f>
        <v>4.742013388306811E-3</v>
      </c>
      <c r="F38" s="225">
        <f>GEOMEAN(C38:E38)</f>
        <v>5.7149656986011758E-3</v>
      </c>
      <c r="G38" s="225">
        <f t="shared" ref="G38:J38" si="4">GEOMEAN(D38:F38)</f>
        <v>5.0245055413161641E-3</v>
      </c>
      <c r="H38" s="225">
        <f t="shared" si="4"/>
        <v>5.1446588081652637E-3</v>
      </c>
      <c r="I38" s="226">
        <f t="shared" si="4"/>
        <v>5.2863329367108533E-3</v>
      </c>
      <c r="J38" s="227">
        <f t="shared" si="4"/>
        <v>5.1507223484896954E-3</v>
      </c>
      <c r="K38" s="57"/>
      <c r="L38" s="36"/>
    </row>
    <row r="39" spans="2:19">
      <c r="B39" s="98" t="s">
        <v>10</v>
      </c>
      <c r="C39" s="83">
        <v>57.694000000000003</v>
      </c>
      <c r="D39" s="83">
        <v>50.619</v>
      </c>
      <c r="E39" s="115">
        <v>69.602000000000004</v>
      </c>
      <c r="F39" s="110">
        <f>$E$60*F49</f>
        <v>69.488549039989962</v>
      </c>
      <c r="G39" s="110">
        <f>$E$60*G49</f>
        <v>57.353533223784794</v>
      </c>
      <c r="H39" s="110">
        <f>$E$60*H49</f>
        <v>67.06069417460084</v>
      </c>
      <c r="I39" s="110">
        <f>$E$60*I49</f>
        <v>71.934769996284814</v>
      </c>
      <c r="J39" s="110">
        <f>$E$60*J49</f>
        <v>80.292156125226271</v>
      </c>
      <c r="K39" s="57" t="s">
        <v>703</v>
      </c>
    </row>
    <row r="40" spans="2:19">
      <c r="B40" s="197" t="s">
        <v>48</v>
      </c>
      <c r="C40" s="223">
        <f>C39/C$50</f>
        <v>2.7164051207442881E-3</v>
      </c>
      <c r="D40" s="223">
        <f>D39/$D$50</f>
        <v>1.7071369311398449E-3</v>
      </c>
      <c r="E40" s="224">
        <f>E39/$E$50</f>
        <v>2.1304365126735905E-3</v>
      </c>
      <c r="F40" s="225">
        <f>F39/F$49</f>
        <v>1.8386075814715854E-3</v>
      </c>
      <c r="G40" s="225">
        <f>G39/G$50</f>
        <v>1.7920914625635385E-3</v>
      </c>
      <c r="H40" s="225">
        <f>H39/H$50</f>
        <v>2.0271417967145282E-3</v>
      </c>
      <c r="I40" s="226">
        <f>I39/I$50</f>
        <v>2.0823446295660602E-3</v>
      </c>
      <c r="J40" s="225">
        <f>J39/J$50</f>
        <v>2.1612659351001114E-3</v>
      </c>
      <c r="K40" s="57"/>
      <c r="L40" s="38"/>
    </row>
    <row r="41" spans="2:19">
      <c r="B41" s="98" t="s">
        <v>53</v>
      </c>
      <c r="C41" s="83">
        <v>22.687000000000001</v>
      </c>
      <c r="D41" s="83">
        <v>-8.4339999999999993</v>
      </c>
      <c r="E41" s="115">
        <v>11.97</v>
      </c>
      <c r="F41" s="110">
        <f>AVERAGE(C41:E41)</f>
        <v>8.7410000000000014</v>
      </c>
      <c r="G41" s="110">
        <f>AVERAGE(D41:F41)</f>
        <v>4.0923333333333343</v>
      </c>
      <c r="H41" s="110">
        <f>AVERAGE(E41:G41)</f>
        <v>8.2677777777777788</v>
      </c>
      <c r="I41" s="110">
        <f>AVERAGE(F41:H41)</f>
        <v>7.0337037037037051</v>
      </c>
      <c r="J41" s="110">
        <f>AVERAGE(G41:I41)</f>
        <v>6.4646049382716058</v>
      </c>
      <c r="K41" s="57" t="s">
        <v>704</v>
      </c>
      <c r="L41" s="38"/>
    </row>
    <row r="42" spans="2:19">
      <c r="B42" s="197" t="s">
        <v>48</v>
      </c>
      <c r="C42" s="223">
        <f>C41/C$50</f>
        <v>1.0681714385261146E-3</v>
      </c>
      <c r="D42" s="223">
        <f>D41/$D$50</f>
        <v>-2.8443850880565503E-4</v>
      </c>
      <c r="E42" s="224">
        <f>E41/$E$50</f>
        <v>3.6638782013021003E-4</v>
      </c>
      <c r="F42" s="225">
        <f>F41/F$50</f>
        <v>2.8173560970645679E-4</v>
      </c>
      <c r="G42" s="225">
        <f>G41/G$50</f>
        <v>1.2787068583927237E-4</v>
      </c>
      <c r="H42" s="225">
        <f>H41/H$50</f>
        <v>2.4992222501670299E-4</v>
      </c>
      <c r="I42" s="226">
        <f>I41/I50</f>
        <v>2.036093968761249E-4</v>
      </c>
      <c r="J42" s="228">
        <f>J41/J50</f>
        <v>1.7401115016983242E-4</v>
      </c>
      <c r="K42" s="57"/>
      <c r="L42" s="38"/>
    </row>
    <row r="43" spans="2:19">
      <c r="B43" s="98" t="s">
        <v>4</v>
      </c>
      <c r="C43" s="83">
        <f>(C32-(C33+C35+C37+C39+C41))</f>
        <v>101.81000000000017</v>
      </c>
      <c r="D43" s="83">
        <f>(D32-(D33+D35+D37+D39+D41))</f>
        <v>110.49099999999999</v>
      </c>
      <c r="E43" s="115">
        <f>(E32-(E33+E35+E37+E39+E41))</f>
        <v>115.82100000000014</v>
      </c>
      <c r="F43" s="110">
        <f>AVERAGE(C43:E43)</f>
        <v>109.37400000000009</v>
      </c>
      <c r="G43" s="110">
        <f>AVERAGE(D43:F43)</f>
        <v>111.8953333333334</v>
      </c>
      <c r="H43" s="110">
        <f>AVERAGE(E43:G43)</f>
        <v>112.36344444444454</v>
      </c>
      <c r="I43" s="110">
        <f>AVERAGE(F43:H43)</f>
        <v>111.21092592592601</v>
      </c>
      <c r="J43" s="110">
        <f>AVERAGE(G43:I43)</f>
        <v>111.82323456790131</v>
      </c>
      <c r="K43" s="57" t="s">
        <v>705</v>
      </c>
      <c r="L43" s="38"/>
    </row>
    <row r="44" spans="2:19" ht="19.5" thickBot="1">
      <c r="B44" s="407" t="s">
        <v>48</v>
      </c>
      <c r="C44" s="408">
        <f>C43/C$50</f>
        <v>4.7935176160948528E-3</v>
      </c>
      <c r="D44" s="409">
        <f>D43/$D$50</f>
        <v>3.7263333265882886E-3</v>
      </c>
      <c r="E44" s="410">
        <f>E43/$E$50</f>
        <v>3.5451465092147957E-3</v>
      </c>
      <c r="F44" s="411">
        <f>F43/F50</f>
        <v>3.5252889344507521E-3</v>
      </c>
      <c r="G44" s="411">
        <f>G43/G50</f>
        <v>3.4963263864659119E-3</v>
      </c>
      <c r="H44" s="411">
        <f>H43/H50</f>
        <v>3.3965743638605891E-3</v>
      </c>
      <c r="I44" s="411">
        <f>I43/I50</f>
        <v>3.2192981831022914E-3</v>
      </c>
      <c r="J44" s="411">
        <f>J43/J50</f>
        <v>3.0100044548234907E-3</v>
      </c>
      <c r="K44" s="57"/>
      <c r="L44" s="40"/>
    </row>
    <row r="45" spans="2:19">
      <c r="C45" s="17"/>
      <c r="D45" s="17"/>
      <c r="E45" s="17"/>
      <c r="K45" s="38"/>
      <c r="L45" s="38"/>
      <c r="N45" s="38"/>
    </row>
    <row r="46" spans="2:19">
      <c r="K46" s="38"/>
      <c r="L46" s="38"/>
      <c r="N46" s="36"/>
    </row>
    <row r="47" spans="2:19">
      <c r="B47" s="134" t="s">
        <v>24</v>
      </c>
      <c r="C47" s="129"/>
      <c r="D47" s="129"/>
      <c r="E47" s="129"/>
      <c r="F47" s="129"/>
      <c r="G47" s="129"/>
      <c r="H47" s="129"/>
      <c r="I47" s="129"/>
      <c r="J47" s="129"/>
      <c r="O47" s="38"/>
    </row>
    <row r="48" spans="2:19" ht="19.5" thickBot="1">
      <c r="B48" s="2" t="s">
        <v>1</v>
      </c>
      <c r="C48" s="13">
        <v>2022</v>
      </c>
      <c r="D48" s="13">
        <v>2023</v>
      </c>
      <c r="E48" s="13">
        <v>2024</v>
      </c>
      <c r="F48" s="13" t="s">
        <v>0</v>
      </c>
      <c r="G48" s="13" t="s">
        <v>54</v>
      </c>
      <c r="H48" s="13" t="s">
        <v>55</v>
      </c>
      <c r="I48" s="13" t="s">
        <v>56</v>
      </c>
      <c r="J48" s="13" t="s">
        <v>57</v>
      </c>
      <c r="O48" s="36"/>
    </row>
    <row r="49" spans="2:19" ht="19.5" thickTop="1">
      <c r="B49" s="4" t="s">
        <v>697</v>
      </c>
      <c r="C49" s="60">
        <v>34376.181000000004</v>
      </c>
      <c r="D49" s="60">
        <v>29651.4</v>
      </c>
      <c r="E49" s="95">
        <v>32670.3</v>
      </c>
      <c r="F49" s="103">
        <v>37794.116450000001</v>
      </c>
      <c r="G49" s="103">
        <v>31194.004529166665</v>
      </c>
      <c r="H49" s="103">
        <v>36473.630833680552</v>
      </c>
      <c r="I49" s="103">
        <v>39124.591196730325</v>
      </c>
      <c r="J49" s="103">
        <v>43670.08867708574</v>
      </c>
      <c r="O49" s="36"/>
    </row>
    <row r="50" spans="2:19">
      <c r="B50" s="196" t="s">
        <v>23</v>
      </c>
      <c r="C50" s="160">
        <v>21239.1</v>
      </c>
      <c r="D50" s="160">
        <v>29651.4</v>
      </c>
      <c r="E50" s="229">
        <v>32670.3</v>
      </c>
      <c r="F50" s="230">
        <f>F51+F52+F55+F56+F57</f>
        <v>31025.542028951681</v>
      </c>
      <c r="G50" s="230">
        <f t="shared" ref="G50:J50" si="5">G51+G52+G55+G56+G57</f>
        <v>32003.686431127859</v>
      </c>
      <c r="H50" s="230">
        <f t="shared" si="5"/>
        <v>33081.402733291208</v>
      </c>
      <c r="I50" s="230">
        <f t="shared" si="5"/>
        <v>34545.083928434702</v>
      </c>
      <c r="J50" s="230">
        <f t="shared" si="5"/>
        <v>37150.521285344315</v>
      </c>
      <c r="K50" s="38"/>
      <c r="L50" s="38"/>
    </row>
    <row r="51" spans="2:19">
      <c r="B51" s="98" t="s">
        <v>89</v>
      </c>
      <c r="C51" s="60">
        <v>12501.099999999999</v>
      </c>
      <c r="D51" s="60">
        <v>19699.900000000001</v>
      </c>
      <c r="E51" s="95">
        <v>21999.1</v>
      </c>
      <c r="F51" s="104">
        <f>건축주택!H21</f>
        <v>19928.371726132995</v>
      </c>
      <c r="G51" s="104">
        <f>건축주택!I21</f>
        <v>21059.818751824485</v>
      </c>
      <c r="H51" s="104">
        <f>건축주택!J21</f>
        <v>21070.78639531001</v>
      </c>
      <c r="I51" s="104">
        <f>건축주택!K21</f>
        <v>21919.382127080444</v>
      </c>
      <c r="J51" s="104">
        <f>건축주택!L21</f>
        <v>22907.80452467519</v>
      </c>
      <c r="K51" s="41"/>
      <c r="L51" s="41"/>
    </row>
    <row r="52" spans="2:19">
      <c r="B52" s="98" t="s">
        <v>90</v>
      </c>
      <c r="C52" s="60">
        <v>5386.9000000000005</v>
      </c>
      <c r="D52" s="60">
        <v>6569.0999999999995</v>
      </c>
      <c r="E52" s="95">
        <v>6830.4000000000005</v>
      </c>
      <c r="F52" s="104">
        <f>플랜트!H21</f>
        <v>7649.6413763803603</v>
      </c>
      <c r="G52" s="104">
        <f>플랜트!I21</f>
        <v>7429.3008477024914</v>
      </c>
      <c r="H52" s="104">
        <f>플랜트!J21</f>
        <v>8473.016061586799</v>
      </c>
      <c r="I52" s="104">
        <f>플랜트!K21</f>
        <v>9102.8225165871754</v>
      </c>
      <c r="J52" s="104">
        <f>플랜트!L21</f>
        <v>10711.218505961968</v>
      </c>
    </row>
    <row r="53" spans="2:19">
      <c r="B53" s="232" t="s">
        <v>333</v>
      </c>
      <c r="C53" s="60">
        <v>82.7</v>
      </c>
      <c r="D53" s="60">
        <v>27.5</v>
      </c>
      <c r="E53" s="95">
        <v>16</v>
      </c>
      <c r="F53" s="104">
        <v>148.50000000000003</v>
      </c>
      <c r="G53" s="104">
        <v>547</v>
      </c>
      <c r="H53" s="104">
        <v>1901.0700000000002</v>
      </c>
      <c r="I53" s="104">
        <v>2683.64</v>
      </c>
      <c r="J53" s="104">
        <v>4558.2100000000009</v>
      </c>
    </row>
    <row r="54" spans="2:19">
      <c r="B54" s="232" t="s">
        <v>334</v>
      </c>
      <c r="C54" s="60">
        <v>5304.2669999999998</v>
      </c>
      <c r="D54" s="60">
        <v>6541.6440000000002</v>
      </c>
      <c r="E54" s="95">
        <v>6814.3980000000001</v>
      </c>
      <c r="F54" s="104">
        <v>7501.1413763803603</v>
      </c>
      <c r="G54" s="104">
        <v>6882.3008477024914</v>
      </c>
      <c r="H54" s="104">
        <v>6585.3556115867987</v>
      </c>
      <c r="I54" s="104">
        <v>6461.7966165871758</v>
      </c>
      <c r="J54" s="104">
        <v>6224.8271559619679</v>
      </c>
    </row>
    <row r="55" spans="2:19">
      <c r="B55" s="98" t="s">
        <v>91</v>
      </c>
      <c r="C55" s="60">
        <v>2458</v>
      </c>
      <c r="D55" s="60">
        <v>2740</v>
      </c>
      <c r="E55" s="95">
        <v>2780.2</v>
      </c>
      <c r="F55" s="104">
        <f>'토목 및 기타'!H17</f>
        <v>2639.103878418704</v>
      </c>
      <c r="G55" s="104">
        <f>'토목 및 기타'!I17</f>
        <v>2827.5409564398128</v>
      </c>
      <c r="H55" s="104">
        <f>'토목 및 기타'!J17</f>
        <v>2934.6922905074466</v>
      </c>
      <c r="I55" s="104">
        <f>'토목 및 기타'!K17</f>
        <v>3002.7555275511704</v>
      </c>
      <c r="J55" s="104">
        <f>'토목 및 기타'!L17</f>
        <v>3074.7184424325301</v>
      </c>
    </row>
    <row r="56" spans="2:19">
      <c r="B56" s="233" t="s">
        <v>2</v>
      </c>
      <c r="C56" s="66">
        <v>1296.5</v>
      </c>
      <c r="D56" s="66">
        <v>1336.2</v>
      </c>
      <c r="E56" s="231">
        <v>1492.4</v>
      </c>
      <c r="F56" s="106">
        <f>'토목 및 기타'!H18</f>
        <v>1383.3745173172531</v>
      </c>
      <c r="G56" s="106">
        <f>'토목 및 기타'!I18</f>
        <v>1280.101816009234</v>
      </c>
      <c r="H56" s="106">
        <f>'토목 및 기타'!J18</f>
        <v>1216.2041127048842</v>
      </c>
      <c r="I56" s="106">
        <f>'토목 및 기타'!K18</f>
        <v>1167.6279444859908</v>
      </c>
      <c r="J56" s="106">
        <f>'토목 및 기타'!L18</f>
        <v>1167.8978283304243</v>
      </c>
    </row>
    <row r="57" spans="2:19" ht="19.5" thickBot="1">
      <c r="B57" s="412" t="s">
        <v>330</v>
      </c>
      <c r="C57" s="402">
        <v>-403.5</v>
      </c>
      <c r="D57" s="402">
        <v>-693.9</v>
      </c>
      <c r="E57" s="405">
        <v>-431.9</v>
      </c>
      <c r="F57" s="406">
        <v>-574.94946929763478</v>
      </c>
      <c r="G57" s="406">
        <v>-593.07594084816742</v>
      </c>
      <c r="H57" s="406">
        <v>-613.29612681793515</v>
      </c>
      <c r="I57" s="406">
        <v>-647.50418727007207</v>
      </c>
      <c r="J57" s="406">
        <v>-711.11801605580195</v>
      </c>
    </row>
    <row r="58" spans="2:19">
      <c r="B58" s="43"/>
      <c r="C58" s="43"/>
      <c r="D58" s="43"/>
      <c r="E58" s="42"/>
      <c r="F58" s="42"/>
      <c r="G58" s="42"/>
      <c r="H58" s="42"/>
      <c r="Q58" s="42"/>
      <c r="R58" s="42"/>
    </row>
    <row r="59" spans="2:19">
      <c r="B59" s="318" t="s">
        <v>712</v>
      </c>
      <c r="C59" s="319">
        <f>C39/C49</f>
        <v>1.6783132483506528E-3</v>
      </c>
      <c r="D59" s="319">
        <f>D39/D49</f>
        <v>1.7071369311398449E-3</v>
      </c>
      <c r="E59" s="319">
        <f>E39/E49</f>
        <v>2.1304365126735905E-3</v>
      </c>
      <c r="M59" s="42"/>
      <c r="N59" s="42"/>
      <c r="Q59" s="42"/>
      <c r="R59" s="42"/>
    </row>
    <row r="60" spans="2:19" ht="19.5" thickBot="1">
      <c r="D60" s="316" t="s">
        <v>895</v>
      </c>
      <c r="E60" s="317" cm="1">
        <f t="array" ref="E60">GEOMEAN(C59:E59+1)-1</f>
        <v>1.8386075814715852E-3</v>
      </c>
      <c r="F60" s="42"/>
      <c r="G60" s="42"/>
      <c r="H60" s="42"/>
      <c r="I60" s="42"/>
      <c r="J60" s="42"/>
      <c r="K60" s="42"/>
      <c r="L60" s="42"/>
      <c r="M60" s="42"/>
      <c r="N60" s="42"/>
      <c r="O60" s="42"/>
      <c r="P60" s="42"/>
      <c r="Q60" s="42"/>
      <c r="R60" s="42"/>
      <c r="S60" s="42"/>
    </row>
    <row r="61" spans="2:19">
      <c r="B61" s="43"/>
      <c r="C61" s="43"/>
      <c r="D61" s="43"/>
      <c r="E61" s="42"/>
      <c r="F61" s="42"/>
      <c r="G61" s="42"/>
      <c r="H61" s="42"/>
      <c r="I61" s="42"/>
      <c r="J61" s="42"/>
      <c r="K61" s="42"/>
      <c r="L61" s="42"/>
      <c r="M61" s="42"/>
      <c r="N61" s="42"/>
      <c r="O61" s="42"/>
      <c r="P61" s="42"/>
      <c r="Q61" s="42"/>
      <c r="R61" s="42"/>
      <c r="S61" s="42"/>
    </row>
    <row r="62" spans="2:19">
      <c r="B62" s="43"/>
      <c r="C62" s="43"/>
      <c r="D62" s="43"/>
      <c r="E62" s="42"/>
      <c r="F62" s="42"/>
      <c r="G62" s="42"/>
      <c r="H62" s="42"/>
      <c r="I62" s="42"/>
      <c r="J62" s="42"/>
      <c r="K62" s="42"/>
      <c r="L62" s="42"/>
      <c r="M62" s="42"/>
      <c r="N62" s="42"/>
      <c r="O62" s="42"/>
      <c r="P62" s="42"/>
      <c r="Q62" s="42"/>
      <c r="R62" s="42"/>
      <c r="S62" s="42"/>
    </row>
    <row r="63" spans="2:19">
      <c r="B63" s="43"/>
      <c r="C63" s="43"/>
      <c r="D63" s="43"/>
      <c r="E63" s="42"/>
      <c r="F63" s="42"/>
      <c r="G63" s="42"/>
      <c r="H63" s="42"/>
      <c r="I63" s="42"/>
      <c r="J63" s="42"/>
      <c r="K63" s="42"/>
      <c r="L63" s="42"/>
      <c r="M63" s="42"/>
      <c r="N63" s="42"/>
      <c r="O63" s="42"/>
      <c r="P63" s="42"/>
      <c r="Q63" s="42"/>
      <c r="R63" s="42"/>
      <c r="S63" s="42"/>
    </row>
    <row r="64" spans="2:19">
      <c r="B64" s="43"/>
      <c r="C64" s="43"/>
      <c r="D64" s="43"/>
      <c r="E64" s="42"/>
      <c r="F64" s="42"/>
      <c r="G64" s="42"/>
      <c r="H64" s="42"/>
      <c r="I64" s="42"/>
      <c r="J64" s="42"/>
      <c r="K64" s="42"/>
      <c r="L64" s="42"/>
      <c r="M64" s="42"/>
      <c r="N64" s="42"/>
      <c r="O64" s="42"/>
      <c r="P64" s="42"/>
      <c r="Q64" s="42"/>
      <c r="R64" s="42"/>
      <c r="S64" s="42"/>
    </row>
    <row r="65" spans="2:19">
      <c r="B65" s="43"/>
      <c r="C65" s="43"/>
      <c r="D65" s="43"/>
      <c r="E65" s="42"/>
      <c r="F65" s="42"/>
      <c r="G65" s="42"/>
      <c r="H65" s="42"/>
      <c r="I65" s="42"/>
      <c r="J65" s="42"/>
      <c r="K65" s="42"/>
      <c r="L65" s="42"/>
      <c r="M65" s="42"/>
      <c r="N65" s="42"/>
      <c r="O65" s="42"/>
      <c r="P65" s="42"/>
      <c r="Q65" s="42"/>
      <c r="R65" s="42"/>
      <c r="S65" s="42"/>
    </row>
    <row r="66" spans="2:19">
      <c r="B66" s="43"/>
      <c r="C66" s="43"/>
      <c r="D66" s="43"/>
      <c r="E66" s="42"/>
      <c r="F66" s="42"/>
      <c r="G66" s="42"/>
      <c r="H66" s="42"/>
      <c r="I66" s="42"/>
      <c r="J66" s="42"/>
      <c r="K66" s="42"/>
      <c r="L66" s="42"/>
      <c r="M66" s="42"/>
      <c r="N66" s="42"/>
      <c r="O66" s="42"/>
      <c r="P66" s="42"/>
      <c r="Q66" s="42"/>
      <c r="R66" s="42"/>
      <c r="S66" s="42"/>
    </row>
    <row r="67" spans="2:19">
      <c r="B67" s="43"/>
      <c r="C67" s="43"/>
      <c r="D67" s="43"/>
      <c r="E67" s="42"/>
      <c r="F67" s="42"/>
      <c r="G67" s="42"/>
      <c r="H67" s="42"/>
      <c r="I67" s="42"/>
      <c r="J67" s="42"/>
      <c r="K67" s="42"/>
      <c r="L67" s="42"/>
      <c r="M67" s="42"/>
      <c r="N67" s="42"/>
      <c r="O67" s="42"/>
      <c r="P67" s="42"/>
      <c r="Q67" s="42"/>
      <c r="R67" s="42"/>
      <c r="S67" s="42"/>
    </row>
    <row r="68" spans="2:19">
      <c r="B68" s="43"/>
      <c r="C68" s="43"/>
      <c r="D68" s="43"/>
      <c r="E68" s="42"/>
      <c r="F68" s="42"/>
      <c r="G68" s="42"/>
      <c r="H68" s="42"/>
      <c r="I68" s="42"/>
      <c r="J68" s="42"/>
      <c r="K68" s="42"/>
      <c r="L68" s="42"/>
      <c r="M68" s="42"/>
      <c r="N68" s="42"/>
      <c r="O68" s="42"/>
      <c r="P68" s="42"/>
      <c r="Q68" s="42"/>
      <c r="R68" s="42"/>
      <c r="S68" s="42"/>
    </row>
    <row r="69" spans="2:19">
      <c r="B69" s="43"/>
      <c r="C69" s="43"/>
      <c r="D69" s="43"/>
      <c r="E69" s="42"/>
      <c r="F69" s="42"/>
      <c r="G69" s="42"/>
      <c r="H69" s="42"/>
      <c r="I69" s="42"/>
      <c r="J69" s="42"/>
      <c r="K69" s="42"/>
      <c r="L69" s="42"/>
      <c r="M69" s="42"/>
      <c r="N69" s="42"/>
      <c r="O69" s="42"/>
      <c r="P69" s="42"/>
      <c r="Q69" s="42"/>
      <c r="R69" s="42"/>
      <c r="S69" s="42"/>
    </row>
    <row r="70" spans="2:19">
      <c r="B70" s="43"/>
      <c r="C70" s="43"/>
      <c r="D70" s="43"/>
      <c r="E70" s="42"/>
      <c r="F70" s="42"/>
      <c r="G70" s="42"/>
      <c r="H70" s="42"/>
      <c r="I70" s="42"/>
      <c r="J70" s="42"/>
      <c r="K70" s="42"/>
      <c r="L70" s="42"/>
      <c r="M70" s="42"/>
      <c r="N70" s="42"/>
      <c r="O70" s="42"/>
      <c r="P70" s="42"/>
      <c r="Q70" s="42"/>
      <c r="R70" s="42"/>
      <c r="S70" s="42"/>
    </row>
    <row r="71" spans="2:19">
      <c r="B71" s="43"/>
      <c r="C71" s="43"/>
      <c r="D71" s="43"/>
      <c r="E71" s="42"/>
      <c r="F71" s="42"/>
      <c r="G71" s="42"/>
      <c r="H71" s="42"/>
      <c r="K71" s="42"/>
      <c r="L71" s="42"/>
      <c r="O71" s="42"/>
      <c r="P71" s="42"/>
      <c r="S71" s="42"/>
    </row>
    <row r="72" spans="2:19">
      <c r="K72" s="42"/>
      <c r="L72" s="42"/>
      <c r="O72" s="42"/>
      <c r="P72" s="42"/>
      <c r="S72" s="42"/>
    </row>
    <row r="75" spans="2:19">
      <c r="I75" s="42"/>
      <c r="J75" s="42"/>
      <c r="M75" s="42"/>
      <c r="N75" s="42"/>
      <c r="Q75" s="42"/>
      <c r="R75" s="42"/>
    </row>
    <row r="76" spans="2:19">
      <c r="E76" s="42"/>
      <c r="F76" s="42"/>
      <c r="G76" s="42"/>
      <c r="H76" s="42"/>
    </row>
    <row r="77" spans="2:19">
      <c r="H77" s="29"/>
      <c r="K77" s="42"/>
      <c r="L77" s="42"/>
      <c r="O77" s="42"/>
      <c r="P77" s="42"/>
      <c r="S77" s="42"/>
    </row>
    <row r="78" spans="2:19">
      <c r="L78" s="29"/>
      <c r="P78" s="29"/>
    </row>
    <row r="80" spans="2:19">
      <c r="I80" s="16"/>
      <c r="J80" s="16"/>
      <c r="M80" s="16"/>
    </row>
    <row r="81" spans="8:19">
      <c r="H81" s="16"/>
    </row>
    <row r="82" spans="8:19">
      <c r="I82" s="42"/>
      <c r="J82" s="42"/>
      <c r="K82" s="16"/>
      <c r="L82" s="16"/>
      <c r="M82" s="42"/>
      <c r="N82" s="42"/>
      <c r="Q82" s="42"/>
      <c r="R82" s="42"/>
    </row>
    <row r="83" spans="8:19">
      <c r="H83" s="42"/>
      <c r="I83" s="42"/>
      <c r="J83" s="42"/>
      <c r="M83" s="42"/>
      <c r="N83" s="42"/>
      <c r="Q83" s="42"/>
      <c r="R83" s="42"/>
    </row>
    <row r="84" spans="8:19">
      <c r="H84" s="42"/>
      <c r="K84" s="42"/>
      <c r="L84" s="42"/>
      <c r="O84" s="42"/>
      <c r="P84" s="42"/>
      <c r="S84" s="42"/>
    </row>
    <row r="85" spans="8:19">
      <c r="K85" s="42"/>
      <c r="L85" s="42"/>
      <c r="O85" s="42"/>
      <c r="P85" s="42"/>
      <c r="S85" s="42"/>
    </row>
  </sheetData>
  <mergeCells count="1">
    <mergeCell ref="B1:E2"/>
  </mergeCells>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941ED-0449-4477-BE68-95D567495C24}">
  <sheetPr>
    <tabColor rgb="FF00A84F"/>
  </sheetPr>
  <dimension ref="A1:AK61"/>
  <sheetViews>
    <sheetView zoomScaleNormal="100" workbookViewId="0">
      <selection activeCell="I26" sqref="I26"/>
    </sheetView>
  </sheetViews>
  <sheetFormatPr defaultColWidth="12.75" defaultRowHeight="17.25"/>
  <cols>
    <col min="1" max="16384" width="12.75" style="146"/>
  </cols>
  <sheetData>
    <row r="1" spans="1:37" s="123" customFormat="1" ht="40.9" customHeight="1">
      <c r="A1" s="143" t="s">
        <v>759</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row>
    <row r="2" spans="1:37">
      <c r="A2" s="126"/>
      <c r="B2" s="126"/>
      <c r="C2" s="126"/>
      <c r="D2" s="126"/>
      <c r="E2" s="126"/>
      <c r="F2" s="126"/>
      <c r="G2" s="305"/>
      <c r="H2" s="305"/>
      <c r="I2" s="305"/>
      <c r="J2" s="305"/>
      <c r="K2" s="305"/>
      <c r="L2" s="305"/>
      <c r="M2" s="305"/>
      <c r="N2" s="305"/>
      <c r="O2" s="305"/>
      <c r="P2" s="305"/>
      <c r="Q2" s="305"/>
      <c r="R2" s="305"/>
      <c r="S2" s="305"/>
      <c r="T2" s="305"/>
      <c r="U2" s="305"/>
      <c r="V2" s="305"/>
      <c r="W2" s="305"/>
      <c r="X2" s="305"/>
      <c r="Y2" s="305"/>
      <c r="Z2" s="305"/>
      <c r="AA2" s="305"/>
      <c r="AB2" s="305"/>
      <c r="AC2" s="305"/>
      <c r="AD2" s="305"/>
      <c r="AE2" s="305"/>
      <c r="AF2" s="305"/>
      <c r="AG2" s="305"/>
      <c r="AH2" s="305"/>
      <c r="AI2" s="305"/>
      <c r="AJ2" s="305"/>
      <c r="AK2" s="305"/>
    </row>
    <row r="3" spans="1:37">
      <c r="A3" s="126"/>
      <c r="B3" s="126"/>
      <c r="C3" s="126"/>
      <c r="D3" s="126"/>
      <c r="E3" s="126"/>
      <c r="F3" s="126"/>
      <c r="G3" s="305"/>
      <c r="H3" s="305"/>
      <c r="I3" s="305"/>
      <c r="J3" s="305"/>
      <c r="K3" s="305"/>
      <c r="L3" s="305"/>
      <c r="M3" s="305"/>
      <c r="N3" s="305"/>
      <c r="O3" s="305"/>
      <c r="P3" s="305"/>
      <c r="Q3" s="305"/>
      <c r="R3" s="305"/>
      <c r="S3" s="305"/>
      <c r="T3" s="305"/>
      <c r="U3" s="305"/>
      <c r="V3" s="305"/>
      <c r="W3" s="305"/>
      <c r="X3" s="305"/>
      <c r="Y3" s="305"/>
      <c r="Z3" s="305"/>
      <c r="AA3" s="305"/>
      <c r="AB3" s="305"/>
      <c r="AC3" s="305"/>
      <c r="AD3" s="305"/>
      <c r="AE3" s="305"/>
      <c r="AF3" s="305"/>
      <c r="AG3" s="305"/>
      <c r="AH3" s="305"/>
      <c r="AI3" s="305"/>
      <c r="AJ3" s="305"/>
      <c r="AK3" s="305"/>
    </row>
    <row r="4" spans="1:37">
      <c r="A4" s="126"/>
      <c r="B4" s="126"/>
      <c r="C4" s="126"/>
      <c r="D4" s="126"/>
      <c r="E4" s="126"/>
      <c r="F4" s="126"/>
      <c r="G4" s="305"/>
      <c r="H4" s="305"/>
      <c r="I4" s="305"/>
      <c r="J4" s="305"/>
      <c r="K4" s="305"/>
      <c r="L4" s="305"/>
      <c r="M4" s="305"/>
      <c r="N4" s="305"/>
      <c r="O4" s="305"/>
      <c r="P4" s="305"/>
      <c r="Q4" s="305"/>
      <c r="R4" s="305"/>
      <c r="S4" s="305"/>
      <c r="T4" s="305"/>
      <c r="U4" s="305"/>
      <c r="V4" s="305"/>
      <c r="W4" s="305"/>
      <c r="X4" s="305"/>
      <c r="Y4" s="305"/>
      <c r="Z4" s="305"/>
      <c r="AA4" s="305"/>
      <c r="AB4" s="305"/>
      <c r="AC4" s="305"/>
      <c r="AD4" s="305"/>
      <c r="AE4" s="305"/>
      <c r="AF4" s="305"/>
      <c r="AG4" s="305"/>
      <c r="AH4" s="305"/>
      <c r="AI4" s="305"/>
      <c r="AJ4" s="305"/>
      <c r="AK4" s="305"/>
    </row>
    <row r="5" spans="1:37">
      <c r="A5" s="126"/>
      <c r="B5" s="126"/>
      <c r="C5" s="126"/>
      <c r="D5" s="126"/>
      <c r="E5" s="126"/>
      <c r="F5" s="126"/>
      <c r="G5" s="305"/>
      <c r="H5" s="305"/>
      <c r="I5" s="305"/>
      <c r="J5" s="305"/>
      <c r="K5" s="305"/>
      <c r="L5" s="305"/>
      <c r="M5" s="305"/>
      <c r="N5" s="305"/>
      <c r="O5" s="305"/>
      <c r="P5" s="305"/>
      <c r="Q5" s="305"/>
      <c r="R5" s="305"/>
      <c r="S5" s="305"/>
      <c r="T5" s="305"/>
      <c r="U5" s="305"/>
      <c r="V5" s="305"/>
      <c r="W5" s="305"/>
      <c r="X5" s="305"/>
      <c r="Y5" s="305"/>
      <c r="Z5" s="305"/>
      <c r="AA5" s="305"/>
      <c r="AB5" s="305"/>
      <c r="AC5" s="305"/>
      <c r="AD5" s="305"/>
      <c r="AE5" s="305"/>
      <c r="AF5" s="305"/>
      <c r="AG5" s="305"/>
      <c r="AH5" s="305"/>
      <c r="AI5" s="305"/>
      <c r="AJ5" s="305"/>
      <c r="AK5" s="305"/>
    </row>
    <row r="6" spans="1:37">
      <c r="A6" s="126"/>
      <c r="B6" s="126"/>
      <c r="C6" s="126"/>
      <c r="D6" s="126"/>
      <c r="E6" s="126"/>
      <c r="F6" s="126"/>
      <c r="G6" s="305"/>
      <c r="H6" s="305"/>
      <c r="I6" s="305"/>
      <c r="J6" s="305"/>
      <c r="K6" s="305"/>
      <c r="L6" s="305"/>
      <c r="M6" s="305"/>
      <c r="N6" s="305"/>
      <c r="O6" s="305"/>
      <c r="P6" s="305"/>
      <c r="Q6" s="305"/>
      <c r="R6" s="305"/>
      <c r="S6" s="305"/>
      <c r="T6" s="305"/>
      <c r="U6" s="305"/>
      <c r="V6" s="305"/>
      <c r="W6" s="305"/>
      <c r="X6" s="305"/>
      <c r="Y6" s="305"/>
      <c r="Z6" s="305"/>
      <c r="AA6" s="305"/>
      <c r="AB6" s="305"/>
      <c r="AC6" s="305"/>
      <c r="AD6" s="305"/>
      <c r="AE6" s="305"/>
      <c r="AF6" s="305"/>
      <c r="AG6" s="305"/>
      <c r="AH6" s="305"/>
      <c r="AI6" s="305"/>
      <c r="AJ6" s="305"/>
      <c r="AK6" s="305"/>
    </row>
    <row r="7" spans="1:37">
      <c r="A7" s="126"/>
      <c r="B7" s="126"/>
      <c r="C7" s="126"/>
      <c r="D7" s="126"/>
      <c r="E7" s="126"/>
      <c r="F7" s="126"/>
      <c r="G7" s="305"/>
      <c r="H7" s="305"/>
      <c r="I7" s="305"/>
      <c r="J7" s="305"/>
      <c r="K7" s="305"/>
      <c r="L7" s="305"/>
      <c r="M7" s="305"/>
      <c r="N7" s="305"/>
      <c r="O7" s="305"/>
      <c r="P7" s="305"/>
      <c r="Q7" s="305"/>
      <c r="R7" s="305"/>
      <c r="S7" s="305"/>
      <c r="T7" s="305"/>
      <c r="U7" s="305"/>
      <c r="V7" s="305"/>
      <c r="W7" s="305"/>
      <c r="X7" s="305"/>
      <c r="Y7" s="305"/>
      <c r="Z7" s="305"/>
      <c r="AA7" s="305"/>
      <c r="AB7" s="305"/>
      <c r="AC7" s="305"/>
      <c r="AD7" s="305"/>
      <c r="AE7" s="305"/>
      <c r="AF7" s="305"/>
      <c r="AG7" s="305"/>
      <c r="AH7" s="305"/>
      <c r="AI7" s="305"/>
      <c r="AJ7" s="305"/>
      <c r="AK7" s="305"/>
    </row>
    <row r="8" spans="1:37" s="123" customFormat="1" ht="27.6" customHeight="1">
      <c r="A8" s="478" t="s">
        <v>902</v>
      </c>
      <c r="B8" s="478"/>
      <c r="C8" s="478"/>
      <c r="D8" s="478"/>
      <c r="E8" s="478"/>
      <c r="F8" s="144"/>
      <c r="G8" s="144"/>
      <c r="H8" s="144"/>
      <c r="I8" s="144"/>
      <c r="J8" s="144"/>
      <c r="K8" s="144"/>
      <c r="L8" s="144"/>
      <c r="M8" s="144"/>
      <c r="N8" s="144"/>
      <c r="O8" s="144"/>
      <c r="P8" s="144"/>
      <c r="Q8" s="144"/>
      <c r="R8" s="144"/>
      <c r="S8" s="144"/>
      <c r="T8" s="144"/>
      <c r="U8" s="144"/>
      <c r="V8" s="144"/>
      <c r="W8" s="144"/>
      <c r="X8" s="144"/>
      <c r="Y8" s="144"/>
      <c r="Z8" s="144"/>
      <c r="AA8" s="144"/>
      <c r="AB8" s="144"/>
      <c r="AC8" s="144"/>
      <c r="AD8" s="144"/>
      <c r="AE8" s="144"/>
      <c r="AF8" s="144"/>
      <c r="AG8" s="144"/>
      <c r="AH8" s="144"/>
      <c r="AI8" s="144"/>
      <c r="AJ8" s="144"/>
      <c r="AK8" s="144"/>
    </row>
    <row r="9" spans="1:37">
      <c r="A9" s="145"/>
      <c r="B9" s="145"/>
      <c r="C9" s="145"/>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145"/>
      <c r="AH9" s="145"/>
      <c r="AI9" s="145"/>
      <c r="AJ9" s="145"/>
      <c r="AK9" s="145"/>
    </row>
    <row r="10" spans="1:37">
      <c r="A10" s="145"/>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c r="AA10" s="145"/>
      <c r="AB10" s="145"/>
      <c r="AC10" s="145"/>
      <c r="AD10" s="145"/>
      <c r="AE10" s="145"/>
      <c r="AF10" s="145"/>
      <c r="AG10" s="145"/>
      <c r="AH10" s="145"/>
      <c r="AI10" s="145"/>
      <c r="AJ10" s="145"/>
      <c r="AK10" s="145"/>
    </row>
    <row r="11" spans="1:37">
      <c r="A11" s="145"/>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c r="AD11" s="145"/>
      <c r="AE11" s="145"/>
      <c r="AF11" s="145"/>
      <c r="AG11" s="145"/>
      <c r="AH11" s="145"/>
      <c r="AI11" s="145"/>
      <c r="AJ11" s="145"/>
      <c r="AK11" s="145"/>
    </row>
    <row r="12" spans="1:37">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45"/>
      <c r="AH12" s="145"/>
      <c r="AI12" s="145"/>
      <c r="AJ12" s="145"/>
      <c r="AK12" s="145"/>
    </row>
    <row r="13" spans="1:37">
      <c r="A13" s="145"/>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145"/>
      <c r="AH13" s="145"/>
      <c r="AI13" s="145"/>
      <c r="AJ13" s="145"/>
      <c r="AK13" s="145"/>
    </row>
    <row r="14" spans="1:37">
      <c r="A14" s="145"/>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c r="AA14" s="145"/>
      <c r="AB14" s="145"/>
      <c r="AC14" s="145"/>
      <c r="AD14" s="145"/>
      <c r="AE14" s="145"/>
      <c r="AF14" s="145"/>
      <c r="AG14" s="145"/>
      <c r="AH14" s="145"/>
      <c r="AI14" s="145"/>
      <c r="AJ14" s="145"/>
      <c r="AK14" s="145"/>
    </row>
    <row r="15" spans="1:37">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145"/>
      <c r="AH15" s="145"/>
      <c r="AI15" s="145"/>
      <c r="AJ15" s="145"/>
      <c r="AK15" s="145"/>
    </row>
    <row r="16" spans="1:37">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c r="AG16" s="145"/>
      <c r="AH16" s="145"/>
      <c r="AI16" s="145"/>
      <c r="AJ16" s="145"/>
      <c r="AK16" s="145"/>
    </row>
    <row r="17" spans="1:37">
      <c r="A17" s="145"/>
      <c r="B17" s="145"/>
      <c r="C17" s="147" t="s">
        <v>31</v>
      </c>
      <c r="D17" s="145"/>
      <c r="E17" s="145"/>
      <c r="F17" s="145"/>
      <c r="G17" s="145"/>
      <c r="H17" s="145"/>
      <c r="I17" s="145"/>
      <c r="J17" s="145"/>
      <c r="K17" s="145"/>
      <c r="L17" s="145"/>
      <c r="M17" s="145"/>
      <c r="N17" s="145"/>
      <c r="O17" s="145"/>
      <c r="P17" s="145"/>
      <c r="Q17" s="145"/>
      <c r="R17" s="145"/>
      <c r="S17" s="145"/>
      <c r="T17" s="145"/>
      <c r="U17" s="145"/>
      <c r="V17" s="145"/>
      <c r="W17" s="145"/>
      <c r="X17" s="145"/>
      <c r="Y17" s="145"/>
      <c r="Z17" s="145"/>
      <c r="AA17" s="145"/>
      <c r="AB17" s="145"/>
      <c r="AC17" s="145"/>
      <c r="AD17" s="145"/>
      <c r="AE17" s="145"/>
      <c r="AF17" s="145"/>
      <c r="AG17" s="145"/>
      <c r="AH17" s="145"/>
      <c r="AI17" s="145"/>
      <c r="AJ17" s="145"/>
      <c r="AK17" s="145"/>
    </row>
    <row r="18" spans="1:37">
      <c r="A18" s="145"/>
      <c r="B18" s="145"/>
      <c r="C18" s="148" t="s">
        <v>30</v>
      </c>
      <c r="D18" s="145"/>
      <c r="E18" s="145"/>
      <c r="F18" s="145"/>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c r="AG18" s="145"/>
      <c r="AH18" s="145"/>
      <c r="AI18" s="145"/>
      <c r="AJ18" s="145"/>
      <c r="AK18" s="145"/>
    </row>
    <row r="19" spans="1:37">
      <c r="A19" s="145"/>
      <c r="B19" s="145"/>
      <c r="C19" s="148" t="s">
        <v>29</v>
      </c>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c r="AD19" s="145"/>
      <c r="AE19" s="145"/>
      <c r="AF19" s="145"/>
      <c r="AG19" s="145"/>
      <c r="AH19" s="145"/>
      <c r="AI19" s="145"/>
      <c r="AJ19" s="145"/>
      <c r="AK19" s="145"/>
    </row>
    <row r="20" spans="1:37">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c r="AI20" s="145"/>
      <c r="AJ20" s="145"/>
      <c r="AK20" s="145"/>
    </row>
    <row r="21" spans="1:37">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c r="AI21" s="145"/>
      <c r="AJ21" s="145"/>
      <c r="AK21" s="145"/>
    </row>
    <row r="22" spans="1:37">
      <c r="A22" s="14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c r="AI22" s="145"/>
      <c r="AJ22" s="145"/>
      <c r="AK22" s="145"/>
    </row>
    <row r="23" spans="1:37">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5"/>
    </row>
    <row r="24" spans="1:37">
      <c r="A24" s="145"/>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row>
    <row r="25" spans="1:37">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145"/>
      <c r="AH25" s="145"/>
      <c r="AI25" s="145"/>
      <c r="AJ25" s="145"/>
      <c r="AK25" s="145"/>
    </row>
    <row r="26" spans="1:37">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c r="AA26" s="145"/>
      <c r="AB26" s="145"/>
      <c r="AC26" s="145"/>
      <c r="AD26" s="145"/>
      <c r="AE26" s="145"/>
      <c r="AF26" s="145"/>
      <c r="AG26" s="145"/>
      <c r="AH26" s="145"/>
      <c r="AI26" s="145"/>
      <c r="AJ26" s="145"/>
      <c r="AK26" s="145"/>
    </row>
    <row r="27" spans="1:3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c r="AA27" s="145"/>
      <c r="AB27" s="145"/>
      <c r="AC27" s="145"/>
      <c r="AD27" s="145"/>
      <c r="AE27" s="145"/>
      <c r="AF27" s="145"/>
      <c r="AG27" s="145"/>
      <c r="AH27" s="145"/>
      <c r="AI27" s="145"/>
      <c r="AJ27" s="145"/>
      <c r="AK27" s="145"/>
    </row>
    <row r="28" spans="1:37">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c r="AA28" s="145"/>
      <c r="AB28" s="145"/>
      <c r="AC28" s="145"/>
      <c r="AD28" s="145"/>
      <c r="AE28" s="145"/>
      <c r="AF28" s="145"/>
      <c r="AG28" s="145"/>
      <c r="AH28" s="145"/>
      <c r="AI28" s="145"/>
      <c r="AJ28" s="145"/>
      <c r="AK28" s="145"/>
    </row>
    <row r="29" spans="1:37">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145"/>
      <c r="AH29" s="145"/>
      <c r="AI29" s="145"/>
      <c r="AJ29" s="145"/>
      <c r="AK29" s="145"/>
    </row>
    <row r="30" spans="1:37">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c r="AA30" s="145"/>
      <c r="AB30" s="145"/>
      <c r="AC30" s="145"/>
      <c r="AD30" s="145"/>
      <c r="AE30" s="145"/>
      <c r="AF30" s="145"/>
      <c r="AG30" s="145"/>
      <c r="AH30" s="145"/>
      <c r="AI30" s="145"/>
      <c r="AJ30" s="145"/>
      <c r="AK30" s="145"/>
    </row>
    <row r="31" spans="1:37">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c r="AA31" s="145"/>
      <c r="AB31" s="145"/>
      <c r="AC31" s="145"/>
      <c r="AD31" s="145"/>
      <c r="AE31" s="145"/>
      <c r="AF31" s="145"/>
      <c r="AG31" s="145"/>
      <c r="AH31" s="145"/>
      <c r="AI31" s="145"/>
      <c r="AJ31" s="145"/>
      <c r="AK31" s="145"/>
    </row>
    <row r="32" spans="1:37">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145"/>
      <c r="AH32" s="145"/>
      <c r="AI32" s="145"/>
      <c r="AJ32" s="145"/>
      <c r="AK32" s="145"/>
    </row>
    <row r="33" spans="1:37">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c r="AG33" s="145"/>
      <c r="AH33" s="145"/>
      <c r="AI33" s="145"/>
      <c r="AJ33" s="145"/>
      <c r="AK33" s="145"/>
    </row>
    <row r="34" spans="1:37">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c r="AG34" s="145"/>
      <c r="AH34" s="145"/>
      <c r="AI34" s="145"/>
      <c r="AJ34" s="145"/>
      <c r="AK34" s="145"/>
    </row>
    <row r="35" spans="1:37">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45"/>
      <c r="AH35" s="145"/>
      <c r="AI35" s="145"/>
      <c r="AJ35" s="145"/>
      <c r="AK35" s="145"/>
    </row>
    <row r="36" spans="1:37">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45"/>
      <c r="AH36" s="145"/>
      <c r="AI36" s="145"/>
      <c r="AJ36" s="145"/>
      <c r="AK36" s="145"/>
    </row>
    <row r="37" spans="1:37">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45"/>
      <c r="AH37" s="145"/>
      <c r="AI37" s="145"/>
      <c r="AJ37" s="145"/>
      <c r="AK37" s="145"/>
    </row>
    <row r="38" spans="1:37">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45"/>
      <c r="AH38" s="145"/>
      <c r="AI38" s="145"/>
      <c r="AJ38" s="145"/>
      <c r="AK38" s="145"/>
    </row>
    <row r="39" spans="1:37">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145"/>
      <c r="AH39" s="145"/>
      <c r="AI39" s="145"/>
      <c r="AJ39" s="145"/>
      <c r="AK39" s="145"/>
    </row>
    <row r="40" spans="1:37">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45"/>
      <c r="AH40" s="145"/>
      <c r="AI40" s="145"/>
      <c r="AJ40" s="145"/>
      <c r="AK40" s="145"/>
    </row>
    <row r="41" spans="1:37">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c r="AH41" s="145"/>
      <c r="AI41" s="145"/>
      <c r="AJ41" s="145"/>
      <c r="AK41" s="145"/>
    </row>
    <row r="42" spans="1:37">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row>
    <row r="43" spans="1:37">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c r="AH43" s="145"/>
      <c r="AI43" s="145"/>
      <c r="AJ43" s="145"/>
      <c r="AK43" s="145"/>
    </row>
    <row r="44" spans="1:37">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c r="AH44" s="145"/>
      <c r="AI44" s="145"/>
      <c r="AJ44" s="145"/>
      <c r="AK44" s="145"/>
    </row>
    <row r="45" spans="1:37">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c r="AI45" s="145"/>
      <c r="AJ45" s="145"/>
      <c r="AK45" s="145"/>
    </row>
    <row r="46" spans="1:37">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45"/>
      <c r="AH46" s="145"/>
      <c r="AI46" s="145"/>
      <c r="AJ46" s="145"/>
      <c r="AK46" s="145"/>
    </row>
    <row r="47" spans="1:37">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c r="AI47" s="145"/>
      <c r="AJ47" s="145"/>
      <c r="AK47" s="145"/>
    </row>
    <row r="48" spans="1:37">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row>
    <row r="49" spans="1:37">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c r="AI49" s="145"/>
      <c r="AJ49" s="145"/>
      <c r="AK49" s="145"/>
    </row>
    <row r="50" spans="1:37">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row>
    <row r="51" spans="1:37">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c r="AH51" s="145"/>
      <c r="AI51" s="145"/>
      <c r="AJ51" s="145"/>
      <c r="AK51" s="145"/>
    </row>
    <row r="52" spans="1:37">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c r="AH52" s="145"/>
      <c r="AI52" s="145"/>
      <c r="AJ52" s="145"/>
      <c r="AK52" s="145"/>
    </row>
    <row r="53" spans="1:37">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45"/>
      <c r="AH53" s="145"/>
      <c r="AI53" s="145"/>
      <c r="AJ53" s="145"/>
      <c r="AK53" s="145"/>
    </row>
    <row r="54" spans="1:37">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45"/>
      <c r="AH54" s="145"/>
      <c r="AI54" s="145"/>
      <c r="AJ54" s="145"/>
      <c r="AK54" s="145"/>
    </row>
    <row r="55" spans="1:37">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45"/>
      <c r="AH55" s="145"/>
      <c r="AI55" s="145"/>
      <c r="AJ55" s="145"/>
      <c r="AK55" s="145"/>
    </row>
    <row r="56" spans="1:37">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row>
    <row r="57" spans="1:3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45"/>
      <c r="AH57" s="145"/>
      <c r="AI57" s="145"/>
      <c r="AJ57" s="145"/>
      <c r="AK57" s="145"/>
    </row>
    <row r="58" spans="1:37">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45"/>
      <c r="AH58" s="145"/>
      <c r="AI58" s="145"/>
      <c r="AJ58" s="145"/>
      <c r="AK58" s="145"/>
    </row>
    <row r="59" spans="1:37">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c r="AG59" s="145"/>
      <c r="AH59" s="145"/>
      <c r="AI59" s="145"/>
      <c r="AJ59" s="145"/>
      <c r="AK59" s="145"/>
    </row>
    <row r="60" spans="1:37">
      <c r="A60" s="145"/>
    </row>
    <row r="61" spans="1:37">
      <c r="A61" s="145"/>
    </row>
  </sheetData>
  <mergeCells count="1">
    <mergeCell ref="A8:E8"/>
  </mergeCells>
  <phoneticPr fontId="2"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97A7-BAF5-41C6-9FD6-E42A14BDA755}">
  <dimension ref="C3:F80"/>
  <sheetViews>
    <sheetView showGridLines="0" zoomScaleNormal="100" workbookViewId="0"/>
  </sheetViews>
  <sheetFormatPr defaultRowHeight="16.5"/>
  <cols>
    <col min="1" max="2" width="2.625" customWidth="1"/>
    <col min="3" max="3" width="11.125" customWidth="1"/>
    <col min="4" max="4" width="9.125" bestFit="1" customWidth="1"/>
    <col min="5" max="5" width="10.25" bestFit="1" customWidth="1"/>
    <col min="6" max="6" width="10.25" customWidth="1"/>
  </cols>
  <sheetData>
    <row r="3" spans="3:6" ht="18.75">
      <c r="C3" s="134" t="s">
        <v>876</v>
      </c>
      <c r="D3" s="134"/>
      <c r="E3" s="134"/>
      <c r="F3" s="134"/>
    </row>
    <row r="4" spans="3:6" ht="19.5" thickBot="1">
      <c r="C4" s="444" t="s">
        <v>877</v>
      </c>
      <c r="D4" s="444" t="s">
        <v>794</v>
      </c>
      <c r="E4" s="444" t="s">
        <v>315</v>
      </c>
      <c r="F4" s="444" t="s">
        <v>875</v>
      </c>
    </row>
    <row r="5" spans="3:6" ht="19.5" thickTop="1">
      <c r="C5" s="476" t="s">
        <v>799</v>
      </c>
      <c r="D5" s="278">
        <v>5419.7309999999998</v>
      </c>
      <c r="E5" s="278">
        <v>24535.3</v>
      </c>
      <c r="F5" s="413">
        <f t="shared" ref="F5:F36" si="0">D5/E5</f>
        <v>0.22089524073477806</v>
      </c>
    </row>
    <row r="6" spans="3:6" ht="18.75">
      <c r="C6" s="78" t="s">
        <v>800</v>
      </c>
      <c r="D6" s="278">
        <v>4761.7640000000001</v>
      </c>
      <c r="E6" s="278">
        <v>26243.3</v>
      </c>
      <c r="F6" s="413">
        <f t="shared" si="0"/>
        <v>0.18144684548056075</v>
      </c>
    </row>
    <row r="7" spans="3:6" ht="18.75">
      <c r="C7" s="78" t="s">
        <v>801</v>
      </c>
      <c r="D7" s="278">
        <v>5571.6679999999997</v>
      </c>
      <c r="E7" s="278">
        <v>29066.5</v>
      </c>
      <c r="F7" s="413">
        <f t="shared" si="0"/>
        <v>0.19168692481034866</v>
      </c>
    </row>
    <row r="8" spans="3:6" ht="18.75">
      <c r="C8" s="78" t="s">
        <v>802</v>
      </c>
      <c r="D8" s="278">
        <v>6308.66</v>
      </c>
      <c r="E8" s="278">
        <v>29226.5</v>
      </c>
      <c r="F8" s="413">
        <f t="shared" si="0"/>
        <v>0.21585410500744187</v>
      </c>
    </row>
    <row r="9" spans="3:6" ht="18.75">
      <c r="C9" s="78" t="s">
        <v>803</v>
      </c>
      <c r="D9" s="278">
        <v>5611.9520000000002</v>
      </c>
      <c r="E9" s="278">
        <v>30327</v>
      </c>
      <c r="F9" s="413">
        <f t="shared" si="0"/>
        <v>0.1850480429979886</v>
      </c>
    </row>
    <row r="10" spans="3:6" ht="18.75">
      <c r="C10" s="78" t="s">
        <v>804</v>
      </c>
      <c r="D10" s="278">
        <v>7483.5190000000002</v>
      </c>
      <c r="E10" s="278">
        <v>32368.9</v>
      </c>
      <c r="F10" s="413">
        <f t="shared" si="0"/>
        <v>0.23119472703737229</v>
      </c>
    </row>
    <row r="11" spans="3:6" ht="18.75">
      <c r="C11" s="78" t="s">
        <v>805</v>
      </c>
      <c r="D11" s="278">
        <v>9691.2510000000002</v>
      </c>
      <c r="E11" s="278">
        <v>34807.1</v>
      </c>
      <c r="F11" s="413">
        <f t="shared" si="0"/>
        <v>0.27842741854391778</v>
      </c>
    </row>
    <row r="12" spans="3:6" ht="18.75">
      <c r="C12" s="78" t="s">
        <v>806</v>
      </c>
      <c r="D12" s="278">
        <v>9783.6669999999995</v>
      </c>
      <c r="E12" s="278">
        <v>32392.3</v>
      </c>
      <c r="F12" s="413">
        <f t="shared" si="0"/>
        <v>0.30203681121748066</v>
      </c>
    </row>
    <row r="13" spans="3:6" ht="18.75">
      <c r="C13" s="78" t="s">
        <v>807</v>
      </c>
      <c r="D13" s="278">
        <v>9541.1129999999994</v>
      </c>
      <c r="E13" s="278">
        <v>34607.1</v>
      </c>
      <c r="F13" s="413">
        <f t="shared" si="0"/>
        <v>0.27569813708747626</v>
      </c>
    </row>
    <row r="14" spans="3:6" ht="18.75">
      <c r="C14" s="78" t="s">
        <v>808</v>
      </c>
      <c r="D14" s="278">
        <v>7716.7120000000004</v>
      </c>
      <c r="E14" s="278">
        <v>38454.699999999997</v>
      </c>
      <c r="F14" s="413">
        <f t="shared" si="0"/>
        <v>0.20067019115998827</v>
      </c>
    </row>
    <row r="15" spans="3:6" ht="18.75">
      <c r="C15" s="78" t="s">
        <v>809</v>
      </c>
      <c r="D15" s="278">
        <v>7761.1090000000004</v>
      </c>
      <c r="E15" s="278">
        <v>39169.699999999997</v>
      </c>
      <c r="F15" s="413">
        <f t="shared" si="0"/>
        <v>0.19814062910872438</v>
      </c>
    </row>
    <row r="16" spans="3:6" ht="18.75">
      <c r="C16" s="78" t="s">
        <v>810</v>
      </c>
      <c r="D16" s="278">
        <v>6340.5969999999998</v>
      </c>
      <c r="E16" s="278">
        <v>41774.400000000001</v>
      </c>
      <c r="F16" s="413">
        <f t="shared" si="0"/>
        <v>0.15178188076908344</v>
      </c>
    </row>
    <row r="17" spans="3:6" ht="18.75">
      <c r="C17" s="78" t="s">
        <v>811</v>
      </c>
      <c r="D17" s="278">
        <v>6552.11</v>
      </c>
      <c r="E17" s="278">
        <v>44277.599999999999</v>
      </c>
      <c r="F17" s="413">
        <f t="shared" si="0"/>
        <v>0.14797798435326215</v>
      </c>
    </row>
    <row r="18" spans="3:6" ht="18.75">
      <c r="C18" s="78" t="s">
        <v>812</v>
      </c>
      <c r="D18" s="278">
        <v>5933.0770000000002</v>
      </c>
      <c r="E18" s="278">
        <v>45354.1</v>
      </c>
      <c r="F18" s="413">
        <f t="shared" si="0"/>
        <v>0.13081677290476496</v>
      </c>
    </row>
    <row r="19" spans="3:6" ht="18.75">
      <c r="C19" s="78" t="s">
        <v>813</v>
      </c>
      <c r="D19" s="278">
        <v>7111.4219999999996</v>
      </c>
      <c r="E19" s="278">
        <v>47476.6</v>
      </c>
      <c r="F19" s="413">
        <f t="shared" si="0"/>
        <v>0.14978793763664625</v>
      </c>
    </row>
    <row r="20" spans="3:6" ht="18.75">
      <c r="C20" s="78" t="s">
        <v>814</v>
      </c>
      <c r="D20" s="278">
        <v>7899.0730000000003</v>
      </c>
      <c r="E20" s="278">
        <v>47570.3</v>
      </c>
      <c r="F20" s="413">
        <f t="shared" si="0"/>
        <v>0.16605051891621453</v>
      </c>
    </row>
    <row r="21" spans="3:6" ht="18.75">
      <c r="C21" s="78" t="s">
        <v>815</v>
      </c>
      <c r="D21" s="278">
        <v>6918.6530000000002</v>
      </c>
      <c r="E21" s="278">
        <v>49373.8</v>
      </c>
      <c r="F21" s="413">
        <f t="shared" si="0"/>
        <v>0.14012802336461846</v>
      </c>
    </row>
    <row r="22" spans="3:6" ht="18.75">
      <c r="C22" s="78" t="s">
        <v>816</v>
      </c>
      <c r="D22" s="278">
        <v>6317.07</v>
      </c>
      <c r="E22" s="278">
        <v>52608.800000000003</v>
      </c>
      <c r="F22" s="413">
        <f t="shared" si="0"/>
        <v>0.12007629902221681</v>
      </c>
    </row>
    <row r="23" spans="3:6" ht="18.75">
      <c r="C23" s="78" t="s">
        <v>817</v>
      </c>
      <c r="D23" s="278">
        <v>8078.73</v>
      </c>
      <c r="E23" s="278">
        <v>55762.5</v>
      </c>
      <c r="F23" s="413">
        <f t="shared" si="0"/>
        <v>0.14487747141896434</v>
      </c>
    </row>
    <row r="24" spans="3:6" ht="18.75">
      <c r="C24" s="78" t="s">
        <v>818</v>
      </c>
      <c r="D24" s="278">
        <v>8056.1629999999996</v>
      </c>
      <c r="E24" s="278">
        <v>48498.6</v>
      </c>
      <c r="F24" s="413">
        <f t="shared" si="0"/>
        <v>0.16611124857212373</v>
      </c>
    </row>
    <row r="25" spans="3:6" ht="18.75">
      <c r="C25" s="78" t="s">
        <v>819</v>
      </c>
      <c r="D25" s="278">
        <v>8824.4189999999999</v>
      </c>
      <c r="E25" s="278">
        <v>46374.850424502889</v>
      </c>
      <c r="F25" s="413">
        <f t="shared" si="0"/>
        <v>0.1902845813889133</v>
      </c>
    </row>
    <row r="26" spans="3:6" ht="18.75">
      <c r="C26" s="78" t="s">
        <v>820</v>
      </c>
      <c r="D26" s="278">
        <v>9592.5159999999996</v>
      </c>
      <c r="E26" s="278">
        <v>44344.099662567904</v>
      </c>
      <c r="F26" s="413">
        <f t="shared" si="0"/>
        <v>0.2163200081407293</v>
      </c>
    </row>
    <row r="27" spans="3:6" ht="18.75">
      <c r="C27" s="78" t="s">
        <v>821</v>
      </c>
      <c r="D27" s="278">
        <v>6807.07</v>
      </c>
      <c r="E27" s="414">
        <v>42402.275304046627</v>
      </c>
      <c r="F27" s="413">
        <f t="shared" si="0"/>
        <v>0.16053548898472372</v>
      </c>
    </row>
    <row r="28" spans="3:6" ht="18.75">
      <c r="C28" s="78" t="s">
        <v>822</v>
      </c>
      <c r="D28" s="278">
        <v>7843.1530000000002</v>
      </c>
      <c r="E28" s="278">
        <v>38770</v>
      </c>
      <c r="F28" s="413">
        <f t="shared" si="0"/>
        <v>0.20229953572349754</v>
      </c>
    </row>
    <row r="29" spans="3:6" ht="18.75">
      <c r="C29" s="78" t="s">
        <v>823</v>
      </c>
      <c r="D29" s="278">
        <v>9001.3960000000006</v>
      </c>
      <c r="E29" s="278">
        <v>41303.599999999999</v>
      </c>
      <c r="F29" s="413">
        <f t="shared" si="0"/>
        <v>0.21793248046175154</v>
      </c>
    </row>
    <row r="30" spans="3:6" ht="18.75">
      <c r="C30" s="78" t="s">
        <v>824</v>
      </c>
      <c r="D30" s="278">
        <v>7241.125</v>
      </c>
      <c r="E30" s="278">
        <v>42881.2</v>
      </c>
      <c r="F30" s="413">
        <f t="shared" si="0"/>
        <v>0.16886479389569323</v>
      </c>
    </row>
    <row r="31" spans="3:6" ht="18.75">
      <c r="C31" s="78" t="s">
        <v>825</v>
      </c>
      <c r="D31" s="278">
        <v>7519.43</v>
      </c>
      <c r="E31" s="278">
        <v>43848.1</v>
      </c>
      <c r="F31" s="413">
        <f t="shared" si="0"/>
        <v>0.1714881602623603</v>
      </c>
    </row>
    <row r="32" spans="3:6" ht="18.75">
      <c r="C32" s="78" t="s">
        <v>826</v>
      </c>
      <c r="D32" s="278">
        <v>7797.7610000000004</v>
      </c>
      <c r="E32" s="278">
        <v>46228</v>
      </c>
      <c r="F32" s="413">
        <f t="shared" si="0"/>
        <v>0.16868047503677425</v>
      </c>
    </row>
    <row r="33" spans="3:6" ht="18.75">
      <c r="C33" s="78" t="s">
        <v>827</v>
      </c>
      <c r="D33" s="278">
        <v>7452.34</v>
      </c>
      <c r="E33" s="278">
        <v>47567.3</v>
      </c>
      <c r="F33" s="413">
        <f t="shared" si="0"/>
        <v>0.15666939262896989</v>
      </c>
    </row>
    <row r="34" spans="3:6" ht="18.75">
      <c r="C34" s="78" t="s">
        <v>828</v>
      </c>
      <c r="D34" s="278">
        <v>6227.5349999999999</v>
      </c>
      <c r="E34" s="278">
        <v>47591.7</v>
      </c>
      <c r="F34" s="413">
        <f t="shared" si="0"/>
        <v>0.13085338409848776</v>
      </c>
    </row>
    <row r="35" spans="3:6" ht="18.75">
      <c r="C35" s="78" t="s">
        <v>829</v>
      </c>
      <c r="D35" s="278">
        <v>6886.5110000000004</v>
      </c>
      <c r="E35" s="278">
        <v>47915.9</v>
      </c>
      <c r="F35" s="413">
        <f t="shared" si="0"/>
        <v>0.1437207899674221</v>
      </c>
    </row>
    <row r="36" spans="3:6" ht="18.75">
      <c r="C36" s="78" t="s">
        <v>830</v>
      </c>
      <c r="D36" s="278">
        <v>6762.4880000000003</v>
      </c>
      <c r="E36" s="278">
        <v>53644</v>
      </c>
      <c r="F36" s="413">
        <f t="shared" si="0"/>
        <v>0.12606233688762955</v>
      </c>
    </row>
    <row r="37" spans="3:6" ht="18.75">
      <c r="C37" s="78" t="s">
        <v>831</v>
      </c>
      <c r="D37" s="278">
        <v>6239.5810000000001</v>
      </c>
      <c r="E37" s="278">
        <v>53924.800000000003</v>
      </c>
      <c r="F37" s="413">
        <f t="shared" ref="F37:F68" si="1">D37/E37</f>
        <v>0.115708931697475</v>
      </c>
    </row>
    <row r="38" spans="3:6" ht="18.75">
      <c r="C38" s="78" t="s">
        <v>832</v>
      </c>
      <c r="D38" s="278">
        <v>6417.6260000000002</v>
      </c>
      <c r="E38" s="278">
        <v>61613.5</v>
      </c>
      <c r="F38" s="413">
        <f t="shared" si="1"/>
        <v>0.10415941311563214</v>
      </c>
    </row>
    <row r="39" spans="3:6" ht="18.75">
      <c r="C39" s="78" t="s">
        <v>833</v>
      </c>
      <c r="D39" s="278">
        <v>6718.5240000000003</v>
      </c>
      <c r="E39" s="278">
        <v>62081.1</v>
      </c>
      <c r="F39" s="413">
        <f t="shared" si="1"/>
        <v>0.1082217293185849</v>
      </c>
    </row>
    <row r="40" spans="3:6" ht="18.75">
      <c r="C40" s="78" t="s">
        <v>834</v>
      </c>
      <c r="D40" s="278">
        <v>4691.335</v>
      </c>
      <c r="E40" s="278">
        <v>66564.3</v>
      </c>
      <c r="F40" s="413">
        <f t="shared" si="1"/>
        <v>7.0478244344190505E-2</v>
      </c>
    </row>
    <row r="41" spans="3:6" ht="18.75">
      <c r="C41" s="78" t="s">
        <v>835</v>
      </c>
      <c r="D41" s="278">
        <v>5616.152</v>
      </c>
      <c r="E41" s="278">
        <v>65665.100000000006</v>
      </c>
      <c r="F41" s="413">
        <f t="shared" si="1"/>
        <v>8.5527197857004703E-2</v>
      </c>
    </row>
    <row r="42" spans="3:6" ht="18.75">
      <c r="C42" s="78" t="s">
        <v>836</v>
      </c>
      <c r="D42" s="278">
        <v>4576.3440000000001</v>
      </c>
      <c r="E42" s="278">
        <v>69705.100000000006</v>
      </c>
      <c r="F42" s="413">
        <f t="shared" si="1"/>
        <v>6.565292926916394E-2</v>
      </c>
    </row>
    <row r="43" spans="3:6" ht="18.75">
      <c r="C43" s="78" t="s">
        <v>837</v>
      </c>
      <c r="D43" s="278">
        <v>3813.5569999999998</v>
      </c>
      <c r="E43" s="278">
        <v>67925.3</v>
      </c>
      <c r="F43" s="413">
        <f t="shared" si="1"/>
        <v>5.6143395759753724E-2</v>
      </c>
    </row>
    <row r="44" spans="3:6" ht="18.75">
      <c r="C44" s="78" t="s">
        <v>838</v>
      </c>
      <c r="D44" s="278">
        <v>3183.2350000000001</v>
      </c>
      <c r="E44" s="278">
        <v>67016.100000000006</v>
      </c>
      <c r="F44" s="413">
        <f t="shared" si="1"/>
        <v>4.7499556076823331E-2</v>
      </c>
    </row>
    <row r="45" spans="3:6" ht="18.75">
      <c r="C45" s="78" t="s">
        <v>839</v>
      </c>
      <c r="D45" s="278">
        <v>4698.1629999999996</v>
      </c>
      <c r="E45" s="278">
        <v>67671.7</v>
      </c>
      <c r="F45" s="413">
        <f t="shared" si="1"/>
        <v>6.9425816109245073E-2</v>
      </c>
    </row>
    <row r="46" spans="3:6" ht="18.75">
      <c r="C46" s="78" t="s">
        <v>840</v>
      </c>
      <c r="D46" s="278">
        <v>3718.0839999999998</v>
      </c>
      <c r="E46" s="278">
        <v>66271.8</v>
      </c>
      <c r="F46" s="413">
        <f t="shared" si="1"/>
        <v>5.6103561394137469E-2</v>
      </c>
    </row>
    <row r="47" spans="3:6" ht="18.75">
      <c r="C47" s="78" t="s">
        <v>841</v>
      </c>
      <c r="D47" s="278">
        <v>4375.3209999999999</v>
      </c>
      <c r="E47" s="278">
        <v>65051.5</v>
      </c>
      <c r="F47" s="413">
        <f t="shared" si="1"/>
        <v>6.7259340676233445E-2</v>
      </c>
    </row>
    <row r="48" spans="3:6" ht="18.75">
      <c r="C48" s="78" t="s">
        <v>842</v>
      </c>
      <c r="D48" s="278">
        <v>4770.6930000000002</v>
      </c>
      <c r="E48" s="278">
        <v>65882.8</v>
      </c>
      <c r="F48" s="413">
        <f t="shared" si="1"/>
        <v>7.2411813098411118E-2</v>
      </c>
    </row>
    <row r="49" spans="3:6" ht="18.75">
      <c r="C49" s="78" t="s">
        <v>843</v>
      </c>
      <c r="D49" s="278">
        <v>5517.2510000000002</v>
      </c>
      <c r="E49" s="278">
        <v>67439.600000000006</v>
      </c>
      <c r="F49" s="413">
        <f t="shared" si="1"/>
        <v>8.1810256881713408E-2</v>
      </c>
    </row>
    <row r="50" spans="3:6" ht="18.75">
      <c r="C50" s="78" t="s">
        <v>844</v>
      </c>
      <c r="D50" s="278">
        <v>5133.4489999999996</v>
      </c>
      <c r="E50" s="278">
        <v>66780.5</v>
      </c>
      <c r="F50" s="413">
        <f t="shared" si="1"/>
        <v>7.687047865769199E-2</v>
      </c>
    </row>
    <row r="51" spans="3:6" ht="18.75">
      <c r="C51" s="78" t="s">
        <v>845</v>
      </c>
      <c r="D51" s="278">
        <v>4275.6540000000005</v>
      </c>
      <c r="E51" s="278">
        <v>69926.3</v>
      </c>
      <c r="F51" s="413">
        <f t="shared" si="1"/>
        <v>6.1145148534957526E-2</v>
      </c>
    </row>
    <row r="52" spans="3:6" ht="18.75">
      <c r="C52" s="78" t="s">
        <v>846</v>
      </c>
      <c r="D52" s="278">
        <v>4046.9050000000002</v>
      </c>
      <c r="E52" s="278">
        <v>70608.7</v>
      </c>
      <c r="F52" s="413">
        <f t="shared" si="1"/>
        <v>5.7314537726937335E-2</v>
      </c>
    </row>
    <row r="53" spans="3:6" ht="18.75">
      <c r="C53" s="78" t="s">
        <v>847</v>
      </c>
      <c r="D53" s="278">
        <v>4871.1009999999997</v>
      </c>
      <c r="E53" s="278">
        <v>67745.399999999994</v>
      </c>
      <c r="F53" s="413">
        <f t="shared" si="1"/>
        <v>7.1903051720116795E-2</v>
      </c>
    </row>
    <row r="54" spans="3:6" ht="18.75">
      <c r="C54" s="78" t="s">
        <v>848</v>
      </c>
      <c r="D54" s="278">
        <v>6422.5789999999997</v>
      </c>
      <c r="E54" s="278">
        <v>68565.600000000006</v>
      </c>
      <c r="F54" s="413">
        <f t="shared" si="1"/>
        <v>9.3670572415321951E-2</v>
      </c>
    </row>
    <row r="55" spans="3:6" ht="18.75">
      <c r="C55" s="78" t="s">
        <v>849</v>
      </c>
      <c r="D55" s="278">
        <v>7538.3609999999999</v>
      </c>
      <c r="E55" s="278">
        <v>70385.8</v>
      </c>
      <c r="F55" s="413">
        <f t="shared" si="1"/>
        <v>0.10710059415393446</v>
      </c>
    </row>
    <row r="56" spans="3:6" ht="18.75">
      <c r="C56" s="78" t="s">
        <v>850</v>
      </c>
      <c r="D56" s="278">
        <v>6095.6440000000002</v>
      </c>
      <c r="E56" s="278">
        <v>55806</v>
      </c>
      <c r="F56" s="413">
        <f t="shared" si="1"/>
        <v>0.10922918682578935</v>
      </c>
    </row>
    <row r="57" spans="3:6" ht="18.75">
      <c r="C57" s="78" t="s">
        <v>851</v>
      </c>
      <c r="D57" s="278">
        <v>5964.7359999999999</v>
      </c>
      <c r="E57" s="278">
        <v>54805.4</v>
      </c>
      <c r="F57" s="413">
        <f t="shared" si="1"/>
        <v>0.10883482284592394</v>
      </c>
    </row>
    <row r="58" spans="3:6" ht="18.75">
      <c r="C58" s="78" t="s">
        <v>852</v>
      </c>
      <c r="D58" s="278">
        <v>5986.6610000000001</v>
      </c>
      <c r="E58" s="278">
        <v>58738.9</v>
      </c>
      <c r="F58" s="413">
        <f t="shared" si="1"/>
        <v>0.10191986911569675</v>
      </c>
    </row>
    <row r="59" spans="3:6" ht="18.75">
      <c r="C59" s="78" t="s">
        <v>853</v>
      </c>
      <c r="D59" s="278">
        <v>5172.973</v>
      </c>
      <c r="E59" s="278">
        <v>60984.2</v>
      </c>
      <c r="F59" s="413">
        <f t="shared" si="1"/>
        <v>8.4824807081178413E-2</v>
      </c>
    </row>
    <row r="60" spans="3:6" ht="18.75">
      <c r="C60" s="78" t="s">
        <v>854</v>
      </c>
      <c r="D60" s="278">
        <v>4722.8540000000003</v>
      </c>
      <c r="E60" s="278">
        <v>54805.4</v>
      </c>
      <c r="F60" s="413">
        <f t="shared" si="1"/>
        <v>8.6174975458622696E-2</v>
      </c>
    </row>
    <row r="61" spans="3:6" ht="18.75">
      <c r="C61" s="78" t="s">
        <v>855</v>
      </c>
      <c r="D61" s="278">
        <v>3066.453</v>
      </c>
      <c r="E61" s="278">
        <v>62233.8</v>
      </c>
      <c r="F61" s="413">
        <f t="shared" si="1"/>
        <v>4.9273112038795634E-2</v>
      </c>
    </row>
    <row r="62" spans="3:6" ht="18.75">
      <c r="C62" s="78" t="s">
        <v>856</v>
      </c>
      <c r="D62" s="278">
        <v>3703.3409999999999</v>
      </c>
      <c r="E62" s="278">
        <v>66291.600000000006</v>
      </c>
      <c r="F62" s="413">
        <f t="shared" si="1"/>
        <v>5.5864408160309895E-2</v>
      </c>
    </row>
    <row r="63" spans="3:6" ht="18.75">
      <c r="C63" s="78" t="s">
        <v>857</v>
      </c>
      <c r="D63" s="278">
        <v>3410.01</v>
      </c>
      <c r="E63" s="278">
        <v>65562.3</v>
      </c>
      <c r="F63" s="413">
        <f t="shared" si="1"/>
        <v>5.2011750655483413E-2</v>
      </c>
    </row>
    <row r="64" spans="3:6" ht="18.75">
      <c r="C64" s="78" t="s">
        <v>858</v>
      </c>
      <c r="D64" s="278">
        <v>4187.5730000000003</v>
      </c>
      <c r="E64" s="278">
        <v>66671.8</v>
      </c>
      <c r="F64" s="413">
        <f t="shared" si="1"/>
        <v>6.2808758725578132E-2</v>
      </c>
    </row>
    <row r="65" spans="3:6" ht="18.75">
      <c r="C65" s="78" t="s">
        <v>859</v>
      </c>
      <c r="D65" s="278">
        <v>4921.9279999999999</v>
      </c>
      <c r="E65" s="278">
        <v>68549.7</v>
      </c>
      <c r="F65" s="413">
        <f t="shared" si="1"/>
        <v>7.18008685668938E-2</v>
      </c>
    </row>
    <row r="66" spans="3:6" ht="18.75">
      <c r="C66" s="78" t="s">
        <v>860</v>
      </c>
      <c r="D66" s="278">
        <v>6514.1850000000004</v>
      </c>
      <c r="E66" s="278">
        <v>75652</v>
      </c>
      <c r="F66" s="413">
        <f t="shared" si="1"/>
        <v>8.6107241051128852E-2</v>
      </c>
    </row>
    <row r="67" spans="3:6" ht="18.75">
      <c r="C67" s="78" t="s">
        <v>861</v>
      </c>
      <c r="D67" s="278">
        <v>5741.585</v>
      </c>
      <c r="E67" s="278">
        <v>77231.199999999997</v>
      </c>
      <c r="F67" s="413">
        <f t="shared" si="1"/>
        <v>7.4342817410580186E-2</v>
      </c>
    </row>
    <row r="68" spans="3:6" ht="18.75">
      <c r="C68" s="78" t="s">
        <v>862</v>
      </c>
      <c r="D68" s="278">
        <v>5027.3890000000001</v>
      </c>
      <c r="E68" s="278">
        <v>78760.800000000003</v>
      </c>
      <c r="F68" s="413">
        <f t="shared" si="1"/>
        <v>6.3831106337162644E-2</v>
      </c>
    </row>
    <row r="69" spans="3:6" ht="18.75">
      <c r="C69" s="78" t="s">
        <v>863</v>
      </c>
      <c r="D69" s="278">
        <v>5419.6880000000001</v>
      </c>
      <c r="E69" s="278">
        <v>83078.100000000006</v>
      </c>
      <c r="F69" s="413">
        <f t="shared" ref="F69:F80" si="2">D69/E69</f>
        <v>6.5236061007654236E-2</v>
      </c>
    </row>
    <row r="70" spans="3:6" ht="18.75">
      <c r="C70" s="78" t="s">
        <v>864</v>
      </c>
      <c r="D70" s="278">
        <v>4679.55</v>
      </c>
      <c r="E70" s="278">
        <v>87011.5</v>
      </c>
      <c r="F70" s="413">
        <f t="shared" si="2"/>
        <v>5.3780822075242929E-2</v>
      </c>
    </row>
    <row r="71" spans="3:6" ht="18.75">
      <c r="C71" s="78" t="s">
        <v>865</v>
      </c>
      <c r="D71" s="278">
        <v>4239.2280000000001</v>
      </c>
      <c r="E71" s="278">
        <v>91250.6</v>
      </c>
      <c r="F71" s="413">
        <f t="shared" si="2"/>
        <v>4.6456987680081004E-2</v>
      </c>
    </row>
    <row r="72" spans="3:6" ht="18.75">
      <c r="C72" s="78" t="s">
        <v>866</v>
      </c>
      <c r="D72" s="278">
        <v>3944.3240000000001</v>
      </c>
      <c r="E72" s="278">
        <v>88367.1</v>
      </c>
      <c r="F72" s="413">
        <f t="shared" si="2"/>
        <v>4.4635661914898192E-2</v>
      </c>
    </row>
    <row r="73" spans="3:6" ht="18.75">
      <c r="C73" s="78" t="s">
        <v>867</v>
      </c>
      <c r="D73" s="278">
        <v>4111.5469999999996</v>
      </c>
      <c r="E73" s="278">
        <v>87624</v>
      </c>
      <c r="F73" s="413">
        <f t="shared" si="2"/>
        <v>4.6922612526248512E-2</v>
      </c>
    </row>
    <row r="74" spans="3:6" ht="18.75">
      <c r="C74" s="78" t="s">
        <v>868</v>
      </c>
      <c r="D74" s="278">
        <v>4310.1549999999997</v>
      </c>
      <c r="E74" s="278">
        <v>95285</v>
      </c>
      <c r="F74" s="413">
        <f t="shared" si="2"/>
        <v>4.5234349582830451E-2</v>
      </c>
    </row>
    <row r="75" spans="3:6" ht="18.75">
      <c r="C75" s="78" t="s">
        <v>869</v>
      </c>
      <c r="D75" s="278">
        <v>4092.5450000000001</v>
      </c>
      <c r="E75" s="278">
        <v>92698</v>
      </c>
      <c r="F75" s="413">
        <f t="shared" si="2"/>
        <v>4.4149226520529029E-2</v>
      </c>
    </row>
    <row r="76" spans="3:6" ht="18.75">
      <c r="C76" s="78" t="s">
        <v>870</v>
      </c>
      <c r="D76" s="278">
        <v>3940.6329999999998</v>
      </c>
      <c r="E76" s="278">
        <v>89745</v>
      </c>
      <c r="F76" s="413">
        <f t="shared" si="2"/>
        <v>4.3909220569391047E-2</v>
      </c>
    </row>
    <row r="77" spans="3:6" ht="18.75">
      <c r="C77" s="78" t="s">
        <v>871</v>
      </c>
      <c r="D77" s="278">
        <v>3727.2640000000001</v>
      </c>
      <c r="E77" s="278">
        <v>91252</v>
      </c>
      <c r="F77" s="413">
        <f t="shared" si="2"/>
        <v>4.0845833515977731E-2</v>
      </c>
    </row>
    <row r="78" spans="3:6" ht="18.75">
      <c r="C78" s="78" t="s">
        <v>872</v>
      </c>
      <c r="D78" s="278">
        <v>3620.6320000000001</v>
      </c>
      <c r="E78" s="278">
        <v>90123</v>
      </c>
      <c r="F78" s="413">
        <f t="shared" si="2"/>
        <v>4.0174339513775616E-2</v>
      </c>
    </row>
    <row r="79" spans="3:6" ht="18.75">
      <c r="C79" s="78" t="s">
        <v>873</v>
      </c>
      <c r="D79" s="278">
        <v>3443.4430000000002</v>
      </c>
      <c r="E79" s="278">
        <v>86591</v>
      </c>
      <c r="F79" s="413">
        <f t="shared" si="2"/>
        <v>3.9766754050651915E-2</v>
      </c>
    </row>
    <row r="80" spans="3:6" ht="19.5" thickBot="1">
      <c r="C80" s="477" t="s">
        <v>874</v>
      </c>
      <c r="D80" s="416">
        <v>2874.21</v>
      </c>
      <c r="E80" s="416">
        <v>89931.6</v>
      </c>
      <c r="F80" s="417">
        <f t="shared" si="2"/>
        <v>3.1959956233404051E-2</v>
      </c>
    </row>
  </sheetData>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22F04-7701-47E0-ACA1-C7B2B1D6BFD6}">
  <dimension ref="C3:J135"/>
  <sheetViews>
    <sheetView zoomScaleNormal="100" workbookViewId="0"/>
  </sheetViews>
  <sheetFormatPr defaultColWidth="9" defaultRowHeight="18.75"/>
  <cols>
    <col min="1" max="2" width="2.625" style="433" customWidth="1"/>
    <col min="3" max="3" width="12.25" style="433" customWidth="1"/>
    <col min="4" max="6" width="9" style="433"/>
    <col min="7" max="7" width="11.5" style="433" bestFit="1" customWidth="1"/>
    <col min="8" max="8" width="12.5" style="433" bestFit="1" customWidth="1"/>
    <col min="9" max="16384" width="9" style="433"/>
  </cols>
  <sheetData>
    <row r="3" spans="3:8">
      <c r="C3" s="134" t="s">
        <v>925</v>
      </c>
      <c r="D3" s="418"/>
      <c r="E3" s="418"/>
      <c r="F3" s="418"/>
      <c r="G3" s="418"/>
      <c r="H3" s="418"/>
    </row>
    <row r="4" spans="3:8" ht="19.5" thickBot="1">
      <c r="C4" s="415" t="s">
        <v>325</v>
      </c>
      <c r="D4" s="415" t="s">
        <v>453</v>
      </c>
      <c r="E4" s="415" t="s">
        <v>454</v>
      </c>
      <c r="F4" s="415" t="s">
        <v>455</v>
      </c>
      <c r="G4" s="415" t="s">
        <v>907</v>
      </c>
      <c r="H4" s="415" t="s">
        <v>456</v>
      </c>
    </row>
    <row r="5" spans="3:8" ht="19.5" thickTop="1">
      <c r="C5" s="499">
        <v>2019</v>
      </c>
      <c r="D5" s="502" t="s">
        <v>457</v>
      </c>
      <c r="E5" s="445" t="s">
        <v>458</v>
      </c>
      <c r="F5" s="445"/>
      <c r="G5" s="446">
        <v>43554</v>
      </c>
      <c r="H5" s="447">
        <v>124.2</v>
      </c>
    </row>
    <row r="6" spans="3:8">
      <c r="C6" s="500"/>
      <c r="D6" s="503"/>
      <c r="E6" s="435" t="s">
        <v>459</v>
      </c>
      <c r="F6" s="435"/>
      <c r="G6" s="448">
        <v>43646</v>
      </c>
      <c r="H6" s="436">
        <v>554.1</v>
      </c>
    </row>
    <row r="7" spans="3:8">
      <c r="C7" s="500"/>
      <c r="D7" s="503"/>
      <c r="E7" s="435" t="s">
        <v>460</v>
      </c>
      <c r="F7" s="435"/>
      <c r="G7" s="448">
        <v>43738</v>
      </c>
      <c r="H7" s="436">
        <v>238.7</v>
      </c>
    </row>
    <row r="8" spans="3:8">
      <c r="C8" s="500"/>
      <c r="D8" s="503"/>
      <c r="E8" s="435" t="s">
        <v>461</v>
      </c>
      <c r="F8" s="435"/>
      <c r="G8" s="448">
        <v>43771</v>
      </c>
      <c r="H8" s="436">
        <v>267.8</v>
      </c>
    </row>
    <row r="9" spans="3:8">
      <c r="C9" s="500"/>
      <c r="D9" s="503"/>
      <c r="E9" s="435" t="s">
        <v>462</v>
      </c>
      <c r="F9" s="435"/>
      <c r="G9" s="448">
        <v>43808</v>
      </c>
      <c r="H9" s="436">
        <v>277.2</v>
      </c>
    </row>
    <row r="10" spans="3:8">
      <c r="C10" s="500"/>
      <c r="D10" s="503"/>
      <c r="E10" s="435" t="s">
        <v>463</v>
      </c>
      <c r="F10" s="435"/>
      <c r="G10" s="449">
        <v>43821</v>
      </c>
      <c r="H10" s="436">
        <v>492.3</v>
      </c>
    </row>
    <row r="11" spans="3:8">
      <c r="C11" s="501"/>
      <c r="D11" s="451" t="s">
        <v>317</v>
      </c>
      <c r="E11" s="504"/>
      <c r="F11" s="504"/>
      <c r="G11" s="504"/>
      <c r="H11" s="452">
        <f>(SUM(H5:H10))</f>
        <v>1954.3</v>
      </c>
    </row>
    <row r="12" spans="3:8">
      <c r="C12" s="505">
        <v>2020</v>
      </c>
      <c r="D12" s="506" t="s">
        <v>457</v>
      </c>
      <c r="E12" s="453" t="s">
        <v>464</v>
      </c>
      <c r="F12" s="453" t="s">
        <v>465</v>
      </c>
      <c r="G12" s="454">
        <v>43913</v>
      </c>
      <c r="H12" s="455">
        <v>303.7</v>
      </c>
    </row>
    <row r="13" spans="3:8">
      <c r="C13" s="500"/>
      <c r="D13" s="503"/>
      <c r="E13" s="435" t="s">
        <v>466</v>
      </c>
      <c r="F13" s="435" t="s">
        <v>467</v>
      </c>
      <c r="G13" s="448">
        <v>43858</v>
      </c>
      <c r="H13" s="436">
        <v>85.3</v>
      </c>
    </row>
    <row r="14" spans="3:8">
      <c r="C14" s="500"/>
      <c r="D14" s="503"/>
      <c r="E14" s="435" t="s">
        <v>655</v>
      </c>
      <c r="F14" s="435" t="s">
        <v>468</v>
      </c>
      <c r="G14" s="448">
        <v>43945</v>
      </c>
      <c r="H14" s="436">
        <v>40.200000000000003</v>
      </c>
    </row>
    <row r="15" spans="3:8">
      <c r="C15" s="500"/>
      <c r="D15" s="503"/>
      <c r="E15" s="435" t="s">
        <v>469</v>
      </c>
      <c r="F15" s="435" t="s">
        <v>470</v>
      </c>
      <c r="G15" s="448">
        <v>43946</v>
      </c>
      <c r="H15" s="436">
        <v>208</v>
      </c>
    </row>
    <row r="16" spans="3:8">
      <c r="C16" s="500"/>
      <c r="D16" s="503"/>
      <c r="E16" s="435" t="s">
        <v>471</v>
      </c>
      <c r="F16" s="435" t="s">
        <v>472</v>
      </c>
      <c r="G16" s="448">
        <v>43974</v>
      </c>
      <c r="H16" s="436">
        <v>159</v>
      </c>
    </row>
    <row r="17" spans="3:8">
      <c r="C17" s="500"/>
      <c r="D17" s="503"/>
      <c r="E17" s="435" t="s">
        <v>473</v>
      </c>
      <c r="F17" s="435" t="s">
        <v>474</v>
      </c>
      <c r="G17" s="448">
        <v>43983</v>
      </c>
      <c r="H17" s="436">
        <v>82.4</v>
      </c>
    </row>
    <row r="18" spans="3:8">
      <c r="C18" s="500"/>
      <c r="D18" s="503"/>
      <c r="E18" s="435" t="s">
        <v>475</v>
      </c>
      <c r="F18" s="435" t="s">
        <v>476</v>
      </c>
      <c r="G18" s="448">
        <v>43981</v>
      </c>
      <c r="H18" s="436">
        <v>244.1</v>
      </c>
    </row>
    <row r="19" spans="3:8">
      <c r="C19" s="500"/>
      <c r="D19" s="503"/>
      <c r="E19" s="435" t="s">
        <v>477</v>
      </c>
      <c r="F19" s="435" t="s">
        <v>478</v>
      </c>
      <c r="G19" s="448">
        <v>44003</v>
      </c>
      <c r="H19" s="436">
        <v>1737.8</v>
      </c>
    </row>
    <row r="20" spans="3:8">
      <c r="C20" s="500"/>
      <c r="D20" s="503"/>
      <c r="E20" s="435" t="s">
        <v>479</v>
      </c>
      <c r="F20" s="435" t="s">
        <v>480</v>
      </c>
      <c r="G20" s="448">
        <v>44009</v>
      </c>
      <c r="H20" s="436">
        <v>168.7</v>
      </c>
    </row>
    <row r="21" spans="3:8">
      <c r="C21" s="500"/>
      <c r="D21" s="503"/>
      <c r="E21" s="435" t="s">
        <v>481</v>
      </c>
      <c r="F21" s="435" t="s">
        <v>482</v>
      </c>
      <c r="G21" s="448">
        <v>44030</v>
      </c>
      <c r="H21" s="436">
        <v>266.7</v>
      </c>
    </row>
    <row r="22" spans="3:8">
      <c r="C22" s="500"/>
      <c r="D22" s="503"/>
      <c r="E22" s="435" t="s">
        <v>483</v>
      </c>
      <c r="F22" s="435" t="s">
        <v>484</v>
      </c>
      <c r="G22" s="448">
        <v>44058</v>
      </c>
      <c r="H22" s="436">
        <v>293</v>
      </c>
    </row>
    <row r="23" spans="3:8">
      <c r="C23" s="500"/>
      <c r="D23" s="503"/>
      <c r="E23" s="435" t="s">
        <v>485</v>
      </c>
      <c r="F23" s="435" t="s">
        <v>486</v>
      </c>
      <c r="G23" s="448">
        <v>44060</v>
      </c>
      <c r="H23" s="436">
        <v>198.8</v>
      </c>
    </row>
    <row r="24" spans="3:8">
      <c r="C24" s="500"/>
      <c r="D24" s="503"/>
      <c r="E24" s="435" t="s">
        <v>487</v>
      </c>
      <c r="F24" s="435" t="s">
        <v>488</v>
      </c>
      <c r="G24" s="448">
        <v>44093</v>
      </c>
      <c r="H24" s="436">
        <v>100.4</v>
      </c>
    </row>
    <row r="25" spans="3:8">
      <c r="C25" s="500"/>
      <c r="D25" s="503"/>
      <c r="E25" s="435" t="s">
        <v>489</v>
      </c>
      <c r="F25" s="435" t="s">
        <v>490</v>
      </c>
      <c r="G25" s="448">
        <v>44124</v>
      </c>
      <c r="H25" s="436">
        <v>322.7</v>
      </c>
    </row>
    <row r="26" spans="3:8">
      <c r="C26" s="500"/>
      <c r="D26" s="435" t="s">
        <v>491</v>
      </c>
      <c r="E26" s="503"/>
      <c r="F26" s="503"/>
      <c r="G26" s="503"/>
      <c r="H26" s="436">
        <f>(SUM(H12:H25))</f>
        <v>4210.8</v>
      </c>
    </row>
    <row r="27" spans="3:8">
      <c r="C27" s="500"/>
      <c r="D27" s="507" t="s">
        <v>492</v>
      </c>
      <c r="E27" s="435" t="s">
        <v>493</v>
      </c>
      <c r="F27" s="435" t="s">
        <v>494</v>
      </c>
      <c r="G27" s="448">
        <v>43848</v>
      </c>
      <c r="H27" s="436">
        <v>160.1</v>
      </c>
    </row>
    <row r="28" spans="3:8">
      <c r="C28" s="500"/>
      <c r="D28" s="507"/>
      <c r="E28" s="435" t="s">
        <v>495</v>
      </c>
      <c r="F28" s="435" t="s">
        <v>496</v>
      </c>
      <c r="G28" s="448">
        <v>43960</v>
      </c>
      <c r="H28" s="436">
        <v>674.2</v>
      </c>
    </row>
    <row r="29" spans="3:8">
      <c r="C29" s="500"/>
      <c r="D29" s="507"/>
      <c r="E29" s="435" t="s">
        <v>497</v>
      </c>
      <c r="F29" s="435" t="s">
        <v>498</v>
      </c>
      <c r="G29" s="448">
        <v>44016</v>
      </c>
      <c r="H29" s="436">
        <v>87.9</v>
      </c>
    </row>
    <row r="30" spans="3:8">
      <c r="C30" s="500"/>
      <c r="D30" s="507"/>
      <c r="E30" s="435" t="s">
        <v>499</v>
      </c>
      <c r="F30" s="435" t="s">
        <v>500</v>
      </c>
      <c r="G30" s="448">
        <v>43904</v>
      </c>
      <c r="H30" s="436">
        <v>168</v>
      </c>
    </row>
    <row r="31" spans="3:8">
      <c r="C31" s="500"/>
      <c r="D31" s="435" t="s">
        <v>491</v>
      </c>
      <c r="E31" s="503"/>
      <c r="F31" s="503"/>
      <c r="G31" s="503"/>
      <c r="H31" s="436">
        <f>(SUM(H27:H30))</f>
        <v>1090.2</v>
      </c>
    </row>
    <row r="32" spans="3:8">
      <c r="C32" s="501"/>
      <c r="D32" s="450" t="s">
        <v>317</v>
      </c>
      <c r="E32" s="504"/>
      <c r="F32" s="504"/>
      <c r="G32" s="504"/>
      <c r="H32" s="452">
        <f>(SUM(H26, H31))</f>
        <v>5301</v>
      </c>
    </row>
    <row r="33" spans="3:8">
      <c r="C33" s="505">
        <v>2021</v>
      </c>
      <c r="D33" s="506" t="s">
        <v>457</v>
      </c>
      <c r="E33" s="456" t="s">
        <v>501</v>
      </c>
      <c r="F33" s="457" t="s">
        <v>502</v>
      </c>
      <c r="G33" s="457" t="s">
        <v>503</v>
      </c>
      <c r="H33" s="455">
        <v>227.958</v>
      </c>
    </row>
    <row r="34" spans="3:8">
      <c r="C34" s="500"/>
      <c r="D34" s="503"/>
      <c r="E34" s="458" t="s">
        <v>504</v>
      </c>
      <c r="F34" s="435"/>
      <c r="G34" s="458" t="s">
        <v>505</v>
      </c>
      <c r="H34" s="436">
        <v>190.59200000000001</v>
      </c>
    </row>
    <row r="35" spans="3:8">
      <c r="C35" s="500"/>
      <c r="D35" s="503"/>
      <c r="E35" s="458" t="s">
        <v>506</v>
      </c>
      <c r="F35" s="435"/>
      <c r="G35" s="458" t="s">
        <v>507</v>
      </c>
      <c r="H35" s="436">
        <v>181.26400000000001</v>
      </c>
    </row>
    <row r="36" spans="3:8">
      <c r="C36" s="500"/>
      <c r="D36" s="503"/>
      <c r="E36" s="458" t="s">
        <v>508</v>
      </c>
      <c r="F36" s="435"/>
      <c r="G36" s="458" t="s">
        <v>509</v>
      </c>
      <c r="H36" s="436">
        <v>73.108999999999995</v>
      </c>
    </row>
    <row r="37" spans="3:8">
      <c r="C37" s="500"/>
      <c r="D37" s="503"/>
      <c r="E37" s="458" t="s">
        <v>510</v>
      </c>
      <c r="F37" s="435"/>
      <c r="G37" s="458" t="s">
        <v>509</v>
      </c>
      <c r="H37" s="436">
        <v>144.04</v>
      </c>
    </row>
    <row r="38" spans="3:8">
      <c r="C38" s="500"/>
      <c r="D38" s="503"/>
      <c r="E38" s="458" t="s">
        <v>511</v>
      </c>
      <c r="F38" s="435"/>
      <c r="G38" s="459" t="s">
        <v>512</v>
      </c>
      <c r="H38" s="436">
        <v>424.59800000000001</v>
      </c>
    </row>
    <row r="39" spans="3:8">
      <c r="C39" s="500"/>
      <c r="D39" s="503"/>
      <c r="E39" s="458" t="s">
        <v>513</v>
      </c>
      <c r="F39" s="435"/>
      <c r="G39" s="458" t="s">
        <v>514</v>
      </c>
      <c r="H39" s="436">
        <v>620.15</v>
      </c>
    </row>
    <row r="40" spans="3:8">
      <c r="C40" s="500"/>
      <c r="D40" s="503"/>
      <c r="E40" s="458" t="s">
        <v>515</v>
      </c>
      <c r="F40" s="435"/>
      <c r="G40" s="458" t="s">
        <v>514</v>
      </c>
      <c r="H40" s="436">
        <v>425.39600000000002</v>
      </c>
    </row>
    <row r="41" spans="3:8">
      <c r="C41" s="500"/>
      <c r="D41" s="503"/>
      <c r="E41" s="458" t="s">
        <v>516</v>
      </c>
      <c r="F41" s="435"/>
      <c r="G41" s="458" t="s">
        <v>517</v>
      </c>
      <c r="H41" s="436">
        <v>221.94</v>
      </c>
    </row>
    <row r="42" spans="3:8">
      <c r="C42" s="500"/>
      <c r="D42" s="503"/>
      <c r="E42" s="458" t="s">
        <v>518</v>
      </c>
      <c r="F42" s="435"/>
      <c r="G42" s="458" t="s">
        <v>519</v>
      </c>
      <c r="H42" s="436">
        <v>39.847000000000001</v>
      </c>
    </row>
    <row r="43" spans="3:8">
      <c r="C43" s="500"/>
      <c r="D43" s="503"/>
      <c r="E43" s="458" t="s">
        <v>520</v>
      </c>
      <c r="F43" s="435"/>
      <c r="G43" s="458" t="s">
        <v>521</v>
      </c>
      <c r="H43" s="436">
        <v>383.40899999999999</v>
      </c>
    </row>
    <row r="44" spans="3:8">
      <c r="C44" s="500"/>
      <c r="D44" s="503"/>
      <c r="E44" s="458" t="s">
        <v>522</v>
      </c>
      <c r="F44" s="435"/>
      <c r="G44" s="458" t="s">
        <v>519</v>
      </c>
      <c r="H44" s="436">
        <v>152.49700000000001</v>
      </c>
    </row>
    <row r="45" spans="3:8">
      <c r="C45" s="500"/>
      <c r="D45" s="503"/>
      <c r="E45" s="458" t="s">
        <v>523</v>
      </c>
      <c r="F45" s="435"/>
      <c r="G45" s="458" t="s">
        <v>524</v>
      </c>
      <c r="H45" s="436">
        <v>265.63800000000003</v>
      </c>
    </row>
    <row r="46" spans="3:8">
      <c r="C46" s="500"/>
      <c r="D46" s="503"/>
      <c r="E46" s="458" t="s">
        <v>525</v>
      </c>
      <c r="F46" s="435"/>
      <c r="G46" s="458" t="s">
        <v>524</v>
      </c>
      <c r="H46" s="436">
        <v>80.561000000000007</v>
      </c>
    </row>
    <row r="47" spans="3:8">
      <c r="C47" s="500"/>
      <c r="D47" s="503"/>
      <c r="E47" s="458" t="s">
        <v>526</v>
      </c>
      <c r="F47" s="460" t="s">
        <v>527</v>
      </c>
      <c r="G47" s="458" t="s">
        <v>528</v>
      </c>
      <c r="H47" s="436">
        <v>481.79500000000002</v>
      </c>
    </row>
    <row r="48" spans="3:8">
      <c r="C48" s="500"/>
      <c r="D48" s="503"/>
      <c r="E48" s="458" t="s">
        <v>529</v>
      </c>
      <c r="F48" s="460"/>
      <c r="G48" s="458" t="s">
        <v>530</v>
      </c>
      <c r="H48" s="436">
        <v>75.292999999999992</v>
      </c>
    </row>
    <row r="49" spans="3:8">
      <c r="C49" s="500"/>
      <c r="D49" s="503"/>
      <c r="E49" s="458" t="s">
        <v>531</v>
      </c>
      <c r="F49" s="435"/>
      <c r="G49" s="458" t="s">
        <v>530</v>
      </c>
      <c r="H49" s="436">
        <v>219.82499999999999</v>
      </c>
    </row>
    <row r="50" spans="3:8">
      <c r="C50" s="500"/>
      <c r="D50" s="503"/>
      <c r="E50" s="458" t="s">
        <v>532</v>
      </c>
      <c r="F50" s="435"/>
      <c r="G50" s="458" t="s">
        <v>530</v>
      </c>
      <c r="H50" s="436">
        <v>261.577</v>
      </c>
    </row>
    <row r="51" spans="3:8">
      <c r="C51" s="500"/>
      <c r="D51" s="503"/>
      <c r="E51" s="458" t="s">
        <v>533</v>
      </c>
      <c r="F51" s="435"/>
      <c r="G51" s="458" t="s">
        <v>530</v>
      </c>
      <c r="H51" s="436">
        <v>305.267</v>
      </c>
    </row>
    <row r="52" spans="3:8">
      <c r="C52" s="500"/>
      <c r="D52" s="503"/>
      <c r="E52" s="458" t="s">
        <v>534</v>
      </c>
      <c r="F52" s="459" t="s">
        <v>535</v>
      </c>
      <c r="G52" s="459" t="s">
        <v>536</v>
      </c>
      <c r="H52" s="436">
        <v>90.76</v>
      </c>
    </row>
    <row r="53" spans="3:8">
      <c r="C53" s="500"/>
      <c r="D53" s="503"/>
      <c r="E53" s="458" t="s">
        <v>537</v>
      </c>
      <c r="F53" s="459" t="s">
        <v>538</v>
      </c>
      <c r="G53" s="459" t="s">
        <v>536</v>
      </c>
      <c r="H53" s="436">
        <v>185.035</v>
      </c>
    </row>
    <row r="54" spans="3:8">
      <c r="C54" s="500"/>
      <c r="D54" s="434" t="s">
        <v>491</v>
      </c>
      <c r="E54" s="508"/>
      <c r="F54" s="508"/>
      <c r="G54" s="508"/>
      <c r="H54" s="436">
        <f>(SUM(H33:H53))</f>
        <v>5050.5510000000013</v>
      </c>
    </row>
    <row r="55" spans="3:8">
      <c r="C55" s="500"/>
      <c r="D55" s="507" t="s">
        <v>492</v>
      </c>
      <c r="E55" s="435" t="s">
        <v>539</v>
      </c>
      <c r="F55" s="435"/>
      <c r="G55" s="435" t="s">
        <v>540</v>
      </c>
      <c r="H55" s="436">
        <v>112</v>
      </c>
    </row>
    <row r="56" spans="3:8">
      <c r="C56" s="500"/>
      <c r="D56" s="507"/>
      <c r="E56" s="435" t="s">
        <v>541</v>
      </c>
      <c r="F56" s="435"/>
      <c r="G56" s="435" t="s">
        <v>542</v>
      </c>
      <c r="H56" s="436">
        <v>227.5</v>
      </c>
    </row>
    <row r="57" spans="3:8">
      <c r="C57" s="500"/>
      <c r="D57" s="507"/>
      <c r="E57" s="435" t="s">
        <v>543</v>
      </c>
      <c r="F57" s="435"/>
      <c r="G57" s="435" t="s">
        <v>544</v>
      </c>
      <c r="H57" s="436">
        <v>200.5</v>
      </c>
    </row>
    <row r="58" spans="3:8">
      <c r="C58" s="500"/>
      <c r="D58" s="507"/>
      <c r="E58" s="435" t="s">
        <v>545</v>
      </c>
      <c r="F58" s="435"/>
      <c r="G58" s="435" t="s">
        <v>546</v>
      </c>
      <c r="H58" s="436">
        <v>176.7</v>
      </c>
    </row>
    <row r="59" spans="3:8">
      <c r="C59" s="500"/>
      <c r="D59" s="507"/>
      <c r="E59" s="435" t="s">
        <v>547</v>
      </c>
      <c r="F59" s="435"/>
      <c r="G59" s="435" t="s">
        <v>548</v>
      </c>
      <c r="H59" s="436">
        <v>141.80000000000001</v>
      </c>
    </row>
    <row r="60" spans="3:8">
      <c r="C60" s="500"/>
      <c r="D60" s="507"/>
      <c r="E60" s="435" t="s">
        <v>549</v>
      </c>
      <c r="F60" s="435"/>
      <c r="G60" s="435" t="s">
        <v>517</v>
      </c>
      <c r="H60" s="436">
        <v>718.3</v>
      </c>
    </row>
    <row r="61" spans="3:8">
      <c r="C61" s="500"/>
      <c r="D61" s="507"/>
      <c r="E61" s="435" t="s">
        <v>550</v>
      </c>
      <c r="F61" s="435"/>
      <c r="G61" s="435" t="s">
        <v>517</v>
      </c>
      <c r="H61" s="436">
        <v>493.2</v>
      </c>
    </row>
    <row r="62" spans="3:8">
      <c r="C62" s="500"/>
      <c r="D62" s="507"/>
      <c r="E62" s="435" t="s">
        <v>551</v>
      </c>
      <c r="F62" s="435"/>
      <c r="G62" s="435"/>
      <c r="H62" s="436">
        <v>282.10000000000002</v>
      </c>
    </row>
    <row r="63" spans="3:8">
      <c r="C63" s="500"/>
      <c r="D63" s="435" t="s">
        <v>491</v>
      </c>
      <c r="E63" s="503"/>
      <c r="F63" s="503"/>
      <c r="G63" s="503"/>
      <c r="H63" s="436">
        <f>(SUM(H55:H62))</f>
        <v>2352.1</v>
      </c>
    </row>
    <row r="64" spans="3:8">
      <c r="C64" s="501"/>
      <c r="D64" s="450" t="s">
        <v>317</v>
      </c>
      <c r="E64" s="504"/>
      <c r="F64" s="504"/>
      <c r="G64" s="504"/>
      <c r="H64" s="452">
        <f>(SUM(H54, H63))</f>
        <v>7402.6510000000017</v>
      </c>
    </row>
    <row r="65" spans="3:8">
      <c r="C65" s="505">
        <v>2022</v>
      </c>
      <c r="D65" s="506" t="s">
        <v>457</v>
      </c>
      <c r="E65" s="453" t="s">
        <v>552</v>
      </c>
      <c r="F65" s="453"/>
      <c r="G65" s="454">
        <v>44590</v>
      </c>
      <c r="H65" s="455">
        <v>302.39999999999998</v>
      </c>
    </row>
    <row r="66" spans="3:8">
      <c r="C66" s="500"/>
      <c r="D66" s="503"/>
      <c r="E66" s="435" t="s">
        <v>553</v>
      </c>
      <c r="F66" s="435"/>
      <c r="G66" s="448">
        <v>44617</v>
      </c>
      <c r="H66" s="436">
        <v>474.3</v>
      </c>
    </row>
    <row r="67" spans="3:8">
      <c r="C67" s="500"/>
      <c r="D67" s="503"/>
      <c r="E67" s="435" t="s">
        <v>554</v>
      </c>
      <c r="F67" s="435"/>
      <c r="G67" s="448">
        <v>44618</v>
      </c>
      <c r="H67" s="436">
        <v>887.2</v>
      </c>
    </row>
    <row r="68" spans="3:8">
      <c r="C68" s="500"/>
      <c r="D68" s="503"/>
      <c r="E68" s="435" t="s">
        <v>555</v>
      </c>
      <c r="F68" s="435"/>
      <c r="G68" s="448">
        <v>44674</v>
      </c>
      <c r="H68" s="436">
        <v>545.6</v>
      </c>
    </row>
    <row r="69" spans="3:8">
      <c r="C69" s="500"/>
      <c r="D69" s="503"/>
      <c r="E69" s="435" t="s">
        <v>556</v>
      </c>
      <c r="F69" s="435"/>
      <c r="G69" s="448">
        <v>44682</v>
      </c>
      <c r="H69" s="436">
        <v>983</v>
      </c>
    </row>
    <row r="70" spans="3:8">
      <c r="C70" s="500"/>
      <c r="D70" s="503"/>
      <c r="E70" s="435" t="s">
        <v>557</v>
      </c>
      <c r="F70" s="435"/>
      <c r="G70" s="448">
        <v>44697</v>
      </c>
      <c r="H70" s="436">
        <v>1766</v>
      </c>
    </row>
    <row r="71" spans="3:8">
      <c r="C71" s="500"/>
      <c r="D71" s="503"/>
      <c r="E71" s="435" t="s">
        <v>558</v>
      </c>
      <c r="F71" s="435"/>
      <c r="G71" s="448">
        <v>44715</v>
      </c>
      <c r="H71" s="436">
        <v>318.39999999999998</v>
      </c>
    </row>
    <row r="72" spans="3:8">
      <c r="C72" s="500"/>
      <c r="D72" s="503"/>
      <c r="E72" s="435" t="s">
        <v>559</v>
      </c>
      <c r="F72" s="435"/>
      <c r="G72" s="448">
        <v>44726</v>
      </c>
      <c r="H72" s="436">
        <v>318.8</v>
      </c>
    </row>
    <row r="73" spans="3:8">
      <c r="C73" s="500"/>
      <c r="D73" s="503"/>
      <c r="E73" s="435" t="s">
        <v>560</v>
      </c>
      <c r="F73" s="435"/>
      <c r="G73" s="448">
        <v>44830</v>
      </c>
      <c r="H73" s="436">
        <v>1276.5</v>
      </c>
    </row>
    <row r="74" spans="3:8">
      <c r="C74" s="500"/>
      <c r="D74" s="503"/>
      <c r="E74" s="435" t="s">
        <v>561</v>
      </c>
      <c r="F74" s="435"/>
      <c r="G74" s="448">
        <v>44738</v>
      </c>
      <c r="H74" s="436">
        <v>839.8</v>
      </c>
    </row>
    <row r="75" spans="3:8">
      <c r="C75" s="500"/>
      <c r="D75" s="503"/>
      <c r="E75" s="435" t="s">
        <v>562</v>
      </c>
      <c r="F75" s="435"/>
      <c r="G75" s="448">
        <v>44741</v>
      </c>
      <c r="H75" s="436">
        <v>415.8</v>
      </c>
    </row>
    <row r="76" spans="3:8">
      <c r="C76" s="500"/>
      <c r="D76" s="503"/>
      <c r="E76" s="435" t="s">
        <v>563</v>
      </c>
      <c r="F76" s="435"/>
      <c r="G76" s="448">
        <v>44865</v>
      </c>
      <c r="H76" s="436">
        <v>467.6</v>
      </c>
    </row>
    <row r="77" spans="3:8">
      <c r="C77" s="500"/>
      <c r="D77" s="503"/>
      <c r="E77" s="435" t="s">
        <v>564</v>
      </c>
      <c r="F77" s="435"/>
      <c r="G77" s="448">
        <v>44774</v>
      </c>
      <c r="H77" s="436">
        <v>121.1</v>
      </c>
    </row>
    <row r="78" spans="3:8">
      <c r="C78" s="500"/>
      <c r="D78" s="503"/>
      <c r="E78" s="435" t="s">
        <v>565</v>
      </c>
      <c r="F78" s="435"/>
      <c r="G78" s="448">
        <v>44851</v>
      </c>
      <c r="H78" s="436">
        <v>517.70000000000005</v>
      </c>
    </row>
    <row r="79" spans="3:8">
      <c r="C79" s="500"/>
      <c r="D79" s="435" t="s">
        <v>491</v>
      </c>
      <c r="E79" s="435"/>
      <c r="F79" s="435"/>
      <c r="G79" s="435"/>
      <c r="H79" s="436">
        <f>(SUM(H65:H78))</f>
        <v>9234.2000000000007</v>
      </c>
    </row>
    <row r="80" spans="3:8">
      <c r="C80" s="500"/>
      <c r="D80" s="507" t="s">
        <v>492</v>
      </c>
      <c r="E80" s="435" t="s">
        <v>566</v>
      </c>
      <c r="F80" s="435"/>
      <c r="G80" s="448">
        <v>44633</v>
      </c>
      <c r="H80" s="436">
        <v>146.9</v>
      </c>
    </row>
    <row r="81" spans="3:8">
      <c r="C81" s="500"/>
      <c r="D81" s="507"/>
      <c r="E81" s="435" t="s">
        <v>567</v>
      </c>
      <c r="F81" s="435"/>
      <c r="G81" s="448">
        <v>44739</v>
      </c>
      <c r="H81" s="436">
        <v>107.4</v>
      </c>
    </row>
    <row r="82" spans="3:8">
      <c r="C82" s="500"/>
      <c r="D82" s="507"/>
      <c r="E82" s="435" t="s">
        <v>568</v>
      </c>
      <c r="F82" s="435"/>
      <c r="G82" s="448">
        <v>44724</v>
      </c>
      <c r="H82" s="436">
        <f>(((9212-5527)*10)*100)/10000</f>
        <v>368.5</v>
      </c>
    </row>
    <row r="83" spans="3:8">
      <c r="C83" s="500"/>
      <c r="D83" s="507"/>
      <c r="E83" s="435" t="s">
        <v>569</v>
      </c>
      <c r="F83" s="435"/>
      <c r="G83" s="448">
        <v>44802</v>
      </c>
      <c r="H83" s="436">
        <v>330.7</v>
      </c>
    </row>
    <row r="84" spans="3:8">
      <c r="C84" s="500"/>
      <c r="D84" s="507"/>
      <c r="E84" s="435" t="s">
        <v>570</v>
      </c>
      <c r="F84" s="435"/>
      <c r="G84" s="448">
        <v>44828</v>
      </c>
      <c r="H84" s="436">
        <v>302.7</v>
      </c>
    </row>
    <row r="85" spans="3:8">
      <c r="C85" s="500"/>
      <c r="D85" s="507"/>
      <c r="E85" s="435" t="s">
        <v>571</v>
      </c>
      <c r="F85" s="435"/>
      <c r="G85" s="448">
        <v>44859</v>
      </c>
      <c r="H85" s="436">
        <v>396.5</v>
      </c>
    </row>
    <row r="86" spans="3:8">
      <c r="C86" s="500"/>
      <c r="D86" s="507"/>
      <c r="E86" s="435" t="s">
        <v>572</v>
      </c>
      <c r="F86" s="435"/>
      <c r="G86" s="448">
        <v>44851</v>
      </c>
      <c r="H86" s="436">
        <v>517.70000000000005</v>
      </c>
    </row>
    <row r="87" spans="3:8">
      <c r="C87" s="500"/>
      <c r="D87" s="435" t="s">
        <v>491</v>
      </c>
      <c r="E87" s="503"/>
      <c r="F87" s="503"/>
      <c r="G87" s="503"/>
      <c r="H87" s="436">
        <f>(SUM(H80:H86))</f>
        <v>2170.4</v>
      </c>
    </row>
    <row r="88" spans="3:8">
      <c r="C88" s="501"/>
      <c r="D88" s="450" t="s">
        <v>317</v>
      </c>
      <c r="E88" s="504"/>
      <c r="F88" s="504"/>
      <c r="G88" s="504"/>
      <c r="H88" s="452">
        <f>(SUM(H79, H87))</f>
        <v>11404.6</v>
      </c>
    </row>
    <row r="89" spans="3:8">
      <c r="C89" s="505">
        <v>2023</v>
      </c>
      <c r="D89" s="506" t="s">
        <v>457</v>
      </c>
      <c r="E89" s="453" t="s">
        <v>573</v>
      </c>
      <c r="F89" s="453"/>
      <c r="G89" s="454">
        <v>44934</v>
      </c>
      <c r="H89" s="455">
        <v>342.3</v>
      </c>
    </row>
    <row r="90" spans="3:8">
      <c r="C90" s="500"/>
      <c r="D90" s="503"/>
      <c r="E90" s="435" t="s">
        <v>574</v>
      </c>
      <c r="F90" s="435"/>
      <c r="G90" s="448">
        <v>44942</v>
      </c>
      <c r="H90" s="436">
        <v>243.4</v>
      </c>
    </row>
    <row r="91" spans="3:8">
      <c r="C91" s="500"/>
      <c r="D91" s="503"/>
      <c r="E91" s="435" t="s">
        <v>575</v>
      </c>
      <c r="F91" s="435"/>
      <c r="G91" s="448">
        <v>44982</v>
      </c>
      <c r="H91" s="436">
        <v>223.7</v>
      </c>
    </row>
    <row r="92" spans="3:8">
      <c r="C92" s="500"/>
      <c r="D92" s="503"/>
      <c r="E92" s="435" t="s">
        <v>576</v>
      </c>
      <c r="F92" s="435"/>
      <c r="G92" s="448">
        <v>45048</v>
      </c>
      <c r="H92" s="436">
        <v>771</v>
      </c>
    </row>
    <row r="93" spans="3:8">
      <c r="C93" s="500"/>
      <c r="D93" s="503"/>
      <c r="E93" s="435" t="s">
        <v>577</v>
      </c>
      <c r="F93" s="435"/>
      <c r="G93" s="448">
        <v>45220</v>
      </c>
      <c r="H93" s="436">
        <v>1120</v>
      </c>
    </row>
    <row r="94" spans="3:8">
      <c r="C94" s="500"/>
      <c r="D94" s="503"/>
      <c r="E94" s="435" t="s">
        <v>578</v>
      </c>
      <c r="F94" s="435"/>
      <c r="G94" s="448">
        <v>45237</v>
      </c>
      <c r="H94" s="436">
        <v>555.5</v>
      </c>
    </row>
    <row r="95" spans="3:8">
      <c r="C95" s="500"/>
      <c r="D95" s="503"/>
      <c r="E95" s="435" t="s">
        <v>579</v>
      </c>
      <c r="F95" s="435"/>
      <c r="G95" s="448">
        <v>45259</v>
      </c>
      <c r="H95" s="436">
        <v>633.70000000000005</v>
      </c>
    </row>
    <row r="96" spans="3:8">
      <c r="C96" s="500"/>
      <c r="D96" s="503"/>
      <c r="E96" s="435" t="s">
        <v>580</v>
      </c>
      <c r="F96" s="435"/>
      <c r="G96" s="448">
        <v>45271</v>
      </c>
      <c r="H96" s="436">
        <v>260</v>
      </c>
    </row>
    <row r="97" spans="3:8">
      <c r="C97" s="500"/>
      <c r="D97" s="503"/>
      <c r="E97" s="435" t="s">
        <v>581</v>
      </c>
      <c r="F97" s="435"/>
      <c r="G97" s="448">
        <v>45271</v>
      </c>
      <c r="H97" s="436">
        <v>479.7</v>
      </c>
    </row>
    <row r="98" spans="3:8">
      <c r="C98" s="500"/>
      <c r="D98" s="503"/>
      <c r="E98" s="435" t="s">
        <v>582</v>
      </c>
      <c r="F98" s="435"/>
      <c r="G98" s="448">
        <v>45285</v>
      </c>
      <c r="H98" s="436">
        <v>700</v>
      </c>
    </row>
    <row r="99" spans="3:8">
      <c r="C99" s="500"/>
      <c r="D99" s="503"/>
      <c r="E99" s="435" t="s">
        <v>583</v>
      </c>
      <c r="F99" s="435"/>
      <c r="G99" s="448">
        <v>45291</v>
      </c>
      <c r="H99" s="436">
        <v>290.8</v>
      </c>
    </row>
    <row r="100" spans="3:8">
      <c r="C100" s="500"/>
      <c r="D100" s="435" t="s">
        <v>491</v>
      </c>
      <c r="E100" s="503"/>
      <c r="F100" s="503"/>
      <c r="G100" s="503"/>
      <c r="H100" s="436">
        <f>(SUM(H89:H99))</f>
        <v>5620.1</v>
      </c>
    </row>
    <row r="101" spans="3:8">
      <c r="C101" s="500"/>
      <c r="D101" s="503" t="s">
        <v>492</v>
      </c>
      <c r="E101" s="435" t="s">
        <v>584</v>
      </c>
      <c r="F101" s="435"/>
      <c r="G101" s="448">
        <v>45130</v>
      </c>
      <c r="H101" s="436">
        <v>356.2</v>
      </c>
    </row>
    <row r="102" spans="3:8">
      <c r="C102" s="500"/>
      <c r="D102" s="503"/>
      <c r="E102" s="435" t="s">
        <v>585</v>
      </c>
      <c r="F102" s="435"/>
      <c r="G102" s="448">
        <v>45060</v>
      </c>
      <c r="H102" s="436">
        <v>468.7</v>
      </c>
    </row>
    <row r="103" spans="3:8">
      <c r="C103" s="500"/>
      <c r="D103" s="503"/>
      <c r="E103" s="435" t="s">
        <v>586</v>
      </c>
      <c r="F103" s="435"/>
      <c r="G103" s="448">
        <v>45257</v>
      </c>
      <c r="H103" s="436">
        <v>101.7</v>
      </c>
    </row>
    <row r="104" spans="3:8">
      <c r="C104" s="500"/>
      <c r="D104" s="503"/>
      <c r="E104" s="435" t="s">
        <v>587</v>
      </c>
      <c r="F104" s="435"/>
      <c r="G104" s="448">
        <v>45291</v>
      </c>
      <c r="H104" s="436">
        <v>355.5</v>
      </c>
    </row>
    <row r="105" spans="3:8">
      <c r="C105" s="500"/>
      <c r="D105" s="435" t="s">
        <v>491</v>
      </c>
      <c r="E105" s="503"/>
      <c r="F105" s="503"/>
      <c r="G105" s="503"/>
      <c r="H105" s="436">
        <f>(SUM(H101:H104))</f>
        <v>1282.0999999999999</v>
      </c>
    </row>
    <row r="106" spans="3:8">
      <c r="C106" s="501"/>
      <c r="D106" s="450" t="s">
        <v>317</v>
      </c>
      <c r="E106" s="504"/>
      <c r="F106" s="504"/>
      <c r="G106" s="504"/>
      <c r="H106" s="452">
        <f>(SUM(H100, H105))</f>
        <v>6902.2000000000007</v>
      </c>
    </row>
    <row r="107" spans="3:8">
      <c r="C107" s="505">
        <v>2024</v>
      </c>
      <c r="D107" s="506" t="s">
        <v>457</v>
      </c>
      <c r="E107" s="453" t="s">
        <v>588</v>
      </c>
      <c r="F107" s="453"/>
      <c r="G107" s="454">
        <v>45352</v>
      </c>
      <c r="H107" s="455">
        <v>678.2</v>
      </c>
    </row>
    <row r="108" spans="3:8">
      <c r="C108" s="500"/>
      <c r="D108" s="503"/>
      <c r="E108" s="435" t="s">
        <v>589</v>
      </c>
      <c r="F108" s="435"/>
      <c r="G108" s="448">
        <v>45352</v>
      </c>
      <c r="H108" s="436">
        <v>774</v>
      </c>
    </row>
    <row r="109" spans="3:8">
      <c r="C109" s="500"/>
      <c r="D109" s="503"/>
      <c r="E109" s="435" t="s">
        <v>590</v>
      </c>
      <c r="F109" s="435"/>
      <c r="G109" s="448">
        <v>45413</v>
      </c>
      <c r="H109" s="436">
        <v>514</v>
      </c>
    </row>
    <row r="110" spans="3:8">
      <c r="C110" s="500"/>
      <c r="D110" s="503"/>
      <c r="E110" s="435" t="s">
        <v>591</v>
      </c>
      <c r="F110" s="435"/>
      <c r="G110" s="448">
        <v>45413</v>
      </c>
      <c r="H110" s="436">
        <v>705.7</v>
      </c>
    </row>
    <row r="111" spans="3:8">
      <c r="C111" s="500"/>
      <c r="D111" s="503"/>
      <c r="E111" s="435" t="s">
        <v>592</v>
      </c>
      <c r="F111" s="435"/>
      <c r="G111" s="448">
        <v>45444</v>
      </c>
      <c r="H111" s="436">
        <v>634.1</v>
      </c>
    </row>
    <row r="112" spans="3:8">
      <c r="C112" s="500"/>
      <c r="D112" s="503"/>
      <c r="E112" s="435" t="s">
        <v>593</v>
      </c>
      <c r="F112" s="435"/>
      <c r="G112" s="448">
        <v>45536</v>
      </c>
      <c r="H112" s="436">
        <v>719.7</v>
      </c>
    </row>
    <row r="113" spans="3:8">
      <c r="C113" s="500"/>
      <c r="D113" s="503"/>
      <c r="E113" s="435" t="s">
        <v>594</v>
      </c>
      <c r="F113" s="435"/>
      <c r="G113" s="448">
        <v>45597</v>
      </c>
      <c r="H113" s="436">
        <v>346</v>
      </c>
    </row>
    <row r="114" spans="3:8">
      <c r="C114" s="500"/>
      <c r="D114" s="503"/>
      <c r="E114" s="435" t="s">
        <v>595</v>
      </c>
      <c r="F114" s="435"/>
      <c r="G114" s="448">
        <v>45597</v>
      </c>
      <c r="H114" s="436">
        <v>406.4</v>
      </c>
    </row>
    <row r="115" spans="3:8">
      <c r="C115" s="500"/>
      <c r="D115" s="503"/>
      <c r="E115" s="435" t="s">
        <v>596</v>
      </c>
      <c r="F115" s="435"/>
      <c r="G115" s="448">
        <v>45627</v>
      </c>
      <c r="H115" s="436">
        <v>1283</v>
      </c>
    </row>
    <row r="116" spans="3:8">
      <c r="C116" s="500"/>
      <c r="D116" s="435" t="s">
        <v>491</v>
      </c>
      <c r="E116" s="503"/>
      <c r="F116" s="503"/>
      <c r="G116" s="503"/>
      <c r="H116" s="436">
        <f>(SUM(H107:H115))</f>
        <v>6061.0999999999995</v>
      </c>
    </row>
    <row r="117" spans="3:8">
      <c r="C117" s="500"/>
      <c r="D117" s="503" t="s">
        <v>492</v>
      </c>
      <c r="E117" s="435" t="s">
        <v>597</v>
      </c>
      <c r="F117" s="435"/>
      <c r="G117" s="448">
        <v>45516</v>
      </c>
      <c r="H117" s="436">
        <v>199.2</v>
      </c>
    </row>
    <row r="118" spans="3:8">
      <c r="C118" s="500"/>
      <c r="D118" s="503"/>
      <c r="E118" s="435" t="s">
        <v>598</v>
      </c>
      <c r="F118" s="435"/>
      <c r="G118" s="448">
        <v>45543</v>
      </c>
      <c r="H118" s="436">
        <v>234.3</v>
      </c>
    </row>
    <row r="119" spans="3:8">
      <c r="C119" s="500"/>
      <c r="D119" s="503"/>
      <c r="E119" s="435" t="s">
        <v>599</v>
      </c>
      <c r="F119" s="435"/>
      <c r="G119" s="448">
        <v>45614</v>
      </c>
      <c r="H119" s="436">
        <v>358.8</v>
      </c>
    </row>
    <row r="120" spans="3:8">
      <c r="C120" s="500"/>
      <c r="D120" s="503"/>
      <c r="E120" s="435" t="s">
        <v>600</v>
      </c>
      <c r="F120" s="435"/>
      <c r="G120" s="448">
        <v>45620</v>
      </c>
      <c r="H120" s="436">
        <v>346</v>
      </c>
    </row>
    <row r="121" spans="3:8">
      <c r="C121" s="500"/>
      <c r="D121" s="503"/>
      <c r="E121" s="435" t="s">
        <v>601</v>
      </c>
      <c r="F121" s="435"/>
      <c r="G121" s="448">
        <v>45649</v>
      </c>
      <c r="H121" s="436">
        <v>440</v>
      </c>
    </row>
    <row r="122" spans="3:8">
      <c r="C122" s="500"/>
      <c r="D122" s="435" t="s">
        <v>491</v>
      </c>
      <c r="E122" s="503"/>
      <c r="F122" s="503"/>
      <c r="G122" s="503"/>
      <c r="H122" s="436">
        <f>(SUM(H117:H121))</f>
        <v>1578.3</v>
      </c>
    </row>
    <row r="123" spans="3:8">
      <c r="C123" s="501"/>
      <c r="D123" s="450" t="s">
        <v>317</v>
      </c>
      <c r="E123" s="504"/>
      <c r="F123" s="504"/>
      <c r="G123" s="504"/>
      <c r="H123" s="452">
        <f>(SUM(H122, H116))</f>
        <v>7639.4</v>
      </c>
    </row>
    <row r="124" spans="3:8">
      <c r="C124" s="509">
        <v>2025</v>
      </c>
      <c r="D124" s="503" t="s">
        <v>457</v>
      </c>
      <c r="E124" s="437" t="s">
        <v>602</v>
      </c>
      <c r="H124" s="436">
        <v>765.7</v>
      </c>
    </row>
    <row r="125" spans="3:8">
      <c r="C125" s="509"/>
      <c r="D125" s="503"/>
      <c r="E125" s="438" t="s">
        <v>603</v>
      </c>
      <c r="H125" s="436">
        <v>312.3</v>
      </c>
    </row>
    <row r="126" spans="3:8">
      <c r="C126" s="509"/>
      <c r="D126" s="503"/>
      <c r="E126" s="438" t="s">
        <v>604</v>
      </c>
      <c r="H126" s="436">
        <v>350.2</v>
      </c>
    </row>
    <row r="127" spans="3:8">
      <c r="C127" s="509"/>
      <c r="D127" s="503"/>
      <c r="E127" s="438" t="s">
        <v>605</v>
      </c>
      <c r="H127" s="436">
        <v>1513.8</v>
      </c>
    </row>
    <row r="128" spans="3:8">
      <c r="C128" s="509"/>
      <c r="D128" s="503"/>
      <c r="E128" s="438" t="s">
        <v>606</v>
      </c>
      <c r="H128" s="436">
        <v>292</v>
      </c>
    </row>
    <row r="129" spans="3:10">
      <c r="C129" s="509"/>
      <c r="D129" s="503"/>
      <c r="E129" s="438" t="s">
        <v>607</v>
      </c>
      <c r="H129" s="436">
        <v>1964.8</v>
      </c>
    </row>
    <row r="130" spans="3:10">
      <c r="C130" s="509"/>
      <c r="D130" s="503"/>
      <c r="E130" s="438" t="s">
        <v>608</v>
      </c>
      <c r="H130" s="436">
        <v>337</v>
      </c>
    </row>
    <row r="131" spans="3:10">
      <c r="C131" s="509"/>
      <c r="D131" s="503"/>
      <c r="E131" s="438" t="s">
        <v>609</v>
      </c>
      <c r="H131" s="436">
        <v>2748.8</v>
      </c>
    </row>
    <row r="132" spans="3:10">
      <c r="C132" s="509"/>
      <c r="D132" s="503"/>
      <c r="E132" s="438" t="s">
        <v>610</v>
      </c>
      <c r="H132" s="436">
        <v>1466.3</v>
      </c>
    </row>
    <row r="133" spans="3:10">
      <c r="C133" s="509"/>
      <c r="D133" s="503"/>
      <c r="E133" s="438" t="s">
        <v>611</v>
      </c>
      <c r="H133" s="436">
        <v>2000</v>
      </c>
    </row>
    <row r="134" spans="3:10">
      <c r="C134" s="509"/>
      <c r="D134" s="435" t="s">
        <v>317</v>
      </c>
      <c r="H134" s="436">
        <f>(SUM(H124:H133))</f>
        <v>11750.9</v>
      </c>
      <c r="J134" s="116"/>
    </row>
    <row r="135" spans="3:10" ht="19.5" thickBot="1">
      <c r="C135" s="461"/>
      <c r="D135" s="440" t="s">
        <v>612</v>
      </c>
      <c r="E135" s="439"/>
      <c r="F135" s="439"/>
      <c r="G135" s="439"/>
      <c r="H135" s="441">
        <f>(SUM(H11, H32, H64, H88, H106, H123, H134))</f>
        <v>52355.051000000007</v>
      </c>
      <c r="J135" s="116"/>
    </row>
  </sheetData>
  <mergeCells count="34">
    <mergeCell ref="E106:G106"/>
    <mergeCell ref="C107:C123"/>
    <mergeCell ref="D107:D115"/>
    <mergeCell ref="E116:G116"/>
    <mergeCell ref="D117:D121"/>
    <mergeCell ref="E122:G122"/>
    <mergeCell ref="E123:G123"/>
    <mergeCell ref="C89:C106"/>
    <mergeCell ref="D89:D99"/>
    <mergeCell ref="E100:G100"/>
    <mergeCell ref="D101:D104"/>
    <mergeCell ref="E105:G105"/>
    <mergeCell ref="C124:C134"/>
    <mergeCell ref="D124:D133"/>
    <mergeCell ref="C65:C88"/>
    <mergeCell ref="D65:D78"/>
    <mergeCell ref="D80:D86"/>
    <mergeCell ref="E87:G87"/>
    <mergeCell ref="E88:G88"/>
    <mergeCell ref="C33:C64"/>
    <mergeCell ref="D33:D53"/>
    <mergeCell ref="E54:G54"/>
    <mergeCell ref="D55:D62"/>
    <mergeCell ref="E63:G63"/>
    <mergeCell ref="E64:G64"/>
    <mergeCell ref="C5:C11"/>
    <mergeCell ref="D5:D10"/>
    <mergeCell ref="E11:G11"/>
    <mergeCell ref="C12:C32"/>
    <mergeCell ref="D12:D25"/>
    <mergeCell ref="E26:G26"/>
    <mergeCell ref="D27:D30"/>
    <mergeCell ref="E31:G31"/>
    <mergeCell ref="E32:G32"/>
  </mergeCells>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BD055-FC5D-4463-937A-D21499AC80F1}">
  <dimension ref="A3:W70"/>
  <sheetViews>
    <sheetView showGridLines="0" zoomScaleNormal="100" workbookViewId="0">
      <pane xSplit="2" topLeftCell="C1" activePane="topRight" state="frozen"/>
      <selection activeCell="A46" sqref="A46"/>
      <selection pane="topRight"/>
    </sheetView>
  </sheetViews>
  <sheetFormatPr defaultRowHeight="16.5"/>
  <cols>
    <col min="1" max="1" width="10.25" bestFit="1" customWidth="1"/>
    <col min="2" max="2" width="31.5" customWidth="1"/>
    <col min="3" max="3" width="12.25" bestFit="1" customWidth="1"/>
    <col min="4" max="18" width="9.625" bestFit="1" customWidth="1"/>
  </cols>
  <sheetData>
    <row r="3" spans="1:18">
      <c r="A3" s="462" t="s">
        <v>184</v>
      </c>
      <c r="B3" s="462"/>
      <c r="C3" s="462"/>
      <c r="D3" s="462"/>
      <c r="E3" s="462"/>
      <c r="F3" s="462"/>
      <c r="G3" s="462"/>
      <c r="H3" s="462"/>
      <c r="I3" s="462"/>
      <c r="J3" s="462"/>
      <c r="K3" s="462"/>
      <c r="L3" s="462"/>
      <c r="M3" s="462"/>
      <c r="N3" s="462"/>
      <c r="O3" s="462"/>
      <c r="P3" s="462"/>
      <c r="Q3" s="462"/>
      <c r="R3" s="462"/>
    </row>
    <row r="4" spans="1:18">
      <c r="A4" s="463" t="s">
        <v>183</v>
      </c>
      <c r="B4" s="463" t="s">
        <v>182</v>
      </c>
      <c r="C4" s="463"/>
      <c r="D4" s="463"/>
      <c r="E4" s="463"/>
      <c r="F4" s="463"/>
      <c r="G4" s="463"/>
      <c r="H4" s="463"/>
      <c r="I4" s="463"/>
      <c r="J4" s="463"/>
      <c r="K4" s="463"/>
      <c r="L4" s="463"/>
      <c r="M4" s="463"/>
      <c r="N4" s="463"/>
      <c r="O4" s="463"/>
      <c r="P4" s="463"/>
      <c r="Q4" s="463"/>
      <c r="R4" s="463"/>
    </row>
    <row r="5" spans="1:18">
      <c r="A5" s="463" t="s">
        <v>181</v>
      </c>
      <c r="B5" s="464" t="s">
        <v>180</v>
      </c>
      <c r="C5" s="463" t="s">
        <v>179</v>
      </c>
      <c r="D5" s="463" t="s">
        <v>178</v>
      </c>
      <c r="E5" s="463"/>
      <c r="F5" s="463"/>
      <c r="G5" s="463"/>
      <c r="H5" s="463"/>
      <c r="I5" s="463"/>
      <c r="J5" s="463"/>
      <c r="K5" s="463"/>
      <c r="L5" s="463"/>
      <c r="M5" s="463"/>
      <c r="N5" s="463"/>
      <c r="O5" s="463"/>
      <c r="P5" s="463"/>
      <c r="Q5" s="463"/>
      <c r="R5" s="463"/>
    </row>
    <row r="6" spans="1:18">
      <c r="A6" s="463" t="s">
        <v>177</v>
      </c>
      <c r="B6" s="465" t="s">
        <v>176</v>
      </c>
      <c r="C6" s="463" t="s">
        <v>175</v>
      </c>
      <c r="D6" s="463"/>
      <c r="E6" s="463"/>
      <c r="F6" s="463"/>
      <c r="G6" s="463"/>
      <c r="H6" s="463"/>
      <c r="I6" s="463"/>
      <c r="J6" s="463"/>
      <c r="K6" s="463"/>
      <c r="L6" s="463"/>
      <c r="M6" s="463"/>
      <c r="N6" s="463"/>
      <c r="O6" s="463"/>
      <c r="P6" s="463"/>
      <c r="Q6" s="463"/>
      <c r="R6" s="463"/>
    </row>
    <row r="7" spans="1:18">
      <c r="A7" s="463" t="s">
        <v>174</v>
      </c>
      <c r="B7" s="466" t="s">
        <v>173</v>
      </c>
      <c r="C7" s="463"/>
      <c r="D7" s="463"/>
      <c r="E7" s="463"/>
      <c r="F7" s="463"/>
      <c r="G7" s="463"/>
      <c r="H7" s="463"/>
      <c r="I7" s="463"/>
      <c r="J7" s="463" t="s">
        <v>926</v>
      </c>
      <c r="K7" s="463">
        <f>CORREL(D12:R12,D13:R13)</f>
        <v>0.99694514087864849</v>
      </c>
      <c r="L7" s="463"/>
      <c r="M7" s="463" t="s">
        <v>927</v>
      </c>
      <c r="N7" s="463">
        <f>GEOMEAN(D9:R9)</f>
        <v>0.91481969288532294</v>
      </c>
      <c r="O7" s="463"/>
      <c r="P7" s="463"/>
      <c r="Q7" s="463"/>
      <c r="R7" s="463"/>
    </row>
    <row r="8" spans="1:18">
      <c r="A8" s="463" t="s">
        <v>172</v>
      </c>
      <c r="B8" s="467" t="s">
        <v>171</v>
      </c>
      <c r="C8" s="466" t="s">
        <v>35</v>
      </c>
      <c r="D8" s="463"/>
      <c r="E8" s="463"/>
      <c r="F8" s="463"/>
      <c r="G8" s="463"/>
      <c r="H8" s="463"/>
      <c r="I8" s="463"/>
      <c r="J8" s="463"/>
      <c r="K8" s="463"/>
      <c r="L8" s="463"/>
      <c r="M8" s="463"/>
      <c r="N8" s="463"/>
      <c r="O8" s="463"/>
      <c r="P8" s="463" t="s">
        <v>170</v>
      </c>
      <c r="Q8" s="463" t="s">
        <v>170</v>
      </c>
      <c r="R8" s="463" t="s">
        <v>169</v>
      </c>
    </row>
    <row r="9" spans="1:18">
      <c r="A9" s="468" t="s">
        <v>168</v>
      </c>
      <c r="B9" s="469">
        <v>2010</v>
      </c>
      <c r="C9" s="464" t="s">
        <v>167</v>
      </c>
      <c r="D9" s="468">
        <f t="shared" ref="D9:R9" si="0">D13/D12</f>
        <v>0.88338075847880193</v>
      </c>
      <c r="E9" s="468">
        <f t="shared" si="0"/>
        <v>0.90198870535958098</v>
      </c>
      <c r="F9" s="468">
        <f t="shared" si="0"/>
        <v>0.90627476346586566</v>
      </c>
      <c r="G9" s="468">
        <f t="shared" si="0"/>
        <v>0.91916881280030771</v>
      </c>
      <c r="H9" s="468">
        <f t="shared" si="0"/>
        <v>0.91829504621311753</v>
      </c>
      <c r="I9" s="468">
        <f t="shared" si="0"/>
        <v>0.91030905965628151</v>
      </c>
      <c r="J9" s="468">
        <f t="shared" si="0"/>
        <v>0.89749065272989159</v>
      </c>
      <c r="K9" s="468">
        <f t="shared" si="0"/>
        <v>0.89465538467551253</v>
      </c>
      <c r="L9" s="468">
        <f t="shared" si="0"/>
        <v>0.9007137932975966</v>
      </c>
      <c r="M9" s="468">
        <f t="shared" si="0"/>
        <v>0.90011425567250303</v>
      </c>
      <c r="N9" s="468">
        <f t="shared" si="0"/>
        <v>0.91769049521889257</v>
      </c>
      <c r="O9" s="468">
        <f t="shared" si="0"/>
        <v>0.90051575558187213</v>
      </c>
      <c r="P9" s="468">
        <f t="shared" si="0"/>
        <v>0.92877526439231228</v>
      </c>
      <c r="Q9" s="468">
        <f t="shared" si="0"/>
        <v>0.94257234163009807</v>
      </c>
      <c r="R9" s="468">
        <f t="shared" si="0"/>
        <v>1.0066400740881587</v>
      </c>
    </row>
    <row r="10" spans="1:18">
      <c r="A10" s="470" t="s">
        <v>166</v>
      </c>
      <c r="B10" s="471" t="s">
        <v>165</v>
      </c>
      <c r="C10" s="471" t="s">
        <v>164</v>
      </c>
      <c r="D10" s="470">
        <v>201012</v>
      </c>
      <c r="E10" s="470">
        <v>201112</v>
      </c>
      <c r="F10" s="470">
        <v>201212</v>
      </c>
      <c r="G10" s="470">
        <v>201312</v>
      </c>
      <c r="H10" s="470">
        <v>201412</v>
      </c>
      <c r="I10" s="470">
        <v>201512</v>
      </c>
      <c r="J10" s="470">
        <v>201612</v>
      </c>
      <c r="K10" s="470">
        <v>201712</v>
      </c>
      <c r="L10" s="470">
        <v>201812</v>
      </c>
      <c r="M10" s="470">
        <v>201912</v>
      </c>
      <c r="N10" s="470">
        <v>202012</v>
      </c>
      <c r="O10" s="470">
        <v>202112</v>
      </c>
      <c r="P10" s="470">
        <v>202212</v>
      </c>
      <c r="Q10" s="470">
        <v>202312</v>
      </c>
      <c r="R10" s="470">
        <v>202412</v>
      </c>
    </row>
    <row r="11" spans="1:18">
      <c r="A11" s="472"/>
      <c r="B11" s="472"/>
      <c r="C11" s="472"/>
      <c r="D11" s="472" t="s">
        <v>163</v>
      </c>
      <c r="E11" s="472" t="s">
        <v>163</v>
      </c>
      <c r="F11" s="472" t="s">
        <v>163</v>
      </c>
      <c r="G11" s="472" t="s">
        <v>163</v>
      </c>
      <c r="H11" s="472" t="s">
        <v>163</v>
      </c>
      <c r="I11" s="472" t="s">
        <v>163</v>
      </c>
      <c r="J11" s="472" t="s">
        <v>163</v>
      </c>
      <c r="K11" s="472" t="s">
        <v>163</v>
      </c>
      <c r="L11" s="472" t="s">
        <v>163</v>
      </c>
      <c r="M11" s="472" t="s">
        <v>163</v>
      </c>
      <c r="N11" s="472" t="s">
        <v>163</v>
      </c>
      <c r="O11" s="472" t="s">
        <v>163</v>
      </c>
      <c r="P11" s="472" t="s">
        <v>163</v>
      </c>
      <c r="Q11" s="472" t="s">
        <v>163</v>
      </c>
      <c r="R11" s="472" t="s">
        <v>163</v>
      </c>
    </row>
    <row r="12" spans="1:18">
      <c r="A12" s="473">
        <v>4001210000</v>
      </c>
      <c r="B12" s="473" t="s">
        <v>162</v>
      </c>
      <c r="C12" s="473" t="s">
        <v>112</v>
      </c>
      <c r="D12" s="42">
        <v>11377879.702199999</v>
      </c>
      <c r="E12" s="42">
        <v>11920167</v>
      </c>
      <c r="F12" s="42">
        <v>13324821</v>
      </c>
      <c r="G12" s="42">
        <v>13852042</v>
      </c>
      <c r="H12" s="42">
        <v>17276480</v>
      </c>
      <c r="I12" s="42">
        <v>19233180</v>
      </c>
      <c r="J12" s="42">
        <v>18825015</v>
      </c>
      <c r="K12" s="42">
        <v>16887090</v>
      </c>
      <c r="L12" s="42">
        <v>16730894</v>
      </c>
      <c r="M12" s="42">
        <v>17278792</v>
      </c>
      <c r="N12" s="42">
        <v>16970859</v>
      </c>
      <c r="O12" s="42">
        <v>18065534</v>
      </c>
      <c r="P12" s="42">
        <v>21239082</v>
      </c>
      <c r="Q12" s="42">
        <v>29651357</v>
      </c>
      <c r="R12" s="42">
        <v>32670268</v>
      </c>
    </row>
    <row r="13" spans="1:18">
      <c r="A13" s="473">
        <v>4001210320</v>
      </c>
      <c r="B13" s="473" t="s">
        <v>161</v>
      </c>
      <c r="C13" s="473" t="s">
        <v>112</v>
      </c>
      <c r="D13" s="42">
        <v>10051000.00121</v>
      </c>
      <c r="E13" s="42">
        <v>10751856</v>
      </c>
      <c r="F13" s="42">
        <v>12075949</v>
      </c>
      <c r="G13" s="42">
        <v>12732365</v>
      </c>
      <c r="H13" s="42">
        <v>15864906</v>
      </c>
      <c r="I13" s="42">
        <v>17508138</v>
      </c>
      <c r="J13" s="42">
        <v>16895275</v>
      </c>
      <c r="K13" s="42">
        <v>15108126</v>
      </c>
      <c r="L13" s="42">
        <v>15069747</v>
      </c>
      <c r="M13" s="42">
        <v>15552887</v>
      </c>
      <c r="N13" s="42">
        <v>15573996</v>
      </c>
      <c r="O13" s="42">
        <v>16268298</v>
      </c>
      <c r="P13" s="42">
        <v>19726334</v>
      </c>
      <c r="Q13" s="42">
        <v>27948549</v>
      </c>
      <c r="R13" s="42">
        <v>32887201</v>
      </c>
    </row>
    <row r="14" spans="1:18">
      <c r="A14" s="473">
        <v>4001210780</v>
      </c>
      <c r="B14" s="473" t="s">
        <v>160</v>
      </c>
      <c r="C14" s="473" t="s">
        <v>112</v>
      </c>
      <c r="D14" s="42">
        <v>1326879.70099</v>
      </c>
      <c r="E14" s="42">
        <v>1168311</v>
      </c>
      <c r="F14" s="42">
        <v>1248872</v>
      </c>
      <c r="G14" s="42">
        <v>1119677</v>
      </c>
      <c r="H14" s="42">
        <v>1411574</v>
      </c>
      <c r="I14" s="42">
        <v>1725042</v>
      </c>
      <c r="J14" s="42">
        <v>1929740</v>
      </c>
      <c r="K14" s="42">
        <v>1778964</v>
      </c>
      <c r="L14" s="42">
        <v>1661147</v>
      </c>
      <c r="M14" s="42">
        <v>1725905</v>
      </c>
      <c r="N14" s="42">
        <v>1396863</v>
      </c>
      <c r="O14" s="42">
        <v>1797236</v>
      </c>
      <c r="P14" s="42">
        <v>1512748</v>
      </c>
      <c r="Q14" s="42">
        <v>1702808</v>
      </c>
      <c r="R14" s="42">
        <v>-216933</v>
      </c>
    </row>
    <row r="15" spans="1:18">
      <c r="A15" s="473">
        <v>4001290000</v>
      </c>
      <c r="B15" s="473" t="s">
        <v>159</v>
      </c>
      <c r="C15" s="473" t="s">
        <v>112</v>
      </c>
      <c r="D15" s="42">
        <v>538305.60571999999</v>
      </c>
      <c r="E15" s="42">
        <v>432715</v>
      </c>
      <c r="F15" s="42">
        <v>488464</v>
      </c>
      <c r="G15" s="42">
        <v>415580</v>
      </c>
      <c r="H15" s="42">
        <v>582379</v>
      </c>
      <c r="I15" s="42">
        <v>635714</v>
      </c>
      <c r="J15" s="42">
        <v>770781</v>
      </c>
      <c r="K15" s="42">
        <v>792859</v>
      </c>
      <c r="L15" s="42">
        <v>821158</v>
      </c>
      <c r="M15" s="42">
        <v>866238</v>
      </c>
      <c r="N15" s="42">
        <v>847891</v>
      </c>
      <c r="O15" s="42">
        <v>1043732</v>
      </c>
      <c r="P15" s="42">
        <v>937846</v>
      </c>
      <c r="Q15" s="42">
        <v>917378</v>
      </c>
      <c r="R15" s="42">
        <v>1046487</v>
      </c>
    </row>
    <row r="16" spans="1:18">
      <c r="A16" s="473">
        <v>4001290010</v>
      </c>
      <c r="B16" s="473" t="s">
        <v>158</v>
      </c>
      <c r="C16" s="473" t="s">
        <v>112</v>
      </c>
      <c r="D16" s="42">
        <v>216829</v>
      </c>
      <c r="E16" s="42">
        <v>248371</v>
      </c>
      <c r="F16" s="42">
        <v>265646</v>
      </c>
      <c r="G16" s="42">
        <v>256381</v>
      </c>
      <c r="H16" s="42">
        <v>310644</v>
      </c>
      <c r="I16" s="42">
        <v>330179</v>
      </c>
      <c r="J16" s="42">
        <v>419216</v>
      </c>
      <c r="K16" s="42">
        <v>431846</v>
      </c>
      <c r="L16" s="42">
        <v>475484</v>
      </c>
      <c r="M16" s="42">
        <v>466614</v>
      </c>
      <c r="N16" s="42">
        <v>498260</v>
      </c>
      <c r="O16" s="42">
        <v>513969</v>
      </c>
      <c r="P16" s="42">
        <v>538377</v>
      </c>
      <c r="Q16" s="42">
        <v>583153</v>
      </c>
      <c r="R16" s="42">
        <v>633540</v>
      </c>
    </row>
    <row r="17" spans="1:18">
      <c r="A17" s="473">
        <v>4001290020</v>
      </c>
      <c r="B17" s="473" t="s">
        <v>157</v>
      </c>
      <c r="C17" s="473" t="s">
        <v>112</v>
      </c>
      <c r="D17" s="42">
        <v>6907</v>
      </c>
      <c r="E17" s="42">
        <v>7541</v>
      </c>
      <c r="F17" s="42">
        <v>9258</v>
      </c>
      <c r="G17" s="42">
        <v>10231</v>
      </c>
      <c r="H17" s="42">
        <v>47742</v>
      </c>
      <c r="I17" s="42">
        <v>79674</v>
      </c>
      <c r="J17" s="42">
        <v>62803</v>
      </c>
      <c r="K17" s="42">
        <v>67966</v>
      </c>
      <c r="L17" s="42">
        <v>11694</v>
      </c>
      <c r="M17" s="42">
        <v>33969</v>
      </c>
      <c r="N17" s="42">
        <v>32989</v>
      </c>
      <c r="O17" s="42">
        <v>40975</v>
      </c>
      <c r="P17" s="42">
        <v>38666</v>
      </c>
      <c r="Q17" s="42">
        <v>42762</v>
      </c>
      <c r="R17" s="42">
        <v>60631</v>
      </c>
    </row>
    <row r="18" spans="1:18">
      <c r="A18" s="473">
        <v>4001211300</v>
      </c>
      <c r="B18" s="473" t="s">
        <v>156</v>
      </c>
      <c r="C18" s="473" t="s">
        <v>112</v>
      </c>
      <c r="D18" s="42">
        <v>211092</v>
      </c>
      <c r="E18" s="42">
        <v>93468</v>
      </c>
      <c r="F18" s="42">
        <v>73874</v>
      </c>
      <c r="G18" s="42">
        <v>62059</v>
      </c>
      <c r="H18" s="42">
        <v>60383</v>
      </c>
      <c r="I18" s="42">
        <v>63472</v>
      </c>
      <c r="J18" s="42">
        <v>87620</v>
      </c>
      <c r="K18" s="42">
        <v>85934</v>
      </c>
      <c r="L18" s="42">
        <v>109949</v>
      </c>
      <c r="M18" s="42">
        <v>151432</v>
      </c>
      <c r="N18" s="42">
        <v>177527</v>
      </c>
      <c r="O18" s="42">
        <v>190025</v>
      </c>
      <c r="P18" s="42">
        <v>178612</v>
      </c>
      <c r="Q18" s="42">
        <v>138787</v>
      </c>
      <c r="R18" s="42">
        <v>154923</v>
      </c>
    </row>
    <row r="19" spans="1:18">
      <c r="A19" s="473">
        <v>4001211060</v>
      </c>
      <c r="B19" s="473" t="s">
        <v>155</v>
      </c>
      <c r="C19" s="473" t="s">
        <v>112</v>
      </c>
      <c r="D19" s="42">
        <v>14344</v>
      </c>
      <c r="E19" s="42">
        <v>11400</v>
      </c>
      <c r="F19" s="42">
        <v>11506</v>
      </c>
      <c r="G19" s="42">
        <v>10024</v>
      </c>
      <c r="H19" s="42">
        <v>13801</v>
      </c>
      <c r="I19" s="42">
        <v>14455</v>
      </c>
      <c r="J19" s="42">
        <v>14813</v>
      </c>
      <c r="K19" s="42">
        <v>10592</v>
      </c>
      <c r="L19" s="42"/>
      <c r="M19" s="42"/>
      <c r="N19" s="42"/>
      <c r="O19" s="42"/>
      <c r="P19" s="42"/>
      <c r="Q19" s="42"/>
      <c r="R19" s="42"/>
    </row>
    <row r="20" spans="1:18">
      <c r="A20" s="473">
        <v>4001290040</v>
      </c>
      <c r="B20" s="473" t="s">
        <v>154</v>
      </c>
      <c r="C20" s="473" t="s">
        <v>112</v>
      </c>
      <c r="D20" s="42">
        <v>16708</v>
      </c>
      <c r="E20" s="42">
        <v>580</v>
      </c>
      <c r="F20" s="42">
        <v>58130</v>
      </c>
      <c r="G20" s="42">
        <v>531</v>
      </c>
      <c r="H20" s="42">
        <v>36374</v>
      </c>
      <c r="I20" s="42">
        <v>41564</v>
      </c>
      <c r="J20" s="42">
        <v>66451</v>
      </c>
      <c r="K20" s="42">
        <v>64290</v>
      </c>
      <c r="L20" s="42">
        <v>18402</v>
      </c>
      <c r="M20" s="42">
        <v>63374</v>
      </c>
      <c r="N20" s="42">
        <v>8230</v>
      </c>
      <c r="O20" s="42">
        <v>166705</v>
      </c>
      <c r="P20" s="42">
        <v>22687</v>
      </c>
      <c r="Q20" s="42">
        <v>-8434</v>
      </c>
      <c r="R20" s="42">
        <v>11970</v>
      </c>
    </row>
    <row r="21" spans="1:18">
      <c r="A21" s="473">
        <v>4001290090</v>
      </c>
      <c r="B21" s="473" t="s">
        <v>153</v>
      </c>
      <c r="C21" s="473" t="s">
        <v>112</v>
      </c>
      <c r="D21" s="42">
        <v>55859</v>
      </c>
      <c r="E21" s="42">
        <v>51573</v>
      </c>
      <c r="F21" s="42">
        <v>37368</v>
      </c>
      <c r="G21" s="42">
        <v>46034</v>
      </c>
      <c r="H21" s="42">
        <v>71493</v>
      </c>
      <c r="I21" s="42">
        <v>64204</v>
      </c>
      <c r="J21" s="42">
        <v>70449</v>
      </c>
      <c r="K21" s="42">
        <v>82151</v>
      </c>
      <c r="L21" s="42">
        <v>95626</v>
      </c>
      <c r="M21" s="42">
        <v>90192</v>
      </c>
      <c r="N21" s="42">
        <v>79339</v>
      </c>
      <c r="O21" s="42">
        <v>73888</v>
      </c>
      <c r="P21" s="42">
        <v>96318</v>
      </c>
      <c r="Q21" s="42">
        <v>93574</v>
      </c>
      <c r="R21" s="42">
        <v>104775</v>
      </c>
    </row>
    <row r="22" spans="1:18">
      <c r="A22" s="473">
        <v>4001211420</v>
      </c>
      <c r="B22" s="473" t="s">
        <v>152</v>
      </c>
      <c r="C22" s="473" t="s">
        <v>112</v>
      </c>
      <c r="D22" s="42">
        <v>16566.606</v>
      </c>
      <c r="E22" s="42">
        <v>19782</v>
      </c>
      <c r="F22" s="42">
        <v>32682</v>
      </c>
      <c r="G22" s="42">
        <v>30320</v>
      </c>
      <c r="H22" s="42">
        <v>41942</v>
      </c>
      <c r="I22" s="42">
        <v>42166</v>
      </c>
      <c r="J22" s="42">
        <v>49429</v>
      </c>
      <c r="K22" s="42">
        <v>50080</v>
      </c>
      <c r="L22" s="42">
        <v>110003</v>
      </c>
      <c r="M22" s="42">
        <v>60657</v>
      </c>
      <c r="N22" s="42">
        <v>51546</v>
      </c>
      <c r="O22" s="42">
        <v>58170</v>
      </c>
      <c r="P22" s="42">
        <v>63186</v>
      </c>
      <c r="Q22" s="42">
        <v>67536</v>
      </c>
      <c r="R22" s="42">
        <v>80648</v>
      </c>
    </row>
    <row r="23" spans="1:18">
      <c r="A23" s="473">
        <v>4001211430</v>
      </c>
      <c r="B23" s="473" t="s">
        <v>151</v>
      </c>
      <c r="C23" s="473" t="s">
        <v>112</v>
      </c>
      <c r="D23" s="42">
        <v>788574.09527000005</v>
      </c>
      <c r="E23" s="42">
        <v>735596</v>
      </c>
      <c r="F23" s="42">
        <v>760408</v>
      </c>
      <c r="G23" s="42">
        <v>704097</v>
      </c>
      <c r="H23" s="42">
        <v>829195</v>
      </c>
      <c r="I23" s="42">
        <v>1089328</v>
      </c>
      <c r="J23" s="42">
        <v>1158959</v>
      </c>
      <c r="K23" s="42">
        <v>986105</v>
      </c>
      <c r="L23" s="42">
        <v>839989</v>
      </c>
      <c r="M23" s="42">
        <v>859667</v>
      </c>
      <c r="N23" s="42">
        <v>548972</v>
      </c>
      <c r="O23" s="42">
        <v>753504</v>
      </c>
      <c r="P23" s="42">
        <v>574902</v>
      </c>
      <c r="Q23" s="42">
        <v>785430</v>
      </c>
      <c r="R23" s="42">
        <v>-1263420</v>
      </c>
    </row>
    <row r="24" spans="1:18">
      <c r="A24" s="473">
        <v>4001290120</v>
      </c>
      <c r="B24" s="473" t="s">
        <v>150</v>
      </c>
      <c r="C24" s="473" t="s">
        <v>112</v>
      </c>
      <c r="D24" s="42">
        <v>229012.98800000001</v>
      </c>
      <c r="E24" s="42">
        <v>250195</v>
      </c>
      <c r="F24" s="42">
        <v>171916</v>
      </c>
      <c r="G24" s="42">
        <v>154999</v>
      </c>
      <c r="H24" s="42">
        <v>149038</v>
      </c>
      <c r="I24" s="42">
        <v>205836</v>
      </c>
      <c r="J24" s="42">
        <v>170649</v>
      </c>
      <c r="K24" s="42">
        <v>154925</v>
      </c>
      <c r="L24" s="42">
        <v>283085</v>
      </c>
      <c r="M24" s="42">
        <v>151832</v>
      </c>
      <c r="N24" s="42">
        <v>196214</v>
      </c>
      <c r="O24" s="42">
        <v>224858</v>
      </c>
      <c r="P24" s="42">
        <v>401429</v>
      </c>
      <c r="Q24" s="42">
        <v>294585</v>
      </c>
      <c r="R24" s="42">
        <v>359853</v>
      </c>
    </row>
    <row r="25" spans="1:18">
      <c r="A25" s="473">
        <v>4001290750</v>
      </c>
      <c r="B25" s="473" t="s">
        <v>149</v>
      </c>
      <c r="C25" s="473" t="s">
        <v>112</v>
      </c>
      <c r="D25" s="42">
        <v>54849</v>
      </c>
      <c r="E25" s="42">
        <v>62748</v>
      </c>
      <c r="F25" s="42">
        <v>75642</v>
      </c>
      <c r="G25" s="42">
        <v>67481</v>
      </c>
      <c r="H25" s="42">
        <v>67860</v>
      </c>
      <c r="I25" s="42">
        <v>70868</v>
      </c>
      <c r="J25" s="42">
        <v>78772</v>
      </c>
      <c r="K25" s="42">
        <v>92900</v>
      </c>
      <c r="L25" s="42">
        <v>110298</v>
      </c>
      <c r="M25" s="42">
        <v>108610</v>
      </c>
      <c r="N25" s="42">
        <v>97095</v>
      </c>
      <c r="O25" s="42">
        <v>100219</v>
      </c>
      <c r="P25" s="42">
        <v>162194</v>
      </c>
      <c r="Q25" s="42">
        <v>179519</v>
      </c>
      <c r="R25" s="42">
        <v>216805</v>
      </c>
    </row>
    <row r="26" spans="1:18">
      <c r="A26" s="473">
        <v>4001290760</v>
      </c>
      <c r="B26" s="473" t="s">
        <v>148</v>
      </c>
      <c r="C26" s="473" t="s">
        <v>112</v>
      </c>
      <c r="D26" s="42">
        <v>7897</v>
      </c>
      <c r="E26" s="42">
        <v>9792</v>
      </c>
      <c r="F26" s="42">
        <v>5452</v>
      </c>
      <c r="G26" s="42">
        <v>2369</v>
      </c>
      <c r="H26" s="42">
        <v>5675</v>
      </c>
      <c r="I26" s="42">
        <v>2805</v>
      </c>
      <c r="J26" s="42">
        <v>1376</v>
      </c>
      <c r="K26" s="42">
        <v>8027</v>
      </c>
      <c r="L26" s="42">
        <v>2362</v>
      </c>
      <c r="M26" s="42">
        <v>2376</v>
      </c>
      <c r="N26" s="42">
        <v>1480</v>
      </c>
      <c r="O26" s="42">
        <v>2420</v>
      </c>
      <c r="P26" s="42">
        <v>6187</v>
      </c>
      <c r="Q26" s="42">
        <v>20599</v>
      </c>
      <c r="R26" s="42">
        <v>1730</v>
      </c>
    </row>
    <row r="27" spans="1:18">
      <c r="A27" s="473">
        <v>4001211480</v>
      </c>
      <c r="B27" s="473" t="s">
        <v>135</v>
      </c>
      <c r="C27" s="473" t="s">
        <v>112</v>
      </c>
      <c r="D27" s="42">
        <v>118621.988</v>
      </c>
      <c r="E27" s="42">
        <v>77315</v>
      </c>
      <c r="F27" s="42">
        <v>58525</v>
      </c>
      <c r="G27" s="42">
        <v>46219</v>
      </c>
      <c r="H27" s="42">
        <v>60450</v>
      </c>
      <c r="I27" s="42">
        <v>73159</v>
      </c>
      <c r="J27" s="42">
        <v>90326</v>
      </c>
      <c r="K27" s="42">
        <v>37514</v>
      </c>
      <c r="L27" s="42">
        <v>70047</v>
      </c>
      <c r="M27" s="42">
        <v>35010</v>
      </c>
      <c r="N27" s="42">
        <v>84261</v>
      </c>
      <c r="O27" s="42">
        <v>107556</v>
      </c>
      <c r="P27" s="42">
        <v>119481</v>
      </c>
      <c r="Q27" s="42">
        <v>87509</v>
      </c>
      <c r="R27" s="42">
        <v>99346</v>
      </c>
    </row>
    <row r="28" spans="1:18">
      <c r="A28" s="473">
        <v>4001290130</v>
      </c>
      <c r="B28" s="473" t="s">
        <v>147</v>
      </c>
      <c r="C28" s="473" t="s">
        <v>112</v>
      </c>
      <c r="D28" s="42">
        <v>2957</v>
      </c>
      <c r="E28" s="42">
        <v>67381</v>
      </c>
      <c r="F28" s="42">
        <v>27258</v>
      </c>
      <c r="G28" s="42">
        <v>2748</v>
      </c>
      <c r="H28" s="42">
        <v>1906</v>
      </c>
      <c r="I28" s="42">
        <v>35939</v>
      </c>
      <c r="J28" s="42">
        <v>71</v>
      </c>
      <c r="K28" s="42">
        <v>861</v>
      </c>
      <c r="L28" s="42"/>
      <c r="M28" s="42">
        <v>1143</v>
      </c>
      <c r="N28" s="42">
        <v>9810</v>
      </c>
      <c r="O28" s="42">
        <v>863</v>
      </c>
      <c r="P28" s="42">
        <v>6513</v>
      </c>
      <c r="Q28" s="42">
        <v>185</v>
      </c>
      <c r="R28" s="42">
        <v>32532</v>
      </c>
    </row>
    <row r="29" spans="1:18">
      <c r="A29" s="473">
        <v>4001290150</v>
      </c>
      <c r="B29" s="473" t="s">
        <v>146</v>
      </c>
      <c r="C29" s="473" t="s">
        <v>112</v>
      </c>
      <c r="D29" s="42"/>
      <c r="E29" s="42"/>
      <c r="F29" s="42"/>
      <c r="G29" s="42"/>
      <c r="H29" s="42"/>
      <c r="I29" s="42"/>
      <c r="J29" s="42"/>
      <c r="K29" s="42"/>
      <c r="L29" s="42">
        <v>98824</v>
      </c>
      <c r="M29" s="42">
        <v>2164</v>
      </c>
      <c r="N29" s="42">
        <v>3568</v>
      </c>
      <c r="O29" s="42">
        <v>7010</v>
      </c>
      <c r="P29" s="42">
        <v>6761</v>
      </c>
      <c r="Q29" s="42">
        <v>6373</v>
      </c>
      <c r="R29" s="42">
        <v>9293</v>
      </c>
    </row>
    <row r="30" spans="1:18">
      <c r="A30" s="473">
        <v>4001211680</v>
      </c>
      <c r="B30" s="473" t="s">
        <v>145</v>
      </c>
      <c r="C30" s="473" t="s">
        <v>112</v>
      </c>
      <c r="D30" s="42">
        <v>44086</v>
      </c>
      <c r="E30" s="42">
        <v>2452</v>
      </c>
      <c r="F30" s="42">
        <v>5039</v>
      </c>
      <c r="G30" s="42">
        <v>1084</v>
      </c>
      <c r="H30" s="42">
        <v>11</v>
      </c>
      <c r="I30" s="42">
        <v>46</v>
      </c>
      <c r="J30" s="42">
        <v>104</v>
      </c>
      <c r="K30" s="42">
        <v>146</v>
      </c>
      <c r="L30" s="42">
        <v>875</v>
      </c>
      <c r="M30" s="42"/>
      <c r="N30" s="42"/>
      <c r="O30" s="42">
        <v>6790</v>
      </c>
      <c r="P30" s="42">
        <v>100293</v>
      </c>
      <c r="Q30" s="42">
        <v>400</v>
      </c>
      <c r="R30" s="42">
        <v>147</v>
      </c>
    </row>
    <row r="31" spans="1:18">
      <c r="A31" s="473">
        <v>4001290170</v>
      </c>
      <c r="B31" s="473" t="s">
        <v>144</v>
      </c>
      <c r="C31" s="473" t="s">
        <v>112</v>
      </c>
      <c r="D31" s="42"/>
      <c r="E31" s="42">
        <v>30506</v>
      </c>
      <c r="F31" s="42"/>
      <c r="G31" s="42">
        <v>35098</v>
      </c>
      <c r="H31" s="42">
        <v>13136</v>
      </c>
      <c r="I31" s="42">
        <v>23019</v>
      </c>
      <c r="J31" s="42"/>
      <c r="K31" s="42">
        <v>15477</v>
      </c>
      <c r="L31" s="42">
        <v>679</v>
      </c>
      <c r="M31" s="42">
        <v>2529</v>
      </c>
      <c r="N31" s="42"/>
      <c r="O31" s="42"/>
      <c r="P31" s="42"/>
      <c r="Q31" s="42"/>
      <c r="R31" s="42"/>
    </row>
    <row r="32" spans="1:18">
      <c r="A32" s="473">
        <v>4001290180</v>
      </c>
      <c r="B32" s="473" t="s">
        <v>143</v>
      </c>
      <c r="C32" s="473" t="s">
        <v>112</v>
      </c>
      <c r="D32" s="42">
        <v>199423.405</v>
      </c>
      <c r="E32" s="42">
        <v>136906</v>
      </c>
      <c r="F32" s="42">
        <v>141227</v>
      </c>
      <c r="G32" s="42">
        <v>146964</v>
      </c>
      <c r="H32" s="42">
        <v>174483</v>
      </c>
      <c r="I32" s="42">
        <v>251284</v>
      </c>
      <c r="J32" s="42">
        <v>200498</v>
      </c>
      <c r="K32" s="42">
        <v>300027</v>
      </c>
      <c r="L32" s="42">
        <v>172583</v>
      </c>
      <c r="M32" s="42">
        <v>148370</v>
      </c>
      <c r="N32" s="42">
        <v>204790</v>
      </c>
      <c r="O32" s="42">
        <v>125910</v>
      </c>
      <c r="P32" s="42">
        <v>176777</v>
      </c>
      <c r="Q32" s="42">
        <v>141179</v>
      </c>
      <c r="R32" s="42">
        <v>171771</v>
      </c>
    </row>
    <row r="33" spans="1:23">
      <c r="A33" s="473">
        <v>4001290770</v>
      </c>
      <c r="B33" s="473" t="s">
        <v>142</v>
      </c>
      <c r="C33" s="473" t="s">
        <v>112</v>
      </c>
      <c r="D33" s="42">
        <v>41699</v>
      </c>
      <c r="E33" s="42">
        <v>42676</v>
      </c>
      <c r="F33" s="42">
        <v>61046</v>
      </c>
      <c r="G33" s="42">
        <v>70007</v>
      </c>
      <c r="H33" s="42">
        <v>105527</v>
      </c>
      <c r="I33" s="42">
        <v>103081</v>
      </c>
      <c r="J33" s="42">
        <v>87061</v>
      </c>
      <c r="K33" s="42">
        <v>76816</v>
      </c>
      <c r="L33" s="42">
        <v>91114</v>
      </c>
      <c r="M33" s="42">
        <v>84754</v>
      </c>
      <c r="N33" s="42">
        <v>78126</v>
      </c>
      <c r="O33" s="42">
        <v>58036</v>
      </c>
      <c r="P33" s="42">
        <v>43727</v>
      </c>
      <c r="Q33" s="42">
        <v>64062</v>
      </c>
      <c r="R33" s="42">
        <v>100546</v>
      </c>
    </row>
    <row r="34" spans="1:23">
      <c r="A34" s="473">
        <v>4001211820</v>
      </c>
      <c r="B34" s="473" t="s">
        <v>129</v>
      </c>
      <c r="C34" s="473" t="s">
        <v>112</v>
      </c>
      <c r="D34" s="42">
        <v>133491.405</v>
      </c>
      <c r="E34" s="42">
        <v>72755</v>
      </c>
      <c r="F34" s="42">
        <v>69295</v>
      </c>
      <c r="G34" s="42">
        <v>53679</v>
      </c>
      <c r="H34" s="42">
        <v>58545</v>
      </c>
      <c r="I34" s="42">
        <v>62143</v>
      </c>
      <c r="J34" s="42">
        <v>52305</v>
      </c>
      <c r="K34" s="42">
        <v>195665</v>
      </c>
      <c r="L34" s="42">
        <v>41212</v>
      </c>
      <c r="M34" s="42">
        <v>29187</v>
      </c>
      <c r="N34" s="42">
        <v>114911</v>
      </c>
      <c r="O34" s="42">
        <v>47892</v>
      </c>
      <c r="P34" s="42">
        <v>107154</v>
      </c>
      <c r="Q34" s="42">
        <v>65044</v>
      </c>
      <c r="R34" s="42">
        <v>27172</v>
      </c>
    </row>
    <row r="35" spans="1:23">
      <c r="A35" s="473">
        <v>4001290190</v>
      </c>
      <c r="B35" s="473" t="s">
        <v>141</v>
      </c>
      <c r="C35" s="473" t="s">
        <v>112</v>
      </c>
      <c r="D35" s="42">
        <v>20</v>
      </c>
      <c r="E35" s="42">
        <v>294</v>
      </c>
      <c r="F35" s="42">
        <v>49</v>
      </c>
      <c r="G35" s="42">
        <v>13</v>
      </c>
      <c r="H35" s="42">
        <v>1597</v>
      </c>
      <c r="I35" s="42">
        <v>45</v>
      </c>
      <c r="J35" s="42">
        <v>1108</v>
      </c>
      <c r="K35" s="42">
        <v>2332</v>
      </c>
      <c r="L35" s="42">
        <v>28</v>
      </c>
      <c r="M35" s="42">
        <v>81</v>
      </c>
      <c r="N35" s="42">
        <v>15</v>
      </c>
      <c r="O35" s="42">
        <v>4</v>
      </c>
      <c r="P35" s="42">
        <v>10</v>
      </c>
      <c r="Q35" s="42">
        <v>820</v>
      </c>
      <c r="R35" s="42">
        <v>8994</v>
      </c>
    </row>
    <row r="36" spans="1:23">
      <c r="A36" s="473">
        <v>4001290210</v>
      </c>
      <c r="B36" s="473" t="s">
        <v>140</v>
      </c>
      <c r="C36" s="473" t="s">
        <v>112</v>
      </c>
      <c r="D36" s="42"/>
      <c r="E36" s="42"/>
      <c r="F36" s="42"/>
      <c r="G36" s="42"/>
      <c r="H36" s="42"/>
      <c r="I36" s="42"/>
      <c r="J36" s="42"/>
      <c r="K36" s="42"/>
      <c r="L36" s="42">
        <v>18599</v>
      </c>
      <c r="M36" s="42">
        <v>34003</v>
      </c>
      <c r="N36" s="42">
        <v>11738</v>
      </c>
      <c r="O36" s="42">
        <v>17217</v>
      </c>
      <c r="P36" s="42">
        <v>15236</v>
      </c>
      <c r="Q36" s="42">
        <v>10011</v>
      </c>
      <c r="R36" s="42">
        <v>12483</v>
      </c>
    </row>
    <row r="37" spans="1:23">
      <c r="A37" s="473">
        <v>4001212060</v>
      </c>
      <c r="B37" s="473" t="s">
        <v>139</v>
      </c>
      <c r="C37" s="473" t="s">
        <v>112</v>
      </c>
      <c r="D37" s="42">
        <v>17774</v>
      </c>
      <c r="E37" s="42">
        <v>16464</v>
      </c>
      <c r="F37" s="42">
        <v>4668</v>
      </c>
      <c r="G37" s="42">
        <v>22289</v>
      </c>
      <c r="H37" s="42">
        <v>8275</v>
      </c>
      <c r="I37" s="42">
        <v>85609</v>
      </c>
      <c r="J37" s="42">
        <v>59691</v>
      </c>
      <c r="K37" s="42">
        <v>22200</v>
      </c>
      <c r="L37" s="42">
        <v>9823</v>
      </c>
      <c r="M37" s="42"/>
      <c r="N37" s="42"/>
      <c r="O37" s="42"/>
      <c r="P37" s="42"/>
      <c r="Q37" s="42"/>
      <c r="R37" s="42"/>
    </row>
    <row r="38" spans="1:23">
      <c r="A38" s="473">
        <v>4001212020</v>
      </c>
      <c r="B38" s="473" t="s">
        <v>138</v>
      </c>
      <c r="C38" s="473" t="s">
        <v>112</v>
      </c>
      <c r="D38" s="42">
        <v>6439</v>
      </c>
      <c r="E38" s="42">
        <v>4018</v>
      </c>
      <c r="F38" s="42">
        <v>858</v>
      </c>
      <c r="G38" s="42">
        <v>293</v>
      </c>
      <c r="H38" s="42">
        <v>271</v>
      </c>
      <c r="I38" s="42">
        <v>207</v>
      </c>
      <c r="J38" s="42">
        <v>19</v>
      </c>
      <c r="K38" s="42">
        <v>122</v>
      </c>
      <c r="L38" s="42">
        <v>75</v>
      </c>
      <c r="M38" s="42">
        <v>9</v>
      </c>
      <c r="N38" s="42"/>
      <c r="O38" s="42">
        <v>2761</v>
      </c>
      <c r="P38" s="42">
        <v>10650</v>
      </c>
      <c r="Q38" s="42">
        <v>1242</v>
      </c>
      <c r="R38" s="42">
        <v>22576</v>
      </c>
    </row>
    <row r="39" spans="1:23">
      <c r="A39" s="473">
        <v>4001290230</v>
      </c>
      <c r="B39" s="473" t="s">
        <v>137</v>
      </c>
      <c r="C39" s="473" t="s">
        <v>112</v>
      </c>
      <c r="D39" s="42"/>
      <c r="E39" s="42">
        <v>699</v>
      </c>
      <c r="F39" s="42">
        <v>5311</v>
      </c>
      <c r="G39" s="42">
        <v>683</v>
      </c>
      <c r="H39" s="42">
        <v>268</v>
      </c>
      <c r="I39" s="42">
        <v>199</v>
      </c>
      <c r="J39" s="42">
        <v>314</v>
      </c>
      <c r="K39" s="42">
        <v>2892</v>
      </c>
      <c r="L39" s="42">
        <v>11732</v>
      </c>
      <c r="M39" s="42">
        <v>336</v>
      </c>
      <c r="N39" s="42"/>
      <c r="O39" s="42"/>
      <c r="P39" s="42"/>
      <c r="Q39" s="42"/>
      <c r="R39" s="42"/>
    </row>
    <row r="40" spans="1:23">
      <c r="A40" s="473">
        <v>4001290240</v>
      </c>
      <c r="B40" s="473" t="s">
        <v>136</v>
      </c>
      <c r="C40" s="473" t="s">
        <v>112</v>
      </c>
      <c r="D40" s="42">
        <v>156709.40400000001</v>
      </c>
      <c r="E40" s="42">
        <v>202479</v>
      </c>
      <c r="F40" s="42">
        <v>153509</v>
      </c>
      <c r="G40" s="42">
        <v>166495</v>
      </c>
      <c r="H40" s="42">
        <v>225902</v>
      </c>
      <c r="I40" s="42">
        <v>251542</v>
      </c>
      <c r="J40" s="42">
        <v>317256</v>
      </c>
      <c r="K40" s="42">
        <v>360978</v>
      </c>
      <c r="L40" s="42">
        <v>257050</v>
      </c>
      <c r="M40" s="42">
        <v>228191</v>
      </c>
      <c r="N40" s="42">
        <v>382338</v>
      </c>
      <c r="O40" s="42">
        <v>349170</v>
      </c>
      <c r="P40" s="42">
        <v>435786</v>
      </c>
      <c r="Q40" s="42">
        <v>504788</v>
      </c>
      <c r="R40" s="474">
        <v>839957</v>
      </c>
    </row>
    <row r="41" spans="1:23">
      <c r="A41" s="473">
        <v>4001290250</v>
      </c>
      <c r="B41" s="473" t="s">
        <v>135</v>
      </c>
      <c r="C41" s="473" t="s">
        <v>112</v>
      </c>
      <c r="D41" s="42">
        <v>79283</v>
      </c>
      <c r="E41" s="42">
        <v>90597</v>
      </c>
      <c r="F41" s="42">
        <v>52778</v>
      </c>
      <c r="G41" s="42">
        <v>92729</v>
      </c>
      <c r="H41" s="42">
        <v>111940</v>
      </c>
      <c r="I41" s="42">
        <v>206078</v>
      </c>
      <c r="J41" s="42">
        <v>234365</v>
      </c>
      <c r="K41" s="42">
        <v>258952</v>
      </c>
      <c r="L41" s="42">
        <v>152061</v>
      </c>
      <c r="M41" s="42">
        <v>150609</v>
      </c>
      <c r="N41" s="42">
        <v>242455</v>
      </c>
      <c r="O41" s="42">
        <v>246768</v>
      </c>
      <c r="P41" s="42">
        <v>290449</v>
      </c>
      <c r="Q41" s="42">
        <v>252085</v>
      </c>
      <c r="R41" s="42">
        <v>421639</v>
      </c>
      <c r="T41" s="19">
        <v>246768</v>
      </c>
      <c r="U41" s="19">
        <v>290449</v>
      </c>
      <c r="V41" s="19">
        <v>252085</v>
      </c>
      <c r="W41" s="19">
        <v>421639</v>
      </c>
    </row>
    <row r="42" spans="1:23">
      <c r="A42" s="473">
        <v>4001290260</v>
      </c>
      <c r="B42" s="473" t="s">
        <v>134</v>
      </c>
      <c r="C42" s="473" t="s">
        <v>112</v>
      </c>
      <c r="D42" s="42">
        <v>4965</v>
      </c>
      <c r="E42" s="42">
        <v>2292</v>
      </c>
      <c r="F42" s="42">
        <v>3411</v>
      </c>
      <c r="G42" s="42">
        <v>27680</v>
      </c>
      <c r="H42" s="42">
        <v>22453</v>
      </c>
      <c r="I42" s="42">
        <v>5243</v>
      </c>
      <c r="J42" s="42">
        <v>1506</v>
      </c>
      <c r="K42" s="42">
        <v>6530</v>
      </c>
      <c r="L42" s="42">
        <v>9859</v>
      </c>
      <c r="M42" s="42">
        <v>3635</v>
      </c>
      <c r="N42" s="42">
        <v>7767</v>
      </c>
      <c r="O42" s="42">
        <v>12475</v>
      </c>
      <c r="P42" s="42">
        <v>7972</v>
      </c>
      <c r="Q42" s="42">
        <v>12426</v>
      </c>
      <c r="R42" s="42">
        <v>5521</v>
      </c>
      <c r="T42" s="19">
        <v>114783</v>
      </c>
      <c r="U42" s="19">
        <v>241042</v>
      </c>
      <c r="V42" s="19">
        <v>256016</v>
      </c>
      <c r="W42" s="19">
        <v>354760</v>
      </c>
    </row>
    <row r="43" spans="1:23">
      <c r="A43" s="473">
        <v>4001290280</v>
      </c>
      <c r="B43" s="473" t="s">
        <v>133</v>
      </c>
      <c r="C43" s="473" t="s">
        <v>112</v>
      </c>
      <c r="D43" s="42"/>
      <c r="E43" s="42"/>
      <c r="F43" s="42"/>
      <c r="G43" s="42"/>
      <c r="H43" s="42"/>
      <c r="I43" s="42"/>
      <c r="J43" s="42"/>
      <c r="K43" s="42"/>
      <c r="L43" s="42"/>
      <c r="M43" s="42"/>
      <c r="N43" s="42"/>
      <c r="O43" s="42"/>
      <c r="P43" s="42"/>
      <c r="Q43" s="42">
        <v>39</v>
      </c>
      <c r="R43" s="42">
        <v>13</v>
      </c>
      <c r="T43" s="54">
        <f>T41-T42</f>
        <v>131985</v>
      </c>
      <c r="U43" s="54">
        <f t="shared" ref="U43:W43" si="1">U41-U42</f>
        <v>49407</v>
      </c>
      <c r="V43" s="54">
        <f t="shared" si="1"/>
        <v>-3931</v>
      </c>
      <c r="W43" s="54">
        <f t="shared" si="1"/>
        <v>66879</v>
      </c>
    </row>
    <row r="44" spans="1:23">
      <c r="A44" s="473">
        <v>4001280260</v>
      </c>
      <c r="B44" s="473" t="s">
        <v>132</v>
      </c>
      <c r="C44" s="473" t="s">
        <v>112</v>
      </c>
      <c r="D44" s="42"/>
      <c r="E44" s="42"/>
      <c r="F44" s="42"/>
      <c r="G44" s="42"/>
      <c r="H44" s="42"/>
      <c r="I44" s="42"/>
      <c r="J44" s="42"/>
      <c r="K44" s="42"/>
      <c r="L44" s="42"/>
      <c r="M44" s="42"/>
      <c r="N44" s="42"/>
      <c r="O44" s="42"/>
      <c r="P44" s="42">
        <v>44710</v>
      </c>
      <c r="Q44" s="42">
        <v>45946</v>
      </c>
      <c r="R44" s="42">
        <v>73217</v>
      </c>
    </row>
    <row r="45" spans="1:23">
      <c r="A45" s="473">
        <v>4001280270</v>
      </c>
      <c r="B45" s="473" t="s">
        <v>131</v>
      </c>
      <c r="C45" s="473" t="s">
        <v>112</v>
      </c>
      <c r="D45" s="42">
        <v>22448</v>
      </c>
      <c r="E45" s="42">
        <v>42477</v>
      </c>
      <c r="F45" s="42">
        <v>62127</v>
      </c>
      <c r="G45" s="42">
        <v>3199</v>
      </c>
      <c r="H45" s="42">
        <v>5724</v>
      </c>
      <c r="I45" s="42">
        <v>3621</v>
      </c>
      <c r="J45" s="42">
        <v>44432</v>
      </c>
      <c r="K45" s="42">
        <v>24468</v>
      </c>
      <c r="L45" s="42">
        <v>22857</v>
      </c>
      <c r="M45" s="42">
        <v>5825</v>
      </c>
      <c r="N45" s="42">
        <v>18205</v>
      </c>
      <c r="O45" s="42">
        <v>8766</v>
      </c>
      <c r="P45" s="42">
        <v>17304</v>
      </c>
      <c r="Q45" s="42">
        <v>56134</v>
      </c>
      <c r="R45" s="42">
        <v>9179</v>
      </c>
    </row>
    <row r="46" spans="1:23">
      <c r="A46" s="473">
        <v>4001290310</v>
      </c>
      <c r="B46" s="473" t="s">
        <v>125</v>
      </c>
      <c r="C46" s="473" t="s">
        <v>112</v>
      </c>
      <c r="D46" s="42">
        <v>50013.404000000002</v>
      </c>
      <c r="E46" s="42">
        <v>67113</v>
      </c>
      <c r="F46" s="42">
        <v>35193</v>
      </c>
      <c r="G46" s="42">
        <v>42887</v>
      </c>
      <c r="H46" s="42">
        <v>85785</v>
      </c>
      <c r="I46" s="42">
        <v>36600</v>
      </c>
      <c r="J46" s="42">
        <v>36953</v>
      </c>
      <c r="K46" s="42">
        <v>71028</v>
      </c>
      <c r="L46" s="42">
        <v>72273</v>
      </c>
      <c r="M46" s="42">
        <v>68122</v>
      </c>
      <c r="N46" s="42">
        <v>113911</v>
      </c>
      <c r="O46" s="42">
        <v>81161</v>
      </c>
      <c r="P46" s="42">
        <v>75351</v>
      </c>
      <c r="Q46" s="42">
        <v>138158</v>
      </c>
      <c r="R46" s="42">
        <v>330388</v>
      </c>
    </row>
    <row r="47" spans="1:23">
      <c r="A47" s="473">
        <v>4001290320</v>
      </c>
      <c r="B47" s="473" t="s">
        <v>130</v>
      </c>
      <c r="C47" s="473" t="s">
        <v>112</v>
      </c>
      <c r="D47" s="42">
        <v>222639.766</v>
      </c>
      <c r="E47" s="42">
        <v>184068</v>
      </c>
      <c r="F47" s="42">
        <v>196431</v>
      </c>
      <c r="G47" s="42">
        <v>192811</v>
      </c>
      <c r="H47" s="42">
        <v>342914</v>
      </c>
      <c r="I47" s="42">
        <v>397887</v>
      </c>
      <c r="J47" s="42">
        <v>458968</v>
      </c>
      <c r="K47" s="42">
        <v>632242</v>
      </c>
      <c r="L47" s="42">
        <v>293236</v>
      </c>
      <c r="M47" s="42">
        <v>284670</v>
      </c>
      <c r="N47" s="42">
        <v>523906</v>
      </c>
      <c r="O47" s="42">
        <v>336963</v>
      </c>
      <c r="P47" s="42">
        <v>468852</v>
      </c>
      <c r="Q47" s="42">
        <v>498799</v>
      </c>
      <c r="R47" s="474">
        <v>755911</v>
      </c>
    </row>
    <row r="48" spans="1:23">
      <c r="A48" s="473">
        <v>4001290330</v>
      </c>
      <c r="B48" s="473" t="s">
        <v>129</v>
      </c>
      <c r="C48" s="473" t="s">
        <v>112</v>
      </c>
      <c r="D48" s="42">
        <v>88929</v>
      </c>
      <c r="E48" s="42">
        <v>89398</v>
      </c>
      <c r="F48" s="42">
        <v>56183</v>
      </c>
      <c r="G48" s="42">
        <v>87473</v>
      </c>
      <c r="H48" s="42">
        <v>145107</v>
      </c>
      <c r="I48" s="42">
        <v>196608</v>
      </c>
      <c r="J48" s="42">
        <v>195008</v>
      </c>
      <c r="K48" s="42">
        <v>301490</v>
      </c>
      <c r="L48" s="42">
        <v>96120</v>
      </c>
      <c r="M48" s="42">
        <v>108793</v>
      </c>
      <c r="N48" s="42">
        <v>206995</v>
      </c>
      <c r="O48" s="42">
        <v>114783</v>
      </c>
      <c r="P48" s="42">
        <v>241042</v>
      </c>
      <c r="Q48" s="42">
        <v>256016</v>
      </c>
      <c r="R48" s="42">
        <v>354760</v>
      </c>
    </row>
    <row r="49" spans="1:18">
      <c r="A49" s="473">
        <v>4001290340</v>
      </c>
      <c r="B49" s="473" t="s">
        <v>128</v>
      </c>
      <c r="C49" s="473" t="s">
        <v>112</v>
      </c>
      <c r="D49" s="42">
        <v>3827</v>
      </c>
      <c r="E49" s="42">
        <v>3806</v>
      </c>
      <c r="F49" s="42">
        <v>2309</v>
      </c>
      <c r="G49" s="42">
        <v>4357</v>
      </c>
      <c r="H49" s="42">
        <v>14211</v>
      </c>
      <c r="I49" s="42">
        <v>4826</v>
      </c>
      <c r="J49" s="42">
        <v>11989</v>
      </c>
      <c r="K49" s="42">
        <v>2080</v>
      </c>
      <c r="L49" s="42">
        <v>7640</v>
      </c>
      <c r="M49" s="42">
        <v>4177</v>
      </c>
      <c r="N49" s="42">
        <v>13363</v>
      </c>
      <c r="O49" s="42">
        <v>5669</v>
      </c>
      <c r="P49" s="42">
        <v>2061</v>
      </c>
      <c r="Q49" s="42">
        <v>2759</v>
      </c>
      <c r="R49" s="42">
        <v>3176</v>
      </c>
    </row>
    <row r="50" spans="1:18">
      <c r="A50" s="473">
        <v>4001290360</v>
      </c>
      <c r="B50" s="473" t="s">
        <v>127</v>
      </c>
      <c r="C50" s="473" t="s">
        <v>112</v>
      </c>
      <c r="D50" s="42"/>
      <c r="E50" s="42">
        <v>680</v>
      </c>
      <c r="F50" s="42">
        <v>582</v>
      </c>
      <c r="G50" s="42">
        <v>5430</v>
      </c>
      <c r="H50" s="42">
        <v>629</v>
      </c>
      <c r="I50" s="42">
        <v>9528</v>
      </c>
      <c r="J50" s="42">
        <v>1689</v>
      </c>
      <c r="K50" s="42">
        <v>9636</v>
      </c>
      <c r="L50" s="42">
        <v>2170</v>
      </c>
      <c r="M50" s="42">
        <v>370</v>
      </c>
      <c r="N50" s="42">
        <v>1070</v>
      </c>
      <c r="O50" s="42">
        <v>115</v>
      </c>
      <c r="P50" s="42">
        <v>155</v>
      </c>
      <c r="Q50" s="42">
        <v>3</v>
      </c>
      <c r="R50" s="42"/>
    </row>
    <row r="51" spans="1:18">
      <c r="A51" s="473">
        <v>4001280650</v>
      </c>
      <c r="B51" s="473" t="s">
        <v>126</v>
      </c>
      <c r="C51" s="473" t="s">
        <v>112</v>
      </c>
      <c r="D51" s="42">
        <v>76583</v>
      </c>
      <c r="E51" s="42">
        <v>50335</v>
      </c>
      <c r="F51" s="42">
        <v>26026</v>
      </c>
      <c r="G51" s="42">
        <v>30881</v>
      </c>
      <c r="H51" s="42">
        <v>57274</v>
      </c>
      <c r="I51" s="42">
        <v>66238</v>
      </c>
      <c r="J51" s="42">
        <v>75426</v>
      </c>
      <c r="K51" s="42">
        <v>139231</v>
      </c>
      <c r="L51" s="42">
        <v>47703</v>
      </c>
      <c r="M51" s="42">
        <v>20583</v>
      </c>
      <c r="N51" s="42">
        <v>12015</v>
      </c>
      <c r="O51" s="42">
        <v>67906</v>
      </c>
      <c r="P51" s="42">
        <v>50833</v>
      </c>
      <c r="Q51" s="42">
        <v>18969</v>
      </c>
      <c r="R51" s="42">
        <v>7733</v>
      </c>
    </row>
    <row r="52" spans="1:18">
      <c r="A52" s="473">
        <v>4001290390</v>
      </c>
      <c r="B52" s="473" t="s">
        <v>125</v>
      </c>
      <c r="C52" s="473" t="s">
        <v>112</v>
      </c>
      <c r="D52" s="42">
        <v>53300.766000000003</v>
      </c>
      <c r="E52" s="42">
        <v>39849</v>
      </c>
      <c r="F52" s="42">
        <v>111331</v>
      </c>
      <c r="G52" s="42">
        <v>64670</v>
      </c>
      <c r="H52" s="42">
        <v>125693</v>
      </c>
      <c r="I52" s="42">
        <v>120687</v>
      </c>
      <c r="J52" s="42">
        <v>174856</v>
      </c>
      <c r="K52" s="42">
        <v>179805</v>
      </c>
      <c r="L52" s="42">
        <v>139603</v>
      </c>
      <c r="M52" s="42">
        <v>150747</v>
      </c>
      <c r="N52" s="42">
        <v>290463</v>
      </c>
      <c r="O52" s="42">
        <v>148490</v>
      </c>
      <c r="P52" s="42">
        <v>174761</v>
      </c>
      <c r="Q52" s="42">
        <v>221052</v>
      </c>
      <c r="R52" s="42">
        <v>390242</v>
      </c>
    </row>
    <row r="53" spans="1:18">
      <c r="A53" s="473">
        <v>4001290640</v>
      </c>
      <c r="B53" s="473" t="s">
        <v>124</v>
      </c>
      <c r="C53" s="473" t="s">
        <v>112</v>
      </c>
      <c r="D53" s="42">
        <v>-1984.4190000000001</v>
      </c>
      <c r="E53" s="42">
        <v>-16639</v>
      </c>
      <c r="F53" s="42">
        <v>-11165</v>
      </c>
      <c r="G53" s="42">
        <v>-12617</v>
      </c>
      <c r="H53" s="42">
        <v>-13721</v>
      </c>
      <c r="I53" s="42">
        <v>602</v>
      </c>
      <c r="J53" s="42">
        <v>-5920</v>
      </c>
      <c r="K53" s="42">
        <v>-14910</v>
      </c>
      <c r="L53" s="42">
        <v>-16443</v>
      </c>
      <c r="M53" s="42">
        <v>-7719</v>
      </c>
      <c r="N53" s="42">
        <v>-3254</v>
      </c>
      <c r="O53" s="42">
        <v>-10558</v>
      </c>
      <c r="P53" s="42">
        <v>-12673</v>
      </c>
      <c r="Q53" s="42">
        <v>-5280</v>
      </c>
      <c r="R53" s="42">
        <v>5575</v>
      </c>
    </row>
    <row r="54" spans="1:18">
      <c r="A54" s="473">
        <v>4001290650</v>
      </c>
      <c r="B54" s="473" t="s">
        <v>123</v>
      </c>
      <c r="C54" s="473" t="s">
        <v>112</v>
      </c>
      <c r="D54" s="42">
        <v>-1984.4190000000001</v>
      </c>
      <c r="E54" s="42">
        <v>-16639</v>
      </c>
      <c r="F54" s="42">
        <v>-11165</v>
      </c>
      <c r="G54" s="42">
        <v>-12617</v>
      </c>
      <c r="H54" s="42">
        <v>-13721</v>
      </c>
      <c r="I54" s="42">
        <v>602</v>
      </c>
      <c r="J54" s="42">
        <v>-5920</v>
      </c>
      <c r="K54" s="42">
        <v>-14910</v>
      </c>
      <c r="L54" s="42">
        <v>-16443</v>
      </c>
      <c r="M54" s="42">
        <v>-7719</v>
      </c>
      <c r="N54" s="42">
        <v>-3254</v>
      </c>
      <c r="O54" s="42">
        <v>-10558</v>
      </c>
      <c r="P54" s="42">
        <v>-12673</v>
      </c>
      <c r="Q54" s="42">
        <v>-5280</v>
      </c>
      <c r="R54" s="42">
        <v>5575</v>
      </c>
    </row>
    <row r="55" spans="1:18">
      <c r="A55" s="473">
        <v>4001212380</v>
      </c>
      <c r="B55" s="473" t="s">
        <v>122</v>
      </c>
      <c r="C55" s="473" t="s">
        <v>112</v>
      </c>
      <c r="D55" s="42">
        <v>750248.89665000001</v>
      </c>
      <c r="E55" s="42">
        <v>850657</v>
      </c>
      <c r="F55" s="42">
        <v>737010</v>
      </c>
      <c r="G55" s="42">
        <v>673199</v>
      </c>
      <c r="H55" s="42">
        <v>673017</v>
      </c>
      <c r="I55" s="42">
        <v>898137</v>
      </c>
      <c r="J55" s="42">
        <v>981478</v>
      </c>
      <c r="K55" s="42">
        <v>554829</v>
      </c>
      <c r="L55" s="42">
        <v>897862</v>
      </c>
      <c r="M55" s="42">
        <v>798931</v>
      </c>
      <c r="N55" s="42">
        <v>395574</v>
      </c>
      <c r="O55" s="42">
        <v>854101</v>
      </c>
      <c r="P55" s="42">
        <v>753815</v>
      </c>
      <c r="Q55" s="42">
        <v>939545</v>
      </c>
      <c r="R55" s="42">
        <v>-985717</v>
      </c>
    </row>
    <row r="56" spans="1:18">
      <c r="A56" s="473">
        <v>4001212390</v>
      </c>
      <c r="B56" s="473" t="s">
        <v>121</v>
      </c>
      <c r="C56" s="473" t="s">
        <v>112</v>
      </c>
      <c r="D56" s="42">
        <v>203217.60042999999</v>
      </c>
      <c r="E56" s="42">
        <v>165518</v>
      </c>
      <c r="F56" s="42">
        <v>170050</v>
      </c>
      <c r="G56" s="42">
        <v>173810</v>
      </c>
      <c r="H56" s="42">
        <v>193677</v>
      </c>
      <c r="I56" s="42">
        <v>234359</v>
      </c>
      <c r="J56" s="42">
        <v>249765</v>
      </c>
      <c r="K56" s="42">
        <v>183265</v>
      </c>
      <c r="L56" s="42">
        <v>362559</v>
      </c>
      <c r="M56" s="42">
        <v>225600</v>
      </c>
      <c r="N56" s="42">
        <v>167877</v>
      </c>
      <c r="O56" s="42">
        <v>299724</v>
      </c>
      <c r="P56" s="42">
        <v>282939</v>
      </c>
      <c r="Q56" s="42">
        <v>285264</v>
      </c>
      <c r="R56" s="42">
        <v>-219496</v>
      </c>
    </row>
    <row r="57" spans="1:18">
      <c r="A57" s="473">
        <v>4001212420</v>
      </c>
      <c r="B57" s="473" t="s">
        <v>120</v>
      </c>
      <c r="C57" s="473" t="s">
        <v>112</v>
      </c>
      <c r="D57" s="42">
        <v>547031.29622000002</v>
      </c>
      <c r="E57" s="42">
        <v>685139</v>
      </c>
      <c r="F57" s="42">
        <v>566960</v>
      </c>
      <c r="G57" s="42">
        <v>499389</v>
      </c>
      <c r="H57" s="42">
        <v>479340</v>
      </c>
      <c r="I57" s="42">
        <v>663778</v>
      </c>
      <c r="J57" s="42">
        <v>731713</v>
      </c>
      <c r="K57" s="42">
        <v>371564</v>
      </c>
      <c r="L57" s="42">
        <v>535303</v>
      </c>
      <c r="M57" s="42">
        <v>573331</v>
      </c>
      <c r="N57" s="42">
        <v>227697</v>
      </c>
      <c r="O57" s="42">
        <v>554377</v>
      </c>
      <c r="P57" s="42">
        <v>470876</v>
      </c>
      <c r="Q57" s="42">
        <v>654281</v>
      </c>
      <c r="R57" s="42">
        <v>-766221</v>
      </c>
    </row>
    <row r="58" spans="1:18">
      <c r="A58" s="473">
        <v>4001212450</v>
      </c>
      <c r="B58" s="473" t="s">
        <v>119</v>
      </c>
      <c r="C58" s="473" t="s">
        <v>112</v>
      </c>
      <c r="D58" s="42">
        <v>547031.29599999997</v>
      </c>
      <c r="E58" s="42">
        <v>685139</v>
      </c>
      <c r="F58" s="42">
        <v>566960</v>
      </c>
      <c r="G58" s="42">
        <v>499389</v>
      </c>
      <c r="H58" s="42">
        <v>479340</v>
      </c>
      <c r="I58" s="42">
        <v>663778</v>
      </c>
      <c r="J58" s="42">
        <v>731713</v>
      </c>
      <c r="K58" s="42">
        <v>371564</v>
      </c>
      <c r="L58" s="42">
        <v>535303</v>
      </c>
      <c r="M58" s="42">
        <v>573331</v>
      </c>
      <c r="N58" s="42">
        <v>227697</v>
      </c>
      <c r="O58" s="42">
        <v>554377</v>
      </c>
      <c r="P58" s="42">
        <v>470876</v>
      </c>
      <c r="Q58" s="42">
        <v>654281</v>
      </c>
      <c r="R58" s="42">
        <v>-766221</v>
      </c>
    </row>
    <row r="59" spans="1:18">
      <c r="A59" s="473">
        <v>4001220000</v>
      </c>
      <c r="B59" s="473" t="s">
        <v>118</v>
      </c>
      <c r="C59" s="473" t="s">
        <v>112</v>
      </c>
      <c r="D59" s="42">
        <v>83426.665999999997</v>
      </c>
      <c r="E59" s="42">
        <v>-183399</v>
      </c>
      <c r="F59" s="42">
        <v>-114430</v>
      </c>
      <c r="G59" s="42">
        <v>-100927</v>
      </c>
      <c r="H59" s="42">
        <v>-25926</v>
      </c>
      <c r="I59" s="42">
        <v>37437</v>
      </c>
      <c r="J59" s="42">
        <v>110703</v>
      </c>
      <c r="K59" s="42">
        <v>72581</v>
      </c>
      <c r="L59" s="42">
        <v>-207137</v>
      </c>
      <c r="M59" s="42">
        <v>-33165</v>
      </c>
      <c r="N59" s="42">
        <v>-90687</v>
      </c>
      <c r="O59" s="42">
        <v>156610</v>
      </c>
      <c r="P59" s="42">
        <v>144152</v>
      </c>
      <c r="Q59" s="42">
        <v>-28254</v>
      </c>
      <c r="R59" s="42">
        <v>76421</v>
      </c>
    </row>
    <row r="60" spans="1:18">
      <c r="A60" s="473">
        <v>4001220120</v>
      </c>
      <c r="B60" s="473" t="s">
        <v>117</v>
      </c>
      <c r="C60" s="473" t="s">
        <v>112</v>
      </c>
      <c r="D60" s="42">
        <v>630457.96200000006</v>
      </c>
      <c r="E60" s="42">
        <v>501740</v>
      </c>
      <c r="F60" s="42">
        <v>452530</v>
      </c>
      <c r="G60" s="42">
        <v>398462</v>
      </c>
      <c r="H60" s="42">
        <v>453414</v>
      </c>
      <c r="I60" s="42">
        <v>701215</v>
      </c>
      <c r="J60" s="42">
        <v>842416</v>
      </c>
      <c r="K60" s="42">
        <v>444145</v>
      </c>
      <c r="L60" s="42">
        <v>328166</v>
      </c>
      <c r="M60" s="42">
        <v>540166</v>
      </c>
      <c r="N60" s="42">
        <v>137010</v>
      </c>
      <c r="O60" s="42">
        <v>710987</v>
      </c>
      <c r="P60" s="42">
        <v>615028</v>
      </c>
      <c r="Q60" s="42">
        <v>626027</v>
      </c>
      <c r="R60" s="42">
        <v>-689800</v>
      </c>
    </row>
    <row r="61" spans="1:18">
      <c r="A61" s="473">
        <v>4001230000</v>
      </c>
      <c r="B61" s="473" t="s">
        <v>116</v>
      </c>
      <c r="C61" s="473" t="s">
        <v>112</v>
      </c>
      <c r="D61" s="42">
        <v>513092.86900000001</v>
      </c>
      <c r="E61" s="42">
        <v>635352</v>
      </c>
      <c r="F61" s="42">
        <v>509856</v>
      </c>
      <c r="G61" s="42">
        <v>441071</v>
      </c>
      <c r="H61" s="42">
        <v>331292</v>
      </c>
      <c r="I61" s="42">
        <v>420991</v>
      </c>
      <c r="J61" s="42">
        <v>572112</v>
      </c>
      <c r="K61" s="42">
        <v>201697</v>
      </c>
      <c r="L61" s="42">
        <v>381606</v>
      </c>
      <c r="M61" s="42">
        <v>407428</v>
      </c>
      <c r="N61" s="42">
        <v>122322</v>
      </c>
      <c r="O61" s="42">
        <v>407508</v>
      </c>
      <c r="P61" s="42">
        <v>408886</v>
      </c>
      <c r="Q61" s="42">
        <v>535904</v>
      </c>
      <c r="R61" s="42">
        <v>-168663</v>
      </c>
    </row>
    <row r="62" spans="1:18">
      <c r="A62" s="473">
        <v>4001230030</v>
      </c>
      <c r="B62" s="473" t="s">
        <v>115</v>
      </c>
      <c r="C62" s="473" t="s">
        <v>112</v>
      </c>
      <c r="D62" s="42">
        <v>33938.427000000003</v>
      </c>
      <c r="E62" s="42">
        <v>49787</v>
      </c>
      <c r="F62" s="42">
        <v>57104</v>
      </c>
      <c r="G62" s="42">
        <v>58318</v>
      </c>
      <c r="H62" s="42">
        <v>148048</v>
      </c>
      <c r="I62" s="42">
        <v>242787</v>
      </c>
      <c r="J62" s="42">
        <v>159601</v>
      </c>
      <c r="K62" s="42">
        <v>169867</v>
      </c>
      <c r="L62" s="42">
        <v>153697</v>
      </c>
      <c r="M62" s="42">
        <v>165903</v>
      </c>
      <c r="N62" s="42">
        <v>105375</v>
      </c>
      <c r="O62" s="42">
        <v>146869</v>
      </c>
      <c r="P62" s="42">
        <v>61990</v>
      </c>
      <c r="Q62" s="42">
        <v>118377</v>
      </c>
      <c r="R62" s="42">
        <v>-597558</v>
      </c>
    </row>
    <row r="63" spans="1:18">
      <c r="A63" s="473">
        <v>4001230060</v>
      </c>
      <c r="B63" s="473" t="s">
        <v>114</v>
      </c>
      <c r="C63" s="473" t="s">
        <v>112</v>
      </c>
      <c r="D63" s="42">
        <v>599426.03500000003</v>
      </c>
      <c r="E63" s="42">
        <v>453292</v>
      </c>
      <c r="F63" s="42">
        <v>399039</v>
      </c>
      <c r="G63" s="42">
        <v>329648</v>
      </c>
      <c r="H63" s="42">
        <v>326255</v>
      </c>
      <c r="I63" s="42">
        <v>473629</v>
      </c>
      <c r="J63" s="42">
        <v>664463</v>
      </c>
      <c r="K63" s="42">
        <v>201626</v>
      </c>
      <c r="L63" s="42">
        <v>225077</v>
      </c>
      <c r="M63" s="42">
        <v>428360</v>
      </c>
      <c r="N63" s="42">
        <v>37008</v>
      </c>
      <c r="O63" s="42">
        <v>568095</v>
      </c>
      <c r="P63" s="42">
        <v>537438</v>
      </c>
      <c r="Q63" s="42">
        <v>518202</v>
      </c>
      <c r="R63" s="42">
        <v>-43728</v>
      </c>
    </row>
    <row r="64" spans="1:18">
      <c r="A64" s="473">
        <v>4001230070</v>
      </c>
      <c r="B64" s="473" t="s">
        <v>113</v>
      </c>
      <c r="C64" s="473" t="s">
        <v>112</v>
      </c>
      <c r="D64" s="42">
        <v>31031.927</v>
      </c>
      <c r="E64" s="42">
        <v>48448</v>
      </c>
      <c r="F64" s="42">
        <v>53491</v>
      </c>
      <c r="G64" s="42">
        <v>68814</v>
      </c>
      <c r="H64" s="42">
        <v>127159</v>
      </c>
      <c r="I64" s="42">
        <v>227586</v>
      </c>
      <c r="J64" s="42">
        <v>177953</v>
      </c>
      <c r="K64" s="42">
        <v>242519</v>
      </c>
      <c r="L64" s="42">
        <v>103089</v>
      </c>
      <c r="M64" s="42">
        <v>111806</v>
      </c>
      <c r="N64" s="42">
        <v>100002</v>
      </c>
      <c r="O64" s="42">
        <v>142892</v>
      </c>
      <c r="P64" s="42">
        <v>77590</v>
      </c>
      <c r="Q64" s="42">
        <v>107825</v>
      </c>
      <c r="R64" s="42">
        <v>-646072</v>
      </c>
    </row>
    <row r="65" spans="1:18">
      <c r="A65" s="473">
        <v>4001230120</v>
      </c>
      <c r="B65" s="473" t="s">
        <v>111</v>
      </c>
      <c r="C65" s="473" t="s">
        <v>109</v>
      </c>
      <c r="D65" s="42">
        <v>4607</v>
      </c>
      <c r="E65" s="42">
        <v>5705</v>
      </c>
      <c r="F65" s="42">
        <v>4578</v>
      </c>
      <c r="G65" s="42">
        <v>3960</v>
      </c>
      <c r="H65" s="42">
        <v>2972</v>
      </c>
      <c r="I65" s="42">
        <v>3777</v>
      </c>
      <c r="J65" s="42">
        <v>5133</v>
      </c>
      <c r="K65" s="42">
        <v>1810</v>
      </c>
      <c r="L65" s="42">
        <v>3424</v>
      </c>
      <c r="M65" s="42">
        <v>3656</v>
      </c>
      <c r="N65" s="42">
        <v>1097</v>
      </c>
      <c r="O65" s="42">
        <v>3625</v>
      </c>
      <c r="P65" s="42">
        <v>3637</v>
      </c>
      <c r="Q65" s="42">
        <v>4767</v>
      </c>
      <c r="R65" s="42">
        <v>-1501</v>
      </c>
    </row>
    <row r="66" spans="1:18">
      <c r="A66" s="473">
        <v>4001230130</v>
      </c>
      <c r="B66" s="473" t="s">
        <v>110</v>
      </c>
      <c r="C66" s="473" t="s">
        <v>109</v>
      </c>
      <c r="D66" s="42">
        <v>4607</v>
      </c>
      <c r="E66" s="42">
        <v>5705</v>
      </c>
      <c r="F66" s="42">
        <v>4578</v>
      </c>
      <c r="G66" s="42">
        <v>3960</v>
      </c>
      <c r="H66" s="42">
        <v>2972</v>
      </c>
      <c r="I66" s="42">
        <v>3777</v>
      </c>
      <c r="J66" s="42">
        <v>5133</v>
      </c>
      <c r="K66" s="42">
        <v>1810</v>
      </c>
      <c r="L66" s="42">
        <v>3424</v>
      </c>
      <c r="M66" s="42">
        <v>3656</v>
      </c>
      <c r="N66" s="42">
        <v>1097</v>
      </c>
      <c r="O66" s="42">
        <v>3625</v>
      </c>
      <c r="P66" s="42">
        <v>3637</v>
      </c>
      <c r="Q66" s="42">
        <v>4767</v>
      </c>
      <c r="R66" s="42">
        <v>-1501</v>
      </c>
    </row>
    <row r="67" spans="1:18">
      <c r="A67" s="55"/>
      <c r="B67" s="55"/>
      <c r="C67" s="55"/>
      <c r="D67" s="19"/>
      <c r="E67" s="19"/>
      <c r="F67" s="19"/>
      <c r="G67" s="19"/>
      <c r="H67" s="19"/>
      <c r="I67" s="19"/>
      <c r="J67" s="19"/>
      <c r="K67" s="19"/>
      <c r="L67" s="19"/>
      <c r="M67" s="19"/>
      <c r="N67" s="19"/>
      <c r="O67" s="19"/>
      <c r="P67" s="19"/>
      <c r="Q67" s="19"/>
      <c r="R67" s="19"/>
    </row>
    <row r="68" spans="1:18">
      <c r="D68" s="54"/>
      <c r="E68" s="54"/>
      <c r="F68" s="54"/>
      <c r="G68" s="54"/>
      <c r="H68" s="54"/>
      <c r="I68" s="54"/>
      <c r="J68" s="54"/>
      <c r="K68" s="54"/>
      <c r="L68" s="54"/>
      <c r="M68" s="54"/>
      <c r="N68" s="54"/>
      <c r="O68" s="54"/>
      <c r="P68" s="54"/>
      <c r="Q68" s="54"/>
      <c r="R68" s="54"/>
    </row>
    <row r="69" spans="1:18">
      <c r="D69" s="54"/>
      <c r="E69" s="54"/>
      <c r="F69" s="54"/>
      <c r="G69" s="54"/>
      <c r="H69" s="54"/>
      <c r="I69" s="54"/>
      <c r="J69" s="54"/>
      <c r="K69" s="54"/>
      <c r="L69" s="54"/>
      <c r="M69" s="54"/>
      <c r="N69" s="54"/>
      <c r="O69" s="54"/>
      <c r="P69" s="54"/>
      <c r="Q69" s="54"/>
      <c r="R69" s="54"/>
    </row>
    <row r="70" spans="1:18">
      <c r="D70" s="54"/>
      <c r="E70" s="54"/>
      <c r="F70" s="54"/>
      <c r="G70" s="54"/>
      <c r="H70" s="54"/>
      <c r="I70" s="54"/>
      <c r="J70" s="54"/>
      <c r="K70" s="54"/>
      <c r="L70" s="54"/>
      <c r="M70" s="54"/>
      <c r="N70" s="54"/>
      <c r="O70" s="54"/>
      <c r="P70" s="54"/>
      <c r="Q70" s="54"/>
      <c r="R70" s="54"/>
    </row>
  </sheetData>
  <phoneticPr fontId="2" type="noConversion"/>
  <dataValidations count="7">
    <dataValidation type="list" allowBlank="1" showInputMessage="1" sqref="C9" xr:uid="{E250C395-379B-424C-AEA9-BE8B1083904D}">
      <formula1>"1983,1984,1985,1986,1987,1988,1989,1990,1991,1992,1993,1994,1995,1996,1997,1998,1999,2000,2001,2002,2003,2004,2005,2006,2007,2008,2009,2010,2011,2012,2013,2014,2015,2016,2017,2018,2019,2020,2021,2022,2023,2024,2025,Current"</formula1>
    </dataValidation>
    <dataValidation type="list" allowBlank="1" showInputMessage="1" sqref="B9" xr:uid="{BC4255D1-30F1-43AC-8A15-AC31E1BBA049}">
      <formula1>"1983,1984,1985,1986,1987,1988,1989,1990,1991,1992,1993,1994,1995,1996,1997,1998,1999,2000,2001,2002,2003,2004,2005,2006,2007,2008,2009,2010,2011,2012,2013,2014,2015,2016,2017,2018,2019,2020,2021,2022,2023,2024,2025"</formula1>
    </dataValidation>
    <dataValidation type="list" allowBlank="1" showInputMessage="1" sqref="B5" xr:uid="{3B19EF80-273E-4D4B-849E-338CE547C287}">
      <formula1>"별도,연결"</formula1>
    </dataValidation>
    <dataValidation type="list" allowBlank="1" showInputMessage="1" sqref="C8" xr:uid="{0667C84A-150A-4C99-B12A-A560E17D4A58}">
      <formula1>"천원,백만원,억원,십억원"</formula1>
    </dataValidation>
    <dataValidation type="list" allowBlank="1" showInputMessage="1" sqref="B8" xr:uid="{97147362-9411-4619-A890-D36D380DA450}">
      <formula1>"결산,누적분기,당분기"</formula1>
    </dataValidation>
    <dataValidation type="list" allowBlank="1" showInputMessage="1" sqref="B7" xr:uid="{B53277EE-21DC-434B-AD46-10AE65F91F0B}">
      <formula1>"상세(총액),상세(순액),요약,약식"</formula1>
    </dataValidation>
    <dataValidation type="list" allowBlank="1" showInputMessage="1" sqref="B6" xr:uid="{CA4F7D31-505F-45CD-9970-AE54E68DB739}">
      <formula1>"전체,재무상태표,손익계산서,현금흐름표,자본금변동표"</formula1>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33550-932D-4630-AD61-CFDB431C41DD}">
  <dimension ref="A1:R81"/>
  <sheetViews>
    <sheetView showGridLines="0" zoomScaleNormal="100" workbookViewId="0">
      <pane xSplit="2" topLeftCell="F1" activePane="topRight" state="frozen"/>
      <selection pane="topRight"/>
    </sheetView>
  </sheetViews>
  <sheetFormatPr defaultRowHeight="16.5"/>
  <cols>
    <col min="1" max="1" width="10.25" bestFit="1" customWidth="1"/>
    <col min="2" max="2" width="33.875" customWidth="1"/>
    <col min="3" max="3" width="12.25" bestFit="1" customWidth="1"/>
    <col min="4" max="18" width="11.875" bestFit="1" customWidth="1"/>
  </cols>
  <sheetData>
    <row r="1" spans="1:18" ht="18.75">
      <c r="A1" s="1"/>
    </row>
    <row r="3" spans="1:18">
      <c r="A3" s="462" t="s">
        <v>184</v>
      </c>
      <c r="B3" s="462"/>
      <c r="C3" s="462"/>
      <c r="D3" s="462"/>
      <c r="E3" s="462"/>
      <c r="F3" s="462"/>
      <c r="G3" s="462"/>
      <c r="H3" s="462"/>
      <c r="I3" s="462"/>
      <c r="J3" s="462"/>
      <c r="K3" s="462"/>
      <c r="L3" s="462"/>
      <c r="M3" s="462"/>
      <c r="N3" s="462"/>
      <c r="O3" s="462"/>
      <c r="P3" s="462"/>
      <c r="Q3" s="462"/>
      <c r="R3" s="462"/>
    </row>
    <row r="4" spans="1:18">
      <c r="A4" s="463" t="s">
        <v>183</v>
      </c>
      <c r="B4" s="463" t="s">
        <v>182</v>
      </c>
      <c r="C4" s="463"/>
      <c r="D4" s="463"/>
      <c r="E4" s="463"/>
      <c r="F4" s="463"/>
      <c r="G4" s="463"/>
      <c r="H4" s="463"/>
      <c r="I4" s="463"/>
      <c r="J4" s="463"/>
      <c r="K4" s="463"/>
      <c r="L4" s="463"/>
      <c r="M4" s="463"/>
      <c r="N4" s="463"/>
      <c r="O4" s="463"/>
      <c r="P4" s="463"/>
      <c r="Q4" s="463"/>
      <c r="R4" s="463"/>
    </row>
    <row r="5" spans="1:18">
      <c r="A5" s="463" t="s">
        <v>181</v>
      </c>
      <c r="B5" s="464" t="s">
        <v>180</v>
      </c>
      <c r="C5" s="463" t="s">
        <v>179</v>
      </c>
      <c r="D5" s="463" t="s">
        <v>178</v>
      </c>
      <c r="E5" s="463"/>
      <c r="F5" s="463"/>
      <c r="G5" s="463"/>
      <c r="H5" s="463"/>
      <c r="I5" s="463"/>
      <c r="J5" s="463"/>
      <c r="K5" s="463"/>
      <c r="L5" s="463"/>
      <c r="M5" s="463"/>
      <c r="N5" s="463"/>
      <c r="O5" s="463"/>
      <c r="P5" s="463"/>
      <c r="Q5" s="463"/>
      <c r="R5" s="463"/>
    </row>
    <row r="6" spans="1:18">
      <c r="A6" s="463" t="s">
        <v>177</v>
      </c>
      <c r="B6" s="465" t="s">
        <v>249</v>
      </c>
      <c r="C6" s="463" t="s">
        <v>175</v>
      </c>
      <c r="D6" s="463"/>
      <c r="E6" s="463"/>
      <c r="F6" s="463"/>
      <c r="G6" s="463"/>
      <c r="H6" s="463"/>
      <c r="I6" s="463"/>
      <c r="J6" s="463"/>
      <c r="K6" s="463"/>
      <c r="L6" s="463"/>
      <c r="M6" s="463"/>
      <c r="N6" s="463"/>
      <c r="O6" s="463"/>
      <c r="P6" s="463"/>
      <c r="Q6" s="463"/>
      <c r="R6" s="463"/>
    </row>
    <row r="7" spans="1:18">
      <c r="A7" s="463" t="s">
        <v>174</v>
      </c>
      <c r="B7" s="466" t="s">
        <v>173</v>
      </c>
      <c r="C7" s="463"/>
      <c r="D7" s="463"/>
      <c r="E7" s="463"/>
      <c r="F7" s="463"/>
      <c r="G7" s="463"/>
      <c r="H7" s="463"/>
      <c r="I7" s="463"/>
      <c r="J7" s="463"/>
      <c r="K7" s="463"/>
      <c r="L7" s="463"/>
      <c r="M7" s="463"/>
      <c r="N7" s="463"/>
      <c r="O7" s="463"/>
      <c r="P7" s="463"/>
      <c r="Q7" s="463"/>
      <c r="R7" s="463"/>
    </row>
    <row r="8" spans="1:18">
      <c r="A8" s="463" t="s">
        <v>172</v>
      </c>
      <c r="B8" s="467" t="s">
        <v>171</v>
      </c>
      <c r="C8" s="466" t="s">
        <v>35</v>
      </c>
      <c r="D8" s="463"/>
      <c r="E8" s="463"/>
      <c r="F8" s="463"/>
      <c r="G8" s="463"/>
      <c r="H8" s="463"/>
      <c r="I8" s="463"/>
      <c r="J8" s="463"/>
      <c r="K8" s="463"/>
      <c r="L8" s="463"/>
      <c r="M8" s="463"/>
      <c r="N8" s="463"/>
      <c r="O8" s="463"/>
      <c r="P8" s="463"/>
      <c r="Q8" s="463"/>
      <c r="R8" s="463"/>
    </row>
    <row r="9" spans="1:18">
      <c r="A9" s="468" t="s">
        <v>168</v>
      </c>
      <c r="B9" s="469">
        <v>2010</v>
      </c>
      <c r="C9" s="464" t="s">
        <v>167</v>
      </c>
      <c r="D9" s="468"/>
      <c r="E9" s="468"/>
      <c r="F9" s="468"/>
      <c r="G9" s="468"/>
      <c r="H9" s="468"/>
      <c r="I9" s="468"/>
      <c r="J9" s="468"/>
      <c r="K9" s="468"/>
      <c r="L9" s="468"/>
      <c r="M9" s="468"/>
      <c r="N9" s="468"/>
      <c r="O9" s="468"/>
      <c r="P9" s="468"/>
      <c r="Q9" s="468"/>
      <c r="R9" s="468"/>
    </row>
    <row r="10" spans="1:18">
      <c r="A10" s="470" t="s">
        <v>166</v>
      </c>
      <c r="B10" s="471" t="s">
        <v>165</v>
      </c>
      <c r="C10" s="471" t="s">
        <v>164</v>
      </c>
      <c r="D10" s="470">
        <v>201012</v>
      </c>
      <c r="E10" s="470">
        <v>201112</v>
      </c>
      <c r="F10" s="470">
        <v>201212</v>
      </c>
      <c r="G10" s="470">
        <v>201312</v>
      </c>
      <c r="H10" s="470">
        <v>201412</v>
      </c>
      <c r="I10" s="470">
        <v>201512</v>
      </c>
      <c r="J10" s="470">
        <v>201612</v>
      </c>
      <c r="K10" s="470">
        <v>201712</v>
      </c>
      <c r="L10" s="470">
        <v>201812</v>
      </c>
      <c r="M10" s="470">
        <v>201912</v>
      </c>
      <c r="N10" s="470">
        <v>202012</v>
      </c>
      <c r="O10" s="470">
        <v>202112</v>
      </c>
      <c r="P10" s="470">
        <v>202212</v>
      </c>
      <c r="Q10" s="470">
        <v>202312</v>
      </c>
      <c r="R10" s="470">
        <v>202412</v>
      </c>
    </row>
    <row r="11" spans="1:18">
      <c r="A11" s="472"/>
      <c r="B11" s="472"/>
      <c r="C11" s="472"/>
      <c r="D11" s="472" t="s">
        <v>163</v>
      </c>
      <c r="E11" s="472" t="s">
        <v>163</v>
      </c>
      <c r="F11" s="472" t="s">
        <v>163</v>
      </c>
      <c r="G11" s="472" t="s">
        <v>163</v>
      </c>
      <c r="H11" s="472" t="s">
        <v>163</v>
      </c>
      <c r="I11" s="472" t="s">
        <v>163</v>
      </c>
      <c r="J11" s="472" t="s">
        <v>163</v>
      </c>
      <c r="K11" s="472" t="s">
        <v>163</v>
      </c>
      <c r="L11" s="472" t="s">
        <v>163</v>
      </c>
      <c r="M11" s="472" t="s">
        <v>163</v>
      </c>
      <c r="N11" s="472" t="s">
        <v>163</v>
      </c>
      <c r="O11" s="472" t="s">
        <v>163</v>
      </c>
      <c r="P11" s="472" t="s">
        <v>163</v>
      </c>
      <c r="Q11" s="472" t="s">
        <v>163</v>
      </c>
      <c r="R11" s="472" t="s">
        <v>163</v>
      </c>
    </row>
    <row r="12" spans="1:18">
      <c r="A12" s="473">
        <v>4001190010</v>
      </c>
      <c r="B12" s="473" t="s">
        <v>248</v>
      </c>
      <c r="C12" s="473" t="s">
        <v>112</v>
      </c>
      <c r="D12" s="42">
        <v>10996413.112910001</v>
      </c>
      <c r="E12" s="42">
        <v>11871889</v>
      </c>
      <c r="F12" s="42">
        <v>12746829</v>
      </c>
      <c r="G12" s="42">
        <v>14666501</v>
      </c>
      <c r="H12" s="42">
        <v>18244600</v>
      </c>
      <c r="I12" s="42">
        <v>19350103</v>
      </c>
      <c r="J12" s="42">
        <v>19873443</v>
      </c>
      <c r="K12" s="42">
        <v>18431902</v>
      </c>
      <c r="L12" s="42">
        <v>18054609</v>
      </c>
      <c r="M12" s="42">
        <v>18226972</v>
      </c>
      <c r="N12" s="42">
        <v>17939274</v>
      </c>
      <c r="O12" s="42">
        <v>19637264</v>
      </c>
      <c r="P12" s="42">
        <v>20911708</v>
      </c>
      <c r="Q12" s="42">
        <v>23714495</v>
      </c>
      <c r="R12" s="42">
        <v>27005385</v>
      </c>
    </row>
    <row r="13" spans="1:18">
      <c r="A13" s="473">
        <v>4001190240</v>
      </c>
      <c r="B13" s="473" t="s">
        <v>247</v>
      </c>
      <c r="C13" s="473" t="s">
        <v>112</v>
      </c>
      <c r="D13" s="42">
        <v>7872207.88961</v>
      </c>
      <c r="E13" s="42">
        <v>8711302</v>
      </c>
      <c r="F13" s="42">
        <v>9610665</v>
      </c>
      <c r="G13" s="42">
        <v>11042820</v>
      </c>
      <c r="H13" s="42">
        <v>13441148</v>
      </c>
      <c r="I13" s="42">
        <v>14228424</v>
      </c>
      <c r="J13" s="42">
        <v>14937924</v>
      </c>
      <c r="K13" s="42">
        <v>13249840</v>
      </c>
      <c r="L13" s="42">
        <v>13336768</v>
      </c>
      <c r="M13" s="42">
        <v>13171993</v>
      </c>
      <c r="N13" s="42">
        <v>13398943</v>
      </c>
      <c r="O13" s="42">
        <v>14526404</v>
      </c>
      <c r="P13" s="42">
        <v>15516744</v>
      </c>
      <c r="Q13" s="42">
        <v>18613430</v>
      </c>
      <c r="R13" s="42">
        <v>21100663</v>
      </c>
    </row>
    <row r="14" spans="1:18">
      <c r="A14" s="473">
        <v>4001190250</v>
      </c>
      <c r="B14" s="473" t="s">
        <v>246</v>
      </c>
      <c r="C14" s="473" t="s">
        <v>112</v>
      </c>
      <c r="D14" s="42">
        <v>1334317.3231299999</v>
      </c>
      <c r="E14" s="42">
        <v>1282738</v>
      </c>
      <c r="F14" s="42">
        <v>1128456</v>
      </c>
      <c r="G14" s="42">
        <v>1285689</v>
      </c>
      <c r="H14" s="42">
        <v>1336864</v>
      </c>
      <c r="I14" s="42">
        <v>1328564</v>
      </c>
      <c r="J14" s="42">
        <v>1199362</v>
      </c>
      <c r="K14" s="42">
        <v>2105517</v>
      </c>
      <c r="L14" s="42">
        <v>1947052</v>
      </c>
      <c r="M14" s="42">
        <v>1723425</v>
      </c>
      <c r="N14" s="42">
        <v>1125479</v>
      </c>
      <c r="O14" s="42">
        <v>718247</v>
      </c>
      <c r="P14" s="42">
        <v>855394</v>
      </c>
      <c r="Q14" s="42">
        <v>815625</v>
      </c>
      <c r="R14" s="42">
        <v>776511</v>
      </c>
    </row>
    <row r="15" spans="1:18">
      <c r="A15" s="473">
        <v>4001190260</v>
      </c>
      <c r="B15" s="473" t="s">
        <v>245</v>
      </c>
      <c r="C15" s="473" t="s">
        <v>112</v>
      </c>
      <c r="D15" s="42"/>
      <c r="E15" s="42"/>
      <c r="F15" s="42"/>
      <c r="G15" s="42"/>
      <c r="H15" s="42"/>
      <c r="I15" s="42"/>
      <c r="J15" s="42"/>
      <c r="K15" s="42"/>
      <c r="L15" s="42"/>
      <c r="M15" s="42"/>
      <c r="N15" s="42"/>
      <c r="O15" s="42"/>
      <c r="P15" s="42"/>
      <c r="Q15" s="42"/>
      <c r="R15" s="42"/>
    </row>
    <row r="16" spans="1:18">
      <c r="A16" s="473">
        <v>4001190270</v>
      </c>
      <c r="B16" s="473" t="s">
        <v>244</v>
      </c>
      <c r="C16" s="473" t="s">
        <v>112</v>
      </c>
      <c r="D16" s="42">
        <v>227810.83906</v>
      </c>
      <c r="E16" s="42">
        <v>163614</v>
      </c>
      <c r="F16" s="42">
        <v>376505</v>
      </c>
      <c r="G16" s="42">
        <v>493521</v>
      </c>
      <c r="H16" s="42">
        <v>548843</v>
      </c>
      <c r="I16" s="42">
        <v>1241073</v>
      </c>
      <c r="J16" s="42">
        <v>1854123</v>
      </c>
      <c r="K16" s="42">
        <v>1556977</v>
      </c>
      <c r="L16" s="42">
        <v>2059789</v>
      </c>
      <c r="M16" s="42">
        <v>1968378</v>
      </c>
      <c r="N16" s="42">
        <v>2881625</v>
      </c>
      <c r="O16" s="42">
        <v>3273554</v>
      </c>
      <c r="P16" s="42">
        <v>1528836</v>
      </c>
      <c r="Q16" s="42">
        <v>1026490</v>
      </c>
      <c r="R16" s="42">
        <v>760790</v>
      </c>
    </row>
    <row r="17" spans="1:18">
      <c r="A17" s="473">
        <v>4001190300</v>
      </c>
      <c r="B17" s="473" t="s">
        <v>243</v>
      </c>
      <c r="C17" s="473" t="s">
        <v>112</v>
      </c>
      <c r="D17" s="42">
        <v>3833630.6370000001</v>
      </c>
      <c r="E17" s="42">
        <v>4422638</v>
      </c>
      <c r="F17" s="42">
        <v>5128108</v>
      </c>
      <c r="G17" s="42">
        <v>6405704</v>
      </c>
      <c r="H17" s="42">
        <v>7792969</v>
      </c>
      <c r="I17" s="42">
        <v>7980449</v>
      </c>
      <c r="J17" s="42">
        <v>7804575</v>
      </c>
      <c r="K17" s="42">
        <v>6178536</v>
      </c>
      <c r="L17" s="42">
        <v>5958665</v>
      </c>
      <c r="M17" s="42">
        <v>5768083</v>
      </c>
      <c r="N17" s="42">
        <v>5170168</v>
      </c>
      <c r="O17" s="42">
        <v>6521052</v>
      </c>
      <c r="P17" s="42">
        <v>7848789</v>
      </c>
      <c r="Q17" s="42">
        <v>10659313</v>
      </c>
      <c r="R17" s="42">
        <v>12100467</v>
      </c>
    </row>
    <row r="18" spans="1:18">
      <c r="A18" s="473">
        <v>4001113900</v>
      </c>
      <c r="B18" s="473" t="s">
        <v>242</v>
      </c>
      <c r="C18" s="473" t="s">
        <v>112</v>
      </c>
      <c r="D18" s="42">
        <v>419.74651</v>
      </c>
      <c r="E18" s="42">
        <v>249</v>
      </c>
      <c r="F18" s="42">
        <v>93</v>
      </c>
      <c r="G18" s="42">
        <v>825</v>
      </c>
      <c r="H18" s="42">
        <v>4923</v>
      </c>
      <c r="I18" s="42">
        <v>2196</v>
      </c>
      <c r="J18" s="42">
        <v>4307</v>
      </c>
      <c r="K18" s="42">
        <v>3749</v>
      </c>
      <c r="L18" s="42">
        <v>4898</v>
      </c>
      <c r="M18" s="42">
        <v>3318</v>
      </c>
      <c r="N18" s="42">
        <v>4612</v>
      </c>
      <c r="O18" s="42">
        <v>7888</v>
      </c>
      <c r="P18" s="42">
        <v>5789</v>
      </c>
      <c r="Q18" s="42">
        <v>6663</v>
      </c>
      <c r="R18" s="42">
        <v>29567</v>
      </c>
    </row>
    <row r="19" spans="1:18">
      <c r="A19" s="473">
        <v>4001180995</v>
      </c>
      <c r="B19" s="473" t="s">
        <v>228</v>
      </c>
      <c r="C19" s="473" t="s">
        <v>112</v>
      </c>
      <c r="D19" s="42"/>
      <c r="E19" s="42"/>
      <c r="F19" s="42"/>
      <c r="G19" s="42"/>
      <c r="H19" s="42"/>
      <c r="I19" s="42"/>
      <c r="J19" s="42"/>
      <c r="K19" s="42"/>
      <c r="L19" s="42"/>
      <c r="M19" s="42"/>
      <c r="N19" s="42"/>
      <c r="O19" s="42">
        <v>260</v>
      </c>
      <c r="P19" s="42">
        <v>260</v>
      </c>
      <c r="Q19" s="42">
        <v>260</v>
      </c>
      <c r="R19" s="42"/>
    </row>
    <row r="20" spans="1:18">
      <c r="A20" s="473">
        <v>4001113903</v>
      </c>
      <c r="B20" s="473" t="s">
        <v>227</v>
      </c>
      <c r="C20" s="473" t="s">
        <v>112</v>
      </c>
      <c r="D20" s="42"/>
      <c r="E20" s="42"/>
      <c r="F20" s="42"/>
      <c r="G20" s="42"/>
      <c r="H20" s="42"/>
      <c r="I20" s="42"/>
      <c r="J20" s="42"/>
      <c r="K20" s="42"/>
      <c r="L20" s="42"/>
      <c r="M20" s="42"/>
      <c r="N20" s="42"/>
      <c r="O20" s="42"/>
      <c r="P20" s="42"/>
      <c r="Q20" s="42"/>
      <c r="R20" s="42"/>
    </row>
    <row r="21" spans="1:18">
      <c r="A21" s="473">
        <v>4001113904</v>
      </c>
      <c r="B21" s="473" t="s">
        <v>226</v>
      </c>
      <c r="C21" s="473" t="s">
        <v>112</v>
      </c>
      <c r="D21" s="42"/>
      <c r="E21" s="42"/>
      <c r="F21" s="42"/>
      <c r="G21" s="42"/>
      <c r="H21" s="42"/>
      <c r="I21" s="42"/>
      <c r="J21" s="42"/>
      <c r="K21" s="42"/>
      <c r="L21" s="42"/>
      <c r="M21" s="42"/>
      <c r="N21" s="42"/>
      <c r="O21" s="42"/>
      <c r="P21" s="42"/>
      <c r="Q21" s="42"/>
      <c r="R21" s="42"/>
    </row>
    <row r="22" spans="1:18">
      <c r="A22" s="473">
        <v>4001190340</v>
      </c>
      <c r="B22" s="473" t="s">
        <v>241</v>
      </c>
      <c r="C22" s="473" t="s">
        <v>112</v>
      </c>
      <c r="D22" s="42">
        <v>735399</v>
      </c>
      <c r="E22" s="42">
        <v>980146</v>
      </c>
      <c r="F22" s="42">
        <v>1122644</v>
      </c>
      <c r="G22" s="42">
        <v>969317</v>
      </c>
      <c r="H22" s="42">
        <v>1215168</v>
      </c>
      <c r="I22" s="42">
        <v>1674923</v>
      </c>
      <c r="J22" s="42">
        <v>1925573</v>
      </c>
      <c r="K22" s="42">
        <v>1297819</v>
      </c>
      <c r="L22" s="42">
        <v>1125176</v>
      </c>
      <c r="M22" s="42">
        <v>1122782</v>
      </c>
      <c r="N22" s="42">
        <v>1030217</v>
      </c>
      <c r="O22" s="42">
        <v>1075982</v>
      </c>
      <c r="P22" s="42">
        <v>1303779</v>
      </c>
      <c r="Q22" s="42">
        <v>1899414</v>
      </c>
      <c r="R22" s="42">
        <v>2287386</v>
      </c>
    </row>
    <row r="23" spans="1:18">
      <c r="A23" s="473">
        <v>4001190370</v>
      </c>
      <c r="B23" s="473" t="s">
        <v>240</v>
      </c>
      <c r="C23" s="473" t="s">
        <v>112</v>
      </c>
      <c r="D23" s="42">
        <v>1740630.344</v>
      </c>
      <c r="E23" s="42">
        <v>1861917</v>
      </c>
      <c r="F23" s="42">
        <v>1854859</v>
      </c>
      <c r="G23" s="42">
        <v>1883560</v>
      </c>
      <c r="H23" s="42">
        <v>2542381</v>
      </c>
      <c r="I23" s="42">
        <v>1997405</v>
      </c>
      <c r="J23" s="42">
        <v>2149984</v>
      </c>
      <c r="K23" s="42">
        <v>2107242</v>
      </c>
      <c r="L23" s="42">
        <v>2241188</v>
      </c>
      <c r="M23" s="42">
        <v>2586007</v>
      </c>
      <c r="N23" s="42">
        <v>3186842</v>
      </c>
      <c r="O23" s="42">
        <v>2926856</v>
      </c>
      <c r="P23" s="42">
        <v>3973897</v>
      </c>
      <c r="Q23" s="42">
        <v>4205665</v>
      </c>
      <c r="R23" s="42">
        <v>5130372</v>
      </c>
    </row>
    <row r="24" spans="1:18">
      <c r="A24" s="473">
        <v>4001114130</v>
      </c>
      <c r="B24" s="473" t="s">
        <v>239</v>
      </c>
      <c r="C24" s="473" t="s">
        <v>112</v>
      </c>
      <c r="D24" s="42"/>
      <c r="E24" s="42"/>
      <c r="F24" s="42"/>
      <c r="G24" s="42">
        <v>4204</v>
      </c>
      <c r="H24" s="42"/>
      <c r="I24" s="42">
        <v>3814</v>
      </c>
      <c r="J24" s="42"/>
      <c r="K24" s="42"/>
      <c r="L24" s="42"/>
      <c r="M24" s="42"/>
      <c r="N24" s="42"/>
      <c r="O24" s="42">
        <v>2565</v>
      </c>
      <c r="P24" s="42"/>
      <c r="Q24" s="42"/>
      <c r="R24" s="42">
        <v>15570</v>
      </c>
    </row>
    <row r="25" spans="1:18">
      <c r="A25" s="473">
        <v>4001190020</v>
      </c>
      <c r="B25" s="473" t="s">
        <v>238</v>
      </c>
      <c r="C25" s="473" t="s">
        <v>112</v>
      </c>
      <c r="D25" s="42">
        <v>3124205.2233000002</v>
      </c>
      <c r="E25" s="42">
        <v>3160587</v>
      </c>
      <c r="F25" s="42">
        <v>3136164</v>
      </c>
      <c r="G25" s="42">
        <v>3623681</v>
      </c>
      <c r="H25" s="42">
        <v>4803452</v>
      </c>
      <c r="I25" s="42">
        <v>5121679</v>
      </c>
      <c r="J25" s="42">
        <v>4935519</v>
      </c>
      <c r="K25" s="42">
        <v>5182062</v>
      </c>
      <c r="L25" s="42">
        <v>4717841</v>
      </c>
      <c r="M25" s="42">
        <v>5054979</v>
      </c>
      <c r="N25" s="42">
        <v>4540331</v>
      </c>
      <c r="O25" s="42">
        <v>5110860</v>
      </c>
      <c r="P25" s="42">
        <v>5394964</v>
      </c>
      <c r="Q25" s="42">
        <v>5101065</v>
      </c>
      <c r="R25" s="42">
        <v>5904722</v>
      </c>
    </row>
    <row r="26" spans="1:18">
      <c r="A26" s="473">
        <v>4001190030</v>
      </c>
      <c r="B26" s="473" t="s">
        <v>237</v>
      </c>
      <c r="C26" s="473" t="s">
        <v>112</v>
      </c>
      <c r="D26" s="42">
        <v>1097146.29914</v>
      </c>
      <c r="E26" s="42">
        <v>1120325</v>
      </c>
      <c r="F26" s="42">
        <v>1144030</v>
      </c>
      <c r="G26" s="42">
        <v>1638221</v>
      </c>
      <c r="H26" s="42">
        <v>1710644</v>
      </c>
      <c r="I26" s="42">
        <v>1754185</v>
      </c>
      <c r="J26" s="42">
        <v>1498089</v>
      </c>
      <c r="K26" s="42">
        <v>1398791</v>
      </c>
      <c r="L26" s="42">
        <v>1436574</v>
      </c>
      <c r="M26" s="42">
        <v>1419749</v>
      </c>
      <c r="N26" s="42">
        <v>967470</v>
      </c>
      <c r="O26" s="42">
        <v>1012128</v>
      </c>
      <c r="P26" s="42">
        <v>1048810</v>
      </c>
      <c r="Q26" s="42">
        <v>1204520</v>
      </c>
      <c r="R26" s="42">
        <v>1289154</v>
      </c>
    </row>
    <row r="27" spans="1:18">
      <c r="A27" s="473">
        <v>4001190070</v>
      </c>
      <c r="B27" s="473" t="s">
        <v>236</v>
      </c>
      <c r="C27" s="473" t="s">
        <v>112</v>
      </c>
      <c r="D27" s="42">
        <v>43468.703999999998</v>
      </c>
      <c r="E27" s="42">
        <v>44275</v>
      </c>
      <c r="F27" s="42">
        <v>76780</v>
      </c>
      <c r="G27" s="42">
        <v>84646</v>
      </c>
      <c r="H27" s="42">
        <v>874253</v>
      </c>
      <c r="I27" s="42">
        <v>857312</v>
      </c>
      <c r="J27" s="42">
        <v>810336</v>
      </c>
      <c r="K27" s="42">
        <v>760228</v>
      </c>
      <c r="L27" s="42">
        <v>711198</v>
      </c>
      <c r="M27" s="42">
        <v>697843</v>
      </c>
      <c r="N27" s="42">
        <v>703436</v>
      </c>
      <c r="O27" s="42">
        <v>718280</v>
      </c>
      <c r="P27" s="42">
        <v>720626</v>
      </c>
      <c r="Q27" s="42">
        <v>724427</v>
      </c>
      <c r="R27" s="42">
        <v>750741</v>
      </c>
    </row>
    <row r="28" spans="1:18">
      <c r="A28" s="473">
        <v>4001190110</v>
      </c>
      <c r="B28" s="473" t="s">
        <v>235</v>
      </c>
      <c r="C28" s="473" t="s">
        <v>112</v>
      </c>
      <c r="D28" s="42"/>
      <c r="E28" s="42"/>
      <c r="F28" s="42"/>
      <c r="G28" s="42"/>
      <c r="H28" s="42"/>
      <c r="I28" s="42"/>
      <c r="J28" s="42"/>
      <c r="K28" s="42"/>
      <c r="L28" s="42"/>
      <c r="M28" s="42"/>
      <c r="N28" s="42"/>
      <c r="O28" s="42"/>
      <c r="P28" s="42"/>
      <c r="Q28" s="42"/>
      <c r="R28" s="42"/>
    </row>
    <row r="29" spans="1:18">
      <c r="A29" s="473">
        <v>4001190120</v>
      </c>
      <c r="B29" s="473" t="s">
        <v>234</v>
      </c>
      <c r="C29" s="473" t="s">
        <v>112</v>
      </c>
      <c r="D29" s="42">
        <v>30695.920750000001</v>
      </c>
      <c r="E29" s="42">
        <v>1205</v>
      </c>
      <c r="F29" s="42">
        <v>26475</v>
      </c>
      <c r="G29" s="42">
        <v>64154</v>
      </c>
      <c r="H29" s="42">
        <v>176414</v>
      </c>
      <c r="I29" s="42">
        <v>165104</v>
      </c>
      <c r="J29" s="42">
        <v>390939</v>
      </c>
      <c r="K29" s="42">
        <v>394196</v>
      </c>
      <c r="L29" s="42">
        <v>371598</v>
      </c>
      <c r="M29" s="42">
        <v>382875</v>
      </c>
      <c r="N29" s="42">
        <v>373408</v>
      </c>
      <c r="O29" s="42">
        <v>354750</v>
      </c>
      <c r="P29" s="42">
        <v>444482</v>
      </c>
      <c r="Q29" s="42">
        <v>446367</v>
      </c>
      <c r="R29" s="42">
        <v>456522</v>
      </c>
    </row>
    <row r="30" spans="1:18">
      <c r="A30" s="473">
        <v>4001190130</v>
      </c>
      <c r="B30" s="473" t="s">
        <v>233</v>
      </c>
      <c r="C30" s="473" t="s">
        <v>112</v>
      </c>
      <c r="D30" s="42">
        <v>1299664.04036</v>
      </c>
      <c r="E30" s="42">
        <v>1290662</v>
      </c>
      <c r="F30" s="42">
        <v>752684</v>
      </c>
      <c r="G30" s="42">
        <v>579220</v>
      </c>
      <c r="H30" s="42">
        <v>615775</v>
      </c>
      <c r="I30" s="42">
        <v>762438</v>
      </c>
      <c r="J30" s="42">
        <v>682134</v>
      </c>
      <c r="K30" s="42">
        <v>1044147</v>
      </c>
      <c r="L30" s="42">
        <v>513310</v>
      </c>
      <c r="M30" s="42">
        <v>609129</v>
      </c>
      <c r="N30" s="42">
        <v>949908</v>
      </c>
      <c r="O30" s="42">
        <v>1290847</v>
      </c>
      <c r="P30" s="42">
        <v>1468342</v>
      </c>
      <c r="Q30" s="42">
        <v>1130464</v>
      </c>
      <c r="R30" s="42">
        <v>1222068</v>
      </c>
    </row>
    <row r="31" spans="1:18">
      <c r="A31" s="473">
        <v>4001111660</v>
      </c>
      <c r="B31" s="473" t="s">
        <v>232</v>
      </c>
      <c r="C31" s="473" t="s">
        <v>112</v>
      </c>
      <c r="D31" s="42">
        <v>119112.60455</v>
      </c>
      <c r="E31" s="42">
        <v>84712</v>
      </c>
      <c r="F31" s="42">
        <v>99246</v>
      </c>
      <c r="G31" s="42">
        <v>128800</v>
      </c>
      <c r="H31" s="42">
        <v>124004</v>
      </c>
      <c r="I31" s="42">
        <v>107986</v>
      </c>
      <c r="J31" s="42">
        <v>128145</v>
      </c>
      <c r="K31" s="42">
        <v>79319</v>
      </c>
      <c r="L31" s="42">
        <v>45891</v>
      </c>
      <c r="M31" s="42">
        <v>62049</v>
      </c>
      <c r="N31" s="42">
        <v>68497</v>
      </c>
      <c r="O31" s="42">
        <v>87164</v>
      </c>
      <c r="P31" s="42">
        <v>88958</v>
      </c>
      <c r="Q31" s="42">
        <v>86608</v>
      </c>
      <c r="R31" s="42">
        <v>168064</v>
      </c>
    </row>
    <row r="32" spans="1:18">
      <c r="A32" s="473">
        <v>4001190160</v>
      </c>
      <c r="B32" s="473" t="s">
        <v>231</v>
      </c>
      <c r="C32" s="473" t="s">
        <v>112</v>
      </c>
      <c r="D32" s="42">
        <v>405868.69300000003</v>
      </c>
      <c r="E32" s="42">
        <v>469678</v>
      </c>
      <c r="F32" s="42">
        <v>845139</v>
      </c>
      <c r="G32" s="42">
        <v>873233</v>
      </c>
      <c r="H32" s="42">
        <v>1029960</v>
      </c>
      <c r="I32" s="42">
        <v>1214115</v>
      </c>
      <c r="J32" s="42">
        <v>1171561</v>
      </c>
      <c r="K32" s="42">
        <v>1129406</v>
      </c>
      <c r="L32" s="42">
        <v>1267939</v>
      </c>
      <c r="M32" s="42">
        <v>1390274</v>
      </c>
      <c r="N32" s="42">
        <v>976527</v>
      </c>
      <c r="O32" s="42">
        <v>1100863</v>
      </c>
      <c r="P32" s="42">
        <v>1085757</v>
      </c>
      <c r="Q32" s="42">
        <v>1003101</v>
      </c>
      <c r="R32" s="42">
        <v>945076</v>
      </c>
    </row>
    <row r="33" spans="1:18">
      <c r="A33" s="473">
        <v>4001112490</v>
      </c>
      <c r="B33" s="473" t="s">
        <v>230</v>
      </c>
      <c r="C33" s="473" t="s">
        <v>112</v>
      </c>
      <c r="D33" s="42">
        <v>55273.960800000001</v>
      </c>
      <c r="E33" s="42">
        <v>81979</v>
      </c>
      <c r="F33" s="42">
        <v>154015</v>
      </c>
      <c r="G33" s="42">
        <v>193658</v>
      </c>
      <c r="H33" s="42">
        <v>171190</v>
      </c>
      <c r="I33" s="42">
        <v>135390</v>
      </c>
      <c r="J33" s="42">
        <v>124633</v>
      </c>
      <c r="K33" s="42">
        <v>251650</v>
      </c>
      <c r="L33" s="42">
        <v>252549</v>
      </c>
      <c r="M33" s="42">
        <v>258932</v>
      </c>
      <c r="N33" s="42">
        <v>252963</v>
      </c>
      <c r="O33" s="42">
        <v>277192</v>
      </c>
      <c r="P33" s="42">
        <v>248310</v>
      </c>
      <c r="Q33" s="42">
        <v>232146</v>
      </c>
      <c r="R33" s="42">
        <v>717126</v>
      </c>
    </row>
    <row r="34" spans="1:18">
      <c r="A34" s="473">
        <v>4001112500</v>
      </c>
      <c r="B34" s="473" t="s">
        <v>229</v>
      </c>
      <c r="C34" s="473" t="s">
        <v>112</v>
      </c>
      <c r="D34" s="42"/>
      <c r="E34" s="42"/>
      <c r="F34" s="42"/>
      <c r="G34" s="42"/>
      <c r="H34" s="42"/>
      <c r="I34" s="42"/>
      <c r="J34" s="42"/>
      <c r="K34" s="42"/>
      <c r="L34" s="42"/>
      <c r="M34" s="42"/>
      <c r="N34" s="42"/>
      <c r="O34" s="42"/>
      <c r="P34" s="42"/>
      <c r="Q34" s="42"/>
      <c r="R34" s="42"/>
    </row>
    <row r="35" spans="1:18">
      <c r="A35" s="473">
        <v>4001180575</v>
      </c>
      <c r="B35" s="473" t="s">
        <v>228</v>
      </c>
      <c r="C35" s="473" t="s">
        <v>112</v>
      </c>
      <c r="D35" s="42"/>
      <c r="E35" s="42"/>
      <c r="F35" s="42"/>
      <c r="G35" s="42"/>
      <c r="H35" s="42"/>
      <c r="I35" s="42"/>
      <c r="J35" s="42"/>
      <c r="K35" s="42"/>
      <c r="L35" s="42"/>
      <c r="M35" s="42"/>
      <c r="N35" s="42"/>
      <c r="O35" s="42"/>
      <c r="P35" s="42"/>
      <c r="Q35" s="42"/>
      <c r="R35" s="42"/>
    </row>
    <row r="36" spans="1:18">
      <c r="A36" s="473">
        <v>4001112503</v>
      </c>
      <c r="B36" s="473" t="s">
        <v>227</v>
      </c>
      <c r="C36" s="473" t="s">
        <v>112</v>
      </c>
      <c r="D36" s="42"/>
      <c r="E36" s="42"/>
      <c r="F36" s="42"/>
      <c r="G36" s="42"/>
      <c r="H36" s="42"/>
      <c r="I36" s="42"/>
      <c r="J36" s="42"/>
      <c r="K36" s="42"/>
      <c r="L36" s="42"/>
      <c r="M36" s="42"/>
      <c r="N36" s="42"/>
      <c r="O36" s="42"/>
      <c r="P36" s="42"/>
      <c r="Q36" s="42"/>
      <c r="R36" s="42"/>
    </row>
    <row r="37" spans="1:18">
      <c r="A37" s="473">
        <v>4001112504</v>
      </c>
      <c r="B37" s="473" t="s">
        <v>226</v>
      </c>
      <c r="C37" s="473" t="s">
        <v>112</v>
      </c>
      <c r="D37" s="42"/>
      <c r="E37" s="42"/>
      <c r="F37" s="42"/>
      <c r="G37" s="42"/>
      <c r="H37" s="42"/>
      <c r="I37" s="42"/>
      <c r="J37" s="42"/>
      <c r="K37" s="42"/>
      <c r="L37" s="42"/>
      <c r="M37" s="42"/>
      <c r="N37" s="42"/>
      <c r="O37" s="42"/>
      <c r="P37" s="42"/>
      <c r="Q37" s="42"/>
      <c r="R37" s="42"/>
    </row>
    <row r="38" spans="1:18">
      <c r="A38" s="473">
        <v>4001190200</v>
      </c>
      <c r="B38" s="473" t="s">
        <v>225</v>
      </c>
      <c r="C38" s="473" t="s">
        <v>112</v>
      </c>
      <c r="D38" s="42">
        <v>72975</v>
      </c>
      <c r="E38" s="42">
        <v>67751</v>
      </c>
      <c r="F38" s="42">
        <v>37795</v>
      </c>
      <c r="G38" s="42">
        <v>61749</v>
      </c>
      <c r="H38" s="42">
        <v>101212</v>
      </c>
      <c r="I38" s="42">
        <v>125149</v>
      </c>
      <c r="J38" s="42">
        <v>129682</v>
      </c>
      <c r="K38" s="42">
        <v>124325</v>
      </c>
      <c r="L38" s="42">
        <v>118782</v>
      </c>
      <c r="M38" s="42">
        <v>234128</v>
      </c>
      <c r="N38" s="42">
        <v>248122</v>
      </c>
      <c r="O38" s="42">
        <v>269636</v>
      </c>
      <c r="P38" s="42">
        <v>289679</v>
      </c>
      <c r="Q38" s="42">
        <v>273432</v>
      </c>
      <c r="R38" s="42">
        <v>355971</v>
      </c>
    </row>
    <row r="39" spans="1:18">
      <c r="A39" s="473">
        <v>4001112880</v>
      </c>
      <c r="B39" s="473" t="s">
        <v>224</v>
      </c>
      <c r="C39" s="473" t="s">
        <v>112</v>
      </c>
      <c r="D39" s="42"/>
      <c r="E39" s="42"/>
      <c r="F39" s="42"/>
      <c r="G39" s="42"/>
      <c r="H39" s="42"/>
      <c r="I39" s="42"/>
      <c r="J39" s="42"/>
      <c r="K39" s="42"/>
      <c r="L39" s="42"/>
      <c r="M39" s="42"/>
      <c r="N39" s="42"/>
      <c r="O39" s="42"/>
      <c r="P39" s="42"/>
      <c r="Q39" s="42"/>
      <c r="R39" s="42"/>
    </row>
    <row r="40" spans="1:18">
      <c r="A40" s="473">
        <v>4001190440</v>
      </c>
      <c r="B40" s="473" t="s">
        <v>223</v>
      </c>
      <c r="C40" s="473" t="s">
        <v>112</v>
      </c>
      <c r="D40" s="42">
        <v>7058031.6093100002</v>
      </c>
      <c r="E40" s="42">
        <v>7508415</v>
      </c>
      <c r="F40" s="42">
        <v>7990893</v>
      </c>
      <c r="G40" s="42">
        <v>9532257</v>
      </c>
      <c r="H40" s="42">
        <v>11457294</v>
      </c>
      <c r="I40" s="42">
        <v>11959465</v>
      </c>
      <c r="J40" s="42">
        <v>11748798</v>
      </c>
      <c r="K40" s="42">
        <v>9958964</v>
      </c>
      <c r="L40" s="42">
        <v>9762753</v>
      </c>
      <c r="M40" s="42">
        <v>9511990</v>
      </c>
      <c r="N40" s="42">
        <v>9172896</v>
      </c>
      <c r="O40" s="42">
        <v>10207973</v>
      </c>
      <c r="P40" s="42">
        <v>10987431</v>
      </c>
      <c r="Q40" s="42">
        <v>13258980</v>
      </c>
      <c r="R40" s="42">
        <v>17335972</v>
      </c>
    </row>
    <row r="41" spans="1:18">
      <c r="A41" s="473">
        <v>4001190610</v>
      </c>
      <c r="B41" s="473" t="s">
        <v>222</v>
      </c>
      <c r="C41" s="473" t="s">
        <v>112</v>
      </c>
      <c r="D41" s="42">
        <v>5692071.9057</v>
      </c>
      <c r="E41" s="42">
        <v>5772909</v>
      </c>
      <c r="F41" s="42">
        <v>6149756</v>
      </c>
      <c r="G41" s="42">
        <v>6909209</v>
      </c>
      <c r="H41" s="42">
        <v>8240763</v>
      </c>
      <c r="I41" s="42">
        <v>8575299</v>
      </c>
      <c r="J41" s="42">
        <v>8749576</v>
      </c>
      <c r="K41" s="42">
        <v>7219038</v>
      </c>
      <c r="L41" s="42">
        <v>6860875</v>
      </c>
      <c r="M41" s="42">
        <v>6770867</v>
      </c>
      <c r="N41" s="42">
        <v>6467725</v>
      </c>
      <c r="O41" s="42">
        <v>7613217</v>
      </c>
      <c r="P41" s="42">
        <v>8757397</v>
      </c>
      <c r="Q41" s="42">
        <v>10356647</v>
      </c>
      <c r="R41" s="42">
        <v>14663775</v>
      </c>
    </row>
    <row r="42" spans="1:18">
      <c r="A42" s="473">
        <v>4001121700</v>
      </c>
      <c r="B42" s="473" t="s">
        <v>221</v>
      </c>
      <c r="C42" s="473" t="s">
        <v>112</v>
      </c>
      <c r="D42" s="42">
        <v>262177.10524</v>
      </c>
      <c r="E42" s="42">
        <v>169672</v>
      </c>
      <c r="F42" s="42">
        <v>185900</v>
      </c>
      <c r="G42" s="42">
        <v>239094</v>
      </c>
      <c r="H42" s="42">
        <v>275595</v>
      </c>
      <c r="I42" s="42">
        <v>198536</v>
      </c>
      <c r="J42" s="42">
        <v>163407</v>
      </c>
      <c r="K42" s="42">
        <v>362580</v>
      </c>
      <c r="L42" s="42">
        <v>272242</v>
      </c>
      <c r="M42" s="42">
        <v>415114</v>
      </c>
      <c r="N42" s="42">
        <v>276697</v>
      </c>
      <c r="O42" s="42">
        <v>108786</v>
      </c>
      <c r="P42" s="42">
        <v>83142</v>
      </c>
      <c r="Q42" s="42">
        <v>248744</v>
      </c>
      <c r="R42" s="42">
        <v>744668</v>
      </c>
    </row>
    <row r="43" spans="1:18">
      <c r="A43" s="473">
        <v>4001190620</v>
      </c>
      <c r="B43" s="473" t="s">
        <v>220</v>
      </c>
      <c r="C43" s="473" t="s">
        <v>112</v>
      </c>
      <c r="D43" s="42">
        <v>104028.817</v>
      </c>
      <c r="E43" s="42">
        <v>176935</v>
      </c>
      <c r="F43" s="42">
        <v>439399</v>
      </c>
      <c r="G43" s="42">
        <v>413978</v>
      </c>
      <c r="H43" s="42">
        <v>360945</v>
      </c>
      <c r="I43" s="42">
        <v>238528</v>
      </c>
      <c r="J43" s="42">
        <v>428436</v>
      </c>
      <c r="K43" s="42">
        <v>223621</v>
      </c>
      <c r="L43" s="42">
        <v>328612</v>
      </c>
      <c r="M43" s="42">
        <v>481351</v>
      </c>
      <c r="N43" s="42">
        <v>494987</v>
      </c>
      <c r="O43" s="42">
        <v>515091</v>
      </c>
      <c r="P43" s="42">
        <v>519361</v>
      </c>
      <c r="Q43" s="42">
        <v>354365</v>
      </c>
      <c r="R43" s="42">
        <v>1044694</v>
      </c>
    </row>
    <row r="44" spans="1:18">
      <c r="A44" s="473">
        <v>4001190630</v>
      </c>
      <c r="B44" s="473" t="s">
        <v>219</v>
      </c>
      <c r="C44" s="473" t="s">
        <v>112</v>
      </c>
      <c r="D44" s="42">
        <v>29375.173299999999</v>
      </c>
      <c r="E44" s="42">
        <v>30528</v>
      </c>
      <c r="F44" s="42">
        <v>16487</v>
      </c>
      <c r="G44" s="42">
        <v>17890</v>
      </c>
      <c r="H44" s="42">
        <v>16338</v>
      </c>
      <c r="I44" s="42">
        <v>15820</v>
      </c>
      <c r="J44" s="42">
        <v>12287</v>
      </c>
      <c r="K44" s="42">
        <v>11112</v>
      </c>
      <c r="L44" s="42">
        <v>14493</v>
      </c>
      <c r="M44" s="42">
        <v>42064</v>
      </c>
      <c r="N44" s="42">
        <v>30409</v>
      </c>
      <c r="O44" s="42">
        <v>34285</v>
      </c>
      <c r="P44" s="42">
        <v>41815</v>
      </c>
      <c r="Q44" s="42">
        <v>41356</v>
      </c>
      <c r="R44" s="42">
        <v>142963</v>
      </c>
    </row>
    <row r="45" spans="1:18">
      <c r="A45" s="473">
        <v>4001190660</v>
      </c>
      <c r="B45" s="473" t="s">
        <v>218</v>
      </c>
      <c r="C45" s="473" t="s">
        <v>112</v>
      </c>
      <c r="D45" s="42">
        <v>3477736.8939999999</v>
      </c>
      <c r="E45" s="42">
        <v>3588045</v>
      </c>
      <c r="F45" s="42">
        <v>3774457</v>
      </c>
      <c r="G45" s="42">
        <v>4399306</v>
      </c>
      <c r="H45" s="42">
        <v>5169707</v>
      </c>
      <c r="I45" s="42">
        <v>5529651</v>
      </c>
      <c r="J45" s="42">
        <v>5986700</v>
      </c>
      <c r="K45" s="42">
        <v>5039141</v>
      </c>
      <c r="L45" s="42">
        <v>4930881</v>
      </c>
      <c r="M45" s="42">
        <v>4615316</v>
      </c>
      <c r="N45" s="42">
        <v>4736610</v>
      </c>
      <c r="O45" s="42">
        <v>5816424</v>
      </c>
      <c r="P45" s="42">
        <v>6806363</v>
      </c>
      <c r="Q45" s="42">
        <v>7714943</v>
      </c>
      <c r="R45" s="42">
        <v>9940085</v>
      </c>
    </row>
    <row r="46" spans="1:18">
      <c r="A46" s="473">
        <v>4001122460</v>
      </c>
      <c r="B46" s="473" t="s">
        <v>217</v>
      </c>
      <c r="C46" s="473" t="s">
        <v>112</v>
      </c>
      <c r="D46" s="42"/>
      <c r="E46" s="42"/>
      <c r="F46" s="42"/>
      <c r="G46" s="42"/>
      <c r="H46" s="42"/>
      <c r="I46" s="42"/>
      <c r="J46" s="42">
        <v>30</v>
      </c>
      <c r="K46" s="42">
        <v>546</v>
      </c>
      <c r="L46" s="42">
        <v>34066</v>
      </c>
      <c r="M46" s="42">
        <v>172805</v>
      </c>
      <c r="N46" s="42">
        <v>190940</v>
      </c>
      <c r="O46" s="42">
        <v>156287</v>
      </c>
      <c r="P46" s="42">
        <v>159759</v>
      </c>
      <c r="Q46" s="42">
        <v>306189</v>
      </c>
      <c r="R46" s="42">
        <v>724708</v>
      </c>
    </row>
    <row r="47" spans="1:18">
      <c r="A47" s="473">
        <v>4001122560</v>
      </c>
      <c r="B47" s="473" t="s">
        <v>216</v>
      </c>
      <c r="C47" s="473" t="s">
        <v>112</v>
      </c>
      <c r="D47" s="42">
        <v>162597.59241000001</v>
      </c>
      <c r="E47" s="42">
        <v>89610</v>
      </c>
      <c r="F47" s="42">
        <v>125676</v>
      </c>
      <c r="G47" s="42">
        <v>73051</v>
      </c>
      <c r="H47" s="42">
        <v>14210</v>
      </c>
      <c r="I47" s="42">
        <v>76462</v>
      </c>
      <c r="J47" s="42">
        <v>139410</v>
      </c>
      <c r="K47" s="42">
        <v>155381</v>
      </c>
      <c r="L47" s="42">
        <v>40094</v>
      </c>
      <c r="M47" s="42">
        <v>65774</v>
      </c>
      <c r="N47" s="42">
        <v>46901</v>
      </c>
      <c r="O47" s="42">
        <v>220415</v>
      </c>
      <c r="P47" s="42">
        <v>116798</v>
      </c>
      <c r="Q47" s="42">
        <v>93683</v>
      </c>
      <c r="R47" s="42">
        <v>51164</v>
      </c>
    </row>
    <row r="48" spans="1:18">
      <c r="A48" s="473">
        <v>4001190690</v>
      </c>
      <c r="B48" s="473" t="s">
        <v>215</v>
      </c>
      <c r="C48" s="473" t="s">
        <v>112</v>
      </c>
      <c r="D48" s="42">
        <v>1656156.325</v>
      </c>
      <c r="E48" s="42">
        <v>1718119</v>
      </c>
      <c r="F48" s="42">
        <v>1607837</v>
      </c>
      <c r="G48" s="42">
        <v>1765890</v>
      </c>
      <c r="H48" s="42">
        <v>2403968</v>
      </c>
      <c r="I48" s="42">
        <v>2516302</v>
      </c>
      <c r="J48" s="42">
        <v>2019306</v>
      </c>
      <c r="K48" s="42">
        <v>1426657</v>
      </c>
      <c r="L48" s="42">
        <v>1240487</v>
      </c>
      <c r="M48" s="42">
        <v>978443</v>
      </c>
      <c r="N48" s="42">
        <v>691181</v>
      </c>
      <c r="O48" s="42">
        <v>761929</v>
      </c>
      <c r="P48" s="42">
        <v>1030159</v>
      </c>
      <c r="Q48" s="42">
        <v>1597367</v>
      </c>
      <c r="R48" s="42">
        <v>2015493</v>
      </c>
    </row>
    <row r="49" spans="1:18">
      <c r="A49" s="473">
        <v>4001122680</v>
      </c>
      <c r="B49" s="473" t="s">
        <v>214</v>
      </c>
      <c r="C49" s="473" t="s">
        <v>112</v>
      </c>
      <c r="D49" s="42"/>
      <c r="E49" s="42"/>
      <c r="F49" s="42"/>
      <c r="G49" s="42"/>
      <c r="H49" s="42"/>
      <c r="I49" s="42"/>
      <c r="J49" s="42"/>
      <c r="K49" s="42"/>
      <c r="L49" s="42"/>
      <c r="M49" s="42"/>
      <c r="N49" s="42"/>
      <c r="O49" s="42"/>
      <c r="P49" s="42"/>
      <c r="Q49" s="42"/>
      <c r="R49" s="42"/>
    </row>
    <row r="50" spans="1:18">
      <c r="A50" s="473">
        <v>4001190450</v>
      </c>
      <c r="B50" s="473" t="s">
        <v>213</v>
      </c>
      <c r="C50" s="473" t="s">
        <v>112</v>
      </c>
      <c r="D50" s="42">
        <v>1365959.70361</v>
      </c>
      <c r="E50" s="42">
        <v>1735506</v>
      </c>
      <c r="F50" s="42">
        <v>1841137</v>
      </c>
      <c r="G50" s="42">
        <v>2623048</v>
      </c>
      <c r="H50" s="42">
        <v>3216531</v>
      </c>
      <c r="I50" s="42">
        <v>3384166</v>
      </c>
      <c r="J50" s="42">
        <v>2999222</v>
      </c>
      <c r="K50" s="42">
        <v>2739926</v>
      </c>
      <c r="L50" s="42">
        <v>2901878</v>
      </c>
      <c r="M50" s="42">
        <v>2741123</v>
      </c>
      <c r="N50" s="42">
        <v>2705171</v>
      </c>
      <c r="O50" s="42">
        <v>2594756</v>
      </c>
      <c r="P50" s="42">
        <v>2230034</v>
      </c>
      <c r="Q50" s="42">
        <v>2902333</v>
      </c>
      <c r="R50" s="42">
        <v>2672197</v>
      </c>
    </row>
    <row r="51" spans="1:18">
      <c r="A51" s="473">
        <v>4001190460</v>
      </c>
      <c r="B51" s="473" t="s">
        <v>212</v>
      </c>
      <c r="C51" s="473" t="s">
        <v>112</v>
      </c>
      <c r="D51" s="42">
        <v>548205.27083000005</v>
      </c>
      <c r="E51" s="42">
        <v>897323</v>
      </c>
      <c r="F51" s="42">
        <v>847563</v>
      </c>
      <c r="G51" s="42">
        <v>1047146</v>
      </c>
      <c r="H51" s="42">
        <v>1346313</v>
      </c>
      <c r="I51" s="42">
        <v>1735733</v>
      </c>
      <c r="J51" s="42">
        <v>1536389</v>
      </c>
      <c r="K51" s="42">
        <v>1347463</v>
      </c>
      <c r="L51" s="42">
        <v>1347438</v>
      </c>
      <c r="M51" s="42">
        <v>1247435</v>
      </c>
      <c r="N51" s="42">
        <v>1536017</v>
      </c>
      <c r="O51" s="42">
        <v>1446183</v>
      </c>
      <c r="P51" s="42">
        <v>1017694</v>
      </c>
      <c r="Q51" s="42">
        <v>1207220</v>
      </c>
      <c r="R51" s="42">
        <v>928047</v>
      </c>
    </row>
    <row r="52" spans="1:18">
      <c r="A52" s="473">
        <v>4001190470</v>
      </c>
      <c r="B52" s="473" t="s">
        <v>211</v>
      </c>
      <c r="C52" s="473" t="s">
        <v>112</v>
      </c>
      <c r="D52" s="42">
        <v>77705.064180000001</v>
      </c>
      <c r="E52" s="42">
        <v>181197</v>
      </c>
      <c r="F52" s="42">
        <v>223380</v>
      </c>
      <c r="G52" s="42">
        <v>601358</v>
      </c>
      <c r="H52" s="42">
        <v>614570</v>
      </c>
      <c r="I52" s="42">
        <v>459873</v>
      </c>
      <c r="J52" s="42">
        <v>431693</v>
      </c>
      <c r="K52" s="42">
        <v>348102</v>
      </c>
      <c r="L52" s="42">
        <v>458363</v>
      </c>
      <c r="M52" s="42">
        <v>503417</v>
      </c>
      <c r="N52" s="42">
        <v>266197</v>
      </c>
      <c r="O52" s="42">
        <v>163871</v>
      </c>
      <c r="P52" s="42">
        <v>193531</v>
      </c>
      <c r="Q52" s="42">
        <v>563609</v>
      </c>
      <c r="R52" s="42">
        <v>598212</v>
      </c>
    </row>
    <row r="53" spans="1:18">
      <c r="A53" s="473">
        <v>4001190480</v>
      </c>
      <c r="B53" s="473" t="s">
        <v>210</v>
      </c>
      <c r="C53" s="473" t="s">
        <v>112</v>
      </c>
      <c r="D53" s="42">
        <v>24383.574820000002</v>
      </c>
      <c r="E53" s="42">
        <v>30792</v>
      </c>
      <c r="F53" s="42">
        <v>18415</v>
      </c>
      <c r="G53" s="42">
        <v>37262</v>
      </c>
      <c r="H53" s="42">
        <v>66066</v>
      </c>
      <c r="I53" s="42">
        <v>71042</v>
      </c>
      <c r="J53" s="42">
        <v>83349</v>
      </c>
      <c r="K53" s="42">
        <v>100094</v>
      </c>
      <c r="L53" s="42">
        <v>113404</v>
      </c>
      <c r="M53" s="42">
        <v>111507</v>
      </c>
      <c r="N53" s="42">
        <v>125844</v>
      </c>
      <c r="O53" s="42">
        <v>138288</v>
      </c>
      <c r="P53" s="42">
        <v>141282</v>
      </c>
      <c r="Q53" s="42">
        <v>128164</v>
      </c>
      <c r="R53" s="42">
        <v>185794</v>
      </c>
    </row>
    <row r="54" spans="1:18">
      <c r="A54" s="473">
        <v>4001190500</v>
      </c>
      <c r="B54" s="473" t="s">
        <v>209</v>
      </c>
      <c r="C54" s="473" t="s">
        <v>112</v>
      </c>
      <c r="D54" s="42">
        <v>296209.652</v>
      </c>
      <c r="E54" s="42">
        <v>243814</v>
      </c>
      <c r="F54" s="42">
        <v>227160</v>
      </c>
      <c r="G54" s="42">
        <v>335411</v>
      </c>
      <c r="H54" s="42">
        <v>424072</v>
      </c>
      <c r="I54" s="42">
        <v>524501</v>
      </c>
      <c r="J54" s="42">
        <v>452824</v>
      </c>
      <c r="K54" s="42">
        <v>450026</v>
      </c>
      <c r="L54" s="42">
        <v>425499</v>
      </c>
      <c r="M54" s="42">
        <v>394795</v>
      </c>
      <c r="N54" s="42">
        <v>306923</v>
      </c>
      <c r="O54" s="42">
        <v>282557</v>
      </c>
      <c r="P54" s="42">
        <v>277182</v>
      </c>
      <c r="Q54" s="42">
        <v>360027</v>
      </c>
      <c r="R54" s="42">
        <v>322773</v>
      </c>
    </row>
    <row r="55" spans="1:18">
      <c r="A55" s="473">
        <v>4001190570</v>
      </c>
      <c r="B55" s="473" t="s">
        <v>208</v>
      </c>
      <c r="C55" s="473" t="s">
        <v>112</v>
      </c>
      <c r="D55" s="42">
        <v>214144.90599999999</v>
      </c>
      <c r="E55" s="42">
        <v>89176</v>
      </c>
      <c r="F55" s="42">
        <v>189585</v>
      </c>
      <c r="G55" s="42">
        <v>233786</v>
      </c>
      <c r="H55" s="42">
        <v>338759</v>
      </c>
      <c r="I55" s="42">
        <v>177686</v>
      </c>
      <c r="J55" s="42">
        <v>40539</v>
      </c>
      <c r="K55" s="42">
        <v>21555</v>
      </c>
      <c r="L55" s="42">
        <v>38325</v>
      </c>
      <c r="M55" s="42">
        <v>35774</v>
      </c>
      <c r="N55" s="42">
        <v>40015</v>
      </c>
      <c r="O55" s="42">
        <v>49373</v>
      </c>
      <c r="P55" s="42">
        <v>44047</v>
      </c>
      <c r="Q55" s="42">
        <v>50591</v>
      </c>
      <c r="R55" s="42">
        <v>70661</v>
      </c>
    </row>
    <row r="56" spans="1:18">
      <c r="A56" s="473">
        <v>4001121280</v>
      </c>
      <c r="B56" s="473" t="s">
        <v>207</v>
      </c>
      <c r="C56" s="473" t="s">
        <v>112</v>
      </c>
      <c r="D56" s="42">
        <v>192621.23555000001</v>
      </c>
      <c r="E56" s="42">
        <v>279470</v>
      </c>
      <c r="F56" s="42">
        <v>322685</v>
      </c>
      <c r="G56" s="42">
        <v>351774</v>
      </c>
      <c r="H56" s="42">
        <v>405840</v>
      </c>
      <c r="I56" s="42">
        <v>387952</v>
      </c>
      <c r="J56" s="42">
        <v>429994</v>
      </c>
      <c r="K56" s="42">
        <v>404869</v>
      </c>
      <c r="L56" s="42">
        <v>451076</v>
      </c>
      <c r="M56" s="42">
        <v>388254</v>
      </c>
      <c r="N56" s="42">
        <v>360192</v>
      </c>
      <c r="O56" s="42">
        <v>463976</v>
      </c>
      <c r="P56" s="42">
        <v>500797</v>
      </c>
      <c r="Q56" s="42">
        <v>515090</v>
      </c>
      <c r="R56" s="42">
        <v>483103</v>
      </c>
    </row>
    <row r="57" spans="1:18">
      <c r="A57" s="473">
        <v>4001121380</v>
      </c>
      <c r="B57" s="473" t="s">
        <v>206</v>
      </c>
      <c r="C57" s="473" t="s">
        <v>112</v>
      </c>
      <c r="D57" s="42"/>
      <c r="E57" s="42"/>
      <c r="F57" s="42">
        <v>125</v>
      </c>
      <c r="G57" s="42">
        <v>3397</v>
      </c>
      <c r="H57" s="42">
        <v>3721</v>
      </c>
      <c r="I57" s="42">
        <v>2912</v>
      </c>
      <c r="J57" s="42">
        <v>4187</v>
      </c>
      <c r="K57" s="42">
        <v>10380</v>
      </c>
      <c r="L57" s="42">
        <v>8357</v>
      </c>
      <c r="M57" s="42">
        <v>3185</v>
      </c>
      <c r="N57" s="42">
        <v>13633</v>
      </c>
      <c r="O57" s="42">
        <v>3057</v>
      </c>
      <c r="P57" s="42">
        <v>5819</v>
      </c>
      <c r="Q57" s="42">
        <v>20049</v>
      </c>
      <c r="R57" s="42">
        <v>31608</v>
      </c>
    </row>
    <row r="58" spans="1:18">
      <c r="A58" s="473">
        <v>4001181370</v>
      </c>
      <c r="B58" s="473" t="s">
        <v>205</v>
      </c>
      <c r="C58" s="473" t="s">
        <v>112</v>
      </c>
      <c r="D58" s="42"/>
      <c r="E58" s="42"/>
      <c r="F58" s="42"/>
      <c r="G58" s="42"/>
      <c r="H58" s="42"/>
      <c r="I58" s="42"/>
      <c r="J58" s="42"/>
      <c r="K58" s="42"/>
      <c r="L58" s="42"/>
      <c r="M58" s="42"/>
      <c r="N58" s="42"/>
      <c r="O58" s="42"/>
      <c r="P58" s="42"/>
      <c r="Q58" s="42"/>
      <c r="R58" s="42"/>
    </row>
    <row r="59" spans="1:18">
      <c r="A59" s="473">
        <v>4001121401</v>
      </c>
      <c r="B59" s="473" t="s">
        <v>204</v>
      </c>
      <c r="C59" s="473" t="s">
        <v>112</v>
      </c>
      <c r="D59" s="42"/>
      <c r="E59" s="42"/>
      <c r="F59" s="42"/>
      <c r="G59" s="42"/>
      <c r="H59" s="42"/>
      <c r="I59" s="42"/>
      <c r="J59" s="42"/>
      <c r="K59" s="42"/>
      <c r="L59" s="42"/>
      <c r="M59" s="42"/>
      <c r="N59" s="42"/>
      <c r="O59" s="42"/>
      <c r="P59" s="42"/>
      <c r="Q59" s="42"/>
      <c r="R59" s="42"/>
    </row>
    <row r="60" spans="1:18">
      <c r="A60" s="473">
        <v>4001121402</v>
      </c>
      <c r="B60" s="473" t="s">
        <v>203</v>
      </c>
      <c r="C60" s="473" t="s">
        <v>112</v>
      </c>
      <c r="D60" s="42"/>
      <c r="E60" s="42"/>
      <c r="F60" s="42"/>
      <c r="G60" s="42"/>
      <c r="H60" s="42"/>
      <c r="I60" s="42"/>
      <c r="J60" s="42"/>
      <c r="K60" s="42"/>
      <c r="L60" s="42"/>
      <c r="M60" s="42"/>
      <c r="N60" s="42"/>
      <c r="O60" s="42"/>
      <c r="P60" s="42"/>
      <c r="Q60" s="42"/>
      <c r="R60" s="42"/>
    </row>
    <row r="61" spans="1:18">
      <c r="A61" s="473">
        <v>4001121403</v>
      </c>
      <c r="B61" s="473" t="s">
        <v>202</v>
      </c>
      <c r="C61" s="473" t="s">
        <v>112</v>
      </c>
      <c r="D61" s="42"/>
      <c r="E61" s="42"/>
      <c r="F61" s="42"/>
      <c r="G61" s="42"/>
      <c r="H61" s="42"/>
      <c r="I61" s="42"/>
      <c r="J61" s="42"/>
      <c r="K61" s="42"/>
      <c r="L61" s="42"/>
      <c r="M61" s="42"/>
      <c r="N61" s="42"/>
      <c r="O61" s="42"/>
      <c r="P61" s="42"/>
      <c r="Q61" s="42"/>
      <c r="R61" s="42"/>
    </row>
    <row r="62" spans="1:18">
      <c r="A62" s="473">
        <v>4001190580</v>
      </c>
      <c r="B62" s="473" t="s">
        <v>201</v>
      </c>
      <c r="C62" s="473" t="s">
        <v>112</v>
      </c>
      <c r="D62" s="42">
        <v>12690</v>
      </c>
      <c r="E62" s="42">
        <v>13734</v>
      </c>
      <c r="F62" s="42">
        <v>12224</v>
      </c>
      <c r="G62" s="42">
        <v>12914</v>
      </c>
      <c r="H62" s="42">
        <v>17190</v>
      </c>
      <c r="I62" s="42">
        <v>24467</v>
      </c>
      <c r="J62" s="42">
        <v>20247</v>
      </c>
      <c r="K62" s="42">
        <v>57437</v>
      </c>
      <c r="L62" s="42">
        <v>59416</v>
      </c>
      <c r="M62" s="42">
        <v>56756</v>
      </c>
      <c r="N62" s="42">
        <v>56350</v>
      </c>
      <c r="O62" s="42">
        <v>47451</v>
      </c>
      <c r="P62" s="42">
        <v>49682</v>
      </c>
      <c r="Q62" s="42">
        <v>57583</v>
      </c>
      <c r="R62" s="42">
        <v>51999</v>
      </c>
    </row>
    <row r="63" spans="1:18">
      <c r="A63" s="473">
        <v>4001121620</v>
      </c>
      <c r="B63" s="473" t="s">
        <v>200</v>
      </c>
      <c r="C63" s="473" t="s">
        <v>112</v>
      </c>
      <c r="D63" s="42"/>
      <c r="E63" s="42"/>
      <c r="F63" s="42"/>
      <c r="G63" s="42"/>
      <c r="H63" s="42"/>
      <c r="I63" s="42"/>
      <c r="J63" s="42"/>
      <c r="K63" s="42"/>
      <c r="L63" s="42"/>
      <c r="M63" s="42"/>
      <c r="N63" s="42"/>
      <c r="O63" s="42"/>
      <c r="P63" s="42"/>
      <c r="Q63" s="42"/>
      <c r="R63" s="42"/>
    </row>
    <row r="64" spans="1:18">
      <c r="A64" s="473">
        <v>4001190380</v>
      </c>
      <c r="B64" s="473" t="s">
        <v>199</v>
      </c>
      <c r="C64" s="473" t="s">
        <v>112</v>
      </c>
      <c r="D64" s="42">
        <v>3938381.5035999999</v>
      </c>
      <c r="E64" s="42">
        <v>4363474</v>
      </c>
      <c r="F64" s="42">
        <v>4755936</v>
      </c>
      <c r="G64" s="42">
        <v>5134244</v>
      </c>
      <c r="H64" s="42">
        <v>6787306</v>
      </c>
      <c r="I64" s="42">
        <v>7390638</v>
      </c>
      <c r="J64" s="42">
        <v>8124645</v>
      </c>
      <c r="K64" s="42">
        <v>8472938</v>
      </c>
      <c r="L64" s="42">
        <v>8291856</v>
      </c>
      <c r="M64" s="42">
        <v>8714982</v>
      </c>
      <c r="N64" s="42">
        <v>8766378</v>
      </c>
      <c r="O64" s="42">
        <v>9429291</v>
      </c>
      <c r="P64" s="42">
        <v>9924277</v>
      </c>
      <c r="Q64" s="42">
        <v>10455515</v>
      </c>
      <c r="R64" s="42">
        <v>9669413</v>
      </c>
    </row>
    <row r="65" spans="1:18">
      <c r="A65" s="473">
        <v>4001130010</v>
      </c>
      <c r="B65" s="473" t="s">
        <v>198</v>
      </c>
      <c r="C65" s="473" t="s">
        <v>193</v>
      </c>
      <c r="D65" s="42">
        <v>7000000000</v>
      </c>
      <c r="E65" s="42">
        <v>7000000000</v>
      </c>
      <c r="F65" s="42">
        <v>7000000000</v>
      </c>
      <c r="G65" s="42">
        <v>7000000000</v>
      </c>
      <c r="H65" s="42">
        <v>7000000000</v>
      </c>
      <c r="I65" s="42">
        <v>7000000000</v>
      </c>
      <c r="J65" s="42">
        <v>7000000000</v>
      </c>
      <c r="K65" s="42">
        <v>7000000000</v>
      </c>
      <c r="L65" s="42">
        <v>7000000000</v>
      </c>
      <c r="M65" s="42">
        <v>7000000000</v>
      </c>
      <c r="N65" s="42">
        <v>7000000000</v>
      </c>
      <c r="O65" s="42">
        <v>7000000000</v>
      </c>
      <c r="P65" s="42">
        <v>7000000000</v>
      </c>
      <c r="Q65" s="42">
        <v>7000000000</v>
      </c>
      <c r="R65" s="42">
        <v>7000000000</v>
      </c>
    </row>
    <row r="66" spans="1:18">
      <c r="A66" s="473">
        <v>4001130020</v>
      </c>
      <c r="B66" s="473" t="s">
        <v>197</v>
      </c>
      <c r="C66" s="473" t="s">
        <v>109</v>
      </c>
      <c r="D66" s="42">
        <v>5000</v>
      </c>
      <c r="E66" s="42">
        <v>5000</v>
      </c>
      <c r="F66" s="42">
        <v>5000</v>
      </c>
      <c r="G66" s="42">
        <v>5000</v>
      </c>
      <c r="H66" s="42">
        <v>5000</v>
      </c>
      <c r="I66" s="42">
        <v>5000</v>
      </c>
      <c r="J66" s="42">
        <v>5000</v>
      </c>
      <c r="K66" s="42">
        <v>5000</v>
      </c>
      <c r="L66" s="42">
        <v>5000</v>
      </c>
      <c r="M66" s="42">
        <v>5000</v>
      </c>
      <c r="N66" s="42">
        <v>5000</v>
      </c>
      <c r="O66" s="42">
        <v>5000</v>
      </c>
      <c r="P66" s="42">
        <v>5000</v>
      </c>
      <c r="Q66" s="42">
        <v>5000</v>
      </c>
      <c r="R66" s="42">
        <v>5000</v>
      </c>
    </row>
    <row r="67" spans="1:18">
      <c r="A67" s="473">
        <v>4001130030</v>
      </c>
      <c r="B67" s="473" t="s">
        <v>196</v>
      </c>
      <c r="C67" s="473" t="s">
        <v>193</v>
      </c>
      <c r="D67" s="42">
        <v>111454621</v>
      </c>
      <c r="E67" s="42">
        <v>111454621</v>
      </c>
      <c r="F67" s="42">
        <v>111454621</v>
      </c>
      <c r="G67" s="42">
        <v>111454621</v>
      </c>
      <c r="H67" s="42">
        <v>111454621</v>
      </c>
      <c r="I67" s="42">
        <v>111454621</v>
      </c>
      <c r="J67" s="42">
        <v>111454621</v>
      </c>
      <c r="K67" s="42">
        <v>111454621</v>
      </c>
      <c r="L67" s="42">
        <v>111454621</v>
      </c>
      <c r="M67" s="42">
        <v>111454621</v>
      </c>
      <c r="N67" s="42">
        <v>111454621</v>
      </c>
      <c r="O67" s="42">
        <v>112410458</v>
      </c>
      <c r="P67" s="42">
        <v>112410458</v>
      </c>
      <c r="Q67" s="42">
        <v>112410458</v>
      </c>
      <c r="R67" s="42">
        <v>112410458</v>
      </c>
    </row>
    <row r="68" spans="1:18">
      <c r="A68" s="473">
        <v>4001130040</v>
      </c>
      <c r="B68" s="473" t="s">
        <v>195</v>
      </c>
      <c r="C68" s="473" t="s">
        <v>193</v>
      </c>
      <c r="D68" s="42">
        <v>111355765</v>
      </c>
      <c r="E68" s="42">
        <v>111355765</v>
      </c>
      <c r="F68" s="42">
        <v>111355765</v>
      </c>
      <c r="G68" s="42">
        <v>111355765</v>
      </c>
      <c r="H68" s="42">
        <v>111355765</v>
      </c>
      <c r="I68" s="42">
        <v>111355765</v>
      </c>
      <c r="J68" s="42">
        <v>111355765</v>
      </c>
      <c r="K68" s="42">
        <v>111355765</v>
      </c>
      <c r="L68" s="42">
        <v>111355765</v>
      </c>
      <c r="M68" s="42">
        <v>111355765</v>
      </c>
      <c r="N68" s="42">
        <v>111355765</v>
      </c>
      <c r="O68" s="42">
        <v>111355765</v>
      </c>
      <c r="P68" s="42">
        <v>111355765</v>
      </c>
      <c r="Q68" s="42">
        <v>111355765</v>
      </c>
      <c r="R68" s="42">
        <v>111355765</v>
      </c>
    </row>
    <row r="69" spans="1:18">
      <c r="A69" s="473">
        <v>4001130050</v>
      </c>
      <c r="B69" s="473" t="s">
        <v>194</v>
      </c>
      <c r="C69" s="473" t="s">
        <v>193</v>
      </c>
      <c r="D69" s="42">
        <v>98856</v>
      </c>
      <c r="E69" s="42">
        <v>98856</v>
      </c>
      <c r="F69" s="42">
        <v>98856</v>
      </c>
      <c r="G69" s="42">
        <v>98856</v>
      </c>
      <c r="H69" s="42">
        <v>98856</v>
      </c>
      <c r="I69" s="42">
        <v>98856</v>
      </c>
      <c r="J69" s="42">
        <v>98856</v>
      </c>
      <c r="K69" s="42">
        <v>98856</v>
      </c>
      <c r="L69" s="42">
        <v>98856</v>
      </c>
      <c r="M69" s="42">
        <v>98856</v>
      </c>
      <c r="N69" s="42">
        <v>98856</v>
      </c>
      <c r="O69" s="42">
        <v>1054693</v>
      </c>
      <c r="P69" s="42">
        <v>1054693</v>
      </c>
      <c r="Q69" s="42">
        <v>1054693</v>
      </c>
      <c r="R69" s="42">
        <v>1054693</v>
      </c>
    </row>
    <row r="70" spans="1:18">
      <c r="A70" s="473">
        <v>4001190390</v>
      </c>
      <c r="B70" s="473" t="s">
        <v>192</v>
      </c>
      <c r="C70" s="473" t="s">
        <v>112</v>
      </c>
      <c r="D70" s="42">
        <v>3827806.1704799999</v>
      </c>
      <c r="E70" s="42">
        <v>4203075</v>
      </c>
      <c r="F70" s="42">
        <v>4548542</v>
      </c>
      <c r="G70" s="42">
        <v>4822604</v>
      </c>
      <c r="H70" s="42">
        <v>5291515</v>
      </c>
      <c r="I70" s="42">
        <v>5720294</v>
      </c>
      <c r="J70" s="42">
        <v>6329025</v>
      </c>
      <c r="K70" s="42">
        <v>6467646</v>
      </c>
      <c r="L70" s="42">
        <v>6274094</v>
      </c>
      <c r="M70" s="42">
        <v>6662556</v>
      </c>
      <c r="N70" s="42">
        <v>6631752</v>
      </c>
      <c r="O70" s="42">
        <v>7216737</v>
      </c>
      <c r="P70" s="42">
        <v>7686677</v>
      </c>
      <c r="Q70" s="42">
        <v>8136651</v>
      </c>
      <c r="R70" s="42">
        <v>8025410</v>
      </c>
    </row>
    <row r="71" spans="1:18">
      <c r="A71" s="473">
        <v>4001130070</v>
      </c>
      <c r="B71" s="473" t="s">
        <v>191</v>
      </c>
      <c r="C71" s="473" t="s">
        <v>112</v>
      </c>
      <c r="D71" s="42">
        <v>557273.10499999998</v>
      </c>
      <c r="E71" s="42">
        <v>557273</v>
      </c>
      <c r="F71" s="42">
        <v>557273</v>
      </c>
      <c r="G71" s="42">
        <v>557273</v>
      </c>
      <c r="H71" s="42">
        <v>557273</v>
      </c>
      <c r="I71" s="42">
        <v>557273</v>
      </c>
      <c r="J71" s="42">
        <v>557273</v>
      </c>
      <c r="K71" s="42">
        <v>557273</v>
      </c>
      <c r="L71" s="42">
        <v>557273</v>
      </c>
      <c r="M71" s="42">
        <v>557273</v>
      </c>
      <c r="N71" s="42">
        <v>557273</v>
      </c>
      <c r="O71" s="42">
        <v>562052</v>
      </c>
      <c r="P71" s="42">
        <v>562052</v>
      </c>
      <c r="Q71" s="42">
        <v>562052</v>
      </c>
      <c r="R71" s="42">
        <v>562052</v>
      </c>
    </row>
    <row r="72" spans="1:18">
      <c r="A72" s="473">
        <v>4001130670</v>
      </c>
      <c r="B72" s="473" t="s">
        <v>190</v>
      </c>
      <c r="C72" s="473" t="s">
        <v>112</v>
      </c>
      <c r="D72" s="42"/>
      <c r="E72" s="42"/>
      <c r="F72" s="42"/>
      <c r="G72" s="42"/>
      <c r="H72" s="42"/>
      <c r="I72" s="42"/>
      <c r="J72" s="42"/>
      <c r="K72" s="42"/>
      <c r="L72" s="42"/>
      <c r="M72" s="42"/>
      <c r="N72" s="42"/>
      <c r="O72" s="42"/>
      <c r="P72" s="42"/>
      <c r="Q72" s="42"/>
      <c r="R72" s="42"/>
    </row>
    <row r="73" spans="1:18">
      <c r="A73" s="473">
        <v>4001190400</v>
      </c>
      <c r="B73" s="473" t="s">
        <v>189</v>
      </c>
      <c r="C73" s="473" t="s">
        <v>112</v>
      </c>
      <c r="D73" s="42">
        <v>828180.76399999997</v>
      </c>
      <c r="E73" s="42">
        <v>828181</v>
      </c>
      <c r="F73" s="42">
        <v>830340</v>
      </c>
      <c r="G73" s="42">
        <v>830581</v>
      </c>
      <c r="H73" s="42">
        <v>1028803</v>
      </c>
      <c r="I73" s="42">
        <v>1039685</v>
      </c>
      <c r="J73" s="42">
        <v>1039685</v>
      </c>
      <c r="K73" s="42">
        <v>1032412</v>
      </c>
      <c r="L73" s="42">
        <v>1003641</v>
      </c>
      <c r="M73" s="42">
        <v>1019475</v>
      </c>
      <c r="N73" s="42">
        <v>1019169</v>
      </c>
      <c r="O73" s="42">
        <v>1098158</v>
      </c>
      <c r="P73" s="42">
        <v>1095324</v>
      </c>
      <c r="Q73" s="42">
        <v>1095324</v>
      </c>
      <c r="R73" s="42">
        <v>1095310</v>
      </c>
    </row>
    <row r="74" spans="1:18">
      <c r="A74" s="473">
        <v>4001190420</v>
      </c>
      <c r="B74" s="473" t="s">
        <v>188</v>
      </c>
      <c r="C74" s="473" t="s">
        <v>112</v>
      </c>
      <c r="D74" s="42">
        <v>-5372</v>
      </c>
      <c r="E74" s="42">
        <v>-5372</v>
      </c>
      <c r="F74" s="42">
        <v>-4166</v>
      </c>
      <c r="G74" s="42">
        <v>-4261</v>
      </c>
      <c r="H74" s="42">
        <v>-4261</v>
      </c>
      <c r="I74" s="42">
        <v>-4261</v>
      </c>
      <c r="J74" s="42">
        <v>-4261</v>
      </c>
      <c r="K74" s="42">
        <v>-4261</v>
      </c>
      <c r="L74" s="42">
        <v>-5711</v>
      </c>
      <c r="M74" s="42">
        <v>-5711</v>
      </c>
      <c r="N74" s="42">
        <v>-5711</v>
      </c>
      <c r="O74" s="42">
        <v>-5711</v>
      </c>
      <c r="P74" s="42">
        <v>-5711</v>
      </c>
      <c r="Q74" s="42">
        <v>-5711</v>
      </c>
      <c r="R74" s="42">
        <v>-5711</v>
      </c>
    </row>
    <row r="75" spans="1:18">
      <c r="A75" s="473">
        <v>4001130360</v>
      </c>
      <c r="B75" s="473" t="s">
        <v>187</v>
      </c>
      <c r="C75" s="473" t="s">
        <v>112</v>
      </c>
      <c r="D75" s="42">
        <v>307929.27899999998</v>
      </c>
      <c r="E75" s="42">
        <v>148268</v>
      </c>
      <c r="F75" s="42">
        <v>85856</v>
      </c>
      <c r="G75" s="42">
        <v>-20520</v>
      </c>
      <c r="H75" s="42">
        <v>11366</v>
      </c>
      <c r="I75" s="42">
        <v>40406</v>
      </c>
      <c r="J75" s="42">
        <v>114516</v>
      </c>
      <c r="K75" s="42">
        <v>68973</v>
      </c>
      <c r="L75" s="42">
        <v>-267546</v>
      </c>
      <c r="M75" s="42">
        <v>-233700</v>
      </c>
      <c r="N75" s="42">
        <v>-239802</v>
      </c>
      <c r="O75" s="42">
        <v>-77723</v>
      </c>
      <c r="P75" s="42">
        <v>25873</v>
      </c>
      <c r="Q75" s="42">
        <v>64766</v>
      </c>
      <c r="R75" s="42">
        <v>243529</v>
      </c>
    </row>
    <row r="76" spans="1:18">
      <c r="A76" s="473">
        <v>4001130470</v>
      </c>
      <c r="B76" s="473" t="s">
        <v>186</v>
      </c>
      <c r="C76" s="473" t="s">
        <v>112</v>
      </c>
      <c r="D76" s="42">
        <v>2139795.0231599999</v>
      </c>
      <c r="E76" s="42">
        <v>2674725</v>
      </c>
      <c r="F76" s="42">
        <v>3079239</v>
      </c>
      <c r="G76" s="42">
        <v>3459531</v>
      </c>
      <c r="H76" s="42">
        <v>3698334</v>
      </c>
      <c r="I76" s="42">
        <v>4087191</v>
      </c>
      <c r="J76" s="42">
        <v>4621812</v>
      </c>
      <c r="K76" s="42">
        <v>4813249</v>
      </c>
      <c r="L76" s="42">
        <v>4986437</v>
      </c>
      <c r="M76" s="42">
        <v>5325219</v>
      </c>
      <c r="N76" s="42">
        <v>5300823</v>
      </c>
      <c r="O76" s="42">
        <v>5639961</v>
      </c>
      <c r="P76" s="42">
        <v>6009139</v>
      </c>
      <c r="Q76" s="42">
        <v>6420220</v>
      </c>
      <c r="R76" s="42">
        <v>6130230</v>
      </c>
    </row>
    <row r="77" spans="1:18">
      <c r="A77" s="473">
        <v>4001130640</v>
      </c>
      <c r="B77" s="473" t="s">
        <v>185</v>
      </c>
      <c r="C77" s="473" t="s">
        <v>112</v>
      </c>
      <c r="D77" s="42">
        <v>110575.33313</v>
      </c>
      <c r="E77" s="42">
        <v>160399</v>
      </c>
      <c r="F77" s="42">
        <v>207394</v>
      </c>
      <c r="G77" s="42">
        <v>311640</v>
      </c>
      <c r="H77" s="42">
        <v>1495791</v>
      </c>
      <c r="I77" s="42">
        <v>1670344</v>
      </c>
      <c r="J77" s="42">
        <v>1795620</v>
      </c>
      <c r="K77" s="42">
        <v>2005292</v>
      </c>
      <c r="L77" s="42">
        <v>2017762</v>
      </c>
      <c r="M77" s="42">
        <v>2052426</v>
      </c>
      <c r="N77" s="42">
        <v>2134626</v>
      </c>
      <c r="O77" s="42">
        <v>2212554</v>
      </c>
      <c r="P77" s="42">
        <v>2237600</v>
      </c>
      <c r="Q77" s="42">
        <v>2318864</v>
      </c>
      <c r="R77" s="42">
        <v>1644003</v>
      </c>
    </row>
    <row r="78" spans="1:18">
      <c r="A78" s="55"/>
      <c r="B78" s="55"/>
      <c r="C78" s="55"/>
      <c r="D78" s="19"/>
      <c r="E78" s="19"/>
      <c r="F78" s="19"/>
      <c r="G78" s="19"/>
      <c r="H78" s="19"/>
      <c r="I78" s="19"/>
      <c r="J78" s="19"/>
      <c r="K78" s="19"/>
      <c r="L78" s="19"/>
      <c r="M78" s="19"/>
      <c r="N78" s="19"/>
      <c r="O78" s="19"/>
      <c r="P78" s="19"/>
      <c r="Q78" s="19"/>
      <c r="R78" s="19"/>
    </row>
    <row r="79" spans="1:18">
      <c r="D79" s="54"/>
      <c r="E79" s="54"/>
      <c r="F79" s="54"/>
      <c r="G79" s="54"/>
      <c r="H79" s="54"/>
      <c r="I79" s="54"/>
      <c r="J79" s="54"/>
      <c r="K79" s="54"/>
      <c r="L79" s="54"/>
      <c r="M79" s="54"/>
      <c r="N79" s="54"/>
      <c r="O79" s="54"/>
      <c r="P79" s="54"/>
      <c r="Q79" s="54"/>
      <c r="R79" s="54"/>
    </row>
    <row r="80" spans="1:18">
      <c r="D80" s="54"/>
      <c r="E80" s="54"/>
      <c r="F80" s="54"/>
      <c r="G80" s="54"/>
      <c r="H80" s="54"/>
      <c r="I80" s="54"/>
      <c r="J80" s="54"/>
      <c r="K80" s="54"/>
      <c r="L80" s="54"/>
      <c r="M80" s="54"/>
      <c r="N80" s="54"/>
      <c r="O80" s="54"/>
      <c r="P80" s="54"/>
      <c r="Q80" s="54"/>
      <c r="R80" s="54"/>
    </row>
    <row r="81" spans="4:18">
      <c r="D81" s="54"/>
      <c r="E81" s="54"/>
      <c r="F81" s="54"/>
      <c r="G81" s="54"/>
      <c r="H81" s="54"/>
      <c r="I81" s="54"/>
      <c r="J81" s="54"/>
      <c r="K81" s="54"/>
      <c r="L81" s="54"/>
      <c r="M81" s="54"/>
      <c r="N81" s="54"/>
      <c r="O81" s="54"/>
      <c r="P81" s="54"/>
      <c r="Q81" s="54"/>
      <c r="R81" s="54"/>
    </row>
  </sheetData>
  <phoneticPr fontId="2" type="noConversion"/>
  <dataValidations disablePrompts="1" count="7">
    <dataValidation type="list" allowBlank="1" showInputMessage="1" sqref="C9" xr:uid="{E3A2B978-435C-41B4-B90F-0190D39F9387}">
      <formula1>"1983,1984,1985,1986,1987,1988,1989,1990,1991,1992,1993,1994,1995,1996,1997,1998,1999,2000,2001,2002,2003,2004,2005,2006,2007,2008,2009,2010,2011,2012,2013,2014,2015,2016,2017,2018,2019,2020,2021,2022,2023,2024,2025,Current"</formula1>
    </dataValidation>
    <dataValidation type="list" allowBlank="1" showInputMessage="1" sqref="B9" xr:uid="{CD4CA42E-803E-458B-8E28-E74720D3FA5F}">
      <formula1>"1983,1984,1985,1986,1987,1988,1989,1990,1991,1992,1993,1994,1995,1996,1997,1998,1999,2000,2001,2002,2003,2004,2005,2006,2007,2008,2009,2010,2011,2012,2013,2014,2015,2016,2017,2018,2019,2020,2021,2022,2023,2024,2025"</formula1>
    </dataValidation>
    <dataValidation type="list" allowBlank="1" showInputMessage="1" sqref="B5" xr:uid="{061A1DBD-0D4E-4029-A774-471FC1C88AC2}">
      <formula1>"별도,연결"</formula1>
    </dataValidation>
    <dataValidation type="list" allowBlank="1" showInputMessage="1" sqref="C8" xr:uid="{6A4B7D1B-48C4-4980-BF70-7F4393601BDB}">
      <formula1>"천원,백만원,억원,십억원"</formula1>
    </dataValidation>
    <dataValidation type="list" allowBlank="1" showInputMessage="1" sqref="B8" xr:uid="{CE7EC4F8-B7AD-40CE-8A47-E301A7496399}">
      <formula1>"결산,누적분기,당분기"</formula1>
    </dataValidation>
    <dataValidation type="list" allowBlank="1" showInputMessage="1" sqref="B7" xr:uid="{D116C9DC-4981-48C5-B1B6-B60758D3ACA1}">
      <formula1>"상세(총액),상세(순액),요약,약식"</formula1>
    </dataValidation>
    <dataValidation type="list" allowBlank="1" showInputMessage="1" sqref="B6" xr:uid="{DDC231FE-3150-415E-B3A0-D8D20EA52AD2}">
      <formula1>"전체,재무상태표,손익계산서,현금흐름표,자본금변동표"</formula1>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FA3D3-0428-416C-B357-F371BF1B1A9E}">
  <dimension ref="A3:R61"/>
  <sheetViews>
    <sheetView showGridLines="0" workbookViewId="0"/>
  </sheetViews>
  <sheetFormatPr defaultColWidth="8.75" defaultRowHeight="18.75"/>
  <cols>
    <col min="1" max="1" width="10.25" style="1" bestFit="1" customWidth="1"/>
    <col min="2" max="2" width="47.625" style="1" bestFit="1" customWidth="1"/>
    <col min="3" max="3" width="12.25" style="1" bestFit="1" customWidth="1"/>
    <col min="4" max="4" width="8.875" style="1" bestFit="1" customWidth="1"/>
    <col min="5" max="5" width="9.25" style="1" bestFit="1" customWidth="1"/>
    <col min="6" max="6" width="8.875" style="1" bestFit="1" customWidth="1"/>
    <col min="7" max="7" width="9.25" style="1" bestFit="1" customWidth="1"/>
    <col min="8" max="8" width="8.875" style="1" bestFit="1" customWidth="1"/>
    <col min="9" max="9" width="9.25" style="1" bestFit="1" customWidth="1"/>
    <col min="10" max="10" width="8.875" style="1" bestFit="1" customWidth="1"/>
    <col min="11" max="11" width="9.25" style="1" bestFit="1" customWidth="1"/>
    <col min="12" max="13" width="8.875" style="1" bestFit="1" customWidth="1"/>
    <col min="14" max="18" width="9.25" style="1" bestFit="1" customWidth="1"/>
    <col min="19" max="16384" width="8.75" style="1"/>
  </cols>
  <sheetData>
    <row r="3" spans="1:18">
      <c r="A3" s="462" t="s">
        <v>184</v>
      </c>
      <c r="B3" s="462"/>
      <c r="C3" s="462"/>
      <c r="D3" s="462"/>
      <c r="E3" s="462"/>
      <c r="F3" s="462"/>
      <c r="G3" s="462"/>
      <c r="H3" s="462"/>
      <c r="I3" s="462"/>
      <c r="J3" s="462"/>
      <c r="K3" s="462"/>
      <c r="L3" s="462"/>
      <c r="M3" s="462"/>
      <c r="N3" s="462"/>
      <c r="O3" s="462"/>
      <c r="P3" s="462"/>
      <c r="Q3" s="462"/>
      <c r="R3" s="462"/>
    </row>
    <row r="4" spans="1:18">
      <c r="A4" s="463" t="s">
        <v>183</v>
      </c>
      <c r="B4" s="463" t="s">
        <v>928</v>
      </c>
      <c r="C4" s="463"/>
      <c r="D4" s="463"/>
      <c r="E4" s="463"/>
      <c r="F4" s="463"/>
      <c r="G4" s="463"/>
      <c r="H4" s="463"/>
      <c r="I4" s="463"/>
      <c r="J4" s="463"/>
      <c r="K4" s="463"/>
      <c r="L4" s="463"/>
      <c r="M4" s="463"/>
      <c r="N4" s="463"/>
      <c r="O4" s="463"/>
      <c r="P4" s="463"/>
      <c r="Q4" s="463"/>
      <c r="R4" s="463"/>
    </row>
    <row r="5" spans="1:18">
      <c r="A5" s="463" t="s">
        <v>181</v>
      </c>
      <c r="B5" s="464" t="s">
        <v>180</v>
      </c>
      <c r="C5" s="463" t="s">
        <v>179</v>
      </c>
      <c r="D5" s="463" t="s">
        <v>178</v>
      </c>
      <c r="E5" s="463"/>
      <c r="F5" s="463"/>
      <c r="G5" s="463"/>
      <c r="H5" s="463"/>
      <c r="I5" s="463"/>
      <c r="J5" s="463"/>
      <c r="K5" s="463"/>
      <c r="L5" s="463"/>
      <c r="M5" s="463"/>
      <c r="N5" s="463"/>
      <c r="O5" s="463"/>
      <c r="P5" s="463"/>
      <c r="Q5" s="463"/>
      <c r="R5" s="463"/>
    </row>
    <row r="6" spans="1:18">
      <c r="A6" s="463" t="s">
        <v>177</v>
      </c>
      <c r="B6" s="465" t="s">
        <v>758</v>
      </c>
      <c r="C6" s="463" t="s">
        <v>175</v>
      </c>
      <c r="D6" s="463"/>
      <c r="E6" s="463"/>
      <c r="F6" s="463"/>
      <c r="G6" s="463"/>
      <c r="H6" s="463"/>
      <c r="I6" s="463"/>
      <c r="J6" s="463"/>
      <c r="K6" s="463"/>
      <c r="L6" s="463"/>
      <c r="M6" s="463"/>
      <c r="N6" s="463"/>
      <c r="O6" s="463"/>
      <c r="P6" s="463"/>
      <c r="Q6" s="463"/>
      <c r="R6" s="463"/>
    </row>
    <row r="7" spans="1:18">
      <c r="A7" s="463" t="s">
        <v>174</v>
      </c>
      <c r="B7" s="466" t="s">
        <v>173</v>
      </c>
      <c r="C7" s="463"/>
      <c r="D7" s="463"/>
      <c r="E7" s="463"/>
      <c r="F7" s="463"/>
      <c r="G7" s="463"/>
      <c r="H7" s="463"/>
      <c r="I7" s="463"/>
      <c r="J7" s="463"/>
      <c r="K7" s="463"/>
      <c r="L7" s="463"/>
      <c r="M7" s="463"/>
      <c r="N7" s="463"/>
      <c r="O7" s="463"/>
      <c r="P7" s="463"/>
      <c r="Q7" s="463"/>
      <c r="R7" s="463"/>
    </row>
    <row r="8" spans="1:18">
      <c r="A8" s="463" t="s">
        <v>172</v>
      </c>
      <c r="B8" s="467" t="s">
        <v>171</v>
      </c>
      <c r="C8" s="466" t="s">
        <v>35</v>
      </c>
      <c r="D8" s="463"/>
      <c r="E8" s="463"/>
      <c r="F8" s="463"/>
      <c r="G8" s="463"/>
      <c r="H8" s="463"/>
      <c r="I8" s="463"/>
      <c r="J8" s="463"/>
      <c r="K8" s="463"/>
      <c r="L8" s="463"/>
      <c r="M8" s="463"/>
      <c r="N8" s="463"/>
      <c r="O8" s="463"/>
      <c r="P8" s="463"/>
      <c r="Q8" s="463"/>
      <c r="R8" s="463"/>
    </row>
    <row r="9" spans="1:18">
      <c r="A9" s="468" t="s">
        <v>168</v>
      </c>
      <c r="B9" s="469">
        <v>2010</v>
      </c>
      <c r="C9" s="464" t="s">
        <v>167</v>
      </c>
      <c r="D9" s="468"/>
      <c r="E9" s="468"/>
      <c r="F9" s="468"/>
      <c r="G9" s="468"/>
      <c r="H9" s="468"/>
      <c r="I9" s="468"/>
      <c r="J9" s="468"/>
      <c r="K9" s="468"/>
      <c r="L9" s="468"/>
      <c r="M9" s="468"/>
      <c r="N9" s="468"/>
      <c r="O9" s="468"/>
      <c r="P9" s="468"/>
      <c r="Q9" s="468"/>
      <c r="R9" s="468"/>
    </row>
    <row r="10" spans="1:18">
      <c r="A10" s="470" t="s">
        <v>166</v>
      </c>
      <c r="B10" s="471" t="s">
        <v>165</v>
      </c>
      <c r="C10" s="471" t="s">
        <v>164</v>
      </c>
      <c r="D10" s="470">
        <v>201012</v>
      </c>
      <c r="E10" s="470">
        <v>201112</v>
      </c>
      <c r="F10" s="470">
        <v>201212</v>
      </c>
      <c r="G10" s="470">
        <v>201312</v>
      </c>
      <c r="H10" s="470">
        <v>201412</v>
      </c>
      <c r="I10" s="470">
        <v>201512</v>
      </c>
      <c r="J10" s="470">
        <v>201612</v>
      </c>
      <c r="K10" s="470">
        <v>201712</v>
      </c>
      <c r="L10" s="470">
        <v>201812</v>
      </c>
      <c r="M10" s="470">
        <v>201912</v>
      </c>
      <c r="N10" s="470">
        <v>202012</v>
      </c>
      <c r="O10" s="470">
        <v>202112</v>
      </c>
      <c r="P10" s="470">
        <v>202212</v>
      </c>
      <c r="Q10" s="470">
        <v>202312</v>
      </c>
      <c r="R10" s="470">
        <v>202412</v>
      </c>
    </row>
    <row r="11" spans="1:18">
      <c r="A11" s="472"/>
      <c r="B11" s="472"/>
      <c r="C11" s="472"/>
      <c r="D11" s="472" t="s">
        <v>163</v>
      </c>
      <c r="E11" s="472" t="s">
        <v>163</v>
      </c>
      <c r="F11" s="472" t="s">
        <v>163</v>
      </c>
      <c r="G11" s="472" t="s">
        <v>163</v>
      </c>
      <c r="H11" s="472" t="s">
        <v>163</v>
      </c>
      <c r="I11" s="472" t="s">
        <v>163</v>
      </c>
      <c r="J11" s="472" t="s">
        <v>163</v>
      </c>
      <c r="K11" s="472" t="s">
        <v>163</v>
      </c>
      <c r="L11" s="472" t="s">
        <v>163</v>
      </c>
      <c r="M11" s="472" t="s">
        <v>163</v>
      </c>
      <c r="N11" s="472" t="s">
        <v>163</v>
      </c>
      <c r="O11" s="472" t="s">
        <v>163</v>
      </c>
      <c r="P11" s="472" t="s">
        <v>163</v>
      </c>
      <c r="Q11" s="472" t="s">
        <v>163</v>
      </c>
      <c r="R11" s="472" t="s">
        <v>163</v>
      </c>
    </row>
    <row r="12" spans="1:18">
      <c r="A12" s="473">
        <v>4001390000</v>
      </c>
      <c r="B12" s="473" t="s">
        <v>281</v>
      </c>
      <c r="C12" s="473" t="s">
        <v>112</v>
      </c>
      <c r="D12" s="42">
        <v>679751.16243999999</v>
      </c>
      <c r="E12" s="42">
        <v>-155752</v>
      </c>
      <c r="F12" s="42">
        <v>28135</v>
      </c>
      <c r="G12" s="42">
        <v>117468</v>
      </c>
      <c r="H12" s="42">
        <v>426038</v>
      </c>
      <c r="I12" s="42">
        <v>596001</v>
      </c>
      <c r="J12" s="42">
        <v>1086520</v>
      </c>
      <c r="K12" s="42">
        <v>514404</v>
      </c>
      <c r="L12" s="42">
        <v>249524</v>
      </c>
      <c r="M12" s="42">
        <v>478916</v>
      </c>
      <c r="N12" s="42">
        <v>1729721</v>
      </c>
      <c r="O12" s="42">
        <v>1009401</v>
      </c>
      <c r="P12" s="42">
        <v>-143474</v>
      </c>
      <c r="Q12" s="42">
        <v>-714716</v>
      </c>
      <c r="R12" s="42">
        <v>-118800</v>
      </c>
    </row>
    <row r="13" spans="1:18">
      <c r="A13" s="473">
        <v>4001310010</v>
      </c>
      <c r="B13" s="473" t="s">
        <v>280</v>
      </c>
      <c r="C13" s="473" t="s">
        <v>112</v>
      </c>
      <c r="D13" s="42"/>
      <c r="E13" s="42"/>
      <c r="F13" s="42"/>
      <c r="G13" s="42"/>
      <c r="H13" s="42"/>
      <c r="I13" s="42"/>
      <c r="J13" s="42"/>
      <c r="K13" s="42"/>
      <c r="L13" s="42"/>
      <c r="M13" s="42"/>
      <c r="N13" s="42"/>
      <c r="O13" s="42"/>
      <c r="P13" s="42"/>
      <c r="Q13" s="42"/>
      <c r="R13" s="42"/>
    </row>
    <row r="14" spans="1:18">
      <c r="A14" s="473">
        <v>4001310100</v>
      </c>
      <c r="B14" s="473" t="s">
        <v>279</v>
      </c>
      <c r="C14" s="473" t="s">
        <v>112</v>
      </c>
      <c r="D14" s="42"/>
      <c r="E14" s="42"/>
      <c r="F14" s="42"/>
      <c r="G14" s="42"/>
      <c r="H14" s="42"/>
      <c r="I14" s="42"/>
      <c r="J14" s="42"/>
      <c r="K14" s="42"/>
      <c r="L14" s="42"/>
      <c r="M14" s="42"/>
      <c r="N14" s="42"/>
      <c r="O14" s="42"/>
      <c r="P14" s="42"/>
      <c r="Q14" s="42"/>
      <c r="R14" s="42"/>
    </row>
    <row r="15" spans="1:18">
      <c r="A15" s="473">
        <v>4001310190</v>
      </c>
      <c r="B15" s="473" t="s">
        <v>278</v>
      </c>
      <c r="C15" s="473" t="s">
        <v>112</v>
      </c>
      <c r="D15" s="42">
        <v>547031.29599999997</v>
      </c>
      <c r="E15" s="42">
        <v>685139</v>
      </c>
      <c r="F15" s="42">
        <v>566960</v>
      </c>
      <c r="G15" s="42">
        <v>499389</v>
      </c>
      <c r="H15" s="42">
        <v>479340</v>
      </c>
      <c r="I15" s="42">
        <v>663778</v>
      </c>
      <c r="J15" s="42">
        <v>731713</v>
      </c>
      <c r="K15" s="42">
        <v>371564</v>
      </c>
      <c r="L15" s="42">
        <v>535303</v>
      </c>
      <c r="M15" s="42">
        <v>573331</v>
      </c>
      <c r="N15" s="42">
        <v>227697</v>
      </c>
      <c r="O15" s="42">
        <v>554377</v>
      </c>
      <c r="P15" s="42">
        <v>470876</v>
      </c>
      <c r="Q15" s="42">
        <v>654280</v>
      </c>
      <c r="R15" s="42">
        <v>-766221</v>
      </c>
    </row>
    <row r="16" spans="1:18">
      <c r="A16" s="473">
        <v>4001310200</v>
      </c>
      <c r="B16" s="473" t="s">
        <v>277</v>
      </c>
      <c r="C16" s="473" t="s">
        <v>112</v>
      </c>
      <c r="D16" s="42"/>
      <c r="E16" s="42"/>
      <c r="F16" s="42"/>
      <c r="G16" s="42"/>
      <c r="H16" s="42"/>
      <c r="I16" s="42"/>
      <c r="J16" s="42"/>
      <c r="K16" s="42"/>
      <c r="L16" s="42"/>
      <c r="M16" s="42"/>
      <c r="N16" s="42"/>
      <c r="O16" s="42"/>
      <c r="P16" s="42"/>
      <c r="Q16" s="42"/>
      <c r="R16" s="42"/>
    </row>
    <row r="17" spans="1:18">
      <c r="A17" s="473">
        <v>4001390010</v>
      </c>
      <c r="B17" s="473" t="s">
        <v>276</v>
      </c>
      <c r="C17" s="473" t="s">
        <v>112</v>
      </c>
      <c r="D17" s="42">
        <v>745888.24399999995</v>
      </c>
      <c r="E17" s="42">
        <v>763950</v>
      </c>
      <c r="F17" s="42">
        <v>689052</v>
      </c>
      <c r="G17" s="42">
        <v>660230</v>
      </c>
      <c r="H17" s="42">
        <v>921247</v>
      </c>
      <c r="I17" s="42">
        <v>1109920</v>
      </c>
      <c r="J17" s="42">
        <v>1196431</v>
      </c>
      <c r="K17" s="42">
        <v>1344703</v>
      </c>
      <c r="L17" s="42">
        <v>1026125</v>
      </c>
      <c r="M17" s="42">
        <v>982401</v>
      </c>
      <c r="N17" s="42">
        <v>955776</v>
      </c>
      <c r="O17" s="42">
        <v>1192079</v>
      </c>
      <c r="P17" s="42">
        <v>1065328</v>
      </c>
      <c r="Q17" s="42">
        <v>1104007</v>
      </c>
      <c r="R17" s="42">
        <v>1353699</v>
      </c>
    </row>
    <row r="18" spans="1:18">
      <c r="A18" s="473">
        <v>4001390040</v>
      </c>
      <c r="B18" s="473" t="s">
        <v>275</v>
      </c>
      <c r="C18" s="473" t="s">
        <v>112</v>
      </c>
      <c r="D18" s="42">
        <v>208219.16200000001</v>
      </c>
      <c r="E18" s="42">
        <v>309320</v>
      </c>
      <c r="F18" s="42">
        <v>249436</v>
      </c>
      <c r="G18" s="42">
        <v>276985</v>
      </c>
      <c r="H18" s="42">
        <v>265899</v>
      </c>
      <c r="I18" s="42">
        <v>342982</v>
      </c>
      <c r="J18" s="42">
        <v>335008</v>
      </c>
      <c r="K18" s="42">
        <v>294724</v>
      </c>
      <c r="L18" s="42">
        <v>392643</v>
      </c>
      <c r="M18" s="42">
        <v>296247</v>
      </c>
      <c r="N18" s="42">
        <v>319691</v>
      </c>
      <c r="O18" s="42">
        <v>465394</v>
      </c>
      <c r="P18" s="42">
        <v>595664</v>
      </c>
      <c r="Q18" s="42">
        <v>547420</v>
      </c>
      <c r="R18" s="42">
        <v>1095805</v>
      </c>
    </row>
    <row r="19" spans="1:18">
      <c r="A19" s="473">
        <v>4001390060</v>
      </c>
      <c r="B19" s="473" t="s">
        <v>274</v>
      </c>
      <c r="C19" s="473" t="s">
        <v>112</v>
      </c>
      <c r="D19" s="42">
        <v>-206007.14799999999</v>
      </c>
      <c r="E19" s="42">
        <v>-1110272</v>
      </c>
      <c r="F19" s="42">
        <v>-812957</v>
      </c>
      <c r="G19" s="42">
        <v>-530987</v>
      </c>
      <c r="H19" s="42">
        <v>-403943</v>
      </c>
      <c r="I19" s="42">
        <v>-668491</v>
      </c>
      <c r="J19" s="42">
        <v>-292198</v>
      </c>
      <c r="K19" s="42">
        <v>-630656</v>
      </c>
      <c r="L19" s="42">
        <v>-489800</v>
      </c>
      <c r="M19" s="42">
        <v>-652029</v>
      </c>
      <c r="N19" s="42">
        <v>1010745</v>
      </c>
      <c r="O19" s="42">
        <v>-162480</v>
      </c>
      <c r="P19" s="42">
        <v>-827056</v>
      </c>
      <c r="Q19" s="42">
        <v>-1816344</v>
      </c>
      <c r="R19" s="42">
        <v>588000</v>
      </c>
    </row>
    <row r="20" spans="1:18">
      <c r="A20" s="473">
        <v>4001390070</v>
      </c>
      <c r="B20" s="473" t="s">
        <v>273</v>
      </c>
      <c r="C20" s="473" t="s">
        <v>112</v>
      </c>
      <c r="D20" s="42">
        <v>-872620.58900000004</v>
      </c>
      <c r="E20" s="42">
        <v>-565761</v>
      </c>
      <c r="F20" s="42">
        <v>-738763</v>
      </c>
      <c r="G20" s="42">
        <v>-1366114</v>
      </c>
      <c r="H20" s="42">
        <v>-816935</v>
      </c>
      <c r="I20" s="42">
        <v>-1005027</v>
      </c>
      <c r="J20" s="42">
        <v>236699</v>
      </c>
      <c r="K20" s="42">
        <v>1605499</v>
      </c>
      <c r="L20" s="42">
        <v>-3172</v>
      </c>
      <c r="M20" s="42">
        <v>-179893</v>
      </c>
      <c r="N20" s="42">
        <v>1328781</v>
      </c>
      <c r="O20" s="42">
        <v>-1551930</v>
      </c>
      <c r="P20" s="42">
        <v>-2073052</v>
      </c>
      <c r="Q20" s="42">
        <v>-3356045</v>
      </c>
      <c r="R20" s="42">
        <v>-1784501</v>
      </c>
    </row>
    <row r="21" spans="1:18">
      <c r="A21" s="473">
        <v>4001390110</v>
      </c>
      <c r="B21" s="473" t="s">
        <v>272</v>
      </c>
      <c r="C21" s="473" t="s">
        <v>112</v>
      </c>
      <c r="D21" s="42">
        <v>663995.47900000005</v>
      </c>
      <c r="E21" s="42">
        <v>-552737</v>
      </c>
      <c r="F21" s="42">
        <v>4302</v>
      </c>
      <c r="G21" s="42">
        <v>878817</v>
      </c>
      <c r="H21" s="42">
        <v>363285</v>
      </c>
      <c r="I21" s="42">
        <v>287104</v>
      </c>
      <c r="J21" s="42">
        <v>-575775</v>
      </c>
      <c r="K21" s="42">
        <v>-2076803</v>
      </c>
      <c r="L21" s="42">
        <v>-394062</v>
      </c>
      <c r="M21" s="42">
        <v>-555708</v>
      </c>
      <c r="N21" s="42">
        <v>-77528</v>
      </c>
      <c r="O21" s="42">
        <v>1225011</v>
      </c>
      <c r="P21" s="42">
        <v>1074553</v>
      </c>
      <c r="Q21" s="42">
        <v>1397297</v>
      </c>
      <c r="R21" s="42">
        <v>2073478</v>
      </c>
    </row>
    <row r="22" spans="1:18">
      <c r="A22" s="473">
        <v>4001312260</v>
      </c>
      <c r="B22" s="473" t="s">
        <v>271</v>
      </c>
      <c r="C22" s="473" t="s">
        <v>112</v>
      </c>
      <c r="D22" s="42"/>
      <c r="E22" s="42"/>
      <c r="F22" s="42"/>
      <c r="G22" s="42"/>
      <c r="H22" s="42"/>
      <c r="I22" s="42"/>
      <c r="J22" s="42"/>
      <c r="K22" s="42"/>
      <c r="L22" s="42"/>
      <c r="M22" s="42"/>
      <c r="N22" s="42"/>
      <c r="O22" s="42"/>
      <c r="P22" s="42"/>
      <c r="Q22" s="42"/>
      <c r="R22" s="42"/>
    </row>
    <row r="23" spans="1:18">
      <c r="A23" s="473">
        <v>4001312270</v>
      </c>
      <c r="B23" s="473" t="s">
        <v>270</v>
      </c>
      <c r="C23" s="473" t="s">
        <v>112</v>
      </c>
      <c r="D23" s="42">
        <v>2617.9589999999998</v>
      </c>
      <c r="E23" s="42">
        <v>8226</v>
      </c>
      <c r="F23" s="42">
        <v>-78496</v>
      </c>
      <c r="G23" s="42">
        <v>-43690</v>
      </c>
      <c r="H23" s="42">
        <v>49707</v>
      </c>
      <c r="I23" s="42">
        <v>49432</v>
      </c>
      <c r="J23" s="42">
        <v>46878</v>
      </c>
      <c r="K23" s="42">
        <v>-159352</v>
      </c>
      <c r="L23" s="42">
        <v>-92566</v>
      </c>
      <c r="M23" s="42">
        <v>83572</v>
      </c>
      <c r="N23" s="42">
        <v>-240508</v>
      </c>
      <c r="O23" s="42">
        <v>164439</v>
      </c>
      <c r="P23" s="42">
        <v>171443</v>
      </c>
      <c r="Q23" s="42">
        <v>142404</v>
      </c>
      <c r="R23" s="42">
        <v>299023</v>
      </c>
    </row>
    <row r="24" spans="1:18">
      <c r="A24" s="473">
        <v>4001312280</v>
      </c>
      <c r="B24" s="473" t="s">
        <v>269</v>
      </c>
      <c r="C24" s="473" t="s">
        <v>112</v>
      </c>
      <c r="D24" s="42">
        <v>878693.23</v>
      </c>
      <c r="E24" s="42">
        <v>29497</v>
      </c>
      <c r="F24" s="42">
        <v>193619</v>
      </c>
      <c r="G24" s="42">
        <v>351647</v>
      </c>
      <c r="H24" s="42">
        <v>730745</v>
      </c>
      <c r="I24" s="42">
        <v>762225</v>
      </c>
      <c r="J24" s="42">
        <v>1300938</v>
      </c>
      <c r="K24" s="42">
        <v>790887</v>
      </c>
      <c r="L24" s="42">
        <v>678985</v>
      </c>
      <c r="M24" s="42">
        <v>607456</v>
      </c>
      <c r="N24" s="42">
        <v>1874527</v>
      </c>
      <c r="O24" s="42">
        <v>1118582</v>
      </c>
      <c r="P24" s="42">
        <v>113484</v>
      </c>
      <c r="Q24" s="42">
        <v>-605477</v>
      </c>
      <c r="R24" s="42">
        <v>79673</v>
      </c>
    </row>
    <row r="25" spans="1:18">
      <c r="A25" s="473">
        <v>4001312290</v>
      </c>
      <c r="B25" s="473" t="s">
        <v>262</v>
      </c>
      <c r="C25" s="473" t="s">
        <v>112</v>
      </c>
      <c r="D25" s="42">
        <v>51157.047509999997</v>
      </c>
      <c r="E25" s="42">
        <v>60756</v>
      </c>
      <c r="F25" s="42">
        <v>62539</v>
      </c>
      <c r="G25" s="42">
        <v>58787</v>
      </c>
      <c r="H25" s="42">
        <v>67849</v>
      </c>
      <c r="I25" s="42">
        <v>68662</v>
      </c>
      <c r="J25" s="42">
        <v>80557</v>
      </c>
      <c r="K25" s="42">
        <v>90198</v>
      </c>
      <c r="L25" s="42">
        <v>104925</v>
      </c>
      <c r="M25" s="42">
        <v>127411</v>
      </c>
      <c r="N25" s="42">
        <v>103177</v>
      </c>
      <c r="O25" s="42">
        <v>88330</v>
      </c>
      <c r="P25" s="42">
        <v>151299</v>
      </c>
      <c r="Q25" s="42">
        <v>168153</v>
      </c>
      <c r="R25" s="42">
        <v>222866</v>
      </c>
    </row>
    <row r="26" spans="1:18">
      <c r="A26" s="473">
        <v>4001312300</v>
      </c>
      <c r="B26" s="473" t="s">
        <v>261</v>
      </c>
      <c r="C26" s="473" t="s">
        <v>112</v>
      </c>
      <c r="D26" s="42">
        <v>-49831.529820000003</v>
      </c>
      <c r="E26" s="42">
        <v>-40024</v>
      </c>
      <c r="F26" s="42">
        <v>-57548</v>
      </c>
      <c r="G26" s="42">
        <v>-65745</v>
      </c>
      <c r="H26" s="42">
        <v>-102986</v>
      </c>
      <c r="I26" s="42">
        <v>-101076</v>
      </c>
      <c r="J26" s="42">
        <v>-96277</v>
      </c>
      <c r="K26" s="42">
        <v>-96092</v>
      </c>
      <c r="L26" s="42">
        <v>-86690</v>
      </c>
      <c r="M26" s="42">
        <v>-76583</v>
      </c>
      <c r="N26" s="42">
        <v>-70454</v>
      </c>
      <c r="O26" s="42">
        <v>-55577</v>
      </c>
      <c r="P26" s="42">
        <v>-43434</v>
      </c>
      <c r="Q26" s="42">
        <v>-58470</v>
      </c>
      <c r="R26" s="42">
        <v>-97623</v>
      </c>
    </row>
    <row r="27" spans="1:18">
      <c r="A27" s="473">
        <v>4001312310</v>
      </c>
      <c r="B27" s="473" t="s">
        <v>260</v>
      </c>
      <c r="C27" s="473" t="s">
        <v>112</v>
      </c>
      <c r="D27" s="42">
        <v>52959.949119999997</v>
      </c>
      <c r="E27" s="42">
        <v>23235</v>
      </c>
      <c r="F27" s="42">
        <v>1451</v>
      </c>
      <c r="G27" s="42">
        <v>4379</v>
      </c>
      <c r="H27" s="42">
        <v>2787</v>
      </c>
      <c r="I27" s="42">
        <v>8720</v>
      </c>
      <c r="J27" s="42">
        <v>1800</v>
      </c>
      <c r="K27" s="42">
        <v>12757</v>
      </c>
      <c r="L27" s="42">
        <v>2593</v>
      </c>
      <c r="M27" s="42">
        <v>7731</v>
      </c>
      <c r="N27" s="42">
        <v>1485</v>
      </c>
      <c r="O27" s="42">
        <v>2357</v>
      </c>
      <c r="P27" s="42">
        <v>6119</v>
      </c>
      <c r="Q27" s="42">
        <v>25670</v>
      </c>
      <c r="R27" s="42">
        <v>2914</v>
      </c>
    </row>
    <row r="28" spans="1:18">
      <c r="A28" s="473">
        <v>4001312320</v>
      </c>
      <c r="B28" s="473" t="s">
        <v>259</v>
      </c>
      <c r="C28" s="473" t="s">
        <v>112</v>
      </c>
      <c r="D28" s="42"/>
      <c r="E28" s="42"/>
      <c r="F28" s="42"/>
      <c r="G28" s="42"/>
      <c r="H28" s="42"/>
      <c r="I28" s="42"/>
      <c r="J28" s="42"/>
      <c r="K28" s="42"/>
      <c r="L28" s="42"/>
      <c r="M28" s="42"/>
      <c r="N28" s="42"/>
      <c r="O28" s="42"/>
      <c r="P28" s="42"/>
      <c r="Q28" s="42"/>
      <c r="R28" s="42"/>
    </row>
    <row r="29" spans="1:18">
      <c r="A29" s="473">
        <v>4001312330</v>
      </c>
      <c r="B29" s="473" t="s">
        <v>258</v>
      </c>
      <c r="C29" s="473" t="s">
        <v>112</v>
      </c>
      <c r="D29" s="42"/>
      <c r="E29" s="42"/>
      <c r="F29" s="42"/>
      <c r="G29" s="42"/>
      <c r="H29" s="42"/>
      <c r="I29" s="42"/>
      <c r="J29" s="42"/>
      <c r="K29" s="42"/>
      <c r="L29" s="42"/>
      <c r="M29" s="42"/>
      <c r="N29" s="42"/>
      <c r="O29" s="42"/>
      <c r="P29" s="42"/>
      <c r="Q29" s="42"/>
      <c r="R29" s="42"/>
    </row>
    <row r="30" spans="1:18">
      <c r="A30" s="473">
        <v>4001312340</v>
      </c>
      <c r="B30" s="473" t="s">
        <v>257</v>
      </c>
      <c r="C30" s="473" t="s">
        <v>112</v>
      </c>
      <c r="D30" s="42">
        <v>-253227.53434000001</v>
      </c>
      <c r="E30" s="42">
        <v>-229216</v>
      </c>
      <c r="F30" s="42">
        <v>-171926</v>
      </c>
      <c r="G30" s="42">
        <v>-231600</v>
      </c>
      <c r="H30" s="42">
        <v>-272357</v>
      </c>
      <c r="I30" s="42">
        <v>-142530</v>
      </c>
      <c r="J30" s="42">
        <v>-200498</v>
      </c>
      <c r="K30" s="42">
        <v>-283346</v>
      </c>
      <c r="L30" s="42">
        <v>-450289</v>
      </c>
      <c r="M30" s="42">
        <v>-187099</v>
      </c>
      <c r="N30" s="42">
        <v>-179014</v>
      </c>
      <c r="O30" s="42">
        <v>-144291</v>
      </c>
      <c r="P30" s="42">
        <v>-370942</v>
      </c>
      <c r="Q30" s="42">
        <v>-244592</v>
      </c>
      <c r="R30" s="42">
        <v>-326630</v>
      </c>
    </row>
    <row r="31" spans="1:18">
      <c r="A31" s="473">
        <v>4001312350</v>
      </c>
      <c r="B31" s="473" t="s">
        <v>256</v>
      </c>
      <c r="C31" s="473" t="s">
        <v>112</v>
      </c>
      <c r="D31" s="42"/>
      <c r="E31" s="42"/>
      <c r="F31" s="42"/>
      <c r="G31" s="42"/>
      <c r="H31" s="42"/>
      <c r="I31" s="42"/>
      <c r="J31" s="42"/>
      <c r="K31" s="42"/>
      <c r="L31" s="42"/>
      <c r="M31" s="42"/>
      <c r="N31" s="42"/>
      <c r="O31" s="42"/>
      <c r="P31" s="42"/>
      <c r="Q31" s="42"/>
      <c r="R31" s="42"/>
    </row>
    <row r="32" spans="1:18">
      <c r="A32" s="473">
        <v>4001390160</v>
      </c>
      <c r="B32" s="473" t="s">
        <v>268</v>
      </c>
      <c r="C32" s="473" t="s">
        <v>112</v>
      </c>
      <c r="D32" s="42">
        <v>-238100.92233999999</v>
      </c>
      <c r="E32" s="42">
        <v>-68725</v>
      </c>
      <c r="F32" s="42">
        <v>-208077</v>
      </c>
      <c r="G32" s="42">
        <v>-221228</v>
      </c>
      <c r="H32" s="42">
        <v>324555</v>
      </c>
      <c r="I32" s="42">
        <v>-1173812</v>
      </c>
      <c r="J32" s="42">
        <v>-775201</v>
      </c>
      <c r="K32" s="42">
        <v>-16252</v>
      </c>
      <c r="L32" s="42">
        <v>-92043</v>
      </c>
      <c r="M32" s="42">
        <v>-151156</v>
      </c>
      <c r="N32" s="42">
        <v>-1219172</v>
      </c>
      <c r="O32" s="42">
        <v>-798316</v>
      </c>
      <c r="P32" s="42">
        <v>1853258</v>
      </c>
      <c r="Q32" s="42">
        <v>562566</v>
      </c>
      <c r="R32" s="42">
        <v>211699</v>
      </c>
    </row>
    <row r="33" spans="1:18">
      <c r="A33" s="473">
        <v>4001390170</v>
      </c>
      <c r="B33" s="473" t="s">
        <v>267</v>
      </c>
      <c r="C33" s="473" t="s">
        <v>112</v>
      </c>
      <c r="D33" s="42">
        <v>472172.65701999998</v>
      </c>
      <c r="E33" s="42">
        <v>360807</v>
      </c>
      <c r="F33" s="42">
        <v>494387</v>
      </c>
      <c r="G33" s="42">
        <v>625796</v>
      </c>
      <c r="H33" s="42">
        <v>850530</v>
      </c>
      <c r="I33" s="42">
        <v>570949</v>
      </c>
      <c r="J33" s="42">
        <v>1666458</v>
      </c>
      <c r="K33" s="42">
        <v>2574610</v>
      </c>
      <c r="L33" s="42">
        <v>2024505</v>
      </c>
      <c r="M33" s="42">
        <v>2082493</v>
      </c>
      <c r="N33" s="42">
        <v>4400948</v>
      </c>
      <c r="O33" s="42">
        <v>4584861</v>
      </c>
      <c r="P33" s="42">
        <v>5269739</v>
      </c>
      <c r="Q33" s="42">
        <v>2552865</v>
      </c>
      <c r="R33" s="42">
        <v>1468555</v>
      </c>
    </row>
    <row r="34" spans="1:18">
      <c r="A34" s="473">
        <v>4001390270</v>
      </c>
      <c r="B34" s="473" t="s">
        <v>266</v>
      </c>
      <c r="C34" s="473" t="s">
        <v>112</v>
      </c>
      <c r="D34" s="42">
        <v>710273.57935999997</v>
      </c>
      <c r="E34" s="42">
        <v>429532</v>
      </c>
      <c r="F34" s="42">
        <v>702464</v>
      </c>
      <c r="G34" s="42">
        <v>847024</v>
      </c>
      <c r="H34" s="42">
        <v>525975</v>
      </c>
      <c r="I34" s="42">
        <v>1744761</v>
      </c>
      <c r="J34" s="42">
        <v>2441659</v>
      </c>
      <c r="K34" s="42">
        <v>2590862</v>
      </c>
      <c r="L34" s="42">
        <v>2116548</v>
      </c>
      <c r="M34" s="42">
        <v>2233649</v>
      </c>
      <c r="N34" s="42">
        <v>5620120</v>
      </c>
      <c r="O34" s="42">
        <v>5383177</v>
      </c>
      <c r="P34" s="42">
        <v>3416481</v>
      </c>
      <c r="Q34" s="42">
        <v>1990299</v>
      </c>
      <c r="R34" s="42">
        <v>1256856</v>
      </c>
    </row>
    <row r="35" spans="1:18">
      <c r="A35" s="473">
        <v>4001321350</v>
      </c>
      <c r="B35" s="473" t="s">
        <v>262</v>
      </c>
      <c r="C35" s="473" t="s">
        <v>112</v>
      </c>
      <c r="D35" s="42"/>
      <c r="E35" s="42"/>
      <c r="F35" s="42"/>
      <c r="G35" s="42"/>
      <c r="H35" s="42"/>
      <c r="I35" s="42"/>
      <c r="J35" s="42"/>
      <c r="K35" s="42"/>
      <c r="L35" s="42"/>
      <c r="M35" s="42"/>
      <c r="N35" s="42"/>
      <c r="O35" s="42"/>
      <c r="P35" s="42"/>
      <c r="Q35" s="42"/>
      <c r="R35" s="42"/>
    </row>
    <row r="36" spans="1:18">
      <c r="A36" s="473">
        <v>4001321360</v>
      </c>
      <c r="B36" s="473" t="s">
        <v>261</v>
      </c>
      <c r="C36" s="473" t="s">
        <v>112</v>
      </c>
      <c r="D36" s="42"/>
      <c r="E36" s="42"/>
      <c r="F36" s="42"/>
      <c r="G36" s="42"/>
      <c r="H36" s="42"/>
      <c r="I36" s="42"/>
      <c r="J36" s="42"/>
      <c r="K36" s="42"/>
      <c r="L36" s="42"/>
      <c r="M36" s="42"/>
      <c r="N36" s="42"/>
      <c r="O36" s="42"/>
      <c r="P36" s="42"/>
      <c r="Q36" s="42"/>
      <c r="R36" s="42"/>
    </row>
    <row r="37" spans="1:18">
      <c r="A37" s="473">
        <v>4001321370</v>
      </c>
      <c r="B37" s="473" t="s">
        <v>260</v>
      </c>
      <c r="C37" s="473" t="s">
        <v>112</v>
      </c>
      <c r="D37" s="42"/>
      <c r="E37" s="42"/>
      <c r="F37" s="42"/>
      <c r="G37" s="42"/>
      <c r="H37" s="42"/>
      <c r="I37" s="42"/>
      <c r="J37" s="42"/>
      <c r="K37" s="42"/>
      <c r="L37" s="42"/>
      <c r="M37" s="42"/>
      <c r="N37" s="42"/>
      <c r="O37" s="42"/>
      <c r="P37" s="42"/>
      <c r="Q37" s="42"/>
      <c r="R37" s="42"/>
    </row>
    <row r="38" spans="1:18">
      <c r="A38" s="473">
        <v>4001321380</v>
      </c>
      <c r="B38" s="473" t="s">
        <v>259</v>
      </c>
      <c r="C38" s="473" t="s">
        <v>112</v>
      </c>
      <c r="D38" s="42"/>
      <c r="E38" s="42"/>
      <c r="F38" s="42"/>
      <c r="G38" s="42"/>
      <c r="H38" s="42"/>
      <c r="I38" s="42"/>
      <c r="J38" s="42"/>
      <c r="K38" s="42"/>
      <c r="L38" s="42"/>
      <c r="M38" s="42"/>
      <c r="N38" s="42"/>
      <c r="O38" s="42"/>
      <c r="P38" s="42"/>
      <c r="Q38" s="42"/>
      <c r="R38" s="42"/>
    </row>
    <row r="39" spans="1:18">
      <c r="A39" s="473">
        <v>4001321390</v>
      </c>
      <c r="B39" s="473" t="s">
        <v>258</v>
      </c>
      <c r="C39" s="473" t="s">
        <v>112</v>
      </c>
      <c r="D39" s="42"/>
      <c r="E39" s="42"/>
      <c r="F39" s="42"/>
      <c r="G39" s="42"/>
      <c r="H39" s="42"/>
      <c r="I39" s="42"/>
      <c r="J39" s="42"/>
      <c r="K39" s="42"/>
      <c r="L39" s="42"/>
      <c r="M39" s="42"/>
      <c r="N39" s="42"/>
      <c r="O39" s="42"/>
      <c r="P39" s="42"/>
      <c r="Q39" s="42"/>
      <c r="R39" s="42"/>
    </row>
    <row r="40" spans="1:18">
      <c r="A40" s="473">
        <v>4001321400</v>
      </c>
      <c r="B40" s="473" t="s">
        <v>257</v>
      </c>
      <c r="C40" s="473" t="s">
        <v>112</v>
      </c>
      <c r="D40" s="42"/>
      <c r="E40" s="42"/>
      <c r="F40" s="42"/>
      <c r="G40" s="42"/>
      <c r="H40" s="42"/>
      <c r="I40" s="42"/>
      <c r="J40" s="42"/>
      <c r="K40" s="42"/>
      <c r="L40" s="42"/>
      <c r="M40" s="42"/>
      <c r="N40" s="42"/>
      <c r="O40" s="42"/>
      <c r="P40" s="42"/>
      <c r="Q40" s="42"/>
      <c r="R40" s="42"/>
    </row>
    <row r="41" spans="1:18">
      <c r="A41" s="473">
        <v>4001321410</v>
      </c>
      <c r="B41" s="473" t="s">
        <v>256</v>
      </c>
      <c r="C41" s="473" t="s">
        <v>112</v>
      </c>
      <c r="D41" s="42"/>
      <c r="E41" s="42"/>
      <c r="F41" s="42"/>
      <c r="G41" s="42"/>
      <c r="H41" s="42"/>
      <c r="I41" s="42"/>
      <c r="J41" s="42"/>
      <c r="K41" s="42"/>
      <c r="L41" s="42"/>
      <c r="M41" s="42"/>
      <c r="N41" s="42"/>
      <c r="O41" s="42"/>
      <c r="P41" s="42"/>
      <c r="Q41" s="42"/>
      <c r="R41" s="42"/>
    </row>
    <row r="42" spans="1:18">
      <c r="A42" s="473">
        <v>4001390370</v>
      </c>
      <c r="B42" s="473" t="s">
        <v>265</v>
      </c>
      <c r="C42" s="473" t="s">
        <v>112</v>
      </c>
      <c r="D42" s="42">
        <v>-75301.069900000002</v>
      </c>
      <c r="E42" s="42">
        <v>345077</v>
      </c>
      <c r="F42" s="42">
        <v>185506</v>
      </c>
      <c r="G42" s="42">
        <v>134544</v>
      </c>
      <c r="H42" s="42">
        <v>-80221</v>
      </c>
      <c r="I42" s="42">
        <v>30709</v>
      </c>
      <c r="J42" s="42">
        <v>-176854</v>
      </c>
      <c r="K42" s="42">
        <v>-380936</v>
      </c>
      <c r="L42" s="42">
        <v>-37290</v>
      </c>
      <c r="M42" s="42">
        <v>15264</v>
      </c>
      <c r="N42" s="42">
        <v>95488</v>
      </c>
      <c r="O42" s="42">
        <v>-492604</v>
      </c>
      <c r="P42" s="42">
        <v>-658184</v>
      </c>
      <c r="Q42" s="42">
        <v>365989</v>
      </c>
      <c r="R42" s="42">
        <v>733741</v>
      </c>
    </row>
    <row r="43" spans="1:18">
      <c r="A43" s="473">
        <v>4001390380</v>
      </c>
      <c r="B43" s="473" t="s">
        <v>264</v>
      </c>
      <c r="C43" s="473" t="s">
        <v>112</v>
      </c>
      <c r="D43" s="42">
        <v>1307193.10873</v>
      </c>
      <c r="E43" s="42">
        <v>1297616</v>
      </c>
      <c r="F43" s="42">
        <v>1784086</v>
      </c>
      <c r="G43" s="42">
        <v>2618669</v>
      </c>
      <c r="H43" s="42">
        <v>2638687</v>
      </c>
      <c r="I43" s="42">
        <v>1456878</v>
      </c>
      <c r="J43" s="42">
        <v>860010</v>
      </c>
      <c r="K43" s="42">
        <v>1088637</v>
      </c>
      <c r="L43" s="42">
        <v>692498</v>
      </c>
      <c r="M43" s="42">
        <v>1050064</v>
      </c>
      <c r="N43" s="42">
        <v>1468471</v>
      </c>
      <c r="O43" s="42">
        <v>590984</v>
      </c>
      <c r="P43" s="42">
        <v>135708</v>
      </c>
      <c r="Q43" s="42">
        <v>1152946</v>
      </c>
      <c r="R43" s="42">
        <v>1471483</v>
      </c>
    </row>
    <row r="44" spans="1:18">
      <c r="A44" s="473">
        <v>4001390470</v>
      </c>
      <c r="B44" s="473" t="s">
        <v>263</v>
      </c>
      <c r="C44" s="473" t="s">
        <v>112</v>
      </c>
      <c r="D44" s="42">
        <v>1314158.821</v>
      </c>
      <c r="E44" s="42">
        <v>872827</v>
      </c>
      <c r="F44" s="42">
        <v>1538828</v>
      </c>
      <c r="G44" s="42">
        <v>2423774</v>
      </c>
      <c r="H44" s="42">
        <v>2615254</v>
      </c>
      <c r="I44" s="42">
        <v>1317049</v>
      </c>
      <c r="J44" s="42">
        <v>928461</v>
      </c>
      <c r="K44" s="42">
        <v>1360968</v>
      </c>
      <c r="L44" s="42">
        <v>622878</v>
      </c>
      <c r="M44" s="42">
        <v>927042</v>
      </c>
      <c r="N44" s="42">
        <v>1240924</v>
      </c>
      <c r="O44" s="42">
        <v>951746</v>
      </c>
      <c r="P44" s="42">
        <v>678932</v>
      </c>
      <c r="Q44" s="42">
        <v>692202</v>
      </c>
      <c r="R44" s="42">
        <v>642860</v>
      </c>
    </row>
    <row r="45" spans="1:18">
      <c r="A45" s="473">
        <v>4001330680</v>
      </c>
      <c r="B45" s="473" t="s">
        <v>262</v>
      </c>
      <c r="C45" s="473" t="s">
        <v>112</v>
      </c>
      <c r="D45" s="42"/>
      <c r="E45" s="42"/>
      <c r="F45" s="42"/>
      <c r="G45" s="42"/>
      <c r="H45" s="42"/>
      <c r="I45" s="42"/>
      <c r="J45" s="42"/>
      <c r="K45" s="42"/>
      <c r="L45" s="42"/>
      <c r="M45" s="42"/>
      <c r="N45" s="42"/>
      <c r="O45" s="42"/>
      <c r="P45" s="42"/>
      <c r="Q45" s="42"/>
      <c r="R45" s="42"/>
    </row>
    <row r="46" spans="1:18">
      <c r="A46" s="473">
        <v>4001330690</v>
      </c>
      <c r="B46" s="473" t="s">
        <v>261</v>
      </c>
      <c r="C46" s="473" t="s">
        <v>112</v>
      </c>
      <c r="D46" s="42"/>
      <c r="E46" s="42"/>
      <c r="F46" s="42"/>
      <c r="G46" s="42"/>
      <c r="H46" s="42"/>
      <c r="I46" s="42"/>
      <c r="J46" s="42"/>
      <c r="K46" s="42"/>
      <c r="L46" s="42"/>
      <c r="M46" s="42"/>
      <c r="N46" s="42"/>
      <c r="O46" s="42"/>
      <c r="P46" s="42"/>
      <c r="Q46" s="42"/>
      <c r="R46" s="42"/>
    </row>
    <row r="47" spans="1:18">
      <c r="A47" s="473">
        <v>4001330700</v>
      </c>
      <c r="B47" s="473" t="s">
        <v>260</v>
      </c>
      <c r="C47" s="473" t="s">
        <v>112</v>
      </c>
      <c r="D47" s="42"/>
      <c r="E47" s="42"/>
      <c r="F47" s="42"/>
      <c r="G47" s="42"/>
      <c r="H47" s="42"/>
      <c r="I47" s="42"/>
      <c r="J47" s="42"/>
      <c r="K47" s="42"/>
      <c r="L47" s="42"/>
      <c r="M47" s="42"/>
      <c r="N47" s="42"/>
      <c r="O47" s="42"/>
      <c r="P47" s="42"/>
      <c r="Q47" s="42"/>
      <c r="R47" s="42"/>
    </row>
    <row r="48" spans="1:18">
      <c r="A48" s="473">
        <v>4001330710</v>
      </c>
      <c r="B48" s="473" t="s">
        <v>259</v>
      </c>
      <c r="C48" s="473" t="s">
        <v>112</v>
      </c>
      <c r="D48" s="42">
        <v>-68335.357910000006</v>
      </c>
      <c r="E48" s="42">
        <v>-79712</v>
      </c>
      <c r="F48" s="42">
        <v>-59752</v>
      </c>
      <c r="G48" s="42">
        <v>-60351</v>
      </c>
      <c r="H48" s="42">
        <v>-103654</v>
      </c>
      <c r="I48" s="42">
        <v>-109120</v>
      </c>
      <c r="J48" s="42">
        <v>-108403</v>
      </c>
      <c r="K48" s="42">
        <v>-108605</v>
      </c>
      <c r="L48" s="42">
        <v>-106910</v>
      </c>
      <c r="M48" s="42">
        <v>-107758</v>
      </c>
      <c r="N48" s="42">
        <v>-132059</v>
      </c>
      <c r="O48" s="42">
        <v>-131842</v>
      </c>
      <c r="P48" s="42">
        <v>-114960</v>
      </c>
      <c r="Q48" s="42">
        <v>-94755</v>
      </c>
      <c r="R48" s="42">
        <v>-94882</v>
      </c>
    </row>
    <row r="49" spans="1:18">
      <c r="A49" s="473">
        <v>4001330720</v>
      </c>
      <c r="B49" s="473" t="s">
        <v>258</v>
      </c>
      <c r="C49" s="473" t="s">
        <v>112</v>
      </c>
      <c r="D49" s="42"/>
      <c r="E49" s="42"/>
      <c r="F49" s="42"/>
      <c r="G49" s="42"/>
      <c r="H49" s="42"/>
      <c r="I49" s="42"/>
      <c r="J49" s="42"/>
      <c r="K49" s="42"/>
      <c r="L49" s="42"/>
      <c r="M49" s="42"/>
      <c r="N49" s="42"/>
      <c r="O49" s="42"/>
      <c r="P49" s="42"/>
      <c r="Q49" s="42"/>
      <c r="R49" s="42"/>
    </row>
    <row r="50" spans="1:18">
      <c r="A50" s="473">
        <v>4001330730</v>
      </c>
      <c r="B50" s="473" t="s">
        <v>257</v>
      </c>
      <c r="C50" s="473" t="s">
        <v>112</v>
      </c>
      <c r="D50" s="42"/>
      <c r="E50" s="42"/>
      <c r="F50" s="42"/>
      <c r="G50" s="42"/>
      <c r="H50" s="42"/>
      <c r="I50" s="42"/>
      <c r="J50" s="42"/>
      <c r="K50" s="42"/>
      <c r="L50" s="42"/>
      <c r="M50" s="42"/>
      <c r="N50" s="42"/>
      <c r="O50" s="42"/>
      <c r="P50" s="42"/>
      <c r="Q50" s="42"/>
      <c r="R50" s="42"/>
    </row>
    <row r="51" spans="1:18">
      <c r="A51" s="473">
        <v>4001330740</v>
      </c>
      <c r="B51" s="473" t="s">
        <v>256</v>
      </c>
      <c r="C51" s="473" t="s">
        <v>112</v>
      </c>
      <c r="D51" s="42"/>
      <c r="E51" s="42"/>
      <c r="F51" s="42"/>
      <c r="G51" s="42"/>
      <c r="H51" s="42"/>
      <c r="I51" s="42"/>
      <c r="J51" s="42"/>
      <c r="K51" s="42"/>
      <c r="L51" s="42"/>
      <c r="M51" s="42"/>
      <c r="N51" s="42"/>
      <c r="O51" s="42"/>
      <c r="P51" s="42"/>
      <c r="Q51" s="42"/>
      <c r="R51" s="42"/>
    </row>
    <row r="52" spans="1:18">
      <c r="A52" s="473">
        <v>4001340000</v>
      </c>
      <c r="B52" s="473" t="s">
        <v>255</v>
      </c>
      <c r="C52" s="473" t="s">
        <v>112</v>
      </c>
      <c r="D52" s="42"/>
      <c r="E52" s="42"/>
      <c r="F52" s="42"/>
      <c r="G52" s="42"/>
      <c r="H52" s="42"/>
      <c r="I52" s="42"/>
      <c r="J52" s="42"/>
      <c r="K52" s="42"/>
      <c r="L52" s="42"/>
      <c r="M52" s="42"/>
      <c r="N52" s="42"/>
      <c r="O52" s="42"/>
      <c r="P52" s="42"/>
      <c r="Q52" s="42"/>
      <c r="R52" s="42"/>
    </row>
    <row r="53" spans="1:18">
      <c r="A53" s="473">
        <v>4001340010</v>
      </c>
      <c r="B53" s="473" t="s">
        <v>254</v>
      </c>
      <c r="C53" s="473" t="s">
        <v>112</v>
      </c>
      <c r="D53" s="42"/>
      <c r="E53" s="42"/>
      <c r="F53" s="42"/>
      <c r="G53" s="42"/>
      <c r="H53" s="42"/>
      <c r="I53" s="42"/>
      <c r="J53" s="42"/>
      <c r="K53" s="42">
        <v>5137</v>
      </c>
      <c r="L53" s="42">
        <v>147</v>
      </c>
      <c r="M53" s="42"/>
      <c r="N53" s="42"/>
      <c r="O53" s="42"/>
      <c r="P53" s="42"/>
      <c r="Q53" s="42"/>
      <c r="R53" s="42"/>
    </row>
    <row r="54" spans="1:18">
      <c r="A54" s="473">
        <v>4001340020</v>
      </c>
      <c r="B54" s="473" t="s">
        <v>253</v>
      </c>
      <c r="C54" s="473" t="s">
        <v>112</v>
      </c>
      <c r="D54" s="42">
        <v>-8522.9499400000004</v>
      </c>
      <c r="E54" s="42">
        <v>687</v>
      </c>
      <c r="F54" s="42">
        <v>-12622</v>
      </c>
      <c r="G54" s="42">
        <v>-2083</v>
      </c>
      <c r="H54" s="42">
        <v>-11551</v>
      </c>
      <c r="I54" s="42">
        <v>2126</v>
      </c>
      <c r="J54" s="42">
        <v>18114</v>
      </c>
      <c r="K54" s="42">
        <v>-165095</v>
      </c>
      <c r="L54" s="42">
        <v>13608</v>
      </c>
      <c r="M54" s="42">
        <v>1795</v>
      </c>
      <c r="N54" s="42">
        <v>-5202</v>
      </c>
      <c r="O54" s="42">
        <v>21533</v>
      </c>
      <c r="P54" s="42">
        <v>-4559</v>
      </c>
      <c r="Q54" s="42">
        <v>17929</v>
      </c>
      <c r="R54" s="42">
        <v>98067</v>
      </c>
    </row>
    <row r="55" spans="1:18">
      <c r="A55" s="473">
        <v>4001340030</v>
      </c>
      <c r="B55" s="473" t="s">
        <v>252</v>
      </c>
      <c r="C55" s="473" t="s">
        <v>112</v>
      </c>
      <c r="D55" s="42">
        <v>357826.22</v>
      </c>
      <c r="E55" s="42">
        <v>121287</v>
      </c>
      <c r="F55" s="42">
        <v>-7058</v>
      </c>
      <c r="G55" s="42">
        <v>28701</v>
      </c>
      <c r="H55" s="42">
        <v>658821</v>
      </c>
      <c r="I55" s="42">
        <v>-544976</v>
      </c>
      <c r="J55" s="42">
        <v>152579</v>
      </c>
      <c r="K55" s="42">
        <v>-42742</v>
      </c>
      <c r="L55" s="42">
        <v>133946</v>
      </c>
      <c r="M55" s="42">
        <v>344819</v>
      </c>
      <c r="N55" s="42">
        <v>600835</v>
      </c>
      <c r="O55" s="42">
        <v>-259986</v>
      </c>
      <c r="P55" s="42">
        <v>1047041</v>
      </c>
      <c r="Q55" s="42">
        <v>231768</v>
      </c>
      <c r="R55" s="42">
        <v>924707</v>
      </c>
    </row>
    <row r="56" spans="1:18">
      <c r="A56" s="473">
        <v>4001340040</v>
      </c>
      <c r="B56" s="473" t="s">
        <v>251</v>
      </c>
      <c r="C56" s="473" t="s">
        <v>112</v>
      </c>
      <c r="D56" s="42">
        <v>1382804.1232400001</v>
      </c>
      <c r="E56" s="42">
        <v>1740630</v>
      </c>
      <c r="F56" s="42">
        <v>1861917</v>
      </c>
      <c r="G56" s="42">
        <v>1854859</v>
      </c>
      <c r="H56" s="42">
        <v>1883560</v>
      </c>
      <c r="I56" s="42">
        <v>2542381</v>
      </c>
      <c r="J56" s="42">
        <v>1997405</v>
      </c>
      <c r="K56" s="42">
        <v>2149984</v>
      </c>
      <c r="L56" s="42">
        <v>2107242</v>
      </c>
      <c r="M56" s="42">
        <v>2241188</v>
      </c>
      <c r="N56" s="42">
        <v>2586007</v>
      </c>
      <c r="O56" s="42">
        <v>3186842</v>
      </c>
      <c r="P56" s="42">
        <v>2926856</v>
      </c>
      <c r="Q56" s="42">
        <v>3973897</v>
      </c>
      <c r="R56" s="42">
        <v>4205665</v>
      </c>
    </row>
    <row r="57" spans="1:18">
      <c r="A57" s="473">
        <v>4001340050</v>
      </c>
      <c r="B57" s="473" t="s">
        <v>250</v>
      </c>
      <c r="C57" s="473" t="s">
        <v>112</v>
      </c>
      <c r="D57" s="42">
        <v>1740630.34351</v>
      </c>
      <c r="E57" s="42">
        <v>1861917</v>
      </c>
      <c r="F57" s="42">
        <v>1854859</v>
      </c>
      <c r="G57" s="42">
        <v>1883560</v>
      </c>
      <c r="H57" s="42">
        <v>2542381</v>
      </c>
      <c r="I57" s="42">
        <v>1997405</v>
      </c>
      <c r="J57" s="42">
        <v>2149984</v>
      </c>
      <c r="K57" s="42">
        <v>2107242</v>
      </c>
      <c r="L57" s="42">
        <v>2241188</v>
      </c>
      <c r="M57" s="42">
        <v>2586007</v>
      </c>
      <c r="N57" s="42">
        <v>3186842</v>
      </c>
      <c r="O57" s="42">
        <v>2926856</v>
      </c>
      <c r="P57" s="42">
        <v>3973897</v>
      </c>
      <c r="Q57" s="42">
        <v>4205665</v>
      </c>
      <c r="R57" s="42">
        <v>5130372</v>
      </c>
    </row>
    <row r="58" spans="1:18">
      <c r="A58" s="475"/>
      <c r="B58" s="475"/>
      <c r="C58" s="475"/>
      <c r="D58" s="42"/>
      <c r="E58" s="42"/>
      <c r="F58" s="42"/>
      <c r="G58" s="42"/>
      <c r="H58" s="42"/>
      <c r="I58" s="42"/>
      <c r="J58" s="42"/>
      <c r="K58" s="42"/>
      <c r="L58" s="42"/>
      <c r="M58" s="42"/>
      <c r="N58" s="42"/>
      <c r="O58" s="42"/>
      <c r="P58" s="42"/>
      <c r="Q58" s="42"/>
      <c r="R58" s="42"/>
    </row>
    <row r="59" spans="1:18">
      <c r="D59" s="29"/>
      <c r="E59" s="29"/>
      <c r="F59" s="29"/>
      <c r="G59" s="29"/>
      <c r="H59" s="29"/>
      <c r="I59" s="29"/>
      <c r="J59" s="29"/>
      <c r="K59" s="29"/>
      <c r="L59" s="29"/>
      <c r="M59" s="29"/>
      <c r="N59" s="29"/>
      <c r="O59" s="29"/>
      <c r="P59" s="29"/>
      <c r="Q59" s="29"/>
      <c r="R59" s="29"/>
    </row>
    <row r="60" spans="1:18">
      <c r="D60" s="29"/>
      <c r="E60" s="29"/>
      <c r="F60" s="29"/>
      <c r="G60" s="29"/>
      <c r="H60" s="29"/>
      <c r="I60" s="29"/>
      <c r="J60" s="29"/>
      <c r="K60" s="29"/>
      <c r="L60" s="29"/>
      <c r="M60" s="29"/>
      <c r="N60" s="29"/>
      <c r="O60" s="29"/>
      <c r="P60" s="29"/>
      <c r="Q60" s="29"/>
      <c r="R60" s="29"/>
    </row>
    <row r="61" spans="1:18">
      <c r="D61" s="29"/>
      <c r="E61" s="29"/>
      <c r="F61" s="29"/>
      <c r="G61" s="29"/>
      <c r="H61" s="29"/>
      <c r="I61" s="29"/>
      <c r="J61" s="29"/>
      <c r="K61" s="29"/>
      <c r="L61" s="29"/>
      <c r="M61" s="29"/>
      <c r="N61" s="29"/>
      <c r="O61" s="29"/>
      <c r="P61" s="29"/>
      <c r="Q61" s="29"/>
      <c r="R61" s="29"/>
    </row>
  </sheetData>
  <phoneticPr fontId="2" type="noConversion"/>
  <dataValidations disablePrompts="1" count="7">
    <dataValidation type="list" allowBlank="1" showInputMessage="1" sqref="C9" xr:uid="{873358EC-20CB-477C-A813-AFDB1F14A96E}">
      <formula1>"1983,1984,1985,1986,1987,1988,1989,1990,1991,1992,1993,1994,1995,1996,1997,1998,1999,2000,2001,2002,2003,2004,2005,2006,2007,2008,2009,2010,2011,2012,2013,2014,2015,2016,2017,2018,2019,2020,2021,2022,2023,2024,2025,Current"</formula1>
    </dataValidation>
    <dataValidation type="list" allowBlank="1" showInputMessage="1" sqref="B9" xr:uid="{9E2C3B99-D82D-42F5-82FF-F2A31659C58B}">
      <formula1>"1983,1984,1985,1986,1987,1988,1989,1990,1991,1992,1993,1994,1995,1996,1997,1998,1999,2000,2001,2002,2003,2004,2005,2006,2007,2008,2009,2010,2011,2012,2013,2014,2015,2016,2017,2018,2019,2020,2021,2022,2023,2024,2025"</formula1>
    </dataValidation>
    <dataValidation type="list" allowBlank="1" showInputMessage="1" sqref="B5" xr:uid="{CBD480F3-DC7D-45B1-9B50-9F6123833B76}">
      <formula1>"별도,연결"</formula1>
    </dataValidation>
    <dataValidation type="list" allowBlank="1" showInputMessage="1" sqref="C8" xr:uid="{A6A54CA3-D414-42DE-A8B7-67962B4CE9C7}">
      <formula1>"천원,백만원,억원,십억원"</formula1>
    </dataValidation>
    <dataValidation type="list" allowBlank="1" showInputMessage="1" sqref="B8" xr:uid="{8ECDE1DD-67BA-446C-9CC6-5AA3CE67BBC8}">
      <formula1>"결산,누적분기,당분기"</formula1>
    </dataValidation>
    <dataValidation type="list" allowBlank="1" showInputMessage="1" sqref="B7" xr:uid="{86BD94C9-0106-47A9-9371-29FC836D0567}">
      <formula1>"상세(총액),상세(순액),요약,약식"</formula1>
    </dataValidation>
    <dataValidation type="list" allowBlank="1" showInputMessage="1" sqref="B6" xr:uid="{F302BF84-3513-46A2-AF2F-77E190398EFC}">
      <formula1>"전체,재무상태표,손익계산서,현금흐름표,자본금변동표"</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19</vt:i4>
      </vt:variant>
    </vt:vector>
  </HeadingPairs>
  <TitlesOfParts>
    <vt:vector size="19" baseType="lpstr">
      <vt:lpstr>Valuation ▶</vt:lpstr>
      <vt:lpstr>Implied PBR</vt:lpstr>
      <vt:lpstr>EV.Backlog</vt:lpstr>
      <vt:lpstr>Estimate ▶</vt:lpstr>
      <vt:lpstr>Expected BS</vt:lpstr>
      <vt:lpstr>Expected IS</vt:lpstr>
      <vt:lpstr>총매출</vt:lpstr>
      <vt:lpstr>건축주택</vt:lpstr>
      <vt:lpstr>건축주택-정비사업</vt:lpstr>
      <vt:lpstr>플랜트</vt:lpstr>
      <vt:lpstr>플랜트-원전</vt:lpstr>
      <vt:lpstr>토목 및 기타</vt:lpstr>
      <vt:lpstr>영업비용추정</vt:lpstr>
      <vt:lpstr>RAW ▶</vt:lpstr>
      <vt:lpstr>Multiple History</vt:lpstr>
      <vt:lpstr>도시정비_RAW</vt:lpstr>
      <vt:lpstr>IS(Y)</vt:lpstr>
      <vt:lpstr>BS(Y)</vt:lpstr>
      <vt:lpstr>CF(Y)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이호찬;박정훈;이영서;채현기</dc:creator>
  <cp:lastModifiedBy>이호찬</cp:lastModifiedBy>
  <dcterms:created xsi:type="dcterms:W3CDTF">2024-11-20T12:30:20Z</dcterms:created>
  <dcterms:modified xsi:type="dcterms:W3CDTF">2025-07-30T14:47:23Z</dcterms:modified>
</cp:coreProperties>
</file>