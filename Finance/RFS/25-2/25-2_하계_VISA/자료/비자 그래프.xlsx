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채현기\Desktop\RFS\25-2\25-하계_VISA\"/>
    </mc:Choice>
  </mc:AlternateContent>
  <xr:revisionPtr revIDLastSave="0" documentId="13_ncr:1_{F9A12E83-274D-4CE5-AD19-B731A522C858}" xr6:coauthVersionLast="47" xr6:coauthVersionMax="47" xr10:uidLastSave="{00000000-0000-0000-0000-000000000000}"/>
  <bookViews>
    <workbookView xWindow="11424" yWindow="0" windowWidth="11712" windowHeight="13056" firstSheet="1" activeTab="1" xr2:uid="{E32A4959-9A42-4DAF-8BBA-D14E91409C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D4" i="1" l="1"/>
  <c r="D5" i="1"/>
  <c r="D6" i="1"/>
  <c r="D3" i="1"/>
  <c r="C8" i="1"/>
</calcChain>
</file>

<file path=xl/sharedStrings.xml><?xml version="1.0" encoding="utf-8"?>
<sst xmlns="http://schemas.openxmlformats.org/spreadsheetml/2006/main" count="48" uniqueCount="45">
  <si>
    <t>기타</t>
    <phoneticPr fontId="2" type="noConversion"/>
  </si>
  <si>
    <t>고객 인센티브</t>
    <phoneticPr fontId="2" type="noConversion"/>
  </si>
  <si>
    <t>해외 결제 수수료</t>
    <phoneticPr fontId="2" type="noConversion"/>
  </si>
  <si>
    <t>결제 서비스</t>
    <phoneticPr fontId="2" type="noConversion"/>
  </si>
  <si>
    <t>데이터 처리</t>
    <phoneticPr fontId="2" type="noConversion"/>
  </si>
  <si>
    <t>미국</t>
    <phoneticPr fontId="2" type="noConversion"/>
  </si>
  <si>
    <t>유럽</t>
    <phoneticPr fontId="2" type="noConversion"/>
  </si>
  <si>
    <t>APAC</t>
    <phoneticPr fontId="2" type="noConversion"/>
  </si>
  <si>
    <t>그 외</t>
    <phoneticPr fontId="2" type="noConversion"/>
  </si>
  <si>
    <t>OPM</t>
    <phoneticPr fontId="2" type="noConversion"/>
  </si>
  <si>
    <t>2Q08</t>
    <phoneticPr fontId="2" type="noConversion"/>
  </si>
  <si>
    <t>3Q08</t>
    <phoneticPr fontId="2" type="noConversion"/>
  </si>
  <si>
    <t>4Q08</t>
    <phoneticPr fontId="2" type="noConversion"/>
  </si>
  <si>
    <t>1Q08</t>
    <phoneticPr fontId="2" type="noConversion"/>
  </si>
  <si>
    <t>GDP 성장률</t>
    <phoneticPr fontId="2" type="noConversion"/>
  </si>
  <si>
    <t>1Q20</t>
    <phoneticPr fontId="2" type="noConversion"/>
  </si>
  <si>
    <t>2Q20</t>
    <phoneticPr fontId="2" type="noConversion"/>
  </si>
  <si>
    <t>3Q20</t>
    <phoneticPr fontId="2" type="noConversion"/>
  </si>
  <si>
    <t>4Q20</t>
    <phoneticPr fontId="2" type="noConversion"/>
  </si>
  <si>
    <t>operating income/operating revenue</t>
    <phoneticPr fontId="2" type="noConversion"/>
  </si>
  <si>
    <t>순매출액 대비 영업비용</t>
    <phoneticPr fontId="2" type="noConversion"/>
  </si>
  <si>
    <t>영업비용 YoY</t>
    <phoneticPr fontId="2" type="noConversion"/>
  </si>
  <si>
    <t>순매출액 YoY</t>
    <phoneticPr fontId="2" type="noConversion"/>
  </si>
  <si>
    <t>CMS</t>
    <phoneticPr fontId="2" type="noConversion"/>
  </si>
  <si>
    <t>VAS</t>
    <phoneticPr fontId="2" type="noConversion"/>
  </si>
  <si>
    <t>FY24 VAS 매출</t>
  </si>
  <si>
    <t>35억 달러</t>
  </si>
  <si>
    <t>25억 달러</t>
  </si>
  <si>
    <t>15억 달러</t>
  </si>
  <si>
    <t>13억 달러</t>
  </si>
  <si>
    <t>88억 달러</t>
  </si>
  <si>
    <t>사업부문</t>
    <phoneticPr fontId="2" type="noConversion"/>
  </si>
  <si>
    <t>Issuing Solutions</t>
    <phoneticPr fontId="2" type="noConversion"/>
  </si>
  <si>
    <t>Acceptance Solutions</t>
    <phoneticPr fontId="2" type="noConversion"/>
  </si>
  <si>
    <t>Risk &amp; Security Solutions</t>
    <phoneticPr fontId="2" type="noConversion"/>
  </si>
  <si>
    <t>Advisory &amp; Other Services</t>
    <phoneticPr fontId="2" type="noConversion"/>
  </si>
  <si>
    <t>10% 중반</t>
    <phoneticPr fontId="2" type="noConversion"/>
  </si>
  <si>
    <t>20% 초반</t>
    <phoneticPr fontId="2" type="noConversion"/>
  </si>
  <si>
    <t>30% 중반</t>
    <phoneticPr fontId="2" type="noConversion"/>
  </si>
  <si>
    <t>10% 후반</t>
    <phoneticPr fontId="2" type="noConversion"/>
  </si>
  <si>
    <t>주요 이익원</t>
    <phoneticPr fontId="2" type="noConversion"/>
  </si>
  <si>
    <t>거래 처리량, 프리미엄 카드 발급 수량</t>
    <phoneticPr fontId="2" type="noConversion"/>
  </si>
  <si>
    <t>전체 결제 거래량</t>
    <phoneticPr fontId="2" type="noConversion"/>
  </si>
  <si>
    <t>고객사 대상 컨설팅, 참여 기반 수익</t>
    <phoneticPr fontId="2" type="noConversion"/>
  </si>
  <si>
    <t>22~'24년 CAGR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</si>
</sst>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 val="singleAccounting"/>
      <sz val="11"/>
      <color theme="1"/>
      <name val="맑은 고딕"/>
      <family val="2"/>
      <charset val="129"/>
      <scheme val="minor"/>
    </font>
    <font>
      <sz val="11"/>
      <color theme="0"/>
      <name val="KoPubWorld돋움체 Bold"/>
      <family val="3"/>
      <charset val="129"/>
    </font>
    <font>
      <sz val="11"/>
      <color theme="1"/>
      <name val="KoPubWorld돋움체 Mediu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D0CE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9" fontId="0" fillId="0" borderId="0" xfId="1" applyFont="1" applyAlignment="1">
      <alignment horizontal="center" vertical="center"/>
    </xf>
    <xf numFmtId="0" fontId="3" fillId="0" borderId="0" xfId="0" applyFont="1">
      <alignment vertical="center"/>
    </xf>
    <xf numFmtId="176" fontId="0" fillId="0" borderId="0" xfId="1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D0CECE"/>
      <color rgb="FF20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Sheet1!$D$3:$D$6</c:f>
              <c:strCache>
                <c:ptCount val="4"/>
                <c:pt idx="0">
                  <c:v>30.6%</c:v>
                </c:pt>
                <c:pt idx="1">
                  <c:v>36.4%</c:v>
                </c:pt>
                <c:pt idx="2">
                  <c:v>25.7%</c:v>
                </c:pt>
                <c:pt idx="3">
                  <c:v>7.3%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00-4FF6-86AD-F4350BE0EE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00-4FF6-86AD-F4350BE0EE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00-4FF6-86AD-F4350BE0EE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00-4FF6-86AD-F4350BE0EE54}"/>
              </c:ext>
            </c:extLst>
          </c:dPt>
          <c:cat>
            <c:strRef>
              <c:f>Sheet1!$B$3:$B$6</c:f>
              <c:strCache>
                <c:ptCount val="4"/>
                <c:pt idx="0">
                  <c:v>결제 서비스</c:v>
                </c:pt>
                <c:pt idx="1">
                  <c:v>데이터 처리</c:v>
                </c:pt>
                <c:pt idx="2">
                  <c:v>해외 결제 수수료</c:v>
                </c:pt>
                <c:pt idx="3">
                  <c:v>기타</c:v>
                </c:pt>
              </c:strCache>
            </c:strRef>
          </c:cat>
          <c:val>
            <c:numRef>
              <c:f>Sheet1!$C$3:$C$6</c:f>
              <c:numCache>
                <c:formatCode>0.0%</c:formatCode>
                <c:ptCount val="4"/>
                <c:pt idx="0">
                  <c:v>0.30613687782805432</c:v>
                </c:pt>
                <c:pt idx="1">
                  <c:v>0.36432409502262442</c:v>
                </c:pt>
                <c:pt idx="2">
                  <c:v>0.25685803167420812</c:v>
                </c:pt>
                <c:pt idx="3">
                  <c:v>7.2680995475113128E-2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A-49C1-96B9-F53A4899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6C-45B3-BACA-09EC785026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6C-45B3-BACA-09EC785026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6C-45B3-BACA-09EC785026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6C-45B3-BACA-09EC7850265B}"/>
              </c:ext>
            </c:extLst>
          </c:dPt>
          <c:cat>
            <c:strRef>
              <c:f>Sheet1!$B$15:$B$18</c:f>
              <c:strCache>
                <c:ptCount val="4"/>
                <c:pt idx="0">
                  <c:v>미국</c:v>
                </c:pt>
                <c:pt idx="1">
                  <c:v>유럽</c:v>
                </c:pt>
                <c:pt idx="2">
                  <c:v>APAC</c:v>
                </c:pt>
                <c:pt idx="3">
                  <c:v>그 외</c:v>
                </c:pt>
              </c:strCache>
            </c:strRef>
          </c:cat>
          <c:val>
            <c:numRef>
              <c:f>Sheet1!$C$15:$C$18</c:f>
              <c:numCache>
                <c:formatCode>0.00%</c:formatCode>
                <c:ptCount val="4"/>
                <c:pt idx="0">
                  <c:v>0.45100000000000001</c:v>
                </c:pt>
                <c:pt idx="1">
                  <c:v>0.20399999999999999</c:v>
                </c:pt>
                <c:pt idx="2">
                  <c:v>0.14599999999999999</c:v>
                </c:pt>
                <c:pt idx="3">
                  <c:v>0.19900000000000001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D-41F2-9AD3-BD067123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Sheet1!$B$41</c:f>
              <c:strCache>
                <c:ptCount val="1"/>
                <c:pt idx="0">
                  <c:v>순매출액 대비 영업비용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Sheet1!$C$38:$F$38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Sheet1!$C$41:$F$41</c:f>
              <c:numCache>
                <c:formatCode>0.0%</c:formatCode>
                <c:ptCount val="4"/>
                <c:pt idx="0">
                  <c:v>0.34436838830118233</c:v>
                </c:pt>
                <c:pt idx="1">
                  <c:v>0.35813715455475947</c:v>
                </c:pt>
                <c:pt idx="2">
                  <c:v>0.35687379413836401</c:v>
                </c:pt>
                <c:pt idx="3">
                  <c:v>0.34323331292100429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BA-476E-8233-F19B13570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1845856"/>
        <c:axId val="1881836736"/>
      </c:barChart>
      <c:lineChart>
        <c:grouping val="standar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영업비용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Sheet1!$C$38:$F$38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Sheet1!$C$39:$F$39</c:f>
              <c:numCache>
                <c:formatCode>0.0%</c:formatCode>
                <c:ptCount val="4"/>
                <c:pt idx="0">
                  <c:v>6.9036529367303201E-2</c:v>
                </c:pt>
                <c:pt idx="1">
                  <c:v>0.26458275205324644</c:v>
                </c:pt>
                <c:pt idx="2">
                  <c:v>0.11009685266101754</c:v>
                </c:pt>
                <c:pt idx="3">
                  <c:v>5.8203065479969673E-2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A-476E-8233-F19B13570C03}"/>
            </c:ext>
          </c:extLst>
        </c:ser>
        <c:ser>
          <c:idx val="1"/>
          <c:order val="1"/>
          <c:tx>
            <c:strRef>
              <c:f>Sheet1!$B$40</c:f>
              <c:strCache>
                <c:ptCount val="1"/>
                <c:pt idx="0">
                  <c:v>순매출액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Sheet1!$C$38:$F$38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Sheet1!$C$40:$F$40</c:f>
              <c:numCache>
                <c:formatCode>0.0%</c:formatCode>
                <c:ptCount val="4"/>
                <c:pt idx="0">
                  <c:v>0.10340565778632249</c:v>
                </c:pt>
                <c:pt idx="1">
                  <c:v>0.21593030491599263</c:v>
                </c:pt>
                <c:pt idx="2">
                  <c:v>0.11405663596042315</c:v>
                </c:pt>
                <c:pt idx="3">
                  <c:v>0.10023581294214923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A-476E-8233-F19B13570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1845856"/>
        <c:axId val="1881836736"/>
      </c:lineChart>
      <c:catAx>
        <c:axId val="1881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1836736"/>
        <c:crosses val="autoZero"/>
        <c:auto val="1"/>
        <c:lblAlgn val="ctr"/>
        <c:lblOffset val="100"/>
        <c:noMultiLvlLbl val="0"/>
      </c:catAx>
      <c:valAx>
        <c:axId val="188183673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1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OPM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Sheet1!$C$28:$F$28</c:f>
              <c:strCache>
                <c:ptCount val="4"/>
                <c:pt idx="0">
                  <c:v>1Q08</c:v>
                </c:pt>
                <c:pt idx="1">
                  <c:v>2Q08</c:v>
                </c:pt>
                <c:pt idx="2">
                  <c:v>3Q08</c:v>
                </c:pt>
                <c:pt idx="3">
                  <c:v>4Q08</c:v>
                </c:pt>
              </c:strCache>
            </c:strRef>
          </c:cat>
          <c:val>
            <c:numRef>
              <c:f>Sheet1!$C$29:$F$29</c:f>
              <c:numCache>
                <c:formatCode>0.00%</c:formatCode>
                <c:ptCount val="4"/>
                <c:pt idx="0">
                  <c:v>0.49099999999999999</c:v>
                </c:pt>
                <c:pt idx="1">
                  <c:v>0.46100000000000002</c:v>
                </c:pt>
                <c:pt idx="2" formatCode="0%">
                  <c:v>0.45</c:v>
                </c:pt>
                <c:pt idx="3" formatCode="0%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7-40EF-B555-F47C5E66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839616"/>
        <c:axId val="1881842976"/>
      </c:barChart>
      <c:lineChart>
        <c:grouping val="standard"/>
        <c:varyColors val="0"/>
        <c:ser>
          <c:idx val="1"/>
          <c:order val="1"/>
          <c:tx>
            <c:strRef>
              <c:f>Sheet1!$B$30</c:f>
              <c:strCache>
                <c:ptCount val="1"/>
                <c:pt idx="0">
                  <c:v>GDP 성장률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Sheet1!$C$28:$F$28</c:f>
              <c:strCache>
                <c:ptCount val="4"/>
                <c:pt idx="0">
                  <c:v>1Q08</c:v>
                </c:pt>
                <c:pt idx="1">
                  <c:v>2Q08</c:v>
                </c:pt>
                <c:pt idx="2">
                  <c:v>3Q08</c:v>
                </c:pt>
                <c:pt idx="3">
                  <c:v>4Q08</c:v>
                </c:pt>
              </c:strCache>
            </c:strRef>
          </c:cat>
          <c:val>
            <c:numRef>
              <c:f>Sheet1!$C$30:$F$30</c:f>
              <c:numCache>
                <c:formatCode>0.0%</c:formatCode>
                <c:ptCount val="4"/>
                <c:pt idx="0">
                  <c:v>-6.0000000000000001E-3</c:v>
                </c:pt>
                <c:pt idx="1">
                  <c:v>2.1999999999999999E-2</c:v>
                </c:pt>
                <c:pt idx="2">
                  <c:v>-2.1000000000000001E-2</c:v>
                </c:pt>
                <c:pt idx="3">
                  <c:v>-8.4000000000000005E-2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7-40EF-B555-F47C5E66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1812736"/>
        <c:axId val="1881812256"/>
      </c:lineChart>
      <c:catAx>
        <c:axId val="18818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1842976"/>
        <c:crosses val="autoZero"/>
        <c:auto val="1"/>
        <c:lblAlgn val="ctr"/>
        <c:lblOffset val="100"/>
        <c:noMultiLvlLbl val="0"/>
      </c:catAx>
      <c:valAx>
        <c:axId val="188184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1839616"/>
        <c:crosses val="autoZero"/>
        <c:crossBetween val="between"/>
      </c:valAx>
      <c:valAx>
        <c:axId val="188181225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1812736"/>
        <c:crosses val="max"/>
        <c:crossBetween val="between"/>
      </c:valAx>
      <c:catAx>
        <c:axId val="1881812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181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OPM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</c:strCache>
            </c:strRef>
          </c:cat>
          <c:val>
            <c:numRef>
              <c:f>Sheet1!$C$35:$F$35</c:f>
              <c:numCache>
                <c:formatCode>0.0%</c:formatCode>
                <c:ptCount val="4"/>
                <c:pt idx="0">
                  <c:v>0.67031089853091907</c:v>
                </c:pt>
                <c:pt idx="1">
                  <c:v>0.62001240438288197</c:v>
                </c:pt>
                <c:pt idx="2">
                  <c:v>0.61595765536169378</c:v>
                </c:pt>
                <c:pt idx="3">
                  <c:v>0.6759275540706875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5-47C3-92E5-0E675AE6F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840160"/>
        <c:axId val="567837280"/>
      </c:barChart>
      <c:lineChart>
        <c:grouping val="standard"/>
        <c:varyColors val="0"/>
        <c:ser>
          <c:idx val="1"/>
          <c:order val="1"/>
          <c:tx>
            <c:strRef>
              <c:f>Sheet1!$B$36</c:f>
              <c:strCache>
                <c:ptCount val="1"/>
                <c:pt idx="0">
                  <c:v>GDP 성장률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Sheet1!$C$34:$F$34</c:f>
              <c:strCache>
                <c:ptCount val="4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</c:strCache>
            </c:strRef>
          </c:cat>
          <c:val>
            <c:numRef>
              <c:f>Sheet1!$C$36:$F$36</c:f>
              <c:numCache>
                <c:formatCode>0.0%</c:formatCode>
                <c:ptCount val="4"/>
                <c:pt idx="0">
                  <c:v>-5.0999999999999997E-2</c:v>
                </c:pt>
                <c:pt idx="1">
                  <c:v>-0.29899999999999999</c:v>
                </c:pt>
                <c:pt idx="2">
                  <c:v>0.35299999999999998</c:v>
                </c:pt>
                <c:pt idx="3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5-47C3-92E5-0E675AE6F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838720"/>
        <c:axId val="567830560"/>
      </c:lineChart>
      <c:catAx>
        <c:axId val="5678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7837280"/>
        <c:crosses val="autoZero"/>
        <c:auto val="1"/>
        <c:lblAlgn val="ctr"/>
        <c:lblOffset val="100"/>
        <c:noMultiLvlLbl val="0"/>
      </c:catAx>
      <c:valAx>
        <c:axId val="5678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7840160"/>
        <c:crosses val="autoZero"/>
        <c:crossBetween val="between"/>
      </c:valAx>
      <c:valAx>
        <c:axId val="5678305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7838720"/>
        <c:crosses val="max"/>
        <c:crossBetween val="between"/>
      </c:valAx>
      <c:catAx>
        <c:axId val="567838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7830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1</xdr:row>
      <xdr:rowOff>30480</xdr:rowOff>
    </xdr:from>
    <xdr:to>
      <xdr:col>11</xdr:col>
      <xdr:colOff>396240</xdr:colOff>
      <xdr:row>13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D53A2B8-2795-6CE0-C1B4-E81FFBD6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13</xdr:row>
      <xdr:rowOff>175260</xdr:rowOff>
    </xdr:from>
    <xdr:to>
      <xdr:col>10</xdr:col>
      <xdr:colOff>373380</xdr:colOff>
      <xdr:row>26</xdr:row>
      <xdr:rowOff>45720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C7FFC52-ADD2-4E30-2F69-70A66F6DE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422910</xdr:colOff>
      <xdr:row>42</xdr:row>
      <xdr:rowOff>99060</xdr:rowOff>
    </xdr:from>
    <xdr:to>
      <xdr:col>8</xdr:col>
      <xdr:colOff>262890</xdr:colOff>
      <xdr:row>54</xdr:row>
      <xdr:rowOff>160020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7528ECA-379F-EB83-4456-6DB524482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445394</xdr:colOff>
      <xdr:row>25</xdr:row>
      <xdr:rowOff>200696</xdr:rowOff>
    </xdr:from>
    <xdr:to>
      <xdr:col>14</xdr:col>
      <xdr:colOff>359535</xdr:colOff>
      <xdr:row>38</xdr:row>
      <xdr:rowOff>13952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4E173B0C-AF3D-F2D7-976E-86DB24DD3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509789</xdr:colOff>
      <xdr:row>36</xdr:row>
      <xdr:rowOff>157767</xdr:rowOff>
    </xdr:from>
    <xdr:to>
      <xdr:col>14</xdr:col>
      <xdr:colOff>423930</xdr:colOff>
      <xdr:row>48</xdr:row>
      <xdr:rowOff>174939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CC9767E2-2C97-67CC-D4FF-99E3747B4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457319</xdr:colOff>
      <xdr:row>3</xdr:row>
      <xdr:rowOff>115536</xdr:rowOff>
    </xdr:from>
    <xdr:to>
      <xdr:col>7</xdr:col>
      <xdr:colOff>257102</xdr:colOff>
      <xdr:row>17</xdr:row>
      <xdr:rowOff>151680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B090EC-BFAC-E5A6-642F-D9C04612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087" y="776622"/>
          <a:ext cx="3156701" cy="31655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9</xdr:col>
      <xdr:colOff>452830</xdr:colOff>
      <xdr:row>40</xdr:row>
      <xdr:rowOff>16563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681E6-1D90-5115-EE08-7C4B1163C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1680" y="4198620"/>
          <a:ext cx="4476190" cy="4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120C-10BD-445E-9869-10804FFC473E}">
  <dimension ref="B3:J47"/>
  <sheetViews>
    <sheetView topLeftCell="A28" zoomScale="71" workbookViewId="0">
      <selection activeCell="K20" sqref="K20"/>
    </sheetView>
  </sheetViews>
  <sheetFormatPr defaultRowHeight="17.399999999999999" x14ac:dyDescent="0.4"/>
  <cols>
    <col min="4" max="4" width="9.296875" bestFit="1" customWidth="1"/>
  </cols>
  <sheetData>
    <row r="3" spans="2:4" x14ac:dyDescent="0.4">
      <c r="B3" t="s">
        <v>3</v>
      </c>
      <c r="C3" s="1">
        <v>0.30613687782805432</v>
      </c>
      <c r="D3" s="1">
        <f>C3/SUM($C$3:$C$6)</f>
        <v>0.30613687782805432</v>
      </c>
    </row>
    <row r="4" spans="2:4" x14ac:dyDescent="0.4">
      <c r="B4" t="s">
        <v>4</v>
      </c>
      <c r="C4" s="1">
        <v>0.36432409502262442</v>
      </c>
      <c r="D4" s="1">
        <f t="shared" ref="D4:D6" si="0">C4/SUM($C$3:$C$6)</f>
        <v>0.36432409502262442</v>
      </c>
    </row>
    <row r="5" spans="2:4" x14ac:dyDescent="0.4">
      <c r="B5" t="s">
        <v>2</v>
      </c>
      <c r="C5" s="1">
        <v>0.25685803167420812</v>
      </c>
      <c r="D5" s="1">
        <f t="shared" si="0"/>
        <v>0.25685803167420812</v>
      </c>
    </row>
    <row r="6" spans="2:4" x14ac:dyDescent="0.4">
      <c r="B6" t="s">
        <v>0</v>
      </c>
      <c r="C6" s="1">
        <v>7.2680995475113128E-2</v>
      </c>
      <c r="D6" s="1">
        <f t="shared" si="0"/>
        <v>7.2680995475113128E-2</v>
      </c>
    </row>
    <row r="7" spans="2:4" x14ac:dyDescent="0.4">
      <c r="B7" t="s">
        <v>1</v>
      </c>
      <c r="C7">
        <v>-3972</v>
      </c>
    </row>
    <row r="8" spans="2:4" x14ac:dyDescent="0.4">
      <c r="C8">
        <f>SUM(C3:C7)</f>
        <v>-3971</v>
      </c>
    </row>
    <row r="15" spans="2:4" x14ac:dyDescent="0.4">
      <c r="B15" t="s">
        <v>5</v>
      </c>
      <c r="C15" s="2">
        <v>0.45100000000000001</v>
      </c>
    </row>
    <row r="16" spans="2:4" x14ac:dyDescent="0.4">
      <c r="B16" t="s">
        <v>6</v>
      </c>
      <c r="C16" s="2">
        <v>0.20399999999999999</v>
      </c>
    </row>
    <row r="17" spans="2:10" x14ac:dyDescent="0.4">
      <c r="B17" t="s">
        <v>7</v>
      </c>
      <c r="C17" s="2">
        <v>0.14599999999999999</v>
      </c>
    </row>
    <row r="18" spans="2:10" x14ac:dyDescent="0.4">
      <c r="B18" t="s">
        <v>8</v>
      </c>
      <c r="C18" s="2">
        <v>0.19900000000000001</v>
      </c>
    </row>
    <row r="22" spans="2:10" x14ac:dyDescent="0.4">
      <c r="C22" t="s">
        <v>19</v>
      </c>
    </row>
    <row r="24" spans="2:10" x14ac:dyDescent="0.4">
      <c r="B24">
        <f>5435/9594</f>
        <v>0.56649989576818849</v>
      </c>
      <c r="C24">
        <f>6177/10172</f>
        <v>0.60725521038143926</v>
      </c>
    </row>
    <row r="28" spans="2:10" x14ac:dyDescent="0.4">
      <c r="C28" t="s">
        <v>13</v>
      </c>
      <c r="D28" t="s">
        <v>10</v>
      </c>
      <c r="E28" t="s">
        <v>11</v>
      </c>
      <c r="F28" t="s">
        <v>12</v>
      </c>
    </row>
    <row r="29" spans="2:10" x14ac:dyDescent="0.4">
      <c r="B29" t="s">
        <v>9</v>
      </c>
      <c r="C29" s="2">
        <v>0.49099999999999999</v>
      </c>
      <c r="D29" s="2">
        <v>0.46100000000000002</v>
      </c>
      <c r="E29" s="3">
        <v>0.45</v>
      </c>
      <c r="F29" s="3">
        <v>0.45</v>
      </c>
      <c r="G29" s="3"/>
      <c r="H29" s="3"/>
      <c r="I29" s="3"/>
      <c r="J29" s="3"/>
    </row>
    <row r="30" spans="2:10" x14ac:dyDescent="0.4">
      <c r="B30" t="s">
        <v>14</v>
      </c>
      <c r="C30" s="1">
        <v>-6.0000000000000001E-3</v>
      </c>
      <c r="D30" s="1">
        <v>2.1999999999999999E-2</v>
      </c>
      <c r="E30" s="1">
        <v>-2.1000000000000001E-2</v>
      </c>
      <c r="F30" s="1">
        <v>-8.4000000000000005E-2</v>
      </c>
      <c r="G30" s="1"/>
      <c r="H30" s="1"/>
      <c r="I30" s="1"/>
      <c r="J30" s="1"/>
    </row>
    <row r="34" spans="2:10" x14ac:dyDescent="0.4">
      <c r="C34" t="s">
        <v>15</v>
      </c>
      <c r="D34" t="s">
        <v>16</v>
      </c>
      <c r="E34" t="s">
        <v>17</v>
      </c>
      <c r="F34" t="s">
        <v>18</v>
      </c>
    </row>
    <row r="35" spans="2:10" x14ac:dyDescent="0.4">
      <c r="B35" t="s">
        <v>9</v>
      </c>
      <c r="C35" s="1">
        <v>0.67031089853091907</v>
      </c>
      <c r="D35" s="1">
        <v>0.62001240438288197</v>
      </c>
      <c r="E35" s="1">
        <v>0.61595765536169378</v>
      </c>
      <c r="F35" s="1">
        <v>0.6759275540706875</v>
      </c>
      <c r="G35" s="1"/>
      <c r="H35" s="1"/>
      <c r="I35" s="1"/>
      <c r="J35" s="1"/>
    </row>
    <row r="36" spans="2:10" x14ac:dyDescent="0.4">
      <c r="B36" t="s">
        <v>14</v>
      </c>
      <c r="C36" s="1">
        <v>-5.0999999999999997E-2</v>
      </c>
      <c r="D36" s="1">
        <v>-0.29899999999999999</v>
      </c>
      <c r="E36" s="1">
        <v>0.35299999999999998</v>
      </c>
      <c r="F36" s="1">
        <v>4.4999999999999998E-2</v>
      </c>
      <c r="G36" s="1"/>
      <c r="H36" s="1"/>
      <c r="I36" s="1"/>
      <c r="J36" s="1"/>
    </row>
    <row r="37" spans="2:10" x14ac:dyDescent="0.4">
      <c r="D37" s="2"/>
    </row>
    <row r="38" spans="2:10" x14ac:dyDescent="0.4">
      <c r="C38">
        <v>2021</v>
      </c>
      <c r="D38">
        <v>2022</v>
      </c>
      <c r="E38">
        <v>2023</v>
      </c>
      <c r="F38">
        <v>2024</v>
      </c>
    </row>
    <row r="39" spans="2:10" x14ac:dyDescent="0.4">
      <c r="B39" t="s">
        <v>21</v>
      </c>
      <c r="C39" s="1">
        <v>6.9036529367303201E-2</v>
      </c>
      <c r="D39" s="1">
        <v>0.26458275205324644</v>
      </c>
      <c r="E39" s="1">
        <v>0.11009685266101754</v>
      </c>
      <c r="F39" s="1">
        <v>5.8203065479969673E-2</v>
      </c>
    </row>
    <row r="40" spans="2:10" x14ac:dyDescent="0.4">
      <c r="B40" t="s">
        <v>22</v>
      </c>
      <c r="C40" s="1">
        <v>0.10340565778632249</v>
      </c>
      <c r="D40" s="6">
        <v>0.21593030491599263</v>
      </c>
      <c r="E40" s="1">
        <v>0.11405663596042315</v>
      </c>
      <c r="F40" s="1">
        <v>0.10023581294214923</v>
      </c>
    </row>
    <row r="41" spans="2:10" x14ac:dyDescent="0.4">
      <c r="B41" t="s">
        <v>20</v>
      </c>
      <c r="C41" s="6">
        <v>0.34436838830118233</v>
      </c>
      <c r="D41" s="1">
        <v>0.35813715455475947</v>
      </c>
      <c r="E41" s="1">
        <v>0.35687379413836401</v>
      </c>
      <c r="F41" s="1">
        <v>0.34323331292100429</v>
      </c>
    </row>
    <row r="42" spans="2:10" x14ac:dyDescent="0.4">
      <c r="D42" s="4"/>
    </row>
    <row r="43" spans="2:10" ht="19.8" x14ac:dyDescent="0.4">
      <c r="D43" s="4"/>
      <c r="G43" s="5"/>
    </row>
    <row r="44" spans="2:10" x14ac:dyDescent="0.4">
      <c r="D44" s="4"/>
    </row>
    <row r="45" spans="2:10" x14ac:dyDescent="0.4">
      <c r="D45" s="4"/>
    </row>
    <row r="46" spans="2:10" x14ac:dyDescent="0.4">
      <c r="D46" s="4"/>
    </row>
    <row r="47" spans="2:10" x14ac:dyDescent="0.4">
      <c r="D47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8A87-BB14-4A27-A5BB-2824D92AE717}">
  <dimension ref="B2:N9"/>
  <sheetViews>
    <sheetView tabSelected="1" zoomScale="86" zoomScaleNormal="220" workbookViewId="0">
      <selection activeCell="I10" sqref="I10"/>
    </sheetView>
  </sheetViews>
  <sheetFormatPr defaultRowHeight="17.399999999999999" x14ac:dyDescent="0.4"/>
  <cols>
    <col min="11" max="11" width="13.8984375" bestFit="1" customWidth="1"/>
    <col min="12" max="12" width="24.3984375" bestFit="1" customWidth="1"/>
    <col min="13" max="13" width="14.796875" bestFit="1" customWidth="1"/>
    <col min="14" max="14" width="31.3984375" bestFit="1" customWidth="1"/>
  </cols>
  <sheetData>
    <row r="2" spans="2:14" x14ac:dyDescent="0.4">
      <c r="B2" t="s">
        <v>23</v>
      </c>
    </row>
    <row r="4" spans="2:14" ht="18" x14ac:dyDescent="0.4">
      <c r="K4" t="s">
        <v>25</v>
      </c>
      <c r="L4" s="7" t="s">
        <v>31</v>
      </c>
      <c r="M4" s="8" t="s">
        <v>44</v>
      </c>
      <c r="N4" s="7" t="s">
        <v>40</v>
      </c>
    </row>
    <row r="5" spans="2:14" ht="18" x14ac:dyDescent="0.4">
      <c r="K5" t="s">
        <v>26</v>
      </c>
      <c r="L5" s="9" t="s">
        <v>32</v>
      </c>
      <c r="M5" s="10" t="s">
        <v>36</v>
      </c>
      <c r="N5" s="10" t="s">
        <v>41</v>
      </c>
    </row>
    <row r="6" spans="2:14" ht="18" x14ac:dyDescent="0.4">
      <c r="K6" t="s">
        <v>27</v>
      </c>
      <c r="L6" s="9" t="s">
        <v>33</v>
      </c>
      <c r="M6" s="10" t="s">
        <v>37</v>
      </c>
      <c r="N6" s="10" t="s">
        <v>42</v>
      </c>
    </row>
    <row r="7" spans="2:14" ht="18" x14ac:dyDescent="0.4">
      <c r="K7" t="s">
        <v>28</v>
      </c>
      <c r="L7" s="9" t="s">
        <v>34</v>
      </c>
      <c r="M7" s="10" t="s">
        <v>39</v>
      </c>
      <c r="N7" s="10" t="s">
        <v>42</v>
      </c>
    </row>
    <row r="8" spans="2:14" ht="18" x14ac:dyDescent="0.4">
      <c r="B8" t="s">
        <v>24</v>
      </c>
      <c r="K8" t="s">
        <v>29</v>
      </c>
      <c r="L8" s="9" t="s">
        <v>35</v>
      </c>
      <c r="M8" s="10" t="s">
        <v>38</v>
      </c>
      <c r="N8" s="10" t="s">
        <v>43</v>
      </c>
    </row>
    <row r="9" spans="2:14" x14ac:dyDescent="0.4">
      <c r="K9" t="s">
        <v>30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2025-08-07T07:35:38Z</dcterms:created>
  <dcterms:modified xsi:type="dcterms:W3CDTF">2025-08-12T04:52:35Z</dcterms:modified>
</cp:coreProperties>
</file>