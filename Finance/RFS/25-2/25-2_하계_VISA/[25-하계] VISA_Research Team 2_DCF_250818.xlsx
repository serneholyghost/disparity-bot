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채현기\Desktop\RFS\25-2\25-하계_VISA\"/>
    </mc:Choice>
  </mc:AlternateContent>
  <xr:revisionPtr revIDLastSave="0" documentId="13_ncr:1_{FE8EECFD-D599-4597-B18A-817E2D002FB6}" xr6:coauthVersionLast="47" xr6:coauthVersionMax="47" xr10:uidLastSave="{00000000-0000-0000-0000-000000000000}"/>
  <bookViews>
    <workbookView xWindow="-108" yWindow="-108" windowWidth="23256" windowHeight="13176" firstSheet="1" activeTab="1" xr2:uid="{F52739E2-C55F-4E65-9A6B-D3EE7997DB00}"/>
  </bookViews>
  <sheets>
    <sheet name="Estimation &gt;&gt;&gt;" sheetId="11" r:id="rId1"/>
    <sheet name="DCF Summary" sheetId="10" r:id="rId2"/>
    <sheet name="IS" sheetId="9" r:id="rId3"/>
    <sheet name="FA Schedule" sheetId="8" r:id="rId4"/>
    <sheet name="Change in NWC" sheetId="7" r:id="rId5"/>
    <sheet name="WACC" sheetId="6" r:id="rId6"/>
    <sheet name="매출액" sheetId="5" r:id="rId7"/>
    <sheet name="매출 세부 추정" sheetId="17" r:id="rId8"/>
    <sheet name="비용 추정" sheetId="15" r:id="rId9"/>
    <sheet name="HISTORY&gt;&gt;&gt;" sheetId="4" r:id="rId10"/>
    <sheet name="IS(Yearly)" sheetId="1" r:id="rId11"/>
    <sheet name="BS(Yearly)" sheetId="2" r:id="rId12"/>
    <sheet name="BS 표준화" sheetId="13" r:id="rId13"/>
    <sheet name="CF(Yearly)" sheetId="3" r:id="rId14"/>
    <sheet name="CF 표준화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0" l="1"/>
  <c r="J54" i="17"/>
  <c r="K54" i="17"/>
  <c r="L54" i="17" s="1"/>
  <c r="M54" i="17" s="1"/>
  <c r="N54" i="17" s="1"/>
  <c r="I54" i="17"/>
  <c r="D44" i="7" l="1"/>
  <c r="E44" i="7"/>
  <c r="F44" i="7"/>
  <c r="G44" i="7"/>
  <c r="H44" i="7"/>
  <c r="E12" i="6" l="1"/>
  <c r="E13" i="6" s="1"/>
  <c r="E7" i="8"/>
  <c r="F7" i="8"/>
  <c r="G7" i="8"/>
  <c r="H7" i="8"/>
  <c r="D7" i="8"/>
  <c r="I9" i="10"/>
  <c r="F40" i="10"/>
  <c r="E24" i="6"/>
  <c r="H55" i="17" l="1"/>
  <c r="G55" i="17"/>
  <c r="F55" i="17"/>
  <c r="E55" i="17"/>
  <c r="I55" i="17"/>
  <c r="H13" i="5" l="1"/>
  <c r="I13" i="5"/>
  <c r="E47" i="17"/>
  <c r="H43" i="17"/>
  <c r="I43" i="17" s="1"/>
  <c r="G43" i="17"/>
  <c r="F43" i="17"/>
  <c r="E43" i="17"/>
  <c r="D43" i="17"/>
  <c r="I44" i="17"/>
  <c r="J44" i="17" s="1"/>
  <c r="H47" i="17"/>
  <c r="G47" i="17"/>
  <c r="F47" i="17"/>
  <c r="J13" i="5" l="1"/>
  <c r="J55" i="17"/>
  <c r="K44" i="17"/>
  <c r="I46" i="17"/>
  <c r="J43" i="17"/>
  <c r="K43" i="17" s="1"/>
  <c r="L43" i="17" s="1"/>
  <c r="M43" i="17" s="1"/>
  <c r="N43" i="17" s="1"/>
  <c r="K13" i="5" l="1"/>
  <c r="K55" i="17"/>
  <c r="I47" i="17"/>
  <c r="H11" i="5"/>
  <c r="J46" i="17"/>
  <c r="L44" i="17"/>
  <c r="K46" i="17"/>
  <c r="L13" i="5" l="1"/>
  <c r="L55" i="17"/>
  <c r="K47" i="17"/>
  <c r="J11" i="5"/>
  <c r="J47" i="17"/>
  <c r="I11" i="5"/>
  <c r="M44" i="17"/>
  <c r="L46" i="17"/>
  <c r="M55" i="17" l="1"/>
  <c r="L47" i="17"/>
  <c r="K11" i="5"/>
  <c r="M46" i="17"/>
  <c r="N44" i="17"/>
  <c r="N46" i="17" s="1"/>
  <c r="N55" i="17" l="1"/>
  <c r="M13" i="5"/>
  <c r="N47" i="17"/>
  <c r="M11" i="5"/>
  <c r="M47" i="17"/>
  <c r="L11" i="5"/>
  <c r="D20" i="17" l="1"/>
  <c r="E23" i="17"/>
  <c r="F23" i="17"/>
  <c r="G23" i="17"/>
  <c r="H23" i="17"/>
  <c r="D23" i="17"/>
  <c r="R37" i="17"/>
  <c r="S37" i="17" s="1"/>
  <c r="T37" i="17" s="1"/>
  <c r="U37" i="17" s="1"/>
  <c r="V37" i="17" s="1"/>
  <c r="R36" i="17"/>
  <c r="S36" i="17" s="1"/>
  <c r="T36" i="17" s="1"/>
  <c r="U36" i="17" s="1"/>
  <c r="V36" i="17" s="1"/>
  <c r="R35" i="17"/>
  <c r="S35" i="17" s="1"/>
  <c r="T35" i="17" s="1"/>
  <c r="U35" i="17" s="1"/>
  <c r="V35" i="17" s="1"/>
  <c r="Q34" i="17"/>
  <c r="R18" i="17" s="1"/>
  <c r="V33" i="17"/>
  <c r="R33" i="17"/>
  <c r="S33" i="17" s="1"/>
  <c r="T33" i="17" s="1"/>
  <c r="R32" i="17"/>
  <c r="S32" i="17" s="1"/>
  <c r="T32" i="17" s="1"/>
  <c r="U32" i="17" s="1"/>
  <c r="R29" i="17"/>
  <c r="S29" i="17" s="1"/>
  <c r="T29" i="17" s="1"/>
  <c r="U29" i="17" s="1"/>
  <c r="V29" i="17" s="1"/>
  <c r="R28" i="17"/>
  <c r="S28" i="17" s="1"/>
  <c r="T28" i="17" s="1"/>
  <c r="U28" i="17" s="1"/>
  <c r="V28" i="17" s="1"/>
  <c r="R27" i="17"/>
  <c r="S27" i="17" s="1"/>
  <c r="T27" i="17" s="1"/>
  <c r="U27" i="17" s="1"/>
  <c r="V27" i="17" s="1"/>
  <c r="R26" i="17"/>
  <c r="S26" i="17" s="1"/>
  <c r="T26" i="17" s="1"/>
  <c r="U26" i="17" s="1"/>
  <c r="V26" i="17" s="1"/>
  <c r="R25" i="17"/>
  <c r="S25" i="17" s="1"/>
  <c r="T25" i="17" s="1"/>
  <c r="U25" i="17" s="1"/>
  <c r="V25" i="17" s="1"/>
  <c r="R24" i="17"/>
  <c r="S24" i="17" s="1"/>
  <c r="T24" i="17" s="1"/>
  <c r="U24" i="17" s="1"/>
  <c r="V24" i="17" s="1"/>
  <c r="R21" i="17"/>
  <c r="R20" i="17"/>
  <c r="R19" i="17"/>
  <c r="H19" i="17"/>
  <c r="G19" i="17"/>
  <c r="F19" i="17"/>
  <c r="E19" i="17"/>
  <c r="R17" i="17"/>
  <c r="H17" i="17"/>
  <c r="G17" i="17"/>
  <c r="F17" i="17"/>
  <c r="E17" i="17"/>
  <c r="R16" i="17"/>
  <c r="S16" i="17" s="1"/>
  <c r="H15" i="17"/>
  <c r="G15" i="17"/>
  <c r="F15" i="17"/>
  <c r="E15" i="17"/>
  <c r="Q13" i="17"/>
  <c r="I19" i="17" s="1"/>
  <c r="I18" i="17" s="1"/>
  <c r="H13" i="17"/>
  <c r="G13" i="17"/>
  <c r="F13" i="17"/>
  <c r="E13" i="17"/>
  <c r="Q12" i="17"/>
  <c r="I17" i="17" s="1"/>
  <c r="I16" i="17" s="1"/>
  <c r="Q11" i="17"/>
  <c r="I15" i="17" s="1"/>
  <c r="I14" i="17" s="1"/>
  <c r="H11" i="17"/>
  <c r="G11" i="17"/>
  <c r="F11" i="17"/>
  <c r="E11" i="17"/>
  <c r="Q10" i="17"/>
  <c r="I13" i="17" s="1"/>
  <c r="I12" i="17" s="1"/>
  <c r="Q9" i="17"/>
  <c r="I11" i="17" s="1"/>
  <c r="I10" i="17" s="1"/>
  <c r="H9" i="17"/>
  <c r="G9" i="17"/>
  <c r="F9" i="17"/>
  <c r="E9" i="17"/>
  <c r="Q8" i="17"/>
  <c r="I9" i="17" s="1"/>
  <c r="I8" i="17" s="1"/>
  <c r="J10" i="10"/>
  <c r="J13" i="9"/>
  <c r="K10" i="10" s="1"/>
  <c r="K13" i="9"/>
  <c r="L10" i="10" s="1"/>
  <c r="L13" i="9"/>
  <c r="M10" i="10" s="1"/>
  <c r="M13" i="9"/>
  <c r="N10" i="10" s="1"/>
  <c r="N13" i="9"/>
  <c r="O10" i="10" s="1"/>
  <c r="I13" i="9"/>
  <c r="I18" i="15"/>
  <c r="H18" i="15"/>
  <c r="G18" i="15"/>
  <c r="F18" i="15"/>
  <c r="E18" i="15"/>
  <c r="L18" i="15"/>
  <c r="K18" i="15"/>
  <c r="J18" i="15"/>
  <c r="N18" i="15"/>
  <c r="M18" i="15"/>
  <c r="H12" i="15"/>
  <c r="G12" i="15"/>
  <c r="F12" i="15"/>
  <c r="E12" i="15"/>
  <c r="H24" i="17" l="1"/>
  <c r="S19" i="17"/>
  <c r="G24" i="17"/>
  <c r="D22" i="17"/>
  <c r="F20" i="17"/>
  <c r="H20" i="17"/>
  <c r="H22" i="17" s="1"/>
  <c r="I22" i="17" s="1"/>
  <c r="J22" i="17" s="1"/>
  <c r="K22" i="17" s="1"/>
  <c r="L22" i="17" s="1"/>
  <c r="M22" i="17" s="1"/>
  <c r="N22" i="17" s="1"/>
  <c r="E24" i="17"/>
  <c r="E20" i="17"/>
  <c r="G20" i="17"/>
  <c r="G22" i="17" s="1"/>
  <c r="S21" i="17"/>
  <c r="T21" i="17" s="1"/>
  <c r="F24" i="17"/>
  <c r="I12" i="15"/>
  <c r="I11" i="15" s="1"/>
  <c r="S17" i="17"/>
  <c r="T17" i="17" s="1"/>
  <c r="R9" i="17"/>
  <c r="J11" i="17" s="1"/>
  <c r="J10" i="17" s="1"/>
  <c r="R12" i="17"/>
  <c r="J17" i="17" s="1"/>
  <c r="J16" i="17" s="1"/>
  <c r="R11" i="17"/>
  <c r="J15" i="17" s="1"/>
  <c r="J14" i="17" s="1"/>
  <c r="R13" i="17"/>
  <c r="J19" i="17" s="1"/>
  <c r="J18" i="17" s="1"/>
  <c r="R8" i="17"/>
  <c r="J9" i="17" s="1"/>
  <c r="J8" i="17" s="1"/>
  <c r="T19" i="17"/>
  <c r="S11" i="17"/>
  <c r="K15" i="17" s="1"/>
  <c r="T16" i="17"/>
  <c r="S8" i="17"/>
  <c r="K9" i="17" s="1"/>
  <c r="F22" i="17"/>
  <c r="R10" i="17"/>
  <c r="J13" i="17" s="1"/>
  <c r="J12" i="17" s="1"/>
  <c r="I20" i="17"/>
  <c r="S20" i="17"/>
  <c r="R34" i="17"/>
  <c r="S34" i="17" s="1"/>
  <c r="T34" i="17" s="1"/>
  <c r="U34" i="17" s="1"/>
  <c r="V34" i="17" s="1"/>
  <c r="J12" i="15" l="1"/>
  <c r="J11" i="15" s="1"/>
  <c r="F21" i="17"/>
  <c r="E22" i="17"/>
  <c r="E21" i="17"/>
  <c r="S13" i="17"/>
  <c r="K19" i="17" s="1"/>
  <c r="G21" i="17"/>
  <c r="S9" i="17"/>
  <c r="K11" i="17" s="1"/>
  <c r="H21" i="17"/>
  <c r="K14" i="17"/>
  <c r="K18" i="17"/>
  <c r="S18" i="17"/>
  <c r="S10" i="17" s="1"/>
  <c r="K13" i="17" s="1"/>
  <c r="K12" i="17" s="1"/>
  <c r="K10" i="17"/>
  <c r="J20" i="17"/>
  <c r="K8" i="17"/>
  <c r="U16" i="17"/>
  <c r="T8" i="17"/>
  <c r="L9" i="17" s="1"/>
  <c r="T11" i="17"/>
  <c r="L15" i="17" s="1"/>
  <c r="U19" i="17"/>
  <c r="I21" i="17"/>
  <c r="I23" i="17"/>
  <c r="U21" i="17"/>
  <c r="T13" i="17"/>
  <c r="L19" i="17" s="1"/>
  <c r="U17" i="17"/>
  <c r="T9" i="17"/>
  <c r="L11" i="17" s="1"/>
  <c r="S12" i="17"/>
  <c r="K17" i="17" s="1"/>
  <c r="K16" i="17" s="1"/>
  <c r="T20" i="17"/>
  <c r="K12" i="15"/>
  <c r="L10" i="17" l="1"/>
  <c r="L18" i="17"/>
  <c r="T18" i="17"/>
  <c r="U18" i="17" s="1"/>
  <c r="L14" i="17"/>
  <c r="K11" i="15"/>
  <c r="L12" i="15"/>
  <c r="M12" i="15" s="1"/>
  <c r="N12" i="15" s="1"/>
  <c r="I24" i="17"/>
  <c r="H9" i="5"/>
  <c r="T12" i="17"/>
  <c r="L17" i="17" s="1"/>
  <c r="L16" i="17" s="1"/>
  <c r="U20" i="17"/>
  <c r="V16" i="17"/>
  <c r="V8" i="17" s="1"/>
  <c r="N9" i="17" s="1"/>
  <c r="U8" i="17"/>
  <c r="M9" i="17" s="1"/>
  <c r="V17" i="17"/>
  <c r="V9" i="17" s="1"/>
  <c r="N11" i="17" s="1"/>
  <c r="U9" i="17"/>
  <c r="M11" i="17" s="1"/>
  <c r="M10" i="17" s="1"/>
  <c r="K20" i="17"/>
  <c r="L8" i="17"/>
  <c r="J21" i="17"/>
  <c r="J23" i="17"/>
  <c r="V21" i="17"/>
  <c r="V13" i="17" s="1"/>
  <c r="N19" i="17" s="1"/>
  <c r="U13" i="17"/>
  <c r="M19" i="17" s="1"/>
  <c r="M18" i="17" s="1"/>
  <c r="V19" i="17"/>
  <c r="V11" i="17" s="1"/>
  <c r="N15" i="17" s="1"/>
  <c r="U11" i="17"/>
  <c r="M15" i="17" s="1"/>
  <c r="L11" i="15"/>
  <c r="M14" i="17" l="1"/>
  <c r="N14" i="17" s="1"/>
  <c r="T10" i="17"/>
  <c r="L13" i="17" s="1"/>
  <c r="L12" i="17" s="1"/>
  <c r="J24" i="17"/>
  <c r="I9" i="5"/>
  <c r="N18" i="17"/>
  <c r="V18" i="17"/>
  <c r="V10" i="17" s="1"/>
  <c r="N13" i="17" s="1"/>
  <c r="U10" i="17"/>
  <c r="M13" i="17" s="1"/>
  <c r="M12" i="17" s="1"/>
  <c r="N10" i="17"/>
  <c r="V20" i="17"/>
  <c r="V12" i="17" s="1"/>
  <c r="N17" i="17" s="1"/>
  <c r="U12" i="17"/>
  <c r="M17" i="17" s="1"/>
  <c r="M16" i="17" s="1"/>
  <c r="L20" i="17"/>
  <c r="M8" i="17"/>
  <c r="K23" i="17"/>
  <c r="K21" i="17"/>
  <c r="M11" i="15"/>
  <c r="N12" i="17" l="1"/>
  <c r="K24" i="17"/>
  <c r="J9" i="5"/>
  <c r="N16" i="17"/>
  <c r="M20" i="17"/>
  <c r="N8" i="17"/>
  <c r="L23" i="17"/>
  <c r="L21" i="17"/>
  <c r="N11" i="15"/>
  <c r="N20" i="17" l="1"/>
  <c r="N21" i="17" s="1"/>
  <c r="L24" i="17"/>
  <c r="K9" i="5"/>
  <c r="M23" i="17"/>
  <c r="M21" i="17"/>
  <c r="N23" i="17" l="1"/>
  <c r="M9" i="5" s="1"/>
  <c r="M24" i="17"/>
  <c r="L9" i="5"/>
  <c r="N24" i="17" l="1"/>
  <c r="D19" i="5"/>
  <c r="E19" i="5"/>
  <c r="F19" i="5"/>
  <c r="G19" i="5"/>
  <c r="H19" i="5" s="1"/>
  <c r="I19" i="5" s="1"/>
  <c r="C19" i="5"/>
  <c r="J19" i="5" l="1"/>
  <c r="D10" i="5"/>
  <c r="D12" i="5"/>
  <c r="D14" i="5"/>
  <c r="D18" i="5"/>
  <c r="D16" i="5"/>
  <c r="G18" i="5"/>
  <c r="F18" i="5"/>
  <c r="E18" i="5"/>
  <c r="G16" i="5"/>
  <c r="F16" i="5"/>
  <c r="E16" i="5"/>
  <c r="H16" i="5" s="1"/>
  <c r="M14" i="5"/>
  <c r="L14" i="5"/>
  <c r="K14" i="5"/>
  <c r="J14" i="5"/>
  <c r="I14" i="5"/>
  <c r="H14" i="5"/>
  <c r="G14" i="5"/>
  <c r="F14" i="5"/>
  <c r="E14" i="5"/>
  <c r="G12" i="5"/>
  <c r="F12" i="5"/>
  <c r="E12" i="5"/>
  <c r="M10" i="5"/>
  <c r="L10" i="5"/>
  <c r="K10" i="5"/>
  <c r="J10" i="5"/>
  <c r="I10" i="5"/>
  <c r="H10" i="5"/>
  <c r="G10" i="5"/>
  <c r="F10" i="5"/>
  <c r="E10" i="5"/>
  <c r="D7" i="5"/>
  <c r="E7" i="5"/>
  <c r="F7" i="5"/>
  <c r="G7" i="5"/>
  <c r="C7" i="5"/>
  <c r="H14" i="15"/>
  <c r="G14" i="15"/>
  <c r="F14" i="15"/>
  <c r="I14" i="15" s="1"/>
  <c r="E14" i="15"/>
  <c r="H16" i="15"/>
  <c r="G16" i="15"/>
  <c r="F16" i="15"/>
  <c r="E16" i="15"/>
  <c r="H15" i="5" l="1"/>
  <c r="K19" i="5"/>
  <c r="I16" i="5"/>
  <c r="I13" i="15"/>
  <c r="J14" i="15"/>
  <c r="J16" i="5" l="1"/>
  <c r="L19" i="5"/>
  <c r="M19" i="5" s="1"/>
  <c r="K16" i="5"/>
  <c r="L16" i="5" s="1"/>
  <c r="I15" i="5"/>
  <c r="H17" i="5"/>
  <c r="I9" i="15"/>
  <c r="J13" i="15"/>
  <c r="K14" i="15"/>
  <c r="E9" i="15"/>
  <c r="E7" i="15" s="1"/>
  <c r="F9" i="15"/>
  <c r="F7" i="15" s="1"/>
  <c r="G9" i="15"/>
  <c r="G7" i="15" s="1"/>
  <c r="H9" i="15"/>
  <c r="H7" i="15" s="1"/>
  <c r="D9" i="15"/>
  <c r="D7" i="15" s="1"/>
  <c r="H7" i="5" l="1"/>
  <c r="I45" i="7" s="1"/>
  <c r="H18" i="5"/>
  <c r="I9" i="9"/>
  <c r="J8" i="10" s="1"/>
  <c r="J15" i="5"/>
  <c r="I17" i="5"/>
  <c r="I18" i="5" s="1"/>
  <c r="M16" i="5"/>
  <c r="J9" i="15"/>
  <c r="H10" i="15"/>
  <c r="I10" i="15"/>
  <c r="H8" i="15"/>
  <c r="G10" i="15"/>
  <c r="F10" i="15"/>
  <c r="E8" i="15"/>
  <c r="E10" i="15"/>
  <c r="K13" i="15"/>
  <c r="L14" i="15"/>
  <c r="D8" i="5"/>
  <c r="E10" i="8"/>
  <c r="F10" i="8"/>
  <c r="G10" i="8"/>
  <c r="H10" i="8"/>
  <c r="D10" i="8"/>
  <c r="E22" i="7"/>
  <c r="F22" i="7"/>
  <c r="G22" i="7"/>
  <c r="H22" i="7"/>
  <c r="D22" i="7"/>
  <c r="D7" i="9"/>
  <c r="D8" i="9"/>
  <c r="D9" i="9"/>
  <c r="D11" i="9"/>
  <c r="D13" i="9"/>
  <c r="D19" i="9"/>
  <c r="D21" i="9"/>
  <c r="E8" i="8"/>
  <c r="E25" i="8" s="1"/>
  <c r="F22" i="8" s="1"/>
  <c r="F8" i="8"/>
  <c r="F25" i="8" s="1"/>
  <c r="G22" i="8" s="1"/>
  <c r="G8" i="8"/>
  <c r="G25" i="8" s="1"/>
  <c r="H22" i="8" s="1"/>
  <c r="H8" i="8"/>
  <c r="H25" i="8" s="1"/>
  <c r="I22" i="8" s="1"/>
  <c r="D8" i="8"/>
  <c r="D25" i="8" s="1"/>
  <c r="E22" i="8" s="1"/>
  <c r="E15" i="8"/>
  <c r="E24" i="8" s="1"/>
  <c r="F15" i="10" s="1"/>
  <c r="F15" i="8"/>
  <c r="F24" i="8" s="1"/>
  <c r="G15" i="8"/>
  <c r="H15" i="8"/>
  <c r="D15" i="8"/>
  <c r="D24" i="8" s="1"/>
  <c r="D28" i="8" s="1"/>
  <c r="J9" i="9" l="1"/>
  <c r="K8" i="10" s="1"/>
  <c r="K15" i="5"/>
  <c r="J17" i="5"/>
  <c r="J18" i="5" s="1"/>
  <c r="I7" i="5"/>
  <c r="J45" i="7" s="1"/>
  <c r="I7" i="9"/>
  <c r="J6" i="10"/>
  <c r="I21" i="7"/>
  <c r="H8" i="5"/>
  <c r="K9" i="15"/>
  <c r="J10" i="15"/>
  <c r="G8" i="15"/>
  <c r="F8" i="15"/>
  <c r="M14" i="15"/>
  <c r="N14" i="15" s="1"/>
  <c r="L13" i="15"/>
  <c r="D14" i="9"/>
  <c r="D34" i="9"/>
  <c r="D10" i="9"/>
  <c r="D15" i="9"/>
  <c r="D32" i="9" s="1"/>
  <c r="E8" i="5"/>
  <c r="F8" i="5"/>
  <c r="G8" i="5"/>
  <c r="E28" i="8"/>
  <c r="F28" i="8"/>
  <c r="G15" i="10"/>
  <c r="D35" i="9"/>
  <c r="D12" i="9"/>
  <c r="E15" i="10"/>
  <c r="D33" i="8"/>
  <c r="D23" i="8"/>
  <c r="D27" i="8" s="1"/>
  <c r="D19" i="8"/>
  <c r="E23" i="8"/>
  <c r="E27" i="8" s="1"/>
  <c r="F23" i="8"/>
  <c r="F27" i="8" s="1"/>
  <c r="H24" i="8"/>
  <c r="G24" i="8"/>
  <c r="K9" i="9" l="1"/>
  <c r="J7" i="5"/>
  <c r="K45" i="7" s="1"/>
  <c r="L15" i="5"/>
  <c r="K17" i="5"/>
  <c r="K18" i="5" s="1"/>
  <c r="I14" i="9"/>
  <c r="I10" i="9"/>
  <c r="K10" i="15"/>
  <c r="J7" i="9"/>
  <c r="J21" i="7"/>
  <c r="K6" i="10"/>
  <c r="L9" i="15"/>
  <c r="M13" i="15"/>
  <c r="N13" i="15" s="1"/>
  <c r="D16" i="9"/>
  <c r="G28" i="8"/>
  <c r="H15" i="10"/>
  <c r="H28" i="8"/>
  <c r="I28" i="8" s="1"/>
  <c r="I15" i="10"/>
  <c r="D34" i="8"/>
  <c r="D17" i="9"/>
  <c r="G23" i="8"/>
  <c r="G27" i="8" s="1"/>
  <c r="H23" i="8"/>
  <c r="H27" i="8" s="1"/>
  <c r="K7" i="5" l="1"/>
  <c r="L45" i="7" s="1"/>
  <c r="M15" i="5"/>
  <c r="L17" i="5"/>
  <c r="L18" i="5" s="1"/>
  <c r="K21" i="7"/>
  <c r="K7" i="9"/>
  <c r="K10" i="9" s="1"/>
  <c r="L6" i="10"/>
  <c r="I27" i="8"/>
  <c r="J28" i="8"/>
  <c r="K28" i="8" s="1"/>
  <c r="L28" i="8" s="1"/>
  <c r="M28" i="8" s="1"/>
  <c r="N28" i="8" s="1"/>
  <c r="I24" i="8"/>
  <c r="J15" i="10" s="1"/>
  <c r="J16" i="10" s="1"/>
  <c r="L9" i="9"/>
  <c r="M8" i="10" s="1"/>
  <c r="J14" i="9"/>
  <c r="J10" i="9"/>
  <c r="L8" i="10"/>
  <c r="L10" i="15"/>
  <c r="M9" i="15"/>
  <c r="N9" i="15"/>
  <c r="N9" i="9" s="1"/>
  <c r="O8" i="10" s="1"/>
  <c r="D18" i="9"/>
  <c r="D36" i="9"/>
  <c r="F12" i="10"/>
  <c r="G12" i="10"/>
  <c r="H12" i="10"/>
  <c r="I12" i="10"/>
  <c r="F13" i="10"/>
  <c r="G13" i="10"/>
  <c r="H13" i="10"/>
  <c r="I13" i="10"/>
  <c r="E13" i="10"/>
  <c r="E12" i="10"/>
  <c r="F10" i="10"/>
  <c r="G10" i="10"/>
  <c r="H10" i="10"/>
  <c r="I10" i="10"/>
  <c r="E10" i="10"/>
  <c r="F9" i="10"/>
  <c r="G9" i="10"/>
  <c r="H9" i="10"/>
  <c r="E9" i="10"/>
  <c r="F8" i="10"/>
  <c r="G8" i="10"/>
  <c r="H8" i="10"/>
  <c r="I8" i="10"/>
  <c r="E8" i="10"/>
  <c r="F7" i="10"/>
  <c r="G7" i="10"/>
  <c r="H7" i="10"/>
  <c r="I7" i="10"/>
  <c r="E7" i="10"/>
  <c r="F6" i="10"/>
  <c r="G6" i="10"/>
  <c r="H6" i="10"/>
  <c r="I6" i="10"/>
  <c r="E6" i="10"/>
  <c r="V13" i="10"/>
  <c r="V16" i="10"/>
  <c r="V9" i="10"/>
  <c r="E19" i="9"/>
  <c r="F19" i="9"/>
  <c r="G19" i="9"/>
  <c r="H19" i="9"/>
  <c r="E21" i="9"/>
  <c r="F21" i="9"/>
  <c r="G21" i="9"/>
  <c r="H21" i="9"/>
  <c r="E33" i="8"/>
  <c r="E34" i="8" s="1"/>
  <c r="F33" i="8"/>
  <c r="F34" i="8" s="1"/>
  <c r="G33" i="8"/>
  <c r="H33" i="8"/>
  <c r="H34" i="8" s="1"/>
  <c r="H11" i="10" l="1"/>
  <c r="E11" i="10"/>
  <c r="I11" i="10"/>
  <c r="G11" i="10"/>
  <c r="J27" i="8"/>
  <c r="I23" i="8"/>
  <c r="I25" i="8" s="1"/>
  <c r="M9" i="9"/>
  <c r="N8" i="10" s="1"/>
  <c r="K14" i="9"/>
  <c r="F11" i="10"/>
  <c r="F14" i="10" s="1"/>
  <c r="L7" i="5"/>
  <c r="M45" i="7" s="1"/>
  <c r="M17" i="5"/>
  <c r="M18" i="5" s="1"/>
  <c r="I16" i="10"/>
  <c r="I19" i="9"/>
  <c r="L7" i="9"/>
  <c r="L21" i="7"/>
  <c r="M6" i="10"/>
  <c r="N10" i="15"/>
  <c r="M10" i="15"/>
  <c r="D16" i="8"/>
  <c r="E13" i="8" s="1"/>
  <c r="E19" i="8" s="1"/>
  <c r="D9" i="8"/>
  <c r="H14" i="10"/>
  <c r="E14" i="10"/>
  <c r="E16" i="10"/>
  <c r="I14" i="10"/>
  <c r="G17" i="9"/>
  <c r="G34" i="8"/>
  <c r="D20" i="9"/>
  <c r="D33" i="9"/>
  <c r="F17" i="9"/>
  <c r="H17" i="9"/>
  <c r="E17" i="9"/>
  <c r="F16" i="10"/>
  <c r="G16" i="10"/>
  <c r="H16" i="10"/>
  <c r="G14" i="10" l="1"/>
  <c r="M7" i="5"/>
  <c r="N45" i="7" s="1"/>
  <c r="L14" i="9"/>
  <c r="L10" i="9"/>
  <c r="M7" i="9"/>
  <c r="M21" i="7"/>
  <c r="N6" i="10"/>
  <c r="I8" i="8"/>
  <c r="J22" i="8"/>
  <c r="J24" i="8" s="1"/>
  <c r="K15" i="10" s="1"/>
  <c r="K16" i="10" s="1"/>
  <c r="J13" i="10"/>
  <c r="J19" i="9"/>
  <c r="K27" i="8"/>
  <c r="J23" i="8"/>
  <c r="D14" i="8"/>
  <c r="D18" i="8" s="1"/>
  <c r="D22" i="9"/>
  <c r="D37" i="9"/>
  <c r="J25" i="8" l="1"/>
  <c r="M14" i="9"/>
  <c r="M10" i="9"/>
  <c r="L27" i="8"/>
  <c r="K23" i="8"/>
  <c r="K19" i="9"/>
  <c r="K13" i="10"/>
  <c r="N7" i="9"/>
  <c r="N21" i="7"/>
  <c r="O6" i="10"/>
  <c r="D31" i="8"/>
  <c r="F23" i="10" s="1"/>
  <c r="F24" i="10" s="1"/>
  <c r="D32" i="8" l="1"/>
  <c r="N14" i="9"/>
  <c r="N10" i="9"/>
  <c r="K22" i="8"/>
  <c r="J8" i="8"/>
  <c r="L19" i="9"/>
  <c r="L13" i="10"/>
  <c r="M27" i="8"/>
  <c r="L23" i="8"/>
  <c r="E13" i="9"/>
  <c r="F13" i="9"/>
  <c r="G13" i="9"/>
  <c r="H13" i="9"/>
  <c r="E11" i="9"/>
  <c r="F11" i="9"/>
  <c r="G11" i="9"/>
  <c r="H11" i="9"/>
  <c r="E9" i="9"/>
  <c r="F9" i="9"/>
  <c r="G9" i="9"/>
  <c r="G35" i="9" s="1"/>
  <c r="H9" i="9"/>
  <c r="H35" i="9" s="1"/>
  <c r="E8" i="9"/>
  <c r="F8" i="9"/>
  <c r="G8" i="9"/>
  <c r="H8" i="9"/>
  <c r="E7" i="9"/>
  <c r="F7" i="9"/>
  <c r="G7" i="9"/>
  <c r="H7" i="9"/>
  <c r="N26" i="9"/>
  <c r="M26" i="9"/>
  <c r="H15" i="9" l="1"/>
  <c r="M19" i="9"/>
  <c r="M13" i="10"/>
  <c r="K24" i="8"/>
  <c r="L15" i="10" s="1"/>
  <c r="L16" i="10" s="1"/>
  <c r="N27" i="8"/>
  <c r="N23" i="8" s="1"/>
  <c r="M23" i="8"/>
  <c r="F15" i="9"/>
  <c r="F16" i="9" s="1"/>
  <c r="F10" i="9"/>
  <c r="F35" i="9"/>
  <c r="E10" i="9"/>
  <c r="E35" i="9"/>
  <c r="E15" i="9"/>
  <c r="E27" i="9" s="1"/>
  <c r="E26" i="9"/>
  <c r="H34" i="9"/>
  <c r="I34" i="9" s="1"/>
  <c r="J34" i="9" s="1"/>
  <c r="K34" i="9" s="1"/>
  <c r="L34" i="9" s="1"/>
  <c r="M34" i="9" s="1"/>
  <c r="N34" i="9" s="1"/>
  <c r="G34" i="9"/>
  <c r="F34" i="9"/>
  <c r="E34" i="9"/>
  <c r="H12" i="9"/>
  <c r="G15" i="9"/>
  <c r="G18" i="9" s="1"/>
  <c r="G20" i="9" s="1"/>
  <c r="G22" i="9" s="1"/>
  <c r="E12" i="9"/>
  <c r="G12" i="9"/>
  <c r="E14" i="9"/>
  <c r="H16" i="9"/>
  <c r="H18" i="9"/>
  <c r="H20" i="9" s="1"/>
  <c r="H22" i="9" s="1"/>
  <c r="H10" i="9"/>
  <c r="F12" i="9"/>
  <c r="H14" i="9"/>
  <c r="G14" i="9"/>
  <c r="F14" i="9"/>
  <c r="G10" i="9"/>
  <c r="E36" i="9"/>
  <c r="F36" i="9"/>
  <c r="F26" i="9"/>
  <c r="G26" i="9"/>
  <c r="I35" i="9"/>
  <c r="J35" i="9" s="1"/>
  <c r="K35" i="9" s="1"/>
  <c r="L35" i="9" s="1"/>
  <c r="M35" i="9" s="1"/>
  <c r="N35" i="9" s="1"/>
  <c r="H26" i="9"/>
  <c r="G36" i="9"/>
  <c r="H36" i="9"/>
  <c r="I26" i="9"/>
  <c r="J26" i="9"/>
  <c r="K26" i="9"/>
  <c r="L26" i="9"/>
  <c r="K25" i="8" l="1"/>
  <c r="L22" i="8" s="1"/>
  <c r="F18" i="9"/>
  <c r="F20" i="9" s="1"/>
  <c r="F22" i="9" s="1"/>
  <c r="N19" i="9"/>
  <c r="O13" i="10" s="1"/>
  <c r="N13" i="10"/>
  <c r="G16" i="9"/>
  <c r="E18" i="9"/>
  <c r="E20" i="9" s="1"/>
  <c r="E16" i="9"/>
  <c r="H37" i="9"/>
  <c r="E32" i="9"/>
  <c r="K8" i="8" l="1"/>
  <c r="L24" i="8"/>
  <c r="M15" i="10" s="1"/>
  <c r="M16" i="10" s="1"/>
  <c r="E33" i="9"/>
  <c r="E28" i="9"/>
  <c r="E22" i="9"/>
  <c r="E30" i="9" s="1"/>
  <c r="E29" i="9"/>
  <c r="H32" i="9"/>
  <c r="H27" i="9"/>
  <c r="F32" i="9"/>
  <c r="F27" i="9"/>
  <c r="G32" i="9"/>
  <c r="G27" i="9"/>
  <c r="E37" i="9"/>
  <c r="L25" i="8" l="1"/>
  <c r="F33" i="9"/>
  <c r="F28" i="9"/>
  <c r="G28" i="9"/>
  <c r="G33" i="9"/>
  <c r="F30" i="9"/>
  <c r="F29" i="9"/>
  <c r="F37" i="9"/>
  <c r="G37" i="9"/>
  <c r="G29" i="9"/>
  <c r="H29" i="9"/>
  <c r="H28" i="9"/>
  <c r="H33" i="9"/>
  <c r="I37" i="9" l="1"/>
  <c r="M22" i="8"/>
  <c r="L8" i="8"/>
  <c r="G30" i="9"/>
  <c r="H30" i="9"/>
  <c r="J37" i="9" l="1"/>
  <c r="K37" i="9" s="1"/>
  <c r="L37" i="9" s="1"/>
  <c r="M37" i="9" s="1"/>
  <c r="N37" i="9" s="1"/>
  <c r="E8" i="6"/>
  <c r="M24" i="8"/>
  <c r="N15" i="10" s="1"/>
  <c r="N16" i="10" s="1"/>
  <c r="M25" i="8" l="1"/>
  <c r="N22" i="8" s="1"/>
  <c r="M8" i="8" l="1"/>
  <c r="N24" i="8"/>
  <c r="O15" i="10" s="1"/>
  <c r="O16" i="10" s="1"/>
  <c r="N25" i="8" l="1"/>
  <c r="N8" i="8" s="1"/>
  <c r="E16" i="8"/>
  <c r="E14" i="8" s="1"/>
  <c r="F16" i="8"/>
  <c r="G16" i="8"/>
  <c r="H16" i="8"/>
  <c r="I13" i="8" s="1"/>
  <c r="E45" i="7"/>
  <c r="F45" i="7"/>
  <c r="G45" i="7"/>
  <c r="H45" i="7"/>
  <c r="D45" i="7"/>
  <c r="E21" i="7"/>
  <c r="F21" i="7"/>
  <c r="G21" i="7"/>
  <c r="H21" i="7"/>
  <c r="D21" i="7"/>
  <c r="E31" i="8" l="1"/>
  <c r="E18" i="8"/>
  <c r="G13" i="8"/>
  <c r="G14" i="8" s="1"/>
  <c r="G18" i="8" s="1"/>
  <c r="F13" i="8"/>
  <c r="F14" i="8" s="1"/>
  <c r="F18" i="8" s="1"/>
  <c r="H13" i="8"/>
  <c r="H14" i="8" s="1"/>
  <c r="H18" i="8" s="1"/>
  <c r="H9" i="8"/>
  <c r="G9" i="8"/>
  <c r="F9" i="8"/>
  <c r="E9" i="8"/>
  <c r="I18" i="8" l="1"/>
  <c r="I9" i="8"/>
  <c r="E32" i="8"/>
  <c r="G23" i="10"/>
  <c r="G24" i="10" s="1"/>
  <c r="H19" i="8"/>
  <c r="F19" i="8"/>
  <c r="G19" i="8"/>
  <c r="E15" i="7"/>
  <c r="F15" i="7"/>
  <c r="G15" i="7"/>
  <c r="H15" i="7"/>
  <c r="I15" i="7" s="1"/>
  <c r="J15" i="7" s="1"/>
  <c r="K15" i="7" s="1"/>
  <c r="L15" i="7" s="1"/>
  <c r="M15" i="7" s="1"/>
  <c r="N15" i="7" s="1"/>
  <c r="D15" i="7"/>
  <c r="E14" i="7"/>
  <c r="F14" i="7"/>
  <c r="G14" i="7"/>
  <c r="H14" i="7"/>
  <c r="I14" i="7" s="1"/>
  <c r="J14" i="7" s="1"/>
  <c r="K14" i="7" s="1"/>
  <c r="L14" i="7" s="1"/>
  <c r="M14" i="7" s="1"/>
  <c r="N14" i="7" s="1"/>
  <c r="D14" i="7"/>
  <c r="E13" i="7"/>
  <c r="E31" i="7" s="1"/>
  <c r="F13" i="7"/>
  <c r="F31" i="7" s="1"/>
  <c r="G13" i="7"/>
  <c r="H13" i="7"/>
  <c r="D13" i="7"/>
  <c r="D31" i="7" s="1"/>
  <c r="D9" i="7"/>
  <c r="E9" i="7"/>
  <c r="F9" i="7"/>
  <c r="G9" i="7"/>
  <c r="H9" i="7"/>
  <c r="I9" i="7" s="1"/>
  <c r="J9" i="7" s="1"/>
  <c r="K9" i="7" s="1"/>
  <c r="L9" i="7" s="1"/>
  <c r="M9" i="7" s="1"/>
  <c r="N9" i="7" s="1"/>
  <c r="D10" i="7"/>
  <c r="E10" i="7"/>
  <c r="F10" i="7"/>
  <c r="G10" i="7"/>
  <c r="H10" i="7"/>
  <c r="I10" i="7" s="1"/>
  <c r="J10" i="7" s="1"/>
  <c r="K10" i="7" s="1"/>
  <c r="L10" i="7" s="1"/>
  <c r="M10" i="7" s="1"/>
  <c r="N10" i="7" s="1"/>
  <c r="E8" i="7"/>
  <c r="F8" i="7"/>
  <c r="G8" i="7"/>
  <c r="H8" i="7"/>
  <c r="I8" i="7" s="1"/>
  <c r="J8" i="7" s="1"/>
  <c r="K8" i="7" s="1"/>
  <c r="L8" i="7" s="1"/>
  <c r="M8" i="7" s="1"/>
  <c r="N8" i="7" s="1"/>
  <c r="D8" i="7"/>
  <c r="H7" i="7"/>
  <c r="E7" i="7"/>
  <c r="E36" i="7" s="1"/>
  <c r="F7" i="7"/>
  <c r="F35" i="7" s="1"/>
  <c r="G7" i="7"/>
  <c r="D7" i="7"/>
  <c r="D36" i="7" s="1"/>
  <c r="E23" i="6"/>
  <c r="E27" i="6" l="1"/>
  <c r="E5" i="6" s="1"/>
  <c r="F38" i="10"/>
  <c r="V14" i="10" s="1"/>
  <c r="J18" i="8"/>
  <c r="I14" i="8"/>
  <c r="I19" i="8"/>
  <c r="J9" i="8"/>
  <c r="G27" i="7"/>
  <c r="G35" i="7"/>
  <c r="E27" i="7"/>
  <c r="E35" i="7"/>
  <c r="H27" i="7"/>
  <c r="H35" i="7"/>
  <c r="D27" i="7"/>
  <c r="D35" i="7"/>
  <c r="F27" i="7"/>
  <c r="E16" i="7"/>
  <c r="D16" i="7"/>
  <c r="H16" i="7"/>
  <c r="G16" i="7"/>
  <c r="F16" i="7"/>
  <c r="D11" i="7"/>
  <c r="G11" i="7"/>
  <c r="H11" i="7"/>
  <c r="F11" i="7"/>
  <c r="E11" i="7"/>
  <c r="H36" i="7"/>
  <c r="G36" i="7"/>
  <c r="H31" i="7"/>
  <c r="G31" i="7"/>
  <c r="F36" i="7"/>
  <c r="E6" i="6" l="1"/>
  <c r="E14" i="6" s="1"/>
  <c r="E9" i="6"/>
  <c r="I31" i="7"/>
  <c r="J31" i="7" s="1"/>
  <c r="K31" i="7" s="1"/>
  <c r="L31" i="7" s="1"/>
  <c r="M31" i="7" s="1"/>
  <c r="N31" i="7" s="1"/>
  <c r="J19" i="8"/>
  <c r="K19" i="8" s="1"/>
  <c r="L19" i="8" s="1"/>
  <c r="M19" i="8" s="1"/>
  <c r="N19" i="8" s="1"/>
  <c r="I15" i="8"/>
  <c r="K9" i="8"/>
  <c r="I31" i="8"/>
  <c r="K18" i="8"/>
  <c r="J14" i="8"/>
  <c r="J31" i="8" s="1"/>
  <c r="I27" i="7"/>
  <c r="F38" i="7"/>
  <c r="H38" i="7"/>
  <c r="G17" i="7"/>
  <c r="G38" i="7"/>
  <c r="D17" i="7"/>
  <c r="D38" i="7"/>
  <c r="E17" i="7"/>
  <c r="E38" i="7"/>
  <c r="F17" i="7"/>
  <c r="H17" i="7"/>
  <c r="E15" i="6" l="1"/>
  <c r="F30" i="10" s="1"/>
  <c r="I33" i="8"/>
  <c r="I15" i="15" s="1"/>
  <c r="I16" i="8"/>
  <c r="I7" i="8" s="1"/>
  <c r="J27" i="7"/>
  <c r="I7" i="7"/>
  <c r="I11" i="7" s="1"/>
  <c r="I11" i="9"/>
  <c r="I34" i="8"/>
  <c r="L18" i="8"/>
  <c r="K14" i="8"/>
  <c r="K31" i="8" s="1"/>
  <c r="I32" i="8"/>
  <c r="K23" i="10"/>
  <c r="K24" i="10" s="1"/>
  <c r="J32" i="8"/>
  <c r="L23" i="10"/>
  <c r="L24" i="10" s="1"/>
  <c r="L9" i="8"/>
  <c r="M9" i="8" s="1"/>
  <c r="M31" i="10"/>
  <c r="J31" i="10"/>
  <c r="N31" i="10"/>
  <c r="K31" i="10"/>
  <c r="L31" i="10"/>
  <c r="V8" i="10"/>
  <c r="O31" i="10"/>
  <c r="I20" i="10"/>
  <c r="J19" i="10" s="1"/>
  <c r="F37" i="7"/>
  <c r="G20" i="10"/>
  <c r="H19" i="10"/>
  <c r="E37" i="7"/>
  <c r="G19" i="10"/>
  <c r="F20" i="10"/>
  <c r="D37" i="7"/>
  <c r="F19" i="10"/>
  <c r="G37" i="7"/>
  <c r="H20" i="10"/>
  <c r="I19" i="10"/>
  <c r="E19" i="7"/>
  <c r="F18" i="10" s="1"/>
  <c r="G19" i="7"/>
  <c r="H18" i="10" s="1"/>
  <c r="F19" i="7"/>
  <c r="G18" i="10" s="1"/>
  <c r="H19" i="7"/>
  <c r="I18" i="10" s="1"/>
  <c r="H37" i="7"/>
  <c r="I17" i="9" l="1"/>
  <c r="I36" i="9" s="1"/>
  <c r="J13" i="8"/>
  <c r="J15" i="8" s="1"/>
  <c r="J33" i="8" s="1"/>
  <c r="I10" i="8"/>
  <c r="M23" i="10"/>
  <c r="M24" i="10" s="1"/>
  <c r="K32" i="8"/>
  <c r="I16" i="15"/>
  <c r="I7" i="15"/>
  <c r="M18" i="8"/>
  <c r="L14" i="8"/>
  <c r="L31" i="8" s="1"/>
  <c r="K27" i="7"/>
  <c r="J7" i="7"/>
  <c r="J11" i="7" s="1"/>
  <c r="J9" i="10"/>
  <c r="I12" i="9"/>
  <c r="N9" i="8"/>
  <c r="H21" i="10"/>
  <c r="I21" i="10"/>
  <c r="G26" i="10"/>
  <c r="G21" i="10"/>
  <c r="F26" i="10"/>
  <c r="F21" i="10"/>
  <c r="I35" i="7"/>
  <c r="J16" i="8" l="1"/>
  <c r="J7" i="8" s="1"/>
  <c r="J10" i="8" s="1"/>
  <c r="N23" i="10"/>
  <c r="N24" i="10" s="1"/>
  <c r="L32" i="8"/>
  <c r="I8" i="9"/>
  <c r="I22" i="7"/>
  <c r="L27" i="7"/>
  <c r="K7" i="7"/>
  <c r="K11" i="7" s="1"/>
  <c r="N18" i="8"/>
  <c r="N14" i="8" s="1"/>
  <c r="N31" i="8" s="1"/>
  <c r="N32" i="8" s="1"/>
  <c r="M14" i="8"/>
  <c r="M31" i="8" s="1"/>
  <c r="J15" i="15"/>
  <c r="J17" i="9"/>
  <c r="J36" i="9" s="1"/>
  <c r="J11" i="9"/>
  <c r="J34" i="8"/>
  <c r="J35" i="7"/>
  <c r="K13" i="8" l="1"/>
  <c r="K15" i="8" s="1"/>
  <c r="K33" i="8" s="1"/>
  <c r="M32" i="8"/>
  <c r="O23" i="10"/>
  <c r="O24" i="10" s="1"/>
  <c r="J16" i="15"/>
  <c r="J7" i="15"/>
  <c r="M27" i="7"/>
  <c r="L7" i="7"/>
  <c r="L11" i="7" s="1"/>
  <c r="I13" i="7"/>
  <c r="I16" i="7" s="1"/>
  <c r="I36" i="7"/>
  <c r="J7" i="10"/>
  <c r="J11" i="10" s="1"/>
  <c r="I15" i="9"/>
  <c r="K9" i="10"/>
  <c r="J12" i="9"/>
  <c r="K35" i="7"/>
  <c r="K16" i="8" l="1"/>
  <c r="J8" i="9"/>
  <c r="J22" i="7"/>
  <c r="I17" i="7"/>
  <c r="I38" i="7"/>
  <c r="N27" i="7"/>
  <c r="N7" i="7" s="1"/>
  <c r="N11" i="7" s="1"/>
  <c r="M7" i="7"/>
  <c r="M11" i="7" s="1"/>
  <c r="L13" i="8"/>
  <c r="K7" i="8"/>
  <c r="K10" i="8" s="1"/>
  <c r="K15" i="15"/>
  <c r="K34" i="8"/>
  <c r="K17" i="9"/>
  <c r="K36" i="9" s="1"/>
  <c r="K11" i="9"/>
  <c r="I18" i="9"/>
  <c r="I16" i="9"/>
  <c r="I32" i="9"/>
  <c r="I27" i="9"/>
  <c r="L35" i="7"/>
  <c r="L15" i="8" l="1"/>
  <c r="L33" i="8" s="1"/>
  <c r="K16" i="15"/>
  <c r="K7" i="15"/>
  <c r="J20" i="10"/>
  <c r="K19" i="10" s="1"/>
  <c r="I19" i="7"/>
  <c r="J18" i="10" s="1"/>
  <c r="I37" i="7"/>
  <c r="I20" i="9"/>
  <c r="I33" i="9"/>
  <c r="I28" i="9"/>
  <c r="J13" i="7"/>
  <c r="J16" i="7" s="1"/>
  <c r="J36" i="7"/>
  <c r="K12" i="9"/>
  <c r="L9" i="10"/>
  <c r="K7" i="10"/>
  <c r="K11" i="10" s="1"/>
  <c r="J15" i="9"/>
  <c r="M35" i="7"/>
  <c r="N35" i="7"/>
  <c r="L16" i="8" l="1"/>
  <c r="L7" i="8" s="1"/>
  <c r="L10" i="8" s="1"/>
  <c r="J16" i="9"/>
  <c r="J18" i="9"/>
  <c r="J32" i="9"/>
  <c r="J27" i="9"/>
  <c r="I21" i="9"/>
  <c r="I29" i="9"/>
  <c r="K8" i="9"/>
  <c r="K22" i="7"/>
  <c r="J17" i="7"/>
  <c r="J38" i="7"/>
  <c r="L11" i="9"/>
  <c r="L17" i="9"/>
  <c r="L36" i="9" s="1"/>
  <c r="L15" i="15"/>
  <c r="L34" i="8"/>
  <c r="J14" i="10" l="1"/>
  <c r="M13" i="8"/>
  <c r="I22" i="9"/>
  <c r="K13" i="7"/>
  <c r="K16" i="7" s="1"/>
  <c r="K36" i="7"/>
  <c r="L7" i="10"/>
  <c r="L11" i="10" s="1"/>
  <c r="K15" i="9"/>
  <c r="L16" i="15"/>
  <c r="L7" i="15"/>
  <c r="L12" i="9"/>
  <c r="M9" i="10"/>
  <c r="K20" i="10"/>
  <c r="L19" i="10" s="1"/>
  <c r="J19" i="7"/>
  <c r="K18" i="10" s="1"/>
  <c r="J37" i="7"/>
  <c r="J20" i="9"/>
  <c r="J33" i="9"/>
  <c r="J28" i="9"/>
  <c r="M15" i="8"/>
  <c r="M33" i="8" s="1"/>
  <c r="G31" i="8"/>
  <c r="H31" i="8"/>
  <c r="F31" i="8"/>
  <c r="I30" i="9" l="1"/>
  <c r="M16" i="8"/>
  <c r="N13" i="8" s="1"/>
  <c r="H32" i="8"/>
  <c r="J23" i="10"/>
  <c r="L22" i="7"/>
  <c r="L8" i="9"/>
  <c r="M7" i="8"/>
  <c r="M10" i="8" s="1"/>
  <c r="M34" i="8"/>
  <c r="M11" i="9"/>
  <c r="M15" i="15"/>
  <c r="M17" i="9"/>
  <c r="M36" i="9" s="1"/>
  <c r="K18" i="9"/>
  <c r="K16" i="9"/>
  <c r="K32" i="9"/>
  <c r="K27" i="9"/>
  <c r="J21" i="9"/>
  <c r="K12" i="10" s="1"/>
  <c r="K14" i="10" s="1"/>
  <c r="K26" i="10" s="1"/>
  <c r="J29" i="9"/>
  <c r="K17" i="7"/>
  <c r="K38" i="7"/>
  <c r="F32" i="8"/>
  <c r="H23" i="10"/>
  <c r="G32" i="8"/>
  <c r="I23" i="10"/>
  <c r="J22" i="9" l="1"/>
  <c r="J30" i="9" s="1"/>
  <c r="K20" i="9"/>
  <c r="K33" i="9"/>
  <c r="K28" i="9"/>
  <c r="M12" i="9"/>
  <c r="N9" i="10"/>
  <c r="M7" i="10"/>
  <c r="M11" i="10" s="1"/>
  <c r="L15" i="9"/>
  <c r="M16" i="15"/>
  <c r="M7" i="15"/>
  <c r="L13" i="7"/>
  <c r="L16" i="7" s="1"/>
  <c r="L36" i="7"/>
  <c r="J24" i="10"/>
  <c r="J26" i="10"/>
  <c r="L20" i="10"/>
  <c r="M19" i="10" s="1"/>
  <c r="K19" i="7"/>
  <c r="L18" i="10" s="1"/>
  <c r="K37" i="7"/>
  <c r="N15" i="8"/>
  <c r="N33" i="8" s="1"/>
  <c r="I24" i="10"/>
  <c r="I26" i="10"/>
  <c r="H24" i="10"/>
  <c r="H26" i="10"/>
  <c r="N16" i="8" l="1"/>
  <c r="N7" i="8" s="1"/>
  <c r="N10" i="8" s="1"/>
  <c r="L18" i="9"/>
  <c r="L16" i="9"/>
  <c r="L27" i="9"/>
  <c r="L32" i="9"/>
  <c r="M22" i="7"/>
  <c r="M8" i="9"/>
  <c r="L17" i="7"/>
  <c r="L38" i="7"/>
  <c r="N34" i="8"/>
  <c r="N17" i="9"/>
  <c r="N36" i="9" s="1"/>
  <c r="N15" i="15"/>
  <c r="N11" i="9"/>
  <c r="K21" i="9"/>
  <c r="L12" i="10" s="1"/>
  <c r="L14" i="10" s="1"/>
  <c r="L26" i="10" s="1"/>
  <c r="K29" i="9"/>
  <c r="J33" i="10"/>
  <c r="K22" i="9" l="1"/>
  <c r="K30" i="9" s="1"/>
  <c r="N16" i="15"/>
  <c r="N7" i="15"/>
  <c r="N7" i="10"/>
  <c r="N11" i="10" s="1"/>
  <c r="M15" i="9"/>
  <c r="M13" i="7"/>
  <c r="M16" i="7" s="1"/>
  <c r="M36" i="7"/>
  <c r="M20" i="10"/>
  <c r="N19" i="10" s="1"/>
  <c r="L19" i="7"/>
  <c r="M18" i="10" s="1"/>
  <c r="L37" i="7"/>
  <c r="N12" i="9"/>
  <c r="O9" i="10"/>
  <c r="L20" i="9"/>
  <c r="L28" i="9"/>
  <c r="L33" i="9"/>
  <c r="K33" i="10"/>
  <c r="M17" i="7" l="1"/>
  <c r="M38" i="7"/>
  <c r="N22" i="7"/>
  <c r="N8" i="9"/>
  <c r="M18" i="9"/>
  <c r="M16" i="9"/>
  <c r="M32" i="9"/>
  <c r="M27" i="9"/>
  <c r="L21" i="9"/>
  <c r="M12" i="10" s="1"/>
  <c r="M14" i="10" s="1"/>
  <c r="M26" i="10" s="1"/>
  <c r="L29" i="9"/>
  <c r="L33" i="10"/>
  <c r="L22" i="9" l="1"/>
  <c r="L30" i="9" s="1"/>
  <c r="M20" i="9"/>
  <c r="M28" i="9"/>
  <c r="M33" i="9"/>
  <c r="O7" i="10"/>
  <c r="O11" i="10" s="1"/>
  <c r="N15" i="9"/>
  <c r="N13" i="7"/>
  <c r="N16" i="7" s="1"/>
  <c r="N36" i="7"/>
  <c r="N20" i="10"/>
  <c r="O19" i="10" s="1"/>
  <c r="M19" i="7"/>
  <c r="N18" i="10" s="1"/>
  <c r="M37" i="7"/>
  <c r="M33" i="10"/>
  <c r="N16" i="9" l="1"/>
  <c r="N18" i="9"/>
  <c r="N27" i="9"/>
  <c r="N32" i="9"/>
  <c r="N17" i="7"/>
  <c r="N38" i="7"/>
  <c r="M21" i="9"/>
  <c r="N12" i="10" s="1"/>
  <c r="N14" i="10" s="1"/>
  <c r="N26" i="10" s="1"/>
  <c r="N33" i="10" s="1"/>
  <c r="M29" i="9"/>
  <c r="M22" i="9" l="1"/>
  <c r="M30" i="9" s="1"/>
  <c r="O20" i="10"/>
  <c r="N19" i="7"/>
  <c r="O18" i="10" s="1"/>
  <c r="N37" i="7"/>
  <c r="N20" i="9"/>
  <c r="N33" i="9"/>
  <c r="N28" i="9"/>
  <c r="N21" i="9" l="1"/>
  <c r="O12" i="10" s="1"/>
  <c r="O14" i="10" s="1"/>
  <c r="O26" i="10" s="1"/>
  <c r="N22" i="9"/>
  <c r="N30" i="9" s="1"/>
  <c r="N29" i="9"/>
  <c r="P26" i="10" l="1"/>
  <c r="F28" i="10" s="1"/>
  <c r="F35" i="10" s="1"/>
  <c r="V11" i="10" s="1"/>
  <c r="O33" i="10"/>
  <c r="F34" i="10" s="1"/>
  <c r="I8" i="5"/>
  <c r="V10" i="10" l="1"/>
  <c r="V12" i="10" s="1"/>
  <c r="V15" i="10" s="1"/>
  <c r="V17" i="10" s="1"/>
  <c r="V19" i="10" s="1"/>
  <c r="F36" i="10"/>
  <c r="F39" i="10" s="1"/>
  <c r="J8" i="5"/>
  <c r="F43" i="10" l="1"/>
  <c r="F42" i="10"/>
  <c r="L8" i="5"/>
  <c r="K8" i="5"/>
  <c r="M8" i="5" l="1"/>
  <c r="N8" i="15" l="1"/>
  <c r="I8" i="15"/>
  <c r="L8" i="15" l="1"/>
  <c r="K8" i="15"/>
  <c r="M8" i="15"/>
  <c r="J8" i="15"/>
  <c r="G39" i="7"/>
  <c r="G43" i="7"/>
  <c r="H39" i="7"/>
  <c r="E39" i="7"/>
  <c r="E43" i="7"/>
  <c r="F39" i="7"/>
  <c r="F43" i="7"/>
  <c r="D39" i="7"/>
  <c r="D43" i="7"/>
  <c r="H43" i="7"/>
  <c r="I43" i="7" s="1"/>
  <c r="J43" i="7" l="1"/>
  <c r="I44" i="7"/>
  <c r="I39" i="7" s="1"/>
  <c r="K43" i="7" l="1"/>
  <c r="J44" i="7"/>
  <c r="J39" i="7" s="1"/>
  <c r="L43" i="7" l="1"/>
  <c r="K44" i="7"/>
  <c r="K39" i="7" s="1"/>
  <c r="M43" i="7" l="1"/>
  <c r="L44" i="7"/>
  <c r="L39" i="7" s="1"/>
  <c r="N43" i="7" l="1"/>
  <c r="N44" i="7" s="1"/>
  <c r="N39" i="7" s="1"/>
  <c r="M44" i="7"/>
  <c r="M39" i="7" s="1"/>
</calcChain>
</file>

<file path=xl/sharedStrings.xml><?xml version="1.0" encoding="utf-8"?>
<sst xmlns="http://schemas.openxmlformats.org/spreadsheetml/2006/main" count="1688" uniqueCount="942">
  <si>
    <t>비자 (V US) - BBG GAAP</t>
  </si>
  <si>
    <t>단위: USD 백만(주당수치 제외)</t>
  </si>
  <si>
    <t>FY 2020</t>
  </si>
  <si>
    <t>FY 2021</t>
  </si>
  <si>
    <t>FY 2022</t>
  </si>
  <si>
    <t>FY 2023</t>
  </si>
  <si>
    <t>FY 2024</t>
  </si>
  <si>
    <t>최근12개월</t>
  </si>
  <si>
    <t>12 개월 결산</t>
  </si>
  <si>
    <t>09/30/2020</t>
  </si>
  <si>
    <t>09/30/2021</t>
  </si>
  <si>
    <t>09/30/2022</t>
  </si>
  <si>
    <t>09/30/2023</t>
  </si>
  <si>
    <t>09/30/2024</t>
  </si>
  <si>
    <t>매출액</t>
  </si>
  <si>
    <t>SALES_REV_TURN</t>
  </si>
  <si>
    <t xml:space="preserve">    + 매출 &amp; 서비스 수익</t>
  </si>
  <si>
    <t>IS_SALES_AND_SERVICES_REVENUES</t>
  </si>
  <si>
    <t xml:space="preserve">    + 기타수익</t>
  </si>
  <si>
    <t>IS_OTHER_REVENUE</t>
  </si>
  <si>
    <t>—</t>
  </si>
  <si>
    <t>매출총이익</t>
  </si>
  <si>
    <t>GROSS_PROFIT</t>
  </si>
  <si>
    <t xml:space="preserve">  + 기타영업이익</t>
  </si>
  <si>
    <t>IS_OTHER_OPER_INC</t>
  </si>
  <si>
    <t xml:space="preserve">  - 영업비용</t>
  </si>
  <si>
    <t>IS_OPERATING_EXPN</t>
  </si>
  <si>
    <t xml:space="preserve">    + 일반판매관리비</t>
  </si>
  <si>
    <t>IS_SGA_EXPENSE</t>
  </si>
  <si>
    <t xml:space="preserve">    + 판매 및 마케팅 비용</t>
  </si>
  <si>
    <t>IS_SELLING_EXPENSES</t>
  </si>
  <si>
    <t xml:space="preserve">    + 일반관리비</t>
  </si>
  <si>
    <t>IS_GENERAL_AND_ADMINISTRATIVE</t>
  </si>
  <si>
    <t xml:space="preserve">    + 연구개발 (R&amp;D)</t>
  </si>
  <si>
    <t>IS_OPER_EXPENSES_RD_GAAP</t>
  </si>
  <si>
    <t xml:space="preserve">    + 감가상각 &amp; 무형자산상각</t>
  </si>
  <si>
    <t>IS_DEPRECIATION_AND_AMORTIZATION</t>
  </si>
  <si>
    <t xml:space="preserve">    + 기타 영업비용</t>
  </si>
  <si>
    <t>OTHER_OPERATING_EXPENSES_RATIO</t>
  </si>
  <si>
    <t>영업이익 (손실)</t>
  </si>
  <si>
    <t>IS_OPER_INC</t>
  </si>
  <si>
    <t xml:space="preserve">  - 영업외 (이익) 손실</t>
  </si>
  <si>
    <t>NONOP_INCOME_LOSS</t>
  </si>
  <si>
    <t xml:space="preserve">    + 순 이자비용</t>
  </si>
  <si>
    <t>IS_NET_INTEREST_EXPENSE</t>
  </si>
  <si>
    <t xml:space="preserve">    + 이자비용</t>
  </si>
  <si>
    <t>IS_INT_EXPENSE</t>
  </si>
  <si>
    <t xml:space="preserve">    - 이자수익</t>
  </si>
  <si>
    <t>IS_INT_INC</t>
  </si>
  <si>
    <t xml:space="preserve">    + 외환 (이익) 손실</t>
  </si>
  <si>
    <t>IS_FOREIGN_EXCH_LOSS</t>
  </si>
  <si>
    <t xml:space="preserve">    + 관계회사 (이익) 손실</t>
  </si>
  <si>
    <t>INCOME_LOSS_FROM_AFFILIATES</t>
  </si>
  <si>
    <t xml:space="preserve">    + 기타 영업외 (이익) 손실</t>
  </si>
  <si>
    <t>OTHER_NONOP_INCOME_LOSS</t>
  </si>
  <si>
    <t>세전이익</t>
  </si>
  <si>
    <t>PRETAX_INC</t>
  </si>
  <si>
    <t xml:space="preserve">  - 법인세 비용(수익)</t>
  </si>
  <si>
    <t>IS_INC_TAX_EXP</t>
  </si>
  <si>
    <t xml:space="preserve">    + 당기법인세</t>
  </si>
  <si>
    <t>IS_CURRENT_INCOME_TAX_BENEFIT</t>
  </si>
  <si>
    <t xml:space="preserve">    + 이연법인세</t>
  </si>
  <si>
    <t>IS_DEFERRED_INCOME_TAX_BENEFIT</t>
  </si>
  <si>
    <t>계속사업 이익 (손실)</t>
  </si>
  <si>
    <t>IS_INC_BEF_XO_ITEM</t>
  </si>
  <si>
    <t xml:space="preserve">  - 순 특별손실(이익)</t>
  </si>
  <si>
    <t>XO_GL_NET_OF_TAX</t>
  </si>
  <si>
    <t xml:space="preserve">    + 중단사업</t>
  </si>
  <si>
    <t>IS_DISCONTINUED_OPERATIONS</t>
  </si>
  <si>
    <t xml:space="preserve">    + 특별항목 &amp; 회계기준 변경</t>
  </si>
  <si>
    <t>EXTRAORD_ITEMS_ACCOUNTING_CHANGS</t>
  </si>
  <si>
    <t>소수주주지분 포함 이익 (손실)</t>
  </si>
  <si>
    <t>NI_INCLUDING_MINORITY_INT_RATIO</t>
  </si>
  <si>
    <t xml:space="preserve">  - 소수주주지분</t>
  </si>
  <si>
    <t>MIN_NONCONTROL_INTEREST_CREDITS</t>
  </si>
  <si>
    <t>순이익, GAAP</t>
  </si>
  <si>
    <t>NET_INCOME</t>
  </si>
  <si>
    <t xml:space="preserve">  - 우선주 배당</t>
  </si>
  <si>
    <t>IS_TOT_CASH_PFD_DVD</t>
  </si>
  <si>
    <t xml:space="preserve">  - 기타조정액</t>
  </si>
  <si>
    <t>OTHER_ADJUSTMENTS</t>
  </si>
  <si>
    <t>보통주 순이익, GAAP</t>
  </si>
  <si>
    <t>EARN_FOR_COMMON</t>
  </si>
  <si>
    <t>보통주주에 대한 배당가능 순이익, 조정</t>
  </si>
  <si>
    <t xml:space="preserve">  비정상손익</t>
  </si>
  <si>
    <t>IS_NET_ABNORMAL_ITEMS</t>
  </si>
  <si>
    <t xml:space="preserve">  순 특별손실(이익)</t>
  </si>
  <si>
    <t>기본 가중평균주수</t>
  </si>
  <si>
    <t>IS_AVG_NUM_SH_FOR_EPS</t>
  </si>
  <si>
    <t>기본 EPS, GAAP</t>
  </si>
  <si>
    <t>IS_EPS</t>
  </si>
  <si>
    <t>계속사업 기본 EPS, GAAP</t>
  </si>
  <si>
    <t>IS_EARN_BEF_XO_ITEMS_PER_SH</t>
  </si>
  <si>
    <t>계속사업 기본 EPS, 조정</t>
  </si>
  <si>
    <t>IS_BASIC_EPS_CONT_OPS</t>
  </si>
  <si>
    <t>희석가중평균주수</t>
  </si>
  <si>
    <t>IS_SH_FOR_DILUTED_EPS</t>
  </si>
  <si>
    <t>희석 EPS, GAAP</t>
  </si>
  <si>
    <t>IS_DILUTED_EPS</t>
  </si>
  <si>
    <t>계속사업 희석 EPS, GAAP</t>
  </si>
  <si>
    <t>IS_DIL_EPS_BEF_XO</t>
  </si>
  <si>
    <t>계속사업 희석 EPS, 조정</t>
  </si>
  <si>
    <t>IS_DIL_EPS_CONT_OPS</t>
  </si>
  <si>
    <t>주석 항목</t>
  </si>
  <si>
    <t>회계기준</t>
  </si>
  <si>
    <t>ACCOUNTING_STANDARD</t>
  </si>
  <si>
    <t>US GAAP</t>
  </si>
  <si>
    <t>EBITDA</t>
  </si>
  <si>
    <t>EBITDA 마진 (T12M)</t>
  </si>
  <si>
    <t>EBITDA_MARGIN</t>
  </si>
  <si>
    <t>EBITA</t>
  </si>
  <si>
    <t>EBIT</t>
  </si>
  <si>
    <t>영업이익률</t>
  </si>
  <si>
    <t>OPER_MARGIN</t>
  </si>
  <si>
    <t>매출이익률</t>
  </si>
  <si>
    <t>PROF_MARGIN</t>
  </si>
  <si>
    <t>경상이익</t>
  </si>
  <si>
    <t>CUR_PROFIT_JAPAN</t>
  </si>
  <si>
    <t>직원당 매출</t>
  </si>
  <si>
    <t>ACTUAL_SALES_PER_EMPL</t>
  </si>
  <si>
    <t>주당 배당</t>
  </si>
  <si>
    <t>EQY_DPS</t>
  </si>
  <si>
    <t>보통주현금배당금</t>
  </si>
  <si>
    <t>IS_TOT_CASH_COM_DVD</t>
  </si>
  <si>
    <t>인건비</t>
  </si>
  <si>
    <t>IS_PERSONNEL_EXP</t>
  </si>
  <si>
    <t>감가상각비</t>
  </si>
  <si>
    <t>IS_DEPR_EXP</t>
  </si>
  <si>
    <t>임차지출비용</t>
  </si>
  <si>
    <t>BS_CURR_RENTAL_EXPENSE</t>
  </si>
  <si>
    <t>출처: 블룸버그</t>
  </si>
  <si>
    <t>데이터 투명성을 표시하려면 우클릭하세요 (전체 가치에 지원되지는 않음)</t>
  </si>
  <si>
    <t>비자 (V US) - 공시기준</t>
  </si>
  <si>
    <t>대차대조표</t>
  </si>
  <si>
    <t xml:space="preserve">  유동자산</t>
  </si>
  <si>
    <t>Trading Securities</t>
  </si>
  <si>
    <t>Cash and cash equivalents</t>
  </si>
  <si>
    <t>Investment securities</t>
  </si>
  <si>
    <t>Restricted cash equivalents—U.S. litigation escrow</t>
  </si>
  <si>
    <t>Current portion of client incentives</t>
  </si>
  <si>
    <t>Property, Equipment And Technology, Net</t>
  </si>
  <si>
    <t>Intangible assets, net</t>
  </si>
  <si>
    <t>Goodwill</t>
  </si>
  <si>
    <t xml:space="preserve">  Net Intangible Assets,</t>
  </si>
  <si>
    <t>Other Assets</t>
  </si>
  <si>
    <t>Client Incentives ( Noncurrent Portion)</t>
  </si>
  <si>
    <t>Total current assets</t>
  </si>
  <si>
    <t>Other assets</t>
  </si>
  <si>
    <t>Property, equipment and technology, net</t>
  </si>
  <si>
    <t>Client incentives</t>
  </si>
  <si>
    <t xml:space="preserve">  유동부채</t>
  </si>
  <si>
    <t>Current Portion of Long-Term Debt</t>
  </si>
  <si>
    <t>Accrued Liabilities</t>
  </si>
  <si>
    <t>Current Portion of Accrued Litigation</t>
  </si>
  <si>
    <t>Other Current Liabilities - Redeemable Common Stock</t>
  </si>
  <si>
    <t>Settlement Payable - Current Liabilities</t>
  </si>
  <si>
    <t>Current Portion Of Member Deposits</t>
  </si>
  <si>
    <t>Settlement payable</t>
  </si>
  <si>
    <t>Total Current Liabilities</t>
  </si>
  <si>
    <t xml:space="preserve">  비유동부채</t>
  </si>
  <si>
    <t>Total current liabilities</t>
  </si>
  <si>
    <t>Other liabilities</t>
  </si>
  <si>
    <t>Deferred Tax Liabilities</t>
  </si>
  <si>
    <t>Other Liabilities</t>
  </si>
  <si>
    <t>Accrued litigation</t>
  </si>
  <si>
    <t xml:space="preserve">  자본총계</t>
  </si>
  <si>
    <t>Series C c</t>
  </si>
  <si>
    <t>Series B convertible participating preferred stock, 2 shares issued</t>
  </si>
  <si>
    <t>Series A convertible participating preferred stock, none issued (Not</t>
  </si>
  <si>
    <t>Total Accumulated Other Comprehensive Loss, Net</t>
  </si>
  <si>
    <t>Accumulated Income</t>
  </si>
  <si>
    <t>Other Equity</t>
  </si>
  <si>
    <t>Shares Outstanding Class B</t>
  </si>
  <si>
    <t>Shares Outstanding Class C ( Series I)</t>
  </si>
  <si>
    <t>Shares Issued C</t>
  </si>
  <si>
    <t>Share Outstanding  Class  A</t>
  </si>
  <si>
    <t>Shares Issued Class C ( Series IV)</t>
  </si>
  <si>
    <t>Shares Issued A</t>
  </si>
  <si>
    <t>Share Issued B</t>
  </si>
  <si>
    <t>Par Value</t>
  </si>
  <si>
    <t>Additional paid-in capital</t>
  </si>
  <si>
    <t>Shares Issued</t>
  </si>
  <si>
    <t>Total Equity</t>
  </si>
  <si>
    <t>Series A c</t>
  </si>
  <si>
    <t>Series B c</t>
  </si>
  <si>
    <t>Shares Authorized Class A</t>
  </si>
  <si>
    <t>Shares Authorized Class B</t>
  </si>
  <si>
    <t>Shares Authorized Class C ( Series III)</t>
  </si>
  <si>
    <t>Shares Authorized Class C ( Series I)</t>
  </si>
  <si>
    <t>Prefererred Stock Shares Outstanding</t>
  </si>
  <si>
    <t>Total Visa Including  Stockholders  Equity</t>
  </si>
  <si>
    <t>Total Liabilities and Shareholders Equity</t>
  </si>
  <si>
    <t xml:space="preserve">  주석 항목</t>
  </si>
  <si>
    <t>Outstanding at September 30, 2020</t>
  </si>
  <si>
    <t>Granted</t>
  </si>
  <si>
    <t>Vested</t>
  </si>
  <si>
    <t>Forfeited</t>
  </si>
  <si>
    <t>Land</t>
  </si>
  <si>
    <t>Buildings and Building Improvements</t>
  </si>
  <si>
    <t>Construction-In-Progress</t>
  </si>
  <si>
    <t>Furniture, Equipment and Leasehold Improvements</t>
  </si>
  <si>
    <t>Technology</t>
  </si>
  <si>
    <t>Total Property, Equipment and Technology</t>
  </si>
  <si>
    <t>Accumulated Depreciation and Amortization</t>
  </si>
  <si>
    <t>Deferred Tax Assets</t>
  </si>
  <si>
    <t>Total indefinite-lived intangible assets</t>
  </si>
  <si>
    <t>Goodwill, end of period</t>
  </si>
  <si>
    <t>Total finite-lived intangible assets</t>
  </si>
  <si>
    <t>Total Intangible Assets, Net</t>
  </si>
  <si>
    <t>Trade names</t>
  </si>
  <si>
    <t>Visa trade name</t>
  </si>
  <si>
    <t>Non Current Liability- Pension</t>
  </si>
  <si>
    <t>Balance as of September 30, 2016</t>
  </si>
  <si>
    <t>Shares Issued   Class C ( Series III)</t>
  </si>
  <si>
    <t>Balance as of September 30, 2017</t>
  </si>
  <si>
    <t>Total Line of Credit</t>
  </si>
  <si>
    <t>Total Available Line of Credit</t>
  </si>
  <si>
    <t>Operating Leases</t>
  </si>
  <si>
    <t>Rent Expense- Year 1</t>
  </si>
  <si>
    <t>Rent Expense- Year 2</t>
  </si>
  <si>
    <t>Rent Expense- Year 3</t>
  </si>
  <si>
    <t>Rent Expense- Year 4</t>
  </si>
  <si>
    <t>Rent Expense- Year 5</t>
  </si>
  <si>
    <t>Rent Expense- Beyond Year 5</t>
  </si>
  <si>
    <t>Deferred tax liabilities</t>
  </si>
  <si>
    <t>Non-current deferred tax assets (See Note 19-Income Taxes)</t>
  </si>
  <si>
    <t>Foreign exchange derivative instruments</t>
  </si>
  <si>
    <t>Income tax receivable (See Note 19—Income Taxes)</t>
  </si>
  <si>
    <t>Number of Employees</t>
  </si>
  <si>
    <t>Letters of credit</t>
  </si>
  <si>
    <t>Shares of Class B Common Stock Outstanding</t>
  </si>
  <si>
    <t>Shares of Class C Common Stock Outstanding</t>
  </si>
  <si>
    <t>Class  LAC Common Share Of Visa Inc Issued And Outstanding</t>
  </si>
  <si>
    <t>Class USA Common Share Of Visa Inc Issued  And Outstanding</t>
  </si>
  <si>
    <t>Shares of Class A Common Stock Outstanding</t>
  </si>
  <si>
    <t>Customer relationships</t>
  </si>
  <si>
    <t>Customer relationships and reacquired rights</t>
  </si>
  <si>
    <t>Number of Employees at Period End Date</t>
  </si>
  <si>
    <t>Total intangible assets, net</t>
  </si>
  <si>
    <t>Total Contingent Payable</t>
  </si>
  <si>
    <t>Guarantees</t>
  </si>
  <si>
    <t>Litigation Liabilities</t>
  </si>
  <si>
    <t>Options Granted During Period</t>
  </si>
  <si>
    <t>Options Outstanding End Period</t>
  </si>
  <si>
    <t>Balance as of September 30, 2020</t>
  </si>
  <si>
    <t>Exercised</t>
  </si>
  <si>
    <t>Expired</t>
  </si>
  <si>
    <t>Net deferred tax liabilities</t>
  </si>
  <si>
    <t>Purchase Obligations</t>
  </si>
  <si>
    <t>U.S. litigation escrow</t>
  </si>
  <si>
    <t>Customer collateral (Note 10)</t>
  </si>
  <si>
    <t>Debt Schedule In Yr 1</t>
  </si>
  <si>
    <t>Debt Schedule In Yr 2</t>
  </si>
  <si>
    <t>Debt Schedule In Yr 3</t>
  </si>
  <si>
    <t>Debt Schedule In Yr 4</t>
  </si>
  <si>
    <t>Debt Schedule In Yr 5</t>
  </si>
  <si>
    <t>Debt Schedule beyond Year 5</t>
  </si>
  <si>
    <t>Total Principal Amount Of Debt</t>
  </si>
  <si>
    <t>Long-Term Debt.</t>
  </si>
  <si>
    <t>Shares Repurchased in The Open Market</t>
  </si>
  <si>
    <t>Value of Common Shares Repurchased</t>
  </si>
  <si>
    <t>Total undiscounted lease payments</t>
  </si>
  <si>
    <t>respectively. At September 30, 2021 and 2020, the current portion of</t>
  </si>
  <si>
    <t>Foreign Exchange Derivatives Instrument Level 1</t>
  </si>
  <si>
    <t>Fair Value Assets Recurring- Level 1</t>
  </si>
  <si>
    <t>Fair Value Assets Recur- Level 2</t>
  </si>
  <si>
    <t>Fair Value Assets- Recurring- Level 2</t>
  </si>
  <si>
    <t>Fair Value Assets Recur- Level 2 A</t>
  </si>
  <si>
    <t>Fair Value Assets Recur - Level 2 B</t>
  </si>
  <si>
    <t>Fair Value Assets Recur- Level 2 C</t>
  </si>
  <si>
    <t>Fair Value Assets Recur- Level 2 D</t>
  </si>
  <si>
    <t>Fair Value Assets Recur- Level 2 E</t>
  </si>
  <si>
    <t>Fair Value Assets Recur- Level 2 F</t>
  </si>
  <si>
    <t>Fair Value Assets Recur- Total</t>
  </si>
  <si>
    <t>Fair Value Assets Recur- Total A</t>
  </si>
  <si>
    <t>Fair Value Assets Recur- Total B</t>
  </si>
  <si>
    <t>Total</t>
  </si>
  <si>
    <t>Deferred compensation liability</t>
  </si>
  <si>
    <t>Foreign Exchange Derivative Instruments (Liabilities)</t>
  </si>
  <si>
    <t>Fair Value Liab Recur- Total</t>
  </si>
  <si>
    <t>Fair Value Liab Recur- Total A</t>
  </si>
  <si>
    <t>Fair Value Liab Recur- Total B</t>
  </si>
  <si>
    <t>Options Forfeited/ Expired</t>
  </si>
  <si>
    <t>Contractual Obligations Year 1</t>
  </si>
  <si>
    <t>Contractual Obligations Years 2 &amp; 3</t>
  </si>
  <si>
    <t>Contractual Obligations Years 4 &amp; 5</t>
  </si>
  <si>
    <t>Contractual Obligations- Beyond Year 5</t>
  </si>
  <si>
    <t>Total Contractual Obligations</t>
  </si>
  <si>
    <t>Fair Value of Derivatives, Net - Assets</t>
  </si>
  <si>
    <t>Fair Value of Derivatives, Net - Liabilities</t>
  </si>
  <si>
    <t>Present value of lease liabilities</t>
  </si>
  <si>
    <t>Long-term debt(1)</t>
  </si>
  <si>
    <t>Weighted-Average Fair Value Per Option Granted</t>
  </si>
  <si>
    <t>Stock Option Valuation- Risk-Free Rate of Return</t>
  </si>
  <si>
    <t>Stock Option Valuation- Expected Life</t>
  </si>
  <si>
    <t>Stock Option Valuation- Expected Volatility</t>
  </si>
  <si>
    <t>Stock Option Valuation- Dividend Yield %</t>
  </si>
  <si>
    <t>Weighted Average Exercise Price (Options Exercisable)</t>
  </si>
  <si>
    <t>Weighted Average Exercise Price (Options Outstanding)</t>
  </si>
  <si>
    <t>Options Exercisable End of Period</t>
  </si>
  <si>
    <t>Unamortized Discount, Debt Issuance Costs And Other Costs</t>
  </si>
  <si>
    <t>Hedge accounting fair value adjustments(2)</t>
  </si>
  <si>
    <t>Valuation allowance</t>
  </si>
  <si>
    <t>Total Value of Shares Authorized under Repurchase Program ($)</t>
  </si>
  <si>
    <t>September 1-30, 2016</t>
  </si>
  <si>
    <t>Money Market Funds And Time Deposits Level 1</t>
  </si>
  <si>
    <t>U.S. Treasury securities</t>
  </si>
  <si>
    <t>FV Assets-Rec.-Level 1-Securities AFS:US Treas/CP/Money Mark</t>
  </si>
  <si>
    <t>Derivative instruments</t>
  </si>
  <si>
    <t>Money market funds</t>
  </si>
  <si>
    <t>U.S. government-sponsored debt securities</t>
  </si>
  <si>
    <t>FV Assets- Rec- Level 2- Securities AFS</t>
  </si>
  <si>
    <t>Foreign Exchange Derivative Instruments ( Assets)</t>
  </si>
  <si>
    <t>FV Assets-Rec.-Total:Cash &amp; Securities Deposited /Clearing</t>
  </si>
  <si>
    <t>Marketable equity securities</t>
  </si>
  <si>
    <t>FV Assets-Rec.-Total:Investment securities</t>
  </si>
  <si>
    <t>FV Assets-Rec.-Total:Derivatives</t>
  </si>
  <si>
    <t>FV Liabilities - Rec. - Level 1 - Other</t>
  </si>
  <si>
    <t>FV Liabilities - Rec. - Level 2 - Derivatives</t>
  </si>
  <si>
    <t>FV Liabilities - Rec. - Total - Derivatives</t>
  </si>
  <si>
    <t>Corporate Debt Securities</t>
  </si>
  <si>
    <t>U.S. Treasury Securities Level 1</t>
  </si>
  <si>
    <t>Foreign Exchange Derivative Instruments - Level 2 ( Assets)</t>
  </si>
  <si>
    <t>U.S. Government-Sponsored Debt Securities  (Fair Valu)</t>
  </si>
  <si>
    <t>Performance Rights Granted During Period</t>
  </si>
  <si>
    <t>Performance Rights Outstanding End of Period</t>
  </si>
  <si>
    <t>Foreign Exchange Derivative Instruments Level 2 ( Liabilities)</t>
  </si>
  <si>
    <t>Net operating loss carryforwards</t>
  </si>
  <si>
    <t xml:space="preserve">  Derivative Hedging:- Total Assets</t>
  </si>
  <si>
    <t xml:space="preserve">  Derivative Hedging:- Total Liabilities</t>
  </si>
  <si>
    <t>Options Outstanding Beginning of Period</t>
  </si>
  <si>
    <t>Weighted-Average Repurchase Price Per Share</t>
  </si>
  <si>
    <t>Balance at beginning of period</t>
  </si>
  <si>
    <t>Balance at end of period</t>
  </si>
  <si>
    <t>Increases of unrecognized tax benefits related to current year</t>
  </si>
  <si>
    <t>Increases of unrecognized tax benefits related to prior years</t>
  </si>
  <si>
    <t>Decreases of unrecognized tax benefits related to prior years</t>
  </si>
  <si>
    <t>Decreases related to settlements with taxing authorities</t>
  </si>
  <si>
    <t>Statutes of Limitations under UTB</t>
  </si>
  <si>
    <t>Outstanding at September 30, 2016</t>
  </si>
  <si>
    <t>Available Commercial Paper for Issuing</t>
  </si>
  <si>
    <t>Cash Held Overseas</t>
  </si>
  <si>
    <t>Total Commercial Paper Program Size</t>
  </si>
  <si>
    <t>TotalNumber ofSharesPurchasedas Part ofPubliclyAnnouncedPlans orProg</t>
  </si>
  <si>
    <t>현금흐름</t>
  </si>
  <si>
    <t xml:space="preserve">  영업활동으로 인한 현금</t>
  </si>
  <si>
    <t>Net Income Including Non-Controlling Interest</t>
  </si>
  <si>
    <t>Depreciation and Amortization of Property, Equipment and Technology</t>
  </si>
  <si>
    <t>Deferred Income Taxes</t>
  </si>
  <si>
    <t>Share-Based Compensation CF</t>
  </si>
  <si>
    <t>Litigation Provision And Accretion</t>
  </si>
  <si>
    <t>Change In Accounts Payable</t>
  </si>
  <si>
    <t>Accounts Receivable</t>
  </si>
  <si>
    <t>Accrued And Other Liabilities</t>
  </si>
  <si>
    <t>Change In Accrued Litigation</t>
  </si>
  <si>
    <t>Change in Other Current Assets -Trading Securities</t>
  </si>
  <si>
    <t>Change in Other Current Liabilities -Settlement Payable</t>
  </si>
  <si>
    <t>Amortization of Client Incentives</t>
  </si>
  <si>
    <t>Operating Activity- Other</t>
  </si>
  <si>
    <t>Net Cash Provided By Operating Activities</t>
  </si>
  <si>
    <t>Client Incentives</t>
  </si>
  <si>
    <t>Fair Value Adjustment for The Visa Europe Put Option</t>
  </si>
  <si>
    <t>Change in Tax Payable</t>
  </si>
  <si>
    <t xml:space="preserve">  투자활동에서 현금흐름</t>
  </si>
  <si>
    <t>Purchases of Property, Equipment and Technology</t>
  </si>
  <si>
    <t>Purchases Of/Contributions To Other Investments</t>
  </si>
  <si>
    <t>Acquisition of Net Cash Received</t>
  </si>
  <si>
    <t>Other Investing Activities</t>
  </si>
  <si>
    <t>Other Investing Activities - Reclassification of Money Market Invest</t>
  </si>
  <si>
    <t>Proceeds From Sales And Maturities</t>
  </si>
  <si>
    <t>Purchases of Short-Term Marketable Securities</t>
  </si>
  <si>
    <t>Total Cash Flows from Investing</t>
  </si>
  <si>
    <t xml:space="preserve">  재무활동에서 현금흐름</t>
  </si>
  <si>
    <t>Dividends Paid</t>
  </si>
  <si>
    <t>Proceeds from issuance of senior notes (Note 9)</t>
  </si>
  <si>
    <t>Principal Payments On Debt.</t>
  </si>
  <si>
    <t>Repurchase Of Common Stock</t>
  </si>
  <si>
    <t>Effect Of Exchange Rate Changes On Cash And Cash Equivalents</t>
  </si>
  <si>
    <t>Deposits into Litigation Escrow Account—Retrospective Responsibili</t>
  </si>
  <si>
    <t>Payments From   Litigation Escrow Account—Retrospective Responsibi</t>
  </si>
  <si>
    <t>Deposit From Tax On Litigation Escrow Account - Restrospective Respo</t>
  </si>
  <si>
    <t>Payment From Tax On Litigation Escrow Account - Retrospective Respon</t>
  </si>
  <si>
    <t>Income Taxes Paid, Net of Refunds</t>
  </si>
  <si>
    <t>Interest Payments on Debt</t>
  </si>
  <si>
    <t>Cash Proceeds From Exercise Of Stock Options</t>
  </si>
  <si>
    <t>(Decrease) Increase in Cash and Cash Equivalents</t>
  </si>
  <si>
    <t>Cash and Cash Equivalents at End of Period</t>
  </si>
  <si>
    <t>Cash and Cash Equivalents at Beginning of Year</t>
  </si>
  <si>
    <t>Total Cash Flows from Financing</t>
  </si>
  <si>
    <t>Free cash flow</t>
  </si>
  <si>
    <t>VISA Valuation&amp;Estimation Logic</t>
    <phoneticPr fontId="3" type="noConversion"/>
  </si>
  <si>
    <t>RFS Research Team 2</t>
    <phoneticPr fontId="3" type="noConversion"/>
  </si>
  <si>
    <t>(In USD millions)</t>
    <phoneticPr fontId="3" type="noConversion"/>
  </si>
  <si>
    <t>VISA</t>
    <phoneticPr fontId="3" type="noConversion"/>
  </si>
  <si>
    <t>Income Statement</t>
    <phoneticPr fontId="36" type="noConversion"/>
  </si>
  <si>
    <t>(In USD millions)</t>
    <phoneticPr fontId="36" type="noConversion"/>
  </si>
  <si>
    <t>Asset Schedule</t>
    <phoneticPr fontId="36" type="noConversion"/>
  </si>
  <si>
    <t>Change in NWC</t>
    <phoneticPr fontId="36" type="noConversion"/>
  </si>
  <si>
    <t>Weighted Average Cost of Capital</t>
    <phoneticPr fontId="36" type="noConversion"/>
  </si>
  <si>
    <t>VISA Historical DATA</t>
    <phoneticPr fontId="3" type="noConversion"/>
  </si>
  <si>
    <t>WACC Calculation Table</t>
    <phoneticPr fontId="3" type="noConversion"/>
  </si>
  <si>
    <t>Wd(Debt/Capital)</t>
    <phoneticPr fontId="3" type="noConversion"/>
  </si>
  <si>
    <t>We(Equity/Capital)</t>
    <phoneticPr fontId="3" type="noConversion"/>
  </si>
  <si>
    <t>Rd(타인자본비용)</t>
    <phoneticPr fontId="3" type="noConversion"/>
  </si>
  <si>
    <t>(1-t)</t>
    <phoneticPr fontId="3" type="noConversion"/>
  </si>
  <si>
    <t>Rd*(1-t)*Wd</t>
    <phoneticPr fontId="3" type="noConversion"/>
  </si>
  <si>
    <t>무위험수익률(Rf)</t>
    <phoneticPr fontId="3" type="noConversion"/>
  </si>
  <si>
    <t>시장위험프리미엄(MRP, Rm-Rf)</t>
    <phoneticPr fontId="3" type="noConversion"/>
  </si>
  <si>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KoPubWorld돋움체 Medium"/>
        <family val="3"/>
        <charset val="129"/>
      </rPr>
      <t>(조정베타)</t>
    </r>
    <phoneticPr fontId="3" type="noConversion"/>
  </si>
  <si>
    <t>Re(자기자본비용)</t>
    <phoneticPr fontId="3" type="noConversion"/>
  </si>
  <si>
    <t>Re*We</t>
    <phoneticPr fontId="3" type="noConversion"/>
  </si>
  <si>
    <t>WACC</t>
    <phoneticPr fontId="3" type="noConversion"/>
  </si>
  <si>
    <t>차입금</t>
    <phoneticPr fontId="3" type="noConversion"/>
  </si>
  <si>
    <t>금액($mn)</t>
    <phoneticPr fontId="3" type="noConversion"/>
  </si>
  <si>
    <t>단기차입금&amp;유동성장기부채</t>
    <phoneticPr fontId="3" type="noConversion"/>
  </si>
  <si>
    <t>장기차입금</t>
    <phoneticPr fontId="3" type="noConversion"/>
  </si>
  <si>
    <t>합계</t>
    <phoneticPr fontId="3" type="noConversion"/>
  </si>
  <si>
    <t>시가총액</t>
    <phoneticPr fontId="3" type="noConversion"/>
  </si>
  <si>
    <t>Wd</t>
    <phoneticPr fontId="3" type="noConversion"/>
  </si>
  <si>
    <t>Description</t>
    <phoneticPr fontId="3" type="noConversion"/>
  </si>
  <si>
    <t>시가 총액 대비 차입금 비율</t>
    <phoneticPr fontId="3" type="noConversion"/>
  </si>
  <si>
    <t>IS sheet 참고</t>
    <phoneticPr fontId="3" type="noConversion"/>
  </si>
  <si>
    <r>
      <t>Re=Rf+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KoPubWorld돋움체 Medium"/>
        <family val="3"/>
        <charset val="129"/>
      </rPr>
      <t>(Rm-Rf)</t>
    </r>
    <phoneticPr fontId="3" type="noConversion"/>
  </si>
  <si>
    <t>Historical</t>
    <phoneticPr fontId="3" type="noConversion"/>
  </si>
  <si>
    <t>Pro Forma</t>
    <phoneticPr fontId="3" type="noConversion"/>
  </si>
  <si>
    <t>Description</t>
    <phoneticPr fontId="36" type="noConversion"/>
  </si>
  <si>
    <t>2020A</t>
    <phoneticPr fontId="3" type="noConversion"/>
  </si>
  <si>
    <t>2021A</t>
    <phoneticPr fontId="36" type="noConversion"/>
  </si>
  <si>
    <t>2022A</t>
    <phoneticPr fontId="36" type="noConversion"/>
  </si>
  <si>
    <t>2023A</t>
    <phoneticPr fontId="36" type="noConversion"/>
  </si>
  <si>
    <t>2025E</t>
    <phoneticPr fontId="3" type="noConversion"/>
  </si>
  <si>
    <t>2026E</t>
    <phoneticPr fontId="3" type="noConversion"/>
  </si>
  <si>
    <t>2027E</t>
    <phoneticPr fontId="3" type="noConversion"/>
  </si>
  <si>
    <t>2028E</t>
    <phoneticPr fontId="3" type="noConversion"/>
  </si>
  <si>
    <t>2029E</t>
    <phoneticPr fontId="3" type="noConversion"/>
  </si>
  <si>
    <t>2030E</t>
  </si>
  <si>
    <t>매출채권</t>
    <phoneticPr fontId="36" type="noConversion"/>
  </si>
  <si>
    <t>영업용 유동자산</t>
    <phoneticPr fontId="36" type="noConversion"/>
  </si>
  <si>
    <t>매입채무</t>
    <phoneticPr fontId="36" type="noConversion"/>
  </si>
  <si>
    <t>영업용 유동부채</t>
    <phoneticPr fontId="36" type="noConversion"/>
  </si>
  <si>
    <t>순운전자본</t>
    <phoneticPr fontId="36" type="noConversion"/>
  </si>
  <si>
    <t>순운전자본의 증감</t>
    <phoneticPr fontId="36" type="noConversion"/>
  </si>
  <si>
    <t>IS Data</t>
    <phoneticPr fontId="36" type="noConversion"/>
  </si>
  <si>
    <t>매출액</t>
    <phoneticPr fontId="36" type="noConversion"/>
  </si>
  <si>
    <t>Assumptions</t>
    <phoneticPr fontId="36" type="noConversion"/>
  </si>
  <si>
    <t>순운전자본(Net Working Capital) 항목</t>
    <phoneticPr fontId="36" type="noConversion"/>
  </si>
  <si>
    <t>영업일:</t>
    <phoneticPr fontId="36" type="noConversion"/>
  </si>
  <si>
    <t>매출채권회수일(DSO)</t>
    <phoneticPr fontId="36" type="noConversion"/>
  </si>
  <si>
    <t>매입채무회수일(DPO)</t>
    <phoneticPr fontId="36" type="noConversion"/>
  </si>
  <si>
    <t xml:space="preserve">Ratio </t>
    <phoneticPr fontId="36" type="noConversion"/>
  </si>
  <si>
    <t>매출채권/매출</t>
    <phoneticPr fontId="36" type="noConversion"/>
  </si>
  <si>
    <t>순운전자본/매출</t>
    <phoneticPr fontId="36" type="noConversion"/>
  </si>
  <si>
    <t>영업용유동자산/영업용유동부채</t>
    <phoneticPr fontId="36" type="noConversion"/>
  </si>
  <si>
    <t>순운전자본/총자산</t>
    <phoneticPr fontId="3" type="noConversion"/>
  </si>
  <si>
    <t>총자산 추정</t>
    <phoneticPr fontId="3" type="noConversion"/>
  </si>
  <si>
    <t>총자산 회전율</t>
    <phoneticPr fontId="3" type="noConversion"/>
  </si>
  <si>
    <t>총자산</t>
    <phoneticPr fontId="3" type="noConversion"/>
  </si>
  <si>
    <t>매출액</t>
    <phoneticPr fontId="3" type="noConversion"/>
  </si>
  <si>
    <t>기타</t>
    <phoneticPr fontId="3" type="noConversion"/>
  </si>
  <si>
    <t>비유동자산</t>
    <phoneticPr fontId="3" type="noConversion"/>
  </si>
  <si>
    <t>유형자산 Schedule</t>
    <phoneticPr fontId="27" type="noConversion"/>
  </si>
  <si>
    <t>Capex</t>
    <phoneticPr fontId="27" type="noConversion"/>
  </si>
  <si>
    <t>감가상각비</t>
    <phoneticPr fontId="3" type="noConversion"/>
  </si>
  <si>
    <t>매출액 대비 Capex</t>
    <phoneticPr fontId="27" type="noConversion"/>
  </si>
  <si>
    <t>기초 유형자산 대비 감가상각비</t>
    <phoneticPr fontId="27" type="noConversion"/>
  </si>
  <si>
    <t>무형자산 Schedule</t>
    <phoneticPr fontId="27" type="noConversion"/>
  </si>
  <si>
    <t>기초 무형자산</t>
    <phoneticPr fontId="27" type="noConversion"/>
  </si>
  <si>
    <t>상각비</t>
    <phoneticPr fontId="3" type="noConversion"/>
  </si>
  <si>
    <t>기말 무형자산</t>
    <phoneticPr fontId="27" type="noConversion"/>
  </si>
  <si>
    <t>기초 무형자산 대비 상각비</t>
    <phoneticPr fontId="27" type="noConversion"/>
  </si>
  <si>
    <t>Capex / D&amp;A</t>
    <phoneticPr fontId="27" type="noConversion"/>
  </si>
  <si>
    <t>Total Capex</t>
    <phoneticPr fontId="27" type="noConversion"/>
  </si>
  <si>
    <t>of revenue (%)</t>
    <phoneticPr fontId="27" type="noConversion"/>
  </si>
  <si>
    <t>Total D&amp;A</t>
    <phoneticPr fontId="27" type="noConversion"/>
  </si>
  <si>
    <t>Revenue Estimation</t>
    <phoneticPr fontId="36" type="noConversion"/>
  </si>
  <si>
    <t>2024A</t>
    <phoneticPr fontId="3" type="noConversion"/>
  </si>
  <si>
    <r>
      <t>Accounts Receivable(</t>
    </r>
    <r>
      <rPr>
        <sz val="10"/>
        <color rgb="FF333333"/>
        <rFont val="맑은 고딕"/>
        <family val="2"/>
        <charset val="129"/>
      </rPr>
      <t>매출채권)</t>
    </r>
    <phoneticPr fontId="3" type="noConversion"/>
  </si>
  <si>
    <r>
      <t>Cash And Cash Equivalents(</t>
    </r>
    <r>
      <rPr>
        <sz val="10"/>
        <color rgb="FF333333"/>
        <rFont val="맑은 고딕"/>
        <family val="2"/>
        <charset val="129"/>
      </rPr>
      <t>현금 및 현금성 자산)</t>
    </r>
    <phoneticPr fontId="3" type="noConversion"/>
  </si>
  <si>
    <r>
      <t>Prepaid Expenses And Other Current Assets(</t>
    </r>
    <r>
      <rPr>
        <sz val="10"/>
        <color rgb="FF333333"/>
        <rFont val="맑은 고딕"/>
        <family val="2"/>
        <charset val="129"/>
      </rPr>
      <t>선급비용 및 기타 유동자산)</t>
    </r>
    <phoneticPr fontId="3" type="noConversion"/>
  </si>
  <si>
    <r>
      <t>Restricted Cash—Litigation Escrow.(</t>
    </r>
    <r>
      <rPr>
        <sz val="10"/>
        <color rgb="FF333333"/>
        <rFont val="맑은 고딕"/>
        <family val="2"/>
        <charset val="129"/>
      </rPr>
      <t>제한된 현금 - 소송 에스크로)</t>
    </r>
    <phoneticPr fontId="3" type="noConversion"/>
  </si>
  <si>
    <r>
      <t>Customer Collateral (Other Current Assets)(</t>
    </r>
    <r>
      <rPr>
        <sz val="10"/>
        <color rgb="FF333333"/>
        <rFont val="맑은 고딕"/>
        <family val="2"/>
        <charset val="129"/>
      </rPr>
      <t>고객담보자산(기타유동자산))</t>
    </r>
    <phoneticPr fontId="3" type="noConversion"/>
  </si>
  <si>
    <r>
      <t>Settlement Receivable(</t>
    </r>
    <r>
      <rPr>
        <sz val="10"/>
        <color rgb="FF333333"/>
        <rFont val="맑은 고딕"/>
        <family val="2"/>
        <charset val="129"/>
      </rPr>
      <t>결제대금 수취채권)</t>
    </r>
    <phoneticPr fontId="3" type="noConversion"/>
  </si>
  <si>
    <r>
      <t>Total Current Assets(</t>
    </r>
    <r>
      <rPr>
        <b/>
        <sz val="10"/>
        <color rgb="FF000000"/>
        <rFont val="맑은 고딕"/>
        <family val="2"/>
        <charset val="129"/>
      </rPr>
      <t>총 유동자산)</t>
    </r>
    <phoneticPr fontId="3" type="noConversion"/>
  </si>
  <si>
    <r>
      <t>Investment Securities, Available-for-Sale(</t>
    </r>
    <r>
      <rPr>
        <sz val="10"/>
        <color rgb="FF333333"/>
        <rFont val="맑은 고딕"/>
        <family val="2"/>
        <charset val="129"/>
      </rPr>
      <t>매도가능 투자증권)</t>
    </r>
    <phoneticPr fontId="3" type="noConversion"/>
  </si>
  <si>
    <r>
      <t>Property, Equipment And Technology, Net(</t>
    </r>
    <r>
      <rPr>
        <sz val="10"/>
        <color rgb="FF333333"/>
        <rFont val="맑은 고딕"/>
        <family val="2"/>
        <charset val="129"/>
      </rPr>
      <t>유형자산 및 기술자산 순액)</t>
    </r>
    <phoneticPr fontId="3" type="noConversion"/>
  </si>
  <si>
    <r>
      <t>Intangible assets, net(</t>
    </r>
    <r>
      <rPr>
        <sz val="10"/>
        <color rgb="FF333333"/>
        <rFont val="맑은 고딕"/>
        <family val="2"/>
        <charset val="129"/>
      </rPr>
      <t>무형자산 순액</t>
    </r>
    <r>
      <rPr>
        <sz val="10"/>
        <color indexed="63"/>
        <rFont val="Arial"/>
        <family val="2"/>
      </rPr>
      <t>)</t>
    </r>
    <phoneticPr fontId="3" type="noConversion"/>
  </si>
  <si>
    <r>
      <t>Goodwill(</t>
    </r>
    <r>
      <rPr>
        <sz val="10"/>
        <color rgb="FF333333"/>
        <rFont val="맑은 고딕"/>
        <family val="2"/>
        <charset val="129"/>
      </rPr>
      <t>영업권)</t>
    </r>
    <phoneticPr fontId="3" type="noConversion"/>
  </si>
  <si>
    <r>
      <t>Total assets(</t>
    </r>
    <r>
      <rPr>
        <sz val="10"/>
        <color rgb="FF333333"/>
        <rFont val="맑은 고딕"/>
        <family val="2"/>
        <charset val="129"/>
      </rPr>
      <t>총 자산)</t>
    </r>
    <phoneticPr fontId="3" type="noConversion"/>
  </si>
  <si>
    <r>
      <t>Total assets(</t>
    </r>
    <r>
      <rPr>
        <b/>
        <sz val="10"/>
        <color rgb="FF000000"/>
        <rFont val="맑은 고딕"/>
        <family val="2"/>
        <charset val="129"/>
      </rPr>
      <t>총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rgb="FF000000"/>
        <rFont val="맑은 고딕"/>
        <family val="2"/>
        <charset val="129"/>
      </rPr>
      <t>자산</t>
    </r>
    <r>
      <rPr>
        <b/>
        <sz val="10"/>
        <color indexed="8"/>
        <rFont val="Arial"/>
        <family val="2"/>
      </rPr>
      <t>)</t>
    </r>
    <phoneticPr fontId="3" type="noConversion"/>
  </si>
  <si>
    <r>
      <t>Accounts Payable(</t>
    </r>
    <r>
      <rPr>
        <sz val="10"/>
        <color rgb="FF333333"/>
        <rFont val="맑은 고딕"/>
        <family val="2"/>
        <charset val="129"/>
      </rPr>
      <t>매입채무)</t>
    </r>
    <phoneticPr fontId="3" type="noConversion"/>
  </si>
  <si>
    <r>
      <t>Current Portion of Long-Term Debt(</t>
    </r>
    <r>
      <rPr>
        <sz val="10"/>
        <color rgb="FF333333"/>
        <rFont val="맑은 고딕"/>
        <family val="2"/>
        <charset val="129"/>
      </rPr>
      <t>유동성 장기부채)</t>
    </r>
    <phoneticPr fontId="3" type="noConversion"/>
  </si>
  <si>
    <r>
      <t>Accrued Compensation And Benefits(</t>
    </r>
    <r>
      <rPr>
        <sz val="10"/>
        <color rgb="FF333333"/>
        <rFont val="맑은 고딕"/>
        <family val="2"/>
        <charset val="129"/>
      </rPr>
      <t>미지급 급여 및 복리후생)</t>
    </r>
    <phoneticPr fontId="3" type="noConversion"/>
  </si>
  <si>
    <r>
      <t>Accrued Liabilities(</t>
    </r>
    <r>
      <rPr>
        <sz val="10"/>
        <color rgb="FF333333"/>
        <rFont val="맑은 고딕"/>
        <family val="2"/>
        <charset val="129"/>
      </rPr>
      <t>미지급 부채)</t>
    </r>
    <phoneticPr fontId="3" type="noConversion"/>
  </si>
  <si>
    <r>
      <t>Total Current Liabilities(</t>
    </r>
    <r>
      <rPr>
        <b/>
        <sz val="10"/>
        <color rgb="FF000000"/>
        <rFont val="맑은 고딕"/>
        <family val="2"/>
        <charset val="129"/>
      </rPr>
      <t>총 유동부채)</t>
    </r>
    <phoneticPr fontId="3" type="noConversion"/>
  </si>
  <si>
    <r>
      <t>Long-term debt(</t>
    </r>
    <r>
      <rPr>
        <sz val="10"/>
        <color rgb="FF333333"/>
        <rFont val="맑은 고딕"/>
        <family val="2"/>
        <charset val="129"/>
      </rPr>
      <t>장기부채)</t>
    </r>
    <phoneticPr fontId="3" type="noConversion"/>
  </si>
  <si>
    <r>
      <t>Total liabilities(</t>
    </r>
    <r>
      <rPr>
        <sz val="10"/>
        <color rgb="FF333333"/>
        <rFont val="맑은 고딕"/>
        <family val="2"/>
        <charset val="129"/>
      </rPr>
      <t>총 부채)</t>
    </r>
    <phoneticPr fontId="3" type="noConversion"/>
  </si>
  <si>
    <r>
      <t>Long-Term Debt(</t>
    </r>
    <r>
      <rPr>
        <sz val="10"/>
        <color rgb="FF333333"/>
        <rFont val="맑은 고딕"/>
        <family val="2"/>
        <charset val="129"/>
      </rPr>
      <t>장기부채</t>
    </r>
    <r>
      <rPr>
        <sz val="10"/>
        <color rgb="FF333333"/>
        <rFont val="Arial"/>
        <family val="2"/>
      </rPr>
      <t>)</t>
    </r>
    <phoneticPr fontId="3" type="noConversion"/>
  </si>
  <si>
    <r>
      <t>Deferred Tax Liabilities(</t>
    </r>
    <r>
      <rPr>
        <sz val="10"/>
        <color rgb="FF333333"/>
        <rFont val="맑은 고딕"/>
        <family val="2"/>
        <charset val="129"/>
      </rPr>
      <t>이연법인세 부채)</t>
    </r>
    <phoneticPr fontId="3" type="noConversion"/>
  </si>
  <si>
    <r>
      <t>Total Liabilities(</t>
    </r>
    <r>
      <rPr>
        <b/>
        <sz val="10"/>
        <color rgb="FF000000"/>
        <rFont val="맑은 고딕"/>
        <family val="2"/>
        <charset val="129"/>
      </rPr>
      <t>총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rgb="FF000000"/>
        <rFont val="맑은 고딕"/>
        <family val="2"/>
        <charset val="129"/>
      </rPr>
      <t>부채</t>
    </r>
    <r>
      <rPr>
        <b/>
        <sz val="10"/>
        <color rgb="FF000000"/>
        <rFont val="Arial"/>
        <family val="2"/>
      </rPr>
      <t>)</t>
    </r>
    <phoneticPr fontId="3" type="noConversion"/>
  </si>
  <si>
    <t>선급비용 및 기타유동자산</t>
    <phoneticPr fontId="3" type="noConversion"/>
  </si>
  <si>
    <t>결제대금 수취채권</t>
    <phoneticPr fontId="3" type="noConversion"/>
  </si>
  <si>
    <t>고객 인센티브</t>
    <phoneticPr fontId="3" type="noConversion"/>
  </si>
  <si>
    <t>미지급 급여 및 복리후생</t>
    <phoneticPr fontId="3" type="noConversion"/>
  </si>
  <si>
    <t>결제대금 지급부채</t>
    <phoneticPr fontId="3" type="noConversion"/>
  </si>
  <si>
    <r>
      <t>Investment securities(</t>
    </r>
    <r>
      <rPr>
        <sz val="10"/>
        <color rgb="FF333333"/>
        <rFont val="맑은 고딕"/>
        <family val="2"/>
        <charset val="129"/>
      </rPr>
      <t>단기투자)</t>
    </r>
    <phoneticPr fontId="3" type="noConversion"/>
  </si>
  <si>
    <r>
      <t>Available-for-Sale Securities(</t>
    </r>
    <r>
      <rPr>
        <sz val="10"/>
        <color rgb="FF333333"/>
        <rFont val="맑은 고딕"/>
        <family val="2"/>
        <charset val="129"/>
      </rPr>
      <t>단기투자)</t>
    </r>
    <phoneticPr fontId="3" type="noConversion"/>
  </si>
  <si>
    <t>유형자산</t>
    <phoneticPr fontId="36" type="noConversion"/>
  </si>
  <si>
    <t>무형자산</t>
    <phoneticPr fontId="3" type="noConversion"/>
  </si>
  <si>
    <t>기초 유형자산</t>
    <phoneticPr fontId="36" type="noConversion"/>
  </si>
  <si>
    <t>Capex</t>
    <phoneticPr fontId="3" type="noConversion"/>
  </si>
  <si>
    <t>기말 유형자산</t>
    <phoneticPr fontId="36" type="noConversion"/>
  </si>
  <si>
    <t>VISA</t>
    <phoneticPr fontId="36" type="noConversion"/>
  </si>
  <si>
    <t>DCF Valuation</t>
    <phoneticPr fontId="3" type="noConversion"/>
  </si>
  <si>
    <t>2024A</t>
    <phoneticPr fontId="36" type="noConversion"/>
  </si>
  <si>
    <r>
      <rPr>
        <sz val="10"/>
        <color indexed="8"/>
        <rFont val="KoPubWorld돋움체 Bold"/>
        <family val="3"/>
        <charset val="129"/>
      </rPr>
      <t>매출액</t>
    </r>
    <phoneticPr fontId="36" type="noConversion"/>
  </si>
  <si>
    <t>% of sales</t>
    <phoneticPr fontId="3" type="noConversion"/>
  </si>
  <si>
    <t>영업이익</t>
    <phoneticPr fontId="3" type="noConversion"/>
  </si>
  <si>
    <t>OPM</t>
    <phoneticPr fontId="3" type="noConversion"/>
  </si>
  <si>
    <t>(+) D&amp;A</t>
    <phoneticPr fontId="36" type="noConversion"/>
  </si>
  <si>
    <t>EBITDA</t>
    <phoneticPr fontId="36" type="noConversion"/>
  </si>
  <si>
    <t>(+) 영업외손익</t>
    <phoneticPr fontId="36" type="noConversion"/>
  </si>
  <si>
    <r>
      <rPr>
        <sz val="10"/>
        <color indexed="8"/>
        <rFont val="KoPubWorld돋움체 Bold"/>
        <family val="3"/>
        <charset val="129"/>
      </rPr>
      <t>법인세비용차감전순이익(손실)</t>
    </r>
    <phoneticPr fontId="36" type="noConversion"/>
  </si>
  <si>
    <r>
      <t xml:space="preserve">(-) </t>
    </r>
    <r>
      <rPr>
        <sz val="10"/>
        <color indexed="8"/>
        <rFont val="KoPubWorld돋움체 Medium"/>
        <family val="3"/>
        <charset val="129"/>
      </rPr>
      <t>법인세비용</t>
    </r>
    <phoneticPr fontId="36" type="noConversion"/>
  </si>
  <si>
    <t>당기순이익</t>
    <phoneticPr fontId="36" type="noConversion"/>
  </si>
  <si>
    <t>Ratio and Assumption</t>
    <phoneticPr fontId="36" type="noConversion"/>
  </si>
  <si>
    <t>매출액성장률 Yoy</t>
    <phoneticPr fontId="36" type="noConversion"/>
  </si>
  <si>
    <t>EBIT Yoy</t>
    <phoneticPr fontId="36" type="noConversion"/>
  </si>
  <si>
    <t>EBITDA Yoy</t>
    <phoneticPr fontId="36" type="noConversion"/>
  </si>
  <si>
    <t>세전이익 Yoy</t>
    <phoneticPr fontId="36" type="noConversion"/>
  </si>
  <si>
    <t>당기순이익 Yoy</t>
    <phoneticPr fontId="36" type="noConversion"/>
  </si>
  <si>
    <t>EBIT margin</t>
    <phoneticPr fontId="36" type="noConversion"/>
  </si>
  <si>
    <t>EBITDA margin</t>
    <phoneticPr fontId="36" type="noConversion"/>
  </si>
  <si>
    <t>판관비율</t>
    <phoneticPr fontId="36" type="noConversion"/>
  </si>
  <si>
    <t>D&amp;A/Sales</t>
    <phoneticPr fontId="36" type="noConversion"/>
  </si>
  <si>
    <t>법인세율</t>
    <phoneticPr fontId="3" type="noConversion"/>
  </si>
  <si>
    <t>(-) 영업비용</t>
    <phoneticPr fontId="3" type="noConversion"/>
  </si>
  <si>
    <t>(-) 일반판매관리비</t>
    <phoneticPr fontId="3" type="noConversion"/>
  </si>
  <si>
    <t>(-) 감가상각&amp;무형자산상각</t>
    <phoneticPr fontId="3" type="noConversion"/>
  </si>
  <si>
    <t>(-) 기타 영업비용</t>
    <phoneticPr fontId="3" type="noConversion"/>
  </si>
  <si>
    <t>Terminal Value</t>
  </si>
  <si>
    <t>세후영업이익(NOPLAT)</t>
  </si>
  <si>
    <t>(-) 타인자본가치 (순차입금)</t>
  </si>
  <si>
    <t xml:space="preserve">     (+) 상각비</t>
  </si>
  <si>
    <t xml:space="preserve">              매출 대비 비중</t>
  </si>
  <si>
    <t xml:space="preserve">     (-) 순운전자본(NWC) 변동 (기말-기초)</t>
  </si>
  <si>
    <t xml:space="preserve">             기초 순운전자본</t>
  </si>
  <si>
    <t xml:space="preserve">             기말 순운전자본</t>
  </si>
  <si>
    <t xml:space="preserve">             순운전자본 증감 매출 대비 비중</t>
  </si>
  <si>
    <t xml:space="preserve">     (-) Capex</t>
  </si>
  <si>
    <t>잉여현금흐름(FCF)</t>
  </si>
  <si>
    <t>잔존가치(Terminal Value)</t>
  </si>
  <si>
    <t xml:space="preserve">     영구성장률(g)</t>
  </si>
  <si>
    <t xml:space="preserve">      WACC(Wacc sheet 참고)</t>
  </si>
  <si>
    <t>현재가치 계수</t>
  </si>
  <si>
    <t xml:space="preserve">         연도</t>
  </si>
  <si>
    <t>추정연도(2025~2029) FCF의 현재가치</t>
  </si>
  <si>
    <t>추정연도 FCF의 현재가치의 합</t>
  </si>
  <si>
    <t>잔존가치(Terminal Value)의 현재가치</t>
  </si>
  <si>
    <t>기업가치(EV)</t>
  </si>
  <si>
    <t>(+) 비영업용 자산 가치</t>
  </si>
  <si>
    <t>보통주 자기자본의 가치(주주가치)</t>
  </si>
  <si>
    <t xml:space="preserve"> (÷) 발행주식수</t>
  </si>
  <si>
    <t>목표 가격(Target Price,$)</t>
  </si>
  <si>
    <t>시가총액($mn)</t>
  </si>
  <si>
    <t>WACC</t>
    <phoneticPr fontId="27" type="noConversion"/>
  </si>
  <si>
    <t>Terminal growth rate(g)</t>
    <phoneticPr fontId="27" type="noConversion"/>
  </si>
  <si>
    <t>∑ PV of FCF</t>
    <phoneticPr fontId="27" type="noConversion"/>
  </si>
  <si>
    <t>PV of TV</t>
    <phoneticPr fontId="27" type="noConversion"/>
  </si>
  <si>
    <t>영업가치</t>
    <phoneticPr fontId="30" type="noConversion"/>
  </si>
  <si>
    <t>(+) 비영업자산가치</t>
    <phoneticPr fontId="3" type="noConversion"/>
  </si>
  <si>
    <t>(-) 타인자본가치 (순차입금)</t>
    <phoneticPr fontId="3" type="noConversion"/>
  </si>
  <si>
    <t>주주가치(Equity Value)</t>
    <phoneticPr fontId="3" type="noConversion"/>
  </si>
  <si>
    <t>발행주식수</t>
    <phoneticPr fontId="3" type="noConversion"/>
  </si>
  <si>
    <t>적정주가:</t>
    <phoneticPr fontId="27" type="noConversion"/>
  </si>
  <si>
    <t>현재주가:</t>
    <phoneticPr fontId="27" type="noConversion"/>
  </si>
  <si>
    <t>상승(하락)여력:</t>
    <phoneticPr fontId="27" type="noConversion"/>
  </si>
  <si>
    <t>투자의견</t>
    <phoneticPr fontId="30" type="noConversion"/>
  </si>
  <si>
    <t>BUY</t>
    <phoneticPr fontId="3" type="noConversion"/>
  </si>
  <si>
    <t>영업비용</t>
    <phoneticPr fontId="27" type="noConversion"/>
  </si>
  <si>
    <t>일반판매관리비</t>
    <phoneticPr fontId="27" type="noConversion"/>
  </si>
  <si>
    <t>감가상각&amp;무형자산상각비</t>
    <phoneticPr fontId="27" type="noConversion"/>
  </si>
  <si>
    <t>기타 영업비용</t>
    <phoneticPr fontId="27" type="noConversion"/>
  </si>
  <si>
    <t>영업이익</t>
    <phoneticPr fontId="27" type="noConversion"/>
  </si>
  <si>
    <t>(-) 법인세 비용</t>
    <phoneticPr fontId="27" type="noConversion"/>
  </si>
  <si>
    <t>(-) 영업외손실</t>
    <phoneticPr fontId="27" type="noConversion"/>
  </si>
  <si>
    <t>비자 (V US) - 표준화</t>
  </si>
  <si>
    <t>총자산</t>
  </si>
  <si>
    <t xml:space="preserve">  + 현금, 현금등가물, 단기투자</t>
  </si>
  <si>
    <t>CASH_CASH_EQTY_STI_DETAILED</t>
  </si>
  <si>
    <t xml:space="preserve">    + 현금 &amp; 현금등가물</t>
  </si>
  <si>
    <t>BS_CASH_NEAR_CASH_ITEM</t>
  </si>
  <si>
    <t xml:space="preserve">    + 단기투자</t>
  </si>
  <si>
    <t>BS_MKT_SEC_OTHER_ST_INVEST</t>
  </si>
  <si>
    <t xml:space="preserve">  + 매출채권</t>
  </si>
  <si>
    <t>BS_ACCT_NOTE_RCV</t>
  </si>
  <si>
    <t xml:space="preserve">    + 매출채권, 순액</t>
  </si>
  <si>
    <t>BS_ACCTS_REC_EXCL_NOTES_REC</t>
  </si>
  <si>
    <t xml:space="preserve">    + 받을 어음, 순</t>
  </si>
  <si>
    <t>NOTES_RECEIVABLE</t>
  </si>
  <si>
    <t xml:space="preserve">  + 재고</t>
  </si>
  <si>
    <t>BS_INVENTORIES</t>
  </si>
  <si>
    <t xml:space="preserve">    + 원자재</t>
  </si>
  <si>
    <t>INVTRY_RAW_MATERIALS</t>
  </si>
  <si>
    <t xml:space="preserve">    + 재공품</t>
  </si>
  <si>
    <t>INVTRY_IN_PROGRESS</t>
  </si>
  <si>
    <t xml:space="preserve">    + 완제품</t>
  </si>
  <si>
    <t>INVTRY_FINISHED_GOODS</t>
  </si>
  <si>
    <t xml:space="preserve">    + 기타 재고</t>
  </si>
  <si>
    <t>BS_OTHER_INV</t>
  </si>
  <si>
    <t xml:space="preserve">  + 기타 단기 자산</t>
  </si>
  <si>
    <t>OTHER_CURRENT_ASSETS_DETAILED</t>
  </si>
  <si>
    <t xml:space="preserve">    + 파생상품 및 헤지자산</t>
  </si>
  <si>
    <t>BS_DERIV_HEDGING_ASST_ST</t>
  </si>
  <si>
    <t xml:space="preserve">    + 미수법인세</t>
  </si>
  <si>
    <t>BS_TAXES_RECEIVABLE_SHORT_TERM</t>
  </si>
  <si>
    <t xml:space="preserve">    + 기타 단기 자산</t>
  </si>
  <si>
    <t>BS_OTHER_CUR_ASSET_LESS_PREPAY</t>
  </si>
  <si>
    <t>유동자산총계</t>
  </si>
  <si>
    <t>BS_CUR_ASSET_REPORT</t>
  </si>
  <si>
    <t xml:space="preserve">  + 유형고정자산, 순</t>
  </si>
  <si>
    <t>BS_NET_FIX_ASSET</t>
  </si>
  <si>
    <t xml:space="preserve">    + 유형고정자산</t>
  </si>
  <si>
    <t>BS_GROSS_FIX_ASSET</t>
  </si>
  <si>
    <t xml:space="preserve">    - 감가상각누계</t>
  </si>
  <si>
    <t>BS_ACCUM_DEPR</t>
  </si>
  <si>
    <t xml:space="preserve">  + 장기 투자 &amp; 미수금</t>
  </si>
  <si>
    <t>BS_LT_INVEST</t>
  </si>
  <si>
    <t xml:space="preserve">    + 장기 유가증권</t>
  </si>
  <si>
    <t>BS_LT_MARKETABLE_SECURITIES</t>
  </si>
  <si>
    <t xml:space="preserve">  + 기타 장기 자산</t>
  </si>
  <si>
    <t>BS_OTHER_ASSETS_DEF_CHRG_OTHER</t>
  </si>
  <si>
    <t xml:space="preserve">    + 무형자산 총계</t>
  </si>
  <si>
    <t>BS_DISCLOSED_INTANGIBLES</t>
  </si>
  <si>
    <t xml:space="preserve">    + 영업권 총액 기업 기준</t>
  </si>
  <si>
    <t>BS_GOODWILL</t>
  </si>
  <si>
    <t xml:space="preserve">    + 기타 무형자산</t>
  </si>
  <si>
    <t>OTHER_INTANGIBLE_ASSETS_DETAILED</t>
  </si>
  <si>
    <t xml:space="preserve">    + 이연법인세자산</t>
  </si>
  <si>
    <t>BS_DEFERRED_TAX_ASSETS_LT</t>
  </si>
  <si>
    <t>BS_DERIV_HEDGING_ASST_LT</t>
  </si>
  <si>
    <t xml:space="preserve">    + 기타 고정 자산</t>
  </si>
  <si>
    <t>OTHER_NONCURRENT_ASSETS_DETAILED</t>
  </si>
  <si>
    <t>Total Noncurrent Assets</t>
  </si>
  <si>
    <t>BS_TOT_NON_CUR_ASSET</t>
  </si>
  <si>
    <t>자산총계</t>
  </si>
  <si>
    <t>BS_TOT_ASSET</t>
  </si>
  <si>
    <t>부채와자본</t>
  </si>
  <si>
    <t xml:space="preserve">  + 매입채무</t>
  </si>
  <si>
    <t>ACCT_PAYABLE_ACCRUALS_DETAILED</t>
  </si>
  <si>
    <t xml:space="preserve">    + 매입채무</t>
  </si>
  <si>
    <t>BS_ACCT_PAYABLE</t>
  </si>
  <si>
    <t xml:space="preserve">    + 미지급법인세</t>
  </si>
  <si>
    <t>BS_TAXES_PAYABLE</t>
  </si>
  <si>
    <t xml:space="preserve">    + 기타 매입채무 &amp; 미지급금</t>
  </si>
  <si>
    <t>BS_ACCRUAL</t>
  </si>
  <si>
    <t xml:space="preserve">  + 단기 부채</t>
  </si>
  <si>
    <t>BS_ST_BORROW</t>
  </si>
  <si>
    <t xml:space="preserve">    + 단기 차입금</t>
  </si>
  <si>
    <t>SHORT_TERM_DEBT_DETAILED</t>
  </si>
  <si>
    <t xml:space="preserve">    + 단기 리스부채</t>
  </si>
  <si>
    <t>ST_CAPITALIZED_LEASE_LIABILITIES</t>
  </si>
  <si>
    <t xml:space="preserve">      + 단기 금융리스</t>
  </si>
  <si>
    <t>ST_CAPITAL_LEASE_OBLIGATIONS</t>
  </si>
  <si>
    <t xml:space="preserve">      + 단기운영리스</t>
  </si>
  <si>
    <t>BS_ST_OPERATING_LEASE_LIABS</t>
  </si>
  <si>
    <t xml:space="preserve">    + 유동성 장기부채</t>
  </si>
  <si>
    <t>BS_CURR_PORTION_LT_DEBT</t>
  </si>
  <si>
    <t xml:space="preserve">  + 기타유동부채</t>
  </si>
  <si>
    <t>OTHER_CURRENT_LIABS_SUB_DETAILED</t>
  </si>
  <si>
    <t xml:space="preserve">    + 이연수익</t>
  </si>
  <si>
    <t>ST_DEFERRED_REVENUE</t>
  </si>
  <si>
    <t xml:space="preserve">    + 파생상품 &amp; 헤지</t>
  </si>
  <si>
    <t>BS_DERIV_HEDGING_LIAB_ST</t>
  </si>
  <si>
    <t xml:space="preserve">    + 기타 단기 부채</t>
  </si>
  <si>
    <t>OTHER_CURRENT_LIABS_DETAILED</t>
  </si>
  <si>
    <t>유동부채총계</t>
  </si>
  <si>
    <t>BS_CUR_LIAB</t>
  </si>
  <si>
    <t xml:space="preserve">  + 장기 부채</t>
  </si>
  <si>
    <t>BS_LT_BORROW</t>
  </si>
  <si>
    <t xml:space="preserve">    + 장기차입금</t>
  </si>
  <si>
    <t>LONG_TERM_BORROWINGS_DETAILED</t>
  </si>
  <si>
    <t xml:space="preserve">    + 장기 리스부채</t>
  </si>
  <si>
    <t>LT_CAPITALIZED_LEASE_LIABILITIES</t>
  </si>
  <si>
    <t xml:space="preserve">      + 장기 금융리스</t>
  </si>
  <si>
    <t>LT_CAPITAL_LEASE_OBLIGATIONS</t>
  </si>
  <si>
    <t xml:space="preserve">      + 장기운영리스</t>
  </si>
  <si>
    <t>BS_LT_OPERATING_LEASE_LIABS</t>
  </si>
  <si>
    <t xml:space="preserve">  + 기타장기부채</t>
  </si>
  <si>
    <t>OTHER_NONCUR_LIABS_SUB_DETAILED</t>
  </si>
  <si>
    <t xml:space="preserve">    + 미지급 부채</t>
  </si>
  <si>
    <t>BS_ACCRUED_LIABILITIES</t>
  </si>
  <si>
    <t xml:space="preserve">    + 순확정급여부채</t>
  </si>
  <si>
    <t>PENSION_LIABILITIES</t>
  </si>
  <si>
    <t>LT_DEFERRED_REVENUE</t>
  </si>
  <si>
    <t xml:space="preserve">    + 이연법인세차입금</t>
  </si>
  <si>
    <t>BS_DEFERRED_TAX_LIABILITIES_LT</t>
  </si>
  <si>
    <t>BS_DERIV_HEDGING_LIAB_LT</t>
  </si>
  <si>
    <t xml:space="preserve">    + 기타 장기 부채</t>
  </si>
  <si>
    <t>OTHER_NONCURRENT_LIABS_DETAILED</t>
  </si>
  <si>
    <t>고정부채 총계</t>
  </si>
  <si>
    <t>NON_CUR_LIAB</t>
  </si>
  <si>
    <t>전체 부채</t>
  </si>
  <si>
    <t>BS_TOT_LIAB2</t>
  </si>
  <si>
    <t xml:space="preserve">  + 우선주 및 하이브리드 자본</t>
  </si>
  <si>
    <t>PFD_EQTY_HYBRID_CAPITAL</t>
  </si>
  <si>
    <t xml:space="preserve">  + 보통주자본금 및 주식발행초과금</t>
  </si>
  <si>
    <t>BS_SH_CAP_AND_APIC</t>
  </si>
  <si>
    <t xml:space="preserve">    + 보통주</t>
  </si>
  <si>
    <t>BS_COMMON_STOCK</t>
  </si>
  <si>
    <t xml:space="preserve">    + 주식발행초과금</t>
  </si>
  <si>
    <t>BS_ADD_PAID_IN_CAP</t>
  </si>
  <si>
    <t xml:space="preserve">  - 자기주식</t>
  </si>
  <si>
    <t>BS_AMT_OF_TSY_STOCK</t>
  </si>
  <si>
    <t xml:space="preserve">  + 이익잉여금</t>
  </si>
  <si>
    <t>BS_PURE_RETAINED_EARNINGS</t>
  </si>
  <si>
    <t xml:space="preserve">  + 기타 지분</t>
  </si>
  <si>
    <t>OTHER_EQUITY_RATIO</t>
  </si>
  <si>
    <t>소수주주지분 전 지분</t>
  </si>
  <si>
    <t>EQTY_BEF_MINORITY_INT_DETAILED</t>
  </si>
  <si>
    <t xml:space="preserve">  + 소수주주/비지배 지분</t>
  </si>
  <si>
    <t>MINORITY_NONCONTROLLING_INTEREST</t>
  </si>
  <si>
    <t>자본총계</t>
  </si>
  <si>
    <t>TOTAL_EQUITY</t>
  </si>
  <si>
    <t>부채와자본총계</t>
  </si>
  <si>
    <t>TOT_LIAB_AND_EQY</t>
  </si>
  <si>
    <t>유통주식수</t>
  </si>
  <si>
    <t>BS_SH_OUT</t>
  </si>
  <si>
    <t>자기주식 수</t>
  </si>
  <si>
    <t>BS_NUM_OF_TSY_SH</t>
  </si>
  <si>
    <t>연금 채무</t>
  </si>
  <si>
    <t>BS_PENSION_RSRV</t>
  </si>
  <si>
    <t>미래최저 운용리스채무합계</t>
  </si>
  <si>
    <t>BS_FUTURE_MIN_OPER_LEASE_OBLIG</t>
  </si>
  <si>
    <t>자본리스 - 총계</t>
  </si>
  <si>
    <t>BS_TOTAL_CAPITAL_LEASES</t>
  </si>
  <si>
    <t>기간중 허가된 옵션</t>
  </si>
  <si>
    <t>BS_OPTIONS_GRANTED</t>
  </si>
  <si>
    <t>기말일 잔존 옵션</t>
  </si>
  <si>
    <t>BS_OPTIONS_OUTSTANDING</t>
  </si>
  <si>
    <t>순 부채</t>
  </si>
  <si>
    <t>NET_DEBT</t>
  </si>
  <si>
    <t>순부채비율</t>
  </si>
  <si>
    <t>NET_DEBT_TO_SHRHLDR_EQTY</t>
  </si>
  <si>
    <t>유형자산 보통주식 비율</t>
  </si>
  <si>
    <t>TCE_RATIO</t>
  </si>
  <si>
    <t>유동비율</t>
  </si>
  <si>
    <t>CUR_RATIO</t>
  </si>
  <si>
    <t>해외 현금 보유</t>
  </si>
  <si>
    <t>BS_CASH_HELD_OVERSEAS</t>
  </si>
  <si>
    <t>직원 수</t>
  </si>
  <si>
    <t>NUM_OF_EMPLOYEES</t>
  </si>
  <si>
    <t>영업활동으로 인한 현금</t>
  </si>
  <si>
    <t xml:space="preserve">  + 순이익</t>
  </si>
  <si>
    <t>CF_NET_INC</t>
  </si>
  <si>
    <t xml:space="preserve">  + 감가상각 &amp; 무형자산상각</t>
  </si>
  <si>
    <t>CF_DEPR_AMORT</t>
  </si>
  <si>
    <t xml:space="preserve">  + 비현금항목</t>
  </si>
  <si>
    <t>NON_CASH_ITEMS_DETAILED</t>
  </si>
  <si>
    <t xml:space="preserve">    + 주식지분보상</t>
  </si>
  <si>
    <t>CF_STOCK_BASED_COMPENSATION</t>
  </si>
  <si>
    <t>CF_DEF_INC_TAX</t>
  </si>
  <si>
    <t xml:space="preserve">    + 기타 비현금조정</t>
  </si>
  <si>
    <t>OTHER_NON_CASH_ADJ_LESS_DETAILED</t>
  </si>
  <si>
    <t xml:space="preserve">  + 비현금 운전자본 변동</t>
  </si>
  <si>
    <t>CF_CHNG_NON_CASH_WORK_CAP</t>
  </si>
  <si>
    <t xml:space="preserve">    + 매출채권 (증가) 감소</t>
  </si>
  <si>
    <t>CF_ACCT_RCV_UNBILLED_REV</t>
  </si>
  <si>
    <t xml:space="preserve">    + 재고 (증가) 감소</t>
  </si>
  <si>
    <t>CF_CHANGE_IN_INVENTORIES</t>
  </si>
  <si>
    <t xml:space="preserve">    + 매입채무 증가(감소)</t>
  </si>
  <si>
    <t>CF_CHANGE_IN_ACCOUNTS_PAYABLE</t>
  </si>
  <si>
    <t xml:space="preserve">    + 기타 증가(감소)</t>
  </si>
  <si>
    <t>INC_DEC_IN_OT_OP_AST_LIAB_DETAIL</t>
  </si>
  <si>
    <t xml:space="preserve">  + 중단사업으로 인한 순현금</t>
  </si>
  <si>
    <t>CF_NET_CASH_DISCONT_OPS_OPER</t>
  </si>
  <si>
    <t>CF_CASH_FROM_OPER</t>
  </si>
  <si>
    <t>투자활동에서 현금흐름</t>
  </si>
  <si>
    <t xml:space="preserve">  + 고정 &amp; 무형자산 변동</t>
  </si>
  <si>
    <t>FIXED_INTANG_ASST_CHANGE</t>
  </si>
  <si>
    <t xml:space="preserve">    + 고정 &amp; 무형자산 처분</t>
  </si>
  <si>
    <t>DISPOSAL_OF_FIXED_INTANG</t>
  </si>
  <si>
    <t xml:space="preserve">    + 유형생산자산 처분</t>
  </si>
  <si>
    <t>CF_DISPOSAL_OF_FIXED_PROD_ASSETS</t>
  </si>
  <si>
    <t xml:space="preserve">    + 무형자산 처분</t>
  </si>
  <si>
    <t>CF_DISPOSAL_OF_INTANGIBLE_ASSETS</t>
  </si>
  <si>
    <t xml:space="preserve">    + 고정 &amp; 무형자산 인수</t>
  </si>
  <si>
    <t>ACQUIS_OF_FIXED_INTANG</t>
  </si>
  <si>
    <t xml:space="preserve">    + 유형생산자산 인수</t>
  </si>
  <si>
    <t>CF_PURCHASE_OF_FIXED_PROD_ASSETS</t>
  </si>
  <si>
    <t xml:space="preserve">    + 무형자산 인수</t>
  </si>
  <si>
    <t>CF_ACQUISITION_OF_INTANG_ASSETS</t>
  </si>
  <si>
    <t xml:space="preserve">  + 장기투자 순 변동</t>
  </si>
  <si>
    <t>NET_CHG_IN_LT_INVEST_DETAILED</t>
  </si>
  <si>
    <t xml:space="preserve">    + 장기투자 감소</t>
  </si>
  <si>
    <t>CF_DECR_INVEST</t>
  </si>
  <si>
    <t xml:space="preserve">    + 장기투자 증가</t>
  </si>
  <si>
    <t>CF_INCR_INVEST</t>
  </si>
  <si>
    <t xml:space="preserve">  + 인수 &amp; 사업단위매각으로 인한 순현금</t>
  </si>
  <si>
    <t>CF_NT_CSH_RCVD_PD_FOR_ACQUIS_DIV</t>
  </si>
  <si>
    <t xml:space="preserve">    + 사업분할로 인한 현금</t>
  </si>
  <si>
    <t>CF_CASH_FOR_DIVESTITURES</t>
  </si>
  <si>
    <t xml:space="preserve">    + 자회사인수 현금</t>
  </si>
  <si>
    <t>CF_CASH_FOR_ACQUIS_SUBSIDIARIES</t>
  </si>
  <si>
    <t xml:space="preserve">    + 조인트벤처 현금</t>
  </si>
  <si>
    <t>CF_CASH_FOR_JOINT_VENTURES_ASSOC</t>
  </si>
  <si>
    <t xml:space="preserve">  + 기타투자활동</t>
  </si>
  <si>
    <t>OTHER_INVESTING_ACT_DETAILED</t>
  </si>
  <si>
    <t>CF_NET_CASH_DISCONTINUED_OPS_INV</t>
  </si>
  <si>
    <t>CF_CASH_FROM_INV_ACT</t>
  </si>
  <si>
    <t>재무활동에서 현금흐름</t>
  </si>
  <si>
    <t xml:space="preserve">  + 지급배당금</t>
  </si>
  <si>
    <t>CF_DVD_PAID</t>
  </si>
  <si>
    <t xml:space="preserve">  + 부채(상환)에서 발생한 현금</t>
  </si>
  <si>
    <t>PROC_FR_REPAYMNTS_BOR_DETAILED</t>
  </si>
  <si>
    <t xml:space="preserve">    + 단기부채(상환)에서 발생한 현금</t>
  </si>
  <si>
    <t>CF_NET_CHG_ST_DEBT_CPTL_LEAS</t>
  </si>
  <si>
    <t xml:space="preserve">    + 장기부채에서 발생한 현금</t>
  </si>
  <si>
    <t>CF_LT_DEBT_CAP_LEAS_PROCEEDS</t>
  </si>
  <si>
    <t xml:space="preserve">    + 장기부채 상환</t>
  </si>
  <si>
    <t>CF_LT_DEBT_CAP_LEAS_PAYMENT</t>
  </si>
  <si>
    <t xml:space="preserve">  + 자사주(재매입) 현금</t>
  </si>
  <si>
    <t>PROC_FR_REPURCH_EQTY_DETAILED</t>
  </si>
  <si>
    <t xml:space="preserve">    + 자본금증가</t>
  </si>
  <si>
    <t>CF_INCR_CAP_STOCK</t>
  </si>
  <si>
    <t xml:space="preserve">    + 자본금감소</t>
  </si>
  <si>
    <t>CF_DECR_CAP_STOCK</t>
  </si>
  <si>
    <t xml:space="preserve">  + 기타재무활동</t>
  </si>
  <si>
    <t>OTHER_FIN_AND_DEC_CAP</t>
  </si>
  <si>
    <t>CF_NET_CASH_DISCONTINUED_OPS_FIN</t>
  </si>
  <si>
    <t>CFF_ACTIVITIES_DETAILED</t>
  </si>
  <si>
    <t xml:space="preserve">  환율 효과</t>
  </si>
  <si>
    <t>CF_EFFECT_FOREIGN_EXCHANGES</t>
  </si>
  <si>
    <t>현금의 증가(감소)</t>
  </si>
  <si>
    <t>CF_NET_CHNG_CASH</t>
  </si>
  <si>
    <t>법인세지불액</t>
  </si>
  <si>
    <t>CF_CASH_PAID_FOR_TAX</t>
  </si>
  <si>
    <t>현금지급이자</t>
  </si>
  <si>
    <t>CF_ACT_CASH_PAID_FOR_INT_DEBT</t>
  </si>
  <si>
    <t>최근 12개월 EBITDA 마진</t>
  </si>
  <si>
    <t>종속기업에대한투자자산의취득</t>
  </si>
  <si>
    <t>CF_NET_CASH_PAID_FOR_AQUIS</t>
  </si>
  <si>
    <t>스톡옵션 세제혜택</t>
  </si>
  <si>
    <t>CF_TAX_BENEFIT_FRM_STOCK_OPTIONS</t>
  </si>
  <si>
    <t>잉여현금흐름</t>
  </si>
  <si>
    <t>CF_FREE_CASH_FLOW</t>
  </si>
  <si>
    <t>기업 귀속 잉여현금흐름</t>
  </si>
  <si>
    <t>CF_FREE_CASH_FLOW_FIRM</t>
  </si>
  <si>
    <t>주주 잉여현금흐름</t>
  </si>
  <si>
    <t>FREE_CASH_FLOW_EQUITY</t>
  </si>
  <si>
    <t>기본주당 잉여현금흐름</t>
  </si>
  <si>
    <t>FREE_CASH_FLOW_PER_SH</t>
  </si>
  <si>
    <t>주가/잉여현금흐름</t>
  </si>
  <si>
    <t>PX_TO_FREE_CASH_FLOW</t>
  </si>
  <si>
    <t>영업현금 현금흐름/순수익</t>
  </si>
  <si>
    <t>CASH_FLOW_TO_NET_INC</t>
  </si>
  <si>
    <t>영업비용</t>
    <phoneticPr fontId="36" type="noConversion"/>
  </si>
  <si>
    <t>영업비용율</t>
    <phoneticPr fontId="36" type="noConversion"/>
  </si>
  <si>
    <t>주가</t>
    <phoneticPr fontId="3" type="noConversion"/>
  </si>
  <si>
    <t>Expenses Estimation</t>
    <phoneticPr fontId="36" type="noConversion"/>
  </si>
  <si>
    <t>순매출액</t>
    <phoneticPr fontId="3" type="noConversion"/>
  </si>
  <si>
    <t>결제 서비스</t>
    <phoneticPr fontId="3" type="noConversion"/>
  </si>
  <si>
    <t>데이터 처리</t>
    <phoneticPr fontId="3" type="noConversion"/>
  </si>
  <si>
    <t>영업비용</t>
    <phoneticPr fontId="3" type="noConversion"/>
  </si>
  <si>
    <t>YoY%</t>
    <phoneticPr fontId="3" type="noConversion"/>
  </si>
  <si>
    <t>인센티브 비중</t>
    <phoneticPr fontId="3" type="noConversion"/>
  </si>
  <si>
    <t>감가상각비&amp;무형자산상각비</t>
    <phoneticPr fontId="3" type="noConversion"/>
  </si>
  <si>
    <t>FA Schedule Sheet 참고.</t>
    <phoneticPr fontId="3" type="noConversion"/>
  </si>
  <si>
    <t>일반판매관리비</t>
    <phoneticPr fontId="3" type="noConversion"/>
  </si>
  <si>
    <t>일반 관리비</t>
    <phoneticPr fontId="3" type="noConversion"/>
  </si>
  <si>
    <t>기타영업비용</t>
    <phoneticPr fontId="3" type="noConversion"/>
  </si>
  <si>
    <t>판매 및 마케팅 비용</t>
    <phoneticPr fontId="3" type="noConversion"/>
  </si>
  <si>
    <t>매출채권/영업비용</t>
    <phoneticPr fontId="36" type="noConversion"/>
  </si>
  <si>
    <t>미국채 3년 수익률</t>
    <phoneticPr fontId="3" type="noConversion"/>
  </si>
  <si>
    <t>Asia Pacific</t>
    <phoneticPr fontId="87" type="noConversion"/>
  </si>
  <si>
    <t>yoy</t>
    <phoneticPr fontId="87" type="noConversion"/>
  </si>
  <si>
    <t>Canada</t>
    <phoneticPr fontId="87" type="noConversion"/>
  </si>
  <si>
    <t>CEMEA</t>
    <phoneticPr fontId="87" type="noConversion"/>
  </si>
  <si>
    <t>LAC</t>
    <phoneticPr fontId="87" type="noConversion"/>
  </si>
  <si>
    <t>US</t>
    <phoneticPr fontId="87" type="noConversion"/>
  </si>
  <si>
    <t>EUROPE</t>
    <phoneticPr fontId="87" type="noConversion"/>
  </si>
  <si>
    <t>Visa M/S</t>
    <phoneticPr fontId="87" type="noConversion"/>
  </si>
  <si>
    <t>SUM</t>
    <phoneticPr fontId="87" type="noConversion"/>
  </si>
  <si>
    <t>Asia Pacific 지역의 경우, 향후 침투율이 CEMEA 지역 시장점유율에 수렴할 것으로 가정하고 점진적으로 증가한다고 추정함.</t>
    <phoneticPr fontId="87" type="noConversion"/>
  </si>
  <si>
    <t>Canada 지역의 경우, 이미 침투율이 93%이므로 flat을 적용함.</t>
    <phoneticPr fontId="87" type="noConversion"/>
  </si>
  <si>
    <t>CEMEA 지역의 경우, 이미 침투율이 81%이므로 flat을 적용함.</t>
    <phoneticPr fontId="87" type="noConversion"/>
  </si>
  <si>
    <t>LAC 지역의 경우, 디지털 결제 전환 잠재여력이 존재하므로 동사의 침투율이 증가할 여지가 있다고 판단함.</t>
    <phoneticPr fontId="87" type="noConversion"/>
  </si>
  <si>
    <t>US 지역의 경우, 이미 침투율이 93%이므로 flat을 적용함.</t>
    <phoneticPr fontId="87" type="noConversion"/>
  </si>
  <si>
    <t>EUROPE 지역의 경우, 이미 침투율이 84%이므로 flat을 적용함.</t>
    <phoneticPr fontId="87" type="noConversion"/>
  </si>
  <si>
    <t>모든 국가/지역별 소비성장률은 IMF에서 발표한 World Economic Outlook의 전망치를 참조함.</t>
    <phoneticPr fontId="87" type="noConversion"/>
  </si>
  <si>
    <t>수수료율=매출액/총 결제액</t>
    <phoneticPr fontId="87" type="noConversion"/>
  </si>
  <si>
    <t>결제액 성장률</t>
    <phoneticPr fontId="87" type="noConversion"/>
  </si>
  <si>
    <t>지역별 침투율</t>
    <phoneticPr fontId="87" type="noConversion"/>
  </si>
  <si>
    <t>해외 결제 수수료</t>
    <phoneticPr fontId="3" type="noConversion"/>
  </si>
  <si>
    <t>2025E</t>
    <phoneticPr fontId="87" type="noConversion"/>
  </si>
  <si>
    <t>2020A</t>
    <phoneticPr fontId="87" type="noConversion"/>
  </si>
  <si>
    <t>2021A</t>
    <phoneticPr fontId="87" type="noConversion"/>
  </si>
  <si>
    <t>2022A</t>
    <phoneticPr fontId="87" type="noConversion"/>
  </si>
  <si>
    <t>2023A</t>
    <phoneticPr fontId="87" type="noConversion"/>
  </si>
  <si>
    <t>2024A</t>
    <phoneticPr fontId="87" type="noConversion"/>
  </si>
  <si>
    <t>2026E</t>
    <phoneticPr fontId="87" type="noConversion"/>
  </si>
  <si>
    <t>2027E</t>
    <phoneticPr fontId="87" type="noConversion"/>
  </si>
  <si>
    <t>2028E</t>
    <phoneticPr fontId="87" type="noConversion"/>
  </si>
  <si>
    <t>2029E</t>
    <phoneticPr fontId="87" type="noConversion"/>
  </si>
  <si>
    <t>2030E</t>
    <phoneticPr fontId="87" type="noConversion"/>
  </si>
  <si>
    <t>건당 수수료($)</t>
    <phoneticPr fontId="87" type="noConversion"/>
  </si>
  <si>
    <t>데이터 처리 매출(mn)</t>
    <phoneticPr fontId="87" type="noConversion"/>
  </si>
  <si>
    <t>데이터 처리량(mn)</t>
    <phoneticPr fontId="87" type="noConversion"/>
  </si>
  <si>
    <t>실질 GDP</t>
    <phoneticPr fontId="87" type="noConversion"/>
  </si>
  <si>
    <t>25년 동사의 지역별 시장점유율에 지역별 실질 GDP를 곱하여, 각 지역의 결제시장 성장치만큼만 동사의 시장점유율도 증가한다고 보수적으로 추정함.</t>
    <phoneticPr fontId="87" type="noConversion"/>
  </si>
  <si>
    <t>결제 서비스 매출(mn)</t>
    <phoneticPr fontId="87" type="noConversion"/>
  </si>
  <si>
    <t>글로벌 결제 처리량의 CAGR은, Gran View Research의 분석 결과 '30년까지 약 21.4% &amp; IMARC Group의 분석 결과 '33년까지 약 14.2%로 추정됨.</t>
    <phoneticPr fontId="87" type="noConversion"/>
  </si>
  <si>
    <t>허나, 동사의 결제 처리량은 1Q25 YoY +11%를 기록함. 따라서 보수적 추정을 위하여 시장의 전망치보다 낮은 동사의 1Q25 YoY를 flat 적용함.</t>
    <phoneticPr fontId="87" type="noConversion"/>
  </si>
  <si>
    <t>연간 데이터 처리량에 건당 수수료를 곱하여 향후 데이터 처리 부문 매출액을 산출함.</t>
    <phoneticPr fontId="87" type="noConversion"/>
  </si>
  <si>
    <t>과거 동사의 연간 데이터 처리 매출액을 연간 데이터 처리량으로 나누어 처리 건수당 수수료를 추정함. 해당 금액의 변동성이 없으므로, 수수료는 직전 년도의 $0.0758를 flat 적용.</t>
    <phoneticPr fontId="87" type="noConversion"/>
  </si>
  <si>
    <t>지역별 연간 결제 금액(bn)</t>
    <phoneticPr fontId="87" type="noConversion"/>
  </si>
  <si>
    <t>지역별 존재하는 침투여력 중 동사가 차지할 시장점유율을 곱하여 동사의 지역별 향후 결제액 성장률을 추정함.</t>
    <phoneticPr fontId="87" type="noConversion"/>
  </si>
  <si>
    <t>수수료의 경우, 직전 5개년간 변동성이 거의 없으므로 직전년도 수수료을을 flat 적용함.</t>
    <phoneticPr fontId="87" type="noConversion"/>
  </si>
  <si>
    <t>고객 인센티브의 경우, 동사의 매출액에 비례하여 증가하는 성격을 가짐.</t>
    <phoneticPr fontId="3" type="noConversion"/>
  </si>
  <si>
    <t>허나 직전 2개년 거의 고정되는 수치를 기록하였으므로 직전년도 인센티브 비중을 flat 적용함.</t>
    <phoneticPr fontId="3" type="noConversion"/>
  </si>
  <si>
    <t>특별한 경향성이 없으므로, 직전 3개년 avg flat 적용함.</t>
    <phoneticPr fontId="3" type="noConversion"/>
  </si>
  <si>
    <t>매출 세부 추정 시트 - 결제 서비스 부문 참고.</t>
    <phoneticPr fontId="3" type="noConversion"/>
  </si>
  <si>
    <t>매출 세부 추정 시트 - 데이터 처리 부문 참고.</t>
    <phoneticPr fontId="3" type="noConversion"/>
  </si>
  <si>
    <t>매출 세부 추정 시트 - 해외 결제 수수료 부문 참고.</t>
    <phoneticPr fontId="3" type="noConversion"/>
  </si>
  <si>
    <t>국제 거래 결제액 성장률</t>
    <phoneticPr fontId="87" type="noConversion"/>
  </si>
  <si>
    <t>FY24 차입금 시가/자본 시가</t>
    <phoneticPr fontId="3" type="noConversion"/>
  </si>
  <si>
    <t>—</t>
    <phoneticPr fontId="3" type="noConversion"/>
  </si>
  <si>
    <t>FY 2020</t>
    <phoneticPr fontId="3" type="noConversion"/>
  </si>
  <si>
    <t>06/30/2025</t>
  </si>
  <si>
    <t>메릴린치 조정 베타</t>
    <phoneticPr fontId="3" type="noConversion"/>
  </si>
  <si>
    <t>국제 거래 수수료 매출액(mn)</t>
    <phoneticPr fontId="87" type="noConversion"/>
  </si>
  <si>
    <t>미국 리스크 프리미엄</t>
    <phoneticPr fontId="3" type="noConversion"/>
  </si>
  <si>
    <t>직전 3개년 Average flat 적용.</t>
    <phoneticPr fontId="3" type="noConversion"/>
  </si>
  <si>
    <t>직전 2개년 Average flat 적용.</t>
    <phoneticPr fontId="3" type="noConversion"/>
  </si>
  <si>
    <t>Revenue Expectation</t>
    <phoneticPr fontId="36" type="noConversion"/>
  </si>
  <si>
    <t>DCF Valuation</t>
    <phoneticPr fontId="27" type="noConversion"/>
  </si>
  <si>
    <t>(단위: $ Mn, %)</t>
    <phoneticPr fontId="27" type="noConversion"/>
  </si>
  <si>
    <t>결제 서비스(Service Revenue)</t>
    <phoneticPr fontId="87" type="noConversion"/>
  </si>
  <si>
    <t>데이터 처리(Data Processing Revenue)</t>
    <phoneticPr fontId="3" type="noConversion"/>
  </si>
  <si>
    <t>해외 결제 수수료(International Transaction Revenue)</t>
    <phoneticPr fontId="87" type="noConversion"/>
  </si>
  <si>
    <t>지역별 연간 결제 금액을 산출하여 모두 합한 후, 평균 수수료율을 곱하여 총 매출을 추정함.</t>
    <phoneticPr fontId="87" type="noConversion"/>
  </si>
  <si>
    <t>국제 거래액 성장률은 네트워크 서비스 전문 컨설팅 기업 EY의 CARG 전망치를 적용함.</t>
    <phoneticPr fontId="87" type="noConversion"/>
  </si>
  <si>
    <t>직전 3개년 YoY 성장치의 Average flat 적용.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</si>
</sst>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00"/>
    <numFmt numFmtId="177" formatCode="0.0%"/>
    <numFmt numFmtId="178" formatCode="0.0_ "/>
    <numFmt numFmtId="179" formatCode="#,##0.0_);\(#,##0.0\)"/>
    <numFmt numFmtId="180" formatCode="0.00_ "/>
    <numFmt numFmtId="181" formatCode="0_);\(0\)"/>
    <numFmt numFmtId="182" formatCode="0_);[Red]\(0\)"/>
    <numFmt numFmtId="183" formatCode="#,##0_ "/>
    <numFmt numFmtId="184" formatCode="\(\-\)#####"/>
    <numFmt numFmtId="185" formatCode="###\$"/>
    <numFmt numFmtId="186" formatCode="#,##0_);[Red]\(#,##0\)"/>
    <numFmt numFmtId="187" formatCode="#,##0_);\(#,##0\)"/>
    <numFmt numFmtId="188" formatCode="#,##0.000_ "/>
    <numFmt numFmtId="189" formatCode="_-* #,##0_-;\-* #,##0_-;_-* &quot;-&quot;??_-;_-@_-"/>
    <numFmt numFmtId="190" formatCode="_-* #,##0.0000_-;\-* #,##0.0000_-;_-* &quot;-&quot;??_-;_-@_-"/>
    <numFmt numFmtId="191" formatCode="0.00000%"/>
    <numFmt numFmtId="192" formatCode="0.0000_);[Red]\(0.0000\)"/>
    <numFmt numFmtId="193" formatCode="0.000%"/>
    <numFmt numFmtId="194" formatCode="0.000_);[Red]\(0.000\)"/>
    <numFmt numFmtId="195" formatCode="#,##0.00_);[Red]\(#,##0.00\)"/>
    <numFmt numFmtId="196" formatCode="###.00\$"/>
  </numFmts>
  <fonts count="9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Calibri"/>
      <family val="2"/>
    </font>
    <font>
      <sz val="8"/>
      <name val="맑은 고딕"/>
      <family val="2"/>
      <charset val="129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KoPubWorld돋움체 Bold"/>
      <family val="3"/>
      <charset val="129"/>
    </font>
    <font>
      <sz val="11"/>
      <color theme="0"/>
      <name val="KoPubWorld돋움체 Bold"/>
      <family val="3"/>
      <charset val="129"/>
    </font>
    <font>
      <sz val="11"/>
      <color theme="0"/>
      <name val="KoPubWorld돋움체 Medium"/>
      <family val="3"/>
      <charset val="129"/>
    </font>
    <font>
      <sz val="11"/>
      <color theme="1"/>
      <name val="맑은 고딕"/>
      <family val="2"/>
      <scheme val="minor"/>
    </font>
    <font>
      <sz val="14"/>
      <color theme="0"/>
      <name val="KoPubWorld돋움체 Bold"/>
      <family val="3"/>
      <charset val="129"/>
    </font>
    <font>
      <i/>
      <sz val="11"/>
      <color theme="0"/>
      <name val="KoPubWorld돋움체 Light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8"/>
      <name val="Arial"/>
      <family val="2"/>
    </font>
    <font>
      <sz val="10"/>
      <color theme="0"/>
      <name val="KoPubWorld돋움체 Bold"/>
      <family val="3"/>
      <charset val="129"/>
    </font>
    <font>
      <sz val="10"/>
      <color theme="1"/>
      <name val="KoPubWorld돋움체 Bold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KoPubWorld돋움체 Medium"/>
      <family val="3"/>
      <charset val="129"/>
    </font>
    <font>
      <sz val="8"/>
      <name val="맑은 고딕"/>
      <family val="2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sz val="8"/>
      <name val="MalgunGothic"/>
      <family val="2"/>
      <charset val="129"/>
    </font>
    <font>
      <i/>
      <sz val="10"/>
      <color theme="1"/>
      <name val="맑은 고딕"/>
      <family val="3"/>
      <charset val="129"/>
      <scheme val="minor"/>
    </font>
    <font>
      <sz val="9"/>
      <color theme="1"/>
      <name val="KoPubWorld돋움체 Medium"/>
      <family val="3"/>
      <charset val="129"/>
    </font>
    <font>
      <b/>
      <sz val="10"/>
      <color theme="1"/>
      <name val="Arial"/>
      <family val="2"/>
    </font>
    <font>
      <b/>
      <sz val="10"/>
      <color theme="0"/>
      <name val="KoPubWorld돋움체 Medium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새굴림"/>
      <family val="2"/>
      <charset val="129"/>
    </font>
    <font>
      <i/>
      <sz val="10"/>
      <color theme="1"/>
      <name val="Arial"/>
      <family val="2"/>
    </font>
    <font>
      <b/>
      <sz val="10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theme="1" tint="0.249977111117893"/>
      <name val="Arial"/>
      <family val="2"/>
    </font>
    <font>
      <b/>
      <sz val="10"/>
      <color theme="1"/>
      <name val="맑은 고딕"/>
      <family val="2"/>
      <charset val="129"/>
    </font>
    <font>
      <sz val="10"/>
      <color rgb="FF0023FF"/>
      <name val="맑은 고딕"/>
      <family val="3"/>
      <charset val="129"/>
      <scheme val="minor"/>
    </font>
    <font>
      <b/>
      <sz val="10"/>
      <color theme="1"/>
      <name val="Arial Unicode MS"/>
      <family val="2"/>
      <charset val="129"/>
    </font>
    <font>
      <i/>
      <sz val="10"/>
      <color theme="1"/>
      <name val="KoPubWorld돋움체 Medium"/>
      <family val="3"/>
      <charset val="129"/>
    </font>
    <font>
      <sz val="10"/>
      <color indexed="8"/>
      <name val="KoPubWorld돋움체 Medium"/>
      <family val="3"/>
      <charset val="129"/>
    </font>
    <font>
      <sz val="11"/>
      <color theme="1"/>
      <name val="KoPubWorld돋움체 Medium"/>
      <family val="3"/>
      <charset val="129"/>
    </font>
    <font>
      <b/>
      <sz val="10"/>
      <color theme="1"/>
      <name val="KoPubWorld돋움체 Bold"/>
      <family val="3"/>
      <charset val="129"/>
    </font>
    <font>
      <u/>
      <sz val="10"/>
      <color theme="10"/>
      <name val="KoPubWorld돋움체 Bold"/>
      <family val="3"/>
      <charset val="129"/>
    </font>
    <font>
      <b/>
      <sz val="10"/>
      <color theme="4"/>
      <name val="KoPubWorld돋움체 Medium"/>
      <family val="3"/>
      <charset val="129"/>
    </font>
    <font>
      <sz val="11"/>
      <color rgb="FF000000"/>
      <name val="KoPubWorld돋움체 Medium"/>
      <family val="3"/>
      <charset val="129"/>
    </font>
    <font>
      <sz val="10"/>
      <color theme="1" tint="0.249977111117893"/>
      <name val="KoPubWorld돋움체 Medium"/>
      <family val="3"/>
      <charset val="129"/>
    </font>
    <font>
      <i/>
      <sz val="11"/>
      <color theme="1"/>
      <name val="KoPubWorld돋움체 Medium"/>
      <family val="3"/>
      <charset val="129"/>
    </font>
    <font>
      <i/>
      <sz val="10"/>
      <name val="KoPubWorld돋움체 Medium"/>
      <family val="3"/>
      <charset val="129"/>
    </font>
    <font>
      <b/>
      <sz val="11"/>
      <color theme="1"/>
      <name val="KoPubWorld돋움체 Bold"/>
      <family val="3"/>
      <charset val="129"/>
    </font>
    <font>
      <b/>
      <sz val="9"/>
      <color theme="1"/>
      <name val="KoPubWorld돋움체 Bold"/>
      <family val="3"/>
      <charset val="129"/>
    </font>
    <font>
      <b/>
      <sz val="11"/>
      <color theme="0"/>
      <name val="KoPubWorld돋움체 Medium"/>
      <family val="3"/>
      <charset val="129"/>
    </font>
    <font>
      <sz val="10"/>
      <color rgb="FF333333"/>
      <name val="Arial"/>
      <family val="2"/>
    </font>
    <font>
      <i/>
      <sz val="10"/>
      <color indexed="63"/>
      <name val="KoPubWorld돋움체 Medium"/>
      <family val="3"/>
      <charset val="129"/>
    </font>
    <font>
      <i/>
      <sz val="10"/>
      <color rgb="FF203864"/>
      <name val="KoPubWorld돋움체 Bold"/>
      <family val="3"/>
      <charset val="129"/>
    </font>
    <font>
      <sz val="11"/>
      <name val="KoPubWorld돋움체 Medium"/>
      <family val="3"/>
      <charset val="129"/>
    </font>
    <font>
      <sz val="11"/>
      <color theme="1"/>
      <name val="Calibri"/>
      <family val="3"/>
      <charset val="161"/>
    </font>
    <font>
      <sz val="11"/>
      <color theme="1"/>
      <name val="KoPubWorld돋움체 Medium"/>
      <family val="3"/>
      <charset val="161"/>
    </font>
    <font>
      <sz val="10"/>
      <color rgb="FFC00000"/>
      <name val="KoPubWorld돋움체 Bold"/>
      <family val="3"/>
      <charset val="129"/>
    </font>
    <font>
      <sz val="10"/>
      <color indexed="8"/>
      <name val="KoPubWorld돋움체 Bold"/>
      <family val="3"/>
      <charset val="129"/>
    </font>
    <font>
      <sz val="10"/>
      <color rgb="FF333333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000000"/>
      <name val="Arial"/>
      <family val="2"/>
    </font>
    <font>
      <b/>
      <sz val="10"/>
      <color theme="0"/>
      <name val="KoPubWorld돋움체 Bold"/>
      <family val="3"/>
      <charset val="129"/>
    </font>
    <font>
      <i/>
      <sz val="10"/>
      <color theme="1"/>
      <name val="KoPubWorld돋움체 Light"/>
      <family val="3"/>
      <charset val="129"/>
    </font>
    <font>
      <sz val="10"/>
      <color rgb="FF000000"/>
      <name val="KoPubWorld돋움체 Bold"/>
      <family val="3"/>
      <charset val="129"/>
    </font>
    <font>
      <i/>
      <sz val="11"/>
      <color theme="1"/>
      <name val="KoPubWorld돋움체 Light"/>
      <family val="3"/>
      <charset val="129"/>
    </font>
    <font>
      <b/>
      <sz val="11"/>
      <color theme="0"/>
      <name val="KoPubWorld돋움체 Bold"/>
      <family val="3"/>
      <charset val="129"/>
    </font>
    <font>
      <sz val="8"/>
      <color theme="1"/>
      <name val="Noto Sans KR"/>
      <family val="3"/>
      <charset val="129"/>
    </font>
    <font>
      <sz val="11"/>
      <color theme="1"/>
      <name val="KoPubWorld돋움체 Light"/>
      <family val="3"/>
      <charset val="129"/>
    </font>
    <font>
      <i/>
      <sz val="9"/>
      <color theme="1"/>
      <name val="KoPubWorld돋움체 Light"/>
      <family val="3"/>
      <charset val="129"/>
    </font>
    <font>
      <i/>
      <sz val="9"/>
      <color theme="1"/>
      <name val="KoPubWorld돋움체 Medium"/>
      <family val="3"/>
      <charset val="129"/>
    </font>
    <font>
      <i/>
      <sz val="9"/>
      <color indexed="63"/>
      <name val="KoPubWorld돋움체 Medium"/>
      <family val="3"/>
      <charset val="129"/>
    </font>
    <font>
      <i/>
      <sz val="9"/>
      <color theme="1"/>
      <name val="KoPubWorld돋움체 Bold"/>
      <family val="3"/>
      <charset val="129"/>
    </font>
    <font>
      <b/>
      <i/>
      <sz val="9"/>
      <color theme="1"/>
      <name val="KoPubWorld돋움체 Medium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rgb="FFFF0000"/>
      <name val="KoPubWorld돋움체 Bold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KoPubWorld돋움체 Light"/>
      <family val="3"/>
      <charset val="129"/>
    </font>
    <font>
      <sz val="11"/>
      <color rgb="FFFF0000"/>
      <name val="KoPubWorld돋움체 Light"/>
      <family val="3"/>
      <charset val="129"/>
    </font>
    <font>
      <i/>
      <sz val="10"/>
      <color theme="1"/>
      <name val="KoPubWorld돋움체 Bold"/>
      <family val="3"/>
      <charset val="129"/>
    </font>
    <font>
      <sz val="10"/>
      <color theme="1"/>
      <name val="KoPubWorld돋움체 Light"/>
      <family val="3"/>
      <charset val="129"/>
    </font>
    <font>
      <sz val="7"/>
      <color rgb="FF000000"/>
      <name val="KoPubWorld돋움체 Medium"/>
      <family val="3"/>
      <charset val="129"/>
    </font>
    <font>
      <sz val="10"/>
      <color rgb="FFFFFFFF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9"/>
      <color rgb="FF000000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1EA3"/>
        <bgColor indexed="64"/>
      </patternFill>
    </fill>
    <fill>
      <patternFill patternType="solid">
        <fgColor rgb="FFFFAC0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medium">
        <color rgb="FF203864"/>
      </left>
      <right/>
      <top style="medium">
        <color rgb="FF203864"/>
      </top>
      <bottom style="medium">
        <color rgb="FF203864"/>
      </bottom>
      <diagonal/>
    </border>
    <border>
      <left/>
      <right/>
      <top style="medium">
        <color rgb="FF203864"/>
      </top>
      <bottom style="medium">
        <color rgb="FF2038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/>
    <xf numFmtId="0" fontId="4" fillId="2" borderId="1" applyNumberFormat="0" applyProtection="0">
      <alignment horizontal="left" vertical="center" readingOrder="1"/>
    </xf>
    <xf numFmtId="0" fontId="5" fillId="3" borderId="0" applyNumberFormat="0" applyBorder="0" applyProtection="0">
      <alignment horizontal="center"/>
    </xf>
    <xf numFmtId="0" fontId="6" fillId="2" borderId="2">
      <alignment horizontal="left"/>
    </xf>
    <xf numFmtId="0" fontId="6" fillId="2" borderId="2">
      <alignment horizontal="right"/>
    </xf>
    <xf numFmtId="0" fontId="6" fillId="2" borderId="3">
      <alignment horizontal="left"/>
    </xf>
    <xf numFmtId="0" fontId="6" fillId="2" borderId="3">
      <alignment horizontal="right"/>
    </xf>
    <xf numFmtId="0" fontId="7" fillId="3" borderId="4"/>
    <xf numFmtId="176" fontId="7" fillId="3" borderId="5">
      <alignment horizontal="right"/>
    </xf>
    <xf numFmtId="176" fontId="7" fillId="4" borderId="5">
      <alignment horizontal="right"/>
    </xf>
    <xf numFmtId="0" fontId="8" fillId="3" borderId="4"/>
    <xf numFmtId="176" fontId="9" fillId="3" borderId="5">
      <alignment horizontal="right"/>
    </xf>
    <xf numFmtId="176" fontId="9" fillId="4" borderId="5">
      <alignment horizontal="right"/>
    </xf>
    <xf numFmtId="0" fontId="10" fillId="3" borderId="4"/>
    <xf numFmtId="176" fontId="11" fillId="3" borderId="5">
      <alignment horizontal="right"/>
    </xf>
    <xf numFmtId="176" fontId="11" fillId="4" borderId="5">
      <alignment horizontal="right"/>
    </xf>
    <xf numFmtId="3" fontId="7" fillId="3" borderId="5">
      <alignment horizontal="right"/>
    </xf>
    <xf numFmtId="3" fontId="7" fillId="4" borderId="5">
      <alignment horizontal="right"/>
    </xf>
    <xf numFmtId="3" fontId="9" fillId="3" borderId="5">
      <alignment horizontal="right"/>
    </xf>
    <xf numFmtId="0" fontId="11" fillId="5" borderId="6" applyNumberFormat="0" applyAlignment="0" applyProtection="0"/>
    <xf numFmtId="0" fontId="1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0" borderId="0"/>
    <xf numFmtId="0" fontId="8" fillId="3" borderId="4"/>
    <xf numFmtId="0" fontId="6" fillId="2" borderId="3">
      <alignment horizontal="right"/>
    </xf>
    <xf numFmtId="0" fontId="2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83">
    <xf numFmtId="0" fontId="0" fillId="0" borderId="0" xfId="0">
      <alignment vertical="center"/>
    </xf>
    <xf numFmtId="0" fontId="0" fillId="0" borderId="0" xfId="0" applyAlignment="1"/>
    <xf numFmtId="0" fontId="5" fillId="3" borderId="0" xfId="5">
      <alignment horizontal="center"/>
    </xf>
    <xf numFmtId="0" fontId="6" fillId="2" borderId="2" xfId="6">
      <alignment horizontal="left"/>
    </xf>
    <xf numFmtId="0" fontId="6" fillId="2" borderId="2" xfId="7">
      <alignment horizontal="right"/>
    </xf>
    <xf numFmtId="0" fontId="6" fillId="2" borderId="3" xfId="8">
      <alignment horizontal="left"/>
    </xf>
    <xf numFmtId="0" fontId="6" fillId="2" borderId="3" xfId="9">
      <alignment horizontal="right"/>
    </xf>
    <xf numFmtId="0" fontId="7" fillId="3" borderId="4" xfId="10"/>
    <xf numFmtId="176" fontId="7" fillId="3" borderId="5" xfId="11">
      <alignment horizontal="right"/>
    </xf>
    <xf numFmtId="176" fontId="7" fillId="4" borderId="5" xfId="12">
      <alignment horizontal="right"/>
    </xf>
    <xf numFmtId="0" fontId="8" fillId="3" borderId="4" xfId="13"/>
    <xf numFmtId="176" fontId="9" fillId="3" borderId="5" xfId="14">
      <alignment horizontal="right"/>
    </xf>
    <xf numFmtId="176" fontId="9" fillId="4" borderId="5" xfId="15">
      <alignment horizontal="right"/>
    </xf>
    <xf numFmtId="0" fontId="10" fillId="3" borderId="4" xfId="16"/>
    <xf numFmtId="176" fontId="11" fillId="3" borderId="5" xfId="17">
      <alignment horizontal="right"/>
    </xf>
    <xf numFmtId="176" fontId="11" fillId="4" borderId="5" xfId="18">
      <alignment horizontal="right"/>
    </xf>
    <xf numFmtId="3" fontId="7" fillId="3" borderId="5" xfId="19">
      <alignment horizontal="right"/>
    </xf>
    <xf numFmtId="3" fontId="7" fillId="4" borderId="5" xfId="20">
      <alignment horizontal="right"/>
    </xf>
    <xf numFmtId="3" fontId="9" fillId="3" borderId="5" xfId="21">
      <alignment horizontal="right"/>
    </xf>
    <xf numFmtId="0" fontId="11" fillId="5" borderId="6" xfId="22"/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4" fillId="7" borderId="0" xfId="0" applyFont="1" applyFill="1">
      <alignment vertical="center"/>
    </xf>
    <xf numFmtId="0" fontId="2" fillId="9" borderId="0" xfId="3" applyFill="1"/>
    <xf numFmtId="0" fontId="4" fillId="9" borderId="1" xfId="4" applyFill="1">
      <alignment horizontal="left" vertical="center" readingOrder="1"/>
    </xf>
    <xf numFmtId="0" fontId="6" fillId="9" borderId="2" xfId="6" applyFill="1">
      <alignment horizontal="left"/>
    </xf>
    <xf numFmtId="0" fontId="6" fillId="9" borderId="2" xfId="7" applyFill="1">
      <alignment horizontal="right"/>
    </xf>
    <xf numFmtId="0" fontId="6" fillId="9" borderId="3" xfId="8" applyFill="1">
      <alignment horizontal="left"/>
    </xf>
    <xf numFmtId="0" fontId="6" fillId="9" borderId="3" xfId="9" applyFill="1">
      <alignment horizontal="right"/>
    </xf>
    <xf numFmtId="0" fontId="4" fillId="2" borderId="1" xfId="4">
      <alignment horizontal="left" vertical="center" readingOrder="1"/>
    </xf>
    <xf numFmtId="0" fontId="2" fillId="2" borderId="0" xfId="3"/>
    <xf numFmtId="0" fontId="17" fillId="9" borderId="0" xfId="0" applyFont="1" applyFill="1">
      <alignment vertical="center"/>
    </xf>
    <xf numFmtId="0" fontId="0" fillId="9" borderId="0" xfId="0" applyFill="1">
      <alignment vertical="center"/>
    </xf>
    <xf numFmtId="0" fontId="14" fillId="9" borderId="0" xfId="0" applyFont="1" applyFill="1">
      <alignment vertical="center"/>
    </xf>
    <xf numFmtId="0" fontId="18" fillId="9" borderId="0" xfId="0" applyFont="1" applyFill="1">
      <alignment vertical="center"/>
    </xf>
    <xf numFmtId="0" fontId="19" fillId="9" borderId="0" xfId="0" applyFont="1" applyFill="1">
      <alignment vertical="center"/>
    </xf>
    <xf numFmtId="0" fontId="21" fillId="9" borderId="0" xfId="28" applyFont="1" applyFill="1" applyAlignment="1">
      <alignment horizontal="center" vertical="center"/>
    </xf>
    <xf numFmtId="0" fontId="22" fillId="10" borderId="0" xfId="28" applyFont="1" applyFill="1" applyAlignment="1">
      <alignment horizontal="center" vertical="center"/>
    </xf>
    <xf numFmtId="3" fontId="25" fillId="6" borderId="0" xfId="0" applyNumberFormat="1" applyFont="1" applyFill="1">
      <alignment vertical="center"/>
    </xf>
    <xf numFmtId="3" fontId="23" fillId="6" borderId="0" xfId="0" applyNumberFormat="1" applyFont="1" applyFill="1">
      <alignment vertical="center"/>
    </xf>
    <xf numFmtId="0" fontId="17" fillId="9" borderId="26" xfId="32" applyFont="1" applyFill="1" applyBorder="1">
      <alignment vertical="center"/>
    </xf>
    <xf numFmtId="0" fontId="37" fillId="9" borderId="27" xfId="32" applyFont="1" applyFill="1" applyBorder="1">
      <alignment vertical="center"/>
    </xf>
    <xf numFmtId="0" fontId="37" fillId="9" borderId="28" xfId="32" applyFont="1" applyFill="1" applyBorder="1">
      <alignment vertical="center"/>
    </xf>
    <xf numFmtId="0" fontId="37" fillId="9" borderId="0" xfId="32" applyFont="1" applyFill="1">
      <alignment vertical="center"/>
    </xf>
    <xf numFmtId="0" fontId="14" fillId="9" borderId="26" xfId="32" applyFont="1" applyFill="1" applyBorder="1">
      <alignment vertical="center"/>
    </xf>
    <xf numFmtId="0" fontId="38" fillId="9" borderId="0" xfId="32" applyFont="1" applyFill="1">
      <alignment vertical="center"/>
    </xf>
    <xf numFmtId="0" fontId="18" fillId="9" borderId="26" xfId="32" applyFont="1" applyFill="1" applyBorder="1">
      <alignment vertical="center"/>
    </xf>
    <xf numFmtId="0" fontId="38" fillId="15" borderId="31" xfId="32" applyFont="1" applyFill="1" applyBorder="1">
      <alignment vertical="center"/>
    </xf>
    <xf numFmtId="0" fontId="39" fillId="15" borderId="31" xfId="32" applyFont="1" applyFill="1" applyBorder="1">
      <alignment vertical="center"/>
    </xf>
    <xf numFmtId="0" fontId="24" fillId="9" borderId="0" xfId="32" applyFont="1" applyFill="1">
      <alignment vertical="center"/>
    </xf>
    <xf numFmtId="0" fontId="19" fillId="9" borderId="0" xfId="32" applyFont="1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28" fillId="6" borderId="0" xfId="0" applyFont="1" applyFill="1">
      <alignment vertical="center"/>
    </xf>
    <xf numFmtId="0" fontId="28" fillId="6" borderId="0" xfId="0" applyFont="1" applyFill="1" applyAlignment="1">
      <alignment horizontal="left" vertical="center" indent="1"/>
    </xf>
    <xf numFmtId="0" fontId="54" fillId="0" borderId="29" xfId="32" applyFont="1" applyBorder="1" applyAlignment="1">
      <alignment horizontal="center" vertical="center"/>
    </xf>
    <xf numFmtId="177" fontId="58" fillId="16" borderId="0" xfId="33" applyNumberFormat="1" applyFont="1" applyFill="1" applyBorder="1">
      <alignment vertical="center"/>
    </xf>
    <xf numFmtId="177" fontId="49" fillId="16" borderId="0" xfId="33" applyNumberFormat="1" applyFont="1" applyFill="1" applyBorder="1">
      <alignment vertical="center"/>
    </xf>
    <xf numFmtId="41" fontId="28" fillId="6" borderId="0" xfId="30" applyFont="1" applyFill="1" applyBorder="1">
      <alignment vertical="center"/>
    </xf>
    <xf numFmtId="0" fontId="59" fillId="6" borderId="24" xfId="0" applyFont="1" applyFill="1" applyBorder="1">
      <alignment vertical="center"/>
    </xf>
    <xf numFmtId="0" fontId="52" fillId="6" borderId="0" xfId="0" applyFont="1" applyFill="1">
      <alignment vertical="center"/>
    </xf>
    <xf numFmtId="0" fontId="51" fillId="9" borderId="27" xfId="32" applyFont="1" applyFill="1" applyBorder="1">
      <alignment vertical="center"/>
    </xf>
    <xf numFmtId="0" fontId="61" fillId="9" borderId="0" xfId="32" applyFont="1" applyFill="1">
      <alignment vertical="center"/>
    </xf>
    <xf numFmtId="0" fontId="28" fillId="9" borderId="28" xfId="32" applyFont="1" applyFill="1" applyBorder="1">
      <alignment vertical="center"/>
    </xf>
    <xf numFmtId="0" fontId="34" fillId="9" borderId="0" xfId="32" applyFont="1" applyFill="1">
      <alignment vertical="center"/>
    </xf>
    <xf numFmtId="177" fontId="64" fillId="16" borderId="0" xfId="33" applyNumberFormat="1" applyFont="1" applyFill="1" applyBorder="1">
      <alignment vertical="center"/>
    </xf>
    <xf numFmtId="10" fontId="28" fillId="6" borderId="0" xfId="0" applyNumberFormat="1" applyFont="1" applyFill="1">
      <alignment vertical="center"/>
    </xf>
    <xf numFmtId="1" fontId="29" fillId="6" borderId="0" xfId="0" applyNumberFormat="1" applyFont="1" applyFill="1">
      <alignment vertical="center"/>
    </xf>
    <xf numFmtId="0" fontId="15" fillId="17" borderId="0" xfId="0" applyFont="1" applyFill="1">
      <alignment vertical="center"/>
    </xf>
    <xf numFmtId="0" fontId="51" fillId="18" borderId="0" xfId="0" applyFont="1" applyFill="1">
      <alignment vertical="center"/>
    </xf>
    <xf numFmtId="0" fontId="51" fillId="18" borderId="0" xfId="0" quotePrefix="1" applyFont="1" applyFill="1">
      <alignment vertical="center"/>
    </xf>
    <xf numFmtId="0" fontId="37" fillId="9" borderId="27" xfId="32" applyFont="1" applyFill="1" applyBorder="1" applyAlignment="1">
      <alignment horizontal="center" vertical="center"/>
    </xf>
    <xf numFmtId="0" fontId="38" fillId="9" borderId="0" xfId="32" applyFont="1" applyFill="1" applyAlignment="1">
      <alignment horizontal="center" vertical="center"/>
    </xf>
    <xf numFmtId="0" fontId="51" fillId="10" borderId="35" xfId="0" applyFont="1" applyFill="1" applyBorder="1">
      <alignment vertical="center"/>
    </xf>
    <xf numFmtId="0" fontId="51" fillId="10" borderId="32" xfId="0" applyFont="1" applyFill="1" applyBorder="1">
      <alignment vertical="center"/>
    </xf>
    <xf numFmtId="0" fontId="22" fillId="12" borderId="6" xfId="29" applyFont="1" applyFill="1" applyBorder="1">
      <alignment vertical="center"/>
    </xf>
    <xf numFmtId="0" fontId="28" fillId="12" borderId="0" xfId="29" applyFont="1" applyFill="1">
      <alignment vertical="center"/>
    </xf>
    <xf numFmtId="0" fontId="22" fillId="12" borderId="13" xfId="29" applyFont="1" applyFill="1" applyBorder="1">
      <alignment vertical="center"/>
    </xf>
    <xf numFmtId="0" fontId="29" fillId="12" borderId="13" xfId="29" applyFont="1" applyFill="1" applyBorder="1">
      <alignment vertical="center"/>
    </xf>
    <xf numFmtId="177" fontId="68" fillId="12" borderId="13" xfId="31" applyNumberFormat="1" applyFont="1" applyFill="1" applyBorder="1">
      <alignment vertical="center"/>
    </xf>
    <xf numFmtId="41" fontId="28" fillId="14" borderId="0" xfId="34" applyFont="1" applyFill="1" applyBorder="1" applyAlignment="1">
      <alignment horizontal="center" vertical="center"/>
    </xf>
    <xf numFmtId="0" fontId="17" fillId="9" borderId="0" xfId="32" applyFont="1" applyFill="1">
      <alignment vertical="center"/>
    </xf>
    <xf numFmtId="0" fontId="14" fillId="9" borderId="0" xfId="32" applyFont="1" applyFill="1">
      <alignment vertical="center"/>
    </xf>
    <xf numFmtId="0" fontId="18" fillId="9" borderId="0" xfId="32" applyFont="1" applyFill="1">
      <alignment vertical="center"/>
    </xf>
    <xf numFmtId="0" fontId="17" fillId="9" borderId="0" xfId="32" applyFont="1" applyFill="1" applyAlignment="1">
      <alignment horizontal="left" vertical="center"/>
    </xf>
    <xf numFmtId="0" fontId="14" fillId="9" borderId="0" xfId="32" applyFont="1" applyFill="1" applyAlignment="1">
      <alignment horizontal="left" vertical="center"/>
    </xf>
    <xf numFmtId="0" fontId="18" fillId="9" borderId="0" xfId="32" applyFont="1" applyFill="1" applyAlignment="1">
      <alignment horizontal="left" vertical="center"/>
    </xf>
    <xf numFmtId="0" fontId="38" fillId="15" borderId="31" xfId="32" applyFont="1" applyFill="1" applyBorder="1" applyAlignment="1">
      <alignment horizontal="left" vertical="center"/>
    </xf>
    <xf numFmtId="187" fontId="28" fillId="6" borderId="0" xfId="1" applyNumberFormat="1" applyFont="1" applyFill="1">
      <alignment vertical="center"/>
    </xf>
    <xf numFmtId="41" fontId="28" fillId="6" borderId="0" xfId="0" applyNumberFormat="1" applyFont="1" applyFill="1">
      <alignment vertical="center"/>
    </xf>
    <xf numFmtId="0" fontId="59" fillId="6" borderId="38" xfId="0" applyFont="1" applyFill="1" applyBorder="1">
      <alignment vertical="center"/>
    </xf>
    <xf numFmtId="0" fontId="23" fillId="6" borderId="0" xfId="0" applyFont="1" applyFill="1">
      <alignment vertical="center"/>
    </xf>
    <xf numFmtId="186" fontId="28" fillId="6" borderId="0" xfId="30" applyNumberFormat="1" applyFont="1" applyFill="1" applyBorder="1">
      <alignment vertical="center"/>
    </xf>
    <xf numFmtId="0" fontId="28" fillId="6" borderId="10" xfId="0" applyFont="1" applyFill="1" applyBorder="1">
      <alignment vertical="center"/>
    </xf>
    <xf numFmtId="3" fontId="23" fillId="6" borderId="10" xfId="0" applyNumberFormat="1" applyFont="1" applyFill="1" applyBorder="1">
      <alignment vertical="center"/>
    </xf>
    <xf numFmtId="0" fontId="23" fillId="6" borderId="10" xfId="0" applyFont="1" applyFill="1" applyBorder="1">
      <alignment vertical="center"/>
    </xf>
    <xf numFmtId="0" fontId="28" fillId="6" borderId="6" xfId="0" applyFont="1" applyFill="1" applyBorder="1">
      <alignment vertical="center"/>
    </xf>
    <xf numFmtId="3" fontId="23" fillId="6" borderId="39" xfId="0" applyNumberFormat="1" applyFont="1" applyFill="1" applyBorder="1">
      <alignment vertical="center"/>
    </xf>
    <xf numFmtId="0" fontId="23" fillId="6" borderId="40" xfId="0" applyFont="1" applyFill="1" applyBorder="1">
      <alignment vertical="center"/>
    </xf>
    <xf numFmtId="41" fontId="22" fillId="6" borderId="0" xfId="30" applyFont="1" applyFill="1" applyBorder="1">
      <alignment vertical="center"/>
    </xf>
    <xf numFmtId="0" fontId="49" fillId="6" borderId="0" xfId="0" applyFont="1" applyFill="1">
      <alignment vertical="center"/>
    </xf>
    <xf numFmtId="177" fontId="49" fillId="6" borderId="0" xfId="2" applyNumberFormat="1" applyFont="1" applyFill="1" applyBorder="1">
      <alignment vertical="center"/>
    </xf>
    <xf numFmtId="10" fontId="23" fillId="6" borderId="40" xfId="2" applyNumberFormat="1" applyFont="1" applyFill="1" applyBorder="1">
      <alignment vertical="center"/>
    </xf>
    <xf numFmtId="10" fontId="23" fillId="6" borderId="0" xfId="2" applyNumberFormat="1" applyFont="1" applyFill="1" applyBorder="1">
      <alignment vertical="center"/>
    </xf>
    <xf numFmtId="0" fontId="29" fillId="6" borderId="0" xfId="0" applyFont="1" applyFill="1">
      <alignment vertical="center"/>
    </xf>
    <xf numFmtId="187" fontId="52" fillId="6" borderId="0" xfId="1" applyNumberFormat="1" applyFont="1" applyFill="1" applyBorder="1" applyAlignment="1">
      <alignment vertical="center"/>
    </xf>
    <xf numFmtId="183" fontId="28" fillId="6" borderId="0" xfId="1" applyNumberFormat="1" applyFont="1" applyFill="1" applyBorder="1">
      <alignment vertical="center"/>
    </xf>
    <xf numFmtId="0" fontId="23" fillId="6" borderId="7" xfId="0" applyFont="1" applyFill="1" applyBorder="1">
      <alignment vertical="center"/>
    </xf>
    <xf numFmtId="0" fontId="23" fillId="6" borderId="12" xfId="0" applyFont="1" applyFill="1" applyBorder="1">
      <alignment vertical="center"/>
    </xf>
    <xf numFmtId="0" fontId="23" fillId="6" borderId="23" xfId="0" applyFont="1" applyFill="1" applyBorder="1">
      <alignment vertical="center"/>
    </xf>
    <xf numFmtId="41" fontId="22" fillId="6" borderId="0" xfId="1" applyFont="1" applyFill="1" applyBorder="1">
      <alignment vertical="center"/>
    </xf>
    <xf numFmtId="0" fontId="28" fillId="6" borderId="7" xfId="0" applyFont="1" applyFill="1" applyBorder="1">
      <alignment vertical="center"/>
    </xf>
    <xf numFmtId="0" fontId="23" fillId="6" borderId="8" xfId="0" applyFont="1" applyFill="1" applyBorder="1">
      <alignment vertical="center"/>
    </xf>
    <xf numFmtId="0" fontId="49" fillId="6" borderId="13" xfId="0" applyFont="1" applyFill="1" applyBorder="1">
      <alignment vertical="center"/>
    </xf>
    <xf numFmtId="177" fontId="49" fillId="6" borderId="13" xfId="2" applyNumberFormat="1" applyFont="1" applyFill="1" applyBorder="1">
      <alignment vertical="center"/>
    </xf>
    <xf numFmtId="10" fontId="23" fillId="6" borderId="41" xfId="2" applyNumberFormat="1" applyFont="1" applyFill="1" applyBorder="1">
      <alignment vertical="center"/>
    </xf>
    <xf numFmtId="10" fontId="23" fillId="6" borderId="9" xfId="2" applyNumberFormat="1" applyFont="1" applyFill="1" applyBorder="1">
      <alignment vertical="center"/>
    </xf>
    <xf numFmtId="0" fontId="28" fillId="6" borderId="12" xfId="0" applyFont="1" applyFill="1" applyBorder="1">
      <alignment vertical="center"/>
    </xf>
    <xf numFmtId="0" fontId="28" fillId="6" borderId="14" xfId="0" applyFont="1" applyFill="1" applyBorder="1">
      <alignment vertical="center"/>
    </xf>
    <xf numFmtId="0" fontId="23" fillId="6" borderId="14" xfId="0" applyFont="1" applyFill="1" applyBorder="1">
      <alignment vertical="center"/>
    </xf>
    <xf numFmtId="0" fontId="23" fillId="6" borderId="15" xfId="0" applyFont="1" applyFill="1" applyBorder="1">
      <alignment vertical="center"/>
    </xf>
    <xf numFmtId="187" fontId="28" fillId="6" borderId="16" xfId="1" applyNumberFormat="1" applyFont="1" applyFill="1" applyBorder="1">
      <alignment vertical="center"/>
    </xf>
    <xf numFmtId="187" fontId="28" fillId="6" borderId="17" xfId="1" applyNumberFormat="1" applyFont="1" applyFill="1" applyBorder="1">
      <alignment vertical="center"/>
    </xf>
    <xf numFmtId="0" fontId="28" fillId="6" borderId="8" xfId="0" applyFont="1" applyFill="1" applyBorder="1">
      <alignment vertical="center"/>
    </xf>
    <xf numFmtId="41" fontId="23" fillId="6" borderId="14" xfId="1" applyFont="1" applyFill="1" applyBorder="1">
      <alignment vertical="center"/>
    </xf>
    <xf numFmtId="41" fontId="23" fillId="6" borderId="12" xfId="1" applyFont="1" applyFill="1" applyBorder="1">
      <alignment vertical="center"/>
    </xf>
    <xf numFmtId="41" fontId="23" fillId="6" borderId="19" xfId="1" applyFont="1" applyFill="1" applyBorder="1">
      <alignment vertical="center"/>
    </xf>
    <xf numFmtId="41" fontId="23" fillId="6" borderId="0" xfId="1" applyFont="1" applyFill="1" applyBorder="1">
      <alignment vertical="center"/>
    </xf>
    <xf numFmtId="41" fontId="28" fillId="6" borderId="20" xfId="1" applyFont="1" applyFill="1" applyBorder="1">
      <alignment vertical="center"/>
    </xf>
    <xf numFmtId="41" fontId="28" fillId="6" borderId="7" xfId="1" applyFont="1" applyFill="1" applyBorder="1">
      <alignment vertical="center"/>
    </xf>
    <xf numFmtId="41" fontId="28" fillId="6" borderId="8" xfId="1" applyFont="1" applyFill="1" applyBorder="1">
      <alignment vertical="center"/>
    </xf>
    <xf numFmtId="41" fontId="28" fillId="6" borderId="12" xfId="1" applyFont="1" applyFill="1" applyBorder="1">
      <alignment vertical="center"/>
    </xf>
    <xf numFmtId="0" fontId="28" fillId="6" borderId="9" xfId="0" applyFont="1" applyFill="1" applyBorder="1">
      <alignment vertical="center"/>
    </xf>
    <xf numFmtId="10" fontId="28" fillId="6" borderId="9" xfId="1" applyNumberFormat="1" applyFont="1" applyFill="1" applyBorder="1">
      <alignment vertical="center"/>
    </xf>
    <xf numFmtId="41" fontId="28" fillId="6" borderId="9" xfId="1" applyFont="1" applyFill="1" applyBorder="1">
      <alignment vertical="center"/>
    </xf>
    <xf numFmtId="41" fontId="23" fillId="6" borderId="9" xfId="1" applyFont="1" applyFill="1" applyBorder="1">
      <alignment vertical="center"/>
    </xf>
    <xf numFmtId="0" fontId="23" fillId="6" borderId="9" xfId="0" applyFont="1" applyFill="1" applyBorder="1">
      <alignment vertical="center"/>
    </xf>
    <xf numFmtId="0" fontId="28" fillId="6" borderId="21" xfId="0" applyFont="1" applyFill="1" applyBorder="1">
      <alignment vertical="center"/>
    </xf>
    <xf numFmtId="0" fontId="28" fillId="6" borderId="13" xfId="0" applyFont="1" applyFill="1" applyBorder="1">
      <alignment vertical="center"/>
    </xf>
    <xf numFmtId="41" fontId="51" fillId="6" borderId="22" xfId="1" applyFont="1" applyFill="1" applyBorder="1">
      <alignment vertical="center"/>
    </xf>
    <xf numFmtId="41" fontId="28" fillId="6" borderId="11" xfId="1" applyFont="1" applyFill="1" applyBorder="1">
      <alignment vertical="center"/>
    </xf>
    <xf numFmtId="41" fontId="28" fillId="6" borderId="21" xfId="1" applyFont="1" applyFill="1" applyBorder="1">
      <alignment vertical="center"/>
    </xf>
    <xf numFmtId="41" fontId="28" fillId="6" borderId="13" xfId="1" applyFont="1" applyFill="1" applyBorder="1">
      <alignment vertical="center"/>
    </xf>
    <xf numFmtId="41" fontId="28" fillId="6" borderId="8" xfId="0" applyNumberFormat="1" applyFont="1" applyFill="1" applyBorder="1">
      <alignment vertical="center"/>
    </xf>
    <xf numFmtId="187" fontId="28" fillId="6" borderId="8" xfId="1" applyNumberFormat="1" applyFont="1" applyFill="1" applyBorder="1">
      <alignment vertical="center"/>
    </xf>
    <xf numFmtId="41" fontId="28" fillId="6" borderId="10" xfId="0" applyNumberFormat="1" applyFont="1" applyFill="1" applyBorder="1">
      <alignment vertical="center"/>
    </xf>
    <xf numFmtId="0" fontId="28" fillId="6" borderId="11" xfId="0" applyFont="1" applyFill="1" applyBorder="1">
      <alignment vertical="center"/>
    </xf>
    <xf numFmtId="187" fontId="28" fillId="6" borderId="11" xfId="1" applyNumberFormat="1" applyFont="1" applyFill="1" applyBorder="1">
      <alignment vertical="center"/>
    </xf>
    <xf numFmtId="41" fontId="28" fillId="6" borderId="11" xfId="0" applyNumberFormat="1" applyFont="1" applyFill="1" applyBorder="1">
      <alignment vertical="center"/>
    </xf>
    <xf numFmtId="41" fontId="28" fillId="6" borderId="21" xfId="0" applyNumberFormat="1" applyFont="1" applyFill="1" applyBorder="1">
      <alignment vertical="center"/>
    </xf>
    <xf numFmtId="41" fontId="28" fillId="6" borderId="13" xfId="0" applyNumberFormat="1" applyFont="1" applyFill="1" applyBorder="1">
      <alignment vertical="center"/>
    </xf>
    <xf numFmtId="187" fontId="28" fillId="6" borderId="12" xfId="1" applyNumberFormat="1" applyFont="1" applyFill="1" applyBorder="1">
      <alignment vertical="center"/>
    </xf>
    <xf numFmtId="0" fontId="28" fillId="6" borderId="23" xfId="0" applyFont="1" applyFill="1" applyBorder="1">
      <alignment vertical="center"/>
    </xf>
    <xf numFmtId="0" fontId="28" fillId="6" borderId="14" xfId="0" applyFont="1" applyFill="1" applyBorder="1" applyAlignment="1">
      <alignment horizontal="left" vertical="center" indent="1"/>
    </xf>
    <xf numFmtId="187" fontId="28" fillId="6" borderId="14" xfId="1" applyNumberFormat="1" applyFont="1" applyFill="1" applyBorder="1">
      <alignment vertical="center"/>
    </xf>
    <xf numFmtId="0" fontId="28" fillId="6" borderId="37" xfId="0" applyFont="1" applyFill="1" applyBorder="1">
      <alignment vertical="center"/>
    </xf>
    <xf numFmtId="0" fontId="28" fillId="6" borderId="11" xfId="0" applyFont="1" applyFill="1" applyBorder="1" applyAlignment="1">
      <alignment horizontal="left" vertical="center" indent="1"/>
    </xf>
    <xf numFmtId="0" fontId="51" fillId="6" borderId="22" xfId="0" applyFont="1" applyFill="1" applyBorder="1">
      <alignment vertical="center"/>
    </xf>
    <xf numFmtId="0" fontId="29" fillId="6" borderId="11" xfId="0" applyFont="1" applyFill="1" applyBorder="1">
      <alignment vertical="center"/>
    </xf>
    <xf numFmtId="186" fontId="28" fillId="6" borderId="12" xfId="1" applyNumberFormat="1" applyFont="1" applyFill="1" applyBorder="1">
      <alignment vertical="center"/>
    </xf>
    <xf numFmtId="0" fontId="29" fillId="6" borderId="12" xfId="0" applyFont="1" applyFill="1" applyBorder="1">
      <alignment vertical="center"/>
    </xf>
    <xf numFmtId="0" fontId="13" fillId="6" borderId="0" xfId="0" applyFont="1" applyFill="1">
      <alignment vertical="center"/>
    </xf>
    <xf numFmtId="186" fontId="28" fillId="6" borderId="0" xfId="0" applyNumberFormat="1" applyFont="1" applyFill="1">
      <alignment vertical="center"/>
    </xf>
    <xf numFmtId="0" fontId="25" fillId="6" borderId="9" xfId="0" applyFont="1" applyFill="1" applyBorder="1">
      <alignment vertical="center"/>
    </xf>
    <xf numFmtId="0" fontId="29" fillId="6" borderId="8" xfId="0" applyFont="1" applyFill="1" applyBorder="1">
      <alignment vertical="center"/>
    </xf>
    <xf numFmtId="0" fontId="51" fillId="6" borderId="0" xfId="0" applyFont="1" applyFill="1">
      <alignment vertical="center"/>
    </xf>
    <xf numFmtId="0" fontId="22" fillId="6" borderId="8" xfId="0" applyFont="1" applyFill="1" applyBorder="1">
      <alignment vertical="center"/>
    </xf>
    <xf numFmtId="187" fontId="60" fillId="6" borderId="18" xfId="1" applyNumberFormat="1" applyFont="1" applyFill="1" applyBorder="1">
      <alignment vertical="center"/>
    </xf>
    <xf numFmtId="0" fontId="52" fillId="6" borderId="7" xfId="0" applyFont="1" applyFill="1" applyBorder="1">
      <alignment vertical="center"/>
    </xf>
    <xf numFmtId="0" fontId="52" fillId="6" borderId="8" xfId="0" applyFont="1" applyFill="1" applyBorder="1">
      <alignment vertical="center"/>
    </xf>
    <xf numFmtId="0" fontId="28" fillId="6" borderId="6" xfId="29" applyFont="1" applyFill="1" applyBorder="1">
      <alignment vertical="center"/>
    </xf>
    <xf numFmtId="10" fontId="28" fillId="6" borderId="6" xfId="29" applyNumberFormat="1" applyFont="1" applyFill="1" applyBorder="1">
      <alignment vertical="center"/>
    </xf>
    <xf numFmtId="0" fontId="28" fillId="6" borderId="13" xfId="29" applyFont="1" applyFill="1" applyBorder="1">
      <alignment vertical="center"/>
    </xf>
    <xf numFmtId="10" fontId="28" fillId="6" borderId="13" xfId="29" applyNumberFormat="1" applyFont="1" applyFill="1" applyBorder="1">
      <alignment vertical="center"/>
    </xf>
    <xf numFmtId="186" fontId="28" fillId="6" borderId="6" xfId="30" applyNumberFormat="1" applyFont="1" applyFill="1" applyBorder="1">
      <alignment vertical="center"/>
    </xf>
    <xf numFmtId="0" fontId="28" fillId="6" borderId="0" xfId="29" applyFont="1" applyFill="1">
      <alignment vertical="center"/>
    </xf>
    <xf numFmtId="0" fontId="22" fillId="6" borderId="13" xfId="29" applyFont="1" applyFill="1" applyBorder="1">
      <alignment vertical="center"/>
    </xf>
    <xf numFmtId="0" fontId="29" fillId="6" borderId="13" xfId="29" applyFont="1" applyFill="1" applyBorder="1">
      <alignment vertical="center"/>
    </xf>
    <xf numFmtId="186" fontId="22" fillId="6" borderId="13" xfId="30" applyNumberFormat="1" applyFont="1" applyFill="1" applyBorder="1">
      <alignment vertical="center"/>
    </xf>
    <xf numFmtId="186" fontId="28" fillId="6" borderId="0" xfId="29" applyNumberFormat="1" applyFont="1" applyFill="1">
      <alignment vertical="center"/>
    </xf>
    <xf numFmtId="0" fontId="32" fillId="6" borderId="13" xfId="29" applyFont="1" applyFill="1" applyBorder="1">
      <alignment vertical="center"/>
    </xf>
    <xf numFmtId="187" fontId="28" fillId="6" borderId="13" xfId="30" applyNumberFormat="1" applyFont="1" applyFill="1" applyBorder="1">
      <alignment vertical="center"/>
    </xf>
    <xf numFmtId="0" fontId="29" fillId="6" borderId="0" xfId="29" applyFont="1" applyFill="1">
      <alignment vertical="center"/>
    </xf>
    <xf numFmtId="0" fontId="21" fillId="13" borderId="1" xfId="29" applyFont="1" applyFill="1" applyBorder="1">
      <alignment vertical="center"/>
    </xf>
    <xf numFmtId="0" fontId="73" fillId="13" borderId="1" xfId="29" applyFont="1" applyFill="1" applyBorder="1">
      <alignment vertical="center"/>
    </xf>
    <xf numFmtId="0" fontId="73" fillId="13" borderId="1" xfId="29" applyFont="1" applyFill="1" applyBorder="1" applyAlignment="1">
      <alignment horizontal="right" vertical="center"/>
    </xf>
    <xf numFmtId="0" fontId="28" fillId="6" borderId="42" xfId="0" applyFont="1" applyFill="1" applyBorder="1" applyAlignment="1">
      <alignment horizontal="left" vertical="center" indent="1"/>
    </xf>
    <xf numFmtId="41" fontId="22" fillId="6" borderId="0" xfId="1" applyFont="1" applyFill="1" applyAlignment="1">
      <alignment horizontal="right" vertical="center"/>
    </xf>
    <xf numFmtId="41" fontId="28" fillId="6" borderId="0" xfId="1" applyFont="1" applyFill="1" applyAlignment="1">
      <alignment horizontal="right" vertical="center"/>
    </xf>
    <xf numFmtId="41" fontId="28" fillId="6" borderId="0" xfId="1" applyFont="1" applyFill="1" applyBorder="1" applyAlignment="1">
      <alignment horizontal="right" vertical="center"/>
    </xf>
    <xf numFmtId="41" fontId="28" fillId="6" borderId="6" xfId="1" applyFont="1" applyFill="1" applyBorder="1" applyAlignment="1">
      <alignment horizontal="right" vertical="center"/>
    </xf>
    <xf numFmtId="0" fontId="28" fillId="6" borderId="0" xfId="0" applyFont="1" applyFill="1" applyAlignment="1">
      <alignment horizontal="left" vertical="center" indent="2"/>
    </xf>
    <xf numFmtId="0" fontId="28" fillId="6" borderId="6" xfId="0" applyFont="1" applyFill="1" applyBorder="1" applyAlignment="1">
      <alignment horizontal="left" vertical="center" indent="1"/>
    </xf>
    <xf numFmtId="0" fontId="28" fillId="6" borderId="10" xfId="0" applyFont="1" applyFill="1" applyBorder="1" applyAlignment="1">
      <alignment horizontal="left" vertical="center" indent="1"/>
    </xf>
    <xf numFmtId="0" fontId="28" fillId="6" borderId="8" xfId="0" applyFont="1" applyFill="1" applyBorder="1" applyAlignment="1">
      <alignment horizontal="left" vertical="center" indent="1"/>
    </xf>
    <xf numFmtId="0" fontId="28" fillId="6" borderId="21" xfId="0" applyFont="1" applyFill="1" applyBorder="1" applyAlignment="1">
      <alignment horizontal="left" vertical="center"/>
    </xf>
    <xf numFmtId="0" fontId="28" fillId="6" borderId="12" xfId="0" applyFont="1" applyFill="1" applyBorder="1" applyAlignment="1">
      <alignment horizontal="left" vertical="center" indent="1"/>
    </xf>
    <xf numFmtId="0" fontId="28" fillId="6" borderId="14" xfId="0" applyFont="1" applyFill="1" applyBorder="1" applyAlignment="1">
      <alignment horizontal="left" vertical="center" indent="3"/>
    </xf>
    <xf numFmtId="0" fontId="28" fillId="6" borderId="11" xfId="0" applyFont="1" applyFill="1" applyBorder="1" applyAlignment="1">
      <alignment horizontal="left" vertical="center" indent="3"/>
    </xf>
    <xf numFmtId="0" fontId="28" fillId="6" borderId="8" xfId="0" applyFont="1" applyFill="1" applyBorder="1" applyAlignment="1">
      <alignment horizontal="left" vertical="center" indent="2"/>
    </xf>
    <xf numFmtId="0" fontId="25" fillId="6" borderId="9" xfId="0" applyFont="1" applyFill="1" applyBorder="1" applyAlignment="1">
      <alignment horizontal="left" vertical="center" indent="1"/>
    </xf>
    <xf numFmtId="41" fontId="7" fillId="3" borderId="5" xfId="1" applyFont="1" applyFill="1" applyBorder="1" applyAlignment="1">
      <alignment horizontal="right"/>
    </xf>
    <xf numFmtId="41" fontId="7" fillId="4" borderId="5" xfId="1" applyFont="1" applyFill="1" applyBorder="1" applyAlignment="1">
      <alignment horizontal="right"/>
    </xf>
    <xf numFmtId="41" fontId="9" fillId="3" borderId="5" xfId="1" applyFont="1" applyFill="1" applyBorder="1" applyAlignment="1">
      <alignment horizontal="right"/>
    </xf>
    <xf numFmtId="41" fontId="9" fillId="4" borderId="5" xfId="1" applyFont="1" applyFill="1" applyBorder="1" applyAlignment="1">
      <alignment horizontal="right"/>
    </xf>
    <xf numFmtId="41" fontId="11" fillId="3" borderId="5" xfId="1" applyFont="1" applyFill="1" applyBorder="1" applyAlignment="1">
      <alignment horizontal="right"/>
    </xf>
    <xf numFmtId="41" fontId="11" fillId="4" borderId="5" xfId="1" applyFont="1" applyFill="1" applyBorder="1" applyAlignment="1">
      <alignment horizontal="right"/>
    </xf>
    <xf numFmtId="10" fontId="28" fillId="19" borderId="20" xfId="1" applyNumberFormat="1" applyFont="1" applyFill="1" applyBorder="1">
      <alignment vertical="center"/>
    </xf>
    <xf numFmtId="41" fontId="51" fillId="19" borderId="25" xfId="1" applyFont="1" applyFill="1" applyBorder="1">
      <alignment vertical="center"/>
    </xf>
    <xf numFmtId="0" fontId="38" fillId="9" borderId="0" xfId="32" applyFont="1" applyFill="1" applyAlignment="1">
      <alignment vertical="center" wrapText="1"/>
    </xf>
    <xf numFmtId="0" fontId="10" fillId="3" borderId="4" xfId="16" applyAlignment="1">
      <alignment horizontal="left" indent="3"/>
    </xf>
    <xf numFmtId="0" fontId="63" fillId="6" borderId="4" xfId="26" applyFont="1" applyFill="1" applyAlignment="1">
      <alignment horizontal="left" indent="2"/>
    </xf>
    <xf numFmtId="0" fontId="63" fillId="6" borderId="4" xfId="26" applyFont="1" applyFill="1" applyAlignment="1">
      <alignment horizontal="left" indent="1"/>
    </xf>
    <xf numFmtId="0" fontId="63" fillId="6" borderId="0" xfId="26" applyFont="1" applyFill="1" applyBorder="1" applyAlignment="1">
      <alignment horizontal="left" indent="1"/>
    </xf>
    <xf numFmtId="41" fontId="63" fillId="6" borderId="0" xfId="1" applyFont="1" applyFill="1" applyBorder="1" applyAlignment="1">
      <alignment horizontal="right"/>
    </xf>
    <xf numFmtId="41" fontId="49" fillId="6" borderId="0" xfId="1" applyFont="1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39" fillId="6" borderId="30" xfId="32" applyFont="1" applyFill="1" applyBorder="1">
      <alignment vertical="center"/>
    </xf>
    <xf numFmtId="0" fontId="39" fillId="6" borderId="30" xfId="32" applyFont="1" applyFill="1" applyBorder="1" applyAlignment="1">
      <alignment horizontal="left" vertical="center"/>
    </xf>
    <xf numFmtId="41" fontId="28" fillId="6" borderId="30" xfId="34" applyFont="1" applyFill="1" applyBorder="1" applyAlignment="1">
      <alignment horizontal="center" vertical="center"/>
    </xf>
    <xf numFmtId="0" fontId="51" fillId="6" borderId="30" xfId="32" applyFont="1" applyFill="1" applyBorder="1" applyAlignment="1">
      <alignment horizontal="center" vertical="center"/>
    </xf>
    <xf numFmtId="0" fontId="22" fillId="6" borderId="13" xfId="32" applyFont="1" applyFill="1" applyBorder="1">
      <alignment vertical="center"/>
    </xf>
    <xf numFmtId="0" fontId="22" fillId="6" borderId="13" xfId="32" applyFont="1" applyFill="1" applyBorder="1" applyAlignment="1">
      <alignment horizontal="left" vertical="center"/>
    </xf>
    <xf numFmtId="0" fontId="22" fillId="6" borderId="0" xfId="32" quotePrefix="1" applyFont="1" applyFill="1">
      <alignment vertical="center"/>
    </xf>
    <xf numFmtId="0" fontId="22" fillId="6" borderId="0" xfId="32" applyFont="1" applyFill="1">
      <alignment vertical="center"/>
    </xf>
    <xf numFmtId="184" fontId="82" fillId="6" borderId="0" xfId="26" applyNumberFormat="1" applyFont="1" applyFill="1" applyBorder="1" applyAlignment="1">
      <alignment horizontal="left" indent="1"/>
    </xf>
    <xf numFmtId="0" fontId="83" fillId="6" borderId="0" xfId="32" applyFont="1" applyFill="1">
      <alignment vertical="center"/>
    </xf>
    <xf numFmtId="41" fontId="82" fillId="6" borderId="0" xfId="1" applyFont="1" applyFill="1" applyBorder="1" applyAlignment="1">
      <alignment horizontal="right"/>
    </xf>
    <xf numFmtId="177" fontId="82" fillId="6" borderId="0" xfId="2" applyNumberFormat="1" applyFont="1" applyFill="1" applyBorder="1" applyAlignment="1">
      <alignment horizontal="right"/>
    </xf>
    <xf numFmtId="0" fontId="29" fillId="6" borderId="0" xfId="32" applyFont="1" applyFill="1">
      <alignment vertical="center"/>
    </xf>
    <xf numFmtId="0" fontId="84" fillId="6" borderId="0" xfId="32" applyFont="1" applyFill="1">
      <alignment vertical="center"/>
    </xf>
    <xf numFmtId="0" fontId="29" fillId="6" borderId="13" xfId="32" applyFont="1" applyFill="1" applyBorder="1">
      <alignment vertical="center"/>
    </xf>
    <xf numFmtId="184" fontId="82" fillId="6" borderId="13" xfId="26" applyNumberFormat="1" applyFont="1" applyFill="1" applyBorder="1" applyAlignment="1">
      <alignment horizontal="left" indent="1"/>
    </xf>
    <xf numFmtId="0" fontId="84" fillId="6" borderId="13" xfId="32" applyFont="1" applyFill="1" applyBorder="1">
      <alignment vertical="center"/>
    </xf>
    <xf numFmtId="177" fontId="82" fillId="6" borderId="13" xfId="2" applyNumberFormat="1" applyFont="1" applyFill="1" applyBorder="1" applyAlignment="1">
      <alignment horizontal="right"/>
    </xf>
    <xf numFmtId="0" fontId="29" fillId="6" borderId="0" xfId="32" applyFont="1" applyFill="1" applyAlignment="1">
      <alignment horizontal="left" vertical="center"/>
    </xf>
    <xf numFmtId="184" fontId="82" fillId="6" borderId="0" xfId="26" applyNumberFormat="1" applyFont="1" applyFill="1" applyBorder="1" applyAlignment="1">
      <alignment horizontal="left"/>
    </xf>
    <xf numFmtId="0" fontId="29" fillId="6" borderId="31" xfId="32" applyFont="1" applyFill="1" applyBorder="1">
      <alignment vertical="center"/>
    </xf>
    <xf numFmtId="0" fontId="28" fillId="6" borderId="31" xfId="32" applyFont="1" applyFill="1" applyBorder="1" applyAlignment="1">
      <alignment horizontal="left" vertical="center"/>
    </xf>
    <xf numFmtId="41" fontId="28" fillId="6" borderId="31" xfId="1" applyFont="1" applyFill="1" applyBorder="1" applyAlignment="1">
      <alignment horizontal="right" vertical="center"/>
    </xf>
    <xf numFmtId="181" fontId="28" fillId="6" borderId="31" xfId="1" applyNumberFormat="1" applyFont="1" applyFill="1" applyBorder="1" applyAlignment="1">
      <alignment horizontal="right" vertical="center"/>
    </xf>
    <xf numFmtId="0" fontId="69" fillId="6" borderId="0" xfId="32" applyFont="1" applyFill="1">
      <alignment vertical="center"/>
    </xf>
    <xf numFmtId="0" fontId="69" fillId="6" borderId="0" xfId="32" applyFont="1" applyFill="1" applyAlignment="1">
      <alignment horizontal="left" vertical="center"/>
    </xf>
    <xf numFmtId="0" fontId="40" fillId="6" borderId="0" xfId="32" applyFont="1" applyFill="1">
      <alignment vertical="center"/>
    </xf>
    <xf numFmtId="0" fontId="40" fillId="6" borderId="0" xfId="32" applyFont="1" applyFill="1" applyAlignment="1">
      <alignment horizontal="left" vertical="center"/>
    </xf>
    <xf numFmtId="0" fontId="39" fillId="6" borderId="0" xfId="32" applyFont="1" applyFill="1">
      <alignment vertical="center"/>
    </xf>
    <xf numFmtId="177" fontId="39" fillId="6" borderId="0" xfId="2" applyNumberFormat="1" applyFont="1" applyFill="1">
      <alignment vertical="center"/>
    </xf>
    <xf numFmtId="178" fontId="39" fillId="6" borderId="0" xfId="2" applyNumberFormat="1" applyFont="1" applyFill="1">
      <alignment vertical="center"/>
    </xf>
    <xf numFmtId="0" fontId="37" fillId="6" borderId="0" xfId="32" applyFont="1" applyFill="1">
      <alignment vertical="center"/>
    </xf>
    <xf numFmtId="0" fontId="37" fillId="6" borderId="0" xfId="32" applyFont="1" applyFill="1" applyAlignment="1">
      <alignment horizontal="left" vertical="center"/>
    </xf>
    <xf numFmtId="0" fontId="57" fillId="6" borderId="0" xfId="32" applyFont="1" applyFill="1">
      <alignment vertical="center"/>
    </xf>
    <xf numFmtId="0" fontId="57" fillId="6" borderId="0" xfId="32" applyFont="1" applyFill="1" applyAlignment="1">
      <alignment horizontal="left" vertical="center"/>
    </xf>
    <xf numFmtId="177" fontId="49" fillId="6" borderId="0" xfId="33" applyNumberFormat="1" applyFont="1" applyFill="1" applyBorder="1">
      <alignment vertical="center"/>
    </xf>
    <xf numFmtId="177" fontId="58" fillId="6" borderId="0" xfId="33" applyNumberFormat="1" applyFont="1" applyFill="1" applyBorder="1">
      <alignment vertical="center"/>
    </xf>
    <xf numFmtId="0" fontId="49" fillId="6" borderId="0" xfId="32" applyFont="1" applyFill="1">
      <alignment vertical="center"/>
    </xf>
    <xf numFmtId="0" fontId="1" fillId="6" borderId="0" xfId="38" applyFill="1">
      <alignment vertical="center"/>
    </xf>
    <xf numFmtId="0" fontId="1" fillId="10" borderId="0" xfId="38" applyFill="1">
      <alignment vertical="center"/>
    </xf>
    <xf numFmtId="0" fontId="13" fillId="10" borderId="0" xfId="38" applyFont="1" applyFill="1">
      <alignment vertical="center"/>
    </xf>
    <xf numFmtId="0" fontId="79" fillId="10" borderId="0" xfId="38" applyFont="1" applyFill="1">
      <alignment vertical="center"/>
    </xf>
    <xf numFmtId="0" fontId="79" fillId="6" borderId="0" xfId="38" applyFont="1" applyFill="1">
      <alignment vertical="center"/>
    </xf>
    <xf numFmtId="0" fontId="1" fillId="6" borderId="0" xfId="38" quotePrefix="1" applyFill="1">
      <alignment vertical="center"/>
    </xf>
    <xf numFmtId="0" fontId="88" fillId="9" borderId="0" xfId="38" applyFont="1" applyFill="1">
      <alignment vertical="center"/>
    </xf>
    <xf numFmtId="0" fontId="85" fillId="9" borderId="0" xfId="38" applyFont="1" applyFill="1">
      <alignment vertical="center"/>
    </xf>
    <xf numFmtId="0" fontId="88" fillId="9" borderId="0" xfId="38" applyFont="1" applyFill="1" applyAlignment="1">
      <alignment horizontal="center" vertical="center"/>
    </xf>
    <xf numFmtId="0" fontId="89" fillId="6" borderId="0" xfId="38" applyFont="1" applyFill="1">
      <alignment vertical="center"/>
    </xf>
    <xf numFmtId="41" fontId="79" fillId="6" borderId="0" xfId="39" applyFont="1" applyFill="1">
      <alignment vertical="center"/>
    </xf>
    <xf numFmtId="189" fontId="79" fillId="6" borderId="0" xfId="38" applyNumberFormat="1" applyFont="1" applyFill="1">
      <alignment vertical="center"/>
    </xf>
    <xf numFmtId="0" fontId="1" fillId="6" borderId="0" xfId="38" applyFill="1" applyAlignment="1">
      <alignment horizontal="center" vertical="center"/>
    </xf>
    <xf numFmtId="9" fontId="79" fillId="6" borderId="0" xfId="39" applyNumberFormat="1" applyFont="1" applyFill="1" applyAlignment="1">
      <alignment horizontal="center" vertical="center"/>
    </xf>
    <xf numFmtId="0" fontId="76" fillId="6" borderId="0" xfId="38" applyFont="1" applyFill="1">
      <alignment vertical="center"/>
    </xf>
    <xf numFmtId="41" fontId="76" fillId="6" borderId="0" xfId="39" applyFont="1" applyFill="1">
      <alignment vertical="center"/>
    </xf>
    <xf numFmtId="177" fontId="76" fillId="6" borderId="0" xfId="40" applyNumberFormat="1" applyFont="1" applyFill="1">
      <alignment vertical="center"/>
    </xf>
    <xf numFmtId="0" fontId="79" fillId="6" borderId="0" xfId="38" applyFont="1" applyFill="1" applyAlignment="1">
      <alignment horizontal="center" vertical="center"/>
    </xf>
    <xf numFmtId="191" fontId="1" fillId="6" borderId="0" xfId="38" applyNumberFormat="1" applyFill="1">
      <alignment vertical="center"/>
    </xf>
    <xf numFmtId="177" fontId="79" fillId="6" borderId="0" xfId="38" applyNumberFormat="1" applyFont="1" applyFill="1" applyAlignment="1">
      <alignment horizontal="center" vertical="center"/>
    </xf>
    <xf numFmtId="0" fontId="88" fillId="6" borderId="0" xfId="38" applyFont="1" applyFill="1">
      <alignment vertical="center"/>
    </xf>
    <xf numFmtId="0" fontId="85" fillId="6" borderId="0" xfId="38" applyFont="1" applyFill="1">
      <alignment vertical="center"/>
    </xf>
    <xf numFmtId="10" fontId="79" fillId="6" borderId="0" xfId="38" applyNumberFormat="1" applyFont="1" applyFill="1" applyAlignment="1">
      <alignment horizontal="center" vertical="center"/>
    </xf>
    <xf numFmtId="41" fontId="79" fillId="6" borderId="0" xfId="39" applyFont="1" applyFill="1" applyAlignment="1">
      <alignment vertical="center"/>
    </xf>
    <xf numFmtId="0" fontId="13" fillId="6" borderId="0" xfId="38" applyFont="1" applyFill="1">
      <alignment vertical="center"/>
    </xf>
    <xf numFmtId="10" fontId="79" fillId="6" borderId="0" xfId="41" applyNumberFormat="1" applyFont="1" applyFill="1">
      <alignment vertical="center"/>
    </xf>
    <xf numFmtId="41" fontId="79" fillId="6" borderId="36" xfId="39" applyFont="1" applyFill="1" applyBorder="1">
      <alignment vertical="center"/>
    </xf>
    <xf numFmtId="0" fontId="79" fillId="6" borderId="13" xfId="38" applyFont="1" applyFill="1" applyBorder="1">
      <alignment vertical="center"/>
    </xf>
    <xf numFmtId="0" fontId="79" fillId="6" borderId="13" xfId="38" applyFont="1" applyFill="1" applyBorder="1" applyAlignment="1">
      <alignment horizontal="center" vertical="center"/>
    </xf>
    <xf numFmtId="41" fontId="79" fillId="6" borderId="0" xfId="39" applyFont="1" applyFill="1" applyAlignment="1">
      <alignment horizontal="center" vertical="center"/>
    </xf>
    <xf numFmtId="41" fontId="74" fillId="6" borderId="0" xfId="39" applyFont="1" applyFill="1">
      <alignment vertical="center"/>
    </xf>
    <xf numFmtId="177" fontId="74" fillId="6" borderId="0" xfId="40" applyNumberFormat="1" applyFont="1" applyFill="1" applyAlignment="1">
      <alignment vertical="center"/>
    </xf>
    <xf numFmtId="177" fontId="74" fillId="6" borderId="0" xfId="40" applyNumberFormat="1" applyFont="1" applyFill="1">
      <alignment vertical="center"/>
    </xf>
    <xf numFmtId="177" fontId="74" fillId="6" borderId="36" xfId="40" applyNumberFormat="1" applyFont="1" applyFill="1" applyBorder="1">
      <alignment vertical="center"/>
    </xf>
    <xf numFmtId="41" fontId="74" fillId="6" borderId="13" xfId="39" applyFont="1" applyFill="1" applyBorder="1">
      <alignment vertical="center"/>
    </xf>
    <xf numFmtId="177" fontId="74" fillId="6" borderId="13" xfId="40" applyNumberFormat="1" applyFont="1" applyFill="1" applyBorder="1">
      <alignment vertical="center"/>
    </xf>
    <xf numFmtId="177" fontId="74" fillId="6" borderId="34" xfId="40" applyNumberFormat="1" applyFont="1" applyFill="1" applyBorder="1">
      <alignment vertical="center"/>
    </xf>
    <xf numFmtId="41" fontId="13" fillId="6" borderId="0" xfId="39" applyFont="1" applyFill="1">
      <alignment vertical="center"/>
    </xf>
    <xf numFmtId="41" fontId="13" fillId="6" borderId="36" xfId="39" applyFont="1" applyFill="1" applyBorder="1">
      <alignment vertical="center"/>
    </xf>
    <xf numFmtId="41" fontId="28" fillId="6" borderId="44" xfId="34" applyFont="1" applyFill="1" applyBorder="1">
      <alignment vertical="center"/>
    </xf>
    <xf numFmtId="41" fontId="28" fillId="6" borderId="44" xfId="34" applyFont="1" applyFill="1" applyBorder="1" applyAlignment="1">
      <alignment horizontal="center" vertical="center"/>
    </xf>
    <xf numFmtId="0" fontId="51" fillId="6" borderId="44" xfId="32" applyFont="1" applyFill="1" applyBorder="1" applyAlignment="1">
      <alignment horizontal="center" vertical="center"/>
    </xf>
    <xf numFmtId="41" fontId="22" fillId="6" borderId="0" xfId="34" applyFont="1" applyFill="1" applyBorder="1" applyAlignment="1">
      <alignment vertical="center"/>
    </xf>
    <xf numFmtId="9" fontId="81" fillId="6" borderId="0" xfId="2" applyFont="1" applyFill="1" applyBorder="1" applyAlignment="1">
      <alignment horizontal="right" vertical="center"/>
    </xf>
    <xf numFmtId="41" fontId="13" fillId="6" borderId="0" xfId="1" applyFont="1" applyFill="1">
      <alignment vertical="center"/>
    </xf>
    <xf numFmtId="0" fontId="80" fillId="6" borderId="13" xfId="0" applyFont="1" applyFill="1" applyBorder="1" applyAlignment="1">
      <alignment horizontal="left" vertical="center" indent="2"/>
    </xf>
    <xf numFmtId="0" fontId="51" fillId="6" borderId="13" xfId="0" applyFont="1" applyFill="1" applyBorder="1">
      <alignment vertical="center"/>
    </xf>
    <xf numFmtId="41" fontId="79" fillId="6" borderId="13" xfId="1" applyFont="1" applyFill="1" applyBorder="1">
      <alignment vertical="center"/>
    </xf>
    <xf numFmtId="0" fontId="51" fillId="6" borderId="0" xfId="0" applyFont="1" applyFill="1" applyAlignment="1">
      <alignment horizontal="left" vertical="center" indent="1"/>
    </xf>
    <xf numFmtId="41" fontId="51" fillId="6" borderId="0" xfId="1" applyFont="1" applyFill="1">
      <alignment vertical="center"/>
    </xf>
    <xf numFmtId="0" fontId="80" fillId="6" borderId="0" xfId="0" applyFont="1" applyFill="1" applyAlignment="1">
      <alignment horizontal="left" vertical="center" indent="2"/>
    </xf>
    <xf numFmtId="41" fontId="79" fillId="6" borderId="0" xfId="1" applyFont="1" applyFill="1" applyBorder="1">
      <alignment vertical="center"/>
    </xf>
    <xf numFmtId="41" fontId="51" fillId="6" borderId="0" xfId="1" applyFont="1" applyFill="1" applyBorder="1">
      <alignment vertical="center"/>
    </xf>
    <xf numFmtId="189" fontId="79" fillId="6" borderId="0" xfId="0" applyNumberFormat="1" applyFont="1" applyFill="1">
      <alignment vertical="center"/>
    </xf>
    <xf numFmtId="0" fontId="79" fillId="6" borderId="0" xfId="0" applyFont="1" applyFill="1">
      <alignment vertical="center"/>
    </xf>
    <xf numFmtId="177" fontId="81" fillId="6" borderId="0" xfId="2" applyNumberFormat="1" applyFont="1" applyFill="1" applyBorder="1" applyAlignment="1">
      <alignment horizontal="right" vertical="center"/>
    </xf>
    <xf numFmtId="9" fontId="0" fillId="6" borderId="0" xfId="2" applyFont="1" applyFill="1">
      <alignment vertical="center"/>
    </xf>
    <xf numFmtId="190" fontId="0" fillId="6" borderId="0" xfId="0" applyNumberFormat="1" applyFill="1">
      <alignment vertical="center"/>
    </xf>
    <xf numFmtId="9" fontId="5" fillId="3" borderId="0" xfId="2" applyFont="1" applyFill="1" applyAlignment="1">
      <alignment horizontal="center"/>
    </xf>
    <xf numFmtId="177" fontId="79" fillId="6" borderId="13" xfId="39" applyNumberFormat="1" applyFont="1" applyFill="1" applyBorder="1">
      <alignment vertical="center"/>
    </xf>
    <xf numFmtId="177" fontId="74" fillId="6" borderId="13" xfId="39" applyNumberFormat="1" applyFont="1" applyFill="1" applyBorder="1">
      <alignment vertical="center"/>
    </xf>
    <xf numFmtId="177" fontId="74" fillId="6" borderId="34" xfId="39" applyNumberFormat="1" applyFont="1" applyFill="1" applyBorder="1">
      <alignment vertical="center"/>
    </xf>
    <xf numFmtId="0" fontId="79" fillId="6" borderId="0" xfId="38" quotePrefix="1" applyFont="1" applyFill="1">
      <alignment vertical="center"/>
    </xf>
    <xf numFmtId="0" fontId="79" fillId="6" borderId="1" xfId="38" applyFont="1" applyFill="1" applyBorder="1">
      <alignment vertical="center"/>
    </xf>
    <xf numFmtId="192" fontId="79" fillId="6" borderId="1" xfId="39" applyNumberFormat="1" applyFont="1" applyFill="1" applyBorder="1">
      <alignment vertical="center"/>
    </xf>
    <xf numFmtId="192" fontId="79" fillId="6" borderId="45" xfId="39" applyNumberFormat="1" applyFont="1" applyFill="1" applyBorder="1">
      <alignment vertical="center"/>
    </xf>
    <xf numFmtId="193" fontId="79" fillId="6" borderId="13" xfId="40" applyNumberFormat="1" applyFont="1" applyFill="1" applyBorder="1">
      <alignment vertical="center"/>
    </xf>
    <xf numFmtId="193" fontId="79" fillId="6" borderId="34" xfId="40" applyNumberFormat="1" applyFont="1" applyFill="1" applyBorder="1">
      <alignment vertical="center"/>
    </xf>
    <xf numFmtId="0" fontId="79" fillId="6" borderId="13" xfId="38" applyFont="1" applyFill="1" applyBorder="1" applyAlignment="1">
      <alignment horizontal="left" vertical="center"/>
    </xf>
    <xf numFmtId="41" fontId="74" fillId="6" borderId="0" xfId="39" applyFont="1" applyFill="1" applyBorder="1">
      <alignment vertical="center"/>
    </xf>
    <xf numFmtId="177" fontId="74" fillId="6" borderId="0" xfId="40" applyNumberFormat="1" applyFont="1" applyFill="1" applyBorder="1">
      <alignment vertical="center"/>
    </xf>
    <xf numFmtId="177" fontId="79" fillId="6" borderId="0" xfId="2" applyNumberFormat="1" applyFont="1" applyFill="1" applyBorder="1">
      <alignment vertical="center"/>
    </xf>
    <xf numFmtId="177" fontId="74" fillId="6" borderId="0" xfId="2" applyNumberFormat="1" applyFont="1" applyFill="1" applyBorder="1">
      <alignment vertical="center"/>
    </xf>
    <xf numFmtId="177" fontId="74" fillId="6" borderId="36" xfId="2" applyNumberFormat="1" applyFont="1" applyFill="1" applyBorder="1">
      <alignment vertical="center"/>
    </xf>
    <xf numFmtId="41" fontId="79" fillId="6" borderId="0" xfId="1" applyFont="1" applyFill="1">
      <alignment vertical="center"/>
    </xf>
    <xf numFmtId="9" fontId="79" fillId="6" borderId="13" xfId="2" applyFont="1" applyFill="1" applyBorder="1">
      <alignment vertical="center"/>
    </xf>
    <xf numFmtId="9" fontId="79" fillId="6" borderId="34" xfId="2" applyFont="1" applyFill="1" applyBorder="1">
      <alignment vertical="center"/>
    </xf>
    <xf numFmtId="41" fontId="13" fillId="6" borderId="36" xfId="1" applyFont="1" applyFill="1" applyBorder="1">
      <alignment vertical="center"/>
    </xf>
    <xf numFmtId="189" fontId="13" fillId="6" borderId="0" xfId="38" applyNumberFormat="1" applyFont="1" applyFill="1">
      <alignment vertical="center"/>
    </xf>
    <xf numFmtId="41" fontId="28" fillId="6" borderId="30" xfId="34" applyFont="1" applyFill="1" applyBorder="1">
      <alignment vertical="center"/>
    </xf>
    <xf numFmtId="0" fontId="80" fillId="6" borderId="44" xfId="0" applyFont="1" applyFill="1" applyBorder="1" applyAlignment="1">
      <alignment horizontal="left" vertical="center" indent="2"/>
    </xf>
    <xf numFmtId="0" fontId="51" fillId="6" borderId="44" xfId="0" applyFont="1" applyFill="1" applyBorder="1">
      <alignment vertical="center"/>
    </xf>
    <xf numFmtId="41" fontId="79" fillId="6" borderId="44" xfId="1" applyFont="1" applyFill="1" applyBorder="1">
      <alignment vertical="center"/>
    </xf>
    <xf numFmtId="9" fontId="81" fillId="6" borderId="44" xfId="2" applyFont="1" applyFill="1" applyBorder="1" applyAlignment="1">
      <alignment horizontal="right" vertical="center"/>
    </xf>
    <xf numFmtId="0" fontId="57" fillId="6" borderId="0" xfId="0" applyFont="1" applyFill="1" applyAlignment="1">
      <alignment horizontal="left" vertical="center" indent="3"/>
    </xf>
    <xf numFmtId="0" fontId="57" fillId="6" borderId="0" xfId="0" applyFont="1" applyFill="1">
      <alignment vertical="center"/>
    </xf>
    <xf numFmtId="41" fontId="57" fillId="6" borderId="0" xfId="1" applyFont="1" applyFill="1">
      <alignment vertical="center"/>
    </xf>
    <xf numFmtId="0" fontId="8" fillId="6" borderId="0" xfId="13" applyFill="1" applyBorder="1"/>
    <xf numFmtId="41" fontId="9" fillId="6" borderId="0" xfId="1" applyFont="1" applyFill="1" applyBorder="1" applyAlignment="1">
      <alignment horizontal="right"/>
    </xf>
    <xf numFmtId="0" fontId="10" fillId="6" borderId="0" xfId="16" applyFill="1" applyBorder="1" applyAlignment="1">
      <alignment horizontal="left" indent="3"/>
    </xf>
    <xf numFmtId="0" fontId="10" fillId="6" borderId="0" xfId="16" applyFill="1" applyBorder="1"/>
    <xf numFmtId="41" fontId="11" fillId="6" borderId="0" xfId="1" applyFont="1" applyFill="1" applyBorder="1" applyAlignment="1">
      <alignment horizontal="right"/>
    </xf>
    <xf numFmtId="41" fontId="26" fillId="6" borderId="0" xfId="34" applyFont="1" applyFill="1" applyBorder="1" applyAlignment="1">
      <alignment vertical="center"/>
    </xf>
    <xf numFmtId="0" fontId="28" fillId="6" borderId="30" xfId="34" applyNumberFormat="1" applyFont="1" applyFill="1" applyBorder="1">
      <alignment vertical="center"/>
    </xf>
    <xf numFmtId="0" fontId="51" fillId="6" borderId="13" xfId="0" applyFont="1" applyFill="1" applyBorder="1" applyAlignment="1">
      <alignment horizontal="center" vertical="center"/>
    </xf>
    <xf numFmtId="41" fontId="28" fillId="6" borderId="0" xfId="34" applyFont="1" applyFill="1">
      <alignment vertical="center"/>
    </xf>
    <xf numFmtId="41" fontId="28" fillId="6" borderId="0" xfId="30" applyFont="1" applyFill="1">
      <alignment vertical="center"/>
    </xf>
    <xf numFmtId="0" fontId="28" fillId="6" borderId="0" xfId="34" applyNumberFormat="1" applyFont="1" applyFill="1" applyBorder="1">
      <alignment vertical="center"/>
    </xf>
    <xf numFmtId="41" fontId="28" fillId="6" borderId="0" xfId="34" applyFont="1" applyFill="1" applyBorder="1">
      <alignment vertical="center"/>
    </xf>
    <xf numFmtId="186" fontId="28" fillId="6" borderId="0" xfId="34" applyNumberFormat="1" applyFont="1" applyFill="1" applyBorder="1" applyAlignment="1">
      <alignment horizontal="right" vertical="center"/>
    </xf>
    <xf numFmtId="41" fontId="29" fillId="6" borderId="0" xfId="34" applyFont="1" applyFill="1">
      <alignment vertical="center"/>
    </xf>
    <xf numFmtId="0" fontId="28" fillId="6" borderId="0" xfId="34" applyNumberFormat="1" applyFont="1" applyFill="1">
      <alignment vertical="center"/>
    </xf>
    <xf numFmtId="0" fontId="51" fillId="6" borderId="0" xfId="29" applyFont="1" applyFill="1">
      <alignment vertical="center"/>
    </xf>
    <xf numFmtId="187" fontId="28" fillId="6" borderId="0" xfId="1" applyNumberFormat="1" applyFont="1" applyFill="1" applyBorder="1">
      <alignment vertical="center"/>
    </xf>
    <xf numFmtId="0" fontId="28" fillId="6" borderId="13" xfId="34" applyNumberFormat="1" applyFont="1" applyFill="1" applyBorder="1">
      <alignment vertical="center"/>
    </xf>
    <xf numFmtId="0" fontId="13" fillId="6" borderId="13" xfId="0" applyFont="1" applyFill="1" applyBorder="1">
      <alignment vertical="center"/>
    </xf>
    <xf numFmtId="41" fontId="28" fillId="6" borderId="13" xfId="34" applyFont="1" applyFill="1" applyBorder="1">
      <alignment vertical="center"/>
    </xf>
    <xf numFmtId="186" fontId="28" fillId="6" borderId="13" xfId="34" applyNumberFormat="1" applyFont="1" applyFill="1" applyBorder="1" applyAlignment="1">
      <alignment horizontal="right" vertical="center"/>
    </xf>
    <xf numFmtId="0" fontId="13" fillId="6" borderId="0" xfId="29" applyFont="1" applyFill="1">
      <alignment vertical="center"/>
    </xf>
    <xf numFmtId="0" fontId="22" fillId="6" borderId="44" xfId="30" applyNumberFormat="1" applyFont="1" applyFill="1" applyBorder="1">
      <alignment vertical="center"/>
    </xf>
    <xf numFmtId="41" fontId="28" fillId="6" borderId="44" xfId="30" applyFont="1" applyFill="1" applyBorder="1">
      <alignment vertical="center"/>
    </xf>
    <xf numFmtId="37" fontId="28" fillId="6" borderId="44" xfId="30" applyNumberFormat="1" applyFont="1" applyFill="1" applyBorder="1">
      <alignment vertical="center"/>
    </xf>
    <xf numFmtId="37" fontId="28" fillId="6" borderId="44" xfId="30" applyNumberFormat="1" applyFont="1" applyFill="1" applyBorder="1" applyAlignment="1">
      <alignment horizontal="right" vertical="center"/>
    </xf>
    <xf numFmtId="0" fontId="28" fillId="6" borderId="0" xfId="32" applyFont="1" applyFill="1" applyAlignment="1">
      <alignment horizontal="left" vertical="center" indent="1"/>
    </xf>
    <xf numFmtId="0" fontId="28" fillId="6" borderId="0" xfId="32" applyFont="1" applyFill="1">
      <alignment vertical="center"/>
    </xf>
    <xf numFmtId="41" fontId="28" fillId="6" borderId="0" xfId="32" applyNumberFormat="1" applyFont="1" applyFill="1">
      <alignment vertical="center"/>
    </xf>
    <xf numFmtId="3" fontId="51" fillId="6" borderId="0" xfId="0" applyNumberFormat="1" applyFont="1" applyFill="1" applyAlignment="1">
      <alignment horizontal="right" vertical="top" wrapText="1"/>
    </xf>
    <xf numFmtId="3" fontId="51" fillId="6" borderId="0" xfId="0" applyNumberFormat="1" applyFont="1" applyFill="1" applyAlignment="1">
      <alignment horizontal="right" vertical="center" wrapText="1"/>
    </xf>
    <xf numFmtId="0" fontId="28" fillId="6" borderId="0" xfId="32" applyFont="1" applyFill="1" applyAlignment="1">
      <alignment horizontal="left" vertical="center" indent="2"/>
    </xf>
    <xf numFmtId="0" fontId="52" fillId="6" borderId="6" xfId="34" applyNumberFormat="1" applyFont="1" applyFill="1" applyBorder="1">
      <alignment vertical="center"/>
    </xf>
    <xf numFmtId="41" fontId="52" fillId="6" borderId="6" xfId="34" applyFont="1" applyFill="1" applyBorder="1">
      <alignment vertical="center"/>
    </xf>
    <xf numFmtId="37" fontId="52" fillId="6" borderId="0" xfId="30" applyNumberFormat="1" applyFont="1" applyFill="1" applyBorder="1">
      <alignment vertical="center"/>
    </xf>
    <xf numFmtId="0" fontId="52" fillId="6" borderId="0" xfId="34" applyNumberFormat="1" applyFont="1" applyFill="1" applyBorder="1">
      <alignment vertical="center"/>
    </xf>
    <xf numFmtId="41" fontId="52" fillId="6" borderId="0" xfId="34" applyFont="1" applyFill="1" applyBorder="1">
      <alignment vertical="center"/>
    </xf>
    <xf numFmtId="0" fontId="49" fillId="6" borderId="0" xfId="30" applyNumberFormat="1" applyFont="1" applyFill="1" applyAlignment="1">
      <alignment horizontal="left" vertical="center" indent="1"/>
    </xf>
    <xf numFmtId="177" fontId="49" fillId="6" borderId="0" xfId="2" applyNumberFormat="1" applyFont="1" applyFill="1">
      <alignment vertical="center"/>
    </xf>
    <xf numFmtId="41" fontId="52" fillId="6" borderId="0" xfId="34" applyFont="1" applyFill="1">
      <alignment vertical="center"/>
    </xf>
    <xf numFmtId="0" fontId="53" fillId="6" borderId="0" xfId="23" applyNumberFormat="1" applyFont="1" applyFill="1">
      <alignment vertical="center"/>
    </xf>
    <xf numFmtId="0" fontId="1" fillId="6" borderId="0" xfId="29" applyFill="1">
      <alignment vertical="center"/>
    </xf>
    <xf numFmtId="0" fontId="49" fillId="6" borderId="0" xfId="30" applyNumberFormat="1" applyFont="1" applyFill="1" applyBorder="1">
      <alignment vertical="center"/>
    </xf>
    <xf numFmtId="41" fontId="49" fillId="6" borderId="0" xfId="30" applyFont="1" applyFill="1">
      <alignment vertical="center"/>
    </xf>
    <xf numFmtId="0" fontId="28" fillId="6" borderId="0" xfId="30" applyNumberFormat="1" applyFont="1" applyFill="1" applyAlignment="1">
      <alignment horizontal="left" vertical="center" indent="1"/>
    </xf>
    <xf numFmtId="41" fontId="39" fillId="6" borderId="0" xfId="30" applyFont="1" applyFill="1">
      <alignment vertical="center"/>
    </xf>
    <xf numFmtId="0" fontId="28" fillId="6" borderId="13" xfId="30" applyNumberFormat="1" applyFont="1" applyFill="1" applyBorder="1" applyAlignment="1">
      <alignment horizontal="left" vertical="center" indent="2"/>
    </xf>
    <xf numFmtId="41" fontId="28" fillId="6" borderId="13" xfId="30" applyFont="1" applyFill="1" applyBorder="1">
      <alignment vertical="center"/>
    </xf>
    <xf numFmtId="0" fontId="52" fillId="6" borderId="0" xfId="30" applyNumberFormat="1" applyFont="1" applyFill="1">
      <alignment vertical="center"/>
    </xf>
    <xf numFmtId="41" fontId="52" fillId="6" borderId="0" xfId="30" applyFont="1" applyFill="1">
      <alignment vertical="center"/>
    </xf>
    <xf numFmtId="41" fontId="28" fillId="6" borderId="0" xfId="30" applyFont="1" applyFill="1" applyAlignment="1">
      <alignment horizontal="right" vertical="center"/>
    </xf>
    <xf numFmtId="0" fontId="42" fillId="6" borderId="0" xfId="30" applyNumberFormat="1" applyFont="1" applyFill="1">
      <alignment vertical="center"/>
    </xf>
    <xf numFmtId="41" fontId="42" fillId="6" borderId="0" xfId="30" applyFont="1" applyFill="1">
      <alignment vertical="center"/>
    </xf>
    <xf numFmtId="187" fontId="28" fillId="6" borderId="0" xfId="0" applyNumberFormat="1" applyFont="1" applyFill="1">
      <alignment vertical="center"/>
    </xf>
    <xf numFmtId="187" fontId="28" fillId="6" borderId="0" xfId="0" applyNumberFormat="1" applyFont="1" applyFill="1" applyAlignment="1">
      <alignment horizontal="right" vertical="center"/>
    </xf>
    <xf numFmtId="41" fontId="33" fillId="6" borderId="0" xfId="30" applyFont="1" applyFill="1">
      <alignment vertical="center"/>
    </xf>
    <xf numFmtId="0" fontId="23" fillId="6" borderId="0" xfId="30" applyNumberFormat="1" applyFont="1" applyFill="1">
      <alignment vertical="center"/>
    </xf>
    <xf numFmtId="41" fontId="23" fillId="6" borderId="0" xfId="30" applyFont="1" applyFill="1">
      <alignment vertical="center"/>
    </xf>
    <xf numFmtId="177" fontId="64" fillId="6" borderId="0" xfId="31" applyNumberFormat="1" applyFont="1" applyFill="1" applyBorder="1">
      <alignment vertical="center"/>
    </xf>
    <xf numFmtId="177" fontId="64" fillId="6" borderId="0" xfId="31" applyNumberFormat="1" applyFont="1" applyFill="1" applyBorder="1" applyAlignment="1">
      <alignment horizontal="right" vertical="center"/>
    </xf>
    <xf numFmtId="37" fontId="28" fillId="6" borderId="44" xfId="30" applyNumberFormat="1" applyFont="1" applyFill="1" applyBorder="1" applyAlignment="1">
      <alignment horizontal="center" vertical="center"/>
    </xf>
    <xf numFmtId="41" fontId="41" fillId="6" borderId="0" xfId="30" applyFont="1" applyFill="1">
      <alignment vertical="center"/>
    </xf>
    <xf numFmtId="0" fontId="52" fillId="6" borderId="6" xfId="30" applyNumberFormat="1" applyFont="1" applyFill="1" applyBorder="1">
      <alignment vertical="center"/>
    </xf>
    <xf numFmtId="41" fontId="52" fillId="6" borderId="6" xfId="30" applyFont="1" applyFill="1" applyBorder="1">
      <alignment vertical="center"/>
    </xf>
    <xf numFmtId="187" fontId="52" fillId="6" borderId="0" xfId="30" applyNumberFormat="1" applyFont="1" applyFill="1">
      <alignment vertical="center"/>
    </xf>
    <xf numFmtId="187" fontId="52" fillId="6" borderId="0" xfId="30" applyNumberFormat="1" applyFont="1" applyFill="1" applyAlignment="1">
      <alignment vertical="center"/>
    </xf>
    <xf numFmtId="177" fontId="49" fillId="6" borderId="0" xfId="31" applyNumberFormat="1" applyFont="1" applyFill="1">
      <alignment vertical="center"/>
    </xf>
    <xf numFmtId="177" fontId="49" fillId="6" borderId="0" xfId="31" applyNumberFormat="1" applyFont="1" applyFill="1" applyAlignment="1">
      <alignment vertical="center"/>
    </xf>
    <xf numFmtId="0" fontId="37" fillId="6" borderId="0" xfId="29" applyFont="1" applyFill="1" applyAlignment="1">
      <alignment horizontal="center" vertical="center"/>
    </xf>
    <xf numFmtId="0" fontId="1" fillId="6" borderId="0" xfId="29" applyFill="1" applyAlignment="1">
      <alignment horizontal="center" vertical="center"/>
    </xf>
    <xf numFmtId="0" fontId="28" fillId="6" borderId="0" xfId="30" applyNumberFormat="1" applyFont="1" applyFill="1">
      <alignment vertical="center"/>
    </xf>
    <xf numFmtId="182" fontId="28" fillId="6" borderId="0" xfId="30" applyNumberFormat="1" applyFont="1" applyFill="1">
      <alignment vertical="center"/>
    </xf>
    <xf numFmtId="0" fontId="23" fillId="6" borderId="0" xfId="29" applyFont="1" applyFill="1">
      <alignment vertical="center"/>
    </xf>
    <xf numFmtId="187" fontId="23" fillId="6" borderId="0" xfId="29" applyNumberFormat="1" applyFont="1" applyFill="1">
      <alignment vertical="center"/>
    </xf>
    <xf numFmtId="187" fontId="1" fillId="6" borderId="0" xfId="29" applyNumberFormat="1" applyFill="1">
      <alignment vertical="center"/>
    </xf>
    <xf numFmtId="3" fontId="1" fillId="6" borderId="0" xfId="29" applyNumberFormat="1" applyFill="1">
      <alignment vertical="center"/>
    </xf>
    <xf numFmtId="0" fontId="0" fillId="6" borderId="0" xfId="0" applyFill="1" applyAlignment="1">
      <alignment horizontal="center" vertical="center"/>
    </xf>
    <xf numFmtId="0" fontId="54" fillId="6" borderId="29" xfId="32" applyFont="1" applyFill="1" applyBorder="1" applyAlignment="1">
      <alignment horizontal="center" vertical="center"/>
    </xf>
    <xf numFmtId="41" fontId="28" fillId="6" borderId="0" xfId="1" applyFont="1" applyFill="1" applyBorder="1">
      <alignment vertical="center"/>
    </xf>
    <xf numFmtId="3" fontId="55" fillId="6" borderId="0" xfId="0" applyNumberFormat="1" applyFont="1" applyFill="1" applyAlignment="1">
      <alignment horizontal="right" vertical="top" wrapText="1"/>
    </xf>
    <xf numFmtId="0" fontId="52" fillId="6" borderId="13" xfId="34" applyNumberFormat="1" applyFont="1" applyFill="1" applyBorder="1">
      <alignment vertical="center"/>
    </xf>
    <xf numFmtId="41" fontId="52" fillId="6" borderId="13" xfId="34" applyFont="1" applyFill="1" applyBorder="1">
      <alignment vertical="center"/>
    </xf>
    <xf numFmtId="41" fontId="52" fillId="6" borderId="13" xfId="1" applyFont="1" applyFill="1" applyBorder="1">
      <alignment vertical="center"/>
    </xf>
    <xf numFmtId="0" fontId="22" fillId="6" borderId="0" xfId="34" applyNumberFormat="1" applyFont="1" applyFill="1">
      <alignment vertical="center"/>
    </xf>
    <xf numFmtId="41" fontId="25" fillId="6" borderId="0" xfId="34" applyFont="1" applyFill="1" applyBorder="1">
      <alignment vertical="center"/>
    </xf>
    <xf numFmtId="41" fontId="25" fillId="6" borderId="0" xfId="1" applyFont="1" applyFill="1" applyBorder="1">
      <alignment vertical="center"/>
    </xf>
    <xf numFmtId="41" fontId="25" fillId="6" borderId="0" xfId="1" applyFont="1" applyFill="1" applyBorder="1" applyAlignment="1">
      <alignment horizontal="right" vertical="center"/>
    </xf>
    <xf numFmtId="41" fontId="33" fillId="6" borderId="0" xfId="1" applyFont="1" applyFill="1" applyBorder="1" applyAlignment="1">
      <alignment horizontal="right" vertical="center"/>
    </xf>
    <xf numFmtId="41" fontId="45" fillId="6" borderId="0" xfId="1" applyFont="1" applyFill="1" applyBorder="1" applyAlignment="1">
      <alignment horizontal="right" vertical="center"/>
    </xf>
    <xf numFmtId="41" fontId="33" fillId="6" borderId="0" xfId="1" applyFont="1" applyFill="1" applyAlignment="1">
      <alignment horizontal="right" vertical="center"/>
    </xf>
    <xf numFmtId="41" fontId="33" fillId="6" borderId="0" xfId="34" applyFont="1" applyFill="1">
      <alignment vertical="center"/>
    </xf>
    <xf numFmtId="0" fontId="24" fillId="6" borderId="0" xfId="34" applyNumberFormat="1" applyFont="1" applyFill="1">
      <alignment vertical="center"/>
    </xf>
    <xf numFmtId="3" fontId="43" fillId="6" borderId="0" xfId="0" applyNumberFormat="1" applyFont="1" applyFill="1" applyAlignment="1">
      <alignment horizontal="right" vertical="top" wrapText="1"/>
    </xf>
    <xf numFmtId="41" fontId="28" fillId="6" borderId="0" xfId="1" applyFont="1" applyFill="1">
      <alignment vertical="center"/>
    </xf>
    <xf numFmtId="41" fontId="52" fillId="6" borderId="0" xfId="1" applyFont="1" applyFill="1" applyBorder="1">
      <alignment vertical="center"/>
    </xf>
    <xf numFmtId="41" fontId="25" fillId="6" borderId="0" xfId="34" applyFont="1" applyFill="1">
      <alignment vertical="center"/>
    </xf>
    <xf numFmtId="0" fontId="52" fillId="6" borderId="0" xfId="32" applyFont="1" applyFill="1">
      <alignment vertical="center"/>
    </xf>
    <xf numFmtId="41" fontId="52" fillId="6" borderId="0" xfId="1" applyFont="1" applyFill="1">
      <alignment vertical="center"/>
    </xf>
    <xf numFmtId="41" fontId="52" fillId="6" borderId="0" xfId="1" applyFont="1" applyFill="1" applyAlignment="1">
      <alignment horizontal="right" vertical="center"/>
    </xf>
    <xf numFmtId="41" fontId="39" fillId="6" borderId="0" xfId="34" applyFont="1" applyFill="1">
      <alignment vertical="center"/>
    </xf>
    <xf numFmtId="41" fontId="24" fillId="6" borderId="0" xfId="34" applyFont="1" applyFill="1">
      <alignment vertical="center"/>
    </xf>
    <xf numFmtId="0" fontId="22" fillId="6" borderId="6" xfId="34" applyNumberFormat="1" applyFont="1" applyFill="1" applyBorder="1">
      <alignment vertical="center"/>
    </xf>
    <xf numFmtId="41" fontId="28" fillId="6" borderId="6" xfId="34" applyFont="1" applyFill="1" applyBorder="1">
      <alignment vertical="center"/>
    </xf>
    <xf numFmtId="37" fontId="28" fillId="6" borderId="6" xfId="34" applyNumberFormat="1" applyFont="1" applyFill="1" applyBorder="1">
      <alignment vertical="center"/>
    </xf>
    <xf numFmtId="186" fontId="28" fillId="6" borderId="0" xfId="34" applyNumberFormat="1" applyFont="1" applyFill="1" applyBorder="1">
      <alignment vertical="center"/>
    </xf>
    <xf numFmtId="41" fontId="24" fillId="6" borderId="0" xfId="34" applyFont="1" applyFill="1" applyBorder="1">
      <alignment vertical="center"/>
    </xf>
    <xf numFmtId="177" fontId="39" fillId="6" borderId="0" xfId="2" applyNumberFormat="1" applyFont="1" applyFill="1" applyBorder="1">
      <alignment vertical="center"/>
    </xf>
    <xf numFmtId="37" fontId="33" fillId="6" borderId="0" xfId="34" applyNumberFormat="1" applyFont="1" applyFill="1" applyBorder="1">
      <alignment vertical="center"/>
    </xf>
    <xf numFmtId="37" fontId="45" fillId="6" borderId="0" xfId="34" applyNumberFormat="1" applyFont="1" applyFill="1" applyBorder="1">
      <alignment vertical="center"/>
    </xf>
    <xf numFmtId="37" fontId="28" fillId="6" borderId="0" xfId="34" applyNumberFormat="1" applyFont="1" applyFill="1" applyBorder="1">
      <alignment vertical="center"/>
    </xf>
    <xf numFmtId="37" fontId="56" fillId="6" borderId="0" xfId="34" applyNumberFormat="1" applyFont="1" applyFill="1" applyBorder="1">
      <alignment vertical="center"/>
    </xf>
    <xf numFmtId="182" fontId="28" fillId="6" borderId="0" xfId="34" applyNumberFormat="1" applyFont="1" applyFill="1" applyBorder="1">
      <alignment vertical="center"/>
    </xf>
    <xf numFmtId="182" fontId="28" fillId="6" borderId="0" xfId="32" applyNumberFormat="1" applyFont="1" applyFill="1">
      <alignment vertical="center"/>
    </xf>
    <xf numFmtId="179" fontId="24" fillId="6" borderId="0" xfId="34" applyNumberFormat="1" applyFont="1" applyFill="1" applyBorder="1">
      <alignment vertical="center"/>
    </xf>
    <xf numFmtId="179" fontId="47" fillId="6" borderId="0" xfId="34" applyNumberFormat="1" applyFont="1" applyFill="1" applyBorder="1">
      <alignment vertical="center"/>
    </xf>
    <xf numFmtId="0" fontId="22" fillId="6" borderId="6" xfId="32" applyFont="1" applyFill="1" applyBorder="1">
      <alignment vertical="center"/>
    </xf>
    <xf numFmtId="0" fontId="28" fillId="6" borderId="6" xfId="32" applyFont="1" applyFill="1" applyBorder="1">
      <alignment vertical="center"/>
    </xf>
    <xf numFmtId="41" fontId="41" fillId="6" borderId="0" xfId="34" applyFont="1" applyFill="1">
      <alignment vertical="center"/>
    </xf>
    <xf numFmtId="41" fontId="31" fillId="6" borderId="0" xfId="34" applyFont="1" applyFill="1">
      <alignment vertical="center"/>
    </xf>
    <xf numFmtId="0" fontId="77" fillId="6" borderId="31" xfId="32" applyFont="1" applyFill="1" applyBorder="1">
      <alignment vertical="center"/>
    </xf>
    <xf numFmtId="0" fontId="38" fillId="6" borderId="31" xfId="32" applyFont="1" applyFill="1" applyBorder="1">
      <alignment vertical="center"/>
    </xf>
    <xf numFmtId="0" fontId="39" fillId="6" borderId="31" xfId="32" applyFont="1" applyFill="1" applyBorder="1">
      <alignment vertical="center"/>
    </xf>
    <xf numFmtId="0" fontId="76" fillId="6" borderId="0" xfId="32" applyFont="1" applyFill="1">
      <alignment vertical="center"/>
    </xf>
    <xf numFmtId="0" fontId="74" fillId="6" borderId="0" xfId="32" applyFont="1" applyFill="1">
      <alignment vertical="center"/>
    </xf>
    <xf numFmtId="9" fontId="74" fillId="6" borderId="0" xfId="2" applyFont="1" applyFill="1">
      <alignment vertical="center"/>
    </xf>
    <xf numFmtId="177" fontId="74" fillId="6" borderId="0" xfId="33" applyNumberFormat="1" applyFont="1" applyFill="1" applyBorder="1">
      <alignment vertical="center"/>
    </xf>
    <xf numFmtId="0" fontId="33" fillId="6" borderId="0" xfId="32" applyFont="1" applyFill="1">
      <alignment vertical="center"/>
    </xf>
    <xf numFmtId="0" fontId="41" fillId="6" borderId="0" xfId="32" applyFont="1" applyFill="1">
      <alignment vertical="center"/>
    </xf>
    <xf numFmtId="9" fontId="74" fillId="6" borderId="0" xfId="33" applyFont="1" applyFill="1" applyBorder="1">
      <alignment vertical="center"/>
    </xf>
    <xf numFmtId="0" fontId="76" fillId="6" borderId="0" xfId="34" applyNumberFormat="1" applyFont="1" applyFill="1">
      <alignment vertical="center"/>
    </xf>
    <xf numFmtId="41" fontId="76" fillId="6" borderId="0" xfId="34" applyFont="1" applyFill="1">
      <alignment vertical="center"/>
    </xf>
    <xf numFmtId="41" fontId="74" fillId="6" borderId="0" xfId="34" applyFont="1" applyFill="1" applyBorder="1">
      <alignment vertical="center"/>
    </xf>
    <xf numFmtId="0" fontId="48" fillId="6" borderId="0" xfId="34" applyNumberFormat="1" applyFont="1" applyFill="1">
      <alignment vertical="center"/>
    </xf>
    <xf numFmtId="0" fontId="75" fillId="6" borderId="6" xfId="0" applyFont="1" applyFill="1" applyBorder="1">
      <alignment vertical="center"/>
    </xf>
    <xf numFmtId="0" fontId="44" fillId="6" borderId="6" xfId="0" applyFont="1" applyFill="1" applyBorder="1">
      <alignment vertical="center"/>
    </xf>
    <xf numFmtId="41" fontId="39" fillId="6" borderId="6" xfId="34" applyFont="1" applyFill="1" applyBorder="1">
      <alignment vertical="center"/>
    </xf>
    <xf numFmtId="10" fontId="28" fillId="6" borderId="0" xfId="34" applyNumberFormat="1" applyFont="1" applyFill="1">
      <alignment vertical="center"/>
    </xf>
    <xf numFmtId="0" fontId="46" fillId="6" borderId="0" xfId="34" applyNumberFormat="1" applyFont="1" applyFill="1">
      <alignment vertical="center"/>
    </xf>
    <xf numFmtId="0" fontId="24" fillId="6" borderId="0" xfId="0" applyFont="1" applyFill="1">
      <alignment vertical="center"/>
    </xf>
    <xf numFmtId="0" fontId="51" fillId="6" borderId="6" xfId="0" applyFont="1" applyFill="1" applyBorder="1">
      <alignment vertical="center"/>
    </xf>
    <xf numFmtId="10" fontId="51" fillId="6" borderId="6" xfId="0" applyNumberFormat="1" applyFont="1" applyFill="1" applyBorder="1">
      <alignment vertical="center"/>
    </xf>
    <xf numFmtId="10" fontId="51" fillId="6" borderId="0" xfId="0" applyNumberFormat="1" applyFont="1" applyFill="1">
      <alignment vertical="center"/>
    </xf>
    <xf numFmtId="10" fontId="55" fillId="6" borderId="0" xfId="0" applyNumberFormat="1" applyFont="1" applyFill="1">
      <alignment vertical="center"/>
    </xf>
    <xf numFmtId="10" fontId="51" fillId="6" borderId="13" xfId="0" applyNumberFormat="1" applyFont="1" applyFill="1" applyBorder="1">
      <alignment vertical="center"/>
    </xf>
    <xf numFmtId="0" fontId="67" fillId="6" borderId="0" xfId="0" applyFont="1" applyFill="1">
      <alignment vertical="center"/>
    </xf>
    <xf numFmtId="0" fontId="51" fillId="6" borderId="1" xfId="0" applyFont="1" applyFill="1" applyBorder="1">
      <alignment vertical="center"/>
    </xf>
    <xf numFmtId="10" fontId="51" fillId="6" borderId="1" xfId="0" applyNumberFormat="1" applyFont="1" applyFill="1" applyBorder="1">
      <alignment vertical="center"/>
    </xf>
    <xf numFmtId="0" fontId="51" fillId="6" borderId="4" xfId="0" applyFont="1" applyFill="1" applyBorder="1">
      <alignment vertical="center"/>
    </xf>
    <xf numFmtId="0" fontId="51" fillId="6" borderId="36" xfId="0" applyFont="1" applyFill="1" applyBorder="1">
      <alignment vertical="center"/>
    </xf>
    <xf numFmtId="0" fontId="51" fillId="6" borderId="33" xfId="0" applyFont="1" applyFill="1" applyBorder="1">
      <alignment vertical="center"/>
    </xf>
    <xf numFmtId="0" fontId="51" fillId="6" borderId="34" xfId="0" applyFont="1" applyFill="1" applyBorder="1" applyAlignment="1">
      <alignment horizontal="center" vertical="center"/>
    </xf>
    <xf numFmtId="0" fontId="65" fillId="6" borderId="35" xfId="0" applyFont="1" applyFill="1" applyBorder="1">
      <alignment vertical="center"/>
    </xf>
    <xf numFmtId="186" fontId="51" fillId="6" borderId="32" xfId="0" applyNumberFormat="1" applyFont="1" applyFill="1" applyBorder="1">
      <alignment vertical="center"/>
    </xf>
    <xf numFmtId="3" fontId="78" fillId="6" borderId="0" xfId="0" applyNumberFormat="1" applyFont="1" applyFill="1">
      <alignment vertical="center"/>
    </xf>
    <xf numFmtId="0" fontId="51" fillId="6" borderId="33" xfId="0" quotePrefix="1" applyFont="1" applyFill="1" applyBorder="1">
      <alignment vertical="center"/>
    </xf>
    <xf numFmtId="186" fontId="51" fillId="6" borderId="34" xfId="0" applyNumberFormat="1" applyFont="1" applyFill="1" applyBorder="1">
      <alignment vertical="center"/>
    </xf>
    <xf numFmtId="186" fontId="51" fillId="6" borderId="36" xfId="0" applyNumberFormat="1" applyFont="1" applyFill="1" applyBorder="1">
      <alignment vertical="center"/>
    </xf>
    <xf numFmtId="0" fontId="51" fillId="6" borderId="4" xfId="0" applyFont="1" applyFill="1" applyBorder="1" applyAlignment="1">
      <alignment horizontal="left" vertical="center" indent="1"/>
    </xf>
    <xf numFmtId="0" fontId="24" fillId="6" borderId="33" xfId="0" applyFont="1" applyFill="1" applyBorder="1">
      <alignment vertical="center"/>
    </xf>
    <xf numFmtId="177" fontId="51" fillId="6" borderId="34" xfId="0" applyNumberFormat="1" applyFont="1" applyFill="1" applyBorder="1">
      <alignment vertical="center"/>
    </xf>
    <xf numFmtId="0" fontId="51" fillId="10" borderId="6" xfId="0" applyFont="1" applyFill="1" applyBorder="1">
      <alignment vertical="center"/>
    </xf>
    <xf numFmtId="0" fontId="65" fillId="6" borderId="6" xfId="0" applyFont="1" applyFill="1" applyBorder="1">
      <alignment vertical="center"/>
    </xf>
    <xf numFmtId="0" fontId="51" fillId="6" borderId="13" xfId="0" quotePrefix="1" applyFont="1" applyFill="1" applyBorder="1">
      <alignment vertical="center"/>
    </xf>
    <xf numFmtId="0" fontId="24" fillId="6" borderId="13" xfId="0" applyFont="1" applyFill="1" applyBorder="1">
      <alignment vertical="center"/>
    </xf>
    <xf numFmtId="10" fontId="88" fillId="6" borderId="0" xfId="41" applyNumberFormat="1" applyFont="1" applyFill="1">
      <alignment vertical="center"/>
    </xf>
    <xf numFmtId="0" fontId="14" fillId="6" borderId="0" xfId="38" applyFont="1" applyFill="1">
      <alignment vertical="center"/>
    </xf>
    <xf numFmtId="0" fontId="88" fillId="6" borderId="0" xfId="25" applyFont="1" applyFill="1" applyAlignment="1">
      <alignment vertical="center"/>
    </xf>
    <xf numFmtId="41" fontId="88" fillId="6" borderId="0" xfId="39" applyFont="1" applyFill="1">
      <alignment vertical="center"/>
    </xf>
    <xf numFmtId="0" fontId="88" fillId="6" borderId="0" xfId="39" applyNumberFormat="1" applyFont="1" applyFill="1">
      <alignment vertical="center"/>
    </xf>
    <xf numFmtId="0" fontId="18" fillId="6" borderId="0" xfId="38" applyFont="1" applyFill="1">
      <alignment vertical="center"/>
    </xf>
    <xf numFmtId="41" fontId="18" fillId="6" borderId="0" xfId="39" applyFont="1" applyFill="1">
      <alignment vertical="center"/>
    </xf>
    <xf numFmtId="177" fontId="18" fillId="6" borderId="0" xfId="40" applyNumberFormat="1" applyFont="1" applyFill="1">
      <alignment vertical="center"/>
    </xf>
    <xf numFmtId="177" fontId="88" fillId="6" borderId="0" xfId="40" applyNumberFormat="1" applyFont="1" applyFill="1">
      <alignment vertical="center"/>
    </xf>
    <xf numFmtId="177" fontId="88" fillId="6" borderId="0" xfId="40" applyNumberFormat="1" applyFont="1" applyFill="1" applyBorder="1">
      <alignment vertical="center"/>
    </xf>
    <xf numFmtId="0" fontId="88" fillId="6" borderId="0" xfId="39" applyNumberFormat="1" applyFont="1" applyFill="1" applyBorder="1">
      <alignment vertical="center"/>
    </xf>
    <xf numFmtId="177" fontId="88" fillId="6" borderId="0" xfId="39" applyNumberFormat="1" applyFont="1" applyFill="1" applyBorder="1">
      <alignment vertical="center"/>
    </xf>
    <xf numFmtId="9" fontId="85" fillId="6" borderId="0" xfId="38" applyNumberFormat="1" applyFont="1" applyFill="1">
      <alignment vertical="center"/>
    </xf>
    <xf numFmtId="0" fontId="85" fillId="6" borderId="0" xfId="38" quotePrefix="1" applyFont="1" applyFill="1">
      <alignment vertical="center"/>
    </xf>
    <xf numFmtId="9" fontId="88" fillId="6" borderId="0" xfId="38" applyNumberFormat="1" applyFont="1" applyFill="1">
      <alignment vertical="center"/>
    </xf>
    <xf numFmtId="177" fontId="81" fillId="6" borderId="13" xfId="2" applyNumberFormat="1" applyFont="1" applyFill="1" applyBorder="1" applyAlignment="1">
      <alignment horizontal="right" vertical="center"/>
    </xf>
    <xf numFmtId="0" fontId="74" fillId="6" borderId="0" xfId="38" applyFont="1" applyFill="1">
      <alignment vertical="center"/>
    </xf>
    <xf numFmtId="0" fontId="13" fillId="6" borderId="6" xfId="38" applyFont="1" applyFill="1" applyBorder="1">
      <alignment vertical="center"/>
    </xf>
    <xf numFmtId="0" fontId="89" fillId="6" borderId="6" xfId="38" applyFont="1" applyFill="1" applyBorder="1">
      <alignment vertical="center"/>
    </xf>
    <xf numFmtId="0" fontId="86" fillId="6" borderId="6" xfId="38" applyFont="1" applyFill="1" applyBorder="1">
      <alignment vertical="center"/>
    </xf>
    <xf numFmtId="0" fontId="79" fillId="6" borderId="0" xfId="25" applyFont="1" applyFill="1" applyAlignment="1">
      <alignment vertical="center"/>
    </xf>
    <xf numFmtId="0" fontId="90" fillId="6" borderId="0" xfId="38" applyFont="1" applyFill="1">
      <alignment vertical="center"/>
    </xf>
    <xf numFmtId="0" fontId="88" fillId="9" borderId="13" xfId="38" applyFont="1" applyFill="1" applyBorder="1">
      <alignment vertical="center"/>
    </xf>
    <xf numFmtId="0" fontId="74" fillId="6" borderId="13" xfId="38" applyFont="1" applyFill="1" applyBorder="1">
      <alignment vertical="center"/>
    </xf>
    <xf numFmtId="185" fontId="22" fillId="12" borderId="0" xfId="30" applyNumberFormat="1" applyFont="1" applyFill="1" applyBorder="1">
      <alignment vertical="center"/>
    </xf>
    <xf numFmtId="194" fontId="39" fillId="6" borderId="6" xfId="2" applyNumberFormat="1" applyFont="1" applyFill="1" applyBorder="1">
      <alignment vertical="center"/>
    </xf>
    <xf numFmtId="195" fontId="51" fillId="6" borderId="36" xfId="0" applyNumberFormat="1" applyFont="1" applyFill="1" applyBorder="1">
      <alignment vertical="center"/>
    </xf>
    <xf numFmtId="180" fontId="51" fillId="0" borderId="0" xfId="0" applyNumberFormat="1" applyFont="1">
      <alignment vertical="center"/>
    </xf>
    <xf numFmtId="0" fontId="54" fillId="6" borderId="0" xfId="32" applyFont="1" applyFill="1" applyAlignment="1">
      <alignment horizontal="center" vertical="center"/>
    </xf>
    <xf numFmtId="41" fontId="22" fillId="6" borderId="13" xfId="1" applyFont="1" applyFill="1" applyBorder="1" applyAlignment="1">
      <alignment horizontal="right" vertical="center"/>
    </xf>
    <xf numFmtId="0" fontId="91" fillId="6" borderId="0" xfId="29" applyFont="1" applyFill="1">
      <alignment vertical="center"/>
    </xf>
    <xf numFmtId="0" fontId="0" fillId="6" borderId="0" xfId="0" applyFill="1" applyAlignment="1"/>
    <xf numFmtId="188" fontId="0" fillId="6" borderId="0" xfId="0" applyNumberFormat="1" applyFill="1" applyAlignment="1"/>
    <xf numFmtId="41" fontId="0" fillId="0" borderId="5" xfId="1" applyFont="1" applyBorder="1" applyAlignment="1"/>
    <xf numFmtId="0" fontId="92" fillId="6" borderId="0" xfId="0" applyFont="1" applyFill="1" applyAlignment="1">
      <alignment horizontal="center" vertical="center"/>
    </xf>
    <xf numFmtId="0" fontId="23" fillId="9" borderId="0" xfId="0" applyFont="1" applyFill="1">
      <alignment vertical="center"/>
    </xf>
    <xf numFmtId="0" fontId="21" fillId="9" borderId="0" xfId="0" applyFont="1" applyFill="1">
      <alignment vertical="center"/>
    </xf>
    <xf numFmtId="0" fontId="21" fillId="9" borderId="0" xfId="0" applyFont="1" applyFill="1" applyAlignment="1">
      <alignment horizontal="right" vertical="center"/>
    </xf>
    <xf numFmtId="0" fontId="22" fillId="6" borderId="6" xfId="29" applyFont="1" applyFill="1" applyBorder="1">
      <alignment vertical="center"/>
    </xf>
    <xf numFmtId="0" fontId="93" fillId="6" borderId="0" xfId="0" applyFont="1" applyFill="1" applyAlignment="1">
      <alignment horizontal="left" vertical="center"/>
    </xf>
    <xf numFmtId="0" fontId="93" fillId="6" borderId="0" xfId="0" applyFont="1" applyFill="1" applyAlignment="1">
      <alignment horizontal="right" vertical="center"/>
    </xf>
    <xf numFmtId="0" fontId="94" fillId="6" borderId="0" xfId="0" applyFont="1" applyFill="1" applyAlignment="1">
      <alignment horizontal="left" vertical="center"/>
    </xf>
    <xf numFmtId="10" fontId="94" fillId="6" borderId="0" xfId="0" applyNumberFormat="1" applyFont="1" applyFill="1" applyAlignment="1">
      <alignment horizontal="right" vertical="center"/>
    </xf>
    <xf numFmtId="3" fontId="94" fillId="6" borderId="0" xfId="0" applyNumberFormat="1" applyFont="1" applyFill="1" applyAlignment="1">
      <alignment horizontal="right" vertical="center"/>
    </xf>
    <xf numFmtId="0" fontId="75" fillId="6" borderId="0" xfId="0" applyFont="1" applyFill="1" applyAlignment="1">
      <alignment horizontal="left" vertical="center"/>
    </xf>
    <xf numFmtId="0" fontId="95" fillId="6" borderId="0" xfId="0" applyFont="1" applyFill="1" applyAlignment="1">
      <alignment horizontal="left" vertical="center"/>
    </xf>
    <xf numFmtId="3" fontId="75" fillId="6" borderId="0" xfId="0" applyNumberFormat="1" applyFont="1" applyFill="1" applyAlignment="1">
      <alignment horizontal="right" vertical="center"/>
    </xf>
    <xf numFmtId="0" fontId="96" fillId="6" borderId="0" xfId="0" applyFont="1" applyFill="1" applyAlignment="1">
      <alignment horizontal="left" vertical="center"/>
    </xf>
    <xf numFmtId="3" fontId="75" fillId="6" borderId="0" xfId="0" applyNumberFormat="1" applyFont="1" applyFill="1" applyAlignment="1">
      <alignment horizontal="left" vertical="center"/>
    </xf>
    <xf numFmtId="3" fontId="94" fillId="6" borderId="0" xfId="0" applyNumberFormat="1" applyFont="1" applyFill="1" applyAlignment="1">
      <alignment horizontal="left" vertical="center"/>
    </xf>
    <xf numFmtId="0" fontId="75" fillId="6" borderId="0" xfId="0" applyFont="1" applyFill="1" applyAlignment="1">
      <alignment horizontal="right" vertical="center"/>
    </xf>
    <xf numFmtId="0" fontId="94" fillId="6" borderId="0" xfId="0" applyFont="1" applyFill="1" applyAlignment="1">
      <alignment horizontal="right" vertical="center"/>
    </xf>
    <xf numFmtId="10" fontId="68" fillId="6" borderId="0" xfId="0" applyNumberFormat="1" applyFont="1" applyFill="1" applyAlignment="1">
      <alignment horizontal="right" vertical="center"/>
    </xf>
    <xf numFmtId="0" fontId="97" fillId="6" borderId="0" xfId="0" applyFont="1" applyFill="1" applyAlignment="1">
      <alignment horizontal="left" vertical="center"/>
    </xf>
    <xf numFmtId="0" fontId="97" fillId="6" borderId="0" xfId="0" applyFont="1" applyFill="1" applyAlignment="1">
      <alignment horizontal="right" vertical="center"/>
    </xf>
    <xf numFmtId="0" fontId="26" fillId="12" borderId="0" xfId="29" applyFont="1" applyFill="1">
      <alignment vertical="center"/>
    </xf>
    <xf numFmtId="196" fontId="22" fillId="12" borderId="6" xfId="30" applyNumberFormat="1" applyFont="1" applyFill="1" applyBorder="1">
      <alignment vertical="center"/>
    </xf>
    <xf numFmtId="187" fontId="51" fillId="6" borderId="0" xfId="1" applyNumberFormat="1" applyFont="1" applyFill="1">
      <alignment vertical="center"/>
    </xf>
    <xf numFmtId="187" fontId="51" fillId="6" borderId="0" xfId="1" applyNumberFormat="1" applyFont="1" applyFill="1" applyBorder="1">
      <alignment vertical="center"/>
    </xf>
    <xf numFmtId="41" fontId="5" fillId="3" borderId="0" xfId="5" applyNumberFormat="1">
      <alignment horizontal="center"/>
    </xf>
    <xf numFmtId="43" fontId="0" fillId="6" borderId="0" xfId="0" applyNumberFormat="1" applyFill="1" applyAlignment="1"/>
    <xf numFmtId="0" fontId="8" fillId="6" borderId="4" xfId="13" applyFill="1"/>
    <xf numFmtId="0" fontId="7" fillId="6" borderId="4" xfId="10" applyFill="1"/>
    <xf numFmtId="0" fontId="10" fillId="6" borderId="4" xfId="16" applyFill="1"/>
    <xf numFmtId="0" fontId="22" fillId="10" borderId="0" xfId="28" applyFont="1" applyFill="1" applyAlignment="1">
      <alignment horizontal="center" vertical="center"/>
    </xf>
    <xf numFmtId="41" fontId="22" fillId="6" borderId="43" xfId="1" applyFont="1" applyFill="1" applyBorder="1" applyAlignment="1">
      <alignment horizontal="center" vertical="center"/>
    </xf>
    <xf numFmtId="41" fontId="22" fillId="6" borderId="15" xfId="1" applyFont="1" applyFill="1" applyBorder="1" applyAlignment="1">
      <alignment horizontal="center" vertical="center"/>
    </xf>
    <xf numFmtId="0" fontId="94" fillId="6" borderId="0" xfId="0" applyFont="1" applyFill="1" applyAlignment="1">
      <alignment horizontal="left" vertical="center"/>
    </xf>
    <xf numFmtId="0" fontId="75" fillId="6" borderId="0" xfId="0" applyFont="1" applyFill="1" applyAlignment="1">
      <alignment horizontal="left" vertical="center"/>
    </xf>
    <xf numFmtId="41" fontId="21" fillId="15" borderId="27" xfId="34" applyFont="1" applyFill="1" applyBorder="1" applyAlignment="1">
      <alignment horizontal="center" vertical="center"/>
    </xf>
    <xf numFmtId="41" fontId="22" fillId="14" borderId="0" xfId="34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51" fillId="11" borderId="1" xfId="0" applyFont="1" applyFill="1" applyBorder="1" applyAlignment="1">
      <alignment horizontal="left" vertical="center"/>
    </xf>
    <xf numFmtId="41" fontId="28" fillId="14" borderId="0" xfId="34" applyFont="1" applyFill="1" applyBorder="1" applyAlignment="1">
      <alignment horizontal="center" vertical="center"/>
    </xf>
    <xf numFmtId="41" fontId="26" fillId="15" borderId="27" xfId="34" applyFont="1" applyFill="1" applyBorder="1" applyAlignment="1">
      <alignment horizontal="center" vertical="center"/>
    </xf>
    <xf numFmtId="0" fontId="73" fillId="9" borderId="0" xfId="0" applyFont="1" applyFill="1" applyAlignment="1">
      <alignment horizontal="center" vertical="center"/>
    </xf>
  </cellXfs>
  <cellStyles count="43">
    <cellStyle name="blp_column_header" xfId="3" xr:uid="{F3F003E7-C5C2-45AA-8819-4DD4AF00DFEF}"/>
    <cellStyle name="blp_title_header_row_left" xfId="4" xr:uid="{548DD06A-E367-4AEC-B567-5741F653E2C2}"/>
    <cellStyle name="fa_column_header_bottom" xfId="27" xr:uid="{43C46D27-7613-4237-87A5-5B75F059CF75}"/>
    <cellStyle name="fa_column_header_bottom 2" xfId="9" xr:uid="{383FCFEF-3FA5-4D9E-9BF1-48FB183BE235}"/>
    <cellStyle name="fa_column_header_bottom_left 2" xfId="8" xr:uid="{7AFA66FE-CAAD-48B0-B208-DA32129D03C6}"/>
    <cellStyle name="fa_column_header_empty" xfId="5" xr:uid="{D0973774-261D-4767-A90F-F48F3B04DA62}"/>
    <cellStyle name="fa_column_header_top 2" xfId="7" xr:uid="{3D4A8EF0-009B-489F-8136-15D8BA0D506A}"/>
    <cellStyle name="fa_column_header_top_left 2" xfId="6" xr:uid="{4B397E7C-5EEA-4C0F-81D3-EBE9689BE3DE}"/>
    <cellStyle name="fa_data_bold_0_grouped" xfId="19" xr:uid="{48F9D625-3014-4328-A7F3-50154BDAECAE}"/>
    <cellStyle name="fa_data_bold_3_grouped" xfId="11" xr:uid="{AC72D2A9-02F2-4D42-A624-DC8F8751610B}"/>
    <cellStyle name="fa_data_current_bold_0_grouped" xfId="20" xr:uid="{7C74E5A2-D795-469A-8FE9-C2D0AAB119B5}"/>
    <cellStyle name="fa_data_current_bold_3_grouped" xfId="12" xr:uid="{43F3FB77-0A80-4299-9ECA-0DE4F4BAA073}"/>
    <cellStyle name="fa_data_current_italic_3_grouped" xfId="18" xr:uid="{C832F6A4-6D36-4C0E-B1E9-1A2DDE0C97CC}"/>
    <cellStyle name="fa_data_current_standard_3_grouped" xfId="15" xr:uid="{E4127C4F-A136-4A66-BBC7-E28EC21DED25}"/>
    <cellStyle name="fa_data_italic_3_grouped" xfId="17" xr:uid="{97D0BB76-2BC2-46F6-94F4-CAE480B8A58A}"/>
    <cellStyle name="fa_data_standard_0_grouped" xfId="21" xr:uid="{3D99D8FA-1C38-445A-848F-9B4331AEE15E}"/>
    <cellStyle name="fa_data_standard_3_grouped" xfId="14" xr:uid="{2541D474-52E5-4046-B8FE-CB6240210739}"/>
    <cellStyle name="fa_footer_italic" xfId="22" xr:uid="{7CEB04D1-E343-425C-B1E2-846DBE93A66F}"/>
    <cellStyle name="fa_row_header_bold 2" xfId="10" xr:uid="{CF40195C-D873-4AEA-85D5-429CF4AB6C18}"/>
    <cellStyle name="fa_row_header_italic 2" xfId="16" xr:uid="{C233EC30-2789-4CE1-93C6-059868BB1B82}"/>
    <cellStyle name="fa_row_header_standard" xfId="26" xr:uid="{5E29C6D0-2FF6-486C-9E1E-0AED5B6616D5}"/>
    <cellStyle name="fa_row_header_standard 2" xfId="13" xr:uid="{21735585-8464-4BA5-8C61-B3AB9E03B3A4}"/>
    <cellStyle name="백분율" xfId="2" builtinId="5"/>
    <cellStyle name="백분율 2" xfId="33" xr:uid="{55D40CE4-15CD-40E9-864A-FA596F011E2B}"/>
    <cellStyle name="백분율 2 2" xfId="41" xr:uid="{F6A1F6B9-C31A-4DF6-881D-76CB444D0169}"/>
    <cellStyle name="백분율 3" xfId="31" xr:uid="{BD6D5AF0-55D9-48C1-BA2C-856D080A411F}"/>
    <cellStyle name="백분율 3 2" xfId="36" xr:uid="{B8CE5057-4D1A-408D-B6CA-08F311DC1814}"/>
    <cellStyle name="백분율 4" xfId="40" xr:uid="{27624D07-9756-42E6-908A-FD31972EDC33}"/>
    <cellStyle name="쉼표 [0]" xfId="1" builtinId="6"/>
    <cellStyle name="쉼표 [0] 2" xfId="34" xr:uid="{9E5D3F8B-2D51-4893-94CB-90CDB6351414}"/>
    <cellStyle name="쉼표 [0] 2 2" xfId="42" xr:uid="{8F30014A-8C7D-4CC8-85FB-6D30F6DD5831}"/>
    <cellStyle name="쉼표 [0] 3" xfId="30" xr:uid="{FDCE5F1B-EC9C-4D32-A00B-FAA443B8333E}"/>
    <cellStyle name="쉼표 [0] 4" xfId="24" xr:uid="{2FEBCF81-738D-4E37-9DB3-26D47AF9B137}"/>
    <cellStyle name="쉼표 [0] 5" xfId="39" xr:uid="{D5492741-B93D-4ACD-B8F8-14073B896E43}"/>
    <cellStyle name="통화 [0] 2" xfId="37" xr:uid="{BEC03C00-4820-4E41-978E-3A323F9D304D}"/>
    <cellStyle name="표준" xfId="0" builtinId="0"/>
    <cellStyle name="표준 2" xfId="25" xr:uid="{EBD34FFF-6EFB-4EEF-8C06-B917EE8A8B5A}"/>
    <cellStyle name="표준 2 2" xfId="32" xr:uid="{91E359D9-5938-4573-9F3C-7351839673DC}"/>
    <cellStyle name="표준 2 3" xfId="38" xr:uid="{C57DE57C-DE37-4CA4-AD0E-6DC7E98E68E6}"/>
    <cellStyle name="표준 3" xfId="29" xr:uid="{3FAE030C-F4FB-4B97-8E47-8A921C3ECD7F}"/>
    <cellStyle name="표준 3 2" xfId="35" xr:uid="{009D3C1E-F5D5-427B-85B2-2AF1B91EEEA1}"/>
    <cellStyle name="표준 4" xfId="28" xr:uid="{442A67B0-C63E-4863-BA64-0CAB85CF756C}"/>
    <cellStyle name="하이퍼링크" xfId="23" builtinId="8"/>
  </cellStyles>
  <dxfs count="0"/>
  <tableStyles count="0" defaultTableStyle="TableStyleMedium2" defaultPivotStyle="PivotStyleLight16"/>
  <colors>
    <mruColors>
      <color rgb="FF203864"/>
      <color rgb="FFD0CECE"/>
      <color rgb="FF001EA3"/>
      <color rgb="FFFF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190755</xdr:rowOff>
    </xdr:from>
    <xdr:to>
      <xdr:col>4</xdr:col>
      <xdr:colOff>242303</xdr:colOff>
      <xdr:row>6</xdr:row>
      <xdr:rowOff>23755</xdr:rowOff>
    </xdr:to>
    <xdr:pic>
      <xdr:nvPicPr>
        <xdr:cNvPr id="2" name="그림 1" descr="Visa Logo, symbol, meaning, history, PNG, brand">
          <a:extLst>
            <a:ext uri="{FF2B5EF4-FFF2-40B4-BE49-F238E27FC236}">
              <a16:creationId xmlns:a16="http://schemas.microsoft.com/office/drawing/2014/main" id="{BA909DF6-D830-6CA5-7296-AC0DB66DC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489"/>
        <a:stretch>
          <a:fillRect/>
        </a:stretch>
      </xdr:blipFill>
      <xdr:spPr bwMode="auto">
        <a:xfrm>
          <a:off x="0" y="413493"/>
          <a:ext cx="2915165" cy="95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190755</xdr:rowOff>
    </xdr:from>
    <xdr:to>
      <xdr:col>4</xdr:col>
      <xdr:colOff>242303</xdr:colOff>
      <xdr:row>6</xdr:row>
      <xdr:rowOff>31375</xdr:rowOff>
    </xdr:to>
    <xdr:pic>
      <xdr:nvPicPr>
        <xdr:cNvPr id="2" name="그림 1" descr="Visa Logo, symbol, meaning, history, PNG, brand">
          <a:extLst>
            <a:ext uri="{FF2B5EF4-FFF2-40B4-BE49-F238E27FC236}">
              <a16:creationId xmlns:a16="http://schemas.microsoft.com/office/drawing/2014/main" id="{4B6A1AC6-BAE8-4A89-8E23-8D6B061D2D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489"/>
        <a:stretch>
          <a:fillRect/>
        </a:stretch>
      </xdr:blipFill>
      <xdr:spPr bwMode="auto">
        <a:xfrm>
          <a:off x="0" y="411735"/>
          <a:ext cx="2924543" cy="945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C57C-3E49-4FDE-A377-D9E5161755DB}">
  <sheetPr>
    <tabColor rgb="FF001EA3"/>
  </sheetPr>
  <dimension ref="B1:B8"/>
  <sheetViews>
    <sheetView zoomScale="115" zoomScaleNormal="115" workbookViewId="0"/>
  </sheetViews>
  <sheetFormatPr defaultColWidth="8.69921875" defaultRowHeight="17.399999999999999"/>
  <cols>
    <col min="1" max="16384" width="8.69921875" style="20"/>
  </cols>
  <sheetData>
    <row r="1" spans="2:2" s="21" customFormat="1"/>
    <row r="2" spans="2:2" s="21" customFormat="1" ht="18">
      <c r="B2" s="23" t="s">
        <v>390</v>
      </c>
    </row>
    <row r="7" spans="2:2" s="21" customFormat="1" ht="18">
      <c r="B7" s="23" t="s">
        <v>391</v>
      </c>
    </row>
    <row r="8" spans="2:2" s="22" customFormat="1"/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3B7E-F76B-4061-816A-1C15697C2F76}">
  <dimension ref="A1:V43"/>
  <sheetViews>
    <sheetView tabSelected="1" topLeftCell="K10" zoomScale="90" zoomScaleNormal="85" workbookViewId="0">
      <selection activeCell="AA15" sqref="AA15"/>
    </sheetView>
  </sheetViews>
  <sheetFormatPr defaultColWidth="8.69921875" defaultRowHeight="17.399999999999999"/>
  <cols>
    <col min="1" max="4" width="8.69921875" style="20"/>
    <col min="5" max="5" width="9.69921875" style="20" bestFit="1" customWidth="1"/>
    <col min="6" max="6" width="13.69921875" style="20" bestFit="1" customWidth="1"/>
    <col min="7" max="9" width="10.69921875" style="20" bestFit="1" customWidth="1"/>
    <col min="10" max="12" width="9" style="20" bestFit="1" customWidth="1"/>
    <col min="13" max="15" width="9.8984375" style="20" bestFit="1" customWidth="1"/>
    <col min="16" max="21" width="8.69921875" style="20"/>
    <col min="22" max="22" width="15.19921875" style="20" bestFit="1" customWidth="1"/>
    <col min="23" max="16384" width="8.69921875" style="20"/>
  </cols>
  <sheetData>
    <row r="1" spans="1:22" s="33" customFormat="1" ht="22.2">
      <c r="A1" s="32" t="s">
        <v>393</v>
      </c>
      <c r="B1" s="32"/>
      <c r="C1" s="32"/>
      <c r="D1" s="32"/>
      <c r="E1" s="32"/>
    </row>
    <row r="2" spans="1:22" s="33" customFormat="1" ht="18">
      <c r="A2" s="34" t="s">
        <v>512</v>
      </c>
      <c r="B2" s="34"/>
      <c r="C2" s="34"/>
      <c r="D2" s="34"/>
      <c r="E2" s="34"/>
    </row>
    <row r="3" spans="1:22" s="33" customFormat="1" ht="18">
      <c r="A3" s="35" t="s">
        <v>392</v>
      </c>
      <c r="B3" s="35"/>
      <c r="C3" s="35"/>
      <c r="D3" s="35"/>
      <c r="E3" s="35"/>
    </row>
    <row r="5" spans="1:22">
      <c r="A5" s="36"/>
      <c r="B5" s="36"/>
      <c r="C5" s="36"/>
      <c r="D5" s="36"/>
      <c r="E5" s="582">
        <v>2020</v>
      </c>
      <c r="F5" s="37">
        <v>2021</v>
      </c>
      <c r="G5" s="37">
        <v>2022</v>
      </c>
      <c r="H5" s="37">
        <v>2023</v>
      </c>
      <c r="I5" s="37">
        <v>2024</v>
      </c>
      <c r="J5" s="38">
        <v>2025</v>
      </c>
      <c r="K5" s="38">
        <v>2026</v>
      </c>
      <c r="L5" s="38">
        <v>2027</v>
      </c>
      <c r="M5" s="38">
        <v>2028</v>
      </c>
      <c r="N5" s="38">
        <v>2029</v>
      </c>
      <c r="O5" s="38">
        <v>2030</v>
      </c>
      <c r="P5" s="571" t="s">
        <v>539</v>
      </c>
      <c r="Q5" s="571"/>
      <c r="R5" s="92"/>
      <c r="S5" s="92"/>
      <c r="T5" s="92"/>
      <c r="U5" s="92"/>
      <c r="V5" s="92"/>
    </row>
    <row r="6" spans="1:22">
      <c r="A6" s="54" t="s">
        <v>14</v>
      </c>
      <c r="B6" s="54"/>
      <c r="C6" s="54"/>
      <c r="D6" s="54"/>
      <c r="E6" s="188">
        <f>'IS(Yearly)'!C6</f>
        <v>21846</v>
      </c>
      <c r="F6" s="188">
        <f>'IS(Yearly)'!D6</f>
        <v>24105</v>
      </c>
      <c r="G6" s="188">
        <f>'IS(Yearly)'!E6</f>
        <v>29310</v>
      </c>
      <c r="H6" s="188">
        <f>'IS(Yearly)'!F6</f>
        <v>32653</v>
      </c>
      <c r="I6" s="188">
        <f>'IS(Yearly)'!G6</f>
        <v>35926</v>
      </c>
      <c r="J6" s="188">
        <f>매출액!H7</f>
        <v>40006.270212213902</v>
      </c>
      <c r="K6" s="188">
        <f>매출액!I7</f>
        <v>44476.036549915611</v>
      </c>
      <c r="L6" s="188">
        <f>매출액!J7</f>
        <v>49343.119499225009</v>
      </c>
      <c r="M6" s="188">
        <f>매출액!K7</f>
        <v>54598.473838396887</v>
      </c>
      <c r="N6" s="188">
        <f>매출액!L7</f>
        <v>60480.687012979761</v>
      </c>
      <c r="O6" s="188">
        <f>매출액!M7</f>
        <v>67081.160467315058</v>
      </c>
      <c r="P6" s="39"/>
      <c r="Q6" s="39"/>
      <c r="R6" s="92"/>
      <c r="S6" s="92"/>
      <c r="T6" s="92"/>
      <c r="U6" s="92"/>
      <c r="V6" s="92"/>
    </row>
    <row r="7" spans="1:22">
      <c r="A7" s="55" t="s">
        <v>578</v>
      </c>
      <c r="B7" s="55"/>
      <c r="C7" s="55"/>
      <c r="D7" s="55"/>
      <c r="E7" s="189">
        <f>'IS(Yearly)'!C11</f>
        <v>7765</v>
      </c>
      <c r="F7" s="189">
        <f>'IS(Yearly)'!D11</f>
        <v>8301</v>
      </c>
      <c r="G7" s="189">
        <f>'IS(Yearly)'!E11</f>
        <v>10497</v>
      </c>
      <c r="H7" s="189">
        <f>'IS(Yearly)'!F11</f>
        <v>11653</v>
      </c>
      <c r="I7" s="189">
        <f>'IS(Yearly)'!G11</f>
        <v>12331</v>
      </c>
      <c r="J7" s="189">
        <f>IS!I8</f>
        <v>12961.248429617688</v>
      </c>
      <c r="K7" s="189">
        <f>IS!J8</f>
        <v>13561.500717431449</v>
      </c>
      <c r="L7" s="189">
        <f>IS!K8</f>
        <v>14335.187044442415</v>
      </c>
      <c r="M7" s="189">
        <f>IS!L8</f>
        <v>15177.682119487883</v>
      </c>
      <c r="N7" s="189">
        <f>IS!M8</f>
        <v>16133.707230532016</v>
      </c>
      <c r="O7" s="189">
        <f>IS!N8</f>
        <v>17250.28295911512</v>
      </c>
      <c r="P7" s="40"/>
      <c r="Q7" s="40"/>
      <c r="R7" s="92"/>
      <c r="S7" s="543" t="s">
        <v>934</v>
      </c>
      <c r="T7" s="542"/>
      <c r="U7" s="542"/>
      <c r="V7" s="544" t="s">
        <v>935</v>
      </c>
    </row>
    <row r="8" spans="1:22">
      <c r="A8" s="212" t="s">
        <v>579</v>
      </c>
      <c r="B8" s="213"/>
      <c r="C8" s="214"/>
      <c r="D8" s="214"/>
      <c r="E8" s="215">
        <f>'IS(Yearly)'!C12</f>
        <v>2067</v>
      </c>
      <c r="F8" s="215">
        <f>'IS(Yearly)'!D12</f>
        <v>2121</v>
      </c>
      <c r="G8" s="215">
        <f>'IS(Yearly)'!E12</f>
        <v>2530</v>
      </c>
      <c r="H8" s="215">
        <f>'IS(Yearly)'!F12</f>
        <v>2671</v>
      </c>
      <c r="I8" s="215">
        <f>'IS(Yearly)'!G12</f>
        <v>3158</v>
      </c>
      <c r="J8" s="216">
        <f>IS!I9</f>
        <v>3617.7365962511853</v>
      </c>
      <c r="K8" s="216">
        <f>IS!J9</f>
        <v>4088.4844150006452</v>
      </c>
      <c r="L8" s="216">
        <f>IS!K9</f>
        <v>4718.4230329474003</v>
      </c>
      <c r="M8" s="216">
        <f>IS!L9</f>
        <v>5402.2944166102679</v>
      </c>
      <c r="N8" s="216">
        <f>IS!M9</f>
        <v>6184.4207502820245</v>
      </c>
      <c r="O8" s="216">
        <f>IS!N9</f>
        <v>7109.1387631891639</v>
      </c>
      <c r="P8" s="40"/>
      <c r="Q8" s="40"/>
      <c r="R8" s="40"/>
      <c r="S8" s="171" t="s">
        <v>564</v>
      </c>
      <c r="T8" s="171"/>
      <c r="U8" s="171"/>
      <c r="V8" s="172">
        <f>F30</f>
        <v>8.021544286449922E-2</v>
      </c>
    </row>
    <row r="9" spans="1:22">
      <c r="A9" s="212" t="s">
        <v>580</v>
      </c>
      <c r="B9" s="213"/>
      <c r="C9" s="214"/>
      <c r="D9" s="214"/>
      <c r="E9" s="215">
        <f>'IS(Yearly)'!C16</f>
        <v>767</v>
      </c>
      <c r="F9" s="215">
        <f>'IS(Yearly)'!D16</f>
        <v>804</v>
      </c>
      <c r="G9" s="215">
        <f>'IS(Yearly)'!E16</f>
        <v>861</v>
      </c>
      <c r="H9" s="215">
        <f>'IS(Yearly)'!F16</f>
        <v>943</v>
      </c>
      <c r="I9" s="215">
        <f>'IS(Yearly)'!G16</f>
        <v>1034</v>
      </c>
      <c r="J9" s="216">
        <f>IS!I11</f>
        <v>1204.5118333665032</v>
      </c>
      <c r="K9" s="216">
        <f>IS!J11</f>
        <v>1334.0163024308035</v>
      </c>
      <c r="L9" s="216">
        <f>IS!K11</f>
        <v>1477.764011495015</v>
      </c>
      <c r="M9" s="216">
        <f>IS!L11</f>
        <v>1636.3877028776151</v>
      </c>
      <c r="N9" s="216">
        <f>IS!M11</f>
        <v>1810.2864802499919</v>
      </c>
      <c r="O9" s="216">
        <f>IS!N11</f>
        <v>2002.1441959259562</v>
      </c>
      <c r="P9" s="40"/>
      <c r="Q9" s="40"/>
      <c r="R9" s="40"/>
      <c r="S9" s="173" t="s">
        <v>565</v>
      </c>
      <c r="T9" s="173"/>
      <c r="U9" s="173"/>
      <c r="V9" s="174">
        <f>F29</f>
        <v>0.04</v>
      </c>
    </row>
    <row r="10" spans="1:22">
      <c r="A10" s="212" t="s">
        <v>581</v>
      </c>
      <c r="B10" s="213"/>
      <c r="C10" s="214"/>
      <c r="D10" s="214"/>
      <c r="E10" s="215">
        <f>'IS(Yearly)'!C17</f>
        <v>4931</v>
      </c>
      <c r="F10" s="215">
        <f>'IS(Yearly)'!D17</f>
        <v>5376</v>
      </c>
      <c r="G10" s="215">
        <f>'IS(Yearly)'!E17</f>
        <v>7106</v>
      </c>
      <c r="H10" s="215">
        <f>'IS(Yearly)'!F17</f>
        <v>8039</v>
      </c>
      <c r="I10" s="215">
        <f>'IS(Yearly)'!G17</f>
        <v>8139</v>
      </c>
      <c r="J10" s="216">
        <f>IS!I13</f>
        <v>8139</v>
      </c>
      <c r="K10" s="216">
        <f>IS!J13</f>
        <v>8139</v>
      </c>
      <c r="L10" s="216">
        <f>IS!K13</f>
        <v>8139</v>
      </c>
      <c r="M10" s="216">
        <f>IS!L13</f>
        <v>8139</v>
      </c>
      <c r="N10" s="216">
        <f>IS!M13</f>
        <v>8139</v>
      </c>
      <c r="O10" s="216">
        <f>IS!N13</f>
        <v>8139</v>
      </c>
      <c r="P10" s="40"/>
      <c r="Q10" s="40"/>
      <c r="R10" s="40"/>
      <c r="S10" s="171" t="s">
        <v>566</v>
      </c>
      <c r="T10" s="171"/>
      <c r="U10" s="171"/>
      <c r="V10" s="175">
        <f>F34</f>
        <v>121914.7936780412</v>
      </c>
    </row>
    <row r="11" spans="1:22">
      <c r="A11" s="187" t="s">
        <v>582</v>
      </c>
      <c r="B11" s="54"/>
      <c r="C11" s="54"/>
      <c r="D11" s="54"/>
      <c r="E11" s="190">
        <f>E6-E7</f>
        <v>14081</v>
      </c>
      <c r="F11" s="190">
        <f t="shared" ref="F11:O11" si="0">F6-F7</f>
        <v>15804</v>
      </c>
      <c r="G11" s="190">
        <f t="shared" si="0"/>
        <v>18813</v>
      </c>
      <c r="H11" s="190">
        <f t="shared" si="0"/>
        <v>21000</v>
      </c>
      <c r="I11" s="190">
        <f t="shared" si="0"/>
        <v>23595</v>
      </c>
      <c r="J11" s="190">
        <f t="shared" si="0"/>
        <v>27045.021782596214</v>
      </c>
      <c r="K11" s="190">
        <f t="shared" si="0"/>
        <v>30914.535832484162</v>
      </c>
      <c r="L11" s="190">
        <f t="shared" si="0"/>
        <v>35007.932454782596</v>
      </c>
      <c r="M11" s="190">
        <f t="shared" si="0"/>
        <v>39420.791718909008</v>
      </c>
      <c r="N11" s="190">
        <f t="shared" si="0"/>
        <v>44346.979782447743</v>
      </c>
      <c r="O11" s="190">
        <f t="shared" si="0"/>
        <v>49830.877508199934</v>
      </c>
      <c r="P11" s="40"/>
      <c r="Q11" s="40"/>
      <c r="R11" s="40"/>
      <c r="S11" s="176" t="s">
        <v>567</v>
      </c>
      <c r="T11" s="176"/>
      <c r="U11" s="176"/>
      <c r="V11" s="93">
        <f>F35</f>
        <v>585188.68709444092</v>
      </c>
    </row>
    <row r="12" spans="1:22">
      <c r="A12" s="192" t="s">
        <v>583</v>
      </c>
      <c r="B12" s="54"/>
      <c r="C12" s="54"/>
      <c r="D12" s="54"/>
      <c r="E12" s="190">
        <f>'IS(Yearly)'!C27</f>
        <v>2924</v>
      </c>
      <c r="F12" s="190">
        <f>'IS(Yearly)'!D27</f>
        <v>3752</v>
      </c>
      <c r="G12" s="190">
        <f>'IS(Yearly)'!E27</f>
        <v>3179</v>
      </c>
      <c r="H12" s="190">
        <f>'IS(Yearly)'!F27</f>
        <v>3764</v>
      </c>
      <c r="I12" s="190">
        <f>'IS(Yearly)'!G27</f>
        <v>4173</v>
      </c>
      <c r="J12" s="190">
        <f>IS!I21</f>
        <v>4752.5461556116152</v>
      </c>
      <c r="K12" s="190">
        <f>IS!J21</f>
        <v>5437.4462094829369</v>
      </c>
      <c r="L12" s="190">
        <f>IS!K21</f>
        <v>6163.1293657517863</v>
      </c>
      <c r="M12" s="190">
        <f>IS!L21</f>
        <v>6946.073707635026</v>
      </c>
      <c r="N12" s="190">
        <f>IS!M21</f>
        <v>7819.5504708793305</v>
      </c>
      <c r="O12" s="190">
        <f>IS!N21</f>
        <v>8791.6202898040701</v>
      </c>
      <c r="P12" s="95"/>
      <c r="Q12" s="40"/>
      <c r="R12" s="40"/>
      <c r="S12" s="177" t="s">
        <v>568</v>
      </c>
      <c r="T12" s="178"/>
      <c r="U12" s="178"/>
      <c r="V12" s="179">
        <f>V10+V11</f>
        <v>707103.48077248211</v>
      </c>
    </row>
    <row r="13" spans="1:22">
      <c r="A13" s="192" t="s">
        <v>584</v>
      </c>
      <c r="B13" s="54"/>
      <c r="C13" s="54"/>
      <c r="D13" s="54"/>
      <c r="E13" s="190">
        <f>'IS(Yearly)'!C19</f>
        <v>291</v>
      </c>
      <c r="F13" s="190">
        <f>'IS(Yearly)'!D19</f>
        <v>-259</v>
      </c>
      <c r="G13" s="190">
        <f>'IS(Yearly)'!E19</f>
        <v>677</v>
      </c>
      <c r="H13" s="190">
        <f>'IS(Yearly)'!F19</f>
        <v>-37</v>
      </c>
      <c r="I13" s="190">
        <f>'IS(Yearly)'!G19</f>
        <v>-321</v>
      </c>
      <c r="J13" s="190">
        <f>IS!I19</f>
        <v>-500.2</v>
      </c>
      <c r="K13" s="190">
        <f>IS!J19</f>
        <v>-500.2</v>
      </c>
      <c r="L13" s="190">
        <f>IS!K19</f>
        <v>-500.2</v>
      </c>
      <c r="M13" s="190">
        <f>IS!L19</f>
        <v>-500.2</v>
      </c>
      <c r="N13" s="190">
        <f>IS!M19</f>
        <v>-500.2</v>
      </c>
      <c r="O13" s="190">
        <f>IS!N19</f>
        <v>-500.2</v>
      </c>
      <c r="P13" s="96"/>
      <c r="Q13" s="92"/>
      <c r="R13" s="92"/>
      <c r="S13" s="176" t="s">
        <v>569</v>
      </c>
      <c r="T13" s="176"/>
      <c r="U13" s="176"/>
      <c r="V13" s="180">
        <f>F37</f>
        <v>32048</v>
      </c>
    </row>
    <row r="14" spans="1:22">
      <c r="A14" s="193" t="s">
        <v>540</v>
      </c>
      <c r="B14" s="97"/>
      <c r="C14" s="97"/>
      <c r="D14" s="97"/>
      <c r="E14" s="191">
        <f>E11-E12-E13</f>
        <v>10866</v>
      </c>
      <c r="F14" s="191">
        <f t="shared" ref="F14:O14" si="1">F11-F12-F13</f>
        <v>12311</v>
      </c>
      <c r="G14" s="191">
        <f t="shared" si="1"/>
        <v>14957</v>
      </c>
      <c r="H14" s="191">
        <f t="shared" si="1"/>
        <v>17273</v>
      </c>
      <c r="I14" s="191">
        <f t="shared" si="1"/>
        <v>19743</v>
      </c>
      <c r="J14" s="191">
        <f t="shared" si="1"/>
        <v>22792.675626984597</v>
      </c>
      <c r="K14" s="191">
        <f t="shared" si="1"/>
        <v>25977.289623001227</v>
      </c>
      <c r="L14" s="191">
        <f t="shared" si="1"/>
        <v>29345.003089030812</v>
      </c>
      <c r="M14" s="191">
        <f t="shared" si="1"/>
        <v>32974.918011273978</v>
      </c>
      <c r="N14" s="191">
        <f t="shared" si="1"/>
        <v>37027.629311568409</v>
      </c>
      <c r="O14" s="191">
        <f t="shared" si="1"/>
        <v>41539.457218395859</v>
      </c>
      <c r="P14" s="98"/>
      <c r="Q14" s="40"/>
      <c r="R14" s="92"/>
      <c r="S14" s="173" t="s">
        <v>570</v>
      </c>
      <c r="T14" s="181"/>
      <c r="U14" s="181"/>
      <c r="V14" s="182">
        <f>F38</f>
        <v>21671</v>
      </c>
    </row>
    <row r="15" spans="1:22">
      <c r="A15" s="192" t="s">
        <v>542</v>
      </c>
      <c r="B15" s="54"/>
      <c r="C15" s="54"/>
      <c r="D15" s="54"/>
      <c r="E15" s="190">
        <f>'FA Schedule'!D24</f>
        <v>80</v>
      </c>
      <c r="F15" s="190">
        <f>'FA Schedule'!E24</f>
        <v>83</v>
      </c>
      <c r="G15" s="190">
        <f>'FA Schedule'!F24</f>
        <v>90</v>
      </c>
      <c r="H15" s="190">
        <f>'FA Schedule'!G24</f>
        <v>76</v>
      </c>
      <c r="I15" s="190">
        <f>'FA Schedule'!H24</f>
        <v>79</v>
      </c>
      <c r="J15" s="190">
        <f>'FA Schedule'!I24</f>
        <v>82.097231355298064</v>
      </c>
      <c r="K15" s="190">
        <f>'FA Schedule'!J24</f>
        <v>85.207477123123809</v>
      </c>
      <c r="L15" s="190">
        <f>'FA Schedule'!K24</f>
        <v>88.676079696238872</v>
      </c>
      <c r="M15" s="190">
        <f>'FA Schedule'!L24</f>
        <v>92.534746648532462</v>
      </c>
      <c r="N15" s="190">
        <f>'FA Schedule'!M24</f>
        <v>96.814392292921085</v>
      </c>
      <c r="O15" s="190">
        <f>'FA Schedule'!N24</f>
        <v>101.5653013511198</v>
      </c>
      <c r="P15" s="99"/>
      <c r="Q15" s="92"/>
      <c r="R15" s="92"/>
      <c r="S15" s="545" t="s">
        <v>571</v>
      </c>
      <c r="T15" s="545"/>
      <c r="U15" s="183"/>
      <c r="V15" s="100">
        <f>V13+V12-V14</f>
        <v>717480.48077248211</v>
      </c>
    </row>
    <row r="16" spans="1:22">
      <c r="A16" s="101" t="s">
        <v>543</v>
      </c>
      <c r="B16" s="101"/>
      <c r="C16" s="101"/>
      <c r="D16" s="101"/>
      <c r="E16" s="102">
        <f>E15/E6</f>
        <v>3.6619976197015472E-3</v>
      </c>
      <c r="F16" s="102">
        <f>F15/F6</f>
        <v>3.4432690313213024E-3</v>
      </c>
      <c r="G16" s="102">
        <f>G15/G6</f>
        <v>3.0706243602865915E-3</v>
      </c>
      <c r="H16" s="102">
        <f>H15/H6</f>
        <v>2.3275043640706827E-3</v>
      </c>
      <c r="I16" s="102">
        <f t="shared" ref="I16:O16" si="2">I15/I6</f>
        <v>2.198964538217447E-3</v>
      </c>
      <c r="J16" s="102">
        <f t="shared" si="2"/>
        <v>2.0521091048931075E-3</v>
      </c>
      <c r="K16" s="102">
        <f t="shared" si="2"/>
        <v>1.9158064371921982E-3</v>
      </c>
      <c r="L16" s="102">
        <f t="shared" si="2"/>
        <v>1.7971316081390361E-3</v>
      </c>
      <c r="M16" s="102">
        <f t="shared" si="2"/>
        <v>1.6948229527884082E-3</v>
      </c>
      <c r="N16" s="102">
        <f t="shared" si="2"/>
        <v>1.6007488848819417E-3</v>
      </c>
      <c r="O16" s="102">
        <f t="shared" si="2"/>
        <v>1.5140659559789065E-3</v>
      </c>
      <c r="P16" s="103"/>
      <c r="Q16" s="104"/>
      <c r="R16" s="92"/>
      <c r="S16" s="176" t="s">
        <v>572</v>
      </c>
      <c r="T16" s="176"/>
      <c r="U16" s="176"/>
      <c r="V16" s="59">
        <f>F40</f>
        <v>1698682527</v>
      </c>
    </row>
    <row r="17" spans="1:22">
      <c r="A17" s="105"/>
      <c r="B17" s="105"/>
      <c r="C17" s="105"/>
      <c r="D17" s="105"/>
      <c r="E17" s="105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9"/>
      <c r="Q17" s="92"/>
      <c r="R17" s="92"/>
      <c r="S17" s="76" t="s">
        <v>573</v>
      </c>
      <c r="T17" s="76"/>
      <c r="U17" s="76"/>
      <c r="V17" s="563">
        <f>V15*1000000/V16</f>
        <v>422.37467529592249</v>
      </c>
    </row>
    <row r="18" spans="1:22">
      <c r="A18" s="192" t="s">
        <v>544</v>
      </c>
      <c r="B18" s="54"/>
      <c r="C18" s="54"/>
      <c r="D18" s="54"/>
      <c r="E18" s="106"/>
      <c r="F18" s="106">
        <f>'Change in NWC'!E19</f>
        <v>-337</v>
      </c>
      <c r="G18" s="106">
        <f>'Change in NWC'!F19</f>
        <v>1441</v>
      </c>
      <c r="H18" s="106">
        <f>'Change in NWC'!G19</f>
        <v>995</v>
      </c>
      <c r="I18" s="106">
        <f>'Change in NWC'!H19</f>
        <v>710</v>
      </c>
      <c r="J18" s="106">
        <f>'Change in NWC'!I19</f>
        <v>399.61112511285046</v>
      </c>
      <c r="K18" s="106">
        <f>'Change in NWC'!J19</f>
        <v>305.97507545271128</v>
      </c>
      <c r="L18" s="106">
        <f>'Change in NWC'!K19</f>
        <v>329.10669610099649</v>
      </c>
      <c r="M18" s="106">
        <f>'Change in NWC'!L19</f>
        <v>355.12113870462872</v>
      </c>
      <c r="N18" s="106">
        <f>'Change in NWC'!M19</f>
        <v>397.03849404288212</v>
      </c>
      <c r="O18" s="106">
        <f>'Change in NWC'!N19</f>
        <v>444.03599826531263</v>
      </c>
      <c r="P18" s="99"/>
      <c r="Q18" s="92"/>
      <c r="R18" s="92"/>
      <c r="S18" s="77" t="s">
        <v>574</v>
      </c>
      <c r="T18" s="562"/>
      <c r="U18" s="77"/>
      <c r="V18" s="531">
        <v>344.47</v>
      </c>
    </row>
    <row r="19" spans="1:22">
      <c r="A19" s="55" t="s">
        <v>545</v>
      </c>
      <c r="B19" s="54"/>
      <c r="C19" s="54"/>
      <c r="D19" s="54"/>
      <c r="E19" s="107"/>
      <c r="F19" s="107">
        <f>'Change in NWC'!D17</f>
        <v>2395</v>
      </c>
      <c r="G19" s="107">
        <f>'Change in NWC'!E17</f>
        <v>2058</v>
      </c>
      <c r="H19" s="107">
        <f>'Change in NWC'!F17</f>
        <v>3499</v>
      </c>
      <c r="I19" s="107">
        <f>'Change in NWC'!G17</f>
        <v>4494</v>
      </c>
      <c r="J19" s="107">
        <f>I20</f>
        <v>5204</v>
      </c>
      <c r="K19" s="107">
        <f t="shared" ref="K19:O19" si="3">J20</f>
        <v>5603.6111251128505</v>
      </c>
      <c r="L19" s="107">
        <f t="shared" si="3"/>
        <v>5909.5862005655617</v>
      </c>
      <c r="M19" s="107">
        <f t="shared" si="3"/>
        <v>6238.6928966665582</v>
      </c>
      <c r="N19" s="107">
        <f t="shared" si="3"/>
        <v>6593.8140353711869</v>
      </c>
      <c r="O19" s="107">
        <f t="shared" si="3"/>
        <v>6990.8525294140691</v>
      </c>
      <c r="P19" s="99"/>
      <c r="Q19" s="92"/>
      <c r="R19" s="92"/>
      <c r="S19" s="78" t="s">
        <v>575</v>
      </c>
      <c r="T19" s="79"/>
      <c r="U19" s="79"/>
      <c r="V19" s="80">
        <f>V17/V18-1</f>
        <v>0.22615808429158557</v>
      </c>
    </row>
    <row r="20" spans="1:22">
      <c r="A20" s="55" t="s">
        <v>546</v>
      </c>
      <c r="B20" s="54"/>
      <c r="C20" s="54"/>
      <c r="D20" s="54"/>
      <c r="E20" s="107"/>
      <c r="F20" s="107">
        <f>'Change in NWC'!E17</f>
        <v>2058</v>
      </c>
      <c r="G20" s="107">
        <f>'Change in NWC'!F17</f>
        <v>3499</v>
      </c>
      <c r="H20" s="107">
        <f>'Change in NWC'!G17</f>
        <v>4494</v>
      </c>
      <c r="I20" s="107">
        <f>'Change in NWC'!H17</f>
        <v>5204</v>
      </c>
      <c r="J20" s="107">
        <f>'Change in NWC'!I17</f>
        <v>5603.6111251128505</v>
      </c>
      <c r="K20" s="107">
        <f>'Change in NWC'!J17</f>
        <v>5909.5862005655617</v>
      </c>
      <c r="L20" s="107">
        <f>'Change in NWC'!K17</f>
        <v>6238.6928966665582</v>
      </c>
      <c r="M20" s="107">
        <f>'Change in NWC'!L17</f>
        <v>6593.8140353711869</v>
      </c>
      <c r="N20" s="107">
        <f>'Change in NWC'!M17</f>
        <v>6990.8525294140691</v>
      </c>
      <c r="O20" s="107">
        <f>'Change in NWC'!N17</f>
        <v>7434.8885276793817</v>
      </c>
      <c r="P20" s="99"/>
      <c r="Q20" s="92"/>
      <c r="R20" s="92"/>
      <c r="S20" s="184" t="s">
        <v>576</v>
      </c>
      <c r="T20" s="185"/>
      <c r="U20" s="185"/>
      <c r="V20" s="186" t="s">
        <v>577</v>
      </c>
    </row>
    <row r="21" spans="1:22">
      <c r="A21" s="101" t="s">
        <v>547</v>
      </c>
      <c r="B21" s="101"/>
      <c r="C21" s="101"/>
      <c r="D21" s="101"/>
      <c r="E21" s="102"/>
      <c r="F21" s="102">
        <f>F18/F6</f>
        <v>-1.398050197054553E-2</v>
      </c>
      <c r="G21" s="102">
        <f>G18/G6</f>
        <v>4.9164107813033098E-2</v>
      </c>
      <c r="H21" s="102">
        <f>H18/H6</f>
        <v>3.0471932134872752E-2</v>
      </c>
      <c r="I21" s="102">
        <f>I18/I6</f>
        <v>1.9762845849802372E-2</v>
      </c>
      <c r="J21" s="102"/>
      <c r="K21" s="102"/>
      <c r="L21" s="102"/>
      <c r="M21" s="102"/>
      <c r="N21" s="102"/>
      <c r="O21" s="102"/>
      <c r="P21" s="103"/>
      <c r="Q21" s="104"/>
      <c r="R21" s="92"/>
      <c r="S21" s="92"/>
      <c r="T21" s="92"/>
    </row>
    <row r="22" spans="1:22">
      <c r="A22" s="54"/>
      <c r="B22" s="54"/>
      <c r="C22" s="54"/>
      <c r="D22" s="54"/>
      <c r="E22" s="54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108"/>
      <c r="Q22" s="109"/>
      <c r="R22" s="110"/>
      <c r="S22" s="92"/>
      <c r="T22" s="92"/>
    </row>
    <row r="23" spans="1:22">
      <c r="A23" s="192" t="s">
        <v>548</v>
      </c>
      <c r="B23" s="54"/>
      <c r="C23" s="54"/>
      <c r="D23" s="54"/>
      <c r="E23" s="54"/>
      <c r="F23" s="111">
        <f>'FA Schedule'!D31</f>
        <v>2091</v>
      </c>
      <c r="G23" s="111">
        <f>'FA Schedule'!E31</f>
        <v>1201</v>
      </c>
      <c r="H23" s="111">
        <f>'FA Schedule'!F31</f>
        <v>564</v>
      </c>
      <c r="I23" s="111">
        <f>'FA Schedule'!G31</f>
        <v>2402</v>
      </c>
      <c r="J23" s="111">
        <f>'FA Schedule'!H31</f>
        <v>3547</v>
      </c>
      <c r="K23" s="111">
        <f>'FA Schedule'!I31</f>
        <v>3469.702471970425</v>
      </c>
      <c r="L23" s="111">
        <f>'FA Schedule'!J31</f>
        <v>3857.3606872648616</v>
      </c>
      <c r="M23" s="111">
        <f>'FA Schedule'!K31</f>
        <v>4279.4777616865667</v>
      </c>
      <c r="N23" s="111">
        <f>'FA Schedule'!L31</f>
        <v>4735.269212501149</v>
      </c>
      <c r="O23" s="111">
        <f>'FA Schedule'!M31</f>
        <v>5245.4274822984707</v>
      </c>
      <c r="P23" s="112"/>
      <c r="Q23" s="113"/>
      <c r="R23" s="96"/>
      <c r="S23" s="546"/>
      <c r="T23" s="546"/>
      <c r="U23" s="546"/>
      <c r="V23" s="547"/>
    </row>
    <row r="24" spans="1:22">
      <c r="A24" s="114" t="s">
        <v>543</v>
      </c>
      <c r="B24" s="114"/>
      <c r="C24" s="114"/>
      <c r="D24" s="114"/>
      <c r="E24" s="114"/>
      <c r="F24" s="115">
        <f>F23/F6</f>
        <v>8.6745488487865591E-2</v>
      </c>
      <c r="G24" s="115">
        <f>G23/G6</f>
        <v>4.0975776185602185E-2</v>
      </c>
      <c r="H24" s="115">
        <f>H23/H6</f>
        <v>1.7272532385998223E-2</v>
      </c>
      <c r="I24" s="115">
        <f>I23/I6</f>
        <v>6.6859655959472242E-2</v>
      </c>
      <c r="J24" s="115">
        <f t="shared" ref="J24:O24" si="4">J23/J6</f>
        <v>8.8661101901898923E-2</v>
      </c>
      <c r="K24" s="115">
        <f t="shared" si="4"/>
        <v>7.8012852338502914E-2</v>
      </c>
      <c r="L24" s="115">
        <f t="shared" si="4"/>
        <v>7.8174236376065478E-2</v>
      </c>
      <c r="M24" s="115">
        <f t="shared" si="4"/>
        <v>7.8380904461783404E-2</v>
      </c>
      <c r="N24" s="115">
        <f t="shared" si="4"/>
        <v>7.8293905813022813E-2</v>
      </c>
      <c r="O24" s="115">
        <f t="shared" si="4"/>
        <v>7.819524059745922E-2</v>
      </c>
      <c r="P24" s="116"/>
      <c r="Q24" s="117"/>
      <c r="R24" s="96"/>
      <c r="S24" s="548"/>
      <c r="T24" s="548"/>
      <c r="U24" s="548"/>
      <c r="V24" s="549"/>
    </row>
    <row r="25" spans="1:22" ht="18" thickBot="1">
      <c r="A25" s="118"/>
      <c r="B25" s="119"/>
      <c r="C25" s="119"/>
      <c r="D25" s="119"/>
      <c r="E25" s="119"/>
      <c r="F25" s="120"/>
      <c r="G25" s="120"/>
      <c r="H25" s="120"/>
      <c r="I25" s="120"/>
      <c r="J25" s="120"/>
      <c r="K25" s="121"/>
      <c r="L25" s="120"/>
      <c r="M25" s="120"/>
      <c r="N25" s="120"/>
      <c r="O25" s="120"/>
      <c r="P25" s="120"/>
      <c r="Q25" s="109"/>
      <c r="R25" s="96"/>
      <c r="S25" s="574"/>
      <c r="T25" s="574"/>
      <c r="U25" s="548"/>
      <c r="V25" s="549"/>
    </row>
    <row r="26" spans="1:22" ht="18" thickBot="1">
      <c r="A26" s="194" t="s">
        <v>549</v>
      </c>
      <c r="B26" s="54"/>
      <c r="C26" s="54"/>
      <c r="D26" s="54"/>
      <c r="E26" s="54"/>
      <c r="F26" s="122">
        <f t="shared" ref="F26:H26" si="5">F14+F15-F18-F23</f>
        <v>10640</v>
      </c>
      <c r="G26" s="123">
        <f t="shared" si="5"/>
        <v>12405</v>
      </c>
      <c r="H26" s="123">
        <f t="shared" si="5"/>
        <v>15790</v>
      </c>
      <c r="I26" s="123">
        <f>I14+I15-I18-I23</f>
        <v>16710</v>
      </c>
      <c r="J26" s="123">
        <f t="shared" ref="J26:O26" si="6">J14+J15-J18-J23</f>
        <v>18928.161733227047</v>
      </c>
      <c r="K26" s="123">
        <f t="shared" si="6"/>
        <v>22286.819552701214</v>
      </c>
      <c r="L26" s="123">
        <f t="shared" si="6"/>
        <v>25247.211785361193</v>
      </c>
      <c r="M26" s="123">
        <f t="shared" si="6"/>
        <v>28432.853857531314</v>
      </c>
      <c r="N26" s="123">
        <f t="shared" si="6"/>
        <v>31992.135997317298</v>
      </c>
      <c r="O26" s="123">
        <f t="shared" si="6"/>
        <v>35951.559039183194</v>
      </c>
      <c r="P26" s="572">
        <f>(O26*(1+F29))/(F30-F29)</f>
        <v>929732.92689403077</v>
      </c>
      <c r="Q26" s="573"/>
      <c r="R26" s="96"/>
      <c r="S26" s="548"/>
      <c r="T26" s="548"/>
      <c r="U26" s="548"/>
      <c r="V26" s="550"/>
    </row>
    <row r="27" spans="1:22" ht="18" thickBot="1">
      <c r="A27" s="124"/>
      <c r="B27" s="119"/>
      <c r="C27" s="119"/>
      <c r="D27" s="119"/>
      <c r="E27" s="119"/>
      <c r="F27" s="125"/>
      <c r="G27" s="126"/>
      <c r="H27" s="126"/>
      <c r="I27" s="126"/>
      <c r="J27" s="126"/>
      <c r="K27" s="126"/>
      <c r="L27" s="126"/>
      <c r="M27" s="127"/>
      <c r="N27" s="128"/>
      <c r="O27" s="128"/>
      <c r="P27" s="128"/>
      <c r="Q27" s="108"/>
      <c r="R27" s="96"/>
      <c r="S27" s="548"/>
      <c r="T27" s="481"/>
      <c r="U27" s="481"/>
      <c r="V27" s="550"/>
    </row>
    <row r="28" spans="1:22" ht="18" thickBot="1">
      <c r="A28" s="194" t="s">
        <v>550</v>
      </c>
      <c r="B28" s="54"/>
      <c r="C28" s="54"/>
      <c r="D28" s="54"/>
      <c r="E28" s="54"/>
      <c r="F28" s="129">
        <f>P26</f>
        <v>929732.92689403077</v>
      </c>
      <c r="G28" s="130"/>
      <c r="H28" s="131"/>
      <c r="I28" s="131"/>
      <c r="J28" s="131"/>
      <c r="K28" s="131"/>
      <c r="L28" s="131"/>
      <c r="M28" s="131"/>
      <c r="N28" s="132"/>
      <c r="O28" s="132"/>
      <c r="P28" s="126"/>
      <c r="R28" s="96"/>
      <c r="S28" s="551"/>
      <c r="T28" s="552"/>
      <c r="U28" s="552"/>
      <c r="V28" s="553"/>
    </row>
    <row r="29" spans="1:22" ht="18" thickBot="1">
      <c r="A29" s="195" t="s">
        <v>551</v>
      </c>
      <c r="B29" s="133"/>
      <c r="C29" s="133"/>
      <c r="D29" s="133"/>
      <c r="E29" s="133"/>
      <c r="F29" s="134">
        <v>0.04</v>
      </c>
      <c r="G29" s="131"/>
      <c r="H29" s="131"/>
      <c r="I29" s="131"/>
      <c r="J29" s="131"/>
      <c r="K29" s="131"/>
      <c r="L29" s="131"/>
      <c r="M29" s="131"/>
      <c r="N29" s="135"/>
      <c r="O29" s="135"/>
      <c r="P29" s="136"/>
      <c r="Q29" s="137"/>
      <c r="R29" s="96"/>
      <c r="S29" s="548"/>
      <c r="T29" s="481"/>
      <c r="U29" s="481"/>
      <c r="V29" s="550"/>
    </row>
    <row r="30" spans="1:22" ht="18.600000000000001" thickBot="1">
      <c r="A30" s="196" t="s">
        <v>552</v>
      </c>
      <c r="B30" s="139"/>
      <c r="C30" s="139"/>
      <c r="D30" s="139"/>
      <c r="E30" s="139"/>
      <c r="F30" s="208">
        <f>WACC!E15</f>
        <v>8.021544286449922E-2</v>
      </c>
      <c r="G30" s="140"/>
      <c r="H30" s="141"/>
      <c r="I30" s="141"/>
      <c r="J30" s="141"/>
      <c r="K30" s="141"/>
      <c r="L30" s="141"/>
      <c r="M30" s="142"/>
      <c r="N30" s="143"/>
      <c r="O30" s="143"/>
      <c r="P30" s="128"/>
      <c r="Q30" s="92"/>
      <c r="R30" s="99"/>
      <c r="S30" s="574"/>
      <c r="T30" s="574"/>
      <c r="U30" s="554"/>
      <c r="V30" s="550"/>
    </row>
    <row r="31" spans="1:22">
      <c r="A31" s="197" t="s">
        <v>553</v>
      </c>
      <c r="B31" s="118"/>
      <c r="C31" s="118"/>
      <c r="D31" s="118"/>
      <c r="E31" s="118"/>
      <c r="F31" s="118"/>
      <c r="G31" s="118"/>
      <c r="H31" s="118"/>
      <c r="I31" s="67"/>
      <c r="J31" s="67">
        <f t="shared" ref="J31:O31" si="7">1/(1+$F$30)^J32</f>
        <v>0.92574125523350681</v>
      </c>
      <c r="K31" s="67">
        <f t="shared" si="7"/>
        <v>0.85699687164130889</v>
      </c>
      <c r="L31" s="67">
        <f t="shared" si="7"/>
        <v>0.79335735968441379</v>
      </c>
      <c r="M31" s="67">
        <f t="shared" si="7"/>
        <v>0.73444363800298995</v>
      </c>
      <c r="N31" s="67">
        <f t="shared" si="7"/>
        <v>0.6799047753431513</v>
      </c>
      <c r="O31" s="67">
        <f t="shared" si="7"/>
        <v>0.62941590016542426</v>
      </c>
      <c r="R31" s="99"/>
      <c r="S31" s="575"/>
      <c r="T31" s="575"/>
      <c r="U31" s="481"/>
      <c r="V31" s="555"/>
    </row>
    <row r="32" spans="1:22">
      <c r="A32" s="195" t="s">
        <v>554</v>
      </c>
      <c r="B32" s="124"/>
      <c r="C32" s="124"/>
      <c r="D32" s="124"/>
      <c r="E32" s="124"/>
      <c r="F32" s="124"/>
      <c r="G32" s="124"/>
      <c r="H32" s="124"/>
      <c r="I32" s="54"/>
      <c r="J32" s="124">
        <v>1</v>
      </c>
      <c r="K32" s="124">
        <v>2</v>
      </c>
      <c r="L32" s="124">
        <v>3</v>
      </c>
      <c r="M32" s="94">
        <v>4</v>
      </c>
      <c r="N32" s="54">
        <v>5</v>
      </c>
      <c r="O32" s="54">
        <v>6</v>
      </c>
      <c r="R32" s="99"/>
      <c r="S32" s="548"/>
      <c r="T32" s="481"/>
      <c r="U32" s="481"/>
      <c r="V32" s="556"/>
    </row>
    <row r="33" spans="1:22">
      <c r="A33" s="195" t="s">
        <v>555</v>
      </c>
      <c r="B33" s="124"/>
      <c r="C33" s="124"/>
      <c r="D33" s="124"/>
      <c r="E33" s="124"/>
      <c r="F33" s="144"/>
      <c r="G33" s="144"/>
      <c r="H33" s="144"/>
      <c r="I33" s="89"/>
      <c r="J33" s="89">
        <f t="shared" ref="J33:O33" si="8">J26*J31</f>
        <v>17522.580202180437</v>
      </c>
      <c r="K33" s="89">
        <f t="shared" si="8"/>
        <v>19099.734635499295</v>
      </c>
      <c r="L33" s="89">
        <f t="shared" si="8"/>
        <v>20030.06128142737</v>
      </c>
      <c r="M33" s="89">
        <f t="shared" si="8"/>
        <v>20882.328625932645</v>
      </c>
      <c r="N33" s="89">
        <f t="shared" si="8"/>
        <v>21751.606038003563</v>
      </c>
      <c r="O33" s="89">
        <f t="shared" si="8"/>
        <v>22628.482894997884</v>
      </c>
      <c r="P33" s="92"/>
      <c r="Q33" s="92"/>
      <c r="R33" s="99"/>
      <c r="S33" s="551"/>
      <c r="T33" s="551"/>
      <c r="U33" s="551"/>
      <c r="V33" s="557"/>
    </row>
    <row r="34" spans="1:22">
      <c r="A34" s="195" t="s">
        <v>556</v>
      </c>
      <c r="B34" s="124"/>
      <c r="C34" s="124"/>
      <c r="D34" s="124"/>
      <c r="E34" s="124"/>
      <c r="F34" s="145">
        <f>SUM(J33:O33)</f>
        <v>121914.7936780412</v>
      </c>
      <c r="G34" s="144"/>
      <c r="H34" s="144"/>
      <c r="I34" s="144"/>
      <c r="J34" s="144"/>
      <c r="K34" s="90"/>
      <c r="L34" s="144"/>
      <c r="M34" s="146"/>
      <c r="N34" s="90"/>
      <c r="O34" s="90"/>
      <c r="P34" s="92"/>
      <c r="Q34" s="92"/>
      <c r="R34" s="99"/>
      <c r="S34" s="548"/>
      <c r="T34" s="548"/>
      <c r="U34" s="548"/>
      <c r="V34" s="558"/>
    </row>
    <row r="35" spans="1:22">
      <c r="A35" s="157" t="s">
        <v>557</v>
      </c>
      <c r="B35" s="147"/>
      <c r="C35" s="147"/>
      <c r="D35" s="147"/>
      <c r="E35" s="147"/>
      <c r="F35" s="148">
        <f>F28*O31</f>
        <v>585188.68709444092</v>
      </c>
      <c r="G35" s="149"/>
      <c r="H35" s="149"/>
      <c r="I35" s="149"/>
      <c r="J35" s="149"/>
      <c r="K35" s="149"/>
      <c r="L35" s="149"/>
      <c r="M35" s="150"/>
      <c r="N35" s="151"/>
      <c r="O35" s="151"/>
      <c r="P35" s="92"/>
      <c r="Q35" s="92"/>
      <c r="R35" s="99"/>
      <c r="S35" s="551"/>
      <c r="T35" s="552"/>
      <c r="U35" s="552"/>
      <c r="V35" s="559"/>
    </row>
    <row r="36" spans="1:22">
      <c r="A36" s="197" t="s">
        <v>558</v>
      </c>
      <c r="B36" s="118"/>
      <c r="C36" s="118"/>
      <c r="D36" s="118"/>
      <c r="E36" s="118"/>
      <c r="F36" s="152">
        <f>F34+F35</f>
        <v>707103.48077248211</v>
      </c>
      <c r="G36" s="118"/>
      <c r="H36" s="118"/>
      <c r="I36" s="118"/>
      <c r="J36" s="118"/>
      <c r="K36" s="118"/>
      <c r="L36" s="118"/>
      <c r="M36" s="153"/>
      <c r="N36" s="54"/>
      <c r="O36" s="54"/>
      <c r="P36" s="92"/>
      <c r="Q36" s="92"/>
      <c r="R36" s="99"/>
      <c r="S36" s="546"/>
      <c r="T36" s="560"/>
      <c r="U36" s="560"/>
      <c r="V36" s="561"/>
    </row>
    <row r="37" spans="1:22">
      <c r="A37" s="198" t="s">
        <v>559</v>
      </c>
      <c r="B37" s="154"/>
      <c r="C37" s="154"/>
      <c r="D37" s="154"/>
      <c r="E37" s="154"/>
      <c r="F37" s="155">
        <v>32048</v>
      </c>
      <c r="G37" s="54"/>
      <c r="H37" s="119"/>
      <c r="I37" s="119"/>
      <c r="J37" s="119"/>
      <c r="K37" s="119"/>
      <c r="L37" s="119"/>
      <c r="M37" s="156"/>
      <c r="N37" s="54"/>
      <c r="O37" s="54"/>
      <c r="P37" s="92"/>
      <c r="Q37" s="92"/>
      <c r="R37" s="108"/>
    </row>
    <row r="38" spans="1:22" ht="18">
      <c r="A38" s="199" t="s">
        <v>541</v>
      </c>
      <c r="B38" s="157"/>
      <c r="C38" s="157"/>
      <c r="D38" s="157"/>
      <c r="E38" s="157"/>
      <c r="F38" s="148">
        <f>WACC!E23</f>
        <v>21671</v>
      </c>
      <c r="G38" s="158"/>
      <c r="H38" s="159"/>
      <c r="I38" s="147"/>
      <c r="J38" s="159"/>
      <c r="K38" s="147"/>
      <c r="L38" s="147"/>
      <c r="M38" s="138"/>
      <c r="N38" s="139"/>
      <c r="O38" s="139"/>
      <c r="P38" s="92"/>
      <c r="Q38" s="92"/>
      <c r="R38" s="108"/>
    </row>
    <row r="39" spans="1:22" ht="18">
      <c r="A39" s="197" t="s">
        <v>560</v>
      </c>
      <c r="B39" s="118"/>
      <c r="C39" s="118"/>
      <c r="D39" s="118"/>
      <c r="E39" s="118"/>
      <c r="F39" s="160">
        <f>F36+F37-F38</f>
        <v>717480.48077248211</v>
      </c>
      <c r="G39" s="161"/>
      <c r="H39" s="118"/>
      <c r="I39" s="118"/>
      <c r="J39" s="118"/>
      <c r="K39" s="118"/>
      <c r="L39" s="118"/>
      <c r="M39" s="118"/>
      <c r="N39" s="118"/>
      <c r="O39" s="118"/>
      <c r="P39" s="109"/>
      <c r="Q39" s="109"/>
      <c r="R39" s="113"/>
      <c r="S39" s="162"/>
      <c r="T39" s="162"/>
      <c r="U39" s="162"/>
      <c r="V39" s="162"/>
    </row>
    <row r="40" spans="1:22" ht="18">
      <c r="A40" s="200" t="s">
        <v>561</v>
      </c>
      <c r="B40" s="54"/>
      <c r="C40" s="54"/>
      <c r="D40" s="54"/>
      <c r="E40" s="54"/>
      <c r="F40" s="163">
        <f>WACC!E26</f>
        <v>1698682527</v>
      </c>
      <c r="G40" s="131"/>
      <c r="H40" s="124"/>
      <c r="I40" s="124"/>
      <c r="J40" s="124"/>
      <c r="K40" s="124"/>
      <c r="L40" s="124"/>
      <c r="M40" s="124"/>
      <c r="N40" s="124"/>
      <c r="O40" s="124"/>
      <c r="P40" s="113"/>
      <c r="Q40" s="113"/>
      <c r="R40" s="113"/>
      <c r="S40" s="162"/>
      <c r="T40" s="162"/>
      <c r="U40" s="162"/>
      <c r="V40" s="162"/>
    </row>
    <row r="41" spans="1:22" ht="18" thickBot="1">
      <c r="A41" s="201"/>
      <c r="B41" s="164"/>
      <c r="C41" s="164"/>
      <c r="D41" s="164"/>
      <c r="E41" s="164"/>
      <c r="F41" s="133"/>
      <c r="G41" s="133"/>
      <c r="H41" s="124"/>
      <c r="I41" s="124"/>
      <c r="J41" s="124"/>
      <c r="K41" s="124"/>
      <c r="L41" s="124"/>
      <c r="M41" s="165"/>
      <c r="N41" s="165"/>
      <c r="O41" s="165"/>
      <c r="P41" s="113"/>
      <c r="Q41" s="113"/>
      <c r="R41" s="113"/>
    </row>
    <row r="42" spans="1:22" ht="18.600000000000001" thickBot="1">
      <c r="A42" s="60" t="s">
        <v>562</v>
      </c>
      <c r="B42" s="91"/>
      <c r="C42" s="91"/>
      <c r="D42" s="91"/>
      <c r="E42" s="91"/>
      <c r="F42" s="209">
        <f>F39*1000000/F40</f>
        <v>422.37467529592249</v>
      </c>
      <c r="G42" s="68"/>
      <c r="H42" s="144"/>
      <c r="I42" s="166"/>
      <c r="J42" s="166"/>
      <c r="K42" s="166"/>
      <c r="L42" s="166"/>
      <c r="M42" s="166"/>
      <c r="N42" s="166"/>
      <c r="O42" s="166"/>
      <c r="P42" s="167"/>
      <c r="Q42" s="167"/>
      <c r="R42" s="167"/>
    </row>
    <row r="43" spans="1:22" ht="18.600000000000001" thickBot="1">
      <c r="A43" s="60" t="s">
        <v>563</v>
      </c>
      <c r="B43" s="91"/>
      <c r="C43" s="91"/>
      <c r="D43" s="91"/>
      <c r="E43" s="91"/>
      <c r="F43" s="168">
        <f>F39</f>
        <v>717480.48077248211</v>
      </c>
      <c r="G43" s="61"/>
      <c r="H43" s="169"/>
      <c r="I43" s="162"/>
      <c r="J43" s="162"/>
      <c r="K43" s="162"/>
      <c r="L43" s="162"/>
      <c r="M43" s="162"/>
      <c r="N43" s="162"/>
      <c r="O43" s="162"/>
      <c r="P43" s="170"/>
      <c r="Q43" s="170"/>
      <c r="R43" s="167"/>
    </row>
  </sheetData>
  <mergeCells count="5">
    <mergeCell ref="P5:Q5"/>
    <mergeCell ref="P26:Q26"/>
    <mergeCell ref="S25:T25"/>
    <mergeCell ref="S30:T30"/>
    <mergeCell ref="S31:T31"/>
  </mergeCells>
  <phoneticPr fontId="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FF17-D14F-4B89-A970-596295D43BCD}">
  <dimension ref="A1:Q37"/>
  <sheetViews>
    <sheetView topLeftCell="A9" zoomScale="90" workbookViewId="0">
      <selection activeCell="I9" sqref="I9"/>
    </sheetView>
  </sheetViews>
  <sheetFormatPr defaultColWidth="8.69921875" defaultRowHeight="17.399999999999999"/>
  <cols>
    <col min="1" max="1" width="8.69921875" style="20"/>
    <col min="2" max="2" width="8.69921875" style="217"/>
    <col min="3" max="3" width="8.69921875" style="20"/>
    <col min="4" max="14" width="8.8984375" style="20" bestFit="1" customWidth="1"/>
    <col min="15" max="16384" width="8.69921875" style="20"/>
  </cols>
  <sheetData>
    <row r="1" spans="1:17" s="44" customFormat="1" ht="17.7" customHeight="1">
      <c r="A1" s="41" t="s">
        <v>511</v>
      </c>
      <c r="B1" s="85"/>
      <c r="C1" s="8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2"/>
      <c r="Q1" s="43"/>
    </row>
    <row r="2" spans="1:17" s="46" customFormat="1" ht="17.7" customHeight="1">
      <c r="A2" s="45" t="s">
        <v>394</v>
      </c>
      <c r="B2" s="86"/>
      <c r="C2" s="83"/>
      <c r="P2" s="63"/>
    </row>
    <row r="3" spans="1:17" s="46" customFormat="1" ht="17.7" customHeight="1">
      <c r="A3" s="47" t="s">
        <v>395</v>
      </c>
      <c r="B3" s="87"/>
      <c r="C3" s="84"/>
      <c r="P3" s="63"/>
    </row>
    <row r="5" spans="1:17">
      <c r="A5" s="577" t="s">
        <v>423</v>
      </c>
      <c r="B5" s="577"/>
      <c r="C5" s="577"/>
      <c r="D5" s="577"/>
      <c r="E5" s="577"/>
      <c r="F5" s="577"/>
      <c r="G5" s="577"/>
      <c r="H5" s="577"/>
      <c r="I5" s="576" t="s">
        <v>424</v>
      </c>
      <c r="J5" s="576"/>
      <c r="K5" s="576"/>
      <c r="L5" s="576"/>
      <c r="M5" s="576"/>
      <c r="N5" s="576"/>
    </row>
    <row r="6" spans="1:17" ht="18">
      <c r="A6" s="218"/>
      <c r="B6" s="219"/>
      <c r="C6" s="218"/>
      <c r="D6" s="220" t="s">
        <v>426</v>
      </c>
      <c r="E6" s="221" t="s">
        <v>427</v>
      </c>
      <c r="F6" s="221" t="s">
        <v>428</v>
      </c>
      <c r="G6" s="221" t="s">
        <v>429</v>
      </c>
      <c r="H6" s="221" t="s">
        <v>513</v>
      </c>
      <c r="I6" s="221" t="s">
        <v>430</v>
      </c>
      <c r="J6" s="221" t="s">
        <v>431</v>
      </c>
      <c r="K6" s="221" t="s">
        <v>432</v>
      </c>
      <c r="L6" s="221" t="s">
        <v>433</v>
      </c>
      <c r="M6" s="221" t="s">
        <v>434</v>
      </c>
      <c r="N6" s="221" t="s">
        <v>435</v>
      </c>
    </row>
    <row r="7" spans="1:17">
      <c r="A7" s="222" t="s">
        <v>514</v>
      </c>
      <c r="B7" s="223"/>
      <c r="C7" s="222"/>
      <c r="D7" s="536">
        <f>'IS(Yearly)'!C6</f>
        <v>21846</v>
      </c>
      <c r="E7" s="536">
        <f>'IS(Yearly)'!D6</f>
        <v>24105</v>
      </c>
      <c r="F7" s="536">
        <f>'IS(Yearly)'!E6</f>
        <v>29310</v>
      </c>
      <c r="G7" s="536">
        <f>'IS(Yearly)'!F6</f>
        <v>32653</v>
      </c>
      <c r="H7" s="536">
        <f>'IS(Yearly)'!G6</f>
        <v>35926</v>
      </c>
      <c r="I7" s="536">
        <f>매출액!H7</f>
        <v>40006.270212213902</v>
      </c>
      <c r="J7" s="536">
        <f>매출액!I7</f>
        <v>44476.036549915611</v>
      </c>
      <c r="K7" s="536">
        <f>매출액!J7</f>
        <v>49343.119499225009</v>
      </c>
      <c r="L7" s="536">
        <f>매출액!K7</f>
        <v>54598.473838396887</v>
      </c>
      <c r="M7" s="536">
        <f>매출액!L7</f>
        <v>60480.687012979761</v>
      </c>
      <c r="N7" s="536">
        <f>매출액!M7</f>
        <v>67081.160467315058</v>
      </c>
    </row>
    <row r="8" spans="1:17">
      <c r="B8" s="224" t="s">
        <v>535</v>
      </c>
      <c r="C8" s="225"/>
      <c r="D8" s="189">
        <f>'IS(Yearly)'!C11</f>
        <v>7765</v>
      </c>
      <c r="E8" s="189">
        <f>'IS(Yearly)'!D11</f>
        <v>8301</v>
      </c>
      <c r="F8" s="189">
        <f>'IS(Yearly)'!E11</f>
        <v>10497</v>
      </c>
      <c r="G8" s="189">
        <f>'IS(Yearly)'!F11</f>
        <v>11653</v>
      </c>
      <c r="H8" s="189">
        <f>'IS(Yearly)'!G11</f>
        <v>12331</v>
      </c>
      <c r="I8" s="189">
        <f>'비용 추정'!I7</f>
        <v>12961.248429617688</v>
      </c>
      <c r="J8" s="189">
        <f>'비용 추정'!J7</f>
        <v>13561.500717431449</v>
      </c>
      <c r="K8" s="189">
        <f>'비용 추정'!K7</f>
        <v>14335.187044442415</v>
      </c>
      <c r="L8" s="189">
        <f>'비용 추정'!L7</f>
        <v>15177.682119487883</v>
      </c>
      <c r="M8" s="189">
        <f>'비용 추정'!M7</f>
        <v>16133.707230532016</v>
      </c>
      <c r="N8" s="189">
        <f>'비용 추정'!N7</f>
        <v>17250.28295911512</v>
      </c>
    </row>
    <row r="9" spans="1:17">
      <c r="A9" s="225"/>
      <c r="B9" s="226" t="s">
        <v>536</v>
      </c>
      <c r="C9" s="227"/>
      <c r="D9" s="228">
        <f>'IS(Yearly)'!C12</f>
        <v>2067</v>
      </c>
      <c r="E9" s="228">
        <f>'IS(Yearly)'!D12</f>
        <v>2121</v>
      </c>
      <c r="F9" s="228">
        <f>'IS(Yearly)'!E12</f>
        <v>2530</v>
      </c>
      <c r="G9" s="228">
        <f>'IS(Yearly)'!F12</f>
        <v>2671</v>
      </c>
      <c r="H9" s="228">
        <f>'IS(Yearly)'!G12</f>
        <v>3158</v>
      </c>
      <c r="I9" s="228">
        <f>'비용 추정'!I9</f>
        <v>3617.7365962511853</v>
      </c>
      <c r="J9" s="228">
        <f>'비용 추정'!J9</f>
        <v>4088.4844150006452</v>
      </c>
      <c r="K9" s="228">
        <f>'비용 추정'!K9</f>
        <v>4718.4230329474003</v>
      </c>
      <c r="L9" s="228">
        <f>'비용 추정'!L9</f>
        <v>5402.2944166102679</v>
      </c>
      <c r="M9" s="228">
        <f>'비용 추정'!M9</f>
        <v>6184.4207502820245</v>
      </c>
      <c r="N9" s="228">
        <f>'비용 추정'!N9</f>
        <v>7109.1387631891639</v>
      </c>
    </row>
    <row r="10" spans="1:17">
      <c r="A10" s="225"/>
      <c r="B10" s="226" t="s">
        <v>515</v>
      </c>
      <c r="C10" s="227"/>
      <c r="D10" s="229">
        <f>D9/D$7</f>
        <v>9.4616863499038723E-2</v>
      </c>
      <c r="E10" s="229">
        <f t="shared" ref="E10:N10" si="0">E9/E$7</f>
        <v>8.7990043559427508E-2</v>
      </c>
      <c r="F10" s="229">
        <f t="shared" si="0"/>
        <v>8.6318662572500857E-2</v>
      </c>
      <c r="G10" s="229">
        <f t="shared" si="0"/>
        <v>8.1799528374115707E-2</v>
      </c>
      <c r="H10" s="229">
        <f t="shared" si="0"/>
        <v>8.7902911540388581E-2</v>
      </c>
      <c r="I10" s="229">
        <f t="shared" si="0"/>
        <v>9.042923964320701E-2</v>
      </c>
      <c r="J10" s="229">
        <f t="shared" si="0"/>
        <v>9.1925556595226846E-2</v>
      </c>
      <c r="K10" s="229">
        <f t="shared" si="0"/>
        <v>9.5624741216888576E-2</v>
      </c>
      <c r="L10" s="229">
        <f t="shared" si="0"/>
        <v>9.8945886886879497E-2</v>
      </c>
      <c r="M10" s="229">
        <f t="shared" si="0"/>
        <v>0.10225447255509491</v>
      </c>
      <c r="N10" s="229">
        <f t="shared" si="0"/>
        <v>0.10597817201825324</v>
      </c>
    </row>
    <row r="11" spans="1:17">
      <c r="A11" s="230"/>
      <c r="B11" s="226" t="s">
        <v>537</v>
      </c>
      <c r="C11" s="231"/>
      <c r="D11" s="228">
        <f>'IS(Yearly)'!C16</f>
        <v>767</v>
      </c>
      <c r="E11" s="228">
        <f>'IS(Yearly)'!D16</f>
        <v>804</v>
      </c>
      <c r="F11" s="228">
        <f>'IS(Yearly)'!E16</f>
        <v>861</v>
      </c>
      <c r="G11" s="228">
        <f>'IS(Yearly)'!F16</f>
        <v>943</v>
      </c>
      <c r="H11" s="228">
        <f>'IS(Yearly)'!G16</f>
        <v>1034</v>
      </c>
      <c r="I11" s="228">
        <f>'FA Schedule'!I33</f>
        <v>1204.5118333665032</v>
      </c>
      <c r="J11" s="228">
        <f>'FA Schedule'!J33</f>
        <v>1334.0163024308035</v>
      </c>
      <c r="K11" s="228">
        <f>'FA Schedule'!K33</f>
        <v>1477.764011495015</v>
      </c>
      <c r="L11" s="228">
        <f>'FA Schedule'!L33</f>
        <v>1636.3877028776151</v>
      </c>
      <c r="M11" s="228">
        <f>'FA Schedule'!M33</f>
        <v>1810.2864802499919</v>
      </c>
      <c r="N11" s="228">
        <f>'FA Schedule'!N33</f>
        <v>2002.1441959259562</v>
      </c>
    </row>
    <row r="12" spans="1:17">
      <c r="A12" s="230"/>
      <c r="B12" s="226" t="s">
        <v>515</v>
      </c>
      <c r="C12" s="231"/>
      <c r="D12" s="229">
        <f>D11/D$7</f>
        <v>3.5109402178888582E-2</v>
      </c>
      <c r="E12" s="229">
        <f t="shared" ref="E12" si="1">E11/E$7</f>
        <v>3.3354075917859362E-2</v>
      </c>
      <c r="F12" s="229">
        <f t="shared" ref="F12" si="2">F11/F$7</f>
        <v>2.9375639713408393E-2</v>
      </c>
      <c r="G12" s="229">
        <f t="shared" ref="G12" si="3">G11/G$7</f>
        <v>2.8879429148929655E-2</v>
      </c>
      <c r="H12" s="229">
        <f t="shared" ref="H12:N12" si="4">H11/H$7</f>
        <v>2.878138395590937E-2</v>
      </c>
      <c r="I12" s="229">
        <f t="shared" si="4"/>
        <v>3.0108076233479174E-2</v>
      </c>
      <c r="J12" s="229">
        <f t="shared" si="4"/>
        <v>2.9994046365476663E-2</v>
      </c>
      <c r="K12" s="229">
        <f t="shared" si="4"/>
        <v>2.9948735031197712E-2</v>
      </c>
      <c r="L12" s="229">
        <f t="shared" si="4"/>
        <v>2.9971308497030006E-2</v>
      </c>
      <c r="M12" s="229">
        <f t="shared" si="4"/>
        <v>2.9931645450083699E-2</v>
      </c>
      <c r="N12" s="229">
        <f t="shared" si="4"/>
        <v>2.9846594512948094E-2</v>
      </c>
    </row>
    <row r="13" spans="1:17">
      <c r="A13" s="230"/>
      <c r="B13" s="226" t="s">
        <v>538</v>
      </c>
      <c r="C13" s="231"/>
      <c r="D13" s="228">
        <f>'IS(Yearly)'!C17</f>
        <v>4931</v>
      </c>
      <c r="E13" s="228">
        <f>'IS(Yearly)'!D17</f>
        <v>5376</v>
      </c>
      <c r="F13" s="228">
        <f>'IS(Yearly)'!E17</f>
        <v>7106</v>
      </c>
      <c r="G13" s="228">
        <f>'IS(Yearly)'!F17</f>
        <v>8039</v>
      </c>
      <c r="H13" s="228">
        <f>'IS(Yearly)'!G17</f>
        <v>8139</v>
      </c>
      <c r="I13" s="228">
        <f>'비용 추정'!I17</f>
        <v>8139</v>
      </c>
      <c r="J13" s="228">
        <f>'비용 추정'!J17</f>
        <v>8139</v>
      </c>
      <c r="K13" s="228">
        <f>'비용 추정'!K17</f>
        <v>8139</v>
      </c>
      <c r="L13" s="228">
        <f>'비용 추정'!L17</f>
        <v>8139</v>
      </c>
      <c r="M13" s="228">
        <f>'비용 추정'!M17</f>
        <v>8139</v>
      </c>
      <c r="N13" s="228">
        <f>'비용 추정'!N17</f>
        <v>8139</v>
      </c>
    </row>
    <row r="14" spans="1:17">
      <c r="A14" s="232"/>
      <c r="B14" s="233" t="s">
        <v>515</v>
      </c>
      <c r="C14" s="234"/>
      <c r="D14" s="235">
        <f>D13/D$7</f>
        <v>0.22571637828435412</v>
      </c>
      <c r="E14" s="235">
        <f t="shared" ref="E14" si="5">E13/E$7</f>
        <v>0.22302426882389545</v>
      </c>
      <c r="F14" s="235">
        <f t="shared" ref="F14" si="6">F13/F$7</f>
        <v>0.24244285226885023</v>
      </c>
      <c r="G14" s="235">
        <f t="shared" ref="G14" si="7">G13/G$7</f>
        <v>0.24619483661531866</v>
      </c>
      <c r="H14" s="235">
        <f t="shared" ref="H14:N14" si="8">H13/H$7</f>
        <v>0.22654901742470634</v>
      </c>
      <c r="I14" s="235">
        <f t="shared" si="8"/>
        <v>0.20344310921329442</v>
      </c>
      <c r="J14" s="235">
        <f t="shared" si="8"/>
        <v>0.18299742133869262</v>
      </c>
      <c r="K14" s="235">
        <f t="shared" si="8"/>
        <v>0.16494700948382141</v>
      </c>
      <c r="L14" s="235">
        <f t="shared" si="8"/>
        <v>0.14907010082534894</v>
      </c>
      <c r="M14" s="235">
        <f t="shared" si="8"/>
        <v>0.13457188405041248</v>
      </c>
      <c r="N14" s="235">
        <f t="shared" si="8"/>
        <v>0.12133063804055216</v>
      </c>
    </row>
    <row r="15" spans="1:17">
      <c r="A15" s="225" t="s">
        <v>516</v>
      </c>
      <c r="B15" s="236"/>
      <c r="C15" s="225"/>
      <c r="D15" s="188">
        <f>D7-D8</f>
        <v>14081</v>
      </c>
      <c r="E15" s="188">
        <f>E7-E8</f>
        <v>15804</v>
      </c>
      <c r="F15" s="188">
        <f>F7-F8</f>
        <v>18813</v>
      </c>
      <c r="G15" s="188">
        <f>G7-G8</f>
        <v>21000</v>
      </c>
      <c r="H15" s="188">
        <f>H7-H8</f>
        <v>23595</v>
      </c>
      <c r="I15" s="188">
        <f t="shared" ref="I15:N15" si="9">I7-I8</f>
        <v>27045.021782596214</v>
      </c>
      <c r="J15" s="188">
        <f t="shared" si="9"/>
        <v>30914.535832484162</v>
      </c>
      <c r="K15" s="188">
        <f t="shared" si="9"/>
        <v>35007.932454782596</v>
      </c>
      <c r="L15" s="188">
        <f t="shared" si="9"/>
        <v>39420.791718909008</v>
      </c>
      <c r="M15" s="188">
        <f t="shared" si="9"/>
        <v>44346.979782447743</v>
      </c>
      <c r="N15" s="188">
        <f t="shared" si="9"/>
        <v>49830.877508199934</v>
      </c>
    </row>
    <row r="16" spans="1:17">
      <c r="A16" s="225"/>
      <c r="B16" s="237" t="s">
        <v>517</v>
      </c>
      <c r="C16" s="227"/>
      <c r="D16" s="229">
        <f>D15/D7</f>
        <v>0.64455735603771858</v>
      </c>
      <c r="E16" s="229">
        <f t="shared" ref="E16:N16" si="10">E15/E7</f>
        <v>0.65563161169881767</v>
      </c>
      <c r="F16" s="229">
        <f t="shared" si="10"/>
        <v>0.64186284544524053</v>
      </c>
      <c r="G16" s="229">
        <f t="shared" si="10"/>
        <v>0.64312620586163594</v>
      </c>
      <c r="H16" s="229">
        <f t="shared" si="10"/>
        <v>0.65676668707899566</v>
      </c>
      <c r="I16" s="229">
        <f t="shared" si="10"/>
        <v>0.67601957491001941</v>
      </c>
      <c r="J16" s="229">
        <f t="shared" si="10"/>
        <v>0.69508297570060384</v>
      </c>
      <c r="K16" s="229">
        <f t="shared" si="10"/>
        <v>0.7094795142680923</v>
      </c>
      <c r="L16" s="229">
        <f t="shared" si="10"/>
        <v>0.72201270379074167</v>
      </c>
      <c r="M16" s="229">
        <f t="shared" si="10"/>
        <v>0.73324199794440892</v>
      </c>
      <c r="N16" s="229">
        <f t="shared" si="10"/>
        <v>0.74284459542824643</v>
      </c>
    </row>
    <row r="17" spans="1:14">
      <c r="A17" s="238"/>
      <c r="B17" s="239" t="s">
        <v>518</v>
      </c>
      <c r="C17" s="238"/>
      <c r="D17" s="240">
        <f>'FA Schedule'!D33</f>
        <v>767</v>
      </c>
      <c r="E17" s="240">
        <f>'FA Schedule'!E33</f>
        <v>804</v>
      </c>
      <c r="F17" s="240">
        <f>'FA Schedule'!F33</f>
        <v>861</v>
      </c>
      <c r="G17" s="240">
        <f>'FA Schedule'!G33</f>
        <v>943</v>
      </c>
      <c r="H17" s="240">
        <f>'FA Schedule'!H33</f>
        <v>1034</v>
      </c>
      <c r="I17" s="240">
        <f>'FA Schedule'!I33</f>
        <v>1204.5118333665032</v>
      </c>
      <c r="J17" s="240">
        <f>'FA Schedule'!J33</f>
        <v>1334.0163024308035</v>
      </c>
      <c r="K17" s="240">
        <f>'FA Schedule'!K33</f>
        <v>1477.764011495015</v>
      </c>
      <c r="L17" s="240">
        <f>'FA Schedule'!L33</f>
        <v>1636.3877028776151</v>
      </c>
      <c r="M17" s="240">
        <f>'FA Schedule'!M33</f>
        <v>1810.2864802499919</v>
      </c>
      <c r="N17" s="240">
        <f>'FA Schedule'!N33</f>
        <v>2002.1441959259562</v>
      </c>
    </row>
    <row r="18" spans="1:14">
      <c r="A18" s="225" t="s">
        <v>519</v>
      </c>
      <c r="B18" s="236"/>
      <c r="C18" s="225"/>
      <c r="D18" s="188">
        <f>D15+D17</f>
        <v>14848</v>
      </c>
      <c r="E18" s="188">
        <f t="shared" ref="E18:N18" si="11">E15+E17</f>
        <v>16608</v>
      </c>
      <c r="F18" s="188">
        <f t="shared" si="11"/>
        <v>19674</v>
      </c>
      <c r="G18" s="188">
        <f t="shared" si="11"/>
        <v>21943</v>
      </c>
      <c r="H18" s="188">
        <f t="shared" si="11"/>
        <v>24629</v>
      </c>
      <c r="I18" s="188">
        <f t="shared" si="11"/>
        <v>28249.533615962719</v>
      </c>
      <c r="J18" s="188">
        <f t="shared" si="11"/>
        <v>32248.552134914964</v>
      </c>
      <c r="K18" s="188">
        <f t="shared" si="11"/>
        <v>36485.696466277608</v>
      </c>
      <c r="L18" s="188">
        <f t="shared" si="11"/>
        <v>41057.179421786626</v>
      </c>
      <c r="M18" s="188">
        <f t="shared" si="11"/>
        <v>46157.266262697733</v>
      </c>
      <c r="N18" s="188">
        <f t="shared" si="11"/>
        <v>51833.021704125887</v>
      </c>
    </row>
    <row r="19" spans="1:14">
      <c r="A19" s="238"/>
      <c r="B19" s="239" t="s">
        <v>520</v>
      </c>
      <c r="C19" s="238"/>
      <c r="D19" s="241">
        <f>'IS(Yearly)'!C25</f>
        <v>-225</v>
      </c>
      <c r="E19" s="241">
        <f>'IS(Yearly)'!D25</f>
        <v>-772</v>
      </c>
      <c r="F19" s="241">
        <f>'IS(Yearly)'!E25</f>
        <v>139</v>
      </c>
      <c r="G19" s="241">
        <f>'IS(Yearly)'!F25</f>
        <v>-681</v>
      </c>
      <c r="H19" s="241">
        <f>'IS(Yearly)'!G25</f>
        <v>-962</v>
      </c>
      <c r="I19" s="241">
        <f>AVERAGE(D19:H19)</f>
        <v>-500.2</v>
      </c>
      <c r="J19" s="241">
        <f>I19</f>
        <v>-500.2</v>
      </c>
      <c r="K19" s="241">
        <f t="shared" ref="K19:N19" si="12">J19</f>
        <v>-500.2</v>
      </c>
      <c r="L19" s="241">
        <f t="shared" si="12"/>
        <v>-500.2</v>
      </c>
      <c r="M19" s="241">
        <f t="shared" si="12"/>
        <v>-500.2</v>
      </c>
      <c r="N19" s="241">
        <f t="shared" si="12"/>
        <v>-500.2</v>
      </c>
    </row>
    <row r="20" spans="1:14">
      <c r="A20" s="225" t="s">
        <v>521</v>
      </c>
      <c r="B20" s="236"/>
      <c r="C20" s="225"/>
      <c r="D20" s="188">
        <f>D18+D19</f>
        <v>14623</v>
      </c>
      <c r="E20" s="188">
        <f t="shared" ref="E20:N20" si="13">E18+E19</f>
        <v>15836</v>
      </c>
      <c r="F20" s="188">
        <f t="shared" si="13"/>
        <v>19813</v>
      </c>
      <c r="G20" s="188">
        <f t="shared" si="13"/>
        <v>21262</v>
      </c>
      <c r="H20" s="188">
        <f t="shared" si="13"/>
        <v>23667</v>
      </c>
      <c r="I20" s="188">
        <f t="shared" si="13"/>
        <v>27749.333615962718</v>
      </c>
      <c r="J20" s="188">
        <f t="shared" si="13"/>
        <v>31748.352134914963</v>
      </c>
      <c r="K20" s="188">
        <f t="shared" si="13"/>
        <v>35985.496466277611</v>
      </c>
      <c r="L20" s="188">
        <f t="shared" si="13"/>
        <v>40556.979421786629</v>
      </c>
      <c r="M20" s="188">
        <f t="shared" si="13"/>
        <v>45657.066262697736</v>
      </c>
      <c r="N20" s="188">
        <f t="shared" si="13"/>
        <v>51332.82170412589</v>
      </c>
    </row>
    <row r="21" spans="1:14">
      <c r="A21" s="238"/>
      <c r="B21" s="239" t="s">
        <v>522</v>
      </c>
      <c r="C21" s="238"/>
      <c r="D21" s="240">
        <f>'IS(Yearly)'!C27</f>
        <v>2924</v>
      </c>
      <c r="E21" s="240">
        <f>'IS(Yearly)'!D27</f>
        <v>3752</v>
      </c>
      <c r="F21" s="240">
        <f>'IS(Yearly)'!E27</f>
        <v>3179</v>
      </c>
      <c r="G21" s="240">
        <f>'IS(Yearly)'!F27</f>
        <v>3764</v>
      </c>
      <c r="H21" s="240">
        <f>'IS(Yearly)'!G27</f>
        <v>4173</v>
      </c>
      <c r="I21" s="240">
        <f>I20*I37</f>
        <v>4752.5461556116152</v>
      </c>
      <c r="J21" s="240">
        <f t="shared" ref="J21:N21" si="14">J20*J37</f>
        <v>5437.4462094829369</v>
      </c>
      <c r="K21" s="240">
        <f t="shared" si="14"/>
        <v>6163.1293657517863</v>
      </c>
      <c r="L21" s="240">
        <f t="shared" si="14"/>
        <v>6946.073707635026</v>
      </c>
      <c r="M21" s="240">
        <f t="shared" si="14"/>
        <v>7819.5504708793305</v>
      </c>
      <c r="N21" s="240">
        <f t="shared" si="14"/>
        <v>8791.6202898040701</v>
      </c>
    </row>
    <row r="22" spans="1:14">
      <c r="A22" s="242" t="s">
        <v>523</v>
      </c>
      <c r="B22" s="243"/>
      <c r="C22" s="242"/>
      <c r="D22" s="188">
        <f>D20-D21</f>
        <v>11699</v>
      </c>
      <c r="E22" s="188">
        <f t="shared" ref="E22:N22" si="15">E20-E21</f>
        <v>12084</v>
      </c>
      <c r="F22" s="188">
        <f t="shared" si="15"/>
        <v>16634</v>
      </c>
      <c r="G22" s="188">
        <f t="shared" si="15"/>
        <v>17498</v>
      </c>
      <c r="H22" s="188">
        <f t="shared" si="15"/>
        <v>19494</v>
      </c>
      <c r="I22" s="188">
        <f t="shared" si="15"/>
        <v>22996.787460351101</v>
      </c>
      <c r="J22" s="188">
        <f t="shared" si="15"/>
        <v>26310.905925432027</v>
      </c>
      <c r="K22" s="188">
        <f t="shared" si="15"/>
        <v>29822.367100525826</v>
      </c>
      <c r="L22" s="188">
        <f t="shared" si="15"/>
        <v>33610.905714151602</v>
      </c>
      <c r="M22" s="188">
        <f t="shared" si="15"/>
        <v>37837.515791818405</v>
      </c>
      <c r="N22" s="188">
        <f t="shared" si="15"/>
        <v>42541.201414321818</v>
      </c>
    </row>
    <row r="23" spans="1:14">
      <c r="A23" s="244"/>
      <c r="B23" s="245"/>
      <c r="C23" s="244"/>
      <c r="D23" s="246"/>
      <c r="E23" s="247"/>
      <c r="F23" s="247"/>
      <c r="G23" s="248"/>
      <c r="H23" s="248"/>
      <c r="I23" s="248"/>
      <c r="J23" s="248"/>
      <c r="K23" s="248"/>
      <c r="L23" s="248"/>
      <c r="M23" s="248"/>
      <c r="N23" s="246"/>
    </row>
    <row r="24" spans="1:14">
      <c r="A24" s="249"/>
      <c r="B24" s="250"/>
      <c r="C24" s="249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</row>
    <row r="25" spans="1:14">
      <c r="A25" s="48" t="s">
        <v>524</v>
      </c>
      <c r="B25" s="88"/>
      <c r="C25" s="48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ht="18">
      <c r="A26" s="251" t="s">
        <v>525</v>
      </c>
      <c r="B26" s="252"/>
      <c r="C26" s="251"/>
      <c r="D26" s="253"/>
      <c r="E26" s="253">
        <f>(E7-D7)/D7</f>
        <v>0.10340565778632244</v>
      </c>
      <c r="F26" s="253">
        <f>(F7-E7)/E7</f>
        <v>0.21593030491599252</v>
      </c>
      <c r="G26" s="253">
        <f>(G7-F7)/F7</f>
        <v>0.11405663596042306</v>
      </c>
      <c r="H26" s="254">
        <f t="shared" ref="H26:N26" si="16">H7/G7-1</f>
        <v>0.10023581294214923</v>
      </c>
      <c r="I26" s="57">
        <f t="shared" si="16"/>
        <v>0.11357429750637138</v>
      </c>
      <c r="J26" s="57">
        <f t="shared" si="16"/>
        <v>0.11172664469823768</v>
      </c>
      <c r="K26" s="57">
        <f t="shared" si="16"/>
        <v>0.10943157994411346</v>
      </c>
      <c r="L26" s="57">
        <f t="shared" si="16"/>
        <v>0.10650632535007065</v>
      </c>
      <c r="M26" s="57">
        <f t="shared" si="16"/>
        <v>0.10773585342318026</v>
      </c>
      <c r="N26" s="57">
        <f t="shared" si="16"/>
        <v>0.10913357272080537</v>
      </c>
    </row>
    <row r="27" spans="1:14" ht="18">
      <c r="A27" s="251" t="s">
        <v>526</v>
      </c>
      <c r="B27" s="252"/>
      <c r="C27" s="251"/>
      <c r="D27" s="253"/>
      <c r="E27" s="253">
        <f>(E15-D15)/D15</f>
        <v>0.12236346850365741</v>
      </c>
      <c r="F27" s="253">
        <f>(F15-E15)/E15</f>
        <v>0.19039483675018984</v>
      </c>
      <c r="G27" s="253">
        <f>(G15-F15)/F15</f>
        <v>0.11624940200924892</v>
      </c>
      <c r="H27" s="253">
        <f t="shared" ref="H27:N27" si="17">H15/G15-1</f>
        <v>0.12357142857142867</v>
      </c>
      <c r="I27" s="58">
        <f t="shared" si="17"/>
        <v>0.14621834213164719</v>
      </c>
      <c r="J27" s="58">
        <f t="shared" si="17"/>
        <v>0.14307675848787915</v>
      </c>
      <c r="K27" s="58">
        <f t="shared" si="17"/>
        <v>0.13241009486538058</v>
      </c>
      <c r="L27" s="58">
        <f t="shared" si="17"/>
        <v>0.12605312438334382</v>
      </c>
      <c r="M27" s="58">
        <f t="shared" si="17"/>
        <v>0.12496420920881168</v>
      </c>
      <c r="N27" s="58">
        <f t="shared" si="17"/>
        <v>0.12365887716941404</v>
      </c>
    </row>
    <row r="28" spans="1:14" ht="18">
      <c r="A28" s="251" t="s">
        <v>527</v>
      </c>
      <c r="B28" s="252"/>
      <c r="C28" s="251"/>
      <c r="D28" s="253"/>
      <c r="E28" s="253">
        <f>(E18-D18)/D18</f>
        <v>0.11853448275862069</v>
      </c>
      <c r="F28" s="253">
        <f>(F18-E18)/E18</f>
        <v>0.18460982658959538</v>
      </c>
      <c r="G28" s="253">
        <f>(G18-F18)/F18</f>
        <v>0.1153298769950188</v>
      </c>
      <c r="H28" s="253">
        <f t="shared" ref="H28:N28" si="18">(H18-G18)/G18</f>
        <v>0.12240805723921068</v>
      </c>
      <c r="I28" s="58">
        <f t="shared" si="18"/>
        <v>0.14700286718757233</v>
      </c>
      <c r="J28" s="58">
        <f t="shared" si="18"/>
        <v>0.14156051470855274</v>
      </c>
      <c r="K28" s="58">
        <f t="shared" si="18"/>
        <v>0.1313902191216566</v>
      </c>
      <c r="L28" s="58">
        <f t="shared" si="18"/>
        <v>0.12529520876035002</v>
      </c>
      <c r="M28" s="58">
        <f t="shared" si="18"/>
        <v>0.12421912349402138</v>
      </c>
      <c r="N28" s="58">
        <f t="shared" si="18"/>
        <v>0.12296558919077602</v>
      </c>
    </row>
    <row r="29" spans="1:14" ht="18">
      <c r="A29" s="251" t="s">
        <v>528</v>
      </c>
      <c r="B29" s="252"/>
      <c r="C29" s="251"/>
      <c r="D29" s="253"/>
      <c r="E29" s="253">
        <f t="shared" ref="E29:N29" si="19">(E20-D20)/D20</f>
        <v>8.2951514737058057E-2</v>
      </c>
      <c r="F29" s="253">
        <f t="shared" si="19"/>
        <v>0.25113665066936097</v>
      </c>
      <c r="G29" s="253">
        <f t="shared" si="19"/>
        <v>7.3133801039721391E-2</v>
      </c>
      <c r="H29" s="253">
        <f t="shared" si="19"/>
        <v>0.11311259524033487</v>
      </c>
      <c r="I29" s="58">
        <f t="shared" si="19"/>
        <v>0.17249054024433674</v>
      </c>
      <c r="J29" s="58">
        <f t="shared" si="19"/>
        <v>0.14411223614580143</v>
      </c>
      <c r="K29" s="58">
        <f t="shared" si="19"/>
        <v>0.13346029152495403</v>
      </c>
      <c r="L29" s="58">
        <f t="shared" si="19"/>
        <v>0.12703681772997083</v>
      </c>
      <c r="M29" s="58">
        <f t="shared" si="19"/>
        <v>0.12575115093929831</v>
      </c>
      <c r="N29" s="58">
        <f t="shared" si="19"/>
        <v>0.12431274950456687</v>
      </c>
    </row>
    <row r="30" spans="1:14" ht="18">
      <c r="A30" s="251" t="s">
        <v>529</v>
      </c>
      <c r="B30" s="252"/>
      <c r="C30" s="251"/>
      <c r="D30" s="253"/>
      <c r="E30" s="253">
        <f>(E22-D22)/D22</f>
        <v>3.2908795623557571E-2</v>
      </c>
      <c r="F30" s="253">
        <f>(F22-E22)/E22</f>
        <v>0.37653095001655079</v>
      </c>
      <c r="G30" s="253">
        <f>(G22-F22)/F22</f>
        <v>5.1941805939641698E-2</v>
      </c>
      <c r="H30" s="253">
        <f t="shared" ref="H30:N30" si="20">(H22-G22)/G22</f>
        <v>0.11407017944907989</v>
      </c>
      <c r="I30" s="58">
        <f t="shared" si="20"/>
        <v>0.17968541399154103</v>
      </c>
      <c r="J30" s="58">
        <f t="shared" si="20"/>
        <v>0.14411223614580157</v>
      </c>
      <c r="K30" s="58">
        <f t="shared" si="20"/>
        <v>0.13346029152495401</v>
      </c>
      <c r="L30" s="58">
        <f t="shared" si="20"/>
        <v>0.12703681772997077</v>
      </c>
      <c r="M30" s="58">
        <f t="shared" si="20"/>
        <v>0.12575115093929831</v>
      </c>
      <c r="N30" s="58">
        <f t="shared" si="20"/>
        <v>0.12431274950456685</v>
      </c>
    </row>
    <row r="31" spans="1:14" ht="18">
      <c r="A31" s="251"/>
      <c r="B31" s="252"/>
      <c r="C31" s="251"/>
      <c r="D31" s="255"/>
      <c r="E31" s="253"/>
      <c r="F31" s="253"/>
      <c r="G31" s="253"/>
      <c r="H31" s="253"/>
      <c r="I31" s="58"/>
      <c r="J31" s="58"/>
      <c r="K31" s="58"/>
      <c r="L31" s="58"/>
      <c r="M31" s="58"/>
      <c r="N31" s="58"/>
    </row>
    <row r="32" spans="1:14" ht="18">
      <c r="A32" s="251" t="s">
        <v>530</v>
      </c>
      <c r="B32" s="252"/>
      <c r="C32" s="251"/>
      <c r="D32" s="253">
        <f t="shared" ref="D32:N32" si="21">D15/D7</f>
        <v>0.64455735603771858</v>
      </c>
      <c r="E32" s="253">
        <f t="shared" si="21"/>
        <v>0.65563161169881767</v>
      </c>
      <c r="F32" s="253">
        <f t="shared" si="21"/>
        <v>0.64186284544524053</v>
      </c>
      <c r="G32" s="253">
        <f t="shared" si="21"/>
        <v>0.64312620586163594</v>
      </c>
      <c r="H32" s="253">
        <f t="shared" si="21"/>
        <v>0.65676668707899566</v>
      </c>
      <c r="I32" s="58">
        <f t="shared" si="21"/>
        <v>0.67601957491001941</v>
      </c>
      <c r="J32" s="58">
        <f t="shared" si="21"/>
        <v>0.69508297570060384</v>
      </c>
      <c r="K32" s="58">
        <f t="shared" si="21"/>
        <v>0.7094795142680923</v>
      </c>
      <c r="L32" s="58">
        <f t="shared" si="21"/>
        <v>0.72201270379074167</v>
      </c>
      <c r="M32" s="58">
        <f t="shared" si="21"/>
        <v>0.73324199794440892</v>
      </c>
      <c r="N32" s="58">
        <f t="shared" si="21"/>
        <v>0.74284459542824643</v>
      </c>
    </row>
    <row r="33" spans="1:14" ht="18">
      <c r="A33" s="251" t="s">
        <v>531</v>
      </c>
      <c r="B33" s="252"/>
      <c r="C33" s="251"/>
      <c r="D33" s="253">
        <f t="shared" ref="D33:N33" si="22">D18/D7</f>
        <v>0.67966675821660716</v>
      </c>
      <c r="E33" s="253">
        <f t="shared" si="22"/>
        <v>0.688985687616677</v>
      </c>
      <c r="F33" s="253">
        <f t="shared" si="22"/>
        <v>0.67123848515864892</v>
      </c>
      <c r="G33" s="253">
        <f t="shared" si="22"/>
        <v>0.67200563501056565</v>
      </c>
      <c r="H33" s="253">
        <f t="shared" si="22"/>
        <v>0.68554807103490512</v>
      </c>
      <c r="I33" s="58">
        <f t="shared" si="22"/>
        <v>0.70612765114349862</v>
      </c>
      <c r="J33" s="58">
        <f t="shared" si="22"/>
        <v>0.72507702206608049</v>
      </c>
      <c r="K33" s="58">
        <f t="shared" si="22"/>
        <v>0.73942824929928996</v>
      </c>
      <c r="L33" s="58">
        <f t="shared" si="22"/>
        <v>0.75198401228777167</v>
      </c>
      <c r="M33" s="58">
        <f t="shared" si="22"/>
        <v>0.76317364339449256</v>
      </c>
      <c r="N33" s="58">
        <f t="shared" si="22"/>
        <v>0.77269118994119446</v>
      </c>
    </row>
    <row r="34" spans="1:14" ht="18">
      <c r="A34" s="251" t="s">
        <v>856</v>
      </c>
      <c r="B34" s="252"/>
      <c r="C34" s="251"/>
      <c r="D34" s="253">
        <f>D8/D7</f>
        <v>0.35544264396228142</v>
      </c>
      <c r="E34" s="253">
        <f t="shared" ref="E34:H34" si="23">E8/E7</f>
        <v>0.34436838830118233</v>
      </c>
      <c r="F34" s="253">
        <f t="shared" si="23"/>
        <v>0.35813715455475947</v>
      </c>
      <c r="G34" s="253">
        <f t="shared" si="23"/>
        <v>0.35687379413836401</v>
      </c>
      <c r="H34" s="253">
        <f t="shared" si="23"/>
        <v>0.34323331292100429</v>
      </c>
      <c r="I34" s="66">
        <f>H34</f>
        <v>0.34323331292100429</v>
      </c>
      <c r="J34" s="66">
        <f t="shared" ref="J34:N35" si="24">I34</f>
        <v>0.34323331292100429</v>
      </c>
      <c r="K34" s="66">
        <f t="shared" si="24"/>
        <v>0.34323331292100429</v>
      </c>
      <c r="L34" s="66">
        <f t="shared" si="24"/>
        <v>0.34323331292100429</v>
      </c>
      <c r="M34" s="66">
        <f t="shared" si="24"/>
        <v>0.34323331292100429</v>
      </c>
      <c r="N34" s="66">
        <f t="shared" si="24"/>
        <v>0.34323331292100429</v>
      </c>
    </row>
    <row r="35" spans="1:14" ht="18">
      <c r="A35" s="251" t="s">
        <v>532</v>
      </c>
      <c r="B35" s="252"/>
      <c r="C35" s="251"/>
      <c r="D35" s="253">
        <f>D9/D7</f>
        <v>9.4616863499038723E-2</v>
      </c>
      <c r="E35" s="253">
        <f>E9/E7</f>
        <v>8.7990043559427508E-2</v>
      </c>
      <c r="F35" s="253">
        <f t="shared" ref="F35:H35" si="25">F9/F7</f>
        <v>8.6318662572500857E-2</v>
      </c>
      <c r="G35" s="253">
        <f t="shared" si="25"/>
        <v>8.1799528374115707E-2</v>
      </c>
      <c r="H35" s="253">
        <f t="shared" si="25"/>
        <v>8.7902911540388581E-2</v>
      </c>
      <c r="I35" s="66">
        <f>H35</f>
        <v>8.7902911540388581E-2</v>
      </c>
      <c r="J35" s="66">
        <f t="shared" si="24"/>
        <v>8.7902911540388581E-2</v>
      </c>
      <c r="K35" s="66">
        <f t="shared" si="24"/>
        <v>8.7902911540388581E-2</v>
      </c>
      <c r="L35" s="66">
        <f t="shared" si="24"/>
        <v>8.7902911540388581E-2</v>
      </c>
      <c r="M35" s="66">
        <f t="shared" si="24"/>
        <v>8.7902911540388581E-2</v>
      </c>
      <c r="N35" s="66">
        <f t="shared" si="24"/>
        <v>8.7902911540388581E-2</v>
      </c>
    </row>
    <row r="36" spans="1:14" ht="18">
      <c r="A36" s="251" t="s">
        <v>533</v>
      </c>
      <c r="B36" s="252"/>
      <c r="C36" s="251"/>
      <c r="D36" s="253">
        <f t="shared" ref="D36:N36" si="26">D17/D7</f>
        <v>3.5109402178888582E-2</v>
      </c>
      <c r="E36" s="253">
        <f t="shared" si="26"/>
        <v>3.3354075917859362E-2</v>
      </c>
      <c r="F36" s="253">
        <f t="shared" si="26"/>
        <v>2.9375639713408393E-2</v>
      </c>
      <c r="G36" s="253">
        <f t="shared" si="26"/>
        <v>2.8879429148929655E-2</v>
      </c>
      <c r="H36" s="254">
        <f t="shared" si="26"/>
        <v>2.878138395590937E-2</v>
      </c>
      <c r="I36" s="57">
        <f t="shared" si="26"/>
        <v>3.0108076233479174E-2</v>
      </c>
      <c r="J36" s="57">
        <f t="shared" si="26"/>
        <v>2.9994046365476663E-2</v>
      </c>
      <c r="K36" s="57">
        <f t="shared" si="26"/>
        <v>2.9948735031197712E-2</v>
      </c>
      <c r="L36" s="57">
        <f t="shared" si="26"/>
        <v>2.9971308497030006E-2</v>
      </c>
      <c r="M36" s="57">
        <f t="shared" si="26"/>
        <v>2.9931645450083699E-2</v>
      </c>
      <c r="N36" s="57">
        <f t="shared" si="26"/>
        <v>2.9846594512948094E-2</v>
      </c>
    </row>
    <row r="37" spans="1:14" ht="18">
      <c r="A37" s="251" t="s">
        <v>534</v>
      </c>
      <c r="B37" s="252"/>
      <c r="C37" s="251"/>
      <c r="D37" s="253">
        <f>D21/D20</f>
        <v>0.19995896874786295</v>
      </c>
      <c r="E37" s="253">
        <f>E21/E20</f>
        <v>0.23692851730234907</v>
      </c>
      <c r="F37" s="253">
        <f t="shared" ref="F37:G37" si="27">F21/F20</f>
        <v>0.16045020945843638</v>
      </c>
      <c r="G37" s="253">
        <f t="shared" si="27"/>
        <v>0.17702944219734737</v>
      </c>
      <c r="H37" s="253">
        <f>H21/H20</f>
        <v>0.17632146026112308</v>
      </c>
      <c r="I37" s="66">
        <f>AVERAGE(F37:H37)</f>
        <v>0.17126703730563561</v>
      </c>
      <c r="J37" s="66">
        <f>I37</f>
        <v>0.17126703730563561</v>
      </c>
      <c r="K37" s="66">
        <f t="shared" ref="K37:N37" si="28">J37</f>
        <v>0.17126703730563561</v>
      </c>
      <c r="L37" s="66">
        <f t="shared" si="28"/>
        <v>0.17126703730563561</v>
      </c>
      <c r="M37" s="66">
        <f t="shared" si="28"/>
        <v>0.17126703730563561</v>
      </c>
      <c r="N37" s="66">
        <f t="shared" si="28"/>
        <v>0.17126703730563561</v>
      </c>
    </row>
  </sheetData>
  <mergeCells count="2">
    <mergeCell ref="I5:N5"/>
    <mergeCell ref="A5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DFE5-516F-4E65-BC1C-718B310D9A7C}">
  <dimension ref="A1:Z45"/>
  <sheetViews>
    <sheetView zoomScale="85" zoomScaleNormal="85" workbookViewId="0">
      <selection activeCell="N19" sqref="N19"/>
    </sheetView>
  </sheetViews>
  <sheetFormatPr defaultColWidth="8.69921875" defaultRowHeight="17.399999999999999"/>
  <cols>
    <col min="1" max="13" width="8.69921875" style="20"/>
    <col min="14" max="14" width="8.69921875" style="419"/>
    <col min="15" max="15" width="8.69921875" style="20"/>
    <col min="16" max="16" width="8.69921875" style="54"/>
    <col min="17" max="16384" width="8.69921875" style="20"/>
  </cols>
  <sheetData>
    <row r="1" spans="1:26" s="44" customFormat="1" ht="17.7" customHeight="1">
      <c r="A1" s="41" t="s">
        <v>511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72"/>
      <c r="O1" s="42"/>
      <c r="P1" s="64"/>
    </row>
    <row r="2" spans="1:26" s="46" customFormat="1" ht="17.7" customHeight="1">
      <c r="A2" s="45" t="s">
        <v>396</v>
      </c>
      <c r="N2" s="73"/>
      <c r="P2" s="65"/>
    </row>
    <row r="3" spans="1:26" s="46" customFormat="1" ht="17.7" customHeight="1">
      <c r="A3" s="47" t="s">
        <v>395</v>
      </c>
      <c r="B3" s="210"/>
      <c r="N3" s="73"/>
      <c r="P3" s="65"/>
    </row>
    <row r="4" spans="1:26" ht="18" thickBot="1">
      <c r="N4" s="20"/>
      <c r="P4" s="20"/>
    </row>
    <row r="5" spans="1:26" s="166" customFormat="1" ht="18.600000000000001" thickBot="1">
      <c r="A5" s="577" t="s">
        <v>423</v>
      </c>
      <c r="B5" s="577"/>
      <c r="C5" s="577"/>
      <c r="D5" s="577"/>
      <c r="E5" s="577"/>
      <c r="F5" s="577"/>
      <c r="G5" s="577"/>
      <c r="H5" s="577"/>
      <c r="I5" s="576" t="s">
        <v>424</v>
      </c>
      <c r="J5" s="576"/>
      <c r="K5" s="576"/>
      <c r="L5" s="576"/>
      <c r="M5" s="576"/>
      <c r="N5" s="576"/>
      <c r="O5" s="351"/>
      <c r="P5" s="420" t="s">
        <v>425</v>
      </c>
      <c r="Q5" s="59"/>
      <c r="R5" s="59"/>
      <c r="S5" s="59"/>
      <c r="T5" s="59"/>
      <c r="U5" s="59"/>
      <c r="V5" s="59"/>
      <c r="W5" s="59"/>
      <c r="X5" s="59"/>
      <c r="Y5" s="352"/>
      <c r="Z5" s="352"/>
    </row>
    <row r="6" spans="1:26" s="166" customFormat="1" ht="18">
      <c r="A6" s="349"/>
      <c r="B6" s="335"/>
      <c r="C6" s="335"/>
      <c r="D6" s="220" t="s">
        <v>426</v>
      </c>
      <c r="E6" s="221" t="s">
        <v>427</v>
      </c>
      <c r="F6" s="221" t="s">
        <v>428</v>
      </c>
      <c r="G6" s="221" t="s">
        <v>429</v>
      </c>
      <c r="H6" s="350" t="s">
        <v>475</v>
      </c>
      <c r="I6" s="221" t="s">
        <v>430</v>
      </c>
      <c r="J6" s="221" t="s">
        <v>431</v>
      </c>
      <c r="K6" s="221" t="s">
        <v>432</v>
      </c>
      <c r="L6" s="221" t="s">
        <v>433</v>
      </c>
      <c r="M6" s="221" t="s">
        <v>434</v>
      </c>
      <c r="N6" s="221" t="s">
        <v>435</v>
      </c>
      <c r="O6" s="351"/>
      <c r="P6" s="351"/>
      <c r="Q6" s="59"/>
      <c r="R6" s="59"/>
      <c r="S6" s="59"/>
      <c r="T6" s="59"/>
      <c r="U6" s="59"/>
      <c r="V6" s="59"/>
      <c r="W6" s="59"/>
      <c r="X6" s="59"/>
      <c r="Y6" s="352"/>
      <c r="Z6" s="352"/>
    </row>
    <row r="7" spans="1:26" s="166" customFormat="1" ht="18">
      <c r="A7" s="353" t="s">
        <v>506</v>
      </c>
      <c r="B7" s="353"/>
      <c r="C7" s="353"/>
      <c r="D7" s="354">
        <f>'BS 표준화'!C23</f>
        <v>2737</v>
      </c>
      <c r="E7" s="354">
        <f>'BS 표준화'!D23</f>
        <v>3230</v>
      </c>
      <c r="F7" s="354">
        <f>'BS 표준화'!E23</f>
        <v>3703</v>
      </c>
      <c r="G7" s="354">
        <f>'BS 표준화'!F23</f>
        <v>3913</v>
      </c>
      <c r="H7" s="354">
        <f>'BS 표준화'!G23</f>
        <v>4697</v>
      </c>
      <c r="I7" s="355">
        <f>I16</f>
        <v>5225.9254663648917</v>
      </c>
      <c r="J7" s="355">
        <f t="shared" ref="J7:N7" si="0">J16</f>
        <v>5812.9553945287289</v>
      </c>
      <c r="K7" s="355">
        <f t="shared" si="0"/>
        <v>6460.6049515164887</v>
      </c>
      <c r="L7" s="355">
        <f t="shared" si="0"/>
        <v>7170.4149097073278</v>
      </c>
      <c r="M7" s="355">
        <f t="shared" si="0"/>
        <v>7953.4060335833801</v>
      </c>
      <c r="N7" s="355">
        <f t="shared" si="0"/>
        <v>8821.7383003150717</v>
      </c>
      <c r="O7" s="356"/>
      <c r="P7" s="176"/>
      <c r="Q7" s="358"/>
      <c r="R7" s="358"/>
      <c r="S7" s="358"/>
      <c r="T7" s="358"/>
      <c r="U7" s="358"/>
      <c r="V7" s="358"/>
      <c r="W7" s="358"/>
      <c r="X7" s="358"/>
      <c r="Y7" s="358"/>
      <c r="Z7" s="358"/>
    </row>
    <row r="8" spans="1:26" s="166" customFormat="1" ht="18">
      <c r="A8" s="353" t="s">
        <v>507</v>
      </c>
      <c r="B8" s="353"/>
      <c r="C8" s="353"/>
      <c r="D8" s="352">
        <f>'BS 표준화'!C29</f>
        <v>43718</v>
      </c>
      <c r="E8" s="352">
        <f>'BS 표준화'!D29</f>
        <v>43622</v>
      </c>
      <c r="F8" s="352">
        <f>'BS 표준화'!E29</f>
        <v>42852</v>
      </c>
      <c r="G8" s="352">
        <f>'BS 표준화'!F29</f>
        <v>44101</v>
      </c>
      <c r="H8" s="352">
        <f>'BS 표준화'!G29</f>
        <v>45830</v>
      </c>
      <c r="I8" s="355">
        <f>I25</f>
        <v>47566.265172239029</v>
      </c>
      <c r="J8" s="355">
        <f t="shared" ref="J8:N8" si="1">J25</f>
        <v>49502.579628909247</v>
      </c>
      <c r="K8" s="355">
        <f t="shared" si="1"/>
        <v>51656.643822113037</v>
      </c>
      <c r="L8" s="355">
        <f t="shared" si="1"/>
        <v>54045.715373545732</v>
      </c>
      <c r="M8" s="355">
        <f t="shared" si="1"/>
        <v>56697.865251718154</v>
      </c>
      <c r="N8" s="355">
        <f t="shared" si="1"/>
        <v>59645.268512950111</v>
      </c>
      <c r="O8" s="356"/>
      <c r="P8" s="176"/>
      <c r="Q8" s="358"/>
      <c r="R8" s="358"/>
      <c r="S8" s="358"/>
      <c r="T8" s="358"/>
      <c r="U8" s="358"/>
      <c r="V8" s="358"/>
      <c r="W8" s="358"/>
      <c r="X8" s="358"/>
      <c r="Y8" s="358"/>
      <c r="Z8" s="358"/>
    </row>
    <row r="9" spans="1:26" s="166" customFormat="1" ht="18">
      <c r="A9" s="353" t="s">
        <v>458</v>
      </c>
      <c r="B9" s="353"/>
      <c r="C9" s="353"/>
      <c r="D9" s="354">
        <f>D10-SUM(D7:D8)</f>
        <v>7165</v>
      </c>
      <c r="E9" s="354">
        <f t="shared" ref="E9:H9" si="2">E10-SUM(E7:E8)</f>
        <v>3535</v>
      </c>
      <c r="F9" s="354">
        <f t="shared" si="2"/>
        <v>5186</v>
      </c>
      <c r="G9" s="354">
        <f t="shared" si="2"/>
        <v>5118</v>
      </c>
      <c r="H9" s="354">
        <f t="shared" si="2"/>
        <v>11102</v>
      </c>
      <c r="I9" s="359">
        <f>AVERAGE(F9:H9)</f>
        <v>7135.333333333333</v>
      </c>
      <c r="J9" s="359">
        <f t="shared" ref="J9:N9" si="3">AVERAGE(G9:I9)</f>
        <v>7785.1111111111104</v>
      </c>
      <c r="K9" s="359">
        <f t="shared" si="3"/>
        <v>8674.1481481481478</v>
      </c>
      <c r="L9" s="359">
        <f t="shared" si="3"/>
        <v>7864.8641975308637</v>
      </c>
      <c r="M9" s="359">
        <f t="shared" si="3"/>
        <v>8108.041152263374</v>
      </c>
      <c r="N9" s="359">
        <f t="shared" si="3"/>
        <v>8215.6844993141276</v>
      </c>
      <c r="O9" s="356"/>
      <c r="P9" s="310" t="s">
        <v>931</v>
      </c>
      <c r="Q9" s="358"/>
      <c r="R9" s="358"/>
      <c r="S9" s="358"/>
      <c r="T9" s="358"/>
      <c r="U9" s="358"/>
      <c r="V9" s="358"/>
      <c r="W9" s="358"/>
      <c r="X9" s="358"/>
      <c r="Y9" s="358"/>
      <c r="Z9" s="358"/>
    </row>
    <row r="10" spans="1:26" s="162" customFormat="1" ht="18">
      <c r="A10" s="360" t="s">
        <v>459</v>
      </c>
      <c r="B10" s="361"/>
      <c r="C10" s="360"/>
      <c r="D10" s="362">
        <f>'BS(Yearly)'!B17+'BS(Yearly)'!B22+'BS(Yearly)'!B26+'BS(Yearly)'!B28+'BS(Yearly)'!B25+'BS(Yearly)'!B31</f>
        <v>53620</v>
      </c>
      <c r="E10" s="362">
        <f>'BS(Yearly)'!C9+'BS(Yearly)'!C17+'BS(Yearly)'!C22+'BS(Yearly)'!C23+'BS(Yearly)'!C24</f>
        <v>50387</v>
      </c>
      <c r="F10" s="362">
        <f>'BS(Yearly)'!D9+'BS(Yearly)'!D17+'BS(Yearly)'!D22+'BS(Yearly)'!D23+'BS(Yearly)'!D24</f>
        <v>51741</v>
      </c>
      <c r="G10" s="362">
        <f>'BS(Yearly)'!E9+'BS(Yearly)'!E17+'BS(Yearly)'!E22+'BS(Yearly)'!E23+'BS(Yearly)'!E24</f>
        <v>53132</v>
      </c>
      <c r="H10" s="362">
        <f>'BS(Yearly)'!F9+'BS(Yearly)'!F17+'BS(Yearly)'!F22+'BS(Yearly)'!F23+'BS(Yearly)'!F24</f>
        <v>61629</v>
      </c>
      <c r="I10" s="363">
        <f>SUM(I7:I9)</f>
        <v>59927.523971937255</v>
      </c>
      <c r="J10" s="363">
        <f t="shared" ref="J10:N10" si="4">SUM(J7:J9)</f>
        <v>63100.646134549082</v>
      </c>
      <c r="K10" s="363">
        <f t="shared" si="4"/>
        <v>66791.396921777676</v>
      </c>
      <c r="L10" s="363">
        <f t="shared" si="4"/>
        <v>69080.994480783935</v>
      </c>
      <c r="M10" s="363">
        <f t="shared" si="4"/>
        <v>72759.312437564906</v>
      </c>
      <c r="N10" s="363">
        <f t="shared" si="4"/>
        <v>76682.691312579307</v>
      </c>
      <c r="O10" s="356"/>
      <c r="P10" s="537"/>
      <c r="Q10" s="364"/>
      <c r="R10" s="364"/>
      <c r="S10" s="364"/>
      <c r="T10" s="364"/>
      <c r="U10" s="364"/>
      <c r="V10" s="364"/>
      <c r="W10" s="364"/>
      <c r="X10" s="364"/>
      <c r="Y10" s="364"/>
      <c r="Z10" s="364"/>
    </row>
    <row r="11" spans="1:26" s="162" customFormat="1" ht="18">
      <c r="B11" s="353"/>
      <c r="D11" s="354"/>
      <c r="E11" s="354"/>
      <c r="F11" s="354"/>
      <c r="G11" s="354"/>
      <c r="H11" s="354"/>
      <c r="I11" s="354"/>
      <c r="J11" s="355"/>
      <c r="K11" s="355"/>
      <c r="L11" s="355"/>
      <c r="M11" s="355"/>
      <c r="N11" s="355"/>
      <c r="O11" s="356"/>
      <c r="P11" s="537"/>
      <c r="Q11" s="364"/>
      <c r="R11" s="364"/>
      <c r="S11" s="364"/>
      <c r="T11" s="364"/>
      <c r="U11" s="364"/>
      <c r="V11" s="364"/>
      <c r="W11" s="364"/>
      <c r="X11" s="364"/>
      <c r="Y11" s="364"/>
      <c r="Z11" s="364"/>
    </row>
    <row r="12" spans="1:26" s="166" customFormat="1" ht="18.600000000000001" thickBot="1">
      <c r="A12" s="365" t="s">
        <v>460</v>
      </c>
      <c r="B12" s="366"/>
      <c r="C12" s="366"/>
      <c r="D12" s="366"/>
      <c r="E12" s="367"/>
      <c r="F12" s="367"/>
      <c r="G12" s="367"/>
      <c r="H12" s="367"/>
      <c r="I12" s="367"/>
      <c r="J12" s="367"/>
      <c r="K12" s="367"/>
      <c r="L12" s="367"/>
      <c r="M12" s="367"/>
      <c r="N12" s="368"/>
      <c r="O12" s="352"/>
      <c r="P12" s="537"/>
      <c r="Q12" s="358"/>
      <c r="R12" s="358"/>
      <c r="S12" s="358"/>
      <c r="T12" s="358"/>
      <c r="U12" s="358"/>
      <c r="V12" s="358"/>
      <c r="W12" s="358"/>
      <c r="X12" s="358"/>
      <c r="Y12" s="358"/>
      <c r="Z12" s="358"/>
    </row>
    <row r="13" spans="1:26" s="166" customFormat="1" ht="18.600000000000001" thickTop="1">
      <c r="A13" s="369" t="s">
        <v>508</v>
      </c>
      <c r="B13" s="370"/>
      <c r="C13" s="370"/>
      <c r="D13" s="371">
        <v>2695</v>
      </c>
      <c r="E13" s="371">
        <f>D16</f>
        <v>2737</v>
      </c>
      <c r="F13" s="371">
        <f t="shared" ref="F13:H13" si="5">E16</f>
        <v>3230</v>
      </c>
      <c r="G13" s="371">
        <f t="shared" si="5"/>
        <v>3703</v>
      </c>
      <c r="H13" s="371">
        <f t="shared" si="5"/>
        <v>3913</v>
      </c>
      <c r="I13" s="355">
        <f>H16</f>
        <v>4697</v>
      </c>
      <c r="J13" s="355">
        <f t="shared" ref="J13:N13" si="6">I16</f>
        <v>5225.9254663648917</v>
      </c>
      <c r="K13" s="355">
        <f t="shared" si="6"/>
        <v>5812.9553945287289</v>
      </c>
      <c r="L13" s="355">
        <f t="shared" si="6"/>
        <v>6460.6049515164887</v>
      </c>
      <c r="M13" s="355">
        <f t="shared" si="6"/>
        <v>7170.4149097073278</v>
      </c>
      <c r="N13" s="355">
        <f t="shared" si="6"/>
        <v>7953.4060335833801</v>
      </c>
      <c r="O13" s="356"/>
      <c r="P13" s="537"/>
      <c r="Q13" s="372"/>
      <c r="R13" s="372"/>
      <c r="S13" s="373"/>
      <c r="T13" s="358"/>
      <c r="U13" s="358"/>
      <c r="V13" s="358"/>
      <c r="W13" s="358"/>
      <c r="X13" s="358"/>
      <c r="Y13" s="358"/>
      <c r="Z13" s="358"/>
    </row>
    <row r="14" spans="1:26" s="166" customFormat="1" ht="18">
      <c r="A14" s="369" t="s">
        <v>509</v>
      </c>
      <c r="B14" s="370"/>
      <c r="C14" s="370"/>
      <c r="D14" s="371">
        <f>D16+D15-D13</f>
        <v>729</v>
      </c>
      <c r="E14" s="371">
        <f>E16+E15-E13</f>
        <v>1214</v>
      </c>
      <c r="F14" s="371">
        <f>F16+F15-F13</f>
        <v>1244</v>
      </c>
      <c r="G14" s="371">
        <f>G16+G15-G13</f>
        <v>1077</v>
      </c>
      <c r="H14" s="371">
        <f>H16+H15-H13</f>
        <v>1739</v>
      </c>
      <c r="I14" s="355">
        <f>매출액!H7*I18</f>
        <v>1651.3400683760967</v>
      </c>
      <c r="J14" s="355">
        <f>매출액!I7*J18</f>
        <v>1835.8387534715164</v>
      </c>
      <c r="K14" s="355">
        <f>매출액!J7*K18</f>
        <v>2036.737488786536</v>
      </c>
      <c r="L14" s="355">
        <f>매출액!K7*L18</f>
        <v>2253.662914419921</v>
      </c>
      <c r="M14" s="355">
        <f>매출액!L7*M18</f>
        <v>2496.4632118331228</v>
      </c>
      <c r="N14" s="355">
        <f>매출액!M7*N18</f>
        <v>2768.9111613065284</v>
      </c>
      <c r="O14" s="356"/>
      <c r="P14" s="537"/>
      <c r="Q14" s="372"/>
      <c r="R14" s="372"/>
      <c r="S14" s="372"/>
      <c r="T14" s="358"/>
      <c r="U14" s="358"/>
      <c r="V14" s="358"/>
      <c r="W14" s="358"/>
      <c r="X14" s="358"/>
      <c r="Y14" s="358"/>
      <c r="Z14" s="358"/>
    </row>
    <row r="15" spans="1:26" s="166" customFormat="1" ht="18">
      <c r="A15" s="374" t="s">
        <v>462</v>
      </c>
      <c r="B15" s="370"/>
      <c r="D15" s="370">
        <f>'IS(Yearly)'!C68</f>
        <v>687</v>
      </c>
      <c r="E15" s="370">
        <f>'IS(Yearly)'!D68</f>
        <v>721</v>
      </c>
      <c r="F15" s="370">
        <f>'IS(Yearly)'!E68</f>
        <v>771</v>
      </c>
      <c r="G15" s="370">
        <f>'IS(Yearly)'!F68</f>
        <v>867</v>
      </c>
      <c r="H15" s="370">
        <f>'IS(Yearly)'!G68</f>
        <v>955</v>
      </c>
      <c r="I15" s="363">
        <f>I13*I19</f>
        <v>1122.414602011205</v>
      </c>
      <c r="J15" s="363">
        <f t="shared" ref="J15:N15" si="7">J13*J19</f>
        <v>1248.8088253076796</v>
      </c>
      <c r="K15" s="363">
        <f t="shared" si="7"/>
        <v>1389.087931798776</v>
      </c>
      <c r="L15" s="363">
        <f t="shared" si="7"/>
        <v>1543.8529562290826</v>
      </c>
      <c r="M15" s="363">
        <f t="shared" si="7"/>
        <v>1713.4720879570707</v>
      </c>
      <c r="N15" s="363">
        <f t="shared" si="7"/>
        <v>1900.5788945748363</v>
      </c>
      <c r="O15" s="356"/>
      <c r="P15" s="537"/>
      <c r="Q15" s="372"/>
      <c r="R15" s="372"/>
      <c r="S15" s="372"/>
      <c r="T15" s="358"/>
      <c r="U15" s="358"/>
      <c r="V15" s="358"/>
      <c r="W15" s="358"/>
      <c r="X15" s="358"/>
      <c r="Y15" s="358"/>
      <c r="Z15" s="358"/>
    </row>
    <row r="16" spans="1:26" s="166" customFormat="1" ht="18">
      <c r="A16" s="375" t="s">
        <v>510</v>
      </c>
      <c r="B16" s="376"/>
      <c r="C16" s="376"/>
      <c r="D16" s="376">
        <f>D7</f>
        <v>2737</v>
      </c>
      <c r="E16" s="376">
        <f>E7</f>
        <v>3230</v>
      </c>
      <c r="F16" s="376">
        <f>F7</f>
        <v>3703</v>
      </c>
      <c r="G16" s="376">
        <f>G7</f>
        <v>3913</v>
      </c>
      <c r="H16" s="376">
        <f>H7</f>
        <v>4697</v>
      </c>
      <c r="I16" s="377">
        <f>I13+I14-I15</f>
        <v>5225.9254663648917</v>
      </c>
      <c r="J16" s="377">
        <f t="shared" ref="J16:N16" si="8">J13+J14-J15</f>
        <v>5812.9553945287289</v>
      </c>
      <c r="K16" s="377">
        <f t="shared" si="8"/>
        <v>6460.6049515164887</v>
      </c>
      <c r="L16" s="377">
        <f t="shared" si="8"/>
        <v>7170.4149097073278</v>
      </c>
      <c r="M16" s="377">
        <f t="shared" si="8"/>
        <v>7953.4060335833801</v>
      </c>
      <c r="N16" s="377">
        <f t="shared" si="8"/>
        <v>8821.7383003150717</v>
      </c>
      <c r="O16" s="356"/>
      <c r="P16" s="537"/>
      <c r="Q16" s="372"/>
      <c r="R16" s="372"/>
      <c r="S16" s="372"/>
      <c r="T16" s="358"/>
      <c r="U16" s="358"/>
      <c r="V16" s="358"/>
      <c r="W16" s="358"/>
      <c r="X16" s="358"/>
      <c r="Y16" s="358"/>
      <c r="Z16" s="358"/>
    </row>
    <row r="17" spans="1:26" s="166" customFormat="1" ht="18">
      <c r="A17" s="378"/>
      <c r="B17" s="379"/>
      <c r="C17" s="379"/>
      <c r="D17" s="379"/>
      <c r="E17" s="379"/>
      <c r="F17" s="379"/>
      <c r="G17" s="379"/>
      <c r="H17" s="379"/>
      <c r="I17" s="370"/>
      <c r="J17" s="355"/>
      <c r="K17" s="355"/>
      <c r="L17" s="355"/>
      <c r="M17" s="355"/>
      <c r="N17" s="355"/>
      <c r="O17" s="356"/>
      <c r="P17" s="537"/>
      <c r="Q17" s="372"/>
      <c r="R17" s="372"/>
      <c r="S17" s="372"/>
      <c r="T17" s="358"/>
      <c r="U17" s="358"/>
      <c r="V17" s="358"/>
      <c r="W17" s="358"/>
      <c r="X17" s="358"/>
      <c r="Y17" s="358"/>
      <c r="Z17" s="358"/>
    </row>
    <row r="18" spans="1:26" s="162" customFormat="1" ht="18">
      <c r="A18" s="380" t="s">
        <v>463</v>
      </c>
      <c r="B18" s="166"/>
      <c r="C18" s="166"/>
      <c r="D18" s="381">
        <f>D14/'IS(Yearly)'!C6</f>
        <v>3.3369953309530347E-2</v>
      </c>
      <c r="E18" s="381">
        <f>E14/'IS(Yearly)'!D6</f>
        <v>5.0362995229205558E-2</v>
      </c>
      <c r="F18" s="381">
        <f>F14/'IS(Yearly)'!E6</f>
        <v>4.2442852268850223E-2</v>
      </c>
      <c r="G18" s="381">
        <f>G14/'IS(Yearly)'!F6</f>
        <v>3.2983186843475329E-2</v>
      </c>
      <c r="H18" s="381">
        <f>H14/'IS(Yearly)'!G6</f>
        <v>4.8405054834938482E-2</v>
      </c>
      <c r="I18" s="381">
        <f>AVERAGE(F18:H18)</f>
        <v>4.1277031315754678E-2</v>
      </c>
      <c r="J18" s="381">
        <f>I18</f>
        <v>4.1277031315754678E-2</v>
      </c>
      <c r="K18" s="381">
        <f t="shared" ref="K18:N18" si="9">J18</f>
        <v>4.1277031315754678E-2</v>
      </c>
      <c r="L18" s="381">
        <f t="shared" si="9"/>
        <v>4.1277031315754678E-2</v>
      </c>
      <c r="M18" s="381">
        <f t="shared" si="9"/>
        <v>4.1277031315754678E-2</v>
      </c>
      <c r="N18" s="381">
        <f t="shared" si="9"/>
        <v>4.1277031315754678E-2</v>
      </c>
      <c r="O18" s="382"/>
      <c r="P18" s="310" t="s">
        <v>931</v>
      </c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 spans="1:26" ht="18">
      <c r="A19" s="380" t="s">
        <v>464</v>
      </c>
      <c r="B19" s="166"/>
      <c r="C19" s="166"/>
      <c r="D19" s="381">
        <f>D15/D13</f>
        <v>0.25491651205936922</v>
      </c>
      <c r="E19" s="381">
        <f>E15/E13</f>
        <v>0.26342710997442453</v>
      </c>
      <c r="F19" s="381">
        <f>F15/F13</f>
        <v>0.23869969040247679</v>
      </c>
      <c r="G19" s="381">
        <f>G15/G13</f>
        <v>0.23413448555225494</v>
      </c>
      <c r="H19" s="381">
        <f>H15/H13</f>
        <v>0.24405826731408126</v>
      </c>
      <c r="I19" s="381">
        <f>AVERAGE(F19:H19)</f>
        <v>0.23896414775627103</v>
      </c>
      <c r="J19" s="381">
        <f>I19</f>
        <v>0.23896414775627103</v>
      </c>
      <c r="K19" s="381">
        <f t="shared" ref="K19:N19" si="10">J19</f>
        <v>0.23896414775627103</v>
      </c>
      <c r="L19" s="381">
        <f t="shared" si="10"/>
        <v>0.23896414775627103</v>
      </c>
      <c r="M19" s="381">
        <f t="shared" si="10"/>
        <v>0.23896414775627103</v>
      </c>
      <c r="N19" s="381">
        <f t="shared" si="10"/>
        <v>0.23896414775627103</v>
      </c>
      <c r="O19" s="382"/>
      <c r="P19" s="310" t="s">
        <v>931</v>
      </c>
      <c r="Q19" s="384"/>
      <c r="R19" s="384"/>
      <c r="S19" s="384"/>
      <c r="T19" s="384"/>
      <c r="U19" s="384"/>
      <c r="V19" s="384"/>
      <c r="W19" s="384"/>
      <c r="X19" s="384"/>
      <c r="Y19" s="384"/>
      <c r="Z19" s="384"/>
    </row>
    <row r="20" spans="1:26" ht="18">
      <c r="A20" s="385"/>
      <c r="B20" s="166"/>
      <c r="C20" s="166"/>
      <c r="D20" s="102"/>
      <c r="E20" s="102"/>
      <c r="F20" s="102"/>
      <c r="G20" s="102"/>
      <c r="H20" s="102"/>
      <c r="I20" s="379"/>
      <c r="J20" s="379"/>
      <c r="K20" s="379"/>
      <c r="L20" s="379"/>
      <c r="M20" s="379"/>
      <c r="N20" s="379"/>
      <c r="O20" s="379"/>
      <c r="P20" s="537"/>
      <c r="Q20" s="384"/>
      <c r="R20" s="384"/>
      <c r="S20" s="384"/>
      <c r="T20" s="384"/>
      <c r="U20" s="384"/>
      <c r="V20" s="384"/>
      <c r="W20" s="384"/>
      <c r="X20" s="384"/>
      <c r="Y20" s="384"/>
      <c r="Z20" s="384"/>
    </row>
    <row r="21" spans="1:26" s="166" customFormat="1" ht="18.600000000000001" thickBot="1">
      <c r="A21" s="365" t="s">
        <v>465</v>
      </c>
      <c r="B21" s="366"/>
      <c r="C21" s="366"/>
      <c r="D21" s="366"/>
      <c r="E21" s="366"/>
      <c r="F21" s="366"/>
      <c r="G21" s="366"/>
      <c r="H21" s="366"/>
      <c r="I21" s="367"/>
      <c r="J21" s="367"/>
      <c r="K21" s="367"/>
      <c r="L21" s="367"/>
      <c r="M21" s="367"/>
      <c r="N21" s="368"/>
      <c r="O21" s="386"/>
      <c r="P21" s="537"/>
      <c r="Q21" s="358"/>
      <c r="R21" s="358"/>
      <c r="S21" s="358"/>
      <c r="T21" s="358"/>
      <c r="U21" s="358"/>
      <c r="V21" s="358"/>
      <c r="W21" s="358"/>
      <c r="X21" s="358"/>
      <c r="Y21" s="358"/>
      <c r="Z21" s="358"/>
    </row>
    <row r="22" spans="1:26" ht="18" thickTop="1">
      <c r="A22" s="387" t="s">
        <v>466</v>
      </c>
      <c r="B22" s="352"/>
      <c r="C22" s="352"/>
      <c r="D22" s="59">
        <v>42436</v>
      </c>
      <c r="E22" s="352">
        <f>D25</f>
        <v>43718</v>
      </c>
      <c r="F22" s="352">
        <f t="shared" ref="F22:H22" si="11">E25</f>
        <v>43622</v>
      </c>
      <c r="G22" s="352">
        <f t="shared" si="11"/>
        <v>42852</v>
      </c>
      <c r="H22" s="352">
        <f t="shared" si="11"/>
        <v>44101</v>
      </c>
      <c r="I22" s="355">
        <f>H25</f>
        <v>45830</v>
      </c>
      <c r="J22" s="355">
        <f t="shared" ref="J22:N22" si="12">I25</f>
        <v>47566.265172239029</v>
      </c>
      <c r="K22" s="355">
        <f t="shared" si="12"/>
        <v>49502.579628909247</v>
      </c>
      <c r="L22" s="355">
        <f t="shared" si="12"/>
        <v>51656.643822113037</v>
      </c>
      <c r="M22" s="355">
        <f t="shared" si="12"/>
        <v>54045.715373545732</v>
      </c>
      <c r="N22" s="355">
        <f t="shared" si="12"/>
        <v>56697.865251718154</v>
      </c>
      <c r="O22" s="388"/>
      <c r="P22" s="537"/>
      <c r="Q22" s="384"/>
      <c r="R22" s="384"/>
      <c r="S22" s="384"/>
      <c r="T22" s="384"/>
      <c r="U22" s="384"/>
      <c r="V22" s="384"/>
      <c r="W22" s="384"/>
      <c r="X22" s="384"/>
      <c r="Y22" s="384"/>
      <c r="Z22" s="384"/>
    </row>
    <row r="23" spans="1:26" s="166" customFormat="1" ht="18">
      <c r="A23" s="387" t="s">
        <v>461</v>
      </c>
      <c r="B23" s="352"/>
      <c r="C23" s="352"/>
      <c r="D23" s="371">
        <f>D25+D24-D22</f>
        <v>1362</v>
      </c>
      <c r="E23" s="371">
        <f>E25+E24-E22</f>
        <v>-13</v>
      </c>
      <c r="F23" s="371">
        <f>F25+F24-F22</f>
        <v>-680</v>
      </c>
      <c r="G23" s="371">
        <f>G25+G24-G22</f>
        <v>1325</v>
      </c>
      <c r="H23" s="371">
        <f>H25+H24-H22</f>
        <v>1808</v>
      </c>
      <c r="I23" s="355">
        <f>매출액!H7*I27</f>
        <v>1818.3624035943283</v>
      </c>
      <c r="J23" s="355">
        <f>매출액!I7*J27</f>
        <v>2021.5219337933452</v>
      </c>
      <c r="K23" s="355">
        <f>매출액!J7*K27</f>
        <v>2242.7402729000305</v>
      </c>
      <c r="L23" s="355">
        <f>매출액!K7*L27</f>
        <v>2481.6062980812276</v>
      </c>
      <c r="M23" s="355">
        <f>매출액!L7*M27</f>
        <v>2748.9642704653479</v>
      </c>
      <c r="N23" s="355">
        <f>매출액!M7*N27</f>
        <v>3048.9685625830734</v>
      </c>
      <c r="O23" s="352"/>
      <c r="P23" s="537"/>
      <c r="Q23" s="358"/>
      <c r="R23" s="358"/>
      <c r="S23" s="358"/>
      <c r="T23" s="358"/>
      <c r="U23" s="358"/>
      <c r="V23" s="358"/>
      <c r="W23" s="358"/>
      <c r="X23" s="358"/>
      <c r="Y23" s="358"/>
      <c r="Z23" s="358"/>
    </row>
    <row r="24" spans="1:26" s="166" customFormat="1" ht="18">
      <c r="A24" s="389" t="s">
        <v>467</v>
      </c>
      <c r="B24" s="390"/>
      <c r="C24" s="390"/>
      <c r="D24" s="390">
        <f>'CF(Yearly)'!C9-D15</f>
        <v>80</v>
      </c>
      <c r="E24" s="390">
        <f>'CF(Yearly)'!D9-E15</f>
        <v>83</v>
      </c>
      <c r="F24" s="390">
        <f>'CF(Yearly)'!E9-F15</f>
        <v>90</v>
      </c>
      <c r="G24" s="390">
        <f>'CF(Yearly)'!F9-G15</f>
        <v>76</v>
      </c>
      <c r="H24" s="390">
        <f>'CF(Yearly)'!G9-H15</f>
        <v>79</v>
      </c>
      <c r="I24" s="363">
        <f>I22*I28</f>
        <v>82.097231355298064</v>
      </c>
      <c r="J24" s="363">
        <f t="shared" ref="J24:N24" si="13">J22*J28</f>
        <v>85.207477123123809</v>
      </c>
      <c r="K24" s="363">
        <f t="shared" si="13"/>
        <v>88.676079696238872</v>
      </c>
      <c r="L24" s="363">
        <f t="shared" si="13"/>
        <v>92.534746648532462</v>
      </c>
      <c r="M24" s="363">
        <f t="shared" si="13"/>
        <v>96.814392292921085</v>
      </c>
      <c r="N24" s="363">
        <f t="shared" si="13"/>
        <v>101.5653013511198</v>
      </c>
      <c r="O24" s="352"/>
      <c r="P24" s="537"/>
      <c r="Q24" s="358"/>
      <c r="R24" s="358"/>
      <c r="S24" s="358"/>
      <c r="T24" s="358"/>
      <c r="U24" s="358"/>
      <c r="V24" s="358"/>
      <c r="W24" s="358"/>
      <c r="X24" s="358"/>
      <c r="Y24" s="358"/>
      <c r="Z24" s="358"/>
    </row>
    <row r="25" spans="1:26" s="166" customFormat="1" ht="18">
      <c r="A25" s="391" t="s">
        <v>468</v>
      </c>
      <c r="B25" s="392"/>
      <c r="C25" s="392"/>
      <c r="D25" s="352">
        <f>D8</f>
        <v>43718</v>
      </c>
      <c r="E25" s="352">
        <f>E8</f>
        <v>43622</v>
      </c>
      <c r="F25" s="352">
        <f>F8</f>
        <v>42852</v>
      </c>
      <c r="G25" s="352">
        <f>G8</f>
        <v>44101</v>
      </c>
      <c r="H25" s="393">
        <f>H8</f>
        <v>45830</v>
      </c>
      <c r="I25" s="377">
        <f>I22+I23-I24</f>
        <v>47566.265172239029</v>
      </c>
      <c r="J25" s="377">
        <f t="shared" ref="J25" si="14">J22+J23-J24</f>
        <v>49502.579628909247</v>
      </c>
      <c r="K25" s="377">
        <f t="shared" ref="K25" si="15">K22+K23-K24</f>
        <v>51656.643822113037</v>
      </c>
      <c r="L25" s="377">
        <f t="shared" ref="L25" si="16">L22+L23-L24</f>
        <v>54045.715373545732</v>
      </c>
      <c r="M25" s="377">
        <f t="shared" ref="M25" si="17">M22+M23-M24</f>
        <v>56697.865251718154</v>
      </c>
      <c r="N25" s="377">
        <f t="shared" ref="N25" si="18">N22+N23-N24</f>
        <v>59645.268512950111</v>
      </c>
      <c r="O25" s="352"/>
      <c r="P25" s="537"/>
      <c r="Q25" s="358"/>
      <c r="R25" s="358"/>
      <c r="S25" s="358"/>
      <c r="T25" s="358"/>
      <c r="U25" s="358"/>
      <c r="V25" s="358"/>
      <c r="W25" s="358"/>
      <c r="X25" s="358"/>
      <c r="Y25" s="358"/>
      <c r="Z25" s="358"/>
    </row>
    <row r="26" spans="1:26" s="166" customFormat="1" ht="18">
      <c r="A26" s="394"/>
      <c r="B26" s="395"/>
      <c r="C26" s="395"/>
      <c r="D26" s="395"/>
      <c r="E26" s="379"/>
      <c r="F26" s="379"/>
      <c r="G26" s="379"/>
      <c r="H26" s="379"/>
      <c r="I26" s="396"/>
      <c r="J26" s="396"/>
      <c r="K26" s="396"/>
      <c r="L26" s="396"/>
      <c r="M26" s="396"/>
      <c r="N26" s="397"/>
      <c r="O26" s="352"/>
      <c r="P26" s="537"/>
      <c r="Q26" s="358"/>
      <c r="R26" s="358"/>
      <c r="S26" s="358"/>
      <c r="T26" s="358"/>
      <c r="U26" s="358"/>
      <c r="V26" s="358"/>
      <c r="W26" s="358"/>
      <c r="X26" s="358"/>
      <c r="Y26" s="358"/>
      <c r="Z26" s="358"/>
    </row>
    <row r="27" spans="1:26" s="162" customFormat="1" ht="18">
      <c r="A27" s="380" t="s">
        <v>463</v>
      </c>
      <c r="B27" s="20"/>
      <c r="C27" s="20"/>
      <c r="D27" s="381">
        <f>D23/'IS(Yearly)'!C6</f>
        <v>6.2345509475418844E-2</v>
      </c>
      <c r="E27" s="381">
        <f>E23/'IS(Yearly)'!D6</f>
        <v>-5.3930719767683057E-4</v>
      </c>
      <c r="F27" s="381">
        <f>F23/'IS(Yearly)'!E6</f>
        <v>-2.320027294438758E-2</v>
      </c>
      <c r="G27" s="381">
        <f>G23/'IS(Yearly)'!F6</f>
        <v>4.0578201084127033E-2</v>
      </c>
      <c r="H27" s="381">
        <f>H23/'IS(Yearly)'!G6</f>
        <v>5.0325669431609418E-2</v>
      </c>
      <c r="I27" s="381">
        <f>AVERAGEA(G27:H27)</f>
        <v>4.5451935257868226E-2</v>
      </c>
      <c r="J27" s="381">
        <f>I27</f>
        <v>4.5451935257868226E-2</v>
      </c>
      <c r="K27" s="381">
        <f t="shared" ref="K27:N27" si="19">J27</f>
        <v>4.5451935257868226E-2</v>
      </c>
      <c r="L27" s="381">
        <f t="shared" si="19"/>
        <v>4.5451935257868226E-2</v>
      </c>
      <c r="M27" s="381">
        <f t="shared" si="19"/>
        <v>4.5451935257868226E-2</v>
      </c>
      <c r="N27" s="381">
        <f t="shared" si="19"/>
        <v>4.5451935257868226E-2</v>
      </c>
      <c r="O27" s="392"/>
      <c r="P27" s="310" t="s">
        <v>932</v>
      </c>
      <c r="Q27" s="364"/>
      <c r="R27" s="364"/>
      <c r="S27" s="364"/>
      <c r="T27" s="364"/>
      <c r="U27" s="364"/>
      <c r="V27" s="364"/>
      <c r="W27" s="364"/>
      <c r="X27" s="364"/>
      <c r="Y27" s="364"/>
      <c r="Z27" s="364"/>
    </row>
    <row r="28" spans="1:26" ht="18">
      <c r="A28" s="380" t="s">
        <v>469</v>
      </c>
      <c r="D28" s="381">
        <f>D24/D22</f>
        <v>1.8851918182675087E-3</v>
      </c>
      <c r="E28" s="381">
        <f t="shared" ref="E28:H28" si="20">E24/E22</f>
        <v>1.8985314973237568E-3</v>
      </c>
      <c r="F28" s="381">
        <f t="shared" si="20"/>
        <v>2.0631791297968916E-3</v>
      </c>
      <c r="G28" s="381">
        <f t="shared" si="20"/>
        <v>1.7735461588723981E-3</v>
      </c>
      <c r="H28" s="381">
        <f t="shared" si="20"/>
        <v>1.7913425999410443E-3</v>
      </c>
      <c r="I28" s="381">
        <f>H28</f>
        <v>1.7913425999410443E-3</v>
      </c>
      <c r="J28" s="381">
        <f>I28</f>
        <v>1.7913425999410443E-3</v>
      </c>
      <c r="K28" s="381">
        <f t="shared" ref="K28:N28" si="21">J28</f>
        <v>1.7913425999410443E-3</v>
      </c>
      <c r="L28" s="381">
        <f t="shared" si="21"/>
        <v>1.7913425999410443E-3</v>
      </c>
      <c r="M28" s="381">
        <f t="shared" si="21"/>
        <v>1.7913425999410443E-3</v>
      </c>
      <c r="N28" s="381">
        <f t="shared" si="21"/>
        <v>1.7913425999410443E-3</v>
      </c>
      <c r="O28" s="398"/>
      <c r="P28" s="310" t="s">
        <v>931</v>
      </c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spans="1:26">
      <c r="A29" s="399"/>
      <c r="B29" s="400"/>
      <c r="C29" s="400"/>
      <c r="D29" s="400"/>
      <c r="E29" s="400"/>
      <c r="F29" s="400"/>
      <c r="G29" s="400"/>
      <c r="H29" s="400"/>
      <c r="I29" s="401"/>
      <c r="J29" s="401"/>
      <c r="K29" s="401"/>
      <c r="L29" s="401"/>
      <c r="M29" s="401"/>
      <c r="N29" s="402"/>
      <c r="O29" s="398"/>
      <c r="P29" s="176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spans="1:26" ht="18" thickBot="1">
      <c r="A30" s="365" t="s">
        <v>470</v>
      </c>
      <c r="B30" s="366"/>
      <c r="C30" s="366"/>
      <c r="D30" s="366"/>
      <c r="E30" s="366"/>
      <c r="F30" s="366"/>
      <c r="G30" s="366"/>
      <c r="H30" s="366"/>
      <c r="I30" s="367"/>
      <c r="J30" s="367"/>
      <c r="K30" s="367"/>
      <c r="L30" s="367"/>
      <c r="M30" s="367"/>
      <c r="N30" s="403"/>
      <c r="O30" s="388"/>
      <c r="P30" s="176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spans="1:26" ht="18" thickTop="1">
      <c r="A31" s="391" t="s">
        <v>471</v>
      </c>
      <c r="B31" s="392"/>
      <c r="C31" s="392"/>
      <c r="D31" s="392">
        <f>D14+D23</f>
        <v>2091</v>
      </c>
      <c r="E31" s="392">
        <f>E14+E23</f>
        <v>1201</v>
      </c>
      <c r="F31" s="392">
        <f>F14+F23</f>
        <v>564</v>
      </c>
      <c r="G31" s="392">
        <f>G14+G23</f>
        <v>2402</v>
      </c>
      <c r="H31" s="392">
        <f>H14+H23</f>
        <v>3547</v>
      </c>
      <c r="I31" s="392">
        <f t="shared" ref="I31:N31" si="22">I14+I23</f>
        <v>3469.702471970425</v>
      </c>
      <c r="J31" s="392">
        <f t="shared" si="22"/>
        <v>3857.3606872648616</v>
      </c>
      <c r="K31" s="392">
        <f t="shared" si="22"/>
        <v>4279.4777616865667</v>
      </c>
      <c r="L31" s="392">
        <f t="shared" si="22"/>
        <v>4735.269212501149</v>
      </c>
      <c r="M31" s="392">
        <f t="shared" si="22"/>
        <v>5245.4274822984707</v>
      </c>
      <c r="N31" s="392">
        <f t="shared" si="22"/>
        <v>5817.8797238896022</v>
      </c>
      <c r="O31" s="404"/>
      <c r="P31" s="176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spans="1:26" s="166" customFormat="1" ht="18">
      <c r="A32" s="380" t="s">
        <v>472</v>
      </c>
      <c r="D32" s="381">
        <f>D31/'IS(Yearly)'!C6</f>
        <v>9.571546278494919E-2</v>
      </c>
      <c r="E32" s="381">
        <f>E31/'IS(Yearly)'!D6</f>
        <v>4.9823688031528729E-2</v>
      </c>
      <c r="F32" s="381">
        <f>F31/'IS(Yearly)'!E6</f>
        <v>1.924257932446264E-2</v>
      </c>
      <c r="G32" s="381">
        <f>G31/'IS(Yearly)'!F6</f>
        <v>7.3561387927602362E-2</v>
      </c>
      <c r="H32" s="381">
        <f>H31/'IS(Yearly)'!G6</f>
        <v>9.8730724266547901E-2</v>
      </c>
      <c r="I32" s="381">
        <f>I31/매출액!H7</f>
        <v>8.6728966573622904E-2</v>
      </c>
      <c r="J32" s="381">
        <f>J31/매출액!I7</f>
        <v>8.6728966573622904E-2</v>
      </c>
      <c r="K32" s="381">
        <f>K31/매출액!J7</f>
        <v>8.6728966573622918E-2</v>
      </c>
      <c r="L32" s="381">
        <f>L31/매출액!K7</f>
        <v>8.6728966573622918E-2</v>
      </c>
      <c r="M32" s="381">
        <f>M31/매출액!L7</f>
        <v>8.6728966573622904E-2</v>
      </c>
      <c r="N32" s="381">
        <f>N31/매출액!M7</f>
        <v>8.6728966573622904E-2</v>
      </c>
      <c r="O32" s="358"/>
      <c r="P32" s="176"/>
      <c r="Q32" s="358"/>
      <c r="R32" s="358"/>
      <c r="S32" s="358"/>
      <c r="T32" s="358"/>
      <c r="U32" s="358"/>
      <c r="V32" s="358"/>
      <c r="W32" s="358"/>
      <c r="X32" s="358"/>
      <c r="Y32" s="358"/>
      <c r="Z32" s="358"/>
    </row>
    <row r="33" spans="1:26" s="166" customFormat="1" ht="18">
      <c r="A33" s="405" t="s">
        <v>473</v>
      </c>
      <c r="B33" s="406"/>
      <c r="C33" s="406"/>
      <c r="D33" s="406">
        <f>D15+D24</f>
        <v>767</v>
      </c>
      <c r="E33" s="406">
        <f>E15+E24</f>
        <v>804</v>
      </c>
      <c r="F33" s="406">
        <f>F15+F24</f>
        <v>861</v>
      </c>
      <c r="G33" s="406">
        <f>G15+G24</f>
        <v>943</v>
      </c>
      <c r="H33" s="406">
        <f>H15+H24</f>
        <v>1034</v>
      </c>
      <c r="I33" s="406">
        <f t="shared" ref="I33:N33" si="23">I15+I24</f>
        <v>1204.5118333665032</v>
      </c>
      <c r="J33" s="406">
        <f t="shared" si="23"/>
        <v>1334.0163024308035</v>
      </c>
      <c r="K33" s="406">
        <f t="shared" si="23"/>
        <v>1477.764011495015</v>
      </c>
      <c r="L33" s="406">
        <f t="shared" si="23"/>
        <v>1636.3877028776151</v>
      </c>
      <c r="M33" s="406">
        <f t="shared" si="23"/>
        <v>1810.2864802499919</v>
      </c>
      <c r="N33" s="406">
        <f t="shared" si="23"/>
        <v>2002.1441959259562</v>
      </c>
      <c r="O33" s="358"/>
      <c r="P33" s="176"/>
      <c r="Q33" s="358"/>
      <c r="R33" s="358"/>
      <c r="S33" s="358"/>
      <c r="T33" s="358"/>
      <c r="U33" s="358"/>
      <c r="V33" s="358"/>
      <c r="W33" s="358"/>
      <c r="X33" s="358"/>
      <c r="Y33" s="358"/>
      <c r="Z33" s="358"/>
    </row>
    <row r="34" spans="1:26" ht="18">
      <c r="A34" s="380" t="s">
        <v>472</v>
      </c>
      <c r="B34" s="166"/>
      <c r="C34" s="166"/>
      <c r="D34" s="381">
        <f>D33/'IS(Yearly)'!C6</f>
        <v>3.5109402178888582E-2</v>
      </c>
      <c r="E34" s="381">
        <f>E33/'IS(Yearly)'!D6</f>
        <v>3.3354075917859362E-2</v>
      </c>
      <c r="F34" s="381">
        <f>F33/'IS(Yearly)'!E6</f>
        <v>2.9375639713408393E-2</v>
      </c>
      <c r="G34" s="381">
        <f>G33/'IS(Yearly)'!F6</f>
        <v>2.8879429148929655E-2</v>
      </c>
      <c r="H34" s="381">
        <f>H33/'IS(Yearly)'!G6</f>
        <v>2.878138395590937E-2</v>
      </c>
      <c r="I34" s="381">
        <f>I33/매출액!H7</f>
        <v>3.0108076233479174E-2</v>
      </c>
      <c r="J34" s="381">
        <f>J33/매출액!I7</f>
        <v>2.9994046365476663E-2</v>
      </c>
      <c r="K34" s="381">
        <f>K33/매출액!J7</f>
        <v>2.9948735031197712E-2</v>
      </c>
      <c r="L34" s="381">
        <f>L33/매출액!K7</f>
        <v>2.9971308497030006E-2</v>
      </c>
      <c r="M34" s="381">
        <f>M33/매출액!L7</f>
        <v>2.9931645450083699E-2</v>
      </c>
      <c r="N34" s="381">
        <f>N33/매출액!M7</f>
        <v>2.9846594512948094E-2</v>
      </c>
      <c r="O34" s="384"/>
      <c r="P34" s="176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spans="1:26" s="162" customFormat="1" ht="18">
      <c r="A35" s="384"/>
      <c r="B35" s="384"/>
      <c r="C35" s="384"/>
      <c r="D35" s="384"/>
      <c r="E35" s="384"/>
      <c r="F35" s="384"/>
      <c r="G35" s="384"/>
      <c r="H35" s="384"/>
      <c r="I35" s="407"/>
      <c r="J35" s="407"/>
      <c r="K35" s="407"/>
      <c r="L35" s="407"/>
      <c r="M35" s="407"/>
      <c r="N35" s="408"/>
      <c r="O35" s="364"/>
      <c r="P35" s="176"/>
      <c r="Q35" s="364"/>
      <c r="R35" s="364"/>
      <c r="S35" s="364"/>
      <c r="T35" s="364"/>
      <c r="U35" s="364"/>
      <c r="V35" s="364"/>
      <c r="W35" s="364"/>
      <c r="X35" s="364"/>
      <c r="Y35" s="364"/>
      <c r="Z35" s="364"/>
    </row>
    <row r="36" spans="1:26" s="166" customFormat="1" ht="18">
      <c r="A36" s="384"/>
      <c r="B36" s="384"/>
      <c r="C36" s="384"/>
      <c r="D36" s="384"/>
      <c r="E36" s="384"/>
      <c r="F36" s="384"/>
      <c r="G36" s="384"/>
      <c r="H36" s="384"/>
      <c r="I36" s="409"/>
      <c r="J36" s="409"/>
      <c r="K36" s="409"/>
      <c r="L36" s="409"/>
      <c r="M36" s="409"/>
      <c r="N36" s="410"/>
      <c r="O36" s="358"/>
      <c r="P36" s="176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>
      <c r="A37" s="384"/>
      <c r="B37" s="384"/>
      <c r="C37" s="384"/>
      <c r="D37" s="384"/>
      <c r="E37" s="411"/>
      <c r="F37" s="411"/>
      <c r="G37" s="411"/>
      <c r="H37" s="411"/>
      <c r="I37" s="384"/>
      <c r="J37" s="384"/>
      <c r="K37" s="384"/>
      <c r="L37" s="384"/>
      <c r="M37" s="384"/>
      <c r="N37" s="412"/>
      <c r="O37" s="384"/>
      <c r="P37" s="176"/>
      <c r="Q37" s="384"/>
      <c r="R37" s="384"/>
      <c r="S37" s="384"/>
      <c r="T37" s="384"/>
      <c r="U37" s="384"/>
      <c r="V37" s="384"/>
      <c r="W37" s="384"/>
      <c r="X37" s="384"/>
      <c r="Y37" s="384"/>
      <c r="Z37" s="384"/>
    </row>
    <row r="38" spans="1:26" ht="18">
      <c r="A38" s="413"/>
      <c r="B38" s="352"/>
      <c r="C38" s="166"/>
      <c r="D38" s="352"/>
      <c r="E38" s="414"/>
      <c r="F38" s="414"/>
      <c r="G38" s="414"/>
      <c r="H38" s="414"/>
      <c r="I38" s="384"/>
      <c r="J38" s="384"/>
      <c r="K38" s="384"/>
      <c r="L38" s="384"/>
      <c r="M38" s="384"/>
      <c r="N38" s="412"/>
      <c r="O38" s="384"/>
      <c r="P38" s="176"/>
      <c r="Q38" s="384"/>
      <c r="R38" s="384"/>
      <c r="S38" s="384"/>
      <c r="T38" s="384"/>
      <c r="U38" s="384"/>
      <c r="V38" s="384"/>
      <c r="W38" s="384"/>
      <c r="X38" s="384"/>
      <c r="Y38" s="384"/>
      <c r="Z38" s="384"/>
    </row>
    <row r="39" spans="1:26">
      <c r="A39" s="384"/>
      <c r="B39" s="384"/>
      <c r="C39" s="384"/>
      <c r="D39" s="415"/>
      <c r="E39" s="416"/>
      <c r="F39" s="416"/>
      <c r="G39" s="416"/>
      <c r="H39" s="417"/>
      <c r="I39" s="411"/>
      <c r="J39" s="411"/>
      <c r="K39" s="411"/>
      <c r="L39" s="411"/>
      <c r="M39" s="411"/>
      <c r="N39" s="412"/>
      <c r="O39" s="384"/>
      <c r="P39" s="176"/>
      <c r="Q39" s="384"/>
      <c r="R39" s="384"/>
      <c r="S39" s="384"/>
      <c r="T39" s="384"/>
      <c r="U39" s="384"/>
      <c r="V39" s="384"/>
      <c r="W39" s="384"/>
      <c r="X39" s="384"/>
      <c r="Y39" s="384"/>
      <c r="Z39" s="384"/>
    </row>
    <row r="40" spans="1:26">
      <c r="A40" s="384"/>
      <c r="B40" s="384"/>
      <c r="C40" s="384"/>
      <c r="D40" s="415"/>
      <c r="E40" s="417"/>
      <c r="F40" s="417"/>
      <c r="G40" s="417"/>
      <c r="H40" s="417"/>
      <c r="I40" s="384"/>
      <c r="J40" s="384"/>
      <c r="K40" s="384"/>
      <c r="L40" s="384"/>
      <c r="M40" s="384"/>
      <c r="N40" s="412"/>
      <c r="O40" s="384"/>
      <c r="P40" s="176"/>
      <c r="Q40" s="384"/>
      <c r="R40" s="384"/>
      <c r="S40" s="384"/>
      <c r="T40" s="384"/>
      <c r="U40" s="384"/>
      <c r="V40" s="384"/>
      <c r="W40" s="384"/>
      <c r="X40" s="384"/>
      <c r="Y40" s="384"/>
      <c r="Z40" s="384"/>
    </row>
    <row r="41" spans="1:26">
      <c r="A41" s="384"/>
      <c r="B41" s="384"/>
      <c r="C41" s="384"/>
      <c r="D41" s="415"/>
      <c r="E41" s="417"/>
      <c r="F41" s="417"/>
      <c r="G41" s="417"/>
      <c r="H41" s="417"/>
      <c r="I41" s="417"/>
      <c r="J41" s="417"/>
      <c r="K41" s="417"/>
      <c r="L41" s="417"/>
      <c r="M41" s="417"/>
      <c r="N41" s="412"/>
      <c r="O41" s="384"/>
      <c r="P41" s="176"/>
      <c r="Q41" s="384"/>
      <c r="R41" s="384"/>
      <c r="S41" s="384"/>
      <c r="T41" s="384"/>
      <c r="U41" s="384"/>
      <c r="V41" s="384"/>
      <c r="W41" s="384"/>
      <c r="X41" s="384"/>
      <c r="Y41" s="384"/>
      <c r="Z41" s="384"/>
    </row>
    <row r="42" spans="1:26">
      <c r="A42" s="384"/>
      <c r="B42" s="384"/>
      <c r="C42" s="384"/>
      <c r="D42" s="384"/>
      <c r="E42" s="418"/>
      <c r="F42" s="418"/>
      <c r="G42" s="418"/>
      <c r="H42" s="418"/>
      <c r="I42" s="417"/>
      <c r="J42" s="417"/>
      <c r="K42" s="417"/>
      <c r="L42" s="417"/>
      <c r="M42" s="417"/>
      <c r="N42" s="412"/>
      <c r="O42" s="384"/>
      <c r="P42" s="176"/>
      <c r="Q42" s="384"/>
      <c r="R42" s="384"/>
      <c r="S42" s="384"/>
      <c r="T42" s="384"/>
      <c r="U42" s="384"/>
      <c r="V42" s="384"/>
      <c r="W42" s="384"/>
      <c r="X42" s="384"/>
      <c r="Y42" s="384"/>
      <c r="Z42" s="384"/>
    </row>
    <row r="43" spans="1:26">
      <c r="A43" s="384"/>
      <c r="B43" s="384"/>
      <c r="C43" s="384"/>
      <c r="D43" s="384"/>
      <c r="E43" s="384"/>
      <c r="F43" s="384"/>
      <c r="G43" s="384"/>
      <c r="H43" s="384"/>
      <c r="I43" s="417"/>
      <c r="J43" s="417"/>
      <c r="K43" s="417"/>
      <c r="L43" s="417"/>
      <c r="M43" s="417"/>
      <c r="N43" s="412"/>
      <c r="O43" s="384"/>
      <c r="P43" s="176"/>
      <c r="Q43" s="384"/>
      <c r="R43" s="384"/>
      <c r="S43" s="384"/>
      <c r="T43" s="384"/>
      <c r="U43" s="384"/>
      <c r="V43" s="384"/>
      <c r="W43" s="384"/>
      <c r="X43" s="384"/>
      <c r="Y43" s="384"/>
      <c r="Z43" s="384"/>
    </row>
    <row r="44" spans="1:26">
      <c r="I44" s="418"/>
      <c r="J44" s="418"/>
      <c r="K44" s="418"/>
      <c r="L44" s="418"/>
      <c r="M44" s="418"/>
      <c r="N44" s="412"/>
      <c r="O44" s="384"/>
      <c r="P44" s="176"/>
      <c r="Q44" s="384"/>
      <c r="R44" s="384"/>
      <c r="S44" s="384"/>
      <c r="T44" s="384"/>
      <c r="U44" s="384"/>
      <c r="V44" s="384"/>
      <c r="W44" s="384"/>
      <c r="X44" s="384"/>
      <c r="Y44" s="384"/>
      <c r="Z44" s="384"/>
    </row>
    <row r="45" spans="1:26">
      <c r="I45" s="384"/>
      <c r="J45" s="384"/>
      <c r="K45" s="384"/>
      <c r="L45" s="384"/>
      <c r="M45" s="384"/>
      <c r="N45" s="412"/>
      <c r="O45" s="384"/>
      <c r="P45" s="176"/>
      <c r="Q45" s="384"/>
      <c r="R45" s="384"/>
      <c r="S45" s="384"/>
      <c r="T45" s="384"/>
      <c r="U45" s="384"/>
      <c r="V45" s="384"/>
      <c r="W45" s="384"/>
      <c r="X45" s="384"/>
      <c r="Y45" s="384"/>
      <c r="Z45" s="384"/>
    </row>
  </sheetData>
  <mergeCells count="2">
    <mergeCell ref="A5:H5"/>
    <mergeCell ref="I5:N5"/>
  </mergeCells>
  <phoneticPr fontId="3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DD58-0EE5-4EF5-B15E-FBF9399BCCFF}">
  <dimension ref="A1:U46"/>
  <sheetViews>
    <sheetView zoomScale="89" workbookViewId="0">
      <selection activeCell="H16" sqref="H16"/>
    </sheetView>
  </sheetViews>
  <sheetFormatPr defaultColWidth="8.69921875" defaultRowHeight="17.399999999999999"/>
  <cols>
    <col min="1" max="1" width="8.69921875" style="20"/>
    <col min="2" max="2" width="8.8984375" style="20" bestFit="1" customWidth="1"/>
    <col min="3" max="3" width="8.69921875" style="20"/>
    <col min="4" max="8" width="9.296875" style="20" bestFit="1" customWidth="1"/>
    <col min="9" max="13" width="10.19921875" style="20" bestFit="1" customWidth="1"/>
    <col min="14" max="14" width="9.8984375" style="20" bestFit="1" customWidth="1"/>
    <col min="15" max="15" width="8.69921875" style="20"/>
    <col min="16" max="16" width="8.69921875" style="481"/>
    <col min="17" max="16384" width="8.69921875" style="20"/>
  </cols>
  <sheetData>
    <row r="1" spans="1:21" s="44" customFormat="1" ht="17.7" customHeight="1">
      <c r="A1" s="41" t="s">
        <v>511</v>
      </c>
      <c r="B1" s="8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P1" s="50"/>
    </row>
    <row r="2" spans="1:21" s="46" customFormat="1" ht="17.7" customHeight="1">
      <c r="A2" s="45" t="s">
        <v>397</v>
      </c>
      <c r="B2" s="83"/>
      <c r="P2" s="51"/>
    </row>
    <row r="3" spans="1:21" s="46" customFormat="1" ht="17.7" customHeight="1">
      <c r="A3" s="47" t="s">
        <v>395</v>
      </c>
      <c r="B3" s="84"/>
      <c r="P3" s="51"/>
    </row>
    <row r="4" spans="1:21">
      <c r="P4" s="20"/>
    </row>
    <row r="5" spans="1:21" s="166" customFormat="1" ht="18">
      <c r="A5" s="577" t="s">
        <v>423</v>
      </c>
      <c r="B5" s="577"/>
      <c r="C5" s="577"/>
      <c r="D5" s="577"/>
      <c r="E5" s="577"/>
      <c r="F5" s="577"/>
      <c r="G5" s="577"/>
      <c r="H5" s="577"/>
      <c r="I5" s="576" t="s">
        <v>424</v>
      </c>
      <c r="J5" s="576"/>
      <c r="K5" s="576"/>
      <c r="L5" s="576"/>
      <c r="M5" s="576"/>
      <c r="N5" s="576"/>
      <c r="O5" s="351"/>
      <c r="P5" s="535"/>
      <c r="Q5" s="351"/>
      <c r="R5" s="351"/>
      <c r="S5" s="351"/>
      <c r="T5" s="351"/>
      <c r="U5" s="351"/>
    </row>
    <row r="6" spans="1:21" s="166" customFormat="1" ht="18">
      <c r="A6" s="335"/>
      <c r="B6" s="335"/>
      <c r="C6" s="335"/>
      <c r="D6" s="220" t="s">
        <v>426</v>
      </c>
      <c r="E6" s="221" t="s">
        <v>427</v>
      </c>
      <c r="F6" s="221" t="s">
        <v>428</v>
      </c>
      <c r="G6" s="221" t="s">
        <v>429</v>
      </c>
      <c r="H6" s="350" t="s">
        <v>475</v>
      </c>
      <c r="I6" s="221" t="s">
        <v>430</v>
      </c>
      <c r="J6" s="221" t="s">
        <v>431</v>
      </c>
      <c r="K6" s="221" t="s">
        <v>432</v>
      </c>
      <c r="L6" s="221" t="s">
        <v>433</v>
      </c>
      <c r="M6" s="221" t="s">
        <v>434</v>
      </c>
      <c r="N6" s="221" t="s">
        <v>435</v>
      </c>
      <c r="O6" s="351"/>
      <c r="P6" s="351"/>
      <c r="Q6" s="351"/>
      <c r="R6" s="351"/>
      <c r="S6" s="351"/>
      <c r="T6" s="351"/>
      <c r="U6" s="351"/>
    </row>
    <row r="7" spans="1:21" s="166" customFormat="1" ht="18">
      <c r="A7" s="353" t="s">
        <v>436</v>
      </c>
      <c r="B7" s="353"/>
      <c r="C7" s="354"/>
      <c r="D7" s="421">
        <f>'BS(Yearly)'!B11</f>
        <v>1618</v>
      </c>
      <c r="E7" s="421">
        <f>'BS(Yearly)'!C11</f>
        <v>1968</v>
      </c>
      <c r="F7" s="421">
        <f>'BS(Yearly)'!D11</f>
        <v>2020</v>
      </c>
      <c r="G7" s="421">
        <f>'BS(Yearly)'!E11</f>
        <v>2291</v>
      </c>
      <c r="H7" s="421">
        <f>'BS(Yearly)'!F11</f>
        <v>2561</v>
      </c>
      <c r="I7" s="355">
        <f>I21/$B$26*I27</f>
        <v>2920.544710549807</v>
      </c>
      <c r="J7" s="355">
        <f t="shared" ref="J7:N7" si="0">J21/$B$26*J27</f>
        <v>3246.8473717507222</v>
      </c>
      <c r="K7" s="355">
        <f t="shared" si="0"/>
        <v>3602.1550094787958</v>
      </c>
      <c r="L7" s="355">
        <f t="shared" si="0"/>
        <v>3985.8073028797317</v>
      </c>
      <c r="M7" s="355">
        <f t="shared" si="0"/>
        <v>4415.2216542358237</v>
      </c>
      <c r="N7" s="355">
        <f t="shared" si="0"/>
        <v>4897.0705677168444</v>
      </c>
      <c r="O7" s="356"/>
      <c r="P7" s="357"/>
      <c r="Q7" s="422"/>
      <c r="R7" s="422"/>
      <c r="S7" s="356"/>
      <c r="T7" s="356"/>
      <c r="U7" s="356"/>
    </row>
    <row r="8" spans="1:21" s="166" customFormat="1" ht="18">
      <c r="A8" s="353" t="s">
        <v>499</v>
      </c>
      <c r="B8" s="353"/>
      <c r="C8" s="354"/>
      <c r="D8" s="421">
        <f>'BS(Yearly)'!B12</f>
        <v>757</v>
      </c>
      <c r="E8" s="421">
        <f>'BS(Yearly)'!C12</f>
        <v>856</v>
      </c>
      <c r="F8" s="421">
        <f>'BS(Yearly)'!D12</f>
        <v>2668</v>
      </c>
      <c r="G8" s="421">
        <f>'BS(Yearly)'!E12</f>
        <v>2584</v>
      </c>
      <c r="H8" s="421">
        <f>'BS(Yearly)'!F12</f>
        <v>3312</v>
      </c>
      <c r="I8" s="190">
        <f>H8</f>
        <v>3312</v>
      </c>
      <c r="J8" s="190">
        <f t="shared" ref="J8:N8" si="1">I8</f>
        <v>3312</v>
      </c>
      <c r="K8" s="190">
        <f t="shared" si="1"/>
        <v>3312</v>
      </c>
      <c r="L8" s="190">
        <f t="shared" si="1"/>
        <v>3312</v>
      </c>
      <c r="M8" s="190">
        <f t="shared" si="1"/>
        <v>3312</v>
      </c>
      <c r="N8" s="190">
        <f t="shared" si="1"/>
        <v>3312</v>
      </c>
      <c r="O8" s="356"/>
      <c r="P8" s="357"/>
      <c r="Q8" s="422"/>
      <c r="R8" s="422"/>
      <c r="S8" s="356"/>
      <c r="T8" s="356"/>
      <c r="U8" s="356"/>
    </row>
    <row r="9" spans="1:21" s="166" customFormat="1" ht="18">
      <c r="A9" s="353" t="s">
        <v>500</v>
      </c>
      <c r="B9" s="353"/>
      <c r="C9" s="354"/>
      <c r="D9" s="421">
        <f>'BS(Yearly)'!B13</f>
        <v>901</v>
      </c>
      <c r="E9" s="421">
        <f>'BS(Yearly)'!C13</f>
        <v>894</v>
      </c>
      <c r="F9" s="421">
        <f>'BS(Yearly)'!D13</f>
        <v>1449</v>
      </c>
      <c r="G9" s="421">
        <f>'BS(Yearly)'!E13</f>
        <v>1764</v>
      </c>
      <c r="H9" s="421">
        <f>'BS(Yearly)'!F13</f>
        <v>3089</v>
      </c>
      <c r="I9" s="190">
        <f>H9</f>
        <v>3089</v>
      </c>
      <c r="J9" s="190">
        <f t="shared" ref="J9:N9" si="2">I9</f>
        <v>3089</v>
      </c>
      <c r="K9" s="190">
        <f t="shared" si="2"/>
        <v>3089</v>
      </c>
      <c r="L9" s="190">
        <f t="shared" si="2"/>
        <v>3089</v>
      </c>
      <c r="M9" s="190">
        <f t="shared" si="2"/>
        <v>3089</v>
      </c>
      <c r="N9" s="190">
        <f t="shared" si="2"/>
        <v>3089</v>
      </c>
      <c r="O9" s="356"/>
      <c r="P9" s="357"/>
      <c r="Q9" s="422"/>
      <c r="R9" s="422"/>
      <c r="S9" s="356"/>
      <c r="T9" s="356"/>
      <c r="U9" s="356"/>
    </row>
    <row r="10" spans="1:21" s="166" customFormat="1" ht="18">
      <c r="A10" s="353" t="s">
        <v>501</v>
      </c>
      <c r="B10" s="353"/>
      <c r="C10" s="354"/>
      <c r="D10" s="421">
        <f>'BS(Yearly)'!B14</f>
        <v>1850</v>
      </c>
      <c r="E10" s="421">
        <f>'BS(Yearly)'!C14</f>
        <v>2260</v>
      </c>
      <c r="F10" s="421">
        <f>'BS(Yearly)'!D14</f>
        <v>2342</v>
      </c>
      <c r="G10" s="421">
        <f>'BS(Yearly)'!E14</f>
        <v>3005</v>
      </c>
      <c r="H10" s="421">
        <f>'BS(Yearly)'!F14</f>
        <v>3524</v>
      </c>
      <c r="I10" s="190">
        <f>H10</f>
        <v>3524</v>
      </c>
      <c r="J10" s="190">
        <f t="shared" ref="J10:N10" si="3">I10</f>
        <v>3524</v>
      </c>
      <c r="K10" s="190">
        <f t="shared" si="3"/>
        <v>3524</v>
      </c>
      <c r="L10" s="190">
        <f t="shared" si="3"/>
        <v>3524</v>
      </c>
      <c r="M10" s="190">
        <f t="shared" si="3"/>
        <v>3524</v>
      </c>
      <c r="N10" s="190">
        <f t="shared" si="3"/>
        <v>3524</v>
      </c>
      <c r="O10" s="356"/>
      <c r="P10" s="357"/>
      <c r="Q10" s="422"/>
      <c r="R10" s="422"/>
      <c r="S10" s="356"/>
      <c r="T10" s="356"/>
      <c r="U10" s="356"/>
    </row>
    <row r="11" spans="1:21" s="162" customFormat="1" ht="18">
      <c r="A11" s="423" t="s">
        <v>437</v>
      </c>
      <c r="B11" s="424"/>
      <c r="C11" s="361"/>
      <c r="D11" s="425">
        <f>SUM(D7:D10)</f>
        <v>5126</v>
      </c>
      <c r="E11" s="425">
        <f t="shared" ref="E11:N11" si="4">SUM(E7:E10)</f>
        <v>5978</v>
      </c>
      <c r="F11" s="425">
        <f t="shared" si="4"/>
        <v>8479</v>
      </c>
      <c r="G11" s="425">
        <f t="shared" si="4"/>
        <v>9644</v>
      </c>
      <c r="H11" s="425">
        <f t="shared" si="4"/>
        <v>12486</v>
      </c>
      <c r="I11" s="425">
        <f t="shared" si="4"/>
        <v>12845.544710549806</v>
      </c>
      <c r="J11" s="425">
        <f t="shared" si="4"/>
        <v>13171.847371750722</v>
      </c>
      <c r="K11" s="425">
        <f t="shared" si="4"/>
        <v>13527.155009478796</v>
      </c>
      <c r="L11" s="425">
        <f t="shared" si="4"/>
        <v>13910.807302879732</v>
      </c>
      <c r="M11" s="425">
        <f t="shared" si="4"/>
        <v>14340.221654235824</v>
      </c>
      <c r="N11" s="425">
        <f t="shared" si="4"/>
        <v>14822.070567716844</v>
      </c>
      <c r="O11" s="382"/>
      <c r="P11" s="426"/>
      <c r="Q11" s="382"/>
      <c r="R11" s="382"/>
      <c r="S11" s="382"/>
      <c r="T11" s="382"/>
      <c r="U11" s="382"/>
    </row>
    <row r="12" spans="1:21">
      <c r="A12" s="427"/>
      <c r="B12" s="427"/>
      <c r="C12" s="427"/>
      <c r="D12" s="428"/>
      <c r="E12" s="429"/>
      <c r="F12" s="430"/>
      <c r="G12" s="430"/>
      <c r="H12" s="430"/>
      <c r="I12" s="430"/>
      <c r="J12" s="430"/>
      <c r="K12" s="430"/>
      <c r="L12" s="431"/>
      <c r="M12" s="432"/>
      <c r="N12" s="432"/>
      <c r="O12" s="433"/>
      <c r="P12" s="434"/>
      <c r="Q12" s="435"/>
      <c r="R12" s="435"/>
      <c r="S12" s="433"/>
      <c r="T12" s="433"/>
      <c r="U12" s="433"/>
    </row>
    <row r="13" spans="1:21" s="166" customFormat="1" ht="18">
      <c r="A13" s="370" t="s">
        <v>438</v>
      </c>
      <c r="B13" s="370"/>
      <c r="C13" s="370"/>
      <c r="D13" s="436">
        <f>'BS(Yearly)'!B38</f>
        <v>174</v>
      </c>
      <c r="E13" s="436">
        <f>'BS(Yearly)'!C38</f>
        <v>266</v>
      </c>
      <c r="F13" s="436">
        <f>'BS(Yearly)'!D38</f>
        <v>340</v>
      </c>
      <c r="G13" s="436">
        <f>'BS(Yearly)'!E38</f>
        <v>375</v>
      </c>
      <c r="H13" s="436">
        <f>'BS(Yearly)'!F38</f>
        <v>479</v>
      </c>
      <c r="I13" s="355">
        <f>I22/$B$30*I31</f>
        <v>438.93358543695575</v>
      </c>
      <c r="J13" s="355">
        <f t="shared" ref="J13:N13" si="5">J22/$B$30*J31</f>
        <v>459.26117118515992</v>
      </c>
      <c r="K13" s="355">
        <f t="shared" si="5"/>
        <v>485.46211281223816</v>
      </c>
      <c r="L13" s="355">
        <f t="shared" si="5"/>
        <v>513.99326750854482</v>
      </c>
      <c r="M13" s="355">
        <f t="shared" si="5"/>
        <v>546.36912482175455</v>
      </c>
      <c r="N13" s="355">
        <f t="shared" si="5"/>
        <v>584.18204003746257</v>
      </c>
      <c r="O13" s="356"/>
      <c r="P13" s="357"/>
      <c r="Q13" s="356"/>
      <c r="R13" s="356"/>
      <c r="S13" s="356"/>
      <c r="T13" s="356"/>
      <c r="U13" s="356"/>
    </row>
    <row r="14" spans="1:21" s="166" customFormat="1" ht="18">
      <c r="A14" s="370" t="s">
        <v>502</v>
      </c>
      <c r="B14" s="370"/>
      <c r="C14" s="370"/>
      <c r="D14" s="436">
        <f>'BS(Yearly)'!B40</f>
        <v>821</v>
      </c>
      <c r="E14" s="436">
        <f>'BS(Yearly)'!C40</f>
        <v>1211</v>
      </c>
      <c r="F14" s="436">
        <f>'BS(Yearly)'!D40</f>
        <v>1359</v>
      </c>
      <c r="G14" s="436">
        <f>'BS(Yearly)'!E40</f>
        <v>1506</v>
      </c>
      <c r="H14" s="436">
        <f>'BS(Yearly)'!F40</f>
        <v>1538</v>
      </c>
      <c r="I14" s="190">
        <f>H14</f>
        <v>1538</v>
      </c>
      <c r="J14" s="190">
        <f t="shared" ref="J14:N15" si="6">I14</f>
        <v>1538</v>
      </c>
      <c r="K14" s="190">
        <f t="shared" si="6"/>
        <v>1538</v>
      </c>
      <c r="L14" s="190">
        <f t="shared" si="6"/>
        <v>1538</v>
      </c>
      <c r="M14" s="190">
        <f t="shared" si="6"/>
        <v>1538</v>
      </c>
      <c r="N14" s="190">
        <f t="shared" si="6"/>
        <v>1538</v>
      </c>
      <c r="O14" s="356"/>
      <c r="P14" s="357"/>
      <c r="Q14" s="356"/>
      <c r="R14" s="356"/>
      <c r="S14" s="356"/>
      <c r="T14" s="356"/>
      <c r="U14" s="356"/>
    </row>
    <row r="15" spans="1:21" s="166" customFormat="1" ht="18">
      <c r="A15" s="370" t="s">
        <v>503</v>
      </c>
      <c r="B15" s="370"/>
      <c r="C15" s="370"/>
      <c r="D15" s="436">
        <f>'BS(Yearly)'!B48</f>
        <v>1736</v>
      </c>
      <c r="E15" s="436">
        <f>'BS(Yearly)'!C48</f>
        <v>2443</v>
      </c>
      <c r="F15" s="436">
        <f>'BS(Yearly)'!D48</f>
        <v>3281</v>
      </c>
      <c r="G15" s="436">
        <f>'BS(Yearly)'!E48</f>
        <v>3269</v>
      </c>
      <c r="H15" s="436">
        <f>'BS(Yearly)'!F48</f>
        <v>5265</v>
      </c>
      <c r="I15" s="190">
        <f>H15</f>
        <v>5265</v>
      </c>
      <c r="J15" s="190">
        <f t="shared" si="6"/>
        <v>5265</v>
      </c>
      <c r="K15" s="190">
        <f t="shared" si="6"/>
        <v>5265</v>
      </c>
      <c r="L15" s="190">
        <f t="shared" si="6"/>
        <v>5265</v>
      </c>
      <c r="M15" s="190">
        <f t="shared" si="6"/>
        <v>5265</v>
      </c>
      <c r="N15" s="190">
        <f t="shared" si="6"/>
        <v>5265</v>
      </c>
      <c r="O15" s="356"/>
      <c r="P15" s="357"/>
      <c r="Q15" s="356"/>
      <c r="R15" s="356"/>
      <c r="S15" s="356"/>
      <c r="T15" s="356"/>
      <c r="U15" s="356"/>
    </row>
    <row r="16" spans="1:21" s="162" customFormat="1" ht="18">
      <c r="A16" s="423" t="s">
        <v>439</v>
      </c>
      <c r="B16" s="424"/>
      <c r="C16" s="361"/>
      <c r="D16" s="425">
        <f>SUM(D13:D15)</f>
        <v>2731</v>
      </c>
      <c r="E16" s="425">
        <f>SUM(E13:E15)</f>
        <v>3920</v>
      </c>
      <c r="F16" s="425">
        <f>SUM(F13:F15)</f>
        <v>4980</v>
      </c>
      <c r="G16" s="425">
        <f>SUM(G13:G15)</f>
        <v>5150</v>
      </c>
      <c r="H16" s="425">
        <f>SUM(H13:H15)</f>
        <v>7282</v>
      </c>
      <c r="I16" s="425">
        <f t="shared" ref="I16:N16" si="7">SUM(I13:I15)</f>
        <v>7241.9335854369556</v>
      </c>
      <c r="J16" s="425">
        <f t="shared" si="7"/>
        <v>7262.2611711851605</v>
      </c>
      <c r="K16" s="425">
        <f t="shared" si="7"/>
        <v>7288.462112812238</v>
      </c>
      <c r="L16" s="425">
        <f t="shared" si="7"/>
        <v>7316.9932675085447</v>
      </c>
      <c r="M16" s="425">
        <f t="shared" si="7"/>
        <v>7349.3691248217547</v>
      </c>
      <c r="N16" s="425">
        <f t="shared" si="7"/>
        <v>7387.1820400374627</v>
      </c>
      <c r="O16" s="382"/>
      <c r="P16" s="383"/>
      <c r="Q16" s="382"/>
      <c r="R16" s="382"/>
      <c r="S16" s="382"/>
      <c r="T16" s="382"/>
      <c r="U16" s="382"/>
    </row>
    <row r="17" spans="1:21" s="162" customFormat="1" ht="18">
      <c r="A17" s="378" t="s">
        <v>440</v>
      </c>
      <c r="B17" s="379"/>
      <c r="C17" s="379"/>
      <c r="D17" s="437">
        <f t="shared" ref="D17:N17" si="8">D11-D16</f>
        <v>2395</v>
      </c>
      <c r="E17" s="437">
        <f t="shared" si="8"/>
        <v>2058</v>
      </c>
      <c r="F17" s="437">
        <f t="shared" si="8"/>
        <v>3499</v>
      </c>
      <c r="G17" s="437">
        <f t="shared" si="8"/>
        <v>4494</v>
      </c>
      <c r="H17" s="437">
        <f t="shared" si="8"/>
        <v>5204</v>
      </c>
      <c r="I17" s="437">
        <f t="shared" si="8"/>
        <v>5603.6111251128505</v>
      </c>
      <c r="J17" s="437">
        <f t="shared" si="8"/>
        <v>5909.5862005655617</v>
      </c>
      <c r="K17" s="437">
        <f t="shared" si="8"/>
        <v>6238.6928966665582</v>
      </c>
      <c r="L17" s="437">
        <f t="shared" si="8"/>
        <v>6593.8140353711869</v>
      </c>
      <c r="M17" s="437">
        <f t="shared" si="8"/>
        <v>6990.8525294140691</v>
      </c>
      <c r="N17" s="437">
        <f t="shared" si="8"/>
        <v>7434.8885276793817</v>
      </c>
      <c r="O17" s="382"/>
      <c r="P17" s="382"/>
      <c r="Q17" s="382"/>
      <c r="R17" s="382"/>
      <c r="S17" s="382"/>
      <c r="T17" s="382"/>
      <c r="U17" s="382"/>
    </row>
    <row r="18" spans="1:21">
      <c r="A18" s="427"/>
      <c r="B18" s="427"/>
      <c r="C18" s="427"/>
      <c r="D18" s="428"/>
      <c r="E18" s="429"/>
      <c r="F18" s="430"/>
      <c r="G18" s="430"/>
      <c r="H18" s="430"/>
      <c r="I18" s="430"/>
      <c r="J18" s="430"/>
      <c r="K18" s="430"/>
      <c r="L18" s="431"/>
      <c r="M18" s="432"/>
      <c r="N18" s="432"/>
      <c r="O18" s="433"/>
      <c r="P18" s="438"/>
      <c r="Q18" s="433"/>
      <c r="R18" s="433"/>
      <c r="S18" s="433"/>
      <c r="T18" s="433"/>
      <c r="U18" s="433"/>
    </row>
    <row r="19" spans="1:21" s="162" customFormat="1" ht="18">
      <c r="A19" s="439" t="s">
        <v>441</v>
      </c>
      <c r="B19" s="439"/>
      <c r="C19" s="439"/>
      <c r="D19" s="440"/>
      <c r="E19" s="441">
        <f>E17-D17</f>
        <v>-337</v>
      </c>
      <c r="F19" s="441">
        <f t="shared" ref="F19:N19" si="9">F17-E17</f>
        <v>1441</v>
      </c>
      <c r="G19" s="441">
        <f t="shared" si="9"/>
        <v>995</v>
      </c>
      <c r="H19" s="441">
        <f t="shared" si="9"/>
        <v>710</v>
      </c>
      <c r="I19" s="441">
        <f t="shared" si="9"/>
        <v>399.61112511285046</v>
      </c>
      <c r="J19" s="441">
        <f t="shared" si="9"/>
        <v>305.97507545271128</v>
      </c>
      <c r="K19" s="441">
        <f t="shared" si="9"/>
        <v>329.10669610099649</v>
      </c>
      <c r="L19" s="441">
        <f t="shared" si="9"/>
        <v>355.12113870462872</v>
      </c>
      <c r="M19" s="441">
        <f t="shared" si="9"/>
        <v>397.03849404288212</v>
      </c>
      <c r="N19" s="441">
        <f t="shared" si="9"/>
        <v>444.03599826531263</v>
      </c>
      <c r="O19" s="439"/>
      <c r="P19" s="382"/>
      <c r="Q19" s="382"/>
      <c r="R19" s="382"/>
      <c r="S19" s="382"/>
      <c r="T19" s="382"/>
      <c r="U19" s="382"/>
    </row>
    <row r="20" spans="1:21" s="166" customFormat="1" ht="18">
      <c r="A20" s="444" t="s">
        <v>442</v>
      </c>
      <c r="B20" s="445"/>
      <c r="C20" s="445"/>
      <c r="D20" s="445"/>
      <c r="E20" s="445"/>
      <c r="F20" s="446"/>
      <c r="G20" s="446"/>
      <c r="H20" s="446"/>
      <c r="I20" s="446"/>
      <c r="J20" s="446"/>
      <c r="K20" s="446"/>
      <c r="L20" s="446"/>
      <c r="M20" s="446"/>
      <c r="N20" s="446"/>
      <c r="O20" s="356"/>
      <c r="P20" s="356"/>
      <c r="Q20" s="356"/>
      <c r="R20" s="356"/>
      <c r="S20" s="356"/>
      <c r="T20" s="356"/>
      <c r="U20" s="356"/>
    </row>
    <row r="21" spans="1:21" s="166" customFormat="1" ht="18">
      <c r="A21" s="353" t="s">
        <v>443</v>
      </c>
      <c r="B21" s="354"/>
      <c r="C21" s="354"/>
      <c r="D21" s="354">
        <f>'IS(Yearly)'!C6</f>
        <v>21846</v>
      </c>
      <c r="E21" s="354">
        <f>'IS(Yearly)'!D6</f>
        <v>24105</v>
      </c>
      <c r="F21" s="354">
        <f>'IS(Yearly)'!E6</f>
        <v>29310</v>
      </c>
      <c r="G21" s="354">
        <f>'IS(Yearly)'!F6</f>
        <v>32653</v>
      </c>
      <c r="H21" s="354">
        <f>'IS(Yearly)'!G6</f>
        <v>35926</v>
      </c>
      <c r="I21" s="447">
        <f>매출액!H7</f>
        <v>40006.270212213902</v>
      </c>
      <c r="J21" s="447">
        <f>매출액!I7</f>
        <v>44476.036549915611</v>
      </c>
      <c r="K21" s="447">
        <f>매출액!J7</f>
        <v>49343.119499225009</v>
      </c>
      <c r="L21" s="447">
        <f>매출액!K7</f>
        <v>54598.473838396887</v>
      </c>
      <c r="M21" s="447">
        <f>매출액!L7</f>
        <v>60480.687012979761</v>
      </c>
      <c r="N21" s="447">
        <f>매출액!M7</f>
        <v>67081.160467315058</v>
      </c>
      <c r="O21" s="356"/>
      <c r="P21" s="356"/>
      <c r="Q21" s="356"/>
      <c r="R21" s="356"/>
      <c r="S21" s="356"/>
      <c r="T21" s="356"/>
      <c r="U21" s="356"/>
    </row>
    <row r="22" spans="1:21" s="166" customFormat="1" ht="18">
      <c r="A22" s="353" t="s">
        <v>855</v>
      </c>
      <c r="B22" s="354"/>
      <c r="C22" s="354"/>
      <c r="D22" s="354">
        <f>'IS(Yearly)'!C11</f>
        <v>7765</v>
      </c>
      <c r="E22" s="354">
        <f>'IS(Yearly)'!D11</f>
        <v>8301</v>
      </c>
      <c r="F22" s="354">
        <f>'IS(Yearly)'!E11</f>
        <v>10497</v>
      </c>
      <c r="G22" s="354">
        <f>'IS(Yearly)'!F11</f>
        <v>11653</v>
      </c>
      <c r="H22" s="354">
        <f>'IS(Yearly)'!G11</f>
        <v>12331</v>
      </c>
      <c r="I22" s="447">
        <f>'비용 추정'!I7</f>
        <v>12961.248429617688</v>
      </c>
      <c r="J22" s="447">
        <f>'비용 추정'!J7</f>
        <v>13561.500717431449</v>
      </c>
      <c r="K22" s="447">
        <f>'비용 추정'!K7</f>
        <v>14335.187044442415</v>
      </c>
      <c r="L22" s="447">
        <f>'비용 추정'!L7</f>
        <v>15177.682119487883</v>
      </c>
      <c r="M22" s="447">
        <f>'비용 추정'!M7</f>
        <v>16133.707230532016</v>
      </c>
      <c r="N22" s="447">
        <f>'비용 추정'!N7</f>
        <v>17250.28295911512</v>
      </c>
      <c r="O22" s="356"/>
      <c r="P22" s="356"/>
      <c r="Q22" s="356"/>
      <c r="R22" s="356"/>
      <c r="S22" s="356"/>
      <c r="T22" s="356"/>
      <c r="U22" s="356"/>
    </row>
    <row r="23" spans="1:21">
      <c r="A23" s="448"/>
      <c r="B23" s="448"/>
      <c r="C23" s="448"/>
      <c r="D23" s="448"/>
      <c r="E23" s="448"/>
      <c r="F23" s="449"/>
      <c r="G23" s="449"/>
      <c r="H23" s="449"/>
      <c r="I23" s="449"/>
      <c r="J23" s="449"/>
      <c r="K23" s="449"/>
      <c r="L23" s="449"/>
      <c r="M23" s="449"/>
      <c r="N23" s="449"/>
      <c r="O23" s="433"/>
      <c r="P23" s="438"/>
      <c r="Q23" s="433"/>
      <c r="R23" s="433"/>
      <c r="S23" s="433"/>
      <c r="T23" s="433"/>
      <c r="U23" s="433"/>
    </row>
    <row r="24" spans="1:21">
      <c r="A24" s="427" t="s">
        <v>444</v>
      </c>
      <c r="B24" s="427"/>
      <c r="C24" s="448"/>
      <c r="D24" s="448"/>
      <c r="E24" s="427"/>
      <c r="F24" s="450"/>
      <c r="G24" s="450"/>
      <c r="H24" s="450"/>
      <c r="I24" s="450"/>
      <c r="J24" s="450"/>
      <c r="K24" s="450"/>
      <c r="L24" s="433"/>
      <c r="M24" s="451"/>
      <c r="N24" s="451"/>
      <c r="O24" s="442"/>
      <c r="P24" s="438"/>
      <c r="Q24" s="433"/>
      <c r="R24" s="433"/>
      <c r="S24" s="433"/>
      <c r="T24" s="433"/>
      <c r="U24" s="433"/>
    </row>
    <row r="25" spans="1:21" s="166" customFormat="1" ht="18">
      <c r="A25" s="444" t="s">
        <v>445</v>
      </c>
      <c r="B25" s="445"/>
      <c r="C25" s="445"/>
      <c r="D25" s="445"/>
      <c r="E25" s="445"/>
      <c r="F25" s="446"/>
      <c r="G25" s="446"/>
      <c r="H25" s="446"/>
      <c r="I25" s="446"/>
      <c r="J25" s="446"/>
      <c r="K25" s="446"/>
      <c r="L25" s="446"/>
      <c r="M25" s="446"/>
      <c r="N25" s="446"/>
      <c r="O25" s="351"/>
      <c r="P25" s="356"/>
      <c r="Q25" s="356"/>
      <c r="R25" s="356"/>
      <c r="S25" s="356"/>
      <c r="T25" s="356"/>
      <c r="U25" s="356"/>
    </row>
    <row r="26" spans="1:21" s="166" customFormat="1" ht="18">
      <c r="A26" s="357" t="s">
        <v>446</v>
      </c>
      <c r="B26" s="351">
        <v>365</v>
      </c>
      <c r="C26" s="351"/>
      <c r="E26" s="354"/>
      <c r="F26" s="452"/>
      <c r="G26" s="452"/>
      <c r="H26" s="452"/>
      <c r="I26" s="452"/>
      <c r="J26" s="452"/>
      <c r="K26" s="452"/>
      <c r="L26" s="351"/>
      <c r="M26" s="453"/>
      <c r="N26" s="453"/>
      <c r="O26" s="351"/>
      <c r="P26" s="351"/>
      <c r="Q26" s="351"/>
      <c r="R26" s="351"/>
      <c r="S26" s="351"/>
      <c r="T26" s="351"/>
      <c r="U26" s="351"/>
    </row>
    <row r="27" spans="1:21" s="166" customFormat="1" ht="18">
      <c r="A27" s="353" t="s">
        <v>447</v>
      </c>
      <c r="B27" s="354"/>
      <c r="C27" s="354"/>
      <c r="D27" s="454">
        <f>D7/D21*$B$26</f>
        <v>27.033324178339281</v>
      </c>
      <c r="E27" s="454">
        <f>E7/E21*$B$26</f>
        <v>29.799626633478532</v>
      </c>
      <c r="F27" s="454">
        <f>F7/F21*$B$26</f>
        <v>25.155237120436709</v>
      </c>
      <c r="G27" s="454">
        <f>G7/G21*$B$26</f>
        <v>25.609132392123232</v>
      </c>
      <c r="H27" s="454">
        <f>H7/H21*$B$26</f>
        <v>26.019178310972553</v>
      </c>
      <c r="I27" s="455">
        <f>AVERAGE(E27:H27)</f>
        <v>26.645793614252756</v>
      </c>
      <c r="J27" s="455">
        <f>I27</f>
        <v>26.645793614252756</v>
      </c>
      <c r="K27" s="455">
        <f t="shared" ref="K27:N27" si="10">J27</f>
        <v>26.645793614252756</v>
      </c>
      <c r="L27" s="455">
        <f t="shared" si="10"/>
        <v>26.645793614252756</v>
      </c>
      <c r="M27" s="455">
        <f t="shared" si="10"/>
        <v>26.645793614252756</v>
      </c>
      <c r="N27" s="455">
        <f t="shared" si="10"/>
        <v>26.645793614252756</v>
      </c>
      <c r="O27" s="351"/>
      <c r="P27" s="351"/>
      <c r="Q27" s="351"/>
      <c r="R27" s="351"/>
      <c r="S27" s="351"/>
      <c r="T27" s="351"/>
      <c r="U27" s="351"/>
    </row>
    <row r="28" spans="1:21">
      <c r="A28" s="448"/>
      <c r="B28" s="448"/>
      <c r="C28" s="448"/>
      <c r="D28" s="448"/>
      <c r="E28" s="448"/>
      <c r="F28" s="456"/>
      <c r="G28" s="456"/>
      <c r="H28" s="456"/>
      <c r="I28" s="457"/>
      <c r="J28" s="457"/>
      <c r="K28" s="457"/>
      <c r="L28" s="457"/>
      <c r="M28" s="457"/>
      <c r="N28" s="457"/>
      <c r="O28" s="442"/>
      <c r="P28" s="443"/>
      <c r="Q28" s="442"/>
      <c r="R28" s="442"/>
      <c r="S28" s="442"/>
      <c r="T28" s="442"/>
      <c r="U28" s="442"/>
    </row>
    <row r="29" spans="1:21" s="166" customFormat="1" ht="18">
      <c r="A29" s="458" t="s">
        <v>445</v>
      </c>
      <c r="B29" s="459"/>
      <c r="C29" s="459"/>
      <c r="D29" s="459"/>
      <c r="E29" s="459"/>
      <c r="F29" s="446"/>
      <c r="G29" s="446"/>
      <c r="H29" s="446"/>
      <c r="I29" s="446"/>
      <c r="J29" s="446"/>
      <c r="K29" s="446"/>
      <c r="L29" s="446"/>
      <c r="M29" s="446"/>
      <c r="N29" s="446"/>
      <c r="O29" s="356"/>
      <c r="P29" s="351"/>
      <c r="Q29" s="351"/>
      <c r="R29" s="351"/>
      <c r="S29" s="351"/>
      <c r="T29" s="351"/>
      <c r="U29" s="351"/>
    </row>
    <row r="30" spans="1:21" s="166" customFormat="1" ht="18">
      <c r="A30" s="370" t="s">
        <v>446</v>
      </c>
      <c r="B30" s="370">
        <v>365</v>
      </c>
      <c r="C30" s="370"/>
      <c r="E30" s="370"/>
      <c r="F30" s="452"/>
      <c r="G30" s="452"/>
      <c r="H30" s="452"/>
      <c r="I30" s="452"/>
      <c r="J30" s="452"/>
      <c r="K30" s="452"/>
      <c r="L30" s="452"/>
      <c r="M30" s="370"/>
      <c r="N30" s="370"/>
      <c r="O30" s="351"/>
      <c r="P30" s="351"/>
      <c r="Q30" s="351"/>
      <c r="R30" s="351"/>
      <c r="S30" s="351"/>
      <c r="T30" s="351"/>
      <c r="U30" s="351"/>
    </row>
    <row r="31" spans="1:21" s="166" customFormat="1" ht="18">
      <c r="A31" s="370" t="s">
        <v>448</v>
      </c>
      <c r="B31" s="370"/>
      <c r="C31" s="370"/>
      <c r="D31" s="455">
        <f>D13/D22*$B$30</f>
        <v>8.1790083708950423</v>
      </c>
      <c r="E31" s="455">
        <f>E13/E22*$B$30</f>
        <v>11.696181182990001</v>
      </c>
      <c r="F31" s="455">
        <f>F13/F22*$B$30</f>
        <v>11.822425454891874</v>
      </c>
      <c r="G31" s="455">
        <f>G13/G22*$B$30</f>
        <v>11.745902342744358</v>
      </c>
      <c r="H31" s="455">
        <f>H13/H22*$B$30</f>
        <v>14.178493228448627</v>
      </c>
      <c r="I31" s="455">
        <f>AVERAGE(E31:H31)</f>
        <v>12.360750552268716</v>
      </c>
      <c r="J31" s="455">
        <f>I31</f>
        <v>12.360750552268716</v>
      </c>
      <c r="K31" s="455">
        <f t="shared" ref="K31:N31" si="11">J31</f>
        <v>12.360750552268716</v>
      </c>
      <c r="L31" s="455">
        <f t="shared" si="11"/>
        <v>12.360750552268716</v>
      </c>
      <c r="M31" s="455">
        <f t="shared" si="11"/>
        <v>12.360750552268716</v>
      </c>
      <c r="N31" s="455">
        <f t="shared" si="11"/>
        <v>12.360750552268716</v>
      </c>
      <c r="O31" s="351"/>
      <c r="P31" s="351"/>
      <c r="Q31" s="356"/>
      <c r="R31" s="356"/>
      <c r="S31" s="356"/>
      <c r="T31" s="356"/>
      <c r="U31" s="356"/>
    </row>
    <row r="32" spans="1:21">
      <c r="A32" s="460"/>
      <c r="B32" s="460"/>
      <c r="C32" s="460"/>
      <c r="D32" s="460"/>
      <c r="E32" s="460"/>
      <c r="F32" s="460"/>
      <c r="G32" s="460"/>
      <c r="H32" s="460"/>
      <c r="I32" s="460"/>
      <c r="J32" s="460"/>
      <c r="K32" s="460"/>
      <c r="L32" s="460"/>
      <c r="M32" s="460"/>
      <c r="N32" s="460"/>
      <c r="O32" s="460"/>
      <c r="P32" s="461"/>
      <c r="Q32" s="460"/>
      <c r="R32" s="460"/>
      <c r="S32" s="460"/>
      <c r="T32" s="460"/>
      <c r="U32" s="460"/>
    </row>
    <row r="33" spans="1:21">
      <c r="A33" s="460"/>
      <c r="B33" s="460"/>
      <c r="C33" s="460"/>
      <c r="D33" s="460"/>
      <c r="E33" s="460"/>
      <c r="F33" s="460"/>
      <c r="G33" s="460"/>
      <c r="H33" s="460"/>
      <c r="I33" s="460"/>
      <c r="J33" s="460"/>
      <c r="K33" s="460"/>
      <c r="L33" s="460"/>
      <c r="M33" s="460"/>
      <c r="N33" s="460"/>
      <c r="O33" s="460"/>
      <c r="P33" s="461"/>
      <c r="Q33" s="460"/>
      <c r="R33" s="460"/>
      <c r="S33" s="460"/>
      <c r="T33" s="460"/>
      <c r="U33" s="460"/>
    </row>
    <row r="34" spans="1:21" ht="18">
      <c r="A34" s="462" t="s">
        <v>449</v>
      </c>
      <c r="B34" s="463"/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246"/>
      <c r="P34" s="461"/>
      <c r="Q34" s="460"/>
      <c r="R34" s="460"/>
      <c r="S34" s="460"/>
      <c r="T34" s="460"/>
      <c r="U34" s="460"/>
    </row>
    <row r="35" spans="1:21" ht="18">
      <c r="A35" s="465" t="s">
        <v>450</v>
      </c>
      <c r="B35" s="465"/>
      <c r="C35" s="466"/>
      <c r="D35" s="467">
        <f t="shared" ref="D35:N35" si="12">D7/D21</f>
        <v>7.4063901858463788E-2</v>
      </c>
      <c r="E35" s="467">
        <f t="shared" si="12"/>
        <v>8.1642812694461733E-2</v>
      </c>
      <c r="F35" s="467">
        <f t="shared" si="12"/>
        <v>6.8918457864210164E-2</v>
      </c>
      <c r="G35" s="467">
        <f t="shared" si="12"/>
        <v>7.0162006553762285E-2</v>
      </c>
      <c r="H35" s="467">
        <f t="shared" si="12"/>
        <v>7.1285420030061789E-2</v>
      </c>
      <c r="I35" s="468">
        <f t="shared" si="12"/>
        <v>7.3002174285624E-2</v>
      </c>
      <c r="J35" s="468">
        <f t="shared" si="12"/>
        <v>7.3002174285624E-2</v>
      </c>
      <c r="K35" s="468">
        <f t="shared" si="12"/>
        <v>7.3002174285624E-2</v>
      </c>
      <c r="L35" s="468">
        <f t="shared" si="12"/>
        <v>7.3002174285624E-2</v>
      </c>
      <c r="M35" s="468">
        <f t="shared" si="12"/>
        <v>7.3002174285623986E-2</v>
      </c>
      <c r="N35" s="468">
        <f t="shared" si="12"/>
        <v>7.3002174285624E-2</v>
      </c>
      <c r="O35" s="246"/>
      <c r="P35" s="461"/>
      <c r="Q35" s="460"/>
      <c r="R35" s="460"/>
      <c r="S35" s="460"/>
      <c r="T35" s="460"/>
      <c r="U35" s="460"/>
    </row>
    <row r="36" spans="1:21" ht="18">
      <c r="A36" s="465" t="s">
        <v>871</v>
      </c>
      <c r="B36" s="465"/>
      <c r="C36" s="466"/>
      <c r="D36" s="468">
        <f t="shared" ref="D36:N36" si="13">D7/D22</f>
        <v>0.20837089504185446</v>
      </c>
      <c r="E36" s="468">
        <f t="shared" si="13"/>
        <v>0.23707986989519336</v>
      </c>
      <c r="F36" s="468">
        <f t="shared" si="13"/>
        <v>0.19243593407640278</v>
      </c>
      <c r="G36" s="468">
        <f t="shared" si="13"/>
        <v>0.19660173345919504</v>
      </c>
      <c r="H36" s="468">
        <f t="shared" si="13"/>
        <v>0.2076879409618036</v>
      </c>
      <c r="I36" s="468">
        <f t="shared" si="13"/>
        <v>0.22532896629587656</v>
      </c>
      <c r="J36" s="468">
        <f t="shared" si="13"/>
        <v>0.23941652471966804</v>
      </c>
      <c r="K36" s="468">
        <f t="shared" si="13"/>
        <v>0.25128064240189385</v>
      </c>
      <c r="L36" s="468">
        <f t="shared" si="13"/>
        <v>0.26260974972996853</v>
      </c>
      <c r="M36" s="468">
        <f t="shared" si="13"/>
        <v>0.27366442139722835</v>
      </c>
      <c r="N36" s="468">
        <f t="shared" si="13"/>
        <v>0.2838834921910201</v>
      </c>
      <c r="O36" s="469"/>
      <c r="P36" s="461"/>
      <c r="Q36" s="460"/>
      <c r="R36" s="460"/>
      <c r="S36" s="460"/>
      <c r="T36" s="460"/>
      <c r="U36" s="460"/>
    </row>
    <row r="37" spans="1:21" ht="18">
      <c r="A37" s="465" t="s">
        <v>451</v>
      </c>
      <c r="B37" s="465"/>
      <c r="C37" s="466"/>
      <c r="D37" s="467">
        <f t="shared" ref="D37:N37" si="14">D17/D21</f>
        <v>0.10963105373981506</v>
      </c>
      <c r="E37" s="467">
        <f t="shared" si="14"/>
        <v>8.5376477909147486E-2</v>
      </c>
      <c r="F37" s="467">
        <f t="shared" si="14"/>
        <v>0.11937905151825316</v>
      </c>
      <c r="G37" s="467">
        <f t="shared" si="14"/>
        <v>0.1376290080543901</v>
      </c>
      <c r="H37" s="467">
        <f t="shared" si="14"/>
        <v>0.144853309580805</v>
      </c>
      <c r="I37" s="468">
        <f t="shared" si="14"/>
        <v>0.14006832167528754</v>
      </c>
      <c r="J37" s="468">
        <f t="shared" si="14"/>
        <v>0.13287124166141046</v>
      </c>
      <c r="K37" s="468">
        <f t="shared" si="14"/>
        <v>0.12643491047955621</v>
      </c>
      <c r="L37" s="468">
        <f t="shared" si="14"/>
        <v>0.12076920052541881</v>
      </c>
      <c r="M37" s="468">
        <f t="shared" si="14"/>
        <v>0.1155881798749039</v>
      </c>
      <c r="N37" s="468">
        <f t="shared" si="14"/>
        <v>0.11083422641893609</v>
      </c>
      <c r="O37" s="470"/>
      <c r="P37" s="461"/>
      <c r="Q37" s="460"/>
      <c r="R37" s="460"/>
      <c r="S37" s="460"/>
      <c r="T37" s="460"/>
      <c r="U37" s="460"/>
    </row>
    <row r="38" spans="1:21" ht="18">
      <c r="A38" s="465" t="s">
        <v>452</v>
      </c>
      <c r="B38" s="465"/>
      <c r="C38" s="466"/>
      <c r="D38" s="467">
        <f t="shared" ref="D38:N38" si="15">D11/D16</f>
        <v>1.8769681435371659</v>
      </c>
      <c r="E38" s="467">
        <f t="shared" si="15"/>
        <v>1.5249999999999999</v>
      </c>
      <c r="F38" s="467">
        <f t="shared" si="15"/>
        <v>1.7026104417670682</v>
      </c>
      <c r="G38" s="467">
        <f t="shared" si="15"/>
        <v>1.872621359223301</v>
      </c>
      <c r="H38" s="467">
        <f t="shared" si="15"/>
        <v>1.714638835484757</v>
      </c>
      <c r="I38" s="471">
        <f t="shared" si="15"/>
        <v>1.7737727858180496</v>
      </c>
      <c r="J38" s="471">
        <f t="shared" si="15"/>
        <v>1.8137391456001781</v>
      </c>
      <c r="K38" s="471">
        <f t="shared" si="15"/>
        <v>1.8559683510873559</v>
      </c>
      <c r="L38" s="471">
        <f t="shared" si="15"/>
        <v>1.9011644256461642</v>
      </c>
      <c r="M38" s="471">
        <f t="shared" si="15"/>
        <v>1.9512180447983172</v>
      </c>
      <c r="N38" s="471">
        <f t="shared" si="15"/>
        <v>2.0064580089380981</v>
      </c>
      <c r="O38" s="460"/>
      <c r="P38" s="461"/>
      <c r="Q38" s="460"/>
      <c r="R38" s="460"/>
      <c r="S38" s="460"/>
      <c r="T38" s="460"/>
      <c r="U38" s="460"/>
    </row>
    <row r="39" spans="1:21" ht="18">
      <c r="A39" s="472" t="s">
        <v>453</v>
      </c>
      <c r="B39" s="473"/>
      <c r="C39" s="474"/>
      <c r="D39" s="468">
        <f t="shared" ref="D39:N39" si="16">D17/D44</f>
        <v>2.9597498733301201E-2</v>
      </c>
      <c r="E39" s="468">
        <f t="shared" si="16"/>
        <v>2.4826288361320208E-2</v>
      </c>
      <c r="F39" s="468">
        <f t="shared" si="16"/>
        <v>4.092349797078397E-2</v>
      </c>
      <c r="G39" s="468">
        <f t="shared" si="16"/>
        <v>4.9658007270798575E-2</v>
      </c>
      <c r="H39" s="468">
        <f t="shared" si="16"/>
        <v>5.5062373691951202E-2</v>
      </c>
      <c r="I39" s="468">
        <f t="shared" si="16"/>
        <v>5.7998625755605153E-2</v>
      </c>
      <c r="J39" s="468">
        <f t="shared" si="16"/>
        <v>6.0101432896142094E-2</v>
      </c>
      <c r="K39" s="468">
        <f t="shared" si="16"/>
        <v>6.1294730568361135E-2</v>
      </c>
      <c r="L39" s="468">
        <f t="shared" si="16"/>
        <v>6.303496747228135E-2</v>
      </c>
      <c r="M39" s="468">
        <f t="shared" si="16"/>
        <v>6.5307562611339368E-2</v>
      </c>
      <c r="N39" s="468">
        <f t="shared" si="16"/>
        <v>6.7681038317715325E-2</v>
      </c>
      <c r="O39" s="460"/>
      <c r="P39" s="461"/>
      <c r="Q39" s="460"/>
      <c r="R39" s="460"/>
      <c r="S39" s="460"/>
      <c r="T39" s="460"/>
      <c r="U39" s="460"/>
    </row>
    <row r="40" spans="1:21">
      <c r="A40" s="460"/>
      <c r="B40" s="460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1"/>
      <c r="Q40" s="460"/>
      <c r="R40" s="460"/>
      <c r="S40" s="460"/>
      <c r="T40" s="460"/>
      <c r="U40" s="460"/>
    </row>
    <row r="41" spans="1:21">
      <c r="A41" s="475"/>
      <c r="B41" s="475"/>
      <c r="C41" s="460"/>
      <c r="D41" s="460"/>
      <c r="E41" s="460"/>
      <c r="F41" s="460"/>
      <c r="G41" s="460"/>
      <c r="H41" s="460"/>
      <c r="I41" s="460"/>
      <c r="J41" s="460"/>
      <c r="K41" s="460"/>
      <c r="L41" s="460"/>
      <c r="M41" s="460"/>
      <c r="N41" s="460"/>
      <c r="O41" s="460"/>
      <c r="P41" s="461"/>
      <c r="Q41" s="460"/>
      <c r="R41" s="460"/>
      <c r="S41" s="460"/>
      <c r="T41" s="460"/>
      <c r="U41" s="460"/>
    </row>
    <row r="42" spans="1:21">
      <c r="A42" s="476" t="s">
        <v>454</v>
      </c>
      <c r="B42" s="477"/>
      <c r="C42" s="478"/>
      <c r="D42" s="478"/>
      <c r="E42" s="478"/>
      <c r="F42" s="478"/>
      <c r="G42" s="478"/>
      <c r="H42" s="478"/>
      <c r="I42" s="532"/>
      <c r="J42" s="478"/>
      <c r="K42" s="478"/>
      <c r="L42" s="478"/>
      <c r="M42" s="478"/>
      <c r="N42" s="478"/>
      <c r="O42" s="442"/>
      <c r="P42" s="443"/>
      <c r="Q42" s="442"/>
      <c r="R42" s="442"/>
      <c r="S42" s="442"/>
      <c r="T42" s="442"/>
      <c r="U42" s="442"/>
    </row>
    <row r="43" spans="1:21">
      <c r="A43" s="357" t="s">
        <v>455</v>
      </c>
      <c r="B43" s="357"/>
      <c r="C43" s="351"/>
      <c r="D43" s="479">
        <f>D45/D44</f>
        <v>0.2699736773810848</v>
      </c>
      <c r="E43" s="479">
        <f t="shared" ref="E43:H43" si="17">E45/E44</f>
        <v>0.29078604516502604</v>
      </c>
      <c r="F43" s="479">
        <f t="shared" si="17"/>
        <v>0.34280300815195142</v>
      </c>
      <c r="G43" s="479">
        <f t="shared" si="17"/>
        <v>0.36081061669189712</v>
      </c>
      <c r="H43" s="479">
        <f t="shared" si="17"/>
        <v>0.3801250648072711</v>
      </c>
      <c r="I43" s="479">
        <f>H43*(H43/D43)^0.25</f>
        <v>0.41407382527264153</v>
      </c>
      <c r="J43" s="479">
        <f t="shared" ref="J43:N43" si="18">I43*(I43/E43)^0.25</f>
        <v>0.45232837553588717</v>
      </c>
      <c r="K43" s="479">
        <f t="shared" si="18"/>
        <v>0.48479277072982263</v>
      </c>
      <c r="L43" s="479">
        <f t="shared" si="18"/>
        <v>0.52194572124383731</v>
      </c>
      <c r="M43" s="479">
        <f t="shared" si="18"/>
        <v>0.56500208483271319</v>
      </c>
      <c r="N43" s="479">
        <f t="shared" si="18"/>
        <v>0.61065106424699134</v>
      </c>
      <c r="O43" s="442"/>
      <c r="P43" s="443"/>
      <c r="Q43" s="442"/>
      <c r="R43" s="442"/>
      <c r="S43" s="442"/>
      <c r="T43" s="442"/>
      <c r="U43" s="442"/>
    </row>
    <row r="44" spans="1:21">
      <c r="A44" s="357" t="s">
        <v>456</v>
      </c>
      <c r="B44" s="357"/>
      <c r="C44" s="351"/>
      <c r="D44" s="351">
        <f>'BS(Yearly)'!B36</f>
        <v>80919</v>
      </c>
      <c r="E44" s="351">
        <f>'BS(Yearly)'!C36</f>
        <v>82896</v>
      </c>
      <c r="F44" s="351">
        <f>'BS(Yearly)'!D36</f>
        <v>85501</v>
      </c>
      <c r="G44" s="351">
        <f>'BS(Yearly)'!E36</f>
        <v>90499</v>
      </c>
      <c r="H44" s="351">
        <f>'BS(Yearly)'!F36</f>
        <v>94511</v>
      </c>
      <c r="I44" s="351">
        <f>I45*(1/I43)</f>
        <v>96616.274129069367</v>
      </c>
      <c r="J44" s="351">
        <f t="shared" ref="J44:N44" si="19">J45*(1/J43)</f>
        <v>98326.877011028759</v>
      </c>
      <c r="K44" s="351">
        <f t="shared" si="19"/>
        <v>101781.87976058779</v>
      </c>
      <c r="L44" s="351">
        <f t="shared" si="19"/>
        <v>104605.65460386277</v>
      </c>
      <c r="M44" s="351">
        <f t="shared" si="19"/>
        <v>107045.06874675867</v>
      </c>
      <c r="N44" s="351">
        <f t="shared" si="19"/>
        <v>109851.86859542195</v>
      </c>
      <c r="O44" s="442"/>
      <c r="P44" s="443"/>
      <c r="Q44" s="442"/>
      <c r="R44" s="442"/>
      <c r="S44" s="442"/>
      <c r="T44" s="442"/>
      <c r="U44" s="442"/>
    </row>
    <row r="45" spans="1:21">
      <c r="A45" s="357" t="s">
        <v>457</v>
      </c>
      <c r="B45" s="357"/>
      <c r="C45" s="351"/>
      <c r="D45" s="351">
        <f>'IS(Yearly)'!C6</f>
        <v>21846</v>
      </c>
      <c r="E45" s="351">
        <f>'IS(Yearly)'!D6</f>
        <v>24105</v>
      </c>
      <c r="F45" s="351">
        <f>'IS(Yearly)'!E6</f>
        <v>29310</v>
      </c>
      <c r="G45" s="351">
        <f>'IS(Yearly)'!F6</f>
        <v>32653</v>
      </c>
      <c r="H45" s="351">
        <f>'IS(Yearly)'!G6</f>
        <v>35926</v>
      </c>
      <c r="I45" s="351">
        <f>매출액!H7</f>
        <v>40006.270212213902</v>
      </c>
      <c r="J45" s="351">
        <f>매출액!I7</f>
        <v>44476.036549915611</v>
      </c>
      <c r="K45" s="351">
        <f>매출액!J7</f>
        <v>49343.119499225009</v>
      </c>
      <c r="L45" s="351">
        <f>매출액!K7</f>
        <v>54598.473838396887</v>
      </c>
      <c r="M45" s="351">
        <f>매출액!L7</f>
        <v>60480.687012979761</v>
      </c>
      <c r="N45" s="351">
        <f>매출액!M7</f>
        <v>67081.160467315058</v>
      </c>
      <c r="O45" s="442"/>
      <c r="P45" s="443"/>
      <c r="Q45" s="442"/>
      <c r="R45" s="442"/>
      <c r="S45" s="442"/>
      <c r="T45" s="442"/>
      <c r="U45" s="442"/>
    </row>
    <row r="46" spans="1:21">
      <c r="A46" s="480"/>
      <c r="B46" s="480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3"/>
      <c r="Q46" s="442"/>
      <c r="R46" s="442"/>
      <c r="S46" s="442"/>
      <c r="T46" s="442"/>
      <c r="U46" s="442"/>
    </row>
  </sheetData>
  <mergeCells count="2">
    <mergeCell ref="A5:H5"/>
    <mergeCell ref="I5:N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025C-69BF-45B1-A649-F2C0A668E22F}">
  <dimension ref="A1:J27"/>
  <sheetViews>
    <sheetView topLeftCell="A5" workbookViewId="0">
      <selection activeCell="E25" sqref="E25"/>
    </sheetView>
  </sheetViews>
  <sheetFormatPr defaultColWidth="8.69921875" defaultRowHeight="17.399999999999999"/>
  <cols>
    <col min="1" max="4" width="8.69921875" style="20"/>
    <col min="5" max="5" width="16" style="20" bestFit="1" customWidth="1"/>
    <col min="6" max="6" width="12.69921875" style="20" bestFit="1" customWidth="1"/>
    <col min="7" max="16384" width="8.69921875" style="20"/>
  </cols>
  <sheetData>
    <row r="1" spans="1:10" s="44" customFormat="1" ht="17.7" customHeight="1">
      <c r="A1" s="41" t="s">
        <v>511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s="46" customFormat="1" ht="17.7" customHeight="1">
      <c r="A2" s="45" t="s">
        <v>398</v>
      </c>
    </row>
    <row r="4" spans="1:10" ht="18">
      <c r="B4" s="578" t="s">
        <v>400</v>
      </c>
      <c r="C4" s="579"/>
      <c r="D4" s="579"/>
      <c r="E4" s="579"/>
      <c r="F4"/>
      <c r="G4" s="69" t="s">
        <v>419</v>
      </c>
      <c r="H4" s="52"/>
      <c r="I4" s="52"/>
    </row>
    <row r="5" spans="1:10" ht="18">
      <c r="B5" s="482" t="s">
        <v>401</v>
      </c>
      <c r="C5" s="482"/>
      <c r="D5" s="482"/>
      <c r="E5" s="483">
        <f>E27</f>
        <v>3.5712627758909106E-2</v>
      </c>
      <c r="G5" s="70" t="s">
        <v>420</v>
      </c>
      <c r="H5" s="53"/>
      <c r="I5" s="53"/>
    </row>
    <row r="6" spans="1:10" ht="18">
      <c r="B6" s="166" t="s">
        <v>402</v>
      </c>
      <c r="C6" s="166"/>
      <c r="D6" s="166"/>
      <c r="E6" s="484">
        <f>1-E5</f>
        <v>0.96428737224109085</v>
      </c>
      <c r="G6" s="70"/>
      <c r="H6" s="53"/>
      <c r="I6" s="53"/>
    </row>
    <row r="7" spans="1:10" ht="18">
      <c r="B7" s="166" t="s">
        <v>403</v>
      </c>
      <c r="C7" s="166"/>
      <c r="D7" s="166"/>
      <c r="E7" s="485">
        <v>4.0599999999999997E-2</v>
      </c>
      <c r="G7" s="70"/>
      <c r="H7" s="53"/>
      <c r="I7" s="53"/>
    </row>
    <row r="8" spans="1:10" ht="18">
      <c r="B8" s="302" t="s">
        <v>404</v>
      </c>
      <c r="C8" s="302"/>
      <c r="D8" s="302"/>
      <c r="E8" s="486">
        <f>1-IS!I37</f>
        <v>0.82873296269436436</v>
      </c>
      <c r="G8" s="71" t="s">
        <v>421</v>
      </c>
      <c r="H8" s="53"/>
      <c r="I8" s="53"/>
    </row>
    <row r="9" spans="1:10" ht="18">
      <c r="B9" s="166" t="s">
        <v>405</v>
      </c>
      <c r="C9" s="166"/>
      <c r="D9" s="166"/>
      <c r="E9" s="484">
        <f>E7*E8*E5</f>
        <v>1.2016070114146146E-3</v>
      </c>
      <c r="G9" s="70"/>
      <c r="H9" s="53"/>
      <c r="I9" s="53"/>
    </row>
    <row r="10" spans="1:10" ht="18">
      <c r="B10" s="482" t="s">
        <v>406</v>
      </c>
      <c r="C10" s="482"/>
      <c r="D10" s="482"/>
      <c r="E10" s="483">
        <v>3.6330000000000001E-2</v>
      </c>
      <c r="G10" s="70" t="s">
        <v>872</v>
      </c>
      <c r="H10" s="53"/>
      <c r="I10" s="53"/>
    </row>
    <row r="11" spans="1:10" ht="18">
      <c r="B11" s="166" t="s">
        <v>407</v>
      </c>
      <c r="C11" s="166"/>
      <c r="D11" s="166"/>
      <c r="E11" s="485">
        <v>5.3199999999999997E-2</v>
      </c>
      <c r="G11" s="70" t="s">
        <v>930</v>
      </c>
      <c r="H11" s="53"/>
      <c r="I11" s="53"/>
    </row>
    <row r="12" spans="1:10" ht="18">
      <c r="B12" s="487" t="s">
        <v>408</v>
      </c>
      <c r="C12" s="166"/>
      <c r="D12" s="166"/>
      <c r="E12" s="534">
        <f>0.786*2/3+1*1/3</f>
        <v>0.85733333333333328</v>
      </c>
      <c r="G12" s="70" t="s">
        <v>928</v>
      </c>
      <c r="H12" s="53"/>
      <c r="I12" s="53"/>
    </row>
    <row r="13" spans="1:10" ht="18">
      <c r="B13" s="302" t="s">
        <v>409</v>
      </c>
      <c r="C13" s="302"/>
      <c r="D13" s="302"/>
      <c r="E13" s="486">
        <f>E10+E12*(E11)</f>
        <v>8.1940133333333331E-2</v>
      </c>
      <c r="G13" s="70" t="s">
        <v>422</v>
      </c>
      <c r="H13" s="53"/>
      <c r="I13" s="53"/>
    </row>
    <row r="14" spans="1:10" ht="18">
      <c r="B14" s="166" t="s">
        <v>410</v>
      </c>
      <c r="C14" s="166"/>
      <c r="D14" s="166"/>
      <c r="E14" s="484">
        <f>E13*E6</f>
        <v>7.9013835853084607E-2</v>
      </c>
      <c r="G14" s="70"/>
      <c r="H14" s="53"/>
      <c r="I14" s="53"/>
    </row>
    <row r="15" spans="1:10" ht="18">
      <c r="B15" s="488" t="s">
        <v>411</v>
      </c>
      <c r="C15" s="488"/>
      <c r="D15" s="488"/>
      <c r="E15" s="489">
        <f>E14+E9</f>
        <v>8.021544286449922E-2</v>
      </c>
      <c r="G15" s="70"/>
      <c r="H15" s="53"/>
      <c r="I15" s="53"/>
    </row>
    <row r="18" spans="2:8" ht="18">
      <c r="B18" s="74" t="s">
        <v>401</v>
      </c>
      <c r="C18" s="503"/>
      <c r="D18" s="503"/>
      <c r="E18" s="75"/>
    </row>
    <row r="19" spans="2:8" ht="18">
      <c r="B19" s="490" t="s">
        <v>924</v>
      </c>
      <c r="C19" s="166"/>
      <c r="D19" s="166"/>
      <c r="E19" s="491"/>
    </row>
    <row r="20" spans="2:8" ht="18">
      <c r="B20" s="492" t="s">
        <v>412</v>
      </c>
      <c r="C20" s="302"/>
      <c r="D20" s="302"/>
      <c r="E20" s="493" t="s">
        <v>413</v>
      </c>
    </row>
    <row r="21" spans="2:8" ht="18">
      <c r="B21" s="494" t="s">
        <v>414</v>
      </c>
      <c r="C21" s="504"/>
      <c r="D21" s="504"/>
      <c r="E21" s="495">
        <v>150</v>
      </c>
      <c r="H21" s="496"/>
    </row>
    <row r="22" spans="2:8" ht="18">
      <c r="B22" s="497" t="s">
        <v>415</v>
      </c>
      <c r="C22" s="505"/>
      <c r="D22" s="505"/>
      <c r="E22" s="498">
        <v>21521</v>
      </c>
    </row>
    <row r="23" spans="2:8" ht="18">
      <c r="B23" s="490" t="s">
        <v>416</v>
      </c>
      <c r="C23" s="166"/>
      <c r="D23" s="166"/>
      <c r="E23" s="499">
        <f>SUM(E21:E22)</f>
        <v>21671</v>
      </c>
    </row>
    <row r="24" spans="2:8" ht="18">
      <c r="B24" s="490" t="s">
        <v>417</v>
      </c>
      <c r="C24" s="166"/>
      <c r="D24" s="166"/>
      <c r="E24" s="499">
        <f>E25*E26</f>
        <v>585145170075.69006</v>
      </c>
    </row>
    <row r="25" spans="2:8" ht="18">
      <c r="B25" s="500" t="s">
        <v>857</v>
      </c>
      <c r="C25" s="304"/>
      <c r="D25" s="304"/>
      <c r="E25" s="533">
        <v>344.47</v>
      </c>
    </row>
    <row r="26" spans="2:8" ht="18">
      <c r="B26" s="500" t="s">
        <v>572</v>
      </c>
      <c r="C26" s="304"/>
      <c r="D26" s="304"/>
      <c r="E26" s="499">
        <v>1698682527</v>
      </c>
    </row>
    <row r="27" spans="2:8" ht="18">
      <c r="B27" s="501" t="s">
        <v>418</v>
      </c>
      <c r="C27" s="506"/>
      <c r="D27" s="506"/>
      <c r="E27" s="502">
        <f>E23/(E23*1000000+E24)*1000000</f>
        <v>3.5712627758909106E-2</v>
      </c>
    </row>
  </sheetData>
  <mergeCells count="1">
    <mergeCell ref="B4:E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684B-4181-4C46-94FC-5A3F89E8D981}">
  <dimension ref="A1:P27"/>
  <sheetViews>
    <sheetView topLeftCell="A5" workbookViewId="0">
      <selection activeCell="I7" sqref="I7"/>
    </sheetView>
  </sheetViews>
  <sheetFormatPr defaultColWidth="8.69921875" defaultRowHeight="17.399999999999999"/>
  <cols>
    <col min="1" max="2" width="8.69921875" style="20"/>
    <col min="3" max="7" width="8.8984375" style="20" bestFit="1" customWidth="1"/>
    <col min="8" max="8" width="10.69921875" style="20" bestFit="1" customWidth="1"/>
    <col min="9" max="13" width="9.796875" style="20" bestFit="1" customWidth="1"/>
    <col min="14" max="16384" width="8.69921875" style="20"/>
  </cols>
  <sheetData>
    <row r="1" spans="1:16" s="44" customFormat="1" ht="17.7" customHeight="1">
      <c r="A1" s="41" t="s">
        <v>511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P1" s="50"/>
    </row>
    <row r="2" spans="1:16" s="46" customFormat="1" ht="17.7" customHeight="1">
      <c r="A2" s="45" t="s">
        <v>933</v>
      </c>
      <c r="P2" s="51"/>
    </row>
    <row r="3" spans="1:16" s="46" customFormat="1" ht="17.7" customHeight="1">
      <c r="A3" s="47" t="s">
        <v>395</v>
      </c>
      <c r="P3" s="51"/>
    </row>
    <row r="4" spans="1:16" ht="18" thickBot="1"/>
    <row r="5" spans="1:16" ht="18" thickBot="1">
      <c r="A5" s="577" t="s">
        <v>423</v>
      </c>
      <c r="B5" s="577"/>
      <c r="C5" s="577"/>
      <c r="D5" s="577"/>
      <c r="E5" s="577"/>
      <c r="F5" s="577"/>
      <c r="G5" s="577"/>
      <c r="H5" s="576" t="s">
        <v>424</v>
      </c>
      <c r="I5" s="576"/>
      <c r="J5" s="576"/>
      <c r="K5" s="576"/>
      <c r="L5" s="576"/>
      <c r="M5" s="576"/>
      <c r="N5" s="298"/>
      <c r="O5" s="56" t="s">
        <v>425</v>
      </c>
    </row>
    <row r="6" spans="1:16" ht="18.600000000000001" thickBot="1">
      <c r="A6" s="295"/>
      <c r="B6" s="295"/>
      <c r="C6" s="296" t="s">
        <v>426</v>
      </c>
      <c r="D6" s="297" t="s">
        <v>427</v>
      </c>
      <c r="E6" s="297" t="s">
        <v>428</v>
      </c>
      <c r="F6" s="297" t="s">
        <v>429</v>
      </c>
      <c r="G6" s="297" t="s">
        <v>513</v>
      </c>
      <c r="H6" s="297" t="s">
        <v>430</v>
      </c>
      <c r="I6" s="297" t="s">
        <v>431</v>
      </c>
      <c r="J6" s="297" t="s">
        <v>432</v>
      </c>
      <c r="K6" s="297" t="s">
        <v>433</v>
      </c>
      <c r="L6" s="297" t="s">
        <v>434</v>
      </c>
      <c r="M6" s="297" t="s">
        <v>435</v>
      </c>
    </row>
    <row r="7" spans="1:16" ht="18.600000000000001" thickTop="1">
      <c r="A7" s="162" t="s">
        <v>859</v>
      </c>
      <c r="B7" s="166"/>
      <c r="C7" s="300">
        <f>C9+C11+C13+C15+C17</f>
        <v>21846</v>
      </c>
      <c r="D7" s="300">
        <f t="shared" ref="D7:G7" si="0">D9+D11+D13+D15+D17</f>
        <v>24105</v>
      </c>
      <c r="E7" s="300">
        <f t="shared" si="0"/>
        <v>29310</v>
      </c>
      <c r="F7" s="300">
        <f t="shared" si="0"/>
        <v>32653</v>
      </c>
      <c r="G7" s="300">
        <f t="shared" si="0"/>
        <v>35926</v>
      </c>
      <c r="H7" s="300">
        <f>H9+H11+H13+H15+H17</f>
        <v>40006.270212213902</v>
      </c>
      <c r="I7" s="300">
        <f t="shared" ref="I7:M7" si="1">I9+I11+I13+I15+I17</f>
        <v>44476.036549915611</v>
      </c>
      <c r="J7" s="300">
        <f t="shared" si="1"/>
        <v>49343.119499225009</v>
      </c>
      <c r="K7" s="300">
        <f t="shared" si="1"/>
        <v>54598.473838396887</v>
      </c>
      <c r="L7" s="300">
        <f t="shared" si="1"/>
        <v>60480.687012979761</v>
      </c>
      <c r="M7" s="300">
        <f t="shared" si="1"/>
        <v>67081.160467315058</v>
      </c>
    </row>
    <row r="8" spans="1:16" ht="18">
      <c r="A8" s="301" t="s">
        <v>863</v>
      </c>
      <c r="B8" s="302"/>
      <c r="C8" s="303"/>
      <c r="D8" s="522">
        <f>D7/C7-1</f>
        <v>0.10340565778632249</v>
      </c>
      <c r="E8" s="522">
        <f t="shared" ref="E8:G8" si="2">E7/D7-1</f>
        <v>0.21593030491599263</v>
      </c>
      <c r="F8" s="522">
        <f t="shared" si="2"/>
        <v>0.11405663596042315</v>
      </c>
      <c r="G8" s="522">
        <f t="shared" si="2"/>
        <v>0.10023581294214923</v>
      </c>
      <c r="H8" s="522">
        <f t="shared" ref="H8" si="3">H7/G7-1</f>
        <v>0.11357429750637138</v>
      </c>
      <c r="I8" s="522">
        <f t="shared" ref="I8" si="4">I7/H7-1</f>
        <v>0.11172664469823768</v>
      </c>
      <c r="J8" s="522">
        <f t="shared" ref="J8" si="5">J7/I7-1</f>
        <v>0.10943157994411346</v>
      </c>
      <c r="K8" s="522">
        <f t="shared" ref="K8" si="6">K7/J7-1</f>
        <v>0.10650632535007065</v>
      </c>
      <c r="L8" s="522">
        <f t="shared" ref="L8" si="7">L7/K7-1</f>
        <v>0.10773585342318026</v>
      </c>
      <c r="M8" s="522">
        <f t="shared" ref="M8" si="8">M7/L7-1</f>
        <v>0.10913357272080537</v>
      </c>
    </row>
    <row r="9" spans="1:16" ht="18">
      <c r="A9" s="304" t="s">
        <v>860</v>
      </c>
      <c r="B9" s="166"/>
      <c r="C9" s="305">
        <v>9804</v>
      </c>
      <c r="D9" s="305">
        <v>11475</v>
      </c>
      <c r="E9" s="305">
        <v>13361</v>
      </c>
      <c r="F9" s="305">
        <v>14826</v>
      </c>
      <c r="G9" s="305">
        <v>16114</v>
      </c>
      <c r="H9" s="305">
        <f>'매출 세부 추정'!I23</f>
        <v>17518.271466352908</v>
      </c>
      <c r="I9" s="305">
        <f>'매출 세부 추정'!J23</f>
        <v>19092.953101503241</v>
      </c>
      <c r="J9" s="305">
        <f>'매출 세부 추정'!K23</f>
        <v>20861.572489179816</v>
      </c>
      <c r="K9" s="305">
        <f>'매출 세부 추정'!L23</f>
        <v>22850.257758782511</v>
      </c>
      <c r="L9" s="305">
        <f>'매출 세부 추정'!M23</f>
        <v>25088.151270916569</v>
      </c>
      <c r="M9" s="305">
        <f>'매출 세부 추정'!N23</f>
        <v>27607.346618041011</v>
      </c>
      <c r="O9" s="310" t="s">
        <v>920</v>
      </c>
    </row>
    <row r="10" spans="1:16" ht="18">
      <c r="A10" s="306" t="s">
        <v>863</v>
      </c>
      <c r="B10" s="166"/>
      <c r="C10" s="307"/>
      <c r="D10" s="299">
        <f t="shared" ref="D10:G18" si="9">D9/C9-1</f>
        <v>0.17044063647490826</v>
      </c>
      <c r="E10" s="299">
        <f t="shared" ref="E10:M10" si="10">E9/D9-1</f>
        <v>0.16435729847494551</v>
      </c>
      <c r="F10" s="299">
        <f t="shared" si="10"/>
        <v>0.10964748147593739</v>
      </c>
      <c r="G10" s="299">
        <f t="shared" si="10"/>
        <v>8.6874409820585363E-2</v>
      </c>
      <c r="H10" s="299">
        <f t="shared" si="10"/>
        <v>8.7146051033443417E-2</v>
      </c>
      <c r="I10" s="299">
        <f t="shared" si="10"/>
        <v>8.9887957163741872E-2</v>
      </c>
      <c r="J10" s="299">
        <f t="shared" si="10"/>
        <v>9.2632050069684002E-2</v>
      </c>
      <c r="K10" s="299">
        <f t="shared" si="10"/>
        <v>9.5327678229153445E-2</v>
      </c>
      <c r="L10" s="299">
        <f t="shared" si="10"/>
        <v>9.7937342141093398E-2</v>
      </c>
      <c r="M10" s="299">
        <f t="shared" si="10"/>
        <v>0.10041374989813678</v>
      </c>
      <c r="N10" s="299"/>
      <c r="O10" s="310"/>
    </row>
    <row r="11" spans="1:16" ht="18">
      <c r="A11" s="304" t="s">
        <v>861</v>
      </c>
      <c r="B11" s="166"/>
      <c r="C11" s="305">
        <v>10975</v>
      </c>
      <c r="D11" s="308">
        <v>12792</v>
      </c>
      <c r="E11" s="308">
        <v>14438</v>
      </c>
      <c r="F11" s="308">
        <v>16007</v>
      </c>
      <c r="G11" s="308">
        <v>17714</v>
      </c>
      <c r="H11" s="309">
        <f>'매출 세부 추정'!I46</f>
        <v>19662.54</v>
      </c>
      <c r="I11" s="309">
        <f>'매출 세부 추정'!J46</f>
        <v>21825.419400000002</v>
      </c>
      <c r="J11" s="309">
        <f>'매출 세부 추정'!K46</f>
        <v>24226.215534000006</v>
      </c>
      <c r="K11" s="309">
        <f>'매출 세부 추정'!L46</f>
        <v>26891.099242740009</v>
      </c>
      <c r="L11" s="309">
        <f>'매출 세부 추정'!M46</f>
        <v>29849.120159441416</v>
      </c>
      <c r="M11" s="309">
        <f>'매출 세부 추정'!N46</f>
        <v>33132.523376979974</v>
      </c>
      <c r="O11" s="310" t="s">
        <v>921</v>
      </c>
    </row>
    <row r="12" spans="1:16" ht="18">
      <c r="A12" s="306" t="s">
        <v>863</v>
      </c>
      <c r="B12" s="166"/>
      <c r="C12" s="307"/>
      <c r="D12" s="299">
        <f t="shared" si="9"/>
        <v>0.16555808656036453</v>
      </c>
      <c r="E12" s="299">
        <f t="shared" ref="E12:G12" si="11">E11/D11-1</f>
        <v>0.12867417135709824</v>
      </c>
      <c r="F12" s="299">
        <f t="shared" si="11"/>
        <v>0.1086715611580551</v>
      </c>
      <c r="G12" s="299">
        <f t="shared" si="11"/>
        <v>0.10664084463047407</v>
      </c>
      <c r="H12" s="299">
        <v>0.10664084463047407</v>
      </c>
      <c r="I12" s="299">
        <v>0.10664084463047407</v>
      </c>
      <c r="J12" s="299">
        <v>0.10664084463047407</v>
      </c>
      <c r="K12" s="299">
        <v>0.10664084463047407</v>
      </c>
      <c r="L12" s="299">
        <v>0.10664084463047407</v>
      </c>
      <c r="M12" s="299">
        <v>0.10664084463047407</v>
      </c>
      <c r="N12" s="299"/>
      <c r="O12" s="310"/>
    </row>
    <row r="13" spans="1:16" ht="18">
      <c r="A13" s="304" t="s">
        <v>892</v>
      </c>
      <c r="B13" s="166"/>
      <c r="C13" s="305">
        <v>6299</v>
      </c>
      <c r="D13" s="308">
        <v>6530</v>
      </c>
      <c r="E13" s="308">
        <v>9815</v>
      </c>
      <c r="F13" s="308">
        <v>11638</v>
      </c>
      <c r="G13" s="308">
        <v>12665</v>
      </c>
      <c r="H13" s="330">
        <f>'매출 세부 추정'!I54</f>
        <v>14184.800000000001</v>
      </c>
      <c r="I13" s="330">
        <f>'매출 세부 추정'!J54</f>
        <v>15603.280000000002</v>
      </c>
      <c r="J13" s="330">
        <f>'매출 세부 추정'!K54</f>
        <v>16851.542400000002</v>
      </c>
      <c r="K13" s="330">
        <f>'매출 세부 추정'!L54</f>
        <v>17862.634944000005</v>
      </c>
      <c r="L13" s="330">
        <f>'매출 세부 추정'!M54</f>
        <v>18755.766691200006</v>
      </c>
      <c r="M13" s="330">
        <f>'매출 세부 추정'!N54</f>
        <v>19505.997358848006</v>
      </c>
      <c r="O13" s="310" t="s">
        <v>922</v>
      </c>
    </row>
    <row r="14" spans="1:16" ht="18">
      <c r="A14" s="306" t="s">
        <v>863</v>
      </c>
      <c r="B14" s="166"/>
      <c r="C14" s="307"/>
      <c r="D14" s="299">
        <f t="shared" si="9"/>
        <v>3.6672487696459699E-2</v>
      </c>
      <c r="E14" s="299">
        <f t="shared" ref="E14:M14" si="12">E13/D13-1</f>
        <v>0.50306278713629404</v>
      </c>
      <c r="F14" s="299">
        <f t="shared" si="12"/>
        <v>0.18573611818644942</v>
      </c>
      <c r="G14" s="299">
        <f t="shared" si="12"/>
        <v>8.8245402990204447E-2</v>
      </c>
      <c r="H14" s="299">
        <f t="shared" si="12"/>
        <v>0.12000000000000011</v>
      </c>
      <c r="I14" s="299">
        <f t="shared" si="12"/>
        <v>0.10000000000000009</v>
      </c>
      <c r="J14" s="299">
        <f t="shared" si="12"/>
        <v>8.0000000000000071E-2</v>
      </c>
      <c r="K14" s="299">
        <f t="shared" si="12"/>
        <v>6.0000000000000053E-2</v>
      </c>
      <c r="L14" s="299">
        <f t="shared" si="12"/>
        <v>5.0000000000000044E-2</v>
      </c>
      <c r="M14" s="299">
        <f t="shared" si="12"/>
        <v>4.0000000000000036E-2</v>
      </c>
      <c r="N14" s="299"/>
      <c r="O14" s="310"/>
    </row>
    <row r="15" spans="1:16" ht="18">
      <c r="A15" s="304" t="s">
        <v>458</v>
      </c>
      <c r="B15" s="166"/>
      <c r="C15" s="305">
        <v>1432</v>
      </c>
      <c r="D15" s="305">
        <v>1675</v>
      </c>
      <c r="E15" s="305">
        <v>1991</v>
      </c>
      <c r="F15" s="305">
        <v>2479</v>
      </c>
      <c r="G15" s="305">
        <v>3197</v>
      </c>
      <c r="H15" s="305">
        <f>G15*(1+H16)</f>
        <v>3967.8953767386884</v>
      </c>
      <c r="I15" s="305">
        <f t="shared" ref="I15:M15" si="13">H15*(1+I16)</f>
        <v>4994.081400553956</v>
      </c>
      <c r="J15" s="305">
        <f t="shared" si="13"/>
        <v>6308.1674312011401</v>
      </c>
      <c r="K15" s="305">
        <f t="shared" si="13"/>
        <v>7912.2961196654132</v>
      </c>
      <c r="L15" s="305">
        <f t="shared" si="13"/>
        <v>9959.061685683675</v>
      </c>
      <c r="M15" s="305">
        <f t="shared" si="13"/>
        <v>12535.484970934356</v>
      </c>
      <c r="O15" s="310" t="s">
        <v>919</v>
      </c>
    </row>
    <row r="16" spans="1:16" ht="18">
      <c r="A16" s="306" t="s">
        <v>863</v>
      </c>
      <c r="B16" s="166"/>
      <c r="C16" s="307"/>
      <c r="D16" s="299">
        <f t="shared" si="9"/>
        <v>0.16969273743016755</v>
      </c>
      <c r="E16" s="299">
        <f t="shared" si="9"/>
        <v>0.18865671641791049</v>
      </c>
      <c r="F16" s="299">
        <f t="shared" si="9"/>
        <v>0.24510296333500747</v>
      </c>
      <c r="G16" s="299">
        <f t="shared" si="9"/>
        <v>0.28963291649858824</v>
      </c>
      <c r="H16" s="299">
        <f>AVERAGE(E16:G16)</f>
        <v>0.24113086541716874</v>
      </c>
      <c r="I16" s="299">
        <f t="shared" ref="I16:M16" si="14">AVERAGE(F16:H16)</f>
        <v>0.2586222484169215</v>
      </c>
      <c r="J16" s="299">
        <f t="shared" si="14"/>
        <v>0.26312867677755952</v>
      </c>
      <c r="K16" s="299">
        <f t="shared" si="14"/>
        <v>0.2542939302038833</v>
      </c>
      <c r="L16" s="299">
        <f t="shared" si="14"/>
        <v>0.25868161846612142</v>
      </c>
      <c r="M16" s="299">
        <f t="shared" si="14"/>
        <v>0.25870140848252143</v>
      </c>
      <c r="N16" s="299"/>
      <c r="O16" s="310"/>
    </row>
    <row r="17" spans="1:15" ht="18">
      <c r="A17" s="304" t="s">
        <v>501</v>
      </c>
      <c r="B17" s="166"/>
      <c r="C17" s="564">
        <v>-6664</v>
      </c>
      <c r="D17" s="565">
        <v>-8367</v>
      </c>
      <c r="E17" s="565">
        <v>-10295</v>
      </c>
      <c r="F17" s="565">
        <v>-12297</v>
      </c>
      <c r="G17" s="565">
        <v>-13764</v>
      </c>
      <c r="H17" s="564">
        <f>(H9+H11+H13+H15)*H19*(-1)</f>
        <v>-15327.236630877698</v>
      </c>
      <c r="I17" s="564">
        <f t="shared" ref="I17:M17" si="15">(I9+I11+I13+I15)*I19*(-1)</f>
        <v>-17039.697352141586</v>
      </c>
      <c r="J17" s="564">
        <f t="shared" si="15"/>
        <v>-18904.378355155961</v>
      </c>
      <c r="K17" s="564">
        <f t="shared" si="15"/>
        <v>-20917.814226791037</v>
      </c>
      <c r="L17" s="564">
        <f t="shared" si="15"/>
        <v>-23171.412794261912</v>
      </c>
      <c r="M17" s="564">
        <f t="shared" si="15"/>
        <v>-25700.191857488295</v>
      </c>
      <c r="O17" s="310" t="s">
        <v>917</v>
      </c>
    </row>
    <row r="18" spans="1:15" ht="18">
      <c r="A18" s="306" t="s">
        <v>863</v>
      </c>
      <c r="B18" s="166"/>
      <c r="C18" s="307"/>
      <c r="D18" s="299">
        <f t="shared" si="9"/>
        <v>0.25555222088835539</v>
      </c>
      <c r="E18" s="299">
        <f t="shared" ref="E18:M18" si="16">E17/D17-1</f>
        <v>0.23042906657105289</v>
      </c>
      <c r="F18" s="299">
        <f t="shared" si="16"/>
        <v>0.19446333171442443</v>
      </c>
      <c r="G18" s="299">
        <f t="shared" si="16"/>
        <v>0.11929738960722136</v>
      </c>
      <c r="H18" s="299">
        <f t="shared" si="16"/>
        <v>0.1135742975063716</v>
      </c>
      <c r="I18" s="299">
        <f t="shared" si="16"/>
        <v>0.11172664469823768</v>
      </c>
      <c r="J18" s="299">
        <f t="shared" si="16"/>
        <v>0.10943157994411323</v>
      </c>
      <c r="K18" s="299">
        <f t="shared" si="16"/>
        <v>0.10650632535007065</v>
      </c>
      <c r="L18" s="299">
        <f t="shared" si="16"/>
        <v>0.10773585342318026</v>
      </c>
      <c r="M18" s="299">
        <f t="shared" si="16"/>
        <v>0.10913357272080537</v>
      </c>
      <c r="N18" s="299"/>
      <c r="O18" s="310" t="s">
        <v>918</v>
      </c>
    </row>
    <row r="19" spans="1:15" ht="18">
      <c r="A19" s="304" t="s">
        <v>864</v>
      </c>
      <c r="C19" s="311">
        <f>ABS(C17)/(C9+C11+C13+C15)</f>
        <v>0.23374254647492107</v>
      </c>
      <c r="D19" s="311">
        <f t="shared" ref="D19:G19" si="17">ABS(D17)/(D9+D11+D13+D15)</f>
        <v>0.25766814486326683</v>
      </c>
      <c r="E19" s="311">
        <f t="shared" si="17"/>
        <v>0.25994192652442871</v>
      </c>
      <c r="F19" s="311">
        <f t="shared" si="17"/>
        <v>0.27357063403781978</v>
      </c>
      <c r="G19" s="311">
        <f t="shared" si="17"/>
        <v>0.2769973837794325</v>
      </c>
      <c r="H19" s="311">
        <f>G19</f>
        <v>0.2769973837794325</v>
      </c>
      <c r="I19" s="311">
        <f t="shared" ref="I19:M19" si="18">H19</f>
        <v>0.2769973837794325</v>
      </c>
      <c r="J19" s="311">
        <f t="shared" si="18"/>
        <v>0.2769973837794325</v>
      </c>
      <c r="K19" s="311">
        <f t="shared" si="18"/>
        <v>0.2769973837794325</v>
      </c>
      <c r="L19" s="311">
        <f t="shared" si="18"/>
        <v>0.2769973837794325</v>
      </c>
      <c r="M19" s="311">
        <f t="shared" si="18"/>
        <v>0.2769973837794325</v>
      </c>
    </row>
    <row r="20" spans="1:15">
      <c r="D20" s="312"/>
      <c r="E20" s="312"/>
      <c r="F20" s="312"/>
      <c r="G20" s="312"/>
    </row>
    <row r="22" spans="1:15">
      <c r="C22" s="313"/>
      <c r="D22" s="313"/>
      <c r="E22" s="313"/>
      <c r="F22" s="313"/>
      <c r="G22" s="313"/>
    </row>
    <row r="24" spans="1:15">
      <c r="E24" s="541"/>
      <c r="H24" s="541"/>
    </row>
    <row r="25" spans="1:15">
      <c r="E25" s="541"/>
      <c r="H25" s="541"/>
    </row>
    <row r="26" spans="1:15">
      <c r="E26" s="541"/>
      <c r="H26" s="541"/>
    </row>
    <row r="27" spans="1:15">
      <c r="E27" s="541"/>
      <c r="H27" s="541"/>
    </row>
  </sheetData>
  <mergeCells count="2">
    <mergeCell ref="H5:M5"/>
    <mergeCell ref="A5:G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77F4-2506-43C6-9943-88B9001913C8}">
  <dimension ref="A1:X105"/>
  <sheetViews>
    <sheetView topLeftCell="A26" zoomScale="69" zoomScaleNormal="70" workbookViewId="0">
      <selection activeCell="C37" sqref="C37"/>
    </sheetView>
  </sheetViews>
  <sheetFormatPr defaultColWidth="8.69921875" defaultRowHeight="17.399999999999999"/>
  <cols>
    <col min="1" max="3" width="8.69921875" style="277"/>
    <col min="4" max="4" width="12.09765625" style="277" bestFit="1" customWidth="1"/>
    <col min="5" max="5" width="11" style="277" customWidth="1"/>
    <col min="6" max="8" width="12.09765625" style="277" bestFit="1" customWidth="1"/>
    <col min="9" max="13" width="13.69921875" style="277" bestFit="1" customWidth="1"/>
    <col min="14" max="14" width="12.5" style="277" bestFit="1" customWidth="1"/>
    <col min="15" max="15" width="8.69921875" style="277"/>
    <col min="16" max="16" width="12.69921875" style="277" customWidth="1"/>
    <col min="17" max="17" width="11.5" style="277" customWidth="1"/>
    <col min="18" max="18" width="10.19921875" style="277" customWidth="1"/>
    <col min="19" max="23" width="10.09765625" style="277" bestFit="1" customWidth="1"/>
    <col min="24" max="16384" width="8.69921875" style="277"/>
  </cols>
  <sheetData>
    <row r="1" spans="1:24" s="44" customFormat="1" ht="17.7" customHeight="1">
      <c r="A1" s="41" t="s">
        <v>511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P1" s="50"/>
    </row>
    <row r="2" spans="1:24" s="46" customFormat="1" ht="17.7" customHeight="1">
      <c r="A2" s="45" t="s">
        <v>474</v>
      </c>
      <c r="P2" s="51"/>
    </row>
    <row r="3" spans="1:24" s="46" customFormat="1" ht="17.7" customHeight="1">
      <c r="A3" s="47" t="s">
        <v>395</v>
      </c>
      <c r="P3" s="51"/>
    </row>
    <row r="4" spans="1:24" s="256" customFormat="1"/>
    <row r="5" spans="1:24" s="257" customFormat="1" ht="18">
      <c r="B5" s="258" t="s">
        <v>936</v>
      </c>
      <c r="C5" s="259"/>
    </row>
    <row r="6" spans="1:24" s="256" customFormat="1" ht="18">
      <c r="A6" s="261"/>
      <c r="B6" s="260"/>
      <c r="C6" s="260"/>
      <c r="E6" s="260"/>
    </row>
    <row r="7" spans="1:24" s="256" customFormat="1" ht="18">
      <c r="A7" s="262" t="s">
        <v>914</v>
      </c>
      <c r="B7" s="263"/>
      <c r="C7" s="262"/>
      <c r="D7" s="264" t="s">
        <v>894</v>
      </c>
      <c r="E7" s="264" t="s">
        <v>895</v>
      </c>
      <c r="F7" s="264" t="s">
        <v>896</v>
      </c>
      <c r="G7" s="264" t="s">
        <v>897</v>
      </c>
      <c r="H7" s="264" t="s">
        <v>898</v>
      </c>
      <c r="I7" s="264" t="s">
        <v>893</v>
      </c>
      <c r="J7" s="264" t="s">
        <v>899</v>
      </c>
      <c r="K7" s="264" t="s">
        <v>900</v>
      </c>
      <c r="L7" s="264" t="s">
        <v>901</v>
      </c>
      <c r="M7" s="264" t="s">
        <v>902</v>
      </c>
      <c r="N7" s="264" t="s">
        <v>903</v>
      </c>
      <c r="P7" s="264" t="s">
        <v>890</v>
      </c>
      <c r="Q7" s="264" t="s">
        <v>893</v>
      </c>
      <c r="R7" s="264" t="s">
        <v>899</v>
      </c>
      <c r="S7" s="264" t="s">
        <v>900</v>
      </c>
      <c r="T7" s="264" t="s">
        <v>901</v>
      </c>
      <c r="U7" s="264" t="s">
        <v>902</v>
      </c>
      <c r="V7" s="264" t="s">
        <v>903</v>
      </c>
      <c r="X7" s="260" t="s">
        <v>915</v>
      </c>
    </row>
    <row r="8" spans="1:24" s="256" customFormat="1" ht="18">
      <c r="A8" s="260" t="s">
        <v>873</v>
      </c>
      <c r="B8" s="260"/>
      <c r="C8" s="265"/>
      <c r="D8" s="285">
        <v>1799</v>
      </c>
      <c r="E8" s="266">
        <v>1929</v>
      </c>
      <c r="F8" s="266">
        <v>2045</v>
      </c>
      <c r="G8" s="266">
        <v>2042</v>
      </c>
      <c r="H8" s="282">
        <v>2023</v>
      </c>
      <c r="I8" s="267">
        <f>H8*(1+I9)</f>
        <v>2294.4865999999997</v>
      </c>
      <c r="J8" s="267">
        <f t="shared" ref="J8:N8" si="0">I8*(1+J9)</f>
        <v>2603.4592286131519</v>
      </c>
      <c r="K8" s="267">
        <f t="shared" si="0"/>
        <v>2954.9777856318792</v>
      </c>
      <c r="L8" s="267">
        <f t="shared" si="0"/>
        <v>3354.7291701094432</v>
      </c>
      <c r="M8" s="267">
        <f t="shared" si="0"/>
        <v>3809.0898230630746</v>
      </c>
      <c r="N8" s="267">
        <f t="shared" si="0"/>
        <v>4325.1908724969035</v>
      </c>
      <c r="O8" s="268"/>
      <c r="P8" s="260" t="s">
        <v>873</v>
      </c>
      <c r="Q8" s="269">
        <f>Q16*(1-Q24)</f>
        <v>0.13419999999999999</v>
      </c>
      <c r="R8" s="269">
        <f t="shared" ref="R8:V8" si="1">R16*(1-R24)</f>
        <v>0.13465871999999998</v>
      </c>
      <c r="S8" s="269">
        <f t="shared" si="1"/>
        <v>0.13501980486399998</v>
      </c>
      <c r="T8" s="269">
        <f t="shared" si="1"/>
        <v>0.13528067331717117</v>
      </c>
      <c r="U8" s="269">
        <f t="shared" si="1"/>
        <v>0.13543884764289585</v>
      </c>
      <c r="V8" s="269">
        <f t="shared" si="1"/>
        <v>0.1354919609164813</v>
      </c>
    </row>
    <row r="9" spans="1:24" s="256" customFormat="1" ht="18">
      <c r="A9" s="260"/>
      <c r="B9" s="260"/>
      <c r="C9" s="523" t="s">
        <v>874</v>
      </c>
      <c r="D9" s="286"/>
      <c r="E9" s="287">
        <f>(E8-D8)/D8</f>
        <v>7.2262367982212333E-2</v>
      </c>
      <c r="F9" s="288">
        <f t="shared" ref="F9:H9" si="2">(F8-E8)/E8</f>
        <v>6.0134784862623122E-2</v>
      </c>
      <c r="G9" s="288">
        <f t="shared" si="2"/>
        <v>-1.4669926650366749E-3</v>
      </c>
      <c r="H9" s="289">
        <f t="shared" si="2"/>
        <v>-9.3046033300685609E-3</v>
      </c>
      <c r="I9" s="288">
        <f>Q8</f>
        <v>0.13419999999999999</v>
      </c>
      <c r="J9" s="288">
        <f t="shared" ref="J9:N9" si="3">R8</f>
        <v>0.13465871999999998</v>
      </c>
      <c r="K9" s="288">
        <f t="shared" si="3"/>
        <v>0.13501980486399998</v>
      </c>
      <c r="L9" s="288">
        <f t="shared" si="3"/>
        <v>0.13528067331717117</v>
      </c>
      <c r="M9" s="288">
        <f t="shared" si="3"/>
        <v>0.13543884764289585</v>
      </c>
      <c r="N9" s="288">
        <f t="shared" si="3"/>
        <v>0.1354919609164813</v>
      </c>
      <c r="O9" s="268"/>
      <c r="P9" s="260" t="s">
        <v>875</v>
      </c>
      <c r="Q9" s="269">
        <f t="shared" ref="Q9:V13" si="4">Q17*(1-Q25)</f>
        <v>4.3399999999999966E-2</v>
      </c>
      <c r="R9" s="269">
        <f t="shared" si="4"/>
        <v>4.4398199999999964E-2</v>
      </c>
      <c r="S9" s="269">
        <f t="shared" si="4"/>
        <v>4.5419358599999959E-2</v>
      </c>
      <c r="T9" s="269">
        <f t="shared" si="4"/>
        <v>4.6464003847799952E-2</v>
      </c>
      <c r="U9" s="269">
        <f t="shared" si="4"/>
        <v>4.7532675936299347E-2</v>
      </c>
      <c r="V9" s="269">
        <f t="shared" si="4"/>
        <v>4.8340731427216434E-2</v>
      </c>
    </row>
    <row r="10" spans="1:24" s="256" customFormat="1" ht="18">
      <c r="A10" s="260" t="s">
        <v>875</v>
      </c>
      <c r="B10" s="260"/>
      <c r="C10" s="265"/>
      <c r="D10" s="266">
        <v>259</v>
      </c>
      <c r="E10" s="266">
        <v>311</v>
      </c>
      <c r="F10" s="266">
        <v>374</v>
      </c>
      <c r="G10" s="266">
        <v>389</v>
      </c>
      <c r="H10" s="282">
        <v>409</v>
      </c>
      <c r="I10" s="267">
        <f>H10*(1+I11)</f>
        <v>426.75059999999996</v>
      </c>
      <c r="J10" s="267">
        <f t="shared" ref="J10:N10" si="5">I10*(1+J11)</f>
        <v>445.69755848891998</v>
      </c>
      <c r="K10" s="267">
        <f t="shared" si="5"/>
        <v>465.94085572507271</v>
      </c>
      <c r="L10" s="267">
        <f t="shared" si="5"/>
        <v>487.59033343832965</v>
      </c>
      <c r="M10" s="267">
        <f t="shared" si="5"/>
        <v>510.76680674732586</v>
      </c>
      <c r="N10" s="267">
        <f t="shared" si="5"/>
        <v>535.45764777423528</v>
      </c>
      <c r="O10" s="268"/>
      <c r="P10" s="260" t="s">
        <v>876</v>
      </c>
      <c r="Q10" s="269">
        <f t="shared" si="4"/>
        <v>0.10639999999999998</v>
      </c>
      <c r="R10" s="269">
        <f t="shared" si="4"/>
        <v>0.10836839999999996</v>
      </c>
      <c r="S10" s="269">
        <f t="shared" si="4"/>
        <v>0.11037321539999996</v>
      </c>
      <c r="T10" s="269">
        <f t="shared" si="4"/>
        <v>0.11241511988489995</v>
      </c>
      <c r="U10" s="269">
        <f t="shared" si="4"/>
        <v>0.11449479960277059</v>
      </c>
      <c r="V10" s="269">
        <f t="shared" si="4"/>
        <v>0.11661295339542185</v>
      </c>
    </row>
    <row r="11" spans="1:24" s="256" customFormat="1" ht="18">
      <c r="A11" s="260"/>
      <c r="B11" s="260"/>
      <c r="C11" s="523" t="s">
        <v>874</v>
      </c>
      <c r="D11" s="286"/>
      <c r="E11" s="288">
        <f>(E10-D10)/D10</f>
        <v>0.20077220077220076</v>
      </c>
      <c r="F11" s="288">
        <f t="shared" ref="F11:H11" si="6">(F10-E10)/E10</f>
        <v>0.20257234726688103</v>
      </c>
      <c r="G11" s="288">
        <f t="shared" si="6"/>
        <v>4.0106951871657755E-2</v>
      </c>
      <c r="H11" s="289">
        <f t="shared" si="6"/>
        <v>5.1413881748071981E-2</v>
      </c>
      <c r="I11" s="288">
        <f>Q9</f>
        <v>4.3399999999999966E-2</v>
      </c>
      <c r="J11" s="288">
        <f t="shared" ref="J11:N11" si="7">R9</f>
        <v>4.4398199999999964E-2</v>
      </c>
      <c r="K11" s="288">
        <f t="shared" si="7"/>
        <v>4.5419358599999959E-2</v>
      </c>
      <c r="L11" s="288">
        <f t="shared" si="7"/>
        <v>4.6464003847799952E-2</v>
      </c>
      <c r="M11" s="288">
        <f t="shared" si="7"/>
        <v>4.7532675936299347E-2</v>
      </c>
      <c r="N11" s="288">
        <f t="shared" si="7"/>
        <v>4.8340731427216434E-2</v>
      </c>
      <c r="O11" s="268"/>
      <c r="P11" s="260" t="s">
        <v>877</v>
      </c>
      <c r="Q11" s="269">
        <f t="shared" si="4"/>
        <v>0.22569999999999998</v>
      </c>
      <c r="R11" s="269">
        <f t="shared" si="4"/>
        <v>0.22258899999999998</v>
      </c>
      <c r="S11" s="269">
        <f t="shared" si="4"/>
        <v>0.219127928625</v>
      </c>
      <c r="T11" s="269">
        <f t="shared" si="4"/>
        <v>0.21530664509774997</v>
      </c>
      <c r="U11" s="269">
        <f t="shared" si="4"/>
        <v>0.21111505795667776</v>
      </c>
      <c r="V11" s="269">
        <f t="shared" si="4"/>
        <v>0.20654313950411277</v>
      </c>
    </row>
    <row r="12" spans="1:24" s="256" customFormat="1" ht="18">
      <c r="A12" s="260" t="s">
        <v>876</v>
      </c>
      <c r="B12" s="260"/>
      <c r="C12" s="265"/>
      <c r="D12" s="266">
        <v>523</v>
      </c>
      <c r="E12" s="266">
        <v>665</v>
      </c>
      <c r="F12" s="266">
        <v>648</v>
      </c>
      <c r="G12" s="266">
        <v>658</v>
      </c>
      <c r="H12" s="282">
        <v>757</v>
      </c>
      <c r="I12" s="267">
        <f>H12*(1+I13)</f>
        <v>837.54480000000001</v>
      </c>
      <c r="J12" s="267">
        <f t="shared" ref="J12:N12" si="8">I12*(1+J13)</f>
        <v>928.30818990431999</v>
      </c>
      <c r="K12" s="267">
        <f t="shared" si="8"/>
        <v>1030.7685497062134</v>
      </c>
      <c r="L12" s="267">
        <f t="shared" si="8"/>
        <v>1146.6425197950218</v>
      </c>
      <c r="M12" s="267">
        <f t="shared" si="8"/>
        <v>1277.9271253149686</v>
      </c>
      <c r="N12" s="267">
        <f t="shared" si="8"/>
        <v>1426.9499816220684</v>
      </c>
      <c r="O12" s="268"/>
      <c r="P12" s="260" t="s">
        <v>878</v>
      </c>
      <c r="Q12" s="269">
        <f t="shared" si="4"/>
        <v>5.5999999999999966E-2</v>
      </c>
      <c r="R12" s="269">
        <f t="shared" si="4"/>
        <v>5.7063999999999969E-2</v>
      </c>
      <c r="S12" s="269">
        <f t="shared" si="4"/>
        <v>5.8176747999999966E-2</v>
      </c>
      <c r="T12" s="269">
        <f t="shared" si="4"/>
        <v>5.934028295999997E-2</v>
      </c>
      <c r="U12" s="269">
        <f t="shared" si="4"/>
        <v>6.0556758760679973E-2</v>
      </c>
      <c r="V12" s="269">
        <f t="shared" si="4"/>
        <v>6.1828450694654244E-2</v>
      </c>
    </row>
    <row r="13" spans="1:24" s="256" customFormat="1" ht="18">
      <c r="A13" s="260"/>
      <c r="B13" s="260"/>
      <c r="C13" s="523" t="s">
        <v>874</v>
      </c>
      <c r="D13" s="286"/>
      <c r="E13" s="288">
        <f>(E12-D12)/D12</f>
        <v>0.27151051625239003</v>
      </c>
      <c r="F13" s="288">
        <f t="shared" ref="F13:H13" si="9">(F12-E12)/E12</f>
        <v>-2.5563909774436091E-2</v>
      </c>
      <c r="G13" s="288">
        <f t="shared" si="9"/>
        <v>1.5432098765432098E-2</v>
      </c>
      <c r="H13" s="289">
        <f t="shared" si="9"/>
        <v>0.15045592705167174</v>
      </c>
      <c r="I13" s="288">
        <f>Q10</f>
        <v>0.10639999999999998</v>
      </c>
      <c r="J13" s="288">
        <f t="shared" ref="J13:N13" si="10">R10</f>
        <v>0.10836839999999996</v>
      </c>
      <c r="K13" s="288">
        <f t="shared" si="10"/>
        <v>0.11037321539999996</v>
      </c>
      <c r="L13" s="288">
        <f t="shared" si="10"/>
        <v>0.11241511988489995</v>
      </c>
      <c r="M13" s="288">
        <f t="shared" si="10"/>
        <v>0.11449479960277059</v>
      </c>
      <c r="N13" s="288">
        <f t="shared" si="10"/>
        <v>0.11661295339542185</v>
      </c>
      <c r="O13" s="268"/>
      <c r="P13" s="260" t="s">
        <v>879</v>
      </c>
      <c r="Q13" s="269">
        <f t="shared" si="4"/>
        <v>8.160000000000002E-2</v>
      </c>
      <c r="R13" s="269">
        <f t="shared" si="4"/>
        <v>8.2824000000000009E-2</v>
      </c>
      <c r="S13" s="269">
        <f t="shared" si="4"/>
        <v>8.4004242000000021E-2</v>
      </c>
      <c r="T13" s="269">
        <f t="shared" si="4"/>
        <v>8.513829926700002E-2</v>
      </c>
      <c r="U13" s="269">
        <f t="shared" si="4"/>
        <v>8.6223812582654269E-2</v>
      </c>
      <c r="V13" s="269">
        <f t="shared" si="4"/>
        <v>8.7258498333646128E-2</v>
      </c>
    </row>
    <row r="14" spans="1:24" s="256" customFormat="1" ht="18">
      <c r="A14" s="260" t="s">
        <v>877</v>
      </c>
      <c r="B14" s="260"/>
      <c r="C14" s="265"/>
      <c r="D14" s="266">
        <v>384</v>
      </c>
      <c r="E14" s="266">
        <v>495</v>
      </c>
      <c r="F14" s="266">
        <v>667</v>
      </c>
      <c r="G14" s="266">
        <v>803</v>
      </c>
      <c r="H14" s="282">
        <v>895</v>
      </c>
      <c r="I14" s="267">
        <f>H14*(1+I15)</f>
        <v>1097.0015000000001</v>
      </c>
      <c r="J14" s="267">
        <f t="shared" ref="J14:N14" si="11">I14*(1+J15)</f>
        <v>1341.1819668835001</v>
      </c>
      <c r="K14" s="267">
        <f t="shared" si="11"/>
        <v>1635.0723931958848</v>
      </c>
      <c r="L14" s="267">
        <f t="shared" si="11"/>
        <v>1987.1143446668398</v>
      </c>
      <c r="M14" s="267">
        <f t="shared" si="11"/>
        <v>2406.6241047077256</v>
      </c>
      <c r="N14" s="267">
        <f t="shared" si="11"/>
        <v>2903.695802900334</v>
      </c>
      <c r="O14" s="268"/>
    </row>
    <row r="15" spans="1:24" s="256" customFormat="1" ht="18">
      <c r="A15" s="260"/>
      <c r="B15" s="260"/>
      <c r="C15" s="523" t="s">
        <v>874</v>
      </c>
      <c r="D15" s="286"/>
      <c r="E15" s="288">
        <f>(E14-D14)/D14</f>
        <v>0.2890625</v>
      </c>
      <c r="F15" s="288">
        <f t="shared" ref="F15:H15" si="12">(F14-E14)/E14</f>
        <v>0.34747474747474749</v>
      </c>
      <c r="G15" s="288">
        <f t="shared" si="12"/>
        <v>0.20389805097451275</v>
      </c>
      <c r="H15" s="289">
        <f t="shared" si="12"/>
        <v>0.11457036114570361</v>
      </c>
      <c r="I15" s="288">
        <f>Q11</f>
        <v>0.22569999999999998</v>
      </c>
      <c r="J15" s="288">
        <f t="shared" ref="J15:N15" si="13">R11</f>
        <v>0.22258899999999998</v>
      </c>
      <c r="K15" s="288">
        <f t="shared" si="13"/>
        <v>0.219127928625</v>
      </c>
      <c r="L15" s="288">
        <f t="shared" si="13"/>
        <v>0.21530664509774997</v>
      </c>
      <c r="M15" s="288">
        <f t="shared" si="13"/>
        <v>0.21111505795667776</v>
      </c>
      <c r="N15" s="288">
        <f t="shared" si="13"/>
        <v>0.20654313950411277</v>
      </c>
      <c r="O15" s="273"/>
      <c r="P15" s="264" t="s">
        <v>880</v>
      </c>
      <c r="Q15" s="264" t="s">
        <v>893</v>
      </c>
      <c r="R15" s="264" t="s">
        <v>899</v>
      </c>
      <c r="S15" s="264" t="s">
        <v>900</v>
      </c>
      <c r="T15" s="264" t="s">
        <v>901</v>
      </c>
      <c r="U15" s="264" t="s">
        <v>902</v>
      </c>
      <c r="V15" s="264" t="s">
        <v>903</v>
      </c>
      <c r="X15" s="260" t="s">
        <v>908</v>
      </c>
    </row>
    <row r="16" spans="1:24" s="256" customFormat="1" ht="18">
      <c r="A16" s="260" t="s">
        <v>878</v>
      </c>
      <c r="B16" s="260"/>
      <c r="C16" s="265"/>
      <c r="D16" s="266">
        <v>4083</v>
      </c>
      <c r="E16" s="266">
        <v>4954</v>
      </c>
      <c r="F16" s="266">
        <v>5700</v>
      </c>
      <c r="G16" s="266">
        <v>6135</v>
      </c>
      <c r="H16" s="282">
        <v>6467</v>
      </c>
      <c r="I16" s="267">
        <f>H16*(1+I17)</f>
        <v>6829.152</v>
      </c>
      <c r="J16" s="267">
        <f t="shared" ref="J16:N16" si="14">I16*(1+J17)</f>
        <v>7218.8507297280003</v>
      </c>
      <c r="K16" s="267">
        <f t="shared" si="14"/>
        <v>7638.8199894810023</v>
      </c>
      <c r="L16" s="267">
        <f t="shared" si="14"/>
        <v>8092.1097291373098</v>
      </c>
      <c r="M16" s="267">
        <f t="shared" si="14"/>
        <v>8582.1416658696289</v>
      </c>
      <c r="N16" s="267">
        <f t="shared" si="14"/>
        <v>9112.7621887123878</v>
      </c>
      <c r="O16" s="268"/>
      <c r="P16" s="260" t="s">
        <v>873</v>
      </c>
      <c r="Q16" s="269">
        <v>0.61</v>
      </c>
      <c r="R16" s="269">
        <f>Q16*(1+Q32)</f>
        <v>0.62341999999999997</v>
      </c>
      <c r="S16" s="269">
        <f t="shared" ref="S16:V16" si="15">R16*(1+R32)</f>
        <v>0.63688587200000002</v>
      </c>
      <c r="T16" s="269">
        <f t="shared" si="15"/>
        <v>0.65038785248639996</v>
      </c>
      <c r="U16" s="269">
        <f t="shared" si="15"/>
        <v>0.66391591981811704</v>
      </c>
      <c r="V16" s="269">
        <f t="shared" si="15"/>
        <v>0.67745980458240662</v>
      </c>
      <c r="X16" s="274"/>
    </row>
    <row r="17" spans="1:24" s="256" customFormat="1" ht="18">
      <c r="A17" s="260"/>
      <c r="B17" s="260"/>
      <c r="C17" s="523" t="s">
        <v>874</v>
      </c>
      <c r="D17" s="286"/>
      <c r="E17" s="288">
        <f>(E16-D16)/D16</f>
        <v>0.2133235366152339</v>
      </c>
      <c r="F17" s="288">
        <f t="shared" ref="F17:H17" si="16">(F16-E16)/E16</f>
        <v>0.15058538554703271</v>
      </c>
      <c r="G17" s="288">
        <f t="shared" si="16"/>
        <v>7.6315789473684212E-2</v>
      </c>
      <c r="H17" s="289">
        <f t="shared" si="16"/>
        <v>5.4115729421352891E-2</v>
      </c>
      <c r="I17" s="288">
        <f>Q12</f>
        <v>5.5999999999999966E-2</v>
      </c>
      <c r="J17" s="288">
        <f t="shared" ref="J17:N17" si="17">R12</f>
        <v>5.7063999999999969E-2</v>
      </c>
      <c r="K17" s="288">
        <f t="shared" si="17"/>
        <v>5.8176747999999966E-2</v>
      </c>
      <c r="L17" s="288">
        <f t="shared" si="17"/>
        <v>5.934028295999997E-2</v>
      </c>
      <c r="M17" s="288">
        <f t="shared" si="17"/>
        <v>6.0556758760679973E-2</v>
      </c>
      <c r="N17" s="288">
        <f t="shared" si="17"/>
        <v>6.1828450694654244E-2</v>
      </c>
      <c r="O17" s="273"/>
      <c r="P17" s="260" t="s">
        <v>875</v>
      </c>
      <c r="Q17" s="269">
        <v>0.62</v>
      </c>
      <c r="R17" s="269">
        <f t="shared" ref="R17:V21" si="18">Q17*(1+Q33)</f>
        <v>0.63425999999999993</v>
      </c>
      <c r="S17" s="269">
        <f t="shared" si="18"/>
        <v>0.64884797999999988</v>
      </c>
      <c r="T17" s="269">
        <f t="shared" si="18"/>
        <v>0.66377148353999982</v>
      </c>
      <c r="U17" s="269">
        <f t="shared" si="18"/>
        <v>0.67903822766141975</v>
      </c>
      <c r="V17" s="269">
        <f t="shared" si="18"/>
        <v>0.69058187753166378</v>
      </c>
      <c r="X17" s="274"/>
    </row>
    <row r="18" spans="1:24" s="256" customFormat="1" ht="18">
      <c r="A18" s="260" t="s">
        <v>879</v>
      </c>
      <c r="B18" s="260"/>
      <c r="C18" s="265"/>
      <c r="D18" s="266">
        <v>1748</v>
      </c>
      <c r="E18" s="266">
        <v>2054</v>
      </c>
      <c r="F18" s="266">
        <v>2172</v>
      </c>
      <c r="G18" s="266">
        <v>2331</v>
      </c>
      <c r="H18" s="282">
        <v>2638</v>
      </c>
      <c r="I18" s="267">
        <f>H18*(1+I19)</f>
        <v>2853.2608000000005</v>
      </c>
      <c r="J18" s="267">
        <f t="shared" ref="J18:N18" si="19">I18*(1+J19)</f>
        <v>3089.5792724992007</v>
      </c>
      <c r="K18" s="267">
        <f t="shared" si="19"/>
        <v>3349.1170373844075</v>
      </c>
      <c r="L18" s="267">
        <f t="shared" si="19"/>
        <v>3634.2551659934497</v>
      </c>
      <c r="M18" s="267">
        <f t="shared" si="19"/>
        <v>3947.614502303612</v>
      </c>
      <c r="N18" s="267">
        <f t="shared" si="19"/>
        <v>4292.0774157747492</v>
      </c>
      <c r="O18" s="268"/>
      <c r="P18" s="260" t="s">
        <v>876</v>
      </c>
      <c r="Q18" s="269">
        <v>0.56000000000000005</v>
      </c>
      <c r="R18" s="269">
        <f t="shared" si="18"/>
        <v>0.57035999999999998</v>
      </c>
      <c r="S18" s="269">
        <f t="shared" si="18"/>
        <v>0.58091165999999994</v>
      </c>
      <c r="T18" s="269">
        <f t="shared" si="18"/>
        <v>0.59165852570999988</v>
      </c>
      <c r="U18" s="269">
        <f t="shared" si="18"/>
        <v>0.60260420843563489</v>
      </c>
      <c r="V18" s="269">
        <f t="shared" si="18"/>
        <v>0.61375238629169415</v>
      </c>
      <c r="X18" s="274"/>
    </row>
    <row r="19" spans="1:24" s="256" customFormat="1" ht="18">
      <c r="A19" s="283"/>
      <c r="B19" s="283"/>
      <c r="C19" s="523" t="s">
        <v>874</v>
      </c>
      <c r="D19" s="290"/>
      <c r="E19" s="291">
        <f>(E18-D18)/D18</f>
        <v>0.17505720823798626</v>
      </c>
      <c r="F19" s="291">
        <f t="shared" ref="F19:H19" si="20">(F18-E18)/E18</f>
        <v>5.744888023369036E-2</v>
      </c>
      <c r="G19" s="291">
        <f t="shared" si="20"/>
        <v>7.3204419889502756E-2</v>
      </c>
      <c r="H19" s="292">
        <f t="shared" si="20"/>
        <v>0.13170313170313169</v>
      </c>
      <c r="I19" s="291">
        <f>Q13</f>
        <v>8.160000000000002E-2</v>
      </c>
      <c r="J19" s="291">
        <f t="shared" ref="J19:N19" si="21">R13</f>
        <v>8.2824000000000009E-2</v>
      </c>
      <c r="K19" s="291">
        <f t="shared" si="21"/>
        <v>8.4004242000000021E-2</v>
      </c>
      <c r="L19" s="291">
        <f t="shared" si="21"/>
        <v>8.513829926700002E-2</v>
      </c>
      <c r="M19" s="291">
        <f t="shared" si="21"/>
        <v>8.6223812582654269E-2</v>
      </c>
      <c r="N19" s="291">
        <f t="shared" si="21"/>
        <v>8.7258498333646128E-2</v>
      </c>
      <c r="P19" s="260" t="s">
        <v>877</v>
      </c>
      <c r="Q19" s="269">
        <v>0.61</v>
      </c>
      <c r="R19" s="269">
        <f t="shared" si="18"/>
        <v>0.62524999999999997</v>
      </c>
      <c r="S19" s="269">
        <f t="shared" si="18"/>
        <v>0.64072493750000004</v>
      </c>
      <c r="T19" s="269">
        <f t="shared" si="18"/>
        <v>0.65642269846875001</v>
      </c>
      <c r="U19" s="269">
        <f t="shared" si="18"/>
        <v>0.67234094890661722</v>
      </c>
      <c r="V19" s="269">
        <f t="shared" si="18"/>
        <v>0.68847713168037605</v>
      </c>
      <c r="X19" s="274"/>
    </row>
    <row r="20" spans="1:24" s="256" customFormat="1" ht="18">
      <c r="A20" s="280" t="s">
        <v>881</v>
      </c>
      <c r="B20" s="280"/>
      <c r="C20" s="524"/>
      <c r="D20" s="293">
        <f>SUM(D8:D18)</f>
        <v>8796</v>
      </c>
      <c r="E20" s="293">
        <f>SUM(E8:E18)</f>
        <v>10409.04693112162</v>
      </c>
      <c r="F20" s="293">
        <f>SUM(F8:F18)</f>
        <v>11606.735203355376</v>
      </c>
      <c r="G20" s="293">
        <f>SUM(G8:G18)</f>
        <v>12358.334285898422</v>
      </c>
      <c r="H20" s="294">
        <f>SUM(H8:H18)</f>
        <v>13189.361251296035</v>
      </c>
      <c r="I20" s="293">
        <f t="shared" ref="I20:N20" si="22">SUM(I8:I18)</f>
        <v>14338.762000000001</v>
      </c>
      <c r="J20" s="293">
        <f t="shared" si="22"/>
        <v>15627.644024437093</v>
      </c>
      <c r="K20" s="293">
        <f t="shared" si="22"/>
        <v>17075.264728179947</v>
      </c>
      <c r="L20" s="293">
        <f t="shared" si="22"/>
        <v>18703.010069865501</v>
      </c>
      <c r="M20" s="293">
        <f t="shared" si="22"/>
        <v>20534.733166146234</v>
      </c>
      <c r="N20" s="293">
        <f t="shared" si="22"/>
        <v>22596.702726516618</v>
      </c>
      <c r="P20" s="260" t="s">
        <v>878</v>
      </c>
      <c r="Q20" s="269">
        <v>0.7</v>
      </c>
      <c r="R20" s="269">
        <f t="shared" si="18"/>
        <v>0.71329999999999993</v>
      </c>
      <c r="S20" s="269">
        <f t="shared" si="18"/>
        <v>0.72720934999999998</v>
      </c>
      <c r="T20" s="269">
        <f t="shared" si="18"/>
        <v>0.74175353700000002</v>
      </c>
      <c r="U20" s="269">
        <f t="shared" si="18"/>
        <v>0.75695948450850004</v>
      </c>
      <c r="V20" s="269">
        <f t="shared" si="18"/>
        <v>0.77285563368317844</v>
      </c>
      <c r="X20" s="274"/>
    </row>
    <row r="21" spans="1:24" s="256" customFormat="1" ht="18">
      <c r="A21" s="284"/>
      <c r="B21" s="284"/>
      <c r="C21" s="523" t="s">
        <v>874</v>
      </c>
      <c r="D21" s="290"/>
      <c r="E21" s="291">
        <f>(E20-D20)/D20</f>
        <v>0.18338414405657347</v>
      </c>
      <c r="F21" s="291">
        <f t="shared" ref="F21:N21" si="23">(F20-E20)/E20</f>
        <v>0.11506224154421213</v>
      </c>
      <c r="G21" s="291">
        <f t="shared" si="23"/>
        <v>6.4755425998326094E-2</v>
      </c>
      <c r="H21" s="292">
        <f t="shared" si="23"/>
        <v>6.7244253648799893E-2</v>
      </c>
      <c r="I21" s="291">
        <f t="shared" si="23"/>
        <v>8.7146051033443403E-2</v>
      </c>
      <c r="J21" s="291">
        <f t="shared" si="23"/>
        <v>8.988795716374208E-2</v>
      </c>
      <c r="K21" s="291">
        <f t="shared" si="23"/>
        <v>9.2632050069683947E-2</v>
      </c>
      <c r="L21" s="291">
        <f t="shared" si="23"/>
        <v>9.5327678229153556E-2</v>
      </c>
      <c r="M21" s="291">
        <f t="shared" si="23"/>
        <v>9.7937342141093439E-2</v>
      </c>
      <c r="N21" s="291">
        <f t="shared" si="23"/>
        <v>0.10041374989813685</v>
      </c>
      <c r="P21" s="260" t="s">
        <v>879</v>
      </c>
      <c r="Q21" s="269">
        <v>0.51</v>
      </c>
      <c r="R21" s="269">
        <f t="shared" si="18"/>
        <v>0.51764999999999994</v>
      </c>
      <c r="S21" s="269">
        <f t="shared" si="18"/>
        <v>0.52502651249999999</v>
      </c>
      <c r="T21" s="269">
        <f t="shared" si="18"/>
        <v>0.53211437041874998</v>
      </c>
      <c r="U21" s="269">
        <f t="shared" si="18"/>
        <v>0.53889882864158911</v>
      </c>
      <c r="V21" s="269">
        <f t="shared" si="18"/>
        <v>0.54536561458528821</v>
      </c>
      <c r="X21" s="274"/>
    </row>
    <row r="22" spans="1:24" s="256" customFormat="1" ht="18">
      <c r="A22" s="324" t="s">
        <v>889</v>
      </c>
      <c r="B22" s="324"/>
      <c r="C22" s="525"/>
      <c r="D22" s="322">
        <f>D23/D20/1000</f>
        <v>1.1145975443383356E-3</v>
      </c>
      <c r="E22" s="322">
        <f>E23/E20/1000</f>
        <v>1.1024064043453706E-3</v>
      </c>
      <c r="F22" s="322">
        <f>F23/F20/1000</f>
        <v>1.1511419676514621E-3</v>
      </c>
      <c r="G22" s="322">
        <f>G23/G20/1000</f>
        <v>1.1996762392903816E-3</v>
      </c>
      <c r="H22" s="323">
        <f>H23/H20/1000</f>
        <v>1.2217422582474627E-3</v>
      </c>
      <c r="I22" s="322">
        <f>H22</f>
        <v>1.2217422582474627E-3</v>
      </c>
      <c r="J22" s="322">
        <f t="shared" ref="J22:N22" si="24">I22</f>
        <v>1.2217422582474627E-3</v>
      </c>
      <c r="K22" s="322">
        <f t="shared" si="24"/>
        <v>1.2217422582474627E-3</v>
      </c>
      <c r="L22" s="322">
        <f t="shared" si="24"/>
        <v>1.2217422582474627E-3</v>
      </c>
      <c r="M22" s="322">
        <f t="shared" si="24"/>
        <v>1.2217422582474627E-3</v>
      </c>
      <c r="N22" s="322">
        <f t="shared" si="24"/>
        <v>1.2217422582474627E-3</v>
      </c>
    </row>
    <row r="23" spans="1:24" s="256" customFormat="1" ht="18">
      <c r="A23" s="280" t="s">
        <v>909</v>
      </c>
      <c r="B23" s="280"/>
      <c r="C23" s="526"/>
      <c r="D23" s="293">
        <f>매출액!C9</f>
        <v>9804</v>
      </c>
      <c r="E23" s="293">
        <f>매출액!D9</f>
        <v>11475</v>
      </c>
      <c r="F23" s="293">
        <f>매출액!E9</f>
        <v>13361</v>
      </c>
      <c r="G23" s="293">
        <f>매출액!F9</f>
        <v>14826</v>
      </c>
      <c r="H23" s="294">
        <f>매출액!G9</f>
        <v>16114</v>
      </c>
      <c r="I23" s="293">
        <f t="shared" ref="I23:N23" si="25">I20*I22*1000</f>
        <v>17518.271466352908</v>
      </c>
      <c r="J23" s="293">
        <f t="shared" si="25"/>
        <v>19092.953101503241</v>
      </c>
      <c r="K23" s="293">
        <f t="shared" si="25"/>
        <v>20861.572489179816</v>
      </c>
      <c r="L23" s="293">
        <f t="shared" si="25"/>
        <v>22850.257758782511</v>
      </c>
      <c r="M23" s="293">
        <f t="shared" si="25"/>
        <v>25088.151270916569</v>
      </c>
      <c r="N23" s="293">
        <f t="shared" si="25"/>
        <v>27607.346618041011</v>
      </c>
      <c r="P23" s="264" t="s">
        <v>891</v>
      </c>
      <c r="Q23" s="264" t="s">
        <v>893</v>
      </c>
      <c r="R23" s="264" t="s">
        <v>899</v>
      </c>
      <c r="S23" s="264" t="s">
        <v>900</v>
      </c>
      <c r="T23" s="264" t="s">
        <v>901</v>
      </c>
      <c r="U23" s="264" t="s">
        <v>902</v>
      </c>
      <c r="V23" s="264" t="s">
        <v>903</v>
      </c>
    </row>
    <row r="24" spans="1:24" s="256" customFormat="1" ht="18">
      <c r="C24" s="523" t="s">
        <v>874</v>
      </c>
      <c r="D24" s="325"/>
      <c r="E24" s="326">
        <f t="shared" ref="E24:N24" si="26">(E23-D23)/D23</f>
        <v>0.1704406364749082</v>
      </c>
      <c r="F24" s="326">
        <f t="shared" si="26"/>
        <v>0.16435729847494554</v>
      </c>
      <c r="G24" s="326">
        <f t="shared" si="26"/>
        <v>0.10964748147593743</v>
      </c>
      <c r="H24" s="289">
        <f t="shared" si="26"/>
        <v>8.687440982058546E-2</v>
      </c>
      <c r="I24" s="326">
        <f t="shared" si="26"/>
        <v>8.7146051033443445E-2</v>
      </c>
      <c r="J24" s="326">
        <f t="shared" si="26"/>
        <v>8.9887957163741955E-2</v>
      </c>
      <c r="K24" s="326">
        <f t="shared" si="26"/>
        <v>9.2632050069683947E-2</v>
      </c>
      <c r="L24" s="326">
        <f t="shared" si="26"/>
        <v>9.5327678229153501E-2</v>
      </c>
      <c r="M24" s="326">
        <f t="shared" si="26"/>
        <v>9.7937342141093467E-2</v>
      </c>
      <c r="N24" s="326">
        <f t="shared" si="26"/>
        <v>0.10041374989813689</v>
      </c>
      <c r="P24" s="260" t="s">
        <v>873</v>
      </c>
      <c r="Q24" s="275">
        <v>0.78</v>
      </c>
      <c r="R24" s="275">
        <f>0.4%+Q24</f>
        <v>0.78400000000000003</v>
      </c>
      <c r="S24" s="275">
        <f t="shared" ref="S24:V24" si="27">0.4%+R24</f>
        <v>0.78800000000000003</v>
      </c>
      <c r="T24" s="275">
        <f t="shared" si="27"/>
        <v>0.79200000000000004</v>
      </c>
      <c r="U24" s="275">
        <f t="shared" si="27"/>
        <v>0.79600000000000004</v>
      </c>
      <c r="V24" s="275">
        <f t="shared" si="27"/>
        <v>0.8</v>
      </c>
      <c r="X24" s="260" t="s">
        <v>882</v>
      </c>
    </row>
    <row r="25" spans="1:24" s="256" customFormat="1" ht="18">
      <c r="P25" s="260" t="s">
        <v>875</v>
      </c>
      <c r="Q25" s="275">
        <v>0.93</v>
      </c>
      <c r="R25" s="275">
        <f>Q25</f>
        <v>0.93</v>
      </c>
      <c r="S25" s="275">
        <f t="shared" ref="S25:V29" si="28">R25</f>
        <v>0.93</v>
      </c>
      <c r="T25" s="275">
        <f t="shared" si="28"/>
        <v>0.93</v>
      </c>
      <c r="U25" s="275">
        <f t="shared" si="28"/>
        <v>0.93</v>
      </c>
      <c r="V25" s="275">
        <f t="shared" si="28"/>
        <v>0.93</v>
      </c>
      <c r="X25" s="260" t="s">
        <v>883</v>
      </c>
    </row>
    <row r="26" spans="1:24" s="256" customFormat="1" ht="18">
      <c r="B26" s="260" t="s">
        <v>939</v>
      </c>
      <c r="P26" s="260" t="s">
        <v>876</v>
      </c>
      <c r="Q26" s="275">
        <v>0.81</v>
      </c>
      <c r="R26" s="275">
        <f>Q26</f>
        <v>0.81</v>
      </c>
      <c r="S26" s="275">
        <f t="shared" si="28"/>
        <v>0.81</v>
      </c>
      <c r="T26" s="275">
        <f t="shared" si="28"/>
        <v>0.81</v>
      </c>
      <c r="U26" s="275">
        <f t="shared" si="28"/>
        <v>0.81</v>
      </c>
      <c r="V26" s="275">
        <f t="shared" si="28"/>
        <v>0.81</v>
      </c>
      <c r="X26" s="260" t="s">
        <v>884</v>
      </c>
    </row>
    <row r="27" spans="1:24" s="256" customFormat="1" ht="18">
      <c r="B27" s="260" t="s">
        <v>916</v>
      </c>
      <c r="C27" s="265"/>
      <c r="D27" s="266"/>
      <c r="E27" s="266"/>
      <c r="F27" s="266"/>
      <c r="G27" s="266"/>
      <c r="H27" s="266"/>
      <c r="I27" s="265"/>
      <c r="P27" s="260" t="s">
        <v>877</v>
      </c>
      <c r="Q27" s="275">
        <v>0.63</v>
      </c>
      <c r="R27" s="275">
        <f>Q27+1.4%</f>
        <v>0.64400000000000002</v>
      </c>
      <c r="S27" s="275">
        <f t="shared" ref="S27:V27" si="29">R27+1.4%</f>
        <v>0.65800000000000003</v>
      </c>
      <c r="T27" s="275">
        <f t="shared" si="29"/>
        <v>0.67200000000000004</v>
      </c>
      <c r="U27" s="275">
        <f t="shared" si="29"/>
        <v>0.68600000000000005</v>
      </c>
      <c r="V27" s="275">
        <f t="shared" si="29"/>
        <v>0.70000000000000007</v>
      </c>
      <c r="X27" s="260" t="s">
        <v>885</v>
      </c>
    </row>
    <row r="28" spans="1:24" s="256" customFormat="1" ht="18">
      <c r="C28" s="265"/>
      <c r="D28" s="266"/>
      <c r="E28" s="266"/>
      <c r="F28" s="266"/>
      <c r="G28" s="266"/>
      <c r="H28" s="266"/>
      <c r="I28" s="265"/>
      <c r="P28" s="260" t="s">
        <v>878</v>
      </c>
      <c r="Q28" s="275">
        <v>0.92</v>
      </c>
      <c r="R28" s="275">
        <f>Q28</f>
        <v>0.92</v>
      </c>
      <c r="S28" s="275">
        <f t="shared" si="28"/>
        <v>0.92</v>
      </c>
      <c r="T28" s="275">
        <f t="shared" si="28"/>
        <v>0.92</v>
      </c>
      <c r="U28" s="275">
        <f t="shared" si="28"/>
        <v>0.92</v>
      </c>
      <c r="V28" s="275">
        <f t="shared" si="28"/>
        <v>0.92</v>
      </c>
      <c r="X28" s="260" t="s">
        <v>886</v>
      </c>
    </row>
    <row r="29" spans="1:24" s="256" customFormat="1" ht="18">
      <c r="B29" s="260"/>
      <c r="C29" s="265"/>
      <c r="D29" s="266"/>
      <c r="E29" s="266"/>
      <c r="F29" s="266"/>
      <c r="G29" s="266"/>
      <c r="H29" s="266"/>
      <c r="I29" s="265"/>
      <c r="J29" s="265"/>
      <c r="K29" s="265"/>
      <c r="L29" s="265"/>
      <c r="M29" s="265"/>
      <c r="P29" s="260" t="s">
        <v>879</v>
      </c>
      <c r="Q29" s="275">
        <v>0.84</v>
      </c>
      <c r="R29" s="275">
        <f>Q29</f>
        <v>0.84</v>
      </c>
      <c r="S29" s="275">
        <f t="shared" si="28"/>
        <v>0.84</v>
      </c>
      <c r="T29" s="275">
        <f t="shared" si="28"/>
        <v>0.84</v>
      </c>
      <c r="U29" s="275">
        <f t="shared" si="28"/>
        <v>0.84</v>
      </c>
      <c r="V29" s="275">
        <f t="shared" si="28"/>
        <v>0.84</v>
      </c>
      <c r="X29" s="260" t="s">
        <v>887</v>
      </c>
    </row>
    <row r="30" spans="1:24" s="256" customFormat="1" ht="18">
      <c r="A30" s="276"/>
    </row>
    <row r="31" spans="1:24" s="256" customFormat="1" ht="18">
      <c r="B31" s="277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P31" s="264" t="s">
        <v>907</v>
      </c>
      <c r="Q31" s="264" t="s">
        <v>893</v>
      </c>
      <c r="R31" s="264" t="s">
        <v>899</v>
      </c>
      <c r="S31" s="264" t="s">
        <v>900</v>
      </c>
      <c r="T31" s="264" t="s">
        <v>901</v>
      </c>
      <c r="U31" s="264" t="s">
        <v>902</v>
      </c>
      <c r="V31" s="264" t="s">
        <v>903</v>
      </c>
      <c r="X31" s="260" t="s">
        <v>888</v>
      </c>
    </row>
    <row r="32" spans="1:24" s="256" customFormat="1" ht="18">
      <c r="B32" s="260"/>
      <c r="C32" s="265"/>
      <c r="D32" s="266"/>
      <c r="E32" s="266"/>
      <c r="F32" s="266"/>
      <c r="G32" s="266"/>
      <c r="H32" s="266"/>
      <c r="I32" s="260"/>
      <c r="P32" s="260" t="s">
        <v>873</v>
      </c>
      <c r="Q32" s="278">
        <v>2.1999999999999999E-2</v>
      </c>
      <c r="R32" s="278">
        <f>Q32-0.04%</f>
        <v>2.1599999999999998E-2</v>
      </c>
      <c r="S32" s="278">
        <f t="shared" ref="S32:U32" si="30">R32-0.04%</f>
        <v>2.1199999999999997E-2</v>
      </c>
      <c r="T32" s="278">
        <f t="shared" si="30"/>
        <v>2.0799999999999996E-2</v>
      </c>
      <c r="U32" s="278">
        <f t="shared" si="30"/>
        <v>2.0399999999999995E-2</v>
      </c>
      <c r="V32" s="278">
        <v>0.02</v>
      </c>
    </row>
    <row r="33" spans="1:22" s="256" customFormat="1" ht="18">
      <c r="B33" s="260"/>
      <c r="C33" s="270"/>
      <c r="D33" s="271"/>
      <c r="E33" s="272"/>
      <c r="F33" s="272"/>
      <c r="G33" s="272"/>
      <c r="H33" s="272"/>
      <c r="I33" s="260"/>
      <c r="P33" s="260" t="s">
        <v>875</v>
      </c>
      <c r="Q33" s="278">
        <v>2.3E-2</v>
      </c>
      <c r="R33" s="278">
        <f>Q33</f>
        <v>2.3E-2</v>
      </c>
      <c r="S33" s="278">
        <f t="shared" ref="S33:U34" si="31">R33</f>
        <v>2.3E-2</v>
      </c>
      <c r="T33" s="278">
        <f t="shared" si="31"/>
        <v>2.3E-2</v>
      </c>
      <c r="U33" s="278">
        <v>1.7000000000000001E-2</v>
      </c>
      <c r="V33" s="278">
        <f t="shared" ref="V33:V37" si="32">U33</f>
        <v>1.7000000000000001E-2</v>
      </c>
    </row>
    <row r="34" spans="1:22" s="256" customFormat="1" ht="18">
      <c r="B34" s="260"/>
      <c r="C34" s="265"/>
      <c r="D34" s="279"/>
      <c r="E34" s="279"/>
      <c r="F34" s="279"/>
      <c r="G34" s="279"/>
      <c r="H34" s="279"/>
      <c r="I34" s="260"/>
      <c r="P34" s="260" t="s">
        <v>876</v>
      </c>
      <c r="Q34" s="278">
        <f>(Q32+Q37)/2</f>
        <v>1.8499999999999999E-2</v>
      </c>
      <c r="R34" s="278">
        <f>Q34</f>
        <v>1.8499999999999999E-2</v>
      </c>
      <c r="S34" s="278">
        <f t="shared" si="31"/>
        <v>1.8499999999999999E-2</v>
      </c>
      <c r="T34" s="278">
        <f t="shared" si="31"/>
        <v>1.8499999999999999E-2</v>
      </c>
      <c r="U34" s="278">
        <f t="shared" si="31"/>
        <v>1.8499999999999999E-2</v>
      </c>
      <c r="V34" s="278">
        <f t="shared" si="32"/>
        <v>1.8499999999999999E-2</v>
      </c>
    </row>
    <row r="35" spans="1:22" s="256" customFormat="1" ht="17.399999999999999" customHeight="1">
      <c r="B35" s="260"/>
      <c r="C35" s="270"/>
      <c r="D35" s="271"/>
      <c r="E35" s="272"/>
      <c r="F35" s="272"/>
      <c r="G35" s="272"/>
      <c r="H35" s="272"/>
      <c r="I35" s="260"/>
      <c r="P35" s="260" t="s">
        <v>877</v>
      </c>
      <c r="Q35" s="278">
        <v>2.5000000000000001E-2</v>
      </c>
      <c r="R35" s="278">
        <f>Q35-0.025%</f>
        <v>2.4750000000000001E-2</v>
      </c>
      <c r="S35" s="278">
        <f t="shared" ref="S35:U35" si="33">R35-0.025%</f>
        <v>2.4500000000000001E-2</v>
      </c>
      <c r="T35" s="278">
        <f t="shared" si="33"/>
        <v>2.4250000000000001E-2</v>
      </c>
      <c r="U35" s="278">
        <f t="shared" si="33"/>
        <v>2.4E-2</v>
      </c>
      <c r="V35" s="278">
        <f t="shared" si="32"/>
        <v>2.4E-2</v>
      </c>
    </row>
    <row r="36" spans="1:22" s="256" customFormat="1" ht="17.399999999999999" customHeight="1">
      <c r="B36" s="260"/>
      <c r="C36" s="265"/>
      <c r="D36" s="266"/>
      <c r="E36" s="266"/>
      <c r="F36" s="266"/>
      <c r="G36" s="266"/>
      <c r="H36" s="266"/>
      <c r="I36" s="260"/>
      <c r="P36" s="260" t="s">
        <v>878</v>
      </c>
      <c r="Q36" s="278">
        <v>1.9E-2</v>
      </c>
      <c r="R36" s="278">
        <f>Q36+0.05%</f>
        <v>1.95E-2</v>
      </c>
      <c r="S36" s="278">
        <f t="shared" ref="S36:U36" si="34">R36+0.05%</f>
        <v>0.02</v>
      </c>
      <c r="T36" s="278">
        <f t="shared" si="34"/>
        <v>2.0500000000000001E-2</v>
      </c>
      <c r="U36" s="278">
        <f t="shared" si="34"/>
        <v>2.1000000000000001E-2</v>
      </c>
      <c r="V36" s="278">
        <f t="shared" si="32"/>
        <v>2.1000000000000001E-2</v>
      </c>
    </row>
    <row r="37" spans="1:22" s="256" customFormat="1" ht="18">
      <c r="B37" s="260"/>
      <c r="C37" s="270"/>
      <c r="D37" s="271"/>
      <c r="E37" s="272"/>
      <c r="F37" s="272"/>
      <c r="G37" s="272"/>
      <c r="H37" s="272"/>
      <c r="I37" s="260"/>
      <c r="P37" s="260" t="s">
        <v>879</v>
      </c>
      <c r="Q37" s="278">
        <v>1.4999999999999999E-2</v>
      </c>
      <c r="R37" s="278">
        <f>Q37-0.075%</f>
        <v>1.4249999999999999E-2</v>
      </c>
      <c r="S37" s="278">
        <f t="shared" ref="S37:U37" si="35">R37-0.075%</f>
        <v>1.3499999999999998E-2</v>
      </c>
      <c r="T37" s="278">
        <f t="shared" si="35"/>
        <v>1.2749999999999997E-2</v>
      </c>
      <c r="U37" s="278">
        <f t="shared" si="35"/>
        <v>1.1999999999999997E-2</v>
      </c>
      <c r="V37" s="278">
        <f t="shared" si="32"/>
        <v>1.1999999999999997E-2</v>
      </c>
    </row>
    <row r="38" spans="1:22" s="256" customFormat="1" ht="18">
      <c r="B38" s="260"/>
      <c r="C38" s="265"/>
      <c r="D38" s="266"/>
      <c r="E38" s="266"/>
      <c r="F38" s="266"/>
      <c r="G38" s="266"/>
      <c r="H38" s="266"/>
      <c r="I38" s="260"/>
    </row>
    <row r="39" spans="1:22" s="256" customFormat="1" ht="18">
      <c r="B39" s="260"/>
      <c r="C39" s="270"/>
      <c r="D39" s="271"/>
      <c r="E39" s="272"/>
      <c r="F39" s="272"/>
      <c r="G39" s="272"/>
      <c r="H39" s="272"/>
      <c r="I39" s="260"/>
    </row>
    <row r="40" spans="1:22" s="257" customFormat="1" ht="18">
      <c r="B40" s="258" t="s">
        <v>937</v>
      </c>
      <c r="C40" s="259"/>
    </row>
    <row r="41" spans="1:22" s="256" customFormat="1"/>
    <row r="42" spans="1:22" s="256" customFormat="1" ht="18">
      <c r="A42" s="262"/>
      <c r="B42" s="263"/>
      <c r="C42" s="529"/>
      <c r="D42" s="264" t="s">
        <v>894</v>
      </c>
      <c r="E42" s="264" t="s">
        <v>895</v>
      </c>
      <c r="F42" s="264" t="s">
        <v>896</v>
      </c>
      <c r="G42" s="264" t="s">
        <v>897</v>
      </c>
      <c r="H42" s="264" t="s">
        <v>898</v>
      </c>
      <c r="I42" s="264" t="s">
        <v>893</v>
      </c>
      <c r="J42" s="264" t="s">
        <v>899</v>
      </c>
      <c r="K42" s="264" t="s">
        <v>900</v>
      </c>
      <c r="L42" s="264" t="s">
        <v>901</v>
      </c>
      <c r="M42" s="264" t="s">
        <v>902</v>
      </c>
      <c r="N42" s="264" t="s">
        <v>903</v>
      </c>
    </row>
    <row r="43" spans="1:22" s="260" customFormat="1" ht="18">
      <c r="A43" s="319" t="s">
        <v>904</v>
      </c>
      <c r="B43" s="319"/>
      <c r="C43" s="283"/>
      <c r="D43" s="320">
        <f>D46/D44</f>
        <v>7.7925858604505849E-2</v>
      </c>
      <c r="E43" s="320">
        <f>E46/E44</f>
        <v>7.7652929285571201E-2</v>
      </c>
      <c r="F43" s="320">
        <f>F46/F44</f>
        <v>7.4990910507453379E-2</v>
      </c>
      <c r="G43" s="320">
        <f>G46/G44</f>
        <v>7.5299065288669156E-2</v>
      </c>
      <c r="H43" s="321">
        <f>H46/H44</f>
        <v>7.5779224668246645E-2</v>
      </c>
      <c r="I43" s="320">
        <f t="shared" ref="I43:N43" si="36">H43</f>
        <v>7.5779224668246645E-2</v>
      </c>
      <c r="J43" s="320">
        <f t="shared" si="36"/>
        <v>7.5779224668246645E-2</v>
      </c>
      <c r="K43" s="320">
        <f t="shared" si="36"/>
        <v>7.5779224668246645E-2</v>
      </c>
      <c r="L43" s="320">
        <f t="shared" si="36"/>
        <v>7.5779224668246645E-2</v>
      </c>
      <c r="M43" s="320">
        <f t="shared" si="36"/>
        <v>7.5779224668246645E-2</v>
      </c>
      <c r="N43" s="320">
        <f t="shared" si="36"/>
        <v>7.5779224668246645E-2</v>
      </c>
      <c r="P43" s="260" t="s">
        <v>913</v>
      </c>
    </row>
    <row r="44" spans="1:22" s="260" customFormat="1" ht="18">
      <c r="A44" s="260" t="s">
        <v>906</v>
      </c>
      <c r="D44" s="266">
        <v>140839</v>
      </c>
      <c r="E44" s="266">
        <v>164733</v>
      </c>
      <c r="F44" s="266">
        <v>192530</v>
      </c>
      <c r="G44" s="266">
        <v>212579</v>
      </c>
      <c r="H44" s="282">
        <v>233758</v>
      </c>
      <c r="I44" s="266">
        <f t="shared" ref="I44:N44" si="37">(1+I45)*H44</f>
        <v>259471.38000000003</v>
      </c>
      <c r="J44" s="266">
        <f t="shared" si="37"/>
        <v>288013.23180000007</v>
      </c>
      <c r="K44" s="266">
        <f t="shared" si="37"/>
        <v>319694.68729800009</v>
      </c>
      <c r="L44" s="266">
        <f t="shared" si="37"/>
        <v>354861.10290078016</v>
      </c>
      <c r="M44" s="266">
        <f t="shared" si="37"/>
        <v>393895.82421986602</v>
      </c>
      <c r="N44" s="266">
        <f t="shared" si="37"/>
        <v>437224.36488405132</v>
      </c>
      <c r="P44" s="260" t="s">
        <v>910</v>
      </c>
    </row>
    <row r="45" spans="1:22" s="260" customFormat="1" ht="18">
      <c r="A45" s="283"/>
      <c r="B45" s="283"/>
      <c r="C45" s="530" t="s">
        <v>874</v>
      </c>
      <c r="D45" s="315"/>
      <c r="E45" s="316">
        <v>0.17</v>
      </c>
      <c r="F45" s="316">
        <v>0.17</v>
      </c>
      <c r="G45" s="316">
        <v>0.1</v>
      </c>
      <c r="H45" s="317">
        <v>0.1</v>
      </c>
      <c r="I45" s="316">
        <v>0.11</v>
      </c>
      <c r="J45" s="316">
        <v>0.11</v>
      </c>
      <c r="K45" s="316">
        <v>0.11</v>
      </c>
      <c r="L45" s="316">
        <v>0.11</v>
      </c>
      <c r="M45" s="316">
        <v>0.11</v>
      </c>
      <c r="N45" s="316">
        <v>0.11</v>
      </c>
      <c r="P45" s="260" t="s">
        <v>911</v>
      </c>
    </row>
    <row r="46" spans="1:22" s="256" customFormat="1" ht="18">
      <c r="A46" s="280" t="s">
        <v>905</v>
      </c>
      <c r="B46" s="280"/>
      <c r="C46" s="527"/>
      <c r="D46" s="293">
        <v>10975</v>
      </c>
      <c r="E46" s="293">
        <v>12792</v>
      </c>
      <c r="F46" s="293">
        <v>14438</v>
      </c>
      <c r="G46" s="293">
        <v>16007</v>
      </c>
      <c r="H46" s="294">
        <v>17714</v>
      </c>
      <c r="I46" s="293">
        <f t="shared" ref="I46:N46" si="38">I44*I43</f>
        <v>19662.54</v>
      </c>
      <c r="J46" s="293">
        <f t="shared" si="38"/>
        <v>21825.419400000002</v>
      </c>
      <c r="K46" s="293">
        <f t="shared" si="38"/>
        <v>24226.215534000006</v>
      </c>
      <c r="L46" s="293">
        <f t="shared" si="38"/>
        <v>26891.099242740009</v>
      </c>
      <c r="M46" s="293">
        <f t="shared" si="38"/>
        <v>29849.120159441416</v>
      </c>
      <c r="N46" s="293">
        <f t="shared" si="38"/>
        <v>33132.523376979974</v>
      </c>
    </row>
    <row r="47" spans="1:22" s="256" customFormat="1" ht="18">
      <c r="A47" s="260"/>
      <c r="B47" s="260"/>
      <c r="C47" s="523" t="s">
        <v>874</v>
      </c>
      <c r="D47" s="327"/>
      <c r="E47" s="328">
        <f t="shared" ref="E47:N47" si="39">(E46-D46)/D46</f>
        <v>0.16555808656036447</v>
      </c>
      <c r="F47" s="328">
        <f t="shared" si="39"/>
        <v>0.12867417135709819</v>
      </c>
      <c r="G47" s="328">
        <f t="shared" si="39"/>
        <v>0.10867156115805514</v>
      </c>
      <c r="H47" s="329">
        <f t="shared" si="39"/>
        <v>0.10664084463047417</v>
      </c>
      <c r="I47" s="328">
        <f t="shared" si="39"/>
        <v>0.11000000000000006</v>
      </c>
      <c r="J47" s="328">
        <f t="shared" si="39"/>
        <v>0.11000000000000008</v>
      </c>
      <c r="K47" s="328">
        <f t="shared" si="39"/>
        <v>0.11000000000000017</v>
      </c>
      <c r="L47" s="328">
        <f t="shared" si="39"/>
        <v>0.11000000000000007</v>
      </c>
      <c r="M47" s="328">
        <f t="shared" si="39"/>
        <v>0.11000000000000024</v>
      </c>
      <c r="N47" s="328">
        <f t="shared" si="39"/>
        <v>0.11000000000000008</v>
      </c>
      <c r="P47" s="318" t="s">
        <v>912</v>
      </c>
    </row>
    <row r="48" spans="1:22" s="256" customFormat="1" ht="18">
      <c r="P48" s="260"/>
    </row>
    <row r="49" spans="1:16" s="256" customFormat="1"/>
    <row r="50" spans="1:16" s="257" customFormat="1" ht="18">
      <c r="B50" s="258" t="s">
        <v>938</v>
      </c>
      <c r="C50" s="259"/>
    </row>
    <row r="51" spans="1:16" s="256" customFormat="1" ht="18">
      <c r="B51" s="280"/>
      <c r="C51" s="260"/>
    </row>
    <row r="52" spans="1:16" s="256" customFormat="1" ht="18">
      <c r="A52" s="262"/>
      <c r="B52" s="263"/>
      <c r="C52" s="262"/>
      <c r="D52" s="264" t="s">
        <v>894</v>
      </c>
      <c r="E52" s="264" t="s">
        <v>895</v>
      </c>
      <c r="F52" s="264" t="s">
        <v>896</v>
      </c>
      <c r="G52" s="264" t="s">
        <v>897</v>
      </c>
      <c r="H52" s="264" t="s">
        <v>898</v>
      </c>
      <c r="I52" s="264" t="s">
        <v>893</v>
      </c>
      <c r="J52" s="264" t="s">
        <v>899</v>
      </c>
      <c r="K52" s="264" t="s">
        <v>900</v>
      </c>
      <c r="L52" s="264" t="s">
        <v>901</v>
      </c>
      <c r="M52" s="264" t="s">
        <v>902</v>
      </c>
      <c r="N52" s="264" t="s">
        <v>903</v>
      </c>
    </row>
    <row r="53" spans="1:16" s="256" customFormat="1" ht="18">
      <c r="A53" s="283" t="s">
        <v>923</v>
      </c>
      <c r="B53" s="283"/>
      <c r="C53" s="530"/>
      <c r="D53" s="331">
        <v>-0.16</v>
      </c>
      <c r="E53" s="331">
        <v>0.09</v>
      </c>
      <c r="F53" s="331">
        <v>0.38</v>
      </c>
      <c r="G53" s="331">
        <v>0.2</v>
      </c>
      <c r="H53" s="332">
        <v>0.15</v>
      </c>
      <c r="I53" s="331">
        <v>0.12</v>
      </c>
      <c r="J53" s="331">
        <v>0.1</v>
      </c>
      <c r="K53" s="331">
        <v>0.08</v>
      </c>
      <c r="L53" s="331">
        <v>0.06</v>
      </c>
      <c r="M53" s="331">
        <v>0.05</v>
      </c>
      <c r="N53" s="331">
        <v>0.04</v>
      </c>
      <c r="P53" s="318" t="s">
        <v>940</v>
      </c>
    </row>
    <row r="54" spans="1:16" s="256" customFormat="1" ht="18">
      <c r="A54" s="280" t="s">
        <v>929</v>
      </c>
      <c r="B54" s="280"/>
      <c r="C54" s="528"/>
      <c r="D54" s="300">
        <v>6299</v>
      </c>
      <c r="E54" s="300">
        <v>6530</v>
      </c>
      <c r="F54" s="300">
        <v>9815</v>
      </c>
      <c r="G54" s="300">
        <v>11638</v>
      </c>
      <c r="H54" s="333">
        <v>12665</v>
      </c>
      <c r="I54" s="334">
        <f>(1+I53)*H54</f>
        <v>14184.800000000001</v>
      </c>
      <c r="J54" s="334">
        <f t="shared" ref="J54:N54" si="40">(1+J53)*I54</f>
        <v>15603.280000000002</v>
      </c>
      <c r="K54" s="334">
        <f t="shared" si="40"/>
        <v>16851.542400000002</v>
      </c>
      <c r="L54" s="334">
        <f t="shared" si="40"/>
        <v>17862.634944000005</v>
      </c>
      <c r="M54" s="334">
        <f t="shared" si="40"/>
        <v>18755.766691200006</v>
      </c>
      <c r="N54" s="334">
        <f t="shared" si="40"/>
        <v>19505.997358848006</v>
      </c>
    </row>
    <row r="55" spans="1:16" s="256" customFormat="1" ht="18">
      <c r="C55" s="523" t="s">
        <v>874</v>
      </c>
      <c r="D55" s="327"/>
      <c r="E55" s="328">
        <f t="shared" ref="E55" si="41">(E54-D54)/D54</f>
        <v>3.6672487696459755E-2</v>
      </c>
      <c r="F55" s="328">
        <f t="shared" ref="F55" si="42">(F54-E54)/E54</f>
        <v>0.50306278713629404</v>
      </c>
      <c r="G55" s="328">
        <f t="shared" ref="G55" si="43">(G54-F54)/F54</f>
        <v>0.18573611818644931</v>
      </c>
      <c r="H55" s="329">
        <f t="shared" ref="H55" si="44">(H54-G54)/G54</f>
        <v>8.8245402990204502E-2</v>
      </c>
      <c r="I55" s="328">
        <f t="shared" ref="I55" si="45">(I54-H54)/H54</f>
        <v>0.12000000000000009</v>
      </c>
      <c r="J55" s="328">
        <f t="shared" ref="J55" si="46">(J54-I54)/I54</f>
        <v>0.10000000000000009</v>
      </c>
      <c r="K55" s="328">
        <f t="shared" ref="K55" si="47">(K54-J54)/J54</f>
        <v>7.999999999999996E-2</v>
      </c>
      <c r="L55" s="328">
        <f t="shared" ref="L55" si="48">(L54-K54)/K54</f>
        <v>6.0000000000000157E-2</v>
      </c>
      <c r="M55" s="328">
        <f t="shared" ref="M55" si="49">(M54-L54)/L54</f>
        <v>5.0000000000000037E-2</v>
      </c>
      <c r="N55" s="328">
        <f t="shared" ref="N55" si="50">(N54-M54)/M54</f>
        <v>0.04</v>
      </c>
    </row>
    <row r="56" spans="1:16" s="256" customFormat="1" ht="18">
      <c r="B56" s="280"/>
      <c r="C56" s="260"/>
      <c r="F56" s="260"/>
    </row>
    <row r="57" spans="1:16" s="256" customFormat="1" ht="18">
      <c r="B57" s="260"/>
      <c r="C57" s="260"/>
      <c r="E57" s="260"/>
      <c r="F57" s="281"/>
    </row>
    <row r="58" spans="1:16" s="256" customFormat="1" ht="18">
      <c r="B58" s="260"/>
      <c r="C58" s="260"/>
      <c r="E58" s="260"/>
      <c r="F58" s="281"/>
    </row>
    <row r="59" spans="1:16" s="256" customFormat="1" ht="18">
      <c r="B59" s="260"/>
      <c r="C59" s="260"/>
      <c r="E59" s="260"/>
      <c r="F59" s="281"/>
    </row>
    <row r="60" spans="1:16" s="256" customFormat="1" ht="18">
      <c r="B60" s="260"/>
      <c r="C60" s="260"/>
      <c r="E60" s="260"/>
      <c r="F60" s="281"/>
    </row>
    <row r="61" spans="1:16" s="256" customFormat="1" ht="18">
      <c r="B61" s="260"/>
      <c r="C61" s="260"/>
      <c r="E61" s="260"/>
      <c r="F61" s="281"/>
    </row>
    <row r="62" spans="1:16" s="256" customFormat="1" ht="18">
      <c r="B62" s="265"/>
      <c r="C62" s="260"/>
      <c r="E62" s="260"/>
      <c r="F62" s="281"/>
    </row>
    <row r="63" spans="1:16" s="256" customFormat="1" ht="18">
      <c r="B63" s="265"/>
      <c r="C63" s="260"/>
      <c r="E63" s="260"/>
      <c r="F63" s="281"/>
    </row>
    <row r="64" spans="1:16" ht="18">
      <c r="B64" s="276"/>
      <c r="C64" s="276"/>
      <c r="E64" s="276"/>
      <c r="F64" s="507"/>
    </row>
    <row r="65" spans="1:14" ht="18">
      <c r="B65" s="276"/>
      <c r="C65" s="276"/>
      <c r="E65" s="276"/>
      <c r="F65" s="507"/>
    </row>
    <row r="66" spans="1:14" ht="18">
      <c r="B66" s="276"/>
      <c r="C66" s="276"/>
      <c r="E66" s="276"/>
      <c r="F66" s="507"/>
    </row>
    <row r="67" spans="1:14" ht="18">
      <c r="B67" s="276"/>
      <c r="C67" s="276"/>
      <c r="E67" s="276"/>
      <c r="F67" s="507"/>
    </row>
    <row r="68" spans="1:14" ht="18">
      <c r="B68" s="276"/>
      <c r="C68" s="276"/>
      <c r="E68" s="276"/>
      <c r="F68" s="507"/>
    </row>
    <row r="69" spans="1:14" ht="18">
      <c r="B69" s="276"/>
      <c r="C69" s="276"/>
      <c r="E69" s="276"/>
      <c r="F69" s="507"/>
    </row>
    <row r="71" spans="1:14" ht="18">
      <c r="B71" s="508"/>
    </row>
    <row r="72" spans="1:14" ht="18">
      <c r="B72" s="508"/>
    </row>
    <row r="73" spans="1:14" ht="18">
      <c r="B73" s="508"/>
    </row>
    <row r="74" spans="1:14" ht="18">
      <c r="B74" s="508"/>
    </row>
    <row r="75" spans="1:14" ht="18">
      <c r="B75" s="276"/>
      <c r="C75" s="276"/>
    </row>
    <row r="76" spans="1:14" ht="18">
      <c r="B76" s="508"/>
      <c r="C76" s="276"/>
    </row>
    <row r="77" spans="1:14" ht="18">
      <c r="B77" s="508"/>
      <c r="C77" s="276"/>
    </row>
    <row r="78" spans="1:14" ht="18">
      <c r="A78" s="276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</row>
    <row r="79" spans="1:14" ht="18">
      <c r="A79" s="276"/>
      <c r="B79" s="276"/>
      <c r="C79" s="509"/>
      <c r="D79" s="510"/>
      <c r="E79" s="510"/>
      <c r="F79" s="510"/>
      <c r="G79" s="510"/>
      <c r="H79" s="510"/>
      <c r="I79" s="511"/>
      <c r="J79" s="276"/>
      <c r="K79" s="276"/>
      <c r="L79" s="276"/>
      <c r="M79" s="276"/>
      <c r="N79" s="276"/>
    </row>
    <row r="80" spans="1:14" ht="18">
      <c r="A80" s="276"/>
      <c r="B80" s="276"/>
      <c r="C80" s="512"/>
      <c r="D80" s="513"/>
      <c r="E80" s="514"/>
      <c r="F80" s="514"/>
      <c r="G80" s="514"/>
      <c r="H80" s="514"/>
      <c r="I80" s="511"/>
      <c r="J80" s="276"/>
      <c r="K80" s="276"/>
      <c r="L80" s="276"/>
      <c r="M80" s="276"/>
      <c r="N80" s="276"/>
    </row>
    <row r="81" spans="1:14" ht="18">
      <c r="A81" s="276"/>
      <c r="B81" s="276"/>
      <c r="C81" s="276"/>
      <c r="D81" s="515"/>
      <c r="E81" s="516"/>
      <c r="F81" s="516"/>
      <c r="G81" s="516"/>
      <c r="H81" s="516"/>
      <c r="I81" s="516"/>
      <c r="J81" s="516"/>
      <c r="K81" s="516"/>
      <c r="L81" s="516"/>
      <c r="M81" s="516"/>
      <c r="N81" s="516"/>
    </row>
    <row r="82" spans="1:14" ht="18">
      <c r="A82" s="276"/>
      <c r="B82" s="276"/>
      <c r="C82" s="276"/>
      <c r="D82" s="511"/>
      <c r="E82" s="517"/>
      <c r="F82" s="517"/>
      <c r="G82" s="517"/>
      <c r="H82" s="518"/>
      <c r="I82" s="276"/>
      <c r="J82" s="276"/>
      <c r="K82" s="276"/>
      <c r="L82" s="276"/>
      <c r="M82" s="276"/>
      <c r="N82" s="276"/>
    </row>
    <row r="83" spans="1:14" ht="18">
      <c r="B83" s="508"/>
      <c r="C83" s="276"/>
      <c r="G83" s="517"/>
      <c r="H83" s="518"/>
    </row>
    <row r="84" spans="1:14" ht="18">
      <c r="B84" s="508"/>
      <c r="C84" s="276"/>
      <c r="G84" s="517"/>
      <c r="H84" s="518"/>
    </row>
    <row r="85" spans="1:14" ht="18">
      <c r="B85" s="508"/>
      <c r="C85" s="276"/>
      <c r="G85" s="517"/>
      <c r="H85" s="518"/>
      <c r="I85" s="519"/>
    </row>
    <row r="86" spans="1:14" ht="18">
      <c r="B86" s="508"/>
      <c r="C86" s="276"/>
      <c r="H86" s="519"/>
      <c r="I86" s="519"/>
    </row>
    <row r="87" spans="1:14" ht="18">
      <c r="B87" s="276"/>
      <c r="C87" s="276"/>
    </row>
    <row r="88" spans="1:14" ht="18">
      <c r="B88" s="276"/>
      <c r="C88" s="276"/>
    </row>
    <row r="89" spans="1:14" ht="18">
      <c r="B89" s="276"/>
      <c r="C89" s="276"/>
    </row>
    <row r="90" spans="1:14" ht="18">
      <c r="B90" s="276"/>
      <c r="C90" s="276"/>
    </row>
    <row r="91" spans="1:14" ht="18">
      <c r="C91" s="276"/>
    </row>
    <row r="92" spans="1:14" ht="18">
      <c r="B92" s="276"/>
      <c r="C92" s="520"/>
    </row>
    <row r="93" spans="1:14" ht="18">
      <c r="B93" s="276"/>
    </row>
    <row r="95" spans="1:14" ht="18">
      <c r="B95" s="508"/>
      <c r="D95" s="276"/>
    </row>
    <row r="96" spans="1:14" ht="18">
      <c r="B96" s="276"/>
      <c r="C96" s="276"/>
      <c r="D96" s="521"/>
    </row>
    <row r="97" spans="3:4" ht="18">
      <c r="C97" s="276"/>
      <c r="D97" s="521"/>
    </row>
    <row r="98" spans="3:4" ht="18">
      <c r="C98" s="276"/>
      <c r="D98" s="521"/>
    </row>
    <row r="105" spans="3:4" ht="18">
      <c r="C105" s="276"/>
    </row>
  </sheetData>
  <phoneticPr fontId="8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215D-DAD5-49B3-B7CF-5A52BEC4608F}">
  <dimension ref="A1:Q24"/>
  <sheetViews>
    <sheetView zoomScale="74" workbookViewId="0">
      <selection activeCell="P15" sqref="P15"/>
    </sheetView>
  </sheetViews>
  <sheetFormatPr defaultColWidth="8.69921875" defaultRowHeight="17.399999999999999"/>
  <cols>
    <col min="1" max="5" width="8.69921875" style="20"/>
    <col min="6" max="14" width="9.69921875" style="20" bestFit="1" customWidth="1"/>
    <col min="15" max="16384" width="8.69921875" style="20"/>
  </cols>
  <sheetData>
    <row r="1" spans="1:17" s="44" customFormat="1" ht="17.7" customHeight="1">
      <c r="A1" s="41" t="s">
        <v>511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Q1" s="50"/>
    </row>
    <row r="2" spans="1:17" s="46" customFormat="1" ht="17.7" customHeight="1">
      <c r="A2" s="45" t="s">
        <v>858</v>
      </c>
      <c r="Q2" s="51"/>
    </row>
    <row r="3" spans="1:17" s="46" customFormat="1" ht="17.7" customHeight="1">
      <c r="A3" s="47" t="s">
        <v>395</v>
      </c>
      <c r="Q3" s="51"/>
    </row>
    <row r="5" spans="1:17">
      <c r="A5" s="580" t="s">
        <v>423</v>
      </c>
      <c r="B5" s="580"/>
      <c r="C5" s="580"/>
      <c r="D5" s="580"/>
      <c r="E5" s="580"/>
      <c r="F5" s="580"/>
      <c r="G5" s="580"/>
      <c r="H5" s="81"/>
      <c r="I5" s="581" t="s">
        <v>424</v>
      </c>
      <c r="J5" s="581"/>
      <c r="K5" s="581"/>
      <c r="L5" s="581"/>
      <c r="M5" s="581"/>
      <c r="N5" s="581"/>
      <c r="O5" s="348"/>
    </row>
    <row r="6" spans="1:17" ht="18">
      <c r="A6" s="335"/>
      <c r="B6" s="335"/>
      <c r="C6" s="335"/>
      <c r="D6" s="220" t="s">
        <v>426</v>
      </c>
      <c r="E6" s="221" t="s">
        <v>427</v>
      </c>
      <c r="F6" s="221" t="s">
        <v>428</v>
      </c>
      <c r="G6" s="221" t="s">
        <v>429</v>
      </c>
      <c r="H6" s="221" t="s">
        <v>513</v>
      </c>
      <c r="I6" s="221" t="s">
        <v>430</v>
      </c>
      <c r="J6" s="221" t="s">
        <v>431</v>
      </c>
      <c r="K6" s="221" t="s">
        <v>432</v>
      </c>
      <c r="L6" s="221" t="s">
        <v>433</v>
      </c>
      <c r="M6" s="221" t="s">
        <v>434</v>
      </c>
      <c r="N6" s="221" t="s">
        <v>435</v>
      </c>
    </row>
    <row r="7" spans="1:17" ht="18">
      <c r="A7" s="162" t="s">
        <v>862</v>
      </c>
      <c r="B7" s="310"/>
      <c r="C7" s="310"/>
      <c r="D7" s="300">
        <f>D9+D15+D17</f>
        <v>7765</v>
      </c>
      <c r="E7" s="300">
        <f t="shared" ref="E7:N7" si="0">E9+E15+E17</f>
        <v>8301.0686505371086</v>
      </c>
      <c r="F7" s="300">
        <f t="shared" si="0"/>
        <v>10497.388239079146</v>
      </c>
      <c r="G7" s="300">
        <f t="shared" si="0"/>
        <v>11653.117645362541</v>
      </c>
      <c r="H7" s="300">
        <f t="shared" si="0"/>
        <v>12331.364814721368</v>
      </c>
      <c r="I7" s="300">
        <f t="shared" si="0"/>
        <v>12961.248429617688</v>
      </c>
      <c r="J7" s="300">
        <f t="shared" si="0"/>
        <v>13561.500717431449</v>
      </c>
      <c r="K7" s="300">
        <f t="shared" si="0"/>
        <v>14335.187044442415</v>
      </c>
      <c r="L7" s="300">
        <f t="shared" si="0"/>
        <v>15177.682119487883</v>
      </c>
      <c r="M7" s="300">
        <f t="shared" si="0"/>
        <v>16133.707230532016</v>
      </c>
      <c r="N7" s="300">
        <f t="shared" si="0"/>
        <v>17250.28295911512</v>
      </c>
    </row>
    <row r="8" spans="1:17" ht="18.600000000000001" thickBot="1">
      <c r="A8" s="336" t="s">
        <v>863</v>
      </c>
      <c r="B8" s="337"/>
      <c r="C8" s="338"/>
      <c r="D8" s="339"/>
      <c r="E8" s="339">
        <f t="shared" ref="E8:L8" si="1">E7/D7-1</f>
        <v>6.9036529367303201E-2</v>
      </c>
      <c r="F8" s="339">
        <f t="shared" si="1"/>
        <v>0.26458275205324644</v>
      </c>
      <c r="G8" s="339">
        <f t="shared" si="1"/>
        <v>0.11009685266101754</v>
      </c>
      <c r="H8" s="339">
        <f t="shared" si="1"/>
        <v>5.8203065479969673E-2</v>
      </c>
      <c r="I8" s="339">
        <f t="shared" si="1"/>
        <v>5.1079797277942429E-2</v>
      </c>
      <c r="J8" s="339">
        <f t="shared" si="1"/>
        <v>4.631130180655485E-2</v>
      </c>
      <c r="K8" s="339">
        <f t="shared" si="1"/>
        <v>5.7050199910139598E-2</v>
      </c>
      <c r="L8" s="339">
        <f t="shared" si="1"/>
        <v>5.8771125373777044E-2</v>
      </c>
      <c r="M8" s="339">
        <f t="shared" ref="M8" si="2">M7/L7-1</f>
        <v>6.2988874290403896E-2</v>
      </c>
      <c r="N8" s="339">
        <f t="shared" ref="N8" si="3">N7/M7-1</f>
        <v>6.9207635457153582E-2</v>
      </c>
    </row>
    <row r="9" spans="1:17" ht="18.600000000000001" thickTop="1">
      <c r="A9" s="304" t="s">
        <v>867</v>
      </c>
      <c r="B9" s="166"/>
      <c r="C9" s="166"/>
      <c r="D9" s="305">
        <f t="shared" ref="D9:N9" si="4">SUM(D11:D14)</f>
        <v>2067</v>
      </c>
      <c r="E9" s="305">
        <f t="shared" si="4"/>
        <v>2121.0686505371091</v>
      </c>
      <c r="F9" s="305">
        <f t="shared" si="4"/>
        <v>2530.3882390791455</v>
      </c>
      <c r="G9" s="305">
        <f t="shared" si="4"/>
        <v>2671.1176453625417</v>
      </c>
      <c r="H9" s="305">
        <f t="shared" si="4"/>
        <v>3158.3648147213671</v>
      </c>
      <c r="I9" s="305">
        <f t="shared" si="4"/>
        <v>3617.7365962511853</v>
      </c>
      <c r="J9" s="305">
        <f t="shared" si="4"/>
        <v>4088.4844150006452</v>
      </c>
      <c r="K9" s="305">
        <f t="shared" si="4"/>
        <v>4718.4230329474003</v>
      </c>
      <c r="L9" s="305">
        <f t="shared" si="4"/>
        <v>5402.2944166102679</v>
      </c>
      <c r="M9" s="305">
        <f t="shared" si="4"/>
        <v>6184.4207502820245</v>
      </c>
      <c r="N9" s="305">
        <f t="shared" si="4"/>
        <v>7109.1387631891639</v>
      </c>
    </row>
    <row r="10" spans="1:17" ht="18">
      <c r="A10" s="306" t="s">
        <v>863</v>
      </c>
      <c r="B10" s="166"/>
      <c r="C10" s="307"/>
      <c r="D10" s="299"/>
      <c r="E10" s="299">
        <f t="shared" ref="E10" si="5">E9/D9-1</f>
        <v>2.6158031222597522E-2</v>
      </c>
      <c r="F10" s="299">
        <f t="shared" ref="F10" si="6">F9/E9-1</f>
        <v>0.19297800117803177</v>
      </c>
      <c r="G10" s="299">
        <f t="shared" ref="G10" si="7">G9/F9-1</f>
        <v>5.5615736790892711E-2</v>
      </c>
      <c r="H10" s="299">
        <f t="shared" ref="H10" si="8">H9/G9-1</f>
        <v>0.18241321950186618</v>
      </c>
      <c r="I10" s="299">
        <f t="shared" ref="I10" si="9">I9/H9-1</f>
        <v>0.14544608000591097</v>
      </c>
      <c r="J10" s="299">
        <f t="shared" ref="J10" si="10">J9/I9-1</f>
        <v>0.13012219276474246</v>
      </c>
      <c r="K10" s="299">
        <f t="shared" ref="K10" si="11">K9/J9-1</f>
        <v>0.15407631630819263</v>
      </c>
      <c r="L10" s="299">
        <f t="shared" ref="L10" si="12">L9/K9-1</f>
        <v>0.14493642873637858</v>
      </c>
      <c r="M10" s="299">
        <f t="shared" ref="M10" si="13">M9/L9-1</f>
        <v>0.14477669548460326</v>
      </c>
      <c r="N10" s="299">
        <f t="shared" ref="N10" si="14">N9/M9-1</f>
        <v>0.14952378731103799</v>
      </c>
    </row>
    <row r="11" spans="1:17" ht="18">
      <c r="A11" s="340" t="s">
        <v>870</v>
      </c>
      <c r="B11" s="341"/>
      <c r="C11" s="341"/>
      <c r="D11" s="342">
        <v>971</v>
      </c>
      <c r="E11" s="342">
        <v>1136</v>
      </c>
      <c r="F11" s="342">
        <v>1336</v>
      </c>
      <c r="G11" s="342">
        <v>1341</v>
      </c>
      <c r="H11" s="342">
        <v>1560</v>
      </c>
      <c r="I11" s="305">
        <f>H11*(1+I12)</f>
        <v>1738.4171037827925</v>
      </c>
      <c r="J11" s="305">
        <f t="shared" ref="J11:N11" si="15">I11*(1+J12)</f>
        <v>1901.4941966143808</v>
      </c>
      <c r="K11" s="305">
        <f t="shared" si="15"/>
        <v>2136.9554024090648</v>
      </c>
      <c r="L11" s="305">
        <f t="shared" si="15"/>
        <v>2373.4503419880725</v>
      </c>
      <c r="M11" s="305">
        <f t="shared" si="15"/>
        <v>2633.1900490898588</v>
      </c>
      <c r="N11" s="305">
        <f t="shared" si="15"/>
        <v>2935.0713892898266</v>
      </c>
      <c r="P11" s="310" t="s">
        <v>941</v>
      </c>
    </row>
    <row r="12" spans="1:17" ht="18">
      <c r="A12" s="306" t="s">
        <v>863</v>
      </c>
      <c r="B12" s="166"/>
      <c r="C12" s="307"/>
      <c r="D12" s="299"/>
      <c r="E12" s="299">
        <f t="shared" ref="E12" si="16">E11/D11-1</f>
        <v>0.16992790937178159</v>
      </c>
      <c r="F12" s="299">
        <f t="shared" ref="F12" si="17">F11/E11-1</f>
        <v>0.176056338028169</v>
      </c>
      <c r="G12" s="299">
        <f t="shared" ref="G12" si="18">G11/F11-1</f>
        <v>3.7425149700598404E-3</v>
      </c>
      <c r="H12" s="299">
        <f t="shared" ref="H12" si="19">H11/G11-1</f>
        <v>0.16331096196868011</v>
      </c>
      <c r="I12" s="299">
        <f>AVERAGE(F12:H12)</f>
        <v>0.11436993832230298</v>
      </c>
      <c r="J12" s="299">
        <f t="shared" ref="J12:N12" si="20">AVERAGE(G12:I12)</f>
        <v>9.3807805087014307E-2</v>
      </c>
      <c r="K12" s="299">
        <f t="shared" si="20"/>
        <v>0.12382956845933246</v>
      </c>
      <c r="L12" s="299">
        <f t="shared" si="20"/>
        <v>0.11066910395621658</v>
      </c>
      <c r="M12" s="299">
        <f t="shared" si="20"/>
        <v>0.10943549250085445</v>
      </c>
      <c r="N12" s="299">
        <f t="shared" si="20"/>
        <v>0.11464472163880117</v>
      </c>
      <c r="P12" s="310"/>
    </row>
    <row r="13" spans="1:17" ht="18">
      <c r="A13" s="340" t="s">
        <v>868</v>
      </c>
      <c r="B13" s="341"/>
      <c r="C13" s="341"/>
      <c r="D13" s="305">
        <v>1096</v>
      </c>
      <c r="E13" s="305">
        <v>985</v>
      </c>
      <c r="F13" s="305">
        <v>1194</v>
      </c>
      <c r="G13" s="305">
        <v>1330</v>
      </c>
      <c r="H13" s="305">
        <v>1598</v>
      </c>
      <c r="I13" s="305">
        <f>H13*(1+I14)</f>
        <v>1879.0292594140419</v>
      </c>
      <c r="J13" s="305">
        <f t="shared" ref="J13:N13" si="21">I13*(1+J14)</f>
        <v>2186.7326540068448</v>
      </c>
      <c r="K13" s="305">
        <f t="shared" si="21"/>
        <v>2581.1634264866225</v>
      </c>
      <c r="L13" s="305">
        <f t="shared" si="21"/>
        <v>3028.560074127035</v>
      </c>
      <c r="M13" s="305">
        <f t="shared" si="21"/>
        <v>3550.9487782167344</v>
      </c>
      <c r="N13" s="305">
        <f t="shared" si="21"/>
        <v>4173.7773313919024</v>
      </c>
      <c r="P13" s="310" t="s">
        <v>941</v>
      </c>
    </row>
    <row r="14" spans="1:17" ht="18">
      <c r="A14" s="306" t="s">
        <v>863</v>
      </c>
      <c r="B14" s="166"/>
      <c r="C14" s="307"/>
      <c r="D14" s="299"/>
      <c r="E14" s="299">
        <f t="shared" ref="E14" si="22">E13/D13-1</f>
        <v>-0.10127737226277367</v>
      </c>
      <c r="F14" s="299">
        <f t="shared" ref="F14" si="23">F13/E13-1</f>
        <v>0.21218274111675117</v>
      </c>
      <c r="G14" s="299">
        <f t="shared" ref="G14" si="24">G13/F13-1</f>
        <v>0.11390284757118918</v>
      </c>
      <c r="H14" s="299">
        <f t="shared" ref="H14" si="25">H13/G13-1</f>
        <v>0.2015037593984963</v>
      </c>
      <c r="I14" s="299">
        <f>AVERAGE(F14:H14)</f>
        <v>0.17586311602881222</v>
      </c>
      <c r="J14" s="299">
        <f t="shared" ref="J14:N14" si="26">AVERAGE(G14:I14)</f>
        <v>0.16375657433283256</v>
      </c>
      <c r="K14" s="299">
        <f t="shared" si="26"/>
        <v>0.18037448325338035</v>
      </c>
      <c r="L14" s="299">
        <f t="shared" si="26"/>
        <v>0.17333139120500837</v>
      </c>
      <c r="M14" s="299">
        <f t="shared" si="26"/>
        <v>0.17248748293040708</v>
      </c>
      <c r="N14" s="299">
        <f t="shared" si="26"/>
        <v>0.17539778579626528</v>
      </c>
      <c r="P14" s="310"/>
    </row>
    <row r="15" spans="1:17" ht="18">
      <c r="A15" s="304" t="s">
        <v>865</v>
      </c>
      <c r="B15" s="166"/>
      <c r="C15" s="166"/>
      <c r="D15" s="305">
        <v>767</v>
      </c>
      <c r="E15" s="305">
        <v>804</v>
      </c>
      <c r="F15" s="305">
        <v>861</v>
      </c>
      <c r="G15" s="305">
        <v>943</v>
      </c>
      <c r="H15" s="305">
        <v>1034</v>
      </c>
      <c r="I15" s="305">
        <f>'FA Schedule'!I33</f>
        <v>1204.5118333665032</v>
      </c>
      <c r="J15" s="305">
        <f>'FA Schedule'!J33</f>
        <v>1334.0163024308035</v>
      </c>
      <c r="K15" s="305">
        <f>'FA Schedule'!K33</f>
        <v>1477.764011495015</v>
      </c>
      <c r="L15" s="305">
        <f>'FA Schedule'!L33</f>
        <v>1636.3877028776151</v>
      </c>
      <c r="M15" s="305">
        <f>'FA Schedule'!M33</f>
        <v>1810.2864802499919</v>
      </c>
      <c r="N15" s="305">
        <f>'FA Schedule'!N33</f>
        <v>2002.1441959259562</v>
      </c>
      <c r="P15" s="310" t="s">
        <v>866</v>
      </c>
    </row>
    <row r="16" spans="1:17" ht="18">
      <c r="A16" s="306" t="s">
        <v>863</v>
      </c>
      <c r="B16" s="166"/>
      <c r="C16" s="307"/>
      <c r="D16" s="299"/>
      <c r="E16" s="299">
        <f t="shared" ref="E16" si="27">E15/D15-1</f>
        <v>4.8239895697522739E-2</v>
      </c>
      <c r="F16" s="299">
        <f t="shared" ref="F16" si="28">F15/E15-1</f>
        <v>7.0895522388059629E-2</v>
      </c>
      <c r="G16" s="299">
        <f t="shared" ref="G16" si="29">G15/F15-1</f>
        <v>9.5238095238095344E-2</v>
      </c>
      <c r="H16" s="299">
        <f t="shared" ref="H16" si="30">H15/G15-1</f>
        <v>9.6500530222693559E-2</v>
      </c>
      <c r="I16" s="299">
        <f t="shared" ref="I16" si="31">I15/H15-1</f>
        <v>0.16490506128288507</v>
      </c>
      <c r="J16" s="299">
        <f t="shared" ref="J16" si="32">J15/I15-1</f>
        <v>0.10751614511112506</v>
      </c>
      <c r="K16" s="299">
        <f t="shared" ref="K16" si="33">K15/J15-1</f>
        <v>0.10775558649641592</v>
      </c>
      <c r="L16" s="299">
        <f t="shared" ref="L16" si="34">L15/K15-1</f>
        <v>0.10734033996546222</v>
      </c>
      <c r="M16" s="299">
        <f t="shared" ref="M16" si="35">M15/L15-1</f>
        <v>0.1062699121159203</v>
      </c>
      <c r="N16" s="299">
        <f t="shared" ref="N16" si="36">N15/M15-1</f>
        <v>0.1059819635008652</v>
      </c>
    </row>
    <row r="17" spans="1:14" ht="18">
      <c r="A17" s="304" t="s">
        <v>869</v>
      </c>
      <c r="B17" s="166"/>
      <c r="C17" s="166"/>
      <c r="D17" s="305">
        <v>4931</v>
      </c>
      <c r="E17" s="305">
        <v>5376</v>
      </c>
      <c r="F17" s="305">
        <v>7106</v>
      </c>
      <c r="G17" s="305">
        <v>8039</v>
      </c>
      <c r="H17" s="305">
        <v>8139</v>
      </c>
      <c r="I17" s="305">
        <v>8139</v>
      </c>
      <c r="J17" s="305">
        <v>8139</v>
      </c>
      <c r="K17" s="305">
        <v>8139</v>
      </c>
      <c r="L17" s="305">
        <v>8139</v>
      </c>
      <c r="M17" s="305">
        <v>8139</v>
      </c>
      <c r="N17" s="305">
        <v>8139</v>
      </c>
    </row>
    <row r="18" spans="1:14" ht="18">
      <c r="A18" s="306" t="s">
        <v>863</v>
      </c>
      <c r="B18" s="166"/>
      <c r="C18" s="307"/>
      <c r="D18" s="299"/>
      <c r="E18" s="299">
        <f t="shared" ref="E18" si="37">E17/D17-1</f>
        <v>9.0245386331373023E-2</v>
      </c>
      <c r="F18" s="299">
        <f t="shared" ref="F18" si="38">F17/E17-1</f>
        <v>0.32180059523809534</v>
      </c>
      <c r="G18" s="299">
        <f t="shared" ref="G18" si="39">G17/F17-1</f>
        <v>0.13129749507458488</v>
      </c>
      <c r="H18" s="299">
        <f t="shared" ref="H18" si="40">H17/G17-1</f>
        <v>1.2439358129120448E-2</v>
      </c>
      <c r="I18" s="299">
        <f t="shared" ref="I18" si="41">I17/H17-1</f>
        <v>0</v>
      </c>
      <c r="J18" s="299">
        <f t="shared" ref="J18" si="42">J17/I17-1</f>
        <v>0</v>
      </c>
      <c r="K18" s="299">
        <f t="shared" ref="K18" si="43">K17/J17-1</f>
        <v>0</v>
      </c>
      <c r="L18" s="299">
        <f t="shared" ref="L18" si="44">L17/K17-1</f>
        <v>0</v>
      </c>
      <c r="M18" s="299">
        <f t="shared" ref="M18" si="45">M17/L17-1</f>
        <v>0</v>
      </c>
      <c r="N18" s="299">
        <f t="shared" ref="N18" si="46">N17/M17-1</f>
        <v>0</v>
      </c>
    </row>
    <row r="19" spans="1:14">
      <c r="B19" s="343"/>
      <c r="C19" s="343"/>
      <c r="D19" s="344"/>
      <c r="E19" s="344"/>
      <c r="F19" s="344"/>
      <c r="G19" s="344"/>
      <c r="H19" s="344"/>
    </row>
    <row r="20" spans="1:14">
      <c r="B20" s="345"/>
      <c r="C20" s="346"/>
      <c r="D20" s="347"/>
      <c r="E20" s="347"/>
      <c r="F20" s="347"/>
      <c r="G20" s="347"/>
      <c r="H20" s="347"/>
    </row>
    <row r="21" spans="1:14">
      <c r="B21" s="345"/>
      <c r="C21" s="346"/>
      <c r="D21" s="347"/>
      <c r="E21" s="347"/>
      <c r="F21" s="347"/>
      <c r="G21" s="347"/>
      <c r="H21" s="347"/>
    </row>
    <row r="22" spans="1:14">
      <c r="B22" s="343"/>
      <c r="C22" s="343"/>
      <c r="D22" s="344"/>
      <c r="E22" s="344"/>
      <c r="F22" s="344"/>
      <c r="G22" s="344"/>
      <c r="H22" s="344"/>
    </row>
    <row r="23" spans="1:14">
      <c r="B23" s="343"/>
      <c r="C23" s="343"/>
      <c r="D23" s="344"/>
      <c r="E23" s="344"/>
      <c r="F23" s="344"/>
      <c r="G23" s="344"/>
      <c r="H23" s="344"/>
    </row>
    <row r="24" spans="1:14">
      <c r="B24" s="343"/>
      <c r="C24" s="343"/>
      <c r="D24" s="344"/>
      <c r="E24" s="344"/>
      <c r="F24" s="344"/>
      <c r="G24" s="344"/>
      <c r="H24" s="344"/>
    </row>
  </sheetData>
  <mergeCells count="2">
    <mergeCell ref="A5:G5"/>
    <mergeCell ref="I5:N5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E2B2-05A6-472E-AA10-14908DBBFA8C}">
  <sheetPr>
    <tabColor rgb="FFFFAC00"/>
  </sheetPr>
  <dimension ref="B1:B8"/>
  <sheetViews>
    <sheetView workbookViewId="0"/>
  </sheetViews>
  <sheetFormatPr defaultColWidth="8.69921875" defaultRowHeight="17.399999999999999"/>
  <cols>
    <col min="1" max="16384" width="8.69921875" style="20"/>
  </cols>
  <sheetData>
    <row r="1" spans="2:2" s="21" customFormat="1"/>
    <row r="2" spans="2:2" s="21" customFormat="1" ht="18">
      <c r="B2" s="23" t="s">
        <v>399</v>
      </c>
    </row>
    <row r="7" spans="2:2" s="21" customFormat="1" ht="18">
      <c r="B7" s="23" t="s">
        <v>391</v>
      </c>
    </row>
    <row r="8" spans="2:2" s="22" customFormat="1"/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9B84-8973-423D-8F51-7045C7CB7A4F}">
  <dimension ref="A1:H70"/>
  <sheetViews>
    <sheetView zoomScale="93" zoomScaleNormal="79" workbookViewId="0"/>
  </sheetViews>
  <sheetFormatPr defaultColWidth="8.69921875" defaultRowHeight="17.399999999999999"/>
  <cols>
    <col min="1" max="1" width="35.19921875" style="1" customWidth="1"/>
    <col min="2" max="2" width="0" style="1" hidden="1" customWidth="1"/>
    <col min="3" max="8" width="14.09765625" style="1" customWidth="1"/>
    <col min="9" max="16384" width="8.69921875" style="538"/>
  </cols>
  <sheetData>
    <row r="1" spans="1:8">
      <c r="A1" s="24"/>
      <c r="B1" s="24"/>
      <c r="C1" s="24"/>
      <c r="D1" s="24"/>
      <c r="E1" s="24"/>
      <c r="F1" s="24"/>
      <c r="G1" s="24"/>
      <c r="H1" s="24"/>
    </row>
    <row r="2" spans="1:8" ht="21">
      <c r="A2" s="25" t="s">
        <v>0</v>
      </c>
      <c r="B2" s="25"/>
      <c r="C2" s="25"/>
      <c r="D2" s="25"/>
      <c r="E2" s="25"/>
      <c r="F2" s="25"/>
      <c r="G2" s="25"/>
      <c r="H2" s="25"/>
    </row>
    <row r="3" spans="1:8">
      <c r="A3" s="2"/>
      <c r="B3" s="2"/>
      <c r="C3" s="314"/>
      <c r="D3" s="314"/>
      <c r="E3" s="314"/>
      <c r="F3" s="314"/>
      <c r="G3" s="314"/>
      <c r="H3" s="2"/>
    </row>
    <row r="4" spans="1:8">
      <c r="A4" s="26" t="s">
        <v>1</v>
      </c>
      <c r="B4" s="26"/>
      <c r="C4" s="27" t="s">
        <v>926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</row>
    <row r="5" spans="1:8">
      <c r="A5" s="28" t="s">
        <v>8</v>
      </c>
      <c r="B5" s="28"/>
      <c r="C5" s="29" t="s">
        <v>9</v>
      </c>
      <c r="D5" s="29" t="s">
        <v>10</v>
      </c>
      <c r="E5" s="29" t="s">
        <v>11</v>
      </c>
      <c r="F5" s="29" t="s">
        <v>12</v>
      </c>
      <c r="G5" s="29" t="s">
        <v>13</v>
      </c>
      <c r="H5" s="29" t="s">
        <v>927</v>
      </c>
    </row>
    <row r="6" spans="1:8">
      <c r="A6" s="7" t="s">
        <v>14</v>
      </c>
      <c r="B6" s="7" t="s">
        <v>15</v>
      </c>
      <c r="C6" s="202">
        <v>21846</v>
      </c>
      <c r="D6" s="202">
        <v>24105</v>
      </c>
      <c r="E6" s="202">
        <v>29310</v>
      </c>
      <c r="F6" s="202">
        <v>32653</v>
      </c>
      <c r="G6" s="202">
        <v>35926</v>
      </c>
      <c r="H6" s="203">
        <v>38893</v>
      </c>
    </row>
    <row r="7" spans="1:8">
      <c r="A7" s="10" t="s">
        <v>16</v>
      </c>
      <c r="B7" s="10" t="s">
        <v>17</v>
      </c>
      <c r="C7" s="204">
        <v>21846</v>
      </c>
      <c r="D7" s="204">
        <v>24105</v>
      </c>
      <c r="E7" s="204">
        <v>29310</v>
      </c>
      <c r="F7" s="204">
        <v>14826</v>
      </c>
      <c r="G7" s="204">
        <v>16114</v>
      </c>
      <c r="H7" s="205">
        <v>17136</v>
      </c>
    </row>
    <row r="8" spans="1:8">
      <c r="A8" s="10" t="s">
        <v>18</v>
      </c>
      <c r="B8" s="10" t="s">
        <v>19</v>
      </c>
      <c r="C8" s="204" t="s">
        <v>20</v>
      </c>
      <c r="D8" s="204" t="s">
        <v>20</v>
      </c>
      <c r="E8" s="204" t="s">
        <v>20</v>
      </c>
      <c r="F8" s="204">
        <v>17827</v>
      </c>
      <c r="G8" s="204">
        <v>19812</v>
      </c>
      <c r="H8" s="205">
        <v>21757</v>
      </c>
    </row>
    <row r="9" spans="1:8">
      <c r="A9" s="7" t="s">
        <v>21</v>
      </c>
      <c r="B9" s="7" t="s">
        <v>22</v>
      </c>
      <c r="C9" s="202" t="s">
        <v>20</v>
      </c>
      <c r="D9" s="202" t="s">
        <v>20</v>
      </c>
      <c r="E9" s="202" t="s">
        <v>20</v>
      </c>
      <c r="F9" s="202" t="s">
        <v>20</v>
      </c>
      <c r="G9" s="202" t="s">
        <v>20</v>
      </c>
      <c r="H9" s="203"/>
    </row>
    <row r="10" spans="1:8">
      <c r="A10" s="10" t="s">
        <v>23</v>
      </c>
      <c r="B10" s="10" t="s">
        <v>24</v>
      </c>
      <c r="C10" s="204">
        <v>0</v>
      </c>
      <c r="D10" s="204">
        <v>0</v>
      </c>
      <c r="E10" s="204">
        <v>0</v>
      </c>
      <c r="F10" s="204">
        <v>0</v>
      </c>
      <c r="G10" s="204">
        <v>0</v>
      </c>
      <c r="H10" s="205">
        <v>0</v>
      </c>
    </row>
    <row r="11" spans="1:8">
      <c r="A11" s="10" t="s">
        <v>25</v>
      </c>
      <c r="B11" s="10" t="s">
        <v>26</v>
      </c>
      <c r="C11" s="204">
        <v>7765</v>
      </c>
      <c r="D11" s="204">
        <v>8301</v>
      </c>
      <c r="E11" s="204">
        <v>10497</v>
      </c>
      <c r="F11" s="204">
        <v>11653</v>
      </c>
      <c r="G11" s="204">
        <v>12331</v>
      </c>
      <c r="H11" s="205">
        <v>14698</v>
      </c>
    </row>
    <row r="12" spans="1:8">
      <c r="A12" s="10" t="s">
        <v>27</v>
      </c>
      <c r="B12" s="10" t="s">
        <v>28</v>
      </c>
      <c r="C12" s="204">
        <v>2067</v>
      </c>
      <c r="D12" s="204">
        <v>2121</v>
      </c>
      <c r="E12" s="204">
        <v>2530</v>
      </c>
      <c r="F12" s="204">
        <v>2671</v>
      </c>
      <c r="G12" s="204">
        <v>3158</v>
      </c>
      <c r="H12" s="205">
        <v>3465</v>
      </c>
    </row>
    <row r="13" spans="1:8">
      <c r="A13" s="211" t="s">
        <v>29</v>
      </c>
      <c r="B13" s="13" t="s">
        <v>30</v>
      </c>
      <c r="C13" s="206">
        <v>971</v>
      </c>
      <c r="D13" s="206">
        <v>1136</v>
      </c>
      <c r="E13" s="206">
        <v>1336</v>
      </c>
      <c r="F13" s="206">
        <v>1341</v>
      </c>
      <c r="G13" s="206">
        <v>1560</v>
      </c>
      <c r="H13" s="207">
        <v>1659</v>
      </c>
    </row>
    <row r="14" spans="1:8">
      <c r="A14" s="211" t="s">
        <v>31</v>
      </c>
      <c r="B14" s="13" t="s">
        <v>32</v>
      </c>
      <c r="C14" s="206">
        <v>1096</v>
      </c>
      <c r="D14" s="206">
        <v>985</v>
      </c>
      <c r="E14" s="206">
        <v>1194</v>
      </c>
      <c r="F14" s="206">
        <v>1330</v>
      </c>
      <c r="G14" s="206">
        <v>1598</v>
      </c>
      <c r="H14" s="207">
        <v>1806</v>
      </c>
    </row>
    <row r="15" spans="1:8">
      <c r="A15" s="10" t="s">
        <v>33</v>
      </c>
      <c r="B15" s="10" t="s">
        <v>34</v>
      </c>
      <c r="C15" s="204" t="s">
        <v>20</v>
      </c>
      <c r="D15" s="204" t="s">
        <v>20</v>
      </c>
      <c r="E15" s="204" t="s">
        <v>20</v>
      </c>
      <c r="F15" s="204" t="s">
        <v>20</v>
      </c>
      <c r="G15" s="204" t="s">
        <v>20</v>
      </c>
      <c r="H15" s="205"/>
    </row>
    <row r="16" spans="1:8">
      <c r="A16" s="10" t="s">
        <v>35</v>
      </c>
      <c r="B16" s="10" t="s">
        <v>36</v>
      </c>
      <c r="C16" s="204">
        <v>767</v>
      </c>
      <c r="D16" s="204">
        <v>804</v>
      </c>
      <c r="E16" s="204">
        <v>861</v>
      </c>
      <c r="F16" s="204">
        <v>943</v>
      </c>
      <c r="G16" s="204">
        <v>1034</v>
      </c>
      <c r="H16" s="205">
        <v>1178</v>
      </c>
    </row>
    <row r="17" spans="1:8">
      <c r="A17" s="10" t="s">
        <v>37</v>
      </c>
      <c r="B17" s="10" t="s">
        <v>38</v>
      </c>
      <c r="C17" s="204">
        <v>4931</v>
      </c>
      <c r="D17" s="204">
        <v>5376</v>
      </c>
      <c r="E17" s="204">
        <v>7106</v>
      </c>
      <c r="F17" s="204">
        <v>8039</v>
      </c>
      <c r="G17" s="204">
        <v>8139</v>
      </c>
      <c r="H17" s="205">
        <v>10055</v>
      </c>
    </row>
    <row r="18" spans="1:8">
      <c r="A18" s="7" t="s">
        <v>39</v>
      </c>
      <c r="B18" s="7" t="s">
        <v>40</v>
      </c>
      <c r="C18" s="202">
        <v>14081</v>
      </c>
      <c r="D18" s="202">
        <v>15804</v>
      </c>
      <c r="E18" s="202">
        <v>18813</v>
      </c>
      <c r="F18" s="202">
        <v>21000</v>
      </c>
      <c r="G18" s="202">
        <v>23595</v>
      </c>
      <c r="H18" s="203">
        <v>24195</v>
      </c>
    </row>
    <row r="19" spans="1:8">
      <c r="A19" s="10" t="s">
        <v>41</v>
      </c>
      <c r="B19" s="10" t="s">
        <v>42</v>
      </c>
      <c r="C19" s="204">
        <v>291</v>
      </c>
      <c r="D19" s="204">
        <v>-259</v>
      </c>
      <c r="E19" s="204">
        <v>677</v>
      </c>
      <c r="F19" s="204">
        <v>-37</v>
      </c>
      <c r="G19" s="204">
        <v>-321</v>
      </c>
      <c r="H19" s="205">
        <v>-148</v>
      </c>
    </row>
    <row r="20" spans="1:8">
      <c r="A20" s="10" t="s">
        <v>43</v>
      </c>
      <c r="B20" s="10" t="s">
        <v>44</v>
      </c>
      <c r="C20" s="204">
        <v>516</v>
      </c>
      <c r="D20" s="204">
        <v>513</v>
      </c>
      <c r="E20" s="204">
        <v>538</v>
      </c>
      <c r="F20" s="204">
        <v>644</v>
      </c>
      <c r="G20" s="204">
        <v>641</v>
      </c>
      <c r="H20" s="205"/>
    </row>
    <row r="21" spans="1:8">
      <c r="A21" s="13" t="s">
        <v>45</v>
      </c>
      <c r="B21" s="13" t="s">
        <v>46</v>
      </c>
      <c r="C21" s="206">
        <v>516</v>
      </c>
      <c r="D21" s="206">
        <v>513</v>
      </c>
      <c r="E21" s="206">
        <v>538</v>
      </c>
      <c r="F21" s="206">
        <v>644</v>
      </c>
      <c r="G21" s="206">
        <v>641</v>
      </c>
      <c r="H21" s="207">
        <v>555</v>
      </c>
    </row>
    <row r="22" spans="1:8">
      <c r="A22" s="13" t="s">
        <v>47</v>
      </c>
      <c r="B22" s="13" t="s">
        <v>48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7"/>
    </row>
    <row r="23" spans="1:8">
      <c r="A23" s="10" t="s">
        <v>49</v>
      </c>
      <c r="B23" s="10" t="s">
        <v>50</v>
      </c>
      <c r="C23" s="204">
        <v>0</v>
      </c>
      <c r="D23" s="204">
        <v>0</v>
      </c>
      <c r="E23" s="204">
        <v>0</v>
      </c>
      <c r="F23" s="204">
        <v>0</v>
      </c>
      <c r="G23" s="204">
        <v>0</v>
      </c>
      <c r="H23" s="205">
        <v>-195</v>
      </c>
    </row>
    <row r="24" spans="1:8">
      <c r="A24" s="10" t="s">
        <v>51</v>
      </c>
      <c r="B24" s="10" t="s">
        <v>52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5">
        <v>0</v>
      </c>
    </row>
    <row r="25" spans="1:8">
      <c r="A25" s="10" t="s">
        <v>53</v>
      </c>
      <c r="B25" s="10" t="s">
        <v>54</v>
      </c>
      <c r="C25" s="204">
        <v>-225</v>
      </c>
      <c r="D25" s="204">
        <v>-772</v>
      </c>
      <c r="E25" s="204">
        <v>139</v>
      </c>
      <c r="F25" s="204">
        <v>-681</v>
      </c>
      <c r="G25" s="204">
        <v>-962</v>
      </c>
      <c r="H25" s="203">
        <v>-508</v>
      </c>
    </row>
    <row r="26" spans="1:8">
      <c r="A26" s="7" t="s">
        <v>55</v>
      </c>
      <c r="B26" s="7" t="s">
        <v>56</v>
      </c>
      <c r="C26" s="202">
        <v>13790</v>
      </c>
      <c r="D26" s="202">
        <v>16063</v>
      </c>
      <c r="E26" s="202">
        <v>18136</v>
      </c>
      <c r="F26" s="202">
        <v>21037</v>
      </c>
      <c r="G26" s="202">
        <v>23916</v>
      </c>
      <c r="H26" s="205">
        <v>24343</v>
      </c>
    </row>
    <row r="27" spans="1:8">
      <c r="A27" s="10" t="s">
        <v>57</v>
      </c>
      <c r="B27" s="10" t="s">
        <v>58</v>
      </c>
      <c r="C27" s="204">
        <v>2924</v>
      </c>
      <c r="D27" s="204">
        <v>3752</v>
      </c>
      <c r="E27" s="204">
        <v>3179</v>
      </c>
      <c r="F27" s="204">
        <v>3764</v>
      </c>
      <c r="G27" s="204">
        <v>4173</v>
      </c>
      <c r="H27" s="205">
        <v>4057</v>
      </c>
    </row>
    <row r="28" spans="1:8">
      <c r="A28" s="10" t="s">
        <v>59</v>
      </c>
      <c r="B28" s="10" t="s">
        <v>60</v>
      </c>
      <c r="C28" s="204">
        <v>2617</v>
      </c>
      <c r="D28" s="204">
        <v>2881</v>
      </c>
      <c r="E28" s="204">
        <v>3515</v>
      </c>
      <c r="F28" s="204">
        <v>4247</v>
      </c>
      <c r="G28" s="204">
        <v>4273</v>
      </c>
      <c r="H28" s="205">
        <v>4057</v>
      </c>
    </row>
    <row r="29" spans="1:8">
      <c r="A29" s="10" t="s">
        <v>61</v>
      </c>
      <c r="B29" s="10" t="s">
        <v>62</v>
      </c>
      <c r="C29" s="204">
        <v>307</v>
      </c>
      <c r="D29" s="204">
        <v>871</v>
      </c>
      <c r="E29" s="204">
        <v>-336</v>
      </c>
      <c r="F29" s="204">
        <v>-483</v>
      </c>
      <c r="G29" s="204">
        <v>-100</v>
      </c>
      <c r="H29" s="205"/>
    </row>
    <row r="30" spans="1:8">
      <c r="A30" s="7" t="s">
        <v>63</v>
      </c>
      <c r="B30" s="7" t="s">
        <v>64</v>
      </c>
      <c r="C30" s="202">
        <v>10866</v>
      </c>
      <c r="D30" s="202">
        <v>12311</v>
      </c>
      <c r="E30" s="202">
        <v>14957</v>
      </c>
      <c r="F30" s="202">
        <v>17273</v>
      </c>
      <c r="G30" s="202">
        <v>19743</v>
      </c>
      <c r="H30" s="205">
        <v>20286</v>
      </c>
    </row>
    <row r="31" spans="1:8">
      <c r="A31" s="10" t="s">
        <v>65</v>
      </c>
      <c r="B31" s="10" t="s">
        <v>66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5">
        <v>0</v>
      </c>
    </row>
    <row r="32" spans="1:8">
      <c r="A32" s="10" t="s">
        <v>67</v>
      </c>
      <c r="B32" s="10" t="s">
        <v>68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5">
        <v>0</v>
      </c>
    </row>
    <row r="33" spans="1:8">
      <c r="A33" s="10" t="s">
        <v>69</v>
      </c>
      <c r="B33" s="10" t="s">
        <v>70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5">
        <v>0</v>
      </c>
    </row>
    <row r="34" spans="1:8">
      <c r="A34" s="7" t="s">
        <v>71</v>
      </c>
      <c r="B34" s="7" t="s">
        <v>72</v>
      </c>
      <c r="C34" s="202">
        <v>10866</v>
      </c>
      <c r="D34" s="202">
        <v>12311</v>
      </c>
      <c r="E34" s="202">
        <v>14957</v>
      </c>
      <c r="F34" s="202">
        <v>17273</v>
      </c>
      <c r="G34" s="202">
        <v>19743</v>
      </c>
      <c r="H34" s="205">
        <v>20286</v>
      </c>
    </row>
    <row r="35" spans="1:8">
      <c r="A35" s="10" t="s">
        <v>73</v>
      </c>
      <c r="B35" s="10" t="s">
        <v>74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3">
        <v>0</v>
      </c>
    </row>
    <row r="36" spans="1:8">
      <c r="A36" s="7" t="s">
        <v>75</v>
      </c>
      <c r="B36" s="7" t="s">
        <v>76</v>
      </c>
      <c r="C36" s="202">
        <v>10866</v>
      </c>
      <c r="D36" s="202">
        <v>12311</v>
      </c>
      <c r="E36" s="202">
        <v>14957</v>
      </c>
      <c r="F36" s="202">
        <v>17273</v>
      </c>
      <c r="G36" s="202">
        <v>19743</v>
      </c>
      <c r="H36" s="205">
        <v>20286</v>
      </c>
    </row>
    <row r="37" spans="1:8">
      <c r="A37" s="10" t="s">
        <v>77</v>
      </c>
      <c r="B37" s="10" t="s">
        <v>78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5">
        <v>0</v>
      </c>
    </row>
    <row r="38" spans="1:8">
      <c r="A38" s="10" t="s">
        <v>79</v>
      </c>
      <c r="B38" s="10" t="s">
        <v>80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3">
        <v>0</v>
      </c>
    </row>
    <row r="39" spans="1:8">
      <c r="A39" s="7" t="s">
        <v>81</v>
      </c>
      <c r="B39" s="7" t="s">
        <v>82</v>
      </c>
      <c r="C39" s="202">
        <v>10866</v>
      </c>
      <c r="D39" s="202">
        <v>12311</v>
      </c>
      <c r="E39" s="202">
        <v>14957</v>
      </c>
      <c r="F39" s="202">
        <v>17273</v>
      </c>
      <c r="G39" s="202">
        <v>19743</v>
      </c>
      <c r="H39" s="203">
        <v>20286</v>
      </c>
    </row>
    <row r="40" spans="1:8">
      <c r="A40" s="7"/>
      <c r="B40" s="16"/>
      <c r="C40" s="202"/>
      <c r="D40" s="202"/>
      <c r="E40" s="202"/>
      <c r="F40" s="202"/>
      <c r="G40" s="202"/>
      <c r="H40" s="203"/>
    </row>
    <row r="41" spans="1:8">
      <c r="A41" s="7" t="s">
        <v>83</v>
      </c>
      <c r="B41" s="7" t="s">
        <v>82</v>
      </c>
      <c r="C41" s="202">
        <v>11166.69</v>
      </c>
      <c r="D41" s="202">
        <v>12896.37</v>
      </c>
      <c r="E41" s="202">
        <v>15940</v>
      </c>
      <c r="F41" s="202">
        <v>18142</v>
      </c>
      <c r="G41" s="202">
        <v>20302</v>
      </c>
      <c r="H41" s="205">
        <v>22011</v>
      </c>
    </row>
    <row r="42" spans="1:8">
      <c r="A42" s="10" t="s">
        <v>84</v>
      </c>
      <c r="B42" s="10" t="s">
        <v>85</v>
      </c>
      <c r="C42" s="204">
        <v>300.69</v>
      </c>
      <c r="D42" s="204">
        <v>585.37</v>
      </c>
      <c r="E42" s="204">
        <v>983</v>
      </c>
      <c r="F42" s="204">
        <v>869</v>
      </c>
      <c r="G42" s="204">
        <v>559</v>
      </c>
      <c r="H42" s="205">
        <v>1725</v>
      </c>
    </row>
    <row r="43" spans="1:8">
      <c r="A43" s="10" t="s">
        <v>86</v>
      </c>
      <c r="B43" s="10" t="s">
        <v>66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3">
        <v>0</v>
      </c>
    </row>
    <row r="44" spans="1:8">
      <c r="A44" s="7"/>
      <c r="B44" s="16"/>
      <c r="C44" s="202"/>
      <c r="D44" s="202"/>
      <c r="E44" s="202"/>
      <c r="F44" s="202"/>
      <c r="G44" s="202"/>
      <c r="H44" s="203"/>
    </row>
    <row r="45" spans="1:8">
      <c r="A45" s="10" t="s">
        <v>87</v>
      </c>
      <c r="B45" s="10" t="s">
        <v>88</v>
      </c>
      <c r="C45" s="204">
        <v>1953</v>
      </c>
      <c r="D45" s="204">
        <v>1946</v>
      </c>
      <c r="E45" s="204">
        <v>1651</v>
      </c>
      <c r="F45" s="204">
        <v>1618</v>
      </c>
      <c r="G45" s="204">
        <v>1621</v>
      </c>
      <c r="H45" s="203">
        <v>1843</v>
      </c>
    </row>
    <row r="46" spans="1:8">
      <c r="A46" s="7" t="s">
        <v>89</v>
      </c>
      <c r="B46" s="7" t="s">
        <v>90</v>
      </c>
      <c r="C46" s="202">
        <v>5.5636999999999999</v>
      </c>
      <c r="D46" s="202">
        <v>6.3262999999999998</v>
      </c>
      <c r="E46" s="202">
        <v>9.0594000000000001</v>
      </c>
      <c r="F46" s="202">
        <v>10.6755</v>
      </c>
      <c r="G46" s="202">
        <v>12.179500000000001</v>
      </c>
      <c r="H46" s="203">
        <v>11.184125</v>
      </c>
    </row>
    <row r="47" spans="1:8">
      <c r="A47" s="7" t="s">
        <v>91</v>
      </c>
      <c r="B47" s="7" t="s">
        <v>92</v>
      </c>
      <c r="C47" s="202">
        <v>5.5636999999999999</v>
      </c>
      <c r="D47" s="202">
        <v>6.3262999999999998</v>
      </c>
      <c r="E47" s="202">
        <v>9.0594000000000001</v>
      </c>
      <c r="F47" s="202">
        <v>10.6755</v>
      </c>
      <c r="G47" s="202">
        <v>12.179500000000001</v>
      </c>
      <c r="H47" s="203">
        <v>11.184125</v>
      </c>
    </row>
    <row r="48" spans="1:8">
      <c r="A48" s="7" t="s">
        <v>93</v>
      </c>
      <c r="B48" s="7" t="s">
        <v>94</v>
      </c>
      <c r="C48" s="202">
        <v>5.7176999999999998</v>
      </c>
      <c r="D48" s="202">
        <v>6.6271000000000004</v>
      </c>
      <c r="E48" s="202">
        <v>9.6547999999999998</v>
      </c>
      <c r="F48" s="202">
        <v>11.2126</v>
      </c>
      <c r="G48" s="202">
        <v>12.5244</v>
      </c>
      <c r="H48" s="203">
        <v>12.120042</v>
      </c>
    </row>
    <row r="49" spans="1:8">
      <c r="A49" s="7"/>
      <c r="B49" s="16"/>
      <c r="C49" s="202"/>
      <c r="D49" s="202"/>
      <c r="E49" s="202"/>
      <c r="F49" s="202"/>
      <c r="G49" s="202"/>
      <c r="H49" s="205"/>
    </row>
    <row r="50" spans="1:8">
      <c r="A50" s="10" t="s">
        <v>95</v>
      </c>
      <c r="B50" s="10" t="s">
        <v>96</v>
      </c>
      <c r="C50" s="204">
        <v>2479</v>
      </c>
      <c r="D50" s="204">
        <v>2443</v>
      </c>
      <c r="E50" s="204">
        <v>2136</v>
      </c>
      <c r="F50" s="204">
        <v>2085</v>
      </c>
      <c r="G50" s="204">
        <v>2029</v>
      </c>
      <c r="H50" s="203">
        <v>2093</v>
      </c>
    </row>
    <row r="51" spans="1:8">
      <c r="A51" s="7" t="s">
        <v>97</v>
      </c>
      <c r="B51" s="7" t="s">
        <v>98</v>
      </c>
      <c r="C51" s="202">
        <v>4.3832000000000004</v>
      </c>
      <c r="D51" s="202">
        <v>5.0392999999999999</v>
      </c>
      <c r="E51" s="202">
        <v>7.0023</v>
      </c>
      <c r="F51" s="202">
        <v>8.2843999999999998</v>
      </c>
      <c r="G51" s="202">
        <v>9.7303999999999995</v>
      </c>
      <c r="H51" s="203">
        <v>9.7597640000000006</v>
      </c>
    </row>
    <row r="52" spans="1:8">
      <c r="A52" s="7" t="s">
        <v>99</v>
      </c>
      <c r="B52" s="7" t="s">
        <v>100</v>
      </c>
      <c r="C52" s="202">
        <v>4.3832000000000004</v>
      </c>
      <c r="D52" s="202">
        <v>5.0392999999999999</v>
      </c>
      <c r="E52" s="202">
        <v>7.0023</v>
      </c>
      <c r="F52" s="202">
        <v>8.2843999999999998</v>
      </c>
      <c r="G52" s="202">
        <v>9.7303999999999995</v>
      </c>
      <c r="H52" s="203">
        <v>9.7597640000000006</v>
      </c>
    </row>
    <row r="53" spans="1:8">
      <c r="A53" s="7" t="s">
        <v>101</v>
      </c>
      <c r="B53" s="7" t="s">
        <v>102</v>
      </c>
      <c r="C53" s="202">
        <v>4.5045000000000002</v>
      </c>
      <c r="D53" s="202">
        <v>5.2789000000000001</v>
      </c>
      <c r="E53" s="202">
        <v>7.4625000000000004</v>
      </c>
      <c r="F53" s="202">
        <v>8.7012</v>
      </c>
      <c r="G53" s="202">
        <v>10.0059</v>
      </c>
      <c r="H53" s="203">
        <v>10.581761999999999</v>
      </c>
    </row>
    <row r="54" spans="1:8">
      <c r="A54" s="7"/>
      <c r="B54" s="16"/>
      <c r="C54" s="202"/>
      <c r="D54" s="202"/>
      <c r="E54" s="202"/>
      <c r="F54" s="202"/>
      <c r="G54" s="202"/>
      <c r="H54" s="203"/>
    </row>
    <row r="55" spans="1:8">
      <c r="A55" s="7" t="s">
        <v>103</v>
      </c>
      <c r="B55" s="16"/>
      <c r="C55" s="202"/>
      <c r="D55" s="202"/>
      <c r="E55" s="202"/>
      <c r="F55" s="202"/>
      <c r="G55" s="202"/>
      <c r="H55" s="203"/>
    </row>
    <row r="56" spans="1:8">
      <c r="A56" s="10" t="s">
        <v>104</v>
      </c>
      <c r="B56" s="10" t="s">
        <v>105</v>
      </c>
      <c r="C56" s="204" t="s">
        <v>106</v>
      </c>
      <c r="D56" s="204" t="s">
        <v>106</v>
      </c>
      <c r="E56" s="204" t="s">
        <v>106</v>
      </c>
      <c r="F56" s="204" t="s">
        <v>106</v>
      </c>
      <c r="G56" s="204" t="s">
        <v>106</v>
      </c>
      <c r="H56" s="205" t="s">
        <v>106</v>
      </c>
    </row>
    <row r="57" spans="1:8">
      <c r="A57" s="10" t="s">
        <v>107</v>
      </c>
      <c r="B57" s="10" t="s">
        <v>107</v>
      </c>
      <c r="C57" s="204">
        <v>14962</v>
      </c>
      <c r="D57" s="204">
        <v>16719</v>
      </c>
      <c r="E57" s="204">
        <v>19791</v>
      </c>
      <c r="F57" s="204">
        <v>22072</v>
      </c>
      <c r="G57" s="204">
        <v>24808</v>
      </c>
      <c r="H57" s="205">
        <v>25373</v>
      </c>
    </row>
    <row r="58" spans="1:8">
      <c r="A58" s="10" t="s">
        <v>108</v>
      </c>
      <c r="B58" s="10" t="s">
        <v>109</v>
      </c>
      <c r="C58" s="204">
        <v>68.488500000000002</v>
      </c>
      <c r="D58" s="204">
        <v>69.359099999999998</v>
      </c>
      <c r="E58" s="204">
        <v>67.522999999999996</v>
      </c>
      <c r="F58" s="204">
        <v>67.595600000000005</v>
      </c>
      <c r="G58" s="204">
        <v>69.053100000000001</v>
      </c>
      <c r="H58" s="205">
        <v>65.2379605584552</v>
      </c>
    </row>
    <row r="59" spans="1:8">
      <c r="A59" s="10" t="s">
        <v>110</v>
      </c>
      <c r="B59" s="10" t="s">
        <v>110</v>
      </c>
      <c r="C59" s="204">
        <v>14275</v>
      </c>
      <c r="D59" s="204">
        <v>15998</v>
      </c>
      <c r="E59" s="204">
        <v>19020</v>
      </c>
      <c r="F59" s="204">
        <v>21205</v>
      </c>
      <c r="G59" s="204">
        <v>23853</v>
      </c>
      <c r="H59" s="205">
        <v>18126</v>
      </c>
    </row>
    <row r="60" spans="1:8">
      <c r="A60" s="10" t="s">
        <v>111</v>
      </c>
      <c r="B60" s="10" t="s">
        <v>111</v>
      </c>
      <c r="C60" s="204">
        <v>14081</v>
      </c>
      <c r="D60" s="204">
        <v>15804</v>
      </c>
      <c r="E60" s="204">
        <v>18813</v>
      </c>
      <c r="F60" s="204">
        <v>21000</v>
      </c>
      <c r="G60" s="204">
        <v>23595</v>
      </c>
      <c r="H60" s="205">
        <v>24195</v>
      </c>
    </row>
    <row r="61" spans="1:8">
      <c r="A61" s="10" t="s">
        <v>112</v>
      </c>
      <c r="B61" s="10" t="s">
        <v>113</v>
      </c>
      <c r="C61" s="204">
        <v>64.455699999999993</v>
      </c>
      <c r="D61" s="204">
        <v>65.563199999999995</v>
      </c>
      <c r="E61" s="204">
        <v>64.186300000000003</v>
      </c>
      <c r="F61" s="204">
        <v>64.312600000000003</v>
      </c>
      <c r="G61" s="204">
        <v>65.676699999999997</v>
      </c>
      <c r="H61" s="205">
        <v>62.209137891137203</v>
      </c>
    </row>
    <row r="62" spans="1:8">
      <c r="A62" s="10" t="s">
        <v>114</v>
      </c>
      <c r="B62" s="10" t="s">
        <v>115</v>
      </c>
      <c r="C62" s="204">
        <v>49.739100000000001</v>
      </c>
      <c r="D62" s="204">
        <v>51.072400000000002</v>
      </c>
      <c r="E62" s="204">
        <v>51.0304</v>
      </c>
      <c r="F62" s="204">
        <v>52.898699999999998</v>
      </c>
      <c r="G62" s="204">
        <v>54.954599999999999</v>
      </c>
      <c r="H62" s="205">
        <v>52.158486102897697</v>
      </c>
    </row>
    <row r="63" spans="1:8">
      <c r="A63" s="10" t="s">
        <v>116</v>
      </c>
      <c r="B63" s="10" t="s">
        <v>117</v>
      </c>
      <c r="C63" s="204" t="s">
        <v>20</v>
      </c>
      <c r="D63" s="204" t="s">
        <v>20</v>
      </c>
      <c r="E63" s="204" t="s">
        <v>20</v>
      </c>
      <c r="F63" s="204" t="s">
        <v>20</v>
      </c>
      <c r="G63" s="204" t="s">
        <v>20</v>
      </c>
      <c r="H63" s="205"/>
    </row>
    <row r="64" spans="1:8">
      <c r="A64" s="10" t="s">
        <v>118</v>
      </c>
      <c r="B64" s="10" t="s">
        <v>119</v>
      </c>
      <c r="C64" s="204">
        <v>1065658.5366</v>
      </c>
      <c r="D64" s="204">
        <v>1121162.7907</v>
      </c>
      <c r="E64" s="204">
        <v>1106037.7357999999</v>
      </c>
      <c r="F64" s="204">
        <v>1133784.7222</v>
      </c>
      <c r="G64" s="204">
        <v>1136898.7342000001</v>
      </c>
      <c r="H64" s="205"/>
    </row>
    <row r="65" spans="1:8">
      <c r="A65" s="10" t="s">
        <v>120</v>
      </c>
      <c r="B65" s="10" t="s">
        <v>121</v>
      </c>
      <c r="C65" s="204">
        <v>1.22</v>
      </c>
      <c r="D65" s="204">
        <v>1.335</v>
      </c>
      <c r="E65" s="204">
        <v>1.575</v>
      </c>
      <c r="F65" s="204">
        <v>1.87</v>
      </c>
      <c r="G65" s="204">
        <v>2.08</v>
      </c>
      <c r="H65" s="205">
        <v>2.29</v>
      </c>
    </row>
    <row r="66" spans="1:8">
      <c r="A66" s="10" t="s">
        <v>122</v>
      </c>
      <c r="B66" s="10" t="s">
        <v>123</v>
      </c>
      <c r="C66" s="204">
        <v>2382.66</v>
      </c>
      <c r="D66" s="204">
        <v>2597.91</v>
      </c>
      <c r="E66" s="204">
        <v>2600.3249999999998</v>
      </c>
      <c r="F66" s="204">
        <v>3025.66</v>
      </c>
      <c r="G66" s="204">
        <v>3371.68</v>
      </c>
      <c r="H66" s="205">
        <v>4170.78</v>
      </c>
    </row>
    <row r="67" spans="1:8">
      <c r="A67" s="10" t="s">
        <v>124</v>
      </c>
      <c r="B67" s="10" t="s">
        <v>125</v>
      </c>
      <c r="C67" s="204">
        <v>3785</v>
      </c>
      <c r="D67" s="204">
        <v>4240</v>
      </c>
      <c r="E67" s="204">
        <v>4990</v>
      </c>
      <c r="F67" s="204">
        <v>5831</v>
      </c>
      <c r="G67" s="204">
        <v>6264</v>
      </c>
      <c r="H67" s="205">
        <v>6828</v>
      </c>
    </row>
    <row r="68" spans="1:8">
      <c r="A68" s="10" t="s">
        <v>126</v>
      </c>
      <c r="B68" s="10" t="s">
        <v>127</v>
      </c>
      <c r="C68" s="204">
        <v>687</v>
      </c>
      <c r="D68" s="204">
        <v>721</v>
      </c>
      <c r="E68" s="204">
        <v>771</v>
      </c>
      <c r="F68" s="204">
        <v>867</v>
      </c>
      <c r="G68" s="204">
        <v>955</v>
      </c>
      <c r="H68" s="205">
        <v>731</v>
      </c>
    </row>
    <row r="69" spans="1:8">
      <c r="A69" s="10" t="s">
        <v>128</v>
      </c>
      <c r="B69" s="10" t="s">
        <v>129</v>
      </c>
      <c r="C69" s="204">
        <v>114</v>
      </c>
      <c r="D69" s="204">
        <v>111</v>
      </c>
      <c r="E69" s="204">
        <v>117</v>
      </c>
      <c r="F69" s="204">
        <v>129</v>
      </c>
      <c r="G69" s="204">
        <v>179</v>
      </c>
      <c r="H69" s="205"/>
    </row>
    <row r="70" spans="1:8">
      <c r="A70" s="19" t="s">
        <v>130</v>
      </c>
      <c r="B70" s="19"/>
      <c r="C70" s="19" t="s">
        <v>131</v>
      </c>
      <c r="D70" s="19"/>
      <c r="E70" s="19"/>
      <c r="F70" s="19"/>
      <c r="G70" s="19"/>
      <c r="H70" s="19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3939-50D9-4843-BA93-FCBA306B2EFF}">
  <dimension ref="A1:L341"/>
  <sheetViews>
    <sheetView zoomScale="93" zoomScaleNormal="115" workbookViewId="0"/>
  </sheetViews>
  <sheetFormatPr defaultColWidth="8.69921875" defaultRowHeight="17.399999999999999"/>
  <cols>
    <col min="1" max="1" width="40.19921875" style="1" customWidth="1"/>
    <col min="2" max="6" width="14.09765625" style="1" customWidth="1"/>
    <col min="7" max="7" width="8.69921875" style="538"/>
    <col min="8" max="8" width="11.19921875" style="538" bestFit="1" customWidth="1"/>
    <col min="9" max="9" width="10.8984375" style="538" bestFit="1" customWidth="1"/>
    <col min="10" max="16384" width="8.69921875" style="538"/>
  </cols>
  <sheetData>
    <row r="1" spans="1:6">
      <c r="A1" s="24"/>
      <c r="B1" s="24"/>
      <c r="C1" s="24"/>
      <c r="D1" s="24"/>
      <c r="E1" s="24"/>
      <c r="F1" s="24"/>
    </row>
    <row r="2" spans="1:6" ht="21">
      <c r="A2" s="25" t="s">
        <v>132</v>
      </c>
      <c r="B2" s="25"/>
      <c r="C2" s="25"/>
      <c r="D2" s="25"/>
      <c r="E2" s="25"/>
      <c r="F2" s="25"/>
    </row>
    <row r="3" spans="1:6">
      <c r="A3" s="2"/>
      <c r="B3" s="2"/>
      <c r="C3" s="2"/>
      <c r="D3" s="2"/>
      <c r="E3" s="2"/>
      <c r="F3" s="2"/>
    </row>
    <row r="4" spans="1:6">
      <c r="A4" s="26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</row>
    <row r="5" spans="1:6">
      <c r="A5" s="28" t="s">
        <v>8</v>
      </c>
      <c r="B5" s="29" t="s">
        <v>9</v>
      </c>
      <c r="C5" s="29" t="s">
        <v>10</v>
      </c>
      <c r="D5" s="29" t="s">
        <v>11</v>
      </c>
      <c r="E5" s="29" t="s">
        <v>12</v>
      </c>
      <c r="F5" s="29" t="s">
        <v>13</v>
      </c>
    </row>
    <row r="6" spans="1:6">
      <c r="A6" s="7" t="s">
        <v>133</v>
      </c>
      <c r="B6" s="202"/>
      <c r="C6" s="202"/>
      <c r="D6" s="202"/>
      <c r="E6" s="202"/>
      <c r="F6" s="202"/>
    </row>
    <row r="7" spans="1:6">
      <c r="A7" s="10" t="s">
        <v>134</v>
      </c>
      <c r="B7" s="204"/>
      <c r="C7" s="204"/>
      <c r="D7" s="204"/>
      <c r="E7" s="204"/>
      <c r="F7" s="204"/>
    </row>
    <row r="8" spans="1:6">
      <c r="B8" s="204">
        <v>16289</v>
      </c>
      <c r="C8" s="204">
        <v>16487</v>
      </c>
      <c r="D8" s="204">
        <v>15689</v>
      </c>
      <c r="E8" s="204">
        <v>16286</v>
      </c>
      <c r="F8" s="204">
        <v>11975</v>
      </c>
    </row>
    <row r="9" spans="1:6">
      <c r="A9" s="10" t="s">
        <v>505</v>
      </c>
      <c r="B9" s="204">
        <v>3752</v>
      </c>
      <c r="C9" s="204">
        <v>2025</v>
      </c>
      <c r="D9" s="204">
        <v>2833</v>
      </c>
      <c r="E9" s="204">
        <v>3842</v>
      </c>
      <c r="F9" s="204">
        <v>0</v>
      </c>
    </row>
    <row r="10" spans="1:6">
      <c r="A10" s="10" t="s">
        <v>135</v>
      </c>
      <c r="B10" s="204" t="s">
        <v>20</v>
      </c>
      <c r="C10" s="204" t="s">
        <v>20</v>
      </c>
      <c r="D10" s="204" t="s">
        <v>20</v>
      </c>
      <c r="E10" s="204" t="s">
        <v>20</v>
      </c>
      <c r="F10" s="204">
        <v>3200</v>
      </c>
    </row>
    <row r="11" spans="1:6">
      <c r="A11" s="10" t="s">
        <v>476</v>
      </c>
      <c r="B11" s="204">
        <v>1618</v>
      </c>
      <c r="C11" s="204">
        <v>1968</v>
      </c>
      <c r="D11" s="204">
        <v>2020</v>
      </c>
      <c r="E11" s="204">
        <v>2291</v>
      </c>
      <c r="F11" s="204">
        <v>2561</v>
      </c>
    </row>
    <row r="12" spans="1:6">
      <c r="A12" s="10" t="s">
        <v>478</v>
      </c>
      <c r="B12" s="204">
        <v>757</v>
      </c>
      <c r="C12" s="204">
        <v>856</v>
      </c>
      <c r="D12" s="204">
        <v>2668</v>
      </c>
      <c r="E12" s="204">
        <v>2584</v>
      </c>
      <c r="F12" s="204">
        <v>3312</v>
      </c>
    </row>
    <row r="13" spans="1:6">
      <c r="A13" s="10" t="s">
        <v>479</v>
      </c>
      <c r="B13" s="204">
        <v>901</v>
      </c>
      <c r="C13" s="204">
        <v>894</v>
      </c>
      <c r="D13" s="204">
        <v>1449</v>
      </c>
      <c r="E13" s="204">
        <v>1764</v>
      </c>
      <c r="F13" s="204">
        <v>3089</v>
      </c>
    </row>
    <row r="14" spans="1:6">
      <c r="A14" s="10" t="s">
        <v>480</v>
      </c>
      <c r="B14" s="204">
        <v>1850</v>
      </c>
      <c r="C14" s="204">
        <v>2260</v>
      </c>
      <c r="D14" s="204">
        <v>2342</v>
      </c>
      <c r="E14" s="204">
        <v>3005</v>
      </c>
      <c r="F14" s="204">
        <v>3524</v>
      </c>
    </row>
    <row r="15" spans="1:6">
      <c r="A15" s="10" t="s">
        <v>481</v>
      </c>
      <c r="B15" s="204">
        <v>1264</v>
      </c>
      <c r="C15" s="204">
        <v>1758</v>
      </c>
      <c r="D15" s="204">
        <v>1932</v>
      </c>
      <c r="E15" s="204">
        <v>2183</v>
      </c>
      <c r="F15" s="204">
        <v>4454</v>
      </c>
    </row>
    <row r="16" spans="1:6">
      <c r="A16" s="10" t="s">
        <v>477</v>
      </c>
      <c r="B16" s="204">
        <v>16289</v>
      </c>
      <c r="C16" s="204">
        <v>16487</v>
      </c>
      <c r="D16" s="204">
        <v>1449</v>
      </c>
      <c r="E16" s="204">
        <v>3842</v>
      </c>
      <c r="F16" s="204">
        <v>3089</v>
      </c>
    </row>
    <row r="17" spans="1:12">
      <c r="A17" s="10" t="s">
        <v>504</v>
      </c>
      <c r="B17" s="204">
        <v>3752</v>
      </c>
      <c r="C17" s="204">
        <v>2025</v>
      </c>
      <c r="D17" s="204">
        <v>2833</v>
      </c>
      <c r="E17" s="204">
        <v>1764</v>
      </c>
      <c r="F17" s="204">
        <v>11975</v>
      </c>
    </row>
    <row r="18" spans="1:12">
      <c r="A18" s="10" t="s">
        <v>138</v>
      </c>
      <c r="B18" s="204">
        <v>901</v>
      </c>
      <c r="C18" s="204">
        <v>894</v>
      </c>
      <c r="D18" s="204">
        <v>15689</v>
      </c>
      <c r="E18" s="204">
        <v>16286</v>
      </c>
      <c r="F18" s="204">
        <v>3200</v>
      </c>
    </row>
    <row r="19" spans="1:12">
      <c r="A19" s="10" t="s">
        <v>139</v>
      </c>
      <c r="B19" s="204">
        <v>1214</v>
      </c>
      <c r="C19" s="204">
        <v>1359</v>
      </c>
      <c r="D19" s="204">
        <v>1272</v>
      </c>
      <c r="E19" s="204">
        <v>1577</v>
      </c>
      <c r="F19" s="204">
        <v>1918</v>
      </c>
    </row>
    <row r="20" spans="1:12">
      <c r="A20" s="7" t="s">
        <v>482</v>
      </c>
      <c r="B20" s="202">
        <v>27645</v>
      </c>
      <c r="C20" s="202">
        <v>27607</v>
      </c>
      <c r="D20" s="202">
        <v>30205</v>
      </c>
      <c r="E20" s="202">
        <v>33532</v>
      </c>
      <c r="F20" s="202">
        <v>34033</v>
      </c>
    </row>
    <row r="21" spans="1:12">
      <c r="A21" s="10" t="s">
        <v>483</v>
      </c>
      <c r="B21" s="204">
        <v>231</v>
      </c>
      <c r="C21" s="204">
        <v>1705</v>
      </c>
      <c r="D21" s="204">
        <v>2136</v>
      </c>
      <c r="E21" s="204">
        <v>1921</v>
      </c>
      <c r="F21" s="204">
        <v>2545</v>
      </c>
    </row>
    <row r="22" spans="1:12">
      <c r="A22" s="10" t="s">
        <v>484</v>
      </c>
      <c r="B22" s="204">
        <v>2737</v>
      </c>
      <c r="C22" s="204">
        <v>2715</v>
      </c>
      <c r="D22" s="204">
        <v>3223</v>
      </c>
      <c r="E22" s="204">
        <v>3425</v>
      </c>
      <c r="F22" s="204">
        <v>3824</v>
      </c>
    </row>
    <row r="23" spans="1:12">
      <c r="A23" s="10" t="s">
        <v>485</v>
      </c>
      <c r="B23" s="204">
        <v>27808</v>
      </c>
      <c r="C23" s="204">
        <v>27664</v>
      </c>
      <c r="D23" s="204">
        <v>17787</v>
      </c>
      <c r="E23" s="204">
        <v>17997</v>
      </c>
      <c r="F23" s="204">
        <v>18941</v>
      </c>
    </row>
    <row r="24" spans="1:12">
      <c r="A24" s="10" t="s">
        <v>486</v>
      </c>
      <c r="B24" s="204">
        <v>15910</v>
      </c>
      <c r="C24" s="204">
        <v>15958</v>
      </c>
      <c r="D24" s="204">
        <v>25065</v>
      </c>
      <c r="E24" s="204">
        <v>26104</v>
      </c>
      <c r="F24" s="204">
        <v>26889</v>
      </c>
    </row>
    <row r="25" spans="1:12">
      <c r="A25" s="10" t="s">
        <v>143</v>
      </c>
      <c r="B25" s="204">
        <v>27808</v>
      </c>
      <c r="C25" s="204">
        <v>27664</v>
      </c>
      <c r="D25" s="204">
        <v>25065</v>
      </c>
      <c r="E25" s="204">
        <v>26104</v>
      </c>
      <c r="F25" s="204">
        <v>26889</v>
      </c>
    </row>
    <row r="26" spans="1:12">
      <c r="A26" s="10" t="s">
        <v>142</v>
      </c>
      <c r="B26" s="204">
        <v>15910</v>
      </c>
      <c r="C26" s="204">
        <v>15958</v>
      </c>
      <c r="D26" s="204">
        <v>17787</v>
      </c>
      <c r="E26" s="204">
        <v>17997</v>
      </c>
      <c r="F26" s="204">
        <v>18941</v>
      </c>
    </row>
    <row r="27" spans="1:12">
      <c r="A27" s="10" t="s">
        <v>144</v>
      </c>
      <c r="B27" s="204">
        <v>0</v>
      </c>
      <c r="C27" s="204">
        <v>4002</v>
      </c>
      <c r="D27" s="204">
        <v>3737</v>
      </c>
      <c r="E27" s="204">
        <v>3731</v>
      </c>
      <c r="F27" s="204">
        <v>4628</v>
      </c>
      <c r="H27" s="539"/>
      <c r="I27" s="539"/>
      <c r="J27" s="539"/>
      <c r="K27" s="539"/>
      <c r="L27" s="539"/>
    </row>
    <row r="28" spans="1:12">
      <c r="A28" s="10" t="s">
        <v>145</v>
      </c>
      <c r="B28" s="204">
        <v>3413</v>
      </c>
      <c r="C28" s="204">
        <v>0</v>
      </c>
      <c r="D28" s="204">
        <v>0</v>
      </c>
      <c r="E28" s="204">
        <v>0</v>
      </c>
      <c r="F28" s="204">
        <v>0</v>
      </c>
    </row>
    <row r="29" spans="1:12">
      <c r="A29" s="10" t="s">
        <v>146</v>
      </c>
      <c r="B29" s="204">
        <v>27645</v>
      </c>
      <c r="C29" s="204">
        <v>27607</v>
      </c>
      <c r="D29" s="204">
        <v>30205</v>
      </c>
      <c r="E29" s="204">
        <v>17997</v>
      </c>
      <c r="F29" s="204">
        <v>0</v>
      </c>
    </row>
    <row r="30" spans="1:12">
      <c r="A30" s="10" t="s">
        <v>487</v>
      </c>
      <c r="B30" s="204">
        <v>80919</v>
      </c>
      <c r="C30" s="204">
        <v>82896</v>
      </c>
      <c r="D30" s="204">
        <v>85501</v>
      </c>
      <c r="E30" s="204">
        <v>3789</v>
      </c>
      <c r="F30" s="204">
        <v>0</v>
      </c>
    </row>
    <row r="31" spans="1:12">
      <c r="A31" s="10" t="s">
        <v>147</v>
      </c>
      <c r="B31" s="204">
        <v>0</v>
      </c>
      <c r="C31" s="204">
        <v>0</v>
      </c>
      <c r="D31" s="204">
        <v>0</v>
      </c>
      <c r="E31" s="204">
        <v>3731</v>
      </c>
      <c r="F31" s="204">
        <v>0</v>
      </c>
    </row>
    <row r="32" spans="1:12">
      <c r="A32" s="10" t="s">
        <v>148</v>
      </c>
      <c r="B32" s="204">
        <v>0</v>
      </c>
      <c r="C32" s="204">
        <v>0</v>
      </c>
      <c r="D32" s="204">
        <v>0</v>
      </c>
      <c r="E32" s="204">
        <v>3425</v>
      </c>
      <c r="F32" s="204">
        <v>0</v>
      </c>
    </row>
    <row r="33" spans="1:6">
      <c r="A33" s="10" t="s">
        <v>137</v>
      </c>
      <c r="B33" s="204">
        <v>0</v>
      </c>
      <c r="C33" s="204">
        <v>0</v>
      </c>
      <c r="D33" s="204">
        <v>0</v>
      </c>
      <c r="E33" s="204">
        <v>1921</v>
      </c>
      <c r="F33" s="204">
        <v>0</v>
      </c>
    </row>
    <row r="34" spans="1:6">
      <c r="A34" s="10" t="s">
        <v>141</v>
      </c>
      <c r="B34" s="204">
        <v>0</v>
      </c>
      <c r="C34" s="204">
        <v>0</v>
      </c>
      <c r="D34" s="204">
        <v>0</v>
      </c>
      <c r="E34" s="204">
        <v>26104</v>
      </c>
      <c r="F34" s="204">
        <v>0</v>
      </c>
    </row>
    <row r="35" spans="1:6">
      <c r="A35" s="10" t="s">
        <v>149</v>
      </c>
      <c r="B35" s="204">
        <v>3175</v>
      </c>
      <c r="C35" s="204">
        <v>3245</v>
      </c>
      <c r="D35" s="204">
        <v>3348</v>
      </c>
      <c r="E35" s="204">
        <v>3789</v>
      </c>
      <c r="F35" s="204">
        <v>3651</v>
      </c>
    </row>
    <row r="36" spans="1:6">
      <c r="A36" s="7" t="s">
        <v>488</v>
      </c>
      <c r="B36" s="202">
        <v>80919</v>
      </c>
      <c r="C36" s="202">
        <v>82896</v>
      </c>
      <c r="D36" s="202">
        <v>85501</v>
      </c>
      <c r="E36" s="202">
        <v>90499</v>
      </c>
      <c r="F36" s="202">
        <v>94511</v>
      </c>
    </row>
    <row r="37" spans="1:6">
      <c r="A37" s="10" t="s">
        <v>150</v>
      </c>
      <c r="B37" s="204"/>
      <c r="C37" s="204"/>
      <c r="D37" s="204"/>
      <c r="E37" s="204"/>
      <c r="F37" s="204"/>
    </row>
    <row r="38" spans="1:6">
      <c r="A38" s="10" t="s">
        <v>489</v>
      </c>
      <c r="B38" s="204">
        <v>174</v>
      </c>
      <c r="C38" s="204">
        <v>266</v>
      </c>
      <c r="D38" s="204">
        <v>340</v>
      </c>
      <c r="E38" s="204">
        <v>375</v>
      </c>
      <c r="F38" s="204">
        <v>479</v>
      </c>
    </row>
    <row r="39" spans="1:6">
      <c r="A39" s="10" t="s">
        <v>490</v>
      </c>
      <c r="B39" s="204">
        <v>2999</v>
      </c>
      <c r="C39" s="204">
        <v>999</v>
      </c>
      <c r="D39" s="204">
        <v>2250</v>
      </c>
      <c r="E39" s="204">
        <v>0</v>
      </c>
      <c r="F39" s="204" t="s">
        <v>20</v>
      </c>
    </row>
    <row r="40" spans="1:6">
      <c r="A40" s="10" t="s">
        <v>491</v>
      </c>
      <c r="B40" s="204">
        <v>821</v>
      </c>
      <c r="C40" s="204">
        <v>1211</v>
      </c>
      <c r="D40" s="204">
        <v>1359</v>
      </c>
      <c r="E40" s="204">
        <v>1506</v>
      </c>
      <c r="F40" s="204">
        <v>1538</v>
      </c>
    </row>
    <row r="41" spans="1:6">
      <c r="A41" s="10" t="s">
        <v>492</v>
      </c>
      <c r="B41" s="204">
        <v>914</v>
      </c>
      <c r="C41" s="204">
        <v>983</v>
      </c>
      <c r="D41" s="204">
        <v>1456</v>
      </c>
      <c r="E41" s="204">
        <v>1751</v>
      </c>
      <c r="F41" s="204">
        <v>4909</v>
      </c>
    </row>
    <row r="42" spans="1:6">
      <c r="A42" s="10" t="s">
        <v>153</v>
      </c>
      <c r="B42" s="204">
        <v>1840</v>
      </c>
      <c r="C42" s="204" t="s">
        <v>20</v>
      </c>
      <c r="D42" s="204" t="s">
        <v>20</v>
      </c>
      <c r="E42" s="204" t="s">
        <v>20</v>
      </c>
      <c r="F42" s="204" t="s">
        <v>20</v>
      </c>
    </row>
    <row r="43" spans="1:6">
      <c r="A43" s="10" t="s">
        <v>152</v>
      </c>
      <c r="B43" s="204" t="s">
        <v>20</v>
      </c>
      <c r="C43" s="204" t="s">
        <v>20</v>
      </c>
      <c r="D43" s="204" t="s">
        <v>20</v>
      </c>
      <c r="E43" s="204" t="s">
        <v>20</v>
      </c>
      <c r="F43" s="204">
        <v>1727</v>
      </c>
    </row>
    <row r="44" spans="1:6">
      <c r="A44" s="10" t="s">
        <v>154</v>
      </c>
      <c r="B44" s="204">
        <v>4176</v>
      </c>
      <c r="C44" s="204">
        <v>5243</v>
      </c>
      <c r="D44" s="204">
        <v>6099</v>
      </c>
      <c r="E44" s="204">
        <v>8177</v>
      </c>
      <c r="F44" s="204" t="s">
        <v>20</v>
      </c>
    </row>
    <row r="45" spans="1:6">
      <c r="A45" s="10" t="s">
        <v>155</v>
      </c>
      <c r="B45" s="204" t="s">
        <v>20</v>
      </c>
      <c r="C45" s="204" t="s">
        <v>20</v>
      </c>
      <c r="D45" s="204" t="s">
        <v>20</v>
      </c>
      <c r="E45" s="204" t="s">
        <v>20</v>
      </c>
      <c r="F45" s="204">
        <v>9075</v>
      </c>
    </row>
    <row r="46" spans="1:6">
      <c r="A46" s="10" t="s">
        <v>156</v>
      </c>
      <c r="B46" s="204">
        <v>1850</v>
      </c>
      <c r="C46" s="204">
        <v>2260</v>
      </c>
      <c r="D46" s="204">
        <v>2342</v>
      </c>
      <c r="E46" s="204">
        <v>3005</v>
      </c>
      <c r="F46" s="204" t="s">
        <v>20</v>
      </c>
    </row>
    <row r="47" spans="1:6">
      <c r="A47" s="10" t="s">
        <v>156</v>
      </c>
      <c r="B47" s="204" t="s">
        <v>20</v>
      </c>
      <c r="C47" s="204" t="s">
        <v>20</v>
      </c>
      <c r="D47" s="204" t="s">
        <v>20</v>
      </c>
      <c r="E47" s="204" t="s">
        <v>20</v>
      </c>
      <c r="F47" s="204">
        <v>3524</v>
      </c>
    </row>
    <row r="48" spans="1:6">
      <c r="A48" s="10" t="s">
        <v>157</v>
      </c>
      <c r="B48" s="204">
        <v>1736</v>
      </c>
      <c r="C48" s="204">
        <v>2443</v>
      </c>
      <c r="D48" s="204">
        <v>3281</v>
      </c>
      <c r="E48" s="204">
        <v>3269</v>
      </c>
      <c r="F48" s="204">
        <v>5265</v>
      </c>
    </row>
    <row r="49" spans="1:6">
      <c r="A49" s="7" t="s">
        <v>493</v>
      </c>
      <c r="B49" s="202">
        <v>14510</v>
      </c>
      <c r="C49" s="202">
        <v>15739</v>
      </c>
      <c r="D49" s="202">
        <v>20853</v>
      </c>
      <c r="E49" s="202">
        <v>23098</v>
      </c>
      <c r="F49" s="202">
        <v>26517</v>
      </c>
    </row>
    <row r="50" spans="1:6">
      <c r="A50" s="7" t="s">
        <v>158</v>
      </c>
      <c r="B50" s="202" t="s">
        <v>20</v>
      </c>
      <c r="C50" s="202" t="s">
        <v>20</v>
      </c>
      <c r="D50" s="202" t="s">
        <v>20</v>
      </c>
      <c r="E50" s="202">
        <v>-5015</v>
      </c>
      <c r="F50" s="540"/>
    </row>
    <row r="51" spans="1:6">
      <c r="A51" s="10" t="s">
        <v>159</v>
      </c>
      <c r="B51" s="204"/>
      <c r="C51" s="204"/>
      <c r="D51" s="204"/>
      <c r="E51" s="204"/>
      <c r="F51" s="204"/>
    </row>
    <row r="52" spans="1:6">
      <c r="A52" s="10" t="s">
        <v>160</v>
      </c>
      <c r="B52" s="204">
        <v>14510</v>
      </c>
      <c r="C52" s="204">
        <v>45307</v>
      </c>
      <c r="D52" s="204">
        <v>49920</v>
      </c>
      <c r="E52" s="204">
        <v>5015</v>
      </c>
      <c r="F52" s="204" t="s">
        <v>20</v>
      </c>
    </row>
    <row r="53" spans="1:6">
      <c r="A53" s="10" t="s">
        <v>495</v>
      </c>
      <c r="B53" s="204">
        <v>44709</v>
      </c>
      <c r="C53" s="204">
        <v>15739</v>
      </c>
      <c r="D53" s="204">
        <v>20853</v>
      </c>
      <c r="E53" s="204">
        <v>5114</v>
      </c>
      <c r="F53" s="204" t="s">
        <v>20</v>
      </c>
    </row>
    <row r="54" spans="1:6">
      <c r="A54" s="10" t="s">
        <v>494</v>
      </c>
      <c r="B54" s="204" t="s">
        <v>20</v>
      </c>
      <c r="C54" s="204" t="s">
        <v>20</v>
      </c>
      <c r="D54" s="204" t="s">
        <v>20</v>
      </c>
      <c r="E54" s="204">
        <v>20463</v>
      </c>
      <c r="F54" s="204" t="s">
        <v>20</v>
      </c>
    </row>
    <row r="55" spans="1:6">
      <c r="A55" s="10" t="s">
        <v>161</v>
      </c>
      <c r="B55" s="204" t="s">
        <v>20</v>
      </c>
      <c r="C55" s="204" t="s">
        <v>20</v>
      </c>
      <c r="D55" s="204" t="s">
        <v>20</v>
      </c>
      <c r="E55" s="204">
        <v>3091</v>
      </c>
      <c r="F55" s="204" t="s">
        <v>20</v>
      </c>
    </row>
    <row r="56" spans="1:6">
      <c r="A56" s="10" t="s">
        <v>496</v>
      </c>
      <c r="B56" s="204">
        <v>21071</v>
      </c>
      <c r="C56" s="204">
        <v>19978</v>
      </c>
      <c r="D56" s="204">
        <v>20200</v>
      </c>
      <c r="E56" s="204">
        <v>20463</v>
      </c>
      <c r="F56" s="204">
        <v>20836</v>
      </c>
    </row>
    <row r="57" spans="1:6">
      <c r="A57" s="10" t="s">
        <v>497</v>
      </c>
      <c r="B57" s="204">
        <v>5237</v>
      </c>
      <c r="C57" s="204">
        <v>6128</v>
      </c>
      <c r="D57" s="204">
        <v>5332</v>
      </c>
      <c r="E57" s="204">
        <v>5114</v>
      </c>
      <c r="F57" s="204">
        <v>5301</v>
      </c>
    </row>
    <row r="58" spans="1:6">
      <c r="A58" s="10" t="s">
        <v>163</v>
      </c>
      <c r="B58" s="204">
        <v>3891</v>
      </c>
      <c r="C58" s="204">
        <v>3462</v>
      </c>
      <c r="D58" s="204">
        <v>3535</v>
      </c>
      <c r="E58" s="204">
        <v>3091</v>
      </c>
      <c r="F58" s="204">
        <v>2720</v>
      </c>
    </row>
    <row r="59" spans="1:6">
      <c r="A59" s="10" t="s">
        <v>164</v>
      </c>
      <c r="B59" s="204" t="s">
        <v>20</v>
      </c>
      <c r="C59" s="204">
        <v>2334</v>
      </c>
      <c r="D59" s="204">
        <v>3726</v>
      </c>
      <c r="E59" s="204">
        <v>5015</v>
      </c>
      <c r="F59" s="204" t="s">
        <v>20</v>
      </c>
    </row>
    <row r="60" spans="1:6">
      <c r="A60" s="7" t="s">
        <v>498</v>
      </c>
      <c r="B60" s="202">
        <v>44709</v>
      </c>
      <c r="C60" s="202">
        <v>45307</v>
      </c>
      <c r="D60" s="202">
        <v>49920</v>
      </c>
      <c r="E60" s="202">
        <v>51766</v>
      </c>
      <c r="F60" s="202">
        <v>55374</v>
      </c>
    </row>
    <row r="61" spans="1:6">
      <c r="A61" s="10" t="s">
        <v>165</v>
      </c>
      <c r="B61" s="204"/>
      <c r="C61" s="204"/>
      <c r="D61" s="204"/>
      <c r="E61" s="204"/>
      <c r="F61" s="204"/>
    </row>
    <row r="62" spans="1:6">
      <c r="A62" s="10" t="s">
        <v>166</v>
      </c>
      <c r="B62" s="204">
        <v>1106</v>
      </c>
      <c r="C62" s="204">
        <v>1071</v>
      </c>
      <c r="D62" s="204">
        <v>2324</v>
      </c>
      <c r="E62" s="204">
        <v>1698</v>
      </c>
      <c r="F62" s="204">
        <v>1031</v>
      </c>
    </row>
    <row r="63" spans="1:6">
      <c r="A63" s="10" t="s">
        <v>167</v>
      </c>
      <c r="B63" s="204">
        <v>1543</v>
      </c>
      <c r="C63" s="204">
        <v>486</v>
      </c>
      <c r="D63" s="204" t="s">
        <v>20</v>
      </c>
      <c r="E63" s="204" t="s">
        <v>20</v>
      </c>
      <c r="F63" s="204" t="s">
        <v>20</v>
      </c>
    </row>
    <row r="64" spans="1:6">
      <c r="A64" s="10" t="s">
        <v>168</v>
      </c>
      <c r="B64" s="204">
        <v>2437</v>
      </c>
      <c r="C64" s="204">
        <v>1523</v>
      </c>
      <c r="D64" s="204" t="s">
        <v>20</v>
      </c>
      <c r="E64" s="204" t="s">
        <v>20</v>
      </c>
      <c r="F64" s="204" t="s">
        <v>20</v>
      </c>
    </row>
    <row r="65" spans="1:6">
      <c r="A65" s="10" t="s">
        <v>169</v>
      </c>
      <c r="B65" s="204">
        <v>354</v>
      </c>
      <c r="C65" s="204">
        <v>436</v>
      </c>
      <c r="D65" s="204">
        <v>2369</v>
      </c>
      <c r="E65" s="204">
        <v>-1317</v>
      </c>
      <c r="F65" s="204">
        <v>-308</v>
      </c>
    </row>
    <row r="66" spans="1:6">
      <c r="A66" s="10" t="s">
        <v>170</v>
      </c>
      <c r="B66" s="204">
        <v>14088</v>
      </c>
      <c r="C66" s="204">
        <v>15351</v>
      </c>
      <c r="D66" s="204">
        <v>16116</v>
      </c>
      <c r="E66" s="204">
        <v>18040</v>
      </c>
      <c r="F66" s="204">
        <v>17289</v>
      </c>
    </row>
    <row r="67" spans="1:6">
      <c r="A67" s="10" t="s">
        <v>171</v>
      </c>
      <c r="B67" s="204">
        <v>39</v>
      </c>
      <c r="C67" s="204">
        <v>-133</v>
      </c>
      <c r="D67" s="204">
        <v>35</v>
      </c>
      <c r="E67" s="204">
        <v>-140</v>
      </c>
      <c r="F67" s="204">
        <v>-104</v>
      </c>
    </row>
    <row r="68" spans="1:6">
      <c r="A68" s="10" t="s">
        <v>172</v>
      </c>
      <c r="B68" s="204" t="s">
        <v>20</v>
      </c>
      <c r="C68" s="204" t="s">
        <v>20</v>
      </c>
      <c r="D68" s="204" t="s">
        <v>20</v>
      </c>
      <c r="E68" s="204" t="s">
        <v>20</v>
      </c>
      <c r="F68" s="204">
        <v>10</v>
      </c>
    </row>
    <row r="69" spans="1:6">
      <c r="A69" s="10" t="s">
        <v>174</v>
      </c>
      <c r="B69" s="204">
        <v>245</v>
      </c>
      <c r="C69" s="204" t="s">
        <v>20</v>
      </c>
      <c r="D69" s="204" t="s">
        <v>20</v>
      </c>
      <c r="E69" s="204">
        <v>1849</v>
      </c>
      <c r="F69" s="204" t="s">
        <v>20</v>
      </c>
    </row>
    <row r="70" spans="1:6">
      <c r="A70" s="10" t="s">
        <v>175</v>
      </c>
      <c r="B70" s="204" t="s">
        <v>20</v>
      </c>
      <c r="C70" s="204" t="s">
        <v>20</v>
      </c>
      <c r="D70" s="204">
        <v>1890</v>
      </c>
      <c r="E70" s="204" t="s">
        <v>20</v>
      </c>
      <c r="F70" s="204" t="s">
        <v>20</v>
      </c>
    </row>
    <row r="71" spans="1:6">
      <c r="A71" s="10" t="s">
        <v>176</v>
      </c>
      <c r="B71" s="204">
        <v>11</v>
      </c>
      <c r="C71" s="204">
        <v>10</v>
      </c>
      <c r="D71" s="204" t="s">
        <v>20</v>
      </c>
      <c r="E71" s="204" t="s">
        <v>20</v>
      </c>
      <c r="F71" s="204" t="s">
        <v>20</v>
      </c>
    </row>
    <row r="72" spans="1:6">
      <c r="A72" s="10" t="s">
        <v>177</v>
      </c>
      <c r="B72" s="204">
        <v>245</v>
      </c>
      <c r="C72" s="204">
        <v>245</v>
      </c>
      <c r="D72" s="204" t="s">
        <v>20</v>
      </c>
      <c r="E72" s="204" t="s">
        <v>20</v>
      </c>
      <c r="F72" s="204" t="s">
        <v>20</v>
      </c>
    </row>
    <row r="73" spans="1:6">
      <c r="A73" s="10" t="s">
        <v>178</v>
      </c>
      <c r="B73" s="204">
        <v>1683</v>
      </c>
      <c r="C73" s="204">
        <v>1677</v>
      </c>
      <c r="D73" s="204" t="s">
        <v>20</v>
      </c>
      <c r="E73" s="204" t="s">
        <v>20</v>
      </c>
      <c r="F73" s="204" t="s">
        <v>20</v>
      </c>
    </row>
    <row r="74" spans="1:6">
      <c r="A74" s="10" t="s">
        <v>175</v>
      </c>
      <c r="B74" s="204" t="s">
        <v>20</v>
      </c>
      <c r="C74" s="204" t="s">
        <v>20</v>
      </c>
      <c r="D74" s="204" t="s">
        <v>20</v>
      </c>
      <c r="E74" s="204" t="s">
        <v>20</v>
      </c>
      <c r="F74" s="204">
        <v>1733</v>
      </c>
    </row>
    <row r="75" spans="1:6">
      <c r="A75" s="10" t="s">
        <v>175</v>
      </c>
      <c r="B75" s="204" t="s">
        <v>20</v>
      </c>
      <c r="C75" s="204" t="s">
        <v>20</v>
      </c>
      <c r="D75" s="204" t="s">
        <v>20</v>
      </c>
      <c r="E75" s="204" t="s">
        <v>20</v>
      </c>
      <c r="F75" s="204">
        <v>125</v>
      </c>
    </row>
    <row r="76" spans="1:6">
      <c r="A76" s="10" t="s">
        <v>179</v>
      </c>
      <c r="B76" s="204">
        <v>1E-4</v>
      </c>
      <c r="C76" s="204">
        <v>1E-4</v>
      </c>
      <c r="D76" s="204">
        <v>1E-4</v>
      </c>
      <c r="E76" s="204">
        <v>1E-4</v>
      </c>
      <c r="F76" s="204">
        <v>1E-4</v>
      </c>
    </row>
    <row r="77" spans="1:6">
      <c r="A77" s="10" t="s">
        <v>180</v>
      </c>
      <c r="B77" s="204">
        <v>16721</v>
      </c>
      <c r="C77" s="204">
        <v>18855</v>
      </c>
      <c r="D77" s="204">
        <v>19545</v>
      </c>
      <c r="E77" s="204">
        <v>20452</v>
      </c>
      <c r="F77" s="204">
        <v>21229</v>
      </c>
    </row>
    <row r="78" spans="1:6">
      <c r="A78" s="10" t="s">
        <v>181</v>
      </c>
      <c r="B78" s="204">
        <v>1683</v>
      </c>
      <c r="C78" s="204">
        <v>245</v>
      </c>
      <c r="D78" s="204">
        <v>1890</v>
      </c>
      <c r="E78" s="204">
        <v>1849</v>
      </c>
      <c r="F78" s="204">
        <v>125</v>
      </c>
    </row>
    <row r="79" spans="1:6">
      <c r="A79" s="10" t="s">
        <v>181</v>
      </c>
      <c r="B79" s="204">
        <v>245</v>
      </c>
      <c r="C79" s="204">
        <v>10</v>
      </c>
      <c r="D79" s="204" t="s">
        <v>20</v>
      </c>
      <c r="E79" s="204" t="s">
        <v>20</v>
      </c>
      <c r="F79" s="204">
        <v>1733</v>
      </c>
    </row>
    <row r="80" spans="1:6">
      <c r="A80" s="10" t="s">
        <v>181</v>
      </c>
      <c r="B80" s="204">
        <v>11</v>
      </c>
      <c r="C80" s="204">
        <v>1677</v>
      </c>
      <c r="D80" s="204" t="s">
        <v>20</v>
      </c>
      <c r="E80" s="204" t="s">
        <v>20</v>
      </c>
      <c r="F80" s="204">
        <v>10</v>
      </c>
    </row>
    <row r="81" spans="1:6">
      <c r="A81" s="10" t="s">
        <v>182</v>
      </c>
      <c r="B81" s="204">
        <v>36210</v>
      </c>
      <c r="C81" s="204">
        <v>37589</v>
      </c>
      <c r="D81" s="204">
        <v>35581</v>
      </c>
      <c r="E81" s="204">
        <v>38733</v>
      </c>
      <c r="F81" s="204" t="s">
        <v>20</v>
      </c>
    </row>
    <row r="82" spans="1:6">
      <c r="A82" s="10" t="s">
        <v>182</v>
      </c>
      <c r="B82" s="204" t="s">
        <v>20</v>
      </c>
      <c r="C82" s="204" t="s">
        <v>20</v>
      </c>
      <c r="D82" s="204" t="s">
        <v>20</v>
      </c>
      <c r="E82" s="204" t="s">
        <v>20</v>
      </c>
      <c r="F82" s="204">
        <v>39137</v>
      </c>
    </row>
    <row r="83" spans="1:6">
      <c r="A83" s="10" t="s">
        <v>183</v>
      </c>
      <c r="B83" s="204">
        <v>2437</v>
      </c>
      <c r="C83" s="204">
        <v>486</v>
      </c>
      <c r="D83" s="204">
        <v>2324</v>
      </c>
      <c r="E83" s="204">
        <v>1698</v>
      </c>
      <c r="F83" s="204">
        <v>1031</v>
      </c>
    </row>
    <row r="84" spans="1:6">
      <c r="A84" s="10" t="s">
        <v>184</v>
      </c>
      <c r="B84" s="204">
        <v>1106</v>
      </c>
      <c r="C84" s="204">
        <v>1071</v>
      </c>
      <c r="D84" s="204" t="s">
        <v>20</v>
      </c>
      <c r="E84" s="204" t="s">
        <v>20</v>
      </c>
      <c r="F84" s="204" t="s">
        <v>20</v>
      </c>
    </row>
    <row r="85" spans="1:6">
      <c r="A85" s="10" t="s">
        <v>166</v>
      </c>
      <c r="B85" s="204">
        <v>1543</v>
      </c>
      <c r="C85" s="204">
        <v>1523</v>
      </c>
      <c r="D85" s="204" t="s">
        <v>20</v>
      </c>
      <c r="E85" s="204" t="s">
        <v>20</v>
      </c>
      <c r="F85" s="204" t="s">
        <v>20</v>
      </c>
    </row>
    <row r="86" spans="1:6">
      <c r="A86" s="10" t="s">
        <v>185</v>
      </c>
      <c r="B86" s="204">
        <v>2001622</v>
      </c>
      <c r="C86" s="204">
        <v>2001622</v>
      </c>
      <c r="D86" s="204">
        <v>2001622</v>
      </c>
      <c r="E86" s="204">
        <v>2001622</v>
      </c>
      <c r="F86" s="204" t="s">
        <v>20</v>
      </c>
    </row>
    <row r="87" spans="1:6">
      <c r="A87" s="10" t="s">
        <v>186</v>
      </c>
      <c r="B87" s="204">
        <v>622</v>
      </c>
      <c r="C87" s="204">
        <v>622</v>
      </c>
      <c r="D87" s="204" t="s">
        <v>20</v>
      </c>
      <c r="E87" s="204" t="s">
        <v>20</v>
      </c>
      <c r="F87" s="204" t="s">
        <v>20</v>
      </c>
    </row>
    <row r="88" spans="1:6">
      <c r="A88" s="10" t="s">
        <v>187</v>
      </c>
      <c r="B88" s="204">
        <v>1097</v>
      </c>
      <c r="C88" s="204">
        <v>1097</v>
      </c>
      <c r="D88" s="204" t="s">
        <v>20</v>
      </c>
      <c r="E88" s="204" t="s">
        <v>20</v>
      </c>
      <c r="F88" s="204" t="s">
        <v>20</v>
      </c>
    </row>
    <row r="89" spans="1:6">
      <c r="A89" s="10" t="s">
        <v>188</v>
      </c>
      <c r="B89" s="204">
        <v>25</v>
      </c>
      <c r="C89" s="204">
        <v>25</v>
      </c>
      <c r="D89" s="204" t="s">
        <v>20</v>
      </c>
      <c r="E89" s="204" t="s">
        <v>20</v>
      </c>
      <c r="F89" s="204" t="s">
        <v>20</v>
      </c>
    </row>
    <row r="90" spans="1:6">
      <c r="A90" s="10" t="s">
        <v>189</v>
      </c>
      <c r="B90" s="204">
        <v>3</v>
      </c>
      <c r="C90" s="204">
        <v>3</v>
      </c>
      <c r="D90" s="204">
        <v>5</v>
      </c>
      <c r="E90" s="204">
        <v>5</v>
      </c>
      <c r="F90" s="204">
        <v>5.0000000000000004E-6</v>
      </c>
    </row>
    <row r="91" spans="1:6">
      <c r="A91" s="10" t="s">
        <v>189</v>
      </c>
      <c r="B91" s="204">
        <v>2</v>
      </c>
      <c r="C91" s="204">
        <v>0</v>
      </c>
      <c r="D91" s="204" t="s">
        <v>20</v>
      </c>
      <c r="E91" s="204" t="s">
        <v>20</v>
      </c>
      <c r="F91" s="204" t="s">
        <v>20</v>
      </c>
    </row>
    <row r="92" spans="1:6">
      <c r="A92" s="10" t="s">
        <v>137</v>
      </c>
      <c r="B92" s="204">
        <v>0</v>
      </c>
      <c r="C92" s="204">
        <v>2</v>
      </c>
      <c r="D92" s="204" t="s">
        <v>20</v>
      </c>
      <c r="E92" s="204" t="s">
        <v>20</v>
      </c>
      <c r="F92" s="204" t="s">
        <v>20</v>
      </c>
    </row>
    <row r="93" spans="1:6">
      <c r="A93" s="10" t="s">
        <v>190</v>
      </c>
      <c r="B93" s="204">
        <v>36210</v>
      </c>
      <c r="C93" s="204">
        <v>37589</v>
      </c>
      <c r="D93" s="204">
        <v>35581</v>
      </c>
      <c r="E93" s="204">
        <v>38733</v>
      </c>
      <c r="F93" s="204">
        <v>39137</v>
      </c>
    </row>
    <row r="94" spans="1:6">
      <c r="A94" s="7" t="s">
        <v>191</v>
      </c>
      <c r="B94" s="202">
        <v>80919</v>
      </c>
      <c r="C94" s="202">
        <v>82896</v>
      </c>
      <c r="D94" s="202">
        <v>85501</v>
      </c>
      <c r="E94" s="202">
        <v>90499</v>
      </c>
      <c r="F94" s="202">
        <v>94511</v>
      </c>
    </row>
    <row r="95" spans="1:6">
      <c r="A95" s="10" t="s">
        <v>192</v>
      </c>
      <c r="B95" s="204"/>
      <c r="C95" s="204"/>
      <c r="D95" s="204"/>
      <c r="E95" s="204"/>
      <c r="F95" s="204"/>
    </row>
    <row r="96" spans="1:6">
      <c r="A96" s="10" t="s">
        <v>193</v>
      </c>
      <c r="B96" s="204" t="s">
        <v>20</v>
      </c>
      <c r="C96" s="204">
        <v>4.6905000000000001</v>
      </c>
      <c r="D96" s="204">
        <v>4.5264480000000002</v>
      </c>
      <c r="E96" s="204">
        <v>5.7943199999999999</v>
      </c>
      <c r="F96" s="204">
        <v>6.4173970000000002</v>
      </c>
    </row>
    <row r="97" spans="1:6">
      <c r="A97" s="10" t="s">
        <v>194</v>
      </c>
      <c r="B97" s="204" t="s">
        <v>20</v>
      </c>
      <c r="C97" s="204">
        <v>2.4862190000000002</v>
      </c>
      <c r="D97" s="204">
        <v>3.9673129999999999</v>
      </c>
      <c r="E97" s="204">
        <v>3.3731369999999998</v>
      </c>
      <c r="F97" s="204">
        <v>3.2218420000000001</v>
      </c>
    </row>
    <row r="98" spans="1:6">
      <c r="A98" s="10" t="s">
        <v>195</v>
      </c>
      <c r="B98" s="204" t="s">
        <v>20</v>
      </c>
      <c r="C98" s="204">
        <v>2.327105</v>
      </c>
      <c r="D98" s="204">
        <v>2.1666620000000001</v>
      </c>
      <c r="E98" s="204">
        <v>2.428334</v>
      </c>
      <c r="F98" s="204">
        <v>-2.9538600000000002</v>
      </c>
    </row>
    <row r="99" spans="1:6">
      <c r="A99" s="10" t="s">
        <v>196</v>
      </c>
      <c r="B99" s="204" t="s">
        <v>20</v>
      </c>
      <c r="C99" s="204">
        <v>0.32316600000000001</v>
      </c>
      <c r="D99" s="204">
        <v>0.532779</v>
      </c>
      <c r="E99" s="204">
        <v>0.32172600000000001</v>
      </c>
      <c r="F99" s="204">
        <v>-0.32571800000000001</v>
      </c>
    </row>
    <row r="100" spans="1:6">
      <c r="A100" s="10" t="s">
        <v>197</v>
      </c>
      <c r="B100" s="204">
        <v>71</v>
      </c>
      <c r="C100" s="204">
        <v>72</v>
      </c>
      <c r="D100" s="204">
        <v>72</v>
      </c>
      <c r="E100" s="204">
        <v>71</v>
      </c>
      <c r="F100" s="204" t="s">
        <v>20</v>
      </c>
    </row>
    <row r="101" spans="1:6">
      <c r="A101" s="10" t="s">
        <v>197</v>
      </c>
      <c r="B101" s="204" t="s">
        <v>20</v>
      </c>
      <c r="C101" s="204" t="s">
        <v>20</v>
      </c>
      <c r="D101" s="204" t="s">
        <v>20</v>
      </c>
      <c r="E101" s="204" t="s">
        <v>20</v>
      </c>
      <c r="F101" s="204">
        <v>72</v>
      </c>
    </row>
    <row r="102" spans="1:6">
      <c r="A102" s="10" t="s">
        <v>198</v>
      </c>
      <c r="B102" s="204">
        <v>1007</v>
      </c>
      <c r="C102" s="204">
        <v>1008</v>
      </c>
      <c r="D102" s="204">
        <v>1003</v>
      </c>
      <c r="E102" s="204">
        <v>1022</v>
      </c>
      <c r="F102" s="204">
        <v>1042</v>
      </c>
    </row>
    <row r="103" spans="1:6">
      <c r="A103" s="10" t="s">
        <v>199</v>
      </c>
      <c r="B103" s="204">
        <v>163</v>
      </c>
      <c r="C103" s="204">
        <v>226</v>
      </c>
      <c r="D103" s="204">
        <v>285</v>
      </c>
      <c r="E103" s="204">
        <v>344</v>
      </c>
      <c r="F103" s="204">
        <v>222</v>
      </c>
    </row>
    <row r="104" spans="1:6">
      <c r="A104" s="10" t="s">
        <v>200</v>
      </c>
      <c r="B104" s="204">
        <v>3923</v>
      </c>
      <c r="C104" s="204">
        <v>2048</v>
      </c>
      <c r="D104" s="204">
        <v>2230</v>
      </c>
      <c r="E104" s="204">
        <v>2146</v>
      </c>
      <c r="F104" s="204">
        <v>2301</v>
      </c>
    </row>
    <row r="105" spans="1:6">
      <c r="A105" s="10" t="s">
        <v>201</v>
      </c>
      <c r="B105" s="204">
        <v>1997</v>
      </c>
      <c r="C105" s="204">
        <v>4320</v>
      </c>
      <c r="D105" s="204">
        <v>5291</v>
      </c>
      <c r="E105" s="204">
        <v>5197</v>
      </c>
      <c r="F105" s="204">
        <v>5660</v>
      </c>
    </row>
    <row r="106" spans="1:6">
      <c r="A106" s="10" t="s">
        <v>202</v>
      </c>
      <c r="B106" s="204">
        <v>7161</v>
      </c>
      <c r="C106" s="204">
        <v>7674</v>
      </c>
      <c r="D106" s="204">
        <v>8881</v>
      </c>
      <c r="E106" s="204">
        <v>8780</v>
      </c>
      <c r="F106" s="204">
        <v>9297</v>
      </c>
    </row>
    <row r="107" spans="1:6">
      <c r="A107" s="10" t="s">
        <v>203</v>
      </c>
      <c r="B107" s="204">
        <v>4424</v>
      </c>
      <c r="C107" s="204">
        <v>-4959</v>
      </c>
      <c r="D107" s="204">
        <v>5658</v>
      </c>
      <c r="E107" s="204">
        <v>5355</v>
      </c>
      <c r="F107" s="204">
        <v>-5473</v>
      </c>
    </row>
    <row r="108" spans="1:6">
      <c r="A108" s="10" t="s">
        <v>140</v>
      </c>
      <c r="B108" s="204">
        <v>2737</v>
      </c>
      <c r="C108" s="204">
        <v>2715</v>
      </c>
      <c r="D108" s="204">
        <v>3223</v>
      </c>
      <c r="E108" s="204">
        <v>3425</v>
      </c>
      <c r="F108" s="204">
        <v>3824</v>
      </c>
    </row>
    <row r="109" spans="1:6">
      <c r="A109" s="10" t="s">
        <v>204</v>
      </c>
      <c r="B109" s="204">
        <v>798</v>
      </c>
      <c r="C109" s="204">
        <v>1046</v>
      </c>
      <c r="D109" s="204">
        <v>1167</v>
      </c>
      <c r="E109" s="204">
        <v>1553</v>
      </c>
      <c r="F109" s="204">
        <v>1641</v>
      </c>
    </row>
    <row r="110" spans="1:6">
      <c r="A110" s="10" t="s">
        <v>205</v>
      </c>
      <c r="B110" s="204" t="s">
        <v>20</v>
      </c>
      <c r="C110" s="204">
        <v>27323</v>
      </c>
      <c r="D110" s="204">
        <v>24706</v>
      </c>
      <c r="E110" s="204">
        <v>17997</v>
      </c>
      <c r="F110" s="204">
        <v>26641</v>
      </c>
    </row>
    <row r="111" spans="1:6">
      <c r="A111" s="10" t="s">
        <v>206</v>
      </c>
      <c r="B111" s="204" t="s">
        <v>20</v>
      </c>
      <c r="C111" s="204">
        <v>15958</v>
      </c>
      <c r="D111" s="204">
        <v>17787</v>
      </c>
      <c r="E111" s="204">
        <v>280</v>
      </c>
      <c r="F111" s="204">
        <v>248</v>
      </c>
    </row>
    <row r="112" spans="1:6">
      <c r="A112" s="10" t="s">
        <v>207</v>
      </c>
      <c r="B112" s="204" t="s">
        <v>20</v>
      </c>
      <c r="C112" s="204">
        <v>341</v>
      </c>
      <c r="D112" s="204">
        <v>359</v>
      </c>
      <c r="E112" s="204">
        <v>25824</v>
      </c>
      <c r="F112" s="204">
        <v>18941</v>
      </c>
    </row>
    <row r="113" spans="1:6">
      <c r="A113" s="10" t="s">
        <v>143</v>
      </c>
      <c r="B113" s="204">
        <v>6</v>
      </c>
      <c r="C113" s="204">
        <v>1</v>
      </c>
      <c r="D113" s="204">
        <v>0</v>
      </c>
      <c r="E113" s="204">
        <v>0</v>
      </c>
      <c r="F113" s="204">
        <v>0</v>
      </c>
    </row>
    <row r="114" spans="1:6">
      <c r="A114" s="10" t="s">
        <v>208</v>
      </c>
      <c r="B114" s="204">
        <v>3</v>
      </c>
      <c r="C114" s="204">
        <v>3</v>
      </c>
      <c r="D114" s="204">
        <v>0</v>
      </c>
      <c r="E114" s="204">
        <v>0</v>
      </c>
      <c r="F114" s="204" t="s">
        <v>20</v>
      </c>
    </row>
    <row r="115" spans="1:6">
      <c r="A115" s="10" t="s">
        <v>142</v>
      </c>
      <c r="B115" s="204" t="s">
        <v>20</v>
      </c>
      <c r="C115" s="204">
        <v>15958</v>
      </c>
      <c r="D115" s="204">
        <v>17787</v>
      </c>
      <c r="E115" s="204">
        <v>17997</v>
      </c>
      <c r="F115" s="204" t="s">
        <v>20</v>
      </c>
    </row>
    <row r="116" spans="1:6">
      <c r="A116" s="10" t="s">
        <v>142</v>
      </c>
      <c r="B116" s="204" t="s">
        <v>20</v>
      </c>
      <c r="C116" s="204" t="s">
        <v>20</v>
      </c>
      <c r="D116" s="204" t="s">
        <v>20</v>
      </c>
      <c r="E116" s="204" t="s">
        <v>20</v>
      </c>
      <c r="F116" s="204">
        <v>18941</v>
      </c>
    </row>
    <row r="117" spans="1:6">
      <c r="A117" s="10" t="s">
        <v>209</v>
      </c>
      <c r="B117" s="204">
        <v>65</v>
      </c>
      <c r="C117" s="204">
        <v>4084</v>
      </c>
      <c r="D117" s="204">
        <v>36</v>
      </c>
      <c r="E117" s="204">
        <v>23</v>
      </c>
      <c r="F117" s="204">
        <v>11</v>
      </c>
    </row>
    <row r="118" spans="1:6">
      <c r="A118" s="10" t="s">
        <v>210</v>
      </c>
      <c r="B118" s="204">
        <v>4084</v>
      </c>
      <c r="C118" s="204">
        <v>51</v>
      </c>
      <c r="D118" s="204">
        <v>4084</v>
      </c>
      <c r="E118" s="204">
        <v>4084</v>
      </c>
      <c r="F118" s="204">
        <v>4084</v>
      </c>
    </row>
    <row r="119" spans="1:6">
      <c r="A119" s="10" t="s">
        <v>151</v>
      </c>
      <c r="B119" s="204">
        <v>2999</v>
      </c>
      <c r="C119" s="204">
        <v>999</v>
      </c>
      <c r="D119" s="204">
        <v>2250</v>
      </c>
      <c r="E119" s="204">
        <v>0</v>
      </c>
      <c r="F119" s="204">
        <v>0</v>
      </c>
    </row>
    <row r="120" spans="1:6">
      <c r="A120" s="10" t="s">
        <v>162</v>
      </c>
      <c r="B120" s="204">
        <v>5972</v>
      </c>
      <c r="C120" s="204">
        <v>7094</v>
      </c>
      <c r="D120" s="204">
        <v>6412</v>
      </c>
      <c r="E120" s="204">
        <v>6541</v>
      </c>
      <c r="F120" s="204">
        <v>-6802</v>
      </c>
    </row>
    <row r="121" spans="1:6">
      <c r="A121" s="10" t="s">
        <v>211</v>
      </c>
      <c r="B121" s="204">
        <v>6</v>
      </c>
      <c r="C121" s="204">
        <v>-5</v>
      </c>
      <c r="D121" s="204">
        <v>4</v>
      </c>
      <c r="E121" s="204" t="s">
        <v>20</v>
      </c>
      <c r="F121" s="204" t="s">
        <v>20</v>
      </c>
    </row>
    <row r="122" spans="1:6">
      <c r="A122" s="10" t="s">
        <v>212</v>
      </c>
      <c r="B122" s="204">
        <v>5086</v>
      </c>
      <c r="C122" s="204">
        <v>3080</v>
      </c>
      <c r="D122" s="204">
        <v>2324</v>
      </c>
      <c r="E122" s="204">
        <v>1698</v>
      </c>
      <c r="F122" s="204">
        <v>1031</v>
      </c>
    </row>
    <row r="123" spans="1:6">
      <c r="A123" s="10" t="s">
        <v>169</v>
      </c>
      <c r="B123" s="204">
        <v>354</v>
      </c>
      <c r="C123" s="204">
        <v>436</v>
      </c>
      <c r="D123" s="204">
        <v>2369</v>
      </c>
      <c r="E123" s="204">
        <v>-1317</v>
      </c>
      <c r="F123" s="204">
        <v>-308</v>
      </c>
    </row>
    <row r="124" spans="1:6">
      <c r="A124" s="10" t="s">
        <v>170</v>
      </c>
      <c r="B124" s="204">
        <v>39</v>
      </c>
      <c r="C124" s="204">
        <v>-133</v>
      </c>
      <c r="D124" s="204">
        <v>35</v>
      </c>
      <c r="E124" s="204">
        <v>-140</v>
      </c>
      <c r="F124" s="204">
        <v>-104</v>
      </c>
    </row>
    <row r="125" spans="1:6">
      <c r="A125" s="10" t="s">
        <v>171</v>
      </c>
      <c r="B125" s="204">
        <v>14088</v>
      </c>
      <c r="C125" s="204">
        <v>15351</v>
      </c>
      <c r="D125" s="204">
        <v>16116</v>
      </c>
      <c r="E125" s="204">
        <v>18040</v>
      </c>
      <c r="F125" s="204">
        <v>17289</v>
      </c>
    </row>
    <row r="126" spans="1:6">
      <c r="A126" s="10" t="s">
        <v>175</v>
      </c>
      <c r="B126" s="204">
        <v>1683</v>
      </c>
      <c r="C126" s="204">
        <v>1677</v>
      </c>
      <c r="D126" s="204">
        <v>1890</v>
      </c>
      <c r="E126" s="204" t="s">
        <v>20</v>
      </c>
      <c r="F126" s="204">
        <v>1868</v>
      </c>
    </row>
    <row r="127" spans="1:6">
      <c r="A127" s="10" t="s">
        <v>172</v>
      </c>
      <c r="B127" s="204">
        <v>245</v>
      </c>
      <c r="C127" s="204">
        <v>398</v>
      </c>
      <c r="D127" s="204" t="s">
        <v>20</v>
      </c>
      <c r="E127" s="204" t="s">
        <v>20</v>
      </c>
      <c r="F127" s="204" t="s">
        <v>20</v>
      </c>
    </row>
    <row r="128" spans="1:6">
      <c r="A128" s="10" t="s">
        <v>173</v>
      </c>
      <c r="B128" s="204">
        <v>11</v>
      </c>
      <c r="C128" s="204">
        <v>41</v>
      </c>
      <c r="D128" s="204" t="s">
        <v>20</v>
      </c>
      <c r="E128" s="204" t="s">
        <v>20</v>
      </c>
      <c r="F128" s="204" t="s">
        <v>20</v>
      </c>
    </row>
    <row r="129" spans="1:6">
      <c r="A129" s="10" t="s">
        <v>213</v>
      </c>
      <c r="B129" s="204" t="s">
        <v>20</v>
      </c>
      <c r="C129" s="204">
        <v>10</v>
      </c>
      <c r="D129" s="204" t="s">
        <v>20</v>
      </c>
      <c r="E129" s="204" t="s">
        <v>20</v>
      </c>
      <c r="F129" s="204" t="s">
        <v>20</v>
      </c>
    </row>
    <row r="130" spans="1:6">
      <c r="A130" s="10" t="s">
        <v>175</v>
      </c>
      <c r="B130" s="204" t="s">
        <v>20</v>
      </c>
      <c r="C130" s="204">
        <v>245</v>
      </c>
      <c r="D130" s="204" t="s">
        <v>20</v>
      </c>
      <c r="E130" s="204" t="s">
        <v>20</v>
      </c>
      <c r="F130" s="204" t="s">
        <v>20</v>
      </c>
    </row>
    <row r="131" spans="1:6">
      <c r="A131" s="10" t="s">
        <v>179</v>
      </c>
      <c r="B131" s="204">
        <v>1E-4</v>
      </c>
      <c r="C131" s="204">
        <v>1E-4</v>
      </c>
      <c r="D131" s="204">
        <v>1E-4</v>
      </c>
      <c r="E131" s="204">
        <v>1E-4</v>
      </c>
      <c r="F131" s="204">
        <v>1E-4</v>
      </c>
    </row>
    <row r="132" spans="1:6">
      <c r="A132" s="10" t="s">
        <v>214</v>
      </c>
      <c r="B132" s="204">
        <v>16721</v>
      </c>
      <c r="C132" s="204">
        <v>18855</v>
      </c>
      <c r="D132" s="204">
        <v>19545</v>
      </c>
      <c r="E132" s="204">
        <v>20452</v>
      </c>
      <c r="F132" s="204">
        <v>21229</v>
      </c>
    </row>
    <row r="133" spans="1:6">
      <c r="A133" s="10" t="s">
        <v>215</v>
      </c>
      <c r="B133" s="204">
        <v>5000</v>
      </c>
      <c r="C133" s="204">
        <v>5000</v>
      </c>
      <c r="D133" s="204">
        <v>5000</v>
      </c>
      <c r="E133" s="204">
        <v>7000</v>
      </c>
      <c r="F133" s="204">
        <v>7000</v>
      </c>
    </row>
    <row r="134" spans="1:6">
      <c r="A134" s="10" t="s">
        <v>216</v>
      </c>
      <c r="B134" s="204">
        <v>5000</v>
      </c>
      <c r="C134" s="204">
        <v>5000</v>
      </c>
      <c r="D134" s="204">
        <v>5000</v>
      </c>
      <c r="E134" s="204">
        <v>7000</v>
      </c>
      <c r="F134" s="204">
        <v>7000</v>
      </c>
    </row>
    <row r="135" spans="1:6">
      <c r="A135" s="10" t="s">
        <v>217</v>
      </c>
      <c r="B135" s="204">
        <v>621</v>
      </c>
      <c r="C135" s="204">
        <v>620</v>
      </c>
      <c r="D135" s="204">
        <v>557</v>
      </c>
      <c r="E135" s="204">
        <v>568</v>
      </c>
      <c r="F135" s="204">
        <v>996</v>
      </c>
    </row>
    <row r="136" spans="1:6">
      <c r="A136" s="10" t="s">
        <v>218</v>
      </c>
      <c r="B136" s="204">
        <v>108</v>
      </c>
      <c r="C136" s="204">
        <v>120</v>
      </c>
      <c r="D136" s="204">
        <v>102</v>
      </c>
      <c r="E136" s="204">
        <v>123</v>
      </c>
      <c r="F136" s="204">
        <v>179</v>
      </c>
    </row>
    <row r="137" spans="1:6">
      <c r="A137" s="10" t="s">
        <v>219</v>
      </c>
      <c r="B137" s="204">
        <v>103</v>
      </c>
      <c r="C137" s="204">
        <v>108</v>
      </c>
      <c r="D137" s="204">
        <v>107</v>
      </c>
      <c r="E137" s="204">
        <v>111</v>
      </c>
      <c r="F137" s="204">
        <v>162</v>
      </c>
    </row>
    <row r="138" spans="1:6">
      <c r="A138" s="10" t="s">
        <v>220</v>
      </c>
      <c r="B138" s="204">
        <v>95</v>
      </c>
      <c r="C138" s="204">
        <v>100</v>
      </c>
      <c r="D138" s="204">
        <v>91</v>
      </c>
      <c r="E138" s="204">
        <v>98</v>
      </c>
      <c r="F138" s="204">
        <v>123</v>
      </c>
    </row>
    <row r="139" spans="1:6">
      <c r="A139" s="10" t="s">
        <v>221</v>
      </c>
      <c r="B139" s="204">
        <v>82</v>
      </c>
      <c r="C139" s="204">
        <v>85</v>
      </c>
      <c r="D139" s="204">
        <v>78</v>
      </c>
      <c r="E139" s="204">
        <v>76</v>
      </c>
      <c r="F139" s="204">
        <v>99</v>
      </c>
    </row>
    <row r="140" spans="1:6">
      <c r="A140" s="10" t="s">
        <v>222</v>
      </c>
      <c r="B140" s="204">
        <v>70</v>
      </c>
      <c r="C140" s="204">
        <v>75</v>
      </c>
      <c r="D140" s="204">
        <v>58</v>
      </c>
      <c r="E140" s="204">
        <v>60</v>
      </c>
      <c r="F140" s="204">
        <v>76</v>
      </c>
    </row>
    <row r="141" spans="1:6">
      <c r="A141" s="10" t="s">
        <v>223</v>
      </c>
      <c r="B141" s="204">
        <v>163</v>
      </c>
      <c r="C141" s="204">
        <v>132</v>
      </c>
      <c r="D141" s="204">
        <v>121</v>
      </c>
      <c r="E141" s="204">
        <v>100</v>
      </c>
      <c r="F141" s="204">
        <v>357</v>
      </c>
    </row>
    <row r="142" spans="1:6">
      <c r="A142" s="10" t="s">
        <v>224</v>
      </c>
      <c r="B142" s="204">
        <v>5972</v>
      </c>
      <c r="C142" s="204">
        <v>-7094</v>
      </c>
      <c r="D142" s="204">
        <v>6412</v>
      </c>
      <c r="E142" s="204">
        <v>6541</v>
      </c>
      <c r="F142" s="204">
        <v>-6802</v>
      </c>
    </row>
    <row r="143" spans="1:6">
      <c r="A143" s="10" t="s">
        <v>225</v>
      </c>
      <c r="B143" s="204">
        <v>798</v>
      </c>
      <c r="C143" s="204">
        <v>1046</v>
      </c>
      <c r="D143" s="204">
        <v>1167</v>
      </c>
      <c r="E143" s="204">
        <v>1553</v>
      </c>
      <c r="F143" s="204">
        <v>1641</v>
      </c>
    </row>
    <row r="144" spans="1:6">
      <c r="A144" s="10" t="s">
        <v>182</v>
      </c>
      <c r="B144" s="204">
        <v>36210</v>
      </c>
      <c r="C144" s="204">
        <v>37589</v>
      </c>
      <c r="D144" s="204">
        <v>35581</v>
      </c>
      <c r="E144" s="204">
        <v>38733</v>
      </c>
      <c r="F144" s="204">
        <v>39137</v>
      </c>
    </row>
    <row r="145" spans="1:6">
      <c r="A145" s="10" t="s">
        <v>226</v>
      </c>
      <c r="B145" s="204">
        <v>512</v>
      </c>
      <c r="C145" s="204">
        <v>410</v>
      </c>
      <c r="D145" s="204">
        <v>1131</v>
      </c>
      <c r="E145" s="204">
        <v>293</v>
      </c>
      <c r="F145" s="204">
        <v>103</v>
      </c>
    </row>
    <row r="146" spans="1:6">
      <c r="A146" s="10" t="s">
        <v>227</v>
      </c>
      <c r="B146" s="204">
        <v>93</v>
      </c>
      <c r="C146" s="204">
        <v>83</v>
      </c>
      <c r="D146" s="204">
        <v>190</v>
      </c>
      <c r="E146" s="204">
        <v>206</v>
      </c>
      <c r="F146" s="204">
        <v>832</v>
      </c>
    </row>
    <row r="147" spans="1:6">
      <c r="A147" s="10" t="s">
        <v>228</v>
      </c>
      <c r="B147" s="204">
        <v>20500</v>
      </c>
      <c r="C147" s="204">
        <v>21500</v>
      </c>
      <c r="D147" s="204">
        <v>26500</v>
      </c>
      <c r="E147" s="204">
        <v>28800</v>
      </c>
      <c r="F147" s="204">
        <v>31600</v>
      </c>
    </row>
    <row r="148" spans="1:6">
      <c r="A148" s="10" t="s">
        <v>229</v>
      </c>
      <c r="B148" s="204">
        <v>1306</v>
      </c>
      <c r="C148" s="204">
        <v>1518</v>
      </c>
      <c r="D148" s="204">
        <v>1582</v>
      </c>
      <c r="E148" s="204">
        <v>1738</v>
      </c>
      <c r="F148" s="204" t="s">
        <v>20</v>
      </c>
    </row>
    <row r="149" spans="1:6">
      <c r="A149" s="10" t="s">
        <v>230</v>
      </c>
      <c r="B149" s="204">
        <v>245.513385</v>
      </c>
      <c r="C149" s="204">
        <v>245.513385</v>
      </c>
      <c r="D149" s="204" t="s">
        <v>20</v>
      </c>
      <c r="E149" s="204" t="s">
        <v>20</v>
      </c>
      <c r="F149" s="204">
        <v>4.8353840000000003</v>
      </c>
    </row>
    <row r="150" spans="1:6">
      <c r="A150" s="10" t="s">
        <v>231</v>
      </c>
      <c r="B150" s="204">
        <v>10.684538999999999</v>
      </c>
      <c r="C150" s="204">
        <v>10.099892000000001</v>
      </c>
      <c r="D150" s="204">
        <v>1628.169181</v>
      </c>
      <c r="E150" s="204">
        <v>1580.6799000000001</v>
      </c>
      <c r="F150" s="204">
        <v>120.338948</v>
      </c>
    </row>
    <row r="151" spans="1:6">
      <c r="A151" s="10" t="s">
        <v>232</v>
      </c>
      <c r="B151" s="204" t="s">
        <v>20</v>
      </c>
      <c r="C151" s="204" t="s">
        <v>20</v>
      </c>
      <c r="D151" s="204">
        <v>245.513385</v>
      </c>
      <c r="E151" s="204" t="s">
        <v>20</v>
      </c>
      <c r="F151" s="204">
        <v>9.5957740000000005</v>
      </c>
    </row>
    <row r="152" spans="1:6">
      <c r="A152" s="10" t="s">
        <v>233</v>
      </c>
      <c r="B152" s="204" t="s">
        <v>20</v>
      </c>
      <c r="C152" s="204" t="s">
        <v>20</v>
      </c>
      <c r="D152" s="204">
        <v>9.8121050000000007</v>
      </c>
      <c r="E152" s="204" t="s">
        <v>20</v>
      </c>
      <c r="F152" s="204" t="s">
        <v>20</v>
      </c>
    </row>
    <row r="153" spans="1:6">
      <c r="A153" s="10" t="s">
        <v>234</v>
      </c>
      <c r="B153" s="204">
        <v>1692.3837619999999</v>
      </c>
      <c r="C153" s="204">
        <v>1669.7307619999999</v>
      </c>
      <c r="D153" s="204" t="s">
        <v>20</v>
      </c>
      <c r="E153" s="204" t="s">
        <v>20</v>
      </c>
      <c r="F153" s="204">
        <v>1728.1050210000001</v>
      </c>
    </row>
    <row r="154" spans="1:6">
      <c r="A154" s="10" t="s">
        <v>235</v>
      </c>
      <c r="B154" s="204">
        <v>23317</v>
      </c>
      <c r="C154" s="204">
        <v>23239</v>
      </c>
      <c r="D154" s="204">
        <v>323</v>
      </c>
      <c r="E154" s="204">
        <v>257</v>
      </c>
      <c r="F154" s="204">
        <v>237</v>
      </c>
    </row>
    <row r="155" spans="1:6">
      <c r="A155" s="10" t="s">
        <v>236</v>
      </c>
      <c r="B155" s="204">
        <v>333</v>
      </c>
      <c r="C155" s="204">
        <v>286</v>
      </c>
      <c r="D155" s="204">
        <v>20622</v>
      </c>
      <c r="E155" s="204">
        <v>21740</v>
      </c>
      <c r="F155" s="204">
        <v>22557</v>
      </c>
    </row>
    <row r="156" spans="1:6">
      <c r="A156" s="10" t="s">
        <v>237</v>
      </c>
      <c r="B156" s="204">
        <v>20500</v>
      </c>
      <c r="C156" s="204">
        <v>21500</v>
      </c>
      <c r="D156" s="204">
        <v>26500</v>
      </c>
      <c r="E156" s="204">
        <v>28800</v>
      </c>
      <c r="F156" s="204">
        <v>31600</v>
      </c>
    </row>
    <row r="157" spans="1:6">
      <c r="A157" s="10" t="s">
        <v>238</v>
      </c>
      <c r="B157" s="204">
        <v>613</v>
      </c>
      <c r="C157" s="204">
        <v>695</v>
      </c>
      <c r="D157" s="204">
        <v>783</v>
      </c>
      <c r="E157" s="204">
        <v>855</v>
      </c>
      <c r="F157" s="204">
        <v>-477</v>
      </c>
    </row>
    <row r="158" spans="1:6">
      <c r="A158" s="10" t="s">
        <v>239</v>
      </c>
      <c r="B158" s="204">
        <v>914</v>
      </c>
      <c r="C158" s="204">
        <v>894</v>
      </c>
      <c r="D158" s="204">
        <v>1456</v>
      </c>
      <c r="E158" s="204">
        <v>1751</v>
      </c>
      <c r="F158" s="204">
        <v>1727</v>
      </c>
    </row>
    <row r="159" spans="1:6">
      <c r="A159" s="10" t="s">
        <v>240</v>
      </c>
      <c r="B159" s="204">
        <v>717</v>
      </c>
      <c r="C159" s="204">
        <v>758</v>
      </c>
      <c r="D159" s="204">
        <v>950</v>
      </c>
      <c r="E159" s="204">
        <v>1047</v>
      </c>
      <c r="F159" s="204" t="s">
        <v>20</v>
      </c>
    </row>
    <row r="160" spans="1:6">
      <c r="A160" s="10" t="s">
        <v>241</v>
      </c>
      <c r="B160" s="204">
        <v>914</v>
      </c>
      <c r="C160" s="204">
        <v>894</v>
      </c>
      <c r="D160" s="204">
        <v>1456</v>
      </c>
      <c r="E160" s="204">
        <v>1751</v>
      </c>
      <c r="F160" s="204">
        <v>1727</v>
      </c>
    </row>
    <row r="161" spans="1:6">
      <c r="A161" s="10" t="s">
        <v>242</v>
      </c>
      <c r="B161" s="204">
        <v>1.2479819999999999</v>
      </c>
      <c r="C161" s="204">
        <v>1.0224299999999999</v>
      </c>
      <c r="D161" s="204">
        <v>0.96157000000000004</v>
      </c>
      <c r="E161" s="204">
        <v>0.79801699999999998</v>
      </c>
      <c r="F161" s="204">
        <v>0.72269499999999998</v>
      </c>
    </row>
    <row r="162" spans="1:6">
      <c r="A162" s="10" t="s">
        <v>243</v>
      </c>
      <c r="B162" s="204">
        <v>5.7865489999999999</v>
      </c>
      <c r="C162" s="204">
        <v>5.8397790000000001</v>
      </c>
      <c r="D162" s="204">
        <v>6.1686240000000003</v>
      </c>
      <c r="E162" s="204">
        <v>5.9253549999999997</v>
      </c>
      <c r="F162" s="204">
        <v>5.3647320000000001</v>
      </c>
    </row>
    <row r="163" spans="1:6">
      <c r="A163" s="10" t="s">
        <v>212</v>
      </c>
      <c r="B163" s="204">
        <v>3</v>
      </c>
      <c r="C163" s="204">
        <v>0</v>
      </c>
      <c r="D163" s="204">
        <v>3</v>
      </c>
      <c r="E163" s="204">
        <v>3</v>
      </c>
      <c r="F163" s="204">
        <v>5</v>
      </c>
    </row>
    <row r="164" spans="1:6">
      <c r="A164" s="10" t="s">
        <v>212</v>
      </c>
      <c r="B164" s="204">
        <v>0</v>
      </c>
      <c r="C164" s="204">
        <v>3</v>
      </c>
      <c r="D164" s="204">
        <v>2</v>
      </c>
      <c r="E164" s="204">
        <v>2</v>
      </c>
      <c r="F164" s="204" t="s">
        <v>20</v>
      </c>
    </row>
    <row r="165" spans="1:6">
      <c r="A165" s="10" t="s">
        <v>244</v>
      </c>
      <c r="B165" s="204">
        <v>2</v>
      </c>
      <c r="C165" s="204">
        <v>2</v>
      </c>
      <c r="D165" s="204">
        <v>0</v>
      </c>
      <c r="E165" s="204">
        <v>0</v>
      </c>
      <c r="F165" s="204" t="s">
        <v>20</v>
      </c>
    </row>
    <row r="166" spans="1:6">
      <c r="A166" s="10" t="s">
        <v>245</v>
      </c>
      <c r="B166" s="204">
        <v>1.1088979999999999</v>
      </c>
      <c r="C166" s="204">
        <v>0.91209300000000004</v>
      </c>
      <c r="D166" s="204">
        <v>0.49721399999999999</v>
      </c>
      <c r="E166" s="204">
        <v>1.0062120000000001</v>
      </c>
      <c r="F166" s="204">
        <v>-1.2435419999999999</v>
      </c>
    </row>
    <row r="167" spans="1:6">
      <c r="A167" s="10" t="s">
        <v>246</v>
      </c>
      <c r="B167" s="204" t="s">
        <v>20</v>
      </c>
      <c r="C167" s="204">
        <v>0</v>
      </c>
      <c r="D167" s="204">
        <v>1.2639999999999999E-3</v>
      </c>
      <c r="E167" s="204">
        <v>2.7160000000000001E-3</v>
      </c>
      <c r="F167" s="204" t="s">
        <v>20</v>
      </c>
    </row>
    <row r="168" spans="1:6">
      <c r="A168" s="10" t="s">
        <v>247</v>
      </c>
      <c r="B168" s="204">
        <v>5174</v>
      </c>
      <c r="C168" s="204">
        <v>-6048</v>
      </c>
      <c r="D168" s="204">
        <v>5245</v>
      </c>
      <c r="E168" s="204">
        <v>4988</v>
      </c>
      <c r="F168" s="204">
        <v>-5161</v>
      </c>
    </row>
    <row r="169" spans="1:6">
      <c r="A169" s="10" t="s">
        <v>248</v>
      </c>
      <c r="B169" s="204">
        <v>3412</v>
      </c>
      <c r="C169" s="204">
        <v>1730</v>
      </c>
      <c r="D169" s="204">
        <v>83</v>
      </c>
      <c r="E169" s="204">
        <v>85</v>
      </c>
      <c r="F169" s="204">
        <v>194</v>
      </c>
    </row>
    <row r="170" spans="1:6">
      <c r="A170" s="10" t="s">
        <v>248</v>
      </c>
      <c r="B170" s="204" t="s">
        <v>20</v>
      </c>
      <c r="C170" s="204">
        <v>384</v>
      </c>
      <c r="D170" s="204">
        <v>7</v>
      </c>
      <c r="E170" s="204">
        <v>0</v>
      </c>
      <c r="F170" s="204">
        <v>8</v>
      </c>
    </row>
    <row r="171" spans="1:6">
      <c r="A171" s="10" t="s">
        <v>248</v>
      </c>
      <c r="B171" s="204" t="s">
        <v>20</v>
      </c>
      <c r="C171" s="204">
        <v>685</v>
      </c>
      <c r="D171" s="204">
        <v>0</v>
      </c>
      <c r="E171" s="204">
        <v>0</v>
      </c>
      <c r="F171" s="204">
        <v>78</v>
      </c>
    </row>
    <row r="172" spans="1:6">
      <c r="A172" s="10" t="s">
        <v>248</v>
      </c>
      <c r="B172" s="204" t="s">
        <v>20</v>
      </c>
      <c r="C172" s="204">
        <v>569</v>
      </c>
      <c r="D172" s="204">
        <v>0</v>
      </c>
      <c r="E172" s="204">
        <v>33</v>
      </c>
      <c r="F172" s="204">
        <v>0</v>
      </c>
    </row>
    <row r="173" spans="1:6">
      <c r="A173" s="10" t="s">
        <v>248</v>
      </c>
      <c r="B173" s="204" t="s">
        <v>20</v>
      </c>
      <c r="C173" s="204" t="s">
        <v>20</v>
      </c>
      <c r="D173" s="204">
        <v>0</v>
      </c>
      <c r="E173" s="204">
        <v>0</v>
      </c>
      <c r="F173" s="204">
        <v>0</v>
      </c>
    </row>
    <row r="174" spans="1:6">
      <c r="A174" s="10" t="s">
        <v>248</v>
      </c>
      <c r="B174" s="204" t="s">
        <v>20</v>
      </c>
      <c r="C174" s="204" t="s">
        <v>20</v>
      </c>
      <c r="D174" s="204">
        <v>27</v>
      </c>
      <c r="E174" s="204">
        <v>5</v>
      </c>
      <c r="F174" s="204">
        <v>1</v>
      </c>
    </row>
    <row r="175" spans="1:6">
      <c r="A175" s="10" t="s">
        <v>136</v>
      </c>
      <c r="B175" s="204">
        <v>16289</v>
      </c>
      <c r="C175" s="204">
        <v>894</v>
      </c>
      <c r="D175" s="204">
        <v>1449</v>
      </c>
      <c r="E175" s="204">
        <v>1764</v>
      </c>
      <c r="F175" s="204">
        <v>3089</v>
      </c>
    </row>
    <row r="176" spans="1:6">
      <c r="A176" s="10" t="s">
        <v>249</v>
      </c>
      <c r="B176" s="204">
        <v>901</v>
      </c>
      <c r="C176" s="204">
        <v>16487</v>
      </c>
      <c r="D176" s="204">
        <v>15689</v>
      </c>
      <c r="E176" s="204">
        <v>16286</v>
      </c>
      <c r="F176" s="204">
        <v>11975</v>
      </c>
    </row>
    <row r="177" spans="1:6">
      <c r="A177" s="10" t="s">
        <v>250</v>
      </c>
      <c r="B177" s="204">
        <v>1850</v>
      </c>
      <c r="C177" s="204">
        <v>2260</v>
      </c>
      <c r="D177" s="204">
        <v>2342</v>
      </c>
      <c r="E177" s="204">
        <v>3005</v>
      </c>
      <c r="F177" s="204">
        <v>3524</v>
      </c>
    </row>
    <row r="178" spans="1:6">
      <c r="A178" s="10" t="s">
        <v>251</v>
      </c>
      <c r="B178" s="204">
        <v>3643</v>
      </c>
      <c r="C178" s="204">
        <v>1000</v>
      </c>
      <c r="D178" s="204">
        <v>2250</v>
      </c>
      <c r="E178" s="204">
        <v>0</v>
      </c>
      <c r="F178" s="204">
        <v>0</v>
      </c>
    </row>
    <row r="179" spans="1:6">
      <c r="A179" s="10" t="s">
        <v>252</v>
      </c>
      <c r="B179" s="204" t="s">
        <v>20</v>
      </c>
      <c r="C179" s="204">
        <v>2250</v>
      </c>
      <c r="D179" s="204">
        <v>0</v>
      </c>
      <c r="E179" s="204">
        <v>0</v>
      </c>
      <c r="F179" s="204">
        <v>5513</v>
      </c>
    </row>
    <row r="180" spans="1:6">
      <c r="A180" s="10" t="s">
        <v>253</v>
      </c>
      <c r="B180" s="204" t="s">
        <v>20</v>
      </c>
      <c r="C180" s="204">
        <v>0</v>
      </c>
      <c r="D180" s="204">
        <v>0</v>
      </c>
      <c r="E180" s="204">
        <v>5434</v>
      </c>
      <c r="F180" s="204">
        <v>2750</v>
      </c>
    </row>
    <row r="181" spans="1:6">
      <c r="A181" s="10" t="s">
        <v>254</v>
      </c>
      <c r="B181" s="204" t="s">
        <v>20</v>
      </c>
      <c r="C181" s="204">
        <v>0</v>
      </c>
      <c r="D181" s="204">
        <v>5325</v>
      </c>
      <c r="E181" s="204">
        <v>2750</v>
      </c>
      <c r="F181" s="204">
        <v>0</v>
      </c>
    </row>
    <row r="182" spans="1:6">
      <c r="A182" s="10" t="s">
        <v>255</v>
      </c>
      <c r="B182" s="204" t="s">
        <v>20</v>
      </c>
      <c r="C182" s="204">
        <v>4000</v>
      </c>
      <c r="D182" s="204">
        <v>2750</v>
      </c>
      <c r="E182" s="204">
        <v>0</v>
      </c>
      <c r="F182" s="204">
        <v>1120</v>
      </c>
    </row>
    <row r="183" spans="1:6">
      <c r="A183" s="10" t="s">
        <v>256</v>
      </c>
      <c r="B183" s="204">
        <v>23754</v>
      </c>
      <c r="C183" s="204">
        <v>13750</v>
      </c>
      <c r="D183" s="204">
        <v>12620</v>
      </c>
      <c r="E183" s="204">
        <v>12752</v>
      </c>
      <c r="F183" s="204" t="s">
        <v>20</v>
      </c>
    </row>
    <row r="184" spans="1:6">
      <c r="A184" s="10" t="s">
        <v>256</v>
      </c>
      <c r="B184" s="204" t="s">
        <v>20</v>
      </c>
      <c r="C184" s="204" t="s">
        <v>20</v>
      </c>
      <c r="D184" s="204" t="s">
        <v>20</v>
      </c>
      <c r="E184" s="204" t="s">
        <v>20</v>
      </c>
      <c r="F184" s="204">
        <v>11728</v>
      </c>
    </row>
    <row r="185" spans="1:6">
      <c r="A185" s="10" t="s">
        <v>257</v>
      </c>
      <c r="B185" s="204">
        <v>21071</v>
      </c>
      <c r="C185" s="204">
        <v>20977</v>
      </c>
      <c r="D185" s="204">
        <v>22450</v>
      </c>
      <c r="E185" s="204">
        <v>20463</v>
      </c>
      <c r="F185" s="204">
        <v>20836</v>
      </c>
    </row>
    <row r="186" spans="1:6">
      <c r="A186" s="10" t="s">
        <v>258</v>
      </c>
      <c r="B186" s="204">
        <v>32854</v>
      </c>
      <c r="C186" s="204">
        <v>19978</v>
      </c>
      <c r="D186" s="204">
        <v>20200</v>
      </c>
      <c r="E186" s="204">
        <v>20463</v>
      </c>
      <c r="F186" s="204">
        <v>20836</v>
      </c>
    </row>
    <row r="187" spans="1:6">
      <c r="A187" s="10" t="s">
        <v>259</v>
      </c>
      <c r="B187" s="204" t="s">
        <v>20</v>
      </c>
      <c r="C187" s="204" t="s">
        <v>20</v>
      </c>
      <c r="D187" s="204" t="s">
        <v>20</v>
      </c>
      <c r="E187" s="204">
        <v>16</v>
      </c>
      <c r="F187" s="204">
        <v>64</v>
      </c>
    </row>
    <row r="188" spans="1:6">
      <c r="A188" s="10" t="s">
        <v>259</v>
      </c>
      <c r="B188" s="204" t="s">
        <v>20</v>
      </c>
      <c r="C188" s="204" t="s">
        <v>20</v>
      </c>
      <c r="D188" s="204" t="s">
        <v>20</v>
      </c>
      <c r="E188" s="204">
        <v>13</v>
      </c>
      <c r="F188" s="204" t="s">
        <v>20</v>
      </c>
    </row>
    <row r="189" spans="1:6">
      <c r="A189" s="10" t="s">
        <v>259</v>
      </c>
      <c r="B189" s="204" t="s">
        <v>20</v>
      </c>
      <c r="C189" s="204" t="s">
        <v>20</v>
      </c>
      <c r="D189" s="204" t="s">
        <v>20</v>
      </c>
      <c r="E189" s="204">
        <v>17</v>
      </c>
      <c r="F189" s="204" t="s">
        <v>20</v>
      </c>
    </row>
    <row r="190" spans="1:6">
      <c r="A190" s="10" t="s">
        <v>259</v>
      </c>
      <c r="B190" s="204">
        <v>44</v>
      </c>
      <c r="C190" s="204">
        <v>40</v>
      </c>
      <c r="D190" s="204">
        <v>56</v>
      </c>
      <c r="E190" s="204">
        <v>10</v>
      </c>
      <c r="F190" s="204" t="s">
        <v>20</v>
      </c>
    </row>
    <row r="191" spans="1:6">
      <c r="A191" s="10" t="s">
        <v>260</v>
      </c>
      <c r="B191" s="204">
        <v>8114</v>
      </c>
      <c r="C191" s="204">
        <v>8676</v>
      </c>
      <c r="D191" s="204">
        <v>11589</v>
      </c>
      <c r="E191" s="204">
        <v>12182</v>
      </c>
      <c r="F191" s="204">
        <v>-16958</v>
      </c>
    </row>
    <row r="192" spans="1:6">
      <c r="A192" s="10" t="s">
        <v>261</v>
      </c>
      <c r="B192" s="204">
        <v>627</v>
      </c>
      <c r="C192" s="204">
        <v>471</v>
      </c>
      <c r="D192" s="204">
        <v>98</v>
      </c>
      <c r="E192" s="204">
        <v>412</v>
      </c>
      <c r="F192" s="204">
        <v>685</v>
      </c>
    </row>
    <row r="193" spans="1:6">
      <c r="A193" s="10" t="s">
        <v>262</v>
      </c>
      <c r="B193" s="204" t="s">
        <v>20</v>
      </c>
      <c r="C193" s="204">
        <v>103</v>
      </c>
      <c r="D193" s="204">
        <v>422</v>
      </c>
      <c r="E193" s="204">
        <v>106</v>
      </c>
      <c r="F193" s="204">
        <v>150</v>
      </c>
    </row>
    <row r="194" spans="1:6">
      <c r="A194" s="10" t="s">
        <v>263</v>
      </c>
      <c r="B194" s="204">
        <v>12522</v>
      </c>
      <c r="C194" s="204">
        <v>11779</v>
      </c>
      <c r="D194" s="204">
        <v>11736</v>
      </c>
      <c r="E194" s="204">
        <v>13504</v>
      </c>
      <c r="F194" s="204" t="s">
        <v>20</v>
      </c>
    </row>
    <row r="195" spans="1:6">
      <c r="A195" s="10" t="s">
        <v>263</v>
      </c>
      <c r="B195" s="204">
        <v>148</v>
      </c>
      <c r="C195" s="204">
        <v>0</v>
      </c>
      <c r="D195" s="204">
        <v>437</v>
      </c>
      <c r="E195" s="204">
        <v>0</v>
      </c>
      <c r="F195" s="204">
        <v>15684</v>
      </c>
    </row>
    <row r="196" spans="1:6">
      <c r="A196" s="10" t="s">
        <v>263</v>
      </c>
      <c r="B196" s="204">
        <v>0</v>
      </c>
      <c r="C196" s="204">
        <v>2985</v>
      </c>
      <c r="D196" s="204">
        <v>0</v>
      </c>
      <c r="E196" s="204">
        <v>23</v>
      </c>
      <c r="F196" s="204" t="s">
        <v>20</v>
      </c>
    </row>
    <row r="197" spans="1:6">
      <c r="A197" s="10" t="s">
        <v>263</v>
      </c>
      <c r="B197" s="204">
        <v>0</v>
      </c>
      <c r="C197" s="204">
        <v>490</v>
      </c>
      <c r="D197" s="204">
        <v>22</v>
      </c>
      <c r="E197" s="204">
        <v>339</v>
      </c>
      <c r="F197" s="204" t="s">
        <v>20</v>
      </c>
    </row>
    <row r="198" spans="1:6">
      <c r="A198" s="10" t="s">
        <v>263</v>
      </c>
      <c r="B198" s="204">
        <v>650</v>
      </c>
      <c r="C198" s="204">
        <v>4</v>
      </c>
      <c r="D198" s="204">
        <v>799</v>
      </c>
      <c r="E198" s="204">
        <v>0</v>
      </c>
      <c r="F198" s="204" t="s">
        <v>20</v>
      </c>
    </row>
    <row r="199" spans="1:6">
      <c r="A199" s="10" t="s">
        <v>263</v>
      </c>
      <c r="B199" s="204">
        <v>1253</v>
      </c>
      <c r="C199" s="204">
        <v>2400</v>
      </c>
      <c r="D199" s="204">
        <v>4005</v>
      </c>
      <c r="E199" s="204">
        <v>4316</v>
      </c>
      <c r="F199" s="204" t="s">
        <v>20</v>
      </c>
    </row>
    <row r="200" spans="1:6">
      <c r="A200" s="10" t="s">
        <v>264</v>
      </c>
      <c r="B200" s="204">
        <v>0</v>
      </c>
      <c r="C200" s="204">
        <v>0</v>
      </c>
      <c r="D200" s="204">
        <v>0</v>
      </c>
      <c r="E200" s="204">
        <v>301</v>
      </c>
      <c r="F200" s="204" t="s">
        <v>20</v>
      </c>
    </row>
    <row r="201" spans="1:6">
      <c r="A201" s="10" t="s">
        <v>263</v>
      </c>
      <c r="B201" s="204" t="s">
        <v>20</v>
      </c>
      <c r="C201" s="204">
        <v>0</v>
      </c>
      <c r="D201" s="204">
        <v>0</v>
      </c>
      <c r="E201" s="204">
        <v>0</v>
      </c>
      <c r="F201" s="204" t="s">
        <v>20</v>
      </c>
    </row>
    <row r="202" spans="1:6">
      <c r="A202" s="10" t="s">
        <v>265</v>
      </c>
      <c r="B202" s="204">
        <v>0</v>
      </c>
      <c r="C202" s="204">
        <v>0</v>
      </c>
      <c r="D202" s="204">
        <v>0</v>
      </c>
      <c r="E202" s="204">
        <v>0</v>
      </c>
      <c r="F202" s="204" t="s">
        <v>20</v>
      </c>
    </row>
    <row r="203" spans="1:6">
      <c r="A203" s="10" t="s">
        <v>266</v>
      </c>
      <c r="B203" s="204">
        <v>1469</v>
      </c>
      <c r="C203" s="204">
        <v>100</v>
      </c>
      <c r="D203" s="204">
        <v>0</v>
      </c>
      <c r="E203" s="204">
        <v>0</v>
      </c>
      <c r="F203" s="204" t="s">
        <v>20</v>
      </c>
    </row>
    <row r="204" spans="1:6">
      <c r="A204" s="10" t="s">
        <v>267</v>
      </c>
      <c r="B204" s="204">
        <v>0</v>
      </c>
      <c r="C204" s="204">
        <v>0</v>
      </c>
      <c r="D204" s="204">
        <v>0</v>
      </c>
      <c r="E204" s="204">
        <v>0</v>
      </c>
      <c r="F204" s="204" t="s">
        <v>20</v>
      </c>
    </row>
    <row r="205" spans="1:6">
      <c r="A205" s="10" t="s">
        <v>268</v>
      </c>
      <c r="B205" s="204">
        <v>0</v>
      </c>
      <c r="C205" s="204">
        <v>0</v>
      </c>
      <c r="D205" s="204">
        <v>457</v>
      </c>
      <c r="E205" s="204">
        <v>1108</v>
      </c>
      <c r="F205" s="204">
        <v>599</v>
      </c>
    </row>
    <row r="206" spans="1:6">
      <c r="A206" s="10" t="s">
        <v>269</v>
      </c>
      <c r="B206" s="204">
        <v>2582</v>
      </c>
      <c r="C206" s="204">
        <v>245</v>
      </c>
      <c r="D206" s="204">
        <v>0</v>
      </c>
      <c r="E206" s="204">
        <v>0</v>
      </c>
      <c r="F206" s="204" t="s">
        <v>20</v>
      </c>
    </row>
    <row r="207" spans="1:6">
      <c r="A207" s="10" t="s">
        <v>270</v>
      </c>
      <c r="B207" s="204">
        <v>0</v>
      </c>
      <c r="C207" s="204">
        <v>0</v>
      </c>
      <c r="D207" s="204">
        <v>0</v>
      </c>
      <c r="E207" s="204">
        <v>0</v>
      </c>
      <c r="F207" s="204" t="s">
        <v>20</v>
      </c>
    </row>
    <row r="208" spans="1:6">
      <c r="A208" s="10" t="s">
        <v>271</v>
      </c>
      <c r="B208" s="204">
        <v>512</v>
      </c>
      <c r="C208" s="204">
        <v>0</v>
      </c>
      <c r="D208" s="204">
        <v>1131</v>
      </c>
      <c r="E208" s="204">
        <v>293</v>
      </c>
      <c r="F208" s="204" t="s">
        <v>20</v>
      </c>
    </row>
    <row r="209" spans="1:6">
      <c r="A209" s="10" t="s">
        <v>272</v>
      </c>
      <c r="B209" s="204" t="s">
        <v>20</v>
      </c>
      <c r="C209" s="204">
        <v>410</v>
      </c>
      <c r="D209" s="204" t="s">
        <v>20</v>
      </c>
      <c r="E209" s="204">
        <v>0</v>
      </c>
      <c r="F209" s="204" t="s">
        <v>20</v>
      </c>
    </row>
    <row r="210" spans="1:6">
      <c r="A210" s="10" t="s">
        <v>265</v>
      </c>
      <c r="B210" s="204" t="s">
        <v>20</v>
      </c>
      <c r="C210" s="204" t="s">
        <v>20</v>
      </c>
      <c r="D210" s="204" t="s">
        <v>20</v>
      </c>
      <c r="E210" s="204">
        <v>0</v>
      </c>
      <c r="F210" s="204" t="s">
        <v>20</v>
      </c>
    </row>
    <row r="211" spans="1:6">
      <c r="A211" s="10" t="s">
        <v>273</v>
      </c>
      <c r="B211" s="204">
        <v>12522</v>
      </c>
      <c r="C211" s="204" t="s">
        <v>20</v>
      </c>
      <c r="D211" s="204" t="s">
        <v>20</v>
      </c>
      <c r="E211" s="204" t="s">
        <v>20</v>
      </c>
      <c r="F211" s="204" t="s">
        <v>20</v>
      </c>
    </row>
    <row r="212" spans="1:6">
      <c r="A212" s="10" t="s">
        <v>274</v>
      </c>
      <c r="B212" s="204">
        <v>0</v>
      </c>
      <c r="C212" s="204">
        <v>11779</v>
      </c>
      <c r="D212" s="204">
        <v>11736</v>
      </c>
      <c r="E212" s="204">
        <v>13504</v>
      </c>
      <c r="F212" s="204" t="s">
        <v>20</v>
      </c>
    </row>
    <row r="213" spans="1:6">
      <c r="A213" s="10" t="s">
        <v>275</v>
      </c>
      <c r="B213" s="204">
        <v>650</v>
      </c>
      <c r="C213" s="204" t="s">
        <v>20</v>
      </c>
      <c r="D213" s="204">
        <v>0</v>
      </c>
      <c r="E213" s="204">
        <v>301</v>
      </c>
      <c r="F213" s="204" t="s">
        <v>20</v>
      </c>
    </row>
    <row r="214" spans="1:6">
      <c r="A214" s="10" t="s">
        <v>273</v>
      </c>
      <c r="B214" s="204">
        <v>0</v>
      </c>
      <c r="C214" s="204">
        <v>410</v>
      </c>
      <c r="D214" s="204">
        <v>0</v>
      </c>
      <c r="E214" s="204">
        <v>0</v>
      </c>
      <c r="F214" s="204">
        <v>15684</v>
      </c>
    </row>
    <row r="215" spans="1:6">
      <c r="A215" s="10" t="s">
        <v>273</v>
      </c>
      <c r="B215" s="204">
        <v>1253</v>
      </c>
      <c r="C215" s="204">
        <v>100</v>
      </c>
      <c r="D215" s="204">
        <v>0</v>
      </c>
      <c r="E215" s="204">
        <v>1108</v>
      </c>
      <c r="F215" s="204">
        <v>599</v>
      </c>
    </row>
    <row r="216" spans="1:6">
      <c r="A216" s="10" t="s">
        <v>273</v>
      </c>
      <c r="B216" s="204">
        <v>0</v>
      </c>
      <c r="C216" s="204">
        <v>490</v>
      </c>
      <c r="D216" s="204">
        <v>457</v>
      </c>
      <c r="E216" s="204">
        <v>293</v>
      </c>
      <c r="F216" s="204" t="s">
        <v>20</v>
      </c>
    </row>
    <row r="217" spans="1:6">
      <c r="A217" s="10" t="s">
        <v>273</v>
      </c>
      <c r="B217" s="204">
        <v>2582</v>
      </c>
      <c r="C217" s="204">
        <v>0</v>
      </c>
      <c r="D217" s="204">
        <v>4005</v>
      </c>
      <c r="E217" s="204">
        <v>0</v>
      </c>
      <c r="F217" s="204" t="s">
        <v>20</v>
      </c>
    </row>
    <row r="218" spans="1:6">
      <c r="A218" s="10" t="s">
        <v>273</v>
      </c>
      <c r="B218" s="204">
        <v>512</v>
      </c>
      <c r="C218" s="204">
        <v>0</v>
      </c>
      <c r="D218" s="204">
        <v>0</v>
      </c>
      <c r="E218" s="204">
        <v>23</v>
      </c>
      <c r="F218" s="204" t="s">
        <v>20</v>
      </c>
    </row>
    <row r="219" spans="1:6">
      <c r="A219" s="10" t="s">
        <v>273</v>
      </c>
      <c r="B219" s="204">
        <v>0</v>
      </c>
      <c r="C219" s="204">
        <v>2985</v>
      </c>
      <c r="D219" s="204">
        <v>22</v>
      </c>
      <c r="E219" s="204">
        <v>0</v>
      </c>
      <c r="F219" s="204" t="s">
        <v>20</v>
      </c>
    </row>
    <row r="220" spans="1:6">
      <c r="A220" s="10" t="s">
        <v>273</v>
      </c>
      <c r="B220" s="204">
        <v>148</v>
      </c>
      <c r="C220" s="204">
        <v>4</v>
      </c>
      <c r="D220" s="204">
        <v>0</v>
      </c>
      <c r="E220" s="204">
        <v>0</v>
      </c>
      <c r="F220" s="204" t="s">
        <v>20</v>
      </c>
    </row>
    <row r="221" spans="1:6">
      <c r="A221" s="10" t="s">
        <v>273</v>
      </c>
      <c r="B221" s="204">
        <v>0</v>
      </c>
      <c r="C221" s="204">
        <v>0</v>
      </c>
      <c r="D221" s="204">
        <v>799</v>
      </c>
      <c r="E221" s="204">
        <v>0</v>
      </c>
      <c r="F221" s="204" t="s">
        <v>20</v>
      </c>
    </row>
    <row r="222" spans="1:6">
      <c r="A222" s="10" t="s">
        <v>273</v>
      </c>
      <c r="B222" s="204">
        <v>1469</v>
      </c>
      <c r="C222" s="204">
        <v>0</v>
      </c>
      <c r="D222" s="204">
        <v>437</v>
      </c>
      <c r="E222" s="204">
        <v>0</v>
      </c>
      <c r="F222" s="204" t="s">
        <v>20</v>
      </c>
    </row>
    <row r="223" spans="1:6">
      <c r="A223" s="10" t="s">
        <v>273</v>
      </c>
      <c r="B223" s="204">
        <v>0</v>
      </c>
      <c r="C223" s="204">
        <v>0</v>
      </c>
      <c r="D223" s="204">
        <v>0</v>
      </c>
      <c r="E223" s="204">
        <v>0</v>
      </c>
      <c r="F223" s="204" t="s">
        <v>20</v>
      </c>
    </row>
    <row r="224" spans="1:6">
      <c r="A224" s="10" t="s">
        <v>273</v>
      </c>
      <c r="B224" s="204">
        <v>0</v>
      </c>
      <c r="C224" s="204">
        <v>0</v>
      </c>
      <c r="D224" s="204">
        <v>1131</v>
      </c>
      <c r="E224" s="204">
        <v>0</v>
      </c>
      <c r="F224" s="204" t="s">
        <v>20</v>
      </c>
    </row>
    <row r="225" spans="1:6">
      <c r="A225" s="10" t="s">
        <v>273</v>
      </c>
      <c r="B225" s="204" t="s">
        <v>20</v>
      </c>
      <c r="C225" s="204">
        <v>245</v>
      </c>
      <c r="D225" s="204">
        <v>0</v>
      </c>
      <c r="E225" s="204">
        <v>339</v>
      </c>
      <c r="F225" s="204" t="s">
        <v>20</v>
      </c>
    </row>
    <row r="226" spans="1:6">
      <c r="A226" s="10" t="s">
        <v>273</v>
      </c>
      <c r="B226" s="204" t="s">
        <v>20</v>
      </c>
      <c r="C226" s="204">
        <v>0</v>
      </c>
      <c r="D226" s="204">
        <v>0</v>
      </c>
      <c r="E226" s="204">
        <v>4316</v>
      </c>
      <c r="F226" s="204" t="s">
        <v>20</v>
      </c>
    </row>
    <row r="227" spans="1:6">
      <c r="A227" s="10" t="s">
        <v>273</v>
      </c>
      <c r="B227" s="204" t="s">
        <v>20</v>
      </c>
      <c r="C227" s="204">
        <v>2400</v>
      </c>
      <c r="D227" s="204" t="s">
        <v>20</v>
      </c>
      <c r="E227" s="204">
        <v>0</v>
      </c>
      <c r="F227" s="204" t="s">
        <v>20</v>
      </c>
    </row>
    <row r="228" spans="1:6">
      <c r="A228" s="10" t="s">
        <v>276</v>
      </c>
      <c r="B228" s="204">
        <v>0</v>
      </c>
      <c r="C228" s="204">
        <v>167</v>
      </c>
      <c r="D228" s="204">
        <v>0</v>
      </c>
      <c r="E228" s="204">
        <v>0</v>
      </c>
      <c r="F228" s="204">
        <v>238</v>
      </c>
    </row>
    <row r="229" spans="1:6">
      <c r="A229" s="10" t="s">
        <v>277</v>
      </c>
      <c r="B229" s="204">
        <v>135</v>
      </c>
      <c r="C229" s="204">
        <v>0</v>
      </c>
      <c r="D229" s="204">
        <v>146</v>
      </c>
      <c r="E229" s="204">
        <v>175</v>
      </c>
      <c r="F229" s="204" t="s">
        <v>20</v>
      </c>
    </row>
    <row r="230" spans="1:6">
      <c r="A230" s="10" t="s">
        <v>278</v>
      </c>
      <c r="B230" s="204" t="s">
        <v>20</v>
      </c>
      <c r="C230" s="204">
        <v>0</v>
      </c>
      <c r="D230" s="204">
        <v>0</v>
      </c>
      <c r="E230" s="204">
        <v>0</v>
      </c>
      <c r="F230" s="204" t="s">
        <v>20</v>
      </c>
    </row>
    <row r="231" spans="1:6">
      <c r="A231" s="10" t="s">
        <v>278</v>
      </c>
      <c r="B231" s="204">
        <v>181</v>
      </c>
      <c r="C231" s="204">
        <v>109</v>
      </c>
      <c r="D231" s="204">
        <v>418</v>
      </c>
      <c r="E231" s="204">
        <v>396</v>
      </c>
      <c r="F231" s="204">
        <v>226</v>
      </c>
    </row>
    <row r="232" spans="1:6">
      <c r="A232" s="10" t="s">
        <v>279</v>
      </c>
      <c r="B232" s="204">
        <v>135</v>
      </c>
      <c r="C232" s="204">
        <v>0</v>
      </c>
      <c r="D232" s="204">
        <v>146</v>
      </c>
      <c r="E232" s="204">
        <v>175</v>
      </c>
      <c r="F232" s="204" t="s">
        <v>20</v>
      </c>
    </row>
    <row r="233" spans="1:6">
      <c r="A233" s="10" t="s">
        <v>280</v>
      </c>
      <c r="B233" s="204">
        <v>0</v>
      </c>
      <c r="C233" s="204">
        <v>0</v>
      </c>
      <c r="D233" s="204">
        <v>0</v>
      </c>
      <c r="E233" s="204">
        <v>0</v>
      </c>
      <c r="F233" s="204">
        <v>238</v>
      </c>
    </row>
    <row r="234" spans="1:6">
      <c r="A234" s="10" t="s">
        <v>281</v>
      </c>
      <c r="B234" s="204">
        <v>0</v>
      </c>
      <c r="C234" s="204">
        <v>109</v>
      </c>
      <c r="D234" s="204">
        <v>0</v>
      </c>
      <c r="E234" s="204">
        <v>0</v>
      </c>
      <c r="F234" s="204">
        <v>226</v>
      </c>
    </row>
    <row r="235" spans="1:6">
      <c r="A235" s="10" t="s">
        <v>279</v>
      </c>
      <c r="B235" s="204">
        <v>181</v>
      </c>
      <c r="C235" s="204">
        <v>167</v>
      </c>
      <c r="D235" s="204">
        <v>418</v>
      </c>
      <c r="E235" s="204">
        <v>396</v>
      </c>
      <c r="F235" s="204" t="s">
        <v>20</v>
      </c>
    </row>
    <row r="236" spans="1:6">
      <c r="A236" s="10" t="s">
        <v>282</v>
      </c>
      <c r="B236" s="204">
        <v>6.7193000000000003E-2</v>
      </c>
      <c r="C236" s="204">
        <v>5.7106999999999998E-2</v>
      </c>
      <c r="D236" s="204">
        <v>0.13424700000000001</v>
      </c>
      <c r="E236" s="204">
        <v>3.2357999999999998E-2</v>
      </c>
      <c r="F236" s="204">
        <v>-3.9775999999999999E-2</v>
      </c>
    </row>
    <row r="237" spans="1:6">
      <c r="A237" s="10" t="s">
        <v>283</v>
      </c>
      <c r="B237" s="204">
        <v>6081</v>
      </c>
      <c r="C237" s="204">
        <v>1818</v>
      </c>
      <c r="D237" s="204">
        <v>83</v>
      </c>
      <c r="E237" s="204">
        <v>85</v>
      </c>
      <c r="F237" s="204">
        <v>194</v>
      </c>
    </row>
    <row r="238" spans="1:6">
      <c r="A238" s="10" t="s">
        <v>284</v>
      </c>
      <c r="B238" s="204">
        <v>5535</v>
      </c>
      <c r="C238" s="204">
        <v>975</v>
      </c>
      <c r="D238" s="204">
        <v>27</v>
      </c>
      <c r="E238" s="204">
        <v>33</v>
      </c>
      <c r="F238" s="204">
        <v>78</v>
      </c>
    </row>
    <row r="239" spans="1:6">
      <c r="A239" s="10" t="s">
        <v>284</v>
      </c>
      <c r="B239" s="204" t="s">
        <v>20</v>
      </c>
      <c r="C239" s="204" t="s">
        <v>20</v>
      </c>
      <c r="D239" s="204" t="s">
        <v>20</v>
      </c>
      <c r="E239" s="204">
        <v>5</v>
      </c>
      <c r="F239" s="204">
        <v>8</v>
      </c>
    </row>
    <row r="240" spans="1:6">
      <c r="A240" s="10" t="s">
        <v>285</v>
      </c>
      <c r="B240" s="204">
        <v>2037</v>
      </c>
      <c r="C240" s="204">
        <v>897</v>
      </c>
      <c r="D240" s="204">
        <v>7</v>
      </c>
      <c r="E240" s="204">
        <v>0</v>
      </c>
      <c r="F240" s="204">
        <v>1</v>
      </c>
    </row>
    <row r="241" spans="1:6">
      <c r="A241" s="10" t="s">
        <v>285</v>
      </c>
      <c r="B241" s="204" t="s">
        <v>20</v>
      </c>
      <c r="C241" s="204" t="s">
        <v>20</v>
      </c>
      <c r="D241" s="204" t="s">
        <v>20</v>
      </c>
      <c r="E241" s="204">
        <v>0</v>
      </c>
      <c r="F241" s="204">
        <v>0</v>
      </c>
    </row>
    <row r="242" spans="1:6">
      <c r="A242" s="10" t="s">
        <v>286</v>
      </c>
      <c r="B242" s="204">
        <v>25284</v>
      </c>
      <c r="C242" s="204">
        <v>936</v>
      </c>
      <c r="D242" s="204">
        <v>0</v>
      </c>
      <c r="E242" s="204">
        <v>0</v>
      </c>
      <c r="F242" s="204">
        <v>0</v>
      </c>
    </row>
    <row r="243" spans="1:6">
      <c r="A243" s="10" t="s">
        <v>287</v>
      </c>
      <c r="B243" s="204">
        <v>38937</v>
      </c>
      <c r="C243" s="204">
        <v>4626</v>
      </c>
      <c r="D243" s="204">
        <v>117</v>
      </c>
      <c r="E243" s="204">
        <v>123</v>
      </c>
      <c r="F243" s="204">
        <v>281</v>
      </c>
    </row>
    <row r="244" spans="1:6">
      <c r="A244" s="10" t="s">
        <v>288</v>
      </c>
      <c r="B244" s="204">
        <v>512</v>
      </c>
      <c r="C244" s="204">
        <v>410</v>
      </c>
      <c r="D244" s="204">
        <v>1131</v>
      </c>
      <c r="E244" s="204">
        <v>396</v>
      </c>
      <c r="F244" s="204">
        <v>226</v>
      </c>
    </row>
    <row r="245" spans="1:6">
      <c r="A245" s="10" t="s">
        <v>289</v>
      </c>
      <c r="B245" s="204">
        <v>181</v>
      </c>
      <c r="C245" s="204">
        <v>109</v>
      </c>
      <c r="D245" s="204">
        <v>418</v>
      </c>
      <c r="E245" s="204">
        <v>293</v>
      </c>
      <c r="F245" s="204">
        <v>103</v>
      </c>
    </row>
    <row r="246" spans="1:6">
      <c r="A246" s="10" t="s">
        <v>290</v>
      </c>
      <c r="B246" s="204">
        <v>570</v>
      </c>
      <c r="C246" s="204">
        <v>574</v>
      </c>
      <c r="D246" s="204">
        <v>520</v>
      </c>
      <c r="E246" s="204">
        <v>518</v>
      </c>
      <c r="F246" s="204">
        <v>835</v>
      </c>
    </row>
    <row r="247" spans="1:6">
      <c r="A247" s="10" t="s">
        <v>291</v>
      </c>
      <c r="B247" s="204">
        <v>4411</v>
      </c>
      <c r="C247" s="204" t="s">
        <v>20</v>
      </c>
      <c r="D247" s="204" t="s">
        <v>20</v>
      </c>
      <c r="E247" s="204" t="s">
        <v>20</v>
      </c>
      <c r="F247" s="204" t="s">
        <v>20</v>
      </c>
    </row>
    <row r="248" spans="1:6">
      <c r="A248" s="10" t="s">
        <v>291</v>
      </c>
      <c r="B248" s="204">
        <v>1046</v>
      </c>
      <c r="C248" s="204" t="s">
        <v>20</v>
      </c>
      <c r="D248" s="204" t="s">
        <v>20</v>
      </c>
      <c r="E248" s="204" t="s">
        <v>20</v>
      </c>
      <c r="F248" s="204" t="s">
        <v>20</v>
      </c>
    </row>
    <row r="249" spans="1:6">
      <c r="A249" s="10" t="s">
        <v>292</v>
      </c>
      <c r="B249" s="204">
        <v>29.37</v>
      </c>
      <c r="C249" s="204">
        <v>39.51</v>
      </c>
      <c r="D249" s="204">
        <v>43.16</v>
      </c>
      <c r="E249" s="204">
        <v>57.31</v>
      </c>
      <c r="F249" s="204">
        <v>62.55</v>
      </c>
    </row>
    <row r="250" spans="1:6">
      <c r="A250" s="10" t="s">
        <v>293</v>
      </c>
      <c r="B250" s="204">
        <v>1.6</v>
      </c>
      <c r="C250" s="204">
        <v>0.3</v>
      </c>
      <c r="D250" s="204">
        <v>1.1000000000000001</v>
      </c>
      <c r="E250" s="204">
        <v>4</v>
      </c>
      <c r="F250" s="204">
        <v>4.4000000000000004</v>
      </c>
    </row>
    <row r="251" spans="1:6">
      <c r="A251" s="10" t="s">
        <v>294</v>
      </c>
      <c r="B251" s="204">
        <v>4.03</v>
      </c>
      <c r="C251" s="204">
        <v>4.07</v>
      </c>
      <c r="D251" s="204">
        <v>4.1100000000000003</v>
      </c>
      <c r="E251" s="204">
        <v>4.17</v>
      </c>
      <c r="F251" s="204">
        <v>4.2300000000000004</v>
      </c>
    </row>
    <row r="252" spans="1:6">
      <c r="A252" s="10" t="s">
        <v>295</v>
      </c>
      <c r="B252" s="204">
        <v>18.7</v>
      </c>
      <c r="C252" s="204">
        <v>25.1</v>
      </c>
      <c r="D252" s="204">
        <v>27.1</v>
      </c>
      <c r="E252" s="204">
        <v>28.6</v>
      </c>
      <c r="F252" s="204">
        <v>24.1</v>
      </c>
    </row>
    <row r="253" spans="1:6">
      <c r="A253" s="10" t="s">
        <v>296</v>
      </c>
      <c r="B253" s="204">
        <v>0.7</v>
      </c>
      <c r="C253" s="204">
        <v>0.6</v>
      </c>
      <c r="D253" s="204">
        <v>0.7</v>
      </c>
      <c r="E253" s="204">
        <v>0.8</v>
      </c>
      <c r="F253" s="204">
        <v>0.8</v>
      </c>
    </row>
    <row r="254" spans="1:6">
      <c r="A254" s="10" t="s">
        <v>297</v>
      </c>
      <c r="B254" s="204">
        <v>87.28</v>
      </c>
      <c r="C254" s="204">
        <v>105.05</v>
      </c>
      <c r="D254" s="204">
        <v>122.49</v>
      </c>
      <c r="E254" s="204">
        <v>144.75</v>
      </c>
      <c r="F254" s="204">
        <v>165.79</v>
      </c>
    </row>
    <row r="255" spans="1:6">
      <c r="A255" s="10" t="s">
        <v>298</v>
      </c>
      <c r="B255" s="204">
        <v>114.61</v>
      </c>
      <c r="C255" s="204">
        <v>134.56</v>
      </c>
      <c r="D255" s="204">
        <v>145.91999999999999</v>
      </c>
      <c r="E255" s="204">
        <v>162.4</v>
      </c>
      <c r="F255" s="204">
        <v>183.02</v>
      </c>
    </row>
    <row r="256" spans="1:6">
      <c r="A256" s="10" t="s">
        <v>299</v>
      </c>
      <c r="B256" s="204">
        <v>3.425611</v>
      </c>
      <c r="C256" s="204">
        <v>3.7365089999999999</v>
      </c>
      <c r="D256" s="204">
        <v>4.299455</v>
      </c>
      <c r="E256" s="204">
        <v>4.2418610000000001</v>
      </c>
      <c r="F256" s="204">
        <v>3.8624339999999999</v>
      </c>
    </row>
    <row r="257" spans="1:6">
      <c r="A257" s="10" t="s">
        <v>300</v>
      </c>
      <c r="B257" s="204">
        <v>178</v>
      </c>
      <c r="C257" s="204">
        <v>-161</v>
      </c>
      <c r="D257" s="204">
        <v>173</v>
      </c>
      <c r="E257" s="204">
        <v>159</v>
      </c>
      <c r="F257" s="204">
        <v>-142</v>
      </c>
    </row>
    <row r="258" spans="1:6">
      <c r="A258" s="10" t="s">
        <v>301</v>
      </c>
      <c r="B258" s="204">
        <v>248</v>
      </c>
      <c r="C258" s="204" t="s">
        <v>20</v>
      </c>
      <c r="D258" s="204" t="s">
        <v>20</v>
      </c>
      <c r="E258" s="204" t="s">
        <v>20</v>
      </c>
      <c r="F258" s="204" t="s">
        <v>20</v>
      </c>
    </row>
    <row r="259" spans="1:6">
      <c r="A259" s="10" t="s">
        <v>302</v>
      </c>
      <c r="B259" s="204">
        <v>84</v>
      </c>
      <c r="C259" s="204">
        <v>-103</v>
      </c>
      <c r="D259" s="204">
        <v>120</v>
      </c>
      <c r="E259" s="204">
        <v>149</v>
      </c>
      <c r="F259" s="204">
        <v>-212</v>
      </c>
    </row>
    <row r="260" spans="1:6">
      <c r="A260" s="10" t="s">
        <v>303</v>
      </c>
      <c r="B260" s="204">
        <v>8500</v>
      </c>
      <c r="C260" s="204">
        <v>9500</v>
      </c>
      <c r="D260" s="204">
        <v>8000</v>
      </c>
      <c r="E260" s="204">
        <v>12000</v>
      </c>
      <c r="F260" s="204">
        <v>12000</v>
      </c>
    </row>
    <row r="261" spans="1:6">
      <c r="A261" s="10" t="s">
        <v>303</v>
      </c>
      <c r="B261" s="204" t="s">
        <v>20</v>
      </c>
      <c r="C261" s="204">
        <v>8000</v>
      </c>
      <c r="D261" s="204">
        <v>12000</v>
      </c>
      <c r="E261" s="204" t="s">
        <v>20</v>
      </c>
      <c r="F261" s="204">
        <v>25000</v>
      </c>
    </row>
    <row r="262" spans="1:6">
      <c r="A262" s="10" t="s">
        <v>304</v>
      </c>
      <c r="B262" s="204">
        <v>5389</v>
      </c>
      <c r="C262" s="204">
        <v>4679</v>
      </c>
      <c r="D262" s="204">
        <v>5095</v>
      </c>
      <c r="E262" s="204">
        <v>4733</v>
      </c>
      <c r="F262" s="204">
        <v>13075</v>
      </c>
    </row>
    <row r="263" spans="1:6">
      <c r="A263" s="10" t="s">
        <v>305</v>
      </c>
      <c r="B263" s="204">
        <v>12522</v>
      </c>
      <c r="C263" s="204">
        <v>11779</v>
      </c>
      <c r="D263" s="204">
        <v>11736</v>
      </c>
      <c r="E263" s="204">
        <v>13504</v>
      </c>
      <c r="F263" s="204">
        <v>10403</v>
      </c>
    </row>
    <row r="264" spans="1:6">
      <c r="A264" s="10" t="s">
        <v>305</v>
      </c>
      <c r="B264" s="204">
        <v>0</v>
      </c>
      <c r="C264" s="204">
        <v>0</v>
      </c>
      <c r="D264" s="204">
        <v>799</v>
      </c>
      <c r="E264" s="204">
        <v>0</v>
      </c>
      <c r="F264" s="204">
        <v>7</v>
      </c>
    </row>
    <row r="265" spans="1:6">
      <c r="A265" s="10" t="s">
        <v>305</v>
      </c>
      <c r="B265" s="204">
        <v>650</v>
      </c>
      <c r="C265" s="204">
        <v>2400</v>
      </c>
      <c r="D265" s="204">
        <v>0</v>
      </c>
      <c r="E265" s="204">
        <v>301</v>
      </c>
      <c r="F265" s="204">
        <v>0</v>
      </c>
    </row>
    <row r="266" spans="1:6">
      <c r="A266" s="10" t="s">
        <v>307</v>
      </c>
      <c r="B266" s="204">
        <v>148</v>
      </c>
      <c r="C266" s="204">
        <v>2985</v>
      </c>
      <c r="D266" s="204">
        <v>4005</v>
      </c>
      <c r="E266" s="204">
        <v>4316</v>
      </c>
      <c r="F266" s="204">
        <v>4948</v>
      </c>
    </row>
    <row r="267" spans="1:6">
      <c r="A267" s="10" t="s">
        <v>307</v>
      </c>
      <c r="B267" s="204">
        <v>0</v>
      </c>
      <c r="C267" s="204">
        <v>490</v>
      </c>
      <c r="D267" s="204">
        <v>22</v>
      </c>
      <c r="E267" s="204">
        <v>0</v>
      </c>
      <c r="F267" s="204">
        <v>301</v>
      </c>
    </row>
    <row r="268" spans="1:6">
      <c r="A268" s="10" t="s">
        <v>307</v>
      </c>
      <c r="B268" s="204">
        <v>1253</v>
      </c>
      <c r="C268" s="204">
        <v>4</v>
      </c>
      <c r="D268" s="204">
        <v>0</v>
      </c>
      <c r="E268" s="204">
        <v>339</v>
      </c>
      <c r="F268" s="204">
        <v>25</v>
      </c>
    </row>
    <row r="269" spans="1:6">
      <c r="A269" s="10" t="s">
        <v>307</v>
      </c>
      <c r="B269" s="204" t="s">
        <v>20</v>
      </c>
      <c r="C269" s="204">
        <v>0</v>
      </c>
      <c r="D269" s="204">
        <v>437</v>
      </c>
      <c r="E269" s="204">
        <v>23</v>
      </c>
      <c r="F269" s="204" t="s">
        <v>20</v>
      </c>
    </row>
    <row r="270" spans="1:6">
      <c r="A270" s="10" t="s">
        <v>308</v>
      </c>
      <c r="B270" s="204">
        <v>0</v>
      </c>
      <c r="C270" s="204" t="s">
        <v>20</v>
      </c>
      <c r="D270" s="204">
        <v>0</v>
      </c>
      <c r="E270" s="204">
        <v>0</v>
      </c>
      <c r="F270" s="204">
        <v>0</v>
      </c>
    </row>
    <row r="271" spans="1:6">
      <c r="A271" s="10" t="s">
        <v>309</v>
      </c>
      <c r="B271" s="204">
        <v>0</v>
      </c>
      <c r="C271" s="204">
        <v>0</v>
      </c>
      <c r="D271" s="204">
        <v>0</v>
      </c>
      <c r="E271" s="204">
        <v>0</v>
      </c>
      <c r="F271" s="204">
        <v>0</v>
      </c>
    </row>
    <row r="272" spans="1:6">
      <c r="A272" s="10" t="s">
        <v>310</v>
      </c>
      <c r="B272" s="204">
        <v>1469</v>
      </c>
      <c r="C272" s="204">
        <v>0</v>
      </c>
      <c r="D272" s="204">
        <v>0</v>
      </c>
      <c r="E272" s="204">
        <v>0</v>
      </c>
      <c r="F272" s="204">
        <v>0</v>
      </c>
    </row>
    <row r="273" spans="1:6">
      <c r="A273" s="10" t="s">
        <v>306</v>
      </c>
      <c r="B273" s="204">
        <v>0</v>
      </c>
      <c r="C273" s="204">
        <v>100</v>
      </c>
      <c r="D273" s="204">
        <v>0</v>
      </c>
      <c r="E273" s="204">
        <v>0</v>
      </c>
      <c r="F273" s="204">
        <v>0</v>
      </c>
    </row>
    <row r="274" spans="1:6">
      <c r="A274" s="10" t="s">
        <v>311</v>
      </c>
      <c r="B274" s="204">
        <v>0</v>
      </c>
      <c r="C274" s="204">
        <v>410</v>
      </c>
      <c r="D274" s="204">
        <v>0</v>
      </c>
      <c r="E274" s="204">
        <v>1108</v>
      </c>
      <c r="F274" s="204">
        <v>0</v>
      </c>
    </row>
    <row r="275" spans="1:6">
      <c r="A275" s="10" t="s">
        <v>311</v>
      </c>
      <c r="B275" s="204">
        <v>2582</v>
      </c>
      <c r="C275" s="204">
        <v>245</v>
      </c>
      <c r="D275" s="204">
        <v>0</v>
      </c>
      <c r="E275" s="204">
        <v>0</v>
      </c>
      <c r="F275" s="204">
        <v>0</v>
      </c>
    </row>
    <row r="276" spans="1:6">
      <c r="A276" s="10" t="s">
        <v>311</v>
      </c>
      <c r="B276" s="204">
        <v>0</v>
      </c>
      <c r="C276" s="204">
        <v>0</v>
      </c>
      <c r="D276" s="204">
        <v>457</v>
      </c>
      <c r="E276" s="204">
        <v>0</v>
      </c>
      <c r="F276" s="204">
        <v>0</v>
      </c>
    </row>
    <row r="277" spans="1:6">
      <c r="A277" s="10" t="s">
        <v>311</v>
      </c>
      <c r="B277" s="204" t="s">
        <v>20</v>
      </c>
      <c r="C277" s="204">
        <v>0</v>
      </c>
      <c r="D277" s="204">
        <v>0</v>
      </c>
      <c r="E277" s="204">
        <v>0</v>
      </c>
      <c r="F277" s="204">
        <v>496</v>
      </c>
    </row>
    <row r="278" spans="1:6">
      <c r="A278" s="10" t="s">
        <v>312</v>
      </c>
      <c r="B278" s="204" t="s">
        <v>20</v>
      </c>
      <c r="C278" s="204" t="s">
        <v>20</v>
      </c>
      <c r="D278" s="204" t="s">
        <v>20</v>
      </c>
      <c r="E278" s="204" t="s">
        <v>20</v>
      </c>
      <c r="F278" s="204">
        <v>103</v>
      </c>
    </row>
    <row r="279" spans="1:6">
      <c r="A279" s="10" t="s">
        <v>312</v>
      </c>
      <c r="B279" s="204">
        <v>512</v>
      </c>
      <c r="C279" s="204" t="s">
        <v>20</v>
      </c>
      <c r="D279" s="204">
        <v>1131</v>
      </c>
      <c r="E279" s="204">
        <v>293</v>
      </c>
      <c r="F279" s="204" t="s">
        <v>20</v>
      </c>
    </row>
    <row r="280" spans="1:6">
      <c r="A280" s="10" t="s">
        <v>313</v>
      </c>
      <c r="B280" s="204">
        <v>0</v>
      </c>
      <c r="C280" s="204">
        <v>100</v>
      </c>
      <c r="D280" s="204">
        <v>0</v>
      </c>
      <c r="E280" s="204">
        <v>0</v>
      </c>
      <c r="F280" s="204">
        <v>7</v>
      </c>
    </row>
    <row r="281" spans="1:6">
      <c r="A281" s="10" t="s">
        <v>313</v>
      </c>
      <c r="B281" s="204">
        <v>650</v>
      </c>
      <c r="C281" s="204">
        <v>0</v>
      </c>
      <c r="D281" s="204">
        <v>0</v>
      </c>
      <c r="E281" s="204">
        <v>0</v>
      </c>
      <c r="F281" s="204">
        <v>0</v>
      </c>
    </row>
    <row r="282" spans="1:6">
      <c r="A282" s="10" t="s">
        <v>313</v>
      </c>
      <c r="B282" s="204">
        <v>0</v>
      </c>
      <c r="C282" s="204">
        <v>0</v>
      </c>
      <c r="D282" s="204">
        <v>11736</v>
      </c>
      <c r="E282" s="204">
        <v>301</v>
      </c>
      <c r="F282" s="204">
        <v>0</v>
      </c>
    </row>
    <row r="283" spans="1:6">
      <c r="A283" s="10" t="s">
        <v>313</v>
      </c>
      <c r="B283" s="204">
        <v>0</v>
      </c>
      <c r="C283" s="204">
        <v>2400</v>
      </c>
      <c r="D283" s="204" t="s">
        <v>20</v>
      </c>
      <c r="E283" s="204" t="s">
        <v>20</v>
      </c>
      <c r="F283" s="204" t="s">
        <v>20</v>
      </c>
    </row>
    <row r="284" spans="1:6">
      <c r="A284" s="10" t="s">
        <v>313</v>
      </c>
      <c r="B284" s="204">
        <v>1469</v>
      </c>
      <c r="C284" s="204">
        <v>0</v>
      </c>
      <c r="D284" s="204" t="s">
        <v>20</v>
      </c>
      <c r="E284" s="204" t="s">
        <v>20</v>
      </c>
      <c r="F284" s="204" t="s">
        <v>20</v>
      </c>
    </row>
    <row r="285" spans="1:6">
      <c r="A285" s="10" t="s">
        <v>313</v>
      </c>
      <c r="B285" s="204">
        <v>12522</v>
      </c>
      <c r="C285" s="204">
        <v>11779</v>
      </c>
      <c r="D285" s="204">
        <v>799</v>
      </c>
      <c r="E285" s="204">
        <v>13504</v>
      </c>
      <c r="F285" s="204">
        <v>10403</v>
      </c>
    </row>
    <row r="286" spans="1:6">
      <c r="A286" s="10" t="s">
        <v>314</v>
      </c>
      <c r="B286" s="204">
        <v>148</v>
      </c>
      <c r="C286" s="204">
        <v>4</v>
      </c>
      <c r="D286" s="204">
        <v>457</v>
      </c>
      <c r="E286" s="204">
        <v>0</v>
      </c>
      <c r="F286" s="204">
        <v>0</v>
      </c>
    </row>
    <row r="287" spans="1:6">
      <c r="A287" s="10" t="s">
        <v>306</v>
      </c>
      <c r="B287" s="204">
        <v>0</v>
      </c>
      <c r="C287" s="204">
        <v>0</v>
      </c>
      <c r="D287" s="204">
        <v>0</v>
      </c>
      <c r="E287" s="204">
        <v>0</v>
      </c>
      <c r="F287" s="204">
        <v>4948</v>
      </c>
    </row>
    <row r="288" spans="1:6">
      <c r="A288" s="10" t="s">
        <v>306</v>
      </c>
      <c r="B288" s="204">
        <v>1253</v>
      </c>
      <c r="C288" s="204">
        <v>245</v>
      </c>
      <c r="D288" s="204">
        <v>0</v>
      </c>
      <c r="E288" s="204">
        <v>0</v>
      </c>
      <c r="F288" s="204">
        <v>0</v>
      </c>
    </row>
    <row r="289" spans="1:6">
      <c r="A289" s="10" t="s">
        <v>314</v>
      </c>
      <c r="B289" s="204">
        <v>0</v>
      </c>
      <c r="C289" s="204">
        <v>490</v>
      </c>
      <c r="D289" s="204">
        <v>0</v>
      </c>
      <c r="E289" s="204">
        <v>23</v>
      </c>
      <c r="F289" s="204">
        <v>25</v>
      </c>
    </row>
    <row r="290" spans="1:6">
      <c r="A290" s="10" t="s">
        <v>310</v>
      </c>
      <c r="B290" s="204">
        <v>2582</v>
      </c>
      <c r="C290" s="204">
        <v>0</v>
      </c>
      <c r="D290" s="204">
        <v>437</v>
      </c>
      <c r="E290" s="204">
        <v>0</v>
      </c>
      <c r="F290" s="204">
        <v>0</v>
      </c>
    </row>
    <row r="291" spans="1:6">
      <c r="A291" s="10" t="s">
        <v>310</v>
      </c>
      <c r="B291" s="204">
        <v>0</v>
      </c>
      <c r="C291" s="204">
        <v>0</v>
      </c>
      <c r="D291" s="204">
        <v>0</v>
      </c>
      <c r="E291" s="204">
        <v>1108</v>
      </c>
      <c r="F291" s="204">
        <v>0</v>
      </c>
    </row>
    <row r="292" spans="1:6">
      <c r="A292" s="10" t="s">
        <v>315</v>
      </c>
      <c r="B292" s="204" t="s">
        <v>20</v>
      </c>
      <c r="C292" s="204">
        <v>0</v>
      </c>
      <c r="D292" s="204">
        <v>4005</v>
      </c>
      <c r="E292" s="204">
        <v>339</v>
      </c>
      <c r="F292" s="204">
        <v>496</v>
      </c>
    </row>
    <row r="293" spans="1:6">
      <c r="A293" s="10" t="s">
        <v>315</v>
      </c>
      <c r="B293" s="204" t="s">
        <v>20</v>
      </c>
      <c r="C293" s="204">
        <v>0</v>
      </c>
      <c r="D293" s="204">
        <v>22</v>
      </c>
      <c r="E293" s="204">
        <v>4316</v>
      </c>
      <c r="F293" s="204">
        <v>301</v>
      </c>
    </row>
    <row r="294" spans="1:6">
      <c r="A294" s="10" t="s">
        <v>315</v>
      </c>
      <c r="B294" s="204" t="s">
        <v>20</v>
      </c>
      <c r="C294" s="204">
        <v>410</v>
      </c>
      <c r="D294" s="204">
        <v>0</v>
      </c>
      <c r="E294" s="204">
        <v>0</v>
      </c>
      <c r="F294" s="204" t="s">
        <v>20</v>
      </c>
    </row>
    <row r="295" spans="1:6">
      <c r="A295" s="10" t="s">
        <v>315</v>
      </c>
      <c r="B295" s="204" t="s">
        <v>20</v>
      </c>
      <c r="C295" s="204">
        <v>2985</v>
      </c>
      <c r="D295" s="204" t="s">
        <v>20</v>
      </c>
      <c r="E295" s="204" t="s">
        <v>20</v>
      </c>
      <c r="F295" s="204" t="s">
        <v>20</v>
      </c>
    </row>
    <row r="296" spans="1:6">
      <c r="A296" s="10" t="s">
        <v>316</v>
      </c>
      <c r="B296" s="204">
        <v>512</v>
      </c>
      <c r="C296" s="204" t="s">
        <v>20</v>
      </c>
      <c r="D296" s="204" t="s">
        <v>20</v>
      </c>
      <c r="E296" s="204" t="s">
        <v>20</v>
      </c>
      <c r="F296" s="204">
        <v>103</v>
      </c>
    </row>
    <row r="297" spans="1:6">
      <c r="A297" s="10" t="s">
        <v>316</v>
      </c>
      <c r="B297" s="204">
        <v>0</v>
      </c>
      <c r="C297" s="204" t="s">
        <v>20</v>
      </c>
      <c r="D297" s="204">
        <v>1131</v>
      </c>
      <c r="E297" s="204">
        <v>293</v>
      </c>
      <c r="F297" s="204">
        <v>0</v>
      </c>
    </row>
    <row r="298" spans="1:6">
      <c r="A298" s="10" t="s">
        <v>308</v>
      </c>
      <c r="B298" s="204">
        <v>0</v>
      </c>
      <c r="C298" s="204">
        <v>167</v>
      </c>
      <c r="D298" s="204">
        <v>0</v>
      </c>
      <c r="E298" s="204">
        <v>0</v>
      </c>
      <c r="F298" s="204">
        <v>0</v>
      </c>
    </row>
    <row r="299" spans="1:6">
      <c r="A299" s="10" t="s">
        <v>317</v>
      </c>
      <c r="B299" s="204">
        <v>135</v>
      </c>
      <c r="C299" s="204" t="s">
        <v>20</v>
      </c>
      <c r="D299" s="204">
        <v>146</v>
      </c>
      <c r="E299" s="204">
        <v>175</v>
      </c>
      <c r="F299" s="204">
        <v>238</v>
      </c>
    </row>
    <row r="300" spans="1:6">
      <c r="A300" s="10" t="s">
        <v>318</v>
      </c>
      <c r="B300" s="204">
        <v>181</v>
      </c>
      <c r="C300" s="204">
        <v>109</v>
      </c>
      <c r="D300" s="204">
        <v>418</v>
      </c>
      <c r="E300" s="204">
        <v>396</v>
      </c>
      <c r="F300" s="204">
        <v>226</v>
      </c>
    </row>
    <row r="301" spans="1:6">
      <c r="A301" s="10" t="s">
        <v>319</v>
      </c>
      <c r="B301" s="204">
        <v>181</v>
      </c>
      <c r="C301" s="204">
        <v>0</v>
      </c>
      <c r="D301" s="204">
        <v>0</v>
      </c>
      <c r="E301" s="204">
        <v>0</v>
      </c>
      <c r="F301" s="204">
        <v>0</v>
      </c>
    </row>
    <row r="302" spans="1:6">
      <c r="A302" s="10" t="s">
        <v>319</v>
      </c>
      <c r="B302" s="204" t="s">
        <v>20</v>
      </c>
      <c r="C302" s="204">
        <v>167</v>
      </c>
      <c r="D302" s="204">
        <v>0</v>
      </c>
      <c r="E302" s="204">
        <v>0</v>
      </c>
      <c r="F302" s="204">
        <v>226</v>
      </c>
    </row>
    <row r="303" spans="1:6">
      <c r="A303" s="10" t="s">
        <v>319</v>
      </c>
      <c r="B303" s="204">
        <v>0</v>
      </c>
      <c r="C303" s="204">
        <v>109</v>
      </c>
      <c r="D303" s="204">
        <v>418</v>
      </c>
      <c r="E303" s="204">
        <v>396</v>
      </c>
      <c r="F303" s="204" t="s">
        <v>20</v>
      </c>
    </row>
    <row r="304" spans="1:6">
      <c r="A304" s="10" t="s">
        <v>276</v>
      </c>
      <c r="B304" s="204">
        <v>135</v>
      </c>
      <c r="C304" s="204" t="s">
        <v>20</v>
      </c>
      <c r="D304" s="204">
        <v>0</v>
      </c>
      <c r="E304" s="204">
        <v>0</v>
      </c>
      <c r="F304" s="204">
        <v>238</v>
      </c>
    </row>
    <row r="305" spans="1:6">
      <c r="A305" s="10" t="s">
        <v>276</v>
      </c>
      <c r="B305" s="204">
        <v>0</v>
      </c>
      <c r="C305" s="204" t="s">
        <v>20</v>
      </c>
      <c r="D305" s="204">
        <v>146</v>
      </c>
      <c r="E305" s="204">
        <v>175</v>
      </c>
      <c r="F305" s="204">
        <v>0</v>
      </c>
    </row>
    <row r="306" spans="1:6">
      <c r="A306" s="10" t="s">
        <v>306</v>
      </c>
      <c r="B306" s="204">
        <v>1253</v>
      </c>
      <c r="C306" s="204">
        <v>2985</v>
      </c>
      <c r="D306" s="204">
        <v>4005</v>
      </c>
      <c r="E306" s="204">
        <v>4316</v>
      </c>
      <c r="F306" s="204">
        <v>4948</v>
      </c>
    </row>
    <row r="307" spans="1:6">
      <c r="A307" s="10" t="s">
        <v>320</v>
      </c>
      <c r="B307" s="204" t="s">
        <v>20</v>
      </c>
      <c r="C307" s="204">
        <v>4000</v>
      </c>
      <c r="D307" s="204" t="s">
        <v>20</v>
      </c>
      <c r="E307" s="204" t="s">
        <v>20</v>
      </c>
      <c r="F307" s="204" t="s">
        <v>20</v>
      </c>
    </row>
    <row r="308" spans="1:6">
      <c r="A308" s="10" t="s">
        <v>321</v>
      </c>
      <c r="B308" s="204" t="s">
        <v>20</v>
      </c>
      <c r="C308" s="204" t="s">
        <v>20</v>
      </c>
      <c r="D308" s="204" t="s">
        <v>20</v>
      </c>
      <c r="E308" s="204">
        <v>339</v>
      </c>
      <c r="F308" s="204">
        <v>301</v>
      </c>
    </row>
    <row r="309" spans="1:6">
      <c r="A309" s="10" t="s">
        <v>322</v>
      </c>
      <c r="B309" s="204">
        <v>0</v>
      </c>
      <c r="C309" s="204">
        <v>0</v>
      </c>
      <c r="D309" s="204">
        <v>0</v>
      </c>
      <c r="E309" s="204">
        <v>0</v>
      </c>
      <c r="F309" s="204">
        <v>0</v>
      </c>
    </row>
    <row r="310" spans="1:6">
      <c r="A310" s="10" t="s">
        <v>322</v>
      </c>
      <c r="B310" s="204">
        <v>512</v>
      </c>
      <c r="C310" s="204">
        <v>410</v>
      </c>
      <c r="D310" s="204">
        <v>1131</v>
      </c>
      <c r="E310" s="204">
        <v>293</v>
      </c>
      <c r="F310" s="204">
        <v>103</v>
      </c>
    </row>
    <row r="311" spans="1:6">
      <c r="A311" s="10" t="s">
        <v>323</v>
      </c>
      <c r="B311" s="204">
        <v>2582</v>
      </c>
      <c r="C311" s="204" t="s">
        <v>20</v>
      </c>
      <c r="D311" s="204" t="s">
        <v>20</v>
      </c>
      <c r="E311" s="204" t="s">
        <v>20</v>
      </c>
      <c r="F311" s="204" t="s">
        <v>20</v>
      </c>
    </row>
    <row r="312" spans="1:6">
      <c r="A312" s="10" t="s">
        <v>323</v>
      </c>
      <c r="B312" s="204" t="s">
        <v>20</v>
      </c>
      <c r="C312" s="204" t="s">
        <v>20</v>
      </c>
      <c r="D312" s="204" t="s">
        <v>20</v>
      </c>
      <c r="E312" s="204">
        <v>1108</v>
      </c>
      <c r="F312" s="204">
        <v>496</v>
      </c>
    </row>
    <row r="313" spans="1:6">
      <c r="A313" s="10" t="s">
        <v>324</v>
      </c>
      <c r="B313" s="204">
        <v>470128</v>
      </c>
      <c r="C313" s="204">
        <v>432714</v>
      </c>
      <c r="D313" s="204">
        <v>440722</v>
      </c>
      <c r="E313" s="204">
        <v>551818</v>
      </c>
      <c r="F313" s="204">
        <v>528008</v>
      </c>
    </row>
    <row r="314" spans="1:6">
      <c r="A314" s="10" t="s">
        <v>325</v>
      </c>
      <c r="B314" s="204">
        <v>994800</v>
      </c>
      <c r="C314" s="204">
        <v>863860</v>
      </c>
      <c r="D314" s="204">
        <v>834196</v>
      </c>
      <c r="E314" s="204">
        <v>998502</v>
      </c>
      <c r="F314" s="204">
        <v>1084232</v>
      </c>
    </row>
    <row r="315" spans="1:6">
      <c r="A315" s="10" t="s">
        <v>326</v>
      </c>
      <c r="B315" s="204">
        <v>0</v>
      </c>
      <c r="C315" s="204">
        <v>109</v>
      </c>
      <c r="D315" s="204">
        <v>0</v>
      </c>
      <c r="E315" s="204">
        <v>0</v>
      </c>
      <c r="F315" s="204">
        <v>0</v>
      </c>
    </row>
    <row r="316" spans="1:6">
      <c r="A316" s="10" t="s">
        <v>326</v>
      </c>
      <c r="B316" s="204">
        <v>181</v>
      </c>
      <c r="C316" s="204">
        <v>0</v>
      </c>
      <c r="D316" s="204">
        <v>418</v>
      </c>
      <c r="E316" s="204">
        <v>396</v>
      </c>
      <c r="F316" s="204">
        <v>226</v>
      </c>
    </row>
    <row r="317" spans="1:6">
      <c r="A317" s="10" t="s">
        <v>327</v>
      </c>
      <c r="B317" s="204">
        <v>80</v>
      </c>
      <c r="C317" s="204">
        <v>104</v>
      </c>
      <c r="D317" s="204">
        <v>117</v>
      </c>
      <c r="E317" s="204">
        <v>232</v>
      </c>
      <c r="F317" s="204">
        <v>206</v>
      </c>
    </row>
    <row r="318" spans="1:6">
      <c r="A318" s="10" t="s">
        <v>328</v>
      </c>
      <c r="B318" s="204">
        <v>512</v>
      </c>
      <c r="C318" s="204">
        <v>0</v>
      </c>
      <c r="D318" s="204">
        <v>0</v>
      </c>
      <c r="E318" s="204">
        <v>0</v>
      </c>
      <c r="F318" s="204">
        <v>0</v>
      </c>
    </row>
    <row r="319" spans="1:6">
      <c r="A319" s="10" t="s">
        <v>328</v>
      </c>
      <c r="B319" s="204">
        <v>0</v>
      </c>
      <c r="C319" s="204">
        <v>410</v>
      </c>
      <c r="D319" s="204">
        <v>1131</v>
      </c>
      <c r="E319" s="204">
        <v>293</v>
      </c>
      <c r="F319" s="204">
        <v>103</v>
      </c>
    </row>
    <row r="320" spans="1:6">
      <c r="A320" s="10" t="s">
        <v>329</v>
      </c>
      <c r="B320" s="204">
        <v>181</v>
      </c>
      <c r="C320" s="204">
        <v>109</v>
      </c>
      <c r="D320" s="204">
        <v>418</v>
      </c>
      <c r="E320" s="204">
        <v>396</v>
      </c>
      <c r="F320" s="204">
        <v>226</v>
      </c>
    </row>
    <row r="321" spans="1:6">
      <c r="A321" s="10" t="s">
        <v>329</v>
      </c>
      <c r="B321" s="204">
        <v>0</v>
      </c>
      <c r="C321" s="204">
        <v>0</v>
      </c>
      <c r="D321" s="204">
        <v>0</v>
      </c>
      <c r="E321" s="204">
        <v>0</v>
      </c>
      <c r="F321" s="204">
        <v>0</v>
      </c>
    </row>
    <row r="322" spans="1:6">
      <c r="A322" s="10" t="s">
        <v>330</v>
      </c>
      <c r="B322" s="204">
        <v>5.714658</v>
      </c>
      <c r="C322" s="204">
        <v>5.7865489999999999</v>
      </c>
      <c r="D322" s="204">
        <v>5.8397790000000001</v>
      </c>
      <c r="E322" s="204">
        <v>6.1686240000000003</v>
      </c>
      <c r="F322" s="204">
        <v>5.9253549999999997</v>
      </c>
    </row>
    <row r="323" spans="1:6">
      <c r="A323" s="10" t="s">
        <v>331</v>
      </c>
      <c r="B323" s="204">
        <v>183</v>
      </c>
      <c r="C323" s="204">
        <v>219.03</v>
      </c>
      <c r="D323" s="204">
        <v>206.47</v>
      </c>
      <c r="E323" s="204">
        <v>217.53</v>
      </c>
      <c r="F323" s="204">
        <v>266.24</v>
      </c>
    </row>
    <row r="324" spans="1:6">
      <c r="A324" s="10" t="s">
        <v>332</v>
      </c>
      <c r="B324" s="204">
        <v>2234</v>
      </c>
      <c r="C324" s="204">
        <v>2579</v>
      </c>
      <c r="D324" s="204">
        <v>2488</v>
      </c>
      <c r="E324" s="204">
        <v>2683</v>
      </c>
      <c r="F324" s="204">
        <v>3497</v>
      </c>
    </row>
    <row r="325" spans="1:6">
      <c r="A325" s="10" t="s">
        <v>333</v>
      </c>
      <c r="B325" s="204">
        <v>2579</v>
      </c>
      <c r="C325" s="204">
        <v>2488</v>
      </c>
      <c r="D325" s="204">
        <v>2683</v>
      </c>
      <c r="E325" s="204">
        <v>3497</v>
      </c>
      <c r="F325" s="204">
        <v>3750</v>
      </c>
    </row>
    <row r="326" spans="1:6">
      <c r="A326" s="10" t="s">
        <v>334</v>
      </c>
      <c r="B326" s="204">
        <v>376</v>
      </c>
      <c r="C326" s="204">
        <v>326</v>
      </c>
      <c r="D326" s="204">
        <v>350</v>
      </c>
      <c r="E326" s="204">
        <v>510</v>
      </c>
      <c r="F326" s="204">
        <v>556</v>
      </c>
    </row>
    <row r="327" spans="1:6">
      <c r="A327" s="10" t="s">
        <v>335</v>
      </c>
      <c r="B327" s="204">
        <v>66</v>
      </c>
      <c r="C327" s="204">
        <v>34</v>
      </c>
      <c r="D327" s="204">
        <v>10</v>
      </c>
      <c r="E327" s="204">
        <v>515</v>
      </c>
      <c r="F327" s="204">
        <v>148</v>
      </c>
    </row>
    <row r="328" spans="1:6">
      <c r="A328" s="10" t="s">
        <v>336</v>
      </c>
      <c r="B328" s="204">
        <v>83</v>
      </c>
      <c r="C328" s="204">
        <v>386</v>
      </c>
      <c r="D328" s="204">
        <v>143</v>
      </c>
      <c r="E328" s="204">
        <v>-190</v>
      </c>
      <c r="F328" s="204">
        <v>-322</v>
      </c>
    </row>
    <row r="329" spans="1:6">
      <c r="A329" s="10" t="s">
        <v>337</v>
      </c>
      <c r="B329" s="204">
        <v>12</v>
      </c>
      <c r="C329" s="204">
        <v>63</v>
      </c>
      <c r="D329" s="204">
        <v>19</v>
      </c>
      <c r="E329" s="204">
        <v>-17</v>
      </c>
      <c r="F329" s="204">
        <v>-127</v>
      </c>
    </row>
    <row r="330" spans="1:6">
      <c r="A330" s="10" t="s">
        <v>338</v>
      </c>
      <c r="B330" s="204">
        <v>-2</v>
      </c>
      <c r="C330" s="204">
        <v>2</v>
      </c>
      <c r="D330" s="204">
        <v>3</v>
      </c>
      <c r="E330" s="204">
        <v>-4</v>
      </c>
      <c r="F330" s="204">
        <v>-2</v>
      </c>
    </row>
    <row r="331" spans="1:6">
      <c r="A331" s="10" t="s">
        <v>226</v>
      </c>
      <c r="B331" s="204">
        <v>512</v>
      </c>
      <c r="C331" s="204">
        <v>410</v>
      </c>
      <c r="D331" s="204">
        <v>1131</v>
      </c>
      <c r="E331" s="204">
        <v>293</v>
      </c>
      <c r="F331" s="204">
        <v>103</v>
      </c>
    </row>
    <row r="332" spans="1:6">
      <c r="A332" s="10" t="s">
        <v>339</v>
      </c>
      <c r="B332" s="204">
        <v>4.6905000000000001</v>
      </c>
      <c r="C332" s="204">
        <v>4.5264480000000002</v>
      </c>
      <c r="D332" s="204">
        <v>5.7943199999999999</v>
      </c>
      <c r="E332" s="204">
        <v>6.4173970000000002</v>
      </c>
      <c r="F332" s="204">
        <v>6.359661</v>
      </c>
    </row>
    <row r="333" spans="1:6">
      <c r="A333" s="10" t="s">
        <v>339</v>
      </c>
      <c r="B333" s="204">
        <v>154.06</v>
      </c>
      <c r="C333" s="204">
        <v>188.16</v>
      </c>
      <c r="D333" s="204">
        <v>203.23</v>
      </c>
      <c r="E333" s="204">
        <v>209.19</v>
      </c>
      <c r="F333" s="204">
        <v>230.99</v>
      </c>
    </row>
    <row r="334" spans="1:6">
      <c r="A334" s="10" t="s">
        <v>340</v>
      </c>
      <c r="B334" s="204">
        <v>3000</v>
      </c>
      <c r="C334" s="204">
        <v>3000</v>
      </c>
      <c r="D334" s="204">
        <v>3000</v>
      </c>
      <c r="E334" s="204">
        <v>3000</v>
      </c>
      <c r="F334" s="204">
        <v>3000</v>
      </c>
    </row>
    <row r="335" spans="1:6">
      <c r="A335" s="10" t="s">
        <v>341</v>
      </c>
      <c r="B335" s="204">
        <v>5500</v>
      </c>
      <c r="C335" s="204">
        <v>4800</v>
      </c>
      <c r="D335" s="204">
        <v>5200</v>
      </c>
      <c r="E335" s="204">
        <v>4700</v>
      </c>
      <c r="F335" s="204" t="s">
        <v>20</v>
      </c>
    </row>
    <row r="336" spans="1:6">
      <c r="A336" s="10" t="s">
        <v>342</v>
      </c>
      <c r="B336" s="204">
        <v>3000</v>
      </c>
      <c r="C336" s="204">
        <v>3000</v>
      </c>
      <c r="D336" s="204">
        <v>3000</v>
      </c>
      <c r="E336" s="204">
        <v>3000</v>
      </c>
      <c r="F336" s="204">
        <v>3000</v>
      </c>
    </row>
    <row r="337" spans="1:6">
      <c r="A337" s="10" t="s">
        <v>276</v>
      </c>
      <c r="B337" s="204">
        <v>44</v>
      </c>
      <c r="C337" s="204">
        <v>40</v>
      </c>
      <c r="D337" s="204">
        <v>56</v>
      </c>
      <c r="E337" s="204">
        <v>16</v>
      </c>
      <c r="F337" s="204">
        <v>64</v>
      </c>
    </row>
    <row r="338" spans="1:6">
      <c r="A338" s="10" t="s">
        <v>276</v>
      </c>
      <c r="B338" s="204" t="s">
        <v>20</v>
      </c>
      <c r="C338" s="204" t="s">
        <v>20</v>
      </c>
      <c r="D338" s="204" t="s">
        <v>20</v>
      </c>
      <c r="E338" s="204">
        <v>10</v>
      </c>
      <c r="F338" s="204" t="s">
        <v>20</v>
      </c>
    </row>
    <row r="339" spans="1:6">
      <c r="A339" s="10" t="s">
        <v>343</v>
      </c>
      <c r="B339" s="204" t="s">
        <v>20</v>
      </c>
      <c r="C339" s="204" t="s">
        <v>20</v>
      </c>
      <c r="D339" s="204" t="s">
        <v>20</v>
      </c>
      <c r="E339" s="204">
        <v>13</v>
      </c>
      <c r="F339" s="204" t="s">
        <v>20</v>
      </c>
    </row>
    <row r="340" spans="1:6">
      <c r="A340" s="10" t="s">
        <v>276</v>
      </c>
      <c r="B340" s="204" t="s">
        <v>20</v>
      </c>
      <c r="C340" s="204" t="s">
        <v>20</v>
      </c>
      <c r="D340" s="204" t="s">
        <v>20</v>
      </c>
      <c r="E340" s="204">
        <v>17</v>
      </c>
      <c r="F340" s="204" t="s">
        <v>20</v>
      </c>
    </row>
    <row r="341" spans="1:6">
      <c r="A341" s="19" t="s">
        <v>130</v>
      </c>
      <c r="B341" s="19"/>
      <c r="C341" s="19"/>
      <c r="D341" s="19"/>
      <c r="E341" s="19"/>
      <c r="F341" s="19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3101-AAF9-421B-8933-1510708173EF}">
  <dimension ref="A1:H95"/>
  <sheetViews>
    <sheetView zoomScale="93" workbookViewId="0">
      <selection activeCell="A8" sqref="A8"/>
    </sheetView>
  </sheetViews>
  <sheetFormatPr defaultColWidth="8.69921875" defaultRowHeight="17.399999999999999"/>
  <cols>
    <col min="1" max="1" width="35.19921875" style="1" customWidth="1"/>
    <col min="2" max="2" width="0" style="1" hidden="1" customWidth="1"/>
    <col min="3" max="7" width="14.09765625" style="1" customWidth="1"/>
    <col min="8" max="8" width="10.69921875" style="538" bestFit="1" customWidth="1"/>
    <col min="9" max="16384" width="8.69921875" style="538"/>
  </cols>
  <sheetData>
    <row r="1" spans="1:8">
      <c r="A1" s="31"/>
      <c r="B1" s="31"/>
      <c r="C1" s="31"/>
      <c r="D1" s="31"/>
      <c r="E1" s="31"/>
      <c r="F1" s="31"/>
      <c r="G1" s="31"/>
    </row>
    <row r="2" spans="1:8" ht="21">
      <c r="A2" s="30" t="s">
        <v>585</v>
      </c>
      <c r="B2" s="30"/>
      <c r="C2" s="30"/>
      <c r="D2" s="30"/>
      <c r="E2" s="30"/>
      <c r="F2" s="30"/>
      <c r="G2" s="30"/>
    </row>
    <row r="3" spans="1:8">
      <c r="A3" s="2"/>
      <c r="B3" s="2"/>
      <c r="C3" s="566"/>
      <c r="D3" s="566"/>
      <c r="E3" s="566"/>
      <c r="F3" s="566"/>
      <c r="G3" s="566"/>
      <c r="H3" s="567"/>
    </row>
    <row r="4" spans="1:8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8">
      <c r="A5" s="5" t="s">
        <v>8</v>
      </c>
      <c r="B5" s="5"/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</row>
    <row r="6" spans="1:8">
      <c r="A6" s="7" t="s">
        <v>586</v>
      </c>
      <c r="B6" s="16"/>
      <c r="C6" s="202"/>
      <c r="D6" s="202"/>
      <c r="E6" s="202"/>
      <c r="F6" s="202"/>
      <c r="G6" s="202"/>
    </row>
    <row r="7" spans="1:8">
      <c r="A7" s="10" t="s">
        <v>587</v>
      </c>
      <c r="B7" s="10" t="s">
        <v>588</v>
      </c>
      <c r="C7" s="204">
        <v>20041</v>
      </c>
      <c r="D7" s="204">
        <v>18512</v>
      </c>
      <c r="E7" s="204">
        <v>18522</v>
      </c>
      <c r="F7" s="204">
        <v>20128</v>
      </c>
      <c r="G7" s="204">
        <v>15175</v>
      </c>
    </row>
    <row r="8" spans="1:8">
      <c r="A8" s="10" t="s">
        <v>589</v>
      </c>
      <c r="B8" s="10" t="s">
        <v>590</v>
      </c>
      <c r="C8" s="204">
        <v>16289</v>
      </c>
      <c r="D8" s="204">
        <v>16487</v>
      </c>
      <c r="E8" s="204">
        <v>15689</v>
      </c>
      <c r="F8" s="204">
        <v>16286</v>
      </c>
      <c r="G8" s="204">
        <v>11975</v>
      </c>
    </row>
    <row r="9" spans="1:8">
      <c r="A9" s="568" t="s">
        <v>591</v>
      </c>
      <c r="B9" s="10" t="s">
        <v>592</v>
      </c>
      <c r="C9" s="204">
        <v>3752</v>
      </c>
      <c r="D9" s="204">
        <v>2025</v>
      </c>
      <c r="E9" s="204">
        <v>2833</v>
      </c>
      <c r="F9" s="204">
        <v>3842</v>
      </c>
      <c r="G9" s="204">
        <v>3200</v>
      </c>
    </row>
    <row r="10" spans="1:8">
      <c r="A10" s="568" t="s">
        <v>593</v>
      </c>
      <c r="B10" s="10" t="s">
        <v>594</v>
      </c>
      <c r="C10" s="204">
        <v>1618</v>
      </c>
      <c r="D10" s="204">
        <v>1968</v>
      </c>
      <c r="E10" s="204">
        <v>2020</v>
      </c>
      <c r="F10" s="204">
        <v>2291</v>
      </c>
      <c r="G10" s="204">
        <v>2561</v>
      </c>
    </row>
    <row r="11" spans="1:8">
      <c r="A11" s="568" t="s">
        <v>595</v>
      </c>
      <c r="B11" s="10" t="s">
        <v>596</v>
      </c>
      <c r="C11" s="204">
        <v>1618</v>
      </c>
      <c r="D11" s="204">
        <v>1968</v>
      </c>
      <c r="E11" s="204">
        <v>2020</v>
      </c>
      <c r="F11" s="204">
        <v>2291</v>
      </c>
      <c r="G11" s="204">
        <v>2561</v>
      </c>
    </row>
    <row r="12" spans="1:8">
      <c r="A12" s="568" t="s">
        <v>597</v>
      </c>
      <c r="B12" s="10" t="s">
        <v>598</v>
      </c>
      <c r="C12" s="204">
        <v>0</v>
      </c>
      <c r="D12" s="204">
        <v>0</v>
      </c>
      <c r="E12" s="204">
        <v>0</v>
      </c>
      <c r="F12" s="204">
        <v>0</v>
      </c>
      <c r="G12" s="204">
        <v>0</v>
      </c>
    </row>
    <row r="13" spans="1:8">
      <c r="A13" s="568" t="s">
        <v>599</v>
      </c>
      <c r="B13" s="10" t="s">
        <v>600</v>
      </c>
      <c r="C13" s="204">
        <v>0</v>
      </c>
      <c r="D13" s="204">
        <v>0</v>
      </c>
      <c r="E13" s="204">
        <v>0</v>
      </c>
      <c r="F13" s="204">
        <v>0</v>
      </c>
      <c r="G13" s="204">
        <v>0</v>
      </c>
    </row>
    <row r="14" spans="1:8">
      <c r="A14" s="568" t="s">
        <v>601</v>
      </c>
      <c r="B14" s="10" t="s">
        <v>602</v>
      </c>
      <c r="C14" s="204">
        <v>0</v>
      </c>
      <c r="D14" s="204">
        <v>0</v>
      </c>
      <c r="E14" s="204">
        <v>0</v>
      </c>
      <c r="F14" s="204">
        <v>0</v>
      </c>
      <c r="G14" s="204">
        <v>0</v>
      </c>
    </row>
    <row r="15" spans="1:8">
      <c r="A15" s="568" t="s">
        <v>603</v>
      </c>
      <c r="B15" s="10" t="s">
        <v>604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</row>
    <row r="16" spans="1:8">
      <c r="A16" s="568" t="s">
        <v>605</v>
      </c>
      <c r="B16" s="10" t="s">
        <v>606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</row>
    <row r="17" spans="1:7">
      <c r="A17" s="568" t="s">
        <v>607</v>
      </c>
      <c r="B17" s="10" t="s">
        <v>608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</row>
    <row r="18" spans="1:7">
      <c r="A18" s="568" t="s">
        <v>609</v>
      </c>
      <c r="B18" s="10" t="s">
        <v>610</v>
      </c>
      <c r="C18" s="204">
        <v>5986</v>
      </c>
      <c r="D18" s="204">
        <v>7127</v>
      </c>
      <c r="E18" s="204">
        <v>9663</v>
      </c>
      <c r="F18" s="204">
        <v>11113</v>
      </c>
      <c r="G18" s="204">
        <v>16297</v>
      </c>
    </row>
    <row r="19" spans="1:7">
      <c r="A19" s="568" t="s">
        <v>611</v>
      </c>
      <c r="B19" s="10" t="s">
        <v>612</v>
      </c>
      <c r="C19" s="204">
        <v>512</v>
      </c>
      <c r="D19" s="204">
        <v>410</v>
      </c>
      <c r="E19" s="204">
        <v>1131</v>
      </c>
      <c r="F19" s="204">
        <v>293</v>
      </c>
      <c r="G19" s="204">
        <v>103</v>
      </c>
    </row>
    <row r="20" spans="1:7">
      <c r="A20" s="568" t="s">
        <v>613</v>
      </c>
      <c r="B20" s="10" t="s">
        <v>614</v>
      </c>
      <c r="C20" s="204">
        <v>93</v>
      </c>
      <c r="D20" s="204">
        <v>83</v>
      </c>
      <c r="E20" s="204">
        <v>190</v>
      </c>
      <c r="F20" s="204">
        <v>206</v>
      </c>
      <c r="G20" s="204">
        <v>832</v>
      </c>
    </row>
    <row r="21" spans="1:7">
      <c r="A21" s="568" t="s">
        <v>615</v>
      </c>
      <c r="B21" s="10" t="s">
        <v>616</v>
      </c>
      <c r="C21" s="204">
        <v>5381</v>
      </c>
      <c r="D21" s="204">
        <v>6634</v>
      </c>
      <c r="E21" s="204">
        <v>8342</v>
      </c>
      <c r="F21" s="204">
        <v>10614</v>
      </c>
      <c r="G21" s="204">
        <v>15362</v>
      </c>
    </row>
    <row r="22" spans="1:7">
      <c r="A22" s="569" t="s">
        <v>617</v>
      </c>
      <c r="B22" s="7" t="s">
        <v>618</v>
      </c>
      <c r="C22" s="202">
        <v>27645</v>
      </c>
      <c r="D22" s="202">
        <v>27607</v>
      </c>
      <c r="E22" s="202">
        <v>30205</v>
      </c>
      <c r="F22" s="202">
        <v>33532</v>
      </c>
      <c r="G22" s="202">
        <v>34033</v>
      </c>
    </row>
    <row r="23" spans="1:7">
      <c r="A23" s="568" t="s">
        <v>619</v>
      </c>
      <c r="B23" s="10" t="s">
        <v>620</v>
      </c>
      <c r="C23" s="204">
        <v>2737</v>
      </c>
      <c r="D23" s="204">
        <v>3230</v>
      </c>
      <c r="E23" s="204">
        <v>3703</v>
      </c>
      <c r="F23" s="204">
        <v>3913</v>
      </c>
      <c r="G23" s="204">
        <v>4697</v>
      </c>
    </row>
    <row r="24" spans="1:7">
      <c r="A24" s="568" t="s">
        <v>621</v>
      </c>
      <c r="B24" s="10" t="s">
        <v>622</v>
      </c>
      <c r="C24" s="204">
        <v>7161</v>
      </c>
      <c r="D24" s="204">
        <v>8189</v>
      </c>
      <c r="E24" s="204">
        <v>9361</v>
      </c>
      <c r="F24" s="204">
        <v>9268</v>
      </c>
      <c r="G24" s="204">
        <v>10170</v>
      </c>
    </row>
    <row r="25" spans="1:7">
      <c r="A25" s="568" t="s">
        <v>623</v>
      </c>
      <c r="B25" s="10" t="s">
        <v>624</v>
      </c>
      <c r="C25" s="204">
        <v>4424</v>
      </c>
      <c r="D25" s="204">
        <v>4959</v>
      </c>
      <c r="E25" s="204">
        <v>5658</v>
      </c>
      <c r="F25" s="204">
        <v>5355</v>
      </c>
      <c r="G25" s="204">
        <v>5473</v>
      </c>
    </row>
    <row r="26" spans="1:7">
      <c r="A26" s="568" t="s">
        <v>625</v>
      </c>
      <c r="B26" s="10" t="s">
        <v>626</v>
      </c>
      <c r="C26" s="204">
        <v>231</v>
      </c>
      <c r="D26" s="204">
        <v>1705</v>
      </c>
      <c r="E26" s="204">
        <v>2136</v>
      </c>
      <c r="F26" s="204">
        <v>1921</v>
      </c>
      <c r="G26" s="204">
        <v>2545</v>
      </c>
    </row>
    <row r="27" spans="1:7">
      <c r="A27" s="568" t="s">
        <v>627</v>
      </c>
      <c r="B27" s="10" t="s">
        <v>628</v>
      </c>
      <c r="C27" s="204">
        <v>231</v>
      </c>
      <c r="D27" s="204">
        <v>1705</v>
      </c>
      <c r="E27" s="204">
        <v>2136</v>
      </c>
      <c r="F27" s="204">
        <v>1921</v>
      </c>
      <c r="G27" s="204">
        <v>2545</v>
      </c>
    </row>
    <row r="28" spans="1:7">
      <c r="A28" s="568" t="s">
        <v>629</v>
      </c>
      <c r="B28" s="10" t="s">
        <v>630</v>
      </c>
      <c r="C28" s="204">
        <v>50306</v>
      </c>
      <c r="D28" s="204">
        <v>50354</v>
      </c>
      <c r="E28" s="204">
        <v>49457</v>
      </c>
      <c r="F28" s="204">
        <v>51133</v>
      </c>
      <c r="G28" s="204">
        <v>53236</v>
      </c>
    </row>
    <row r="29" spans="1:7">
      <c r="A29" s="568" t="s">
        <v>631</v>
      </c>
      <c r="B29" s="10" t="s">
        <v>632</v>
      </c>
      <c r="C29" s="204">
        <v>43718</v>
      </c>
      <c r="D29" s="204">
        <v>43622</v>
      </c>
      <c r="E29" s="204">
        <v>42852</v>
      </c>
      <c r="F29" s="204">
        <v>44101</v>
      </c>
      <c r="G29" s="204">
        <v>45830</v>
      </c>
    </row>
    <row r="30" spans="1:7">
      <c r="A30" s="570" t="s">
        <v>633</v>
      </c>
      <c r="B30" s="13" t="s">
        <v>634</v>
      </c>
      <c r="C30" s="206">
        <v>15910</v>
      </c>
      <c r="D30" s="206">
        <v>15958</v>
      </c>
      <c r="E30" s="206">
        <v>17787</v>
      </c>
      <c r="F30" s="206">
        <v>17997</v>
      </c>
      <c r="G30" s="206">
        <v>18941</v>
      </c>
    </row>
    <row r="31" spans="1:7">
      <c r="A31" s="570" t="s">
        <v>635</v>
      </c>
      <c r="B31" s="13" t="s">
        <v>636</v>
      </c>
      <c r="C31" s="206">
        <v>27808</v>
      </c>
      <c r="D31" s="206">
        <v>27664</v>
      </c>
      <c r="E31" s="206">
        <v>25065</v>
      </c>
      <c r="F31" s="206">
        <v>26104</v>
      </c>
      <c r="G31" s="206">
        <v>26889</v>
      </c>
    </row>
    <row r="32" spans="1:7">
      <c r="A32" s="568" t="s">
        <v>637</v>
      </c>
      <c r="B32" s="10" t="s">
        <v>638</v>
      </c>
      <c r="C32" s="204">
        <v>798</v>
      </c>
      <c r="D32" s="204">
        <v>1046</v>
      </c>
      <c r="E32" s="204">
        <v>1167</v>
      </c>
      <c r="F32" s="204">
        <v>1553</v>
      </c>
      <c r="G32" s="204">
        <v>1641</v>
      </c>
    </row>
    <row r="33" spans="1:7">
      <c r="A33" s="568" t="s">
        <v>611</v>
      </c>
      <c r="B33" s="10" t="s">
        <v>639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</row>
    <row r="34" spans="1:7">
      <c r="A34" s="568" t="s">
        <v>640</v>
      </c>
      <c r="B34" s="10" t="s">
        <v>641</v>
      </c>
      <c r="C34" s="204">
        <v>5790</v>
      </c>
      <c r="D34" s="204">
        <v>5686</v>
      </c>
      <c r="E34" s="204">
        <v>5438</v>
      </c>
      <c r="F34" s="204">
        <v>5479</v>
      </c>
      <c r="G34" s="204">
        <v>5765</v>
      </c>
    </row>
    <row r="35" spans="1:7">
      <c r="A35" s="569" t="s">
        <v>642</v>
      </c>
      <c r="B35" s="7" t="s">
        <v>643</v>
      </c>
      <c r="C35" s="202">
        <v>53274</v>
      </c>
      <c r="D35" s="202">
        <v>55289</v>
      </c>
      <c r="E35" s="202">
        <v>55296</v>
      </c>
      <c r="F35" s="202">
        <v>56967</v>
      </c>
      <c r="G35" s="202">
        <v>60478</v>
      </c>
    </row>
    <row r="36" spans="1:7">
      <c r="A36" s="7" t="s">
        <v>644</v>
      </c>
      <c r="B36" s="7" t="s">
        <v>645</v>
      </c>
      <c r="C36" s="202">
        <v>80919</v>
      </c>
      <c r="D36" s="202">
        <v>82896</v>
      </c>
      <c r="E36" s="202">
        <v>85501</v>
      </c>
      <c r="F36" s="202">
        <v>90499</v>
      </c>
      <c r="G36" s="202">
        <v>94511</v>
      </c>
    </row>
    <row r="37" spans="1:7">
      <c r="A37" s="7"/>
      <c r="B37" s="16"/>
      <c r="C37" s="202"/>
      <c r="D37" s="202"/>
      <c r="E37" s="202"/>
      <c r="F37" s="202"/>
      <c r="G37" s="202"/>
    </row>
    <row r="38" spans="1:7">
      <c r="A38" s="7" t="s">
        <v>646</v>
      </c>
      <c r="B38" s="16"/>
      <c r="C38" s="202"/>
      <c r="D38" s="202"/>
      <c r="E38" s="202"/>
      <c r="F38" s="202"/>
      <c r="G38" s="202"/>
    </row>
    <row r="39" spans="1:7">
      <c r="A39" s="10" t="s">
        <v>647</v>
      </c>
      <c r="B39" s="10" t="s">
        <v>648</v>
      </c>
      <c r="C39" s="204">
        <v>5304</v>
      </c>
      <c r="D39" s="204">
        <v>4691</v>
      </c>
      <c r="E39" s="204">
        <v>5920</v>
      </c>
      <c r="F39" s="204">
        <v>6399</v>
      </c>
      <c r="G39" s="204">
        <v>13542</v>
      </c>
    </row>
    <row r="40" spans="1:7">
      <c r="A40" s="10" t="s">
        <v>649</v>
      </c>
      <c r="B40" s="10" t="s">
        <v>650</v>
      </c>
      <c r="C40" s="204">
        <v>174</v>
      </c>
      <c r="D40" s="204">
        <v>266</v>
      </c>
      <c r="E40" s="204">
        <v>340</v>
      </c>
      <c r="F40" s="204">
        <v>375</v>
      </c>
      <c r="G40" s="204">
        <v>479</v>
      </c>
    </row>
    <row r="41" spans="1:7">
      <c r="A41" s="10" t="s">
        <v>651</v>
      </c>
      <c r="B41" s="10" t="s">
        <v>652</v>
      </c>
      <c r="C41" s="204" t="s">
        <v>20</v>
      </c>
      <c r="D41" s="204">
        <v>148</v>
      </c>
      <c r="E41" s="204" t="s">
        <v>20</v>
      </c>
      <c r="F41" s="204" t="s">
        <v>20</v>
      </c>
      <c r="G41" s="204" t="s">
        <v>20</v>
      </c>
    </row>
    <row r="42" spans="1:7">
      <c r="A42" s="10" t="s">
        <v>653</v>
      </c>
      <c r="B42" s="10" t="s">
        <v>654</v>
      </c>
      <c r="C42" s="204">
        <v>5130</v>
      </c>
      <c r="D42" s="204">
        <v>4277</v>
      </c>
      <c r="E42" s="204">
        <v>5580</v>
      </c>
      <c r="F42" s="204">
        <v>6024</v>
      </c>
      <c r="G42" s="204">
        <v>13063</v>
      </c>
    </row>
    <row r="43" spans="1:7">
      <c r="A43" s="10" t="s">
        <v>655</v>
      </c>
      <c r="B43" s="10" t="s">
        <v>656</v>
      </c>
      <c r="C43" s="204">
        <v>3107</v>
      </c>
      <c r="D43" s="204">
        <v>1102</v>
      </c>
      <c r="E43" s="204">
        <v>2348</v>
      </c>
      <c r="F43" s="204">
        <v>106</v>
      </c>
      <c r="G43" s="204">
        <v>150</v>
      </c>
    </row>
    <row r="44" spans="1:7">
      <c r="A44" s="10" t="s">
        <v>657</v>
      </c>
      <c r="B44" s="10" t="s">
        <v>658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</row>
    <row r="45" spans="1:7">
      <c r="A45" s="10" t="s">
        <v>659</v>
      </c>
      <c r="B45" s="10" t="s">
        <v>660</v>
      </c>
      <c r="C45" s="204">
        <v>108</v>
      </c>
      <c r="D45" s="204">
        <v>103</v>
      </c>
      <c r="E45" s="204">
        <v>98</v>
      </c>
      <c r="F45" s="204">
        <v>106</v>
      </c>
      <c r="G45" s="204">
        <v>150</v>
      </c>
    </row>
    <row r="46" spans="1:7">
      <c r="A46" s="13" t="s">
        <v>661</v>
      </c>
      <c r="B46" s="13" t="s">
        <v>662</v>
      </c>
      <c r="C46" s="206">
        <v>0</v>
      </c>
      <c r="D46" s="206" t="s">
        <v>20</v>
      </c>
      <c r="E46" s="206" t="s">
        <v>20</v>
      </c>
      <c r="F46" s="206" t="s">
        <v>20</v>
      </c>
      <c r="G46" s="206" t="s">
        <v>925</v>
      </c>
    </row>
    <row r="47" spans="1:7">
      <c r="A47" s="13" t="s">
        <v>663</v>
      </c>
      <c r="B47" s="13" t="s">
        <v>664</v>
      </c>
      <c r="C47" s="206">
        <v>108</v>
      </c>
      <c r="D47" s="206">
        <v>103</v>
      </c>
      <c r="E47" s="206">
        <v>98</v>
      </c>
      <c r="F47" s="206">
        <v>106</v>
      </c>
      <c r="G47" s="206">
        <v>150</v>
      </c>
    </row>
    <row r="48" spans="1:7">
      <c r="A48" s="10" t="s">
        <v>665</v>
      </c>
      <c r="B48" s="10" t="s">
        <v>666</v>
      </c>
      <c r="C48" s="204">
        <v>2999</v>
      </c>
      <c r="D48" s="204">
        <v>999</v>
      </c>
      <c r="E48" s="204">
        <v>2250</v>
      </c>
      <c r="F48" s="204">
        <v>0</v>
      </c>
      <c r="G48" s="204">
        <v>0</v>
      </c>
    </row>
    <row r="49" spans="1:7">
      <c r="A49" s="10" t="s">
        <v>667</v>
      </c>
      <c r="B49" s="10" t="s">
        <v>668</v>
      </c>
      <c r="C49" s="204">
        <v>6099</v>
      </c>
      <c r="D49" s="204">
        <v>7612</v>
      </c>
      <c r="E49" s="204">
        <v>8859</v>
      </c>
      <c r="F49" s="204">
        <v>11578</v>
      </c>
      <c r="G49" s="204">
        <v>12825</v>
      </c>
    </row>
    <row r="50" spans="1:7">
      <c r="A50" s="10" t="s">
        <v>669</v>
      </c>
      <c r="B50" s="10" t="s">
        <v>670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</row>
    <row r="51" spans="1:7">
      <c r="A51" s="10" t="s">
        <v>671</v>
      </c>
      <c r="B51" s="10" t="s">
        <v>672</v>
      </c>
      <c r="C51" s="204">
        <v>181</v>
      </c>
      <c r="D51" s="204">
        <v>109</v>
      </c>
      <c r="E51" s="204">
        <v>418</v>
      </c>
      <c r="F51" s="204">
        <v>396</v>
      </c>
      <c r="G51" s="204">
        <v>226</v>
      </c>
    </row>
    <row r="52" spans="1:7">
      <c r="A52" s="10" t="s">
        <v>673</v>
      </c>
      <c r="B52" s="10" t="s">
        <v>674</v>
      </c>
      <c r="C52" s="204">
        <v>5918</v>
      </c>
      <c r="D52" s="204">
        <v>7503</v>
      </c>
      <c r="E52" s="204">
        <v>8441</v>
      </c>
      <c r="F52" s="204">
        <v>11182</v>
      </c>
      <c r="G52" s="204">
        <v>12599</v>
      </c>
    </row>
    <row r="53" spans="1:7">
      <c r="A53" s="7" t="s">
        <v>675</v>
      </c>
      <c r="B53" s="7" t="s">
        <v>676</v>
      </c>
      <c r="C53" s="202">
        <v>14510</v>
      </c>
      <c r="D53" s="202">
        <v>13405</v>
      </c>
      <c r="E53" s="202">
        <v>17127</v>
      </c>
      <c r="F53" s="202">
        <v>18083</v>
      </c>
      <c r="G53" s="202">
        <v>26517</v>
      </c>
    </row>
    <row r="54" spans="1:7">
      <c r="A54" s="10" t="s">
        <v>677</v>
      </c>
      <c r="B54" s="10" t="s">
        <v>678</v>
      </c>
      <c r="C54" s="204">
        <v>21590</v>
      </c>
      <c r="D54" s="204">
        <v>20449</v>
      </c>
      <c r="E54" s="204">
        <v>20622</v>
      </c>
      <c r="F54" s="204">
        <v>20875</v>
      </c>
      <c r="G54" s="204">
        <v>21521</v>
      </c>
    </row>
    <row r="55" spans="1:7">
      <c r="A55" s="10" t="s">
        <v>679</v>
      </c>
      <c r="B55" s="10" t="s">
        <v>680</v>
      </c>
      <c r="C55" s="204">
        <v>21071</v>
      </c>
      <c r="D55" s="204">
        <v>19978</v>
      </c>
      <c r="E55" s="204">
        <v>20200</v>
      </c>
      <c r="F55" s="204">
        <v>20463</v>
      </c>
      <c r="G55" s="204">
        <v>20836</v>
      </c>
    </row>
    <row r="56" spans="1:7">
      <c r="A56" s="10" t="s">
        <v>681</v>
      </c>
      <c r="B56" s="10" t="s">
        <v>682</v>
      </c>
      <c r="C56" s="204">
        <v>519</v>
      </c>
      <c r="D56" s="204">
        <v>471</v>
      </c>
      <c r="E56" s="204">
        <v>422</v>
      </c>
      <c r="F56" s="204">
        <v>412</v>
      </c>
      <c r="G56" s="204">
        <v>685</v>
      </c>
    </row>
    <row r="57" spans="1:7">
      <c r="A57" s="13" t="s">
        <v>683</v>
      </c>
      <c r="B57" s="13" t="s">
        <v>684</v>
      </c>
      <c r="C57" s="206">
        <v>0</v>
      </c>
      <c r="D57" s="206" t="s">
        <v>20</v>
      </c>
      <c r="E57" s="206" t="s">
        <v>20</v>
      </c>
      <c r="F57" s="206" t="s">
        <v>20</v>
      </c>
      <c r="G57" s="206" t="s">
        <v>20</v>
      </c>
    </row>
    <row r="58" spans="1:7">
      <c r="A58" s="13" t="s">
        <v>685</v>
      </c>
      <c r="B58" s="13" t="s">
        <v>686</v>
      </c>
      <c r="C58" s="206">
        <v>519</v>
      </c>
      <c r="D58" s="206">
        <v>471</v>
      </c>
      <c r="E58" s="206">
        <v>422</v>
      </c>
      <c r="F58" s="206">
        <v>412</v>
      </c>
      <c r="G58" s="206">
        <v>685</v>
      </c>
    </row>
    <row r="59" spans="1:7">
      <c r="A59" s="10" t="s">
        <v>687</v>
      </c>
      <c r="B59" s="10" t="s">
        <v>688</v>
      </c>
      <c r="C59" s="204">
        <v>8609</v>
      </c>
      <c r="D59" s="204">
        <v>11453</v>
      </c>
      <c r="E59" s="204">
        <v>12171</v>
      </c>
      <c r="F59" s="204">
        <v>12808</v>
      </c>
      <c r="G59" s="204">
        <v>7336</v>
      </c>
    </row>
    <row r="60" spans="1:7">
      <c r="A60" s="10" t="s">
        <v>689</v>
      </c>
      <c r="B60" s="10" t="s">
        <v>690</v>
      </c>
      <c r="C60" s="204" t="s">
        <v>20</v>
      </c>
      <c r="D60" s="204">
        <v>2334</v>
      </c>
      <c r="E60" s="204">
        <v>3726</v>
      </c>
      <c r="F60" s="204">
        <v>5015</v>
      </c>
      <c r="G60" s="204">
        <v>0</v>
      </c>
    </row>
    <row r="61" spans="1:7">
      <c r="A61" s="10" t="s">
        <v>691</v>
      </c>
      <c r="B61" s="10" t="s">
        <v>692</v>
      </c>
      <c r="C61" s="204">
        <v>6</v>
      </c>
      <c r="D61" s="204">
        <v>5</v>
      </c>
      <c r="E61" s="204">
        <v>4</v>
      </c>
      <c r="F61" s="204" t="s">
        <v>20</v>
      </c>
      <c r="G61" s="204" t="s">
        <v>20</v>
      </c>
    </row>
    <row r="62" spans="1:7">
      <c r="A62" s="10" t="s">
        <v>669</v>
      </c>
      <c r="B62" s="10" t="s">
        <v>693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</row>
    <row r="63" spans="1:7">
      <c r="A63" s="10" t="s">
        <v>694</v>
      </c>
      <c r="B63" s="10" t="s">
        <v>695</v>
      </c>
      <c r="C63" s="204">
        <v>5237</v>
      </c>
      <c r="D63" s="204">
        <v>6128</v>
      </c>
      <c r="E63" s="204">
        <v>5332</v>
      </c>
      <c r="F63" s="204">
        <v>5114</v>
      </c>
      <c r="G63" s="204">
        <v>5301</v>
      </c>
    </row>
    <row r="64" spans="1:7">
      <c r="A64" s="10" t="s">
        <v>671</v>
      </c>
      <c r="B64" s="10" t="s">
        <v>696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</row>
    <row r="65" spans="1:7">
      <c r="A65" s="10" t="s">
        <v>697</v>
      </c>
      <c r="B65" s="10" t="s">
        <v>698</v>
      </c>
      <c r="C65" s="204">
        <v>3366</v>
      </c>
      <c r="D65" s="204">
        <v>2986</v>
      </c>
      <c r="E65" s="204">
        <v>3109</v>
      </c>
      <c r="F65" s="204">
        <v>2679</v>
      </c>
      <c r="G65" s="204">
        <v>2035</v>
      </c>
    </row>
    <row r="66" spans="1:7">
      <c r="A66" s="7" t="s">
        <v>699</v>
      </c>
      <c r="B66" s="7" t="s">
        <v>700</v>
      </c>
      <c r="C66" s="202">
        <v>30199</v>
      </c>
      <c r="D66" s="202">
        <v>31902</v>
      </c>
      <c r="E66" s="202">
        <v>32793</v>
      </c>
      <c r="F66" s="202">
        <v>33683</v>
      </c>
      <c r="G66" s="202">
        <v>28857</v>
      </c>
    </row>
    <row r="67" spans="1:7">
      <c r="A67" s="7" t="s">
        <v>701</v>
      </c>
      <c r="B67" s="7" t="s">
        <v>702</v>
      </c>
      <c r="C67" s="202">
        <v>44709</v>
      </c>
      <c r="D67" s="202">
        <v>45307</v>
      </c>
      <c r="E67" s="202">
        <v>49920</v>
      </c>
      <c r="F67" s="202">
        <v>51766</v>
      </c>
      <c r="G67" s="202">
        <v>55374</v>
      </c>
    </row>
    <row r="68" spans="1:7">
      <c r="A68" s="10" t="s">
        <v>703</v>
      </c>
      <c r="B68" s="10" t="s">
        <v>704</v>
      </c>
      <c r="C68" s="204">
        <v>5086</v>
      </c>
      <c r="D68" s="204">
        <v>3080</v>
      </c>
      <c r="E68" s="204">
        <v>2324</v>
      </c>
      <c r="F68" s="204">
        <v>1698</v>
      </c>
      <c r="G68" s="204">
        <v>1031</v>
      </c>
    </row>
    <row r="69" spans="1:7">
      <c r="A69" s="10" t="s">
        <v>705</v>
      </c>
      <c r="B69" s="10" t="s">
        <v>706</v>
      </c>
      <c r="C69" s="204">
        <v>16721</v>
      </c>
      <c r="D69" s="204">
        <v>18855</v>
      </c>
      <c r="E69" s="204">
        <v>19545</v>
      </c>
      <c r="F69" s="204">
        <v>20452</v>
      </c>
      <c r="G69" s="204">
        <v>21229</v>
      </c>
    </row>
    <row r="70" spans="1:7">
      <c r="A70" s="10" t="s">
        <v>707</v>
      </c>
      <c r="B70" s="10" t="s">
        <v>708</v>
      </c>
      <c r="C70" s="204">
        <v>0.19389999999999999</v>
      </c>
      <c r="D70" s="204">
        <v>0.19320000000000001</v>
      </c>
      <c r="E70" s="204">
        <v>0.189</v>
      </c>
      <c r="F70" s="204">
        <v>0.18490000000000001</v>
      </c>
      <c r="G70" s="204">
        <v>0.1804</v>
      </c>
    </row>
    <row r="71" spans="1:7">
      <c r="A71" s="10" t="s">
        <v>709</v>
      </c>
      <c r="B71" s="10" t="s">
        <v>710</v>
      </c>
      <c r="C71" s="204">
        <v>16720.806100000002</v>
      </c>
      <c r="D71" s="204">
        <v>18854.806799999998</v>
      </c>
      <c r="E71" s="204">
        <v>19544.811000000002</v>
      </c>
      <c r="F71" s="204">
        <v>20451.8151</v>
      </c>
      <c r="G71" s="204">
        <v>21228.819599999999</v>
      </c>
    </row>
    <row r="72" spans="1:7">
      <c r="A72" s="10" t="s">
        <v>711</v>
      </c>
      <c r="B72" s="10" t="s">
        <v>712</v>
      </c>
      <c r="C72" s="204">
        <v>0</v>
      </c>
      <c r="D72" s="204">
        <v>0</v>
      </c>
      <c r="E72" s="204">
        <v>0</v>
      </c>
      <c r="F72" s="204">
        <v>0</v>
      </c>
      <c r="G72" s="204">
        <v>0</v>
      </c>
    </row>
    <row r="73" spans="1:7">
      <c r="A73" s="10" t="s">
        <v>713</v>
      </c>
      <c r="B73" s="10" t="s">
        <v>714</v>
      </c>
      <c r="C73" s="204">
        <v>14088</v>
      </c>
      <c r="D73" s="204">
        <v>15351</v>
      </c>
      <c r="E73" s="204">
        <v>16116</v>
      </c>
      <c r="F73" s="204">
        <v>18040</v>
      </c>
      <c r="G73" s="204">
        <v>17289</v>
      </c>
    </row>
    <row r="74" spans="1:7">
      <c r="A74" s="10" t="s">
        <v>715</v>
      </c>
      <c r="B74" s="10" t="s">
        <v>716</v>
      </c>
      <c r="C74" s="204">
        <v>315</v>
      </c>
      <c r="D74" s="204">
        <v>303</v>
      </c>
      <c r="E74" s="204">
        <v>-2404</v>
      </c>
      <c r="F74" s="204">
        <v>-1457</v>
      </c>
      <c r="G74" s="204">
        <v>-412</v>
      </c>
    </row>
    <row r="75" spans="1:7">
      <c r="A75" s="7" t="s">
        <v>717</v>
      </c>
      <c r="B75" s="7" t="s">
        <v>718</v>
      </c>
      <c r="C75" s="202">
        <v>36210</v>
      </c>
      <c r="D75" s="202">
        <v>37589</v>
      </c>
      <c r="E75" s="202">
        <v>35581</v>
      </c>
      <c r="F75" s="202">
        <v>38733</v>
      </c>
      <c r="G75" s="202">
        <v>39137</v>
      </c>
    </row>
    <row r="76" spans="1:7">
      <c r="A76" s="10" t="s">
        <v>719</v>
      </c>
      <c r="B76" s="10" t="s">
        <v>720</v>
      </c>
      <c r="C76" s="204">
        <v>0</v>
      </c>
      <c r="D76" s="204">
        <v>0</v>
      </c>
      <c r="E76" s="204">
        <v>0</v>
      </c>
      <c r="F76" s="204">
        <v>0</v>
      </c>
      <c r="G76" s="204">
        <v>0</v>
      </c>
    </row>
    <row r="77" spans="1:7">
      <c r="A77" s="7" t="s">
        <v>721</v>
      </c>
      <c r="B77" s="7" t="s">
        <v>722</v>
      </c>
      <c r="C77" s="202">
        <v>36210</v>
      </c>
      <c r="D77" s="202">
        <v>37589</v>
      </c>
      <c r="E77" s="202">
        <v>35581</v>
      </c>
      <c r="F77" s="202">
        <v>38733</v>
      </c>
      <c r="G77" s="202">
        <v>39137</v>
      </c>
    </row>
    <row r="78" spans="1:7">
      <c r="A78" s="7" t="s">
        <v>723</v>
      </c>
      <c r="B78" s="7" t="s">
        <v>724</v>
      </c>
      <c r="C78" s="202">
        <v>80919</v>
      </c>
      <c r="D78" s="202">
        <v>82896</v>
      </c>
      <c r="E78" s="202">
        <v>85501</v>
      </c>
      <c r="F78" s="202">
        <v>90499</v>
      </c>
      <c r="G78" s="202">
        <v>94511</v>
      </c>
    </row>
    <row r="79" spans="1:7">
      <c r="A79" s="7"/>
      <c r="B79" s="16"/>
      <c r="C79" s="202"/>
      <c r="D79" s="202"/>
      <c r="E79" s="202"/>
      <c r="F79" s="202"/>
      <c r="G79" s="202"/>
    </row>
    <row r="80" spans="1:7">
      <c r="A80" s="7" t="s">
        <v>103</v>
      </c>
      <c r="B80" s="16"/>
      <c r="C80" s="202"/>
      <c r="D80" s="202"/>
      <c r="E80" s="202"/>
      <c r="F80" s="202"/>
      <c r="G80" s="202"/>
    </row>
    <row r="81" spans="1:7">
      <c r="A81" s="10" t="s">
        <v>104</v>
      </c>
      <c r="B81" s="10" t="s">
        <v>105</v>
      </c>
      <c r="C81" s="204" t="s">
        <v>106</v>
      </c>
      <c r="D81" s="204" t="s">
        <v>106</v>
      </c>
      <c r="E81" s="204" t="s">
        <v>106</v>
      </c>
      <c r="F81" s="204" t="s">
        <v>106</v>
      </c>
      <c r="G81" s="204" t="s">
        <v>106</v>
      </c>
    </row>
    <row r="82" spans="1:7">
      <c r="A82" s="10" t="s">
        <v>725</v>
      </c>
      <c r="B82" s="10" t="s">
        <v>726</v>
      </c>
      <c r="C82" s="204">
        <v>1939</v>
      </c>
      <c r="D82" s="204">
        <v>1932</v>
      </c>
      <c r="E82" s="204">
        <v>1890</v>
      </c>
      <c r="F82" s="204">
        <v>1849</v>
      </c>
      <c r="G82" s="204">
        <v>1804</v>
      </c>
    </row>
    <row r="83" spans="1:7">
      <c r="A83" s="10" t="s">
        <v>727</v>
      </c>
      <c r="B83" s="10" t="s">
        <v>728</v>
      </c>
      <c r="C83" s="204" t="s">
        <v>20</v>
      </c>
      <c r="D83" s="204" t="s">
        <v>20</v>
      </c>
      <c r="E83" s="204" t="s">
        <v>20</v>
      </c>
      <c r="F83" s="204" t="s">
        <v>20</v>
      </c>
      <c r="G83" s="204" t="s">
        <v>20</v>
      </c>
    </row>
    <row r="84" spans="1:7">
      <c r="A84" s="10" t="s">
        <v>729</v>
      </c>
      <c r="B84" s="10" t="s">
        <v>730</v>
      </c>
      <c r="C84" s="204">
        <v>6</v>
      </c>
      <c r="D84" s="204">
        <v>5</v>
      </c>
      <c r="E84" s="204">
        <v>4</v>
      </c>
      <c r="F84" s="204">
        <v>0</v>
      </c>
      <c r="G84" s="204">
        <v>0</v>
      </c>
    </row>
    <row r="85" spans="1:7">
      <c r="A85" s="10" t="s">
        <v>731</v>
      </c>
      <c r="B85" s="10" t="s">
        <v>732</v>
      </c>
      <c r="C85" s="204">
        <v>621</v>
      </c>
      <c r="D85" s="204">
        <v>620</v>
      </c>
      <c r="E85" s="204">
        <v>557</v>
      </c>
      <c r="F85" s="204">
        <v>568</v>
      </c>
      <c r="G85" s="204">
        <v>996</v>
      </c>
    </row>
    <row r="86" spans="1:7">
      <c r="A86" s="10" t="s">
        <v>733</v>
      </c>
      <c r="B86" s="10" t="s">
        <v>734</v>
      </c>
      <c r="C86" s="204">
        <v>0</v>
      </c>
      <c r="D86" s="204" t="s">
        <v>20</v>
      </c>
      <c r="E86" s="204" t="s">
        <v>20</v>
      </c>
      <c r="F86" s="204" t="s">
        <v>20</v>
      </c>
      <c r="G86" s="204" t="s">
        <v>20</v>
      </c>
    </row>
    <row r="87" spans="1:7">
      <c r="A87" s="10" t="s">
        <v>735</v>
      </c>
      <c r="B87" s="10" t="s">
        <v>736</v>
      </c>
      <c r="C87" s="204">
        <v>1.248</v>
      </c>
      <c r="D87" s="204">
        <v>1.0224</v>
      </c>
      <c r="E87" s="204">
        <v>0.96160000000000001</v>
      </c>
      <c r="F87" s="204">
        <v>0.79800000000000004</v>
      </c>
      <c r="G87" s="204">
        <v>0.72270000000000001</v>
      </c>
    </row>
    <row r="88" spans="1:7">
      <c r="A88" s="10" t="s">
        <v>737</v>
      </c>
      <c r="B88" s="10" t="s">
        <v>738</v>
      </c>
      <c r="C88" s="204">
        <v>5.7865000000000002</v>
      </c>
      <c r="D88" s="204">
        <v>5.8398000000000003</v>
      </c>
      <c r="E88" s="204">
        <v>6.1685999999999996</v>
      </c>
      <c r="F88" s="204">
        <v>5.9253999999999998</v>
      </c>
      <c r="G88" s="204">
        <v>5.3647</v>
      </c>
    </row>
    <row r="89" spans="1:7">
      <c r="A89" s="10" t="s">
        <v>739</v>
      </c>
      <c r="B89" s="10" t="s">
        <v>740</v>
      </c>
      <c r="C89" s="204">
        <v>2575</v>
      </c>
      <c r="D89" s="204">
        <v>-926</v>
      </c>
      <c r="E89" s="204">
        <v>-30</v>
      </c>
      <c r="F89" s="204">
        <v>-4073</v>
      </c>
      <c r="G89" s="204">
        <v>427</v>
      </c>
    </row>
    <row r="90" spans="1:7">
      <c r="A90" s="10" t="s">
        <v>741</v>
      </c>
      <c r="B90" s="10" t="s">
        <v>742</v>
      </c>
      <c r="C90" s="204">
        <v>7.1113</v>
      </c>
      <c r="D90" s="204">
        <v>-2.4634999999999998</v>
      </c>
      <c r="E90" s="204">
        <v>-8.43E-2</v>
      </c>
      <c r="F90" s="204">
        <v>-10.515599999999999</v>
      </c>
      <c r="G90" s="204">
        <v>1.091</v>
      </c>
    </row>
    <row r="91" spans="1:7">
      <c r="A91" s="10" t="s">
        <v>743</v>
      </c>
      <c r="B91" s="10" t="s">
        <v>744</v>
      </c>
      <c r="C91" s="204">
        <v>-33.853900000000003</v>
      </c>
      <c r="D91" s="204">
        <v>-23.203600000000002</v>
      </c>
      <c r="E91" s="204">
        <v>-22.497599999999998</v>
      </c>
      <c r="F91" s="204">
        <v>-15.229100000000001</v>
      </c>
      <c r="G91" s="204">
        <v>-15.8666</v>
      </c>
    </row>
    <row r="92" spans="1:7">
      <c r="A92" s="10" t="s">
        <v>745</v>
      </c>
      <c r="B92" s="10" t="s">
        <v>746</v>
      </c>
      <c r="C92" s="204">
        <v>1.9052</v>
      </c>
      <c r="D92" s="204">
        <v>2.0594999999999999</v>
      </c>
      <c r="E92" s="204">
        <v>1.7636000000000001</v>
      </c>
      <c r="F92" s="204">
        <v>1.8543000000000001</v>
      </c>
      <c r="G92" s="204">
        <v>1.2834000000000001</v>
      </c>
    </row>
    <row r="93" spans="1:7">
      <c r="A93" s="10" t="s">
        <v>747</v>
      </c>
      <c r="B93" s="10" t="s">
        <v>748</v>
      </c>
      <c r="C93" s="204">
        <v>5500</v>
      </c>
      <c r="D93" s="204">
        <v>4800</v>
      </c>
      <c r="E93" s="204">
        <v>5200</v>
      </c>
      <c r="F93" s="204">
        <v>4700</v>
      </c>
      <c r="G93" s="204" t="s">
        <v>20</v>
      </c>
    </row>
    <row r="94" spans="1:7">
      <c r="A94" s="10" t="s">
        <v>749</v>
      </c>
      <c r="B94" s="10" t="s">
        <v>750</v>
      </c>
      <c r="C94" s="204">
        <v>20500</v>
      </c>
      <c r="D94" s="204">
        <v>21500</v>
      </c>
      <c r="E94" s="204">
        <v>26500</v>
      </c>
      <c r="F94" s="204">
        <v>28800</v>
      </c>
      <c r="G94" s="204">
        <v>31600</v>
      </c>
    </row>
    <row r="95" spans="1:7">
      <c r="A95" s="19" t="s">
        <v>130</v>
      </c>
      <c r="B95" s="19"/>
      <c r="C95" s="19" t="s">
        <v>131</v>
      </c>
      <c r="D95" s="19"/>
      <c r="E95" s="19"/>
      <c r="F95" s="19"/>
      <c r="G95" s="19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E2B1-93AD-4B38-AAD2-8106EA5046F1}">
  <dimension ref="A1:G56"/>
  <sheetViews>
    <sheetView topLeftCell="C15" workbookViewId="0"/>
  </sheetViews>
  <sheetFormatPr defaultColWidth="8.69921875" defaultRowHeight="17.399999999999999"/>
  <cols>
    <col min="1" max="1" width="35.19921875" style="1" customWidth="1"/>
    <col min="2" max="2" width="0" style="1" hidden="1" customWidth="1"/>
    <col min="3" max="7" width="14.09765625" style="1" customWidth="1"/>
    <col min="8" max="16384" width="8.69921875" style="538"/>
  </cols>
  <sheetData>
    <row r="1" spans="1:7">
      <c r="A1" s="24"/>
      <c r="B1" s="24"/>
      <c r="C1" s="24"/>
      <c r="D1" s="24"/>
      <c r="E1" s="24"/>
      <c r="F1" s="24"/>
      <c r="G1" s="24"/>
    </row>
    <row r="2" spans="1:7" ht="21">
      <c r="A2" s="25" t="s">
        <v>132</v>
      </c>
      <c r="B2" s="25"/>
      <c r="C2" s="25"/>
      <c r="D2" s="25"/>
      <c r="E2" s="25"/>
      <c r="F2" s="25"/>
      <c r="G2" s="25"/>
    </row>
    <row r="3" spans="1:7">
      <c r="A3" s="2"/>
      <c r="B3" s="2"/>
      <c r="C3" s="2"/>
      <c r="D3" s="2"/>
      <c r="E3" s="2"/>
      <c r="F3" s="2"/>
      <c r="G3" s="2"/>
    </row>
    <row r="4" spans="1:7">
      <c r="A4" s="26" t="s">
        <v>1</v>
      </c>
      <c r="B4" s="26"/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</row>
    <row r="5" spans="1:7">
      <c r="A5" s="28" t="s">
        <v>8</v>
      </c>
      <c r="B5" s="28"/>
      <c r="C5" s="29" t="s">
        <v>9</v>
      </c>
      <c r="D5" s="29" t="s">
        <v>10</v>
      </c>
      <c r="E5" s="29" t="s">
        <v>11</v>
      </c>
      <c r="F5" s="29" t="s">
        <v>12</v>
      </c>
      <c r="G5" s="29" t="s">
        <v>13</v>
      </c>
    </row>
    <row r="6" spans="1:7">
      <c r="A6" s="7" t="s">
        <v>344</v>
      </c>
      <c r="B6" s="16"/>
      <c r="C6" s="202"/>
      <c r="D6" s="202"/>
      <c r="E6" s="202"/>
      <c r="F6" s="202"/>
      <c r="G6" s="202"/>
    </row>
    <row r="7" spans="1:7">
      <c r="A7" s="10" t="s">
        <v>345</v>
      </c>
      <c r="B7" s="18"/>
      <c r="C7" s="204"/>
      <c r="D7" s="204"/>
      <c r="E7" s="204"/>
      <c r="F7" s="204"/>
      <c r="G7" s="204"/>
    </row>
    <row r="8" spans="1:7">
      <c r="A8" s="10" t="s">
        <v>346</v>
      </c>
      <c r="B8" s="10"/>
      <c r="C8" s="204">
        <v>10866</v>
      </c>
      <c r="D8" s="204">
        <v>12311</v>
      </c>
      <c r="E8" s="204">
        <v>14957</v>
      </c>
      <c r="F8" s="204">
        <v>17273</v>
      </c>
      <c r="G8" s="204">
        <v>19743</v>
      </c>
    </row>
    <row r="9" spans="1:7">
      <c r="A9" s="10" t="s">
        <v>347</v>
      </c>
      <c r="B9" s="10"/>
      <c r="C9" s="204">
        <v>767</v>
      </c>
      <c r="D9" s="204">
        <v>804</v>
      </c>
      <c r="E9" s="204">
        <v>861</v>
      </c>
      <c r="F9" s="204">
        <v>943</v>
      </c>
      <c r="G9" s="204">
        <v>1034</v>
      </c>
    </row>
    <row r="10" spans="1:7">
      <c r="A10" s="10" t="s">
        <v>348</v>
      </c>
      <c r="B10" s="10"/>
      <c r="C10" s="204">
        <v>307</v>
      </c>
      <c r="D10" s="204">
        <v>873</v>
      </c>
      <c r="E10" s="204">
        <v>336</v>
      </c>
      <c r="F10" s="204">
        <v>-483</v>
      </c>
      <c r="G10" s="204">
        <v>-100</v>
      </c>
    </row>
    <row r="11" spans="1:7">
      <c r="A11" s="10" t="s">
        <v>349</v>
      </c>
      <c r="B11" s="10"/>
      <c r="C11" s="204">
        <v>416</v>
      </c>
      <c r="D11" s="204">
        <v>542</v>
      </c>
      <c r="E11" s="204">
        <v>602</v>
      </c>
      <c r="F11" s="204">
        <v>765</v>
      </c>
      <c r="G11" s="204">
        <v>850</v>
      </c>
    </row>
    <row r="12" spans="1:7">
      <c r="A12" s="10" t="s">
        <v>350</v>
      </c>
      <c r="B12" s="10"/>
      <c r="C12" s="204">
        <v>37</v>
      </c>
      <c r="D12" s="204">
        <v>-109</v>
      </c>
      <c r="E12" s="204">
        <v>94</v>
      </c>
      <c r="F12" s="204">
        <v>14</v>
      </c>
      <c r="G12" s="204">
        <v>136</v>
      </c>
    </row>
    <row r="13" spans="1:7">
      <c r="A13" s="10" t="s">
        <v>350</v>
      </c>
      <c r="B13" s="10"/>
      <c r="C13" s="204">
        <v>44</v>
      </c>
      <c r="D13" s="204">
        <v>-147</v>
      </c>
      <c r="E13" s="204">
        <v>43</v>
      </c>
      <c r="F13" s="204">
        <v>-136</v>
      </c>
      <c r="G13" s="204">
        <v>139</v>
      </c>
    </row>
    <row r="14" spans="1:7">
      <c r="A14" s="10" t="s">
        <v>351</v>
      </c>
      <c r="B14" s="10"/>
      <c r="C14" s="204">
        <v>21</v>
      </c>
      <c r="D14" s="204">
        <v>88</v>
      </c>
      <c r="E14" s="204">
        <v>67</v>
      </c>
      <c r="F14" s="204">
        <v>34</v>
      </c>
      <c r="G14" s="204">
        <v>109</v>
      </c>
    </row>
    <row r="15" spans="1:7">
      <c r="A15" s="10" t="s">
        <v>352</v>
      </c>
      <c r="B15" s="10"/>
      <c r="C15" s="204">
        <v>43</v>
      </c>
      <c r="D15" s="204">
        <v>-343</v>
      </c>
      <c r="E15" s="204">
        <v>97</v>
      </c>
      <c r="F15" s="204">
        <v>-250</v>
      </c>
      <c r="G15" s="204">
        <v>-237</v>
      </c>
    </row>
    <row r="16" spans="1:7">
      <c r="A16" s="10" t="s">
        <v>353</v>
      </c>
      <c r="B16" s="10"/>
      <c r="C16" s="204">
        <v>923</v>
      </c>
      <c r="D16" s="204">
        <v>929</v>
      </c>
      <c r="E16" s="204">
        <v>1055</v>
      </c>
      <c r="F16" s="204">
        <v>1291</v>
      </c>
      <c r="G16" s="204">
        <v>676</v>
      </c>
    </row>
    <row r="17" spans="1:7">
      <c r="A17" s="10" t="s">
        <v>354</v>
      </c>
      <c r="B17" s="10"/>
      <c r="C17" s="204">
        <v>290</v>
      </c>
      <c r="D17" s="204">
        <v>70</v>
      </c>
      <c r="E17" s="204" t="s">
        <v>20</v>
      </c>
      <c r="F17" s="204" t="s">
        <v>20</v>
      </c>
      <c r="G17" s="204" t="s">
        <v>20</v>
      </c>
    </row>
    <row r="18" spans="1:7">
      <c r="A18" s="10" t="s">
        <v>355</v>
      </c>
      <c r="B18" s="10"/>
      <c r="C18" s="204">
        <v>1858</v>
      </c>
      <c r="D18" s="204">
        <v>-468</v>
      </c>
      <c r="E18" s="204">
        <v>397</v>
      </c>
      <c r="F18" s="204">
        <v>-160</v>
      </c>
      <c r="G18" s="204">
        <v>-2175</v>
      </c>
    </row>
    <row r="19" spans="1:7">
      <c r="A19" s="10" t="s">
        <v>356</v>
      </c>
      <c r="B19" s="10"/>
      <c r="C19" s="204">
        <v>2384</v>
      </c>
      <c r="D19" s="204">
        <v>679</v>
      </c>
      <c r="E19" s="204">
        <v>1256</v>
      </c>
      <c r="F19" s="204">
        <v>-194</v>
      </c>
      <c r="G19" s="204">
        <v>1841</v>
      </c>
    </row>
    <row r="20" spans="1:7">
      <c r="A20" s="10" t="s">
        <v>357</v>
      </c>
      <c r="B20" s="10"/>
      <c r="C20" s="204">
        <v>6664</v>
      </c>
      <c r="D20" s="204">
        <v>8367</v>
      </c>
      <c r="E20" s="204">
        <v>10295</v>
      </c>
      <c r="F20" s="204">
        <v>12297</v>
      </c>
      <c r="G20" s="204">
        <v>13764</v>
      </c>
    </row>
    <row r="21" spans="1:7">
      <c r="A21" s="10" t="s">
        <v>358</v>
      </c>
      <c r="B21" s="10"/>
      <c r="C21" s="204">
        <v>402</v>
      </c>
      <c r="D21" s="204">
        <v>-147</v>
      </c>
      <c r="E21" s="204">
        <v>666</v>
      </c>
      <c r="F21" s="204">
        <v>-24</v>
      </c>
      <c r="G21" s="204">
        <v>-199</v>
      </c>
    </row>
    <row r="22" spans="1:7">
      <c r="A22" s="10" t="s">
        <v>359</v>
      </c>
      <c r="B22" s="10"/>
      <c r="C22" s="204">
        <v>10440</v>
      </c>
      <c r="D22" s="204">
        <v>15227</v>
      </c>
      <c r="E22" s="204">
        <v>18849</v>
      </c>
      <c r="F22" s="204">
        <v>20755</v>
      </c>
      <c r="G22" s="204">
        <v>19950</v>
      </c>
    </row>
    <row r="23" spans="1:7">
      <c r="A23" s="10" t="s">
        <v>360</v>
      </c>
      <c r="B23" s="10"/>
      <c r="C23" s="204">
        <v>8081</v>
      </c>
      <c r="D23" s="204">
        <v>-7510</v>
      </c>
      <c r="E23" s="204">
        <v>9351</v>
      </c>
      <c r="F23" s="204">
        <v>-11014</v>
      </c>
      <c r="G23" s="204">
        <v>-14067</v>
      </c>
    </row>
    <row r="24" spans="1:7">
      <c r="A24" s="10" t="s">
        <v>361</v>
      </c>
      <c r="B24" s="10"/>
      <c r="C24" s="204">
        <v>101</v>
      </c>
      <c r="D24" s="204">
        <v>-712</v>
      </c>
      <c r="E24" s="204">
        <v>264</v>
      </c>
      <c r="F24" s="204">
        <v>104</v>
      </c>
      <c r="G24" s="204">
        <v>94</v>
      </c>
    </row>
    <row r="25" spans="1:7">
      <c r="A25" s="10" t="s">
        <v>362</v>
      </c>
      <c r="B25" s="10"/>
      <c r="C25" s="204">
        <v>-290</v>
      </c>
      <c r="D25" s="204">
        <v>70</v>
      </c>
      <c r="E25" s="204">
        <v>476</v>
      </c>
      <c r="F25" s="204">
        <v>295</v>
      </c>
      <c r="G25" s="204">
        <v>28</v>
      </c>
    </row>
    <row r="26" spans="1:7">
      <c r="A26" s="10" t="s">
        <v>363</v>
      </c>
      <c r="B26" s="18"/>
      <c r="C26" s="204"/>
      <c r="D26" s="204"/>
      <c r="E26" s="204"/>
      <c r="F26" s="204"/>
      <c r="G26" s="204"/>
    </row>
    <row r="27" spans="1:7">
      <c r="A27" s="10" t="s">
        <v>364</v>
      </c>
      <c r="B27" s="10"/>
      <c r="C27" s="204">
        <v>736</v>
      </c>
      <c r="D27" s="204">
        <v>-705</v>
      </c>
      <c r="E27" s="204">
        <v>970</v>
      </c>
      <c r="F27" s="204">
        <v>-1059</v>
      </c>
      <c r="G27" s="204">
        <v>-1257</v>
      </c>
    </row>
    <row r="28" spans="1:7">
      <c r="A28" s="10" t="s">
        <v>365</v>
      </c>
      <c r="B28" s="10"/>
      <c r="C28" s="204">
        <v>267</v>
      </c>
      <c r="D28" s="204">
        <v>-71</v>
      </c>
      <c r="E28" s="204">
        <v>86</v>
      </c>
      <c r="F28" s="204">
        <v>-121</v>
      </c>
      <c r="G28" s="204">
        <v>-231</v>
      </c>
    </row>
    <row r="29" spans="1:7">
      <c r="A29" s="10" t="s">
        <v>366</v>
      </c>
      <c r="B29" s="10"/>
      <c r="C29" s="204">
        <v>77</v>
      </c>
      <c r="D29" s="204">
        <v>-75</v>
      </c>
      <c r="E29" s="204">
        <v>1948</v>
      </c>
      <c r="F29" s="204">
        <v>0</v>
      </c>
      <c r="G29" s="204">
        <v>-915</v>
      </c>
    </row>
    <row r="30" spans="1:7">
      <c r="A30" s="10" t="s">
        <v>367</v>
      </c>
      <c r="B30" s="10"/>
      <c r="C30" s="204">
        <v>72</v>
      </c>
      <c r="D30" s="204">
        <v>109</v>
      </c>
      <c r="E30" s="204">
        <v>128</v>
      </c>
      <c r="F30" s="204">
        <v>-25</v>
      </c>
      <c r="G30" s="204" t="s">
        <v>20</v>
      </c>
    </row>
    <row r="31" spans="1:7">
      <c r="A31" s="10" t="s">
        <v>368</v>
      </c>
      <c r="B31" s="10"/>
      <c r="C31" s="204" t="s">
        <v>20</v>
      </c>
      <c r="D31" s="204" t="s">
        <v>20</v>
      </c>
      <c r="E31" s="204" t="s">
        <v>20</v>
      </c>
      <c r="F31" s="204">
        <v>402</v>
      </c>
      <c r="G31" s="204" t="s">
        <v>20</v>
      </c>
    </row>
    <row r="32" spans="1:7">
      <c r="A32" s="10" t="s">
        <v>367</v>
      </c>
      <c r="B32" s="10"/>
      <c r="C32" s="204" t="s">
        <v>20</v>
      </c>
      <c r="D32" s="204" t="s">
        <v>20</v>
      </c>
      <c r="E32" s="204" t="s">
        <v>20</v>
      </c>
      <c r="F32" s="204" t="s">
        <v>20</v>
      </c>
      <c r="G32" s="204">
        <v>-93</v>
      </c>
    </row>
    <row r="33" spans="1:7">
      <c r="A33" s="10" t="s">
        <v>369</v>
      </c>
      <c r="B33" s="10"/>
      <c r="C33" s="204">
        <v>4510</v>
      </c>
      <c r="D33" s="204">
        <v>5701</v>
      </c>
      <c r="E33" s="204">
        <v>4585</v>
      </c>
      <c r="F33" s="204">
        <v>3160</v>
      </c>
      <c r="G33" s="204">
        <v>5013</v>
      </c>
    </row>
    <row r="34" spans="1:7">
      <c r="A34" s="10" t="s">
        <v>370</v>
      </c>
      <c r="B34" s="10"/>
      <c r="C34" s="204">
        <v>2075</v>
      </c>
      <c r="D34" s="204">
        <v>-5111</v>
      </c>
      <c r="E34" s="204">
        <v>5997</v>
      </c>
      <c r="F34" s="204">
        <v>-4363</v>
      </c>
      <c r="G34" s="204">
        <v>4443</v>
      </c>
    </row>
    <row r="35" spans="1:7">
      <c r="A35" s="7" t="s">
        <v>371</v>
      </c>
      <c r="B35" s="7"/>
      <c r="C35" s="202">
        <v>1427</v>
      </c>
      <c r="D35" s="202">
        <v>-152</v>
      </c>
      <c r="E35" s="202">
        <v>4288</v>
      </c>
      <c r="F35" s="202">
        <v>-2006</v>
      </c>
      <c r="G35" s="202">
        <v>-1926</v>
      </c>
    </row>
    <row r="36" spans="1:7">
      <c r="A36" s="10" t="s">
        <v>372</v>
      </c>
      <c r="B36" s="18"/>
      <c r="C36" s="204"/>
      <c r="D36" s="204"/>
      <c r="E36" s="204"/>
      <c r="F36" s="204"/>
      <c r="G36" s="204"/>
    </row>
    <row r="37" spans="1:7">
      <c r="A37" s="10" t="s">
        <v>373</v>
      </c>
      <c r="B37" s="10"/>
      <c r="C37" s="204">
        <v>2664</v>
      </c>
      <c r="D37" s="204">
        <v>-2798</v>
      </c>
      <c r="E37" s="204">
        <v>3203</v>
      </c>
      <c r="F37" s="204">
        <v>-3751</v>
      </c>
      <c r="G37" s="204">
        <v>-4217</v>
      </c>
    </row>
    <row r="38" spans="1:7">
      <c r="A38" s="10" t="s">
        <v>374</v>
      </c>
      <c r="B38" s="10"/>
      <c r="C38" s="204">
        <v>7212</v>
      </c>
      <c r="D38" s="204">
        <v>0</v>
      </c>
      <c r="E38" s="204">
        <v>3218</v>
      </c>
      <c r="F38" s="204">
        <v>0</v>
      </c>
      <c r="G38" s="204">
        <v>0</v>
      </c>
    </row>
    <row r="39" spans="1:7">
      <c r="A39" s="10" t="s">
        <v>375</v>
      </c>
      <c r="B39" s="10"/>
      <c r="C39" s="204">
        <v>0</v>
      </c>
      <c r="D39" s="204">
        <v>-3000</v>
      </c>
      <c r="E39" s="204">
        <v>1000</v>
      </c>
      <c r="F39" s="204">
        <v>-2250</v>
      </c>
      <c r="G39" s="204">
        <v>0</v>
      </c>
    </row>
    <row r="40" spans="1:7">
      <c r="A40" s="10" t="s">
        <v>376</v>
      </c>
      <c r="B40" s="10"/>
      <c r="C40" s="204">
        <v>8114</v>
      </c>
      <c r="D40" s="204">
        <v>-8676</v>
      </c>
      <c r="E40" s="204">
        <v>11589</v>
      </c>
      <c r="F40" s="204">
        <v>-12101</v>
      </c>
      <c r="G40" s="204">
        <v>-16713</v>
      </c>
    </row>
    <row r="41" spans="1:7">
      <c r="A41" s="10" t="s">
        <v>377</v>
      </c>
      <c r="B41" s="10"/>
      <c r="C41" s="204">
        <v>440</v>
      </c>
      <c r="D41" s="204">
        <v>-37</v>
      </c>
      <c r="E41" s="204">
        <v>1287</v>
      </c>
      <c r="F41" s="204">
        <v>636</v>
      </c>
      <c r="G41" s="204">
        <v>382</v>
      </c>
    </row>
    <row r="42" spans="1:7">
      <c r="A42" s="10" t="s">
        <v>378</v>
      </c>
      <c r="B42" s="10"/>
      <c r="C42" s="204">
        <v>160</v>
      </c>
      <c r="D42" s="204">
        <v>-144</v>
      </c>
      <c r="E42" s="204">
        <v>120</v>
      </c>
      <c r="F42" s="204">
        <v>-130</v>
      </c>
      <c r="G42" s="204">
        <v>170</v>
      </c>
    </row>
    <row r="43" spans="1:7">
      <c r="A43" s="10" t="s">
        <v>379</v>
      </c>
      <c r="B43" s="10"/>
      <c r="C43" s="204">
        <v>333</v>
      </c>
      <c r="D43" s="204">
        <v>0</v>
      </c>
      <c r="E43" s="204">
        <v>0</v>
      </c>
      <c r="F43" s="204" t="s">
        <v>20</v>
      </c>
      <c r="G43" s="204" t="s">
        <v>20</v>
      </c>
    </row>
    <row r="44" spans="1:7">
      <c r="A44" s="10" t="s">
        <v>380</v>
      </c>
      <c r="B44" s="10"/>
      <c r="C44" s="204">
        <v>99</v>
      </c>
      <c r="D44" s="204">
        <v>0</v>
      </c>
      <c r="E44" s="204">
        <v>198</v>
      </c>
      <c r="F44" s="204">
        <v>200</v>
      </c>
      <c r="G44" s="204" t="s">
        <v>20</v>
      </c>
    </row>
    <row r="45" spans="1:7">
      <c r="A45" s="10" t="s">
        <v>381</v>
      </c>
      <c r="B45" s="10"/>
      <c r="C45" s="204" t="s">
        <v>20</v>
      </c>
      <c r="D45" s="204">
        <v>0</v>
      </c>
      <c r="E45" s="204" t="s">
        <v>20</v>
      </c>
      <c r="F45" s="204" t="s">
        <v>20</v>
      </c>
      <c r="G45" s="204">
        <v>208</v>
      </c>
    </row>
    <row r="46" spans="1:7">
      <c r="A46" s="10" t="s">
        <v>382</v>
      </c>
      <c r="B46" s="10"/>
      <c r="C46" s="204">
        <v>2671</v>
      </c>
      <c r="D46" s="204">
        <v>3012</v>
      </c>
      <c r="E46" s="204">
        <v>3741</v>
      </c>
      <c r="F46" s="204">
        <v>3433</v>
      </c>
      <c r="G46" s="204">
        <v>5775</v>
      </c>
    </row>
    <row r="47" spans="1:7">
      <c r="A47" s="10" t="s">
        <v>382</v>
      </c>
      <c r="B47" s="10"/>
      <c r="C47" s="204" t="s">
        <v>20</v>
      </c>
      <c r="D47" s="204" t="s">
        <v>20</v>
      </c>
      <c r="E47" s="204" t="s">
        <v>20</v>
      </c>
      <c r="F47" s="204" t="s">
        <v>20</v>
      </c>
      <c r="G47" s="204" t="s">
        <v>20</v>
      </c>
    </row>
    <row r="48" spans="1:7">
      <c r="A48" s="10" t="s">
        <v>383</v>
      </c>
      <c r="B48" s="10"/>
      <c r="C48" s="204">
        <v>537</v>
      </c>
      <c r="D48" s="204">
        <v>643</v>
      </c>
      <c r="E48" s="204">
        <v>607</v>
      </c>
      <c r="F48" s="204">
        <v>617</v>
      </c>
      <c r="G48" s="204">
        <v>583</v>
      </c>
    </row>
    <row r="49" spans="1:7">
      <c r="A49" s="10" t="s">
        <v>384</v>
      </c>
      <c r="B49" s="10"/>
      <c r="C49" s="204">
        <v>190</v>
      </c>
      <c r="D49" s="204">
        <v>208</v>
      </c>
      <c r="E49" s="204">
        <v>196</v>
      </c>
      <c r="F49" s="204">
        <v>260</v>
      </c>
      <c r="G49" s="204">
        <v>335</v>
      </c>
    </row>
    <row r="50" spans="1:7">
      <c r="A50" s="10" t="s">
        <v>385</v>
      </c>
      <c r="B50" s="10"/>
      <c r="C50" s="204">
        <v>8339</v>
      </c>
      <c r="D50" s="204">
        <v>628</v>
      </c>
      <c r="E50" s="204">
        <v>578</v>
      </c>
      <c r="F50" s="204">
        <v>1613</v>
      </c>
      <c r="G50" s="204">
        <v>-2227</v>
      </c>
    </row>
    <row r="51" spans="1:7">
      <c r="A51" s="10" t="s">
        <v>386</v>
      </c>
      <c r="B51" s="10"/>
      <c r="C51" s="204">
        <v>19171</v>
      </c>
      <c r="D51" s="204">
        <v>19799</v>
      </c>
      <c r="E51" s="204">
        <v>20377</v>
      </c>
      <c r="F51" s="204">
        <v>21990</v>
      </c>
      <c r="G51" s="204">
        <v>19763</v>
      </c>
    </row>
    <row r="52" spans="1:7">
      <c r="A52" s="10" t="s">
        <v>387</v>
      </c>
      <c r="B52" s="10"/>
      <c r="C52" s="204">
        <v>10832</v>
      </c>
      <c r="D52" s="204">
        <v>19171</v>
      </c>
      <c r="E52" s="204">
        <v>19799</v>
      </c>
      <c r="F52" s="204">
        <v>20377</v>
      </c>
      <c r="G52" s="204">
        <v>21990</v>
      </c>
    </row>
    <row r="53" spans="1:7">
      <c r="A53" s="7" t="s">
        <v>388</v>
      </c>
      <c r="B53" s="7"/>
      <c r="C53" s="202">
        <v>3968</v>
      </c>
      <c r="D53" s="202">
        <v>14410</v>
      </c>
      <c r="E53" s="202">
        <v>12696</v>
      </c>
      <c r="F53" s="202">
        <v>-17772</v>
      </c>
      <c r="G53" s="202">
        <v>-20633</v>
      </c>
    </row>
    <row r="54" spans="1:7">
      <c r="A54" s="10" t="s">
        <v>192</v>
      </c>
      <c r="B54" s="18"/>
      <c r="C54" s="204"/>
      <c r="D54" s="204"/>
      <c r="E54" s="204"/>
      <c r="F54" s="204"/>
      <c r="G54" s="204"/>
    </row>
    <row r="55" spans="1:7">
      <c r="A55" s="10" t="s">
        <v>389</v>
      </c>
      <c r="B55" s="10"/>
      <c r="C55" s="204" t="s">
        <v>20</v>
      </c>
      <c r="D55" s="204" t="s">
        <v>20</v>
      </c>
      <c r="E55" s="204">
        <v>17879</v>
      </c>
      <c r="F55" s="204">
        <v>19696</v>
      </c>
      <c r="G55" s="204">
        <v>18693</v>
      </c>
    </row>
    <row r="56" spans="1:7">
      <c r="A56" s="19" t="s">
        <v>130</v>
      </c>
      <c r="B56" s="19"/>
      <c r="C56" s="19"/>
      <c r="D56" s="19"/>
      <c r="E56" s="19"/>
      <c r="F56" s="19"/>
      <c r="G56" s="19"/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BAEB-F78C-4855-89EE-30AEF08E3B24}">
  <dimension ref="A1:H71"/>
  <sheetViews>
    <sheetView topLeftCell="A54" workbookViewId="0">
      <selection activeCell="A38" sqref="A38"/>
    </sheetView>
  </sheetViews>
  <sheetFormatPr defaultColWidth="8.69921875" defaultRowHeight="17.399999999999999"/>
  <cols>
    <col min="1" max="1" width="35.19921875" style="1" customWidth="1"/>
    <col min="2" max="2" width="0" style="1" hidden="1" customWidth="1"/>
    <col min="3" max="8" width="14.09765625" style="1" customWidth="1"/>
    <col min="9" max="16384" width="8.69921875" style="538"/>
  </cols>
  <sheetData>
    <row r="1" spans="1:8">
      <c r="A1" s="31"/>
      <c r="B1" s="31"/>
      <c r="C1" s="31"/>
      <c r="D1" s="31"/>
      <c r="E1" s="31"/>
      <c r="F1" s="31"/>
      <c r="G1" s="31"/>
      <c r="H1" s="31"/>
    </row>
    <row r="2" spans="1:8" ht="21">
      <c r="A2" s="30" t="s">
        <v>585</v>
      </c>
      <c r="B2" s="30"/>
      <c r="C2" s="30"/>
      <c r="D2" s="30"/>
      <c r="E2" s="30"/>
      <c r="F2" s="30"/>
      <c r="G2" s="30"/>
      <c r="H2" s="30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>
      <c r="A5" s="5" t="s">
        <v>8</v>
      </c>
      <c r="B5" s="5"/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927</v>
      </c>
    </row>
    <row r="6" spans="1:8">
      <c r="A6" s="7" t="s">
        <v>751</v>
      </c>
      <c r="B6" s="16"/>
      <c r="C6" s="16"/>
      <c r="D6" s="16"/>
      <c r="E6" s="16"/>
      <c r="F6" s="16"/>
      <c r="G6" s="16"/>
      <c r="H6" s="17"/>
    </row>
    <row r="7" spans="1:8">
      <c r="A7" s="10" t="s">
        <v>752</v>
      </c>
      <c r="B7" s="10" t="s">
        <v>753</v>
      </c>
      <c r="C7" s="11">
        <v>10866</v>
      </c>
      <c r="D7" s="11">
        <v>12311</v>
      </c>
      <c r="E7" s="11">
        <v>14957</v>
      </c>
      <c r="F7" s="11">
        <v>17273</v>
      </c>
      <c r="G7" s="11">
        <v>19743</v>
      </c>
      <c r="H7" s="12">
        <v>20286</v>
      </c>
    </row>
    <row r="8" spans="1:8">
      <c r="A8" s="10" t="s">
        <v>754</v>
      </c>
      <c r="B8" s="10" t="s">
        <v>755</v>
      </c>
      <c r="C8" s="11">
        <v>767</v>
      </c>
      <c r="D8" s="11">
        <v>804</v>
      </c>
      <c r="E8" s="11">
        <v>861</v>
      </c>
      <c r="F8" s="11">
        <v>943</v>
      </c>
      <c r="G8" s="11">
        <v>1034</v>
      </c>
      <c r="H8" s="12">
        <v>1178</v>
      </c>
    </row>
    <row r="9" spans="1:8">
      <c r="A9" s="10" t="s">
        <v>756</v>
      </c>
      <c r="B9" s="10" t="s">
        <v>757</v>
      </c>
      <c r="C9" s="11">
        <v>-1278</v>
      </c>
      <c r="D9" s="11">
        <v>1157</v>
      </c>
      <c r="E9" s="11">
        <v>671</v>
      </c>
      <c r="F9" s="11">
        <v>1523</v>
      </c>
      <c r="G9" s="11">
        <v>339</v>
      </c>
      <c r="H9" s="12">
        <v>1508</v>
      </c>
    </row>
    <row r="10" spans="1:8">
      <c r="A10" s="10" t="s">
        <v>758</v>
      </c>
      <c r="B10" s="10" t="s">
        <v>759</v>
      </c>
      <c r="C10" s="11">
        <v>416</v>
      </c>
      <c r="D10" s="11">
        <v>542</v>
      </c>
      <c r="E10" s="11">
        <v>602</v>
      </c>
      <c r="F10" s="11">
        <v>765</v>
      </c>
      <c r="G10" s="11">
        <v>850</v>
      </c>
      <c r="H10" s="12">
        <v>894</v>
      </c>
    </row>
    <row r="11" spans="1:8">
      <c r="A11" s="10" t="s">
        <v>61</v>
      </c>
      <c r="B11" s="10" t="s">
        <v>760</v>
      </c>
      <c r="C11" s="11">
        <v>307</v>
      </c>
      <c r="D11" s="11">
        <v>873</v>
      </c>
      <c r="E11" s="11">
        <v>-336</v>
      </c>
      <c r="F11" s="11">
        <v>-483</v>
      </c>
      <c r="G11" s="11">
        <v>-100</v>
      </c>
      <c r="H11" s="12">
        <v>346</v>
      </c>
    </row>
    <row r="12" spans="1:8">
      <c r="A12" s="10" t="s">
        <v>761</v>
      </c>
      <c r="B12" s="10" t="s">
        <v>762</v>
      </c>
      <c r="C12" s="11">
        <v>-2001</v>
      </c>
      <c r="D12" s="11">
        <v>-258</v>
      </c>
      <c r="E12" s="11">
        <v>405</v>
      </c>
      <c r="F12" s="11">
        <v>1241</v>
      </c>
      <c r="G12" s="11">
        <v>-411</v>
      </c>
      <c r="H12" s="12">
        <v>268</v>
      </c>
    </row>
    <row r="13" spans="1:8">
      <c r="A13" s="10" t="s">
        <v>763</v>
      </c>
      <c r="B13" s="10" t="s">
        <v>764</v>
      </c>
      <c r="C13" s="11">
        <v>85</v>
      </c>
      <c r="D13" s="11">
        <v>955</v>
      </c>
      <c r="E13" s="11">
        <v>2360</v>
      </c>
      <c r="F13" s="11">
        <v>1016</v>
      </c>
      <c r="G13" s="11">
        <v>-1166</v>
      </c>
      <c r="H13" s="12">
        <v>513</v>
      </c>
    </row>
    <row r="14" spans="1:8">
      <c r="A14" s="10" t="s">
        <v>765</v>
      </c>
      <c r="B14" s="10" t="s">
        <v>766</v>
      </c>
      <c r="C14" s="11">
        <v>-43</v>
      </c>
      <c r="D14" s="11">
        <v>-343</v>
      </c>
      <c r="E14" s="11">
        <v>-97</v>
      </c>
      <c r="F14" s="11">
        <v>-250</v>
      </c>
      <c r="G14" s="11">
        <v>-237</v>
      </c>
      <c r="H14" s="12">
        <v>-357</v>
      </c>
    </row>
    <row r="15" spans="1:8">
      <c r="A15" s="10" t="s">
        <v>767</v>
      </c>
      <c r="B15" s="10" t="s">
        <v>768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2">
        <v>0</v>
      </c>
    </row>
    <row r="16" spans="1:8">
      <c r="A16" s="10" t="s">
        <v>769</v>
      </c>
      <c r="B16" s="10" t="s">
        <v>770</v>
      </c>
      <c r="C16" s="11">
        <v>21</v>
      </c>
      <c r="D16" s="11">
        <v>88</v>
      </c>
      <c r="E16" s="11">
        <v>67</v>
      </c>
      <c r="F16" s="11">
        <v>34</v>
      </c>
      <c r="G16" s="11">
        <v>109</v>
      </c>
      <c r="H16" s="12">
        <v>122</v>
      </c>
    </row>
    <row r="17" spans="1:8">
      <c r="A17" s="10" t="s">
        <v>771</v>
      </c>
      <c r="B17" s="10" t="s">
        <v>772</v>
      </c>
      <c r="C17" s="11">
        <v>107</v>
      </c>
      <c r="D17" s="11">
        <v>1210</v>
      </c>
      <c r="E17" s="11">
        <v>2390</v>
      </c>
      <c r="F17" s="11">
        <v>1232</v>
      </c>
      <c r="G17" s="11">
        <v>-1038</v>
      </c>
      <c r="H17" s="12">
        <v>748</v>
      </c>
    </row>
    <row r="18" spans="1:8">
      <c r="A18" s="10" t="s">
        <v>773</v>
      </c>
      <c r="B18" s="10" t="s">
        <v>774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2"/>
    </row>
    <row r="19" spans="1:8">
      <c r="A19" s="7" t="s">
        <v>751</v>
      </c>
      <c r="B19" s="7" t="s">
        <v>775</v>
      </c>
      <c r="C19" s="8">
        <v>10440</v>
      </c>
      <c r="D19" s="8">
        <v>15227</v>
      </c>
      <c r="E19" s="8">
        <v>18849</v>
      </c>
      <c r="F19" s="8">
        <v>20755</v>
      </c>
      <c r="G19" s="8">
        <v>19950</v>
      </c>
      <c r="H19" s="9">
        <v>23485</v>
      </c>
    </row>
    <row r="20" spans="1:8">
      <c r="A20" s="7"/>
      <c r="B20" s="16"/>
      <c r="C20" s="16"/>
      <c r="D20" s="16"/>
      <c r="E20" s="16"/>
      <c r="F20" s="16"/>
      <c r="G20" s="16"/>
      <c r="H20" s="17"/>
    </row>
    <row r="21" spans="1:8">
      <c r="A21" s="7" t="s">
        <v>776</v>
      </c>
      <c r="B21" s="16"/>
      <c r="C21" s="16"/>
      <c r="D21" s="16"/>
      <c r="E21" s="16"/>
      <c r="F21" s="16"/>
      <c r="G21" s="16"/>
      <c r="H21" s="17"/>
    </row>
    <row r="22" spans="1:8">
      <c r="A22" s="10" t="s">
        <v>777</v>
      </c>
      <c r="B22" s="10" t="s">
        <v>778</v>
      </c>
      <c r="C22" s="11">
        <v>-736</v>
      </c>
      <c r="D22" s="11">
        <v>-705</v>
      </c>
      <c r="E22" s="11">
        <v>-970</v>
      </c>
      <c r="F22" s="11">
        <v>-1059</v>
      </c>
      <c r="G22" s="11">
        <v>-1257</v>
      </c>
      <c r="H22" s="12">
        <v>-1402</v>
      </c>
    </row>
    <row r="23" spans="1:8">
      <c r="A23" s="10" t="s">
        <v>779</v>
      </c>
      <c r="B23" s="10" t="s">
        <v>780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2">
        <v>0</v>
      </c>
    </row>
    <row r="24" spans="1:8">
      <c r="A24" s="13" t="s">
        <v>781</v>
      </c>
      <c r="B24" s="13" t="s">
        <v>782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5">
        <v>0</v>
      </c>
    </row>
    <row r="25" spans="1:8">
      <c r="A25" s="13" t="s">
        <v>783</v>
      </c>
      <c r="B25" s="13" t="s">
        <v>784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5">
        <v>0</v>
      </c>
    </row>
    <row r="26" spans="1:8">
      <c r="A26" s="10" t="s">
        <v>785</v>
      </c>
      <c r="B26" s="10" t="s">
        <v>786</v>
      </c>
      <c r="C26" s="11">
        <v>-736</v>
      </c>
      <c r="D26" s="11">
        <v>-705</v>
      </c>
      <c r="E26" s="11">
        <v>-970</v>
      </c>
      <c r="F26" s="11">
        <v>-1059</v>
      </c>
      <c r="G26" s="11">
        <v>-1257</v>
      </c>
      <c r="H26" s="12">
        <v>-1402</v>
      </c>
    </row>
    <row r="27" spans="1:8">
      <c r="A27" s="13" t="s">
        <v>787</v>
      </c>
      <c r="B27" s="13" t="s">
        <v>788</v>
      </c>
      <c r="C27" s="14">
        <v>-736</v>
      </c>
      <c r="D27" s="14">
        <v>-705</v>
      </c>
      <c r="E27" s="14">
        <v>-970</v>
      </c>
      <c r="F27" s="14">
        <v>-1059</v>
      </c>
      <c r="G27" s="14">
        <v>-1257</v>
      </c>
      <c r="H27" s="15">
        <v>-1402</v>
      </c>
    </row>
    <row r="28" spans="1:8">
      <c r="A28" s="13" t="s">
        <v>789</v>
      </c>
      <c r="B28" s="13" t="s">
        <v>790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5">
        <v>0</v>
      </c>
    </row>
    <row r="29" spans="1:8">
      <c r="A29" s="10" t="s">
        <v>791</v>
      </c>
      <c r="B29" s="10" t="s">
        <v>792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2">
        <v>0</v>
      </c>
    </row>
    <row r="30" spans="1:8">
      <c r="A30" s="10" t="s">
        <v>793</v>
      </c>
      <c r="B30" s="10" t="s">
        <v>794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2">
        <v>0</v>
      </c>
    </row>
    <row r="31" spans="1:8">
      <c r="A31" s="10" t="s">
        <v>795</v>
      </c>
      <c r="B31" s="10" t="s">
        <v>796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2">
        <v>0</v>
      </c>
    </row>
    <row r="32" spans="1:8">
      <c r="A32" s="10" t="s">
        <v>797</v>
      </c>
      <c r="B32" s="10" t="s">
        <v>798</v>
      </c>
      <c r="C32" s="11">
        <v>-77</v>
      </c>
      <c r="D32" s="11">
        <v>-75</v>
      </c>
      <c r="E32" s="11">
        <v>-1948</v>
      </c>
      <c r="F32" s="11">
        <v>0</v>
      </c>
      <c r="G32" s="11">
        <v>-915</v>
      </c>
      <c r="H32" s="12">
        <v>-887</v>
      </c>
    </row>
    <row r="33" spans="1:8">
      <c r="A33" s="10" t="s">
        <v>799</v>
      </c>
      <c r="B33" s="10" t="s">
        <v>800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2">
        <v>0</v>
      </c>
    </row>
    <row r="34" spans="1:8">
      <c r="A34" s="10" t="s">
        <v>801</v>
      </c>
      <c r="B34" s="10" t="s">
        <v>802</v>
      </c>
      <c r="C34" s="11">
        <v>-77</v>
      </c>
      <c r="D34" s="11">
        <v>-75</v>
      </c>
      <c r="E34" s="11">
        <v>-1948</v>
      </c>
      <c r="F34" s="11">
        <v>0</v>
      </c>
      <c r="G34" s="11">
        <v>-915</v>
      </c>
      <c r="H34" s="12">
        <v>-887</v>
      </c>
    </row>
    <row r="35" spans="1:8">
      <c r="A35" s="10" t="s">
        <v>803</v>
      </c>
      <c r="B35" s="10" t="s">
        <v>804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2">
        <v>0</v>
      </c>
    </row>
    <row r="36" spans="1:8">
      <c r="A36" s="10" t="s">
        <v>805</v>
      </c>
      <c r="B36" s="10" t="s">
        <v>806</v>
      </c>
      <c r="C36" s="11">
        <v>2240</v>
      </c>
      <c r="D36" s="11">
        <v>628</v>
      </c>
      <c r="E36" s="11">
        <v>-1370</v>
      </c>
      <c r="F36" s="11">
        <v>-947</v>
      </c>
      <c r="G36" s="11">
        <v>246</v>
      </c>
      <c r="H36" s="12">
        <v>3277</v>
      </c>
    </row>
    <row r="37" spans="1:8">
      <c r="A37" s="10" t="s">
        <v>773</v>
      </c>
      <c r="B37" s="10" t="s">
        <v>807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2"/>
    </row>
    <row r="38" spans="1:8">
      <c r="A38" s="7" t="s">
        <v>776</v>
      </c>
      <c r="B38" s="7" t="s">
        <v>808</v>
      </c>
      <c r="C38" s="8">
        <v>1427</v>
      </c>
      <c r="D38" s="8">
        <v>-152</v>
      </c>
      <c r="E38" s="8">
        <v>-4288</v>
      </c>
      <c r="F38" s="8">
        <v>-2006</v>
      </c>
      <c r="G38" s="8">
        <v>-1926</v>
      </c>
      <c r="H38" s="9">
        <v>988</v>
      </c>
    </row>
    <row r="39" spans="1:8">
      <c r="A39" s="7"/>
      <c r="B39" s="16"/>
      <c r="C39" s="16"/>
      <c r="D39" s="16"/>
      <c r="E39" s="16"/>
      <c r="F39" s="16"/>
      <c r="G39" s="16"/>
      <c r="H39" s="17"/>
    </row>
    <row r="40" spans="1:8">
      <c r="A40" s="7" t="s">
        <v>809</v>
      </c>
      <c r="B40" s="16"/>
      <c r="C40" s="16"/>
      <c r="D40" s="16"/>
      <c r="E40" s="16"/>
      <c r="F40" s="16"/>
      <c r="G40" s="16"/>
      <c r="H40" s="17"/>
    </row>
    <row r="41" spans="1:8">
      <c r="A41" s="10" t="s">
        <v>810</v>
      </c>
      <c r="B41" s="10" t="s">
        <v>811</v>
      </c>
      <c r="C41" s="11">
        <v>-2664</v>
      </c>
      <c r="D41" s="11">
        <v>-2798</v>
      </c>
      <c r="E41" s="11">
        <v>-3203</v>
      </c>
      <c r="F41" s="11">
        <v>-3751</v>
      </c>
      <c r="G41" s="11">
        <v>-4217</v>
      </c>
      <c r="H41" s="12">
        <v>-4529</v>
      </c>
    </row>
    <row r="42" spans="1:8">
      <c r="A42" s="10" t="s">
        <v>812</v>
      </c>
      <c r="B42" s="10" t="s">
        <v>813</v>
      </c>
      <c r="C42" s="11">
        <v>7212</v>
      </c>
      <c r="D42" s="11">
        <v>-3000</v>
      </c>
      <c r="E42" s="11">
        <v>2218</v>
      </c>
      <c r="F42" s="11">
        <v>-2250</v>
      </c>
      <c r="G42" s="11">
        <v>0</v>
      </c>
      <c r="H42" s="12">
        <v>0</v>
      </c>
    </row>
    <row r="43" spans="1:8">
      <c r="A43" s="10" t="s">
        <v>814</v>
      </c>
      <c r="B43" s="10" t="s">
        <v>815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2">
        <v>0</v>
      </c>
    </row>
    <row r="44" spans="1:8">
      <c r="A44" s="10" t="s">
        <v>816</v>
      </c>
      <c r="B44" s="10" t="s">
        <v>817</v>
      </c>
      <c r="C44" s="11">
        <v>7212</v>
      </c>
      <c r="D44" s="11">
        <v>0</v>
      </c>
      <c r="E44" s="11">
        <v>3218</v>
      </c>
      <c r="F44" s="11">
        <v>0</v>
      </c>
      <c r="G44" s="11">
        <v>0</v>
      </c>
      <c r="H44" s="12">
        <v>0</v>
      </c>
    </row>
    <row r="45" spans="1:8">
      <c r="A45" s="10" t="s">
        <v>818</v>
      </c>
      <c r="B45" s="10" t="s">
        <v>819</v>
      </c>
      <c r="C45" s="11">
        <v>0</v>
      </c>
      <c r="D45" s="11">
        <v>-3000</v>
      </c>
      <c r="E45" s="11">
        <v>-1000</v>
      </c>
      <c r="F45" s="11">
        <v>-2250</v>
      </c>
      <c r="G45" s="11">
        <v>0</v>
      </c>
      <c r="H45" s="12">
        <v>0</v>
      </c>
    </row>
    <row r="46" spans="1:8">
      <c r="A46" s="10" t="s">
        <v>820</v>
      </c>
      <c r="B46" s="10" t="s">
        <v>821</v>
      </c>
      <c r="C46" s="11">
        <v>-7924</v>
      </c>
      <c r="D46" s="11">
        <v>-8468</v>
      </c>
      <c r="E46" s="11">
        <v>-11393</v>
      </c>
      <c r="F46" s="11">
        <v>-11841</v>
      </c>
      <c r="G46" s="11">
        <v>-16378</v>
      </c>
      <c r="H46" s="12">
        <v>-18828</v>
      </c>
    </row>
    <row r="47" spans="1:8">
      <c r="A47" s="10" t="s">
        <v>822</v>
      </c>
      <c r="B47" s="10" t="s">
        <v>823</v>
      </c>
      <c r="C47" s="11">
        <v>190</v>
      </c>
      <c r="D47" s="11">
        <v>208</v>
      </c>
      <c r="E47" s="11">
        <v>196</v>
      </c>
      <c r="F47" s="11">
        <v>260</v>
      </c>
      <c r="G47" s="11">
        <v>335</v>
      </c>
      <c r="H47" s="12">
        <v>409</v>
      </c>
    </row>
    <row r="48" spans="1:8">
      <c r="A48" s="10" t="s">
        <v>824</v>
      </c>
      <c r="B48" s="10" t="s">
        <v>825</v>
      </c>
      <c r="C48" s="11">
        <v>-8114</v>
      </c>
      <c r="D48" s="11">
        <v>-8676</v>
      </c>
      <c r="E48" s="11">
        <v>-11589</v>
      </c>
      <c r="F48" s="11">
        <v>-12101</v>
      </c>
      <c r="G48" s="11">
        <v>-16713</v>
      </c>
      <c r="H48" s="12">
        <v>-19237</v>
      </c>
    </row>
    <row r="49" spans="1:8">
      <c r="A49" s="10" t="s">
        <v>826</v>
      </c>
      <c r="B49" s="10" t="s">
        <v>827</v>
      </c>
      <c r="C49" s="11">
        <v>-592</v>
      </c>
      <c r="D49" s="11">
        <v>-144</v>
      </c>
      <c r="E49" s="11">
        <v>-318</v>
      </c>
      <c r="F49" s="11">
        <v>70</v>
      </c>
      <c r="G49" s="11">
        <v>-38</v>
      </c>
      <c r="H49" s="12">
        <v>3325</v>
      </c>
    </row>
    <row r="50" spans="1:8">
      <c r="A50" s="10" t="s">
        <v>773</v>
      </c>
      <c r="B50" s="10" t="s">
        <v>828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2"/>
    </row>
    <row r="51" spans="1:8">
      <c r="A51" s="7" t="s">
        <v>809</v>
      </c>
      <c r="B51" s="7" t="s">
        <v>829</v>
      </c>
      <c r="C51" s="8">
        <v>-3968</v>
      </c>
      <c r="D51" s="8">
        <v>-14410</v>
      </c>
      <c r="E51" s="8">
        <v>-12696</v>
      </c>
      <c r="F51" s="8">
        <v>-17772</v>
      </c>
      <c r="G51" s="8">
        <v>-20633</v>
      </c>
      <c r="H51" s="9">
        <v>-20032</v>
      </c>
    </row>
    <row r="52" spans="1:8">
      <c r="A52" s="7"/>
      <c r="B52" s="16"/>
      <c r="C52" s="16"/>
      <c r="D52" s="16"/>
      <c r="E52" s="16"/>
      <c r="F52" s="16"/>
      <c r="G52" s="16"/>
      <c r="H52" s="17"/>
    </row>
    <row r="53" spans="1:8">
      <c r="A53" s="10" t="s">
        <v>830</v>
      </c>
      <c r="B53" s="10" t="s">
        <v>831</v>
      </c>
      <c r="C53" s="11">
        <v>440</v>
      </c>
      <c r="D53" s="11">
        <v>-37</v>
      </c>
      <c r="E53" s="11">
        <v>-1287</v>
      </c>
      <c r="F53" s="11">
        <v>636</v>
      </c>
      <c r="G53" s="11">
        <v>382</v>
      </c>
      <c r="H53" s="12">
        <v>724</v>
      </c>
    </row>
    <row r="54" spans="1:8">
      <c r="A54" s="7"/>
      <c r="B54" s="16"/>
      <c r="C54" s="16"/>
      <c r="D54" s="16"/>
      <c r="E54" s="16"/>
      <c r="F54" s="16"/>
      <c r="G54" s="16"/>
      <c r="H54" s="17"/>
    </row>
    <row r="55" spans="1:8">
      <c r="A55" s="7" t="s">
        <v>832</v>
      </c>
      <c r="B55" s="7" t="s">
        <v>833</v>
      </c>
      <c r="C55" s="8">
        <v>8339</v>
      </c>
      <c r="D55" s="8">
        <v>628</v>
      </c>
      <c r="E55" s="8">
        <v>578</v>
      </c>
      <c r="F55" s="8">
        <v>1613</v>
      </c>
      <c r="G55" s="8">
        <v>-2227</v>
      </c>
      <c r="H55" s="9">
        <v>5165</v>
      </c>
    </row>
    <row r="56" spans="1:8">
      <c r="A56" s="7"/>
      <c r="B56" s="16"/>
      <c r="C56" s="16"/>
      <c r="D56" s="16"/>
      <c r="E56" s="16"/>
      <c r="F56" s="16"/>
      <c r="G56" s="16"/>
      <c r="H56" s="17"/>
    </row>
    <row r="57" spans="1:8">
      <c r="A57" s="7" t="s">
        <v>834</v>
      </c>
      <c r="B57" s="7" t="s">
        <v>835</v>
      </c>
      <c r="C57" s="8">
        <v>2671</v>
      </c>
      <c r="D57" s="8">
        <v>3012</v>
      </c>
      <c r="E57" s="8">
        <v>3741</v>
      </c>
      <c r="F57" s="8">
        <v>3433</v>
      </c>
      <c r="G57" s="8">
        <v>5775</v>
      </c>
      <c r="H57" s="9">
        <v>4663</v>
      </c>
    </row>
    <row r="58" spans="1:8">
      <c r="A58" s="7" t="s">
        <v>836</v>
      </c>
      <c r="B58" s="7" t="s">
        <v>837</v>
      </c>
      <c r="C58" s="8">
        <v>537</v>
      </c>
      <c r="D58" s="8">
        <v>643</v>
      </c>
      <c r="E58" s="8">
        <v>607</v>
      </c>
      <c r="F58" s="8">
        <v>617</v>
      </c>
      <c r="G58" s="8">
        <v>583</v>
      </c>
      <c r="H58" s="9">
        <v>588</v>
      </c>
    </row>
    <row r="59" spans="1:8">
      <c r="A59" s="7"/>
      <c r="B59" s="16"/>
      <c r="C59" s="16"/>
      <c r="D59" s="16"/>
      <c r="E59" s="16"/>
      <c r="F59" s="16"/>
      <c r="G59" s="16"/>
      <c r="H59" s="17"/>
    </row>
    <row r="60" spans="1:8">
      <c r="A60" s="7" t="s">
        <v>103</v>
      </c>
      <c r="B60" s="16"/>
      <c r="C60" s="16"/>
      <c r="D60" s="16"/>
      <c r="E60" s="16"/>
      <c r="F60" s="16"/>
      <c r="G60" s="16"/>
      <c r="H60" s="17"/>
    </row>
    <row r="61" spans="1:8">
      <c r="A61" s="10" t="s">
        <v>107</v>
      </c>
      <c r="B61" s="10" t="s">
        <v>107</v>
      </c>
      <c r="C61" s="11">
        <v>14962</v>
      </c>
      <c r="D61" s="11">
        <v>16719</v>
      </c>
      <c r="E61" s="11">
        <v>19791</v>
      </c>
      <c r="F61" s="11">
        <v>22072</v>
      </c>
      <c r="G61" s="11">
        <v>24808</v>
      </c>
      <c r="H61" s="12">
        <v>25373</v>
      </c>
    </row>
    <row r="62" spans="1:8">
      <c r="A62" s="10" t="s">
        <v>838</v>
      </c>
      <c r="B62" s="10" t="s">
        <v>109</v>
      </c>
      <c r="C62" s="11">
        <v>68.488500000000002</v>
      </c>
      <c r="D62" s="11">
        <v>69.359099999999998</v>
      </c>
      <c r="E62" s="11">
        <v>67.522999999999996</v>
      </c>
      <c r="F62" s="11">
        <v>67.595600000000005</v>
      </c>
      <c r="G62" s="11">
        <v>69.053100000000001</v>
      </c>
      <c r="H62" s="12">
        <v>65.2379605584552</v>
      </c>
    </row>
    <row r="63" spans="1:8">
      <c r="A63" s="10" t="s">
        <v>839</v>
      </c>
      <c r="B63" s="10" t="s">
        <v>840</v>
      </c>
      <c r="C63" s="11">
        <v>77</v>
      </c>
      <c r="D63" s="11">
        <v>75</v>
      </c>
      <c r="E63" s="11">
        <v>1948</v>
      </c>
      <c r="F63" s="11">
        <v>0</v>
      </c>
      <c r="G63" s="11">
        <v>915</v>
      </c>
      <c r="H63" s="12">
        <v>887</v>
      </c>
    </row>
    <row r="64" spans="1:8">
      <c r="A64" s="10" t="s">
        <v>841</v>
      </c>
      <c r="B64" s="10" t="s">
        <v>842</v>
      </c>
      <c r="C64" s="11" t="s">
        <v>20</v>
      </c>
      <c r="D64" s="11" t="s">
        <v>20</v>
      </c>
      <c r="E64" s="11" t="s">
        <v>20</v>
      </c>
      <c r="F64" s="11" t="s">
        <v>20</v>
      </c>
      <c r="G64" s="11" t="s">
        <v>20</v>
      </c>
      <c r="H64" s="12"/>
    </row>
    <row r="65" spans="1:8">
      <c r="A65" s="10" t="s">
        <v>843</v>
      </c>
      <c r="B65" s="10" t="s">
        <v>844</v>
      </c>
      <c r="C65" s="11">
        <v>9704</v>
      </c>
      <c r="D65" s="11">
        <v>14522</v>
      </c>
      <c r="E65" s="11">
        <v>17879</v>
      </c>
      <c r="F65" s="11">
        <v>19696</v>
      </c>
      <c r="G65" s="11">
        <v>18693</v>
      </c>
      <c r="H65" s="12">
        <v>22083</v>
      </c>
    </row>
    <row r="66" spans="1:8">
      <c r="A66" s="10" t="s">
        <v>845</v>
      </c>
      <c r="B66" s="10" t="s">
        <v>846</v>
      </c>
      <c r="C66" s="11">
        <v>10110.5885</v>
      </c>
      <c r="D66" s="11">
        <v>14915.1733</v>
      </c>
      <c r="E66" s="11">
        <v>18322.6957</v>
      </c>
      <c r="F66" s="11">
        <v>20224.773700000002</v>
      </c>
      <c r="G66" s="11">
        <v>19222.154699999999</v>
      </c>
      <c r="H66" s="12">
        <v>22545.605000127201</v>
      </c>
    </row>
    <row r="67" spans="1:8">
      <c r="A67" s="10" t="s">
        <v>847</v>
      </c>
      <c r="B67" s="10" t="s">
        <v>848</v>
      </c>
      <c r="C67" s="11">
        <v>16540</v>
      </c>
      <c r="D67" s="11">
        <v>9516</v>
      </c>
      <c r="E67" s="11">
        <v>19341</v>
      </c>
      <c r="F67" s="11">
        <v>16820</v>
      </c>
      <c r="G67" s="11">
        <v>18026</v>
      </c>
      <c r="H67" s="12">
        <v>21529</v>
      </c>
    </row>
    <row r="68" spans="1:8">
      <c r="A68" s="10" t="s">
        <v>849</v>
      </c>
      <c r="B68" s="10" t="s">
        <v>850</v>
      </c>
      <c r="C68" s="11">
        <v>4.9687999999999999</v>
      </c>
      <c r="D68" s="11">
        <v>7.4625000000000004</v>
      </c>
      <c r="E68" s="11">
        <v>10.8292</v>
      </c>
      <c r="F68" s="11">
        <v>12.1731</v>
      </c>
      <c r="G68" s="11">
        <v>11.5318</v>
      </c>
      <c r="H68" s="12">
        <v>12.204078204604301</v>
      </c>
    </row>
    <row r="69" spans="1:8">
      <c r="A69" s="10" t="s">
        <v>851</v>
      </c>
      <c r="B69" s="10" t="s">
        <v>852</v>
      </c>
      <c r="C69" s="11">
        <v>40.245399999999997</v>
      </c>
      <c r="D69" s="11">
        <v>29.849299999999999</v>
      </c>
      <c r="E69" s="11">
        <v>16.404699999999998</v>
      </c>
      <c r="F69" s="11">
        <v>18.895</v>
      </c>
      <c r="G69" s="11">
        <v>23.8428</v>
      </c>
      <c r="H69" s="12">
        <v>28.068485144886498</v>
      </c>
    </row>
    <row r="70" spans="1:8">
      <c r="A70" s="10" t="s">
        <v>853</v>
      </c>
      <c r="B70" s="10" t="s">
        <v>854</v>
      </c>
      <c r="C70" s="11">
        <v>0.96079999999999999</v>
      </c>
      <c r="D70" s="11">
        <v>1.2369000000000001</v>
      </c>
      <c r="E70" s="11">
        <v>1.2602</v>
      </c>
      <c r="F70" s="11">
        <v>1.2016</v>
      </c>
      <c r="G70" s="11">
        <v>1.0105</v>
      </c>
      <c r="H70" s="12">
        <v>1.27655538694992</v>
      </c>
    </row>
    <row r="71" spans="1:8">
      <c r="A71" s="19" t="s">
        <v>130</v>
      </c>
      <c r="B71" s="19"/>
      <c r="C71" s="19" t="s">
        <v>131</v>
      </c>
      <c r="D71" s="19"/>
      <c r="E71" s="19"/>
      <c r="F71" s="19"/>
      <c r="G71" s="19"/>
      <c r="H71" s="1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Estimation &gt;&gt;&gt;</vt:lpstr>
      <vt:lpstr>DCF Summary</vt:lpstr>
      <vt:lpstr>IS</vt:lpstr>
      <vt:lpstr>FA Schedule</vt:lpstr>
      <vt:lpstr>Change in NWC</vt:lpstr>
      <vt:lpstr>WACC</vt:lpstr>
      <vt:lpstr>매출액</vt:lpstr>
      <vt:lpstr>매출 세부 추정</vt:lpstr>
      <vt:lpstr>비용 추정</vt:lpstr>
      <vt:lpstr>HISTORY&gt;&gt;&gt;</vt:lpstr>
      <vt:lpstr>IS(Yearly)</vt:lpstr>
      <vt:lpstr>BS(Yearly)</vt:lpstr>
      <vt:lpstr>BS 표준화</vt:lpstr>
      <vt:lpstr>CF(Yearly)</vt:lpstr>
      <vt:lpstr>CF 표준화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cp:lastPrinted>2025-08-14T06:28:59Z</cp:lastPrinted>
  <dcterms:created xsi:type="dcterms:W3CDTF">2025-07-28T04:21:42Z</dcterms:created>
  <dcterms:modified xsi:type="dcterms:W3CDTF">2025-08-18T06:05:13Z</dcterms:modified>
</cp:coreProperties>
</file>